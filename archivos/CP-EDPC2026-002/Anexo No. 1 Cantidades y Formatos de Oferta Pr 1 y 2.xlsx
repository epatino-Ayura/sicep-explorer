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W:\A_O 2026\3. PROCESOS DE CONTRATACIÓN\1. SOLICITUD PUBLICA OFERTAS\SPO-DG-013-2026-COMPRA DE ENERGÍA No. 2\Terminos Definitivos\"/>
    </mc:Choice>
  </mc:AlternateContent>
  <xr:revisionPtr revIDLastSave="0" documentId="13_ncr:1_{E3A4CA9D-27DB-459A-86C0-41B7598E39BC}" xr6:coauthVersionLast="47" xr6:coauthVersionMax="47" xr10:uidLastSave="{00000000-0000-0000-0000-000000000000}"/>
  <bookViews>
    <workbookView xWindow="-120" yWindow="-120" windowWidth="24240" windowHeight="13020" xr2:uid="{5321B393-4757-4077-AC12-AC8399B6D95F}"/>
  </bookViews>
  <sheets>
    <sheet name="Formato -Producto N° 1  plano " sheetId="4" r:id="rId1"/>
    <sheet name="Cantidades -Producto 1" sheetId="2" r:id="rId2"/>
    <sheet name="Formato -Producto N° 2  Curva" sheetId="5" r:id="rId3"/>
    <sheet name="Cantidades -Producto 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5" l="1"/>
  <c r="G129" i="5" l="1"/>
  <c r="G129" i="4" l="1"/>
  <c r="AB387" i="2" l="1"/>
  <c r="AB386" i="2"/>
  <c r="AB385" i="2"/>
  <c r="AB384" i="2"/>
  <c r="AB383" i="2"/>
  <c r="AB382" i="2"/>
  <c r="AB381" i="2"/>
  <c r="AB380" i="2"/>
  <c r="AB379" i="2"/>
  <c r="AB378" i="2"/>
  <c r="AB377" i="2"/>
  <c r="AB376" i="2"/>
  <c r="AB375" i="2"/>
  <c r="AB374" i="2"/>
  <c r="AB373" i="2"/>
  <c r="AB369" i="2"/>
  <c r="AB368" i="2"/>
  <c r="AB367" i="2"/>
  <c r="AB366" i="2"/>
  <c r="AB365" i="2"/>
  <c r="AB364" i="2"/>
  <c r="AB363" i="2"/>
  <c r="AB362" i="2"/>
  <c r="AB361" i="2"/>
  <c r="AB360" i="2"/>
  <c r="AB359" i="2"/>
  <c r="AB358" i="2"/>
  <c r="AB357" i="2"/>
  <c r="AB356" i="2"/>
  <c r="AB355" i="2"/>
  <c r="AB354" i="2"/>
  <c r="AB353" i="2"/>
  <c r="AB352" i="2"/>
  <c r="AB351" i="2"/>
  <c r="AB350" i="2"/>
  <c r="AB349" i="2"/>
  <c r="AB348" i="2"/>
  <c r="AB347" i="2"/>
  <c r="AB346" i="2"/>
  <c r="AB345" i="2"/>
  <c r="AB344" i="2"/>
  <c r="AB343" i="2"/>
  <c r="AB342" i="2"/>
  <c r="AB341" i="2"/>
  <c r="AB340" i="2"/>
  <c r="AB339" i="2"/>
  <c r="AB338" i="2"/>
  <c r="AB337" i="2"/>
  <c r="AB336" i="2"/>
  <c r="AB335" i="2"/>
  <c r="AB334" i="2"/>
  <c r="AB330" i="2"/>
  <c r="AB329" i="2"/>
  <c r="AB328" i="2"/>
  <c r="AB327" i="2"/>
  <c r="AB326" i="2"/>
  <c r="AB325" i="2"/>
  <c r="AB324" i="2"/>
  <c r="AB323" i="2"/>
  <c r="AB322" i="2"/>
  <c r="AB321" i="2"/>
  <c r="AB320" i="2"/>
  <c r="AB319" i="2"/>
  <c r="AB318" i="2"/>
  <c r="AB317" i="2"/>
  <c r="AB316" i="2"/>
  <c r="AB315" i="2"/>
  <c r="AB314" i="2"/>
  <c r="AB313" i="2"/>
  <c r="AB312" i="2"/>
  <c r="AB311" i="2"/>
  <c r="AB310" i="2"/>
  <c r="AB309" i="2"/>
  <c r="AB308" i="2"/>
  <c r="AB307" i="2"/>
  <c r="AB306" i="2"/>
  <c r="AB305" i="2"/>
  <c r="AB304" i="2"/>
  <c r="AB303" i="2"/>
  <c r="AB302" i="2"/>
  <c r="AB301" i="2"/>
  <c r="AB300" i="2"/>
  <c r="AB299" i="2"/>
  <c r="AB298" i="2"/>
  <c r="AB297" i="2"/>
  <c r="AB296" i="2"/>
  <c r="AB295" i="2"/>
  <c r="AB291" i="2"/>
  <c r="AB290" i="2"/>
  <c r="AB289" i="2"/>
  <c r="AB288" i="2"/>
  <c r="AB287" i="2"/>
  <c r="AB286" i="2"/>
  <c r="AB285" i="2"/>
  <c r="AB284" i="2"/>
  <c r="AB283" i="2"/>
  <c r="AB282" i="2"/>
  <c r="AB281" i="2"/>
  <c r="AB280" i="2"/>
  <c r="AB279" i="2"/>
  <c r="AB278" i="2"/>
  <c r="AB277" i="2"/>
  <c r="AB276" i="2"/>
  <c r="AB275" i="2"/>
  <c r="AB274" i="2"/>
  <c r="AB273" i="2"/>
  <c r="AB272" i="2"/>
  <c r="AB271" i="2"/>
  <c r="AB270" i="2"/>
  <c r="AB269" i="2"/>
  <c r="AB268" i="2"/>
  <c r="AB267" i="2"/>
  <c r="AB266" i="2"/>
  <c r="AB265" i="2"/>
  <c r="AB264" i="2"/>
  <c r="AB263" i="2"/>
  <c r="AB262" i="2"/>
  <c r="AB261" i="2"/>
  <c r="AB260" i="2"/>
  <c r="AB259" i="2"/>
  <c r="AB258" i="2"/>
  <c r="AB257" i="2"/>
  <c r="AB256" i="2"/>
  <c r="AB252" i="2"/>
  <c r="AB251" i="2"/>
  <c r="AB250" i="2"/>
  <c r="AB249" i="2"/>
  <c r="AB248" i="2"/>
  <c r="AB247" i="2"/>
  <c r="AB246" i="2"/>
  <c r="AB245" i="2"/>
  <c r="AB244" i="2"/>
  <c r="AB243" i="2"/>
  <c r="AB242" i="2"/>
  <c r="AB241" i="2"/>
  <c r="AB240" i="2"/>
  <c r="AB239" i="2"/>
  <c r="AB238" i="2"/>
  <c r="AB237" i="2"/>
  <c r="AB236" i="2"/>
  <c r="AB235" i="2"/>
  <c r="AB234" i="2"/>
  <c r="AB233" i="2"/>
  <c r="AB232" i="2"/>
  <c r="AB231" i="2"/>
  <c r="AB230" i="2"/>
  <c r="AB229" i="2"/>
  <c r="AB228" i="2"/>
  <c r="AB227" i="2"/>
  <c r="AB226" i="2"/>
  <c r="AB225" i="2"/>
  <c r="AB224" i="2"/>
  <c r="AB223" i="2"/>
  <c r="AB222" i="2"/>
  <c r="AB221" i="2"/>
  <c r="AB220" i="2"/>
  <c r="AB219" i="2"/>
  <c r="AB218" i="2"/>
  <c r="AB217" i="2"/>
  <c r="AB213" i="2"/>
  <c r="AB212" i="2"/>
  <c r="AB211" i="2"/>
  <c r="AB210" i="2"/>
  <c r="AB209" i="2"/>
  <c r="AB208" i="2"/>
  <c r="AB207" i="2"/>
  <c r="AB206" i="2"/>
  <c r="AB205" i="2"/>
  <c r="AB204" i="2"/>
  <c r="AB203" i="2"/>
  <c r="AB202" i="2"/>
  <c r="AB201" i="2"/>
  <c r="AB200" i="2"/>
  <c r="AB199" i="2"/>
  <c r="AB198" i="2"/>
  <c r="AB197" i="2"/>
  <c r="AB196" i="2"/>
  <c r="AB195" i="2"/>
  <c r="AB194" i="2"/>
  <c r="AB193" i="2"/>
  <c r="AB192" i="2"/>
  <c r="AB191" i="2"/>
  <c r="AB190" i="2"/>
  <c r="AB189" i="2"/>
  <c r="AB188" i="2"/>
  <c r="AB187" i="2"/>
  <c r="AB186" i="2"/>
  <c r="AB185" i="2"/>
  <c r="AB184" i="2"/>
  <c r="AB183" i="2"/>
  <c r="AB182" i="2"/>
  <c r="AB181" i="2"/>
  <c r="AB180" i="2"/>
  <c r="AB179" i="2"/>
  <c r="AB178" i="2"/>
  <c r="AB174" i="2"/>
  <c r="AB173" i="2"/>
  <c r="AB172" i="2"/>
  <c r="AB171" i="2"/>
  <c r="AB170" i="2"/>
  <c r="AB169" i="2"/>
  <c r="AB168" i="2"/>
  <c r="AB167" i="2"/>
  <c r="AB166" i="2"/>
  <c r="AB165" i="2"/>
  <c r="AB164" i="2"/>
  <c r="AB163" i="2"/>
  <c r="AB162" i="2"/>
  <c r="AB161" i="2"/>
  <c r="AB160" i="2"/>
  <c r="AB159" i="2"/>
  <c r="AB158" i="2"/>
  <c r="AB157" i="2"/>
  <c r="AB156" i="2"/>
  <c r="AB155" i="2"/>
  <c r="AB154" i="2"/>
  <c r="AB153" i="2"/>
  <c r="AB152" i="2"/>
  <c r="AB151" i="2"/>
  <c r="AB150" i="2"/>
  <c r="AB149" i="2"/>
  <c r="AB148" i="2"/>
  <c r="AB147" i="2"/>
  <c r="AB146" i="2"/>
  <c r="AB145" i="2"/>
  <c r="AB144" i="2"/>
  <c r="AB143" i="2"/>
  <c r="AB142" i="2"/>
  <c r="AB141" i="2"/>
  <c r="AB140" i="2"/>
  <c r="AB139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AB387" i="3"/>
  <c r="AB386" i="3"/>
  <c r="AB385" i="3"/>
  <c r="AB384" i="3"/>
  <c r="AB383" i="3"/>
  <c r="AB382" i="3"/>
  <c r="AB381" i="3"/>
  <c r="AB380" i="3"/>
  <c r="AB379" i="3"/>
  <c r="AB378" i="3"/>
  <c r="AB377" i="3"/>
  <c r="AB376" i="3"/>
  <c r="AB375" i="3"/>
  <c r="AB374" i="3"/>
  <c r="AB373" i="3"/>
  <c r="AB369" i="3"/>
  <c r="AB368" i="3"/>
  <c r="AB367" i="3"/>
  <c r="AB366" i="3"/>
  <c r="AB365" i="3"/>
  <c r="AB364" i="3"/>
  <c r="AB363" i="3"/>
  <c r="AB362" i="3"/>
  <c r="AB361" i="3"/>
  <c r="AB360" i="3"/>
  <c r="AB359" i="3"/>
  <c r="AB358" i="3"/>
  <c r="AB357" i="3"/>
  <c r="AB356" i="3"/>
  <c r="AB355" i="3"/>
  <c r="AB354" i="3"/>
  <c r="AB353" i="3"/>
  <c r="AB352" i="3"/>
  <c r="AB351" i="3"/>
  <c r="AB350" i="3"/>
  <c r="AB349" i="3"/>
  <c r="AB348" i="3"/>
  <c r="AB347" i="3"/>
  <c r="AB346" i="3"/>
  <c r="AB345" i="3"/>
  <c r="AB344" i="3"/>
  <c r="AB343" i="3"/>
  <c r="AB342" i="3"/>
  <c r="AB341" i="3"/>
  <c r="AB340" i="3"/>
  <c r="AB339" i="3"/>
  <c r="AB338" i="3"/>
  <c r="AB337" i="3"/>
  <c r="AB336" i="3"/>
  <c r="AB335" i="3"/>
  <c r="AB334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7" i="3"/>
  <c r="AB316" i="3"/>
  <c r="AB315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7" i="3"/>
  <c r="AB296" i="3"/>
  <c r="AB295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8" i="3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1" i="3"/>
  <c r="AB260" i="3"/>
  <c r="AB259" i="3"/>
  <c r="AB258" i="3"/>
  <c r="AB257" i="3"/>
  <c r="AB256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9" i="3"/>
  <c r="AB238" i="3"/>
  <c r="AB237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4" i="3"/>
  <c r="AB223" i="3"/>
  <c r="AB222" i="3"/>
  <c r="AB221" i="3"/>
  <c r="AB220" i="3"/>
  <c r="AB219" i="3"/>
  <c r="AB218" i="3"/>
  <c r="AB217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200" i="3"/>
  <c r="AB199" i="3"/>
  <c r="AB198" i="3"/>
  <c r="AB197" i="3"/>
  <c r="AB196" i="3"/>
  <c r="AC196" i="3" s="1"/>
  <c r="AG184" i="3" s="1"/>
  <c r="B70" i="5" s="1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AC13" i="2" l="1"/>
  <c r="AC40" i="2"/>
  <c r="AG28" i="2" s="1"/>
  <c r="B22" i="4" s="1"/>
  <c r="AC67" i="2"/>
  <c r="AG63" i="2" s="1"/>
  <c r="B30" i="4" s="1"/>
  <c r="AC91" i="2"/>
  <c r="AG71" i="2" s="1"/>
  <c r="B38" i="4" s="1"/>
  <c r="AC118" i="2"/>
  <c r="AG106" i="2" s="1"/>
  <c r="B46" i="4" s="1"/>
  <c r="AC145" i="2"/>
  <c r="AG141" i="2" s="1"/>
  <c r="B54" i="4" s="1"/>
  <c r="AC169" i="2"/>
  <c r="AG149" i="2" s="1"/>
  <c r="B62" i="4" s="1"/>
  <c r="AC196" i="2"/>
  <c r="AG184" i="2" s="1"/>
  <c r="B70" i="4" s="1"/>
  <c r="AC223" i="2"/>
  <c r="AG219" i="2" s="1"/>
  <c r="B78" i="4" s="1"/>
  <c r="AC247" i="2"/>
  <c r="AG227" i="2" s="1"/>
  <c r="B86" i="4" s="1"/>
  <c r="AC274" i="2"/>
  <c r="AG262" i="2" s="1"/>
  <c r="B94" i="4" s="1"/>
  <c r="AC301" i="2"/>
  <c r="AG297" i="2" s="1"/>
  <c r="B102" i="4" s="1"/>
  <c r="AC325" i="2"/>
  <c r="AG305" i="2" s="1"/>
  <c r="B110" i="4" s="1"/>
  <c r="AC352" i="2"/>
  <c r="AG340" i="2" s="1"/>
  <c r="B118" i="4" s="1"/>
  <c r="AC379" i="2"/>
  <c r="AG375" i="2" s="1"/>
  <c r="B126" i="4" s="1"/>
  <c r="AC25" i="2"/>
  <c r="AG23" i="2" s="1"/>
  <c r="B17" i="4" s="1"/>
  <c r="AC49" i="2"/>
  <c r="AG31" i="2" s="1"/>
  <c r="B25" i="4" s="1"/>
  <c r="AC76" i="2"/>
  <c r="AG66" i="2" s="1"/>
  <c r="B33" i="4" s="1"/>
  <c r="AC103" i="2"/>
  <c r="AG101" i="2" s="1"/>
  <c r="B41" i="4" s="1"/>
  <c r="AC127" i="2"/>
  <c r="AG109" i="2" s="1"/>
  <c r="B49" i="4" s="1"/>
  <c r="AC154" i="2"/>
  <c r="AG144" i="2" s="1"/>
  <c r="B57" i="4" s="1"/>
  <c r="AC181" i="2"/>
  <c r="AG179" i="2" s="1"/>
  <c r="B65" i="4" s="1"/>
  <c r="AC205" i="2"/>
  <c r="AG187" i="2" s="1"/>
  <c r="B73" i="4" s="1"/>
  <c r="AC232" i="2"/>
  <c r="AG222" i="2" s="1"/>
  <c r="B81" i="4" s="1"/>
  <c r="AC259" i="2"/>
  <c r="AG257" i="2" s="1"/>
  <c r="B89" i="4" s="1"/>
  <c r="AC283" i="2"/>
  <c r="AG265" i="2" s="1"/>
  <c r="B97" i="4" s="1"/>
  <c r="AC310" i="2"/>
  <c r="AG300" i="2" s="1"/>
  <c r="B105" i="4" s="1"/>
  <c r="AC337" i="2"/>
  <c r="AG335" i="2" s="1"/>
  <c r="B113" i="4" s="1"/>
  <c r="AC361" i="2"/>
  <c r="AG343" i="2" s="1"/>
  <c r="B121" i="4" s="1"/>
  <c r="AC16" i="2"/>
  <c r="AC43" i="2"/>
  <c r="AG29" i="2" s="1"/>
  <c r="B23" i="4" s="1"/>
  <c r="AC70" i="2"/>
  <c r="AG64" i="2" s="1"/>
  <c r="B31" i="4" s="1"/>
  <c r="AC94" i="2"/>
  <c r="AG72" i="2" s="1"/>
  <c r="B39" i="4" s="1"/>
  <c r="AC121" i="2"/>
  <c r="AG107" i="2" s="1"/>
  <c r="B47" i="4" s="1"/>
  <c r="AC148" i="2"/>
  <c r="AG142" i="2" s="1"/>
  <c r="B55" i="4" s="1"/>
  <c r="AC172" i="2"/>
  <c r="AG150" i="2" s="1"/>
  <c r="B63" i="4" s="1"/>
  <c r="AC199" i="2"/>
  <c r="AG185" i="2" s="1"/>
  <c r="B71" i="4" s="1"/>
  <c r="AC226" i="2"/>
  <c r="AG220" i="2" s="1"/>
  <c r="B79" i="4" s="1"/>
  <c r="AC250" i="2"/>
  <c r="AG228" i="2" s="1"/>
  <c r="B87" i="4" s="1"/>
  <c r="AC277" i="2"/>
  <c r="AG263" i="2" s="1"/>
  <c r="B95" i="4" s="1"/>
  <c r="AC304" i="2"/>
  <c r="AG298" i="2" s="1"/>
  <c r="B103" i="4" s="1"/>
  <c r="AC328" i="2"/>
  <c r="AG306" i="2" s="1"/>
  <c r="B111" i="4" s="1"/>
  <c r="AC355" i="2"/>
  <c r="AG341" i="2" s="1"/>
  <c r="B119" i="4" s="1"/>
  <c r="AC382" i="2"/>
  <c r="AG376" i="2" s="1"/>
  <c r="B127" i="4" s="1"/>
  <c r="AC22" i="2"/>
  <c r="AG22" i="2" s="1"/>
  <c r="B16" i="4" s="1"/>
  <c r="AC46" i="2"/>
  <c r="AG30" i="2" s="1"/>
  <c r="B24" i="4" s="1"/>
  <c r="AC73" i="2"/>
  <c r="AG65" i="2" s="1"/>
  <c r="B32" i="4" s="1"/>
  <c r="AC100" i="2"/>
  <c r="AG100" i="2" s="1"/>
  <c r="B40" i="4" s="1"/>
  <c r="AC124" i="2"/>
  <c r="AG108" i="2" s="1"/>
  <c r="B48" i="4" s="1"/>
  <c r="AC151" i="2"/>
  <c r="AG143" i="2" s="1"/>
  <c r="B56" i="4" s="1"/>
  <c r="AC178" i="2"/>
  <c r="AG178" i="2"/>
  <c r="B64" i="4" s="1"/>
  <c r="AC202" i="2"/>
  <c r="AG186" i="2" s="1"/>
  <c r="B72" i="4" s="1"/>
  <c r="AC229" i="2"/>
  <c r="AG221" i="2" s="1"/>
  <c r="B80" i="4" s="1"/>
  <c r="AC256" i="2"/>
  <c r="AG256" i="2"/>
  <c r="B88" i="4" s="1"/>
  <c r="AC280" i="2"/>
  <c r="AG264" i="2" s="1"/>
  <c r="B96" i="4" s="1"/>
  <c r="AC307" i="2"/>
  <c r="AG299" i="2" s="1"/>
  <c r="B104" i="4" s="1"/>
  <c r="AC334" i="2"/>
  <c r="AG334" i="2"/>
  <c r="B112" i="4" s="1"/>
  <c r="AC358" i="2"/>
  <c r="AG342" i="2" s="1"/>
  <c r="B120" i="4" s="1"/>
  <c r="AC385" i="2"/>
  <c r="AG377" i="2" s="1"/>
  <c r="B128" i="4" s="1"/>
  <c r="AC4" i="2"/>
  <c r="AC31" i="2"/>
  <c r="AG25" i="2" s="1"/>
  <c r="B19" i="4" s="1"/>
  <c r="AC55" i="2"/>
  <c r="AG33" i="2" s="1"/>
  <c r="B27" i="4" s="1"/>
  <c r="AC82" i="2"/>
  <c r="AG68" i="2" s="1"/>
  <c r="B35" i="4" s="1"/>
  <c r="AC109" i="2"/>
  <c r="AG103" i="2" s="1"/>
  <c r="B43" i="4" s="1"/>
  <c r="AC133" i="2"/>
  <c r="AG111" i="2" s="1"/>
  <c r="B51" i="4" s="1"/>
  <c r="AC160" i="2"/>
  <c r="AG146" i="2" s="1"/>
  <c r="B59" i="4" s="1"/>
  <c r="AC187" i="2"/>
  <c r="AG181" i="2" s="1"/>
  <c r="B67" i="4" s="1"/>
  <c r="AC211" i="2"/>
  <c r="AG189" i="2" s="1"/>
  <c r="B75" i="4" s="1"/>
  <c r="AC238" i="2"/>
  <c r="AG224" i="2" s="1"/>
  <c r="B83" i="4" s="1"/>
  <c r="AC265" i="2"/>
  <c r="AG259" i="2" s="1"/>
  <c r="B91" i="4" s="1"/>
  <c r="AC289" i="2"/>
  <c r="AG267" i="2" s="1"/>
  <c r="B99" i="4" s="1"/>
  <c r="AC316" i="2"/>
  <c r="AG302" i="2" s="1"/>
  <c r="B107" i="4" s="1"/>
  <c r="AC343" i="2"/>
  <c r="AG337" i="2" s="1"/>
  <c r="B115" i="4" s="1"/>
  <c r="AC367" i="2"/>
  <c r="AG345" i="2" s="1"/>
  <c r="B123" i="4" s="1"/>
  <c r="AC7" i="2"/>
  <c r="AC34" i="2"/>
  <c r="AG26" i="2" s="1"/>
  <c r="B20" i="4" s="1"/>
  <c r="AC61" i="2"/>
  <c r="AG61" i="2" s="1"/>
  <c r="B28" i="4" s="1"/>
  <c r="AC85" i="2"/>
  <c r="AG69" i="2" s="1"/>
  <c r="B36" i="4" s="1"/>
  <c r="AC112" i="2"/>
  <c r="AG104" i="2" s="1"/>
  <c r="B44" i="4" s="1"/>
  <c r="AC139" i="2"/>
  <c r="AG139" i="2"/>
  <c r="B52" i="4" s="1"/>
  <c r="AC163" i="2"/>
  <c r="AG147" i="2" s="1"/>
  <c r="B60" i="4" s="1"/>
  <c r="AC190" i="2"/>
  <c r="AG182" i="2" s="1"/>
  <c r="B68" i="4" s="1"/>
  <c r="AC217" i="2"/>
  <c r="AG217" i="2"/>
  <c r="B76" i="4" s="1"/>
  <c r="AC241" i="2"/>
  <c r="AG225" i="2" s="1"/>
  <c r="B84" i="4" s="1"/>
  <c r="AC268" i="2"/>
  <c r="AG260" i="2" s="1"/>
  <c r="B92" i="4" s="1"/>
  <c r="AC295" i="2"/>
  <c r="AG295" i="2"/>
  <c r="B100" i="4" s="1"/>
  <c r="AC319" i="2"/>
  <c r="AG303" i="2" s="1"/>
  <c r="B108" i="4" s="1"/>
  <c r="AC346" i="2"/>
  <c r="AG338" i="2" s="1"/>
  <c r="B116" i="4" s="1"/>
  <c r="AC373" i="2"/>
  <c r="AG373" i="2"/>
  <c r="B124" i="4" s="1"/>
  <c r="AC28" i="2"/>
  <c r="AG24" i="2" s="1"/>
  <c r="B18" i="4" s="1"/>
  <c r="AC52" i="2"/>
  <c r="AG32" i="2" s="1"/>
  <c r="B26" i="4" s="1"/>
  <c r="AC79" i="2"/>
  <c r="AG67" i="2" s="1"/>
  <c r="B34" i="4" s="1"/>
  <c r="AC106" i="2"/>
  <c r="AG102" i="2" s="1"/>
  <c r="B42" i="4" s="1"/>
  <c r="AC130" i="2"/>
  <c r="AG110" i="2" s="1"/>
  <c r="B50" i="4" s="1"/>
  <c r="AC157" i="2"/>
  <c r="AG145" i="2" s="1"/>
  <c r="B58" i="4" s="1"/>
  <c r="AC184" i="2"/>
  <c r="AG180" i="2" s="1"/>
  <c r="B66" i="4" s="1"/>
  <c r="AC208" i="2"/>
  <c r="AG188" i="2" s="1"/>
  <c r="B74" i="4" s="1"/>
  <c r="AC235" i="2"/>
  <c r="AG223" i="2" s="1"/>
  <c r="B82" i="4" s="1"/>
  <c r="AC262" i="2"/>
  <c r="AG258" i="2" s="1"/>
  <c r="B90" i="4" s="1"/>
  <c r="AC286" i="2"/>
  <c r="AG266" i="2" s="1"/>
  <c r="B98" i="4" s="1"/>
  <c r="AC313" i="2"/>
  <c r="AG301" i="2" s="1"/>
  <c r="B106" i="4" s="1"/>
  <c r="AC340" i="2"/>
  <c r="AG336" i="2" s="1"/>
  <c r="B114" i="4" s="1"/>
  <c r="AC364" i="2"/>
  <c r="AG344" i="2" s="1"/>
  <c r="B122" i="4" s="1"/>
  <c r="AC10" i="2"/>
  <c r="AC37" i="2"/>
  <c r="AG27" i="2" s="1"/>
  <c r="B21" i="4" s="1"/>
  <c r="AC64" i="2"/>
  <c r="AG62" i="2" s="1"/>
  <c r="B29" i="4" s="1"/>
  <c r="AC88" i="2"/>
  <c r="AG70" i="2" s="1"/>
  <c r="B37" i="4" s="1"/>
  <c r="AC115" i="2"/>
  <c r="AG105" i="2" s="1"/>
  <c r="B45" i="4" s="1"/>
  <c r="AC142" i="2"/>
  <c r="AG140" i="2" s="1"/>
  <c r="B53" i="4" s="1"/>
  <c r="AC166" i="2"/>
  <c r="AG148" i="2" s="1"/>
  <c r="B61" i="4" s="1"/>
  <c r="AC193" i="2"/>
  <c r="AG183" i="2" s="1"/>
  <c r="B69" i="4" s="1"/>
  <c r="AC220" i="2"/>
  <c r="AG218" i="2" s="1"/>
  <c r="B77" i="4" s="1"/>
  <c r="AC244" i="2"/>
  <c r="AG226" i="2" s="1"/>
  <c r="B85" i="4" s="1"/>
  <c r="AC271" i="2"/>
  <c r="AG261" i="2" s="1"/>
  <c r="B93" i="4" s="1"/>
  <c r="AC298" i="2"/>
  <c r="AG296" i="2" s="1"/>
  <c r="B101" i="4" s="1"/>
  <c r="AC322" i="2"/>
  <c r="AG304" i="2" s="1"/>
  <c r="B109" i="4" s="1"/>
  <c r="AC349" i="2"/>
  <c r="AG339" i="2" s="1"/>
  <c r="B117" i="4" s="1"/>
  <c r="AC376" i="2"/>
  <c r="AG374" i="2" s="1"/>
  <c r="B125" i="4" s="1"/>
  <c r="AC172" i="3"/>
  <c r="AG150" i="3" s="1"/>
  <c r="B63" i="5" s="1"/>
  <c r="AC199" i="3"/>
  <c r="AG185" i="3" s="1"/>
  <c r="B71" i="5" s="1"/>
  <c r="AC226" i="3"/>
  <c r="AG220" i="3" s="1"/>
  <c r="B79" i="5" s="1"/>
  <c r="AC250" i="3"/>
  <c r="AG228" i="3" s="1"/>
  <c r="B87" i="5" s="1"/>
  <c r="AC355" i="3"/>
  <c r="AG341" i="3" s="1"/>
  <c r="B119" i="5" s="1"/>
  <c r="AG178" i="3"/>
  <c r="B64" i="5" s="1"/>
  <c r="AG256" i="3"/>
  <c r="B88" i="5" s="1"/>
  <c r="AG334" i="3"/>
  <c r="B112" i="5" s="1"/>
  <c r="AG139" i="3"/>
  <c r="B52" i="5" s="1"/>
  <c r="AG217" i="3"/>
  <c r="B76" i="5" s="1"/>
  <c r="AG295" i="3"/>
  <c r="B100" i="5" s="1"/>
  <c r="AG373" i="3"/>
  <c r="B124" i="5" s="1"/>
  <c r="AC13" i="3"/>
  <c r="AG9" i="3" s="1"/>
  <c r="AC40" i="3"/>
  <c r="AG28" i="3" s="1"/>
  <c r="B22" i="5" s="1"/>
  <c r="AC67" i="3"/>
  <c r="AG63" i="3" s="1"/>
  <c r="B30" i="5" s="1"/>
  <c r="AC91" i="3"/>
  <c r="AG71" i="3" s="1"/>
  <c r="B38" i="5" s="1"/>
  <c r="AC118" i="3"/>
  <c r="AG106" i="3" s="1"/>
  <c r="B46" i="5" s="1"/>
  <c r="AC145" i="3"/>
  <c r="AG141" i="3" s="1"/>
  <c r="B54" i="5" s="1"/>
  <c r="AC169" i="3"/>
  <c r="AG149" i="3" s="1"/>
  <c r="B62" i="5" s="1"/>
  <c r="AC223" i="3"/>
  <c r="AG219" i="3" s="1"/>
  <c r="B78" i="5" s="1"/>
  <c r="AC247" i="3"/>
  <c r="AG227" i="3" s="1"/>
  <c r="B86" i="5" s="1"/>
  <c r="AC274" i="3"/>
  <c r="AG262" i="3" s="1"/>
  <c r="B94" i="5" s="1"/>
  <c r="AC301" i="3"/>
  <c r="AG297" i="3" s="1"/>
  <c r="B102" i="5" s="1"/>
  <c r="AC325" i="3"/>
  <c r="AG305" i="3" s="1"/>
  <c r="B110" i="5" s="1"/>
  <c r="AC352" i="3"/>
  <c r="AG340" i="3" s="1"/>
  <c r="B118" i="5" s="1"/>
  <c r="AC379" i="3"/>
  <c r="AG375" i="3" s="1"/>
  <c r="B126" i="5" s="1"/>
  <c r="AC25" i="3"/>
  <c r="AG23" i="3" s="1"/>
  <c r="B17" i="5" s="1"/>
  <c r="AC49" i="3"/>
  <c r="AG31" i="3" s="1"/>
  <c r="B25" i="5" s="1"/>
  <c r="AC76" i="3"/>
  <c r="AG66" i="3" s="1"/>
  <c r="B33" i="5" s="1"/>
  <c r="AC103" i="3"/>
  <c r="AG101" i="3" s="1"/>
  <c r="B41" i="5" s="1"/>
  <c r="AC127" i="3"/>
  <c r="AG109" i="3" s="1"/>
  <c r="B49" i="5" s="1"/>
  <c r="AC154" i="3"/>
  <c r="AG144" i="3" s="1"/>
  <c r="B57" i="5" s="1"/>
  <c r="AC181" i="3"/>
  <c r="AG179" i="3" s="1"/>
  <c r="B65" i="5" s="1"/>
  <c r="AC205" i="3"/>
  <c r="AG187" i="3" s="1"/>
  <c r="B73" i="5" s="1"/>
  <c r="AC232" i="3"/>
  <c r="AG222" i="3" s="1"/>
  <c r="B81" i="5" s="1"/>
  <c r="AC259" i="3"/>
  <c r="AG257" i="3" s="1"/>
  <c r="B89" i="5" s="1"/>
  <c r="AC283" i="3"/>
  <c r="AG265" i="3" s="1"/>
  <c r="B97" i="5" s="1"/>
  <c r="AC310" i="3"/>
  <c r="AG300" i="3" s="1"/>
  <c r="B105" i="5" s="1"/>
  <c r="AC337" i="3"/>
  <c r="AG335" i="3" s="1"/>
  <c r="B113" i="5" s="1"/>
  <c r="AC361" i="3"/>
  <c r="AG343" i="3" s="1"/>
  <c r="B121" i="5" s="1"/>
  <c r="AC61" i="3"/>
  <c r="AG61" i="3" s="1"/>
  <c r="B28" i="5" s="1"/>
  <c r="AC139" i="3"/>
  <c r="AC163" i="3"/>
  <c r="AG147" i="3" s="1"/>
  <c r="B60" i="5" s="1"/>
  <c r="AC190" i="3"/>
  <c r="AG182" i="3" s="1"/>
  <c r="B68" i="5" s="1"/>
  <c r="AC217" i="3"/>
  <c r="AC295" i="3"/>
  <c r="AC373" i="3"/>
  <c r="AC22" i="3"/>
  <c r="AG22" i="3" s="1"/>
  <c r="B16" i="5" s="1"/>
  <c r="AC46" i="3"/>
  <c r="AG30" i="3" s="1"/>
  <c r="B24" i="5" s="1"/>
  <c r="AC73" i="3"/>
  <c r="AG65" i="3" s="1"/>
  <c r="B32" i="5" s="1"/>
  <c r="AC100" i="3"/>
  <c r="AG100" i="3" s="1"/>
  <c r="B40" i="5" s="1"/>
  <c r="AC124" i="3"/>
  <c r="AG108" i="3" s="1"/>
  <c r="B48" i="5" s="1"/>
  <c r="AC151" i="3"/>
  <c r="AG143" i="3" s="1"/>
  <c r="B56" i="5" s="1"/>
  <c r="AC178" i="3"/>
  <c r="AC202" i="3"/>
  <c r="AG186" i="3" s="1"/>
  <c r="B72" i="5" s="1"/>
  <c r="AC229" i="3"/>
  <c r="AG221" i="3" s="1"/>
  <c r="B80" i="5" s="1"/>
  <c r="AC256" i="3"/>
  <c r="AC280" i="3"/>
  <c r="AG264" i="3" s="1"/>
  <c r="B96" i="5" s="1"/>
  <c r="AC307" i="3"/>
  <c r="AG299" i="3" s="1"/>
  <c r="B104" i="5" s="1"/>
  <c r="AC334" i="3"/>
  <c r="AC358" i="3"/>
  <c r="AG342" i="3" s="1"/>
  <c r="B120" i="5" s="1"/>
  <c r="AC385" i="3"/>
  <c r="AG377" i="3" s="1"/>
  <c r="B128" i="5" s="1"/>
  <c r="AC4" i="3"/>
  <c r="AG6" i="3" s="1"/>
  <c r="AC31" i="3"/>
  <c r="AG25" i="3" s="1"/>
  <c r="B19" i="5" s="1"/>
  <c r="AC55" i="3"/>
  <c r="AG33" i="3" s="1"/>
  <c r="B27" i="5" s="1"/>
  <c r="AC82" i="3"/>
  <c r="AG68" i="3" s="1"/>
  <c r="B35" i="5" s="1"/>
  <c r="AC109" i="3"/>
  <c r="AG103" i="3" s="1"/>
  <c r="B43" i="5" s="1"/>
  <c r="AC133" i="3"/>
  <c r="AG111" i="3" s="1"/>
  <c r="B51" i="5" s="1"/>
  <c r="AC160" i="3"/>
  <c r="AG146" i="3" s="1"/>
  <c r="B59" i="5" s="1"/>
  <c r="AC187" i="3"/>
  <c r="AG181" i="3" s="1"/>
  <c r="B67" i="5" s="1"/>
  <c r="AC211" i="3"/>
  <c r="AG189" i="3" s="1"/>
  <c r="B75" i="5" s="1"/>
  <c r="AC238" i="3"/>
  <c r="AG224" i="3" s="1"/>
  <c r="B83" i="5" s="1"/>
  <c r="AC265" i="3"/>
  <c r="AG259" i="3" s="1"/>
  <c r="B91" i="5" s="1"/>
  <c r="AC289" i="3"/>
  <c r="AG267" i="3" s="1"/>
  <c r="B99" i="5" s="1"/>
  <c r="AC316" i="3"/>
  <c r="AG302" i="3" s="1"/>
  <c r="B107" i="5" s="1"/>
  <c r="AC343" i="3"/>
  <c r="AG337" i="3" s="1"/>
  <c r="B115" i="5" s="1"/>
  <c r="AC367" i="3"/>
  <c r="AG345" i="3" s="1"/>
  <c r="B123" i="5" s="1"/>
  <c r="AC7" i="3"/>
  <c r="AG7" i="3" s="1"/>
  <c r="AC34" i="3"/>
  <c r="AG26" i="3" s="1"/>
  <c r="B20" i="5" s="1"/>
  <c r="AC85" i="3"/>
  <c r="AG69" i="3" s="1"/>
  <c r="B36" i="5" s="1"/>
  <c r="AC112" i="3"/>
  <c r="AG104" i="3" s="1"/>
  <c r="B44" i="5" s="1"/>
  <c r="AC241" i="3"/>
  <c r="AG225" i="3" s="1"/>
  <c r="B84" i="5" s="1"/>
  <c r="AC268" i="3"/>
  <c r="AG260" i="3" s="1"/>
  <c r="B92" i="5" s="1"/>
  <c r="AC319" i="3"/>
  <c r="AG303" i="3" s="1"/>
  <c r="B108" i="5" s="1"/>
  <c r="AC346" i="3"/>
  <c r="AG338" i="3" s="1"/>
  <c r="B116" i="5" s="1"/>
  <c r="AC16" i="3"/>
  <c r="AG10" i="3" s="1"/>
  <c r="AC43" i="3"/>
  <c r="AG29" i="3" s="1"/>
  <c r="B23" i="5" s="1"/>
  <c r="AC70" i="3"/>
  <c r="AG64" i="3" s="1"/>
  <c r="B31" i="5" s="1"/>
  <c r="AC94" i="3"/>
  <c r="AG72" i="3" s="1"/>
  <c r="B39" i="5" s="1"/>
  <c r="AC121" i="3"/>
  <c r="AG107" i="3" s="1"/>
  <c r="B47" i="5" s="1"/>
  <c r="AC148" i="3"/>
  <c r="AG142" i="3" s="1"/>
  <c r="B55" i="5" s="1"/>
  <c r="AC277" i="3"/>
  <c r="AG263" i="3" s="1"/>
  <c r="B95" i="5" s="1"/>
  <c r="AC304" i="3"/>
  <c r="AG298" i="3" s="1"/>
  <c r="B103" i="5" s="1"/>
  <c r="AC328" i="3"/>
  <c r="AG306" i="3" s="1"/>
  <c r="B111" i="5" s="1"/>
  <c r="AC382" i="3"/>
  <c r="AG376" i="3" s="1"/>
  <c r="B127" i="5" s="1"/>
  <c r="AC28" i="3"/>
  <c r="AG24" i="3" s="1"/>
  <c r="B18" i="5" s="1"/>
  <c r="AC52" i="3"/>
  <c r="AG32" i="3" s="1"/>
  <c r="B26" i="5" s="1"/>
  <c r="AC79" i="3"/>
  <c r="AG67" i="3" s="1"/>
  <c r="B34" i="5" s="1"/>
  <c r="AC106" i="3"/>
  <c r="AG102" i="3" s="1"/>
  <c r="B42" i="5" s="1"/>
  <c r="AC130" i="3"/>
  <c r="AG110" i="3" s="1"/>
  <c r="B50" i="5" s="1"/>
  <c r="AC157" i="3"/>
  <c r="AG145" i="3" s="1"/>
  <c r="B58" i="5" s="1"/>
  <c r="AC184" i="3"/>
  <c r="AG180" i="3" s="1"/>
  <c r="B66" i="5" s="1"/>
  <c r="AC208" i="3"/>
  <c r="AG188" i="3" s="1"/>
  <c r="B74" i="5" s="1"/>
  <c r="AC235" i="3"/>
  <c r="AG223" i="3" s="1"/>
  <c r="B82" i="5" s="1"/>
  <c r="AC262" i="3"/>
  <c r="AG258" i="3" s="1"/>
  <c r="B90" i="5" s="1"/>
  <c r="AC286" i="3"/>
  <c r="AG266" i="3" s="1"/>
  <c r="B98" i="5" s="1"/>
  <c r="AC313" i="3"/>
  <c r="AG301" i="3" s="1"/>
  <c r="B106" i="5" s="1"/>
  <c r="AC340" i="3"/>
  <c r="AG336" i="3" s="1"/>
  <c r="B114" i="5" s="1"/>
  <c r="AC364" i="3"/>
  <c r="AG344" i="3" s="1"/>
  <c r="B122" i="5" s="1"/>
  <c r="AC10" i="3"/>
  <c r="AG8" i="3" s="1"/>
  <c r="AC37" i="3"/>
  <c r="AG27" i="3" s="1"/>
  <c r="B21" i="5" s="1"/>
  <c r="AC64" i="3"/>
  <c r="AG62" i="3" s="1"/>
  <c r="B29" i="5" s="1"/>
  <c r="AC88" i="3"/>
  <c r="AG70" i="3" s="1"/>
  <c r="B37" i="5" s="1"/>
  <c r="AC115" i="3"/>
  <c r="AG105" i="3" s="1"/>
  <c r="B45" i="5" s="1"/>
  <c r="AC142" i="3"/>
  <c r="AG140" i="3" s="1"/>
  <c r="B53" i="5" s="1"/>
  <c r="AC166" i="3"/>
  <c r="AG148" i="3" s="1"/>
  <c r="B61" i="5" s="1"/>
  <c r="AC193" i="3"/>
  <c r="AG183" i="3" s="1"/>
  <c r="B69" i="5" s="1"/>
  <c r="AC220" i="3"/>
  <c r="AG218" i="3" s="1"/>
  <c r="B77" i="5" s="1"/>
  <c r="AC244" i="3"/>
  <c r="AG226" i="3" s="1"/>
  <c r="B85" i="5" s="1"/>
  <c r="AC271" i="3"/>
  <c r="AG261" i="3" s="1"/>
  <c r="B93" i="5" s="1"/>
  <c r="AC298" i="3"/>
  <c r="AG296" i="3" s="1"/>
  <c r="B101" i="5" s="1"/>
  <c r="AC322" i="3"/>
  <c r="AG304" i="3" s="1"/>
  <c r="B109" i="5" s="1"/>
  <c r="AC349" i="3"/>
  <c r="AG339" i="3" s="1"/>
  <c r="B117" i="5" s="1"/>
  <c r="AC376" i="3"/>
  <c r="AG374" i="3" s="1"/>
  <c r="B125" i="5" s="1"/>
  <c r="AG6" i="2" l="1"/>
  <c r="AG7" i="2"/>
  <c r="AG3" i="2"/>
  <c r="AG4" i="2"/>
  <c r="AG5" i="2"/>
  <c r="B129" i="5"/>
  <c r="B129" i="4"/>
  <c r="C88" i="4"/>
  <c r="C112" i="4"/>
  <c r="C64" i="4"/>
  <c r="C100" i="4"/>
  <c r="C40" i="4"/>
  <c r="C124" i="4"/>
  <c r="C76" i="4"/>
  <c r="C28" i="4"/>
  <c r="C52" i="4"/>
  <c r="C16" i="4"/>
  <c r="C16" i="5"/>
  <c r="C76" i="5"/>
  <c r="C112" i="5"/>
  <c r="C28" i="5"/>
  <c r="C88" i="5"/>
  <c r="C52" i="5"/>
  <c r="C40" i="5"/>
  <c r="C100" i="5"/>
  <c r="C124" i="5"/>
  <c r="C64" i="5"/>
  <c r="C129" i="5" l="1"/>
  <c r="C129" i="4"/>
</calcChain>
</file>

<file path=xl/sharedStrings.xml><?xml version="1.0" encoding="utf-8"?>
<sst xmlns="http://schemas.openxmlformats.org/spreadsheetml/2006/main" count="1374" uniqueCount="56">
  <si>
    <t>Mes</t>
  </si>
  <si>
    <t>Tipo de día</t>
  </si>
  <si>
    <t>No. de Días</t>
  </si>
  <si>
    <t xml:space="preserve"> HORA 01</t>
  </si>
  <si>
    <t xml:space="preserve"> HORA 02</t>
  </si>
  <si>
    <t xml:space="preserve"> HORA 03</t>
  </si>
  <si>
    <t xml:space="preserve"> HORA 04</t>
  </si>
  <si>
    <t xml:space="preserve"> HORA 05</t>
  </si>
  <si>
    <t xml:space="preserve"> HORA 06</t>
  </si>
  <si>
    <t xml:space="preserve"> HORA 07</t>
  </si>
  <si>
    <t xml:space="preserve"> HORA 08</t>
  </si>
  <si>
    <t xml:space="preserve"> HORA 09</t>
  </si>
  <si>
    <t xml:space="preserve"> HORA 10</t>
  </si>
  <si>
    <t xml:space="preserve"> HORA 11</t>
  </si>
  <si>
    <t xml:space="preserve"> HORA 12</t>
  </si>
  <si>
    <t xml:space="preserve"> HORA 13</t>
  </si>
  <si>
    <t xml:space="preserve"> HORA 14</t>
  </si>
  <si>
    <t xml:space="preserve"> HORA 15</t>
  </si>
  <si>
    <t xml:space="preserve"> HORA 16</t>
  </si>
  <si>
    <t xml:space="preserve"> HORA 17</t>
  </si>
  <si>
    <t xml:space="preserve"> HORA 18</t>
  </si>
  <si>
    <t xml:space="preserve"> HORA 19</t>
  </si>
  <si>
    <t xml:space="preserve"> HORA 20</t>
  </si>
  <si>
    <t xml:space="preserve"> HORA 21</t>
  </si>
  <si>
    <t xml:space="preserve"> HORA 22</t>
  </si>
  <si>
    <t xml:space="preserve"> HORA 23</t>
  </si>
  <si>
    <t xml:space="preserve"> HORA 24</t>
  </si>
  <si>
    <t>Total</t>
  </si>
  <si>
    <t>SÁBADO</t>
  </si>
  <si>
    <t>FESTIVO</t>
  </si>
  <si>
    <t>ORDINARIO</t>
  </si>
  <si>
    <t>PRODUCTO 1</t>
  </si>
  <si>
    <t>PRODUCTO 2</t>
  </si>
  <si>
    <t>PROPONENTE</t>
  </si>
  <si>
    <t xml:space="preserve"> MES</t>
  </si>
  <si>
    <t>DEMANDA REQUERIDA DISPAC KWh</t>
  </si>
  <si>
    <t>DEMANDA PERIODO REQUERIDA DISPAC KWh</t>
  </si>
  <si>
    <t xml:space="preserve"> PORCENTAJE (%) OFERTADO DE LA DEMANDA REQUERIDA</t>
  </si>
  <si>
    <t>DEMANDA OFERTADA KWh - MES</t>
  </si>
  <si>
    <t>DEMANDA PERIODO OFERTADA KWh</t>
  </si>
  <si>
    <t>PRECIO OFERTADO $ kWh (0.00)</t>
  </si>
  <si>
    <t>TOTALES</t>
  </si>
  <si>
    <t>NOTAS:</t>
  </si>
  <si>
    <r>
      <t>(1) Oferta válida para la modalidad</t>
    </r>
    <r>
      <rPr>
        <b/>
        <sz val="12"/>
        <color theme="1"/>
        <rFont val="Verdana"/>
        <family val="2"/>
      </rPr>
      <t xml:space="preserve"> Pague lo Contratado.</t>
    </r>
  </si>
  <si>
    <t>(2) Las cantidades de energía se despacharan de acuerdo a la curva del Despacho Horario producto.</t>
  </si>
  <si>
    <t>Oferente</t>
  </si>
  <si>
    <t>Calidad del firmante</t>
  </si>
  <si>
    <t>Formato Oferta Producto No. 1 Carga Plana Convocatoria Pública DISPAC S.A. E.S.P.</t>
  </si>
  <si>
    <t>Formato No. 1. Oferta Producto No. 2 Curva Convocatoria Pública DISPAC S.A. E.S.P.</t>
  </si>
  <si>
    <t>(3) El oferente presentará propuesta correspondiente a un porcentaje (%) para el producto que sea de su interés de la curva descrita en el numeral 19 “Cantidad demandada” de los pliegos de condiciones,</t>
  </si>
  <si>
    <t>(7) Los precios ofertados incluyen todos los pagos, cargos, impuestos, estampillas, etc., que el Proponente deba realizar ante cualquier entidad gubernamental, o empresa pública, privada o mixta para entregar la energía en la (s) frontera (s) con el Sistema de Transmisión Nacional – STN.</t>
  </si>
  <si>
    <t>(8) Los precios ofertados serán a precios de abril de 2026 y este será indexado mes a mes con el Índice de Precios al Productor Provisional expedido por el DANE.</t>
  </si>
  <si>
    <t>(6) Los porcentajes de energía ofertada deberán expresarse en números enteros, es decir, sin decimales (X%)</t>
  </si>
  <si>
    <t xml:space="preserve">(4) Para este producto solamente se evaluarán ofertas que hayan ofertado un porcentaje entre 0% y 100% de la energía demandada para los años del 2026 al 2036. </t>
  </si>
  <si>
    <t>(5) Se podrán ofertar precios diferentes para cada año. El precio ofertado debe ser anual.</t>
  </si>
  <si>
    <t>(9) Las Ofertas se someten a estas y las demás condiciones previstas en los pliegos de condiciones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</si>
</sst>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&quot;$&quot;#,##0.00"/>
  </numFmts>
  <fonts count="13" x14ac:knownFonts="1">
    <font>
      <sz val="11"/>
      <color theme="1"/>
      <name val="Aptos Narrow"/>
      <family val="2"/>
      <scheme val="minor"/>
    </font>
    <font>
      <b/>
      <sz val="14"/>
      <color theme="1"/>
      <name val="Arial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1"/>
      <name val="Verdana"/>
      <family val="2"/>
    </font>
    <font>
      <sz val="12"/>
      <name val="Aptos Narrow"/>
      <family val="2"/>
      <scheme val="minor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1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7" fontId="1" fillId="2" borderId="4" xfId="0" applyNumberFormat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7" fontId="2" fillId="2" borderId="13" xfId="0" applyNumberFormat="1" applyFont="1" applyFill="1" applyBorder="1" applyAlignment="1">
      <alignment horizontal="center" vertical="center"/>
    </xf>
    <xf numFmtId="17" fontId="2" fillId="2" borderId="23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5" fillId="0" borderId="0" xfId="1" applyAlignment="1">
      <alignment horizontal="center"/>
    </xf>
    <xf numFmtId="2" fontId="5" fillId="0" borderId="0" xfId="1" applyNumberFormat="1" applyAlignment="1">
      <alignment horizontal="center"/>
    </xf>
    <xf numFmtId="9" fontId="0" fillId="0" borderId="0" xfId="2" applyFont="1" applyAlignment="1">
      <alignment horizontal="center"/>
    </xf>
    <xf numFmtId="165" fontId="5" fillId="0" borderId="0" xfId="1" applyNumberFormat="1" applyAlignment="1">
      <alignment horizontal="center"/>
    </xf>
    <xf numFmtId="0" fontId="7" fillId="0" borderId="0" xfId="1" applyFont="1" applyAlignment="1">
      <alignment horizontal="center" vertical="center"/>
    </xf>
    <xf numFmtId="2" fontId="7" fillId="0" borderId="0" xfId="1" applyNumberFormat="1" applyFont="1" applyAlignment="1">
      <alignment horizontal="center" vertical="center"/>
    </xf>
    <xf numFmtId="0" fontId="8" fillId="5" borderId="4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2" fontId="9" fillId="0" borderId="0" xfId="1" applyNumberFormat="1" applyFont="1" applyAlignment="1">
      <alignment horizontal="center" vertical="center" wrapText="1"/>
    </xf>
    <xf numFmtId="9" fontId="7" fillId="0" borderId="0" xfId="2" applyFont="1" applyAlignment="1">
      <alignment horizontal="center" vertical="center" wrapText="1"/>
    </xf>
    <xf numFmtId="2" fontId="7" fillId="0" borderId="0" xfId="1" applyNumberFormat="1" applyFont="1" applyAlignment="1">
      <alignment horizontal="center" vertical="center" wrapText="1"/>
    </xf>
    <xf numFmtId="165" fontId="7" fillId="0" borderId="0" xfId="1" applyNumberFormat="1" applyFont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wrapText="1"/>
    </xf>
    <xf numFmtId="17" fontId="8" fillId="0" borderId="22" xfId="1" applyNumberFormat="1" applyFont="1" applyBorder="1" applyAlignment="1">
      <alignment horizontal="center" vertical="center" wrapText="1"/>
    </xf>
    <xf numFmtId="3" fontId="8" fillId="0" borderId="27" xfId="1" applyNumberFormat="1" applyFont="1" applyBorder="1" applyAlignment="1">
      <alignment horizontal="center" vertical="center" wrapText="1"/>
    </xf>
    <xf numFmtId="10" fontId="8" fillId="4" borderId="16" xfId="1" applyNumberFormat="1" applyFont="1" applyFill="1" applyBorder="1" applyAlignment="1">
      <alignment horizontal="center" vertical="center" wrapText="1"/>
    </xf>
    <xf numFmtId="10" fontId="8" fillId="4" borderId="16" xfId="1" applyNumberFormat="1" applyFont="1" applyFill="1" applyBorder="1" applyAlignment="1">
      <alignment vertical="center" wrapText="1"/>
    </xf>
    <xf numFmtId="10" fontId="8" fillId="4" borderId="23" xfId="1" applyNumberFormat="1" applyFont="1" applyFill="1" applyBorder="1" applyAlignment="1">
      <alignment horizontal="center" vertical="center" wrapText="1"/>
    </xf>
    <xf numFmtId="10" fontId="8" fillId="4" borderId="18" xfId="1" applyNumberFormat="1" applyFont="1" applyFill="1" applyBorder="1" applyAlignment="1">
      <alignment horizontal="center" vertical="center" wrapText="1"/>
    </xf>
    <xf numFmtId="3" fontId="8" fillId="0" borderId="4" xfId="1" applyNumberFormat="1" applyFont="1" applyBorder="1" applyAlignment="1">
      <alignment horizontal="center" vertical="center" wrapText="1"/>
    </xf>
    <xf numFmtId="0" fontId="5" fillId="6" borderId="0" xfId="1" applyFill="1" applyAlignment="1">
      <alignment horizontal="center"/>
    </xf>
    <xf numFmtId="2" fontId="5" fillId="6" borderId="0" xfId="1" applyNumberFormat="1" applyFill="1" applyAlignment="1">
      <alignment horizontal="center"/>
    </xf>
    <xf numFmtId="9" fontId="0" fillId="6" borderId="0" xfId="2" applyFont="1" applyFill="1" applyBorder="1" applyAlignment="1">
      <alignment horizontal="center"/>
    </xf>
    <xf numFmtId="10" fontId="0" fillId="6" borderId="0" xfId="2" applyNumberFormat="1" applyFont="1" applyFill="1" applyBorder="1" applyAlignment="1">
      <alignment horizontal="center"/>
    </xf>
    <xf numFmtId="0" fontId="8" fillId="6" borderId="0" xfId="1" applyFont="1" applyFill="1" applyAlignment="1">
      <alignment horizontal="center" vertical="center" wrapText="1"/>
    </xf>
    <xf numFmtId="165" fontId="5" fillId="6" borderId="0" xfId="1" applyNumberFormat="1" applyFill="1" applyAlignment="1">
      <alignment horizontal="center"/>
    </xf>
    <xf numFmtId="0" fontId="5" fillId="6" borderId="0" xfId="1" applyFill="1" applyAlignment="1">
      <alignment horizontal="left" vertical="center" wrapText="1"/>
    </xf>
    <xf numFmtId="0" fontId="4" fillId="6" borderId="0" xfId="1" applyFont="1" applyFill="1" applyAlignment="1">
      <alignment horizontal="center" vertical="center"/>
    </xf>
    <xf numFmtId="2" fontId="5" fillId="6" borderId="0" xfId="1" applyNumberFormat="1" applyFill="1" applyAlignment="1">
      <alignment horizontal="center" vertical="center"/>
    </xf>
    <xf numFmtId="9" fontId="0" fillId="6" borderId="0" xfId="2" applyFont="1" applyFill="1" applyBorder="1" applyAlignment="1" applyProtection="1">
      <alignment horizontal="center" vertical="center"/>
    </xf>
    <xf numFmtId="0" fontId="12" fillId="6" borderId="0" xfId="1" applyFont="1" applyFill="1" applyAlignment="1">
      <alignment horizontal="center" vertical="center"/>
    </xf>
    <xf numFmtId="0" fontId="12" fillId="6" borderId="0" xfId="1" applyFont="1" applyFill="1" applyAlignment="1">
      <alignment vertical="center"/>
    </xf>
    <xf numFmtId="0" fontId="8" fillId="0" borderId="18" xfId="1" applyFont="1" applyBorder="1" applyAlignment="1">
      <alignment horizontal="center" vertical="center" wrapText="1"/>
    </xf>
    <xf numFmtId="17" fontId="8" fillId="0" borderId="18" xfId="1" applyNumberFormat="1" applyFont="1" applyBorder="1" applyAlignment="1">
      <alignment horizontal="center" vertical="center" wrapText="1"/>
    </xf>
    <xf numFmtId="3" fontId="8" fillId="0" borderId="18" xfId="1" applyNumberFormat="1" applyFont="1" applyBorder="1" applyAlignment="1">
      <alignment horizontal="center" vertical="center" wrapText="1"/>
    </xf>
    <xf numFmtId="3" fontId="0" fillId="0" borderId="0" xfId="0" applyNumberFormat="1"/>
    <xf numFmtId="0" fontId="8" fillId="4" borderId="27" xfId="1" applyFont="1" applyFill="1" applyBorder="1" applyAlignment="1">
      <alignment horizontal="center" vertical="center" wrapText="1"/>
    </xf>
    <xf numFmtId="9" fontId="8" fillId="4" borderId="4" xfId="2" applyFont="1" applyFill="1" applyBorder="1" applyAlignment="1">
      <alignment horizontal="center" vertical="center" wrapText="1"/>
    </xf>
    <xf numFmtId="3" fontId="8" fillId="4" borderId="4" xfId="1" applyNumberFormat="1" applyFont="1" applyFill="1" applyBorder="1" applyAlignment="1">
      <alignment horizontal="center" vertical="center" wrapText="1"/>
    </xf>
    <xf numFmtId="3" fontId="8" fillId="0" borderId="28" xfId="1" applyNumberFormat="1" applyFont="1" applyBorder="1" applyAlignment="1">
      <alignment horizontal="center" vertical="center" wrapText="1"/>
    </xf>
    <xf numFmtId="3" fontId="8" fillId="0" borderId="29" xfId="1" applyNumberFormat="1" applyFont="1" applyBorder="1" applyAlignment="1">
      <alignment horizontal="center" vertical="center" wrapText="1"/>
    </xf>
    <xf numFmtId="3" fontId="8" fillId="4" borderId="28" xfId="1" applyNumberFormat="1" applyFont="1" applyFill="1" applyBorder="1" applyAlignment="1">
      <alignment horizontal="center" vertical="center" wrapText="1"/>
    </xf>
    <xf numFmtId="3" fontId="8" fillId="4" borderId="29" xfId="1" applyNumberFormat="1" applyFont="1" applyFill="1" applyBorder="1" applyAlignment="1">
      <alignment horizontal="center" vertical="center" wrapText="1"/>
    </xf>
    <xf numFmtId="3" fontId="8" fillId="4" borderId="22" xfId="1" applyNumberFormat="1" applyFont="1" applyFill="1" applyBorder="1" applyAlignment="1">
      <alignment horizontal="center" vertical="center" wrapText="1"/>
    </xf>
    <xf numFmtId="3" fontId="8" fillId="4" borderId="23" xfId="1" applyNumberFormat="1" applyFont="1" applyFill="1" applyBorder="1" applyAlignment="1">
      <alignment horizontal="center" vertical="center" wrapText="1"/>
    </xf>
    <xf numFmtId="3" fontId="8" fillId="4" borderId="16" xfId="1" applyNumberFormat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2" fontId="8" fillId="4" borderId="24" xfId="1" applyNumberFormat="1" applyFont="1" applyFill="1" applyBorder="1" applyAlignment="1">
      <alignment horizontal="center" vertical="center" wrapText="1"/>
    </xf>
    <xf numFmtId="2" fontId="8" fillId="4" borderId="25" xfId="1" applyNumberFormat="1" applyFont="1" applyFill="1" applyBorder="1" applyAlignment="1">
      <alignment horizontal="center" vertical="center" wrapText="1"/>
    </xf>
    <xf numFmtId="2" fontId="8" fillId="4" borderId="26" xfId="1" applyNumberFormat="1" applyFont="1" applyFill="1" applyBorder="1" applyAlignment="1">
      <alignment horizontal="center" vertical="center" wrapText="1"/>
    </xf>
    <xf numFmtId="3" fontId="8" fillId="0" borderId="30" xfId="1" applyNumberFormat="1" applyFont="1" applyBorder="1" applyAlignment="1">
      <alignment horizontal="center" vertical="center" wrapText="1"/>
    </xf>
    <xf numFmtId="0" fontId="5" fillId="6" borderId="0" xfId="1" applyFill="1" applyAlignment="1">
      <alignment horizontal="left" vertical="center" wrapText="1"/>
    </xf>
    <xf numFmtId="0" fontId="11" fillId="6" borderId="0" xfId="1" applyFont="1" applyFill="1" applyAlignment="1">
      <alignment horizontal="left" vertical="center" wrapText="1"/>
    </xf>
    <xf numFmtId="0" fontId="4" fillId="6" borderId="0" xfId="1" applyFont="1" applyFill="1" applyAlignment="1">
      <alignment horizontal="center" vertical="center"/>
    </xf>
    <xf numFmtId="0" fontId="12" fillId="6" borderId="0" xfId="1" applyFont="1" applyFill="1" applyAlignment="1">
      <alignment horizontal="center" vertical="center"/>
    </xf>
    <xf numFmtId="3" fontId="12" fillId="6" borderId="0" xfId="1" applyNumberFormat="1" applyFont="1" applyFill="1" applyAlignment="1">
      <alignment horizontal="center" vertical="center"/>
    </xf>
    <xf numFmtId="17" fontId="1" fillId="2" borderId="20" xfId="0" applyNumberFormat="1" applyFont="1" applyFill="1" applyBorder="1" applyAlignment="1">
      <alignment horizontal="center" vertical="center"/>
    </xf>
    <xf numFmtId="17" fontId="1" fillId="2" borderId="21" xfId="0" applyNumberFormat="1" applyFont="1" applyFill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7" fontId="1" fillId="2" borderId="6" xfId="0" applyNumberFormat="1" applyFont="1" applyFill="1" applyBorder="1" applyAlignment="1">
      <alignment horizontal="center" vertical="center"/>
    </xf>
    <xf numFmtId="17" fontId="1" fillId="2" borderId="10" xfId="0" applyNumberFormat="1" applyFont="1" applyFill="1" applyBorder="1" applyAlignment="1">
      <alignment horizontal="center" vertical="center"/>
    </xf>
    <xf numFmtId="17" fontId="1" fillId="2" borderId="15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" fontId="2" fillId="2" borderId="6" xfId="0" applyNumberFormat="1" applyFont="1" applyFill="1" applyBorder="1" applyAlignment="1">
      <alignment horizontal="center" vertical="center"/>
    </xf>
    <xf numFmtId="17" fontId="2" fillId="2" borderId="10" xfId="0" applyNumberFormat="1" applyFont="1" applyFill="1" applyBorder="1" applyAlignment="1">
      <alignment horizontal="center" vertical="center"/>
    </xf>
    <xf numFmtId="17" fontId="2" fillId="2" borderId="15" xfId="0" applyNumberFormat="1" applyFont="1" applyFill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3">
    <cellStyle name="Normal" xfId="0" builtinId="0"/>
    <cellStyle name="Normal 2" xfId="1" xr:uid="{5F024E17-96E7-4C7D-A126-2A32302D3027}"/>
    <cellStyle name="Porcentaje 2" xfId="2" xr:uid="{716709E9-7D45-4046-8562-47EDD107944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133350</xdr:colOff>
      <xdr:row>0</xdr:row>
      <xdr:rowOff>0</xdr:rowOff>
    </xdr:from>
    <xdr:ext cx="1021195" cy="700519"/>
    <xdr:pic>
      <xdr:nvPicPr>
        <xdr:cNvPr id="2" name="WordPictureWatermark14" descr=" ">
          <a:extLst>
            <a:ext uri="{FF2B5EF4-FFF2-40B4-BE49-F238E27FC236}">
              <a16:creationId xmlns:a16="http://schemas.microsoft.com/office/drawing/2014/main" id="{3E339CB0-A325-4D02-B386-BB735AC354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0"/>
          <a:ext cx="1021195" cy="700519"/>
        </a:xfrm>
        <a:prstGeom prst="rect">
          <a:avLst/>
        </a:prstGeom>
        <a:solidFill>
          <a:srgbClr val="000000"/>
        </a:solidFill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133350</xdr:colOff>
      <xdr:row>0</xdr:row>
      <xdr:rowOff>0</xdr:rowOff>
    </xdr:from>
    <xdr:ext cx="1021195" cy="700519"/>
    <xdr:pic>
      <xdr:nvPicPr>
        <xdr:cNvPr id="2" name="WordPictureWatermark14" descr=" ">
          <a:extLst>
            <a:ext uri="{FF2B5EF4-FFF2-40B4-BE49-F238E27FC236}">
              <a16:creationId xmlns:a16="http://schemas.microsoft.com/office/drawing/2014/main" id="{E228284A-B801-4A6E-8859-3B2D2C2FB0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1021195" cy="700519"/>
        </a:xfrm>
        <a:prstGeom prst="rect">
          <a:avLst/>
        </a:prstGeom>
        <a:solidFill>
          <a:srgbClr val="000000"/>
        </a:solidFill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789F-BF09-4D48-A3C3-6A466EAE85A5}">
  <dimension ref="A1:L152"/>
  <sheetViews>
    <sheetView tabSelected="1" topLeftCell="A91" zoomScale="70" zoomScaleNormal="70" workbookViewId="0">
      <selection activeCell="A140" sqref="A140:G140"/>
    </sheetView>
  </sheetViews>
  <sheetFormatPr baseColWidth="10" defaultRowHeight="15" x14ac:dyDescent="0.25"/>
  <cols>
    <col min="1" max="1" width="20" customWidth="1"/>
    <col min="2" max="2" width="32.28515625" customWidth="1"/>
    <col min="3" max="3" width="19.140625" customWidth="1"/>
    <col min="4" max="4" width="17.140625" customWidth="1"/>
    <col min="5" max="5" width="18.5703125" customWidth="1"/>
    <col min="7" max="7" width="70.140625" customWidth="1"/>
    <col min="10" max="10" width="14.140625" customWidth="1"/>
    <col min="12" max="12" width="18.28515625" customWidth="1"/>
  </cols>
  <sheetData>
    <row r="1" spans="1:12" ht="15.75" x14ac:dyDescent="0.25">
      <c r="A1" s="32"/>
      <c r="B1" s="33"/>
      <c r="C1" s="33"/>
      <c r="D1" s="34"/>
      <c r="E1" s="33"/>
      <c r="F1" s="33"/>
      <c r="G1" s="35"/>
    </row>
    <row r="2" spans="1:12" ht="15.75" x14ac:dyDescent="0.25">
      <c r="A2" s="32"/>
      <c r="B2" s="33"/>
      <c r="C2" s="33"/>
      <c r="D2" s="34"/>
      <c r="E2" s="33"/>
      <c r="F2" s="33"/>
      <c r="G2" s="35"/>
    </row>
    <row r="3" spans="1:12" ht="15.75" x14ac:dyDescent="0.25">
      <c r="A3" s="32"/>
      <c r="B3" s="33"/>
      <c r="C3" s="33"/>
      <c r="D3" s="34"/>
      <c r="E3" s="33"/>
      <c r="F3" s="33"/>
      <c r="G3" s="35"/>
    </row>
    <row r="4" spans="1:12" ht="15.75" x14ac:dyDescent="0.25">
      <c r="A4" s="32"/>
      <c r="B4" s="33"/>
      <c r="C4" s="33"/>
      <c r="D4" s="34"/>
      <c r="E4" s="33"/>
      <c r="F4" s="33"/>
      <c r="G4" s="35"/>
    </row>
    <row r="5" spans="1:12" x14ac:dyDescent="0.25">
      <c r="A5" s="80" t="s">
        <v>47</v>
      </c>
      <c r="B5" s="80"/>
      <c r="C5" s="80"/>
      <c r="D5" s="80"/>
      <c r="E5" s="80"/>
      <c r="F5" s="80"/>
      <c r="G5" s="80"/>
    </row>
    <row r="6" spans="1:12" x14ac:dyDescent="0.25">
      <c r="A6" s="80"/>
      <c r="B6" s="80"/>
      <c r="C6" s="80"/>
      <c r="D6" s="80"/>
      <c r="E6" s="80"/>
      <c r="F6" s="80"/>
      <c r="G6" s="80"/>
    </row>
    <row r="7" spans="1:12" ht="16.5" thickBot="1" x14ac:dyDescent="0.3">
      <c r="A7" s="36"/>
      <c r="B7" s="37"/>
      <c r="C7" s="37"/>
      <c r="D7" s="34"/>
      <c r="E7" s="33"/>
      <c r="F7" s="33"/>
      <c r="G7" s="35"/>
    </row>
    <row r="8" spans="1:12" ht="30.75" thickBot="1" x14ac:dyDescent="0.3">
      <c r="A8" s="38" t="s">
        <v>33</v>
      </c>
      <c r="B8" s="81"/>
      <c r="C8" s="82"/>
      <c r="D8" s="82"/>
      <c r="E8" s="82"/>
      <c r="F8" s="82"/>
      <c r="G8" s="83"/>
    </row>
    <row r="9" spans="1:12" ht="15.75" thickBot="1" x14ac:dyDescent="0.3">
      <c r="A9" s="39"/>
      <c r="B9" s="40"/>
      <c r="C9" s="40"/>
      <c r="D9" s="41"/>
      <c r="E9" s="42"/>
      <c r="F9" s="42"/>
      <c r="G9" s="43"/>
    </row>
    <row r="10" spans="1:12" ht="86.25" customHeight="1" thickBot="1" x14ac:dyDescent="0.3">
      <c r="A10" s="44" t="s">
        <v>34</v>
      </c>
      <c r="B10" s="45" t="s">
        <v>35</v>
      </c>
      <c r="C10" s="44" t="s">
        <v>36</v>
      </c>
      <c r="D10" s="46" t="s">
        <v>37</v>
      </c>
      <c r="E10" s="44" t="s">
        <v>38</v>
      </c>
      <c r="F10" s="44" t="s">
        <v>39</v>
      </c>
      <c r="G10" s="44" t="s">
        <v>40</v>
      </c>
    </row>
    <row r="11" spans="1:12" ht="15.75" thickBot="1" x14ac:dyDescent="0.3">
      <c r="A11" s="47">
        <v>46235</v>
      </c>
      <c r="B11" s="48">
        <v>8928000</v>
      </c>
      <c r="C11" s="74">
        <v>25500000</v>
      </c>
      <c r="D11" s="49">
        <v>0</v>
      </c>
      <c r="E11" s="70"/>
      <c r="F11" s="76"/>
      <c r="G11" s="50"/>
      <c r="J11" s="69"/>
      <c r="K11" s="69"/>
      <c r="L11" s="69"/>
    </row>
    <row r="12" spans="1:12" ht="15.75" thickBot="1" x14ac:dyDescent="0.3">
      <c r="A12" s="47">
        <v>46266</v>
      </c>
      <c r="B12" s="48">
        <v>2520000</v>
      </c>
      <c r="C12" s="74"/>
      <c r="D12" s="49">
        <v>0</v>
      </c>
      <c r="E12" s="70"/>
      <c r="F12" s="76"/>
      <c r="G12" s="50"/>
      <c r="J12" s="69"/>
      <c r="L12" s="69"/>
    </row>
    <row r="13" spans="1:12" ht="15.75" thickBot="1" x14ac:dyDescent="0.3">
      <c r="A13" s="47">
        <v>46296</v>
      </c>
      <c r="B13" s="48">
        <v>2604000</v>
      </c>
      <c r="C13" s="74"/>
      <c r="D13" s="49">
        <v>0</v>
      </c>
      <c r="E13" s="70"/>
      <c r="F13" s="76"/>
      <c r="G13" s="50"/>
      <c r="J13" s="69"/>
      <c r="L13" s="69"/>
    </row>
    <row r="14" spans="1:12" ht="15.75" thickBot="1" x14ac:dyDescent="0.3">
      <c r="A14" s="47">
        <v>46327</v>
      </c>
      <c r="B14" s="48">
        <v>2520000</v>
      </c>
      <c r="C14" s="74"/>
      <c r="D14" s="51">
        <v>0</v>
      </c>
      <c r="E14" s="70"/>
      <c r="F14" s="76"/>
      <c r="G14" s="50"/>
      <c r="J14" s="69"/>
      <c r="L14" s="69"/>
    </row>
    <row r="15" spans="1:12" ht="15.75" thickBot="1" x14ac:dyDescent="0.3">
      <c r="A15" s="47">
        <v>46357</v>
      </c>
      <c r="B15" s="48">
        <v>8928000</v>
      </c>
      <c r="C15" s="74"/>
      <c r="D15" s="52">
        <v>0</v>
      </c>
      <c r="E15" s="70"/>
      <c r="F15" s="76"/>
      <c r="G15" s="50"/>
      <c r="J15" s="69"/>
      <c r="L15" s="69"/>
    </row>
    <row r="16" spans="1:12" ht="15.75" thickBot="1" x14ac:dyDescent="0.3">
      <c r="A16" s="47">
        <v>46388</v>
      </c>
      <c r="B16" s="48">
        <f>'Cantidades -Producto 1'!AG22</f>
        <v>8928000</v>
      </c>
      <c r="C16" s="73">
        <f>SUM(B16:B27)</f>
        <v>86556000</v>
      </c>
      <c r="D16" s="52">
        <v>0</v>
      </c>
      <c r="E16" s="70"/>
      <c r="F16" s="75"/>
      <c r="G16" s="50"/>
      <c r="J16" s="69"/>
      <c r="L16" s="69"/>
    </row>
    <row r="17" spans="1:12" ht="15.75" thickBot="1" x14ac:dyDescent="0.3">
      <c r="A17" s="47">
        <v>46419</v>
      </c>
      <c r="B17" s="48">
        <f>'Cantidades -Producto 1'!AG23</f>
        <v>8064000</v>
      </c>
      <c r="C17" s="74"/>
      <c r="D17" s="52">
        <v>0</v>
      </c>
      <c r="E17" s="70"/>
      <c r="F17" s="76"/>
      <c r="G17" s="50"/>
      <c r="J17" s="69"/>
      <c r="L17" s="69"/>
    </row>
    <row r="18" spans="1:12" ht="15.75" thickBot="1" x14ac:dyDescent="0.3">
      <c r="A18" s="47">
        <v>46447</v>
      </c>
      <c r="B18" s="48">
        <f>'Cantidades -Producto 1'!AG24</f>
        <v>8928000</v>
      </c>
      <c r="C18" s="74"/>
      <c r="D18" s="52">
        <v>0</v>
      </c>
      <c r="E18" s="70"/>
      <c r="F18" s="76"/>
      <c r="G18" s="50"/>
      <c r="J18" s="69"/>
      <c r="L18" s="69"/>
    </row>
    <row r="19" spans="1:12" ht="15.75" thickBot="1" x14ac:dyDescent="0.3">
      <c r="A19" s="47">
        <v>46478</v>
      </c>
      <c r="B19" s="48">
        <f>'Cantidades -Producto 1'!AG25</f>
        <v>8640000</v>
      </c>
      <c r="C19" s="74"/>
      <c r="D19" s="52">
        <v>0</v>
      </c>
      <c r="E19" s="70"/>
      <c r="F19" s="76"/>
      <c r="G19" s="50"/>
      <c r="J19" s="69"/>
      <c r="L19" s="69"/>
    </row>
    <row r="20" spans="1:12" ht="15.75" thickBot="1" x14ac:dyDescent="0.3">
      <c r="A20" s="47">
        <v>46508</v>
      </c>
      <c r="B20" s="48">
        <f>'Cantidades -Producto 1'!AG26</f>
        <v>8928000</v>
      </c>
      <c r="C20" s="74"/>
      <c r="D20" s="52">
        <v>0</v>
      </c>
      <c r="E20" s="70"/>
      <c r="F20" s="76"/>
      <c r="G20" s="50"/>
      <c r="J20" s="69"/>
      <c r="L20" s="69"/>
    </row>
    <row r="21" spans="1:12" ht="15.75" thickBot="1" x14ac:dyDescent="0.3">
      <c r="A21" s="47">
        <v>46539</v>
      </c>
      <c r="B21" s="48">
        <f>'Cantidades -Producto 1'!AG27</f>
        <v>8640000</v>
      </c>
      <c r="C21" s="74"/>
      <c r="D21" s="52">
        <v>0</v>
      </c>
      <c r="E21" s="70"/>
      <c r="F21" s="76"/>
      <c r="G21" s="50"/>
      <c r="J21" s="69"/>
      <c r="L21" s="69"/>
    </row>
    <row r="22" spans="1:12" ht="15.75" thickBot="1" x14ac:dyDescent="0.3">
      <c r="A22" s="47">
        <v>46569</v>
      </c>
      <c r="B22" s="48">
        <f>'Cantidades -Producto 1'!AG28</f>
        <v>8928000</v>
      </c>
      <c r="C22" s="74"/>
      <c r="D22" s="52">
        <v>0</v>
      </c>
      <c r="E22" s="70"/>
      <c r="F22" s="76"/>
      <c r="G22" s="50"/>
    </row>
    <row r="23" spans="1:12" ht="15.75" thickBot="1" x14ac:dyDescent="0.3">
      <c r="A23" s="47">
        <v>46600</v>
      </c>
      <c r="B23" s="48">
        <f>'Cantidades -Producto 1'!AG29</f>
        <v>8928000</v>
      </c>
      <c r="C23" s="74"/>
      <c r="D23" s="52">
        <v>0</v>
      </c>
      <c r="E23" s="70"/>
      <c r="F23" s="76"/>
      <c r="G23" s="50"/>
    </row>
    <row r="24" spans="1:12" ht="15.75" thickBot="1" x14ac:dyDescent="0.3">
      <c r="A24" s="47">
        <v>46631</v>
      </c>
      <c r="B24" s="48">
        <f>'Cantidades -Producto 1'!AG30</f>
        <v>2520000</v>
      </c>
      <c r="C24" s="74"/>
      <c r="D24" s="52">
        <v>0</v>
      </c>
      <c r="E24" s="70"/>
      <c r="F24" s="76"/>
      <c r="G24" s="50"/>
    </row>
    <row r="25" spans="1:12" ht="15.75" thickBot="1" x14ac:dyDescent="0.3">
      <c r="A25" s="47">
        <v>46661</v>
      </c>
      <c r="B25" s="48">
        <f>'Cantidades -Producto 1'!AG31</f>
        <v>2604000</v>
      </c>
      <c r="C25" s="74"/>
      <c r="D25" s="52">
        <v>0</v>
      </c>
      <c r="E25" s="70"/>
      <c r="F25" s="76"/>
      <c r="G25" s="50"/>
    </row>
    <row r="26" spans="1:12" ht="15.75" thickBot="1" x14ac:dyDescent="0.3">
      <c r="A26" s="47">
        <v>46692</v>
      </c>
      <c r="B26" s="48">
        <f>'Cantidades -Producto 1'!AG32</f>
        <v>2520000</v>
      </c>
      <c r="C26" s="74"/>
      <c r="D26" s="52">
        <v>0</v>
      </c>
      <c r="E26" s="70"/>
      <c r="F26" s="76"/>
      <c r="G26" s="50"/>
    </row>
    <row r="27" spans="1:12" ht="15.75" thickBot="1" x14ac:dyDescent="0.3">
      <c r="A27" s="47">
        <v>46722</v>
      </c>
      <c r="B27" s="48">
        <f>'Cantidades -Producto 1'!AG33</f>
        <v>8928000</v>
      </c>
      <c r="C27" s="74"/>
      <c r="D27" s="52">
        <v>0</v>
      </c>
      <c r="E27" s="70"/>
      <c r="F27" s="76"/>
      <c r="G27" s="50"/>
    </row>
    <row r="28" spans="1:12" ht="15.75" thickBot="1" x14ac:dyDescent="0.3">
      <c r="A28" s="47">
        <v>46753</v>
      </c>
      <c r="B28" s="48">
        <f>'Cantidades -Producto 1'!AG61</f>
        <v>8928000</v>
      </c>
      <c r="C28" s="73">
        <f>SUM(B28:B39)</f>
        <v>79440000</v>
      </c>
      <c r="D28" s="52">
        <v>0</v>
      </c>
      <c r="E28" s="70"/>
      <c r="F28" s="77"/>
      <c r="G28" s="50"/>
    </row>
    <row r="29" spans="1:12" ht="15.75" thickBot="1" x14ac:dyDescent="0.3">
      <c r="A29" s="47">
        <v>46784</v>
      </c>
      <c r="B29" s="48">
        <f>'Cantidades -Producto 1'!AG62</f>
        <v>8064000</v>
      </c>
      <c r="C29" s="74"/>
      <c r="D29" s="52">
        <v>0</v>
      </c>
      <c r="E29" s="70"/>
      <c r="F29" s="78"/>
      <c r="G29" s="50"/>
    </row>
    <row r="30" spans="1:12" ht="15.75" thickBot="1" x14ac:dyDescent="0.3">
      <c r="A30" s="47">
        <v>46813</v>
      </c>
      <c r="B30" s="48">
        <f>'Cantidades -Producto 1'!AG63</f>
        <v>8928000</v>
      </c>
      <c r="C30" s="74"/>
      <c r="D30" s="52">
        <v>0</v>
      </c>
      <c r="E30" s="70"/>
      <c r="F30" s="78"/>
      <c r="G30" s="50"/>
    </row>
    <row r="31" spans="1:12" ht="15.75" thickBot="1" x14ac:dyDescent="0.3">
      <c r="A31" s="47">
        <v>46844</v>
      </c>
      <c r="B31" s="48">
        <f>'Cantidades -Producto 1'!AG64</f>
        <v>8640000</v>
      </c>
      <c r="C31" s="74"/>
      <c r="D31" s="52">
        <v>0</v>
      </c>
      <c r="E31" s="70"/>
      <c r="F31" s="78"/>
      <c r="G31" s="50"/>
    </row>
    <row r="32" spans="1:12" ht="15.75" thickBot="1" x14ac:dyDescent="0.3">
      <c r="A32" s="47">
        <v>46874</v>
      </c>
      <c r="B32" s="48">
        <f>'Cantidades -Producto 1'!AG65</f>
        <v>5208000</v>
      </c>
      <c r="C32" s="74"/>
      <c r="D32" s="52">
        <v>0</v>
      </c>
      <c r="E32" s="70"/>
      <c r="F32" s="78"/>
      <c r="G32" s="50"/>
    </row>
    <row r="33" spans="1:7" ht="15.75" thickBot="1" x14ac:dyDescent="0.3">
      <c r="A33" s="47">
        <v>46905</v>
      </c>
      <c r="B33" s="48">
        <f>'Cantidades -Producto 1'!AG66</f>
        <v>5040000</v>
      </c>
      <c r="C33" s="74"/>
      <c r="D33" s="52">
        <v>0</v>
      </c>
      <c r="E33" s="70"/>
      <c r="F33" s="78"/>
      <c r="G33" s="50"/>
    </row>
    <row r="34" spans="1:7" ht="15.75" thickBot="1" x14ac:dyDescent="0.3">
      <c r="A34" s="47">
        <v>46935</v>
      </c>
      <c r="B34" s="48">
        <f>'Cantidades -Producto 1'!AG67</f>
        <v>5208000</v>
      </c>
      <c r="C34" s="74"/>
      <c r="D34" s="52">
        <v>0</v>
      </c>
      <c r="E34" s="70"/>
      <c r="F34" s="78"/>
      <c r="G34" s="50"/>
    </row>
    <row r="35" spans="1:7" ht="15.75" thickBot="1" x14ac:dyDescent="0.3">
      <c r="A35" s="47">
        <v>46966</v>
      </c>
      <c r="B35" s="48">
        <f>'Cantidades -Producto 1'!AG68</f>
        <v>5208000</v>
      </c>
      <c r="C35" s="74"/>
      <c r="D35" s="52">
        <v>0</v>
      </c>
      <c r="E35" s="70"/>
      <c r="F35" s="78"/>
      <c r="G35" s="50"/>
    </row>
    <row r="36" spans="1:7" ht="15.75" thickBot="1" x14ac:dyDescent="0.3">
      <c r="A36" s="47">
        <v>46997</v>
      </c>
      <c r="B36" s="48">
        <f>'Cantidades -Producto 1'!AG69</f>
        <v>5040000</v>
      </c>
      <c r="C36" s="74"/>
      <c r="D36" s="52">
        <v>0</v>
      </c>
      <c r="E36" s="70"/>
      <c r="F36" s="78"/>
      <c r="G36" s="50"/>
    </row>
    <row r="37" spans="1:7" ht="15.75" thickBot="1" x14ac:dyDescent="0.3">
      <c r="A37" s="47">
        <v>47027</v>
      </c>
      <c r="B37" s="48">
        <f>'Cantidades -Producto 1'!AG70</f>
        <v>5208000</v>
      </c>
      <c r="C37" s="74"/>
      <c r="D37" s="52">
        <v>0</v>
      </c>
      <c r="E37" s="70"/>
      <c r="F37" s="78"/>
      <c r="G37" s="50"/>
    </row>
    <row r="38" spans="1:7" ht="15.75" thickBot="1" x14ac:dyDescent="0.3">
      <c r="A38" s="47">
        <v>47058</v>
      </c>
      <c r="B38" s="48">
        <f>'Cantidades -Producto 1'!AG71</f>
        <v>5040000</v>
      </c>
      <c r="C38" s="74"/>
      <c r="D38" s="52">
        <v>0</v>
      </c>
      <c r="E38" s="70"/>
      <c r="F38" s="78"/>
      <c r="G38" s="50"/>
    </row>
    <row r="39" spans="1:7" ht="15.75" thickBot="1" x14ac:dyDescent="0.3">
      <c r="A39" s="47">
        <v>47088</v>
      </c>
      <c r="B39" s="48">
        <f>'Cantidades -Producto 1'!AG72</f>
        <v>8928000</v>
      </c>
      <c r="C39" s="74"/>
      <c r="D39" s="52">
        <v>0</v>
      </c>
      <c r="E39" s="70"/>
      <c r="F39" s="79"/>
      <c r="G39" s="50"/>
    </row>
    <row r="40" spans="1:7" ht="15.75" thickBot="1" x14ac:dyDescent="0.3">
      <c r="A40" s="47">
        <v>47119</v>
      </c>
      <c r="B40" s="48">
        <f>'Cantidades -Producto 1'!AG100</f>
        <v>11160000</v>
      </c>
      <c r="C40" s="73">
        <f t="shared" ref="C40" si="0">SUM(B40:B51)</f>
        <v>131400000</v>
      </c>
      <c r="D40" s="52">
        <v>0</v>
      </c>
      <c r="E40" s="70"/>
      <c r="F40" s="77"/>
      <c r="G40" s="50"/>
    </row>
    <row r="41" spans="1:7" ht="15.75" thickBot="1" x14ac:dyDescent="0.3">
      <c r="A41" s="47">
        <v>47150</v>
      </c>
      <c r="B41" s="48">
        <f>'Cantidades -Producto 1'!AG101</f>
        <v>10080000</v>
      </c>
      <c r="C41" s="74"/>
      <c r="D41" s="52">
        <v>0</v>
      </c>
      <c r="E41" s="70"/>
      <c r="F41" s="78"/>
      <c r="G41" s="50"/>
    </row>
    <row r="42" spans="1:7" ht="15.75" thickBot="1" x14ac:dyDescent="0.3">
      <c r="A42" s="47">
        <v>47178</v>
      </c>
      <c r="B42" s="48">
        <f>'Cantidades -Producto 1'!AG102</f>
        <v>11160000</v>
      </c>
      <c r="C42" s="74"/>
      <c r="D42" s="52">
        <v>0</v>
      </c>
      <c r="E42" s="70"/>
      <c r="F42" s="78"/>
      <c r="G42" s="50"/>
    </row>
    <row r="43" spans="1:7" ht="15.75" thickBot="1" x14ac:dyDescent="0.3">
      <c r="A43" s="47">
        <v>47209</v>
      </c>
      <c r="B43" s="48">
        <f>'Cantidades -Producto 1'!AG103</f>
        <v>10800000</v>
      </c>
      <c r="C43" s="74"/>
      <c r="D43" s="52">
        <v>0</v>
      </c>
      <c r="E43" s="70"/>
      <c r="F43" s="78"/>
      <c r="G43" s="50"/>
    </row>
    <row r="44" spans="1:7" ht="15.75" thickBot="1" x14ac:dyDescent="0.3">
      <c r="A44" s="47">
        <v>47239</v>
      </c>
      <c r="B44" s="48">
        <f>'Cantidades -Producto 1'!AG104</f>
        <v>11160000</v>
      </c>
      <c r="C44" s="74"/>
      <c r="D44" s="52">
        <v>0</v>
      </c>
      <c r="E44" s="70"/>
      <c r="F44" s="78"/>
      <c r="G44" s="50"/>
    </row>
    <row r="45" spans="1:7" ht="15.75" thickBot="1" x14ac:dyDescent="0.3">
      <c r="A45" s="47">
        <v>47270</v>
      </c>
      <c r="B45" s="48">
        <f>'Cantidades -Producto 1'!AG105</f>
        <v>10800000</v>
      </c>
      <c r="C45" s="74"/>
      <c r="D45" s="52">
        <v>0</v>
      </c>
      <c r="E45" s="70"/>
      <c r="F45" s="78"/>
      <c r="G45" s="50"/>
    </row>
    <row r="46" spans="1:7" ht="15.75" thickBot="1" x14ac:dyDescent="0.3">
      <c r="A46" s="47">
        <v>47300</v>
      </c>
      <c r="B46" s="48">
        <f>'Cantidades -Producto 1'!AG106</f>
        <v>11160000</v>
      </c>
      <c r="C46" s="74"/>
      <c r="D46" s="52">
        <v>0</v>
      </c>
      <c r="E46" s="70"/>
      <c r="F46" s="78"/>
      <c r="G46" s="50"/>
    </row>
    <row r="47" spans="1:7" ht="15.75" thickBot="1" x14ac:dyDescent="0.3">
      <c r="A47" s="47">
        <v>47331</v>
      </c>
      <c r="B47" s="48">
        <f>'Cantidades -Producto 1'!AG107</f>
        <v>11160000</v>
      </c>
      <c r="C47" s="74"/>
      <c r="D47" s="52">
        <v>0</v>
      </c>
      <c r="E47" s="70"/>
      <c r="F47" s="78"/>
      <c r="G47" s="50"/>
    </row>
    <row r="48" spans="1:7" ht="15.75" thickBot="1" x14ac:dyDescent="0.3">
      <c r="A48" s="47">
        <v>47362</v>
      </c>
      <c r="B48" s="48">
        <f>'Cantidades -Producto 1'!AG108</f>
        <v>10800000</v>
      </c>
      <c r="C48" s="74"/>
      <c r="D48" s="52">
        <v>0</v>
      </c>
      <c r="E48" s="70"/>
      <c r="F48" s="78"/>
      <c r="G48" s="50"/>
    </row>
    <row r="49" spans="1:7" ht="15.75" thickBot="1" x14ac:dyDescent="0.3">
      <c r="A49" s="47">
        <v>47392</v>
      </c>
      <c r="B49" s="48">
        <f>'Cantidades -Producto 1'!AG109</f>
        <v>11160000</v>
      </c>
      <c r="C49" s="74"/>
      <c r="D49" s="52">
        <v>0</v>
      </c>
      <c r="E49" s="70"/>
      <c r="F49" s="78"/>
      <c r="G49" s="50"/>
    </row>
    <row r="50" spans="1:7" ht="15.75" thickBot="1" x14ac:dyDescent="0.3">
      <c r="A50" s="47">
        <v>47423</v>
      </c>
      <c r="B50" s="48">
        <f>'Cantidades -Producto 1'!AG110</f>
        <v>10800000</v>
      </c>
      <c r="C50" s="74"/>
      <c r="D50" s="52">
        <v>0</v>
      </c>
      <c r="E50" s="70"/>
      <c r="F50" s="78"/>
      <c r="G50" s="50"/>
    </row>
    <row r="51" spans="1:7" ht="15.75" thickBot="1" x14ac:dyDescent="0.3">
      <c r="A51" s="47">
        <v>47453</v>
      </c>
      <c r="B51" s="48">
        <f>'Cantidades -Producto 1'!AG111</f>
        <v>11160000</v>
      </c>
      <c r="C51" s="74"/>
      <c r="D51" s="52">
        <v>0</v>
      </c>
      <c r="E51" s="70"/>
      <c r="F51" s="79"/>
      <c r="G51" s="50"/>
    </row>
    <row r="52" spans="1:7" ht="15.75" thickBot="1" x14ac:dyDescent="0.3">
      <c r="A52" s="47">
        <v>47484</v>
      </c>
      <c r="B52" s="48">
        <f>'Cantidades -Producto 1'!AG139</f>
        <v>11160000</v>
      </c>
      <c r="C52" s="73">
        <f t="shared" ref="C52" si="1">SUM(B52:B63)</f>
        <v>131400000</v>
      </c>
      <c r="D52" s="52">
        <v>0</v>
      </c>
      <c r="E52" s="70"/>
      <c r="F52" s="77"/>
      <c r="G52" s="50"/>
    </row>
    <row r="53" spans="1:7" ht="15.75" thickBot="1" x14ac:dyDescent="0.3">
      <c r="A53" s="47">
        <v>47515</v>
      </c>
      <c r="B53" s="48">
        <f>'Cantidades -Producto 1'!AG140</f>
        <v>10080000</v>
      </c>
      <c r="C53" s="74"/>
      <c r="D53" s="52">
        <v>0</v>
      </c>
      <c r="E53" s="70"/>
      <c r="F53" s="78"/>
      <c r="G53" s="50"/>
    </row>
    <row r="54" spans="1:7" ht="15.75" thickBot="1" x14ac:dyDescent="0.3">
      <c r="A54" s="47">
        <v>47543</v>
      </c>
      <c r="B54" s="48">
        <f>'Cantidades -Producto 1'!AG141</f>
        <v>11160000</v>
      </c>
      <c r="C54" s="74"/>
      <c r="D54" s="52">
        <v>0</v>
      </c>
      <c r="E54" s="70"/>
      <c r="F54" s="78"/>
      <c r="G54" s="50"/>
    </row>
    <row r="55" spans="1:7" ht="15.75" thickBot="1" x14ac:dyDescent="0.3">
      <c r="A55" s="47">
        <v>47574</v>
      </c>
      <c r="B55" s="48">
        <f>'Cantidades -Producto 1'!AG142</f>
        <v>10800000</v>
      </c>
      <c r="C55" s="74"/>
      <c r="D55" s="52">
        <v>0</v>
      </c>
      <c r="E55" s="70"/>
      <c r="F55" s="78"/>
      <c r="G55" s="50"/>
    </row>
    <row r="56" spans="1:7" ht="15.75" thickBot="1" x14ac:dyDescent="0.3">
      <c r="A56" s="47">
        <v>47604</v>
      </c>
      <c r="B56" s="48">
        <f>'Cantidades -Producto 1'!AG143</f>
        <v>11160000</v>
      </c>
      <c r="C56" s="74"/>
      <c r="D56" s="52">
        <v>0</v>
      </c>
      <c r="E56" s="70"/>
      <c r="F56" s="78"/>
      <c r="G56" s="50"/>
    </row>
    <row r="57" spans="1:7" ht="15.75" thickBot="1" x14ac:dyDescent="0.3">
      <c r="A57" s="47">
        <v>47635</v>
      </c>
      <c r="B57" s="48">
        <f>'Cantidades -Producto 1'!AG144</f>
        <v>10800000</v>
      </c>
      <c r="C57" s="74"/>
      <c r="D57" s="52">
        <v>0</v>
      </c>
      <c r="E57" s="70"/>
      <c r="F57" s="78"/>
      <c r="G57" s="50"/>
    </row>
    <row r="58" spans="1:7" ht="15.75" thickBot="1" x14ac:dyDescent="0.3">
      <c r="A58" s="47">
        <v>47665</v>
      </c>
      <c r="B58" s="48">
        <f>'Cantidades -Producto 1'!AG145</f>
        <v>11160000</v>
      </c>
      <c r="C58" s="74"/>
      <c r="D58" s="52">
        <v>0</v>
      </c>
      <c r="E58" s="70"/>
      <c r="F58" s="78"/>
      <c r="G58" s="50"/>
    </row>
    <row r="59" spans="1:7" ht="15.75" thickBot="1" x14ac:dyDescent="0.3">
      <c r="A59" s="47">
        <v>47696</v>
      </c>
      <c r="B59" s="48">
        <f>'Cantidades -Producto 1'!AG146</f>
        <v>11160000</v>
      </c>
      <c r="C59" s="74"/>
      <c r="D59" s="52">
        <v>0</v>
      </c>
      <c r="E59" s="70"/>
      <c r="F59" s="78"/>
      <c r="G59" s="50"/>
    </row>
    <row r="60" spans="1:7" ht="15.75" thickBot="1" x14ac:dyDescent="0.3">
      <c r="A60" s="47">
        <v>47727</v>
      </c>
      <c r="B60" s="48">
        <f>'Cantidades -Producto 1'!AG147</f>
        <v>10800000</v>
      </c>
      <c r="C60" s="74"/>
      <c r="D60" s="52">
        <v>0</v>
      </c>
      <c r="E60" s="70"/>
      <c r="F60" s="78"/>
      <c r="G60" s="50"/>
    </row>
    <row r="61" spans="1:7" ht="15.75" thickBot="1" x14ac:dyDescent="0.3">
      <c r="A61" s="47">
        <v>47757</v>
      </c>
      <c r="B61" s="48">
        <f>'Cantidades -Producto 1'!AG148</f>
        <v>11160000</v>
      </c>
      <c r="C61" s="74"/>
      <c r="D61" s="52">
        <v>0</v>
      </c>
      <c r="E61" s="70"/>
      <c r="F61" s="78"/>
      <c r="G61" s="50"/>
    </row>
    <row r="62" spans="1:7" ht="15.75" thickBot="1" x14ac:dyDescent="0.3">
      <c r="A62" s="47">
        <v>47788</v>
      </c>
      <c r="B62" s="48">
        <f>'Cantidades -Producto 1'!AG149</f>
        <v>10800000</v>
      </c>
      <c r="C62" s="74"/>
      <c r="D62" s="52">
        <v>0</v>
      </c>
      <c r="E62" s="70"/>
      <c r="F62" s="78"/>
      <c r="G62" s="50"/>
    </row>
    <row r="63" spans="1:7" ht="15.75" thickBot="1" x14ac:dyDescent="0.3">
      <c r="A63" s="47">
        <v>47818</v>
      </c>
      <c r="B63" s="48">
        <f>'Cantidades -Producto 1'!AG150</f>
        <v>11160000</v>
      </c>
      <c r="C63" s="74"/>
      <c r="D63" s="52">
        <v>0</v>
      </c>
      <c r="E63" s="70"/>
      <c r="F63" s="79"/>
      <c r="G63" s="50"/>
    </row>
    <row r="64" spans="1:7" ht="15.75" thickBot="1" x14ac:dyDescent="0.3">
      <c r="A64" s="47">
        <v>47849</v>
      </c>
      <c r="B64" s="48">
        <f>'Cantidades -Producto 1'!AG178</f>
        <v>11160000</v>
      </c>
      <c r="C64" s="73">
        <f t="shared" ref="C64" si="2">SUM(B64:B75)</f>
        <v>131400000</v>
      </c>
      <c r="D64" s="52">
        <v>0</v>
      </c>
      <c r="E64" s="70"/>
      <c r="F64" s="77"/>
      <c r="G64" s="50"/>
    </row>
    <row r="65" spans="1:7" ht="15.75" thickBot="1" x14ac:dyDescent="0.3">
      <c r="A65" s="47">
        <v>47880</v>
      </c>
      <c r="B65" s="48">
        <f>'Cantidades -Producto 1'!AG179</f>
        <v>10080000</v>
      </c>
      <c r="C65" s="74"/>
      <c r="D65" s="52">
        <v>0</v>
      </c>
      <c r="E65" s="70"/>
      <c r="F65" s="78"/>
      <c r="G65" s="50"/>
    </row>
    <row r="66" spans="1:7" ht="15.75" thickBot="1" x14ac:dyDescent="0.3">
      <c r="A66" s="47">
        <v>47908</v>
      </c>
      <c r="B66" s="48">
        <f>'Cantidades -Producto 1'!AG180</f>
        <v>11160000</v>
      </c>
      <c r="C66" s="74"/>
      <c r="D66" s="52">
        <v>0</v>
      </c>
      <c r="E66" s="70"/>
      <c r="F66" s="78"/>
      <c r="G66" s="50"/>
    </row>
    <row r="67" spans="1:7" ht="15.75" thickBot="1" x14ac:dyDescent="0.3">
      <c r="A67" s="47">
        <v>47939</v>
      </c>
      <c r="B67" s="48">
        <f>'Cantidades -Producto 1'!AG181</f>
        <v>10800000</v>
      </c>
      <c r="C67" s="74"/>
      <c r="D67" s="52">
        <v>0</v>
      </c>
      <c r="E67" s="70"/>
      <c r="F67" s="78"/>
      <c r="G67" s="50"/>
    </row>
    <row r="68" spans="1:7" ht="15.75" thickBot="1" x14ac:dyDescent="0.3">
      <c r="A68" s="47">
        <v>47969</v>
      </c>
      <c r="B68" s="48">
        <f>'Cantidades -Producto 1'!AG182</f>
        <v>11160000</v>
      </c>
      <c r="C68" s="74"/>
      <c r="D68" s="52">
        <v>0</v>
      </c>
      <c r="E68" s="70"/>
      <c r="F68" s="78"/>
      <c r="G68" s="50"/>
    </row>
    <row r="69" spans="1:7" ht="15.75" thickBot="1" x14ac:dyDescent="0.3">
      <c r="A69" s="47">
        <v>48000</v>
      </c>
      <c r="B69" s="48">
        <f>'Cantidades -Producto 1'!AG183</f>
        <v>10800000</v>
      </c>
      <c r="C69" s="74"/>
      <c r="D69" s="52">
        <v>0</v>
      </c>
      <c r="E69" s="70"/>
      <c r="F69" s="78"/>
      <c r="G69" s="50"/>
    </row>
    <row r="70" spans="1:7" ht="15.75" thickBot="1" x14ac:dyDescent="0.3">
      <c r="A70" s="47">
        <v>48030</v>
      </c>
      <c r="B70" s="48">
        <f>'Cantidades -Producto 1'!AG184</f>
        <v>11160000</v>
      </c>
      <c r="C70" s="74"/>
      <c r="D70" s="52">
        <v>0</v>
      </c>
      <c r="E70" s="70"/>
      <c r="F70" s="78"/>
      <c r="G70" s="50"/>
    </row>
    <row r="71" spans="1:7" ht="15.75" thickBot="1" x14ac:dyDescent="0.3">
      <c r="A71" s="47">
        <v>48061</v>
      </c>
      <c r="B71" s="48">
        <f>'Cantidades -Producto 1'!AG185</f>
        <v>11160000</v>
      </c>
      <c r="C71" s="74"/>
      <c r="D71" s="52">
        <v>0</v>
      </c>
      <c r="E71" s="70"/>
      <c r="F71" s="78"/>
      <c r="G71" s="50"/>
    </row>
    <row r="72" spans="1:7" ht="15.75" thickBot="1" x14ac:dyDescent="0.3">
      <c r="A72" s="47">
        <v>48092</v>
      </c>
      <c r="B72" s="48">
        <f>'Cantidades -Producto 1'!AG186</f>
        <v>10800000</v>
      </c>
      <c r="C72" s="74"/>
      <c r="D72" s="52">
        <v>0</v>
      </c>
      <c r="E72" s="70"/>
      <c r="F72" s="78"/>
      <c r="G72" s="50"/>
    </row>
    <row r="73" spans="1:7" ht="15.75" thickBot="1" x14ac:dyDescent="0.3">
      <c r="A73" s="47">
        <v>48122</v>
      </c>
      <c r="B73" s="48">
        <f>'Cantidades -Producto 1'!AG187</f>
        <v>11160000</v>
      </c>
      <c r="C73" s="74"/>
      <c r="D73" s="52">
        <v>0</v>
      </c>
      <c r="E73" s="70"/>
      <c r="F73" s="78"/>
      <c r="G73" s="50"/>
    </row>
    <row r="74" spans="1:7" ht="15.75" thickBot="1" x14ac:dyDescent="0.3">
      <c r="A74" s="47">
        <v>48153</v>
      </c>
      <c r="B74" s="48">
        <f>'Cantidades -Producto 1'!AG188</f>
        <v>10800000</v>
      </c>
      <c r="C74" s="74"/>
      <c r="D74" s="52">
        <v>0</v>
      </c>
      <c r="E74" s="70"/>
      <c r="F74" s="78"/>
      <c r="G74" s="50"/>
    </row>
    <row r="75" spans="1:7" ht="15.75" thickBot="1" x14ac:dyDescent="0.3">
      <c r="A75" s="47">
        <v>48183</v>
      </c>
      <c r="B75" s="48">
        <f>'Cantidades -Producto 1'!AG189</f>
        <v>11160000</v>
      </c>
      <c r="C75" s="74"/>
      <c r="D75" s="52">
        <v>0</v>
      </c>
      <c r="E75" s="70"/>
      <c r="F75" s="79"/>
      <c r="G75" s="50"/>
    </row>
    <row r="76" spans="1:7" ht="15.75" thickBot="1" x14ac:dyDescent="0.3">
      <c r="A76" s="47">
        <v>48214</v>
      </c>
      <c r="B76" s="48">
        <f>'Cantidades -Producto 1'!AG217</f>
        <v>8928000</v>
      </c>
      <c r="C76" s="73">
        <f t="shared" ref="C76" si="3">SUM(B76:B87)</f>
        <v>105120000</v>
      </c>
      <c r="D76" s="52">
        <v>0</v>
      </c>
      <c r="E76" s="70"/>
      <c r="F76" s="77"/>
      <c r="G76" s="50"/>
    </row>
    <row r="77" spans="1:7" ht="15.75" thickBot="1" x14ac:dyDescent="0.3">
      <c r="A77" s="47">
        <v>48245</v>
      </c>
      <c r="B77" s="48">
        <f>'Cantidades -Producto 1'!AG218</f>
        <v>8064000</v>
      </c>
      <c r="C77" s="74"/>
      <c r="D77" s="52">
        <v>0</v>
      </c>
      <c r="E77" s="70"/>
      <c r="F77" s="78"/>
      <c r="G77" s="50"/>
    </row>
    <row r="78" spans="1:7" ht="15.75" thickBot="1" x14ac:dyDescent="0.3">
      <c r="A78" s="47">
        <v>48274</v>
      </c>
      <c r="B78" s="48">
        <f>'Cantidades -Producto 1'!AG219</f>
        <v>8928000</v>
      </c>
      <c r="C78" s="74"/>
      <c r="D78" s="52">
        <v>0</v>
      </c>
      <c r="E78" s="70"/>
      <c r="F78" s="78"/>
      <c r="G78" s="50"/>
    </row>
    <row r="79" spans="1:7" ht="15.75" thickBot="1" x14ac:dyDescent="0.3">
      <c r="A79" s="47">
        <v>48305</v>
      </c>
      <c r="B79" s="48">
        <f>'Cantidades -Producto 1'!AG220</f>
        <v>8640000</v>
      </c>
      <c r="C79" s="74"/>
      <c r="D79" s="52">
        <v>0</v>
      </c>
      <c r="E79" s="70"/>
      <c r="F79" s="78"/>
      <c r="G79" s="50"/>
    </row>
    <row r="80" spans="1:7" ht="15.75" thickBot="1" x14ac:dyDescent="0.3">
      <c r="A80" s="47">
        <v>48335</v>
      </c>
      <c r="B80" s="48">
        <f>'Cantidades -Producto 1'!AG221</f>
        <v>8928000</v>
      </c>
      <c r="C80" s="74"/>
      <c r="D80" s="52">
        <v>0</v>
      </c>
      <c r="E80" s="70"/>
      <c r="F80" s="78"/>
      <c r="G80" s="50"/>
    </row>
    <row r="81" spans="1:7" ht="15.75" thickBot="1" x14ac:dyDescent="0.3">
      <c r="A81" s="47">
        <v>48366</v>
      </c>
      <c r="B81" s="48">
        <f>'Cantidades -Producto 1'!AG222</f>
        <v>8640000</v>
      </c>
      <c r="C81" s="74"/>
      <c r="D81" s="52">
        <v>0</v>
      </c>
      <c r="E81" s="70"/>
      <c r="F81" s="78"/>
      <c r="G81" s="50"/>
    </row>
    <row r="82" spans="1:7" ht="15.75" thickBot="1" x14ac:dyDescent="0.3">
      <c r="A82" s="47">
        <v>48396</v>
      </c>
      <c r="B82" s="48">
        <f>'Cantidades -Producto 1'!AG223</f>
        <v>8928000</v>
      </c>
      <c r="C82" s="74"/>
      <c r="D82" s="52">
        <v>0</v>
      </c>
      <c r="E82" s="70"/>
      <c r="F82" s="78"/>
      <c r="G82" s="50"/>
    </row>
    <row r="83" spans="1:7" ht="15.75" thickBot="1" x14ac:dyDescent="0.3">
      <c r="A83" s="47">
        <v>48427</v>
      </c>
      <c r="B83" s="48">
        <f>'Cantidades -Producto 1'!AG224</f>
        <v>8928000</v>
      </c>
      <c r="C83" s="74"/>
      <c r="D83" s="52">
        <v>0</v>
      </c>
      <c r="E83" s="70"/>
      <c r="F83" s="78"/>
      <c r="G83" s="50"/>
    </row>
    <row r="84" spans="1:7" ht="15.75" thickBot="1" x14ac:dyDescent="0.3">
      <c r="A84" s="47">
        <v>48458</v>
      </c>
      <c r="B84" s="48">
        <f>'Cantidades -Producto 1'!AG225</f>
        <v>8640000</v>
      </c>
      <c r="C84" s="74"/>
      <c r="D84" s="52">
        <v>0</v>
      </c>
      <c r="E84" s="70"/>
      <c r="F84" s="78"/>
      <c r="G84" s="50"/>
    </row>
    <row r="85" spans="1:7" ht="15.75" thickBot="1" x14ac:dyDescent="0.3">
      <c r="A85" s="47">
        <v>48488</v>
      </c>
      <c r="B85" s="48">
        <f>'Cantidades -Producto 1'!AG226</f>
        <v>8928000</v>
      </c>
      <c r="C85" s="74"/>
      <c r="D85" s="52">
        <v>0</v>
      </c>
      <c r="E85" s="70"/>
      <c r="F85" s="78"/>
      <c r="G85" s="50"/>
    </row>
    <row r="86" spans="1:7" ht="15.75" thickBot="1" x14ac:dyDescent="0.3">
      <c r="A86" s="47">
        <v>48519</v>
      </c>
      <c r="B86" s="48">
        <f>'Cantidades -Producto 1'!AG227</f>
        <v>8640000</v>
      </c>
      <c r="C86" s="74"/>
      <c r="D86" s="52">
        <v>0</v>
      </c>
      <c r="E86" s="70"/>
      <c r="F86" s="78"/>
      <c r="G86" s="50"/>
    </row>
    <row r="87" spans="1:7" ht="15.75" thickBot="1" x14ac:dyDescent="0.3">
      <c r="A87" s="47">
        <v>48549</v>
      </c>
      <c r="B87" s="48">
        <f>'Cantidades -Producto 1'!AG228</f>
        <v>8928000</v>
      </c>
      <c r="C87" s="74"/>
      <c r="D87" s="52">
        <v>0</v>
      </c>
      <c r="E87" s="70"/>
      <c r="F87" s="79"/>
      <c r="G87" s="50"/>
    </row>
    <row r="88" spans="1:7" ht="15.75" thickBot="1" x14ac:dyDescent="0.3">
      <c r="A88" s="47">
        <v>48580</v>
      </c>
      <c r="B88" s="48">
        <f>'Cantidades -Producto 1'!AG256</f>
        <v>8928000</v>
      </c>
      <c r="C88" s="73">
        <f t="shared" ref="C88" si="4">SUM(B88:B99)</f>
        <v>129168000</v>
      </c>
      <c r="D88" s="52">
        <v>0</v>
      </c>
      <c r="E88" s="70"/>
      <c r="F88" s="77"/>
      <c r="G88" s="50"/>
    </row>
    <row r="89" spans="1:7" ht="15.75" thickBot="1" x14ac:dyDescent="0.3">
      <c r="A89" s="47">
        <v>48611</v>
      </c>
      <c r="B89" s="48">
        <f>'Cantidades -Producto 1'!AG257</f>
        <v>10080000</v>
      </c>
      <c r="C89" s="74"/>
      <c r="D89" s="52">
        <v>0</v>
      </c>
      <c r="E89" s="70"/>
      <c r="F89" s="78"/>
      <c r="G89" s="50"/>
    </row>
    <row r="90" spans="1:7" ht="15.75" thickBot="1" x14ac:dyDescent="0.3">
      <c r="A90" s="47">
        <v>48639</v>
      </c>
      <c r="B90" s="48">
        <f>'Cantidades -Producto 1'!AG258</f>
        <v>11160000</v>
      </c>
      <c r="C90" s="74"/>
      <c r="D90" s="52">
        <v>0</v>
      </c>
      <c r="E90" s="70"/>
      <c r="F90" s="78"/>
      <c r="G90" s="50"/>
    </row>
    <row r="91" spans="1:7" ht="15.75" thickBot="1" x14ac:dyDescent="0.3">
      <c r="A91" s="47">
        <v>48670</v>
      </c>
      <c r="B91" s="48">
        <f>'Cantidades -Producto 1'!AG259</f>
        <v>10800000</v>
      </c>
      <c r="C91" s="74"/>
      <c r="D91" s="52">
        <v>0</v>
      </c>
      <c r="E91" s="70"/>
      <c r="F91" s="78"/>
      <c r="G91" s="50"/>
    </row>
    <row r="92" spans="1:7" ht="15.75" thickBot="1" x14ac:dyDescent="0.3">
      <c r="A92" s="47">
        <v>48700</v>
      </c>
      <c r="B92" s="48">
        <f>'Cantidades -Producto 1'!AG260</f>
        <v>11160000</v>
      </c>
      <c r="C92" s="74"/>
      <c r="D92" s="52">
        <v>0</v>
      </c>
      <c r="E92" s="70"/>
      <c r="F92" s="78"/>
      <c r="G92" s="50"/>
    </row>
    <row r="93" spans="1:7" ht="15.75" thickBot="1" x14ac:dyDescent="0.3">
      <c r="A93" s="47">
        <v>48731</v>
      </c>
      <c r="B93" s="48">
        <f>'Cantidades -Producto 1'!AG261</f>
        <v>10800000</v>
      </c>
      <c r="C93" s="74"/>
      <c r="D93" s="52">
        <v>0</v>
      </c>
      <c r="E93" s="70"/>
      <c r="F93" s="78"/>
      <c r="G93" s="50"/>
    </row>
    <row r="94" spans="1:7" ht="15.75" thickBot="1" x14ac:dyDescent="0.3">
      <c r="A94" s="47">
        <v>48761</v>
      </c>
      <c r="B94" s="48">
        <f>'Cantidades -Producto 1'!AG262</f>
        <v>11160000</v>
      </c>
      <c r="C94" s="74"/>
      <c r="D94" s="52">
        <v>0</v>
      </c>
      <c r="E94" s="70"/>
      <c r="F94" s="78"/>
      <c r="G94" s="50"/>
    </row>
    <row r="95" spans="1:7" ht="15.75" thickBot="1" x14ac:dyDescent="0.3">
      <c r="A95" s="47">
        <v>48792</v>
      </c>
      <c r="B95" s="48">
        <f>'Cantidades -Producto 1'!AG263</f>
        <v>11160000</v>
      </c>
      <c r="C95" s="74"/>
      <c r="D95" s="52">
        <v>0</v>
      </c>
      <c r="E95" s="70"/>
      <c r="F95" s="78"/>
      <c r="G95" s="50"/>
    </row>
    <row r="96" spans="1:7" ht="15.75" thickBot="1" x14ac:dyDescent="0.3">
      <c r="A96" s="47">
        <v>48823</v>
      </c>
      <c r="B96" s="48">
        <f>'Cantidades -Producto 1'!AG264</f>
        <v>10800000</v>
      </c>
      <c r="C96" s="74"/>
      <c r="D96" s="52">
        <v>0</v>
      </c>
      <c r="E96" s="70"/>
      <c r="F96" s="78"/>
      <c r="G96" s="50"/>
    </row>
    <row r="97" spans="1:7" ht="15.75" thickBot="1" x14ac:dyDescent="0.3">
      <c r="A97" s="47">
        <v>48853</v>
      </c>
      <c r="B97" s="48">
        <f>'Cantidades -Producto 1'!AG265</f>
        <v>11160000</v>
      </c>
      <c r="C97" s="74"/>
      <c r="D97" s="52">
        <v>0</v>
      </c>
      <c r="E97" s="70"/>
      <c r="F97" s="78"/>
      <c r="G97" s="50"/>
    </row>
    <row r="98" spans="1:7" ht="15.75" thickBot="1" x14ac:dyDescent="0.3">
      <c r="A98" s="47">
        <v>48884</v>
      </c>
      <c r="B98" s="48">
        <f>'Cantidades -Producto 1'!AG266</f>
        <v>10800000</v>
      </c>
      <c r="C98" s="74"/>
      <c r="D98" s="52">
        <v>0</v>
      </c>
      <c r="E98" s="70"/>
      <c r="F98" s="78"/>
      <c r="G98" s="50"/>
    </row>
    <row r="99" spans="1:7" ht="15.75" thickBot="1" x14ac:dyDescent="0.3">
      <c r="A99" s="47">
        <v>48914</v>
      </c>
      <c r="B99" s="48">
        <f>'Cantidades -Producto 1'!AG267</f>
        <v>11160000</v>
      </c>
      <c r="C99" s="74"/>
      <c r="D99" s="52">
        <v>0</v>
      </c>
      <c r="E99" s="70"/>
      <c r="F99" s="79"/>
      <c r="G99" s="50"/>
    </row>
    <row r="100" spans="1:7" ht="15.75" thickBot="1" x14ac:dyDescent="0.3">
      <c r="A100" s="47">
        <v>48945</v>
      </c>
      <c r="B100" s="48">
        <f>'Cantidades -Producto 1'!AG295</f>
        <v>12648000</v>
      </c>
      <c r="C100" s="73">
        <f t="shared" ref="C100" si="5">SUM(B100:B111)</f>
        <v>148920000</v>
      </c>
      <c r="D100" s="52">
        <v>0</v>
      </c>
      <c r="E100" s="70"/>
      <c r="F100" s="77"/>
      <c r="G100" s="50"/>
    </row>
    <row r="101" spans="1:7" ht="15.75" thickBot="1" x14ac:dyDescent="0.3">
      <c r="A101" s="47">
        <v>48976</v>
      </c>
      <c r="B101" s="48">
        <f>'Cantidades -Producto 1'!AG296</f>
        <v>11424000</v>
      </c>
      <c r="C101" s="74"/>
      <c r="D101" s="52">
        <v>0</v>
      </c>
      <c r="E101" s="70"/>
      <c r="F101" s="78"/>
      <c r="G101" s="50"/>
    </row>
    <row r="102" spans="1:7" ht="15.75" thickBot="1" x14ac:dyDescent="0.3">
      <c r="A102" s="47">
        <v>49004</v>
      </c>
      <c r="B102" s="48">
        <f>'Cantidades -Producto 1'!AG297</f>
        <v>12648000</v>
      </c>
      <c r="C102" s="74"/>
      <c r="D102" s="52">
        <v>0</v>
      </c>
      <c r="E102" s="70"/>
      <c r="F102" s="78"/>
      <c r="G102" s="50"/>
    </row>
    <row r="103" spans="1:7" ht="15.75" thickBot="1" x14ac:dyDescent="0.3">
      <c r="A103" s="47">
        <v>49035</v>
      </c>
      <c r="B103" s="48">
        <f>'Cantidades -Producto 1'!AG298</f>
        <v>12240000</v>
      </c>
      <c r="C103" s="74"/>
      <c r="D103" s="52">
        <v>0</v>
      </c>
      <c r="E103" s="70"/>
      <c r="F103" s="78"/>
      <c r="G103" s="50"/>
    </row>
    <row r="104" spans="1:7" ht="15.75" thickBot="1" x14ac:dyDescent="0.3">
      <c r="A104" s="47">
        <v>49065</v>
      </c>
      <c r="B104" s="48">
        <f>'Cantidades -Producto 1'!AG299</f>
        <v>12648000</v>
      </c>
      <c r="C104" s="74"/>
      <c r="D104" s="52">
        <v>0</v>
      </c>
      <c r="E104" s="70"/>
      <c r="F104" s="78"/>
      <c r="G104" s="50"/>
    </row>
    <row r="105" spans="1:7" ht="15.75" thickBot="1" x14ac:dyDescent="0.3">
      <c r="A105" s="47">
        <v>49096</v>
      </c>
      <c r="B105" s="48">
        <f>'Cantidades -Producto 1'!AG300</f>
        <v>12240000</v>
      </c>
      <c r="C105" s="74"/>
      <c r="D105" s="52">
        <v>0</v>
      </c>
      <c r="E105" s="70"/>
      <c r="F105" s="78"/>
      <c r="G105" s="50"/>
    </row>
    <row r="106" spans="1:7" ht="15.75" thickBot="1" x14ac:dyDescent="0.3">
      <c r="A106" s="47">
        <v>49126</v>
      </c>
      <c r="B106" s="48">
        <f>'Cantidades -Producto 1'!AG301</f>
        <v>12648000</v>
      </c>
      <c r="C106" s="74"/>
      <c r="D106" s="52">
        <v>0</v>
      </c>
      <c r="E106" s="70"/>
      <c r="F106" s="78"/>
      <c r="G106" s="50"/>
    </row>
    <row r="107" spans="1:7" ht="15.75" thickBot="1" x14ac:dyDescent="0.3">
      <c r="A107" s="47">
        <v>49157</v>
      </c>
      <c r="B107" s="48">
        <f>'Cantidades -Producto 1'!AG302</f>
        <v>12648000</v>
      </c>
      <c r="C107" s="74"/>
      <c r="D107" s="52">
        <v>0</v>
      </c>
      <c r="E107" s="70"/>
      <c r="F107" s="78"/>
      <c r="G107" s="50"/>
    </row>
    <row r="108" spans="1:7" ht="15.75" thickBot="1" x14ac:dyDescent="0.3">
      <c r="A108" s="47">
        <v>49188</v>
      </c>
      <c r="B108" s="48">
        <f>'Cantidades -Producto 1'!AG303</f>
        <v>12240000</v>
      </c>
      <c r="C108" s="74"/>
      <c r="D108" s="52">
        <v>0</v>
      </c>
      <c r="E108" s="70"/>
      <c r="F108" s="78"/>
      <c r="G108" s="50"/>
    </row>
    <row r="109" spans="1:7" ht="15.75" thickBot="1" x14ac:dyDescent="0.3">
      <c r="A109" s="47">
        <v>49218</v>
      </c>
      <c r="B109" s="48">
        <f>'Cantidades -Producto 1'!AG304</f>
        <v>12648000</v>
      </c>
      <c r="C109" s="74"/>
      <c r="D109" s="52">
        <v>0</v>
      </c>
      <c r="E109" s="70"/>
      <c r="F109" s="78"/>
      <c r="G109" s="50"/>
    </row>
    <row r="110" spans="1:7" ht="15.75" thickBot="1" x14ac:dyDescent="0.3">
      <c r="A110" s="47">
        <v>49249</v>
      </c>
      <c r="B110" s="48">
        <f>'Cantidades -Producto 1'!AG305</f>
        <v>12240000</v>
      </c>
      <c r="C110" s="74"/>
      <c r="D110" s="52">
        <v>0</v>
      </c>
      <c r="E110" s="70"/>
      <c r="F110" s="78"/>
      <c r="G110" s="50"/>
    </row>
    <row r="111" spans="1:7" ht="15.75" thickBot="1" x14ac:dyDescent="0.3">
      <c r="A111" s="47">
        <v>49279</v>
      </c>
      <c r="B111" s="48">
        <f>'Cantidades -Producto 1'!AG306</f>
        <v>12648000</v>
      </c>
      <c r="C111" s="74"/>
      <c r="D111" s="52">
        <v>0</v>
      </c>
      <c r="E111" s="70"/>
      <c r="F111" s="79"/>
      <c r="G111" s="50"/>
    </row>
    <row r="112" spans="1:7" ht="15.95" customHeight="1" thickBot="1" x14ac:dyDescent="0.3">
      <c r="A112" s="47">
        <v>49310</v>
      </c>
      <c r="B112" s="48">
        <f>'Cantidades -Producto 1'!AG334</f>
        <v>12648000</v>
      </c>
      <c r="C112" s="73">
        <f t="shared" ref="C112" si="6">SUM(B112:B123)</f>
        <v>148920000</v>
      </c>
      <c r="D112" s="52">
        <v>0</v>
      </c>
      <c r="E112" s="70"/>
      <c r="F112" s="77"/>
      <c r="G112" s="50"/>
    </row>
    <row r="113" spans="1:7" ht="15.95" customHeight="1" thickBot="1" x14ac:dyDescent="0.3">
      <c r="A113" s="47">
        <v>49341</v>
      </c>
      <c r="B113" s="48">
        <f>'Cantidades -Producto 1'!AG335</f>
        <v>11424000</v>
      </c>
      <c r="C113" s="74"/>
      <c r="D113" s="52">
        <v>0</v>
      </c>
      <c r="E113" s="70"/>
      <c r="F113" s="78"/>
      <c r="G113" s="50"/>
    </row>
    <row r="114" spans="1:7" ht="15.75" thickBot="1" x14ac:dyDescent="0.3">
      <c r="A114" s="47">
        <v>49369</v>
      </c>
      <c r="B114" s="48">
        <f>'Cantidades -Producto 1'!AG336</f>
        <v>12648000</v>
      </c>
      <c r="C114" s="74"/>
      <c r="D114" s="52">
        <v>0</v>
      </c>
      <c r="E114" s="70"/>
      <c r="F114" s="78"/>
      <c r="G114" s="50"/>
    </row>
    <row r="115" spans="1:7" ht="15.75" thickBot="1" x14ac:dyDescent="0.3">
      <c r="A115" s="47">
        <v>49400</v>
      </c>
      <c r="B115" s="48">
        <f>'Cantidades -Producto 1'!AG337</f>
        <v>12240000</v>
      </c>
      <c r="C115" s="74"/>
      <c r="D115" s="52">
        <v>0</v>
      </c>
      <c r="E115" s="70"/>
      <c r="F115" s="78"/>
      <c r="G115" s="50"/>
    </row>
    <row r="116" spans="1:7" ht="15.75" thickBot="1" x14ac:dyDescent="0.3">
      <c r="A116" s="47">
        <v>49430</v>
      </c>
      <c r="B116" s="48">
        <f>'Cantidades -Producto 1'!AG338</f>
        <v>12648000</v>
      </c>
      <c r="C116" s="74"/>
      <c r="D116" s="52">
        <v>0</v>
      </c>
      <c r="E116" s="70"/>
      <c r="F116" s="78"/>
      <c r="G116" s="50"/>
    </row>
    <row r="117" spans="1:7" ht="15.75" thickBot="1" x14ac:dyDescent="0.3">
      <c r="A117" s="47">
        <v>49461</v>
      </c>
      <c r="B117" s="48">
        <f>'Cantidades -Producto 1'!AG339</f>
        <v>12240000</v>
      </c>
      <c r="C117" s="74"/>
      <c r="D117" s="52">
        <v>0</v>
      </c>
      <c r="E117" s="70"/>
      <c r="F117" s="78"/>
      <c r="G117" s="50"/>
    </row>
    <row r="118" spans="1:7" ht="15.75" thickBot="1" x14ac:dyDescent="0.3">
      <c r="A118" s="47">
        <v>49491</v>
      </c>
      <c r="B118" s="48">
        <f>'Cantidades -Producto 1'!AG340</f>
        <v>12648000</v>
      </c>
      <c r="C118" s="74"/>
      <c r="D118" s="52">
        <v>0</v>
      </c>
      <c r="E118" s="70"/>
      <c r="F118" s="78"/>
      <c r="G118" s="50"/>
    </row>
    <row r="119" spans="1:7" ht="15.75" thickBot="1" x14ac:dyDescent="0.3">
      <c r="A119" s="47">
        <v>49522</v>
      </c>
      <c r="B119" s="48">
        <f>'Cantidades -Producto 1'!AG341</f>
        <v>12648000</v>
      </c>
      <c r="C119" s="74"/>
      <c r="D119" s="52">
        <v>0</v>
      </c>
      <c r="E119" s="70"/>
      <c r="F119" s="78"/>
      <c r="G119" s="50"/>
    </row>
    <row r="120" spans="1:7" ht="15.75" thickBot="1" x14ac:dyDescent="0.3">
      <c r="A120" s="47">
        <v>49553</v>
      </c>
      <c r="B120" s="48">
        <f>'Cantidades -Producto 1'!AG342</f>
        <v>12240000</v>
      </c>
      <c r="C120" s="74"/>
      <c r="D120" s="52">
        <v>0</v>
      </c>
      <c r="E120" s="70"/>
      <c r="F120" s="78"/>
      <c r="G120" s="50"/>
    </row>
    <row r="121" spans="1:7" ht="15.75" thickBot="1" x14ac:dyDescent="0.3">
      <c r="A121" s="47">
        <v>49583</v>
      </c>
      <c r="B121" s="48">
        <f>'Cantidades -Producto 1'!AG343</f>
        <v>12648000</v>
      </c>
      <c r="C121" s="74"/>
      <c r="D121" s="52">
        <v>0</v>
      </c>
      <c r="E121" s="70"/>
      <c r="F121" s="78"/>
      <c r="G121" s="50"/>
    </row>
    <row r="122" spans="1:7" ht="15.75" thickBot="1" x14ac:dyDescent="0.3">
      <c r="A122" s="47">
        <v>49614</v>
      </c>
      <c r="B122" s="48">
        <f>'Cantidades -Producto 1'!AG344</f>
        <v>12240000</v>
      </c>
      <c r="C122" s="74"/>
      <c r="D122" s="52">
        <v>0</v>
      </c>
      <c r="E122" s="70"/>
      <c r="F122" s="78"/>
      <c r="G122" s="50"/>
    </row>
    <row r="123" spans="1:7" ht="15.75" thickBot="1" x14ac:dyDescent="0.3">
      <c r="A123" s="47">
        <v>49644</v>
      </c>
      <c r="B123" s="48">
        <f>'Cantidades -Producto 1'!AG345</f>
        <v>12648000</v>
      </c>
      <c r="C123" s="74"/>
      <c r="D123" s="52">
        <v>0</v>
      </c>
      <c r="E123" s="70"/>
      <c r="F123" s="79"/>
      <c r="G123" s="50"/>
    </row>
    <row r="124" spans="1:7" ht="15.75" thickBot="1" x14ac:dyDescent="0.3">
      <c r="A124" s="47">
        <v>49675</v>
      </c>
      <c r="B124" s="48">
        <f>'Cantidades -Producto 1'!AG373</f>
        <v>12648000</v>
      </c>
      <c r="C124" s="73">
        <f>SUM(B124:B128)</f>
        <v>62016000</v>
      </c>
      <c r="D124" s="52">
        <v>0</v>
      </c>
      <c r="E124" s="70"/>
      <c r="F124" s="77"/>
      <c r="G124" s="50"/>
    </row>
    <row r="125" spans="1:7" ht="15.75" thickBot="1" x14ac:dyDescent="0.3">
      <c r="A125" s="47">
        <v>49706</v>
      </c>
      <c r="B125" s="48">
        <f>'Cantidades -Producto 1'!AG374</f>
        <v>11832000</v>
      </c>
      <c r="C125" s="74"/>
      <c r="D125" s="52">
        <v>0</v>
      </c>
      <c r="E125" s="70"/>
      <c r="F125" s="78"/>
      <c r="G125" s="50"/>
    </row>
    <row r="126" spans="1:7" ht="15.75" thickBot="1" x14ac:dyDescent="0.3">
      <c r="A126" s="47">
        <v>49735</v>
      </c>
      <c r="B126" s="48">
        <f>'Cantidades -Producto 1'!AG375</f>
        <v>12648000</v>
      </c>
      <c r="C126" s="74"/>
      <c r="D126" s="52">
        <v>0</v>
      </c>
      <c r="E126" s="70"/>
      <c r="F126" s="78"/>
      <c r="G126" s="50"/>
    </row>
    <row r="127" spans="1:7" ht="15.75" thickBot="1" x14ac:dyDescent="0.3">
      <c r="A127" s="47">
        <v>49766</v>
      </c>
      <c r="B127" s="48">
        <f>'Cantidades -Producto 1'!AG376</f>
        <v>12240000</v>
      </c>
      <c r="C127" s="74"/>
      <c r="D127" s="52">
        <v>0</v>
      </c>
      <c r="E127" s="70"/>
      <c r="F127" s="78"/>
      <c r="G127" s="50"/>
    </row>
    <row r="128" spans="1:7" ht="15.75" thickBot="1" x14ac:dyDescent="0.3">
      <c r="A128" s="47">
        <v>49796</v>
      </c>
      <c r="B128" s="48">
        <f>'Cantidades -Producto 1'!AG377</f>
        <v>12648000</v>
      </c>
      <c r="C128" s="74"/>
      <c r="D128" s="52">
        <v>0</v>
      </c>
      <c r="E128" s="70"/>
      <c r="F128" s="79"/>
      <c r="G128" s="50"/>
    </row>
    <row r="129" spans="1:7" ht="15.75" thickBot="1" x14ac:dyDescent="0.3">
      <c r="A129" s="44" t="s">
        <v>41</v>
      </c>
      <c r="B129" s="53">
        <f>SUM(B11:B128)</f>
        <v>1179840000</v>
      </c>
      <c r="C129" s="53">
        <f>C124+C112+C100+C88+C76+C64+C52+C40+C28+C16+C11</f>
        <v>1179840000</v>
      </c>
      <c r="D129" s="71"/>
      <c r="E129" s="72"/>
      <c r="F129" s="72"/>
      <c r="G129" s="72" t="str">
        <f>IFERROR(SUMPRODUCT(F11:F15,G11:G15)/SUM(F11:F15),"")</f>
        <v/>
      </c>
    </row>
    <row r="130" spans="1:7" ht="15.75" x14ac:dyDescent="0.25">
      <c r="A130" s="54"/>
      <c r="B130" s="55"/>
      <c r="C130" s="55"/>
      <c r="D130" s="56"/>
      <c r="E130" s="55"/>
      <c r="F130" s="55"/>
      <c r="G130" s="57"/>
    </row>
    <row r="131" spans="1:7" ht="15.75" x14ac:dyDescent="0.25">
      <c r="A131" s="58" t="s">
        <v>42</v>
      </c>
      <c r="B131" s="55"/>
      <c r="C131" s="55"/>
      <c r="D131" s="56"/>
      <c r="E131" s="55"/>
      <c r="F131" s="55"/>
      <c r="G131" s="59"/>
    </row>
    <row r="132" spans="1:7" ht="15.75" customHeight="1" x14ac:dyDescent="0.25">
      <c r="A132" s="85" t="s">
        <v>43</v>
      </c>
      <c r="B132" s="85"/>
      <c r="C132" s="85"/>
      <c r="D132" s="85"/>
      <c r="E132" s="85"/>
      <c r="F132" s="85"/>
      <c r="G132" s="85"/>
    </row>
    <row r="133" spans="1:7" ht="15.75" customHeight="1" x14ac:dyDescent="0.25">
      <c r="A133" s="85" t="s">
        <v>44</v>
      </c>
      <c r="B133" s="85"/>
      <c r="C133" s="85"/>
      <c r="D133" s="85"/>
      <c r="E133" s="85"/>
      <c r="F133" s="85"/>
      <c r="G133" s="85"/>
    </row>
    <row r="134" spans="1:7" ht="15.75" customHeight="1" x14ac:dyDescent="0.25">
      <c r="A134" s="86" t="s">
        <v>49</v>
      </c>
      <c r="B134" s="86"/>
      <c r="C134" s="86"/>
      <c r="D134" s="86"/>
      <c r="E134" s="86"/>
      <c r="F134" s="86"/>
      <c r="G134" s="86"/>
    </row>
    <row r="135" spans="1:7" ht="24" customHeight="1" x14ac:dyDescent="0.25">
      <c r="A135" s="86" t="s">
        <v>53</v>
      </c>
      <c r="B135" s="86"/>
      <c r="C135" s="86"/>
      <c r="D135" s="86"/>
      <c r="E135" s="86"/>
      <c r="F135" s="86"/>
      <c r="G135" s="86"/>
    </row>
    <row r="136" spans="1:7" ht="15.75" customHeight="1" x14ac:dyDescent="0.25">
      <c r="A136" s="85" t="s">
        <v>54</v>
      </c>
      <c r="B136" s="85"/>
      <c r="C136" s="85"/>
      <c r="D136" s="85"/>
      <c r="E136" s="85"/>
      <c r="F136" s="85"/>
      <c r="G136" s="85"/>
    </row>
    <row r="137" spans="1:7" ht="15.75" customHeight="1" x14ac:dyDescent="0.25">
      <c r="A137" s="85" t="s">
        <v>52</v>
      </c>
      <c r="B137" s="85"/>
      <c r="C137" s="85"/>
      <c r="D137" s="85"/>
      <c r="E137" s="85"/>
      <c r="F137" s="85"/>
      <c r="G137" s="85"/>
    </row>
    <row r="138" spans="1:7" ht="15.75" customHeight="1" x14ac:dyDescent="0.25">
      <c r="A138" s="85" t="s">
        <v>50</v>
      </c>
      <c r="B138" s="85"/>
      <c r="C138" s="85"/>
      <c r="D138" s="85"/>
      <c r="E138" s="85"/>
      <c r="F138" s="85"/>
      <c r="G138" s="85"/>
    </row>
    <row r="139" spans="1:7" ht="15.75" x14ac:dyDescent="0.25">
      <c r="A139" s="86" t="s">
        <v>51</v>
      </c>
      <c r="B139" s="86"/>
      <c r="C139" s="86"/>
      <c r="D139" s="86"/>
      <c r="E139" s="86"/>
      <c r="F139" s="86"/>
      <c r="G139" s="86"/>
    </row>
    <row r="140" spans="1:7" ht="15.75" customHeight="1" x14ac:dyDescent="0.25">
      <c r="A140" s="85" t="s">
        <v>55</v>
      </c>
      <c r="B140" s="85"/>
      <c r="C140" s="85"/>
      <c r="D140" s="85"/>
      <c r="E140" s="85"/>
      <c r="F140" s="85"/>
      <c r="G140" s="85"/>
    </row>
    <row r="141" spans="1:7" ht="15.75" customHeight="1" x14ac:dyDescent="0.25">
      <c r="A141" s="85"/>
      <c r="B141" s="85"/>
      <c r="C141" s="85"/>
      <c r="D141" s="85"/>
      <c r="E141" s="85"/>
      <c r="F141" s="85"/>
      <c r="G141" s="85"/>
    </row>
    <row r="142" spans="1:7" ht="15.75" x14ac:dyDescent="0.25">
      <c r="A142" s="85"/>
      <c r="B142" s="85"/>
      <c r="C142" s="85"/>
      <c r="D142" s="85"/>
      <c r="E142" s="85"/>
      <c r="F142" s="85"/>
      <c r="G142" s="85"/>
    </row>
    <row r="143" spans="1:7" ht="15.75" x14ac:dyDescent="0.25">
      <c r="A143" s="60"/>
      <c r="B143" s="60"/>
      <c r="C143" s="60"/>
      <c r="D143" s="60"/>
      <c r="E143" s="60"/>
      <c r="F143" s="60"/>
      <c r="G143" s="60"/>
    </row>
    <row r="144" spans="1:7" ht="15.75" x14ac:dyDescent="0.25">
      <c r="A144" s="87" t="s">
        <v>45</v>
      </c>
      <c r="B144" s="87"/>
      <c r="C144" s="87"/>
      <c r="D144" s="87"/>
      <c r="E144" s="62"/>
      <c r="F144" s="62"/>
      <c r="G144" s="59"/>
    </row>
    <row r="145" spans="1:7" ht="15.75" x14ac:dyDescent="0.25">
      <c r="A145" s="61"/>
      <c r="B145" s="62"/>
      <c r="C145" s="62"/>
      <c r="D145" s="63"/>
      <c r="E145" s="62"/>
      <c r="F145" s="62"/>
      <c r="G145" s="59"/>
    </row>
    <row r="146" spans="1:7" ht="15.75" x14ac:dyDescent="0.25">
      <c r="A146" s="61"/>
      <c r="B146" s="62"/>
      <c r="C146" s="62"/>
      <c r="D146" s="63"/>
      <c r="E146" s="62"/>
      <c r="F146" s="62"/>
      <c r="G146" s="59"/>
    </row>
    <row r="147" spans="1:7" ht="15.75" x14ac:dyDescent="0.25">
      <c r="A147" s="88"/>
      <c r="B147" s="88"/>
      <c r="C147" s="88"/>
      <c r="D147" s="88"/>
      <c r="E147" s="65"/>
      <c r="F147" s="64"/>
      <c r="G147" s="59"/>
    </row>
    <row r="148" spans="1:7" ht="15.75" x14ac:dyDescent="0.25">
      <c r="A148" s="89" t="s">
        <v>46</v>
      </c>
      <c r="B148" s="89"/>
      <c r="C148" s="89"/>
      <c r="D148" s="89"/>
      <c r="E148" s="65"/>
      <c r="F148" s="64"/>
      <c r="G148" s="59"/>
    </row>
    <row r="149" spans="1:7" ht="15.75" x14ac:dyDescent="0.25">
      <c r="A149" s="32"/>
      <c r="B149" s="32"/>
      <c r="C149" s="32"/>
      <c r="D149" s="34"/>
      <c r="E149" s="32"/>
      <c r="F149" s="32"/>
      <c r="G149" s="32"/>
    </row>
    <row r="150" spans="1:7" ht="15.75" x14ac:dyDescent="0.25">
      <c r="A150" s="32"/>
      <c r="B150" s="32"/>
      <c r="C150" s="32"/>
      <c r="D150" s="34"/>
      <c r="E150" s="32"/>
      <c r="F150" s="32"/>
      <c r="G150" s="32"/>
    </row>
    <row r="151" spans="1:7" ht="15.75" x14ac:dyDescent="0.25">
      <c r="A151" s="32"/>
      <c r="B151" s="32"/>
      <c r="C151" s="32"/>
      <c r="D151" s="34"/>
      <c r="E151" s="32"/>
      <c r="F151" s="32"/>
      <c r="G151" s="32"/>
    </row>
    <row r="152" spans="1:7" ht="15.75" x14ac:dyDescent="0.25">
      <c r="A152" s="32"/>
      <c r="B152" s="32"/>
      <c r="C152" s="32"/>
      <c r="D152" s="34"/>
      <c r="E152" s="32"/>
      <c r="F152" s="32"/>
      <c r="G152" s="32"/>
    </row>
  </sheetData>
  <protectedRanges>
    <protectedRange sqref="A144:G148" name="Firma"/>
    <protectedRange algorithmName="SHA-512" hashValue="EfuM75OxYYlPPr0UY+MtkUX4tvrGAqmm1y+w1rxwSe0n0ngf3SoQCMO5MnavFoE7SkF/ZNF0iErlsn2vdjoS/g==" saltValue="mLJWVwp6Ft7/S/i0xbc+xA==" spinCount="100000" sqref="B8" name="Proponente"/>
    <protectedRange algorithmName="SHA-512" hashValue="ZCGCsZBsuti+jNpq0zPDF7TJcNUKSC9UOPfyeHu6/iZZ4KM54hDGjg/wkL+h8IG2Vs+ED/T62OT2avFLotLyFw==" saltValue="/cGMZahkX9SqIv/qJhV3zw==" spinCount="100000" sqref="D11:D128 G11:G128" name="Oferta despacho"/>
  </protectedRanges>
  <mergeCells count="38">
    <mergeCell ref="A147:D147"/>
    <mergeCell ref="A148:D148"/>
    <mergeCell ref="C100:C111"/>
    <mergeCell ref="C112:C123"/>
    <mergeCell ref="A141:G141"/>
    <mergeCell ref="A142:G142"/>
    <mergeCell ref="A144:D144"/>
    <mergeCell ref="A140:G140"/>
    <mergeCell ref="A133:G133"/>
    <mergeCell ref="A134:G134"/>
    <mergeCell ref="A135:G135"/>
    <mergeCell ref="A136:G136"/>
    <mergeCell ref="A137:G137"/>
    <mergeCell ref="A138:G138"/>
    <mergeCell ref="A139:G139"/>
    <mergeCell ref="F124:F128"/>
    <mergeCell ref="C28:C39"/>
    <mergeCell ref="F28:F39"/>
    <mergeCell ref="C40:C51"/>
    <mergeCell ref="C52:C63"/>
    <mergeCell ref="A132:G132"/>
    <mergeCell ref="C124:C128"/>
    <mergeCell ref="C64:C75"/>
    <mergeCell ref="C76:C87"/>
    <mergeCell ref="C88:C99"/>
    <mergeCell ref="F40:F51"/>
    <mergeCell ref="F52:F63"/>
    <mergeCell ref="F64:F75"/>
    <mergeCell ref="F76:F87"/>
    <mergeCell ref="F88:F99"/>
    <mergeCell ref="F100:F111"/>
    <mergeCell ref="F112:F123"/>
    <mergeCell ref="A5:G6"/>
    <mergeCell ref="B8:G8"/>
    <mergeCell ref="C11:C15"/>
    <mergeCell ref="F11:F15"/>
    <mergeCell ref="C16:C27"/>
    <mergeCell ref="F16:F27"/>
  </mergeCells>
  <conditionalFormatting sqref="G129">
    <cfRule type="containsText" dxfId="1" priority="1" operator="containsText" text="No cumple con la relación requerida para ofertar">
      <formula>NOT(ISERROR(SEARCH("No cumple con la relación requerida para ofertar",G129)))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8375-2AF5-4B88-BBDC-656C7E77D2B0}">
  <dimension ref="A1:AG387"/>
  <sheetViews>
    <sheetView topLeftCell="G67" zoomScale="60" zoomScaleNormal="40" workbookViewId="0">
      <selection activeCell="AC61" sqref="AC61:AC96"/>
    </sheetView>
  </sheetViews>
  <sheetFormatPr baseColWidth="10" defaultRowHeight="15" x14ac:dyDescent="0.25"/>
  <cols>
    <col min="28" max="29" width="15" bestFit="1" customWidth="1"/>
    <col min="31" max="31" width="18.28515625" customWidth="1"/>
    <col min="32" max="32" width="19.28515625" customWidth="1"/>
    <col min="33" max="33" width="22.42578125" customWidth="1"/>
    <col min="34" max="38" width="18.28515625" customWidth="1"/>
  </cols>
  <sheetData>
    <row r="1" spans="1:33" ht="15.75" thickBot="1" x14ac:dyDescent="0.3"/>
    <row r="2" spans="1:33" ht="45.75" thickBot="1" x14ac:dyDescent="0.3">
      <c r="A2" s="98" t="s">
        <v>31</v>
      </c>
      <c r="B2" s="99"/>
      <c r="C2" s="99"/>
      <c r="D2" s="99"/>
      <c r="E2" s="100"/>
      <c r="AF2" s="66" t="s">
        <v>34</v>
      </c>
      <c r="AG2" s="66" t="s">
        <v>35</v>
      </c>
    </row>
    <row r="3" spans="1:33" ht="15.75" thickBot="1" x14ac:dyDescent="0.3">
      <c r="A3" s="28" t="s">
        <v>0</v>
      </c>
      <c r="B3" s="29" t="s">
        <v>1</v>
      </c>
      <c r="C3" s="30" t="s">
        <v>2</v>
      </c>
      <c r="D3" s="31" t="s">
        <v>3</v>
      </c>
      <c r="E3" s="31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101" t="s">
        <v>27</v>
      </c>
      <c r="AC3" s="102"/>
      <c r="AF3" s="67">
        <v>46235</v>
      </c>
      <c r="AG3" s="68">
        <f>AC4</f>
        <v>8928000</v>
      </c>
    </row>
    <row r="4" spans="1:33" ht="15.75" thickBot="1" x14ac:dyDescent="0.3">
      <c r="A4" s="103">
        <v>46235</v>
      </c>
      <c r="B4" s="15" t="s">
        <v>28</v>
      </c>
      <c r="C4" s="13">
        <v>5</v>
      </c>
      <c r="D4" s="16">
        <v>12000</v>
      </c>
      <c r="E4" s="16">
        <v>12000</v>
      </c>
      <c r="F4" s="16">
        <v>12000</v>
      </c>
      <c r="G4" s="16">
        <v>12000</v>
      </c>
      <c r="H4" s="16">
        <v>12000</v>
      </c>
      <c r="I4" s="16">
        <v>12000</v>
      </c>
      <c r="J4" s="16">
        <v>12000</v>
      </c>
      <c r="K4" s="16">
        <v>12000</v>
      </c>
      <c r="L4" s="16">
        <v>12000</v>
      </c>
      <c r="M4" s="16">
        <v>12000</v>
      </c>
      <c r="N4" s="16">
        <v>12000</v>
      </c>
      <c r="O4" s="16">
        <v>12000</v>
      </c>
      <c r="P4" s="16">
        <v>12000</v>
      </c>
      <c r="Q4" s="16">
        <v>12000</v>
      </c>
      <c r="R4" s="16">
        <v>12000</v>
      </c>
      <c r="S4" s="16">
        <v>12000</v>
      </c>
      <c r="T4" s="16">
        <v>12000</v>
      </c>
      <c r="U4" s="16">
        <v>12000</v>
      </c>
      <c r="V4" s="16">
        <v>12000</v>
      </c>
      <c r="W4" s="16">
        <v>12000</v>
      </c>
      <c r="X4" s="16">
        <v>12000</v>
      </c>
      <c r="Y4" s="16">
        <v>12000</v>
      </c>
      <c r="Z4" s="16">
        <v>12000</v>
      </c>
      <c r="AA4" s="16">
        <v>12000</v>
      </c>
      <c r="AB4" s="17">
        <f t="shared" ref="AB4:AB18" si="0">SUM(D4:AA4)*C4</f>
        <v>1440000</v>
      </c>
      <c r="AC4" s="106">
        <f>+AB4+AB5+AB6</f>
        <v>8928000</v>
      </c>
      <c r="AF4" s="67">
        <v>46266</v>
      </c>
      <c r="AG4" s="68">
        <f>AC7</f>
        <v>2520000</v>
      </c>
    </row>
    <row r="5" spans="1:33" ht="15.75" thickBot="1" x14ac:dyDescent="0.3">
      <c r="A5" s="104"/>
      <c r="B5" s="18" t="s">
        <v>29</v>
      </c>
      <c r="C5" s="19">
        <v>5</v>
      </c>
      <c r="D5" s="16">
        <v>12000</v>
      </c>
      <c r="E5" s="16">
        <v>12000</v>
      </c>
      <c r="F5" s="16">
        <v>12000</v>
      </c>
      <c r="G5" s="16">
        <v>12000</v>
      </c>
      <c r="H5" s="16">
        <v>12000</v>
      </c>
      <c r="I5" s="16">
        <v>12000</v>
      </c>
      <c r="J5" s="16">
        <v>12000</v>
      </c>
      <c r="K5" s="16">
        <v>12000</v>
      </c>
      <c r="L5" s="16">
        <v>12000</v>
      </c>
      <c r="M5" s="16">
        <v>12000</v>
      </c>
      <c r="N5" s="16">
        <v>12000</v>
      </c>
      <c r="O5" s="16">
        <v>12000</v>
      </c>
      <c r="P5" s="16">
        <v>12000</v>
      </c>
      <c r="Q5" s="16">
        <v>12000</v>
      </c>
      <c r="R5" s="16">
        <v>12000</v>
      </c>
      <c r="S5" s="16">
        <v>12000</v>
      </c>
      <c r="T5" s="16">
        <v>12000</v>
      </c>
      <c r="U5" s="16">
        <v>12000</v>
      </c>
      <c r="V5" s="16">
        <v>12000</v>
      </c>
      <c r="W5" s="16">
        <v>12000</v>
      </c>
      <c r="X5" s="16">
        <v>12000</v>
      </c>
      <c r="Y5" s="16">
        <v>12000</v>
      </c>
      <c r="Z5" s="16">
        <v>12000</v>
      </c>
      <c r="AA5" s="16">
        <v>12000</v>
      </c>
      <c r="AB5" s="17">
        <f t="shared" si="0"/>
        <v>1440000</v>
      </c>
      <c r="AC5" s="107"/>
      <c r="AF5" s="67">
        <v>46296</v>
      </c>
      <c r="AG5" s="68">
        <f>AC10</f>
        <v>2604000</v>
      </c>
    </row>
    <row r="6" spans="1:33" ht="15.75" thickBot="1" x14ac:dyDescent="0.3">
      <c r="A6" s="105"/>
      <c r="B6" s="18" t="s">
        <v>30</v>
      </c>
      <c r="C6" s="20">
        <v>21</v>
      </c>
      <c r="D6" s="16">
        <v>12000</v>
      </c>
      <c r="E6" s="16">
        <v>12000</v>
      </c>
      <c r="F6" s="16">
        <v>12000</v>
      </c>
      <c r="G6" s="16">
        <v>12000</v>
      </c>
      <c r="H6" s="16">
        <v>12000</v>
      </c>
      <c r="I6" s="16">
        <v>12000</v>
      </c>
      <c r="J6" s="16">
        <v>12000</v>
      </c>
      <c r="K6" s="16">
        <v>12000</v>
      </c>
      <c r="L6" s="16">
        <v>12000</v>
      </c>
      <c r="M6" s="16">
        <v>12000</v>
      </c>
      <c r="N6" s="16">
        <v>12000</v>
      </c>
      <c r="O6" s="16">
        <v>12000</v>
      </c>
      <c r="P6" s="16">
        <v>12000</v>
      </c>
      <c r="Q6" s="16">
        <v>12000</v>
      </c>
      <c r="R6" s="16">
        <v>12000</v>
      </c>
      <c r="S6" s="16">
        <v>12000</v>
      </c>
      <c r="T6" s="16">
        <v>12000</v>
      </c>
      <c r="U6" s="16">
        <v>12000</v>
      </c>
      <c r="V6" s="16">
        <v>12000</v>
      </c>
      <c r="W6" s="16">
        <v>12000</v>
      </c>
      <c r="X6" s="16">
        <v>12000</v>
      </c>
      <c r="Y6" s="16">
        <v>12000</v>
      </c>
      <c r="Z6" s="16">
        <v>12000</v>
      </c>
      <c r="AA6" s="16">
        <v>12000</v>
      </c>
      <c r="AB6" s="17">
        <f t="shared" si="0"/>
        <v>6048000</v>
      </c>
      <c r="AC6" s="108"/>
      <c r="AF6" s="67">
        <v>46327</v>
      </c>
      <c r="AG6" s="68">
        <f>AC13</f>
        <v>2520000</v>
      </c>
    </row>
    <row r="7" spans="1:33" ht="15.75" thickBot="1" x14ac:dyDescent="0.3">
      <c r="A7" s="103">
        <v>46266</v>
      </c>
      <c r="B7" s="15" t="s">
        <v>28</v>
      </c>
      <c r="C7" s="13">
        <v>4</v>
      </c>
      <c r="D7" s="16">
        <v>3500</v>
      </c>
      <c r="E7" s="16">
        <v>3500</v>
      </c>
      <c r="F7" s="16">
        <v>3500</v>
      </c>
      <c r="G7" s="16">
        <v>3500</v>
      </c>
      <c r="H7" s="16">
        <v>3500</v>
      </c>
      <c r="I7" s="16">
        <v>3500</v>
      </c>
      <c r="J7" s="16">
        <v>3500</v>
      </c>
      <c r="K7" s="16">
        <v>3500</v>
      </c>
      <c r="L7" s="16">
        <v>3500</v>
      </c>
      <c r="M7" s="16">
        <v>3500</v>
      </c>
      <c r="N7" s="16">
        <v>3500</v>
      </c>
      <c r="O7" s="16">
        <v>3500</v>
      </c>
      <c r="P7" s="16">
        <v>3500</v>
      </c>
      <c r="Q7" s="16">
        <v>3500</v>
      </c>
      <c r="R7" s="16">
        <v>3500</v>
      </c>
      <c r="S7" s="16">
        <v>3500</v>
      </c>
      <c r="T7" s="16">
        <v>3500</v>
      </c>
      <c r="U7" s="16">
        <v>3500</v>
      </c>
      <c r="V7" s="16">
        <v>3500</v>
      </c>
      <c r="W7" s="16">
        <v>3500</v>
      </c>
      <c r="X7" s="16">
        <v>3500</v>
      </c>
      <c r="Y7" s="16">
        <v>3500</v>
      </c>
      <c r="Z7" s="16">
        <v>3500</v>
      </c>
      <c r="AA7" s="16">
        <v>3500</v>
      </c>
      <c r="AB7" s="17">
        <f t="shared" si="0"/>
        <v>336000</v>
      </c>
      <c r="AC7" s="106">
        <f>+AB7+AB8+AB9</f>
        <v>2520000</v>
      </c>
      <c r="AF7" s="67">
        <v>46357</v>
      </c>
      <c r="AG7" s="68">
        <f>AC16</f>
        <v>8928000</v>
      </c>
    </row>
    <row r="8" spans="1:33" ht="15.75" thickBot="1" x14ac:dyDescent="0.3">
      <c r="A8" s="104"/>
      <c r="B8" s="18" t="s">
        <v>29</v>
      </c>
      <c r="C8" s="19">
        <v>4</v>
      </c>
      <c r="D8" s="16">
        <v>3500</v>
      </c>
      <c r="E8" s="16">
        <v>3500</v>
      </c>
      <c r="F8" s="16">
        <v>3500</v>
      </c>
      <c r="G8" s="16">
        <v>3500</v>
      </c>
      <c r="H8" s="16">
        <v>3500</v>
      </c>
      <c r="I8" s="16">
        <v>3500</v>
      </c>
      <c r="J8" s="16">
        <v>3500</v>
      </c>
      <c r="K8" s="16">
        <v>3500</v>
      </c>
      <c r="L8" s="16">
        <v>3500</v>
      </c>
      <c r="M8" s="16">
        <v>3500</v>
      </c>
      <c r="N8" s="16">
        <v>3500</v>
      </c>
      <c r="O8" s="16">
        <v>3500</v>
      </c>
      <c r="P8" s="16">
        <v>3500</v>
      </c>
      <c r="Q8" s="16">
        <v>3500</v>
      </c>
      <c r="R8" s="16">
        <v>3500</v>
      </c>
      <c r="S8" s="16">
        <v>3500</v>
      </c>
      <c r="T8" s="16">
        <v>3500</v>
      </c>
      <c r="U8" s="16">
        <v>3500</v>
      </c>
      <c r="V8" s="16">
        <v>3500</v>
      </c>
      <c r="W8" s="16">
        <v>3500</v>
      </c>
      <c r="X8" s="16">
        <v>3500</v>
      </c>
      <c r="Y8" s="16">
        <v>3500</v>
      </c>
      <c r="Z8" s="16">
        <v>3500</v>
      </c>
      <c r="AA8" s="16">
        <v>3500</v>
      </c>
      <c r="AB8" s="17">
        <f t="shared" si="0"/>
        <v>336000</v>
      </c>
      <c r="AC8" s="107"/>
    </row>
    <row r="9" spans="1:33" ht="15.75" thickBot="1" x14ac:dyDescent="0.3">
      <c r="A9" s="105"/>
      <c r="B9" s="18" t="s">
        <v>30</v>
      </c>
      <c r="C9" s="20">
        <v>22</v>
      </c>
      <c r="D9" s="16">
        <v>3500</v>
      </c>
      <c r="E9" s="16">
        <v>3500</v>
      </c>
      <c r="F9" s="16">
        <v>3500</v>
      </c>
      <c r="G9" s="16">
        <v>3500</v>
      </c>
      <c r="H9" s="16">
        <v>3500</v>
      </c>
      <c r="I9" s="16">
        <v>3500</v>
      </c>
      <c r="J9" s="16">
        <v>3500</v>
      </c>
      <c r="K9" s="16">
        <v>3500</v>
      </c>
      <c r="L9" s="16">
        <v>3500</v>
      </c>
      <c r="M9" s="16">
        <v>3500</v>
      </c>
      <c r="N9" s="16">
        <v>3500</v>
      </c>
      <c r="O9" s="16">
        <v>3500</v>
      </c>
      <c r="P9" s="16">
        <v>3500</v>
      </c>
      <c r="Q9" s="16">
        <v>3500</v>
      </c>
      <c r="R9" s="16">
        <v>3500</v>
      </c>
      <c r="S9" s="16">
        <v>3500</v>
      </c>
      <c r="T9" s="16">
        <v>3500</v>
      </c>
      <c r="U9" s="16">
        <v>3500</v>
      </c>
      <c r="V9" s="16">
        <v>3500</v>
      </c>
      <c r="W9" s="16">
        <v>3500</v>
      </c>
      <c r="X9" s="16">
        <v>3500</v>
      </c>
      <c r="Y9" s="16">
        <v>3500</v>
      </c>
      <c r="Z9" s="16">
        <v>3500</v>
      </c>
      <c r="AA9" s="16">
        <v>3500</v>
      </c>
      <c r="AB9" s="17">
        <f t="shared" si="0"/>
        <v>1848000</v>
      </c>
      <c r="AC9" s="108"/>
    </row>
    <row r="10" spans="1:33" ht="15.75" thickBot="1" x14ac:dyDescent="0.3">
      <c r="A10" s="103">
        <v>46296</v>
      </c>
      <c r="B10" s="15" t="s">
        <v>28</v>
      </c>
      <c r="C10" s="13">
        <v>5</v>
      </c>
      <c r="D10" s="16">
        <v>3500</v>
      </c>
      <c r="E10" s="16">
        <v>3500</v>
      </c>
      <c r="F10" s="16">
        <v>3500</v>
      </c>
      <c r="G10" s="16">
        <v>3500</v>
      </c>
      <c r="H10" s="16">
        <v>3500</v>
      </c>
      <c r="I10" s="16">
        <v>3500</v>
      </c>
      <c r="J10" s="16">
        <v>3500</v>
      </c>
      <c r="K10" s="16">
        <v>3500</v>
      </c>
      <c r="L10" s="16">
        <v>3500</v>
      </c>
      <c r="M10" s="16">
        <v>3500</v>
      </c>
      <c r="N10" s="16">
        <v>3500</v>
      </c>
      <c r="O10" s="16">
        <v>3500</v>
      </c>
      <c r="P10" s="16">
        <v>3500</v>
      </c>
      <c r="Q10" s="16">
        <v>3500</v>
      </c>
      <c r="R10" s="16">
        <v>3500</v>
      </c>
      <c r="S10" s="16">
        <v>3500</v>
      </c>
      <c r="T10" s="16">
        <v>3500</v>
      </c>
      <c r="U10" s="16">
        <v>3500</v>
      </c>
      <c r="V10" s="16">
        <v>3500</v>
      </c>
      <c r="W10" s="16">
        <v>3500</v>
      </c>
      <c r="X10" s="16">
        <v>3500</v>
      </c>
      <c r="Y10" s="16">
        <v>3500</v>
      </c>
      <c r="Z10" s="16">
        <v>3500</v>
      </c>
      <c r="AA10" s="16">
        <v>3500</v>
      </c>
      <c r="AB10" s="17">
        <f t="shared" si="0"/>
        <v>420000</v>
      </c>
      <c r="AC10" s="106">
        <f>+AB10+AB11+AB12</f>
        <v>2604000</v>
      </c>
    </row>
    <row r="11" spans="1:33" ht="15.75" thickBot="1" x14ac:dyDescent="0.3">
      <c r="A11" s="104"/>
      <c r="B11" s="18" t="s">
        <v>29</v>
      </c>
      <c r="C11" s="19">
        <v>4</v>
      </c>
      <c r="D11" s="16">
        <v>3500</v>
      </c>
      <c r="E11" s="16">
        <v>3500</v>
      </c>
      <c r="F11" s="16">
        <v>3500</v>
      </c>
      <c r="G11" s="16">
        <v>3500</v>
      </c>
      <c r="H11" s="16">
        <v>3500</v>
      </c>
      <c r="I11" s="16">
        <v>3500</v>
      </c>
      <c r="J11" s="16">
        <v>3500</v>
      </c>
      <c r="K11" s="16">
        <v>3500</v>
      </c>
      <c r="L11" s="16">
        <v>3500</v>
      </c>
      <c r="M11" s="16">
        <v>3500</v>
      </c>
      <c r="N11" s="16">
        <v>3500</v>
      </c>
      <c r="O11" s="16">
        <v>3500</v>
      </c>
      <c r="P11" s="16">
        <v>3500</v>
      </c>
      <c r="Q11" s="16">
        <v>3500</v>
      </c>
      <c r="R11" s="16">
        <v>3500</v>
      </c>
      <c r="S11" s="16">
        <v>3500</v>
      </c>
      <c r="T11" s="16">
        <v>3500</v>
      </c>
      <c r="U11" s="16">
        <v>3500</v>
      </c>
      <c r="V11" s="16">
        <v>3500</v>
      </c>
      <c r="W11" s="16">
        <v>3500</v>
      </c>
      <c r="X11" s="16">
        <v>3500</v>
      </c>
      <c r="Y11" s="16">
        <v>3500</v>
      </c>
      <c r="Z11" s="16">
        <v>3500</v>
      </c>
      <c r="AA11" s="16">
        <v>3500</v>
      </c>
      <c r="AB11" s="17">
        <f t="shared" si="0"/>
        <v>336000</v>
      </c>
      <c r="AC11" s="107"/>
    </row>
    <row r="12" spans="1:33" ht="15.75" thickBot="1" x14ac:dyDescent="0.3">
      <c r="A12" s="105"/>
      <c r="B12" s="18" t="s">
        <v>30</v>
      </c>
      <c r="C12" s="20">
        <v>22</v>
      </c>
      <c r="D12" s="16">
        <v>3500</v>
      </c>
      <c r="E12" s="16">
        <v>3500</v>
      </c>
      <c r="F12" s="16">
        <v>3500</v>
      </c>
      <c r="G12" s="16">
        <v>3500</v>
      </c>
      <c r="H12" s="16">
        <v>3500</v>
      </c>
      <c r="I12" s="16">
        <v>3500</v>
      </c>
      <c r="J12" s="16">
        <v>3500</v>
      </c>
      <c r="K12" s="16">
        <v>3500</v>
      </c>
      <c r="L12" s="16">
        <v>3500</v>
      </c>
      <c r="M12" s="16">
        <v>3500</v>
      </c>
      <c r="N12" s="16">
        <v>3500</v>
      </c>
      <c r="O12" s="16">
        <v>3500</v>
      </c>
      <c r="P12" s="16">
        <v>3500</v>
      </c>
      <c r="Q12" s="16">
        <v>3500</v>
      </c>
      <c r="R12" s="16">
        <v>3500</v>
      </c>
      <c r="S12" s="16">
        <v>3500</v>
      </c>
      <c r="T12" s="16">
        <v>3500</v>
      </c>
      <c r="U12" s="16">
        <v>3500</v>
      </c>
      <c r="V12" s="16">
        <v>3500</v>
      </c>
      <c r="W12" s="16">
        <v>3500</v>
      </c>
      <c r="X12" s="16">
        <v>3500</v>
      </c>
      <c r="Y12" s="16">
        <v>3500</v>
      </c>
      <c r="Z12" s="16">
        <v>3500</v>
      </c>
      <c r="AA12" s="16">
        <v>3500</v>
      </c>
      <c r="AB12" s="17">
        <f t="shared" si="0"/>
        <v>1848000</v>
      </c>
      <c r="AC12" s="108"/>
    </row>
    <row r="13" spans="1:33" ht="15.75" thickBot="1" x14ac:dyDescent="0.3">
      <c r="A13" s="103">
        <v>46327</v>
      </c>
      <c r="B13" s="15" t="s">
        <v>28</v>
      </c>
      <c r="C13" s="13">
        <v>4</v>
      </c>
      <c r="D13" s="16">
        <v>3500</v>
      </c>
      <c r="E13" s="16">
        <v>3500</v>
      </c>
      <c r="F13" s="16">
        <v>3500</v>
      </c>
      <c r="G13" s="16">
        <v>3500</v>
      </c>
      <c r="H13" s="16">
        <v>3500</v>
      </c>
      <c r="I13" s="16">
        <v>3500</v>
      </c>
      <c r="J13" s="16">
        <v>3500</v>
      </c>
      <c r="K13" s="16">
        <v>3500</v>
      </c>
      <c r="L13" s="16">
        <v>3500</v>
      </c>
      <c r="M13" s="16">
        <v>3500</v>
      </c>
      <c r="N13" s="16">
        <v>3500</v>
      </c>
      <c r="O13" s="16">
        <v>3500</v>
      </c>
      <c r="P13" s="16">
        <v>3500</v>
      </c>
      <c r="Q13" s="16">
        <v>3500</v>
      </c>
      <c r="R13" s="16">
        <v>3500</v>
      </c>
      <c r="S13" s="16">
        <v>3500</v>
      </c>
      <c r="T13" s="16">
        <v>3500</v>
      </c>
      <c r="U13" s="16">
        <v>3500</v>
      </c>
      <c r="V13" s="16">
        <v>3500</v>
      </c>
      <c r="W13" s="16">
        <v>3500</v>
      </c>
      <c r="X13" s="16">
        <v>3500</v>
      </c>
      <c r="Y13" s="16">
        <v>3500</v>
      </c>
      <c r="Z13" s="16">
        <v>3500</v>
      </c>
      <c r="AA13" s="16">
        <v>3500</v>
      </c>
      <c r="AB13" s="17">
        <f t="shared" si="0"/>
        <v>336000</v>
      </c>
      <c r="AC13" s="106">
        <f>+AB13+AB14+AB15</f>
        <v>2520000</v>
      </c>
    </row>
    <row r="14" spans="1:33" ht="15.75" thickBot="1" x14ac:dyDescent="0.3">
      <c r="A14" s="104"/>
      <c r="B14" s="18" t="s">
        <v>29</v>
      </c>
      <c r="C14" s="19">
        <v>5</v>
      </c>
      <c r="D14" s="16">
        <v>3500</v>
      </c>
      <c r="E14" s="16">
        <v>3500</v>
      </c>
      <c r="F14" s="16">
        <v>3500</v>
      </c>
      <c r="G14" s="16">
        <v>3500</v>
      </c>
      <c r="H14" s="16">
        <v>3500</v>
      </c>
      <c r="I14" s="16">
        <v>3500</v>
      </c>
      <c r="J14" s="16">
        <v>3500</v>
      </c>
      <c r="K14" s="16">
        <v>3500</v>
      </c>
      <c r="L14" s="16">
        <v>3500</v>
      </c>
      <c r="M14" s="16">
        <v>3500</v>
      </c>
      <c r="N14" s="16">
        <v>3500</v>
      </c>
      <c r="O14" s="16">
        <v>3500</v>
      </c>
      <c r="P14" s="16">
        <v>3500</v>
      </c>
      <c r="Q14" s="16">
        <v>3500</v>
      </c>
      <c r="R14" s="16">
        <v>3500</v>
      </c>
      <c r="S14" s="16">
        <v>3500</v>
      </c>
      <c r="T14" s="16">
        <v>3500</v>
      </c>
      <c r="U14" s="16">
        <v>3500</v>
      </c>
      <c r="V14" s="16">
        <v>3500</v>
      </c>
      <c r="W14" s="16">
        <v>3500</v>
      </c>
      <c r="X14" s="16">
        <v>3500</v>
      </c>
      <c r="Y14" s="16">
        <v>3500</v>
      </c>
      <c r="Z14" s="16">
        <v>3500</v>
      </c>
      <c r="AA14" s="16">
        <v>3500</v>
      </c>
      <c r="AB14" s="17">
        <f t="shared" si="0"/>
        <v>420000</v>
      </c>
      <c r="AC14" s="107"/>
    </row>
    <row r="15" spans="1:33" ht="15.75" thickBot="1" x14ac:dyDescent="0.3">
      <c r="A15" s="105"/>
      <c r="B15" s="18" t="s">
        <v>30</v>
      </c>
      <c r="C15" s="20">
        <v>21</v>
      </c>
      <c r="D15" s="16">
        <v>3500</v>
      </c>
      <c r="E15" s="16">
        <v>3500</v>
      </c>
      <c r="F15" s="16">
        <v>3500</v>
      </c>
      <c r="G15" s="16">
        <v>3500</v>
      </c>
      <c r="H15" s="16">
        <v>3500</v>
      </c>
      <c r="I15" s="16">
        <v>3500</v>
      </c>
      <c r="J15" s="16">
        <v>3500</v>
      </c>
      <c r="K15" s="16">
        <v>3500</v>
      </c>
      <c r="L15" s="16">
        <v>3500</v>
      </c>
      <c r="M15" s="16">
        <v>3500</v>
      </c>
      <c r="N15" s="16">
        <v>3500</v>
      </c>
      <c r="O15" s="16">
        <v>3500</v>
      </c>
      <c r="P15" s="16">
        <v>3500</v>
      </c>
      <c r="Q15" s="16">
        <v>3500</v>
      </c>
      <c r="R15" s="16">
        <v>3500</v>
      </c>
      <c r="S15" s="16">
        <v>3500</v>
      </c>
      <c r="T15" s="16">
        <v>3500</v>
      </c>
      <c r="U15" s="16">
        <v>3500</v>
      </c>
      <c r="V15" s="16">
        <v>3500</v>
      </c>
      <c r="W15" s="16">
        <v>3500</v>
      </c>
      <c r="X15" s="16">
        <v>3500</v>
      </c>
      <c r="Y15" s="16">
        <v>3500</v>
      </c>
      <c r="Z15" s="16">
        <v>3500</v>
      </c>
      <c r="AA15" s="16">
        <v>3500</v>
      </c>
      <c r="AB15" s="17">
        <f t="shared" si="0"/>
        <v>1764000</v>
      </c>
      <c r="AC15" s="108"/>
    </row>
    <row r="16" spans="1:33" ht="15.75" thickBot="1" x14ac:dyDescent="0.3">
      <c r="A16" s="103">
        <v>46357</v>
      </c>
      <c r="B16" s="21" t="s">
        <v>28</v>
      </c>
      <c r="C16" s="22">
        <v>4</v>
      </c>
      <c r="D16" s="16">
        <v>12000</v>
      </c>
      <c r="E16" s="16">
        <v>12000</v>
      </c>
      <c r="F16" s="16">
        <v>12000</v>
      </c>
      <c r="G16" s="16">
        <v>12000</v>
      </c>
      <c r="H16" s="16">
        <v>12000</v>
      </c>
      <c r="I16" s="16">
        <v>12000</v>
      </c>
      <c r="J16" s="16">
        <v>12000</v>
      </c>
      <c r="K16" s="16">
        <v>12000</v>
      </c>
      <c r="L16" s="16">
        <v>12000</v>
      </c>
      <c r="M16" s="16">
        <v>12000</v>
      </c>
      <c r="N16" s="16">
        <v>12000</v>
      </c>
      <c r="O16" s="16">
        <v>12000</v>
      </c>
      <c r="P16" s="16">
        <v>12000</v>
      </c>
      <c r="Q16" s="16">
        <v>12000</v>
      </c>
      <c r="R16" s="16">
        <v>12000</v>
      </c>
      <c r="S16" s="16">
        <v>12000</v>
      </c>
      <c r="T16" s="16">
        <v>12000</v>
      </c>
      <c r="U16" s="16">
        <v>12000</v>
      </c>
      <c r="V16" s="16">
        <v>12000</v>
      </c>
      <c r="W16" s="16">
        <v>12000</v>
      </c>
      <c r="X16" s="16">
        <v>12000</v>
      </c>
      <c r="Y16" s="16">
        <v>12000</v>
      </c>
      <c r="Z16" s="16">
        <v>12000</v>
      </c>
      <c r="AA16" s="16">
        <v>12000</v>
      </c>
      <c r="AB16" s="17">
        <f t="shared" si="0"/>
        <v>1152000</v>
      </c>
      <c r="AC16" s="106">
        <f>+AB16+AB17+AB18</f>
        <v>8928000</v>
      </c>
    </row>
    <row r="17" spans="1:33" ht="15.75" thickBot="1" x14ac:dyDescent="0.3">
      <c r="A17" s="104"/>
      <c r="B17" s="23" t="s">
        <v>29</v>
      </c>
      <c r="C17" s="23">
        <v>4</v>
      </c>
      <c r="D17" s="16">
        <v>12000</v>
      </c>
      <c r="E17" s="16">
        <v>12000</v>
      </c>
      <c r="F17" s="16">
        <v>12000</v>
      </c>
      <c r="G17" s="16">
        <v>12000</v>
      </c>
      <c r="H17" s="16">
        <v>12000</v>
      </c>
      <c r="I17" s="16">
        <v>12000</v>
      </c>
      <c r="J17" s="16">
        <v>12000</v>
      </c>
      <c r="K17" s="16">
        <v>12000</v>
      </c>
      <c r="L17" s="16">
        <v>12000</v>
      </c>
      <c r="M17" s="16">
        <v>12000</v>
      </c>
      <c r="N17" s="16">
        <v>12000</v>
      </c>
      <c r="O17" s="16">
        <v>12000</v>
      </c>
      <c r="P17" s="16">
        <v>12000</v>
      </c>
      <c r="Q17" s="16">
        <v>12000</v>
      </c>
      <c r="R17" s="16">
        <v>12000</v>
      </c>
      <c r="S17" s="16">
        <v>12000</v>
      </c>
      <c r="T17" s="16">
        <v>12000</v>
      </c>
      <c r="U17" s="16">
        <v>12000</v>
      </c>
      <c r="V17" s="16">
        <v>12000</v>
      </c>
      <c r="W17" s="16">
        <v>12000</v>
      </c>
      <c r="X17" s="16">
        <v>12000</v>
      </c>
      <c r="Y17" s="16">
        <v>12000</v>
      </c>
      <c r="Z17" s="16">
        <v>12000</v>
      </c>
      <c r="AA17" s="16">
        <v>12000</v>
      </c>
      <c r="AB17" s="17">
        <f t="shared" si="0"/>
        <v>1152000</v>
      </c>
      <c r="AC17" s="107"/>
    </row>
    <row r="18" spans="1:33" ht="15.75" thickBot="1" x14ac:dyDescent="0.3">
      <c r="A18" s="105"/>
      <c r="B18" s="24" t="s">
        <v>30</v>
      </c>
      <c r="C18" s="24">
        <v>23</v>
      </c>
      <c r="D18" s="16">
        <v>12000</v>
      </c>
      <c r="E18" s="16">
        <v>12000</v>
      </c>
      <c r="F18" s="16">
        <v>12000</v>
      </c>
      <c r="G18" s="16">
        <v>12000</v>
      </c>
      <c r="H18" s="16">
        <v>12000</v>
      </c>
      <c r="I18" s="16">
        <v>12000</v>
      </c>
      <c r="J18" s="16">
        <v>12000</v>
      </c>
      <c r="K18" s="16">
        <v>12000</v>
      </c>
      <c r="L18" s="16">
        <v>12000</v>
      </c>
      <c r="M18" s="16">
        <v>12000</v>
      </c>
      <c r="N18" s="16">
        <v>12000</v>
      </c>
      <c r="O18" s="16">
        <v>12000</v>
      </c>
      <c r="P18" s="16">
        <v>12000</v>
      </c>
      <c r="Q18" s="16">
        <v>12000</v>
      </c>
      <c r="R18" s="16">
        <v>12000</v>
      </c>
      <c r="S18" s="16">
        <v>12000</v>
      </c>
      <c r="T18" s="16">
        <v>12000</v>
      </c>
      <c r="U18" s="16">
        <v>12000</v>
      </c>
      <c r="V18" s="16">
        <v>12000</v>
      </c>
      <c r="W18" s="16">
        <v>12000</v>
      </c>
      <c r="X18" s="16">
        <v>12000</v>
      </c>
      <c r="Y18" s="16">
        <v>12000</v>
      </c>
      <c r="Z18" s="16">
        <v>12000</v>
      </c>
      <c r="AA18" s="16">
        <v>12000</v>
      </c>
      <c r="AB18" s="17">
        <f t="shared" si="0"/>
        <v>6624000</v>
      </c>
      <c r="AC18" s="108"/>
    </row>
    <row r="20" spans="1:33" ht="15.75" thickBot="1" x14ac:dyDescent="0.3"/>
    <row r="21" spans="1:33" ht="18.75" thickBot="1" x14ac:dyDescent="0.3">
      <c r="A21" s="1" t="s">
        <v>0</v>
      </c>
      <c r="B21" s="25" t="s">
        <v>1</v>
      </c>
      <c r="C21" s="25" t="s">
        <v>2</v>
      </c>
      <c r="D21" s="3" t="s">
        <v>3</v>
      </c>
      <c r="E21" s="4" t="s">
        <v>4</v>
      </c>
      <c r="F21" s="4" t="s">
        <v>5</v>
      </c>
      <c r="G21" s="4" t="s">
        <v>6</v>
      </c>
      <c r="H21" s="4" t="s">
        <v>7</v>
      </c>
      <c r="I21" s="4" t="s">
        <v>8</v>
      </c>
      <c r="J21" s="4" t="s">
        <v>9</v>
      </c>
      <c r="K21" s="4" t="s">
        <v>10</v>
      </c>
      <c r="L21" s="4" t="s">
        <v>11</v>
      </c>
      <c r="M21" s="4" t="s">
        <v>12</v>
      </c>
      <c r="N21" s="4" t="s">
        <v>13</v>
      </c>
      <c r="O21" s="4" t="s">
        <v>14</v>
      </c>
      <c r="P21" s="4" t="s">
        <v>15</v>
      </c>
      <c r="Q21" s="4" t="s">
        <v>16</v>
      </c>
      <c r="R21" s="4" t="s">
        <v>17</v>
      </c>
      <c r="S21" s="4" t="s">
        <v>18</v>
      </c>
      <c r="T21" s="4" t="s">
        <v>19</v>
      </c>
      <c r="U21" s="4" t="s">
        <v>20</v>
      </c>
      <c r="V21" s="4" t="s">
        <v>21</v>
      </c>
      <c r="W21" s="4" t="s">
        <v>22</v>
      </c>
      <c r="X21" s="4" t="s">
        <v>23</v>
      </c>
      <c r="Y21" s="4" t="s">
        <v>24</v>
      </c>
      <c r="Z21" s="4" t="s">
        <v>25</v>
      </c>
      <c r="AA21" s="4" t="s">
        <v>26</v>
      </c>
      <c r="AB21" s="109" t="s">
        <v>27</v>
      </c>
      <c r="AC21" s="110"/>
    </row>
    <row r="22" spans="1:33" ht="18.75" thickBot="1" x14ac:dyDescent="0.3">
      <c r="A22" s="90">
        <v>46388</v>
      </c>
      <c r="B22" s="1" t="s">
        <v>28</v>
      </c>
      <c r="C22" s="1">
        <v>5</v>
      </c>
      <c r="D22" s="16">
        <v>12000</v>
      </c>
      <c r="E22" s="16">
        <v>12000</v>
      </c>
      <c r="F22" s="16">
        <v>12000</v>
      </c>
      <c r="G22" s="16">
        <v>12000</v>
      </c>
      <c r="H22" s="16">
        <v>12000</v>
      </c>
      <c r="I22" s="16">
        <v>12000</v>
      </c>
      <c r="J22" s="16">
        <v>12000</v>
      </c>
      <c r="K22" s="16">
        <v>12000</v>
      </c>
      <c r="L22" s="16">
        <v>12000</v>
      </c>
      <c r="M22" s="16">
        <v>12000</v>
      </c>
      <c r="N22" s="16">
        <v>12000</v>
      </c>
      <c r="O22" s="16">
        <v>12000</v>
      </c>
      <c r="P22" s="16">
        <v>12000</v>
      </c>
      <c r="Q22" s="16">
        <v>12000</v>
      </c>
      <c r="R22" s="16">
        <v>12000</v>
      </c>
      <c r="S22" s="16">
        <v>12000</v>
      </c>
      <c r="T22" s="16">
        <v>12000</v>
      </c>
      <c r="U22" s="16">
        <v>12000</v>
      </c>
      <c r="V22" s="16">
        <v>12000</v>
      </c>
      <c r="W22" s="16">
        <v>12000</v>
      </c>
      <c r="X22" s="16">
        <v>12000</v>
      </c>
      <c r="Y22" s="16">
        <v>12000</v>
      </c>
      <c r="Z22" s="16">
        <v>12000</v>
      </c>
      <c r="AA22" s="16">
        <v>12000</v>
      </c>
      <c r="AB22" s="6">
        <f t="shared" ref="AB22:AB57" si="1">SUM(D22:AA22)*C22</f>
        <v>1440000</v>
      </c>
      <c r="AC22" s="92">
        <f>+AB22+AB23+AB24</f>
        <v>8928000</v>
      </c>
      <c r="AF22" s="67">
        <v>46388</v>
      </c>
      <c r="AG22" s="68">
        <f>AC22</f>
        <v>8928000</v>
      </c>
    </row>
    <row r="23" spans="1:33" ht="18.75" thickBot="1" x14ac:dyDescent="0.3">
      <c r="A23" s="91"/>
      <c r="B23" s="7" t="s">
        <v>29</v>
      </c>
      <c r="C23" s="7">
        <v>7</v>
      </c>
      <c r="D23" s="16">
        <v>12000</v>
      </c>
      <c r="E23" s="16">
        <v>12000</v>
      </c>
      <c r="F23" s="16">
        <v>12000</v>
      </c>
      <c r="G23" s="16">
        <v>12000</v>
      </c>
      <c r="H23" s="16">
        <v>12000</v>
      </c>
      <c r="I23" s="16">
        <v>12000</v>
      </c>
      <c r="J23" s="16">
        <v>12000</v>
      </c>
      <c r="K23" s="16">
        <v>12000</v>
      </c>
      <c r="L23" s="16">
        <v>12000</v>
      </c>
      <c r="M23" s="16">
        <v>12000</v>
      </c>
      <c r="N23" s="16">
        <v>12000</v>
      </c>
      <c r="O23" s="16">
        <v>12000</v>
      </c>
      <c r="P23" s="16">
        <v>12000</v>
      </c>
      <c r="Q23" s="16">
        <v>12000</v>
      </c>
      <c r="R23" s="16">
        <v>12000</v>
      </c>
      <c r="S23" s="16">
        <v>12000</v>
      </c>
      <c r="T23" s="16">
        <v>12000</v>
      </c>
      <c r="U23" s="16">
        <v>12000</v>
      </c>
      <c r="V23" s="16">
        <v>12000</v>
      </c>
      <c r="W23" s="16">
        <v>12000</v>
      </c>
      <c r="X23" s="16">
        <v>12000</v>
      </c>
      <c r="Y23" s="16">
        <v>12000</v>
      </c>
      <c r="Z23" s="16">
        <v>12000</v>
      </c>
      <c r="AA23" s="16">
        <v>12000</v>
      </c>
      <c r="AB23" s="6">
        <f t="shared" si="1"/>
        <v>2016000</v>
      </c>
      <c r="AC23" s="93"/>
      <c r="AF23" s="67">
        <v>46419</v>
      </c>
      <c r="AG23" s="68">
        <f>AC25</f>
        <v>8064000</v>
      </c>
    </row>
    <row r="24" spans="1:33" ht="18.75" thickBot="1" x14ac:dyDescent="0.3">
      <c r="A24" s="91"/>
      <c r="B24" s="8" t="s">
        <v>30</v>
      </c>
      <c r="C24" s="8">
        <v>19</v>
      </c>
      <c r="D24" s="16">
        <v>12000</v>
      </c>
      <c r="E24" s="16">
        <v>12000</v>
      </c>
      <c r="F24" s="16">
        <v>12000</v>
      </c>
      <c r="G24" s="16">
        <v>12000</v>
      </c>
      <c r="H24" s="16">
        <v>12000</v>
      </c>
      <c r="I24" s="16">
        <v>12000</v>
      </c>
      <c r="J24" s="16">
        <v>12000</v>
      </c>
      <c r="K24" s="16">
        <v>12000</v>
      </c>
      <c r="L24" s="16">
        <v>12000</v>
      </c>
      <c r="M24" s="16">
        <v>12000</v>
      </c>
      <c r="N24" s="16">
        <v>12000</v>
      </c>
      <c r="O24" s="16">
        <v>12000</v>
      </c>
      <c r="P24" s="16">
        <v>12000</v>
      </c>
      <c r="Q24" s="16">
        <v>12000</v>
      </c>
      <c r="R24" s="16">
        <v>12000</v>
      </c>
      <c r="S24" s="16">
        <v>12000</v>
      </c>
      <c r="T24" s="16">
        <v>12000</v>
      </c>
      <c r="U24" s="16">
        <v>12000</v>
      </c>
      <c r="V24" s="16">
        <v>12000</v>
      </c>
      <c r="W24" s="16">
        <v>12000</v>
      </c>
      <c r="X24" s="16">
        <v>12000</v>
      </c>
      <c r="Y24" s="16">
        <v>12000</v>
      </c>
      <c r="Z24" s="16">
        <v>12000</v>
      </c>
      <c r="AA24" s="16">
        <v>12000</v>
      </c>
      <c r="AB24" s="6">
        <f t="shared" si="1"/>
        <v>5472000</v>
      </c>
      <c r="AC24" s="94"/>
      <c r="AF24" s="67">
        <v>46447</v>
      </c>
      <c r="AG24" s="68">
        <f>AC28</f>
        <v>8928000</v>
      </c>
    </row>
    <row r="25" spans="1:33" ht="18.75" thickBot="1" x14ac:dyDescent="0.3">
      <c r="A25" s="90">
        <v>46419</v>
      </c>
      <c r="B25" s="1" t="s">
        <v>28</v>
      </c>
      <c r="C25" s="1">
        <v>4</v>
      </c>
      <c r="D25" s="16">
        <v>12000</v>
      </c>
      <c r="E25" s="16">
        <v>12000</v>
      </c>
      <c r="F25" s="16">
        <v>12000</v>
      </c>
      <c r="G25" s="16">
        <v>12000</v>
      </c>
      <c r="H25" s="16">
        <v>12000</v>
      </c>
      <c r="I25" s="16">
        <v>12000</v>
      </c>
      <c r="J25" s="16">
        <v>12000</v>
      </c>
      <c r="K25" s="16">
        <v>12000</v>
      </c>
      <c r="L25" s="16">
        <v>12000</v>
      </c>
      <c r="M25" s="16">
        <v>12000</v>
      </c>
      <c r="N25" s="16">
        <v>12000</v>
      </c>
      <c r="O25" s="16">
        <v>12000</v>
      </c>
      <c r="P25" s="16">
        <v>12000</v>
      </c>
      <c r="Q25" s="16">
        <v>12000</v>
      </c>
      <c r="R25" s="16">
        <v>12000</v>
      </c>
      <c r="S25" s="16">
        <v>12000</v>
      </c>
      <c r="T25" s="16">
        <v>12000</v>
      </c>
      <c r="U25" s="16">
        <v>12000</v>
      </c>
      <c r="V25" s="16">
        <v>12000</v>
      </c>
      <c r="W25" s="16">
        <v>12000</v>
      </c>
      <c r="X25" s="16">
        <v>12000</v>
      </c>
      <c r="Y25" s="16">
        <v>12000</v>
      </c>
      <c r="Z25" s="16">
        <v>12000</v>
      </c>
      <c r="AA25" s="16">
        <v>12000</v>
      </c>
      <c r="AB25" s="6">
        <f t="shared" si="1"/>
        <v>1152000</v>
      </c>
      <c r="AC25" s="92">
        <f>+AB25+AB26+AB27</f>
        <v>8064000</v>
      </c>
      <c r="AF25" s="67">
        <v>46478</v>
      </c>
      <c r="AG25" s="68">
        <f>AC31</f>
        <v>8640000</v>
      </c>
    </row>
    <row r="26" spans="1:33" ht="18.75" thickBot="1" x14ac:dyDescent="0.3">
      <c r="A26" s="91"/>
      <c r="B26" s="7" t="s">
        <v>29</v>
      </c>
      <c r="C26" s="7">
        <v>4</v>
      </c>
      <c r="D26" s="16">
        <v>12000</v>
      </c>
      <c r="E26" s="16">
        <v>12000</v>
      </c>
      <c r="F26" s="16">
        <v>12000</v>
      </c>
      <c r="G26" s="16">
        <v>12000</v>
      </c>
      <c r="H26" s="16">
        <v>12000</v>
      </c>
      <c r="I26" s="16">
        <v>12000</v>
      </c>
      <c r="J26" s="16">
        <v>12000</v>
      </c>
      <c r="K26" s="16">
        <v>12000</v>
      </c>
      <c r="L26" s="16">
        <v>12000</v>
      </c>
      <c r="M26" s="16">
        <v>12000</v>
      </c>
      <c r="N26" s="16">
        <v>12000</v>
      </c>
      <c r="O26" s="16">
        <v>12000</v>
      </c>
      <c r="P26" s="16">
        <v>12000</v>
      </c>
      <c r="Q26" s="16">
        <v>12000</v>
      </c>
      <c r="R26" s="16">
        <v>12000</v>
      </c>
      <c r="S26" s="16">
        <v>12000</v>
      </c>
      <c r="T26" s="16">
        <v>12000</v>
      </c>
      <c r="U26" s="16">
        <v>12000</v>
      </c>
      <c r="V26" s="16">
        <v>12000</v>
      </c>
      <c r="W26" s="16">
        <v>12000</v>
      </c>
      <c r="X26" s="16">
        <v>12000</v>
      </c>
      <c r="Y26" s="16">
        <v>12000</v>
      </c>
      <c r="Z26" s="16">
        <v>12000</v>
      </c>
      <c r="AA26" s="16">
        <v>12000</v>
      </c>
      <c r="AB26" s="6">
        <f t="shared" si="1"/>
        <v>1152000</v>
      </c>
      <c r="AC26" s="93"/>
      <c r="AF26" s="67">
        <v>46508</v>
      </c>
      <c r="AG26" s="68">
        <f>AC34</f>
        <v>8928000</v>
      </c>
    </row>
    <row r="27" spans="1:33" ht="18.75" thickBot="1" x14ac:dyDescent="0.3">
      <c r="A27" s="91"/>
      <c r="B27" s="8" t="s">
        <v>30</v>
      </c>
      <c r="C27" s="8">
        <v>20</v>
      </c>
      <c r="D27" s="16">
        <v>12000</v>
      </c>
      <c r="E27" s="16">
        <v>12000</v>
      </c>
      <c r="F27" s="16">
        <v>12000</v>
      </c>
      <c r="G27" s="16">
        <v>12000</v>
      </c>
      <c r="H27" s="16">
        <v>12000</v>
      </c>
      <c r="I27" s="16">
        <v>12000</v>
      </c>
      <c r="J27" s="16">
        <v>12000</v>
      </c>
      <c r="K27" s="16">
        <v>12000</v>
      </c>
      <c r="L27" s="16">
        <v>12000</v>
      </c>
      <c r="M27" s="16">
        <v>12000</v>
      </c>
      <c r="N27" s="16">
        <v>12000</v>
      </c>
      <c r="O27" s="16">
        <v>12000</v>
      </c>
      <c r="P27" s="16">
        <v>12000</v>
      </c>
      <c r="Q27" s="16">
        <v>12000</v>
      </c>
      <c r="R27" s="16">
        <v>12000</v>
      </c>
      <c r="S27" s="16">
        <v>12000</v>
      </c>
      <c r="T27" s="16">
        <v>12000</v>
      </c>
      <c r="U27" s="16">
        <v>12000</v>
      </c>
      <c r="V27" s="16">
        <v>12000</v>
      </c>
      <c r="W27" s="16">
        <v>12000</v>
      </c>
      <c r="X27" s="16">
        <v>12000</v>
      </c>
      <c r="Y27" s="16">
        <v>12000</v>
      </c>
      <c r="Z27" s="16">
        <v>12000</v>
      </c>
      <c r="AA27" s="16">
        <v>12000</v>
      </c>
      <c r="AB27" s="6">
        <f t="shared" si="1"/>
        <v>5760000</v>
      </c>
      <c r="AC27" s="94"/>
      <c r="AF27" s="67">
        <v>46539</v>
      </c>
      <c r="AG27" s="68">
        <f>AC37</f>
        <v>8640000</v>
      </c>
    </row>
    <row r="28" spans="1:33" ht="18.75" thickBot="1" x14ac:dyDescent="0.3">
      <c r="A28" s="90">
        <v>46447</v>
      </c>
      <c r="B28" s="1" t="s">
        <v>28</v>
      </c>
      <c r="C28" s="1">
        <v>4</v>
      </c>
      <c r="D28" s="16">
        <v>12000</v>
      </c>
      <c r="E28" s="16">
        <v>12000</v>
      </c>
      <c r="F28" s="16">
        <v>12000</v>
      </c>
      <c r="G28" s="16">
        <v>12000</v>
      </c>
      <c r="H28" s="16">
        <v>12000</v>
      </c>
      <c r="I28" s="16">
        <v>12000</v>
      </c>
      <c r="J28" s="16">
        <v>12000</v>
      </c>
      <c r="K28" s="16">
        <v>12000</v>
      </c>
      <c r="L28" s="16">
        <v>12000</v>
      </c>
      <c r="M28" s="16">
        <v>12000</v>
      </c>
      <c r="N28" s="16">
        <v>12000</v>
      </c>
      <c r="O28" s="16">
        <v>12000</v>
      </c>
      <c r="P28" s="16">
        <v>12000</v>
      </c>
      <c r="Q28" s="16">
        <v>12000</v>
      </c>
      <c r="R28" s="16">
        <v>12000</v>
      </c>
      <c r="S28" s="16">
        <v>12000</v>
      </c>
      <c r="T28" s="16">
        <v>12000</v>
      </c>
      <c r="U28" s="16">
        <v>12000</v>
      </c>
      <c r="V28" s="16">
        <v>12000</v>
      </c>
      <c r="W28" s="16">
        <v>12000</v>
      </c>
      <c r="X28" s="16">
        <v>12000</v>
      </c>
      <c r="Y28" s="16">
        <v>12000</v>
      </c>
      <c r="Z28" s="16">
        <v>12000</v>
      </c>
      <c r="AA28" s="16">
        <v>12000</v>
      </c>
      <c r="AB28" s="6">
        <f t="shared" si="1"/>
        <v>1152000</v>
      </c>
      <c r="AC28" s="92">
        <f>+AB28+AB29+AB30</f>
        <v>8928000</v>
      </c>
      <c r="AF28" s="67">
        <v>46569</v>
      </c>
      <c r="AG28" s="68">
        <f>AC40</f>
        <v>8928000</v>
      </c>
    </row>
    <row r="29" spans="1:33" ht="18.75" thickBot="1" x14ac:dyDescent="0.3">
      <c r="A29" s="91"/>
      <c r="B29" s="7" t="s">
        <v>29</v>
      </c>
      <c r="C29" s="7">
        <v>4</v>
      </c>
      <c r="D29" s="16">
        <v>12000</v>
      </c>
      <c r="E29" s="16">
        <v>12000</v>
      </c>
      <c r="F29" s="16">
        <v>12000</v>
      </c>
      <c r="G29" s="16">
        <v>12000</v>
      </c>
      <c r="H29" s="16">
        <v>12000</v>
      </c>
      <c r="I29" s="16">
        <v>12000</v>
      </c>
      <c r="J29" s="16">
        <v>12000</v>
      </c>
      <c r="K29" s="16">
        <v>12000</v>
      </c>
      <c r="L29" s="16">
        <v>12000</v>
      </c>
      <c r="M29" s="16">
        <v>12000</v>
      </c>
      <c r="N29" s="16">
        <v>12000</v>
      </c>
      <c r="O29" s="16">
        <v>12000</v>
      </c>
      <c r="P29" s="16">
        <v>12000</v>
      </c>
      <c r="Q29" s="16">
        <v>12000</v>
      </c>
      <c r="R29" s="16">
        <v>12000</v>
      </c>
      <c r="S29" s="16">
        <v>12000</v>
      </c>
      <c r="T29" s="16">
        <v>12000</v>
      </c>
      <c r="U29" s="16">
        <v>12000</v>
      </c>
      <c r="V29" s="16">
        <v>12000</v>
      </c>
      <c r="W29" s="16">
        <v>12000</v>
      </c>
      <c r="X29" s="16">
        <v>12000</v>
      </c>
      <c r="Y29" s="16">
        <v>12000</v>
      </c>
      <c r="Z29" s="16">
        <v>12000</v>
      </c>
      <c r="AA29" s="16">
        <v>12000</v>
      </c>
      <c r="AB29" s="6">
        <f t="shared" si="1"/>
        <v>1152000</v>
      </c>
      <c r="AC29" s="93"/>
      <c r="AF29" s="67">
        <v>46600</v>
      </c>
      <c r="AG29" s="68">
        <f>AC43</f>
        <v>8928000</v>
      </c>
    </row>
    <row r="30" spans="1:33" ht="18.75" thickBot="1" x14ac:dyDescent="0.3">
      <c r="A30" s="91"/>
      <c r="B30" s="8" t="s">
        <v>30</v>
      </c>
      <c r="C30" s="8">
        <v>23</v>
      </c>
      <c r="D30" s="16">
        <v>12000</v>
      </c>
      <c r="E30" s="16">
        <v>12000</v>
      </c>
      <c r="F30" s="16">
        <v>12000</v>
      </c>
      <c r="G30" s="16">
        <v>12000</v>
      </c>
      <c r="H30" s="16">
        <v>12000</v>
      </c>
      <c r="I30" s="16">
        <v>12000</v>
      </c>
      <c r="J30" s="16">
        <v>12000</v>
      </c>
      <c r="K30" s="16">
        <v>12000</v>
      </c>
      <c r="L30" s="16">
        <v>12000</v>
      </c>
      <c r="M30" s="16">
        <v>12000</v>
      </c>
      <c r="N30" s="16">
        <v>12000</v>
      </c>
      <c r="O30" s="16">
        <v>12000</v>
      </c>
      <c r="P30" s="16">
        <v>12000</v>
      </c>
      <c r="Q30" s="16">
        <v>12000</v>
      </c>
      <c r="R30" s="16">
        <v>12000</v>
      </c>
      <c r="S30" s="16">
        <v>12000</v>
      </c>
      <c r="T30" s="16">
        <v>12000</v>
      </c>
      <c r="U30" s="16">
        <v>12000</v>
      </c>
      <c r="V30" s="16">
        <v>12000</v>
      </c>
      <c r="W30" s="16">
        <v>12000</v>
      </c>
      <c r="X30" s="16">
        <v>12000</v>
      </c>
      <c r="Y30" s="16">
        <v>12000</v>
      </c>
      <c r="Z30" s="16">
        <v>12000</v>
      </c>
      <c r="AA30" s="16">
        <v>12000</v>
      </c>
      <c r="AB30" s="6">
        <f t="shared" si="1"/>
        <v>6624000</v>
      </c>
      <c r="AC30" s="94"/>
      <c r="AF30" s="67">
        <v>46631</v>
      </c>
      <c r="AG30" s="68">
        <f>AC46</f>
        <v>2520000</v>
      </c>
    </row>
    <row r="31" spans="1:33" ht="18.75" thickBot="1" x14ac:dyDescent="0.3">
      <c r="A31" s="95">
        <v>46478</v>
      </c>
      <c r="B31" s="10" t="s">
        <v>28</v>
      </c>
      <c r="C31" s="10">
        <v>4</v>
      </c>
      <c r="D31" s="16">
        <v>12000</v>
      </c>
      <c r="E31" s="16">
        <v>12000</v>
      </c>
      <c r="F31" s="16">
        <v>12000</v>
      </c>
      <c r="G31" s="16">
        <v>12000</v>
      </c>
      <c r="H31" s="16">
        <v>12000</v>
      </c>
      <c r="I31" s="16">
        <v>12000</v>
      </c>
      <c r="J31" s="16">
        <v>12000</v>
      </c>
      <c r="K31" s="16">
        <v>12000</v>
      </c>
      <c r="L31" s="16">
        <v>12000</v>
      </c>
      <c r="M31" s="16">
        <v>12000</v>
      </c>
      <c r="N31" s="16">
        <v>12000</v>
      </c>
      <c r="O31" s="16">
        <v>12000</v>
      </c>
      <c r="P31" s="16">
        <v>12000</v>
      </c>
      <c r="Q31" s="16">
        <v>12000</v>
      </c>
      <c r="R31" s="16">
        <v>12000</v>
      </c>
      <c r="S31" s="16">
        <v>12000</v>
      </c>
      <c r="T31" s="16">
        <v>12000</v>
      </c>
      <c r="U31" s="16">
        <v>12000</v>
      </c>
      <c r="V31" s="16">
        <v>12000</v>
      </c>
      <c r="W31" s="16">
        <v>12000</v>
      </c>
      <c r="X31" s="16">
        <v>12000</v>
      </c>
      <c r="Y31" s="16">
        <v>12000</v>
      </c>
      <c r="Z31" s="16">
        <v>12000</v>
      </c>
      <c r="AA31" s="16">
        <v>12000</v>
      </c>
      <c r="AB31" s="6">
        <f t="shared" si="1"/>
        <v>1152000</v>
      </c>
      <c r="AC31" s="92">
        <f>+AB31+AB32+AB33</f>
        <v>8640000</v>
      </c>
      <c r="AF31" s="67">
        <v>46661</v>
      </c>
      <c r="AG31" s="68">
        <f>AC49</f>
        <v>2604000</v>
      </c>
    </row>
    <row r="32" spans="1:33" ht="18.75" thickBot="1" x14ac:dyDescent="0.3">
      <c r="A32" s="96"/>
      <c r="B32" s="11" t="s">
        <v>29</v>
      </c>
      <c r="C32" s="11">
        <v>4</v>
      </c>
      <c r="D32" s="16">
        <v>12000</v>
      </c>
      <c r="E32" s="16">
        <v>12000</v>
      </c>
      <c r="F32" s="16">
        <v>12000</v>
      </c>
      <c r="G32" s="16">
        <v>12000</v>
      </c>
      <c r="H32" s="16">
        <v>12000</v>
      </c>
      <c r="I32" s="16">
        <v>12000</v>
      </c>
      <c r="J32" s="16">
        <v>12000</v>
      </c>
      <c r="K32" s="16">
        <v>12000</v>
      </c>
      <c r="L32" s="16">
        <v>12000</v>
      </c>
      <c r="M32" s="16">
        <v>12000</v>
      </c>
      <c r="N32" s="16">
        <v>12000</v>
      </c>
      <c r="O32" s="16">
        <v>12000</v>
      </c>
      <c r="P32" s="16">
        <v>12000</v>
      </c>
      <c r="Q32" s="16">
        <v>12000</v>
      </c>
      <c r="R32" s="16">
        <v>12000</v>
      </c>
      <c r="S32" s="16">
        <v>12000</v>
      </c>
      <c r="T32" s="16">
        <v>12000</v>
      </c>
      <c r="U32" s="16">
        <v>12000</v>
      </c>
      <c r="V32" s="16">
        <v>12000</v>
      </c>
      <c r="W32" s="16">
        <v>12000</v>
      </c>
      <c r="X32" s="16">
        <v>12000</v>
      </c>
      <c r="Y32" s="16">
        <v>12000</v>
      </c>
      <c r="Z32" s="16">
        <v>12000</v>
      </c>
      <c r="AA32" s="16">
        <v>12000</v>
      </c>
      <c r="AB32" s="6">
        <f t="shared" si="1"/>
        <v>1152000</v>
      </c>
      <c r="AC32" s="93"/>
      <c r="AF32" s="67">
        <v>46692</v>
      </c>
      <c r="AG32" s="68">
        <f>AC52</f>
        <v>2520000</v>
      </c>
    </row>
    <row r="33" spans="1:33" ht="18.75" thickBot="1" x14ac:dyDescent="0.3">
      <c r="A33" s="97"/>
      <c r="B33" s="12" t="s">
        <v>30</v>
      </c>
      <c r="C33" s="12">
        <v>22</v>
      </c>
      <c r="D33" s="16">
        <v>12000</v>
      </c>
      <c r="E33" s="16">
        <v>12000</v>
      </c>
      <c r="F33" s="16">
        <v>12000</v>
      </c>
      <c r="G33" s="16">
        <v>12000</v>
      </c>
      <c r="H33" s="16">
        <v>12000</v>
      </c>
      <c r="I33" s="16">
        <v>12000</v>
      </c>
      <c r="J33" s="16">
        <v>12000</v>
      </c>
      <c r="K33" s="16">
        <v>12000</v>
      </c>
      <c r="L33" s="16">
        <v>12000</v>
      </c>
      <c r="M33" s="16">
        <v>12000</v>
      </c>
      <c r="N33" s="16">
        <v>12000</v>
      </c>
      <c r="O33" s="16">
        <v>12000</v>
      </c>
      <c r="P33" s="16">
        <v>12000</v>
      </c>
      <c r="Q33" s="16">
        <v>12000</v>
      </c>
      <c r="R33" s="16">
        <v>12000</v>
      </c>
      <c r="S33" s="16">
        <v>12000</v>
      </c>
      <c r="T33" s="16">
        <v>12000</v>
      </c>
      <c r="U33" s="16">
        <v>12000</v>
      </c>
      <c r="V33" s="16">
        <v>12000</v>
      </c>
      <c r="W33" s="16">
        <v>12000</v>
      </c>
      <c r="X33" s="16">
        <v>12000</v>
      </c>
      <c r="Y33" s="16">
        <v>12000</v>
      </c>
      <c r="Z33" s="16">
        <v>12000</v>
      </c>
      <c r="AA33" s="16">
        <v>12000</v>
      </c>
      <c r="AB33" s="6">
        <f t="shared" si="1"/>
        <v>6336000</v>
      </c>
      <c r="AC33" s="94"/>
      <c r="AF33" s="67">
        <v>46722</v>
      </c>
      <c r="AG33" s="68">
        <f>AC55</f>
        <v>8928000</v>
      </c>
    </row>
    <row r="34" spans="1:33" ht="18.75" thickBot="1" x14ac:dyDescent="0.3">
      <c r="A34" s="95">
        <v>46508</v>
      </c>
      <c r="B34" s="9" t="s">
        <v>28</v>
      </c>
      <c r="C34" s="9">
        <v>5</v>
      </c>
      <c r="D34" s="16">
        <v>12000</v>
      </c>
      <c r="E34" s="16">
        <v>12000</v>
      </c>
      <c r="F34" s="16">
        <v>12000</v>
      </c>
      <c r="G34" s="16">
        <v>12000</v>
      </c>
      <c r="H34" s="16">
        <v>12000</v>
      </c>
      <c r="I34" s="16">
        <v>12000</v>
      </c>
      <c r="J34" s="16">
        <v>12000</v>
      </c>
      <c r="K34" s="16">
        <v>12000</v>
      </c>
      <c r="L34" s="16">
        <v>12000</v>
      </c>
      <c r="M34" s="16">
        <v>12000</v>
      </c>
      <c r="N34" s="16">
        <v>12000</v>
      </c>
      <c r="O34" s="16">
        <v>12000</v>
      </c>
      <c r="P34" s="16">
        <v>12000</v>
      </c>
      <c r="Q34" s="16">
        <v>12000</v>
      </c>
      <c r="R34" s="16">
        <v>12000</v>
      </c>
      <c r="S34" s="16">
        <v>12000</v>
      </c>
      <c r="T34" s="16">
        <v>12000</v>
      </c>
      <c r="U34" s="16">
        <v>12000</v>
      </c>
      <c r="V34" s="16">
        <v>12000</v>
      </c>
      <c r="W34" s="16">
        <v>12000</v>
      </c>
      <c r="X34" s="16">
        <v>12000</v>
      </c>
      <c r="Y34" s="16">
        <v>12000</v>
      </c>
      <c r="Z34" s="16">
        <v>12000</v>
      </c>
      <c r="AA34" s="16">
        <v>12000</v>
      </c>
      <c r="AB34" s="6">
        <f t="shared" si="1"/>
        <v>1440000</v>
      </c>
      <c r="AC34" s="92">
        <f>+AB34+AB35+AB36</f>
        <v>8928000</v>
      </c>
    </row>
    <row r="35" spans="1:33" ht="18.75" thickBot="1" x14ac:dyDescent="0.3">
      <c r="A35" s="96"/>
      <c r="B35" s="11" t="s">
        <v>29</v>
      </c>
      <c r="C35" s="11">
        <v>5</v>
      </c>
      <c r="D35" s="16">
        <v>12000</v>
      </c>
      <c r="E35" s="16">
        <v>12000</v>
      </c>
      <c r="F35" s="16">
        <v>12000</v>
      </c>
      <c r="G35" s="16">
        <v>12000</v>
      </c>
      <c r="H35" s="16">
        <v>12000</v>
      </c>
      <c r="I35" s="16">
        <v>12000</v>
      </c>
      <c r="J35" s="16">
        <v>12000</v>
      </c>
      <c r="K35" s="16">
        <v>12000</v>
      </c>
      <c r="L35" s="16">
        <v>12000</v>
      </c>
      <c r="M35" s="16">
        <v>12000</v>
      </c>
      <c r="N35" s="16">
        <v>12000</v>
      </c>
      <c r="O35" s="16">
        <v>12000</v>
      </c>
      <c r="P35" s="16">
        <v>12000</v>
      </c>
      <c r="Q35" s="16">
        <v>12000</v>
      </c>
      <c r="R35" s="16">
        <v>12000</v>
      </c>
      <c r="S35" s="16">
        <v>12000</v>
      </c>
      <c r="T35" s="16">
        <v>12000</v>
      </c>
      <c r="U35" s="16">
        <v>12000</v>
      </c>
      <c r="V35" s="16">
        <v>12000</v>
      </c>
      <c r="W35" s="16">
        <v>12000</v>
      </c>
      <c r="X35" s="16">
        <v>12000</v>
      </c>
      <c r="Y35" s="16">
        <v>12000</v>
      </c>
      <c r="Z35" s="16">
        <v>12000</v>
      </c>
      <c r="AA35" s="16">
        <v>12000</v>
      </c>
      <c r="AB35" s="6">
        <f t="shared" si="1"/>
        <v>1440000</v>
      </c>
      <c r="AC35" s="93"/>
    </row>
    <row r="36" spans="1:33" ht="18.75" thickBot="1" x14ac:dyDescent="0.3">
      <c r="A36" s="97"/>
      <c r="B36" s="12" t="s">
        <v>30</v>
      </c>
      <c r="C36" s="12">
        <v>21</v>
      </c>
      <c r="D36" s="16">
        <v>12000</v>
      </c>
      <c r="E36" s="16">
        <v>12000</v>
      </c>
      <c r="F36" s="16">
        <v>12000</v>
      </c>
      <c r="G36" s="16">
        <v>12000</v>
      </c>
      <c r="H36" s="16">
        <v>12000</v>
      </c>
      <c r="I36" s="16">
        <v>12000</v>
      </c>
      <c r="J36" s="16">
        <v>12000</v>
      </c>
      <c r="K36" s="16">
        <v>12000</v>
      </c>
      <c r="L36" s="16">
        <v>12000</v>
      </c>
      <c r="M36" s="16">
        <v>12000</v>
      </c>
      <c r="N36" s="16">
        <v>12000</v>
      </c>
      <c r="O36" s="16">
        <v>12000</v>
      </c>
      <c r="P36" s="16">
        <v>12000</v>
      </c>
      <c r="Q36" s="16">
        <v>12000</v>
      </c>
      <c r="R36" s="16">
        <v>12000</v>
      </c>
      <c r="S36" s="16">
        <v>12000</v>
      </c>
      <c r="T36" s="16">
        <v>12000</v>
      </c>
      <c r="U36" s="16">
        <v>12000</v>
      </c>
      <c r="V36" s="16">
        <v>12000</v>
      </c>
      <c r="W36" s="16">
        <v>12000</v>
      </c>
      <c r="X36" s="16">
        <v>12000</v>
      </c>
      <c r="Y36" s="16">
        <v>12000</v>
      </c>
      <c r="Z36" s="16">
        <v>12000</v>
      </c>
      <c r="AA36" s="16">
        <v>12000</v>
      </c>
      <c r="AB36" s="6">
        <f t="shared" si="1"/>
        <v>6048000</v>
      </c>
      <c r="AC36" s="94"/>
    </row>
    <row r="37" spans="1:33" ht="18.75" thickBot="1" x14ac:dyDescent="0.3">
      <c r="A37" s="95">
        <v>46539</v>
      </c>
      <c r="B37" s="9" t="s">
        <v>28</v>
      </c>
      <c r="C37" s="9">
        <v>4</v>
      </c>
      <c r="D37" s="16">
        <v>12000</v>
      </c>
      <c r="E37" s="16">
        <v>12000</v>
      </c>
      <c r="F37" s="16">
        <v>12000</v>
      </c>
      <c r="G37" s="16">
        <v>12000</v>
      </c>
      <c r="H37" s="16">
        <v>12000</v>
      </c>
      <c r="I37" s="16">
        <v>12000</v>
      </c>
      <c r="J37" s="16">
        <v>12000</v>
      </c>
      <c r="K37" s="16">
        <v>12000</v>
      </c>
      <c r="L37" s="16">
        <v>12000</v>
      </c>
      <c r="M37" s="16">
        <v>12000</v>
      </c>
      <c r="N37" s="16">
        <v>12000</v>
      </c>
      <c r="O37" s="16">
        <v>12000</v>
      </c>
      <c r="P37" s="16">
        <v>12000</v>
      </c>
      <c r="Q37" s="16">
        <v>12000</v>
      </c>
      <c r="R37" s="16">
        <v>12000</v>
      </c>
      <c r="S37" s="16">
        <v>12000</v>
      </c>
      <c r="T37" s="16">
        <v>12000</v>
      </c>
      <c r="U37" s="16">
        <v>12000</v>
      </c>
      <c r="V37" s="16">
        <v>12000</v>
      </c>
      <c r="W37" s="16">
        <v>12000</v>
      </c>
      <c r="X37" s="16">
        <v>12000</v>
      </c>
      <c r="Y37" s="16">
        <v>12000</v>
      </c>
      <c r="Z37" s="16">
        <v>12000</v>
      </c>
      <c r="AA37" s="16">
        <v>12000</v>
      </c>
      <c r="AB37" s="6">
        <f t="shared" si="1"/>
        <v>1152000</v>
      </c>
      <c r="AC37" s="92">
        <f>+AB37+AB38+AB39</f>
        <v>8640000</v>
      </c>
    </row>
    <row r="38" spans="1:33" ht="18.75" thickBot="1" x14ac:dyDescent="0.3">
      <c r="A38" s="96"/>
      <c r="B38" s="11" t="s">
        <v>29</v>
      </c>
      <c r="C38" s="11">
        <v>4</v>
      </c>
      <c r="D38" s="16">
        <v>12000</v>
      </c>
      <c r="E38" s="16">
        <v>12000</v>
      </c>
      <c r="F38" s="16">
        <v>12000</v>
      </c>
      <c r="G38" s="16">
        <v>12000</v>
      </c>
      <c r="H38" s="16">
        <v>12000</v>
      </c>
      <c r="I38" s="16">
        <v>12000</v>
      </c>
      <c r="J38" s="16">
        <v>12000</v>
      </c>
      <c r="K38" s="16">
        <v>12000</v>
      </c>
      <c r="L38" s="16">
        <v>12000</v>
      </c>
      <c r="M38" s="16">
        <v>12000</v>
      </c>
      <c r="N38" s="16">
        <v>12000</v>
      </c>
      <c r="O38" s="16">
        <v>12000</v>
      </c>
      <c r="P38" s="16">
        <v>12000</v>
      </c>
      <c r="Q38" s="16">
        <v>12000</v>
      </c>
      <c r="R38" s="16">
        <v>12000</v>
      </c>
      <c r="S38" s="16">
        <v>12000</v>
      </c>
      <c r="T38" s="16">
        <v>12000</v>
      </c>
      <c r="U38" s="16">
        <v>12000</v>
      </c>
      <c r="V38" s="16">
        <v>12000</v>
      </c>
      <c r="W38" s="16">
        <v>12000</v>
      </c>
      <c r="X38" s="16">
        <v>12000</v>
      </c>
      <c r="Y38" s="16">
        <v>12000</v>
      </c>
      <c r="Z38" s="16">
        <v>12000</v>
      </c>
      <c r="AA38" s="16">
        <v>12000</v>
      </c>
      <c r="AB38" s="6">
        <f t="shared" si="1"/>
        <v>1152000</v>
      </c>
      <c r="AC38" s="93"/>
    </row>
    <row r="39" spans="1:33" ht="18.75" thickBot="1" x14ac:dyDescent="0.3">
      <c r="A39" s="97"/>
      <c r="B39" s="12" t="s">
        <v>30</v>
      </c>
      <c r="C39" s="12">
        <v>22</v>
      </c>
      <c r="D39" s="16">
        <v>12000</v>
      </c>
      <c r="E39" s="16">
        <v>12000</v>
      </c>
      <c r="F39" s="16">
        <v>12000</v>
      </c>
      <c r="G39" s="16">
        <v>12000</v>
      </c>
      <c r="H39" s="16">
        <v>12000</v>
      </c>
      <c r="I39" s="16">
        <v>12000</v>
      </c>
      <c r="J39" s="16">
        <v>12000</v>
      </c>
      <c r="K39" s="16">
        <v>12000</v>
      </c>
      <c r="L39" s="16">
        <v>12000</v>
      </c>
      <c r="M39" s="16">
        <v>12000</v>
      </c>
      <c r="N39" s="16">
        <v>12000</v>
      </c>
      <c r="O39" s="16">
        <v>12000</v>
      </c>
      <c r="P39" s="16">
        <v>12000</v>
      </c>
      <c r="Q39" s="16">
        <v>12000</v>
      </c>
      <c r="R39" s="16">
        <v>12000</v>
      </c>
      <c r="S39" s="16">
        <v>12000</v>
      </c>
      <c r="T39" s="16">
        <v>12000</v>
      </c>
      <c r="U39" s="16">
        <v>12000</v>
      </c>
      <c r="V39" s="16">
        <v>12000</v>
      </c>
      <c r="W39" s="16">
        <v>12000</v>
      </c>
      <c r="X39" s="16">
        <v>12000</v>
      </c>
      <c r="Y39" s="16">
        <v>12000</v>
      </c>
      <c r="Z39" s="16">
        <v>12000</v>
      </c>
      <c r="AA39" s="16">
        <v>12000</v>
      </c>
      <c r="AB39" s="6">
        <f t="shared" si="1"/>
        <v>6336000</v>
      </c>
      <c r="AC39" s="94"/>
    </row>
    <row r="40" spans="1:33" ht="18.75" thickBot="1" x14ac:dyDescent="0.3">
      <c r="A40" s="95">
        <v>46569</v>
      </c>
      <c r="B40" s="9" t="s">
        <v>28</v>
      </c>
      <c r="C40" s="9">
        <v>5</v>
      </c>
      <c r="D40" s="16">
        <v>12000</v>
      </c>
      <c r="E40" s="16">
        <v>12000</v>
      </c>
      <c r="F40" s="16">
        <v>12000</v>
      </c>
      <c r="G40" s="16">
        <v>12000</v>
      </c>
      <c r="H40" s="16">
        <v>12000</v>
      </c>
      <c r="I40" s="16">
        <v>12000</v>
      </c>
      <c r="J40" s="16">
        <v>12000</v>
      </c>
      <c r="K40" s="16">
        <v>12000</v>
      </c>
      <c r="L40" s="16">
        <v>12000</v>
      </c>
      <c r="M40" s="16">
        <v>12000</v>
      </c>
      <c r="N40" s="16">
        <v>12000</v>
      </c>
      <c r="O40" s="16">
        <v>12000</v>
      </c>
      <c r="P40" s="16">
        <v>12000</v>
      </c>
      <c r="Q40" s="16">
        <v>12000</v>
      </c>
      <c r="R40" s="16">
        <v>12000</v>
      </c>
      <c r="S40" s="16">
        <v>12000</v>
      </c>
      <c r="T40" s="16">
        <v>12000</v>
      </c>
      <c r="U40" s="16">
        <v>12000</v>
      </c>
      <c r="V40" s="16">
        <v>12000</v>
      </c>
      <c r="W40" s="16">
        <v>12000</v>
      </c>
      <c r="X40" s="16">
        <v>12000</v>
      </c>
      <c r="Y40" s="16">
        <v>12000</v>
      </c>
      <c r="Z40" s="16">
        <v>12000</v>
      </c>
      <c r="AA40" s="16">
        <v>12000</v>
      </c>
      <c r="AB40" s="6">
        <f t="shared" si="1"/>
        <v>1440000</v>
      </c>
      <c r="AC40" s="92">
        <f>+AB40+AB41+AB42</f>
        <v>8928000</v>
      </c>
    </row>
    <row r="41" spans="1:33" ht="18.75" thickBot="1" x14ac:dyDescent="0.3">
      <c r="A41" s="96"/>
      <c r="B41" s="11" t="s">
        <v>29</v>
      </c>
      <c r="C41" s="11">
        <v>4</v>
      </c>
      <c r="D41" s="16">
        <v>12000</v>
      </c>
      <c r="E41" s="16">
        <v>12000</v>
      </c>
      <c r="F41" s="16">
        <v>12000</v>
      </c>
      <c r="G41" s="16">
        <v>12000</v>
      </c>
      <c r="H41" s="16">
        <v>12000</v>
      </c>
      <c r="I41" s="16">
        <v>12000</v>
      </c>
      <c r="J41" s="16">
        <v>12000</v>
      </c>
      <c r="K41" s="16">
        <v>12000</v>
      </c>
      <c r="L41" s="16">
        <v>12000</v>
      </c>
      <c r="M41" s="16">
        <v>12000</v>
      </c>
      <c r="N41" s="16">
        <v>12000</v>
      </c>
      <c r="O41" s="16">
        <v>12000</v>
      </c>
      <c r="P41" s="16">
        <v>12000</v>
      </c>
      <c r="Q41" s="16">
        <v>12000</v>
      </c>
      <c r="R41" s="16">
        <v>12000</v>
      </c>
      <c r="S41" s="16">
        <v>12000</v>
      </c>
      <c r="T41" s="16">
        <v>12000</v>
      </c>
      <c r="U41" s="16">
        <v>12000</v>
      </c>
      <c r="V41" s="16">
        <v>12000</v>
      </c>
      <c r="W41" s="16">
        <v>12000</v>
      </c>
      <c r="X41" s="16">
        <v>12000</v>
      </c>
      <c r="Y41" s="16">
        <v>12000</v>
      </c>
      <c r="Z41" s="16">
        <v>12000</v>
      </c>
      <c r="AA41" s="16">
        <v>12000</v>
      </c>
      <c r="AB41" s="6">
        <f t="shared" si="1"/>
        <v>1152000</v>
      </c>
      <c r="AC41" s="93"/>
    </row>
    <row r="42" spans="1:33" ht="18.75" thickBot="1" x14ac:dyDescent="0.3">
      <c r="A42" s="97"/>
      <c r="B42" s="12" t="s">
        <v>30</v>
      </c>
      <c r="C42" s="12">
        <v>22</v>
      </c>
      <c r="D42" s="16">
        <v>12000</v>
      </c>
      <c r="E42" s="16">
        <v>12000</v>
      </c>
      <c r="F42" s="16">
        <v>12000</v>
      </c>
      <c r="G42" s="16">
        <v>12000</v>
      </c>
      <c r="H42" s="16">
        <v>12000</v>
      </c>
      <c r="I42" s="16">
        <v>12000</v>
      </c>
      <c r="J42" s="16">
        <v>12000</v>
      </c>
      <c r="K42" s="16">
        <v>12000</v>
      </c>
      <c r="L42" s="16">
        <v>12000</v>
      </c>
      <c r="M42" s="16">
        <v>12000</v>
      </c>
      <c r="N42" s="16">
        <v>12000</v>
      </c>
      <c r="O42" s="16">
        <v>12000</v>
      </c>
      <c r="P42" s="16">
        <v>12000</v>
      </c>
      <c r="Q42" s="16">
        <v>12000</v>
      </c>
      <c r="R42" s="16">
        <v>12000</v>
      </c>
      <c r="S42" s="16">
        <v>12000</v>
      </c>
      <c r="T42" s="16">
        <v>12000</v>
      </c>
      <c r="U42" s="16">
        <v>12000</v>
      </c>
      <c r="V42" s="16">
        <v>12000</v>
      </c>
      <c r="W42" s="16">
        <v>12000</v>
      </c>
      <c r="X42" s="16">
        <v>12000</v>
      </c>
      <c r="Y42" s="16">
        <v>12000</v>
      </c>
      <c r="Z42" s="16">
        <v>12000</v>
      </c>
      <c r="AA42" s="16">
        <v>12000</v>
      </c>
      <c r="AB42" s="6">
        <f t="shared" si="1"/>
        <v>6336000</v>
      </c>
      <c r="AC42" s="94"/>
    </row>
    <row r="43" spans="1:33" ht="18.75" thickBot="1" x14ac:dyDescent="0.3">
      <c r="A43" s="95">
        <v>46600</v>
      </c>
      <c r="B43" s="9" t="s">
        <v>28</v>
      </c>
      <c r="C43" s="9">
        <v>4</v>
      </c>
      <c r="D43" s="16">
        <v>12000</v>
      </c>
      <c r="E43" s="16">
        <v>12000</v>
      </c>
      <c r="F43" s="16">
        <v>12000</v>
      </c>
      <c r="G43" s="16">
        <v>12000</v>
      </c>
      <c r="H43" s="16">
        <v>12000</v>
      </c>
      <c r="I43" s="16">
        <v>12000</v>
      </c>
      <c r="J43" s="16">
        <v>12000</v>
      </c>
      <c r="K43" s="16">
        <v>12000</v>
      </c>
      <c r="L43" s="16">
        <v>12000</v>
      </c>
      <c r="M43" s="16">
        <v>12000</v>
      </c>
      <c r="N43" s="16">
        <v>12000</v>
      </c>
      <c r="O43" s="16">
        <v>12000</v>
      </c>
      <c r="P43" s="16">
        <v>12000</v>
      </c>
      <c r="Q43" s="16">
        <v>12000</v>
      </c>
      <c r="R43" s="16">
        <v>12000</v>
      </c>
      <c r="S43" s="16">
        <v>12000</v>
      </c>
      <c r="T43" s="16">
        <v>12000</v>
      </c>
      <c r="U43" s="16">
        <v>12000</v>
      </c>
      <c r="V43" s="16">
        <v>12000</v>
      </c>
      <c r="W43" s="16">
        <v>12000</v>
      </c>
      <c r="X43" s="16">
        <v>12000</v>
      </c>
      <c r="Y43" s="16">
        <v>12000</v>
      </c>
      <c r="Z43" s="16">
        <v>12000</v>
      </c>
      <c r="AA43" s="16">
        <v>12000</v>
      </c>
      <c r="AB43" s="6">
        <f t="shared" si="1"/>
        <v>1152000</v>
      </c>
      <c r="AC43" s="92">
        <f>+AB43+AB44+AB45</f>
        <v>8928000</v>
      </c>
    </row>
    <row r="44" spans="1:33" ht="18.75" thickBot="1" x14ac:dyDescent="0.3">
      <c r="A44" s="96"/>
      <c r="B44" s="11" t="s">
        <v>29</v>
      </c>
      <c r="C44" s="11">
        <v>5</v>
      </c>
      <c r="D44" s="16">
        <v>12000</v>
      </c>
      <c r="E44" s="16">
        <v>12000</v>
      </c>
      <c r="F44" s="16">
        <v>12000</v>
      </c>
      <c r="G44" s="16">
        <v>12000</v>
      </c>
      <c r="H44" s="16">
        <v>12000</v>
      </c>
      <c r="I44" s="16">
        <v>12000</v>
      </c>
      <c r="J44" s="16">
        <v>12000</v>
      </c>
      <c r="K44" s="16">
        <v>12000</v>
      </c>
      <c r="L44" s="16">
        <v>12000</v>
      </c>
      <c r="M44" s="16">
        <v>12000</v>
      </c>
      <c r="N44" s="16">
        <v>12000</v>
      </c>
      <c r="O44" s="16">
        <v>12000</v>
      </c>
      <c r="P44" s="16">
        <v>12000</v>
      </c>
      <c r="Q44" s="16">
        <v>12000</v>
      </c>
      <c r="R44" s="16">
        <v>12000</v>
      </c>
      <c r="S44" s="16">
        <v>12000</v>
      </c>
      <c r="T44" s="16">
        <v>12000</v>
      </c>
      <c r="U44" s="16">
        <v>12000</v>
      </c>
      <c r="V44" s="16">
        <v>12000</v>
      </c>
      <c r="W44" s="16">
        <v>12000</v>
      </c>
      <c r="X44" s="16">
        <v>12000</v>
      </c>
      <c r="Y44" s="16">
        <v>12000</v>
      </c>
      <c r="Z44" s="16">
        <v>12000</v>
      </c>
      <c r="AA44" s="16">
        <v>12000</v>
      </c>
      <c r="AB44" s="6">
        <f t="shared" si="1"/>
        <v>1440000</v>
      </c>
      <c r="AC44" s="93"/>
    </row>
    <row r="45" spans="1:33" ht="18.75" thickBot="1" x14ac:dyDescent="0.3">
      <c r="A45" s="97"/>
      <c r="B45" s="12" t="s">
        <v>30</v>
      </c>
      <c r="C45" s="12">
        <v>22</v>
      </c>
      <c r="D45" s="16">
        <v>12000</v>
      </c>
      <c r="E45" s="16">
        <v>12000</v>
      </c>
      <c r="F45" s="16">
        <v>12000</v>
      </c>
      <c r="G45" s="16">
        <v>12000</v>
      </c>
      <c r="H45" s="16">
        <v>12000</v>
      </c>
      <c r="I45" s="16">
        <v>12000</v>
      </c>
      <c r="J45" s="16">
        <v>12000</v>
      </c>
      <c r="K45" s="16">
        <v>12000</v>
      </c>
      <c r="L45" s="16">
        <v>12000</v>
      </c>
      <c r="M45" s="16">
        <v>12000</v>
      </c>
      <c r="N45" s="16">
        <v>12000</v>
      </c>
      <c r="O45" s="16">
        <v>12000</v>
      </c>
      <c r="P45" s="16">
        <v>12000</v>
      </c>
      <c r="Q45" s="16">
        <v>12000</v>
      </c>
      <c r="R45" s="16">
        <v>12000</v>
      </c>
      <c r="S45" s="16">
        <v>12000</v>
      </c>
      <c r="T45" s="16">
        <v>12000</v>
      </c>
      <c r="U45" s="16">
        <v>12000</v>
      </c>
      <c r="V45" s="16">
        <v>12000</v>
      </c>
      <c r="W45" s="16">
        <v>12000</v>
      </c>
      <c r="X45" s="16">
        <v>12000</v>
      </c>
      <c r="Y45" s="16">
        <v>12000</v>
      </c>
      <c r="Z45" s="16">
        <v>12000</v>
      </c>
      <c r="AA45" s="16">
        <v>12000</v>
      </c>
      <c r="AB45" s="6">
        <f t="shared" si="1"/>
        <v>6336000</v>
      </c>
      <c r="AC45" s="94"/>
    </row>
    <row r="46" spans="1:33" ht="18.75" thickBot="1" x14ac:dyDescent="0.3">
      <c r="A46" s="95">
        <v>46631</v>
      </c>
      <c r="B46" s="9" t="s">
        <v>28</v>
      </c>
      <c r="C46" s="9">
        <v>4</v>
      </c>
      <c r="D46" s="16">
        <v>3500</v>
      </c>
      <c r="E46" s="16">
        <v>3500</v>
      </c>
      <c r="F46" s="16">
        <v>3500</v>
      </c>
      <c r="G46" s="16">
        <v>3500</v>
      </c>
      <c r="H46" s="16">
        <v>3500</v>
      </c>
      <c r="I46" s="16">
        <v>3500</v>
      </c>
      <c r="J46" s="16">
        <v>3500</v>
      </c>
      <c r="K46" s="16">
        <v>3500</v>
      </c>
      <c r="L46" s="16">
        <v>3500</v>
      </c>
      <c r="M46" s="16">
        <v>3500</v>
      </c>
      <c r="N46" s="16">
        <v>3500</v>
      </c>
      <c r="O46" s="16">
        <v>3500</v>
      </c>
      <c r="P46" s="16">
        <v>3500</v>
      </c>
      <c r="Q46" s="16">
        <v>3500</v>
      </c>
      <c r="R46" s="16">
        <v>3500</v>
      </c>
      <c r="S46" s="16">
        <v>3500</v>
      </c>
      <c r="T46" s="16">
        <v>3500</v>
      </c>
      <c r="U46" s="16">
        <v>3500</v>
      </c>
      <c r="V46" s="16">
        <v>3500</v>
      </c>
      <c r="W46" s="16">
        <v>3500</v>
      </c>
      <c r="X46" s="16">
        <v>3500</v>
      </c>
      <c r="Y46" s="16">
        <v>3500</v>
      </c>
      <c r="Z46" s="16">
        <v>3500</v>
      </c>
      <c r="AA46" s="16">
        <v>3500</v>
      </c>
      <c r="AB46" s="6">
        <f t="shared" si="1"/>
        <v>336000</v>
      </c>
      <c r="AC46" s="92">
        <f>+AB46+AB47+AB48</f>
        <v>2520000</v>
      </c>
    </row>
    <row r="47" spans="1:33" ht="18.75" thickBot="1" x14ac:dyDescent="0.3">
      <c r="A47" s="96"/>
      <c r="B47" s="11" t="s">
        <v>29</v>
      </c>
      <c r="C47" s="11">
        <v>4</v>
      </c>
      <c r="D47" s="16">
        <v>3500</v>
      </c>
      <c r="E47" s="16">
        <v>3500</v>
      </c>
      <c r="F47" s="16">
        <v>3500</v>
      </c>
      <c r="G47" s="16">
        <v>3500</v>
      </c>
      <c r="H47" s="16">
        <v>3500</v>
      </c>
      <c r="I47" s="16">
        <v>3500</v>
      </c>
      <c r="J47" s="16">
        <v>3500</v>
      </c>
      <c r="K47" s="16">
        <v>3500</v>
      </c>
      <c r="L47" s="16">
        <v>3500</v>
      </c>
      <c r="M47" s="16">
        <v>3500</v>
      </c>
      <c r="N47" s="16">
        <v>3500</v>
      </c>
      <c r="O47" s="16">
        <v>3500</v>
      </c>
      <c r="P47" s="16">
        <v>3500</v>
      </c>
      <c r="Q47" s="16">
        <v>3500</v>
      </c>
      <c r="R47" s="16">
        <v>3500</v>
      </c>
      <c r="S47" s="16">
        <v>3500</v>
      </c>
      <c r="T47" s="16">
        <v>3500</v>
      </c>
      <c r="U47" s="16">
        <v>3500</v>
      </c>
      <c r="V47" s="16">
        <v>3500</v>
      </c>
      <c r="W47" s="16">
        <v>3500</v>
      </c>
      <c r="X47" s="16">
        <v>3500</v>
      </c>
      <c r="Y47" s="16">
        <v>3500</v>
      </c>
      <c r="Z47" s="16">
        <v>3500</v>
      </c>
      <c r="AA47" s="16">
        <v>3500</v>
      </c>
      <c r="AB47" s="6">
        <f t="shared" si="1"/>
        <v>336000</v>
      </c>
      <c r="AC47" s="93"/>
    </row>
    <row r="48" spans="1:33" ht="18.75" thickBot="1" x14ac:dyDescent="0.3">
      <c r="A48" s="97"/>
      <c r="B48" s="12" t="s">
        <v>30</v>
      </c>
      <c r="C48" s="12">
        <v>22</v>
      </c>
      <c r="D48" s="16">
        <v>3500</v>
      </c>
      <c r="E48" s="16">
        <v>3500</v>
      </c>
      <c r="F48" s="16">
        <v>3500</v>
      </c>
      <c r="G48" s="16">
        <v>3500</v>
      </c>
      <c r="H48" s="16">
        <v>3500</v>
      </c>
      <c r="I48" s="16">
        <v>3500</v>
      </c>
      <c r="J48" s="16">
        <v>3500</v>
      </c>
      <c r="K48" s="16">
        <v>3500</v>
      </c>
      <c r="L48" s="16">
        <v>3500</v>
      </c>
      <c r="M48" s="16">
        <v>3500</v>
      </c>
      <c r="N48" s="16">
        <v>3500</v>
      </c>
      <c r="O48" s="16">
        <v>3500</v>
      </c>
      <c r="P48" s="16">
        <v>3500</v>
      </c>
      <c r="Q48" s="16">
        <v>3500</v>
      </c>
      <c r="R48" s="16">
        <v>3500</v>
      </c>
      <c r="S48" s="16">
        <v>3500</v>
      </c>
      <c r="T48" s="16">
        <v>3500</v>
      </c>
      <c r="U48" s="16">
        <v>3500</v>
      </c>
      <c r="V48" s="16">
        <v>3500</v>
      </c>
      <c r="W48" s="16">
        <v>3500</v>
      </c>
      <c r="X48" s="16">
        <v>3500</v>
      </c>
      <c r="Y48" s="16">
        <v>3500</v>
      </c>
      <c r="Z48" s="16">
        <v>3500</v>
      </c>
      <c r="AA48" s="16">
        <v>3500</v>
      </c>
      <c r="AB48" s="6">
        <f t="shared" si="1"/>
        <v>1848000</v>
      </c>
      <c r="AC48" s="94"/>
    </row>
    <row r="49" spans="1:33" ht="18.75" thickBot="1" x14ac:dyDescent="0.3">
      <c r="A49" s="95">
        <v>46661</v>
      </c>
      <c r="B49" s="9" t="s">
        <v>28</v>
      </c>
      <c r="C49" s="9">
        <v>5</v>
      </c>
      <c r="D49" s="16">
        <v>3500</v>
      </c>
      <c r="E49" s="16">
        <v>3500</v>
      </c>
      <c r="F49" s="16">
        <v>3500</v>
      </c>
      <c r="G49" s="16">
        <v>3500</v>
      </c>
      <c r="H49" s="16">
        <v>3500</v>
      </c>
      <c r="I49" s="16">
        <v>3500</v>
      </c>
      <c r="J49" s="16">
        <v>3500</v>
      </c>
      <c r="K49" s="16">
        <v>3500</v>
      </c>
      <c r="L49" s="16">
        <v>3500</v>
      </c>
      <c r="M49" s="16">
        <v>3500</v>
      </c>
      <c r="N49" s="16">
        <v>3500</v>
      </c>
      <c r="O49" s="16">
        <v>3500</v>
      </c>
      <c r="P49" s="16">
        <v>3500</v>
      </c>
      <c r="Q49" s="16">
        <v>3500</v>
      </c>
      <c r="R49" s="16">
        <v>3500</v>
      </c>
      <c r="S49" s="16">
        <v>3500</v>
      </c>
      <c r="T49" s="16">
        <v>3500</v>
      </c>
      <c r="U49" s="16">
        <v>3500</v>
      </c>
      <c r="V49" s="16">
        <v>3500</v>
      </c>
      <c r="W49" s="16">
        <v>3500</v>
      </c>
      <c r="X49" s="16">
        <v>3500</v>
      </c>
      <c r="Y49" s="16">
        <v>3500</v>
      </c>
      <c r="Z49" s="16">
        <v>3500</v>
      </c>
      <c r="AA49" s="16">
        <v>3500</v>
      </c>
      <c r="AB49" s="6">
        <f t="shared" si="1"/>
        <v>420000</v>
      </c>
      <c r="AC49" s="92">
        <f>+AB49+AB50+AB51</f>
        <v>2604000</v>
      </c>
    </row>
    <row r="50" spans="1:33" ht="18.75" thickBot="1" x14ac:dyDescent="0.3">
      <c r="A50" s="96"/>
      <c r="B50" s="11" t="s">
        <v>29</v>
      </c>
      <c r="C50" s="11">
        <v>5</v>
      </c>
      <c r="D50" s="16">
        <v>3500</v>
      </c>
      <c r="E50" s="16">
        <v>3500</v>
      </c>
      <c r="F50" s="16">
        <v>3500</v>
      </c>
      <c r="G50" s="16">
        <v>3500</v>
      </c>
      <c r="H50" s="16">
        <v>3500</v>
      </c>
      <c r="I50" s="16">
        <v>3500</v>
      </c>
      <c r="J50" s="16">
        <v>3500</v>
      </c>
      <c r="K50" s="16">
        <v>3500</v>
      </c>
      <c r="L50" s="16">
        <v>3500</v>
      </c>
      <c r="M50" s="16">
        <v>3500</v>
      </c>
      <c r="N50" s="16">
        <v>3500</v>
      </c>
      <c r="O50" s="16">
        <v>3500</v>
      </c>
      <c r="P50" s="16">
        <v>3500</v>
      </c>
      <c r="Q50" s="16">
        <v>3500</v>
      </c>
      <c r="R50" s="16">
        <v>3500</v>
      </c>
      <c r="S50" s="16">
        <v>3500</v>
      </c>
      <c r="T50" s="16">
        <v>3500</v>
      </c>
      <c r="U50" s="16">
        <v>3500</v>
      </c>
      <c r="V50" s="16">
        <v>3500</v>
      </c>
      <c r="W50" s="16">
        <v>3500</v>
      </c>
      <c r="X50" s="16">
        <v>3500</v>
      </c>
      <c r="Y50" s="16">
        <v>3500</v>
      </c>
      <c r="Z50" s="16">
        <v>3500</v>
      </c>
      <c r="AA50" s="16">
        <v>3500</v>
      </c>
      <c r="AB50" s="6">
        <f t="shared" si="1"/>
        <v>420000</v>
      </c>
      <c r="AC50" s="93"/>
    </row>
    <row r="51" spans="1:33" ht="18.75" thickBot="1" x14ac:dyDescent="0.3">
      <c r="A51" s="97"/>
      <c r="B51" s="12" t="s">
        <v>30</v>
      </c>
      <c r="C51" s="12">
        <v>21</v>
      </c>
      <c r="D51" s="16">
        <v>3500</v>
      </c>
      <c r="E51" s="16">
        <v>3500</v>
      </c>
      <c r="F51" s="16">
        <v>3500</v>
      </c>
      <c r="G51" s="16">
        <v>3500</v>
      </c>
      <c r="H51" s="16">
        <v>3500</v>
      </c>
      <c r="I51" s="16">
        <v>3500</v>
      </c>
      <c r="J51" s="16">
        <v>3500</v>
      </c>
      <c r="K51" s="16">
        <v>3500</v>
      </c>
      <c r="L51" s="16">
        <v>3500</v>
      </c>
      <c r="M51" s="16">
        <v>3500</v>
      </c>
      <c r="N51" s="16">
        <v>3500</v>
      </c>
      <c r="O51" s="16">
        <v>3500</v>
      </c>
      <c r="P51" s="16">
        <v>3500</v>
      </c>
      <c r="Q51" s="16">
        <v>3500</v>
      </c>
      <c r="R51" s="16">
        <v>3500</v>
      </c>
      <c r="S51" s="16">
        <v>3500</v>
      </c>
      <c r="T51" s="16">
        <v>3500</v>
      </c>
      <c r="U51" s="16">
        <v>3500</v>
      </c>
      <c r="V51" s="16">
        <v>3500</v>
      </c>
      <c r="W51" s="16">
        <v>3500</v>
      </c>
      <c r="X51" s="16">
        <v>3500</v>
      </c>
      <c r="Y51" s="16">
        <v>3500</v>
      </c>
      <c r="Z51" s="16">
        <v>3500</v>
      </c>
      <c r="AA51" s="16">
        <v>3500</v>
      </c>
      <c r="AB51" s="6">
        <f t="shared" si="1"/>
        <v>1764000</v>
      </c>
      <c r="AC51" s="94"/>
    </row>
    <row r="52" spans="1:33" ht="18.75" thickBot="1" x14ac:dyDescent="0.3">
      <c r="A52" s="95">
        <v>46692</v>
      </c>
      <c r="B52" s="9" t="s">
        <v>28</v>
      </c>
      <c r="C52" s="9">
        <v>4</v>
      </c>
      <c r="D52" s="16">
        <v>3500</v>
      </c>
      <c r="E52" s="16">
        <v>3500</v>
      </c>
      <c r="F52" s="16">
        <v>3500</v>
      </c>
      <c r="G52" s="16">
        <v>3500</v>
      </c>
      <c r="H52" s="16">
        <v>3500</v>
      </c>
      <c r="I52" s="16">
        <v>3500</v>
      </c>
      <c r="J52" s="16">
        <v>3500</v>
      </c>
      <c r="K52" s="16">
        <v>3500</v>
      </c>
      <c r="L52" s="16">
        <v>3500</v>
      </c>
      <c r="M52" s="16">
        <v>3500</v>
      </c>
      <c r="N52" s="16">
        <v>3500</v>
      </c>
      <c r="O52" s="16">
        <v>3500</v>
      </c>
      <c r="P52" s="16">
        <v>3500</v>
      </c>
      <c r="Q52" s="16">
        <v>3500</v>
      </c>
      <c r="R52" s="16">
        <v>3500</v>
      </c>
      <c r="S52" s="16">
        <v>3500</v>
      </c>
      <c r="T52" s="16">
        <v>3500</v>
      </c>
      <c r="U52" s="16">
        <v>3500</v>
      </c>
      <c r="V52" s="16">
        <v>3500</v>
      </c>
      <c r="W52" s="16">
        <v>3500</v>
      </c>
      <c r="X52" s="16">
        <v>3500</v>
      </c>
      <c r="Y52" s="16">
        <v>3500</v>
      </c>
      <c r="Z52" s="16">
        <v>3500</v>
      </c>
      <c r="AA52" s="16">
        <v>3500</v>
      </c>
      <c r="AB52" s="6">
        <f t="shared" si="1"/>
        <v>336000</v>
      </c>
      <c r="AC52" s="92">
        <f>+AB52+AB53+AB54</f>
        <v>2520000</v>
      </c>
    </row>
    <row r="53" spans="1:33" ht="18.75" thickBot="1" x14ac:dyDescent="0.3">
      <c r="A53" s="96"/>
      <c r="B53" s="11" t="s">
        <v>29</v>
      </c>
      <c r="C53" s="11">
        <v>4</v>
      </c>
      <c r="D53" s="16">
        <v>3500</v>
      </c>
      <c r="E53" s="16">
        <v>3500</v>
      </c>
      <c r="F53" s="16">
        <v>3500</v>
      </c>
      <c r="G53" s="16">
        <v>3500</v>
      </c>
      <c r="H53" s="16">
        <v>3500</v>
      </c>
      <c r="I53" s="16">
        <v>3500</v>
      </c>
      <c r="J53" s="16">
        <v>3500</v>
      </c>
      <c r="K53" s="16">
        <v>3500</v>
      </c>
      <c r="L53" s="16">
        <v>3500</v>
      </c>
      <c r="M53" s="16">
        <v>3500</v>
      </c>
      <c r="N53" s="16">
        <v>3500</v>
      </c>
      <c r="O53" s="16">
        <v>3500</v>
      </c>
      <c r="P53" s="16">
        <v>3500</v>
      </c>
      <c r="Q53" s="16">
        <v>3500</v>
      </c>
      <c r="R53" s="16">
        <v>3500</v>
      </c>
      <c r="S53" s="16">
        <v>3500</v>
      </c>
      <c r="T53" s="16">
        <v>3500</v>
      </c>
      <c r="U53" s="16">
        <v>3500</v>
      </c>
      <c r="V53" s="16">
        <v>3500</v>
      </c>
      <c r="W53" s="16">
        <v>3500</v>
      </c>
      <c r="X53" s="16">
        <v>3500</v>
      </c>
      <c r="Y53" s="16">
        <v>3500</v>
      </c>
      <c r="Z53" s="16">
        <v>3500</v>
      </c>
      <c r="AA53" s="16">
        <v>3500</v>
      </c>
      <c r="AB53" s="6">
        <f t="shared" si="1"/>
        <v>336000</v>
      </c>
      <c r="AC53" s="93"/>
    </row>
    <row r="54" spans="1:33" ht="18.75" thickBot="1" x14ac:dyDescent="0.3">
      <c r="A54" s="97"/>
      <c r="B54" s="12" t="s">
        <v>30</v>
      </c>
      <c r="C54" s="12">
        <v>22</v>
      </c>
      <c r="D54" s="16">
        <v>3500</v>
      </c>
      <c r="E54" s="16">
        <v>3500</v>
      </c>
      <c r="F54" s="16">
        <v>3500</v>
      </c>
      <c r="G54" s="16">
        <v>3500</v>
      </c>
      <c r="H54" s="16">
        <v>3500</v>
      </c>
      <c r="I54" s="16">
        <v>3500</v>
      </c>
      <c r="J54" s="16">
        <v>3500</v>
      </c>
      <c r="K54" s="16">
        <v>3500</v>
      </c>
      <c r="L54" s="16">
        <v>3500</v>
      </c>
      <c r="M54" s="16">
        <v>3500</v>
      </c>
      <c r="N54" s="16">
        <v>3500</v>
      </c>
      <c r="O54" s="16">
        <v>3500</v>
      </c>
      <c r="P54" s="16">
        <v>3500</v>
      </c>
      <c r="Q54" s="16">
        <v>3500</v>
      </c>
      <c r="R54" s="16">
        <v>3500</v>
      </c>
      <c r="S54" s="16">
        <v>3500</v>
      </c>
      <c r="T54" s="16">
        <v>3500</v>
      </c>
      <c r="U54" s="16">
        <v>3500</v>
      </c>
      <c r="V54" s="16">
        <v>3500</v>
      </c>
      <c r="W54" s="16">
        <v>3500</v>
      </c>
      <c r="X54" s="16">
        <v>3500</v>
      </c>
      <c r="Y54" s="16">
        <v>3500</v>
      </c>
      <c r="Z54" s="16">
        <v>3500</v>
      </c>
      <c r="AA54" s="16">
        <v>3500</v>
      </c>
      <c r="AB54" s="6">
        <f t="shared" si="1"/>
        <v>1848000</v>
      </c>
      <c r="AC54" s="94"/>
    </row>
    <row r="55" spans="1:33" ht="18.75" thickBot="1" x14ac:dyDescent="0.3">
      <c r="A55" s="95">
        <v>46722</v>
      </c>
      <c r="B55" s="9" t="s">
        <v>28</v>
      </c>
      <c r="C55" s="9">
        <v>4</v>
      </c>
      <c r="D55" s="16">
        <v>12000</v>
      </c>
      <c r="E55" s="16">
        <v>12000</v>
      </c>
      <c r="F55" s="16">
        <v>12000</v>
      </c>
      <c r="G55" s="16">
        <v>12000</v>
      </c>
      <c r="H55" s="16">
        <v>12000</v>
      </c>
      <c r="I55" s="16">
        <v>12000</v>
      </c>
      <c r="J55" s="16">
        <v>12000</v>
      </c>
      <c r="K55" s="16">
        <v>12000</v>
      </c>
      <c r="L55" s="16">
        <v>12000</v>
      </c>
      <c r="M55" s="16">
        <v>12000</v>
      </c>
      <c r="N55" s="16">
        <v>12000</v>
      </c>
      <c r="O55" s="16">
        <v>12000</v>
      </c>
      <c r="P55" s="16">
        <v>12000</v>
      </c>
      <c r="Q55" s="16">
        <v>12000</v>
      </c>
      <c r="R55" s="16">
        <v>12000</v>
      </c>
      <c r="S55" s="16">
        <v>12000</v>
      </c>
      <c r="T55" s="16">
        <v>12000</v>
      </c>
      <c r="U55" s="16">
        <v>12000</v>
      </c>
      <c r="V55" s="16">
        <v>12000</v>
      </c>
      <c r="W55" s="16">
        <v>12000</v>
      </c>
      <c r="X55" s="16">
        <v>12000</v>
      </c>
      <c r="Y55" s="16">
        <v>12000</v>
      </c>
      <c r="Z55" s="16">
        <v>12000</v>
      </c>
      <c r="AA55" s="16">
        <v>12000</v>
      </c>
      <c r="AB55" s="6">
        <f t="shared" si="1"/>
        <v>1152000</v>
      </c>
      <c r="AC55" s="92">
        <f>+AB55+AB56+AB57</f>
        <v>8928000</v>
      </c>
    </row>
    <row r="56" spans="1:33" ht="18.75" thickBot="1" x14ac:dyDescent="0.3">
      <c r="A56" s="96"/>
      <c r="B56" s="11" t="s">
        <v>29</v>
      </c>
      <c r="C56" s="11">
        <v>4</v>
      </c>
      <c r="D56" s="16">
        <v>12000</v>
      </c>
      <c r="E56" s="16">
        <v>12000</v>
      </c>
      <c r="F56" s="16">
        <v>12000</v>
      </c>
      <c r="G56" s="16">
        <v>12000</v>
      </c>
      <c r="H56" s="16">
        <v>12000</v>
      </c>
      <c r="I56" s="16">
        <v>12000</v>
      </c>
      <c r="J56" s="16">
        <v>12000</v>
      </c>
      <c r="K56" s="16">
        <v>12000</v>
      </c>
      <c r="L56" s="16">
        <v>12000</v>
      </c>
      <c r="M56" s="16">
        <v>12000</v>
      </c>
      <c r="N56" s="16">
        <v>12000</v>
      </c>
      <c r="O56" s="16">
        <v>12000</v>
      </c>
      <c r="P56" s="16">
        <v>12000</v>
      </c>
      <c r="Q56" s="16">
        <v>12000</v>
      </c>
      <c r="R56" s="16">
        <v>12000</v>
      </c>
      <c r="S56" s="16">
        <v>12000</v>
      </c>
      <c r="T56" s="16">
        <v>12000</v>
      </c>
      <c r="U56" s="16">
        <v>12000</v>
      </c>
      <c r="V56" s="16">
        <v>12000</v>
      </c>
      <c r="W56" s="16">
        <v>12000</v>
      </c>
      <c r="X56" s="16">
        <v>12000</v>
      </c>
      <c r="Y56" s="16">
        <v>12000</v>
      </c>
      <c r="Z56" s="16">
        <v>12000</v>
      </c>
      <c r="AA56" s="16">
        <v>12000</v>
      </c>
      <c r="AB56" s="6">
        <f t="shared" si="1"/>
        <v>1152000</v>
      </c>
      <c r="AC56" s="93"/>
    </row>
    <row r="57" spans="1:33" ht="18.75" thickBot="1" x14ac:dyDescent="0.3">
      <c r="A57" s="97"/>
      <c r="B57" s="12" t="s">
        <v>30</v>
      </c>
      <c r="C57" s="12">
        <v>23</v>
      </c>
      <c r="D57" s="16">
        <v>12000</v>
      </c>
      <c r="E57" s="16">
        <v>12000</v>
      </c>
      <c r="F57" s="16">
        <v>12000</v>
      </c>
      <c r="G57" s="16">
        <v>12000</v>
      </c>
      <c r="H57" s="16">
        <v>12000</v>
      </c>
      <c r="I57" s="16">
        <v>12000</v>
      </c>
      <c r="J57" s="16">
        <v>12000</v>
      </c>
      <c r="K57" s="16">
        <v>12000</v>
      </c>
      <c r="L57" s="16">
        <v>12000</v>
      </c>
      <c r="M57" s="16">
        <v>12000</v>
      </c>
      <c r="N57" s="16">
        <v>12000</v>
      </c>
      <c r="O57" s="16">
        <v>12000</v>
      </c>
      <c r="P57" s="16">
        <v>12000</v>
      </c>
      <c r="Q57" s="16">
        <v>12000</v>
      </c>
      <c r="R57" s="16">
        <v>12000</v>
      </c>
      <c r="S57" s="16">
        <v>12000</v>
      </c>
      <c r="T57" s="16">
        <v>12000</v>
      </c>
      <c r="U57" s="16">
        <v>12000</v>
      </c>
      <c r="V57" s="16">
        <v>12000</v>
      </c>
      <c r="W57" s="16">
        <v>12000</v>
      </c>
      <c r="X57" s="16">
        <v>12000</v>
      </c>
      <c r="Y57" s="16">
        <v>12000</v>
      </c>
      <c r="Z57" s="16">
        <v>12000</v>
      </c>
      <c r="AA57" s="16">
        <v>12000</v>
      </c>
      <c r="AB57" s="6">
        <f t="shared" si="1"/>
        <v>6624000</v>
      </c>
      <c r="AC57" s="94"/>
    </row>
    <row r="59" spans="1:33" ht="15.75" thickBot="1" x14ac:dyDescent="0.3"/>
    <row r="60" spans="1:33" ht="18.75" thickBot="1" x14ac:dyDescent="0.3">
      <c r="A60" s="1" t="s">
        <v>0</v>
      </c>
      <c r="B60" s="2" t="s">
        <v>1</v>
      </c>
      <c r="C60" s="2" t="s">
        <v>2</v>
      </c>
      <c r="D60" s="26" t="s">
        <v>3</v>
      </c>
      <c r="E60" s="26" t="s">
        <v>4</v>
      </c>
      <c r="F60" s="26" t="s">
        <v>5</v>
      </c>
      <c r="G60" s="26" t="s">
        <v>6</v>
      </c>
      <c r="H60" s="26" t="s">
        <v>7</v>
      </c>
      <c r="I60" s="26" t="s">
        <v>8</v>
      </c>
      <c r="J60" s="26" t="s">
        <v>9</v>
      </c>
      <c r="K60" s="4" t="s">
        <v>10</v>
      </c>
      <c r="L60" s="4" t="s">
        <v>11</v>
      </c>
      <c r="M60" s="4" t="s">
        <v>12</v>
      </c>
      <c r="N60" s="4" t="s">
        <v>13</v>
      </c>
      <c r="O60" s="4" t="s">
        <v>14</v>
      </c>
      <c r="P60" s="4" t="s">
        <v>15</v>
      </c>
      <c r="Q60" s="4" t="s">
        <v>16</v>
      </c>
      <c r="R60" s="4" t="s">
        <v>17</v>
      </c>
      <c r="S60" s="4" t="s">
        <v>18</v>
      </c>
      <c r="T60" s="4" t="s">
        <v>19</v>
      </c>
      <c r="U60" s="4" t="s">
        <v>20</v>
      </c>
      <c r="V60" s="4" t="s">
        <v>21</v>
      </c>
      <c r="W60" s="4" t="s">
        <v>22</v>
      </c>
      <c r="X60" s="4" t="s">
        <v>23</v>
      </c>
      <c r="Y60" s="4" t="s">
        <v>24</v>
      </c>
      <c r="Z60" s="4" t="s">
        <v>25</v>
      </c>
      <c r="AA60" s="4" t="s">
        <v>26</v>
      </c>
      <c r="AB60" s="109" t="s">
        <v>27</v>
      </c>
      <c r="AC60" s="110"/>
    </row>
    <row r="61" spans="1:33" ht="18.75" thickBot="1" x14ac:dyDescent="0.3">
      <c r="A61" s="95">
        <v>46753</v>
      </c>
      <c r="B61" s="9" t="s">
        <v>28</v>
      </c>
      <c r="C61" s="9">
        <v>4</v>
      </c>
      <c r="D61" s="16">
        <v>12000</v>
      </c>
      <c r="E61" s="16">
        <v>12000</v>
      </c>
      <c r="F61" s="16">
        <v>12000</v>
      </c>
      <c r="G61" s="16">
        <v>12000</v>
      </c>
      <c r="H61" s="16">
        <v>12000</v>
      </c>
      <c r="I61" s="16">
        <v>12000</v>
      </c>
      <c r="J61" s="16">
        <v>12000</v>
      </c>
      <c r="K61" s="16">
        <v>12000</v>
      </c>
      <c r="L61" s="16">
        <v>12000</v>
      </c>
      <c r="M61" s="16">
        <v>12000</v>
      </c>
      <c r="N61" s="16">
        <v>12000</v>
      </c>
      <c r="O61" s="16">
        <v>12000</v>
      </c>
      <c r="P61" s="16">
        <v>12000</v>
      </c>
      <c r="Q61" s="16">
        <v>12000</v>
      </c>
      <c r="R61" s="16">
        <v>12000</v>
      </c>
      <c r="S61" s="16">
        <v>12000</v>
      </c>
      <c r="T61" s="16">
        <v>12000</v>
      </c>
      <c r="U61" s="16">
        <v>12000</v>
      </c>
      <c r="V61" s="16">
        <v>12000</v>
      </c>
      <c r="W61" s="16">
        <v>12000</v>
      </c>
      <c r="X61" s="16">
        <v>12000</v>
      </c>
      <c r="Y61" s="16">
        <v>12000</v>
      </c>
      <c r="Z61" s="16">
        <v>12000</v>
      </c>
      <c r="AA61" s="16">
        <v>12000</v>
      </c>
      <c r="AB61" s="6">
        <f>SUM(D61:AA61)*C61</f>
        <v>1152000</v>
      </c>
      <c r="AC61" s="92">
        <f>+AB61+AB62+AB63</f>
        <v>8928000</v>
      </c>
      <c r="AF61" s="67">
        <v>46753</v>
      </c>
      <c r="AG61" s="68">
        <f>AC61</f>
        <v>8928000</v>
      </c>
    </row>
    <row r="62" spans="1:33" ht="18.75" thickBot="1" x14ac:dyDescent="0.3">
      <c r="A62" s="96"/>
      <c r="B62" s="11" t="s">
        <v>29</v>
      </c>
      <c r="C62" s="11">
        <v>7</v>
      </c>
      <c r="D62" s="16">
        <v>12000</v>
      </c>
      <c r="E62" s="16">
        <v>12000</v>
      </c>
      <c r="F62" s="16">
        <v>12000</v>
      </c>
      <c r="G62" s="16">
        <v>12000</v>
      </c>
      <c r="H62" s="16">
        <v>12000</v>
      </c>
      <c r="I62" s="16">
        <v>12000</v>
      </c>
      <c r="J62" s="16">
        <v>12000</v>
      </c>
      <c r="K62" s="16">
        <v>12000</v>
      </c>
      <c r="L62" s="16">
        <v>12000</v>
      </c>
      <c r="M62" s="16">
        <v>12000</v>
      </c>
      <c r="N62" s="16">
        <v>12000</v>
      </c>
      <c r="O62" s="16">
        <v>12000</v>
      </c>
      <c r="P62" s="16">
        <v>12000</v>
      </c>
      <c r="Q62" s="16">
        <v>12000</v>
      </c>
      <c r="R62" s="16">
        <v>12000</v>
      </c>
      <c r="S62" s="16">
        <v>12000</v>
      </c>
      <c r="T62" s="16">
        <v>12000</v>
      </c>
      <c r="U62" s="16">
        <v>12000</v>
      </c>
      <c r="V62" s="16">
        <v>12000</v>
      </c>
      <c r="W62" s="16">
        <v>12000</v>
      </c>
      <c r="X62" s="16">
        <v>12000</v>
      </c>
      <c r="Y62" s="16">
        <v>12000</v>
      </c>
      <c r="Z62" s="16">
        <v>12000</v>
      </c>
      <c r="AA62" s="16">
        <v>12000</v>
      </c>
      <c r="AB62" s="6">
        <f t="shared" ref="AB62:AB96" si="2">SUM(D62:AA62)*C62</f>
        <v>2016000</v>
      </c>
      <c r="AC62" s="93"/>
      <c r="AF62" s="67">
        <v>46784</v>
      </c>
      <c r="AG62" s="68">
        <f>AC64</f>
        <v>8064000</v>
      </c>
    </row>
    <row r="63" spans="1:33" ht="18.75" thickBot="1" x14ac:dyDescent="0.3">
      <c r="A63" s="97"/>
      <c r="B63" s="12" t="s">
        <v>30</v>
      </c>
      <c r="C63" s="12">
        <v>20</v>
      </c>
      <c r="D63" s="16">
        <v>12000</v>
      </c>
      <c r="E63" s="16">
        <v>12000</v>
      </c>
      <c r="F63" s="16">
        <v>12000</v>
      </c>
      <c r="G63" s="16">
        <v>12000</v>
      </c>
      <c r="H63" s="16">
        <v>12000</v>
      </c>
      <c r="I63" s="16">
        <v>12000</v>
      </c>
      <c r="J63" s="16">
        <v>12000</v>
      </c>
      <c r="K63" s="16">
        <v>12000</v>
      </c>
      <c r="L63" s="16">
        <v>12000</v>
      </c>
      <c r="M63" s="16">
        <v>12000</v>
      </c>
      <c r="N63" s="16">
        <v>12000</v>
      </c>
      <c r="O63" s="16">
        <v>12000</v>
      </c>
      <c r="P63" s="16">
        <v>12000</v>
      </c>
      <c r="Q63" s="16">
        <v>12000</v>
      </c>
      <c r="R63" s="16">
        <v>12000</v>
      </c>
      <c r="S63" s="16">
        <v>12000</v>
      </c>
      <c r="T63" s="16">
        <v>12000</v>
      </c>
      <c r="U63" s="16">
        <v>12000</v>
      </c>
      <c r="V63" s="16">
        <v>12000</v>
      </c>
      <c r="W63" s="16">
        <v>12000</v>
      </c>
      <c r="X63" s="16">
        <v>12000</v>
      </c>
      <c r="Y63" s="16">
        <v>12000</v>
      </c>
      <c r="Z63" s="16">
        <v>12000</v>
      </c>
      <c r="AA63" s="16">
        <v>12000</v>
      </c>
      <c r="AB63" s="6">
        <f t="shared" si="2"/>
        <v>5760000</v>
      </c>
      <c r="AC63" s="94"/>
      <c r="AF63" s="67">
        <v>46813</v>
      </c>
      <c r="AG63" s="68">
        <f>AC67</f>
        <v>8928000</v>
      </c>
    </row>
    <row r="64" spans="1:33" ht="18.75" thickBot="1" x14ac:dyDescent="0.3">
      <c r="A64" s="95">
        <v>46784</v>
      </c>
      <c r="B64" s="9" t="s">
        <v>28</v>
      </c>
      <c r="C64" s="9">
        <v>4</v>
      </c>
      <c r="D64" s="16">
        <v>12000</v>
      </c>
      <c r="E64" s="16">
        <v>12000</v>
      </c>
      <c r="F64" s="16">
        <v>12000</v>
      </c>
      <c r="G64" s="16">
        <v>12000</v>
      </c>
      <c r="H64" s="16">
        <v>12000</v>
      </c>
      <c r="I64" s="16">
        <v>12000</v>
      </c>
      <c r="J64" s="16">
        <v>12000</v>
      </c>
      <c r="K64" s="16">
        <v>12000</v>
      </c>
      <c r="L64" s="16">
        <v>12000</v>
      </c>
      <c r="M64" s="16">
        <v>12000</v>
      </c>
      <c r="N64" s="16">
        <v>12000</v>
      </c>
      <c r="O64" s="16">
        <v>12000</v>
      </c>
      <c r="P64" s="16">
        <v>12000</v>
      </c>
      <c r="Q64" s="16">
        <v>12000</v>
      </c>
      <c r="R64" s="16">
        <v>12000</v>
      </c>
      <c r="S64" s="16">
        <v>12000</v>
      </c>
      <c r="T64" s="16">
        <v>12000</v>
      </c>
      <c r="U64" s="16">
        <v>12000</v>
      </c>
      <c r="V64" s="16">
        <v>12000</v>
      </c>
      <c r="W64" s="16">
        <v>12000</v>
      </c>
      <c r="X64" s="16">
        <v>12000</v>
      </c>
      <c r="Y64" s="16">
        <v>12000</v>
      </c>
      <c r="Z64" s="16">
        <v>12000</v>
      </c>
      <c r="AA64" s="16">
        <v>12000</v>
      </c>
      <c r="AB64" s="6">
        <f t="shared" si="2"/>
        <v>1152000</v>
      </c>
      <c r="AC64" s="92">
        <f>+AB64+AB65+AB66</f>
        <v>8064000</v>
      </c>
      <c r="AF64" s="67">
        <v>46844</v>
      </c>
      <c r="AG64" s="68">
        <f>AC70</f>
        <v>8640000</v>
      </c>
    </row>
    <row r="65" spans="1:33" ht="18.75" thickBot="1" x14ac:dyDescent="0.3">
      <c r="A65" s="96"/>
      <c r="B65" s="11" t="s">
        <v>29</v>
      </c>
      <c r="C65" s="11">
        <v>4</v>
      </c>
      <c r="D65" s="16">
        <v>12000</v>
      </c>
      <c r="E65" s="16">
        <v>12000</v>
      </c>
      <c r="F65" s="16">
        <v>12000</v>
      </c>
      <c r="G65" s="16">
        <v>12000</v>
      </c>
      <c r="H65" s="16">
        <v>12000</v>
      </c>
      <c r="I65" s="16">
        <v>12000</v>
      </c>
      <c r="J65" s="16">
        <v>12000</v>
      </c>
      <c r="K65" s="16">
        <v>12000</v>
      </c>
      <c r="L65" s="16">
        <v>12000</v>
      </c>
      <c r="M65" s="16">
        <v>12000</v>
      </c>
      <c r="N65" s="16">
        <v>12000</v>
      </c>
      <c r="O65" s="16">
        <v>12000</v>
      </c>
      <c r="P65" s="16">
        <v>12000</v>
      </c>
      <c r="Q65" s="16">
        <v>12000</v>
      </c>
      <c r="R65" s="16">
        <v>12000</v>
      </c>
      <c r="S65" s="16">
        <v>12000</v>
      </c>
      <c r="T65" s="16">
        <v>12000</v>
      </c>
      <c r="U65" s="16">
        <v>12000</v>
      </c>
      <c r="V65" s="16">
        <v>12000</v>
      </c>
      <c r="W65" s="16">
        <v>12000</v>
      </c>
      <c r="X65" s="16">
        <v>12000</v>
      </c>
      <c r="Y65" s="16">
        <v>12000</v>
      </c>
      <c r="Z65" s="16">
        <v>12000</v>
      </c>
      <c r="AA65" s="16">
        <v>12000</v>
      </c>
      <c r="AB65" s="6">
        <f t="shared" si="2"/>
        <v>1152000</v>
      </c>
      <c r="AC65" s="93"/>
      <c r="AF65" s="67">
        <v>46874</v>
      </c>
      <c r="AG65" s="68">
        <f>AC73</f>
        <v>5208000</v>
      </c>
    </row>
    <row r="66" spans="1:33" ht="18.75" thickBot="1" x14ac:dyDescent="0.3">
      <c r="A66" s="97"/>
      <c r="B66" s="12" t="s">
        <v>30</v>
      </c>
      <c r="C66" s="12">
        <v>20</v>
      </c>
      <c r="D66" s="16">
        <v>12000</v>
      </c>
      <c r="E66" s="16">
        <v>12000</v>
      </c>
      <c r="F66" s="16">
        <v>12000</v>
      </c>
      <c r="G66" s="16">
        <v>12000</v>
      </c>
      <c r="H66" s="16">
        <v>12000</v>
      </c>
      <c r="I66" s="16">
        <v>12000</v>
      </c>
      <c r="J66" s="16">
        <v>12000</v>
      </c>
      <c r="K66" s="16">
        <v>12000</v>
      </c>
      <c r="L66" s="16">
        <v>12000</v>
      </c>
      <c r="M66" s="16">
        <v>12000</v>
      </c>
      <c r="N66" s="16">
        <v>12000</v>
      </c>
      <c r="O66" s="16">
        <v>12000</v>
      </c>
      <c r="P66" s="16">
        <v>12000</v>
      </c>
      <c r="Q66" s="16">
        <v>12000</v>
      </c>
      <c r="R66" s="16">
        <v>12000</v>
      </c>
      <c r="S66" s="16">
        <v>12000</v>
      </c>
      <c r="T66" s="16">
        <v>12000</v>
      </c>
      <c r="U66" s="16">
        <v>12000</v>
      </c>
      <c r="V66" s="16">
        <v>12000</v>
      </c>
      <c r="W66" s="16">
        <v>12000</v>
      </c>
      <c r="X66" s="16">
        <v>12000</v>
      </c>
      <c r="Y66" s="16">
        <v>12000</v>
      </c>
      <c r="Z66" s="16">
        <v>12000</v>
      </c>
      <c r="AA66" s="16">
        <v>12000</v>
      </c>
      <c r="AB66" s="6">
        <f t="shared" si="2"/>
        <v>5760000</v>
      </c>
      <c r="AC66" s="94"/>
      <c r="AF66" s="67">
        <v>46905</v>
      </c>
      <c r="AG66" s="68">
        <f>AC76</f>
        <v>5040000</v>
      </c>
    </row>
    <row r="67" spans="1:33" ht="18.75" thickBot="1" x14ac:dyDescent="0.3">
      <c r="A67" s="95">
        <v>46813</v>
      </c>
      <c r="B67" s="9" t="s">
        <v>28</v>
      </c>
      <c r="C67" s="9">
        <v>4</v>
      </c>
      <c r="D67" s="16">
        <v>12000</v>
      </c>
      <c r="E67" s="16">
        <v>12000</v>
      </c>
      <c r="F67" s="16">
        <v>12000</v>
      </c>
      <c r="G67" s="16">
        <v>12000</v>
      </c>
      <c r="H67" s="16">
        <v>12000</v>
      </c>
      <c r="I67" s="16">
        <v>12000</v>
      </c>
      <c r="J67" s="16">
        <v>12000</v>
      </c>
      <c r="K67" s="16">
        <v>12000</v>
      </c>
      <c r="L67" s="16">
        <v>12000</v>
      </c>
      <c r="M67" s="16">
        <v>12000</v>
      </c>
      <c r="N67" s="16">
        <v>12000</v>
      </c>
      <c r="O67" s="16">
        <v>12000</v>
      </c>
      <c r="P67" s="16">
        <v>12000</v>
      </c>
      <c r="Q67" s="16">
        <v>12000</v>
      </c>
      <c r="R67" s="16">
        <v>12000</v>
      </c>
      <c r="S67" s="16">
        <v>12000</v>
      </c>
      <c r="T67" s="16">
        <v>12000</v>
      </c>
      <c r="U67" s="16">
        <v>12000</v>
      </c>
      <c r="V67" s="16">
        <v>12000</v>
      </c>
      <c r="W67" s="16">
        <v>12000</v>
      </c>
      <c r="X67" s="16">
        <v>12000</v>
      </c>
      <c r="Y67" s="16">
        <v>12000</v>
      </c>
      <c r="Z67" s="16">
        <v>12000</v>
      </c>
      <c r="AA67" s="16">
        <v>12000</v>
      </c>
      <c r="AB67" s="6">
        <f t="shared" si="2"/>
        <v>1152000</v>
      </c>
      <c r="AC67" s="92">
        <f>+AB67+AB68+AB69</f>
        <v>8928000</v>
      </c>
      <c r="AF67" s="67">
        <v>46935</v>
      </c>
      <c r="AG67" s="68">
        <f>AC79</f>
        <v>5208000</v>
      </c>
    </row>
    <row r="68" spans="1:33" ht="18.75" thickBot="1" x14ac:dyDescent="0.3">
      <c r="A68" s="96"/>
      <c r="B68" s="11" t="s">
        <v>29</v>
      </c>
      <c r="C68" s="11">
        <v>5</v>
      </c>
      <c r="D68" s="16">
        <v>12000</v>
      </c>
      <c r="E68" s="16">
        <v>12000</v>
      </c>
      <c r="F68" s="16">
        <v>12000</v>
      </c>
      <c r="G68" s="16">
        <v>12000</v>
      </c>
      <c r="H68" s="16">
        <v>12000</v>
      </c>
      <c r="I68" s="16">
        <v>12000</v>
      </c>
      <c r="J68" s="16">
        <v>12000</v>
      </c>
      <c r="K68" s="16">
        <v>12000</v>
      </c>
      <c r="L68" s="16">
        <v>12000</v>
      </c>
      <c r="M68" s="16">
        <v>12000</v>
      </c>
      <c r="N68" s="16">
        <v>12000</v>
      </c>
      <c r="O68" s="16">
        <v>12000</v>
      </c>
      <c r="P68" s="16">
        <v>12000</v>
      </c>
      <c r="Q68" s="16">
        <v>12000</v>
      </c>
      <c r="R68" s="16">
        <v>12000</v>
      </c>
      <c r="S68" s="16">
        <v>12000</v>
      </c>
      <c r="T68" s="16">
        <v>12000</v>
      </c>
      <c r="U68" s="16">
        <v>12000</v>
      </c>
      <c r="V68" s="16">
        <v>12000</v>
      </c>
      <c r="W68" s="16">
        <v>12000</v>
      </c>
      <c r="X68" s="16">
        <v>12000</v>
      </c>
      <c r="Y68" s="16">
        <v>12000</v>
      </c>
      <c r="Z68" s="16">
        <v>12000</v>
      </c>
      <c r="AA68" s="16">
        <v>12000</v>
      </c>
      <c r="AB68" s="6">
        <f t="shared" si="2"/>
        <v>1440000</v>
      </c>
      <c r="AC68" s="93"/>
      <c r="AF68" s="67">
        <v>46966</v>
      </c>
      <c r="AG68" s="68">
        <f>AC82</f>
        <v>5208000</v>
      </c>
    </row>
    <row r="69" spans="1:33" ht="18.75" thickBot="1" x14ac:dyDescent="0.3">
      <c r="A69" s="97"/>
      <c r="B69" s="12" t="s">
        <v>30</v>
      </c>
      <c r="C69" s="12">
        <v>22</v>
      </c>
      <c r="D69" s="16">
        <v>12000</v>
      </c>
      <c r="E69" s="16">
        <v>12000</v>
      </c>
      <c r="F69" s="16">
        <v>12000</v>
      </c>
      <c r="G69" s="16">
        <v>12000</v>
      </c>
      <c r="H69" s="16">
        <v>12000</v>
      </c>
      <c r="I69" s="16">
        <v>12000</v>
      </c>
      <c r="J69" s="16">
        <v>12000</v>
      </c>
      <c r="K69" s="16">
        <v>12000</v>
      </c>
      <c r="L69" s="16">
        <v>12000</v>
      </c>
      <c r="M69" s="16">
        <v>12000</v>
      </c>
      <c r="N69" s="16">
        <v>12000</v>
      </c>
      <c r="O69" s="16">
        <v>12000</v>
      </c>
      <c r="P69" s="16">
        <v>12000</v>
      </c>
      <c r="Q69" s="16">
        <v>12000</v>
      </c>
      <c r="R69" s="16">
        <v>12000</v>
      </c>
      <c r="S69" s="16">
        <v>12000</v>
      </c>
      <c r="T69" s="16">
        <v>12000</v>
      </c>
      <c r="U69" s="16">
        <v>12000</v>
      </c>
      <c r="V69" s="16">
        <v>12000</v>
      </c>
      <c r="W69" s="16">
        <v>12000</v>
      </c>
      <c r="X69" s="16">
        <v>12000</v>
      </c>
      <c r="Y69" s="16">
        <v>12000</v>
      </c>
      <c r="Z69" s="16">
        <v>12000</v>
      </c>
      <c r="AA69" s="16">
        <v>12000</v>
      </c>
      <c r="AB69" s="6">
        <f t="shared" si="2"/>
        <v>6336000</v>
      </c>
      <c r="AC69" s="94"/>
      <c r="AF69" s="67">
        <v>46997</v>
      </c>
      <c r="AG69" s="68">
        <f>AC85</f>
        <v>5040000</v>
      </c>
    </row>
    <row r="70" spans="1:33" ht="18.75" thickBot="1" x14ac:dyDescent="0.3">
      <c r="A70" s="95">
        <v>46844</v>
      </c>
      <c r="B70" s="9" t="s">
        <v>28</v>
      </c>
      <c r="C70" s="9">
        <v>5</v>
      </c>
      <c r="D70" s="16">
        <v>12000</v>
      </c>
      <c r="E70" s="16">
        <v>12000</v>
      </c>
      <c r="F70" s="16">
        <v>12000</v>
      </c>
      <c r="G70" s="16">
        <v>12000</v>
      </c>
      <c r="H70" s="16">
        <v>12000</v>
      </c>
      <c r="I70" s="16">
        <v>12000</v>
      </c>
      <c r="J70" s="16">
        <v>12000</v>
      </c>
      <c r="K70" s="16">
        <v>12000</v>
      </c>
      <c r="L70" s="16">
        <v>12000</v>
      </c>
      <c r="M70" s="16">
        <v>12000</v>
      </c>
      <c r="N70" s="16">
        <v>12000</v>
      </c>
      <c r="O70" s="16">
        <v>12000</v>
      </c>
      <c r="P70" s="16">
        <v>12000</v>
      </c>
      <c r="Q70" s="16">
        <v>12000</v>
      </c>
      <c r="R70" s="16">
        <v>12000</v>
      </c>
      <c r="S70" s="16">
        <v>12000</v>
      </c>
      <c r="T70" s="16">
        <v>12000</v>
      </c>
      <c r="U70" s="16">
        <v>12000</v>
      </c>
      <c r="V70" s="16">
        <v>12000</v>
      </c>
      <c r="W70" s="16">
        <v>12000</v>
      </c>
      <c r="X70" s="16">
        <v>12000</v>
      </c>
      <c r="Y70" s="16">
        <v>12000</v>
      </c>
      <c r="Z70" s="16">
        <v>12000</v>
      </c>
      <c r="AA70" s="16">
        <v>12000</v>
      </c>
      <c r="AB70" s="6">
        <f t="shared" si="2"/>
        <v>1440000</v>
      </c>
      <c r="AC70" s="92">
        <f>+AB70+AB71+AB72</f>
        <v>8640000</v>
      </c>
      <c r="AF70" s="67">
        <v>47027</v>
      </c>
      <c r="AG70" s="68">
        <f>AC88</f>
        <v>5208000</v>
      </c>
    </row>
    <row r="71" spans="1:33" ht="18.75" thickBot="1" x14ac:dyDescent="0.3">
      <c r="A71" s="96"/>
      <c r="B71" s="11" t="s">
        <v>29</v>
      </c>
      <c r="C71" s="11">
        <v>5</v>
      </c>
      <c r="D71" s="16">
        <v>12000</v>
      </c>
      <c r="E71" s="16">
        <v>12000</v>
      </c>
      <c r="F71" s="16">
        <v>12000</v>
      </c>
      <c r="G71" s="16">
        <v>12000</v>
      </c>
      <c r="H71" s="16">
        <v>12000</v>
      </c>
      <c r="I71" s="16">
        <v>12000</v>
      </c>
      <c r="J71" s="16">
        <v>12000</v>
      </c>
      <c r="K71" s="16">
        <v>12000</v>
      </c>
      <c r="L71" s="16">
        <v>12000</v>
      </c>
      <c r="M71" s="16">
        <v>12000</v>
      </c>
      <c r="N71" s="16">
        <v>12000</v>
      </c>
      <c r="O71" s="16">
        <v>12000</v>
      </c>
      <c r="P71" s="16">
        <v>12000</v>
      </c>
      <c r="Q71" s="16">
        <v>12000</v>
      </c>
      <c r="R71" s="16">
        <v>12000</v>
      </c>
      <c r="S71" s="16">
        <v>12000</v>
      </c>
      <c r="T71" s="16">
        <v>12000</v>
      </c>
      <c r="U71" s="16">
        <v>12000</v>
      </c>
      <c r="V71" s="16">
        <v>12000</v>
      </c>
      <c r="W71" s="16">
        <v>12000</v>
      </c>
      <c r="X71" s="16">
        <v>12000</v>
      </c>
      <c r="Y71" s="16">
        <v>12000</v>
      </c>
      <c r="Z71" s="16">
        <v>12000</v>
      </c>
      <c r="AA71" s="16">
        <v>12000</v>
      </c>
      <c r="AB71" s="6">
        <f t="shared" si="2"/>
        <v>1440000</v>
      </c>
      <c r="AC71" s="93"/>
      <c r="AF71" s="67">
        <v>47058</v>
      </c>
      <c r="AG71" s="68">
        <f>AC91</f>
        <v>5040000</v>
      </c>
    </row>
    <row r="72" spans="1:33" ht="18.75" thickBot="1" x14ac:dyDescent="0.3">
      <c r="A72" s="97"/>
      <c r="B72" s="12" t="s">
        <v>30</v>
      </c>
      <c r="C72" s="12">
        <v>20</v>
      </c>
      <c r="D72" s="16">
        <v>12000</v>
      </c>
      <c r="E72" s="16">
        <v>12000</v>
      </c>
      <c r="F72" s="16">
        <v>12000</v>
      </c>
      <c r="G72" s="16">
        <v>12000</v>
      </c>
      <c r="H72" s="16">
        <v>12000</v>
      </c>
      <c r="I72" s="16">
        <v>12000</v>
      </c>
      <c r="J72" s="16">
        <v>12000</v>
      </c>
      <c r="K72" s="16">
        <v>12000</v>
      </c>
      <c r="L72" s="16">
        <v>12000</v>
      </c>
      <c r="M72" s="16">
        <v>12000</v>
      </c>
      <c r="N72" s="16">
        <v>12000</v>
      </c>
      <c r="O72" s="16">
        <v>12000</v>
      </c>
      <c r="P72" s="16">
        <v>12000</v>
      </c>
      <c r="Q72" s="16">
        <v>12000</v>
      </c>
      <c r="R72" s="16">
        <v>12000</v>
      </c>
      <c r="S72" s="16">
        <v>12000</v>
      </c>
      <c r="T72" s="16">
        <v>12000</v>
      </c>
      <c r="U72" s="16">
        <v>12000</v>
      </c>
      <c r="V72" s="16">
        <v>12000</v>
      </c>
      <c r="W72" s="16">
        <v>12000</v>
      </c>
      <c r="X72" s="16">
        <v>12000</v>
      </c>
      <c r="Y72" s="16">
        <v>12000</v>
      </c>
      <c r="Z72" s="16">
        <v>12000</v>
      </c>
      <c r="AA72" s="16">
        <v>12000</v>
      </c>
      <c r="AB72" s="6">
        <f t="shared" si="2"/>
        <v>5760000</v>
      </c>
      <c r="AC72" s="94"/>
      <c r="AF72" s="67">
        <v>47088</v>
      </c>
      <c r="AG72" s="68">
        <f>AC94</f>
        <v>8928000</v>
      </c>
    </row>
    <row r="73" spans="1:33" ht="18.75" thickBot="1" x14ac:dyDescent="0.3">
      <c r="A73" s="95">
        <v>46874</v>
      </c>
      <c r="B73" s="9" t="s">
        <v>28</v>
      </c>
      <c r="C73" s="9">
        <v>4</v>
      </c>
      <c r="D73" s="16">
        <v>7000</v>
      </c>
      <c r="E73" s="16">
        <v>7000</v>
      </c>
      <c r="F73" s="16">
        <v>7000</v>
      </c>
      <c r="G73" s="16">
        <v>7000</v>
      </c>
      <c r="H73" s="16">
        <v>7000</v>
      </c>
      <c r="I73" s="16">
        <v>7000</v>
      </c>
      <c r="J73" s="16">
        <v>7000</v>
      </c>
      <c r="K73" s="16">
        <v>7000</v>
      </c>
      <c r="L73" s="16">
        <v>7000</v>
      </c>
      <c r="M73" s="16">
        <v>7000</v>
      </c>
      <c r="N73" s="16">
        <v>7000</v>
      </c>
      <c r="O73" s="16">
        <v>7000</v>
      </c>
      <c r="P73" s="16">
        <v>7000</v>
      </c>
      <c r="Q73" s="16">
        <v>7000</v>
      </c>
      <c r="R73" s="16">
        <v>7000</v>
      </c>
      <c r="S73" s="16">
        <v>7000</v>
      </c>
      <c r="T73" s="16">
        <v>7000</v>
      </c>
      <c r="U73" s="16">
        <v>7000</v>
      </c>
      <c r="V73" s="16">
        <v>7000</v>
      </c>
      <c r="W73" s="16">
        <v>7000</v>
      </c>
      <c r="X73" s="16">
        <v>7000</v>
      </c>
      <c r="Y73" s="16">
        <v>7000</v>
      </c>
      <c r="Z73" s="16">
        <v>7000</v>
      </c>
      <c r="AA73" s="16">
        <v>7000</v>
      </c>
      <c r="AB73" s="6">
        <f t="shared" si="2"/>
        <v>672000</v>
      </c>
      <c r="AC73" s="92">
        <f>+AB73+AB74+AB75</f>
        <v>5208000</v>
      </c>
    </row>
    <row r="74" spans="1:33" ht="18.75" thickBot="1" x14ac:dyDescent="0.3">
      <c r="A74" s="96"/>
      <c r="B74" s="11" t="s">
        <v>29</v>
      </c>
      <c r="C74" s="11">
        <v>4</v>
      </c>
      <c r="D74" s="16">
        <v>7000</v>
      </c>
      <c r="E74" s="16">
        <v>7000</v>
      </c>
      <c r="F74" s="16">
        <v>7000</v>
      </c>
      <c r="G74" s="16">
        <v>7000</v>
      </c>
      <c r="H74" s="16">
        <v>7000</v>
      </c>
      <c r="I74" s="16">
        <v>7000</v>
      </c>
      <c r="J74" s="16">
        <v>7000</v>
      </c>
      <c r="K74" s="16">
        <v>7000</v>
      </c>
      <c r="L74" s="16">
        <v>7000</v>
      </c>
      <c r="M74" s="16">
        <v>7000</v>
      </c>
      <c r="N74" s="16">
        <v>7000</v>
      </c>
      <c r="O74" s="16">
        <v>7000</v>
      </c>
      <c r="P74" s="16">
        <v>7000</v>
      </c>
      <c r="Q74" s="16">
        <v>7000</v>
      </c>
      <c r="R74" s="16">
        <v>7000</v>
      </c>
      <c r="S74" s="16">
        <v>7000</v>
      </c>
      <c r="T74" s="16">
        <v>7000</v>
      </c>
      <c r="U74" s="16">
        <v>7000</v>
      </c>
      <c r="V74" s="16">
        <v>7000</v>
      </c>
      <c r="W74" s="16">
        <v>7000</v>
      </c>
      <c r="X74" s="16">
        <v>7000</v>
      </c>
      <c r="Y74" s="16">
        <v>7000</v>
      </c>
      <c r="Z74" s="16">
        <v>7000</v>
      </c>
      <c r="AA74" s="16">
        <v>7000</v>
      </c>
      <c r="AB74" s="6">
        <f t="shared" si="2"/>
        <v>672000</v>
      </c>
      <c r="AC74" s="93"/>
    </row>
    <row r="75" spans="1:33" ht="18.75" thickBot="1" x14ac:dyDescent="0.3">
      <c r="A75" s="97"/>
      <c r="B75" s="12" t="s">
        <v>30</v>
      </c>
      <c r="C75" s="12">
        <v>23</v>
      </c>
      <c r="D75" s="16">
        <v>7000</v>
      </c>
      <c r="E75" s="16">
        <v>7000</v>
      </c>
      <c r="F75" s="16">
        <v>7000</v>
      </c>
      <c r="G75" s="16">
        <v>7000</v>
      </c>
      <c r="H75" s="16">
        <v>7000</v>
      </c>
      <c r="I75" s="16">
        <v>7000</v>
      </c>
      <c r="J75" s="16">
        <v>7000</v>
      </c>
      <c r="K75" s="16">
        <v>7000</v>
      </c>
      <c r="L75" s="16">
        <v>7000</v>
      </c>
      <c r="M75" s="16">
        <v>7000</v>
      </c>
      <c r="N75" s="16">
        <v>7000</v>
      </c>
      <c r="O75" s="16">
        <v>7000</v>
      </c>
      <c r="P75" s="16">
        <v>7000</v>
      </c>
      <c r="Q75" s="16">
        <v>7000</v>
      </c>
      <c r="R75" s="16">
        <v>7000</v>
      </c>
      <c r="S75" s="16">
        <v>7000</v>
      </c>
      <c r="T75" s="16">
        <v>7000</v>
      </c>
      <c r="U75" s="16">
        <v>7000</v>
      </c>
      <c r="V75" s="16">
        <v>7000</v>
      </c>
      <c r="W75" s="16">
        <v>7000</v>
      </c>
      <c r="X75" s="16">
        <v>7000</v>
      </c>
      <c r="Y75" s="16">
        <v>7000</v>
      </c>
      <c r="Z75" s="16">
        <v>7000</v>
      </c>
      <c r="AA75" s="16">
        <v>7000</v>
      </c>
      <c r="AB75" s="6">
        <f t="shared" si="2"/>
        <v>3864000</v>
      </c>
      <c r="AC75" s="94"/>
    </row>
    <row r="76" spans="1:33" ht="18.75" thickBot="1" x14ac:dyDescent="0.3">
      <c r="A76" s="95">
        <v>46905</v>
      </c>
      <c r="B76" s="9" t="s">
        <v>28</v>
      </c>
      <c r="C76" s="9">
        <v>4</v>
      </c>
      <c r="D76" s="16">
        <v>7000</v>
      </c>
      <c r="E76" s="16">
        <v>7000</v>
      </c>
      <c r="F76" s="16">
        <v>7000</v>
      </c>
      <c r="G76" s="16">
        <v>7000</v>
      </c>
      <c r="H76" s="16">
        <v>7000</v>
      </c>
      <c r="I76" s="16">
        <v>7000</v>
      </c>
      <c r="J76" s="16">
        <v>7000</v>
      </c>
      <c r="K76" s="16">
        <v>7000</v>
      </c>
      <c r="L76" s="16">
        <v>7000</v>
      </c>
      <c r="M76" s="16">
        <v>7000</v>
      </c>
      <c r="N76" s="16">
        <v>7000</v>
      </c>
      <c r="O76" s="16">
        <v>7000</v>
      </c>
      <c r="P76" s="16">
        <v>7000</v>
      </c>
      <c r="Q76" s="16">
        <v>7000</v>
      </c>
      <c r="R76" s="16">
        <v>7000</v>
      </c>
      <c r="S76" s="16">
        <v>7000</v>
      </c>
      <c r="T76" s="16">
        <v>7000</v>
      </c>
      <c r="U76" s="16">
        <v>7000</v>
      </c>
      <c r="V76" s="16">
        <v>7000</v>
      </c>
      <c r="W76" s="16">
        <v>7000</v>
      </c>
      <c r="X76" s="16">
        <v>7000</v>
      </c>
      <c r="Y76" s="16">
        <v>7000</v>
      </c>
      <c r="Z76" s="16">
        <v>7000</v>
      </c>
      <c r="AA76" s="16">
        <v>7000</v>
      </c>
      <c r="AB76" s="6">
        <f t="shared" si="2"/>
        <v>672000</v>
      </c>
      <c r="AC76" s="92">
        <f>+AB76+AB77+AB78</f>
        <v>5040000</v>
      </c>
    </row>
    <row r="77" spans="1:33" ht="18.75" thickBot="1" x14ac:dyDescent="0.3">
      <c r="A77" s="96"/>
      <c r="B77" s="11" t="s">
        <v>29</v>
      </c>
      <c r="C77" s="11">
        <v>4</v>
      </c>
      <c r="D77" s="16">
        <v>7000</v>
      </c>
      <c r="E77" s="16">
        <v>7000</v>
      </c>
      <c r="F77" s="16">
        <v>7000</v>
      </c>
      <c r="G77" s="16">
        <v>7000</v>
      </c>
      <c r="H77" s="16">
        <v>7000</v>
      </c>
      <c r="I77" s="16">
        <v>7000</v>
      </c>
      <c r="J77" s="16">
        <v>7000</v>
      </c>
      <c r="K77" s="16">
        <v>7000</v>
      </c>
      <c r="L77" s="16">
        <v>7000</v>
      </c>
      <c r="M77" s="16">
        <v>7000</v>
      </c>
      <c r="N77" s="16">
        <v>7000</v>
      </c>
      <c r="O77" s="16">
        <v>7000</v>
      </c>
      <c r="P77" s="16">
        <v>7000</v>
      </c>
      <c r="Q77" s="16">
        <v>7000</v>
      </c>
      <c r="R77" s="16">
        <v>7000</v>
      </c>
      <c r="S77" s="16">
        <v>7000</v>
      </c>
      <c r="T77" s="16">
        <v>7000</v>
      </c>
      <c r="U77" s="16">
        <v>7000</v>
      </c>
      <c r="V77" s="16">
        <v>7000</v>
      </c>
      <c r="W77" s="16">
        <v>7000</v>
      </c>
      <c r="X77" s="16">
        <v>7000</v>
      </c>
      <c r="Y77" s="16">
        <v>7000</v>
      </c>
      <c r="Z77" s="16">
        <v>7000</v>
      </c>
      <c r="AA77" s="16">
        <v>7000</v>
      </c>
      <c r="AB77" s="6">
        <f t="shared" si="2"/>
        <v>672000</v>
      </c>
      <c r="AC77" s="93"/>
    </row>
    <row r="78" spans="1:33" ht="18.75" thickBot="1" x14ac:dyDescent="0.3">
      <c r="A78" s="97"/>
      <c r="B78" s="12" t="s">
        <v>30</v>
      </c>
      <c r="C78" s="12">
        <v>22</v>
      </c>
      <c r="D78" s="16">
        <v>7000</v>
      </c>
      <c r="E78" s="16">
        <v>7000</v>
      </c>
      <c r="F78" s="16">
        <v>7000</v>
      </c>
      <c r="G78" s="16">
        <v>7000</v>
      </c>
      <c r="H78" s="16">
        <v>7000</v>
      </c>
      <c r="I78" s="16">
        <v>7000</v>
      </c>
      <c r="J78" s="16">
        <v>7000</v>
      </c>
      <c r="K78" s="16">
        <v>7000</v>
      </c>
      <c r="L78" s="16">
        <v>7000</v>
      </c>
      <c r="M78" s="16">
        <v>7000</v>
      </c>
      <c r="N78" s="16">
        <v>7000</v>
      </c>
      <c r="O78" s="16">
        <v>7000</v>
      </c>
      <c r="P78" s="16">
        <v>7000</v>
      </c>
      <c r="Q78" s="16">
        <v>7000</v>
      </c>
      <c r="R78" s="16">
        <v>7000</v>
      </c>
      <c r="S78" s="16">
        <v>7000</v>
      </c>
      <c r="T78" s="16">
        <v>7000</v>
      </c>
      <c r="U78" s="16">
        <v>7000</v>
      </c>
      <c r="V78" s="16">
        <v>7000</v>
      </c>
      <c r="W78" s="16">
        <v>7000</v>
      </c>
      <c r="X78" s="16">
        <v>7000</v>
      </c>
      <c r="Y78" s="16">
        <v>7000</v>
      </c>
      <c r="Z78" s="16">
        <v>7000</v>
      </c>
      <c r="AA78" s="16">
        <v>7000</v>
      </c>
      <c r="AB78" s="6">
        <f t="shared" si="2"/>
        <v>3696000</v>
      </c>
      <c r="AC78" s="94"/>
    </row>
    <row r="79" spans="1:33" ht="18.75" thickBot="1" x14ac:dyDescent="0.3">
      <c r="A79" s="95">
        <v>46935</v>
      </c>
      <c r="B79" s="9" t="s">
        <v>28</v>
      </c>
      <c r="C79" s="9">
        <v>5</v>
      </c>
      <c r="D79" s="16">
        <v>7000</v>
      </c>
      <c r="E79" s="16">
        <v>7000</v>
      </c>
      <c r="F79" s="16">
        <v>7000</v>
      </c>
      <c r="G79" s="16">
        <v>7000</v>
      </c>
      <c r="H79" s="16">
        <v>7000</v>
      </c>
      <c r="I79" s="16">
        <v>7000</v>
      </c>
      <c r="J79" s="16">
        <v>7000</v>
      </c>
      <c r="K79" s="16">
        <v>7000</v>
      </c>
      <c r="L79" s="16">
        <v>7000</v>
      </c>
      <c r="M79" s="16">
        <v>7000</v>
      </c>
      <c r="N79" s="16">
        <v>7000</v>
      </c>
      <c r="O79" s="16">
        <v>7000</v>
      </c>
      <c r="P79" s="16">
        <v>7000</v>
      </c>
      <c r="Q79" s="16">
        <v>7000</v>
      </c>
      <c r="R79" s="16">
        <v>7000</v>
      </c>
      <c r="S79" s="16">
        <v>7000</v>
      </c>
      <c r="T79" s="16">
        <v>7000</v>
      </c>
      <c r="U79" s="16">
        <v>7000</v>
      </c>
      <c r="V79" s="16">
        <v>7000</v>
      </c>
      <c r="W79" s="16">
        <v>7000</v>
      </c>
      <c r="X79" s="16">
        <v>7000</v>
      </c>
      <c r="Y79" s="16">
        <v>7000</v>
      </c>
      <c r="Z79" s="16">
        <v>7000</v>
      </c>
      <c r="AA79" s="16">
        <v>7000</v>
      </c>
      <c r="AB79" s="6">
        <f t="shared" si="2"/>
        <v>840000</v>
      </c>
      <c r="AC79" s="92">
        <f>+AB79+AB80+AB81</f>
        <v>5208000</v>
      </c>
    </row>
    <row r="80" spans="1:33" ht="18.75" thickBot="1" x14ac:dyDescent="0.3">
      <c r="A80" s="96"/>
      <c r="B80" s="11" t="s">
        <v>29</v>
      </c>
      <c r="C80" s="11">
        <v>5</v>
      </c>
      <c r="D80" s="16">
        <v>7000</v>
      </c>
      <c r="E80" s="16">
        <v>7000</v>
      </c>
      <c r="F80" s="16">
        <v>7000</v>
      </c>
      <c r="G80" s="16">
        <v>7000</v>
      </c>
      <c r="H80" s="16">
        <v>7000</v>
      </c>
      <c r="I80" s="16">
        <v>7000</v>
      </c>
      <c r="J80" s="16">
        <v>7000</v>
      </c>
      <c r="K80" s="16">
        <v>7000</v>
      </c>
      <c r="L80" s="16">
        <v>7000</v>
      </c>
      <c r="M80" s="16">
        <v>7000</v>
      </c>
      <c r="N80" s="16">
        <v>7000</v>
      </c>
      <c r="O80" s="16">
        <v>7000</v>
      </c>
      <c r="P80" s="16">
        <v>7000</v>
      </c>
      <c r="Q80" s="16">
        <v>7000</v>
      </c>
      <c r="R80" s="16">
        <v>7000</v>
      </c>
      <c r="S80" s="16">
        <v>7000</v>
      </c>
      <c r="T80" s="16">
        <v>7000</v>
      </c>
      <c r="U80" s="16">
        <v>7000</v>
      </c>
      <c r="V80" s="16">
        <v>7000</v>
      </c>
      <c r="W80" s="16">
        <v>7000</v>
      </c>
      <c r="X80" s="16">
        <v>7000</v>
      </c>
      <c r="Y80" s="16">
        <v>7000</v>
      </c>
      <c r="Z80" s="16">
        <v>7000</v>
      </c>
      <c r="AA80" s="16">
        <v>7000</v>
      </c>
      <c r="AB80" s="6">
        <f t="shared" si="2"/>
        <v>840000</v>
      </c>
      <c r="AC80" s="93"/>
    </row>
    <row r="81" spans="1:29" ht="18.75" thickBot="1" x14ac:dyDescent="0.3">
      <c r="A81" s="97"/>
      <c r="B81" s="12" t="s">
        <v>30</v>
      </c>
      <c r="C81" s="12">
        <v>21</v>
      </c>
      <c r="D81" s="16">
        <v>7000</v>
      </c>
      <c r="E81" s="16">
        <v>7000</v>
      </c>
      <c r="F81" s="16">
        <v>7000</v>
      </c>
      <c r="G81" s="16">
        <v>7000</v>
      </c>
      <c r="H81" s="16">
        <v>7000</v>
      </c>
      <c r="I81" s="16">
        <v>7000</v>
      </c>
      <c r="J81" s="16">
        <v>7000</v>
      </c>
      <c r="K81" s="16">
        <v>7000</v>
      </c>
      <c r="L81" s="16">
        <v>7000</v>
      </c>
      <c r="M81" s="16">
        <v>7000</v>
      </c>
      <c r="N81" s="16">
        <v>7000</v>
      </c>
      <c r="O81" s="16">
        <v>7000</v>
      </c>
      <c r="P81" s="16">
        <v>7000</v>
      </c>
      <c r="Q81" s="16">
        <v>7000</v>
      </c>
      <c r="R81" s="16">
        <v>7000</v>
      </c>
      <c r="S81" s="16">
        <v>7000</v>
      </c>
      <c r="T81" s="16">
        <v>7000</v>
      </c>
      <c r="U81" s="16">
        <v>7000</v>
      </c>
      <c r="V81" s="16">
        <v>7000</v>
      </c>
      <c r="W81" s="16">
        <v>7000</v>
      </c>
      <c r="X81" s="16">
        <v>7000</v>
      </c>
      <c r="Y81" s="16">
        <v>7000</v>
      </c>
      <c r="Z81" s="16">
        <v>7000</v>
      </c>
      <c r="AA81" s="16">
        <v>7000</v>
      </c>
      <c r="AB81" s="6">
        <f t="shared" si="2"/>
        <v>3528000</v>
      </c>
      <c r="AC81" s="94"/>
    </row>
    <row r="82" spans="1:29" ht="18.75" thickBot="1" x14ac:dyDescent="0.3">
      <c r="A82" s="95">
        <v>46966</v>
      </c>
      <c r="B82" s="9" t="s">
        <v>28</v>
      </c>
      <c r="C82" s="9">
        <v>4</v>
      </c>
      <c r="D82" s="16">
        <v>7000</v>
      </c>
      <c r="E82" s="16">
        <v>7000</v>
      </c>
      <c r="F82" s="16">
        <v>7000</v>
      </c>
      <c r="G82" s="16">
        <v>7000</v>
      </c>
      <c r="H82" s="16">
        <v>7000</v>
      </c>
      <c r="I82" s="16">
        <v>7000</v>
      </c>
      <c r="J82" s="16">
        <v>7000</v>
      </c>
      <c r="K82" s="16">
        <v>7000</v>
      </c>
      <c r="L82" s="16">
        <v>7000</v>
      </c>
      <c r="M82" s="16">
        <v>7000</v>
      </c>
      <c r="N82" s="16">
        <v>7000</v>
      </c>
      <c r="O82" s="16">
        <v>7000</v>
      </c>
      <c r="P82" s="16">
        <v>7000</v>
      </c>
      <c r="Q82" s="16">
        <v>7000</v>
      </c>
      <c r="R82" s="16">
        <v>7000</v>
      </c>
      <c r="S82" s="16">
        <v>7000</v>
      </c>
      <c r="T82" s="16">
        <v>7000</v>
      </c>
      <c r="U82" s="16">
        <v>7000</v>
      </c>
      <c r="V82" s="16">
        <v>7000</v>
      </c>
      <c r="W82" s="16">
        <v>7000</v>
      </c>
      <c r="X82" s="16">
        <v>7000</v>
      </c>
      <c r="Y82" s="16">
        <v>7000</v>
      </c>
      <c r="Z82" s="16">
        <v>7000</v>
      </c>
      <c r="AA82" s="16">
        <v>7000</v>
      </c>
      <c r="AB82" s="6">
        <f t="shared" si="2"/>
        <v>672000</v>
      </c>
      <c r="AC82" s="92">
        <f>+AB82+AB83+AB84</f>
        <v>5208000</v>
      </c>
    </row>
    <row r="83" spans="1:29" ht="18.75" thickBot="1" x14ac:dyDescent="0.3">
      <c r="A83" s="96"/>
      <c r="B83" s="11" t="s">
        <v>29</v>
      </c>
      <c r="C83" s="11">
        <v>4</v>
      </c>
      <c r="D83" s="16">
        <v>7000</v>
      </c>
      <c r="E83" s="16">
        <v>7000</v>
      </c>
      <c r="F83" s="16">
        <v>7000</v>
      </c>
      <c r="G83" s="16">
        <v>7000</v>
      </c>
      <c r="H83" s="16">
        <v>7000</v>
      </c>
      <c r="I83" s="16">
        <v>7000</v>
      </c>
      <c r="J83" s="16">
        <v>7000</v>
      </c>
      <c r="K83" s="16">
        <v>7000</v>
      </c>
      <c r="L83" s="16">
        <v>7000</v>
      </c>
      <c r="M83" s="16">
        <v>7000</v>
      </c>
      <c r="N83" s="16">
        <v>7000</v>
      </c>
      <c r="O83" s="16">
        <v>7000</v>
      </c>
      <c r="P83" s="16">
        <v>7000</v>
      </c>
      <c r="Q83" s="16">
        <v>7000</v>
      </c>
      <c r="R83" s="16">
        <v>7000</v>
      </c>
      <c r="S83" s="16">
        <v>7000</v>
      </c>
      <c r="T83" s="16">
        <v>7000</v>
      </c>
      <c r="U83" s="16">
        <v>7000</v>
      </c>
      <c r="V83" s="16">
        <v>7000</v>
      </c>
      <c r="W83" s="16">
        <v>7000</v>
      </c>
      <c r="X83" s="16">
        <v>7000</v>
      </c>
      <c r="Y83" s="16">
        <v>7000</v>
      </c>
      <c r="Z83" s="16">
        <v>7000</v>
      </c>
      <c r="AA83" s="16">
        <v>7000</v>
      </c>
      <c r="AB83" s="6">
        <f t="shared" si="2"/>
        <v>672000</v>
      </c>
      <c r="AC83" s="93"/>
    </row>
    <row r="84" spans="1:29" ht="18.75" thickBot="1" x14ac:dyDescent="0.3">
      <c r="A84" s="97"/>
      <c r="B84" s="12" t="s">
        <v>30</v>
      </c>
      <c r="C84" s="12">
        <v>23</v>
      </c>
      <c r="D84" s="16">
        <v>7000</v>
      </c>
      <c r="E84" s="16">
        <v>7000</v>
      </c>
      <c r="F84" s="16">
        <v>7000</v>
      </c>
      <c r="G84" s="16">
        <v>7000</v>
      </c>
      <c r="H84" s="16">
        <v>7000</v>
      </c>
      <c r="I84" s="16">
        <v>7000</v>
      </c>
      <c r="J84" s="16">
        <v>7000</v>
      </c>
      <c r="K84" s="16">
        <v>7000</v>
      </c>
      <c r="L84" s="16">
        <v>7000</v>
      </c>
      <c r="M84" s="16">
        <v>7000</v>
      </c>
      <c r="N84" s="16">
        <v>7000</v>
      </c>
      <c r="O84" s="16">
        <v>7000</v>
      </c>
      <c r="P84" s="16">
        <v>7000</v>
      </c>
      <c r="Q84" s="16">
        <v>7000</v>
      </c>
      <c r="R84" s="16">
        <v>7000</v>
      </c>
      <c r="S84" s="16">
        <v>7000</v>
      </c>
      <c r="T84" s="16">
        <v>7000</v>
      </c>
      <c r="U84" s="16">
        <v>7000</v>
      </c>
      <c r="V84" s="16">
        <v>7000</v>
      </c>
      <c r="W84" s="16">
        <v>7000</v>
      </c>
      <c r="X84" s="16">
        <v>7000</v>
      </c>
      <c r="Y84" s="16">
        <v>7000</v>
      </c>
      <c r="Z84" s="16">
        <v>7000</v>
      </c>
      <c r="AA84" s="16">
        <v>7000</v>
      </c>
      <c r="AB84" s="6">
        <f t="shared" si="2"/>
        <v>3864000</v>
      </c>
      <c r="AC84" s="94"/>
    </row>
    <row r="85" spans="1:29" ht="18.75" thickBot="1" x14ac:dyDescent="0.3">
      <c r="A85" s="95">
        <v>46997</v>
      </c>
      <c r="B85" s="9" t="s">
        <v>28</v>
      </c>
      <c r="C85" s="9">
        <v>5</v>
      </c>
      <c r="D85" s="16">
        <v>7000</v>
      </c>
      <c r="E85" s="16">
        <v>7000</v>
      </c>
      <c r="F85" s="16">
        <v>7000</v>
      </c>
      <c r="G85" s="16">
        <v>7000</v>
      </c>
      <c r="H85" s="16">
        <v>7000</v>
      </c>
      <c r="I85" s="16">
        <v>7000</v>
      </c>
      <c r="J85" s="16">
        <v>7000</v>
      </c>
      <c r="K85" s="16">
        <v>7000</v>
      </c>
      <c r="L85" s="16">
        <v>7000</v>
      </c>
      <c r="M85" s="16">
        <v>7000</v>
      </c>
      <c r="N85" s="16">
        <v>7000</v>
      </c>
      <c r="O85" s="16">
        <v>7000</v>
      </c>
      <c r="P85" s="16">
        <v>7000</v>
      </c>
      <c r="Q85" s="16">
        <v>7000</v>
      </c>
      <c r="R85" s="16">
        <v>7000</v>
      </c>
      <c r="S85" s="16">
        <v>7000</v>
      </c>
      <c r="T85" s="16">
        <v>7000</v>
      </c>
      <c r="U85" s="16">
        <v>7000</v>
      </c>
      <c r="V85" s="16">
        <v>7000</v>
      </c>
      <c r="W85" s="16">
        <v>7000</v>
      </c>
      <c r="X85" s="16">
        <v>7000</v>
      </c>
      <c r="Y85" s="16">
        <v>7000</v>
      </c>
      <c r="Z85" s="16">
        <v>7000</v>
      </c>
      <c r="AA85" s="16">
        <v>7000</v>
      </c>
      <c r="AB85" s="6">
        <f t="shared" si="2"/>
        <v>840000</v>
      </c>
      <c r="AC85" s="92">
        <f>+AB85+AB86+AB87</f>
        <v>5040000</v>
      </c>
    </row>
    <row r="86" spans="1:29" ht="18.75" thickBot="1" x14ac:dyDescent="0.3">
      <c r="A86" s="96"/>
      <c r="B86" s="11" t="s">
        <v>29</v>
      </c>
      <c r="C86" s="11">
        <v>4</v>
      </c>
      <c r="D86" s="16">
        <v>7000</v>
      </c>
      <c r="E86" s="16">
        <v>7000</v>
      </c>
      <c r="F86" s="16">
        <v>7000</v>
      </c>
      <c r="G86" s="16">
        <v>7000</v>
      </c>
      <c r="H86" s="16">
        <v>7000</v>
      </c>
      <c r="I86" s="16">
        <v>7000</v>
      </c>
      <c r="J86" s="16">
        <v>7000</v>
      </c>
      <c r="K86" s="16">
        <v>7000</v>
      </c>
      <c r="L86" s="16">
        <v>7000</v>
      </c>
      <c r="M86" s="16">
        <v>7000</v>
      </c>
      <c r="N86" s="16">
        <v>7000</v>
      </c>
      <c r="O86" s="16">
        <v>7000</v>
      </c>
      <c r="P86" s="16">
        <v>7000</v>
      </c>
      <c r="Q86" s="16">
        <v>7000</v>
      </c>
      <c r="R86" s="16">
        <v>7000</v>
      </c>
      <c r="S86" s="16">
        <v>7000</v>
      </c>
      <c r="T86" s="16">
        <v>7000</v>
      </c>
      <c r="U86" s="16">
        <v>7000</v>
      </c>
      <c r="V86" s="16">
        <v>7000</v>
      </c>
      <c r="W86" s="16">
        <v>7000</v>
      </c>
      <c r="X86" s="16">
        <v>7000</v>
      </c>
      <c r="Y86" s="16">
        <v>7000</v>
      </c>
      <c r="Z86" s="16">
        <v>7000</v>
      </c>
      <c r="AA86" s="16">
        <v>7000</v>
      </c>
      <c r="AB86" s="6">
        <f t="shared" si="2"/>
        <v>672000</v>
      </c>
      <c r="AC86" s="93"/>
    </row>
    <row r="87" spans="1:29" ht="18.75" thickBot="1" x14ac:dyDescent="0.3">
      <c r="A87" s="97"/>
      <c r="B87" s="12" t="s">
        <v>30</v>
      </c>
      <c r="C87" s="12">
        <v>21</v>
      </c>
      <c r="D87" s="16">
        <v>7000</v>
      </c>
      <c r="E87" s="16">
        <v>7000</v>
      </c>
      <c r="F87" s="16">
        <v>7000</v>
      </c>
      <c r="G87" s="16">
        <v>7000</v>
      </c>
      <c r="H87" s="16">
        <v>7000</v>
      </c>
      <c r="I87" s="16">
        <v>7000</v>
      </c>
      <c r="J87" s="16">
        <v>7000</v>
      </c>
      <c r="K87" s="16">
        <v>7000</v>
      </c>
      <c r="L87" s="16">
        <v>7000</v>
      </c>
      <c r="M87" s="16">
        <v>7000</v>
      </c>
      <c r="N87" s="16">
        <v>7000</v>
      </c>
      <c r="O87" s="16">
        <v>7000</v>
      </c>
      <c r="P87" s="16">
        <v>7000</v>
      </c>
      <c r="Q87" s="16">
        <v>7000</v>
      </c>
      <c r="R87" s="16">
        <v>7000</v>
      </c>
      <c r="S87" s="16">
        <v>7000</v>
      </c>
      <c r="T87" s="16">
        <v>7000</v>
      </c>
      <c r="U87" s="16">
        <v>7000</v>
      </c>
      <c r="V87" s="16">
        <v>7000</v>
      </c>
      <c r="W87" s="16">
        <v>7000</v>
      </c>
      <c r="X87" s="16">
        <v>7000</v>
      </c>
      <c r="Y87" s="16">
        <v>7000</v>
      </c>
      <c r="Z87" s="16">
        <v>7000</v>
      </c>
      <c r="AA87" s="16">
        <v>7000</v>
      </c>
      <c r="AB87" s="6">
        <f t="shared" si="2"/>
        <v>3528000</v>
      </c>
      <c r="AC87" s="94"/>
    </row>
    <row r="88" spans="1:29" ht="18.75" thickBot="1" x14ac:dyDescent="0.3">
      <c r="A88" s="95">
        <v>47027</v>
      </c>
      <c r="B88" s="9" t="s">
        <v>28</v>
      </c>
      <c r="C88" s="9">
        <v>4</v>
      </c>
      <c r="D88" s="16">
        <v>7000</v>
      </c>
      <c r="E88" s="16">
        <v>7000</v>
      </c>
      <c r="F88" s="16">
        <v>7000</v>
      </c>
      <c r="G88" s="16">
        <v>7000</v>
      </c>
      <c r="H88" s="16">
        <v>7000</v>
      </c>
      <c r="I88" s="16">
        <v>7000</v>
      </c>
      <c r="J88" s="16">
        <v>7000</v>
      </c>
      <c r="K88" s="16">
        <v>7000</v>
      </c>
      <c r="L88" s="16">
        <v>7000</v>
      </c>
      <c r="M88" s="16">
        <v>7000</v>
      </c>
      <c r="N88" s="16">
        <v>7000</v>
      </c>
      <c r="O88" s="16">
        <v>7000</v>
      </c>
      <c r="P88" s="16">
        <v>7000</v>
      </c>
      <c r="Q88" s="16">
        <v>7000</v>
      </c>
      <c r="R88" s="16">
        <v>7000</v>
      </c>
      <c r="S88" s="16">
        <v>7000</v>
      </c>
      <c r="T88" s="16">
        <v>7000</v>
      </c>
      <c r="U88" s="16">
        <v>7000</v>
      </c>
      <c r="V88" s="16">
        <v>7000</v>
      </c>
      <c r="W88" s="16">
        <v>7000</v>
      </c>
      <c r="X88" s="16">
        <v>7000</v>
      </c>
      <c r="Y88" s="16">
        <v>7000</v>
      </c>
      <c r="Z88" s="16">
        <v>7000</v>
      </c>
      <c r="AA88" s="16">
        <v>7000</v>
      </c>
      <c r="AB88" s="6">
        <f t="shared" si="2"/>
        <v>672000</v>
      </c>
      <c r="AC88" s="92">
        <f>+AB88+AB89+AB90</f>
        <v>5208000</v>
      </c>
    </row>
    <row r="89" spans="1:29" ht="18.75" thickBot="1" x14ac:dyDescent="0.3">
      <c r="A89" s="96"/>
      <c r="B89" s="11" t="s">
        <v>29</v>
      </c>
      <c r="C89" s="11">
        <v>5</v>
      </c>
      <c r="D89" s="16">
        <v>7000</v>
      </c>
      <c r="E89" s="16">
        <v>7000</v>
      </c>
      <c r="F89" s="16">
        <v>7000</v>
      </c>
      <c r="G89" s="16">
        <v>7000</v>
      </c>
      <c r="H89" s="16">
        <v>7000</v>
      </c>
      <c r="I89" s="16">
        <v>7000</v>
      </c>
      <c r="J89" s="16">
        <v>7000</v>
      </c>
      <c r="K89" s="16">
        <v>7000</v>
      </c>
      <c r="L89" s="16">
        <v>7000</v>
      </c>
      <c r="M89" s="16">
        <v>7000</v>
      </c>
      <c r="N89" s="16">
        <v>7000</v>
      </c>
      <c r="O89" s="16">
        <v>7000</v>
      </c>
      <c r="P89" s="16">
        <v>7000</v>
      </c>
      <c r="Q89" s="16">
        <v>7000</v>
      </c>
      <c r="R89" s="16">
        <v>7000</v>
      </c>
      <c r="S89" s="16">
        <v>7000</v>
      </c>
      <c r="T89" s="16">
        <v>7000</v>
      </c>
      <c r="U89" s="16">
        <v>7000</v>
      </c>
      <c r="V89" s="16">
        <v>7000</v>
      </c>
      <c r="W89" s="16">
        <v>7000</v>
      </c>
      <c r="X89" s="16">
        <v>7000</v>
      </c>
      <c r="Y89" s="16">
        <v>7000</v>
      </c>
      <c r="Z89" s="16">
        <v>7000</v>
      </c>
      <c r="AA89" s="16">
        <v>7000</v>
      </c>
      <c r="AB89" s="6">
        <f t="shared" si="2"/>
        <v>840000</v>
      </c>
      <c r="AC89" s="93"/>
    </row>
    <row r="90" spans="1:29" ht="18.75" thickBot="1" x14ac:dyDescent="0.3">
      <c r="A90" s="97"/>
      <c r="B90" s="12" t="s">
        <v>30</v>
      </c>
      <c r="C90" s="12">
        <v>22</v>
      </c>
      <c r="D90" s="16">
        <v>7000</v>
      </c>
      <c r="E90" s="16">
        <v>7000</v>
      </c>
      <c r="F90" s="16">
        <v>7000</v>
      </c>
      <c r="G90" s="16">
        <v>7000</v>
      </c>
      <c r="H90" s="16">
        <v>7000</v>
      </c>
      <c r="I90" s="16">
        <v>7000</v>
      </c>
      <c r="J90" s="16">
        <v>7000</v>
      </c>
      <c r="K90" s="16">
        <v>7000</v>
      </c>
      <c r="L90" s="16">
        <v>7000</v>
      </c>
      <c r="M90" s="16">
        <v>7000</v>
      </c>
      <c r="N90" s="16">
        <v>7000</v>
      </c>
      <c r="O90" s="16">
        <v>7000</v>
      </c>
      <c r="P90" s="16">
        <v>7000</v>
      </c>
      <c r="Q90" s="16">
        <v>7000</v>
      </c>
      <c r="R90" s="16">
        <v>7000</v>
      </c>
      <c r="S90" s="16">
        <v>7000</v>
      </c>
      <c r="T90" s="16">
        <v>7000</v>
      </c>
      <c r="U90" s="16">
        <v>7000</v>
      </c>
      <c r="V90" s="16">
        <v>7000</v>
      </c>
      <c r="W90" s="16">
        <v>7000</v>
      </c>
      <c r="X90" s="16">
        <v>7000</v>
      </c>
      <c r="Y90" s="16">
        <v>7000</v>
      </c>
      <c r="Z90" s="16">
        <v>7000</v>
      </c>
      <c r="AA90" s="16">
        <v>7000</v>
      </c>
      <c r="AB90" s="6">
        <f t="shared" si="2"/>
        <v>3696000</v>
      </c>
      <c r="AC90" s="94"/>
    </row>
    <row r="91" spans="1:29" ht="18.75" thickBot="1" x14ac:dyDescent="0.3">
      <c r="A91" s="95">
        <v>47058</v>
      </c>
      <c r="B91" s="9" t="s">
        <v>28</v>
      </c>
      <c r="C91" s="9">
        <v>4</v>
      </c>
      <c r="D91" s="16">
        <v>7000</v>
      </c>
      <c r="E91" s="16">
        <v>7000</v>
      </c>
      <c r="F91" s="16">
        <v>7000</v>
      </c>
      <c r="G91" s="16">
        <v>7000</v>
      </c>
      <c r="H91" s="16">
        <v>7000</v>
      </c>
      <c r="I91" s="16">
        <v>7000</v>
      </c>
      <c r="J91" s="16">
        <v>7000</v>
      </c>
      <c r="K91" s="16">
        <v>7000</v>
      </c>
      <c r="L91" s="16">
        <v>7000</v>
      </c>
      <c r="M91" s="16">
        <v>7000</v>
      </c>
      <c r="N91" s="16">
        <v>7000</v>
      </c>
      <c r="O91" s="16">
        <v>7000</v>
      </c>
      <c r="P91" s="16">
        <v>7000</v>
      </c>
      <c r="Q91" s="16">
        <v>7000</v>
      </c>
      <c r="R91" s="16">
        <v>7000</v>
      </c>
      <c r="S91" s="16">
        <v>7000</v>
      </c>
      <c r="T91" s="16">
        <v>7000</v>
      </c>
      <c r="U91" s="16">
        <v>7000</v>
      </c>
      <c r="V91" s="16">
        <v>7000</v>
      </c>
      <c r="W91" s="16">
        <v>7000</v>
      </c>
      <c r="X91" s="16">
        <v>7000</v>
      </c>
      <c r="Y91" s="16">
        <v>7000</v>
      </c>
      <c r="Z91" s="16">
        <v>7000</v>
      </c>
      <c r="AA91" s="16">
        <v>7000</v>
      </c>
      <c r="AB91" s="6">
        <f t="shared" si="2"/>
        <v>672000</v>
      </c>
      <c r="AC91" s="92">
        <f>+AB91+AB92+AB93</f>
        <v>5040000</v>
      </c>
    </row>
    <row r="92" spans="1:29" ht="18.75" thickBot="1" x14ac:dyDescent="0.3">
      <c r="A92" s="96"/>
      <c r="B92" s="11" t="s">
        <v>29</v>
      </c>
      <c r="C92" s="11">
        <v>4</v>
      </c>
      <c r="D92" s="16">
        <v>7000</v>
      </c>
      <c r="E92" s="16">
        <v>7000</v>
      </c>
      <c r="F92" s="16">
        <v>7000</v>
      </c>
      <c r="G92" s="16">
        <v>7000</v>
      </c>
      <c r="H92" s="16">
        <v>7000</v>
      </c>
      <c r="I92" s="16">
        <v>7000</v>
      </c>
      <c r="J92" s="16">
        <v>7000</v>
      </c>
      <c r="K92" s="16">
        <v>7000</v>
      </c>
      <c r="L92" s="16">
        <v>7000</v>
      </c>
      <c r="M92" s="16">
        <v>7000</v>
      </c>
      <c r="N92" s="16">
        <v>7000</v>
      </c>
      <c r="O92" s="16">
        <v>7000</v>
      </c>
      <c r="P92" s="16">
        <v>7000</v>
      </c>
      <c r="Q92" s="16">
        <v>7000</v>
      </c>
      <c r="R92" s="16">
        <v>7000</v>
      </c>
      <c r="S92" s="16">
        <v>7000</v>
      </c>
      <c r="T92" s="16">
        <v>7000</v>
      </c>
      <c r="U92" s="16">
        <v>7000</v>
      </c>
      <c r="V92" s="16">
        <v>7000</v>
      </c>
      <c r="W92" s="16">
        <v>7000</v>
      </c>
      <c r="X92" s="16">
        <v>7000</v>
      </c>
      <c r="Y92" s="16">
        <v>7000</v>
      </c>
      <c r="Z92" s="16">
        <v>7000</v>
      </c>
      <c r="AA92" s="16">
        <v>7000</v>
      </c>
      <c r="AB92" s="6">
        <f t="shared" si="2"/>
        <v>672000</v>
      </c>
      <c r="AC92" s="93"/>
    </row>
    <row r="93" spans="1:29" ht="18.75" thickBot="1" x14ac:dyDescent="0.3">
      <c r="A93" s="97"/>
      <c r="B93" s="12" t="s">
        <v>30</v>
      </c>
      <c r="C93" s="12">
        <v>22</v>
      </c>
      <c r="D93" s="16">
        <v>7000</v>
      </c>
      <c r="E93" s="16">
        <v>7000</v>
      </c>
      <c r="F93" s="16">
        <v>7000</v>
      </c>
      <c r="G93" s="16">
        <v>7000</v>
      </c>
      <c r="H93" s="16">
        <v>7000</v>
      </c>
      <c r="I93" s="16">
        <v>7000</v>
      </c>
      <c r="J93" s="16">
        <v>7000</v>
      </c>
      <c r="K93" s="16">
        <v>7000</v>
      </c>
      <c r="L93" s="16">
        <v>7000</v>
      </c>
      <c r="M93" s="16">
        <v>7000</v>
      </c>
      <c r="N93" s="16">
        <v>7000</v>
      </c>
      <c r="O93" s="16">
        <v>7000</v>
      </c>
      <c r="P93" s="16">
        <v>7000</v>
      </c>
      <c r="Q93" s="16">
        <v>7000</v>
      </c>
      <c r="R93" s="16">
        <v>7000</v>
      </c>
      <c r="S93" s="16">
        <v>7000</v>
      </c>
      <c r="T93" s="16">
        <v>7000</v>
      </c>
      <c r="U93" s="16">
        <v>7000</v>
      </c>
      <c r="V93" s="16">
        <v>7000</v>
      </c>
      <c r="W93" s="16">
        <v>7000</v>
      </c>
      <c r="X93" s="16">
        <v>7000</v>
      </c>
      <c r="Y93" s="16">
        <v>7000</v>
      </c>
      <c r="Z93" s="16">
        <v>7000</v>
      </c>
      <c r="AA93" s="16">
        <v>7000</v>
      </c>
      <c r="AB93" s="6">
        <f t="shared" si="2"/>
        <v>3696000</v>
      </c>
      <c r="AC93" s="94"/>
    </row>
    <row r="94" spans="1:29" ht="18.75" thickBot="1" x14ac:dyDescent="0.3">
      <c r="A94" s="95">
        <v>47088</v>
      </c>
      <c r="B94" s="9" t="s">
        <v>28</v>
      </c>
      <c r="C94" s="9">
        <v>5</v>
      </c>
      <c r="D94" s="16">
        <v>12000</v>
      </c>
      <c r="E94" s="16">
        <v>12000</v>
      </c>
      <c r="F94" s="16">
        <v>12000</v>
      </c>
      <c r="G94" s="16">
        <v>12000</v>
      </c>
      <c r="H94" s="16">
        <v>12000</v>
      </c>
      <c r="I94" s="16">
        <v>12000</v>
      </c>
      <c r="J94" s="16">
        <v>12000</v>
      </c>
      <c r="K94" s="16">
        <v>12000</v>
      </c>
      <c r="L94" s="16">
        <v>12000</v>
      </c>
      <c r="M94" s="16">
        <v>12000</v>
      </c>
      <c r="N94" s="16">
        <v>12000</v>
      </c>
      <c r="O94" s="16">
        <v>12000</v>
      </c>
      <c r="P94" s="16">
        <v>12000</v>
      </c>
      <c r="Q94" s="16">
        <v>12000</v>
      </c>
      <c r="R94" s="16">
        <v>12000</v>
      </c>
      <c r="S94" s="16">
        <v>12000</v>
      </c>
      <c r="T94" s="16">
        <v>12000</v>
      </c>
      <c r="U94" s="16">
        <v>12000</v>
      </c>
      <c r="V94" s="16">
        <v>12000</v>
      </c>
      <c r="W94" s="16">
        <v>12000</v>
      </c>
      <c r="X94" s="16">
        <v>12000</v>
      </c>
      <c r="Y94" s="16">
        <v>12000</v>
      </c>
      <c r="Z94" s="16">
        <v>12000</v>
      </c>
      <c r="AA94" s="16">
        <v>12000</v>
      </c>
      <c r="AB94" s="6">
        <f t="shared" si="2"/>
        <v>1440000</v>
      </c>
      <c r="AC94" s="92">
        <f>+AB94+AB95+AB96</f>
        <v>8928000</v>
      </c>
    </row>
    <row r="95" spans="1:29" ht="18.75" thickBot="1" x14ac:dyDescent="0.3">
      <c r="A95" s="96"/>
      <c r="B95" s="11" t="s">
        <v>29</v>
      </c>
      <c r="C95" s="11">
        <v>5</v>
      </c>
      <c r="D95" s="16">
        <v>12000</v>
      </c>
      <c r="E95" s="16">
        <v>12000</v>
      </c>
      <c r="F95" s="16">
        <v>12000</v>
      </c>
      <c r="G95" s="16">
        <v>12000</v>
      </c>
      <c r="H95" s="16">
        <v>12000</v>
      </c>
      <c r="I95" s="16">
        <v>12000</v>
      </c>
      <c r="J95" s="16">
        <v>12000</v>
      </c>
      <c r="K95" s="16">
        <v>12000</v>
      </c>
      <c r="L95" s="16">
        <v>12000</v>
      </c>
      <c r="M95" s="16">
        <v>12000</v>
      </c>
      <c r="N95" s="16">
        <v>12000</v>
      </c>
      <c r="O95" s="16">
        <v>12000</v>
      </c>
      <c r="P95" s="16">
        <v>12000</v>
      </c>
      <c r="Q95" s="16">
        <v>12000</v>
      </c>
      <c r="R95" s="16">
        <v>12000</v>
      </c>
      <c r="S95" s="16">
        <v>12000</v>
      </c>
      <c r="T95" s="16">
        <v>12000</v>
      </c>
      <c r="U95" s="16">
        <v>12000</v>
      </c>
      <c r="V95" s="16">
        <v>12000</v>
      </c>
      <c r="W95" s="16">
        <v>12000</v>
      </c>
      <c r="X95" s="16">
        <v>12000</v>
      </c>
      <c r="Y95" s="16">
        <v>12000</v>
      </c>
      <c r="Z95" s="16">
        <v>12000</v>
      </c>
      <c r="AA95" s="16">
        <v>12000</v>
      </c>
      <c r="AB95" s="6">
        <f t="shared" si="2"/>
        <v>1440000</v>
      </c>
      <c r="AC95" s="93"/>
    </row>
    <row r="96" spans="1:29" ht="18.75" thickBot="1" x14ac:dyDescent="0.3">
      <c r="A96" s="97"/>
      <c r="B96" s="12" t="s">
        <v>30</v>
      </c>
      <c r="C96" s="12">
        <v>21</v>
      </c>
      <c r="D96" s="16">
        <v>12000</v>
      </c>
      <c r="E96" s="16">
        <v>12000</v>
      </c>
      <c r="F96" s="16">
        <v>12000</v>
      </c>
      <c r="G96" s="16">
        <v>12000</v>
      </c>
      <c r="H96" s="16">
        <v>12000</v>
      </c>
      <c r="I96" s="16">
        <v>12000</v>
      </c>
      <c r="J96" s="16">
        <v>12000</v>
      </c>
      <c r="K96" s="16">
        <v>12000</v>
      </c>
      <c r="L96" s="16">
        <v>12000</v>
      </c>
      <c r="M96" s="16">
        <v>12000</v>
      </c>
      <c r="N96" s="16">
        <v>12000</v>
      </c>
      <c r="O96" s="16">
        <v>12000</v>
      </c>
      <c r="P96" s="16">
        <v>12000</v>
      </c>
      <c r="Q96" s="16">
        <v>12000</v>
      </c>
      <c r="R96" s="16">
        <v>12000</v>
      </c>
      <c r="S96" s="16">
        <v>12000</v>
      </c>
      <c r="T96" s="16">
        <v>12000</v>
      </c>
      <c r="U96" s="16">
        <v>12000</v>
      </c>
      <c r="V96" s="16">
        <v>12000</v>
      </c>
      <c r="W96" s="16">
        <v>12000</v>
      </c>
      <c r="X96" s="16">
        <v>12000</v>
      </c>
      <c r="Y96" s="16">
        <v>12000</v>
      </c>
      <c r="Z96" s="16">
        <v>12000</v>
      </c>
      <c r="AA96" s="16">
        <v>12000</v>
      </c>
      <c r="AB96" s="6">
        <f t="shared" si="2"/>
        <v>6048000</v>
      </c>
      <c r="AC96" s="94"/>
    </row>
    <row r="98" spans="1:33" ht="15.75" thickBot="1" x14ac:dyDescent="0.3"/>
    <row r="99" spans="1:33" ht="18.75" thickBot="1" x14ac:dyDescent="0.3">
      <c r="A99" s="1" t="s">
        <v>0</v>
      </c>
      <c r="B99" s="2" t="s">
        <v>1</v>
      </c>
      <c r="C99" s="2" t="s">
        <v>2</v>
      </c>
      <c r="D99" s="27" t="s">
        <v>3</v>
      </c>
      <c r="E99" s="5" t="s">
        <v>4</v>
      </c>
      <c r="F99" s="5" t="s">
        <v>5</v>
      </c>
      <c r="G99" s="5" t="s">
        <v>6</v>
      </c>
      <c r="H99" s="5" t="s">
        <v>7</v>
      </c>
      <c r="I99" s="5" t="s">
        <v>8</v>
      </c>
      <c r="J99" s="5" t="s">
        <v>9</v>
      </c>
      <c r="K99" s="5" t="s">
        <v>10</v>
      </c>
      <c r="L99" s="5" t="s">
        <v>11</v>
      </c>
      <c r="M99" s="5" t="s">
        <v>12</v>
      </c>
      <c r="N99" s="5" t="s">
        <v>13</v>
      </c>
      <c r="O99" s="5" t="s">
        <v>14</v>
      </c>
      <c r="P99" s="5" t="s">
        <v>15</v>
      </c>
      <c r="Q99" s="5" t="s">
        <v>16</v>
      </c>
      <c r="R99" s="5" t="s">
        <v>17</v>
      </c>
      <c r="S99" s="5" t="s">
        <v>18</v>
      </c>
      <c r="T99" s="5" t="s">
        <v>19</v>
      </c>
      <c r="U99" s="5" t="s">
        <v>20</v>
      </c>
      <c r="V99" s="5" t="s">
        <v>21</v>
      </c>
      <c r="W99" s="5" t="s">
        <v>22</v>
      </c>
      <c r="X99" s="5" t="s">
        <v>23</v>
      </c>
      <c r="Y99" s="5" t="s">
        <v>24</v>
      </c>
      <c r="Z99" s="5" t="s">
        <v>25</v>
      </c>
      <c r="AA99" s="5" t="s">
        <v>26</v>
      </c>
      <c r="AB99" s="109" t="s">
        <v>27</v>
      </c>
      <c r="AC99" s="110"/>
    </row>
    <row r="100" spans="1:33" ht="18.75" thickBot="1" x14ac:dyDescent="0.3">
      <c r="A100" s="95">
        <v>47119</v>
      </c>
      <c r="B100" s="9" t="s">
        <v>28</v>
      </c>
      <c r="C100" s="9">
        <v>4</v>
      </c>
      <c r="D100" s="16">
        <v>15000</v>
      </c>
      <c r="E100" s="16">
        <v>15000</v>
      </c>
      <c r="F100" s="16">
        <v>15000</v>
      </c>
      <c r="G100" s="16">
        <v>15000</v>
      </c>
      <c r="H100" s="16">
        <v>15000</v>
      </c>
      <c r="I100" s="16">
        <v>15000</v>
      </c>
      <c r="J100" s="16">
        <v>15000</v>
      </c>
      <c r="K100" s="16">
        <v>15000</v>
      </c>
      <c r="L100" s="16">
        <v>15000</v>
      </c>
      <c r="M100" s="16">
        <v>15000</v>
      </c>
      <c r="N100" s="16">
        <v>15000</v>
      </c>
      <c r="O100" s="16">
        <v>15000</v>
      </c>
      <c r="P100" s="16">
        <v>15000</v>
      </c>
      <c r="Q100" s="16">
        <v>15000</v>
      </c>
      <c r="R100" s="16">
        <v>15000</v>
      </c>
      <c r="S100" s="16">
        <v>15000</v>
      </c>
      <c r="T100" s="16">
        <v>15000</v>
      </c>
      <c r="U100" s="16">
        <v>15000</v>
      </c>
      <c r="V100" s="16">
        <v>15000</v>
      </c>
      <c r="W100" s="16">
        <v>15000</v>
      </c>
      <c r="X100" s="16">
        <v>15000</v>
      </c>
      <c r="Y100" s="16">
        <v>15000</v>
      </c>
      <c r="Z100" s="16">
        <v>15000</v>
      </c>
      <c r="AA100" s="16">
        <v>15000</v>
      </c>
      <c r="AB100" s="6">
        <f t="shared" ref="AB100:AB135" si="3">SUM(D100:AA100)*C100</f>
        <v>1440000</v>
      </c>
      <c r="AC100" s="92">
        <f>+AB100+AB101+AB102</f>
        <v>11160000</v>
      </c>
      <c r="AF100" s="67">
        <v>47119</v>
      </c>
      <c r="AG100" s="68">
        <f>AC100</f>
        <v>11160000</v>
      </c>
    </row>
    <row r="101" spans="1:33" ht="18.75" thickBot="1" x14ac:dyDescent="0.3">
      <c r="A101" s="96"/>
      <c r="B101" s="11" t="s">
        <v>29</v>
      </c>
      <c r="C101" s="11">
        <v>6</v>
      </c>
      <c r="D101" s="16">
        <v>15000</v>
      </c>
      <c r="E101" s="16">
        <v>15000</v>
      </c>
      <c r="F101" s="16">
        <v>15000</v>
      </c>
      <c r="G101" s="16">
        <v>15000</v>
      </c>
      <c r="H101" s="16">
        <v>15000</v>
      </c>
      <c r="I101" s="16">
        <v>15000</v>
      </c>
      <c r="J101" s="16">
        <v>15000</v>
      </c>
      <c r="K101" s="16">
        <v>15000</v>
      </c>
      <c r="L101" s="16">
        <v>15000</v>
      </c>
      <c r="M101" s="16">
        <v>15000</v>
      </c>
      <c r="N101" s="16">
        <v>15000</v>
      </c>
      <c r="O101" s="16">
        <v>15000</v>
      </c>
      <c r="P101" s="16">
        <v>15000</v>
      </c>
      <c r="Q101" s="16">
        <v>15000</v>
      </c>
      <c r="R101" s="16">
        <v>15000</v>
      </c>
      <c r="S101" s="16">
        <v>15000</v>
      </c>
      <c r="T101" s="16">
        <v>15000</v>
      </c>
      <c r="U101" s="16">
        <v>15000</v>
      </c>
      <c r="V101" s="16">
        <v>15000</v>
      </c>
      <c r="W101" s="16">
        <v>15000</v>
      </c>
      <c r="X101" s="16">
        <v>15000</v>
      </c>
      <c r="Y101" s="16">
        <v>15000</v>
      </c>
      <c r="Z101" s="16">
        <v>15000</v>
      </c>
      <c r="AA101" s="16">
        <v>15000</v>
      </c>
      <c r="AB101" s="6">
        <f t="shared" si="3"/>
        <v>2160000</v>
      </c>
      <c r="AC101" s="93"/>
      <c r="AF101" s="67">
        <v>47150</v>
      </c>
      <c r="AG101" s="68">
        <f>AC103</f>
        <v>10080000</v>
      </c>
    </row>
    <row r="102" spans="1:33" ht="18.75" thickBot="1" x14ac:dyDescent="0.3">
      <c r="A102" s="97"/>
      <c r="B102" s="12" t="s">
        <v>30</v>
      </c>
      <c r="C102" s="12">
        <v>21</v>
      </c>
      <c r="D102" s="16">
        <v>15000</v>
      </c>
      <c r="E102" s="16">
        <v>15000</v>
      </c>
      <c r="F102" s="16">
        <v>15000</v>
      </c>
      <c r="G102" s="16">
        <v>15000</v>
      </c>
      <c r="H102" s="16">
        <v>15000</v>
      </c>
      <c r="I102" s="16">
        <v>15000</v>
      </c>
      <c r="J102" s="16">
        <v>15000</v>
      </c>
      <c r="K102" s="16">
        <v>15000</v>
      </c>
      <c r="L102" s="16">
        <v>15000</v>
      </c>
      <c r="M102" s="16">
        <v>15000</v>
      </c>
      <c r="N102" s="16">
        <v>15000</v>
      </c>
      <c r="O102" s="16">
        <v>15000</v>
      </c>
      <c r="P102" s="16">
        <v>15000</v>
      </c>
      <c r="Q102" s="16">
        <v>15000</v>
      </c>
      <c r="R102" s="16">
        <v>15000</v>
      </c>
      <c r="S102" s="16">
        <v>15000</v>
      </c>
      <c r="T102" s="16">
        <v>15000</v>
      </c>
      <c r="U102" s="16">
        <v>15000</v>
      </c>
      <c r="V102" s="16">
        <v>15000</v>
      </c>
      <c r="W102" s="16">
        <v>15000</v>
      </c>
      <c r="X102" s="16">
        <v>15000</v>
      </c>
      <c r="Y102" s="16">
        <v>15000</v>
      </c>
      <c r="Z102" s="16">
        <v>15000</v>
      </c>
      <c r="AA102" s="16">
        <v>15000</v>
      </c>
      <c r="AB102" s="6">
        <f t="shared" si="3"/>
        <v>7560000</v>
      </c>
      <c r="AC102" s="94"/>
      <c r="AF102" s="67">
        <v>47178</v>
      </c>
      <c r="AG102" s="68">
        <f>AC106</f>
        <v>11160000</v>
      </c>
    </row>
    <row r="103" spans="1:33" ht="18.75" thickBot="1" x14ac:dyDescent="0.3">
      <c r="A103" s="95">
        <v>47150</v>
      </c>
      <c r="B103" s="9" t="s">
        <v>28</v>
      </c>
      <c r="C103" s="9">
        <v>4</v>
      </c>
      <c r="D103" s="16">
        <v>15000</v>
      </c>
      <c r="E103" s="16">
        <v>15000</v>
      </c>
      <c r="F103" s="16">
        <v>15000</v>
      </c>
      <c r="G103" s="16">
        <v>15000</v>
      </c>
      <c r="H103" s="16">
        <v>15000</v>
      </c>
      <c r="I103" s="16">
        <v>15000</v>
      </c>
      <c r="J103" s="16">
        <v>15000</v>
      </c>
      <c r="K103" s="16">
        <v>15000</v>
      </c>
      <c r="L103" s="16">
        <v>15000</v>
      </c>
      <c r="M103" s="16">
        <v>15000</v>
      </c>
      <c r="N103" s="16">
        <v>15000</v>
      </c>
      <c r="O103" s="16">
        <v>15000</v>
      </c>
      <c r="P103" s="16">
        <v>15000</v>
      </c>
      <c r="Q103" s="16">
        <v>15000</v>
      </c>
      <c r="R103" s="16">
        <v>15000</v>
      </c>
      <c r="S103" s="16">
        <v>15000</v>
      </c>
      <c r="T103" s="16">
        <v>15000</v>
      </c>
      <c r="U103" s="16">
        <v>15000</v>
      </c>
      <c r="V103" s="16">
        <v>15000</v>
      </c>
      <c r="W103" s="16">
        <v>15000</v>
      </c>
      <c r="X103" s="16">
        <v>15000</v>
      </c>
      <c r="Y103" s="16">
        <v>15000</v>
      </c>
      <c r="Z103" s="16">
        <v>15000</v>
      </c>
      <c r="AA103" s="16">
        <v>15000</v>
      </c>
      <c r="AB103" s="6">
        <f t="shared" si="3"/>
        <v>1440000</v>
      </c>
      <c r="AC103" s="92">
        <f>+AB103+AB104+AB105</f>
        <v>10080000</v>
      </c>
      <c r="AF103" s="67">
        <v>47209</v>
      </c>
      <c r="AG103" s="68">
        <f>AC109</f>
        <v>10800000</v>
      </c>
    </row>
    <row r="104" spans="1:33" ht="18.75" thickBot="1" x14ac:dyDescent="0.3">
      <c r="A104" s="96"/>
      <c r="B104" s="11" t="s">
        <v>29</v>
      </c>
      <c r="C104" s="11">
        <v>4</v>
      </c>
      <c r="D104" s="16">
        <v>15000</v>
      </c>
      <c r="E104" s="16">
        <v>15000</v>
      </c>
      <c r="F104" s="16">
        <v>15000</v>
      </c>
      <c r="G104" s="16">
        <v>15000</v>
      </c>
      <c r="H104" s="16">
        <v>15000</v>
      </c>
      <c r="I104" s="16">
        <v>15000</v>
      </c>
      <c r="J104" s="16">
        <v>15000</v>
      </c>
      <c r="K104" s="16">
        <v>15000</v>
      </c>
      <c r="L104" s="16">
        <v>15000</v>
      </c>
      <c r="M104" s="16">
        <v>15000</v>
      </c>
      <c r="N104" s="16">
        <v>15000</v>
      </c>
      <c r="O104" s="16">
        <v>15000</v>
      </c>
      <c r="P104" s="16">
        <v>15000</v>
      </c>
      <c r="Q104" s="16">
        <v>15000</v>
      </c>
      <c r="R104" s="16">
        <v>15000</v>
      </c>
      <c r="S104" s="16">
        <v>15000</v>
      </c>
      <c r="T104" s="16">
        <v>15000</v>
      </c>
      <c r="U104" s="16">
        <v>15000</v>
      </c>
      <c r="V104" s="16">
        <v>15000</v>
      </c>
      <c r="W104" s="16">
        <v>15000</v>
      </c>
      <c r="X104" s="16">
        <v>15000</v>
      </c>
      <c r="Y104" s="16">
        <v>15000</v>
      </c>
      <c r="Z104" s="16">
        <v>15000</v>
      </c>
      <c r="AA104" s="16">
        <v>15000</v>
      </c>
      <c r="AB104" s="6">
        <f t="shared" si="3"/>
        <v>1440000</v>
      </c>
      <c r="AC104" s="93"/>
      <c r="AF104" s="67">
        <v>47239</v>
      </c>
      <c r="AG104" s="68">
        <f>AC112</f>
        <v>11160000</v>
      </c>
    </row>
    <row r="105" spans="1:33" ht="18.75" thickBot="1" x14ac:dyDescent="0.3">
      <c r="A105" s="97"/>
      <c r="B105" s="12" t="s">
        <v>30</v>
      </c>
      <c r="C105" s="12">
        <v>20</v>
      </c>
      <c r="D105" s="16">
        <v>15000</v>
      </c>
      <c r="E105" s="16">
        <v>15000</v>
      </c>
      <c r="F105" s="16">
        <v>15000</v>
      </c>
      <c r="G105" s="16">
        <v>15000</v>
      </c>
      <c r="H105" s="16">
        <v>15000</v>
      </c>
      <c r="I105" s="16">
        <v>15000</v>
      </c>
      <c r="J105" s="16">
        <v>15000</v>
      </c>
      <c r="K105" s="16">
        <v>15000</v>
      </c>
      <c r="L105" s="16">
        <v>15000</v>
      </c>
      <c r="M105" s="16">
        <v>15000</v>
      </c>
      <c r="N105" s="16">
        <v>15000</v>
      </c>
      <c r="O105" s="16">
        <v>15000</v>
      </c>
      <c r="P105" s="16">
        <v>15000</v>
      </c>
      <c r="Q105" s="16">
        <v>15000</v>
      </c>
      <c r="R105" s="16">
        <v>15000</v>
      </c>
      <c r="S105" s="16">
        <v>15000</v>
      </c>
      <c r="T105" s="16">
        <v>15000</v>
      </c>
      <c r="U105" s="16">
        <v>15000</v>
      </c>
      <c r="V105" s="16">
        <v>15000</v>
      </c>
      <c r="W105" s="16">
        <v>15000</v>
      </c>
      <c r="X105" s="16">
        <v>15000</v>
      </c>
      <c r="Y105" s="16">
        <v>15000</v>
      </c>
      <c r="Z105" s="16">
        <v>15000</v>
      </c>
      <c r="AA105" s="16">
        <v>15000</v>
      </c>
      <c r="AB105" s="6">
        <f t="shared" si="3"/>
        <v>7200000</v>
      </c>
      <c r="AC105" s="94"/>
      <c r="AF105" s="67">
        <v>47270</v>
      </c>
      <c r="AG105" s="68">
        <f>AC115</f>
        <v>10800000</v>
      </c>
    </row>
    <row r="106" spans="1:33" ht="18.75" thickBot="1" x14ac:dyDescent="0.3">
      <c r="A106" s="95">
        <v>47178</v>
      </c>
      <c r="B106" s="9" t="s">
        <v>28</v>
      </c>
      <c r="C106" s="9">
        <v>5</v>
      </c>
      <c r="D106" s="16">
        <v>15000</v>
      </c>
      <c r="E106" s="16">
        <v>15000</v>
      </c>
      <c r="F106" s="16">
        <v>15000</v>
      </c>
      <c r="G106" s="16">
        <v>15000</v>
      </c>
      <c r="H106" s="16">
        <v>15000</v>
      </c>
      <c r="I106" s="16">
        <v>15000</v>
      </c>
      <c r="J106" s="16">
        <v>15000</v>
      </c>
      <c r="K106" s="16">
        <v>15000</v>
      </c>
      <c r="L106" s="16">
        <v>15000</v>
      </c>
      <c r="M106" s="16">
        <v>15000</v>
      </c>
      <c r="N106" s="16">
        <v>15000</v>
      </c>
      <c r="O106" s="16">
        <v>15000</v>
      </c>
      <c r="P106" s="16">
        <v>15000</v>
      </c>
      <c r="Q106" s="16">
        <v>15000</v>
      </c>
      <c r="R106" s="16">
        <v>15000</v>
      </c>
      <c r="S106" s="16">
        <v>15000</v>
      </c>
      <c r="T106" s="16">
        <v>15000</v>
      </c>
      <c r="U106" s="16">
        <v>15000</v>
      </c>
      <c r="V106" s="16">
        <v>15000</v>
      </c>
      <c r="W106" s="16">
        <v>15000</v>
      </c>
      <c r="X106" s="16">
        <v>15000</v>
      </c>
      <c r="Y106" s="16">
        <v>15000</v>
      </c>
      <c r="Z106" s="16">
        <v>15000</v>
      </c>
      <c r="AA106" s="16">
        <v>15000</v>
      </c>
      <c r="AB106" s="6">
        <f t="shared" si="3"/>
        <v>1800000</v>
      </c>
      <c r="AC106" s="92">
        <f>+AB106+AB107+AB108</f>
        <v>11160000</v>
      </c>
      <c r="AF106" s="67">
        <v>47300</v>
      </c>
      <c r="AG106" s="68">
        <f>AC118</f>
        <v>11160000</v>
      </c>
    </row>
    <row r="107" spans="1:33" ht="18.75" thickBot="1" x14ac:dyDescent="0.3">
      <c r="A107" s="96"/>
      <c r="B107" s="11" t="s">
        <v>29</v>
      </c>
      <c r="C107" s="11">
        <v>7</v>
      </c>
      <c r="D107" s="16">
        <v>15000</v>
      </c>
      <c r="E107" s="16">
        <v>15000</v>
      </c>
      <c r="F107" s="16">
        <v>15000</v>
      </c>
      <c r="G107" s="16">
        <v>15000</v>
      </c>
      <c r="H107" s="16">
        <v>15000</v>
      </c>
      <c r="I107" s="16">
        <v>15000</v>
      </c>
      <c r="J107" s="16">
        <v>15000</v>
      </c>
      <c r="K107" s="16">
        <v>15000</v>
      </c>
      <c r="L107" s="16">
        <v>15000</v>
      </c>
      <c r="M107" s="16">
        <v>15000</v>
      </c>
      <c r="N107" s="16">
        <v>15000</v>
      </c>
      <c r="O107" s="16">
        <v>15000</v>
      </c>
      <c r="P107" s="16">
        <v>15000</v>
      </c>
      <c r="Q107" s="16">
        <v>15000</v>
      </c>
      <c r="R107" s="16">
        <v>15000</v>
      </c>
      <c r="S107" s="16">
        <v>15000</v>
      </c>
      <c r="T107" s="16">
        <v>15000</v>
      </c>
      <c r="U107" s="16">
        <v>15000</v>
      </c>
      <c r="V107" s="16">
        <v>15000</v>
      </c>
      <c r="W107" s="16">
        <v>15000</v>
      </c>
      <c r="X107" s="16">
        <v>15000</v>
      </c>
      <c r="Y107" s="16">
        <v>15000</v>
      </c>
      <c r="Z107" s="16">
        <v>15000</v>
      </c>
      <c r="AA107" s="16">
        <v>15000</v>
      </c>
      <c r="AB107" s="6">
        <f t="shared" si="3"/>
        <v>2520000</v>
      </c>
      <c r="AC107" s="93"/>
      <c r="AF107" s="67">
        <v>47331</v>
      </c>
      <c r="AG107" s="68">
        <f>AC121</f>
        <v>11160000</v>
      </c>
    </row>
    <row r="108" spans="1:33" ht="18.75" thickBot="1" x14ac:dyDescent="0.3">
      <c r="A108" s="97"/>
      <c r="B108" s="12" t="s">
        <v>30</v>
      </c>
      <c r="C108" s="12">
        <v>19</v>
      </c>
      <c r="D108" s="16">
        <v>15000</v>
      </c>
      <c r="E108" s="16">
        <v>15000</v>
      </c>
      <c r="F108" s="16">
        <v>15000</v>
      </c>
      <c r="G108" s="16">
        <v>15000</v>
      </c>
      <c r="H108" s="16">
        <v>15000</v>
      </c>
      <c r="I108" s="16">
        <v>15000</v>
      </c>
      <c r="J108" s="16">
        <v>15000</v>
      </c>
      <c r="K108" s="16">
        <v>15000</v>
      </c>
      <c r="L108" s="16">
        <v>15000</v>
      </c>
      <c r="M108" s="16">
        <v>15000</v>
      </c>
      <c r="N108" s="16">
        <v>15000</v>
      </c>
      <c r="O108" s="16">
        <v>15000</v>
      </c>
      <c r="P108" s="16">
        <v>15000</v>
      </c>
      <c r="Q108" s="16">
        <v>15000</v>
      </c>
      <c r="R108" s="16">
        <v>15000</v>
      </c>
      <c r="S108" s="16">
        <v>15000</v>
      </c>
      <c r="T108" s="16">
        <v>15000</v>
      </c>
      <c r="U108" s="16">
        <v>15000</v>
      </c>
      <c r="V108" s="16">
        <v>15000</v>
      </c>
      <c r="W108" s="16">
        <v>15000</v>
      </c>
      <c r="X108" s="16">
        <v>15000</v>
      </c>
      <c r="Y108" s="16">
        <v>15000</v>
      </c>
      <c r="Z108" s="16">
        <v>15000</v>
      </c>
      <c r="AA108" s="16">
        <v>15000</v>
      </c>
      <c r="AB108" s="6">
        <f t="shared" si="3"/>
        <v>6840000</v>
      </c>
      <c r="AC108" s="94"/>
      <c r="AF108" s="67">
        <v>47362</v>
      </c>
      <c r="AG108" s="68">
        <f>AC124</f>
        <v>10800000</v>
      </c>
    </row>
    <row r="109" spans="1:33" ht="18.75" thickBot="1" x14ac:dyDescent="0.3">
      <c r="A109" s="95">
        <v>47209</v>
      </c>
      <c r="B109" s="9" t="s">
        <v>28</v>
      </c>
      <c r="C109" s="9">
        <v>4</v>
      </c>
      <c r="D109" s="16">
        <v>15000</v>
      </c>
      <c r="E109" s="16">
        <v>15000</v>
      </c>
      <c r="F109" s="16">
        <v>15000</v>
      </c>
      <c r="G109" s="16">
        <v>15000</v>
      </c>
      <c r="H109" s="16">
        <v>15000</v>
      </c>
      <c r="I109" s="16">
        <v>15000</v>
      </c>
      <c r="J109" s="16">
        <v>15000</v>
      </c>
      <c r="K109" s="16">
        <v>15000</v>
      </c>
      <c r="L109" s="16">
        <v>15000</v>
      </c>
      <c r="M109" s="16">
        <v>15000</v>
      </c>
      <c r="N109" s="16">
        <v>15000</v>
      </c>
      <c r="O109" s="16">
        <v>15000</v>
      </c>
      <c r="P109" s="16">
        <v>15000</v>
      </c>
      <c r="Q109" s="16">
        <v>15000</v>
      </c>
      <c r="R109" s="16">
        <v>15000</v>
      </c>
      <c r="S109" s="16">
        <v>15000</v>
      </c>
      <c r="T109" s="16">
        <v>15000</v>
      </c>
      <c r="U109" s="16">
        <v>15000</v>
      </c>
      <c r="V109" s="16">
        <v>15000</v>
      </c>
      <c r="W109" s="16">
        <v>15000</v>
      </c>
      <c r="X109" s="16">
        <v>15000</v>
      </c>
      <c r="Y109" s="16">
        <v>15000</v>
      </c>
      <c r="Z109" s="16">
        <v>15000</v>
      </c>
      <c r="AA109" s="16">
        <v>15000</v>
      </c>
      <c r="AB109" s="6">
        <f t="shared" si="3"/>
        <v>1440000</v>
      </c>
      <c r="AC109" s="92">
        <f>+AB109+AB110+AB111</f>
        <v>10800000</v>
      </c>
      <c r="AF109" s="67">
        <v>47392</v>
      </c>
      <c r="AG109" s="68">
        <f>AC127</f>
        <v>11160000</v>
      </c>
    </row>
    <row r="110" spans="1:33" ht="18.75" thickBot="1" x14ac:dyDescent="0.3">
      <c r="A110" s="96"/>
      <c r="B110" s="11" t="s">
        <v>29</v>
      </c>
      <c r="C110" s="11">
        <v>5</v>
      </c>
      <c r="D110" s="16">
        <v>15000</v>
      </c>
      <c r="E110" s="16">
        <v>15000</v>
      </c>
      <c r="F110" s="16">
        <v>15000</v>
      </c>
      <c r="G110" s="16">
        <v>15000</v>
      </c>
      <c r="H110" s="16">
        <v>15000</v>
      </c>
      <c r="I110" s="16">
        <v>15000</v>
      </c>
      <c r="J110" s="16">
        <v>15000</v>
      </c>
      <c r="K110" s="16">
        <v>15000</v>
      </c>
      <c r="L110" s="16">
        <v>15000</v>
      </c>
      <c r="M110" s="16">
        <v>15000</v>
      </c>
      <c r="N110" s="16">
        <v>15000</v>
      </c>
      <c r="O110" s="16">
        <v>15000</v>
      </c>
      <c r="P110" s="16">
        <v>15000</v>
      </c>
      <c r="Q110" s="16">
        <v>15000</v>
      </c>
      <c r="R110" s="16">
        <v>15000</v>
      </c>
      <c r="S110" s="16">
        <v>15000</v>
      </c>
      <c r="T110" s="16">
        <v>15000</v>
      </c>
      <c r="U110" s="16">
        <v>15000</v>
      </c>
      <c r="V110" s="16">
        <v>15000</v>
      </c>
      <c r="W110" s="16">
        <v>15000</v>
      </c>
      <c r="X110" s="16">
        <v>15000</v>
      </c>
      <c r="Y110" s="16">
        <v>15000</v>
      </c>
      <c r="Z110" s="16">
        <v>15000</v>
      </c>
      <c r="AA110" s="16">
        <v>15000</v>
      </c>
      <c r="AB110" s="6">
        <f t="shared" si="3"/>
        <v>1800000</v>
      </c>
      <c r="AC110" s="93"/>
      <c r="AF110" s="67">
        <v>47423</v>
      </c>
      <c r="AG110" s="68">
        <f>AC130</f>
        <v>10800000</v>
      </c>
    </row>
    <row r="111" spans="1:33" ht="18.75" thickBot="1" x14ac:dyDescent="0.3">
      <c r="A111" s="97"/>
      <c r="B111" s="12" t="s">
        <v>30</v>
      </c>
      <c r="C111" s="12">
        <v>21</v>
      </c>
      <c r="D111" s="16">
        <v>15000</v>
      </c>
      <c r="E111" s="16">
        <v>15000</v>
      </c>
      <c r="F111" s="16">
        <v>15000</v>
      </c>
      <c r="G111" s="16">
        <v>15000</v>
      </c>
      <c r="H111" s="16">
        <v>15000</v>
      </c>
      <c r="I111" s="16">
        <v>15000</v>
      </c>
      <c r="J111" s="16">
        <v>15000</v>
      </c>
      <c r="K111" s="16">
        <v>15000</v>
      </c>
      <c r="L111" s="16">
        <v>15000</v>
      </c>
      <c r="M111" s="16">
        <v>15000</v>
      </c>
      <c r="N111" s="16">
        <v>15000</v>
      </c>
      <c r="O111" s="16">
        <v>15000</v>
      </c>
      <c r="P111" s="16">
        <v>15000</v>
      </c>
      <c r="Q111" s="16">
        <v>15000</v>
      </c>
      <c r="R111" s="16">
        <v>15000</v>
      </c>
      <c r="S111" s="16">
        <v>15000</v>
      </c>
      <c r="T111" s="16">
        <v>15000</v>
      </c>
      <c r="U111" s="16">
        <v>15000</v>
      </c>
      <c r="V111" s="16">
        <v>15000</v>
      </c>
      <c r="W111" s="16">
        <v>15000</v>
      </c>
      <c r="X111" s="16">
        <v>15000</v>
      </c>
      <c r="Y111" s="16">
        <v>15000</v>
      </c>
      <c r="Z111" s="16">
        <v>15000</v>
      </c>
      <c r="AA111" s="16">
        <v>15000</v>
      </c>
      <c r="AB111" s="6">
        <f t="shared" si="3"/>
        <v>7560000</v>
      </c>
      <c r="AC111" s="94"/>
      <c r="AF111" s="67">
        <v>47453</v>
      </c>
      <c r="AG111" s="68">
        <f>AC133</f>
        <v>11160000</v>
      </c>
    </row>
    <row r="112" spans="1:33" ht="18.75" thickBot="1" x14ac:dyDescent="0.3">
      <c r="A112" s="95">
        <v>47239</v>
      </c>
      <c r="B112" s="9" t="s">
        <v>28</v>
      </c>
      <c r="C112" s="9">
        <v>4</v>
      </c>
      <c r="D112" s="16">
        <v>15000</v>
      </c>
      <c r="E112" s="16">
        <v>15000</v>
      </c>
      <c r="F112" s="16">
        <v>15000</v>
      </c>
      <c r="G112" s="16">
        <v>15000</v>
      </c>
      <c r="H112" s="16">
        <v>15000</v>
      </c>
      <c r="I112" s="16">
        <v>15000</v>
      </c>
      <c r="J112" s="16">
        <v>15000</v>
      </c>
      <c r="K112" s="16">
        <v>15000</v>
      </c>
      <c r="L112" s="16">
        <v>15000</v>
      </c>
      <c r="M112" s="16">
        <v>15000</v>
      </c>
      <c r="N112" s="16">
        <v>15000</v>
      </c>
      <c r="O112" s="16">
        <v>15000</v>
      </c>
      <c r="P112" s="16">
        <v>15000</v>
      </c>
      <c r="Q112" s="16">
        <v>15000</v>
      </c>
      <c r="R112" s="16">
        <v>15000</v>
      </c>
      <c r="S112" s="16">
        <v>15000</v>
      </c>
      <c r="T112" s="16">
        <v>15000</v>
      </c>
      <c r="U112" s="16">
        <v>15000</v>
      </c>
      <c r="V112" s="16">
        <v>15000</v>
      </c>
      <c r="W112" s="16">
        <v>15000</v>
      </c>
      <c r="X112" s="16">
        <v>15000</v>
      </c>
      <c r="Y112" s="16">
        <v>15000</v>
      </c>
      <c r="Z112" s="16">
        <v>15000</v>
      </c>
      <c r="AA112" s="16">
        <v>15000</v>
      </c>
      <c r="AB112" s="6">
        <f t="shared" si="3"/>
        <v>1440000</v>
      </c>
      <c r="AC112" s="92">
        <f>+AB112+AB113+AB114</f>
        <v>11160000</v>
      </c>
    </row>
    <row r="113" spans="1:29" ht="18.75" thickBot="1" x14ac:dyDescent="0.3">
      <c r="A113" s="96"/>
      <c r="B113" s="11" t="s">
        <v>29</v>
      </c>
      <c r="C113" s="11">
        <v>4</v>
      </c>
      <c r="D113" s="16">
        <v>15000</v>
      </c>
      <c r="E113" s="16">
        <v>15000</v>
      </c>
      <c r="F113" s="16">
        <v>15000</v>
      </c>
      <c r="G113" s="16">
        <v>15000</v>
      </c>
      <c r="H113" s="16">
        <v>15000</v>
      </c>
      <c r="I113" s="16">
        <v>15000</v>
      </c>
      <c r="J113" s="16">
        <v>15000</v>
      </c>
      <c r="K113" s="16">
        <v>15000</v>
      </c>
      <c r="L113" s="16">
        <v>15000</v>
      </c>
      <c r="M113" s="16">
        <v>15000</v>
      </c>
      <c r="N113" s="16">
        <v>15000</v>
      </c>
      <c r="O113" s="16">
        <v>15000</v>
      </c>
      <c r="P113" s="16">
        <v>15000</v>
      </c>
      <c r="Q113" s="16">
        <v>15000</v>
      </c>
      <c r="R113" s="16">
        <v>15000</v>
      </c>
      <c r="S113" s="16">
        <v>15000</v>
      </c>
      <c r="T113" s="16">
        <v>15000</v>
      </c>
      <c r="U113" s="16">
        <v>15000</v>
      </c>
      <c r="V113" s="16">
        <v>15000</v>
      </c>
      <c r="W113" s="16">
        <v>15000</v>
      </c>
      <c r="X113" s="16">
        <v>15000</v>
      </c>
      <c r="Y113" s="16">
        <v>15000</v>
      </c>
      <c r="Z113" s="16">
        <v>15000</v>
      </c>
      <c r="AA113" s="16">
        <v>15000</v>
      </c>
      <c r="AB113" s="6">
        <f t="shared" si="3"/>
        <v>1440000</v>
      </c>
      <c r="AC113" s="93"/>
    </row>
    <row r="114" spans="1:29" ht="18.75" thickBot="1" x14ac:dyDescent="0.3">
      <c r="A114" s="97"/>
      <c r="B114" s="12" t="s">
        <v>30</v>
      </c>
      <c r="C114" s="12">
        <v>23</v>
      </c>
      <c r="D114" s="16">
        <v>15000</v>
      </c>
      <c r="E114" s="16">
        <v>15000</v>
      </c>
      <c r="F114" s="16">
        <v>15000</v>
      </c>
      <c r="G114" s="16">
        <v>15000</v>
      </c>
      <c r="H114" s="16">
        <v>15000</v>
      </c>
      <c r="I114" s="16">
        <v>15000</v>
      </c>
      <c r="J114" s="16">
        <v>15000</v>
      </c>
      <c r="K114" s="16">
        <v>15000</v>
      </c>
      <c r="L114" s="16">
        <v>15000</v>
      </c>
      <c r="M114" s="16">
        <v>15000</v>
      </c>
      <c r="N114" s="16">
        <v>15000</v>
      </c>
      <c r="O114" s="16">
        <v>15000</v>
      </c>
      <c r="P114" s="16">
        <v>15000</v>
      </c>
      <c r="Q114" s="16">
        <v>15000</v>
      </c>
      <c r="R114" s="16">
        <v>15000</v>
      </c>
      <c r="S114" s="16">
        <v>15000</v>
      </c>
      <c r="T114" s="16">
        <v>15000</v>
      </c>
      <c r="U114" s="16">
        <v>15000</v>
      </c>
      <c r="V114" s="16">
        <v>15000</v>
      </c>
      <c r="W114" s="16">
        <v>15000</v>
      </c>
      <c r="X114" s="16">
        <v>15000</v>
      </c>
      <c r="Y114" s="16">
        <v>15000</v>
      </c>
      <c r="Z114" s="16">
        <v>15000</v>
      </c>
      <c r="AA114" s="16">
        <v>15000</v>
      </c>
      <c r="AB114" s="6">
        <f t="shared" si="3"/>
        <v>8280000</v>
      </c>
      <c r="AC114" s="94"/>
    </row>
    <row r="115" spans="1:29" ht="18.75" thickBot="1" x14ac:dyDescent="0.3">
      <c r="A115" s="95">
        <v>47270</v>
      </c>
      <c r="B115" s="9" t="s">
        <v>28</v>
      </c>
      <c r="C115" s="9">
        <v>5</v>
      </c>
      <c r="D115" s="16">
        <v>15000</v>
      </c>
      <c r="E115" s="16">
        <v>15000</v>
      </c>
      <c r="F115" s="16">
        <v>15000</v>
      </c>
      <c r="G115" s="16">
        <v>15000</v>
      </c>
      <c r="H115" s="16">
        <v>15000</v>
      </c>
      <c r="I115" s="16">
        <v>15000</v>
      </c>
      <c r="J115" s="16">
        <v>15000</v>
      </c>
      <c r="K115" s="16">
        <v>15000</v>
      </c>
      <c r="L115" s="16">
        <v>15000</v>
      </c>
      <c r="M115" s="16">
        <v>15000</v>
      </c>
      <c r="N115" s="16">
        <v>15000</v>
      </c>
      <c r="O115" s="16">
        <v>15000</v>
      </c>
      <c r="P115" s="16">
        <v>15000</v>
      </c>
      <c r="Q115" s="16">
        <v>15000</v>
      </c>
      <c r="R115" s="16">
        <v>15000</v>
      </c>
      <c r="S115" s="16">
        <v>15000</v>
      </c>
      <c r="T115" s="16">
        <v>15000</v>
      </c>
      <c r="U115" s="16">
        <v>15000</v>
      </c>
      <c r="V115" s="16">
        <v>15000</v>
      </c>
      <c r="W115" s="16">
        <v>15000</v>
      </c>
      <c r="X115" s="16">
        <v>15000</v>
      </c>
      <c r="Y115" s="16">
        <v>15000</v>
      </c>
      <c r="Z115" s="16">
        <v>15000</v>
      </c>
      <c r="AA115" s="16">
        <v>15000</v>
      </c>
      <c r="AB115" s="6">
        <f t="shared" si="3"/>
        <v>1800000</v>
      </c>
      <c r="AC115" s="92">
        <f>+AB115+AB116+AB117</f>
        <v>10800000</v>
      </c>
    </row>
    <row r="116" spans="1:29" ht="18.75" thickBot="1" x14ac:dyDescent="0.3">
      <c r="A116" s="96"/>
      <c r="B116" s="11" t="s">
        <v>29</v>
      </c>
      <c r="C116" s="11">
        <v>4</v>
      </c>
      <c r="D116" s="16">
        <v>15000</v>
      </c>
      <c r="E116" s="16">
        <v>15000</v>
      </c>
      <c r="F116" s="16">
        <v>15000</v>
      </c>
      <c r="G116" s="16">
        <v>15000</v>
      </c>
      <c r="H116" s="16">
        <v>15000</v>
      </c>
      <c r="I116" s="16">
        <v>15000</v>
      </c>
      <c r="J116" s="16">
        <v>15000</v>
      </c>
      <c r="K116" s="16">
        <v>15000</v>
      </c>
      <c r="L116" s="16">
        <v>15000</v>
      </c>
      <c r="M116" s="16">
        <v>15000</v>
      </c>
      <c r="N116" s="16">
        <v>15000</v>
      </c>
      <c r="O116" s="16">
        <v>15000</v>
      </c>
      <c r="P116" s="16">
        <v>15000</v>
      </c>
      <c r="Q116" s="16">
        <v>15000</v>
      </c>
      <c r="R116" s="16">
        <v>15000</v>
      </c>
      <c r="S116" s="16">
        <v>15000</v>
      </c>
      <c r="T116" s="16">
        <v>15000</v>
      </c>
      <c r="U116" s="16">
        <v>15000</v>
      </c>
      <c r="V116" s="16">
        <v>15000</v>
      </c>
      <c r="W116" s="16">
        <v>15000</v>
      </c>
      <c r="X116" s="16">
        <v>15000</v>
      </c>
      <c r="Y116" s="16">
        <v>15000</v>
      </c>
      <c r="Z116" s="16">
        <v>15000</v>
      </c>
      <c r="AA116" s="16">
        <v>15000</v>
      </c>
      <c r="AB116" s="6">
        <f t="shared" si="3"/>
        <v>1440000</v>
      </c>
      <c r="AC116" s="93"/>
    </row>
    <row r="117" spans="1:29" ht="18.75" thickBot="1" x14ac:dyDescent="0.3">
      <c r="A117" s="97"/>
      <c r="B117" s="12" t="s">
        <v>30</v>
      </c>
      <c r="C117" s="12">
        <v>21</v>
      </c>
      <c r="D117" s="16">
        <v>15000</v>
      </c>
      <c r="E117" s="16">
        <v>15000</v>
      </c>
      <c r="F117" s="16">
        <v>15000</v>
      </c>
      <c r="G117" s="16">
        <v>15000</v>
      </c>
      <c r="H117" s="16">
        <v>15000</v>
      </c>
      <c r="I117" s="16">
        <v>15000</v>
      </c>
      <c r="J117" s="16">
        <v>15000</v>
      </c>
      <c r="K117" s="16">
        <v>15000</v>
      </c>
      <c r="L117" s="16">
        <v>15000</v>
      </c>
      <c r="M117" s="16">
        <v>15000</v>
      </c>
      <c r="N117" s="16">
        <v>15000</v>
      </c>
      <c r="O117" s="16">
        <v>15000</v>
      </c>
      <c r="P117" s="16">
        <v>15000</v>
      </c>
      <c r="Q117" s="16">
        <v>15000</v>
      </c>
      <c r="R117" s="16">
        <v>15000</v>
      </c>
      <c r="S117" s="16">
        <v>15000</v>
      </c>
      <c r="T117" s="16">
        <v>15000</v>
      </c>
      <c r="U117" s="16">
        <v>15000</v>
      </c>
      <c r="V117" s="16">
        <v>15000</v>
      </c>
      <c r="W117" s="16">
        <v>15000</v>
      </c>
      <c r="X117" s="16">
        <v>15000</v>
      </c>
      <c r="Y117" s="16">
        <v>15000</v>
      </c>
      <c r="Z117" s="16">
        <v>15000</v>
      </c>
      <c r="AA117" s="16">
        <v>15000</v>
      </c>
      <c r="AB117" s="6">
        <f t="shared" si="3"/>
        <v>7560000</v>
      </c>
      <c r="AC117" s="94"/>
    </row>
    <row r="118" spans="1:29" ht="18.75" thickBot="1" x14ac:dyDescent="0.3">
      <c r="A118" s="95">
        <v>47300</v>
      </c>
      <c r="B118" s="9" t="s">
        <v>28</v>
      </c>
      <c r="C118" s="9">
        <v>4</v>
      </c>
      <c r="D118" s="16">
        <v>15000</v>
      </c>
      <c r="E118" s="16">
        <v>15000</v>
      </c>
      <c r="F118" s="16">
        <v>15000</v>
      </c>
      <c r="G118" s="16">
        <v>15000</v>
      </c>
      <c r="H118" s="16">
        <v>15000</v>
      </c>
      <c r="I118" s="16">
        <v>15000</v>
      </c>
      <c r="J118" s="16">
        <v>15000</v>
      </c>
      <c r="K118" s="16">
        <v>15000</v>
      </c>
      <c r="L118" s="16">
        <v>15000</v>
      </c>
      <c r="M118" s="16">
        <v>15000</v>
      </c>
      <c r="N118" s="16">
        <v>15000</v>
      </c>
      <c r="O118" s="16">
        <v>15000</v>
      </c>
      <c r="P118" s="16">
        <v>15000</v>
      </c>
      <c r="Q118" s="16">
        <v>15000</v>
      </c>
      <c r="R118" s="16">
        <v>15000</v>
      </c>
      <c r="S118" s="16">
        <v>15000</v>
      </c>
      <c r="T118" s="16">
        <v>15000</v>
      </c>
      <c r="U118" s="16">
        <v>15000</v>
      </c>
      <c r="V118" s="16">
        <v>15000</v>
      </c>
      <c r="W118" s="16">
        <v>15000</v>
      </c>
      <c r="X118" s="16">
        <v>15000</v>
      </c>
      <c r="Y118" s="16">
        <v>15000</v>
      </c>
      <c r="Z118" s="16">
        <v>15000</v>
      </c>
      <c r="AA118" s="16">
        <v>15000</v>
      </c>
      <c r="AB118" s="6">
        <f t="shared" si="3"/>
        <v>1440000</v>
      </c>
      <c r="AC118" s="92">
        <f>+AB118+AB119+AB120</f>
        <v>11160000</v>
      </c>
    </row>
    <row r="119" spans="1:29" ht="18.75" thickBot="1" x14ac:dyDescent="0.3">
      <c r="A119" s="96"/>
      <c r="B119" s="11" t="s">
        <v>29</v>
      </c>
      <c r="C119" s="11">
        <v>5</v>
      </c>
      <c r="D119" s="16">
        <v>15000</v>
      </c>
      <c r="E119" s="16">
        <v>15000</v>
      </c>
      <c r="F119" s="16">
        <v>15000</v>
      </c>
      <c r="G119" s="16">
        <v>15000</v>
      </c>
      <c r="H119" s="16">
        <v>15000</v>
      </c>
      <c r="I119" s="16">
        <v>15000</v>
      </c>
      <c r="J119" s="16">
        <v>15000</v>
      </c>
      <c r="K119" s="16">
        <v>15000</v>
      </c>
      <c r="L119" s="16">
        <v>15000</v>
      </c>
      <c r="M119" s="16">
        <v>15000</v>
      </c>
      <c r="N119" s="16">
        <v>15000</v>
      </c>
      <c r="O119" s="16">
        <v>15000</v>
      </c>
      <c r="P119" s="16">
        <v>15000</v>
      </c>
      <c r="Q119" s="16">
        <v>15000</v>
      </c>
      <c r="R119" s="16">
        <v>15000</v>
      </c>
      <c r="S119" s="16">
        <v>15000</v>
      </c>
      <c r="T119" s="16">
        <v>15000</v>
      </c>
      <c r="U119" s="16">
        <v>15000</v>
      </c>
      <c r="V119" s="16">
        <v>15000</v>
      </c>
      <c r="W119" s="16">
        <v>15000</v>
      </c>
      <c r="X119" s="16">
        <v>15000</v>
      </c>
      <c r="Y119" s="16">
        <v>15000</v>
      </c>
      <c r="Z119" s="16">
        <v>15000</v>
      </c>
      <c r="AA119" s="16">
        <v>15000</v>
      </c>
      <c r="AB119" s="6">
        <f t="shared" si="3"/>
        <v>1800000</v>
      </c>
      <c r="AC119" s="93"/>
    </row>
    <row r="120" spans="1:29" ht="18.75" thickBot="1" x14ac:dyDescent="0.3">
      <c r="A120" s="97"/>
      <c r="B120" s="12" t="s">
        <v>30</v>
      </c>
      <c r="C120" s="12">
        <v>22</v>
      </c>
      <c r="D120" s="16">
        <v>15000</v>
      </c>
      <c r="E120" s="16">
        <v>15000</v>
      </c>
      <c r="F120" s="16">
        <v>15000</v>
      </c>
      <c r="G120" s="16">
        <v>15000</v>
      </c>
      <c r="H120" s="16">
        <v>15000</v>
      </c>
      <c r="I120" s="16">
        <v>15000</v>
      </c>
      <c r="J120" s="16">
        <v>15000</v>
      </c>
      <c r="K120" s="16">
        <v>15000</v>
      </c>
      <c r="L120" s="16">
        <v>15000</v>
      </c>
      <c r="M120" s="16">
        <v>15000</v>
      </c>
      <c r="N120" s="16">
        <v>15000</v>
      </c>
      <c r="O120" s="16">
        <v>15000</v>
      </c>
      <c r="P120" s="16">
        <v>15000</v>
      </c>
      <c r="Q120" s="16">
        <v>15000</v>
      </c>
      <c r="R120" s="16">
        <v>15000</v>
      </c>
      <c r="S120" s="16">
        <v>15000</v>
      </c>
      <c r="T120" s="16">
        <v>15000</v>
      </c>
      <c r="U120" s="16">
        <v>15000</v>
      </c>
      <c r="V120" s="16">
        <v>15000</v>
      </c>
      <c r="W120" s="16">
        <v>15000</v>
      </c>
      <c r="X120" s="16">
        <v>15000</v>
      </c>
      <c r="Y120" s="16">
        <v>15000</v>
      </c>
      <c r="Z120" s="16">
        <v>15000</v>
      </c>
      <c r="AA120" s="16">
        <v>15000</v>
      </c>
      <c r="AB120" s="6">
        <f t="shared" si="3"/>
        <v>7920000</v>
      </c>
      <c r="AC120" s="94"/>
    </row>
    <row r="121" spans="1:29" ht="18.75" thickBot="1" x14ac:dyDescent="0.3">
      <c r="A121" s="95">
        <v>47331</v>
      </c>
      <c r="B121" s="9" t="s">
        <v>28</v>
      </c>
      <c r="C121" s="9">
        <v>4</v>
      </c>
      <c r="D121" s="16">
        <v>15000</v>
      </c>
      <c r="E121" s="16">
        <v>15000</v>
      </c>
      <c r="F121" s="16">
        <v>15000</v>
      </c>
      <c r="G121" s="16">
        <v>15000</v>
      </c>
      <c r="H121" s="16">
        <v>15000</v>
      </c>
      <c r="I121" s="16">
        <v>15000</v>
      </c>
      <c r="J121" s="16">
        <v>15000</v>
      </c>
      <c r="K121" s="16">
        <v>15000</v>
      </c>
      <c r="L121" s="16">
        <v>15000</v>
      </c>
      <c r="M121" s="16">
        <v>15000</v>
      </c>
      <c r="N121" s="16">
        <v>15000</v>
      </c>
      <c r="O121" s="16">
        <v>15000</v>
      </c>
      <c r="P121" s="16">
        <v>15000</v>
      </c>
      <c r="Q121" s="16">
        <v>15000</v>
      </c>
      <c r="R121" s="16">
        <v>15000</v>
      </c>
      <c r="S121" s="16">
        <v>15000</v>
      </c>
      <c r="T121" s="16">
        <v>15000</v>
      </c>
      <c r="U121" s="16">
        <v>15000</v>
      </c>
      <c r="V121" s="16">
        <v>15000</v>
      </c>
      <c r="W121" s="16">
        <v>15000</v>
      </c>
      <c r="X121" s="16">
        <v>15000</v>
      </c>
      <c r="Y121" s="16">
        <v>15000</v>
      </c>
      <c r="Z121" s="16">
        <v>15000</v>
      </c>
      <c r="AA121" s="16">
        <v>15000</v>
      </c>
      <c r="AB121" s="6">
        <f t="shared" si="3"/>
        <v>1440000</v>
      </c>
      <c r="AC121" s="92">
        <f>+AB121+AB122+AB123</f>
        <v>11160000</v>
      </c>
    </row>
    <row r="122" spans="1:29" ht="18.75" thickBot="1" x14ac:dyDescent="0.3">
      <c r="A122" s="96"/>
      <c r="B122" s="11" t="s">
        <v>29</v>
      </c>
      <c r="C122" s="11">
        <v>4</v>
      </c>
      <c r="D122" s="16">
        <v>15000</v>
      </c>
      <c r="E122" s="16">
        <v>15000</v>
      </c>
      <c r="F122" s="16">
        <v>15000</v>
      </c>
      <c r="G122" s="16">
        <v>15000</v>
      </c>
      <c r="H122" s="16">
        <v>15000</v>
      </c>
      <c r="I122" s="16">
        <v>15000</v>
      </c>
      <c r="J122" s="16">
        <v>15000</v>
      </c>
      <c r="K122" s="16">
        <v>15000</v>
      </c>
      <c r="L122" s="16">
        <v>15000</v>
      </c>
      <c r="M122" s="16">
        <v>15000</v>
      </c>
      <c r="N122" s="16">
        <v>15000</v>
      </c>
      <c r="O122" s="16">
        <v>15000</v>
      </c>
      <c r="P122" s="16">
        <v>15000</v>
      </c>
      <c r="Q122" s="16">
        <v>15000</v>
      </c>
      <c r="R122" s="16">
        <v>15000</v>
      </c>
      <c r="S122" s="16">
        <v>15000</v>
      </c>
      <c r="T122" s="16">
        <v>15000</v>
      </c>
      <c r="U122" s="16">
        <v>15000</v>
      </c>
      <c r="V122" s="16">
        <v>15000</v>
      </c>
      <c r="W122" s="16">
        <v>15000</v>
      </c>
      <c r="X122" s="16">
        <v>15000</v>
      </c>
      <c r="Y122" s="16">
        <v>15000</v>
      </c>
      <c r="Z122" s="16">
        <v>15000</v>
      </c>
      <c r="AA122" s="16">
        <v>15000</v>
      </c>
      <c r="AB122" s="6">
        <f t="shared" si="3"/>
        <v>1440000</v>
      </c>
      <c r="AC122" s="93"/>
    </row>
    <row r="123" spans="1:29" ht="18.75" thickBot="1" x14ac:dyDescent="0.3">
      <c r="A123" s="97"/>
      <c r="B123" s="12" t="s">
        <v>30</v>
      </c>
      <c r="C123" s="12">
        <v>23</v>
      </c>
      <c r="D123" s="16">
        <v>15000</v>
      </c>
      <c r="E123" s="16">
        <v>15000</v>
      </c>
      <c r="F123" s="16">
        <v>15000</v>
      </c>
      <c r="G123" s="16">
        <v>15000</v>
      </c>
      <c r="H123" s="16">
        <v>15000</v>
      </c>
      <c r="I123" s="16">
        <v>15000</v>
      </c>
      <c r="J123" s="16">
        <v>15000</v>
      </c>
      <c r="K123" s="16">
        <v>15000</v>
      </c>
      <c r="L123" s="16">
        <v>15000</v>
      </c>
      <c r="M123" s="16">
        <v>15000</v>
      </c>
      <c r="N123" s="16">
        <v>15000</v>
      </c>
      <c r="O123" s="16">
        <v>15000</v>
      </c>
      <c r="P123" s="16">
        <v>15000</v>
      </c>
      <c r="Q123" s="16">
        <v>15000</v>
      </c>
      <c r="R123" s="16">
        <v>15000</v>
      </c>
      <c r="S123" s="16">
        <v>15000</v>
      </c>
      <c r="T123" s="16">
        <v>15000</v>
      </c>
      <c r="U123" s="16">
        <v>15000</v>
      </c>
      <c r="V123" s="16">
        <v>15000</v>
      </c>
      <c r="W123" s="16">
        <v>15000</v>
      </c>
      <c r="X123" s="16">
        <v>15000</v>
      </c>
      <c r="Y123" s="16">
        <v>15000</v>
      </c>
      <c r="Z123" s="16">
        <v>15000</v>
      </c>
      <c r="AA123" s="16">
        <v>15000</v>
      </c>
      <c r="AB123" s="6">
        <f t="shared" si="3"/>
        <v>8280000</v>
      </c>
      <c r="AC123" s="94"/>
    </row>
    <row r="124" spans="1:29" ht="18.75" thickBot="1" x14ac:dyDescent="0.3">
      <c r="A124" s="95">
        <v>47362</v>
      </c>
      <c r="B124" s="9" t="s">
        <v>28</v>
      </c>
      <c r="C124" s="9">
        <v>5</v>
      </c>
      <c r="D124" s="16">
        <v>15000</v>
      </c>
      <c r="E124" s="16">
        <v>15000</v>
      </c>
      <c r="F124" s="16">
        <v>15000</v>
      </c>
      <c r="G124" s="16">
        <v>15000</v>
      </c>
      <c r="H124" s="16">
        <v>15000</v>
      </c>
      <c r="I124" s="16">
        <v>15000</v>
      </c>
      <c r="J124" s="16">
        <v>15000</v>
      </c>
      <c r="K124" s="16">
        <v>15000</v>
      </c>
      <c r="L124" s="16">
        <v>15000</v>
      </c>
      <c r="M124" s="16">
        <v>15000</v>
      </c>
      <c r="N124" s="16">
        <v>15000</v>
      </c>
      <c r="O124" s="16">
        <v>15000</v>
      </c>
      <c r="P124" s="16">
        <v>15000</v>
      </c>
      <c r="Q124" s="16">
        <v>15000</v>
      </c>
      <c r="R124" s="16">
        <v>15000</v>
      </c>
      <c r="S124" s="16">
        <v>15000</v>
      </c>
      <c r="T124" s="16">
        <v>15000</v>
      </c>
      <c r="U124" s="16">
        <v>15000</v>
      </c>
      <c r="V124" s="16">
        <v>15000</v>
      </c>
      <c r="W124" s="16">
        <v>15000</v>
      </c>
      <c r="X124" s="16">
        <v>15000</v>
      </c>
      <c r="Y124" s="16">
        <v>15000</v>
      </c>
      <c r="Z124" s="16">
        <v>15000</v>
      </c>
      <c r="AA124" s="16">
        <v>15000</v>
      </c>
      <c r="AB124" s="6">
        <f t="shared" si="3"/>
        <v>1800000</v>
      </c>
      <c r="AC124" s="92">
        <f>+AB124+AB125+AB126</f>
        <v>10800000</v>
      </c>
    </row>
    <row r="125" spans="1:29" ht="18.75" thickBot="1" x14ac:dyDescent="0.3">
      <c r="A125" s="96"/>
      <c r="B125" s="11" t="s">
        <v>29</v>
      </c>
      <c r="C125" s="11">
        <v>5</v>
      </c>
      <c r="D125" s="16">
        <v>15000</v>
      </c>
      <c r="E125" s="16">
        <v>15000</v>
      </c>
      <c r="F125" s="16">
        <v>15000</v>
      </c>
      <c r="G125" s="16">
        <v>15000</v>
      </c>
      <c r="H125" s="16">
        <v>15000</v>
      </c>
      <c r="I125" s="16">
        <v>15000</v>
      </c>
      <c r="J125" s="16">
        <v>15000</v>
      </c>
      <c r="K125" s="16">
        <v>15000</v>
      </c>
      <c r="L125" s="16">
        <v>15000</v>
      </c>
      <c r="M125" s="16">
        <v>15000</v>
      </c>
      <c r="N125" s="16">
        <v>15000</v>
      </c>
      <c r="O125" s="16">
        <v>15000</v>
      </c>
      <c r="P125" s="16">
        <v>15000</v>
      </c>
      <c r="Q125" s="16">
        <v>15000</v>
      </c>
      <c r="R125" s="16">
        <v>15000</v>
      </c>
      <c r="S125" s="16">
        <v>15000</v>
      </c>
      <c r="T125" s="16">
        <v>15000</v>
      </c>
      <c r="U125" s="16">
        <v>15000</v>
      </c>
      <c r="V125" s="16">
        <v>15000</v>
      </c>
      <c r="W125" s="16">
        <v>15000</v>
      </c>
      <c r="X125" s="16">
        <v>15000</v>
      </c>
      <c r="Y125" s="16">
        <v>15000</v>
      </c>
      <c r="Z125" s="16">
        <v>15000</v>
      </c>
      <c r="AA125" s="16">
        <v>15000</v>
      </c>
      <c r="AB125" s="6">
        <f t="shared" si="3"/>
        <v>1800000</v>
      </c>
      <c r="AC125" s="93"/>
    </row>
    <row r="126" spans="1:29" ht="18.75" thickBot="1" x14ac:dyDescent="0.3">
      <c r="A126" s="97"/>
      <c r="B126" s="12" t="s">
        <v>30</v>
      </c>
      <c r="C126" s="12">
        <v>20</v>
      </c>
      <c r="D126" s="16">
        <v>15000</v>
      </c>
      <c r="E126" s="16">
        <v>15000</v>
      </c>
      <c r="F126" s="16">
        <v>15000</v>
      </c>
      <c r="G126" s="16">
        <v>15000</v>
      </c>
      <c r="H126" s="16">
        <v>15000</v>
      </c>
      <c r="I126" s="16">
        <v>15000</v>
      </c>
      <c r="J126" s="16">
        <v>15000</v>
      </c>
      <c r="K126" s="16">
        <v>15000</v>
      </c>
      <c r="L126" s="16">
        <v>15000</v>
      </c>
      <c r="M126" s="16">
        <v>15000</v>
      </c>
      <c r="N126" s="16">
        <v>15000</v>
      </c>
      <c r="O126" s="16">
        <v>15000</v>
      </c>
      <c r="P126" s="16">
        <v>15000</v>
      </c>
      <c r="Q126" s="16">
        <v>15000</v>
      </c>
      <c r="R126" s="16">
        <v>15000</v>
      </c>
      <c r="S126" s="16">
        <v>15000</v>
      </c>
      <c r="T126" s="16">
        <v>15000</v>
      </c>
      <c r="U126" s="16">
        <v>15000</v>
      </c>
      <c r="V126" s="16">
        <v>15000</v>
      </c>
      <c r="W126" s="16">
        <v>15000</v>
      </c>
      <c r="X126" s="16">
        <v>15000</v>
      </c>
      <c r="Y126" s="16">
        <v>15000</v>
      </c>
      <c r="Z126" s="16">
        <v>15000</v>
      </c>
      <c r="AA126" s="16">
        <v>15000</v>
      </c>
      <c r="AB126" s="6">
        <f t="shared" si="3"/>
        <v>7200000</v>
      </c>
      <c r="AC126" s="94"/>
    </row>
    <row r="127" spans="1:29" ht="18.75" thickBot="1" x14ac:dyDescent="0.3">
      <c r="A127" s="95">
        <v>47392</v>
      </c>
      <c r="B127" s="9" t="s">
        <v>28</v>
      </c>
      <c r="C127" s="9">
        <v>4</v>
      </c>
      <c r="D127" s="16">
        <v>15000</v>
      </c>
      <c r="E127" s="16">
        <v>15000</v>
      </c>
      <c r="F127" s="16">
        <v>15000</v>
      </c>
      <c r="G127" s="16">
        <v>15000</v>
      </c>
      <c r="H127" s="16">
        <v>15000</v>
      </c>
      <c r="I127" s="16">
        <v>15000</v>
      </c>
      <c r="J127" s="16">
        <v>15000</v>
      </c>
      <c r="K127" s="16">
        <v>15000</v>
      </c>
      <c r="L127" s="16">
        <v>15000</v>
      </c>
      <c r="M127" s="16">
        <v>15000</v>
      </c>
      <c r="N127" s="16">
        <v>15000</v>
      </c>
      <c r="O127" s="16">
        <v>15000</v>
      </c>
      <c r="P127" s="16">
        <v>15000</v>
      </c>
      <c r="Q127" s="16">
        <v>15000</v>
      </c>
      <c r="R127" s="16">
        <v>15000</v>
      </c>
      <c r="S127" s="16">
        <v>15000</v>
      </c>
      <c r="T127" s="16">
        <v>15000</v>
      </c>
      <c r="U127" s="16">
        <v>15000</v>
      </c>
      <c r="V127" s="16">
        <v>15000</v>
      </c>
      <c r="W127" s="16">
        <v>15000</v>
      </c>
      <c r="X127" s="16">
        <v>15000</v>
      </c>
      <c r="Y127" s="16">
        <v>15000</v>
      </c>
      <c r="Z127" s="16">
        <v>15000</v>
      </c>
      <c r="AA127" s="16">
        <v>15000</v>
      </c>
      <c r="AB127" s="6">
        <f t="shared" si="3"/>
        <v>1440000</v>
      </c>
      <c r="AC127" s="92">
        <f>+AB127+AB128+AB129</f>
        <v>11160000</v>
      </c>
    </row>
    <row r="128" spans="1:29" ht="18.75" thickBot="1" x14ac:dyDescent="0.3">
      <c r="A128" s="96"/>
      <c r="B128" s="11" t="s">
        <v>29</v>
      </c>
      <c r="C128" s="11">
        <v>4</v>
      </c>
      <c r="D128" s="16">
        <v>15000</v>
      </c>
      <c r="E128" s="16">
        <v>15000</v>
      </c>
      <c r="F128" s="16">
        <v>15000</v>
      </c>
      <c r="G128" s="16">
        <v>15000</v>
      </c>
      <c r="H128" s="16">
        <v>15000</v>
      </c>
      <c r="I128" s="16">
        <v>15000</v>
      </c>
      <c r="J128" s="16">
        <v>15000</v>
      </c>
      <c r="K128" s="16">
        <v>15000</v>
      </c>
      <c r="L128" s="16">
        <v>15000</v>
      </c>
      <c r="M128" s="16">
        <v>15000</v>
      </c>
      <c r="N128" s="16">
        <v>15000</v>
      </c>
      <c r="O128" s="16">
        <v>15000</v>
      </c>
      <c r="P128" s="16">
        <v>15000</v>
      </c>
      <c r="Q128" s="16">
        <v>15000</v>
      </c>
      <c r="R128" s="16">
        <v>15000</v>
      </c>
      <c r="S128" s="16">
        <v>15000</v>
      </c>
      <c r="T128" s="16">
        <v>15000</v>
      </c>
      <c r="U128" s="16">
        <v>15000</v>
      </c>
      <c r="V128" s="16">
        <v>15000</v>
      </c>
      <c r="W128" s="16">
        <v>15000</v>
      </c>
      <c r="X128" s="16">
        <v>15000</v>
      </c>
      <c r="Y128" s="16">
        <v>15000</v>
      </c>
      <c r="Z128" s="16">
        <v>15000</v>
      </c>
      <c r="AA128" s="16">
        <v>15000</v>
      </c>
      <c r="AB128" s="6">
        <f t="shared" si="3"/>
        <v>1440000</v>
      </c>
      <c r="AC128" s="93"/>
    </row>
    <row r="129" spans="1:33" ht="18.75" thickBot="1" x14ac:dyDescent="0.3">
      <c r="A129" s="97"/>
      <c r="B129" s="12" t="s">
        <v>30</v>
      </c>
      <c r="C129" s="12">
        <v>23</v>
      </c>
      <c r="D129" s="16">
        <v>15000</v>
      </c>
      <c r="E129" s="16">
        <v>15000</v>
      </c>
      <c r="F129" s="16">
        <v>15000</v>
      </c>
      <c r="G129" s="16">
        <v>15000</v>
      </c>
      <c r="H129" s="16">
        <v>15000</v>
      </c>
      <c r="I129" s="16">
        <v>15000</v>
      </c>
      <c r="J129" s="16">
        <v>15000</v>
      </c>
      <c r="K129" s="16">
        <v>15000</v>
      </c>
      <c r="L129" s="16">
        <v>15000</v>
      </c>
      <c r="M129" s="16">
        <v>15000</v>
      </c>
      <c r="N129" s="16">
        <v>15000</v>
      </c>
      <c r="O129" s="16">
        <v>15000</v>
      </c>
      <c r="P129" s="16">
        <v>15000</v>
      </c>
      <c r="Q129" s="16">
        <v>15000</v>
      </c>
      <c r="R129" s="16">
        <v>15000</v>
      </c>
      <c r="S129" s="16">
        <v>15000</v>
      </c>
      <c r="T129" s="16">
        <v>15000</v>
      </c>
      <c r="U129" s="16">
        <v>15000</v>
      </c>
      <c r="V129" s="16">
        <v>15000</v>
      </c>
      <c r="W129" s="16">
        <v>15000</v>
      </c>
      <c r="X129" s="16">
        <v>15000</v>
      </c>
      <c r="Y129" s="16">
        <v>15000</v>
      </c>
      <c r="Z129" s="16">
        <v>15000</v>
      </c>
      <c r="AA129" s="16">
        <v>15000</v>
      </c>
      <c r="AB129" s="6">
        <f t="shared" si="3"/>
        <v>8280000</v>
      </c>
      <c r="AC129" s="94"/>
    </row>
    <row r="130" spans="1:33" ht="18.75" thickBot="1" x14ac:dyDescent="0.3">
      <c r="A130" s="95">
        <v>47423</v>
      </c>
      <c r="B130" s="9" t="s">
        <v>28</v>
      </c>
      <c r="C130" s="9">
        <v>4</v>
      </c>
      <c r="D130" s="16">
        <v>15000</v>
      </c>
      <c r="E130" s="16">
        <v>15000</v>
      </c>
      <c r="F130" s="16">
        <v>15000</v>
      </c>
      <c r="G130" s="16">
        <v>15000</v>
      </c>
      <c r="H130" s="16">
        <v>15000</v>
      </c>
      <c r="I130" s="16">
        <v>15000</v>
      </c>
      <c r="J130" s="16">
        <v>15000</v>
      </c>
      <c r="K130" s="16">
        <v>15000</v>
      </c>
      <c r="L130" s="16">
        <v>15000</v>
      </c>
      <c r="M130" s="16">
        <v>15000</v>
      </c>
      <c r="N130" s="16">
        <v>15000</v>
      </c>
      <c r="O130" s="16">
        <v>15000</v>
      </c>
      <c r="P130" s="16">
        <v>15000</v>
      </c>
      <c r="Q130" s="16">
        <v>15000</v>
      </c>
      <c r="R130" s="16">
        <v>15000</v>
      </c>
      <c r="S130" s="16">
        <v>15000</v>
      </c>
      <c r="T130" s="16">
        <v>15000</v>
      </c>
      <c r="U130" s="16">
        <v>15000</v>
      </c>
      <c r="V130" s="16">
        <v>15000</v>
      </c>
      <c r="W130" s="16">
        <v>15000</v>
      </c>
      <c r="X130" s="16">
        <v>15000</v>
      </c>
      <c r="Y130" s="16">
        <v>15000</v>
      </c>
      <c r="Z130" s="16">
        <v>15000</v>
      </c>
      <c r="AA130" s="16">
        <v>15000</v>
      </c>
      <c r="AB130" s="6">
        <f t="shared" si="3"/>
        <v>1440000</v>
      </c>
      <c r="AC130" s="92">
        <f>+AB130+AB131+AB132</f>
        <v>10800000</v>
      </c>
    </row>
    <row r="131" spans="1:33" ht="18.75" thickBot="1" x14ac:dyDescent="0.3">
      <c r="A131" s="96"/>
      <c r="B131" s="11" t="s">
        <v>29</v>
      </c>
      <c r="C131" s="11">
        <v>4</v>
      </c>
      <c r="D131" s="16">
        <v>15000</v>
      </c>
      <c r="E131" s="16">
        <v>15000</v>
      </c>
      <c r="F131" s="16">
        <v>15000</v>
      </c>
      <c r="G131" s="16">
        <v>15000</v>
      </c>
      <c r="H131" s="16">
        <v>15000</v>
      </c>
      <c r="I131" s="16">
        <v>15000</v>
      </c>
      <c r="J131" s="16">
        <v>15000</v>
      </c>
      <c r="K131" s="16">
        <v>15000</v>
      </c>
      <c r="L131" s="16">
        <v>15000</v>
      </c>
      <c r="M131" s="16">
        <v>15000</v>
      </c>
      <c r="N131" s="16">
        <v>15000</v>
      </c>
      <c r="O131" s="16">
        <v>15000</v>
      </c>
      <c r="P131" s="16">
        <v>15000</v>
      </c>
      <c r="Q131" s="16">
        <v>15000</v>
      </c>
      <c r="R131" s="16">
        <v>15000</v>
      </c>
      <c r="S131" s="16">
        <v>15000</v>
      </c>
      <c r="T131" s="16">
        <v>15000</v>
      </c>
      <c r="U131" s="16">
        <v>15000</v>
      </c>
      <c r="V131" s="16">
        <v>15000</v>
      </c>
      <c r="W131" s="16">
        <v>15000</v>
      </c>
      <c r="X131" s="16">
        <v>15000</v>
      </c>
      <c r="Y131" s="16">
        <v>15000</v>
      </c>
      <c r="Z131" s="16">
        <v>15000</v>
      </c>
      <c r="AA131" s="16">
        <v>15000</v>
      </c>
      <c r="AB131" s="6">
        <f t="shared" si="3"/>
        <v>1440000</v>
      </c>
      <c r="AC131" s="93"/>
    </row>
    <row r="132" spans="1:33" ht="18.75" thickBot="1" x14ac:dyDescent="0.3">
      <c r="A132" s="97"/>
      <c r="B132" s="12" t="s">
        <v>30</v>
      </c>
      <c r="C132" s="12">
        <v>22</v>
      </c>
      <c r="D132" s="16">
        <v>15000</v>
      </c>
      <c r="E132" s="16">
        <v>15000</v>
      </c>
      <c r="F132" s="16">
        <v>15000</v>
      </c>
      <c r="G132" s="16">
        <v>15000</v>
      </c>
      <c r="H132" s="16">
        <v>15000</v>
      </c>
      <c r="I132" s="16">
        <v>15000</v>
      </c>
      <c r="J132" s="16">
        <v>15000</v>
      </c>
      <c r="K132" s="16">
        <v>15000</v>
      </c>
      <c r="L132" s="16">
        <v>15000</v>
      </c>
      <c r="M132" s="16">
        <v>15000</v>
      </c>
      <c r="N132" s="16">
        <v>15000</v>
      </c>
      <c r="O132" s="16">
        <v>15000</v>
      </c>
      <c r="P132" s="16">
        <v>15000</v>
      </c>
      <c r="Q132" s="16">
        <v>15000</v>
      </c>
      <c r="R132" s="16">
        <v>15000</v>
      </c>
      <c r="S132" s="16">
        <v>15000</v>
      </c>
      <c r="T132" s="16">
        <v>15000</v>
      </c>
      <c r="U132" s="16">
        <v>15000</v>
      </c>
      <c r="V132" s="16">
        <v>15000</v>
      </c>
      <c r="W132" s="16">
        <v>15000</v>
      </c>
      <c r="X132" s="16">
        <v>15000</v>
      </c>
      <c r="Y132" s="16">
        <v>15000</v>
      </c>
      <c r="Z132" s="16">
        <v>15000</v>
      </c>
      <c r="AA132" s="16">
        <v>15000</v>
      </c>
      <c r="AB132" s="6">
        <f t="shared" si="3"/>
        <v>7920000</v>
      </c>
      <c r="AC132" s="94"/>
    </row>
    <row r="133" spans="1:33" ht="18.75" thickBot="1" x14ac:dyDescent="0.3">
      <c r="A133" s="95">
        <v>47453</v>
      </c>
      <c r="B133" s="9" t="s">
        <v>28</v>
      </c>
      <c r="C133" s="9">
        <v>5</v>
      </c>
      <c r="D133" s="16">
        <v>15000</v>
      </c>
      <c r="E133" s="16">
        <v>15000</v>
      </c>
      <c r="F133" s="16">
        <v>15000</v>
      </c>
      <c r="G133" s="16">
        <v>15000</v>
      </c>
      <c r="H133" s="16">
        <v>15000</v>
      </c>
      <c r="I133" s="16">
        <v>15000</v>
      </c>
      <c r="J133" s="16">
        <v>15000</v>
      </c>
      <c r="K133" s="16">
        <v>15000</v>
      </c>
      <c r="L133" s="16">
        <v>15000</v>
      </c>
      <c r="M133" s="16">
        <v>15000</v>
      </c>
      <c r="N133" s="16">
        <v>15000</v>
      </c>
      <c r="O133" s="16">
        <v>15000</v>
      </c>
      <c r="P133" s="16">
        <v>15000</v>
      </c>
      <c r="Q133" s="16">
        <v>15000</v>
      </c>
      <c r="R133" s="16">
        <v>15000</v>
      </c>
      <c r="S133" s="16">
        <v>15000</v>
      </c>
      <c r="T133" s="16">
        <v>15000</v>
      </c>
      <c r="U133" s="16">
        <v>15000</v>
      </c>
      <c r="V133" s="16">
        <v>15000</v>
      </c>
      <c r="W133" s="16">
        <v>15000</v>
      </c>
      <c r="X133" s="16">
        <v>15000</v>
      </c>
      <c r="Y133" s="16">
        <v>15000</v>
      </c>
      <c r="Z133" s="16">
        <v>15000</v>
      </c>
      <c r="AA133" s="16">
        <v>15000</v>
      </c>
      <c r="AB133" s="6">
        <f t="shared" si="3"/>
        <v>1800000</v>
      </c>
      <c r="AC133" s="92">
        <f>+AB133+AB134+AB135</f>
        <v>11160000</v>
      </c>
    </row>
    <row r="134" spans="1:33" ht="18.75" thickBot="1" x14ac:dyDescent="0.3">
      <c r="A134" s="96"/>
      <c r="B134" s="11" t="s">
        <v>29</v>
      </c>
      <c r="C134" s="11">
        <v>5</v>
      </c>
      <c r="D134" s="16">
        <v>15000</v>
      </c>
      <c r="E134" s="16">
        <v>15000</v>
      </c>
      <c r="F134" s="16">
        <v>15000</v>
      </c>
      <c r="G134" s="16">
        <v>15000</v>
      </c>
      <c r="H134" s="16">
        <v>15000</v>
      </c>
      <c r="I134" s="16">
        <v>15000</v>
      </c>
      <c r="J134" s="16">
        <v>15000</v>
      </c>
      <c r="K134" s="16">
        <v>15000</v>
      </c>
      <c r="L134" s="16">
        <v>15000</v>
      </c>
      <c r="M134" s="16">
        <v>15000</v>
      </c>
      <c r="N134" s="16">
        <v>15000</v>
      </c>
      <c r="O134" s="16">
        <v>15000</v>
      </c>
      <c r="P134" s="16">
        <v>15000</v>
      </c>
      <c r="Q134" s="16">
        <v>15000</v>
      </c>
      <c r="R134" s="16">
        <v>15000</v>
      </c>
      <c r="S134" s="16">
        <v>15000</v>
      </c>
      <c r="T134" s="16">
        <v>15000</v>
      </c>
      <c r="U134" s="16">
        <v>15000</v>
      </c>
      <c r="V134" s="16">
        <v>15000</v>
      </c>
      <c r="W134" s="16">
        <v>15000</v>
      </c>
      <c r="X134" s="16">
        <v>15000</v>
      </c>
      <c r="Y134" s="16">
        <v>15000</v>
      </c>
      <c r="Z134" s="16">
        <v>15000</v>
      </c>
      <c r="AA134" s="16">
        <v>15000</v>
      </c>
      <c r="AB134" s="6">
        <f t="shared" si="3"/>
        <v>1800000</v>
      </c>
      <c r="AC134" s="93"/>
    </row>
    <row r="135" spans="1:33" ht="18.75" thickBot="1" x14ac:dyDescent="0.3">
      <c r="A135" s="97"/>
      <c r="B135" s="12" t="s">
        <v>30</v>
      </c>
      <c r="C135" s="12">
        <v>21</v>
      </c>
      <c r="D135" s="16">
        <v>15000</v>
      </c>
      <c r="E135" s="16">
        <v>15000</v>
      </c>
      <c r="F135" s="16">
        <v>15000</v>
      </c>
      <c r="G135" s="16">
        <v>15000</v>
      </c>
      <c r="H135" s="16">
        <v>15000</v>
      </c>
      <c r="I135" s="16">
        <v>15000</v>
      </c>
      <c r="J135" s="16">
        <v>15000</v>
      </c>
      <c r="K135" s="16">
        <v>15000</v>
      </c>
      <c r="L135" s="16">
        <v>15000</v>
      </c>
      <c r="M135" s="16">
        <v>15000</v>
      </c>
      <c r="N135" s="16">
        <v>15000</v>
      </c>
      <c r="O135" s="16">
        <v>15000</v>
      </c>
      <c r="P135" s="16">
        <v>15000</v>
      </c>
      <c r="Q135" s="16">
        <v>15000</v>
      </c>
      <c r="R135" s="16">
        <v>15000</v>
      </c>
      <c r="S135" s="16">
        <v>15000</v>
      </c>
      <c r="T135" s="16">
        <v>15000</v>
      </c>
      <c r="U135" s="16">
        <v>15000</v>
      </c>
      <c r="V135" s="16">
        <v>15000</v>
      </c>
      <c r="W135" s="16">
        <v>15000</v>
      </c>
      <c r="X135" s="16">
        <v>15000</v>
      </c>
      <c r="Y135" s="16">
        <v>15000</v>
      </c>
      <c r="Z135" s="16">
        <v>15000</v>
      </c>
      <c r="AA135" s="16">
        <v>15000</v>
      </c>
      <c r="AB135" s="6">
        <f t="shared" si="3"/>
        <v>7560000</v>
      </c>
      <c r="AC135" s="94"/>
    </row>
    <row r="137" spans="1:33" ht="15.75" thickBot="1" x14ac:dyDescent="0.3"/>
    <row r="138" spans="1:33" ht="18.75" thickBot="1" x14ac:dyDescent="0.3">
      <c r="A138" s="1" t="s">
        <v>0</v>
      </c>
      <c r="B138" s="2" t="s">
        <v>1</v>
      </c>
      <c r="C138" s="2" t="s">
        <v>2</v>
      </c>
      <c r="D138" s="27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  <c r="J138" s="5" t="s">
        <v>9</v>
      </c>
      <c r="K138" s="5" t="s">
        <v>10</v>
      </c>
      <c r="L138" s="5" t="s">
        <v>11</v>
      </c>
      <c r="M138" s="5" t="s">
        <v>12</v>
      </c>
      <c r="N138" s="5" t="s">
        <v>13</v>
      </c>
      <c r="O138" s="5" t="s">
        <v>14</v>
      </c>
      <c r="P138" s="5" t="s">
        <v>15</v>
      </c>
      <c r="Q138" s="5" t="s">
        <v>16</v>
      </c>
      <c r="R138" s="5" t="s">
        <v>17</v>
      </c>
      <c r="S138" s="5" t="s">
        <v>18</v>
      </c>
      <c r="T138" s="5" t="s">
        <v>19</v>
      </c>
      <c r="U138" s="5" t="s">
        <v>20</v>
      </c>
      <c r="V138" s="5" t="s">
        <v>21</v>
      </c>
      <c r="W138" s="5" t="s">
        <v>22</v>
      </c>
      <c r="X138" s="5" t="s">
        <v>23</v>
      </c>
      <c r="Y138" s="5" t="s">
        <v>24</v>
      </c>
      <c r="Z138" s="5" t="s">
        <v>25</v>
      </c>
      <c r="AA138" s="5" t="s">
        <v>26</v>
      </c>
      <c r="AB138" s="109" t="s">
        <v>27</v>
      </c>
      <c r="AC138" s="110"/>
    </row>
    <row r="139" spans="1:33" ht="18.75" thickBot="1" x14ac:dyDescent="0.3">
      <c r="A139" s="95">
        <v>47484</v>
      </c>
      <c r="B139" s="9" t="s">
        <v>28</v>
      </c>
      <c r="C139" s="9">
        <v>4</v>
      </c>
      <c r="D139" s="16">
        <v>15000</v>
      </c>
      <c r="E139" s="16">
        <v>15000</v>
      </c>
      <c r="F139" s="16">
        <v>15000</v>
      </c>
      <c r="G139" s="16">
        <v>15000</v>
      </c>
      <c r="H139" s="16">
        <v>15000</v>
      </c>
      <c r="I139" s="16">
        <v>15000</v>
      </c>
      <c r="J139" s="16">
        <v>15000</v>
      </c>
      <c r="K139" s="16">
        <v>15000</v>
      </c>
      <c r="L139" s="16">
        <v>15000</v>
      </c>
      <c r="M139" s="16">
        <v>15000</v>
      </c>
      <c r="N139" s="16">
        <v>15000</v>
      </c>
      <c r="O139" s="16">
        <v>15000</v>
      </c>
      <c r="P139" s="16">
        <v>15000</v>
      </c>
      <c r="Q139" s="16">
        <v>15000</v>
      </c>
      <c r="R139" s="16">
        <v>15000</v>
      </c>
      <c r="S139" s="16">
        <v>15000</v>
      </c>
      <c r="T139" s="16">
        <v>15000</v>
      </c>
      <c r="U139" s="16">
        <v>15000</v>
      </c>
      <c r="V139" s="16">
        <v>15000</v>
      </c>
      <c r="W139" s="16">
        <v>15000</v>
      </c>
      <c r="X139" s="16">
        <v>15000</v>
      </c>
      <c r="Y139" s="16">
        <v>15000</v>
      </c>
      <c r="Z139" s="16">
        <v>15000</v>
      </c>
      <c r="AA139" s="16">
        <v>15000</v>
      </c>
      <c r="AB139" s="6">
        <f t="shared" ref="AB139:AB174" si="4">SUM(D139:AA139)*C139</f>
        <v>1440000</v>
      </c>
      <c r="AC139" s="92">
        <f>+AB139+AB140+AB141</f>
        <v>11160000</v>
      </c>
      <c r="AF139" s="67">
        <v>47484</v>
      </c>
      <c r="AG139" s="68">
        <f>AB139+AB140+AB141</f>
        <v>11160000</v>
      </c>
    </row>
    <row r="140" spans="1:33" ht="18.75" thickBot="1" x14ac:dyDescent="0.3">
      <c r="A140" s="96"/>
      <c r="B140" s="11" t="s">
        <v>29</v>
      </c>
      <c r="C140" s="11">
        <v>6</v>
      </c>
      <c r="D140" s="16">
        <v>15000</v>
      </c>
      <c r="E140" s="16">
        <v>15000</v>
      </c>
      <c r="F140" s="16">
        <v>15000</v>
      </c>
      <c r="G140" s="16">
        <v>15000</v>
      </c>
      <c r="H140" s="16">
        <v>15000</v>
      </c>
      <c r="I140" s="16">
        <v>15000</v>
      </c>
      <c r="J140" s="16">
        <v>15000</v>
      </c>
      <c r="K140" s="16">
        <v>15000</v>
      </c>
      <c r="L140" s="16">
        <v>15000</v>
      </c>
      <c r="M140" s="16">
        <v>15000</v>
      </c>
      <c r="N140" s="16">
        <v>15000</v>
      </c>
      <c r="O140" s="16">
        <v>15000</v>
      </c>
      <c r="P140" s="16">
        <v>15000</v>
      </c>
      <c r="Q140" s="16">
        <v>15000</v>
      </c>
      <c r="R140" s="16">
        <v>15000</v>
      </c>
      <c r="S140" s="16">
        <v>15000</v>
      </c>
      <c r="T140" s="16">
        <v>15000</v>
      </c>
      <c r="U140" s="16">
        <v>15000</v>
      </c>
      <c r="V140" s="16">
        <v>15000</v>
      </c>
      <c r="W140" s="16">
        <v>15000</v>
      </c>
      <c r="X140" s="16">
        <v>15000</v>
      </c>
      <c r="Y140" s="16">
        <v>15000</v>
      </c>
      <c r="Z140" s="16">
        <v>15000</v>
      </c>
      <c r="AA140" s="16">
        <v>15000</v>
      </c>
      <c r="AB140" s="6">
        <f t="shared" si="4"/>
        <v>2160000</v>
      </c>
      <c r="AC140" s="93"/>
      <c r="AF140" s="67">
        <v>47515</v>
      </c>
      <c r="AG140" s="68">
        <f>AC142</f>
        <v>10080000</v>
      </c>
    </row>
    <row r="141" spans="1:33" ht="18.75" thickBot="1" x14ac:dyDescent="0.3">
      <c r="A141" s="97"/>
      <c r="B141" s="12" t="s">
        <v>30</v>
      </c>
      <c r="C141" s="12">
        <v>21</v>
      </c>
      <c r="D141" s="16">
        <v>15000</v>
      </c>
      <c r="E141" s="16">
        <v>15000</v>
      </c>
      <c r="F141" s="16">
        <v>15000</v>
      </c>
      <c r="G141" s="16">
        <v>15000</v>
      </c>
      <c r="H141" s="16">
        <v>15000</v>
      </c>
      <c r="I141" s="16">
        <v>15000</v>
      </c>
      <c r="J141" s="16">
        <v>15000</v>
      </c>
      <c r="K141" s="16">
        <v>15000</v>
      </c>
      <c r="L141" s="16">
        <v>15000</v>
      </c>
      <c r="M141" s="16">
        <v>15000</v>
      </c>
      <c r="N141" s="16">
        <v>15000</v>
      </c>
      <c r="O141" s="16">
        <v>15000</v>
      </c>
      <c r="P141" s="16">
        <v>15000</v>
      </c>
      <c r="Q141" s="16">
        <v>15000</v>
      </c>
      <c r="R141" s="16">
        <v>15000</v>
      </c>
      <c r="S141" s="16">
        <v>15000</v>
      </c>
      <c r="T141" s="16">
        <v>15000</v>
      </c>
      <c r="U141" s="16">
        <v>15000</v>
      </c>
      <c r="V141" s="16">
        <v>15000</v>
      </c>
      <c r="W141" s="16">
        <v>15000</v>
      </c>
      <c r="X141" s="16">
        <v>15000</v>
      </c>
      <c r="Y141" s="16">
        <v>15000</v>
      </c>
      <c r="Z141" s="16">
        <v>15000</v>
      </c>
      <c r="AA141" s="16">
        <v>15000</v>
      </c>
      <c r="AB141" s="6">
        <f t="shared" si="4"/>
        <v>7560000</v>
      </c>
      <c r="AC141" s="94"/>
      <c r="AF141" s="67">
        <v>47543</v>
      </c>
      <c r="AG141" s="68">
        <f>AC145</f>
        <v>11160000</v>
      </c>
    </row>
    <row r="142" spans="1:33" ht="18.75" thickBot="1" x14ac:dyDescent="0.3">
      <c r="A142" s="95">
        <v>47515</v>
      </c>
      <c r="B142" s="9" t="s">
        <v>28</v>
      </c>
      <c r="C142" s="9">
        <v>4</v>
      </c>
      <c r="D142" s="16">
        <v>15000</v>
      </c>
      <c r="E142" s="16">
        <v>15000</v>
      </c>
      <c r="F142" s="16">
        <v>15000</v>
      </c>
      <c r="G142" s="16">
        <v>15000</v>
      </c>
      <c r="H142" s="16">
        <v>15000</v>
      </c>
      <c r="I142" s="16">
        <v>15000</v>
      </c>
      <c r="J142" s="16">
        <v>15000</v>
      </c>
      <c r="K142" s="16">
        <v>15000</v>
      </c>
      <c r="L142" s="16">
        <v>15000</v>
      </c>
      <c r="M142" s="16">
        <v>15000</v>
      </c>
      <c r="N142" s="16">
        <v>15000</v>
      </c>
      <c r="O142" s="16">
        <v>15000</v>
      </c>
      <c r="P142" s="16">
        <v>15000</v>
      </c>
      <c r="Q142" s="16">
        <v>15000</v>
      </c>
      <c r="R142" s="16">
        <v>15000</v>
      </c>
      <c r="S142" s="16">
        <v>15000</v>
      </c>
      <c r="T142" s="16">
        <v>15000</v>
      </c>
      <c r="U142" s="16">
        <v>15000</v>
      </c>
      <c r="V142" s="16">
        <v>15000</v>
      </c>
      <c r="W142" s="16">
        <v>15000</v>
      </c>
      <c r="X142" s="16">
        <v>15000</v>
      </c>
      <c r="Y142" s="16">
        <v>15000</v>
      </c>
      <c r="Z142" s="16">
        <v>15000</v>
      </c>
      <c r="AA142" s="16">
        <v>15000</v>
      </c>
      <c r="AB142" s="6">
        <f t="shared" si="4"/>
        <v>1440000</v>
      </c>
      <c r="AC142" s="92">
        <f>+AB142+AB143+AB144</f>
        <v>10080000</v>
      </c>
      <c r="AF142" s="67">
        <v>47574</v>
      </c>
      <c r="AG142" s="68">
        <f>AC148</f>
        <v>10800000</v>
      </c>
    </row>
    <row r="143" spans="1:33" ht="18.75" thickBot="1" x14ac:dyDescent="0.3">
      <c r="A143" s="96"/>
      <c r="B143" s="11" t="s">
        <v>29</v>
      </c>
      <c r="C143" s="11">
        <v>4</v>
      </c>
      <c r="D143" s="16">
        <v>15000</v>
      </c>
      <c r="E143" s="16">
        <v>15000</v>
      </c>
      <c r="F143" s="16">
        <v>15000</v>
      </c>
      <c r="G143" s="16">
        <v>15000</v>
      </c>
      <c r="H143" s="16">
        <v>15000</v>
      </c>
      <c r="I143" s="16">
        <v>15000</v>
      </c>
      <c r="J143" s="16">
        <v>15000</v>
      </c>
      <c r="K143" s="16">
        <v>15000</v>
      </c>
      <c r="L143" s="16">
        <v>15000</v>
      </c>
      <c r="M143" s="16">
        <v>15000</v>
      </c>
      <c r="N143" s="16">
        <v>15000</v>
      </c>
      <c r="O143" s="16">
        <v>15000</v>
      </c>
      <c r="P143" s="16">
        <v>15000</v>
      </c>
      <c r="Q143" s="16">
        <v>15000</v>
      </c>
      <c r="R143" s="16">
        <v>15000</v>
      </c>
      <c r="S143" s="16">
        <v>15000</v>
      </c>
      <c r="T143" s="16">
        <v>15000</v>
      </c>
      <c r="U143" s="16">
        <v>15000</v>
      </c>
      <c r="V143" s="16">
        <v>15000</v>
      </c>
      <c r="W143" s="16">
        <v>15000</v>
      </c>
      <c r="X143" s="16">
        <v>15000</v>
      </c>
      <c r="Y143" s="16">
        <v>15000</v>
      </c>
      <c r="Z143" s="16">
        <v>15000</v>
      </c>
      <c r="AA143" s="16">
        <v>15000</v>
      </c>
      <c r="AB143" s="6">
        <f t="shared" si="4"/>
        <v>1440000</v>
      </c>
      <c r="AC143" s="93"/>
      <c r="AF143" s="67">
        <v>47604</v>
      </c>
      <c r="AG143" s="68">
        <f>AC151</f>
        <v>11160000</v>
      </c>
    </row>
    <row r="144" spans="1:33" ht="18.75" thickBot="1" x14ac:dyDescent="0.3">
      <c r="A144" s="97"/>
      <c r="B144" s="12" t="s">
        <v>30</v>
      </c>
      <c r="C144" s="12">
        <v>20</v>
      </c>
      <c r="D144" s="16">
        <v>15000</v>
      </c>
      <c r="E144" s="16">
        <v>15000</v>
      </c>
      <c r="F144" s="16">
        <v>15000</v>
      </c>
      <c r="G144" s="16">
        <v>15000</v>
      </c>
      <c r="H144" s="16">
        <v>15000</v>
      </c>
      <c r="I144" s="16">
        <v>15000</v>
      </c>
      <c r="J144" s="16">
        <v>15000</v>
      </c>
      <c r="K144" s="16">
        <v>15000</v>
      </c>
      <c r="L144" s="16">
        <v>15000</v>
      </c>
      <c r="M144" s="16">
        <v>15000</v>
      </c>
      <c r="N144" s="16">
        <v>15000</v>
      </c>
      <c r="O144" s="16">
        <v>15000</v>
      </c>
      <c r="P144" s="16">
        <v>15000</v>
      </c>
      <c r="Q144" s="16">
        <v>15000</v>
      </c>
      <c r="R144" s="16">
        <v>15000</v>
      </c>
      <c r="S144" s="16">
        <v>15000</v>
      </c>
      <c r="T144" s="16">
        <v>15000</v>
      </c>
      <c r="U144" s="16">
        <v>15000</v>
      </c>
      <c r="V144" s="16">
        <v>15000</v>
      </c>
      <c r="W144" s="16">
        <v>15000</v>
      </c>
      <c r="X144" s="16">
        <v>15000</v>
      </c>
      <c r="Y144" s="16">
        <v>15000</v>
      </c>
      <c r="Z144" s="16">
        <v>15000</v>
      </c>
      <c r="AA144" s="16">
        <v>15000</v>
      </c>
      <c r="AB144" s="6">
        <f t="shared" si="4"/>
        <v>7200000</v>
      </c>
      <c r="AC144" s="94"/>
      <c r="AF144" s="67">
        <v>47635</v>
      </c>
      <c r="AG144" s="68">
        <f>AC154</f>
        <v>10800000</v>
      </c>
    </row>
    <row r="145" spans="1:33" ht="18.75" thickBot="1" x14ac:dyDescent="0.3">
      <c r="A145" s="95">
        <v>47543</v>
      </c>
      <c r="B145" s="9" t="s">
        <v>28</v>
      </c>
      <c r="C145" s="9">
        <v>5</v>
      </c>
      <c r="D145" s="16">
        <v>15000</v>
      </c>
      <c r="E145" s="16">
        <v>15000</v>
      </c>
      <c r="F145" s="16">
        <v>15000</v>
      </c>
      <c r="G145" s="16">
        <v>15000</v>
      </c>
      <c r="H145" s="16">
        <v>15000</v>
      </c>
      <c r="I145" s="16">
        <v>15000</v>
      </c>
      <c r="J145" s="16">
        <v>15000</v>
      </c>
      <c r="K145" s="16">
        <v>15000</v>
      </c>
      <c r="L145" s="16">
        <v>15000</v>
      </c>
      <c r="M145" s="16">
        <v>15000</v>
      </c>
      <c r="N145" s="16">
        <v>15000</v>
      </c>
      <c r="O145" s="16">
        <v>15000</v>
      </c>
      <c r="P145" s="16">
        <v>15000</v>
      </c>
      <c r="Q145" s="16">
        <v>15000</v>
      </c>
      <c r="R145" s="16">
        <v>15000</v>
      </c>
      <c r="S145" s="16">
        <v>15000</v>
      </c>
      <c r="T145" s="16">
        <v>15000</v>
      </c>
      <c r="U145" s="16">
        <v>15000</v>
      </c>
      <c r="V145" s="16">
        <v>15000</v>
      </c>
      <c r="W145" s="16">
        <v>15000</v>
      </c>
      <c r="X145" s="16">
        <v>15000</v>
      </c>
      <c r="Y145" s="16">
        <v>15000</v>
      </c>
      <c r="Z145" s="16">
        <v>15000</v>
      </c>
      <c r="AA145" s="16">
        <v>15000</v>
      </c>
      <c r="AB145" s="6">
        <f t="shared" si="4"/>
        <v>1800000</v>
      </c>
      <c r="AC145" s="92">
        <f>+AB145+AB146+AB147</f>
        <v>11160000</v>
      </c>
      <c r="AF145" s="67">
        <v>47665</v>
      </c>
      <c r="AG145" s="68">
        <f>AC157</f>
        <v>11160000</v>
      </c>
    </row>
    <row r="146" spans="1:33" ht="18.75" thickBot="1" x14ac:dyDescent="0.3">
      <c r="A146" s="96"/>
      <c r="B146" s="11" t="s">
        <v>29</v>
      </c>
      <c r="C146" s="11">
        <v>6</v>
      </c>
      <c r="D146" s="16">
        <v>15000</v>
      </c>
      <c r="E146" s="16">
        <v>15000</v>
      </c>
      <c r="F146" s="16">
        <v>15000</v>
      </c>
      <c r="G146" s="16">
        <v>15000</v>
      </c>
      <c r="H146" s="16">
        <v>15000</v>
      </c>
      <c r="I146" s="16">
        <v>15000</v>
      </c>
      <c r="J146" s="16">
        <v>15000</v>
      </c>
      <c r="K146" s="16">
        <v>15000</v>
      </c>
      <c r="L146" s="16">
        <v>15000</v>
      </c>
      <c r="M146" s="16">
        <v>15000</v>
      </c>
      <c r="N146" s="16">
        <v>15000</v>
      </c>
      <c r="O146" s="16">
        <v>15000</v>
      </c>
      <c r="P146" s="16">
        <v>15000</v>
      </c>
      <c r="Q146" s="16">
        <v>15000</v>
      </c>
      <c r="R146" s="16">
        <v>15000</v>
      </c>
      <c r="S146" s="16">
        <v>15000</v>
      </c>
      <c r="T146" s="16">
        <v>15000</v>
      </c>
      <c r="U146" s="16">
        <v>15000</v>
      </c>
      <c r="V146" s="16">
        <v>15000</v>
      </c>
      <c r="W146" s="16">
        <v>15000</v>
      </c>
      <c r="X146" s="16">
        <v>15000</v>
      </c>
      <c r="Y146" s="16">
        <v>15000</v>
      </c>
      <c r="Z146" s="16">
        <v>15000</v>
      </c>
      <c r="AA146" s="16">
        <v>15000</v>
      </c>
      <c r="AB146" s="6">
        <f t="shared" si="4"/>
        <v>2160000</v>
      </c>
      <c r="AC146" s="93"/>
      <c r="AF146" s="67">
        <v>47696</v>
      </c>
      <c r="AG146" s="68">
        <f>AC160</f>
        <v>11160000</v>
      </c>
    </row>
    <row r="147" spans="1:33" ht="18.75" thickBot="1" x14ac:dyDescent="0.3">
      <c r="A147" s="97"/>
      <c r="B147" s="12" t="s">
        <v>30</v>
      </c>
      <c r="C147" s="12">
        <v>20</v>
      </c>
      <c r="D147" s="16">
        <v>15000</v>
      </c>
      <c r="E147" s="16">
        <v>15000</v>
      </c>
      <c r="F147" s="16">
        <v>15000</v>
      </c>
      <c r="G147" s="16">
        <v>15000</v>
      </c>
      <c r="H147" s="16">
        <v>15000</v>
      </c>
      <c r="I147" s="16">
        <v>15000</v>
      </c>
      <c r="J147" s="16">
        <v>15000</v>
      </c>
      <c r="K147" s="16">
        <v>15000</v>
      </c>
      <c r="L147" s="16">
        <v>15000</v>
      </c>
      <c r="M147" s="16">
        <v>15000</v>
      </c>
      <c r="N147" s="16">
        <v>15000</v>
      </c>
      <c r="O147" s="16">
        <v>15000</v>
      </c>
      <c r="P147" s="16">
        <v>15000</v>
      </c>
      <c r="Q147" s="16">
        <v>15000</v>
      </c>
      <c r="R147" s="16">
        <v>15000</v>
      </c>
      <c r="S147" s="16">
        <v>15000</v>
      </c>
      <c r="T147" s="16">
        <v>15000</v>
      </c>
      <c r="U147" s="16">
        <v>15000</v>
      </c>
      <c r="V147" s="16">
        <v>15000</v>
      </c>
      <c r="W147" s="16">
        <v>15000</v>
      </c>
      <c r="X147" s="16">
        <v>15000</v>
      </c>
      <c r="Y147" s="16">
        <v>15000</v>
      </c>
      <c r="Z147" s="16">
        <v>15000</v>
      </c>
      <c r="AA147" s="16">
        <v>15000</v>
      </c>
      <c r="AB147" s="6">
        <f t="shared" si="4"/>
        <v>7200000</v>
      </c>
      <c r="AC147" s="94"/>
      <c r="AF147" s="67">
        <v>47727</v>
      </c>
      <c r="AG147" s="68">
        <f>AC163</f>
        <v>10800000</v>
      </c>
    </row>
    <row r="148" spans="1:33" ht="18.75" thickBot="1" x14ac:dyDescent="0.3">
      <c r="A148" s="95">
        <v>47574</v>
      </c>
      <c r="B148" s="9" t="s">
        <v>28</v>
      </c>
      <c r="C148" s="9">
        <v>4</v>
      </c>
      <c r="D148" s="16">
        <v>15000</v>
      </c>
      <c r="E148" s="16">
        <v>15000</v>
      </c>
      <c r="F148" s="16">
        <v>15000</v>
      </c>
      <c r="G148" s="16">
        <v>15000</v>
      </c>
      <c r="H148" s="16">
        <v>15000</v>
      </c>
      <c r="I148" s="16">
        <v>15000</v>
      </c>
      <c r="J148" s="16">
        <v>15000</v>
      </c>
      <c r="K148" s="16">
        <v>15000</v>
      </c>
      <c r="L148" s="16">
        <v>15000</v>
      </c>
      <c r="M148" s="16">
        <v>15000</v>
      </c>
      <c r="N148" s="16">
        <v>15000</v>
      </c>
      <c r="O148" s="16">
        <v>15000</v>
      </c>
      <c r="P148" s="16">
        <v>15000</v>
      </c>
      <c r="Q148" s="16">
        <v>15000</v>
      </c>
      <c r="R148" s="16">
        <v>15000</v>
      </c>
      <c r="S148" s="16">
        <v>15000</v>
      </c>
      <c r="T148" s="16">
        <v>15000</v>
      </c>
      <c r="U148" s="16">
        <v>15000</v>
      </c>
      <c r="V148" s="16">
        <v>15000</v>
      </c>
      <c r="W148" s="16">
        <v>15000</v>
      </c>
      <c r="X148" s="16">
        <v>15000</v>
      </c>
      <c r="Y148" s="16">
        <v>15000</v>
      </c>
      <c r="Z148" s="16">
        <v>15000</v>
      </c>
      <c r="AA148" s="16">
        <v>15000</v>
      </c>
      <c r="AB148" s="6">
        <f t="shared" si="4"/>
        <v>1440000</v>
      </c>
      <c r="AC148" s="92">
        <f>+AB148+AB149+AB150</f>
        <v>10800000</v>
      </c>
      <c r="AF148" s="67">
        <v>47757</v>
      </c>
      <c r="AG148" s="68">
        <f>AC166</f>
        <v>11160000</v>
      </c>
    </row>
    <row r="149" spans="1:33" ht="18.75" thickBot="1" x14ac:dyDescent="0.3">
      <c r="A149" s="96"/>
      <c r="B149" s="11" t="s">
        <v>29</v>
      </c>
      <c r="C149" s="11">
        <v>6</v>
      </c>
      <c r="D149" s="16">
        <v>15000</v>
      </c>
      <c r="E149" s="16">
        <v>15000</v>
      </c>
      <c r="F149" s="16">
        <v>15000</v>
      </c>
      <c r="G149" s="16">
        <v>15000</v>
      </c>
      <c r="H149" s="16">
        <v>15000</v>
      </c>
      <c r="I149" s="16">
        <v>15000</v>
      </c>
      <c r="J149" s="16">
        <v>15000</v>
      </c>
      <c r="K149" s="16">
        <v>15000</v>
      </c>
      <c r="L149" s="16">
        <v>15000</v>
      </c>
      <c r="M149" s="16">
        <v>15000</v>
      </c>
      <c r="N149" s="16">
        <v>15000</v>
      </c>
      <c r="O149" s="16">
        <v>15000</v>
      </c>
      <c r="P149" s="16">
        <v>15000</v>
      </c>
      <c r="Q149" s="16">
        <v>15000</v>
      </c>
      <c r="R149" s="16">
        <v>15000</v>
      </c>
      <c r="S149" s="16">
        <v>15000</v>
      </c>
      <c r="T149" s="16">
        <v>15000</v>
      </c>
      <c r="U149" s="16">
        <v>15000</v>
      </c>
      <c r="V149" s="16">
        <v>15000</v>
      </c>
      <c r="W149" s="16">
        <v>15000</v>
      </c>
      <c r="X149" s="16">
        <v>15000</v>
      </c>
      <c r="Y149" s="16">
        <v>15000</v>
      </c>
      <c r="Z149" s="16">
        <v>15000</v>
      </c>
      <c r="AA149" s="16">
        <v>15000</v>
      </c>
      <c r="AB149" s="6">
        <f t="shared" si="4"/>
        <v>2160000</v>
      </c>
      <c r="AC149" s="93"/>
      <c r="AF149" s="67">
        <v>47788</v>
      </c>
      <c r="AG149" s="68">
        <f>AC169</f>
        <v>10800000</v>
      </c>
    </row>
    <row r="150" spans="1:33" ht="18.75" thickBot="1" x14ac:dyDescent="0.3">
      <c r="A150" s="97"/>
      <c r="B150" s="12" t="s">
        <v>30</v>
      </c>
      <c r="C150" s="12">
        <v>20</v>
      </c>
      <c r="D150" s="16">
        <v>15000</v>
      </c>
      <c r="E150" s="16">
        <v>15000</v>
      </c>
      <c r="F150" s="16">
        <v>15000</v>
      </c>
      <c r="G150" s="16">
        <v>15000</v>
      </c>
      <c r="H150" s="16">
        <v>15000</v>
      </c>
      <c r="I150" s="16">
        <v>15000</v>
      </c>
      <c r="J150" s="16">
        <v>15000</v>
      </c>
      <c r="K150" s="16">
        <v>15000</v>
      </c>
      <c r="L150" s="16">
        <v>15000</v>
      </c>
      <c r="M150" s="16">
        <v>15000</v>
      </c>
      <c r="N150" s="16">
        <v>15000</v>
      </c>
      <c r="O150" s="16">
        <v>15000</v>
      </c>
      <c r="P150" s="16">
        <v>15000</v>
      </c>
      <c r="Q150" s="16">
        <v>15000</v>
      </c>
      <c r="R150" s="16">
        <v>15000</v>
      </c>
      <c r="S150" s="16">
        <v>15000</v>
      </c>
      <c r="T150" s="16">
        <v>15000</v>
      </c>
      <c r="U150" s="16">
        <v>15000</v>
      </c>
      <c r="V150" s="16">
        <v>15000</v>
      </c>
      <c r="W150" s="16">
        <v>15000</v>
      </c>
      <c r="X150" s="16">
        <v>15000</v>
      </c>
      <c r="Y150" s="16">
        <v>15000</v>
      </c>
      <c r="Z150" s="16">
        <v>15000</v>
      </c>
      <c r="AA150" s="16">
        <v>15000</v>
      </c>
      <c r="AB150" s="6">
        <f t="shared" si="4"/>
        <v>7200000</v>
      </c>
      <c r="AC150" s="94"/>
      <c r="AF150" s="67">
        <v>47818</v>
      </c>
      <c r="AG150" s="68">
        <f>AC172</f>
        <v>11160000</v>
      </c>
    </row>
    <row r="151" spans="1:33" ht="18.75" thickBot="1" x14ac:dyDescent="0.3">
      <c r="A151" s="95">
        <v>47604</v>
      </c>
      <c r="B151" s="9" t="s">
        <v>28</v>
      </c>
      <c r="C151" s="9">
        <v>4</v>
      </c>
      <c r="D151" s="16">
        <v>15000</v>
      </c>
      <c r="E151" s="16">
        <v>15000</v>
      </c>
      <c r="F151" s="16">
        <v>15000</v>
      </c>
      <c r="G151" s="16">
        <v>15000</v>
      </c>
      <c r="H151" s="16">
        <v>15000</v>
      </c>
      <c r="I151" s="16">
        <v>15000</v>
      </c>
      <c r="J151" s="16">
        <v>15000</v>
      </c>
      <c r="K151" s="16">
        <v>15000</v>
      </c>
      <c r="L151" s="16">
        <v>15000</v>
      </c>
      <c r="M151" s="16">
        <v>15000</v>
      </c>
      <c r="N151" s="16">
        <v>15000</v>
      </c>
      <c r="O151" s="16">
        <v>15000</v>
      </c>
      <c r="P151" s="16">
        <v>15000</v>
      </c>
      <c r="Q151" s="16">
        <v>15000</v>
      </c>
      <c r="R151" s="16">
        <v>15000</v>
      </c>
      <c r="S151" s="16">
        <v>15000</v>
      </c>
      <c r="T151" s="16">
        <v>15000</v>
      </c>
      <c r="U151" s="16">
        <v>15000</v>
      </c>
      <c r="V151" s="16">
        <v>15000</v>
      </c>
      <c r="W151" s="16">
        <v>15000</v>
      </c>
      <c r="X151" s="16">
        <v>15000</v>
      </c>
      <c r="Y151" s="16">
        <v>15000</v>
      </c>
      <c r="Z151" s="16">
        <v>15000</v>
      </c>
      <c r="AA151" s="16">
        <v>15000</v>
      </c>
      <c r="AB151" s="6">
        <f t="shared" si="4"/>
        <v>1440000</v>
      </c>
      <c r="AC151" s="92">
        <f>+AB151+AB152+AB153</f>
        <v>11160000</v>
      </c>
    </row>
    <row r="152" spans="1:33" ht="18.75" thickBot="1" x14ac:dyDescent="0.3">
      <c r="A152" s="96"/>
      <c r="B152" s="11" t="s">
        <v>29</v>
      </c>
      <c r="C152" s="11">
        <v>5</v>
      </c>
      <c r="D152" s="16">
        <v>15000</v>
      </c>
      <c r="E152" s="16">
        <v>15000</v>
      </c>
      <c r="F152" s="16">
        <v>15000</v>
      </c>
      <c r="G152" s="16">
        <v>15000</v>
      </c>
      <c r="H152" s="16">
        <v>15000</v>
      </c>
      <c r="I152" s="16">
        <v>15000</v>
      </c>
      <c r="J152" s="16">
        <v>15000</v>
      </c>
      <c r="K152" s="16">
        <v>15000</v>
      </c>
      <c r="L152" s="16">
        <v>15000</v>
      </c>
      <c r="M152" s="16">
        <v>15000</v>
      </c>
      <c r="N152" s="16">
        <v>15000</v>
      </c>
      <c r="O152" s="16">
        <v>15000</v>
      </c>
      <c r="P152" s="16">
        <v>15000</v>
      </c>
      <c r="Q152" s="16">
        <v>15000</v>
      </c>
      <c r="R152" s="16">
        <v>15000</v>
      </c>
      <c r="S152" s="16">
        <v>15000</v>
      </c>
      <c r="T152" s="16">
        <v>15000</v>
      </c>
      <c r="U152" s="16">
        <v>15000</v>
      </c>
      <c r="V152" s="16">
        <v>15000</v>
      </c>
      <c r="W152" s="16">
        <v>15000</v>
      </c>
      <c r="X152" s="16">
        <v>15000</v>
      </c>
      <c r="Y152" s="16">
        <v>15000</v>
      </c>
      <c r="Z152" s="16">
        <v>15000</v>
      </c>
      <c r="AA152" s="16">
        <v>15000</v>
      </c>
      <c r="AB152" s="6">
        <f t="shared" si="4"/>
        <v>1800000</v>
      </c>
      <c r="AC152" s="93"/>
    </row>
    <row r="153" spans="1:33" ht="18.75" thickBot="1" x14ac:dyDescent="0.3">
      <c r="A153" s="97"/>
      <c r="B153" s="12" t="s">
        <v>30</v>
      </c>
      <c r="C153" s="12">
        <v>22</v>
      </c>
      <c r="D153" s="16">
        <v>15000</v>
      </c>
      <c r="E153" s="16">
        <v>15000</v>
      </c>
      <c r="F153" s="16">
        <v>15000</v>
      </c>
      <c r="G153" s="16">
        <v>15000</v>
      </c>
      <c r="H153" s="16">
        <v>15000</v>
      </c>
      <c r="I153" s="16">
        <v>15000</v>
      </c>
      <c r="J153" s="16">
        <v>15000</v>
      </c>
      <c r="K153" s="16">
        <v>15000</v>
      </c>
      <c r="L153" s="16">
        <v>15000</v>
      </c>
      <c r="M153" s="16">
        <v>15000</v>
      </c>
      <c r="N153" s="16">
        <v>15000</v>
      </c>
      <c r="O153" s="16">
        <v>15000</v>
      </c>
      <c r="P153" s="16">
        <v>15000</v>
      </c>
      <c r="Q153" s="16">
        <v>15000</v>
      </c>
      <c r="R153" s="16">
        <v>15000</v>
      </c>
      <c r="S153" s="16">
        <v>15000</v>
      </c>
      <c r="T153" s="16">
        <v>15000</v>
      </c>
      <c r="U153" s="16">
        <v>15000</v>
      </c>
      <c r="V153" s="16">
        <v>15000</v>
      </c>
      <c r="W153" s="16">
        <v>15000</v>
      </c>
      <c r="X153" s="16">
        <v>15000</v>
      </c>
      <c r="Y153" s="16">
        <v>15000</v>
      </c>
      <c r="Z153" s="16">
        <v>15000</v>
      </c>
      <c r="AA153" s="16">
        <v>15000</v>
      </c>
      <c r="AB153" s="6">
        <f t="shared" si="4"/>
        <v>7920000</v>
      </c>
      <c r="AC153" s="94"/>
    </row>
    <row r="154" spans="1:33" ht="18.75" thickBot="1" x14ac:dyDescent="0.3">
      <c r="A154" s="95">
        <v>47635</v>
      </c>
      <c r="B154" s="9" t="s">
        <v>28</v>
      </c>
      <c r="C154" s="9">
        <v>5</v>
      </c>
      <c r="D154" s="16">
        <v>15000</v>
      </c>
      <c r="E154" s="16">
        <v>15000</v>
      </c>
      <c r="F154" s="16">
        <v>15000</v>
      </c>
      <c r="G154" s="16">
        <v>15000</v>
      </c>
      <c r="H154" s="16">
        <v>15000</v>
      </c>
      <c r="I154" s="16">
        <v>15000</v>
      </c>
      <c r="J154" s="16">
        <v>15000</v>
      </c>
      <c r="K154" s="16">
        <v>15000</v>
      </c>
      <c r="L154" s="16">
        <v>15000</v>
      </c>
      <c r="M154" s="16">
        <v>15000</v>
      </c>
      <c r="N154" s="16">
        <v>15000</v>
      </c>
      <c r="O154" s="16">
        <v>15000</v>
      </c>
      <c r="P154" s="16">
        <v>15000</v>
      </c>
      <c r="Q154" s="16">
        <v>15000</v>
      </c>
      <c r="R154" s="16">
        <v>15000</v>
      </c>
      <c r="S154" s="16">
        <v>15000</v>
      </c>
      <c r="T154" s="16">
        <v>15000</v>
      </c>
      <c r="U154" s="16">
        <v>15000</v>
      </c>
      <c r="V154" s="16">
        <v>15000</v>
      </c>
      <c r="W154" s="16">
        <v>15000</v>
      </c>
      <c r="X154" s="16">
        <v>15000</v>
      </c>
      <c r="Y154" s="16">
        <v>15000</v>
      </c>
      <c r="Z154" s="16">
        <v>15000</v>
      </c>
      <c r="AA154" s="16">
        <v>15000</v>
      </c>
      <c r="AB154" s="6">
        <f t="shared" si="4"/>
        <v>1800000</v>
      </c>
      <c r="AC154" s="92">
        <f>+AB154+AB155+AB156</f>
        <v>10800000</v>
      </c>
    </row>
    <row r="155" spans="1:33" ht="18.75" thickBot="1" x14ac:dyDescent="0.3">
      <c r="A155" s="96"/>
      <c r="B155" s="11" t="s">
        <v>29</v>
      </c>
      <c r="C155" s="11">
        <v>5</v>
      </c>
      <c r="D155" s="16">
        <v>15000</v>
      </c>
      <c r="E155" s="16">
        <v>15000</v>
      </c>
      <c r="F155" s="16">
        <v>15000</v>
      </c>
      <c r="G155" s="16">
        <v>15000</v>
      </c>
      <c r="H155" s="16">
        <v>15000</v>
      </c>
      <c r="I155" s="16">
        <v>15000</v>
      </c>
      <c r="J155" s="16">
        <v>15000</v>
      </c>
      <c r="K155" s="16">
        <v>15000</v>
      </c>
      <c r="L155" s="16">
        <v>15000</v>
      </c>
      <c r="M155" s="16">
        <v>15000</v>
      </c>
      <c r="N155" s="16">
        <v>15000</v>
      </c>
      <c r="O155" s="16">
        <v>15000</v>
      </c>
      <c r="P155" s="16">
        <v>15000</v>
      </c>
      <c r="Q155" s="16">
        <v>15000</v>
      </c>
      <c r="R155" s="16">
        <v>15000</v>
      </c>
      <c r="S155" s="16">
        <v>15000</v>
      </c>
      <c r="T155" s="16">
        <v>15000</v>
      </c>
      <c r="U155" s="16">
        <v>15000</v>
      </c>
      <c r="V155" s="16">
        <v>15000</v>
      </c>
      <c r="W155" s="16">
        <v>15000</v>
      </c>
      <c r="X155" s="16">
        <v>15000</v>
      </c>
      <c r="Y155" s="16">
        <v>15000</v>
      </c>
      <c r="Z155" s="16">
        <v>15000</v>
      </c>
      <c r="AA155" s="16">
        <v>15000</v>
      </c>
      <c r="AB155" s="6">
        <f t="shared" si="4"/>
        <v>1800000</v>
      </c>
      <c r="AC155" s="93"/>
    </row>
    <row r="156" spans="1:33" ht="18.75" thickBot="1" x14ac:dyDescent="0.3">
      <c r="A156" s="97"/>
      <c r="B156" s="12" t="s">
        <v>30</v>
      </c>
      <c r="C156" s="12">
        <v>20</v>
      </c>
      <c r="D156" s="16">
        <v>15000</v>
      </c>
      <c r="E156" s="16">
        <v>15000</v>
      </c>
      <c r="F156" s="16">
        <v>15000</v>
      </c>
      <c r="G156" s="16">
        <v>15000</v>
      </c>
      <c r="H156" s="16">
        <v>15000</v>
      </c>
      <c r="I156" s="16">
        <v>15000</v>
      </c>
      <c r="J156" s="16">
        <v>15000</v>
      </c>
      <c r="K156" s="16">
        <v>15000</v>
      </c>
      <c r="L156" s="16">
        <v>15000</v>
      </c>
      <c r="M156" s="16">
        <v>15000</v>
      </c>
      <c r="N156" s="16">
        <v>15000</v>
      </c>
      <c r="O156" s="16">
        <v>15000</v>
      </c>
      <c r="P156" s="16">
        <v>15000</v>
      </c>
      <c r="Q156" s="16">
        <v>15000</v>
      </c>
      <c r="R156" s="16">
        <v>15000</v>
      </c>
      <c r="S156" s="16">
        <v>15000</v>
      </c>
      <c r="T156" s="16">
        <v>15000</v>
      </c>
      <c r="U156" s="16">
        <v>15000</v>
      </c>
      <c r="V156" s="16">
        <v>15000</v>
      </c>
      <c r="W156" s="16">
        <v>15000</v>
      </c>
      <c r="X156" s="16">
        <v>15000</v>
      </c>
      <c r="Y156" s="16">
        <v>15000</v>
      </c>
      <c r="Z156" s="16">
        <v>15000</v>
      </c>
      <c r="AA156" s="16">
        <v>15000</v>
      </c>
      <c r="AB156" s="6">
        <f t="shared" si="4"/>
        <v>7200000</v>
      </c>
      <c r="AC156" s="94"/>
    </row>
    <row r="157" spans="1:33" ht="18.75" thickBot="1" x14ac:dyDescent="0.3">
      <c r="A157" s="95">
        <v>47665</v>
      </c>
      <c r="B157" s="9" t="s">
        <v>28</v>
      </c>
      <c r="C157" s="9">
        <v>4</v>
      </c>
      <c r="D157" s="16">
        <v>15000</v>
      </c>
      <c r="E157" s="16">
        <v>15000</v>
      </c>
      <c r="F157" s="16">
        <v>15000</v>
      </c>
      <c r="G157" s="16">
        <v>15000</v>
      </c>
      <c r="H157" s="16">
        <v>15000</v>
      </c>
      <c r="I157" s="16">
        <v>15000</v>
      </c>
      <c r="J157" s="16">
        <v>15000</v>
      </c>
      <c r="K157" s="16">
        <v>15000</v>
      </c>
      <c r="L157" s="16">
        <v>15000</v>
      </c>
      <c r="M157" s="16">
        <v>15000</v>
      </c>
      <c r="N157" s="16">
        <v>15000</v>
      </c>
      <c r="O157" s="16">
        <v>15000</v>
      </c>
      <c r="P157" s="16">
        <v>15000</v>
      </c>
      <c r="Q157" s="16">
        <v>15000</v>
      </c>
      <c r="R157" s="16">
        <v>15000</v>
      </c>
      <c r="S157" s="16">
        <v>15000</v>
      </c>
      <c r="T157" s="16">
        <v>15000</v>
      </c>
      <c r="U157" s="16">
        <v>15000</v>
      </c>
      <c r="V157" s="16">
        <v>15000</v>
      </c>
      <c r="W157" s="16">
        <v>15000</v>
      </c>
      <c r="X157" s="16">
        <v>15000</v>
      </c>
      <c r="Y157" s="16">
        <v>15000</v>
      </c>
      <c r="Z157" s="16">
        <v>15000</v>
      </c>
      <c r="AA157" s="16">
        <v>15000</v>
      </c>
      <c r="AB157" s="6">
        <f t="shared" si="4"/>
        <v>1440000</v>
      </c>
      <c r="AC157" s="92">
        <f>+AB157+AB158+AB159</f>
        <v>11160000</v>
      </c>
    </row>
    <row r="158" spans="1:33" ht="18.75" thickBot="1" x14ac:dyDescent="0.3">
      <c r="A158" s="96"/>
      <c r="B158" s="11" t="s">
        <v>29</v>
      </c>
      <c r="C158" s="11">
        <v>4</v>
      </c>
      <c r="D158" s="16">
        <v>15000</v>
      </c>
      <c r="E158" s="16">
        <v>15000</v>
      </c>
      <c r="F158" s="16">
        <v>15000</v>
      </c>
      <c r="G158" s="16">
        <v>15000</v>
      </c>
      <c r="H158" s="16">
        <v>15000</v>
      </c>
      <c r="I158" s="16">
        <v>15000</v>
      </c>
      <c r="J158" s="16">
        <v>15000</v>
      </c>
      <c r="K158" s="16">
        <v>15000</v>
      </c>
      <c r="L158" s="16">
        <v>15000</v>
      </c>
      <c r="M158" s="16">
        <v>15000</v>
      </c>
      <c r="N158" s="16">
        <v>15000</v>
      </c>
      <c r="O158" s="16">
        <v>15000</v>
      </c>
      <c r="P158" s="16">
        <v>15000</v>
      </c>
      <c r="Q158" s="16">
        <v>15000</v>
      </c>
      <c r="R158" s="16">
        <v>15000</v>
      </c>
      <c r="S158" s="16">
        <v>15000</v>
      </c>
      <c r="T158" s="16">
        <v>15000</v>
      </c>
      <c r="U158" s="16">
        <v>15000</v>
      </c>
      <c r="V158" s="16">
        <v>15000</v>
      </c>
      <c r="W158" s="16">
        <v>15000</v>
      </c>
      <c r="X158" s="16">
        <v>15000</v>
      </c>
      <c r="Y158" s="16">
        <v>15000</v>
      </c>
      <c r="Z158" s="16">
        <v>15000</v>
      </c>
      <c r="AA158" s="16">
        <v>15000</v>
      </c>
      <c r="AB158" s="6">
        <f t="shared" si="4"/>
        <v>1440000</v>
      </c>
      <c r="AC158" s="93"/>
    </row>
    <row r="159" spans="1:33" ht="18.75" thickBot="1" x14ac:dyDescent="0.3">
      <c r="A159" s="97"/>
      <c r="B159" s="12" t="s">
        <v>30</v>
      </c>
      <c r="C159" s="12">
        <v>23</v>
      </c>
      <c r="D159" s="16">
        <v>15000</v>
      </c>
      <c r="E159" s="16">
        <v>15000</v>
      </c>
      <c r="F159" s="16">
        <v>15000</v>
      </c>
      <c r="G159" s="16">
        <v>15000</v>
      </c>
      <c r="H159" s="16">
        <v>15000</v>
      </c>
      <c r="I159" s="16">
        <v>15000</v>
      </c>
      <c r="J159" s="16">
        <v>15000</v>
      </c>
      <c r="K159" s="16">
        <v>15000</v>
      </c>
      <c r="L159" s="16">
        <v>15000</v>
      </c>
      <c r="M159" s="16">
        <v>15000</v>
      </c>
      <c r="N159" s="16">
        <v>15000</v>
      </c>
      <c r="O159" s="16">
        <v>15000</v>
      </c>
      <c r="P159" s="16">
        <v>15000</v>
      </c>
      <c r="Q159" s="16">
        <v>15000</v>
      </c>
      <c r="R159" s="16">
        <v>15000</v>
      </c>
      <c r="S159" s="16">
        <v>15000</v>
      </c>
      <c r="T159" s="16">
        <v>15000</v>
      </c>
      <c r="U159" s="16">
        <v>15000</v>
      </c>
      <c r="V159" s="16">
        <v>15000</v>
      </c>
      <c r="W159" s="16">
        <v>15000</v>
      </c>
      <c r="X159" s="16">
        <v>15000</v>
      </c>
      <c r="Y159" s="16">
        <v>15000</v>
      </c>
      <c r="Z159" s="16">
        <v>15000</v>
      </c>
      <c r="AA159" s="16">
        <v>15000</v>
      </c>
      <c r="AB159" s="6">
        <f t="shared" si="4"/>
        <v>8280000</v>
      </c>
      <c r="AC159" s="94"/>
    </row>
    <row r="160" spans="1:33" ht="18.75" thickBot="1" x14ac:dyDescent="0.3">
      <c r="A160" s="95">
        <v>47696</v>
      </c>
      <c r="B160" s="9" t="s">
        <v>28</v>
      </c>
      <c r="C160" s="9">
        <v>5</v>
      </c>
      <c r="D160" s="16">
        <v>15000</v>
      </c>
      <c r="E160" s="16">
        <v>15000</v>
      </c>
      <c r="F160" s="16">
        <v>15000</v>
      </c>
      <c r="G160" s="16">
        <v>15000</v>
      </c>
      <c r="H160" s="16">
        <v>15000</v>
      </c>
      <c r="I160" s="16">
        <v>15000</v>
      </c>
      <c r="J160" s="16">
        <v>15000</v>
      </c>
      <c r="K160" s="16">
        <v>15000</v>
      </c>
      <c r="L160" s="16">
        <v>15000</v>
      </c>
      <c r="M160" s="16">
        <v>15000</v>
      </c>
      <c r="N160" s="16">
        <v>15000</v>
      </c>
      <c r="O160" s="16">
        <v>15000</v>
      </c>
      <c r="P160" s="16">
        <v>15000</v>
      </c>
      <c r="Q160" s="16">
        <v>15000</v>
      </c>
      <c r="R160" s="16">
        <v>15000</v>
      </c>
      <c r="S160" s="16">
        <v>15000</v>
      </c>
      <c r="T160" s="16">
        <v>15000</v>
      </c>
      <c r="U160" s="16">
        <v>15000</v>
      </c>
      <c r="V160" s="16">
        <v>15000</v>
      </c>
      <c r="W160" s="16">
        <v>15000</v>
      </c>
      <c r="X160" s="16">
        <v>15000</v>
      </c>
      <c r="Y160" s="16">
        <v>15000</v>
      </c>
      <c r="Z160" s="16">
        <v>15000</v>
      </c>
      <c r="AA160" s="16">
        <v>15000</v>
      </c>
      <c r="AB160" s="6">
        <f t="shared" si="4"/>
        <v>1800000</v>
      </c>
      <c r="AC160" s="92">
        <f>+AB160+AB161+AB162</f>
        <v>11160000</v>
      </c>
    </row>
    <row r="161" spans="1:29" ht="18.75" thickBot="1" x14ac:dyDescent="0.3">
      <c r="A161" s="96"/>
      <c r="B161" s="11" t="s">
        <v>29</v>
      </c>
      <c r="C161" s="11">
        <v>4</v>
      </c>
      <c r="D161" s="16">
        <v>15000</v>
      </c>
      <c r="E161" s="16">
        <v>15000</v>
      </c>
      <c r="F161" s="16">
        <v>15000</v>
      </c>
      <c r="G161" s="16">
        <v>15000</v>
      </c>
      <c r="H161" s="16">
        <v>15000</v>
      </c>
      <c r="I161" s="16">
        <v>15000</v>
      </c>
      <c r="J161" s="16">
        <v>15000</v>
      </c>
      <c r="K161" s="16">
        <v>15000</v>
      </c>
      <c r="L161" s="16">
        <v>15000</v>
      </c>
      <c r="M161" s="16">
        <v>15000</v>
      </c>
      <c r="N161" s="16">
        <v>15000</v>
      </c>
      <c r="O161" s="16">
        <v>15000</v>
      </c>
      <c r="P161" s="16">
        <v>15000</v>
      </c>
      <c r="Q161" s="16">
        <v>15000</v>
      </c>
      <c r="R161" s="16">
        <v>15000</v>
      </c>
      <c r="S161" s="16">
        <v>15000</v>
      </c>
      <c r="T161" s="16">
        <v>15000</v>
      </c>
      <c r="U161" s="16">
        <v>15000</v>
      </c>
      <c r="V161" s="16">
        <v>15000</v>
      </c>
      <c r="W161" s="16">
        <v>15000</v>
      </c>
      <c r="X161" s="16">
        <v>15000</v>
      </c>
      <c r="Y161" s="16">
        <v>15000</v>
      </c>
      <c r="Z161" s="16">
        <v>15000</v>
      </c>
      <c r="AA161" s="16">
        <v>15000</v>
      </c>
      <c r="AB161" s="6">
        <f t="shared" si="4"/>
        <v>1440000</v>
      </c>
      <c r="AC161" s="93"/>
    </row>
    <row r="162" spans="1:29" ht="18.75" thickBot="1" x14ac:dyDescent="0.3">
      <c r="A162" s="97"/>
      <c r="B162" s="12" t="s">
        <v>30</v>
      </c>
      <c r="C162" s="12">
        <v>22</v>
      </c>
      <c r="D162" s="16">
        <v>15000</v>
      </c>
      <c r="E162" s="16">
        <v>15000</v>
      </c>
      <c r="F162" s="16">
        <v>15000</v>
      </c>
      <c r="G162" s="16">
        <v>15000</v>
      </c>
      <c r="H162" s="16">
        <v>15000</v>
      </c>
      <c r="I162" s="16">
        <v>15000</v>
      </c>
      <c r="J162" s="16">
        <v>15000</v>
      </c>
      <c r="K162" s="16">
        <v>15000</v>
      </c>
      <c r="L162" s="16">
        <v>15000</v>
      </c>
      <c r="M162" s="16">
        <v>15000</v>
      </c>
      <c r="N162" s="16">
        <v>15000</v>
      </c>
      <c r="O162" s="16">
        <v>15000</v>
      </c>
      <c r="P162" s="16">
        <v>15000</v>
      </c>
      <c r="Q162" s="16">
        <v>15000</v>
      </c>
      <c r="R162" s="16">
        <v>15000</v>
      </c>
      <c r="S162" s="16">
        <v>15000</v>
      </c>
      <c r="T162" s="16">
        <v>15000</v>
      </c>
      <c r="U162" s="16">
        <v>15000</v>
      </c>
      <c r="V162" s="16">
        <v>15000</v>
      </c>
      <c r="W162" s="16">
        <v>15000</v>
      </c>
      <c r="X162" s="16">
        <v>15000</v>
      </c>
      <c r="Y162" s="16">
        <v>15000</v>
      </c>
      <c r="Z162" s="16">
        <v>15000</v>
      </c>
      <c r="AA162" s="16">
        <v>15000</v>
      </c>
      <c r="AB162" s="6">
        <f t="shared" si="4"/>
        <v>7920000</v>
      </c>
      <c r="AC162" s="94"/>
    </row>
    <row r="163" spans="1:29" ht="18.75" thickBot="1" x14ac:dyDescent="0.3">
      <c r="A163" s="95">
        <v>47727</v>
      </c>
      <c r="B163" s="9" t="s">
        <v>28</v>
      </c>
      <c r="C163" s="9">
        <v>4</v>
      </c>
      <c r="D163" s="16">
        <v>15000</v>
      </c>
      <c r="E163" s="16">
        <v>15000</v>
      </c>
      <c r="F163" s="16">
        <v>15000</v>
      </c>
      <c r="G163" s="16">
        <v>15000</v>
      </c>
      <c r="H163" s="16">
        <v>15000</v>
      </c>
      <c r="I163" s="16">
        <v>15000</v>
      </c>
      <c r="J163" s="16">
        <v>15000</v>
      </c>
      <c r="K163" s="16">
        <v>15000</v>
      </c>
      <c r="L163" s="16">
        <v>15000</v>
      </c>
      <c r="M163" s="16">
        <v>15000</v>
      </c>
      <c r="N163" s="16">
        <v>15000</v>
      </c>
      <c r="O163" s="16">
        <v>15000</v>
      </c>
      <c r="P163" s="16">
        <v>15000</v>
      </c>
      <c r="Q163" s="16">
        <v>15000</v>
      </c>
      <c r="R163" s="16">
        <v>15000</v>
      </c>
      <c r="S163" s="16">
        <v>15000</v>
      </c>
      <c r="T163" s="16">
        <v>15000</v>
      </c>
      <c r="U163" s="16">
        <v>15000</v>
      </c>
      <c r="V163" s="16">
        <v>15000</v>
      </c>
      <c r="W163" s="16">
        <v>15000</v>
      </c>
      <c r="X163" s="16">
        <v>15000</v>
      </c>
      <c r="Y163" s="16">
        <v>15000</v>
      </c>
      <c r="Z163" s="16">
        <v>15000</v>
      </c>
      <c r="AA163" s="16">
        <v>15000</v>
      </c>
      <c r="AB163" s="6">
        <f t="shared" si="4"/>
        <v>1440000</v>
      </c>
      <c r="AC163" s="92">
        <f>+AB163+AB164+AB165</f>
        <v>10800000</v>
      </c>
    </row>
    <row r="164" spans="1:29" ht="18.75" thickBot="1" x14ac:dyDescent="0.3">
      <c r="A164" s="96"/>
      <c r="B164" s="11" t="s">
        <v>29</v>
      </c>
      <c r="C164" s="11">
        <v>5</v>
      </c>
      <c r="D164" s="16">
        <v>15000</v>
      </c>
      <c r="E164" s="16">
        <v>15000</v>
      </c>
      <c r="F164" s="16">
        <v>15000</v>
      </c>
      <c r="G164" s="16">
        <v>15000</v>
      </c>
      <c r="H164" s="16">
        <v>15000</v>
      </c>
      <c r="I164" s="16">
        <v>15000</v>
      </c>
      <c r="J164" s="16">
        <v>15000</v>
      </c>
      <c r="K164" s="16">
        <v>15000</v>
      </c>
      <c r="L164" s="16">
        <v>15000</v>
      </c>
      <c r="M164" s="16">
        <v>15000</v>
      </c>
      <c r="N164" s="16">
        <v>15000</v>
      </c>
      <c r="O164" s="16">
        <v>15000</v>
      </c>
      <c r="P164" s="16">
        <v>15000</v>
      </c>
      <c r="Q164" s="16">
        <v>15000</v>
      </c>
      <c r="R164" s="16">
        <v>15000</v>
      </c>
      <c r="S164" s="16">
        <v>15000</v>
      </c>
      <c r="T164" s="16">
        <v>15000</v>
      </c>
      <c r="U164" s="16">
        <v>15000</v>
      </c>
      <c r="V164" s="16">
        <v>15000</v>
      </c>
      <c r="W164" s="16">
        <v>15000</v>
      </c>
      <c r="X164" s="16">
        <v>15000</v>
      </c>
      <c r="Y164" s="16">
        <v>15000</v>
      </c>
      <c r="Z164" s="16">
        <v>15000</v>
      </c>
      <c r="AA164" s="16">
        <v>15000</v>
      </c>
      <c r="AB164" s="6">
        <f t="shared" si="4"/>
        <v>1800000</v>
      </c>
      <c r="AC164" s="93"/>
    </row>
    <row r="165" spans="1:29" ht="18.75" thickBot="1" x14ac:dyDescent="0.3">
      <c r="A165" s="97"/>
      <c r="B165" s="12" t="s">
        <v>30</v>
      </c>
      <c r="C165" s="12">
        <v>21</v>
      </c>
      <c r="D165" s="16">
        <v>15000</v>
      </c>
      <c r="E165" s="16">
        <v>15000</v>
      </c>
      <c r="F165" s="16">
        <v>15000</v>
      </c>
      <c r="G165" s="16">
        <v>15000</v>
      </c>
      <c r="H165" s="16">
        <v>15000</v>
      </c>
      <c r="I165" s="16">
        <v>15000</v>
      </c>
      <c r="J165" s="16">
        <v>15000</v>
      </c>
      <c r="K165" s="16">
        <v>15000</v>
      </c>
      <c r="L165" s="16">
        <v>15000</v>
      </c>
      <c r="M165" s="16">
        <v>15000</v>
      </c>
      <c r="N165" s="16">
        <v>15000</v>
      </c>
      <c r="O165" s="16">
        <v>15000</v>
      </c>
      <c r="P165" s="16">
        <v>15000</v>
      </c>
      <c r="Q165" s="16">
        <v>15000</v>
      </c>
      <c r="R165" s="16">
        <v>15000</v>
      </c>
      <c r="S165" s="16">
        <v>15000</v>
      </c>
      <c r="T165" s="16">
        <v>15000</v>
      </c>
      <c r="U165" s="16">
        <v>15000</v>
      </c>
      <c r="V165" s="16">
        <v>15000</v>
      </c>
      <c r="W165" s="16">
        <v>15000</v>
      </c>
      <c r="X165" s="16">
        <v>15000</v>
      </c>
      <c r="Y165" s="16">
        <v>15000</v>
      </c>
      <c r="Z165" s="16">
        <v>15000</v>
      </c>
      <c r="AA165" s="16">
        <v>15000</v>
      </c>
      <c r="AB165" s="6">
        <f t="shared" si="4"/>
        <v>7560000</v>
      </c>
      <c r="AC165" s="94"/>
    </row>
    <row r="166" spans="1:29" ht="18.75" thickBot="1" x14ac:dyDescent="0.3">
      <c r="A166" s="95">
        <v>47757</v>
      </c>
      <c r="B166" s="9" t="s">
        <v>28</v>
      </c>
      <c r="C166" s="9">
        <v>4</v>
      </c>
      <c r="D166" s="16">
        <v>15000</v>
      </c>
      <c r="E166" s="16">
        <v>15000</v>
      </c>
      <c r="F166" s="16">
        <v>15000</v>
      </c>
      <c r="G166" s="16">
        <v>15000</v>
      </c>
      <c r="H166" s="16">
        <v>15000</v>
      </c>
      <c r="I166" s="16">
        <v>15000</v>
      </c>
      <c r="J166" s="16">
        <v>15000</v>
      </c>
      <c r="K166" s="16">
        <v>15000</v>
      </c>
      <c r="L166" s="16">
        <v>15000</v>
      </c>
      <c r="M166" s="16">
        <v>15000</v>
      </c>
      <c r="N166" s="16">
        <v>15000</v>
      </c>
      <c r="O166" s="16">
        <v>15000</v>
      </c>
      <c r="P166" s="16">
        <v>15000</v>
      </c>
      <c r="Q166" s="16">
        <v>15000</v>
      </c>
      <c r="R166" s="16">
        <v>15000</v>
      </c>
      <c r="S166" s="16">
        <v>15000</v>
      </c>
      <c r="T166" s="16">
        <v>15000</v>
      </c>
      <c r="U166" s="16">
        <v>15000</v>
      </c>
      <c r="V166" s="16">
        <v>15000</v>
      </c>
      <c r="W166" s="16">
        <v>15000</v>
      </c>
      <c r="X166" s="16">
        <v>15000</v>
      </c>
      <c r="Y166" s="16">
        <v>15000</v>
      </c>
      <c r="Z166" s="16">
        <v>15000</v>
      </c>
      <c r="AA166" s="16">
        <v>15000</v>
      </c>
      <c r="AB166" s="6">
        <f t="shared" si="4"/>
        <v>1440000</v>
      </c>
      <c r="AC166" s="92">
        <f>+AB166+AB167+AB168</f>
        <v>11160000</v>
      </c>
    </row>
    <row r="167" spans="1:29" ht="18.75" thickBot="1" x14ac:dyDescent="0.3">
      <c r="A167" s="96"/>
      <c r="B167" s="11" t="s">
        <v>29</v>
      </c>
      <c r="C167" s="11">
        <v>4</v>
      </c>
      <c r="D167" s="16">
        <v>15000</v>
      </c>
      <c r="E167" s="16">
        <v>15000</v>
      </c>
      <c r="F167" s="16">
        <v>15000</v>
      </c>
      <c r="G167" s="16">
        <v>15000</v>
      </c>
      <c r="H167" s="16">
        <v>15000</v>
      </c>
      <c r="I167" s="16">
        <v>15000</v>
      </c>
      <c r="J167" s="16">
        <v>15000</v>
      </c>
      <c r="K167" s="16">
        <v>15000</v>
      </c>
      <c r="L167" s="16">
        <v>15000</v>
      </c>
      <c r="M167" s="16">
        <v>15000</v>
      </c>
      <c r="N167" s="16">
        <v>15000</v>
      </c>
      <c r="O167" s="16">
        <v>15000</v>
      </c>
      <c r="P167" s="16">
        <v>15000</v>
      </c>
      <c r="Q167" s="16">
        <v>15000</v>
      </c>
      <c r="R167" s="16">
        <v>15000</v>
      </c>
      <c r="S167" s="16">
        <v>15000</v>
      </c>
      <c r="T167" s="16">
        <v>15000</v>
      </c>
      <c r="U167" s="16">
        <v>15000</v>
      </c>
      <c r="V167" s="16">
        <v>15000</v>
      </c>
      <c r="W167" s="16">
        <v>15000</v>
      </c>
      <c r="X167" s="16">
        <v>15000</v>
      </c>
      <c r="Y167" s="16">
        <v>15000</v>
      </c>
      <c r="Z167" s="16">
        <v>15000</v>
      </c>
      <c r="AA167" s="16">
        <v>15000</v>
      </c>
      <c r="AB167" s="6">
        <f t="shared" si="4"/>
        <v>1440000</v>
      </c>
      <c r="AC167" s="93"/>
    </row>
    <row r="168" spans="1:29" ht="18.75" thickBot="1" x14ac:dyDescent="0.3">
      <c r="A168" s="97"/>
      <c r="B168" s="12" t="s">
        <v>30</v>
      </c>
      <c r="C168" s="12">
        <v>23</v>
      </c>
      <c r="D168" s="16">
        <v>15000</v>
      </c>
      <c r="E168" s="16">
        <v>15000</v>
      </c>
      <c r="F168" s="16">
        <v>15000</v>
      </c>
      <c r="G168" s="16">
        <v>15000</v>
      </c>
      <c r="H168" s="16">
        <v>15000</v>
      </c>
      <c r="I168" s="16">
        <v>15000</v>
      </c>
      <c r="J168" s="16">
        <v>15000</v>
      </c>
      <c r="K168" s="16">
        <v>15000</v>
      </c>
      <c r="L168" s="16">
        <v>15000</v>
      </c>
      <c r="M168" s="16">
        <v>15000</v>
      </c>
      <c r="N168" s="16">
        <v>15000</v>
      </c>
      <c r="O168" s="16">
        <v>15000</v>
      </c>
      <c r="P168" s="16">
        <v>15000</v>
      </c>
      <c r="Q168" s="16">
        <v>15000</v>
      </c>
      <c r="R168" s="16">
        <v>15000</v>
      </c>
      <c r="S168" s="16">
        <v>15000</v>
      </c>
      <c r="T168" s="16">
        <v>15000</v>
      </c>
      <c r="U168" s="16">
        <v>15000</v>
      </c>
      <c r="V168" s="16">
        <v>15000</v>
      </c>
      <c r="W168" s="16">
        <v>15000</v>
      </c>
      <c r="X168" s="16">
        <v>15000</v>
      </c>
      <c r="Y168" s="16">
        <v>15000</v>
      </c>
      <c r="Z168" s="16">
        <v>15000</v>
      </c>
      <c r="AA168" s="16">
        <v>15000</v>
      </c>
      <c r="AB168" s="6">
        <f t="shared" si="4"/>
        <v>8280000</v>
      </c>
      <c r="AC168" s="94"/>
    </row>
    <row r="169" spans="1:29" ht="18.75" thickBot="1" x14ac:dyDescent="0.3">
      <c r="A169" s="95">
        <v>47788</v>
      </c>
      <c r="B169" s="9" t="s">
        <v>28</v>
      </c>
      <c r="C169" s="9">
        <v>5</v>
      </c>
      <c r="D169" s="16">
        <v>15000</v>
      </c>
      <c r="E169" s="16">
        <v>15000</v>
      </c>
      <c r="F169" s="16">
        <v>15000</v>
      </c>
      <c r="G169" s="16">
        <v>15000</v>
      </c>
      <c r="H169" s="16">
        <v>15000</v>
      </c>
      <c r="I169" s="16">
        <v>15000</v>
      </c>
      <c r="J169" s="16">
        <v>15000</v>
      </c>
      <c r="K169" s="16">
        <v>15000</v>
      </c>
      <c r="L169" s="16">
        <v>15000</v>
      </c>
      <c r="M169" s="16">
        <v>15000</v>
      </c>
      <c r="N169" s="16">
        <v>15000</v>
      </c>
      <c r="O169" s="16">
        <v>15000</v>
      </c>
      <c r="P169" s="16">
        <v>15000</v>
      </c>
      <c r="Q169" s="16">
        <v>15000</v>
      </c>
      <c r="R169" s="16">
        <v>15000</v>
      </c>
      <c r="S169" s="16">
        <v>15000</v>
      </c>
      <c r="T169" s="16">
        <v>15000</v>
      </c>
      <c r="U169" s="16">
        <v>15000</v>
      </c>
      <c r="V169" s="16">
        <v>15000</v>
      </c>
      <c r="W169" s="16">
        <v>15000</v>
      </c>
      <c r="X169" s="16">
        <v>15000</v>
      </c>
      <c r="Y169" s="16">
        <v>15000</v>
      </c>
      <c r="Z169" s="16">
        <v>15000</v>
      </c>
      <c r="AA169" s="16">
        <v>15000</v>
      </c>
      <c r="AB169" s="6">
        <f t="shared" si="4"/>
        <v>1800000</v>
      </c>
      <c r="AC169" s="92">
        <f>+AB169+AB170+AB171</f>
        <v>10800000</v>
      </c>
    </row>
    <row r="170" spans="1:29" ht="18.75" thickBot="1" x14ac:dyDescent="0.3">
      <c r="A170" s="96"/>
      <c r="B170" s="11" t="s">
        <v>29</v>
      </c>
      <c r="C170" s="11">
        <v>4</v>
      </c>
      <c r="D170" s="16">
        <v>15000</v>
      </c>
      <c r="E170" s="16">
        <v>15000</v>
      </c>
      <c r="F170" s="16">
        <v>15000</v>
      </c>
      <c r="G170" s="16">
        <v>15000</v>
      </c>
      <c r="H170" s="16">
        <v>15000</v>
      </c>
      <c r="I170" s="16">
        <v>15000</v>
      </c>
      <c r="J170" s="16">
        <v>15000</v>
      </c>
      <c r="K170" s="16">
        <v>15000</v>
      </c>
      <c r="L170" s="16">
        <v>15000</v>
      </c>
      <c r="M170" s="16">
        <v>15000</v>
      </c>
      <c r="N170" s="16">
        <v>15000</v>
      </c>
      <c r="O170" s="16">
        <v>15000</v>
      </c>
      <c r="P170" s="16">
        <v>15000</v>
      </c>
      <c r="Q170" s="16">
        <v>15000</v>
      </c>
      <c r="R170" s="16">
        <v>15000</v>
      </c>
      <c r="S170" s="16">
        <v>15000</v>
      </c>
      <c r="T170" s="16">
        <v>15000</v>
      </c>
      <c r="U170" s="16">
        <v>15000</v>
      </c>
      <c r="V170" s="16">
        <v>15000</v>
      </c>
      <c r="W170" s="16">
        <v>15000</v>
      </c>
      <c r="X170" s="16">
        <v>15000</v>
      </c>
      <c r="Y170" s="16">
        <v>15000</v>
      </c>
      <c r="Z170" s="16">
        <v>15000</v>
      </c>
      <c r="AA170" s="16">
        <v>15000</v>
      </c>
      <c r="AB170" s="6">
        <f t="shared" si="4"/>
        <v>1440000</v>
      </c>
      <c r="AC170" s="93"/>
    </row>
    <row r="171" spans="1:29" ht="18.75" thickBot="1" x14ac:dyDescent="0.3">
      <c r="A171" s="97"/>
      <c r="B171" s="12" t="s">
        <v>30</v>
      </c>
      <c r="C171" s="12">
        <v>21</v>
      </c>
      <c r="D171" s="16">
        <v>15000</v>
      </c>
      <c r="E171" s="16">
        <v>15000</v>
      </c>
      <c r="F171" s="16">
        <v>15000</v>
      </c>
      <c r="G171" s="16">
        <v>15000</v>
      </c>
      <c r="H171" s="16">
        <v>15000</v>
      </c>
      <c r="I171" s="16">
        <v>15000</v>
      </c>
      <c r="J171" s="16">
        <v>15000</v>
      </c>
      <c r="K171" s="16">
        <v>15000</v>
      </c>
      <c r="L171" s="16">
        <v>15000</v>
      </c>
      <c r="M171" s="16">
        <v>15000</v>
      </c>
      <c r="N171" s="16">
        <v>15000</v>
      </c>
      <c r="O171" s="16">
        <v>15000</v>
      </c>
      <c r="P171" s="16">
        <v>15000</v>
      </c>
      <c r="Q171" s="16">
        <v>15000</v>
      </c>
      <c r="R171" s="16">
        <v>15000</v>
      </c>
      <c r="S171" s="16">
        <v>15000</v>
      </c>
      <c r="T171" s="16">
        <v>15000</v>
      </c>
      <c r="U171" s="16">
        <v>15000</v>
      </c>
      <c r="V171" s="16">
        <v>15000</v>
      </c>
      <c r="W171" s="16">
        <v>15000</v>
      </c>
      <c r="X171" s="16">
        <v>15000</v>
      </c>
      <c r="Y171" s="16">
        <v>15000</v>
      </c>
      <c r="Z171" s="16">
        <v>15000</v>
      </c>
      <c r="AA171" s="16">
        <v>15000</v>
      </c>
      <c r="AB171" s="6">
        <f t="shared" si="4"/>
        <v>7560000</v>
      </c>
      <c r="AC171" s="94"/>
    </row>
    <row r="172" spans="1:29" ht="18.75" thickBot="1" x14ac:dyDescent="0.3">
      <c r="A172" s="95">
        <v>47818</v>
      </c>
      <c r="B172" s="9" t="s">
        <v>28</v>
      </c>
      <c r="C172" s="9">
        <v>4</v>
      </c>
      <c r="D172" s="16">
        <v>15000</v>
      </c>
      <c r="E172" s="16">
        <v>15000</v>
      </c>
      <c r="F172" s="16">
        <v>15000</v>
      </c>
      <c r="G172" s="16">
        <v>15000</v>
      </c>
      <c r="H172" s="16">
        <v>15000</v>
      </c>
      <c r="I172" s="16">
        <v>15000</v>
      </c>
      <c r="J172" s="16">
        <v>15000</v>
      </c>
      <c r="K172" s="16">
        <v>15000</v>
      </c>
      <c r="L172" s="16">
        <v>15000</v>
      </c>
      <c r="M172" s="16">
        <v>15000</v>
      </c>
      <c r="N172" s="16">
        <v>15000</v>
      </c>
      <c r="O172" s="16">
        <v>15000</v>
      </c>
      <c r="P172" s="16">
        <v>15000</v>
      </c>
      <c r="Q172" s="16">
        <v>15000</v>
      </c>
      <c r="R172" s="16">
        <v>15000</v>
      </c>
      <c r="S172" s="16">
        <v>15000</v>
      </c>
      <c r="T172" s="16">
        <v>15000</v>
      </c>
      <c r="U172" s="16">
        <v>15000</v>
      </c>
      <c r="V172" s="16">
        <v>15000</v>
      </c>
      <c r="W172" s="16">
        <v>15000</v>
      </c>
      <c r="X172" s="16">
        <v>15000</v>
      </c>
      <c r="Y172" s="16">
        <v>15000</v>
      </c>
      <c r="Z172" s="16">
        <v>15000</v>
      </c>
      <c r="AA172" s="16">
        <v>15000</v>
      </c>
      <c r="AB172" s="6">
        <f t="shared" si="4"/>
        <v>1440000</v>
      </c>
      <c r="AC172" s="92">
        <f>+AB172+AB173+AB174</f>
        <v>11160000</v>
      </c>
    </row>
    <row r="173" spans="1:29" ht="18.75" thickBot="1" x14ac:dyDescent="0.3">
      <c r="A173" s="96"/>
      <c r="B173" s="11" t="s">
        <v>29</v>
      </c>
      <c r="C173" s="11">
        <v>5</v>
      </c>
      <c r="D173" s="16">
        <v>15000</v>
      </c>
      <c r="E173" s="16">
        <v>15000</v>
      </c>
      <c r="F173" s="16">
        <v>15000</v>
      </c>
      <c r="G173" s="16">
        <v>15000</v>
      </c>
      <c r="H173" s="16">
        <v>15000</v>
      </c>
      <c r="I173" s="16">
        <v>15000</v>
      </c>
      <c r="J173" s="16">
        <v>15000</v>
      </c>
      <c r="K173" s="16">
        <v>15000</v>
      </c>
      <c r="L173" s="16">
        <v>15000</v>
      </c>
      <c r="M173" s="16">
        <v>15000</v>
      </c>
      <c r="N173" s="16">
        <v>15000</v>
      </c>
      <c r="O173" s="16">
        <v>15000</v>
      </c>
      <c r="P173" s="16">
        <v>15000</v>
      </c>
      <c r="Q173" s="16">
        <v>15000</v>
      </c>
      <c r="R173" s="16">
        <v>15000</v>
      </c>
      <c r="S173" s="16">
        <v>15000</v>
      </c>
      <c r="T173" s="16">
        <v>15000</v>
      </c>
      <c r="U173" s="16">
        <v>15000</v>
      </c>
      <c r="V173" s="16">
        <v>15000</v>
      </c>
      <c r="W173" s="16">
        <v>15000</v>
      </c>
      <c r="X173" s="16">
        <v>15000</v>
      </c>
      <c r="Y173" s="16">
        <v>15000</v>
      </c>
      <c r="Z173" s="16">
        <v>15000</v>
      </c>
      <c r="AA173" s="16">
        <v>15000</v>
      </c>
      <c r="AB173" s="6">
        <f t="shared" si="4"/>
        <v>1800000</v>
      </c>
      <c r="AC173" s="93"/>
    </row>
    <row r="174" spans="1:29" ht="18.75" thickBot="1" x14ac:dyDescent="0.3">
      <c r="A174" s="97"/>
      <c r="B174" s="12" t="s">
        <v>30</v>
      </c>
      <c r="C174" s="12">
        <v>22</v>
      </c>
      <c r="D174" s="16">
        <v>15000</v>
      </c>
      <c r="E174" s="16">
        <v>15000</v>
      </c>
      <c r="F174" s="16">
        <v>15000</v>
      </c>
      <c r="G174" s="16">
        <v>15000</v>
      </c>
      <c r="H174" s="16">
        <v>15000</v>
      </c>
      <c r="I174" s="16">
        <v>15000</v>
      </c>
      <c r="J174" s="16">
        <v>15000</v>
      </c>
      <c r="K174" s="16">
        <v>15000</v>
      </c>
      <c r="L174" s="16">
        <v>15000</v>
      </c>
      <c r="M174" s="16">
        <v>15000</v>
      </c>
      <c r="N174" s="16">
        <v>15000</v>
      </c>
      <c r="O174" s="16">
        <v>15000</v>
      </c>
      <c r="P174" s="16">
        <v>15000</v>
      </c>
      <c r="Q174" s="16">
        <v>15000</v>
      </c>
      <c r="R174" s="16">
        <v>15000</v>
      </c>
      <c r="S174" s="16">
        <v>15000</v>
      </c>
      <c r="T174" s="16">
        <v>15000</v>
      </c>
      <c r="U174" s="16">
        <v>15000</v>
      </c>
      <c r="V174" s="16">
        <v>15000</v>
      </c>
      <c r="W174" s="16">
        <v>15000</v>
      </c>
      <c r="X174" s="16">
        <v>15000</v>
      </c>
      <c r="Y174" s="16">
        <v>15000</v>
      </c>
      <c r="Z174" s="16">
        <v>15000</v>
      </c>
      <c r="AA174" s="16">
        <v>15000</v>
      </c>
      <c r="AB174" s="6">
        <f t="shared" si="4"/>
        <v>7920000</v>
      </c>
      <c r="AC174" s="94"/>
    </row>
    <row r="176" spans="1:29" ht="15.75" thickBot="1" x14ac:dyDescent="0.3"/>
    <row r="177" spans="1:33" ht="18.75" thickBot="1" x14ac:dyDescent="0.3">
      <c r="A177" s="1" t="s">
        <v>0</v>
      </c>
      <c r="B177" s="2" t="s">
        <v>1</v>
      </c>
      <c r="C177" s="2" t="s">
        <v>2</v>
      </c>
      <c r="D177" s="27" t="s">
        <v>3</v>
      </c>
      <c r="E177" s="5" t="s">
        <v>4</v>
      </c>
      <c r="F177" s="5" t="s">
        <v>5</v>
      </c>
      <c r="G177" s="5" t="s">
        <v>6</v>
      </c>
      <c r="H177" s="5" t="s">
        <v>7</v>
      </c>
      <c r="I177" s="5" t="s">
        <v>8</v>
      </c>
      <c r="J177" s="5" t="s">
        <v>9</v>
      </c>
      <c r="K177" s="5" t="s">
        <v>10</v>
      </c>
      <c r="L177" s="5" t="s">
        <v>11</v>
      </c>
      <c r="M177" s="5" t="s">
        <v>12</v>
      </c>
      <c r="N177" s="5" t="s">
        <v>13</v>
      </c>
      <c r="O177" s="5" t="s">
        <v>14</v>
      </c>
      <c r="P177" s="5" t="s">
        <v>15</v>
      </c>
      <c r="Q177" s="5" t="s">
        <v>16</v>
      </c>
      <c r="R177" s="5" t="s">
        <v>17</v>
      </c>
      <c r="S177" s="5" t="s">
        <v>18</v>
      </c>
      <c r="T177" s="5" t="s">
        <v>19</v>
      </c>
      <c r="U177" s="5" t="s">
        <v>20</v>
      </c>
      <c r="V177" s="5" t="s">
        <v>21</v>
      </c>
      <c r="W177" s="5" t="s">
        <v>22</v>
      </c>
      <c r="X177" s="5" t="s">
        <v>23</v>
      </c>
      <c r="Y177" s="5" t="s">
        <v>24</v>
      </c>
      <c r="Z177" s="5" t="s">
        <v>25</v>
      </c>
      <c r="AA177" s="5" t="s">
        <v>26</v>
      </c>
      <c r="AB177" s="109" t="s">
        <v>27</v>
      </c>
      <c r="AC177" s="110"/>
    </row>
    <row r="178" spans="1:33" ht="18.75" thickBot="1" x14ac:dyDescent="0.3">
      <c r="A178" s="95">
        <v>47849</v>
      </c>
      <c r="B178" s="9" t="s">
        <v>28</v>
      </c>
      <c r="C178" s="9">
        <v>4</v>
      </c>
      <c r="D178" s="16">
        <v>15000</v>
      </c>
      <c r="E178" s="16">
        <v>15000</v>
      </c>
      <c r="F178" s="16">
        <v>15000</v>
      </c>
      <c r="G178" s="16">
        <v>15000</v>
      </c>
      <c r="H178" s="16">
        <v>15000</v>
      </c>
      <c r="I178" s="16">
        <v>15000</v>
      </c>
      <c r="J178" s="16">
        <v>15000</v>
      </c>
      <c r="K178" s="16">
        <v>15000</v>
      </c>
      <c r="L178" s="16">
        <v>15000</v>
      </c>
      <c r="M178" s="16">
        <v>15000</v>
      </c>
      <c r="N178" s="16">
        <v>15000</v>
      </c>
      <c r="O178" s="16">
        <v>15000</v>
      </c>
      <c r="P178" s="16">
        <v>15000</v>
      </c>
      <c r="Q178" s="16">
        <v>15000</v>
      </c>
      <c r="R178" s="16">
        <v>15000</v>
      </c>
      <c r="S178" s="16">
        <v>15000</v>
      </c>
      <c r="T178" s="16">
        <v>15000</v>
      </c>
      <c r="U178" s="16">
        <v>15000</v>
      </c>
      <c r="V178" s="16">
        <v>15000</v>
      </c>
      <c r="W178" s="16">
        <v>15000</v>
      </c>
      <c r="X178" s="16">
        <v>15000</v>
      </c>
      <c r="Y178" s="16">
        <v>15000</v>
      </c>
      <c r="Z178" s="16">
        <v>15000</v>
      </c>
      <c r="AA178" s="16">
        <v>15000</v>
      </c>
      <c r="AB178" s="6">
        <f t="shared" ref="AB178:AB213" si="5">SUM(D178:AA178)*C178</f>
        <v>1440000</v>
      </c>
      <c r="AC178" s="92">
        <f>+AB178+AB179+AB180</f>
        <v>11160000</v>
      </c>
      <c r="AF178" s="67">
        <v>47849</v>
      </c>
      <c r="AG178" s="68">
        <f>AB178+AB179+AB180</f>
        <v>11160000</v>
      </c>
    </row>
    <row r="179" spans="1:33" ht="18.75" thickBot="1" x14ac:dyDescent="0.3">
      <c r="A179" s="96"/>
      <c r="B179" s="11" t="s">
        <v>29</v>
      </c>
      <c r="C179" s="11">
        <v>6</v>
      </c>
      <c r="D179" s="16">
        <v>15000</v>
      </c>
      <c r="E179" s="16">
        <v>15000</v>
      </c>
      <c r="F179" s="16">
        <v>15000</v>
      </c>
      <c r="G179" s="16">
        <v>15000</v>
      </c>
      <c r="H179" s="16">
        <v>15000</v>
      </c>
      <c r="I179" s="16">
        <v>15000</v>
      </c>
      <c r="J179" s="16">
        <v>15000</v>
      </c>
      <c r="K179" s="16">
        <v>15000</v>
      </c>
      <c r="L179" s="16">
        <v>15000</v>
      </c>
      <c r="M179" s="16">
        <v>15000</v>
      </c>
      <c r="N179" s="16">
        <v>15000</v>
      </c>
      <c r="O179" s="16">
        <v>15000</v>
      </c>
      <c r="P179" s="16">
        <v>15000</v>
      </c>
      <c r="Q179" s="16">
        <v>15000</v>
      </c>
      <c r="R179" s="16">
        <v>15000</v>
      </c>
      <c r="S179" s="16">
        <v>15000</v>
      </c>
      <c r="T179" s="16">
        <v>15000</v>
      </c>
      <c r="U179" s="16">
        <v>15000</v>
      </c>
      <c r="V179" s="16">
        <v>15000</v>
      </c>
      <c r="W179" s="16">
        <v>15000</v>
      </c>
      <c r="X179" s="16">
        <v>15000</v>
      </c>
      <c r="Y179" s="16">
        <v>15000</v>
      </c>
      <c r="Z179" s="16">
        <v>15000</v>
      </c>
      <c r="AA179" s="16">
        <v>15000</v>
      </c>
      <c r="AB179" s="6">
        <f t="shared" si="5"/>
        <v>2160000</v>
      </c>
      <c r="AC179" s="93"/>
      <c r="AF179" s="67">
        <v>47880</v>
      </c>
      <c r="AG179" s="68">
        <f>AC181</f>
        <v>10080000</v>
      </c>
    </row>
    <row r="180" spans="1:33" ht="18.75" thickBot="1" x14ac:dyDescent="0.3">
      <c r="A180" s="97"/>
      <c r="B180" s="12" t="s">
        <v>30</v>
      </c>
      <c r="C180" s="12">
        <v>21</v>
      </c>
      <c r="D180" s="16">
        <v>15000</v>
      </c>
      <c r="E180" s="16">
        <v>15000</v>
      </c>
      <c r="F180" s="16">
        <v>15000</v>
      </c>
      <c r="G180" s="16">
        <v>15000</v>
      </c>
      <c r="H180" s="16">
        <v>15000</v>
      </c>
      <c r="I180" s="16">
        <v>15000</v>
      </c>
      <c r="J180" s="16">
        <v>15000</v>
      </c>
      <c r="K180" s="16">
        <v>15000</v>
      </c>
      <c r="L180" s="16">
        <v>15000</v>
      </c>
      <c r="M180" s="16">
        <v>15000</v>
      </c>
      <c r="N180" s="16">
        <v>15000</v>
      </c>
      <c r="O180" s="16">
        <v>15000</v>
      </c>
      <c r="P180" s="16">
        <v>15000</v>
      </c>
      <c r="Q180" s="16">
        <v>15000</v>
      </c>
      <c r="R180" s="16">
        <v>15000</v>
      </c>
      <c r="S180" s="16">
        <v>15000</v>
      </c>
      <c r="T180" s="16">
        <v>15000</v>
      </c>
      <c r="U180" s="16">
        <v>15000</v>
      </c>
      <c r="V180" s="16">
        <v>15000</v>
      </c>
      <c r="W180" s="16">
        <v>15000</v>
      </c>
      <c r="X180" s="16">
        <v>15000</v>
      </c>
      <c r="Y180" s="16">
        <v>15000</v>
      </c>
      <c r="Z180" s="16">
        <v>15000</v>
      </c>
      <c r="AA180" s="16">
        <v>15000</v>
      </c>
      <c r="AB180" s="6">
        <f t="shared" si="5"/>
        <v>7560000</v>
      </c>
      <c r="AC180" s="94"/>
      <c r="AF180" s="67">
        <v>47908</v>
      </c>
      <c r="AG180" s="68">
        <f>AC184</f>
        <v>11160000</v>
      </c>
    </row>
    <row r="181" spans="1:33" ht="18.75" thickBot="1" x14ac:dyDescent="0.3">
      <c r="A181" s="95">
        <v>47880</v>
      </c>
      <c r="B181" s="9" t="s">
        <v>28</v>
      </c>
      <c r="C181" s="9">
        <v>4</v>
      </c>
      <c r="D181" s="16">
        <v>15000</v>
      </c>
      <c r="E181" s="16">
        <v>15000</v>
      </c>
      <c r="F181" s="16">
        <v>15000</v>
      </c>
      <c r="G181" s="16">
        <v>15000</v>
      </c>
      <c r="H181" s="16">
        <v>15000</v>
      </c>
      <c r="I181" s="16">
        <v>15000</v>
      </c>
      <c r="J181" s="16">
        <v>15000</v>
      </c>
      <c r="K181" s="16">
        <v>15000</v>
      </c>
      <c r="L181" s="16">
        <v>15000</v>
      </c>
      <c r="M181" s="16">
        <v>15000</v>
      </c>
      <c r="N181" s="16">
        <v>15000</v>
      </c>
      <c r="O181" s="16">
        <v>15000</v>
      </c>
      <c r="P181" s="16">
        <v>15000</v>
      </c>
      <c r="Q181" s="16">
        <v>15000</v>
      </c>
      <c r="R181" s="16">
        <v>15000</v>
      </c>
      <c r="S181" s="16">
        <v>15000</v>
      </c>
      <c r="T181" s="16">
        <v>15000</v>
      </c>
      <c r="U181" s="16">
        <v>15000</v>
      </c>
      <c r="V181" s="16">
        <v>15000</v>
      </c>
      <c r="W181" s="16">
        <v>15000</v>
      </c>
      <c r="X181" s="16">
        <v>15000</v>
      </c>
      <c r="Y181" s="16">
        <v>15000</v>
      </c>
      <c r="Z181" s="16">
        <v>15000</v>
      </c>
      <c r="AA181" s="16">
        <v>15000</v>
      </c>
      <c r="AB181" s="6">
        <f t="shared" si="5"/>
        <v>1440000</v>
      </c>
      <c r="AC181" s="92">
        <f>+AB181+AB182+AB183</f>
        <v>10080000</v>
      </c>
      <c r="AF181" s="67">
        <v>47939</v>
      </c>
      <c r="AG181" s="68">
        <f>AC187</f>
        <v>10800000</v>
      </c>
    </row>
    <row r="182" spans="1:33" ht="18.75" thickBot="1" x14ac:dyDescent="0.3">
      <c r="A182" s="96"/>
      <c r="B182" s="11" t="s">
        <v>29</v>
      </c>
      <c r="C182" s="11">
        <v>4</v>
      </c>
      <c r="D182" s="16">
        <v>15000</v>
      </c>
      <c r="E182" s="16">
        <v>15000</v>
      </c>
      <c r="F182" s="16">
        <v>15000</v>
      </c>
      <c r="G182" s="16">
        <v>15000</v>
      </c>
      <c r="H182" s="16">
        <v>15000</v>
      </c>
      <c r="I182" s="16">
        <v>15000</v>
      </c>
      <c r="J182" s="16">
        <v>15000</v>
      </c>
      <c r="K182" s="16">
        <v>15000</v>
      </c>
      <c r="L182" s="16">
        <v>15000</v>
      </c>
      <c r="M182" s="16">
        <v>15000</v>
      </c>
      <c r="N182" s="16">
        <v>15000</v>
      </c>
      <c r="O182" s="16">
        <v>15000</v>
      </c>
      <c r="P182" s="16">
        <v>15000</v>
      </c>
      <c r="Q182" s="16">
        <v>15000</v>
      </c>
      <c r="R182" s="16">
        <v>15000</v>
      </c>
      <c r="S182" s="16">
        <v>15000</v>
      </c>
      <c r="T182" s="16">
        <v>15000</v>
      </c>
      <c r="U182" s="16">
        <v>15000</v>
      </c>
      <c r="V182" s="16">
        <v>15000</v>
      </c>
      <c r="W182" s="16">
        <v>15000</v>
      </c>
      <c r="X182" s="16">
        <v>15000</v>
      </c>
      <c r="Y182" s="16">
        <v>15000</v>
      </c>
      <c r="Z182" s="16">
        <v>15000</v>
      </c>
      <c r="AA182" s="16">
        <v>15000</v>
      </c>
      <c r="AB182" s="6">
        <f t="shared" si="5"/>
        <v>1440000</v>
      </c>
      <c r="AC182" s="93"/>
      <c r="AF182" s="67">
        <v>47969</v>
      </c>
      <c r="AG182" s="68">
        <f>AC190</f>
        <v>11160000</v>
      </c>
    </row>
    <row r="183" spans="1:33" ht="18.75" thickBot="1" x14ac:dyDescent="0.3">
      <c r="A183" s="97"/>
      <c r="B183" s="12" t="s">
        <v>30</v>
      </c>
      <c r="C183" s="12">
        <v>20</v>
      </c>
      <c r="D183" s="16">
        <v>15000</v>
      </c>
      <c r="E183" s="16">
        <v>15000</v>
      </c>
      <c r="F183" s="16">
        <v>15000</v>
      </c>
      <c r="G183" s="16">
        <v>15000</v>
      </c>
      <c r="H183" s="16">
        <v>15000</v>
      </c>
      <c r="I183" s="16">
        <v>15000</v>
      </c>
      <c r="J183" s="16">
        <v>15000</v>
      </c>
      <c r="K183" s="16">
        <v>15000</v>
      </c>
      <c r="L183" s="16">
        <v>15000</v>
      </c>
      <c r="M183" s="16">
        <v>15000</v>
      </c>
      <c r="N183" s="16">
        <v>15000</v>
      </c>
      <c r="O183" s="16">
        <v>15000</v>
      </c>
      <c r="P183" s="16">
        <v>15000</v>
      </c>
      <c r="Q183" s="16">
        <v>15000</v>
      </c>
      <c r="R183" s="16">
        <v>15000</v>
      </c>
      <c r="S183" s="16">
        <v>15000</v>
      </c>
      <c r="T183" s="16">
        <v>15000</v>
      </c>
      <c r="U183" s="16">
        <v>15000</v>
      </c>
      <c r="V183" s="16">
        <v>15000</v>
      </c>
      <c r="W183" s="16">
        <v>15000</v>
      </c>
      <c r="X183" s="16">
        <v>15000</v>
      </c>
      <c r="Y183" s="16">
        <v>15000</v>
      </c>
      <c r="Z183" s="16">
        <v>15000</v>
      </c>
      <c r="AA183" s="16">
        <v>15000</v>
      </c>
      <c r="AB183" s="6">
        <f t="shared" si="5"/>
        <v>7200000</v>
      </c>
      <c r="AC183" s="94"/>
      <c r="AF183" s="67">
        <v>48000</v>
      </c>
      <c r="AG183" s="68">
        <f>AC193</f>
        <v>10800000</v>
      </c>
    </row>
    <row r="184" spans="1:33" ht="18.75" thickBot="1" x14ac:dyDescent="0.3">
      <c r="A184" s="95">
        <v>47908</v>
      </c>
      <c r="B184" s="9" t="s">
        <v>28</v>
      </c>
      <c r="C184" s="9">
        <v>5</v>
      </c>
      <c r="D184" s="16">
        <v>15000</v>
      </c>
      <c r="E184" s="16">
        <v>15000</v>
      </c>
      <c r="F184" s="16">
        <v>15000</v>
      </c>
      <c r="G184" s="16">
        <v>15000</v>
      </c>
      <c r="H184" s="16">
        <v>15000</v>
      </c>
      <c r="I184" s="16">
        <v>15000</v>
      </c>
      <c r="J184" s="16">
        <v>15000</v>
      </c>
      <c r="K184" s="16">
        <v>15000</v>
      </c>
      <c r="L184" s="16">
        <v>15000</v>
      </c>
      <c r="M184" s="16">
        <v>15000</v>
      </c>
      <c r="N184" s="16">
        <v>15000</v>
      </c>
      <c r="O184" s="16">
        <v>15000</v>
      </c>
      <c r="P184" s="16">
        <v>15000</v>
      </c>
      <c r="Q184" s="16">
        <v>15000</v>
      </c>
      <c r="R184" s="16">
        <v>15000</v>
      </c>
      <c r="S184" s="16">
        <v>15000</v>
      </c>
      <c r="T184" s="16">
        <v>15000</v>
      </c>
      <c r="U184" s="16">
        <v>15000</v>
      </c>
      <c r="V184" s="16">
        <v>15000</v>
      </c>
      <c r="W184" s="16">
        <v>15000</v>
      </c>
      <c r="X184" s="16">
        <v>15000</v>
      </c>
      <c r="Y184" s="16">
        <v>15000</v>
      </c>
      <c r="Z184" s="16">
        <v>15000</v>
      </c>
      <c r="AA184" s="16">
        <v>15000</v>
      </c>
      <c r="AB184" s="6">
        <f t="shared" si="5"/>
        <v>1800000</v>
      </c>
      <c r="AC184" s="92">
        <f>+AB184+AB185+AB186</f>
        <v>11160000</v>
      </c>
      <c r="AF184" s="67">
        <v>48030</v>
      </c>
      <c r="AG184" s="68">
        <f>AC196</f>
        <v>11160000</v>
      </c>
    </row>
    <row r="185" spans="1:33" ht="18.75" thickBot="1" x14ac:dyDescent="0.3">
      <c r="A185" s="96"/>
      <c r="B185" s="11" t="s">
        <v>29</v>
      </c>
      <c r="C185" s="11">
        <v>6</v>
      </c>
      <c r="D185" s="16">
        <v>15000</v>
      </c>
      <c r="E185" s="16">
        <v>15000</v>
      </c>
      <c r="F185" s="16">
        <v>15000</v>
      </c>
      <c r="G185" s="16">
        <v>15000</v>
      </c>
      <c r="H185" s="16">
        <v>15000</v>
      </c>
      <c r="I185" s="16">
        <v>15000</v>
      </c>
      <c r="J185" s="16">
        <v>15000</v>
      </c>
      <c r="K185" s="16">
        <v>15000</v>
      </c>
      <c r="L185" s="16">
        <v>15000</v>
      </c>
      <c r="M185" s="16">
        <v>15000</v>
      </c>
      <c r="N185" s="16">
        <v>15000</v>
      </c>
      <c r="O185" s="16">
        <v>15000</v>
      </c>
      <c r="P185" s="16">
        <v>15000</v>
      </c>
      <c r="Q185" s="16">
        <v>15000</v>
      </c>
      <c r="R185" s="16">
        <v>15000</v>
      </c>
      <c r="S185" s="16">
        <v>15000</v>
      </c>
      <c r="T185" s="16">
        <v>15000</v>
      </c>
      <c r="U185" s="16">
        <v>15000</v>
      </c>
      <c r="V185" s="16">
        <v>15000</v>
      </c>
      <c r="W185" s="16">
        <v>15000</v>
      </c>
      <c r="X185" s="16">
        <v>15000</v>
      </c>
      <c r="Y185" s="16">
        <v>15000</v>
      </c>
      <c r="Z185" s="16">
        <v>15000</v>
      </c>
      <c r="AA185" s="16">
        <v>15000</v>
      </c>
      <c r="AB185" s="6">
        <f t="shared" si="5"/>
        <v>2160000</v>
      </c>
      <c r="AC185" s="93"/>
      <c r="AF185" s="67">
        <v>48061</v>
      </c>
      <c r="AG185" s="68">
        <f>AC199</f>
        <v>11160000</v>
      </c>
    </row>
    <row r="186" spans="1:33" ht="18.75" thickBot="1" x14ac:dyDescent="0.3">
      <c r="A186" s="97"/>
      <c r="B186" s="12" t="s">
        <v>30</v>
      </c>
      <c r="C186" s="12">
        <v>20</v>
      </c>
      <c r="D186" s="16">
        <v>15000</v>
      </c>
      <c r="E186" s="16">
        <v>15000</v>
      </c>
      <c r="F186" s="16">
        <v>15000</v>
      </c>
      <c r="G186" s="16">
        <v>15000</v>
      </c>
      <c r="H186" s="16">
        <v>15000</v>
      </c>
      <c r="I186" s="16">
        <v>15000</v>
      </c>
      <c r="J186" s="16">
        <v>15000</v>
      </c>
      <c r="K186" s="16">
        <v>15000</v>
      </c>
      <c r="L186" s="16">
        <v>15000</v>
      </c>
      <c r="M186" s="16">
        <v>15000</v>
      </c>
      <c r="N186" s="16">
        <v>15000</v>
      </c>
      <c r="O186" s="16">
        <v>15000</v>
      </c>
      <c r="P186" s="16">
        <v>15000</v>
      </c>
      <c r="Q186" s="16">
        <v>15000</v>
      </c>
      <c r="R186" s="16">
        <v>15000</v>
      </c>
      <c r="S186" s="16">
        <v>15000</v>
      </c>
      <c r="T186" s="16">
        <v>15000</v>
      </c>
      <c r="U186" s="16">
        <v>15000</v>
      </c>
      <c r="V186" s="16">
        <v>15000</v>
      </c>
      <c r="W186" s="16">
        <v>15000</v>
      </c>
      <c r="X186" s="16">
        <v>15000</v>
      </c>
      <c r="Y186" s="16">
        <v>15000</v>
      </c>
      <c r="Z186" s="16">
        <v>15000</v>
      </c>
      <c r="AA186" s="16">
        <v>15000</v>
      </c>
      <c r="AB186" s="6">
        <f t="shared" si="5"/>
        <v>7200000</v>
      </c>
      <c r="AC186" s="94"/>
      <c r="AF186" s="67">
        <v>48092</v>
      </c>
      <c r="AG186" s="68">
        <f>AC202</f>
        <v>10800000</v>
      </c>
    </row>
    <row r="187" spans="1:33" ht="18.75" thickBot="1" x14ac:dyDescent="0.3">
      <c r="A187" s="95">
        <v>47939</v>
      </c>
      <c r="B187" s="9" t="s">
        <v>28</v>
      </c>
      <c r="C187" s="9">
        <v>4</v>
      </c>
      <c r="D187" s="16">
        <v>15000</v>
      </c>
      <c r="E187" s="16">
        <v>15000</v>
      </c>
      <c r="F187" s="16">
        <v>15000</v>
      </c>
      <c r="G187" s="16">
        <v>15000</v>
      </c>
      <c r="H187" s="16">
        <v>15000</v>
      </c>
      <c r="I187" s="16">
        <v>15000</v>
      </c>
      <c r="J187" s="16">
        <v>15000</v>
      </c>
      <c r="K187" s="16">
        <v>15000</v>
      </c>
      <c r="L187" s="16">
        <v>15000</v>
      </c>
      <c r="M187" s="16">
        <v>15000</v>
      </c>
      <c r="N187" s="16">
        <v>15000</v>
      </c>
      <c r="O187" s="16">
        <v>15000</v>
      </c>
      <c r="P187" s="16">
        <v>15000</v>
      </c>
      <c r="Q187" s="16">
        <v>15000</v>
      </c>
      <c r="R187" s="16">
        <v>15000</v>
      </c>
      <c r="S187" s="16">
        <v>15000</v>
      </c>
      <c r="T187" s="16">
        <v>15000</v>
      </c>
      <c r="U187" s="16">
        <v>15000</v>
      </c>
      <c r="V187" s="16">
        <v>15000</v>
      </c>
      <c r="W187" s="16">
        <v>15000</v>
      </c>
      <c r="X187" s="16">
        <v>15000</v>
      </c>
      <c r="Y187" s="16">
        <v>15000</v>
      </c>
      <c r="Z187" s="16">
        <v>15000</v>
      </c>
      <c r="AA187" s="16">
        <v>15000</v>
      </c>
      <c r="AB187" s="6">
        <f t="shared" si="5"/>
        <v>1440000</v>
      </c>
      <c r="AC187" s="92">
        <f>+AB187+AB188+AB189</f>
        <v>10800000</v>
      </c>
      <c r="AF187" s="67">
        <v>48122</v>
      </c>
      <c r="AG187" s="68">
        <f>AC205</f>
        <v>11160000</v>
      </c>
    </row>
    <row r="188" spans="1:33" ht="18.75" thickBot="1" x14ac:dyDescent="0.3">
      <c r="A188" s="96"/>
      <c r="B188" s="11" t="s">
        <v>29</v>
      </c>
      <c r="C188" s="11">
        <v>6</v>
      </c>
      <c r="D188" s="16">
        <v>15000</v>
      </c>
      <c r="E188" s="16">
        <v>15000</v>
      </c>
      <c r="F188" s="16">
        <v>15000</v>
      </c>
      <c r="G188" s="16">
        <v>15000</v>
      </c>
      <c r="H188" s="16">
        <v>15000</v>
      </c>
      <c r="I188" s="16">
        <v>15000</v>
      </c>
      <c r="J188" s="16">
        <v>15000</v>
      </c>
      <c r="K188" s="16">
        <v>15000</v>
      </c>
      <c r="L188" s="16">
        <v>15000</v>
      </c>
      <c r="M188" s="16">
        <v>15000</v>
      </c>
      <c r="N188" s="16">
        <v>15000</v>
      </c>
      <c r="O188" s="16">
        <v>15000</v>
      </c>
      <c r="P188" s="16">
        <v>15000</v>
      </c>
      <c r="Q188" s="16">
        <v>15000</v>
      </c>
      <c r="R188" s="16">
        <v>15000</v>
      </c>
      <c r="S188" s="16">
        <v>15000</v>
      </c>
      <c r="T188" s="16">
        <v>15000</v>
      </c>
      <c r="U188" s="16">
        <v>15000</v>
      </c>
      <c r="V188" s="16">
        <v>15000</v>
      </c>
      <c r="W188" s="16">
        <v>15000</v>
      </c>
      <c r="X188" s="16">
        <v>15000</v>
      </c>
      <c r="Y188" s="16">
        <v>15000</v>
      </c>
      <c r="Z188" s="16">
        <v>15000</v>
      </c>
      <c r="AA188" s="16">
        <v>15000</v>
      </c>
      <c r="AB188" s="6">
        <f t="shared" si="5"/>
        <v>2160000</v>
      </c>
      <c r="AC188" s="93"/>
      <c r="AF188" s="67">
        <v>48153</v>
      </c>
      <c r="AG188" s="68">
        <f>AC208</f>
        <v>10800000</v>
      </c>
    </row>
    <row r="189" spans="1:33" ht="18.75" thickBot="1" x14ac:dyDescent="0.3">
      <c r="A189" s="97"/>
      <c r="B189" s="12" t="s">
        <v>30</v>
      </c>
      <c r="C189" s="12">
        <v>20</v>
      </c>
      <c r="D189" s="16">
        <v>15000</v>
      </c>
      <c r="E189" s="16">
        <v>15000</v>
      </c>
      <c r="F189" s="16">
        <v>15000</v>
      </c>
      <c r="G189" s="16">
        <v>15000</v>
      </c>
      <c r="H189" s="16">
        <v>15000</v>
      </c>
      <c r="I189" s="16">
        <v>15000</v>
      </c>
      <c r="J189" s="16">
        <v>15000</v>
      </c>
      <c r="K189" s="16">
        <v>15000</v>
      </c>
      <c r="L189" s="16">
        <v>15000</v>
      </c>
      <c r="M189" s="16">
        <v>15000</v>
      </c>
      <c r="N189" s="16">
        <v>15000</v>
      </c>
      <c r="O189" s="16">
        <v>15000</v>
      </c>
      <c r="P189" s="16">
        <v>15000</v>
      </c>
      <c r="Q189" s="16">
        <v>15000</v>
      </c>
      <c r="R189" s="16">
        <v>15000</v>
      </c>
      <c r="S189" s="16">
        <v>15000</v>
      </c>
      <c r="T189" s="16">
        <v>15000</v>
      </c>
      <c r="U189" s="16">
        <v>15000</v>
      </c>
      <c r="V189" s="16">
        <v>15000</v>
      </c>
      <c r="W189" s="16">
        <v>15000</v>
      </c>
      <c r="X189" s="16">
        <v>15000</v>
      </c>
      <c r="Y189" s="16">
        <v>15000</v>
      </c>
      <c r="Z189" s="16">
        <v>15000</v>
      </c>
      <c r="AA189" s="16">
        <v>15000</v>
      </c>
      <c r="AB189" s="6">
        <f t="shared" si="5"/>
        <v>7200000</v>
      </c>
      <c r="AC189" s="94"/>
      <c r="AF189" s="67">
        <v>48183</v>
      </c>
      <c r="AG189" s="68">
        <f>AC211</f>
        <v>11160000</v>
      </c>
    </row>
    <row r="190" spans="1:33" ht="18.75" thickBot="1" x14ac:dyDescent="0.3">
      <c r="A190" s="95">
        <v>47969</v>
      </c>
      <c r="B190" s="9" t="s">
        <v>28</v>
      </c>
      <c r="C190" s="9">
        <v>5</v>
      </c>
      <c r="D190" s="16">
        <v>15000</v>
      </c>
      <c r="E190" s="16">
        <v>15000</v>
      </c>
      <c r="F190" s="16">
        <v>15000</v>
      </c>
      <c r="G190" s="16">
        <v>15000</v>
      </c>
      <c r="H190" s="16">
        <v>15000</v>
      </c>
      <c r="I190" s="16">
        <v>15000</v>
      </c>
      <c r="J190" s="16">
        <v>15000</v>
      </c>
      <c r="K190" s="16">
        <v>15000</v>
      </c>
      <c r="L190" s="16">
        <v>15000</v>
      </c>
      <c r="M190" s="16">
        <v>15000</v>
      </c>
      <c r="N190" s="16">
        <v>15000</v>
      </c>
      <c r="O190" s="16">
        <v>15000</v>
      </c>
      <c r="P190" s="16">
        <v>15000</v>
      </c>
      <c r="Q190" s="16">
        <v>15000</v>
      </c>
      <c r="R190" s="16">
        <v>15000</v>
      </c>
      <c r="S190" s="16">
        <v>15000</v>
      </c>
      <c r="T190" s="16">
        <v>15000</v>
      </c>
      <c r="U190" s="16">
        <v>15000</v>
      </c>
      <c r="V190" s="16">
        <v>15000</v>
      </c>
      <c r="W190" s="16">
        <v>15000</v>
      </c>
      <c r="X190" s="16">
        <v>15000</v>
      </c>
      <c r="Y190" s="16">
        <v>15000</v>
      </c>
      <c r="Z190" s="16">
        <v>15000</v>
      </c>
      <c r="AA190" s="16">
        <v>15000</v>
      </c>
      <c r="AB190" s="6">
        <f t="shared" si="5"/>
        <v>1800000</v>
      </c>
      <c r="AC190" s="92">
        <f>+AB190+AB191+AB192</f>
        <v>11160000</v>
      </c>
    </row>
    <row r="191" spans="1:33" ht="18.75" thickBot="1" x14ac:dyDescent="0.3">
      <c r="A191" s="96"/>
      <c r="B191" s="11" t="s">
        <v>29</v>
      </c>
      <c r="C191" s="11">
        <v>6</v>
      </c>
      <c r="D191" s="16">
        <v>15000</v>
      </c>
      <c r="E191" s="16">
        <v>15000</v>
      </c>
      <c r="F191" s="16">
        <v>15000</v>
      </c>
      <c r="G191" s="16">
        <v>15000</v>
      </c>
      <c r="H191" s="16">
        <v>15000</v>
      </c>
      <c r="I191" s="16">
        <v>15000</v>
      </c>
      <c r="J191" s="16">
        <v>15000</v>
      </c>
      <c r="K191" s="16">
        <v>15000</v>
      </c>
      <c r="L191" s="16">
        <v>15000</v>
      </c>
      <c r="M191" s="16">
        <v>15000</v>
      </c>
      <c r="N191" s="16">
        <v>15000</v>
      </c>
      <c r="O191" s="16">
        <v>15000</v>
      </c>
      <c r="P191" s="16">
        <v>15000</v>
      </c>
      <c r="Q191" s="16">
        <v>15000</v>
      </c>
      <c r="R191" s="16">
        <v>15000</v>
      </c>
      <c r="S191" s="16">
        <v>15000</v>
      </c>
      <c r="T191" s="16">
        <v>15000</v>
      </c>
      <c r="U191" s="16">
        <v>15000</v>
      </c>
      <c r="V191" s="16">
        <v>15000</v>
      </c>
      <c r="W191" s="16">
        <v>15000</v>
      </c>
      <c r="X191" s="16">
        <v>15000</v>
      </c>
      <c r="Y191" s="16">
        <v>15000</v>
      </c>
      <c r="Z191" s="16">
        <v>15000</v>
      </c>
      <c r="AA191" s="16">
        <v>15000</v>
      </c>
      <c r="AB191" s="6">
        <f t="shared" si="5"/>
        <v>2160000</v>
      </c>
      <c r="AC191" s="93"/>
    </row>
    <row r="192" spans="1:33" ht="18.75" thickBot="1" x14ac:dyDescent="0.3">
      <c r="A192" s="97"/>
      <c r="B192" s="12" t="s">
        <v>30</v>
      </c>
      <c r="C192" s="12">
        <v>20</v>
      </c>
      <c r="D192" s="16">
        <v>15000</v>
      </c>
      <c r="E192" s="16">
        <v>15000</v>
      </c>
      <c r="F192" s="16">
        <v>15000</v>
      </c>
      <c r="G192" s="16">
        <v>15000</v>
      </c>
      <c r="H192" s="16">
        <v>15000</v>
      </c>
      <c r="I192" s="16">
        <v>15000</v>
      </c>
      <c r="J192" s="16">
        <v>15000</v>
      </c>
      <c r="K192" s="16">
        <v>15000</v>
      </c>
      <c r="L192" s="16">
        <v>15000</v>
      </c>
      <c r="M192" s="16">
        <v>15000</v>
      </c>
      <c r="N192" s="16">
        <v>15000</v>
      </c>
      <c r="O192" s="16">
        <v>15000</v>
      </c>
      <c r="P192" s="16">
        <v>15000</v>
      </c>
      <c r="Q192" s="16">
        <v>15000</v>
      </c>
      <c r="R192" s="16">
        <v>15000</v>
      </c>
      <c r="S192" s="16">
        <v>15000</v>
      </c>
      <c r="T192" s="16">
        <v>15000</v>
      </c>
      <c r="U192" s="16">
        <v>15000</v>
      </c>
      <c r="V192" s="16">
        <v>15000</v>
      </c>
      <c r="W192" s="16">
        <v>15000</v>
      </c>
      <c r="X192" s="16">
        <v>15000</v>
      </c>
      <c r="Y192" s="16">
        <v>15000</v>
      </c>
      <c r="Z192" s="16">
        <v>15000</v>
      </c>
      <c r="AA192" s="16">
        <v>15000</v>
      </c>
      <c r="AB192" s="6">
        <f t="shared" si="5"/>
        <v>7200000</v>
      </c>
      <c r="AC192" s="94"/>
    </row>
    <row r="193" spans="1:29" ht="18.75" thickBot="1" x14ac:dyDescent="0.3">
      <c r="A193" s="95">
        <v>48000</v>
      </c>
      <c r="B193" s="9" t="s">
        <v>28</v>
      </c>
      <c r="C193" s="9">
        <v>4</v>
      </c>
      <c r="D193" s="16">
        <v>15000</v>
      </c>
      <c r="E193" s="16">
        <v>15000</v>
      </c>
      <c r="F193" s="16">
        <v>15000</v>
      </c>
      <c r="G193" s="16">
        <v>15000</v>
      </c>
      <c r="H193" s="16">
        <v>15000</v>
      </c>
      <c r="I193" s="16">
        <v>15000</v>
      </c>
      <c r="J193" s="16">
        <v>15000</v>
      </c>
      <c r="K193" s="16">
        <v>15000</v>
      </c>
      <c r="L193" s="16">
        <v>15000</v>
      </c>
      <c r="M193" s="16">
        <v>15000</v>
      </c>
      <c r="N193" s="16">
        <v>15000</v>
      </c>
      <c r="O193" s="16">
        <v>15000</v>
      </c>
      <c r="P193" s="16">
        <v>15000</v>
      </c>
      <c r="Q193" s="16">
        <v>15000</v>
      </c>
      <c r="R193" s="16">
        <v>15000</v>
      </c>
      <c r="S193" s="16">
        <v>15000</v>
      </c>
      <c r="T193" s="16">
        <v>15000</v>
      </c>
      <c r="U193" s="16">
        <v>15000</v>
      </c>
      <c r="V193" s="16">
        <v>15000</v>
      </c>
      <c r="W193" s="16">
        <v>15000</v>
      </c>
      <c r="X193" s="16">
        <v>15000</v>
      </c>
      <c r="Y193" s="16">
        <v>15000</v>
      </c>
      <c r="Z193" s="16">
        <v>15000</v>
      </c>
      <c r="AA193" s="16">
        <v>15000</v>
      </c>
      <c r="AB193" s="6">
        <f t="shared" si="5"/>
        <v>1440000</v>
      </c>
      <c r="AC193" s="92">
        <f>+AB193+AB194+AB195</f>
        <v>10800000</v>
      </c>
    </row>
    <row r="194" spans="1:29" ht="18.75" thickBot="1" x14ac:dyDescent="0.3">
      <c r="A194" s="96"/>
      <c r="B194" s="11" t="s">
        <v>29</v>
      </c>
      <c r="C194" s="11">
        <v>5</v>
      </c>
      <c r="D194" s="16">
        <v>15000</v>
      </c>
      <c r="E194" s="16">
        <v>15000</v>
      </c>
      <c r="F194" s="16">
        <v>15000</v>
      </c>
      <c r="G194" s="16">
        <v>15000</v>
      </c>
      <c r="H194" s="16">
        <v>15000</v>
      </c>
      <c r="I194" s="16">
        <v>15000</v>
      </c>
      <c r="J194" s="16">
        <v>15000</v>
      </c>
      <c r="K194" s="16">
        <v>15000</v>
      </c>
      <c r="L194" s="16">
        <v>15000</v>
      </c>
      <c r="M194" s="16">
        <v>15000</v>
      </c>
      <c r="N194" s="16">
        <v>15000</v>
      </c>
      <c r="O194" s="16">
        <v>15000</v>
      </c>
      <c r="P194" s="16">
        <v>15000</v>
      </c>
      <c r="Q194" s="16">
        <v>15000</v>
      </c>
      <c r="R194" s="16">
        <v>15000</v>
      </c>
      <c r="S194" s="16">
        <v>15000</v>
      </c>
      <c r="T194" s="16">
        <v>15000</v>
      </c>
      <c r="U194" s="16">
        <v>15000</v>
      </c>
      <c r="V194" s="16">
        <v>15000</v>
      </c>
      <c r="W194" s="16">
        <v>15000</v>
      </c>
      <c r="X194" s="16">
        <v>15000</v>
      </c>
      <c r="Y194" s="16">
        <v>15000</v>
      </c>
      <c r="Z194" s="16">
        <v>15000</v>
      </c>
      <c r="AA194" s="16">
        <v>15000</v>
      </c>
      <c r="AB194" s="6">
        <f t="shared" si="5"/>
        <v>1800000</v>
      </c>
      <c r="AC194" s="93"/>
    </row>
    <row r="195" spans="1:29" ht="18.75" thickBot="1" x14ac:dyDescent="0.3">
      <c r="A195" s="97"/>
      <c r="B195" s="12" t="s">
        <v>30</v>
      </c>
      <c r="C195" s="12">
        <v>21</v>
      </c>
      <c r="D195" s="16">
        <v>15000</v>
      </c>
      <c r="E195" s="16">
        <v>15000</v>
      </c>
      <c r="F195" s="16">
        <v>15000</v>
      </c>
      <c r="G195" s="16">
        <v>15000</v>
      </c>
      <c r="H195" s="16">
        <v>15000</v>
      </c>
      <c r="I195" s="16">
        <v>15000</v>
      </c>
      <c r="J195" s="16">
        <v>15000</v>
      </c>
      <c r="K195" s="16">
        <v>15000</v>
      </c>
      <c r="L195" s="16">
        <v>15000</v>
      </c>
      <c r="M195" s="16">
        <v>15000</v>
      </c>
      <c r="N195" s="16">
        <v>15000</v>
      </c>
      <c r="O195" s="16">
        <v>15000</v>
      </c>
      <c r="P195" s="16">
        <v>15000</v>
      </c>
      <c r="Q195" s="16">
        <v>15000</v>
      </c>
      <c r="R195" s="16">
        <v>15000</v>
      </c>
      <c r="S195" s="16">
        <v>15000</v>
      </c>
      <c r="T195" s="16">
        <v>15000</v>
      </c>
      <c r="U195" s="16">
        <v>15000</v>
      </c>
      <c r="V195" s="16">
        <v>15000</v>
      </c>
      <c r="W195" s="16">
        <v>15000</v>
      </c>
      <c r="X195" s="16">
        <v>15000</v>
      </c>
      <c r="Y195" s="16">
        <v>15000</v>
      </c>
      <c r="Z195" s="16">
        <v>15000</v>
      </c>
      <c r="AA195" s="16">
        <v>15000</v>
      </c>
      <c r="AB195" s="6">
        <f t="shared" si="5"/>
        <v>7560000</v>
      </c>
      <c r="AC195" s="94"/>
    </row>
    <row r="196" spans="1:29" ht="18.75" thickBot="1" x14ac:dyDescent="0.3">
      <c r="A196" s="95">
        <v>48030</v>
      </c>
      <c r="B196" s="9" t="s">
        <v>28</v>
      </c>
      <c r="C196" s="9">
        <v>4</v>
      </c>
      <c r="D196" s="16">
        <v>15000</v>
      </c>
      <c r="E196" s="16">
        <v>15000</v>
      </c>
      <c r="F196" s="16">
        <v>15000</v>
      </c>
      <c r="G196" s="16">
        <v>15000</v>
      </c>
      <c r="H196" s="16">
        <v>15000</v>
      </c>
      <c r="I196" s="16">
        <v>15000</v>
      </c>
      <c r="J196" s="16">
        <v>15000</v>
      </c>
      <c r="K196" s="16">
        <v>15000</v>
      </c>
      <c r="L196" s="16">
        <v>15000</v>
      </c>
      <c r="M196" s="16">
        <v>15000</v>
      </c>
      <c r="N196" s="16">
        <v>15000</v>
      </c>
      <c r="O196" s="16">
        <v>15000</v>
      </c>
      <c r="P196" s="16">
        <v>15000</v>
      </c>
      <c r="Q196" s="16">
        <v>15000</v>
      </c>
      <c r="R196" s="16">
        <v>15000</v>
      </c>
      <c r="S196" s="16">
        <v>15000</v>
      </c>
      <c r="T196" s="16">
        <v>15000</v>
      </c>
      <c r="U196" s="16">
        <v>15000</v>
      </c>
      <c r="V196" s="16">
        <v>15000</v>
      </c>
      <c r="W196" s="16">
        <v>15000</v>
      </c>
      <c r="X196" s="16">
        <v>15000</v>
      </c>
      <c r="Y196" s="16">
        <v>15000</v>
      </c>
      <c r="Z196" s="16">
        <v>15000</v>
      </c>
      <c r="AA196" s="16">
        <v>15000</v>
      </c>
      <c r="AB196" s="6">
        <f t="shared" si="5"/>
        <v>1440000</v>
      </c>
      <c r="AC196" s="92">
        <f>+AB196+AB197+AB198</f>
        <v>11160000</v>
      </c>
    </row>
    <row r="197" spans="1:29" ht="18.75" thickBot="1" x14ac:dyDescent="0.3">
      <c r="A197" s="96"/>
      <c r="B197" s="11" t="s">
        <v>29</v>
      </c>
      <c r="C197" s="11">
        <v>4</v>
      </c>
      <c r="D197" s="16">
        <v>15000</v>
      </c>
      <c r="E197" s="16">
        <v>15000</v>
      </c>
      <c r="F197" s="16">
        <v>15000</v>
      </c>
      <c r="G197" s="16">
        <v>15000</v>
      </c>
      <c r="H197" s="16">
        <v>15000</v>
      </c>
      <c r="I197" s="16">
        <v>15000</v>
      </c>
      <c r="J197" s="16">
        <v>15000</v>
      </c>
      <c r="K197" s="16">
        <v>15000</v>
      </c>
      <c r="L197" s="16">
        <v>15000</v>
      </c>
      <c r="M197" s="16">
        <v>15000</v>
      </c>
      <c r="N197" s="16">
        <v>15000</v>
      </c>
      <c r="O197" s="16">
        <v>15000</v>
      </c>
      <c r="P197" s="16">
        <v>15000</v>
      </c>
      <c r="Q197" s="16">
        <v>15000</v>
      </c>
      <c r="R197" s="16">
        <v>15000</v>
      </c>
      <c r="S197" s="16">
        <v>15000</v>
      </c>
      <c r="T197" s="16">
        <v>15000</v>
      </c>
      <c r="U197" s="16">
        <v>15000</v>
      </c>
      <c r="V197" s="16">
        <v>15000</v>
      </c>
      <c r="W197" s="16">
        <v>15000</v>
      </c>
      <c r="X197" s="16">
        <v>15000</v>
      </c>
      <c r="Y197" s="16">
        <v>15000</v>
      </c>
      <c r="Z197" s="16">
        <v>15000</v>
      </c>
      <c r="AA197" s="16">
        <v>15000</v>
      </c>
      <c r="AB197" s="6">
        <f t="shared" si="5"/>
        <v>1440000</v>
      </c>
      <c r="AC197" s="93"/>
    </row>
    <row r="198" spans="1:29" ht="18.75" thickBot="1" x14ac:dyDescent="0.3">
      <c r="A198" s="97"/>
      <c r="B198" s="12" t="s">
        <v>30</v>
      </c>
      <c r="C198" s="12">
        <v>23</v>
      </c>
      <c r="D198" s="16">
        <v>15000</v>
      </c>
      <c r="E198" s="16">
        <v>15000</v>
      </c>
      <c r="F198" s="16">
        <v>15000</v>
      </c>
      <c r="G198" s="16">
        <v>15000</v>
      </c>
      <c r="H198" s="16">
        <v>15000</v>
      </c>
      <c r="I198" s="16">
        <v>15000</v>
      </c>
      <c r="J198" s="16">
        <v>15000</v>
      </c>
      <c r="K198" s="16">
        <v>15000</v>
      </c>
      <c r="L198" s="16">
        <v>15000</v>
      </c>
      <c r="M198" s="16">
        <v>15000</v>
      </c>
      <c r="N198" s="16">
        <v>15000</v>
      </c>
      <c r="O198" s="16">
        <v>15000</v>
      </c>
      <c r="P198" s="16">
        <v>15000</v>
      </c>
      <c r="Q198" s="16">
        <v>15000</v>
      </c>
      <c r="R198" s="16">
        <v>15000</v>
      </c>
      <c r="S198" s="16">
        <v>15000</v>
      </c>
      <c r="T198" s="16">
        <v>15000</v>
      </c>
      <c r="U198" s="16">
        <v>15000</v>
      </c>
      <c r="V198" s="16">
        <v>15000</v>
      </c>
      <c r="W198" s="16">
        <v>15000</v>
      </c>
      <c r="X198" s="16">
        <v>15000</v>
      </c>
      <c r="Y198" s="16">
        <v>15000</v>
      </c>
      <c r="Z198" s="16">
        <v>15000</v>
      </c>
      <c r="AA198" s="16">
        <v>15000</v>
      </c>
      <c r="AB198" s="6">
        <f t="shared" si="5"/>
        <v>8280000</v>
      </c>
      <c r="AC198" s="94"/>
    </row>
    <row r="199" spans="1:29" ht="18.75" thickBot="1" x14ac:dyDescent="0.3">
      <c r="A199" s="95">
        <v>48061</v>
      </c>
      <c r="B199" s="9" t="s">
        <v>28</v>
      </c>
      <c r="C199" s="9">
        <v>5</v>
      </c>
      <c r="D199" s="16">
        <v>15000</v>
      </c>
      <c r="E199" s="16">
        <v>15000</v>
      </c>
      <c r="F199" s="16">
        <v>15000</v>
      </c>
      <c r="G199" s="16">
        <v>15000</v>
      </c>
      <c r="H199" s="16">
        <v>15000</v>
      </c>
      <c r="I199" s="16">
        <v>15000</v>
      </c>
      <c r="J199" s="16">
        <v>15000</v>
      </c>
      <c r="K199" s="16">
        <v>15000</v>
      </c>
      <c r="L199" s="16">
        <v>15000</v>
      </c>
      <c r="M199" s="16">
        <v>15000</v>
      </c>
      <c r="N199" s="16">
        <v>15000</v>
      </c>
      <c r="O199" s="16">
        <v>15000</v>
      </c>
      <c r="P199" s="16">
        <v>15000</v>
      </c>
      <c r="Q199" s="16">
        <v>15000</v>
      </c>
      <c r="R199" s="16">
        <v>15000</v>
      </c>
      <c r="S199" s="16">
        <v>15000</v>
      </c>
      <c r="T199" s="16">
        <v>15000</v>
      </c>
      <c r="U199" s="16">
        <v>15000</v>
      </c>
      <c r="V199" s="16">
        <v>15000</v>
      </c>
      <c r="W199" s="16">
        <v>15000</v>
      </c>
      <c r="X199" s="16">
        <v>15000</v>
      </c>
      <c r="Y199" s="16">
        <v>15000</v>
      </c>
      <c r="Z199" s="16">
        <v>15000</v>
      </c>
      <c r="AA199" s="16">
        <v>15000</v>
      </c>
      <c r="AB199" s="6">
        <f t="shared" si="5"/>
        <v>1800000</v>
      </c>
      <c r="AC199" s="92">
        <f>+AB199+AB200+AB201</f>
        <v>11160000</v>
      </c>
    </row>
    <row r="200" spans="1:29" ht="18.75" thickBot="1" x14ac:dyDescent="0.3">
      <c r="A200" s="96"/>
      <c r="B200" s="11" t="s">
        <v>29</v>
      </c>
      <c r="C200" s="11">
        <v>5</v>
      </c>
      <c r="D200" s="16">
        <v>15000</v>
      </c>
      <c r="E200" s="16">
        <v>15000</v>
      </c>
      <c r="F200" s="16">
        <v>15000</v>
      </c>
      <c r="G200" s="16">
        <v>15000</v>
      </c>
      <c r="H200" s="16">
        <v>15000</v>
      </c>
      <c r="I200" s="16">
        <v>15000</v>
      </c>
      <c r="J200" s="16">
        <v>15000</v>
      </c>
      <c r="K200" s="16">
        <v>15000</v>
      </c>
      <c r="L200" s="16">
        <v>15000</v>
      </c>
      <c r="M200" s="16">
        <v>15000</v>
      </c>
      <c r="N200" s="16">
        <v>15000</v>
      </c>
      <c r="O200" s="16">
        <v>15000</v>
      </c>
      <c r="P200" s="16">
        <v>15000</v>
      </c>
      <c r="Q200" s="16">
        <v>15000</v>
      </c>
      <c r="R200" s="16">
        <v>15000</v>
      </c>
      <c r="S200" s="16">
        <v>15000</v>
      </c>
      <c r="T200" s="16">
        <v>15000</v>
      </c>
      <c r="U200" s="16">
        <v>15000</v>
      </c>
      <c r="V200" s="16">
        <v>15000</v>
      </c>
      <c r="W200" s="16">
        <v>15000</v>
      </c>
      <c r="X200" s="16">
        <v>15000</v>
      </c>
      <c r="Y200" s="16">
        <v>15000</v>
      </c>
      <c r="Z200" s="16">
        <v>15000</v>
      </c>
      <c r="AA200" s="16">
        <v>15000</v>
      </c>
      <c r="AB200" s="6">
        <f t="shared" si="5"/>
        <v>1800000</v>
      </c>
      <c r="AC200" s="93"/>
    </row>
    <row r="201" spans="1:29" ht="18.75" thickBot="1" x14ac:dyDescent="0.3">
      <c r="A201" s="97"/>
      <c r="B201" s="12" t="s">
        <v>30</v>
      </c>
      <c r="C201" s="12">
        <v>21</v>
      </c>
      <c r="D201" s="16">
        <v>15000</v>
      </c>
      <c r="E201" s="16">
        <v>15000</v>
      </c>
      <c r="F201" s="16">
        <v>15000</v>
      </c>
      <c r="G201" s="16">
        <v>15000</v>
      </c>
      <c r="H201" s="16">
        <v>15000</v>
      </c>
      <c r="I201" s="16">
        <v>15000</v>
      </c>
      <c r="J201" s="16">
        <v>15000</v>
      </c>
      <c r="K201" s="16">
        <v>15000</v>
      </c>
      <c r="L201" s="16">
        <v>15000</v>
      </c>
      <c r="M201" s="16">
        <v>15000</v>
      </c>
      <c r="N201" s="16">
        <v>15000</v>
      </c>
      <c r="O201" s="16">
        <v>15000</v>
      </c>
      <c r="P201" s="16">
        <v>15000</v>
      </c>
      <c r="Q201" s="16">
        <v>15000</v>
      </c>
      <c r="R201" s="16">
        <v>15000</v>
      </c>
      <c r="S201" s="16">
        <v>15000</v>
      </c>
      <c r="T201" s="16">
        <v>15000</v>
      </c>
      <c r="U201" s="16">
        <v>15000</v>
      </c>
      <c r="V201" s="16">
        <v>15000</v>
      </c>
      <c r="W201" s="16">
        <v>15000</v>
      </c>
      <c r="X201" s="16">
        <v>15000</v>
      </c>
      <c r="Y201" s="16">
        <v>15000</v>
      </c>
      <c r="Z201" s="16">
        <v>15000</v>
      </c>
      <c r="AA201" s="16">
        <v>15000</v>
      </c>
      <c r="AB201" s="6">
        <f t="shared" si="5"/>
        <v>7560000</v>
      </c>
      <c r="AC201" s="94"/>
    </row>
    <row r="202" spans="1:29" ht="18.75" thickBot="1" x14ac:dyDescent="0.3">
      <c r="A202" s="95">
        <v>48092</v>
      </c>
      <c r="B202" s="9" t="s">
        <v>28</v>
      </c>
      <c r="C202" s="9">
        <v>4</v>
      </c>
      <c r="D202" s="16">
        <v>15000</v>
      </c>
      <c r="E202" s="16">
        <v>15000</v>
      </c>
      <c r="F202" s="16">
        <v>15000</v>
      </c>
      <c r="G202" s="16">
        <v>15000</v>
      </c>
      <c r="H202" s="16">
        <v>15000</v>
      </c>
      <c r="I202" s="16">
        <v>15000</v>
      </c>
      <c r="J202" s="16">
        <v>15000</v>
      </c>
      <c r="K202" s="16">
        <v>15000</v>
      </c>
      <c r="L202" s="16">
        <v>15000</v>
      </c>
      <c r="M202" s="16">
        <v>15000</v>
      </c>
      <c r="N202" s="16">
        <v>15000</v>
      </c>
      <c r="O202" s="16">
        <v>15000</v>
      </c>
      <c r="P202" s="16">
        <v>15000</v>
      </c>
      <c r="Q202" s="16">
        <v>15000</v>
      </c>
      <c r="R202" s="16">
        <v>15000</v>
      </c>
      <c r="S202" s="16">
        <v>15000</v>
      </c>
      <c r="T202" s="16">
        <v>15000</v>
      </c>
      <c r="U202" s="16">
        <v>15000</v>
      </c>
      <c r="V202" s="16">
        <v>15000</v>
      </c>
      <c r="W202" s="16">
        <v>15000</v>
      </c>
      <c r="X202" s="16">
        <v>15000</v>
      </c>
      <c r="Y202" s="16">
        <v>15000</v>
      </c>
      <c r="Z202" s="16">
        <v>15000</v>
      </c>
      <c r="AA202" s="16">
        <v>15000</v>
      </c>
      <c r="AB202" s="6">
        <f t="shared" si="5"/>
        <v>1440000</v>
      </c>
      <c r="AC202" s="92">
        <f>+AB202+AB203+AB204</f>
        <v>10800000</v>
      </c>
    </row>
    <row r="203" spans="1:29" ht="18.75" thickBot="1" x14ac:dyDescent="0.3">
      <c r="A203" s="96"/>
      <c r="B203" s="11" t="s">
        <v>29</v>
      </c>
      <c r="C203" s="11">
        <v>4</v>
      </c>
      <c r="D203" s="16">
        <v>15000</v>
      </c>
      <c r="E203" s="16">
        <v>15000</v>
      </c>
      <c r="F203" s="16">
        <v>15000</v>
      </c>
      <c r="G203" s="16">
        <v>15000</v>
      </c>
      <c r="H203" s="16">
        <v>15000</v>
      </c>
      <c r="I203" s="16">
        <v>15000</v>
      </c>
      <c r="J203" s="16">
        <v>15000</v>
      </c>
      <c r="K203" s="16">
        <v>15000</v>
      </c>
      <c r="L203" s="16">
        <v>15000</v>
      </c>
      <c r="M203" s="16">
        <v>15000</v>
      </c>
      <c r="N203" s="16">
        <v>15000</v>
      </c>
      <c r="O203" s="16">
        <v>15000</v>
      </c>
      <c r="P203" s="16">
        <v>15000</v>
      </c>
      <c r="Q203" s="16">
        <v>15000</v>
      </c>
      <c r="R203" s="16">
        <v>15000</v>
      </c>
      <c r="S203" s="16">
        <v>15000</v>
      </c>
      <c r="T203" s="16">
        <v>15000</v>
      </c>
      <c r="U203" s="16">
        <v>15000</v>
      </c>
      <c r="V203" s="16">
        <v>15000</v>
      </c>
      <c r="W203" s="16">
        <v>15000</v>
      </c>
      <c r="X203" s="16">
        <v>15000</v>
      </c>
      <c r="Y203" s="16">
        <v>15000</v>
      </c>
      <c r="Z203" s="16">
        <v>15000</v>
      </c>
      <c r="AA203" s="16">
        <v>15000</v>
      </c>
      <c r="AB203" s="6">
        <f t="shared" si="5"/>
        <v>1440000</v>
      </c>
      <c r="AC203" s="93"/>
    </row>
    <row r="204" spans="1:29" ht="18.75" thickBot="1" x14ac:dyDescent="0.3">
      <c r="A204" s="97"/>
      <c r="B204" s="12" t="s">
        <v>30</v>
      </c>
      <c r="C204" s="12">
        <v>22</v>
      </c>
      <c r="D204" s="16">
        <v>15000</v>
      </c>
      <c r="E204" s="16">
        <v>15000</v>
      </c>
      <c r="F204" s="16">
        <v>15000</v>
      </c>
      <c r="G204" s="16">
        <v>15000</v>
      </c>
      <c r="H204" s="16">
        <v>15000</v>
      </c>
      <c r="I204" s="16">
        <v>15000</v>
      </c>
      <c r="J204" s="16">
        <v>15000</v>
      </c>
      <c r="K204" s="16">
        <v>15000</v>
      </c>
      <c r="L204" s="16">
        <v>15000</v>
      </c>
      <c r="M204" s="16">
        <v>15000</v>
      </c>
      <c r="N204" s="16">
        <v>15000</v>
      </c>
      <c r="O204" s="16">
        <v>15000</v>
      </c>
      <c r="P204" s="16">
        <v>15000</v>
      </c>
      <c r="Q204" s="16">
        <v>15000</v>
      </c>
      <c r="R204" s="16">
        <v>15000</v>
      </c>
      <c r="S204" s="16">
        <v>15000</v>
      </c>
      <c r="T204" s="16">
        <v>15000</v>
      </c>
      <c r="U204" s="16">
        <v>15000</v>
      </c>
      <c r="V204" s="16">
        <v>15000</v>
      </c>
      <c r="W204" s="16">
        <v>15000</v>
      </c>
      <c r="X204" s="16">
        <v>15000</v>
      </c>
      <c r="Y204" s="16">
        <v>15000</v>
      </c>
      <c r="Z204" s="16">
        <v>15000</v>
      </c>
      <c r="AA204" s="16">
        <v>15000</v>
      </c>
      <c r="AB204" s="6">
        <f t="shared" si="5"/>
        <v>7920000</v>
      </c>
      <c r="AC204" s="94"/>
    </row>
    <row r="205" spans="1:29" ht="18.75" thickBot="1" x14ac:dyDescent="0.3">
      <c r="A205" s="95">
        <v>48122</v>
      </c>
      <c r="B205" s="9" t="s">
        <v>28</v>
      </c>
      <c r="C205" s="9">
        <v>4</v>
      </c>
      <c r="D205" s="16">
        <v>15000</v>
      </c>
      <c r="E205" s="16">
        <v>15000</v>
      </c>
      <c r="F205" s="16">
        <v>15000</v>
      </c>
      <c r="G205" s="16">
        <v>15000</v>
      </c>
      <c r="H205" s="16">
        <v>15000</v>
      </c>
      <c r="I205" s="16">
        <v>15000</v>
      </c>
      <c r="J205" s="16">
        <v>15000</v>
      </c>
      <c r="K205" s="16">
        <v>15000</v>
      </c>
      <c r="L205" s="16">
        <v>15000</v>
      </c>
      <c r="M205" s="16">
        <v>15000</v>
      </c>
      <c r="N205" s="16">
        <v>15000</v>
      </c>
      <c r="O205" s="16">
        <v>15000</v>
      </c>
      <c r="P205" s="16">
        <v>15000</v>
      </c>
      <c r="Q205" s="16">
        <v>15000</v>
      </c>
      <c r="R205" s="16">
        <v>15000</v>
      </c>
      <c r="S205" s="16">
        <v>15000</v>
      </c>
      <c r="T205" s="16">
        <v>15000</v>
      </c>
      <c r="U205" s="16">
        <v>15000</v>
      </c>
      <c r="V205" s="16">
        <v>15000</v>
      </c>
      <c r="W205" s="16">
        <v>15000</v>
      </c>
      <c r="X205" s="16">
        <v>15000</v>
      </c>
      <c r="Y205" s="16">
        <v>15000</v>
      </c>
      <c r="Z205" s="16">
        <v>15000</v>
      </c>
      <c r="AA205" s="16">
        <v>15000</v>
      </c>
      <c r="AB205" s="6">
        <f t="shared" si="5"/>
        <v>1440000</v>
      </c>
      <c r="AC205" s="92">
        <f>+AB205+AB206+AB207</f>
        <v>11160000</v>
      </c>
    </row>
    <row r="206" spans="1:29" ht="18.75" thickBot="1" x14ac:dyDescent="0.3">
      <c r="A206" s="96"/>
      <c r="B206" s="11" t="s">
        <v>29</v>
      </c>
      <c r="C206" s="11">
        <v>4</v>
      </c>
      <c r="D206" s="16">
        <v>15000</v>
      </c>
      <c r="E206" s="16">
        <v>15000</v>
      </c>
      <c r="F206" s="16">
        <v>15000</v>
      </c>
      <c r="G206" s="16">
        <v>15000</v>
      </c>
      <c r="H206" s="16">
        <v>15000</v>
      </c>
      <c r="I206" s="16">
        <v>15000</v>
      </c>
      <c r="J206" s="16">
        <v>15000</v>
      </c>
      <c r="K206" s="16">
        <v>15000</v>
      </c>
      <c r="L206" s="16">
        <v>15000</v>
      </c>
      <c r="M206" s="16">
        <v>15000</v>
      </c>
      <c r="N206" s="16">
        <v>15000</v>
      </c>
      <c r="O206" s="16">
        <v>15000</v>
      </c>
      <c r="P206" s="16">
        <v>15000</v>
      </c>
      <c r="Q206" s="16">
        <v>15000</v>
      </c>
      <c r="R206" s="16">
        <v>15000</v>
      </c>
      <c r="S206" s="16">
        <v>15000</v>
      </c>
      <c r="T206" s="16">
        <v>15000</v>
      </c>
      <c r="U206" s="16">
        <v>15000</v>
      </c>
      <c r="V206" s="16">
        <v>15000</v>
      </c>
      <c r="W206" s="16">
        <v>15000</v>
      </c>
      <c r="X206" s="16">
        <v>15000</v>
      </c>
      <c r="Y206" s="16">
        <v>15000</v>
      </c>
      <c r="Z206" s="16">
        <v>15000</v>
      </c>
      <c r="AA206" s="16">
        <v>15000</v>
      </c>
      <c r="AB206" s="6">
        <f t="shared" si="5"/>
        <v>1440000</v>
      </c>
      <c r="AC206" s="93"/>
    </row>
    <row r="207" spans="1:29" ht="18.75" thickBot="1" x14ac:dyDescent="0.3">
      <c r="A207" s="97"/>
      <c r="B207" s="12" t="s">
        <v>30</v>
      </c>
      <c r="C207" s="12">
        <v>23</v>
      </c>
      <c r="D207" s="16">
        <v>15000</v>
      </c>
      <c r="E207" s="16">
        <v>15000</v>
      </c>
      <c r="F207" s="16">
        <v>15000</v>
      </c>
      <c r="G207" s="16">
        <v>15000</v>
      </c>
      <c r="H207" s="16">
        <v>15000</v>
      </c>
      <c r="I207" s="16">
        <v>15000</v>
      </c>
      <c r="J207" s="16">
        <v>15000</v>
      </c>
      <c r="K207" s="16">
        <v>15000</v>
      </c>
      <c r="L207" s="16">
        <v>15000</v>
      </c>
      <c r="M207" s="16">
        <v>15000</v>
      </c>
      <c r="N207" s="16">
        <v>15000</v>
      </c>
      <c r="O207" s="16">
        <v>15000</v>
      </c>
      <c r="P207" s="16">
        <v>15000</v>
      </c>
      <c r="Q207" s="16">
        <v>15000</v>
      </c>
      <c r="R207" s="16">
        <v>15000</v>
      </c>
      <c r="S207" s="16">
        <v>15000</v>
      </c>
      <c r="T207" s="16">
        <v>15000</v>
      </c>
      <c r="U207" s="16">
        <v>15000</v>
      </c>
      <c r="V207" s="16">
        <v>15000</v>
      </c>
      <c r="W207" s="16">
        <v>15000</v>
      </c>
      <c r="X207" s="16">
        <v>15000</v>
      </c>
      <c r="Y207" s="16">
        <v>15000</v>
      </c>
      <c r="Z207" s="16">
        <v>15000</v>
      </c>
      <c r="AA207" s="16">
        <v>15000</v>
      </c>
      <c r="AB207" s="6">
        <f t="shared" si="5"/>
        <v>8280000</v>
      </c>
      <c r="AC207" s="94"/>
    </row>
    <row r="208" spans="1:29" ht="18.75" thickBot="1" x14ac:dyDescent="0.3">
      <c r="A208" s="95">
        <v>48153</v>
      </c>
      <c r="B208" s="9" t="s">
        <v>28</v>
      </c>
      <c r="C208" s="9">
        <v>5</v>
      </c>
      <c r="D208" s="16">
        <v>15000</v>
      </c>
      <c r="E208" s="16">
        <v>15000</v>
      </c>
      <c r="F208" s="16">
        <v>15000</v>
      </c>
      <c r="G208" s="16">
        <v>15000</v>
      </c>
      <c r="H208" s="16">
        <v>15000</v>
      </c>
      <c r="I208" s="16">
        <v>15000</v>
      </c>
      <c r="J208" s="16">
        <v>15000</v>
      </c>
      <c r="K208" s="16">
        <v>15000</v>
      </c>
      <c r="L208" s="16">
        <v>15000</v>
      </c>
      <c r="M208" s="16">
        <v>15000</v>
      </c>
      <c r="N208" s="16">
        <v>15000</v>
      </c>
      <c r="O208" s="16">
        <v>15000</v>
      </c>
      <c r="P208" s="16">
        <v>15000</v>
      </c>
      <c r="Q208" s="16">
        <v>15000</v>
      </c>
      <c r="R208" s="16">
        <v>15000</v>
      </c>
      <c r="S208" s="16">
        <v>15000</v>
      </c>
      <c r="T208" s="16">
        <v>15000</v>
      </c>
      <c r="U208" s="16">
        <v>15000</v>
      </c>
      <c r="V208" s="16">
        <v>15000</v>
      </c>
      <c r="W208" s="16">
        <v>15000</v>
      </c>
      <c r="X208" s="16">
        <v>15000</v>
      </c>
      <c r="Y208" s="16">
        <v>15000</v>
      </c>
      <c r="Z208" s="16">
        <v>15000</v>
      </c>
      <c r="AA208" s="16">
        <v>15000</v>
      </c>
      <c r="AB208" s="6">
        <f t="shared" si="5"/>
        <v>1800000</v>
      </c>
      <c r="AC208" s="92">
        <f>+AB208+AB209+AB210</f>
        <v>10800000</v>
      </c>
    </row>
    <row r="209" spans="1:33" ht="18.75" thickBot="1" x14ac:dyDescent="0.3">
      <c r="A209" s="96"/>
      <c r="B209" s="11" t="s">
        <v>29</v>
      </c>
      <c r="C209" s="11">
        <v>5</v>
      </c>
      <c r="D209" s="16">
        <v>15000</v>
      </c>
      <c r="E209" s="16">
        <v>15000</v>
      </c>
      <c r="F209" s="16">
        <v>15000</v>
      </c>
      <c r="G209" s="16">
        <v>15000</v>
      </c>
      <c r="H209" s="16">
        <v>15000</v>
      </c>
      <c r="I209" s="16">
        <v>15000</v>
      </c>
      <c r="J209" s="16">
        <v>15000</v>
      </c>
      <c r="K209" s="16">
        <v>15000</v>
      </c>
      <c r="L209" s="16">
        <v>15000</v>
      </c>
      <c r="M209" s="16">
        <v>15000</v>
      </c>
      <c r="N209" s="16">
        <v>15000</v>
      </c>
      <c r="O209" s="16">
        <v>15000</v>
      </c>
      <c r="P209" s="16">
        <v>15000</v>
      </c>
      <c r="Q209" s="16">
        <v>15000</v>
      </c>
      <c r="R209" s="16">
        <v>15000</v>
      </c>
      <c r="S209" s="16">
        <v>15000</v>
      </c>
      <c r="T209" s="16">
        <v>15000</v>
      </c>
      <c r="U209" s="16">
        <v>15000</v>
      </c>
      <c r="V209" s="16">
        <v>15000</v>
      </c>
      <c r="W209" s="16">
        <v>15000</v>
      </c>
      <c r="X209" s="16">
        <v>15000</v>
      </c>
      <c r="Y209" s="16">
        <v>15000</v>
      </c>
      <c r="Z209" s="16">
        <v>15000</v>
      </c>
      <c r="AA209" s="16">
        <v>15000</v>
      </c>
      <c r="AB209" s="6">
        <f t="shared" si="5"/>
        <v>1800000</v>
      </c>
      <c r="AC209" s="93"/>
    </row>
    <row r="210" spans="1:33" ht="18.75" thickBot="1" x14ac:dyDescent="0.3">
      <c r="A210" s="97"/>
      <c r="B210" s="12" t="s">
        <v>30</v>
      </c>
      <c r="C210" s="12">
        <v>20</v>
      </c>
      <c r="D210" s="16">
        <v>15000</v>
      </c>
      <c r="E210" s="16">
        <v>15000</v>
      </c>
      <c r="F210" s="16">
        <v>15000</v>
      </c>
      <c r="G210" s="16">
        <v>15000</v>
      </c>
      <c r="H210" s="16">
        <v>15000</v>
      </c>
      <c r="I210" s="16">
        <v>15000</v>
      </c>
      <c r="J210" s="16">
        <v>15000</v>
      </c>
      <c r="K210" s="16">
        <v>15000</v>
      </c>
      <c r="L210" s="16">
        <v>15000</v>
      </c>
      <c r="M210" s="16">
        <v>15000</v>
      </c>
      <c r="N210" s="16">
        <v>15000</v>
      </c>
      <c r="O210" s="16">
        <v>15000</v>
      </c>
      <c r="P210" s="16">
        <v>15000</v>
      </c>
      <c r="Q210" s="16">
        <v>15000</v>
      </c>
      <c r="R210" s="16">
        <v>15000</v>
      </c>
      <c r="S210" s="16">
        <v>15000</v>
      </c>
      <c r="T210" s="16">
        <v>15000</v>
      </c>
      <c r="U210" s="16">
        <v>15000</v>
      </c>
      <c r="V210" s="16">
        <v>15000</v>
      </c>
      <c r="W210" s="16">
        <v>15000</v>
      </c>
      <c r="X210" s="16">
        <v>15000</v>
      </c>
      <c r="Y210" s="16">
        <v>15000</v>
      </c>
      <c r="Z210" s="16">
        <v>15000</v>
      </c>
      <c r="AA210" s="16">
        <v>15000</v>
      </c>
      <c r="AB210" s="6">
        <f t="shared" si="5"/>
        <v>7200000</v>
      </c>
      <c r="AC210" s="94"/>
    </row>
    <row r="211" spans="1:33" ht="18.75" thickBot="1" x14ac:dyDescent="0.3">
      <c r="A211" s="95">
        <v>48183</v>
      </c>
      <c r="B211" s="9" t="s">
        <v>28</v>
      </c>
      <c r="C211" s="9">
        <v>4</v>
      </c>
      <c r="D211" s="16">
        <v>15000</v>
      </c>
      <c r="E211" s="16">
        <v>15000</v>
      </c>
      <c r="F211" s="16">
        <v>15000</v>
      </c>
      <c r="G211" s="16">
        <v>15000</v>
      </c>
      <c r="H211" s="16">
        <v>15000</v>
      </c>
      <c r="I211" s="16">
        <v>15000</v>
      </c>
      <c r="J211" s="16">
        <v>15000</v>
      </c>
      <c r="K211" s="16">
        <v>15000</v>
      </c>
      <c r="L211" s="16">
        <v>15000</v>
      </c>
      <c r="M211" s="16">
        <v>15000</v>
      </c>
      <c r="N211" s="16">
        <v>15000</v>
      </c>
      <c r="O211" s="16">
        <v>15000</v>
      </c>
      <c r="P211" s="16">
        <v>15000</v>
      </c>
      <c r="Q211" s="16">
        <v>15000</v>
      </c>
      <c r="R211" s="16">
        <v>15000</v>
      </c>
      <c r="S211" s="16">
        <v>15000</v>
      </c>
      <c r="T211" s="16">
        <v>15000</v>
      </c>
      <c r="U211" s="16">
        <v>15000</v>
      </c>
      <c r="V211" s="16">
        <v>15000</v>
      </c>
      <c r="W211" s="16">
        <v>15000</v>
      </c>
      <c r="X211" s="16">
        <v>15000</v>
      </c>
      <c r="Y211" s="16">
        <v>15000</v>
      </c>
      <c r="Z211" s="16">
        <v>15000</v>
      </c>
      <c r="AA211" s="16">
        <v>15000</v>
      </c>
      <c r="AB211" s="6">
        <f t="shared" si="5"/>
        <v>1440000</v>
      </c>
      <c r="AC211" s="92">
        <f>+AB211+AB212+AB213</f>
        <v>11160000</v>
      </c>
    </row>
    <row r="212" spans="1:33" ht="18.75" thickBot="1" x14ac:dyDescent="0.3">
      <c r="A212" s="96"/>
      <c r="B212" s="11" t="s">
        <v>29</v>
      </c>
      <c r="C212" s="11">
        <v>4</v>
      </c>
      <c r="D212" s="16">
        <v>15000</v>
      </c>
      <c r="E212" s="16">
        <v>15000</v>
      </c>
      <c r="F212" s="16">
        <v>15000</v>
      </c>
      <c r="G212" s="16">
        <v>15000</v>
      </c>
      <c r="H212" s="16">
        <v>15000</v>
      </c>
      <c r="I212" s="16">
        <v>15000</v>
      </c>
      <c r="J212" s="16">
        <v>15000</v>
      </c>
      <c r="K212" s="16">
        <v>15000</v>
      </c>
      <c r="L212" s="16">
        <v>15000</v>
      </c>
      <c r="M212" s="16">
        <v>15000</v>
      </c>
      <c r="N212" s="16">
        <v>15000</v>
      </c>
      <c r="O212" s="16">
        <v>15000</v>
      </c>
      <c r="P212" s="16">
        <v>15000</v>
      </c>
      <c r="Q212" s="16">
        <v>15000</v>
      </c>
      <c r="R212" s="16">
        <v>15000</v>
      </c>
      <c r="S212" s="16">
        <v>15000</v>
      </c>
      <c r="T212" s="16">
        <v>15000</v>
      </c>
      <c r="U212" s="16">
        <v>15000</v>
      </c>
      <c r="V212" s="16">
        <v>15000</v>
      </c>
      <c r="W212" s="16">
        <v>15000</v>
      </c>
      <c r="X212" s="16">
        <v>15000</v>
      </c>
      <c r="Y212" s="16">
        <v>15000</v>
      </c>
      <c r="Z212" s="16">
        <v>15000</v>
      </c>
      <c r="AA212" s="16">
        <v>15000</v>
      </c>
      <c r="AB212" s="6">
        <f t="shared" si="5"/>
        <v>1440000</v>
      </c>
      <c r="AC212" s="93"/>
    </row>
    <row r="213" spans="1:33" ht="18.75" thickBot="1" x14ac:dyDescent="0.3">
      <c r="A213" s="97"/>
      <c r="B213" s="12" t="s">
        <v>30</v>
      </c>
      <c r="C213" s="12">
        <v>23</v>
      </c>
      <c r="D213" s="16">
        <v>15000</v>
      </c>
      <c r="E213" s="16">
        <v>15000</v>
      </c>
      <c r="F213" s="16">
        <v>15000</v>
      </c>
      <c r="G213" s="16">
        <v>15000</v>
      </c>
      <c r="H213" s="16">
        <v>15000</v>
      </c>
      <c r="I213" s="16">
        <v>15000</v>
      </c>
      <c r="J213" s="16">
        <v>15000</v>
      </c>
      <c r="K213" s="16">
        <v>15000</v>
      </c>
      <c r="L213" s="16">
        <v>15000</v>
      </c>
      <c r="M213" s="16">
        <v>15000</v>
      </c>
      <c r="N213" s="16">
        <v>15000</v>
      </c>
      <c r="O213" s="16">
        <v>15000</v>
      </c>
      <c r="P213" s="16">
        <v>15000</v>
      </c>
      <c r="Q213" s="16">
        <v>15000</v>
      </c>
      <c r="R213" s="16">
        <v>15000</v>
      </c>
      <c r="S213" s="16">
        <v>15000</v>
      </c>
      <c r="T213" s="16">
        <v>15000</v>
      </c>
      <c r="U213" s="16">
        <v>15000</v>
      </c>
      <c r="V213" s="16">
        <v>15000</v>
      </c>
      <c r="W213" s="16">
        <v>15000</v>
      </c>
      <c r="X213" s="16">
        <v>15000</v>
      </c>
      <c r="Y213" s="16">
        <v>15000</v>
      </c>
      <c r="Z213" s="16">
        <v>15000</v>
      </c>
      <c r="AA213" s="16">
        <v>15000</v>
      </c>
      <c r="AB213" s="6">
        <f t="shared" si="5"/>
        <v>8280000</v>
      </c>
      <c r="AC213" s="94"/>
    </row>
    <row r="215" spans="1:33" ht="15.75" thickBot="1" x14ac:dyDescent="0.3"/>
    <row r="216" spans="1:33" ht="18.75" thickBot="1" x14ac:dyDescent="0.3">
      <c r="A216" s="1" t="s">
        <v>0</v>
      </c>
      <c r="B216" s="2" t="s">
        <v>1</v>
      </c>
      <c r="C216" s="2" t="s">
        <v>2</v>
      </c>
      <c r="D216" s="27" t="s">
        <v>3</v>
      </c>
      <c r="E216" s="5" t="s">
        <v>4</v>
      </c>
      <c r="F216" s="5" t="s">
        <v>5</v>
      </c>
      <c r="G216" s="5" t="s">
        <v>6</v>
      </c>
      <c r="H216" s="5" t="s">
        <v>7</v>
      </c>
      <c r="I216" s="5" t="s">
        <v>8</v>
      </c>
      <c r="J216" s="5" t="s">
        <v>9</v>
      </c>
      <c r="K216" s="5" t="s">
        <v>10</v>
      </c>
      <c r="L216" s="5" t="s">
        <v>11</v>
      </c>
      <c r="M216" s="5" t="s">
        <v>12</v>
      </c>
      <c r="N216" s="5" t="s">
        <v>13</v>
      </c>
      <c r="O216" s="5" t="s">
        <v>14</v>
      </c>
      <c r="P216" s="5" t="s">
        <v>15</v>
      </c>
      <c r="Q216" s="5" t="s">
        <v>16</v>
      </c>
      <c r="R216" s="5" t="s">
        <v>17</v>
      </c>
      <c r="S216" s="5" t="s">
        <v>18</v>
      </c>
      <c r="T216" s="5" t="s">
        <v>19</v>
      </c>
      <c r="U216" s="5" t="s">
        <v>20</v>
      </c>
      <c r="V216" s="5" t="s">
        <v>21</v>
      </c>
      <c r="W216" s="5" t="s">
        <v>22</v>
      </c>
      <c r="X216" s="5" t="s">
        <v>23</v>
      </c>
      <c r="Y216" s="5" t="s">
        <v>24</v>
      </c>
      <c r="Z216" s="5" t="s">
        <v>25</v>
      </c>
      <c r="AA216" s="5" t="s">
        <v>26</v>
      </c>
      <c r="AB216" s="109" t="s">
        <v>27</v>
      </c>
      <c r="AC216" s="110"/>
    </row>
    <row r="217" spans="1:33" ht="18.75" thickBot="1" x14ac:dyDescent="0.3">
      <c r="A217" s="95">
        <v>48214</v>
      </c>
      <c r="B217" s="9" t="s">
        <v>28</v>
      </c>
      <c r="C217" s="9">
        <v>5</v>
      </c>
      <c r="D217" s="16">
        <v>12000</v>
      </c>
      <c r="E217" s="16">
        <v>12000</v>
      </c>
      <c r="F217" s="16">
        <v>12000</v>
      </c>
      <c r="G217" s="16">
        <v>12000</v>
      </c>
      <c r="H217" s="16">
        <v>12000</v>
      </c>
      <c r="I217" s="16">
        <v>12000</v>
      </c>
      <c r="J217" s="16">
        <v>12000</v>
      </c>
      <c r="K217" s="16">
        <v>12000</v>
      </c>
      <c r="L217" s="16">
        <v>12000</v>
      </c>
      <c r="M217" s="16">
        <v>12000</v>
      </c>
      <c r="N217" s="16">
        <v>12000</v>
      </c>
      <c r="O217" s="16">
        <v>12000</v>
      </c>
      <c r="P217" s="16">
        <v>12000</v>
      </c>
      <c r="Q217" s="16">
        <v>12000</v>
      </c>
      <c r="R217" s="16">
        <v>12000</v>
      </c>
      <c r="S217" s="16">
        <v>12000</v>
      </c>
      <c r="T217" s="16">
        <v>12000</v>
      </c>
      <c r="U217" s="16">
        <v>12000</v>
      </c>
      <c r="V217" s="16">
        <v>12000</v>
      </c>
      <c r="W217" s="16">
        <v>12000</v>
      </c>
      <c r="X217" s="16">
        <v>12000</v>
      </c>
      <c r="Y217" s="16">
        <v>12000</v>
      </c>
      <c r="Z217" s="16">
        <v>12000</v>
      </c>
      <c r="AA217" s="16">
        <v>12000</v>
      </c>
      <c r="AB217" s="6">
        <f t="shared" ref="AB217:AB252" si="6">SUM(D217:AA217)*C217</f>
        <v>1440000</v>
      </c>
      <c r="AC217" s="92">
        <f>+AB217+AB218+AB219</f>
        <v>8928000</v>
      </c>
      <c r="AF217" s="67">
        <v>48214</v>
      </c>
      <c r="AG217" s="68">
        <f>AB217+AB218+AB219</f>
        <v>8928000</v>
      </c>
    </row>
    <row r="218" spans="1:33" ht="18.75" thickBot="1" x14ac:dyDescent="0.3">
      <c r="A218" s="96"/>
      <c r="B218" s="11" t="s">
        <v>29</v>
      </c>
      <c r="C218" s="11">
        <v>6</v>
      </c>
      <c r="D218" s="16">
        <v>12000</v>
      </c>
      <c r="E218" s="16">
        <v>12000</v>
      </c>
      <c r="F218" s="16">
        <v>12000</v>
      </c>
      <c r="G218" s="16">
        <v>12000</v>
      </c>
      <c r="H218" s="16">
        <v>12000</v>
      </c>
      <c r="I218" s="16">
        <v>12000</v>
      </c>
      <c r="J218" s="16">
        <v>12000</v>
      </c>
      <c r="K218" s="16">
        <v>12000</v>
      </c>
      <c r="L218" s="16">
        <v>12000</v>
      </c>
      <c r="M218" s="16">
        <v>12000</v>
      </c>
      <c r="N218" s="16">
        <v>12000</v>
      </c>
      <c r="O218" s="16">
        <v>12000</v>
      </c>
      <c r="P218" s="16">
        <v>12000</v>
      </c>
      <c r="Q218" s="16">
        <v>12000</v>
      </c>
      <c r="R218" s="16">
        <v>12000</v>
      </c>
      <c r="S218" s="16">
        <v>12000</v>
      </c>
      <c r="T218" s="16">
        <v>12000</v>
      </c>
      <c r="U218" s="16">
        <v>12000</v>
      </c>
      <c r="V218" s="16">
        <v>12000</v>
      </c>
      <c r="W218" s="16">
        <v>12000</v>
      </c>
      <c r="X218" s="16">
        <v>12000</v>
      </c>
      <c r="Y218" s="16">
        <v>12000</v>
      </c>
      <c r="Z218" s="16">
        <v>12000</v>
      </c>
      <c r="AA218" s="16">
        <v>12000</v>
      </c>
      <c r="AB218" s="6">
        <f t="shared" si="6"/>
        <v>1728000</v>
      </c>
      <c r="AC218" s="93"/>
      <c r="AF218" s="67">
        <v>48245</v>
      </c>
      <c r="AG218" s="68">
        <f>AC220</f>
        <v>8064000</v>
      </c>
    </row>
    <row r="219" spans="1:33" ht="18.75" thickBot="1" x14ac:dyDescent="0.3">
      <c r="A219" s="97"/>
      <c r="B219" s="12" t="s">
        <v>30</v>
      </c>
      <c r="C219" s="12">
        <v>20</v>
      </c>
      <c r="D219" s="16">
        <v>12000</v>
      </c>
      <c r="E219" s="16">
        <v>12000</v>
      </c>
      <c r="F219" s="16">
        <v>12000</v>
      </c>
      <c r="G219" s="16">
        <v>12000</v>
      </c>
      <c r="H219" s="16">
        <v>12000</v>
      </c>
      <c r="I219" s="16">
        <v>12000</v>
      </c>
      <c r="J219" s="16">
        <v>12000</v>
      </c>
      <c r="K219" s="16">
        <v>12000</v>
      </c>
      <c r="L219" s="16">
        <v>12000</v>
      </c>
      <c r="M219" s="16">
        <v>12000</v>
      </c>
      <c r="N219" s="16">
        <v>12000</v>
      </c>
      <c r="O219" s="16">
        <v>12000</v>
      </c>
      <c r="P219" s="16">
        <v>12000</v>
      </c>
      <c r="Q219" s="16">
        <v>12000</v>
      </c>
      <c r="R219" s="16">
        <v>12000</v>
      </c>
      <c r="S219" s="16">
        <v>12000</v>
      </c>
      <c r="T219" s="16">
        <v>12000</v>
      </c>
      <c r="U219" s="16">
        <v>12000</v>
      </c>
      <c r="V219" s="16">
        <v>12000</v>
      </c>
      <c r="W219" s="16">
        <v>12000</v>
      </c>
      <c r="X219" s="16">
        <v>12000</v>
      </c>
      <c r="Y219" s="16">
        <v>12000</v>
      </c>
      <c r="Z219" s="16">
        <v>12000</v>
      </c>
      <c r="AA219" s="16">
        <v>12000</v>
      </c>
      <c r="AB219" s="6">
        <f t="shared" si="6"/>
        <v>5760000</v>
      </c>
      <c r="AC219" s="94"/>
      <c r="AF219" s="67">
        <v>48274</v>
      </c>
      <c r="AG219" s="68">
        <f>AC223</f>
        <v>8928000</v>
      </c>
    </row>
    <row r="220" spans="1:33" ht="18.75" thickBot="1" x14ac:dyDescent="0.3">
      <c r="A220" s="95">
        <v>48245</v>
      </c>
      <c r="B220" s="9" t="s">
        <v>28</v>
      </c>
      <c r="C220" s="9">
        <v>4</v>
      </c>
      <c r="D220" s="16">
        <v>12000</v>
      </c>
      <c r="E220" s="16">
        <v>12000</v>
      </c>
      <c r="F220" s="16">
        <v>12000</v>
      </c>
      <c r="G220" s="16">
        <v>12000</v>
      </c>
      <c r="H220" s="16">
        <v>12000</v>
      </c>
      <c r="I220" s="16">
        <v>12000</v>
      </c>
      <c r="J220" s="16">
        <v>12000</v>
      </c>
      <c r="K220" s="16">
        <v>12000</v>
      </c>
      <c r="L220" s="16">
        <v>12000</v>
      </c>
      <c r="M220" s="16">
        <v>12000</v>
      </c>
      <c r="N220" s="16">
        <v>12000</v>
      </c>
      <c r="O220" s="16">
        <v>12000</v>
      </c>
      <c r="P220" s="16">
        <v>12000</v>
      </c>
      <c r="Q220" s="16">
        <v>12000</v>
      </c>
      <c r="R220" s="16">
        <v>12000</v>
      </c>
      <c r="S220" s="16">
        <v>12000</v>
      </c>
      <c r="T220" s="16">
        <v>12000</v>
      </c>
      <c r="U220" s="16">
        <v>12000</v>
      </c>
      <c r="V220" s="16">
        <v>12000</v>
      </c>
      <c r="W220" s="16">
        <v>12000</v>
      </c>
      <c r="X220" s="16">
        <v>12000</v>
      </c>
      <c r="Y220" s="16">
        <v>12000</v>
      </c>
      <c r="Z220" s="16">
        <v>12000</v>
      </c>
      <c r="AA220" s="16">
        <v>12000</v>
      </c>
      <c r="AB220" s="6">
        <f t="shared" si="6"/>
        <v>1152000</v>
      </c>
      <c r="AC220" s="92">
        <f>+AB220+AB221+AB222</f>
        <v>8064000</v>
      </c>
      <c r="AF220" s="67">
        <v>48305</v>
      </c>
      <c r="AG220" s="68">
        <f>AC226</f>
        <v>8640000</v>
      </c>
    </row>
    <row r="221" spans="1:33" ht="18.75" thickBot="1" x14ac:dyDescent="0.3">
      <c r="A221" s="96"/>
      <c r="B221" s="11" t="s">
        <v>29</v>
      </c>
      <c r="C221" s="11">
        <v>4</v>
      </c>
      <c r="D221" s="16">
        <v>12000</v>
      </c>
      <c r="E221" s="16">
        <v>12000</v>
      </c>
      <c r="F221" s="16">
        <v>12000</v>
      </c>
      <c r="G221" s="16">
        <v>12000</v>
      </c>
      <c r="H221" s="16">
        <v>12000</v>
      </c>
      <c r="I221" s="16">
        <v>12000</v>
      </c>
      <c r="J221" s="16">
        <v>12000</v>
      </c>
      <c r="K221" s="16">
        <v>12000</v>
      </c>
      <c r="L221" s="16">
        <v>12000</v>
      </c>
      <c r="M221" s="16">
        <v>12000</v>
      </c>
      <c r="N221" s="16">
        <v>12000</v>
      </c>
      <c r="O221" s="16">
        <v>12000</v>
      </c>
      <c r="P221" s="16">
        <v>12000</v>
      </c>
      <c r="Q221" s="16">
        <v>12000</v>
      </c>
      <c r="R221" s="16">
        <v>12000</v>
      </c>
      <c r="S221" s="16">
        <v>12000</v>
      </c>
      <c r="T221" s="16">
        <v>12000</v>
      </c>
      <c r="U221" s="16">
        <v>12000</v>
      </c>
      <c r="V221" s="16">
        <v>12000</v>
      </c>
      <c r="W221" s="16">
        <v>12000</v>
      </c>
      <c r="X221" s="16">
        <v>12000</v>
      </c>
      <c r="Y221" s="16">
        <v>12000</v>
      </c>
      <c r="Z221" s="16">
        <v>12000</v>
      </c>
      <c r="AA221" s="16">
        <v>12000</v>
      </c>
      <c r="AB221" s="6">
        <f t="shared" si="6"/>
        <v>1152000</v>
      </c>
      <c r="AC221" s="93"/>
      <c r="AF221" s="67">
        <v>48335</v>
      </c>
      <c r="AG221" s="68">
        <f>AC229</f>
        <v>8928000</v>
      </c>
    </row>
    <row r="222" spans="1:33" ht="18.75" thickBot="1" x14ac:dyDescent="0.3">
      <c r="A222" s="97"/>
      <c r="B222" s="12" t="s">
        <v>30</v>
      </c>
      <c r="C222" s="12">
        <v>20</v>
      </c>
      <c r="D222" s="16">
        <v>12000</v>
      </c>
      <c r="E222" s="16">
        <v>12000</v>
      </c>
      <c r="F222" s="16">
        <v>12000</v>
      </c>
      <c r="G222" s="16">
        <v>12000</v>
      </c>
      <c r="H222" s="16">
        <v>12000</v>
      </c>
      <c r="I222" s="16">
        <v>12000</v>
      </c>
      <c r="J222" s="16">
        <v>12000</v>
      </c>
      <c r="K222" s="16">
        <v>12000</v>
      </c>
      <c r="L222" s="16">
        <v>12000</v>
      </c>
      <c r="M222" s="16">
        <v>12000</v>
      </c>
      <c r="N222" s="16">
        <v>12000</v>
      </c>
      <c r="O222" s="16">
        <v>12000</v>
      </c>
      <c r="P222" s="16">
        <v>12000</v>
      </c>
      <c r="Q222" s="16">
        <v>12000</v>
      </c>
      <c r="R222" s="16">
        <v>12000</v>
      </c>
      <c r="S222" s="16">
        <v>12000</v>
      </c>
      <c r="T222" s="16">
        <v>12000</v>
      </c>
      <c r="U222" s="16">
        <v>12000</v>
      </c>
      <c r="V222" s="16">
        <v>12000</v>
      </c>
      <c r="W222" s="16">
        <v>12000</v>
      </c>
      <c r="X222" s="16">
        <v>12000</v>
      </c>
      <c r="Y222" s="16">
        <v>12000</v>
      </c>
      <c r="Z222" s="16">
        <v>12000</v>
      </c>
      <c r="AA222" s="16">
        <v>12000</v>
      </c>
      <c r="AB222" s="6">
        <f t="shared" si="6"/>
        <v>5760000</v>
      </c>
      <c r="AC222" s="94"/>
      <c r="AF222" s="67">
        <v>48366</v>
      </c>
      <c r="AG222" s="68">
        <f>AC232</f>
        <v>8640000</v>
      </c>
    </row>
    <row r="223" spans="1:33" ht="18.75" thickBot="1" x14ac:dyDescent="0.3">
      <c r="A223" s="95">
        <v>48274</v>
      </c>
      <c r="B223" s="9" t="s">
        <v>28</v>
      </c>
      <c r="C223" s="9">
        <v>4</v>
      </c>
      <c r="D223" s="16">
        <v>12000</v>
      </c>
      <c r="E223" s="16">
        <v>12000</v>
      </c>
      <c r="F223" s="16">
        <v>12000</v>
      </c>
      <c r="G223" s="16">
        <v>12000</v>
      </c>
      <c r="H223" s="16">
        <v>12000</v>
      </c>
      <c r="I223" s="16">
        <v>12000</v>
      </c>
      <c r="J223" s="16">
        <v>12000</v>
      </c>
      <c r="K223" s="16">
        <v>12000</v>
      </c>
      <c r="L223" s="16">
        <v>12000</v>
      </c>
      <c r="M223" s="16">
        <v>12000</v>
      </c>
      <c r="N223" s="16">
        <v>12000</v>
      </c>
      <c r="O223" s="16">
        <v>12000</v>
      </c>
      <c r="P223" s="16">
        <v>12000</v>
      </c>
      <c r="Q223" s="16">
        <v>12000</v>
      </c>
      <c r="R223" s="16">
        <v>12000</v>
      </c>
      <c r="S223" s="16">
        <v>12000</v>
      </c>
      <c r="T223" s="16">
        <v>12000</v>
      </c>
      <c r="U223" s="16">
        <v>12000</v>
      </c>
      <c r="V223" s="16">
        <v>12000</v>
      </c>
      <c r="W223" s="16">
        <v>12000</v>
      </c>
      <c r="X223" s="16">
        <v>12000</v>
      </c>
      <c r="Y223" s="16">
        <v>12000</v>
      </c>
      <c r="Z223" s="16">
        <v>12000</v>
      </c>
      <c r="AA223" s="16">
        <v>12000</v>
      </c>
      <c r="AB223" s="6">
        <f t="shared" si="6"/>
        <v>1152000</v>
      </c>
      <c r="AC223" s="92">
        <f>+AB223+AB224+AB225</f>
        <v>8928000</v>
      </c>
      <c r="AF223" s="67">
        <v>48396</v>
      </c>
      <c r="AG223" s="68">
        <f>AC235</f>
        <v>8928000</v>
      </c>
    </row>
    <row r="224" spans="1:33" ht="18.75" thickBot="1" x14ac:dyDescent="0.3">
      <c r="A224" s="96"/>
      <c r="B224" s="11" t="s">
        <v>29</v>
      </c>
      <c r="C224" s="11">
        <v>7</v>
      </c>
      <c r="D224" s="16">
        <v>12000</v>
      </c>
      <c r="E224" s="16">
        <v>12000</v>
      </c>
      <c r="F224" s="16">
        <v>12000</v>
      </c>
      <c r="G224" s="16">
        <v>12000</v>
      </c>
      <c r="H224" s="16">
        <v>12000</v>
      </c>
      <c r="I224" s="16">
        <v>12000</v>
      </c>
      <c r="J224" s="16">
        <v>12000</v>
      </c>
      <c r="K224" s="16">
        <v>12000</v>
      </c>
      <c r="L224" s="16">
        <v>12000</v>
      </c>
      <c r="M224" s="16">
        <v>12000</v>
      </c>
      <c r="N224" s="16">
        <v>12000</v>
      </c>
      <c r="O224" s="16">
        <v>12000</v>
      </c>
      <c r="P224" s="16">
        <v>12000</v>
      </c>
      <c r="Q224" s="16">
        <v>12000</v>
      </c>
      <c r="R224" s="16">
        <v>12000</v>
      </c>
      <c r="S224" s="16">
        <v>12000</v>
      </c>
      <c r="T224" s="16">
        <v>12000</v>
      </c>
      <c r="U224" s="16">
        <v>12000</v>
      </c>
      <c r="V224" s="16">
        <v>12000</v>
      </c>
      <c r="W224" s="16">
        <v>12000</v>
      </c>
      <c r="X224" s="16">
        <v>12000</v>
      </c>
      <c r="Y224" s="16">
        <v>12000</v>
      </c>
      <c r="Z224" s="16">
        <v>12000</v>
      </c>
      <c r="AA224" s="16">
        <v>12000</v>
      </c>
      <c r="AB224" s="6">
        <f t="shared" si="6"/>
        <v>2016000</v>
      </c>
      <c r="AC224" s="93"/>
      <c r="AF224" s="67">
        <v>48427</v>
      </c>
      <c r="AG224" s="68">
        <f>AC238</f>
        <v>8928000</v>
      </c>
    </row>
    <row r="225" spans="1:33" ht="18.75" thickBot="1" x14ac:dyDescent="0.3">
      <c r="A225" s="97"/>
      <c r="B225" s="12" t="s">
        <v>30</v>
      </c>
      <c r="C225" s="12">
        <v>20</v>
      </c>
      <c r="D225" s="16">
        <v>12000</v>
      </c>
      <c r="E225" s="16">
        <v>12000</v>
      </c>
      <c r="F225" s="16">
        <v>12000</v>
      </c>
      <c r="G225" s="16">
        <v>12000</v>
      </c>
      <c r="H225" s="16">
        <v>12000</v>
      </c>
      <c r="I225" s="16">
        <v>12000</v>
      </c>
      <c r="J225" s="16">
        <v>12000</v>
      </c>
      <c r="K225" s="16">
        <v>12000</v>
      </c>
      <c r="L225" s="16">
        <v>12000</v>
      </c>
      <c r="M225" s="16">
        <v>12000</v>
      </c>
      <c r="N225" s="16">
        <v>12000</v>
      </c>
      <c r="O225" s="16">
        <v>12000</v>
      </c>
      <c r="P225" s="16">
        <v>12000</v>
      </c>
      <c r="Q225" s="16">
        <v>12000</v>
      </c>
      <c r="R225" s="16">
        <v>12000</v>
      </c>
      <c r="S225" s="16">
        <v>12000</v>
      </c>
      <c r="T225" s="16">
        <v>12000</v>
      </c>
      <c r="U225" s="16">
        <v>12000</v>
      </c>
      <c r="V225" s="16">
        <v>12000</v>
      </c>
      <c r="W225" s="16">
        <v>12000</v>
      </c>
      <c r="X225" s="16">
        <v>12000</v>
      </c>
      <c r="Y225" s="16">
        <v>12000</v>
      </c>
      <c r="Z225" s="16">
        <v>12000</v>
      </c>
      <c r="AA225" s="16">
        <v>12000</v>
      </c>
      <c r="AB225" s="6">
        <f t="shared" si="6"/>
        <v>5760000</v>
      </c>
      <c r="AC225" s="94"/>
      <c r="AF225" s="67">
        <v>48458</v>
      </c>
      <c r="AG225" s="68">
        <f>AC241</f>
        <v>8640000</v>
      </c>
    </row>
    <row r="226" spans="1:33" ht="18.75" thickBot="1" x14ac:dyDescent="0.3">
      <c r="A226" s="95">
        <v>48305</v>
      </c>
      <c r="B226" s="9" t="s">
        <v>28</v>
      </c>
      <c r="C226" s="9">
        <v>4</v>
      </c>
      <c r="D226" s="16">
        <v>12000</v>
      </c>
      <c r="E226" s="16">
        <v>12000</v>
      </c>
      <c r="F226" s="16">
        <v>12000</v>
      </c>
      <c r="G226" s="16">
        <v>12000</v>
      </c>
      <c r="H226" s="16">
        <v>12000</v>
      </c>
      <c r="I226" s="16">
        <v>12000</v>
      </c>
      <c r="J226" s="16">
        <v>12000</v>
      </c>
      <c r="K226" s="16">
        <v>12000</v>
      </c>
      <c r="L226" s="16">
        <v>12000</v>
      </c>
      <c r="M226" s="16">
        <v>12000</v>
      </c>
      <c r="N226" s="16">
        <v>12000</v>
      </c>
      <c r="O226" s="16">
        <v>12000</v>
      </c>
      <c r="P226" s="16">
        <v>12000</v>
      </c>
      <c r="Q226" s="16">
        <v>12000</v>
      </c>
      <c r="R226" s="16">
        <v>12000</v>
      </c>
      <c r="S226" s="16">
        <v>12000</v>
      </c>
      <c r="T226" s="16">
        <v>12000</v>
      </c>
      <c r="U226" s="16">
        <v>12000</v>
      </c>
      <c r="V226" s="16">
        <v>12000</v>
      </c>
      <c r="W226" s="16">
        <v>12000</v>
      </c>
      <c r="X226" s="16">
        <v>12000</v>
      </c>
      <c r="Y226" s="16">
        <v>12000</v>
      </c>
      <c r="Z226" s="16">
        <v>12000</v>
      </c>
      <c r="AA226" s="16">
        <v>12000</v>
      </c>
      <c r="AB226" s="6">
        <f t="shared" si="6"/>
        <v>1152000</v>
      </c>
      <c r="AC226" s="92">
        <f>+AB226+AB227+AB228</f>
        <v>8640000</v>
      </c>
      <c r="AF226" s="67">
        <v>48488</v>
      </c>
      <c r="AG226" s="68">
        <f>AC244</f>
        <v>8928000</v>
      </c>
    </row>
    <row r="227" spans="1:33" ht="18.75" thickBot="1" x14ac:dyDescent="0.3">
      <c r="A227" s="96"/>
      <c r="B227" s="11" t="s">
        <v>29</v>
      </c>
      <c r="C227" s="11">
        <v>4</v>
      </c>
      <c r="D227" s="16">
        <v>12000</v>
      </c>
      <c r="E227" s="16">
        <v>12000</v>
      </c>
      <c r="F227" s="16">
        <v>12000</v>
      </c>
      <c r="G227" s="16">
        <v>12000</v>
      </c>
      <c r="H227" s="16">
        <v>12000</v>
      </c>
      <c r="I227" s="16">
        <v>12000</v>
      </c>
      <c r="J227" s="16">
        <v>12000</v>
      </c>
      <c r="K227" s="16">
        <v>12000</v>
      </c>
      <c r="L227" s="16">
        <v>12000</v>
      </c>
      <c r="M227" s="16">
        <v>12000</v>
      </c>
      <c r="N227" s="16">
        <v>12000</v>
      </c>
      <c r="O227" s="16">
        <v>12000</v>
      </c>
      <c r="P227" s="16">
        <v>12000</v>
      </c>
      <c r="Q227" s="16">
        <v>12000</v>
      </c>
      <c r="R227" s="16">
        <v>12000</v>
      </c>
      <c r="S227" s="16">
        <v>12000</v>
      </c>
      <c r="T227" s="16">
        <v>12000</v>
      </c>
      <c r="U227" s="16">
        <v>12000</v>
      </c>
      <c r="V227" s="16">
        <v>12000</v>
      </c>
      <c r="W227" s="16">
        <v>12000</v>
      </c>
      <c r="X227" s="16">
        <v>12000</v>
      </c>
      <c r="Y227" s="16">
        <v>12000</v>
      </c>
      <c r="Z227" s="16">
        <v>12000</v>
      </c>
      <c r="AA227" s="16">
        <v>12000</v>
      </c>
      <c r="AB227" s="6">
        <f t="shared" si="6"/>
        <v>1152000</v>
      </c>
      <c r="AC227" s="93"/>
      <c r="AF227" s="67">
        <v>48519</v>
      </c>
      <c r="AG227" s="68">
        <f>AC247</f>
        <v>8640000</v>
      </c>
    </row>
    <row r="228" spans="1:33" ht="18.75" thickBot="1" x14ac:dyDescent="0.3">
      <c r="A228" s="97"/>
      <c r="B228" s="12" t="s">
        <v>30</v>
      </c>
      <c r="C228" s="12">
        <v>22</v>
      </c>
      <c r="D228" s="16">
        <v>12000</v>
      </c>
      <c r="E228" s="16">
        <v>12000</v>
      </c>
      <c r="F228" s="16">
        <v>12000</v>
      </c>
      <c r="G228" s="16">
        <v>12000</v>
      </c>
      <c r="H228" s="16">
        <v>12000</v>
      </c>
      <c r="I228" s="16">
        <v>12000</v>
      </c>
      <c r="J228" s="16">
        <v>12000</v>
      </c>
      <c r="K228" s="16">
        <v>12000</v>
      </c>
      <c r="L228" s="16">
        <v>12000</v>
      </c>
      <c r="M228" s="16">
        <v>12000</v>
      </c>
      <c r="N228" s="16">
        <v>12000</v>
      </c>
      <c r="O228" s="16">
        <v>12000</v>
      </c>
      <c r="P228" s="16">
        <v>12000</v>
      </c>
      <c r="Q228" s="16">
        <v>12000</v>
      </c>
      <c r="R228" s="16">
        <v>12000</v>
      </c>
      <c r="S228" s="16">
        <v>12000</v>
      </c>
      <c r="T228" s="16">
        <v>12000</v>
      </c>
      <c r="U228" s="16">
        <v>12000</v>
      </c>
      <c r="V228" s="16">
        <v>12000</v>
      </c>
      <c r="W228" s="16">
        <v>12000</v>
      </c>
      <c r="X228" s="16">
        <v>12000</v>
      </c>
      <c r="Y228" s="16">
        <v>12000</v>
      </c>
      <c r="Z228" s="16">
        <v>12000</v>
      </c>
      <c r="AA228" s="16">
        <v>12000</v>
      </c>
      <c r="AB228" s="6">
        <f t="shared" si="6"/>
        <v>6336000</v>
      </c>
      <c r="AC228" s="94"/>
      <c r="AF228" s="67">
        <v>48549</v>
      </c>
      <c r="AG228" s="68">
        <f>AC250</f>
        <v>8928000</v>
      </c>
    </row>
    <row r="229" spans="1:33" ht="18.75" thickBot="1" x14ac:dyDescent="0.3">
      <c r="A229" s="95">
        <v>48335</v>
      </c>
      <c r="B229" s="9" t="s">
        <v>28</v>
      </c>
      <c r="C229" s="9">
        <v>4</v>
      </c>
      <c r="D229" s="16">
        <v>12000</v>
      </c>
      <c r="E229" s="16">
        <v>12000</v>
      </c>
      <c r="F229" s="16">
        <v>12000</v>
      </c>
      <c r="G229" s="16">
        <v>12000</v>
      </c>
      <c r="H229" s="16">
        <v>12000</v>
      </c>
      <c r="I229" s="16">
        <v>12000</v>
      </c>
      <c r="J229" s="16">
        <v>12000</v>
      </c>
      <c r="K229" s="16">
        <v>12000</v>
      </c>
      <c r="L229" s="16">
        <v>12000</v>
      </c>
      <c r="M229" s="16">
        <v>12000</v>
      </c>
      <c r="N229" s="16">
        <v>12000</v>
      </c>
      <c r="O229" s="16">
        <v>12000</v>
      </c>
      <c r="P229" s="16">
        <v>12000</v>
      </c>
      <c r="Q229" s="16">
        <v>12000</v>
      </c>
      <c r="R229" s="16">
        <v>12000</v>
      </c>
      <c r="S229" s="16">
        <v>12000</v>
      </c>
      <c r="T229" s="16">
        <v>12000</v>
      </c>
      <c r="U229" s="16">
        <v>12000</v>
      </c>
      <c r="V229" s="16">
        <v>12000</v>
      </c>
      <c r="W229" s="16">
        <v>12000</v>
      </c>
      <c r="X229" s="16">
        <v>12000</v>
      </c>
      <c r="Y229" s="16">
        <v>12000</v>
      </c>
      <c r="Z229" s="16">
        <v>12000</v>
      </c>
      <c r="AA229" s="16">
        <v>12000</v>
      </c>
      <c r="AB229" s="6">
        <f t="shared" si="6"/>
        <v>1152000</v>
      </c>
      <c r="AC229" s="92">
        <f>+AB229+AB230+AB231</f>
        <v>8928000</v>
      </c>
    </row>
    <row r="230" spans="1:33" ht="18.75" thickBot="1" x14ac:dyDescent="0.3">
      <c r="A230" s="96"/>
      <c r="B230" s="11" t="s">
        <v>29</v>
      </c>
      <c r="C230" s="11">
        <v>8</v>
      </c>
      <c r="D230" s="16">
        <v>12000</v>
      </c>
      <c r="E230" s="16">
        <v>12000</v>
      </c>
      <c r="F230" s="16">
        <v>12000</v>
      </c>
      <c r="G230" s="16">
        <v>12000</v>
      </c>
      <c r="H230" s="16">
        <v>12000</v>
      </c>
      <c r="I230" s="16">
        <v>12000</v>
      </c>
      <c r="J230" s="16">
        <v>12000</v>
      </c>
      <c r="K230" s="16">
        <v>12000</v>
      </c>
      <c r="L230" s="16">
        <v>12000</v>
      </c>
      <c r="M230" s="16">
        <v>12000</v>
      </c>
      <c r="N230" s="16">
        <v>12000</v>
      </c>
      <c r="O230" s="16">
        <v>12000</v>
      </c>
      <c r="P230" s="16">
        <v>12000</v>
      </c>
      <c r="Q230" s="16">
        <v>12000</v>
      </c>
      <c r="R230" s="16">
        <v>12000</v>
      </c>
      <c r="S230" s="16">
        <v>12000</v>
      </c>
      <c r="T230" s="16">
        <v>12000</v>
      </c>
      <c r="U230" s="16">
        <v>12000</v>
      </c>
      <c r="V230" s="16">
        <v>12000</v>
      </c>
      <c r="W230" s="16">
        <v>12000</v>
      </c>
      <c r="X230" s="16">
        <v>12000</v>
      </c>
      <c r="Y230" s="16">
        <v>12000</v>
      </c>
      <c r="Z230" s="16">
        <v>12000</v>
      </c>
      <c r="AA230" s="16">
        <v>12000</v>
      </c>
      <c r="AB230" s="6">
        <f t="shared" si="6"/>
        <v>2304000</v>
      </c>
      <c r="AC230" s="93"/>
    </row>
    <row r="231" spans="1:33" ht="18.75" thickBot="1" x14ac:dyDescent="0.3">
      <c r="A231" s="97"/>
      <c r="B231" s="12" t="s">
        <v>30</v>
      </c>
      <c r="C231" s="12">
        <v>19</v>
      </c>
      <c r="D231" s="16">
        <v>12000</v>
      </c>
      <c r="E231" s="16">
        <v>12000</v>
      </c>
      <c r="F231" s="16">
        <v>12000</v>
      </c>
      <c r="G231" s="16">
        <v>12000</v>
      </c>
      <c r="H231" s="16">
        <v>12000</v>
      </c>
      <c r="I231" s="16">
        <v>12000</v>
      </c>
      <c r="J231" s="16">
        <v>12000</v>
      </c>
      <c r="K231" s="16">
        <v>12000</v>
      </c>
      <c r="L231" s="16">
        <v>12000</v>
      </c>
      <c r="M231" s="16">
        <v>12000</v>
      </c>
      <c r="N231" s="16">
        <v>12000</v>
      </c>
      <c r="O231" s="16">
        <v>12000</v>
      </c>
      <c r="P231" s="16">
        <v>12000</v>
      </c>
      <c r="Q231" s="16">
        <v>12000</v>
      </c>
      <c r="R231" s="16">
        <v>12000</v>
      </c>
      <c r="S231" s="16">
        <v>12000</v>
      </c>
      <c r="T231" s="16">
        <v>12000</v>
      </c>
      <c r="U231" s="16">
        <v>12000</v>
      </c>
      <c r="V231" s="16">
        <v>12000</v>
      </c>
      <c r="W231" s="16">
        <v>12000</v>
      </c>
      <c r="X231" s="16">
        <v>12000</v>
      </c>
      <c r="Y231" s="16">
        <v>12000</v>
      </c>
      <c r="Z231" s="16">
        <v>12000</v>
      </c>
      <c r="AA231" s="16">
        <v>12000</v>
      </c>
      <c r="AB231" s="6">
        <f t="shared" si="6"/>
        <v>5472000</v>
      </c>
      <c r="AC231" s="94"/>
    </row>
    <row r="232" spans="1:33" ht="18.75" thickBot="1" x14ac:dyDescent="0.3">
      <c r="A232" s="95">
        <v>48366</v>
      </c>
      <c r="B232" s="9" t="s">
        <v>28</v>
      </c>
      <c r="C232" s="9">
        <v>4</v>
      </c>
      <c r="D232" s="16">
        <v>12000</v>
      </c>
      <c r="E232" s="16">
        <v>12000</v>
      </c>
      <c r="F232" s="16">
        <v>12000</v>
      </c>
      <c r="G232" s="16">
        <v>12000</v>
      </c>
      <c r="H232" s="16">
        <v>12000</v>
      </c>
      <c r="I232" s="16">
        <v>12000</v>
      </c>
      <c r="J232" s="16">
        <v>12000</v>
      </c>
      <c r="K232" s="16">
        <v>12000</v>
      </c>
      <c r="L232" s="16">
        <v>12000</v>
      </c>
      <c r="M232" s="16">
        <v>12000</v>
      </c>
      <c r="N232" s="16">
        <v>12000</v>
      </c>
      <c r="O232" s="16">
        <v>12000</v>
      </c>
      <c r="P232" s="16">
        <v>12000</v>
      </c>
      <c r="Q232" s="16">
        <v>12000</v>
      </c>
      <c r="R232" s="16">
        <v>12000</v>
      </c>
      <c r="S232" s="16">
        <v>12000</v>
      </c>
      <c r="T232" s="16">
        <v>12000</v>
      </c>
      <c r="U232" s="16">
        <v>12000</v>
      </c>
      <c r="V232" s="16">
        <v>12000</v>
      </c>
      <c r="W232" s="16">
        <v>12000</v>
      </c>
      <c r="X232" s="16">
        <v>12000</v>
      </c>
      <c r="Y232" s="16">
        <v>12000</v>
      </c>
      <c r="Z232" s="16">
        <v>12000</v>
      </c>
      <c r="AA232" s="16">
        <v>12000</v>
      </c>
      <c r="AB232" s="6">
        <f t="shared" si="6"/>
        <v>1152000</v>
      </c>
      <c r="AC232" s="92">
        <f>+AB232+AB233+AB234</f>
        <v>8640000</v>
      </c>
    </row>
    <row r="233" spans="1:33" ht="18.75" thickBot="1" x14ac:dyDescent="0.3">
      <c r="A233" s="96"/>
      <c r="B233" s="11" t="s">
        <v>29</v>
      </c>
      <c r="C233" s="11">
        <v>4</v>
      </c>
      <c r="D233" s="16">
        <v>12000</v>
      </c>
      <c r="E233" s="16">
        <v>12000</v>
      </c>
      <c r="F233" s="16">
        <v>12000</v>
      </c>
      <c r="G233" s="16">
        <v>12000</v>
      </c>
      <c r="H233" s="16">
        <v>12000</v>
      </c>
      <c r="I233" s="16">
        <v>12000</v>
      </c>
      <c r="J233" s="16">
        <v>12000</v>
      </c>
      <c r="K233" s="16">
        <v>12000</v>
      </c>
      <c r="L233" s="16">
        <v>12000</v>
      </c>
      <c r="M233" s="16">
        <v>12000</v>
      </c>
      <c r="N233" s="16">
        <v>12000</v>
      </c>
      <c r="O233" s="16">
        <v>12000</v>
      </c>
      <c r="P233" s="16">
        <v>12000</v>
      </c>
      <c r="Q233" s="16">
        <v>12000</v>
      </c>
      <c r="R233" s="16">
        <v>12000</v>
      </c>
      <c r="S233" s="16">
        <v>12000</v>
      </c>
      <c r="T233" s="16">
        <v>12000</v>
      </c>
      <c r="U233" s="16">
        <v>12000</v>
      </c>
      <c r="V233" s="16">
        <v>12000</v>
      </c>
      <c r="W233" s="16">
        <v>12000</v>
      </c>
      <c r="X233" s="16">
        <v>12000</v>
      </c>
      <c r="Y233" s="16">
        <v>12000</v>
      </c>
      <c r="Z233" s="16">
        <v>12000</v>
      </c>
      <c r="AA233" s="16">
        <v>12000</v>
      </c>
      <c r="AB233" s="6">
        <f t="shared" si="6"/>
        <v>1152000</v>
      </c>
      <c r="AC233" s="93"/>
    </row>
    <row r="234" spans="1:33" ht="18.75" thickBot="1" x14ac:dyDescent="0.3">
      <c r="A234" s="97"/>
      <c r="B234" s="12" t="s">
        <v>30</v>
      </c>
      <c r="C234" s="12">
        <v>22</v>
      </c>
      <c r="D234" s="16">
        <v>12000</v>
      </c>
      <c r="E234" s="16">
        <v>12000</v>
      </c>
      <c r="F234" s="16">
        <v>12000</v>
      </c>
      <c r="G234" s="16">
        <v>12000</v>
      </c>
      <c r="H234" s="16">
        <v>12000</v>
      </c>
      <c r="I234" s="16">
        <v>12000</v>
      </c>
      <c r="J234" s="16">
        <v>12000</v>
      </c>
      <c r="K234" s="16">
        <v>12000</v>
      </c>
      <c r="L234" s="16">
        <v>12000</v>
      </c>
      <c r="M234" s="16">
        <v>12000</v>
      </c>
      <c r="N234" s="16">
        <v>12000</v>
      </c>
      <c r="O234" s="16">
        <v>12000</v>
      </c>
      <c r="P234" s="16">
        <v>12000</v>
      </c>
      <c r="Q234" s="16">
        <v>12000</v>
      </c>
      <c r="R234" s="16">
        <v>12000</v>
      </c>
      <c r="S234" s="16">
        <v>12000</v>
      </c>
      <c r="T234" s="16">
        <v>12000</v>
      </c>
      <c r="U234" s="16">
        <v>12000</v>
      </c>
      <c r="V234" s="16">
        <v>12000</v>
      </c>
      <c r="W234" s="16">
        <v>12000</v>
      </c>
      <c r="X234" s="16">
        <v>12000</v>
      </c>
      <c r="Y234" s="16">
        <v>12000</v>
      </c>
      <c r="Z234" s="16">
        <v>12000</v>
      </c>
      <c r="AA234" s="16">
        <v>12000</v>
      </c>
      <c r="AB234" s="6">
        <f t="shared" si="6"/>
        <v>6336000</v>
      </c>
      <c r="AC234" s="94"/>
    </row>
    <row r="235" spans="1:33" ht="18.75" thickBot="1" x14ac:dyDescent="0.3">
      <c r="A235" s="95">
        <v>48396</v>
      </c>
      <c r="B235" s="9" t="s">
        <v>28</v>
      </c>
      <c r="C235" s="9">
        <v>5</v>
      </c>
      <c r="D235" s="16">
        <v>12000</v>
      </c>
      <c r="E235" s="16">
        <v>12000</v>
      </c>
      <c r="F235" s="16">
        <v>12000</v>
      </c>
      <c r="G235" s="16">
        <v>12000</v>
      </c>
      <c r="H235" s="16">
        <v>12000</v>
      </c>
      <c r="I235" s="16">
        <v>12000</v>
      </c>
      <c r="J235" s="16">
        <v>12000</v>
      </c>
      <c r="K235" s="16">
        <v>12000</v>
      </c>
      <c r="L235" s="16">
        <v>12000</v>
      </c>
      <c r="M235" s="16">
        <v>12000</v>
      </c>
      <c r="N235" s="16">
        <v>12000</v>
      </c>
      <c r="O235" s="16">
        <v>12000</v>
      </c>
      <c r="P235" s="16">
        <v>12000</v>
      </c>
      <c r="Q235" s="16">
        <v>12000</v>
      </c>
      <c r="R235" s="16">
        <v>12000</v>
      </c>
      <c r="S235" s="16">
        <v>12000</v>
      </c>
      <c r="T235" s="16">
        <v>12000</v>
      </c>
      <c r="U235" s="16">
        <v>12000</v>
      </c>
      <c r="V235" s="16">
        <v>12000</v>
      </c>
      <c r="W235" s="16">
        <v>12000</v>
      </c>
      <c r="X235" s="16">
        <v>12000</v>
      </c>
      <c r="Y235" s="16">
        <v>12000</v>
      </c>
      <c r="Z235" s="16">
        <v>12000</v>
      </c>
      <c r="AA235" s="16">
        <v>12000</v>
      </c>
      <c r="AB235" s="6">
        <f t="shared" si="6"/>
        <v>1440000</v>
      </c>
      <c r="AC235" s="92">
        <f>+AB235+AB236+AB237</f>
        <v>8928000</v>
      </c>
    </row>
    <row r="236" spans="1:33" ht="18.75" thickBot="1" x14ac:dyDescent="0.3">
      <c r="A236" s="96"/>
      <c r="B236" s="11" t="s">
        <v>29</v>
      </c>
      <c r="C236" s="11">
        <v>4</v>
      </c>
      <c r="D236" s="16">
        <v>12000</v>
      </c>
      <c r="E236" s="16">
        <v>12000</v>
      </c>
      <c r="F236" s="16">
        <v>12000</v>
      </c>
      <c r="G236" s="16">
        <v>12000</v>
      </c>
      <c r="H236" s="16">
        <v>12000</v>
      </c>
      <c r="I236" s="16">
        <v>12000</v>
      </c>
      <c r="J236" s="16">
        <v>12000</v>
      </c>
      <c r="K236" s="16">
        <v>12000</v>
      </c>
      <c r="L236" s="16">
        <v>12000</v>
      </c>
      <c r="M236" s="16">
        <v>12000</v>
      </c>
      <c r="N236" s="16">
        <v>12000</v>
      </c>
      <c r="O236" s="16">
        <v>12000</v>
      </c>
      <c r="P236" s="16">
        <v>12000</v>
      </c>
      <c r="Q236" s="16">
        <v>12000</v>
      </c>
      <c r="R236" s="16">
        <v>12000</v>
      </c>
      <c r="S236" s="16">
        <v>12000</v>
      </c>
      <c r="T236" s="16">
        <v>12000</v>
      </c>
      <c r="U236" s="16">
        <v>12000</v>
      </c>
      <c r="V236" s="16">
        <v>12000</v>
      </c>
      <c r="W236" s="16">
        <v>12000</v>
      </c>
      <c r="X236" s="16">
        <v>12000</v>
      </c>
      <c r="Y236" s="16">
        <v>12000</v>
      </c>
      <c r="Z236" s="16">
        <v>12000</v>
      </c>
      <c r="AA236" s="16">
        <v>12000</v>
      </c>
      <c r="AB236" s="6">
        <f t="shared" si="6"/>
        <v>1152000</v>
      </c>
      <c r="AC236" s="93"/>
    </row>
    <row r="237" spans="1:33" ht="18.75" thickBot="1" x14ac:dyDescent="0.3">
      <c r="A237" s="97"/>
      <c r="B237" s="12" t="s">
        <v>30</v>
      </c>
      <c r="C237" s="12">
        <v>22</v>
      </c>
      <c r="D237" s="16">
        <v>12000</v>
      </c>
      <c r="E237" s="16">
        <v>12000</v>
      </c>
      <c r="F237" s="16">
        <v>12000</v>
      </c>
      <c r="G237" s="16">
        <v>12000</v>
      </c>
      <c r="H237" s="16">
        <v>12000</v>
      </c>
      <c r="I237" s="16">
        <v>12000</v>
      </c>
      <c r="J237" s="16">
        <v>12000</v>
      </c>
      <c r="K237" s="16">
        <v>12000</v>
      </c>
      <c r="L237" s="16">
        <v>12000</v>
      </c>
      <c r="M237" s="16">
        <v>12000</v>
      </c>
      <c r="N237" s="16">
        <v>12000</v>
      </c>
      <c r="O237" s="16">
        <v>12000</v>
      </c>
      <c r="P237" s="16">
        <v>12000</v>
      </c>
      <c r="Q237" s="16">
        <v>12000</v>
      </c>
      <c r="R237" s="16">
        <v>12000</v>
      </c>
      <c r="S237" s="16">
        <v>12000</v>
      </c>
      <c r="T237" s="16">
        <v>12000</v>
      </c>
      <c r="U237" s="16">
        <v>12000</v>
      </c>
      <c r="V237" s="16">
        <v>12000</v>
      </c>
      <c r="W237" s="16">
        <v>12000</v>
      </c>
      <c r="X237" s="16">
        <v>12000</v>
      </c>
      <c r="Y237" s="16">
        <v>12000</v>
      </c>
      <c r="Z237" s="16">
        <v>12000</v>
      </c>
      <c r="AA237" s="16">
        <v>12000</v>
      </c>
      <c r="AB237" s="6">
        <f t="shared" si="6"/>
        <v>6336000</v>
      </c>
      <c r="AC237" s="94"/>
    </row>
    <row r="238" spans="1:33" ht="18.75" thickBot="1" x14ac:dyDescent="0.3">
      <c r="A238" s="95">
        <v>48427</v>
      </c>
      <c r="B238" s="9" t="s">
        <v>28</v>
      </c>
      <c r="C238" s="9">
        <v>4</v>
      </c>
      <c r="D238" s="16">
        <v>12000</v>
      </c>
      <c r="E238" s="16">
        <v>12000</v>
      </c>
      <c r="F238" s="16">
        <v>12000</v>
      </c>
      <c r="G238" s="16">
        <v>12000</v>
      </c>
      <c r="H238" s="16">
        <v>12000</v>
      </c>
      <c r="I238" s="16">
        <v>12000</v>
      </c>
      <c r="J238" s="16">
        <v>12000</v>
      </c>
      <c r="K238" s="16">
        <v>12000</v>
      </c>
      <c r="L238" s="16">
        <v>12000</v>
      </c>
      <c r="M238" s="16">
        <v>12000</v>
      </c>
      <c r="N238" s="16">
        <v>12000</v>
      </c>
      <c r="O238" s="16">
        <v>12000</v>
      </c>
      <c r="P238" s="16">
        <v>12000</v>
      </c>
      <c r="Q238" s="16">
        <v>12000</v>
      </c>
      <c r="R238" s="16">
        <v>12000</v>
      </c>
      <c r="S238" s="16">
        <v>12000</v>
      </c>
      <c r="T238" s="16">
        <v>12000</v>
      </c>
      <c r="U238" s="16">
        <v>12000</v>
      </c>
      <c r="V238" s="16">
        <v>12000</v>
      </c>
      <c r="W238" s="16">
        <v>12000</v>
      </c>
      <c r="X238" s="16">
        <v>12000</v>
      </c>
      <c r="Y238" s="16">
        <v>12000</v>
      </c>
      <c r="Z238" s="16">
        <v>12000</v>
      </c>
      <c r="AA238" s="16">
        <v>12000</v>
      </c>
      <c r="AB238" s="6">
        <f t="shared" si="6"/>
        <v>1152000</v>
      </c>
      <c r="AC238" s="92">
        <f>+AB238+AB239+AB240</f>
        <v>8928000</v>
      </c>
    </row>
    <row r="239" spans="1:33" ht="18.75" thickBot="1" x14ac:dyDescent="0.3">
      <c r="A239" s="96"/>
      <c r="B239" s="11" t="s">
        <v>29</v>
      </c>
      <c r="C239" s="11">
        <v>5</v>
      </c>
      <c r="D239" s="16">
        <v>12000</v>
      </c>
      <c r="E239" s="16">
        <v>12000</v>
      </c>
      <c r="F239" s="16">
        <v>12000</v>
      </c>
      <c r="G239" s="16">
        <v>12000</v>
      </c>
      <c r="H239" s="16">
        <v>12000</v>
      </c>
      <c r="I239" s="16">
        <v>12000</v>
      </c>
      <c r="J239" s="16">
        <v>12000</v>
      </c>
      <c r="K239" s="16">
        <v>12000</v>
      </c>
      <c r="L239" s="16">
        <v>12000</v>
      </c>
      <c r="M239" s="16">
        <v>12000</v>
      </c>
      <c r="N239" s="16">
        <v>12000</v>
      </c>
      <c r="O239" s="16">
        <v>12000</v>
      </c>
      <c r="P239" s="16">
        <v>12000</v>
      </c>
      <c r="Q239" s="16">
        <v>12000</v>
      </c>
      <c r="R239" s="16">
        <v>12000</v>
      </c>
      <c r="S239" s="16">
        <v>12000</v>
      </c>
      <c r="T239" s="16">
        <v>12000</v>
      </c>
      <c r="U239" s="16">
        <v>12000</v>
      </c>
      <c r="V239" s="16">
        <v>12000</v>
      </c>
      <c r="W239" s="16">
        <v>12000</v>
      </c>
      <c r="X239" s="16">
        <v>12000</v>
      </c>
      <c r="Y239" s="16">
        <v>12000</v>
      </c>
      <c r="Z239" s="16">
        <v>12000</v>
      </c>
      <c r="AA239" s="16">
        <v>12000</v>
      </c>
      <c r="AB239" s="6">
        <f t="shared" si="6"/>
        <v>1440000</v>
      </c>
      <c r="AC239" s="93"/>
    </row>
    <row r="240" spans="1:33" ht="18.75" thickBot="1" x14ac:dyDescent="0.3">
      <c r="A240" s="97"/>
      <c r="B240" s="12" t="s">
        <v>30</v>
      </c>
      <c r="C240" s="12">
        <v>22</v>
      </c>
      <c r="D240" s="16">
        <v>12000</v>
      </c>
      <c r="E240" s="16">
        <v>12000</v>
      </c>
      <c r="F240" s="16">
        <v>12000</v>
      </c>
      <c r="G240" s="16">
        <v>12000</v>
      </c>
      <c r="H240" s="16">
        <v>12000</v>
      </c>
      <c r="I240" s="16">
        <v>12000</v>
      </c>
      <c r="J240" s="16">
        <v>12000</v>
      </c>
      <c r="K240" s="16">
        <v>12000</v>
      </c>
      <c r="L240" s="16">
        <v>12000</v>
      </c>
      <c r="M240" s="16">
        <v>12000</v>
      </c>
      <c r="N240" s="16">
        <v>12000</v>
      </c>
      <c r="O240" s="16">
        <v>12000</v>
      </c>
      <c r="P240" s="16">
        <v>12000</v>
      </c>
      <c r="Q240" s="16">
        <v>12000</v>
      </c>
      <c r="R240" s="16">
        <v>12000</v>
      </c>
      <c r="S240" s="16">
        <v>12000</v>
      </c>
      <c r="T240" s="16">
        <v>12000</v>
      </c>
      <c r="U240" s="16">
        <v>12000</v>
      </c>
      <c r="V240" s="16">
        <v>12000</v>
      </c>
      <c r="W240" s="16">
        <v>12000</v>
      </c>
      <c r="X240" s="16">
        <v>12000</v>
      </c>
      <c r="Y240" s="16">
        <v>12000</v>
      </c>
      <c r="Z240" s="16">
        <v>12000</v>
      </c>
      <c r="AA240" s="16">
        <v>12000</v>
      </c>
      <c r="AB240" s="6">
        <f t="shared" si="6"/>
        <v>6336000</v>
      </c>
      <c r="AC240" s="94"/>
    </row>
    <row r="241" spans="1:33" ht="18.75" thickBot="1" x14ac:dyDescent="0.3">
      <c r="A241" s="95">
        <v>48458</v>
      </c>
      <c r="B241" s="9" t="s">
        <v>28</v>
      </c>
      <c r="C241" s="9">
        <v>4</v>
      </c>
      <c r="D241" s="16">
        <v>12000</v>
      </c>
      <c r="E241" s="16">
        <v>12000</v>
      </c>
      <c r="F241" s="16">
        <v>12000</v>
      </c>
      <c r="G241" s="16">
        <v>12000</v>
      </c>
      <c r="H241" s="16">
        <v>12000</v>
      </c>
      <c r="I241" s="16">
        <v>12000</v>
      </c>
      <c r="J241" s="16">
        <v>12000</v>
      </c>
      <c r="K241" s="16">
        <v>12000</v>
      </c>
      <c r="L241" s="16">
        <v>12000</v>
      </c>
      <c r="M241" s="16">
        <v>12000</v>
      </c>
      <c r="N241" s="16">
        <v>12000</v>
      </c>
      <c r="O241" s="16">
        <v>12000</v>
      </c>
      <c r="P241" s="16">
        <v>12000</v>
      </c>
      <c r="Q241" s="16">
        <v>12000</v>
      </c>
      <c r="R241" s="16">
        <v>12000</v>
      </c>
      <c r="S241" s="16">
        <v>12000</v>
      </c>
      <c r="T241" s="16">
        <v>12000</v>
      </c>
      <c r="U241" s="16">
        <v>12000</v>
      </c>
      <c r="V241" s="16">
        <v>12000</v>
      </c>
      <c r="W241" s="16">
        <v>12000</v>
      </c>
      <c r="X241" s="16">
        <v>12000</v>
      </c>
      <c r="Y241" s="16">
        <v>12000</v>
      </c>
      <c r="Z241" s="16">
        <v>12000</v>
      </c>
      <c r="AA241" s="16">
        <v>12000</v>
      </c>
      <c r="AB241" s="6">
        <f t="shared" si="6"/>
        <v>1152000</v>
      </c>
      <c r="AC241" s="92">
        <f>+AB241+AB242+AB243</f>
        <v>8640000</v>
      </c>
    </row>
    <row r="242" spans="1:33" ht="18.75" thickBot="1" x14ac:dyDescent="0.3">
      <c r="A242" s="96"/>
      <c r="B242" s="11" t="s">
        <v>29</v>
      </c>
      <c r="C242" s="11">
        <v>4</v>
      </c>
      <c r="D242" s="16">
        <v>12000</v>
      </c>
      <c r="E242" s="16">
        <v>12000</v>
      </c>
      <c r="F242" s="16">
        <v>12000</v>
      </c>
      <c r="G242" s="16">
        <v>12000</v>
      </c>
      <c r="H242" s="16">
        <v>12000</v>
      </c>
      <c r="I242" s="16">
        <v>12000</v>
      </c>
      <c r="J242" s="16">
        <v>12000</v>
      </c>
      <c r="K242" s="16">
        <v>12000</v>
      </c>
      <c r="L242" s="16">
        <v>12000</v>
      </c>
      <c r="M242" s="16">
        <v>12000</v>
      </c>
      <c r="N242" s="16">
        <v>12000</v>
      </c>
      <c r="O242" s="16">
        <v>12000</v>
      </c>
      <c r="P242" s="16">
        <v>12000</v>
      </c>
      <c r="Q242" s="16">
        <v>12000</v>
      </c>
      <c r="R242" s="16">
        <v>12000</v>
      </c>
      <c r="S242" s="16">
        <v>12000</v>
      </c>
      <c r="T242" s="16">
        <v>12000</v>
      </c>
      <c r="U242" s="16">
        <v>12000</v>
      </c>
      <c r="V242" s="16">
        <v>12000</v>
      </c>
      <c r="W242" s="16">
        <v>12000</v>
      </c>
      <c r="X242" s="16">
        <v>12000</v>
      </c>
      <c r="Y242" s="16">
        <v>12000</v>
      </c>
      <c r="Z242" s="16">
        <v>12000</v>
      </c>
      <c r="AA242" s="16">
        <v>12000</v>
      </c>
      <c r="AB242" s="6">
        <f t="shared" si="6"/>
        <v>1152000</v>
      </c>
      <c r="AC242" s="93"/>
    </row>
    <row r="243" spans="1:33" ht="18.75" thickBot="1" x14ac:dyDescent="0.3">
      <c r="A243" s="97"/>
      <c r="B243" s="12" t="s">
        <v>30</v>
      </c>
      <c r="C243" s="12">
        <v>22</v>
      </c>
      <c r="D243" s="16">
        <v>12000</v>
      </c>
      <c r="E243" s="16">
        <v>12000</v>
      </c>
      <c r="F243" s="16">
        <v>12000</v>
      </c>
      <c r="G243" s="16">
        <v>12000</v>
      </c>
      <c r="H243" s="16">
        <v>12000</v>
      </c>
      <c r="I243" s="16">
        <v>12000</v>
      </c>
      <c r="J243" s="16">
        <v>12000</v>
      </c>
      <c r="K243" s="16">
        <v>12000</v>
      </c>
      <c r="L243" s="16">
        <v>12000</v>
      </c>
      <c r="M243" s="16">
        <v>12000</v>
      </c>
      <c r="N243" s="16">
        <v>12000</v>
      </c>
      <c r="O243" s="16">
        <v>12000</v>
      </c>
      <c r="P243" s="16">
        <v>12000</v>
      </c>
      <c r="Q243" s="16">
        <v>12000</v>
      </c>
      <c r="R243" s="16">
        <v>12000</v>
      </c>
      <c r="S243" s="16">
        <v>12000</v>
      </c>
      <c r="T243" s="16">
        <v>12000</v>
      </c>
      <c r="U243" s="16">
        <v>12000</v>
      </c>
      <c r="V243" s="16">
        <v>12000</v>
      </c>
      <c r="W243" s="16">
        <v>12000</v>
      </c>
      <c r="X243" s="16">
        <v>12000</v>
      </c>
      <c r="Y243" s="16">
        <v>12000</v>
      </c>
      <c r="Z243" s="16">
        <v>12000</v>
      </c>
      <c r="AA243" s="16">
        <v>12000</v>
      </c>
      <c r="AB243" s="6">
        <f t="shared" si="6"/>
        <v>6336000</v>
      </c>
      <c r="AC243" s="94"/>
    </row>
    <row r="244" spans="1:33" ht="18.75" thickBot="1" x14ac:dyDescent="0.3">
      <c r="A244" s="95">
        <v>48488</v>
      </c>
      <c r="B244" s="9" t="s">
        <v>28</v>
      </c>
      <c r="C244" s="9">
        <v>5</v>
      </c>
      <c r="D244" s="16">
        <v>12000</v>
      </c>
      <c r="E244" s="16">
        <v>12000</v>
      </c>
      <c r="F244" s="16">
        <v>12000</v>
      </c>
      <c r="G244" s="16">
        <v>12000</v>
      </c>
      <c r="H244" s="16">
        <v>12000</v>
      </c>
      <c r="I244" s="16">
        <v>12000</v>
      </c>
      <c r="J244" s="16">
        <v>12000</v>
      </c>
      <c r="K244" s="16">
        <v>12000</v>
      </c>
      <c r="L244" s="16">
        <v>12000</v>
      </c>
      <c r="M244" s="16">
        <v>12000</v>
      </c>
      <c r="N244" s="16">
        <v>12000</v>
      </c>
      <c r="O244" s="16">
        <v>12000</v>
      </c>
      <c r="P244" s="16">
        <v>12000</v>
      </c>
      <c r="Q244" s="16">
        <v>12000</v>
      </c>
      <c r="R244" s="16">
        <v>12000</v>
      </c>
      <c r="S244" s="16">
        <v>12000</v>
      </c>
      <c r="T244" s="16">
        <v>12000</v>
      </c>
      <c r="U244" s="16">
        <v>12000</v>
      </c>
      <c r="V244" s="16">
        <v>12000</v>
      </c>
      <c r="W244" s="16">
        <v>12000</v>
      </c>
      <c r="X244" s="16">
        <v>12000</v>
      </c>
      <c r="Y244" s="16">
        <v>12000</v>
      </c>
      <c r="Z244" s="16">
        <v>12000</v>
      </c>
      <c r="AA244" s="16">
        <v>12000</v>
      </c>
      <c r="AB244" s="6">
        <f t="shared" si="6"/>
        <v>1440000</v>
      </c>
      <c r="AC244" s="92">
        <f>+AB244+AB245+AB246</f>
        <v>8928000</v>
      </c>
    </row>
    <row r="245" spans="1:33" ht="18.75" thickBot="1" x14ac:dyDescent="0.3">
      <c r="A245" s="96"/>
      <c r="B245" s="11" t="s">
        <v>29</v>
      </c>
      <c r="C245" s="11">
        <v>5</v>
      </c>
      <c r="D245" s="16">
        <v>12000</v>
      </c>
      <c r="E245" s="16">
        <v>12000</v>
      </c>
      <c r="F245" s="16">
        <v>12000</v>
      </c>
      <c r="G245" s="16">
        <v>12000</v>
      </c>
      <c r="H245" s="16">
        <v>12000</v>
      </c>
      <c r="I245" s="16">
        <v>12000</v>
      </c>
      <c r="J245" s="16">
        <v>12000</v>
      </c>
      <c r="K245" s="16">
        <v>12000</v>
      </c>
      <c r="L245" s="16">
        <v>12000</v>
      </c>
      <c r="M245" s="16">
        <v>12000</v>
      </c>
      <c r="N245" s="16">
        <v>12000</v>
      </c>
      <c r="O245" s="16">
        <v>12000</v>
      </c>
      <c r="P245" s="16">
        <v>12000</v>
      </c>
      <c r="Q245" s="16">
        <v>12000</v>
      </c>
      <c r="R245" s="16">
        <v>12000</v>
      </c>
      <c r="S245" s="16">
        <v>12000</v>
      </c>
      <c r="T245" s="16">
        <v>12000</v>
      </c>
      <c r="U245" s="16">
        <v>12000</v>
      </c>
      <c r="V245" s="16">
        <v>12000</v>
      </c>
      <c r="W245" s="16">
        <v>12000</v>
      </c>
      <c r="X245" s="16">
        <v>12000</v>
      </c>
      <c r="Y245" s="16">
        <v>12000</v>
      </c>
      <c r="Z245" s="16">
        <v>12000</v>
      </c>
      <c r="AA245" s="16">
        <v>12000</v>
      </c>
      <c r="AB245" s="6">
        <f t="shared" si="6"/>
        <v>1440000</v>
      </c>
      <c r="AC245" s="93"/>
    </row>
    <row r="246" spans="1:33" ht="18.75" thickBot="1" x14ac:dyDescent="0.3">
      <c r="A246" s="97"/>
      <c r="B246" s="12" t="s">
        <v>30</v>
      </c>
      <c r="C246" s="12">
        <v>21</v>
      </c>
      <c r="D246" s="16">
        <v>12000</v>
      </c>
      <c r="E246" s="16">
        <v>12000</v>
      </c>
      <c r="F246" s="16">
        <v>12000</v>
      </c>
      <c r="G246" s="16">
        <v>12000</v>
      </c>
      <c r="H246" s="16">
        <v>12000</v>
      </c>
      <c r="I246" s="16">
        <v>12000</v>
      </c>
      <c r="J246" s="16">
        <v>12000</v>
      </c>
      <c r="K246" s="16">
        <v>12000</v>
      </c>
      <c r="L246" s="16">
        <v>12000</v>
      </c>
      <c r="M246" s="16">
        <v>12000</v>
      </c>
      <c r="N246" s="16">
        <v>12000</v>
      </c>
      <c r="O246" s="16">
        <v>12000</v>
      </c>
      <c r="P246" s="16">
        <v>12000</v>
      </c>
      <c r="Q246" s="16">
        <v>12000</v>
      </c>
      <c r="R246" s="16">
        <v>12000</v>
      </c>
      <c r="S246" s="16">
        <v>12000</v>
      </c>
      <c r="T246" s="16">
        <v>12000</v>
      </c>
      <c r="U246" s="16">
        <v>12000</v>
      </c>
      <c r="V246" s="16">
        <v>12000</v>
      </c>
      <c r="W246" s="16">
        <v>12000</v>
      </c>
      <c r="X246" s="16">
        <v>12000</v>
      </c>
      <c r="Y246" s="16">
        <v>12000</v>
      </c>
      <c r="Z246" s="16">
        <v>12000</v>
      </c>
      <c r="AA246" s="16">
        <v>12000</v>
      </c>
      <c r="AB246" s="6">
        <f t="shared" si="6"/>
        <v>6048000</v>
      </c>
      <c r="AC246" s="94"/>
    </row>
    <row r="247" spans="1:33" ht="18.75" thickBot="1" x14ac:dyDescent="0.3">
      <c r="A247" s="95">
        <v>48519</v>
      </c>
      <c r="B247" s="9" t="s">
        <v>28</v>
      </c>
      <c r="C247" s="9">
        <v>4</v>
      </c>
      <c r="D247" s="16">
        <v>12000</v>
      </c>
      <c r="E247" s="16">
        <v>12000</v>
      </c>
      <c r="F247" s="16">
        <v>12000</v>
      </c>
      <c r="G247" s="16">
        <v>12000</v>
      </c>
      <c r="H247" s="16">
        <v>12000</v>
      </c>
      <c r="I247" s="16">
        <v>12000</v>
      </c>
      <c r="J247" s="16">
        <v>12000</v>
      </c>
      <c r="K247" s="16">
        <v>12000</v>
      </c>
      <c r="L247" s="16">
        <v>12000</v>
      </c>
      <c r="M247" s="16">
        <v>12000</v>
      </c>
      <c r="N247" s="16">
        <v>12000</v>
      </c>
      <c r="O247" s="16">
        <v>12000</v>
      </c>
      <c r="P247" s="16">
        <v>12000</v>
      </c>
      <c r="Q247" s="16">
        <v>12000</v>
      </c>
      <c r="R247" s="16">
        <v>12000</v>
      </c>
      <c r="S247" s="16">
        <v>12000</v>
      </c>
      <c r="T247" s="16">
        <v>12000</v>
      </c>
      <c r="U247" s="16">
        <v>12000</v>
      </c>
      <c r="V247" s="16">
        <v>12000</v>
      </c>
      <c r="W247" s="16">
        <v>12000</v>
      </c>
      <c r="X247" s="16">
        <v>12000</v>
      </c>
      <c r="Y247" s="16">
        <v>12000</v>
      </c>
      <c r="Z247" s="16">
        <v>12000</v>
      </c>
      <c r="AA247" s="16">
        <v>12000</v>
      </c>
      <c r="AB247" s="6">
        <f t="shared" si="6"/>
        <v>1152000</v>
      </c>
      <c r="AC247" s="92">
        <f>+AB247+AB248+AB249</f>
        <v>8640000</v>
      </c>
    </row>
    <row r="248" spans="1:33" ht="18.75" thickBot="1" x14ac:dyDescent="0.3">
      <c r="A248" s="96"/>
      <c r="B248" s="11" t="s">
        <v>29</v>
      </c>
      <c r="C248" s="11">
        <v>4</v>
      </c>
      <c r="D248" s="16">
        <v>12000</v>
      </c>
      <c r="E248" s="16">
        <v>12000</v>
      </c>
      <c r="F248" s="16">
        <v>12000</v>
      </c>
      <c r="G248" s="16">
        <v>12000</v>
      </c>
      <c r="H248" s="16">
        <v>12000</v>
      </c>
      <c r="I248" s="16">
        <v>12000</v>
      </c>
      <c r="J248" s="16">
        <v>12000</v>
      </c>
      <c r="K248" s="16">
        <v>12000</v>
      </c>
      <c r="L248" s="16">
        <v>12000</v>
      </c>
      <c r="M248" s="16">
        <v>12000</v>
      </c>
      <c r="N248" s="16">
        <v>12000</v>
      </c>
      <c r="O248" s="16">
        <v>12000</v>
      </c>
      <c r="P248" s="16">
        <v>12000</v>
      </c>
      <c r="Q248" s="16">
        <v>12000</v>
      </c>
      <c r="R248" s="16">
        <v>12000</v>
      </c>
      <c r="S248" s="16">
        <v>12000</v>
      </c>
      <c r="T248" s="16">
        <v>12000</v>
      </c>
      <c r="U248" s="16">
        <v>12000</v>
      </c>
      <c r="V248" s="16">
        <v>12000</v>
      </c>
      <c r="W248" s="16">
        <v>12000</v>
      </c>
      <c r="X248" s="16">
        <v>12000</v>
      </c>
      <c r="Y248" s="16">
        <v>12000</v>
      </c>
      <c r="Z248" s="16">
        <v>12000</v>
      </c>
      <c r="AA248" s="16">
        <v>12000</v>
      </c>
      <c r="AB248" s="6">
        <f t="shared" si="6"/>
        <v>1152000</v>
      </c>
      <c r="AC248" s="93"/>
    </row>
    <row r="249" spans="1:33" ht="18.75" thickBot="1" x14ac:dyDescent="0.3">
      <c r="A249" s="97"/>
      <c r="B249" s="12" t="s">
        <v>30</v>
      </c>
      <c r="C249" s="12">
        <v>22</v>
      </c>
      <c r="D249" s="16">
        <v>12000</v>
      </c>
      <c r="E249" s="16">
        <v>12000</v>
      </c>
      <c r="F249" s="16">
        <v>12000</v>
      </c>
      <c r="G249" s="16">
        <v>12000</v>
      </c>
      <c r="H249" s="16">
        <v>12000</v>
      </c>
      <c r="I249" s="16">
        <v>12000</v>
      </c>
      <c r="J249" s="16">
        <v>12000</v>
      </c>
      <c r="K249" s="16">
        <v>12000</v>
      </c>
      <c r="L249" s="16">
        <v>12000</v>
      </c>
      <c r="M249" s="16">
        <v>12000</v>
      </c>
      <c r="N249" s="16">
        <v>12000</v>
      </c>
      <c r="O249" s="16">
        <v>12000</v>
      </c>
      <c r="P249" s="16">
        <v>12000</v>
      </c>
      <c r="Q249" s="16">
        <v>12000</v>
      </c>
      <c r="R249" s="16">
        <v>12000</v>
      </c>
      <c r="S249" s="16">
        <v>12000</v>
      </c>
      <c r="T249" s="16">
        <v>12000</v>
      </c>
      <c r="U249" s="16">
        <v>12000</v>
      </c>
      <c r="V249" s="16">
        <v>12000</v>
      </c>
      <c r="W249" s="16">
        <v>12000</v>
      </c>
      <c r="X249" s="16">
        <v>12000</v>
      </c>
      <c r="Y249" s="16">
        <v>12000</v>
      </c>
      <c r="Z249" s="16">
        <v>12000</v>
      </c>
      <c r="AA249" s="16">
        <v>12000</v>
      </c>
      <c r="AB249" s="6">
        <f t="shared" si="6"/>
        <v>6336000</v>
      </c>
      <c r="AC249" s="94"/>
    </row>
    <row r="250" spans="1:33" ht="18.75" thickBot="1" x14ac:dyDescent="0.3">
      <c r="A250" s="95">
        <v>48549</v>
      </c>
      <c r="B250" s="9" t="s">
        <v>28</v>
      </c>
      <c r="C250" s="9">
        <v>4</v>
      </c>
      <c r="D250" s="16">
        <v>12000</v>
      </c>
      <c r="E250" s="16">
        <v>12000</v>
      </c>
      <c r="F250" s="16">
        <v>12000</v>
      </c>
      <c r="G250" s="16">
        <v>12000</v>
      </c>
      <c r="H250" s="16">
        <v>12000</v>
      </c>
      <c r="I250" s="16">
        <v>12000</v>
      </c>
      <c r="J250" s="16">
        <v>12000</v>
      </c>
      <c r="K250" s="16">
        <v>12000</v>
      </c>
      <c r="L250" s="16">
        <v>12000</v>
      </c>
      <c r="M250" s="16">
        <v>12000</v>
      </c>
      <c r="N250" s="16">
        <v>12000</v>
      </c>
      <c r="O250" s="16">
        <v>12000</v>
      </c>
      <c r="P250" s="16">
        <v>12000</v>
      </c>
      <c r="Q250" s="16">
        <v>12000</v>
      </c>
      <c r="R250" s="16">
        <v>12000</v>
      </c>
      <c r="S250" s="16">
        <v>12000</v>
      </c>
      <c r="T250" s="16">
        <v>12000</v>
      </c>
      <c r="U250" s="16">
        <v>12000</v>
      </c>
      <c r="V250" s="16">
        <v>12000</v>
      </c>
      <c r="W250" s="16">
        <v>12000</v>
      </c>
      <c r="X250" s="16">
        <v>12000</v>
      </c>
      <c r="Y250" s="16">
        <v>12000</v>
      </c>
      <c r="Z250" s="16">
        <v>12000</v>
      </c>
      <c r="AA250" s="16">
        <v>12000</v>
      </c>
      <c r="AB250" s="6">
        <f t="shared" si="6"/>
        <v>1152000</v>
      </c>
      <c r="AC250" s="92">
        <f>+AB250+AB251+AB252</f>
        <v>8928000</v>
      </c>
    </row>
    <row r="251" spans="1:33" ht="18.75" thickBot="1" x14ac:dyDescent="0.3">
      <c r="A251" s="96"/>
      <c r="B251" s="11" t="s">
        <v>29</v>
      </c>
      <c r="C251" s="11">
        <v>4</v>
      </c>
      <c r="D251" s="16">
        <v>12000</v>
      </c>
      <c r="E251" s="16">
        <v>12000</v>
      </c>
      <c r="F251" s="16">
        <v>12000</v>
      </c>
      <c r="G251" s="16">
        <v>12000</v>
      </c>
      <c r="H251" s="16">
        <v>12000</v>
      </c>
      <c r="I251" s="16">
        <v>12000</v>
      </c>
      <c r="J251" s="16">
        <v>12000</v>
      </c>
      <c r="K251" s="16">
        <v>12000</v>
      </c>
      <c r="L251" s="16">
        <v>12000</v>
      </c>
      <c r="M251" s="16">
        <v>12000</v>
      </c>
      <c r="N251" s="16">
        <v>12000</v>
      </c>
      <c r="O251" s="16">
        <v>12000</v>
      </c>
      <c r="P251" s="16">
        <v>12000</v>
      </c>
      <c r="Q251" s="16">
        <v>12000</v>
      </c>
      <c r="R251" s="16">
        <v>12000</v>
      </c>
      <c r="S251" s="16">
        <v>12000</v>
      </c>
      <c r="T251" s="16">
        <v>12000</v>
      </c>
      <c r="U251" s="16">
        <v>12000</v>
      </c>
      <c r="V251" s="16">
        <v>12000</v>
      </c>
      <c r="W251" s="16">
        <v>12000</v>
      </c>
      <c r="X251" s="16">
        <v>12000</v>
      </c>
      <c r="Y251" s="16">
        <v>12000</v>
      </c>
      <c r="Z251" s="16">
        <v>12000</v>
      </c>
      <c r="AA251" s="16">
        <v>12000</v>
      </c>
      <c r="AB251" s="6">
        <f t="shared" si="6"/>
        <v>1152000</v>
      </c>
      <c r="AC251" s="93"/>
    </row>
    <row r="252" spans="1:33" ht="18.75" thickBot="1" x14ac:dyDescent="0.3">
      <c r="A252" s="97"/>
      <c r="B252" s="12" t="s">
        <v>30</v>
      </c>
      <c r="C252" s="12">
        <v>23</v>
      </c>
      <c r="D252" s="16">
        <v>12000</v>
      </c>
      <c r="E252" s="16">
        <v>12000</v>
      </c>
      <c r="F252" s="16">
        <v>12000</v>
      </c>
      <c r="G252" s="16">
        <v>12000</v>
      </c>
      <c r="H252" s="16">
        <v>12000</v>
      </c>
      <c r="I252" s="16">
        <v>12000</v>
      </c>
      <c r="J252" s="16">
        <v>12000</v>
      </c>
      <c r="K252" s="16">
        <v>12000</v>
      </c>
      <c r="L252" s="16">
        <v>12000</v>
      </c>
      <c r="M252" s="16">
        <v>12000</v>
      </c>
      <c r="N252" s="16">
        <v>12000</v>
      </c>
      <c r="O252" s="16">
        <v>12000</v>
      </c>
      <c r="P252" s="16">
        <v>12000</v>
      </c>
      <c r="Q252" s="16">
        <v>12000</v>
      </c>
      <c r="R252" s="16">
        <v>12000</v>
      </c>
      <c r="S252" s="16">
        <v>12000</v>
      </c>
      <c r="T252" s="16">
        <v>12000</v>
      </c>
      <c r="U252" s="16">
        <v>12000</v>
      </c>
      <c r="V252" s="16">
        <v>12000</v>
      </c>
      <c r="W252" s="16">
        <v>12000</v>
      </c>
      <c r="X252" s="16">
        <v>12000</v>
      </c>
      <c r="Y252" s="16">
        <v>12000</v>
      </c>
      <c r="Z252" s="16">
        <v>12000</v>
      </c>
      <c r="AA252" s="16">
        <v>12000</v>
      </c>
      <c r="AB252" s="6">
        <f t="shared" si="6"/>
        <v>6624000</v>
      </c>
      <c r="AC252" s="94"/>
    </row>
    <row r="254" spans="1:33" ht="15.75" thickBot="1" x14ac:dyDescent="0.3"/>
    <row r="255" spans="1:33" ht="18.75" thickBot="1" x14ac:dyDescent="0.3">
      <c r="A255" s="1" t="s">
        <v>0</v>
      </c>
      <c r="B255" s="2" t="s">
        <v>1</v>
      </c>
      <c r="C255" s="2" t="s">
        <v>2</v>
      </c>
      <c r="D255" s="27" t="s">
        <v>3</v>
      </c>
      <c r="E255" s="5" t="s">
        <v>4</v>
      </c>
      <c r="F255" s="5" t="s">
        <v>5</v>
      </c>
      <c r="G255" s="5" t="s">
        <v>6</v>
      </c>
      <c r="H255" s="5" t="s">
        <v>7</v>
      </c>
      <c r="I255" s="5" t="s">
        <v>8</v>
      </c>
      <c r="J255" s="5" t="s">
        <v>9</v>
      </c>
      <c r="K255" s="5" t="s">
        <v>10</v>
      </c>
      <c r="L255" s="5" t="s">
        <v>11</v>
      </c>
      <c r="M255" s="5" t="s">
        <v>12</v>
      </c>
      <c r="N255" s="5" t="s">
        <v>13</v>
      </c>
      <c r="O255" s="5" t="s">
        <v>14</v>
      </c>
      <c r="P255" s="5" t="s">
        <v>15</v>
      </c>
      <c r="Q255" s="5" t="s">
        <v>16</v>
      </c>
      <c r="R255" s="5" t="s">
        <v>17</v>
      </c>
      <c r="S255" s="5" t="s">
        <v>18</v>
      </c>
      <c r="T255" s="5" t="s">
        <v>19</v>
      </c>
      <c r="U255" s="5" t="s">
        <v>20</v>
      </c>
      <c r="V255" s="5" t="s">
        <v>21</v>
      </c>
      <c r="W255" s="5" t="s">
        <v>22</v>
      </c>
      <c r="X255" s="5" t="s">
        <v>23</v>
      </c>
      <c r="Y255" s="5" t="s">
        <v>24</v>
      </c>
      <c r="Z255" s="5" t="s">
        <v>25</v>
      </c>
      <c r="AA255" s="5" t="s">
        <v>26</v>
      </c>
      <c r="AB255" s="109" t="s">
        <v>27</v>
      </c>
      <c r="AC255" s="110"/>
    </row>
    <row r="256" spans="1:33" ht="18.75" thickBot="1" x14ac:dyDescent="0.3">
      <c r="A256" s="95">
        <v>48580</v>
      </c>
      <c r="B256" s="9" t="s">
        <v>28</v>
      </c>
      <c r="C256" s="9">
        <v>4</v>
      </c>
      <c r="D256" s="16">
        <v>12000</v>
      </c>
      <c r="E256" s="16">
        <v>12000</v>
      </c>
      <c r="F256" s="16">
        <v>12000</v>
      </c>
      <c r="G256" s="16">
        <v>12000</v>
      </c>
      <c r="H256" s="16">
        <v>12000</v>
      </c>
      <c r="I256" s="16">
        <v>12000</v>
      </c>
      <c r="J256" s="16">
        <v>12000</v>
      </c>
      <c r="K256" s="16">
        <v>12000</v>
      </c>
      <c r="L256" s="16">
        <v>12000</v>
      </c>
      <c r="M256" s="16">
        <v>12000</v>
      </c>
      <c r="N256" s="16">
        <v>12000</v>
      </c>
      <c r="O256" s="16">
        <v>12000</v>
      </c>
      <c r="P256" s="16">
        <v>12000</v>
      </c>
      <c r="Q256" s="16">
        <v>12000</v>
      </c>
      <c r="R256" s="16">
        <v>12000</v>
      </c>
      <c r="S256" s="16">
        <v>12000</v>
      </c>
      <c r="T256" s="16">
        <v>12000</v>
      </c>
      <c r="U256" s="16">
        <v>12000</v>
      </c>
      <c r="V256" s="16">
        <v>12000</v>
      </c>
      <c r="W256" s="16">
        <v>12000</v>
      </c>
      <c r="X256" s="16">
        <v>12000</v>
      </c>
      <c r="Y256" s="16">
        <v>12000</v>
      </c>
      <c r="Z256" s="16">
        <v>12000</v>
      </c>
      <c r="AA256" s="16">
        <v>12000</v>
      </c>
      <c r="AB256" s="6">
        <f t="shared" ref="AB256:AB291" si="7">SUM(D256:AA256)*C256</f>
        <v>1152000</v>
      </c>
      <c r="AC256" s="92">
        <f>+AB256+AB257+AB258</f>
        <v>8928000</v>
      </c>
      <c r="AF256" s="67">
        <v>48580</v>
      </c>
      <c r="AG256" s="68">
        <f>AB256+AB257+AB258</f>
        <v>8928000</v>
      </c>
    </row>
    <row r="257" spans="1:33" ht="18.75" thickBot="1" x14ac:dyDescent="0.3">
      <c r="A257" s="96"/>
      <c r="B257" s="11" t="s">
        <v>29</v>
      </c>
      <c r="C257" s="11">
        <v>7</v>
      </c>
      <c r="D257" s="16">
        <v>12000</v>
      </c>
      <c r="E257" s="16">
        <v>12000</v>
      </c>
      <c r="F257" s="16">
        <v>12000</v>
      </c>
      <c r="G257" s="16">
        <v>12000</v>
      </c>
      <c r="H257" s="16">
        <v>12000</v>
      </c>
      <c r="I257" s="16">
        <v>12000</v>
      </c>
      <c r="J257" s="16">
        <v>12000</v>
      </c>
      <c r="K257" s="16">
        <v>12000</v>
      </c>
      <c r="L257" s="16">
        <v>12000</v>
      </c>
      <c r="M257" s="16">
        <v>12000</v>
      </c>
      <c r="N257" s="16">
        <v>12000</v>
      </c>
      <c r="O257" s="16">
        <v>12000</v>
      </c>
      <c r="P257" s="16">
        <v>12000</v>
      </c>
      <c r="Q257" s="16">
        <v>12000</v>
      </c>
      <c r="R257" s="16">
        <v>12000</v>
      </c>
      <c r="S257" s="16">
        <v>12000</v>
      </c>
      <c r="T257" s="16">
        <v>12000</v>
      </c>
      <c r="U257" s="16">
        <v>12000</v>
      </c>
      <c r="V257" s="16">
        <v>12000</v>
      </c>
      <c r="W257" s="16">
        <v>12000</v>
      </c>
      <c r="X257" s="16">
        <v>12000</v>
      </c>
      <c r="Y257" s="16">
        <v>12000</v>
      </c>
      <c r="Z257" s="16">
        <v>12000</v>
      </c>
      <c r="AA257" s="16">
        <v>12000</v>
      </c>
      <c r="AB257" s="6">
        <f t="shared" si="7"/>
        <v>2016000</v>
      </c>
      <c r="AC257" s="93"/>
      <c r="AF257" s="67">
        <v>48611</v>
      </c>
      <c r="AG257" s="68">
        <f>AC259</f>
        <v>10080000</v>
      </c>
    </row>
    <row r="258" spans="1:33" ht="18.75" thickBot="1" x14ac:dyDescent="0.3">
      <c r="A258" s="97"/>
      <c r="B258" s="12" t="s">
        <v>30</v>
      </c>
      <c r="C258" s="12">
        <v>20</v>
      </c>
      <c r="D258" s="16">
        <v>12000</v>
      </c>
      <c r="E258" s="16">
        <v>12000</v>
      </c>
      <c r="F258" s="16">
        <v>12000</v>
      </c>
      <c r="G258" s="16">
        <v>12000</v>
      </c>
      <c r="H258" s="16">
        <v>12000</v>
      </c>
      <c r="I258" s="16">
        <v>12000</v>
      </c>
      <c r="J258" s="16">
        <v>12000</v>
      </c>
      <c r="K258" s="16">
        <v>12000</v>
      </c>
      <c r="L258" s="16">
        <v>12000</v>
      </c>
      <c r="M258" s="16">
        <v>12000</v>
      </c>
      <c r="N258" s="16">
        <v>12000</v>
      </c>
      <c r="O258" s="16">
        <v>12000</v>
      </c>
      <c r="P258" s="16">
        <v>12000</v>
      </c>
      <c r="Q258" s="16">
        <v>12000</v>
      </c>
      <c r="R258" s="16">
        <v>12000</v>
      </c>
      <c r="S258" s="16">
        <v>12000</v>
      </c>
      <c r="T258" s="16">
        <v>12000</v>
      </c>
      <c r="U258" s="16">
        <v>12000</v>
      </c>
      <c r="V258" s="16">
        <v>12000</v>
      </c>
      <c r="W258" s="16">
        <v>12000</v>
      </c>
      <c r="X258" s="16">
        <v>12000</v>
      </c>
      <c r="Y258" s="16">
        <v>12000</v>
      </c>
      <c r="Z258" s="16">
        <v>12000</v>
      </c>
      <c r="AA258" s="16">
        <v>12000</v>
      </c>
      <c r="AB258" s="6">
        <f t="shared" si="7"/>
        <v>5760000</v>
      </c>
      <c r="AC258" s="94"/>
      <c r="AF258" s="67">
        <v>48639</v>
      </c>
      <c r="AG258" s="68">
        <f>AC262</f>
        <v>11160000</v>
      </c>
    </row>
    <row r="259" spans="1:33" ht="18.75" thickBot="1" x14ac:dyDescent="0.3">
      <c r="A259" s="95">
        <v>48611</v>
      </c>
      <c r="B259" s="9" t="s">
        <v>28</v>
      </c>
      <c r="C259" s="9">
        <v>4</v>
      </c>
      <c r="D259" s="16">
        <v>15000</v>
      </c>
      <c r="E259" s="16">
        <v>15000</v>
      </c>
      <c r="F259" s="16">
        <v>15000</v>
      </c>
      <c r="G259" s="16">
        <v>15000</v>
      </c>
      <c r="H259" s="16">
        <v>15000</v>
      </c>
      <c r="I259" s="16">
        <v>15000</v>
      </c>
      <c r="J259" s="16">
        <v>15000</v>
      </c>
      <c r="K259" s="16">
        <v>15000</v>
      </c>
      <c r="L259" s="16">
        <v>15000</v>
      </c>
      <c r="M259" s="16">
        <v>15000</v>
      </c>
      <c r="N259" s="16">
        <v>15000</v>
      </c>
      <c r="O259" s="16">
        <v>15000</v>
      </c>
      <c r="P259" s="16">
        <v>15000</v>
      </c>
      <c r="Q259" s="16">
        <v>15000</v>
      </c>
      <c r="R259" s="16">
        <v>15000</v>
      </c>
      <c r="S259" s="16">
        <v>15000</v>
      </c>
      <c r="T259" s="16">
        <v>15000</v>
      </c>
      <c r="U259" s="16">
        <v>15000</v>
      </c>
      <c r="V259" s="16">
        <v>15000</v>
      </c>
      <c r="W259" s="16">
        <v>15000</v>
      </c>
      <c r="X259" s="16">
        <v>15000</v>
      </c>
      <c r="Y259" s="16">
        <v>15000</v>
      </c>
      <c r="Z259" s="16">
        <v>15000</v>
      </c>
      <c r="AA259" s="16">
        <v>15000</v>
      </c>
      <c r="AB259" s="6">
        <f t="shared" si="7"/>
        <v>1440000</v>
      </c>
      <c r="AC259" s="92">
        <f>+AB259+AB260+AB261</f>
        <v>10080000</v>
      </c>
      <c r="AF259" s="67">
        <v>48670</v>
      </c>
      <c r="AG259" s="68">
        <f>AC265</f>
        <v>10800000</v>
      </c>
    </row>
    <row r="260" spans="1:33" ht="18.75" thickBot="1" x14ac:dyDescent="0.3">
      <c r="A260" s="96"/>
      <c r="B260" s="11" t="s">
        <v>29</v>
      </c>
      <c r="C260" s="11">
        <v>4</v>
      </c>
      <c r="D260" s="16">
        <v>15000</v>
      </c>
      <c r="E260" s="16">
        <v>15000</v>
      </c>
      <c r="F260" s="16">
        <v>15000</v>
      </c>
      <c r="G260" s="16">
        <v>15000</v>
      </c>
      <c r="H260" s="16">
        <v>15000</v>
      </c>
      <c r="I260" s="16">
        <v>15000</v>
      </c>
      <c r="J260" s="16">
        <v>15000</v>
      </c>
      <c r="K260" s="16">
        <v>15000</v>
      </c>
      <c r="L260" s="16">
        <v>15000</v>
      </c>
      <c r="M260" s="16">
        <v>15000</v>
      </c>
      <c r="N260" s="16">
        <v>15000</v>
      </c>
      <c r="O260" s="16">
        <v>15000</v>
      </c>
      <c r="P260" s="16">
        <v>15000</v>
      </c>
      <c r="Q260" s="16">
        <v>15000</v>
      </c>
      <c r="R260" s="16">
        <v>15000</v>
      </c>
      <c r="S260" s="16">
        <v>15000</v>
      </c>
      <c r="T260" s="16">
        <v>15000</v>
      </c>
      <c r="U260" s="16">
        <v>15000</v>
      </c>
      <c r="V260" s="16">
        <v>15000</v>
      </c>
      <c r="W260" s="16">
        <v>15000</v>
      </c>
      <c r="X260" s="16">
        <v>15000</v>
      </c>
      <c r="Y260" s="16">
        <v>15000</v>
      </c>
      <c r="Z260" s="16">
        <v>15000</v>
      </c>
      <c r="AA260" s="16">
        <v>15000</v>
      </c>
      <c r="AB260" s="6">
        <f t="shared" si="7"/>
        <v>1440000</v>
      </c>
      <c r="AC260" s="93"/>
      <c r="AF260" s="67">
        <v>48700</v>
      </c>
      <c r="AG260" s="68">
        <f>AC268</f>
        <v>11160000</v>
      </c>
    </row>
    <row r="261" spans="1:33" ht="18.75" thickBot="1" x14ac:dyDescent="0.3">
      <c r="A261" s="97"/>
      <c r="B261" s="12" t="s">
        <v>30</v>
      </c>
      <c r="C261" s="12">
        <v>20</v>
      </c>
      <c r="D261" s="16">
        <v>15000</v>
      </c>
      <c r="E261" s="16">
        <v>15000</v>
      </c>
      <c r="F261" s="16">
        <v>15000</v>
      </c>
      <c r="G261" s="16">
        <v>15000</v>
      </c>
      <c r="H261" s="16">
        <v>15000</v>
      </c>
      <c r="I261" s="16">
        <v>15000</v>
      </c>
      <c r="J261" s="16">
        <v>15000</v>
      </c>
      <c r="K261" s="16">
        <v>15000</v>
      </c>
      <c r="L261" s="16">
        <v>15000</v>
      </c>
      <c r="M261" s="16">
        <v>15000</v>
      </c>
      <c r="N261" s="16">
        <v>15000</v>
      </c>
      <c r="O261" s="16">
        <v>15000</v>
      </c>
      <c r="P261" s="16">
        <v>15000</v>
      </c>
      <c r="Q261" s="16">
        <v>15000</v>
      </c>
      <c r="R261" s="16">
        <v>15000</v>
      </c>
      <c r="S261" s="16">
        <v>15000</v>
      </c>
      <c r="T261" s="16">
        <v>15000</v>
      </c>
      <c r="U261" s="16">
        <v>15000</v>
      </c>
      <c r="V261" s="16">
        <v>15000</v>
      </c>
      <c r="W261" s="16">
        <v>15000</v>
      </c>
      <c r="X261" s="16">
        <v>15000</v>
      </c>
      <c r="Y261" s="16">
        <v>15000</v>
      </c>
      <c r="Z261" s="16">
        <v>15000</v>
      </c>
      <c r="AA261" s="16">
        <v>15000</v>
      </c>
      <c r="AB261" s="6">
        <f t="shared" si="7"/>
        <v>7200000</v>
      </c>
      <c r="AC261" s="94"/>
      <c r="AF261" s="67">
        <v>48731</v>
      </c>
      <c r="AG261" s="68">
        <f>AC271</f>
        <v>10800000</v>
      </c>
    </row>
    <row r="262" spans="1:33" ht="18.75" thickBot="1" x14ac:dyDescent="0.3">
      <c r="A262" s="95">
        <v>48639</v>
      </c>
      <c r="B262" s="9" t="s">
        <v>28</v>
      </c>
      <c r="C262" s="9">
        <v>4</v>
      </c>
      <c r="D262" s="16">
        <v>15000</v>
      </c>
      <c r="E262" s="16">
        <v>15000</v>
      </c>
      <c r="F262" s="16">
        <v>15000</v>
      </c>
      <c r="G262" s="16">
        <v>15000</v>
      </c>
      <c r="H262" s="16">
        <v>15000</v>
      </c>
      <c r="I262" s="16">
        <v>15000</v>
      </c>
      <c r="J262" s="16">
        <v>15000</v>
      </c>
      <c r="K262" s="16">
        <v>15000</v>
      </c>
      <c r="L262" s="16">
        <v>15000</v>
      </c>
      <c r="M262" s="16">
        <v>15000</v>
      </c>
      <c r="N262" s="16">
        <v>15000</v>
      </c>
      <c r="O262" s="16">
        <v>15000</v>
      </c>
      <c r="P262" s="16">
        <v>15000</v>
      </c>
      <c r="Q262" s="16">
        <v>15000</v>
      </c>
      <c r="R262" s="16">
        <v>15000</v>
      </c>
      <c r="S262" s="16">
        <v>15000</v>
      </c>
      <c r="T262" s="16">
        <v>15000</v>
      </c>
      <c r="U262" s="16">
        <v>15000</v>
      </c>
      <c r="V262" s="16">
        <v>15000</v>
      </c>
      <c r="W262" s="16">
        <v>15000</v>
      </c>
      <c r="X262" s="16">
        <v>15000</v>
      </c>
      <c r="Y262" s="16">
        <v>15000</v>
      </c>
      <c r="Z262" s="16">
        <v>15000</v>
      </c>
      <c r="AA262" s="16">
        <v>15000</v>
      </c>
      <c r="AB262" s="6">
        <f t="shared" si="7"/>
        <v>1440000</v>
      </c>
      <c r="AC262" s="92">
        <f>+AB262+AB263+AB264</f>
        <v>11160000</v>
      </c>
      <c r="AF262" s="67">
        <v>48761</v>
      </c>
      <c r="AG262" s="68">
        <f>AC274</f>
        <v>11160000</v>
      </c>
    </row>
    <row r="263" spans="1:33" ht="18.75" thickBot="1" x14ac:dyDescent="0.3">
      <c r="A263" s="96"/>
      <c r="B263" s="11" t="s">
        <v>29</v>
      </c>
      <c r="C263" s="11">
        <v>5</v>
      </c>
      <c r="D263" s="16">
        <v>15000</v>
      </c>
      <c r="E263" s="16">
        <v>15000</v>
      </c>
      <c r="F263" s="16">
        <v>15000</v>
      </c>
      <c r="G263" s="16">
        <v>15000</v>
      </c>
      <c r="H263" s="16">
        <v>15000</v>
      </c>
      <c r="I263" s="16">
        <v>15000</v>
      </c>
      <c r="J263" s="16">
        <v>15000</v>
      </c>
      <c r="K263" s="16">
        <v>15000</v>
      </c>
      <c r="L263" s="16">
        <v>15000</v>
      </c>
      <c r="M263" s="16">
        <v>15000</v>
      </c>
      <c r="N263" s="16">
        <v>15000</v>
      </c>
      <c r="O263" s="16">
        <v>15000</v>
      </c>
      <c r="P263" s="16">
        <v>15000</v>
      </c>
      <c r="Q263" s="16">
        <v>15000</v>
      </c>
      <c r="R263" s="16">
        <v>15000</v>
      </c>
      <c r="S263" s="16">
        <v>15000</v>
      </c>
      <c r="T263" s="16">
        <v>15000</v>
      </c>
      <c r="U263" s="16">
        <v>15000</v>
      </c>
      <c r="V263" s="16">
        <v>15000</v>
      </c>
      <c r="W263" s="16">
        <v>15000</v>
      </c>
      <c r="X263" s="16">
        <v>15000</v>
      </c>
      <c r="Y263" s="16">
        <v>15000</v>
      </c>
      <c r="Z263" s="16">
        <v>15000</v>
      </c>
      <c r="AA263" s="16">
        <v>15000</v>
      </c>
      <c r="AB263" s="6">
        <f t="shared" si="7"/>
        <v>1800000</v>
      </c>
      <c r="AC263" s="93"/>
      <c r="AF263" s="67">
        <v>48792</v>
      </c>
      <c r="AG263" s="68">
        <f>AC277</f>
        <v>11160000</v>
      </c>
    </row>
    <row r="264" spans="1:33" ht="18.75" thickBot="1" x14ac:dyDescent="0.3">
      <c r="A264" s="97"/>
      <c r="B264" s="12" t="s">
        <v>30</v>
      </c>
      <c r="C264" s="12">
        <v>22</v>
      </c>
      <c r="D264" s="16">
        <v>15000</v>
      </c>
      <c r="E264" s="16">
        <v>15000</v>
      </c>
      <c r="F264" s="16">
        <v>15000</v>
      </c>
      <c r="G264" s="16">
        <v>15000</v>
      </c>
      <c r="H264" s="16">
        <v>15000</v>
      </c>
      <c r="I264" s="16">
        <v>15000</v>
      </c>
      <c r="J264" s="16">
        <v>15000</v>
      </c>
      <c r="K264" s="16">
        <v>15000</v>
      </c>
      <c r="L264" s="16">
        <v>15000</v>
      </c>
      <c r="M264" s="16">
        <v>15000</v>
      </c>
      <c r="N264" s="16">
        <v>15000</v>
      </c>
      <c r="O264" s="16">
        <v>15000</v>
      </c>
      <c r="P264" s="16">
        <v>15000</v>
      </c>
      <c r="Q264" s="16">
        <v>15000</v>
      </c>
      <c r="R264" s="16">
        <v>15000</v>
      </c>
      <c r="S264" s="16">
        <v>15000</v>
      </c>
      <c r="T264" s="16">
        <v>15000</v>
      </c>
      <c r="U264" s="16">
        <v>15000</v>
      </c>
      <c r="V264" s="16">
        <v>15000</v>
      </c>
      <c r="W264" s="16">
        <v>15000</v>
      </c>
      <c r="X264" s="16">
        <v>15000</v>
      </c>
      <c r="Y264" s="16">
        <v>15000</v>
      </c>
      <c r="Z264" s="16">
        <v>15000</v>
      </c>
      <c r="AA264" s="16">
        <v>15000</v>
      </c>
      <c r="AB264" s="6">
        <f t="shared" si="7"/>
        <v>7920000</v>
      </c>
      <c r="AC264" s="94"/>
      <c r="AF264" s="67">
        <v>48823</v>
      </c>
      <c r="AG264" s="68">
        <f>AC280</f>
        <v>10800000</v>
      </c>
    </row>
    <row r="265" spans="1:33" ht="18.75" thickBot="1" x14ac:dyDescent="0.3">
      <c r="A265" s="95">
        <v>48670</v>
      </c>
      <c r="B265" s="9" t="s">
        <v>28</v>
      </c>
      <c r="C265" s="9">
        <v>4</v>
      </c>
      <c r="D265" s="16">
        <v>15000</v>
      </c>
      <c r="E265" s="16">
        <v>15000</v>
      </c>
      <c r="F265" s="16">
        <v>15000</v>
      </c>
      <c r="G265" s="16">
        <v>15000</v>
      </c>
      <c r="H265" s="16">
        <v>15000</v>
      </c>
      <c r="I265" s="16">
        <v>15000</v>
      </c>
      <c r="J265" s="16">
        <v>15000</v>
      </c>
      <c r="K265" s="16">
        <v>15000</v>
      </c>
      <c r="L265" s="16">
        <v>15000</v>
      </c>
      <c r="M265" s="16">
        <v>15000</v>
      </c>
      <c r="N265" s="16">
        <v>15000</v>
      </c>
      <c r="O265" s="16">
        <v>15000</v>
      </c>
      <c r="P265" s="16">
        <v>15000</v>
      </c>
      <c r="Q265" s="16">
        <v>15000</v>
      </c>
      <c r="R265" s="16">
        <v>15000</v>
      </c>
      <c r="S265" s="16">
        <v>15000</v>
      </c>
      <c r="T265" s="16">
        <v>15000</v>
      </c>
      <c r="U265" s="16">
        <v>15000</v>
      </c>
      <c r="V265" s="16">
        <v>15000</v>
      </c>
      <c r="W265" s="16">
        <v>15000</v>
      </c>
      <c r="X265" s="16">
        <v>15000</v>
      </c>
      <c r="Y265" s="16">
        <v>15000</v>
      </c>
      <c r="Z265" s="16">
        <v>15000</v>
      </c>
      <c r="AA265" s="16">
        <v>15000</v>
      </c>
      <c r="AB265" s="6">
        <f t="shared" si="7"/>
        <v>1440000</v>
      </c>
      <c r="AC265" s="92">
        <f>+AB265+AB266+AB267</f>
        <v>10800000</v>
      </c>
      <c r="AF265" s="67">
        <v>48853</v>
      </c>
      <c r="AG265" s="68">
        <f>AC283</f>
        <v>11160000</v>
      </c>
    </row>
    <row r="266" spans="1:33" ht="18.75" thickBot="1" x14ac:dyDescent="0.3">
      <c r="A266" s="96"/>
      <c r="B266" s="11" t="s">
        <v>29</v>
      </c>
      <c r="C266" s="11">
        <v>5</v>
      </c>
      <c r="D266" s="16">
        <v>15000</v>
      </c>
      <c r="E266" s="16">
        <v>15000</v>
      </c>
      <c r="F266" s="16">
        <v>15000</v>
      </c>
      <c r="G266" s="16">
        <v>15000</v>
      </c>
      <c r="H266" s="16">
        <v>15000</v>
      </c>
      <c r="I266" s="16">
        <v>15000</v>
      </c>
      <c r="J266" s="16">
        <v>15000</v>
      </c>
      <c r="K266" s="16">
        <v>15000</v>
      </c>
      <c r="L266" s="16">
        <v>15000</v>
      </c>
      <c r="M266" s="16">
        <v>15000</v>
      </c>
      <c r="N266" s="16">
        <v>15000</v>
      </c>
      <c r="O266" s="16">
        <v>15000</v>
      </c>
      <c r="P266" s="16">
        <v>15000</v>
      </c>
      <c r="Q266" s="16">
        <v>15000</v>
      </c>
      <c r="R266" s="16">
        <v>15000</v>
      </c>
      <c r="S266" s="16">
        <v>15000</v>
      </c>
      <c r="T266" s="16">
        <v>15000</v>
      </c>
      <c r="U266" s="16">
        <v>15000</v>
      </c>
      <c r="V266" s="16">
        <v>15000</v>
      </c>
      <c r="W266" s="16">
        <v>15000</v>
      </c>
      <c r="X266" s="16">
        <v>15000</v>
      </c>
      <c r="Y266" s="16">
        <v>15000</v>
      </c>
      <c r="Z266" s="16">
        <v>15000</v>
      </c>
      <c r="AA266" s="16">
        <v>15000</v>
      </c>
      <c r="AB266" s="6">
        <f t="shared" si="7"/>
        <v>1800000</v>
      </c>
      <c r="AC266" s="93"/>
      <c r="AF266" s="67">
        <v>48884</v>
      </c>
      <c r="AG266" s="68">
        <f>AC286</f>
        <v>10800000</v>
      </c>
    </row>
    <row r="267" spans="1:33" ht="18.75" thickBot="1" x14ac:dyDescent="0.3">
      <c r="A267" s="97"/>
      <c r="B267" s="12" t="s">
        <v>30</v>
      </c>
      <c r="C267" s="12">
        <v>21</v>
      </c>
      <c r="D267" s="16">
        <v>15000</v>
      </c>
      <c r="E267" s="16">
        <v>15000</v>
      </c>
      <c r="F267" s="16">
        <v>15000</v>
      </c>
      <c r="G267" s="16">
        <v>15000</v>
      </c>
      <c r="H267" s="16">
        <v>15000</v>
      </c>
      <c r="I267" s="16">
        <v>15000</v>
      </c>
      <c r="J267" s="16">
        <v>15000</v>
      </c>
      <c r="K267" s="16">
        <v>15000</v>
      </c>
      <c r="L267" s="16">
        <v>15000</v>
      </c>
      <c r="M267" s="16">
        <v>15000</v>
      </c>
      <c r="N267" s="16">
        <v>15000</v>
      </c>
      <c r="O267" s="16">
        <v>15000</v>
      </c>
      <c r="P267" s="16">
        <v>15000</v>
      </c>
      <c r="Q267" s="16">
        <v>15000</v>
      </c>
      <c r="R267" s="16">
        <v>15000</v>
      </c>
      <c r="S267" s="16">
        <v>15000</v>
      </c>
      <c r="T267" s="16">
        <v>15000</v>
      </c>
      <c r="U267" s="16">
        <v>15000</v>
      </c>
      <c r="V267" s="16">
        <v>15000</v>
      </c>
      <c r="W267" s="16">
        <v>15000</v>
      </c>
      <c r="X267" s="16">
        <v>15000</v>
      </c>
      <c r="Y267" s="16">
        <v>15000</v>
      </c>
      <c r="Z267" s="16">
        <v>15000</v>
      </c>
      <c r="AA267" s="16">
        <v>15000</v>
      </c>
      <c r="AB267" s="6">
        <f t="shared" si="7"/>
        <v>7560000</v>
      </c>
      <c r="AC267" s="94"/>
      <c r="AF267" s="67">
        <v>48914</v>
      </c>
      <c r="AG267" s="68">
        <f>AC289</f>
        <v>11160000</v>
      </c>
    </row>
    <row r="268" spans="1:33" ht="18.75" thickBot="1" x14ac:dyDescent="0.3">
      <c r="A268" s="95">
        <v>48700</v>
      </c>
      <c r="B268" s="9" t="s">
        <v>28</v>
      </c>
      <c r="C268" s="9">
        <v>4</v>
      </c>
      <c r="D268" s="16">
        <v>15000</v>
      </c>
      <c r="E268" s="16">
        <v>15000</v>
      </c>
      <c r="F268" s="16">
        <v>15000</v>
      </c>
      <c r="G268" s="16">
        <v>15000</v>
      </c>
      <c r="H268" s="16">
        <v>15000</v>
      </c>
      <c r="I268" s="16">
        <v>15000</v>
      </c>
      <c r="J268" s="16">
        <v>15000</v>
      </c>
      <c r="K268" s="16">
        <v>15000</v>
      </c>
      <c r="L268" s="16">
        <v>15000</v>
      </c>
      <c r="M268" s="16">
        <v>15000</v>
      </c>
      <c r="N268" s="16">
        <v>15000</v>
      </c>
      <c r="O268" s="16">
        <v>15000</v>
      </c>
      <c r="P268" s="16">
        <v>15000</v>
      </c>
      <c r="Q268" s="16">
        <v>15000</v>
      </c>
      <c r="R268" s="16">
        <v>15000</v>
      </c>
      <c r="S268" s="16">
        <v>15000</v>
      </c>
      <c r="T268" s="16">
        <v>15000</v>
      </c>
      <c r="U268" s="16">
        <v>15000</v>
      </c>
      <c r="V268" s="16">
        <v>15000</v>
      </c>
      <c r="W268" s="16">
        <v>15000</v>
      </c>
      <c r="X268" s="16">
        <v>15000</v>
      </c>
      <c r="Y268" s="16">
        <v>15000</v>
      </c>
      <c r="Z268" s="16">
        <v>15000</v>
      </c>
      <c r="AA268" s="16">
        <v>15000</v>
      </c>
      <c r="AB268" s="6">
        <f t="shared" si="7"/>
        <v>1440000</v>
      </c>
      <c r="AC268" s="92">
        <f>+AB268+AB269+AB270</f>
        <v>11160000</v>
      </c>
    </row>
    <row r="269" spans="1:33" ht="18.75" thickBot="1" x14ac:dyDescent="0.3">
      <c r="A269" s="96"/>
      <c r="B269" s="11" t="s">
        <v>29</v>
      </c>
      <c r="C269" s="11">
        <v>6</v>
      </c>
      <c r="D269" s="16">
        <v>15000</v>
      </c>
      <c r="E269" s="16">
        <v>15000</v>
      </c>
      <c r="F269" s="16">
        <v>15000</v>
      </c>
      <c r="G269" s="16">
        <v>15000</v>
      </c>
      <c r="H269" s="16">
        <v>15000</v>
      </c>
      <c r="I269" s="16">
        <v>15000</v>
      </c>
      <c r="J269" s="16">
        <v>15000</v>
      </c>
      <c r="K269" s="16">
        <v>15000</v>
      </c>
      <c r="L269" s="16">
        <v>15000</v>
      </c>
      <c r="M269" s="16">
        <v>15000</v>
      </c>
      <c r="N269" s="16">
        <v>15000</v>
      </c>
      <c r="O269" s="16">
        <v>15000</v>
      </c>
      <c r="P269" s="16">
        <v>15000</v>
      </c>
      <c r="Q269" s="16">
        <v>15000</v>
      </c>
      <c r="R269" s="16">
        <v>15000</v>
      </c>
      <c r="S269" s="16">
        <v>15000</v>
      </c>
      <c r="T269" s="16">
        <v>15000</v>
      </c>
      <c r="U269" s="16">
        <v>15000</v>
      </c>
      <c r="V269" s="16">
        <v>15000</v>
      </c>
      <c r="W269" s="16">
        <v>15000</v>
      </c>
      <c r="X269" s="16">
        <v>15000</v>
      </c>
      <c r="Y269" s="16">
        <v>15000</v>
      </c>
      <c r="Z269" s="16">
        <v>15000</v>
      </c>
      <c r="AA269" s="16">
        <v>15000</v>
      </c>
      <c r="AB269" s="6">
        <f t="shared" si="7"/>
        <v>2160000</v>
      </c>
      <c r="AC269" s="93"/>
    </row>
    <row r="270" spans="1:33" ht="18.75" thickBot="1" x14ac:dyDescent="0.3">
      <c r="A270" s="97"/>
      <c r="B270" s="12" t="s">
        <v>30</v>
      </c>
      <c r="C270" s="12">
        <v>21</v>
      </c>
      <c r="D270" s="16">
        <v>15000</v>
      </c>
      <c r="E270" s="16">
        <v>15000</v>
      </c>
      <c r="F270" s="16">
        <v>15000</v>
      </c>
      <c r="G270" s="16">
        <v>15000</v>
      </c>
      <c r="H270" s="16">
        <v>15000</v>
      </c>
      <c r="I270" s="16">
        <v>15000</v>
      </c>
      <c r="J270" s="16">
        <v>15000</v>
      </c>
      <c r="K270" s="16">
        <v>15000</v>
      </c>
      <c r="L270" s="16">
        <v>15000</v>
      </c>
      <c r="M270" s="16">
        <v>15000</v>
      </c>
      <c r="N270" s="16">
        <v>15000</v>
      </c>
      <c r="O270" s="16">
        <v>15000</v>
      </c>
      <c r="P270" s="16">
        <v>15000</v>
      </c>
      <c r="Q270" s="16">
        <v>15000</v>
      </c>
      <c r="R270" s="16">
        <v>15000</v>
      </c>
      <c r="S270" s="16">
        <v>15000</v>
      </c>
      <c r="T270" s="16">
        <v>15000</v>
      </c>
      <c r="U270" s="16">
        <v>15000</v>
      </c>
      <c r="V270" s="16">
        <v>15000</v>
      </c>
      <c r="W270" s="16">
        <v>15000</v>
      </c>
      <c r="X270" s="16">
        <v>15000</v>
      </c>
      <c r="Y270" s="16">
        <v>15000</v>
      </c>
      <c r="Z270" s="16">
        <v>15000</v>
      </c>
      <c r="AA270" s="16">
        <v>15000</v>
      </c>
      <c r="AB270" s="6">
        <f t="shared" si="7"/>
        <v>7560000</v>
      </c>
      <c r="AC270" s="94"/>
    </row>
    <row r="271" spans="1:33" ht="18.75" thickBot="1" x14ac:dyDescent="0.3">
      <c r="A271" s="95">
        <v>48731</v>
      </c>
      <c r="B271" s="9" t="s">
        <v>28</v>
      </c>
      <c r="C271" s="9">
        <v>4</v>
      </c>
      <c r="D271" s="16">
        <v>15000</v>
      </c>
      <c r="E271" s="16">
        <v>15000</v>
      </c>
      <c r="F271" s="16">
        <v>15000</v>
      </c>
      <c r="G271" s="16">
        <v>15000</v>
      </c>
      <c r="H271" s="16">
        <v>15000</v>
      </c>
      <c r="I271" s="16">
        <v>15000</v>
      </c>
      <c r="J271" s="16">
        <v>15000</v>
      </c>
      <c r="K271" s="16">
        <v>15000</v>
      </c>
      <c r="L271" s="16">
        <v>15000</v>
      </c>
      <c r="M271" s="16">
        <v>15000</v>
      </c>
      <c r="N271" s="16">
        <v>15000</v>
      </c>
      <c r="O271" s="16">
        <v>15000</v>
      </c>
      <c r="P271" s="16">
        <v>15000</v>
      </c>
      <c r="Q271" s="16">
        <v>15000</v>
      </c>
      <c r="R271" s="16">
        <v>15000</v>
      </c>
      <c r="S271" s="16">
        <v>15000</v>
      </c>
      <c r="T271" s="16">
        <v>15000</v>
      </c>
      <c r="U271" s="16">
        <v>15000</v>
      </c>
      <c r="V271" s="16">
        <v>15000</v>
      </c>
      <c r="W271" s="16">
        <v>15000</v>
      </c>
      <c r="X271" s="16">
        <v>15000</v>
      </c>
      <c r="Y271" s="16">
        <v>15000</v>
      </c>
      <c r="Z271" s="16">
        <v>15000</v>
      </c>
      <c r="AA271" s="16">
        <v>15000</v>
      </c>
      <c r="AB271" s="6">
        <f t="shared" si="7"/>
        <v>1440000</v>
      </c>
      <c r="AC271" s="92">
        <f>+AB271+AB272+AB273</f>
        <v>10800000</v>
      </c>
    </row>
    <row r="272" spans="1:33" ht="18.75" thickBot="1" x14ac:dyDescent="0.3">
      <c r="A272" s="96"/>
      <c r="B272" s="11" t="s">
        <v>29</v>
      </c>
      <c r="C272" s="11">
        <v>5</v>
      </c>
      <c r="D272" s="16">
        <v>15000</v>
      </c>
      <c r="E272" s="16">
        <v>15000</v>
      </c>
      <c r="F272" s="16">
        <v>15000</v>
      </c>
      <c r="G272" s="16">
        <v>15000</v>
      </c>
      <c r="H272" s="16">
        <v>15000</v>
      </c>
      <c r="I272" s="16">
        <v>15000</v>
      </c>
      <c r="J272" s="16">
        <v>15000</v>
      </c>
      <c r="K272" s="16">
        <v>15000</v>
      </c>
      <c r="L272" s="16">
        <v>15000</v>
      </c>
      <c r="M272" s="16">
        <v>15000</v>
      </c>
      <c r="N272" s="16">
        <v>15000</v>
      </c>
      <c r="O272" s="16">
        <v>15000</v>
      </c>
      <c r="P272" s="16">
        <v>15000</v>
      </c>
      <c r="Q272" s="16">
        <v>15000</v>
      </c>
      <c r="R272" s="16">
        <v>15000</v>
      </c>
      <c r="S272" s="16">
        <v>15000</v>
      </c>
      <c r="T272" s="16">
        <v>15000</v>
      </c>
      <c r="U272" s="16">
        <v>15000</v>
      </c>
      <c r="V272" s="16">
        <v>15000</v>
      </c>
      <c r="W272" s="16">
        <v>15000</v>
      </c>
      <c r="X272" s="16">
        <v>15000</v>
      </c>
      <c r="Y272" s="16">
        <v>15000</v>
      </c>
      <c r="Z272" s="16">
        <v>15000</v>
      </c>
      <c r="AA272" s="16">
        <v>15000</v>
      </c>
      <c r="AB272" s="6">
        <f t="shared" si="7"/>
        <v>1800000</v>
      </c>
      <c r="AC272" s="93"/>
    </row>
    <row r="273" spans="1:29" ht="18.75" thickBot="1" x14ac:dyDescent="0.3">
      <c r="A273" s="97"/>
      <c r="B273" s="12" t="s">
        <v>30</v>
      </c>
      <c r="C273" s="12">
        <v>21</v>
      </c>
      <c r="D273" s="16">
        <v>15000</v>
      </c>
      <c r="E273" s="16">
        <v>15000</v>
      </c>
      <c r="F273" s="16">
        <v>15000</v>
      </c>
      <c r="G273" s="16">
        <v>15000</v>
      </c>
      <c r="H273" s="16">
        <v>15000</v>
      </c>
      <c r="I273" s="16">
        <v>15000</v>
      </c>
      <c r="J273" s="16">
        <v>15000</v>
      </c>
      <c r="K273" s="16">
        <v>15000</v>
      </c>
      <c r="L273" s="16">
        <v>15000</v>
      </c>
      <c r="M273" s="16">
        <v>15000</v>
      </c>
      <c r="N273" s="16">
        <v>15000</v>
      </c>
      <c r="O273" s="16">
        <v>15000</v>
      </c>
      <c r="P273" s="16">
        <v>15000</v>
      </c>
      <c r="Q273" s="16">
        <v>15000</v>
      </c>
      <c r="R273" s="16">
        <v>15000</v>
      </c>
      <c r="S273" s="16">
        <v>15000</v>
      </c>
      <c r="T273" s="16">
        <v>15000</v>
      </c>
      <c r="U273" s="16">
        <v>15000</v>
      </c>
      <c r="V273" s="16">
        <v>15000</v>
      </c>
      <c r="W273" s="16">
        <v>15000</v>
      </c>
      <c r="X273" s="16">
        <v>15000</v>
      </c>
      <c r="Y273" s="16">
        <v>15000</v>
      </c>
      <c r="Z273" s="16">
        <v>15000</v>
      </c>
      <c r="AA273" s="16">
        <v>15000</v>
      </c>
      <c r="AB273" s="6">
        <f t="shared" si="7"/>
        <v>7560000</v>
      </c>
      <c r="AC273" s="94"/>
    </row>
    <row r="274" spans="1:29" ht="18.75" thickBot="1" x14ac:dyDescent="0.3">
      <c r="A274" s="95">
        <v>48761</v>
      </c>
      <c r="B274" s="9" t="s">
        <v>28</v>
      </c>
      <c r="C274" s="9">
        <v>5</v>
      </c>
      <c r="D274" s="16">
        <v>15000</v>
      </c>
      <c r="E274" s="16">
        <v>15000</v>
      </c>
      <c r="F274" s="16">
        <v>15000</v>
      </c>
      <c r="G274" s="16">
        <v>15000</v>
      </c>
      <c r="H274" s="16">
        <v>15000</v>
      </c>
      <c r="I274" s="16">
        <v>15000</v>
      </c>
      <c r="J274" s="16">
        <v>15000</v>
      </c>
      <c r="K274" s="16">
        <v>15000</v>
      </c>
      <c r="L274" s="16">
        <v>15000</v>
      </c>
      <c r="M274" s="16">
        <v>15000</v>
      </c>
      <c r="N274" s="16">
        <v>15000</v>
      </c>
      <c r="O274" s="16">
        <v>15000</v>
      </c>
      <c r="P274" s="16">
        <v>15000</v>
      </c>
      <c r="Q274" s="16">
        <v>15000</v>
      </c>
      <c r="R274" s="16">
        <v>15000</v>
      </c>
      <c r="S274" s="16">
        <v>15000</v>
      </c>
      <c r="T274" s="16">
        <v>15000</v>
      </c>
      <c r="U274" s="16">
        <v>15000</v>
      </c>
      <c r="V274" s="16">
        <v>15000</v>
      </c>
      <c r="W274" s="16">
        <v>15000</v>
      </c>
      <c r="X274" s="16">
        <v>15000</v>
      </c>
      <c r="Y274" s="16">
        <v>15000</v>
      </c>
      <c r="Z274" s="16">
        <v>15000</v>
      </c>
      <c r="AA274" s="16">
        <v>15000</v>
      </c>
      <c r="AB274" s="6">
        <f t="shared" si="7"/>
        <v>1800000</v>
      </c>
      <c r="AC274" s="92">
        <f>+AB274+AB275+AB276</f>
        <v>11160000</v>
      </c>
    </row>
    <row r="275" spans="1:29" ht="18.75" thickBot="1" x14ac:dyDescent="0.3">
      <c r="A275" s="96"/>
      <c r="B275" s="11" t="s">
        <v>29</v>
      </c>
      <c r="C275" s="11">
        <v>5</v>
      </c>
      <c r="D275" s="16">
        <v>15000</v>
      </c>
      <c r="E275" s="16">
        <v>15000</v>
      </c>
      <c r="F275" s="16">
        <v>15000</v>
      </c>
      <c r="G275" s="16">
        <v>15000</v>
      </c>
      <c r="H275" s="16">
        <v>15000</v>
      </c>
      <c r="I275" s="16">
        <v>15000</v>
      </c>
      <c r="J275" s="16">
        <v>15000</v>
      </c>
      <c r="K275" s="16">
        <v>15000</v>
      </c>
      <c r="L275" s="16">
        <v>15000</v>
      </c>
      <c r="M275" s="16">
        <v>15000</v>
      </c>
      <c r="N275" s="16">
        <v>15000</v>
      </c>
      <c r="O275" s="16">
        <v>15000</v>
      </c>
      <c r="P275" s="16">
        <v>15000</v>
      </c>
      <c r="Q275" s="16">
        <v>15000</v>
      </c>
      <c r="R275" s="16">
        <v>15000</v>
      </c>
      <c r="S275" s="16">
        <v>15000</v>
      </c>
      <c r="T275" s="16">
        <v>15000</v>
      </c>
      <c r="U275" s="16">
        <v>15000</v>
      </c>
      <c r="V275" s="16">
        <v>15000</v>
      </c>
      <c r="W275" s="16">
        <v>15000</v>
      </c>
      <c r="X275" s="16">
        <v>15000</v>
      </c>
      <c r="Y275" s="16">
        <v>15000</v>
      </c>
      <c r="Z275" s="16">
        <v>15000</v>
      </c>
      <c r="AA275" s="16">
        <v>15000</v>
      </c>
      <c r="AB275" s="6">
        <f t="shared" si="7"/>
        <v>1800000</v>
      </c>
      <c r="AC275" s="93"/>
    </row>
    <row r="276" spans="1:29" ht="18.75" thickBot="1" x14ac:dyDescent="0.3">
      <c r="A276" s="97"/>
      <c r="B276" s="12" t="s">
        <v>30</v>
      </c>
      <c r="C276" s="12">
        <v>21</v>
      </c>
      <c r="D276" s="16">
        <v>15000</v>
      </c>
      <c r="E276" s="16">
        <v>15000</v>
      </c>
      <c r="F276" s="16">
        <v>15000</v>
      </c>
      <c r="G276" s="16">
        <v>15000</v>
      </c>
      <c r="H276" s="16">
        <v>15000</v>
      </c>
      <c r="I276" s="16">
        <v>15000</v>
      </c>
      <c r="J276" s="16">
        <v>15000</v>
      </c>
      <c r="K276" s="16">
        <v>15000</v>
      </c>
      <c r="L276" s="16">
        <v>15000</v>
      </c>
      <c r="M276" s="16">
        <v>15000</v>
      </c>
      <c r="N276" s="16">
        <v>15000</v>
      </c>
      <c r="O276" s="16">
        <v>15000</v>
      </c>
      <c r="P276" s="16">
        <v>15000</v>
      </c>
      <c r="Q276" s="16">
        <v>15000</v>
      </c>
      <c r="R276" s="16">
        <v>15000</v>
      </c>
      <c r="S276" s="16">
        <v>15000</v>
      </c>
      <c r="T276" s="16">
        <v>15000</v>
      </c>
      <c r="U276" s="16">
        <v>15000</v>
      </c>
      <c r="V276" s="16">
        <v>15000</v>
      </c>
      <c r="W276" s="16">
        <v>15000</v>
      </c>
      <c r="X276" s="16">
        <v>15000</v>
      </c>
      <c r="Y276" s="16">
        <v>15000</v>
      </c>
      <c r="Z276" s="16">
        <v>15000</v>
      </c>
      <c r="AA276" s="16">
        <v>15000</v>
      </c>
      <c r="AB276" s="6">
        <f t="shared" si="7"/>
        <v>7560000</v>
      </c>
      <c r="AC276" s="94"/>
    </row>
    <row r="277" spans="1:29" ht="18.75" thickBot="1" x14ac:dyDescent="0.3">
      <c r="A277" s="95">
        <v>48792</v>
      </c>
      <c r="B277" s="9" t="s">
        <v>28</v>
      </c>
      <c r="C277" s="9">
        <v>4</v>
      </c>
      <c r="D277" s="16">
        <v>15000</v>
      </c>
      <c r="E277" s="16">
        <v>15000</v>
      </c>
      <c r="F277" s="16">
        <v>15000</v>
      </c>
      <c r="G277" s="16">
        <v>15000</v>
      </c>
      <c r="H277" s="16">
        <v>15000</v>
      </c>
      <c r="I277" s="16">
        <v>15000</v>
      </c>
      <c r="J277" s="16">
        <v>15000</v>
      </c>
      <c r="K277" s="16">
        <v>15000</v>
      </c>
      <c r="L277" s="16">
        <v>15000</v>
      </c>
      <c r="M277" s="16">
        <v>15000</v>
      </c>
      <c r="N277" s="16">
        <v>15000</v>
      </c>
      <c r="O277" s="16">
        <v>15000</v>
      </c>
      <c r="P277" s="16">
        <v>15000</v>
      </c>
      <c r="Q277" s="16">
        <v>15000</v>
      </c>
      <c r="R277" s="16">
        <v>15000</v>
      </c>
      <c r="S277" s="16">
        <v>15000</v>
      </c>
      <c r="T277" s="16">
        <v>15000</v>
      </c>
      <c r="U277" s="16">
        <v>15000</v>
      </c>
      <c r="V277" s="16">
        <v>15000</v>
      </c>
      <c r="W277" s="16">
        <v>15000</v>
      </c>
      <c r="X277" s="16">
        <v>15000</v>
      </c>
      <c r="Y277" s="16">
        <v>15000</v>
      </c>
      <c r="Z277" s="16">
        <v>15000</v>
      </c>
      <c r="AA277" s="16">
        <v>15000</v>
      </c>
      <c r="AB277" s="6">
        <f t="shared" si="7"/>
        <v>1440000</v>
      </c>
      <c r="AC277" s="92">
        <f>+AB277+AB278+AB279</f>
        <v>11160000</v>
      </c>
    </row>
    <row r="278" spans="1:29" ht="18.75" thickBot="1" x14ac:dyDescent="0.3">
      <c r="A278" s="96"/>
      <c r="B278" s="11" t="s">
        <v>29</v>
      </c>
      <c r="C278" s="11">
        <v>4</v>
      </c>
      <c r="D278" s="16">
        <v>15000</v>
      </c>
      <c r="E278" s="16">
        <v>15000</v>
      </c>
      <c r="F278" s="16">
        <v>15000</v>
      </c>
      <c r="G278" s="16">
        <v>15000</v>
      </c>
      <c r="H278" s="16">
        <v>15000</v>
      </c>
      <c r="I278" s="16">
        <v>15000</v>
      </c>
      <c r="J278" s="16">
        <v>15000</v>
      </c>
      <c r="K278" s="16">
        <v>15000</v>
      </c>
      <c r="L278" s="16">
        <v>15000</v>
      </c>
      <c r="M278" s="16">
        <v>15000</v>
      </c>
      <c r="N278" s="16">
        <v>15000</v>
      </c>
      <c r="O278" s="16">
        <v>15000</v>
      </c>
      <c r="P278" s="16">
        <v>15000</v>
      </c>
      <c r="Q278" s="16">
        <v>15000</v>
      </c>
      <c r="R278" s="16">
        <v>15000</v>
      </c>
      <c r="S278" s="16">
        <v>15000</v>
      </c>
      <c r="T278" s="16">
        <v>15000</v>
      </c>
      <c r="U278" s="16">
        <v>15000</v>
      </c>
      <c r="V278" s="16">
        <v>15000</v>
      </c>
      <c r="W278" s="16">
        <v>15000</v>
      </c>
      <c r="X278" s="16">
        <v>15000</v>
      </c>
      <c r="Y278" s="16">
        <v>15000</v>
      </c>
      <c r="Z278" s="16">
        <v>15000</v>
      </c>
      <c r="AA278" s="16">
        <v>15000</v>
      </c>
      <c r="AB278" s="6">
        <f t="shared" si="7"/>
        <v>1440000</v>
      </c>
      <c r="AC278" s="93"/>
    </row>
    <row r="279" spans="1:29" ht="18.75" thickBot="1" x14ac:dyDescent="0.3">
      <c r="A279" s="97"/>
      <c r="B279" s="12" t="s">
        <v>30</v>
      </c>
      <c r="C279" s="12">
        <v>23</v>
      </c>
      <c r="D279" s="16">
        <v>15000</v>
      </c>
      <c r="E279" s="16">
        <v>15000</v>
      </c>
      <c r="F279" s="16">
        <v>15000</v>
      </c>
      <c r="G279" s="16">
        <v>15000</v>
      </c>
      <c r="H279" s="16">
        <v>15000</v>
      </c>
      <c r="I279" s="16">
        <v>15000</v>
      </c>
      <c r="J279" s="16">
        <v>15000</v>
      </c>
      <c r="K279" s="16">
        <v>15000</v>
      </c>
      <c r="L279" s="16">
        <v>15000</v>
      </c>
      <c r="M279" s="16">
        <v>15000</v>
      </c>
      <c r="N279" s="16">
        <v>15000</v>
      </c>
      <c r="O279" s="16">
        <v>15000</v>
      </c>
      <c r="P279" s="16">
        <v>15000</v>
      </c>
      <c r="Q279" s="16">
        <v>15000</v>
      </c>
      <c r="R279" s="16">
        <v>15000</v>
      </c>
      <c r="S279" s="16">
        <v>15000</v>
      </c>
      <c r="T279" s="16">
        <v>15000</v>
      </c>
      <c r="U279" s="16">
        <v>15000</v>
      </c>
      <c r="V279" s="16">
        <v>15000</v>
      </c>
      <c r="W279" s="16">
        <v>15000</v>
      </c>
      <c r="X279" s="16">
        <v>15000</v>
      </c>
      <c r="Y279" s="16">
        <v>15000</v>
      </c>
      <c r="Z279" s="16">
        <v>15000</v>
      </c>
      <c r="AA279" s="16">
        <v>15000</v>
      </c>
      <c r="AB279" s="6">
        <f t="shared" si="7"/>
        <v>8280000</v>
      </c>
      <c r="AC279" s="94"/>
    </row>
    <row r="280" spans="1:29" ht="18.75" thickBot="1" x14ac:dyDescent="0.3">
      <c r="A280" s="95">
        <v>48823</v>
      </c>
      <c r="B280" s="9" t="s">
        <v>28</v>
      </c>
      <c r="C280" s="9">
        <v>4</v>
      </c>
      <c r="D280" s="16">
        <v>15000</v>
      </c>
      <c r="E280" s="16">
        <v>15000</v>
      </c>
      <c r="F280" s="16">
        <v>15000</v>
      </c>
      <c r="G280" s="16">
        <v>15000</v>
      </c>
      <c r="H280" s="16">
        <v>15000</v>
      </c>
      <c r="I280" s="16">
        <v>15000</v>
      </c>
      <c r="J280" s="16">
        <v>15000</v>
      </c>
      <c r="K280" s="16">
        <v>15000</v>
      </c>
      <c r="L280" s="16">
        <v>15000</v>
      </c>
      <c r="M280" s="16">
        <v>15000</v>
      </c>
      <c r="N280" s="16">
        <v>15000</v>
      </c>
      <c r="O280" s="16">
        <v>15000</v>
      </c>
      <c r="P280" s="16">
        <v>15000</v>
      </c>
      <c r="Q280" s="16">
        <v>15000</v>
      </c>
      <c r="R280" s="16">
        <v>15000</v>
      </c>
      <c r="S280" s="16">
        <v>15000</v>
      </c>
      <c r="T280" s="16">
        <v>15000</v>
      </c>
      <c r="U280" s="16">
        <v>15000</v>
      </c>
      <c r="V280" s="16">
        <v>15000</v>
      </c>
      <c r="W280" s="16">
        <v>15000</v>
      </c>
      <c r="X280" s="16">
        <v>15000</v>
      </c>
      <c r="Y280" s="16">
        <v>15000</v>
      </c>
      <c r="Z280" s="16">
        <v>15000</v>
      </c>
      <c r="AA280" s="16">
        <v>15000</v>
      </c>
      <c r="AB280" s="6">
        <f t="shared" si="7"/>
        <v>1440000</v>
      </c>
      <c r="AC280" s="92">
        <f>+AB280+AB281+AB282</f>
        <v>10800000</v>
      </c>
    </row>
    <row r="281" spans="1:29" ht="18.75" thickBot="1" x14ac:dyDescent="0.3">
      <c r="A281" s="96"/>
      <c r="B281" s="11" t="s">
        <v>29</v>
      </c>
      <c r="C281" s="11">
        <v>4</v>
      </c>
      <c r="D281" s="16">
        <v>15000</v>
      </c>
      <c r="E281" s="16">
        <v>15000</v>
      </c>
      <c r="F281" s="16">
        <v>15000</v>
      </c>
      <c r="G281" s="16">
        <v>15000</v>
      </c>
      <c r="H281" s="16">
        <v>15000</v>
      </c>
      <c r="I281" s="16">
        <v>15000</v>
      </c>
      <c r="J281" s="16">
        <v>15000</v>
      </c>
      <c r="K281" s="16">
        <v>15000</v>
      </c>
      <c r="L281" s="16">
        <v>15000</v>
      </c>
      <c r="M281" s="16">
        <v>15000</v>
      </c>
      <c r="N281" s="16">
        <v>15000</v>
      </c>
      <c r="O281" s="16">
        <v>15000</v>
      </c>
      <c r="P281" s="16">
        <v>15000</v>
      </c>
      <c r="Q281" s="16">
        <v>15000</v>
      </c>
      <c r="R281" s="16">
        <v>15000</v>
      </c>
      <c r="S281" s="16">
        <v>15000</v>
      </c>
      <c r="T281" s="16">
        <v>15000</v>
      </c>
      <c r="U281" s="16">
        <v>15000</v>
      </c>
      <c r="V281" s="16">
        <v>15000</v>
      </c>
      <c r="W281" s="16">
        <v>15000</v>
      </c>
      <c r="X281" s="16">
        <v>15000</v>
      </c>
      <c r="Y281" s="16">
        <v>15000</v>
      </c>
      <c r="Z281" s="16">
        <v>15000</v>
      </c>
      <c r="AA281" s="16">
        <v>15000</v>
      </c>
      <c r="AB281" s="6">
        <f t="shared" si="7"/>
        <v>1440000</v>
      </c>
      <c r="AC281" s="93"/>
    </row>
    <row r="282" spans="1:29" ht="18.75" thickBot="1" x14ac:dyDescent="0.3">
      <c r="A282" s="97"/>
      <c r="B282" s="12" t="s">
        <v>30</v>
      </c>
      <c r="C282" s="12">
        <v>22</v>
      </c>
      <c r="D282" s="16">
        <v>15000</v>
      </c>
      <c r="E282" s="16">
        <v>15000</v>
      </c>
      <c r="F282" s="16">
        <v>15000</v>
      </c>
      <c r="G282" s="16">
        <v>15000</v>
      </c>
      <c r="H282" s="16">
        <v>15000</v>
      </c>
      <c r="I282" s="16">
        <v>15000</v>
      </c>
      <c r="J282" s="16">
        <v>15000</v>
      </c>
      <c r="K282" s="16">
        <v>15000</v>
      </c>
      <c r="L282" s="16">
        <v>15000</v>
      </c>
      <c r="M282" s="16">
        <v>15000</v>
      </c>
      <c r="N282" s="16">
        <v>15000</v>
      </c>
      <c r="O282" s="16">
        <v>15000</v>
      </c>
      <c r="P282" s="16">
        <v>15000</v>
      </c>
      <c r="Q282" s="16">
        <v>15000</v>
      </c>
      <c r="R282" s="16">
        <v>15000</v>
      </c>
      <c r="S282" s="16">
        <v>15000</v>
      </c>
      <c r="T282" s="16">
        <v>15000</v>
      </c>
      <c r="U282" s="16">
        <v>15000</v>
      </c>
      <c r="V282" s="16">
        <v>15000</v>
      </c>
      <c r="W282" s="16">
        <v>15000</v>
      </c>
      <c r="X282" s="16">
        <v>15000</v>
      </c>
      <c r="Y282" s="16">
        <v>15000</v>
      </c>
      <c r="Z282" s="16">
        <v>15000</v>
      </c>
      <c r="AA282" s="16">
        <v>15000</v>
      </c>
      <c r="AB282" s="6">
        <f t="shared" si="7"/>
        <v>7920000</v>
      </c>
      <c r="AC282" s="94"/>
    </row>
    <row r="283" spans="1:29" ht="18.75" thickBot="1" x14ac:dyDescent="0.3">
      <c r="A283" s="95">
        <v>48853</v>
      </c>
      <c r="B283" s="9" t="s">
        <v>28</v>
      </c>
      <c r="C283" s="9">
        <v>5</v>
      </c>
      <c r="D283" s="16">
        <v>15000</v>
      </c>
      <c r="E283" s="16">
        <v>15000</v>
      </c>
      <c r="F283" s="16">
        <v>15000</v>
      </c>
      <c r="G283" s="16">
        <v>15000</v>
      </c>
      <c r="H283" s="16">
        <v>15000</v>
      </c>
      <c r="I283" s="16">
        <v>15000</v>
      </c>
      <c r="J283" s="16">
        <v>15000</v>
      </c>
      <c r="K283" s="16">
        <v>15000</v>
      </c>
      <c r="L283" s="16">
        <v>15000</v>
      </c>
      <c r="M283" s="16">
        <v>15000</v>
      </c>
      <c r="N283" s="16">
        <v>15000</v>
      </c>
      <c r="O283" s="16">
        <v>15000</v>
      </c>
      <c r="P283" s="16">
        <v>15000</v>
      </c>
      <c r="Q283" s="16">
        <v>15000</v>
      </c>
      <c r="R283" s="16">
        <v>15000</v>
      </c>
      <c r="S283" s="16">
        <v>15000</v>
      </c>
      <c r="T283" s="16">
        <v>15000</v>
      </c>
      <c r="U283" s="16">
        <v>15000</v>
      </c>
      <c r="V283" s="16">
        <v>15000</v>
      </c>
      <c r="W283" s="16">
        <v>15000</v>
      </c>
      <c r="X283" s="16">
        <v>15000</v>
      </c>
      <c r="Y283" s="16">
        <v>15000</v>
      </c>
      <c r="Z283" s="16">
        <v>15000</v>
      </c>
      <c r="AA283" s="16">
        <v>15000</v>
      </c>
      <c r="AB283" s="6">
        <f t="shared" si="7"/>
        <v>1800000</v>
      </c>
      <c r="AC283" s="92">
        <f>+AB283+AB284+AB285</f>
        <v>11160000</v>
      </c>
    </row>
    <row r="284" spans="1:29" ht="18.75" thickBot="1" x14ac:dyDescent="0.3">
      <c r="A284" s="96"/>
      <c r="B284" s="11" t="s">
        <v>29</v>
      </c>
      <c r="C284" s="11">
        <v>5</v>
      </c>
      <c r="D284" s="16">
        <v>15000</v>
      </c>
      <c r="E284" s="16">
        <v>15000</v>
      </c>
      <c r="F284" s="16">
        <v>15000</v>
      </c>
      <c r="G284" s="16">
        <v>15000</v>
      </c>
      <c r="H284" s="16">
        <v>15000</v>
      </c>
      <c r="I284" s="16">
        <v>15000</v>
      </c>
      <c r="J284" s="16">
        <v>15000</v>
      </c>
      <c r="K284" s="16">
        <v>15000</v>
      </c>
      <c r="L284" s="16">
        <v>15000</v>
      </c>
      <c r="M284" s="16">
        <v>15000</v>
      </c>
      <c r="N284" s="16">
        <v>15000</v>
      </c>
      <c r="O284" s="16">
        <v>15000</v>
      </c>
      <c r="P284" s="16">
        <v>15000</v>
      </c>
      <c r="Q284" s="16">
        <v>15000</v>
      </c>
      <c r="R284" s="16">
        <v>15000</v>
      </c>
      <c r="S284" s="16">
        <v>15000</v>
      </c>
      <c r="T284" s="16">
        <v>15000</v>
      </c>
      <c r="U284" s="16">
        <v>15000</v>
      </c>
      <c r="V284" s="16">
        <v>15000</v>
      </c>
      <c r="W284" s="16">
        <v>15000</v>
      </c>
      <c r="X284" s="16">
        <v>15000</v>
      </c>
      <c r="Y284" s="16">
        <v>15000</v>
      </c>
      <c r="Z284" s="16">
        <v>15000</v>
      </c>
      <c r="AA284" s="16">
        <v>15000</v>
      </c>
      <c r="AB284" s="6">
        <f t="shared" si="7"/>
        <v>1800000</v>
      </c>
      <c r="AC284" s="93"/>
    </row>
    <row r="285" spans="1:29" ht="18.75" thickBot="1" x14ac:dyDescent="0.3">
      <c r="A285" s="97"/>
      <c r="B285" s="12" t="s">
        <v>30</v>
      </c>
      <c r="C285" s="12">
        <v>21</v>
      </c>
      <c r="D285" s="16">
        <v>15000</v>
      </c>
      <c r="E285" s="16">
        <v>15000</v>
      </c>
      <c r="F285" s="16">
        <v>15000</v>
      </c>
      <c r="G285" s="16">
        <v>15000</v>
      </c>
      <c r="H285" s="16">
        <v>15000</v>
      </c>
      <c r="I285" s="16">
        <v>15000</v>
      </c>
      <c r="J285" s="16">
        <v>15000</v>
      </c>
      <c r="K285" s="16">
        <v>15000</v>
      </c>
      <c r="L285" s="16">
        <v>15000</v>
      </c>
      <c r="M285" s="16">
        <v>15000</v>
      </c>
      <c r="N285" s="16">
        <v>15000</v>
      </c>
      <c r="O285" s="16">
        <v>15000</v>
      </c>
      <c r="P285" s="16">
        <v>15000</v>
      </c>
      <c r="Q285" s="16">
        <v>15000</v>
      </c>
      <c r="R285" s="16">
        <v>15000</v>
      </c>
      <c r="S285" s="16">
        <v>15000</v>
      </c>
      <c r="T285" s="16">
        <v>15000</v>
      </c>
      <c r="U285" s="16">
        <v>15000</v>
      </c>
      <c r="V285" s="16">
        <v>15000</v>
      </c>
      <c r="W285" s="16">
        <v>15000</v>
      </c>
      <c r="X285" s="16">
        <v>15000</v>
      </c>
      <c r="Y285" s="16">
        <v>15000</v>
      </c>
      <c r="Z285" s="16">
        <v>15000</v>
      </c>
      <c r="AA285" s="16">
        <v>15000</v>
      </c>
      <c r="AB285" s="6">
        <f t="shared" si="7"/>
        <v>7560000</v>
      </c>
      <c r="AC285" s="94"/>
    </row>
    <row r="286" spans="1:29" ht="18.75" thickBot="1" x14ac:dyDescent="0.3">
      <c r="A286" s="95">
        <v>48884</v>
      </c>
      <c r="B286" s="9" t="s">
        <v>28</v>
      </c>
      <c r="C286" s="9">
        <v>4</v>
      </c>
      <c r="D286" s="16">
        <v>15000</v>
      </c>
      <c r="E286" s="16">
        <v>15000</v>
      </c>
      <c r="F286" s="16">
        <v>15000</v>
      </c>
      <c r="G286" s="16">
        <v>15000</v>
      </c>
      <c r="H286" s="16">
        <v>15000</v>
      </c>
      <c r="I286" s="16">
        <v>15000</v>
      </c>
      <c r="J286" s="16">
        <v>15000</v>
      </c>
      <c r="K286" s="16">
        <v>15000</v>
      </c>
      <c r="L286" s="16">
        <v>15000</v>
      </c>
      <c r="M286" s="16">
        <v>15000</v>
      </c>
      <c r="N286" s="16">
        <v>15000</v>
      </c>
      <c r="O286" s="16">
        <v>15000</v>
      </c>
      <c r="P286" s="16">
        <v>15000</v>
      </c>
      <c r="Q286" s="16">
        <v>15000</v>
      </c>
      <c r="R286" s="16">
        <v>15000</v>
      </c>
      <c r="S286" s="16">
        <v>15000</v>
      </c>
      <c r="T286" s="16">
        <v>15000</v>
      </c>
      <c r="U286" s="16">
        <v>15000</v>
      </c>
      <c r="V286" s="16">
        <v>15000</v>
      </c>
      <c r="W286" s="16">
        <v>15000</v>
      </c>
      <c r="X286" s="16">
        <v>15000</v>
      </c>
      <c r="Y286" s="16">
        <v>15000</v>
      </c>
      <c r="Z286" s="16">
        <v>15000</v>
      </c>
      <c r="AA286" s="16">
        <v>15000</v>
      </c>
      <c r="AB286" s="6">
        <f t="shared" si="7"/>
        <v>1440000</v>
      </c>
      <c r="AC286" s="92">
        <f>+AB286+AB287+AB288</f>
        <v>10800000</v>
      </c>
    </row>
    <row r="287" spans="1:29" ht="18.75" thickBot="1" x14ac:dyDescent="0.3">
      <c r="A287" s="96"/>
      <c r="B287" s="11" t="s">
        <v>29</v>
      </c>
      <c r="C287" s="11">
        <v>4</v>
      </c>
      <c r="D287" s="16">
        <v>15000</v>
      </c>
      <c r="E287" s="16">
        <v>15000</v>
      </c>
      <c r="F287" s="16">
        <v>15000</v>
      </c>
      <c r="G287" s="16">
        <v>15000</v>
      </c>
      <c r="H287" s="16">
        <v>15000</v>
      </c>
      <c r="I287" s="16">
        <v>15000</v>
      </c>
      <c r="J287" s="16">
        <v>15000</v>
      </c>
      <c r="K287" s="16">
        <v>15000</v>
      </c>
      <c r="L287" s="16">
        <v>15000</v>
      </c>
      <c r="M287" s="16">
        <v>15000</v>
      </c>
      <c r="N287" s="16">
        <v>15000</v>
      </c>
      <c r="O287" s="16">
        <v>15000</v>
      </c>
      <c r="P287" s="16">
        <v>15000</v>
      </c>
      <c r="Q287" s="16">
        <v>15000</v>
      </c>
      <c r="R287" s="16">
        <v>15000</v>
      </c>
      <c r="S287" s="16">
        <v>15000</v>
      </c>
      <c r="T287" s="16">
        <v>15000</v>
      </c>
      <c r="U287" s="16">
        <v>15000</v>
      </c>
      <c r="V287" s="16">
        <v>15000</v>
      </c>
      <c r="W287" s="16">
        <v>15000</v>
      </c>
      <c r="X287" s="16">
        <v>15000</v>
      </c>
      <c r="Y287" s="16">
        <v>15000</v>
      </c>
      <c r="Z287" s="16">
        <v>15000</v>
      </c>
      <c r="AA287" s="16">
        <v>15000</v>
      </c>
      <c r="AB287" s="6">
        <f t="shared" si="7"/>
        <v>1440000</v>
      </c>
      <c r="AC287" s="93"/>
    </row>
    <row r="288" spans="1:29" ht="18.75" thickBot="1" x14ac:dyDescent="0.3">
      <c r="A288" s="97"/>
      <c r="B288" s="12" t="s">
        <v>30</v>
      </c>
      <c r="C288" s="12">
        <v>22</v>
      </c>
      <c r="D288" s="16">
        <v>15000</v>
      </c>
      <c r="E288" s="16">
        <v>15000</v>
      </c>
      <c r="F288" s="16">
        <v>15000</v>
      </c>
      <c r="G288" s="16">
        <v>15000</v>
      </c>
      <c r="H288" s="16">
        <v>15000</v>
      </c>
      <c r="I288" s="16">
        <v>15000</v>
      </c>
      <c r="J288" s="16">
        <v>15000</v>
      </c>
      <c r="K288" s="16">
        <v>15000</v>
      </c>
      <c r="L288" s="16">
        <v>15000</v>
      </c>
      <c r="M288" s="16">
        <v>15000</v>
      </c>
      <c r="N288" s="16">
        <v>15000</v>
      </c>
      <c r="O288" s="16">
        <v>15000</v>
      </c>
      <c r="P288" s="16">
        <v>15000</v>
      </c>
      <c r="Q288" s="16">
        <v>15000</v>
      </c>
      <c r="R288" s="16">
        <v>15000</v>
      </c>
      <c r="S288" s="16">
        <v>15000</v>
      </c>
      <c r="T288" s="16">
        <v>15000</v>
      </c>
      <c r="U288" s="16">
        <v>15000</v>
      </c>
      <c r="V288" s="16">
        <v>15000</v>
      </c>
      <c r="W288" s="16">
        <v>15000</v>
      </c>
      <c r="X288" s="16">
        <v>15000</v>
      </c>
      <c r="Y288" s="16">
        <v>15000</v>
      </c>
      <c r="Z288" s="16">
        <v>15000</v>
      </c>
      <c r="AA288" s="16">
        <v>15000</v>
      </c>
      <c r="AB288" s="6">
        <f t="shared" si="7"/>
        <v>7920000</v>
      </c>
      <c r="AC288" s="94"/>
    </row>
    <row r="289" spans="1:33" ht="18.75" thickBot="1" x14ac:dyDescent="0.3">
      <c r="A289" s="95">
        <v>48914</v>
      </c>
      <c r="B289" s="9" t="s">
        <v>28</v>
      </c>
      <c r="C289" s="9">
        <v>5</v>
      </c>
      <c r="D289" s="16">
        <v>15000</v>
      </c>
      <c r="E289" s="16">
        <v>15000</v>
      </c>
      <c r="F289" s="16">
        <v>15000</v>
      </c>
      <c r="G289" s="16">
        <v>15000</v>
      </c>
      <c r="H289" s="16">
        <v>15000</v>
      </c>
      <c r="I289" s="16">
        <v>15000</v>
      </c>
      <c r="J289" s="16">
        <v>15000</v>
      </c>
      <c r="K289" s="16">
        <v>15000</v>
      </c>
      <c r="L289" s="16">
        <v>15000</v>
      </c>
      <c r="M289" s="16">
        <v>15000</v>
      </c>
      <c r="N289" s="16">
        <v>15000</v>
      </c>
      <c r="O289" s="16">
        <v>15000</v>
      </c>
      <c r="P289" s="16">
        <v>15000</v>
      </c>
      <c r="Q289" s="16">
        <v>15000</v>
      </c>
      <c r="R289" s="16">
        <v>15000</v>
      </c>
      <c r="S289" s="16">
        <v>15000</v>
      </c>
      <c r="T289" s="16">
        <v>15000</v>
      </c>
      <c r="U289" s="16">
        <v>15000</v>
      </c>
      <c r="V289" s="16">
        <v>15000</v>
      </c>
      <c r="W289" s="16">
        <v>15000</v>
      </c>
      <c r="X289" s="16">
        <v>15000</v>
      </c>
      <c r="Y289" s="16">
        <v>15000</v>
      </c>
      <c r="Z289" s="16">
        <v>15000</v>
      </c>
      <c r="AA289" s="16">
        <v>15000</v>
      </c>
      <c r="AB289" s="6">
        <f t="shared" si="7"/>
        <v>1800000</v>
      </c>
      <c r="AC289" s="92">
        <f>+AB289+AB290+AB291</f>
        <v>11160000</v>
      </c>
    </row>
    <row r="290" spans="1:33" ht="18.75" thickBot="1" x14ac:dyDescent="0.3">
      <c r="A290" s="96"/>
      <c r="B290" s="11" t="s">
        <v>29</v>
      </c>
      <c r="C290" s="11">
        <v>4</v>
      </c>
      <c r="D290" s="16">
        <v>15000</v>
      </c>
      <c r="E290" s="16">
        <v>15000</v>
      </c>
      <c r="F290" s="16">
        <v>15000</v>
      </c>
      <c r="G290" s="16">
        <v>15000</v>
      </c>
      <c r="H290" s="16">
        <v>15000</v>
      </c>
      <c r="I290" s="16">
        <v>15000</v>
      </c>
      <c r="J290" s="16">
        <v>15000</v>
      </c>
      <c r="K290" s="16">
        <v>15000</v>
      </c>
      <c r="L290" s="16">
        <v>15000</v>
      </c>
      <c r="M290" s="16">
        <v>15000</v>
      </c>
      <c r="N290" s="16">
        <v>15000</v>
      </c>
      <c r="O290" s="16">
        <v>15000</v>
      </c>
      <c r="P290" s="16">
        <v>15000</v>
      </c>
      <c r="Q290" s="16">
        <v>15000</v>
      </c>
      <c r="R290" s="16">
        <v>15000</v>
      </c>
      <c r="S290" s="16">
        <v>15000</v>
      </c>
      <c r="T290" s="16">
        <v>15000</v>
      </c>
      <c r="U290" s="16">
        <v>15000</v>
      </c>
      <c r="V290" s="16">
        <v>15000</v>
      </c>
      <c r="W290" s="16">
        <v>15000</v>
      </c>
      <c r="X290" s="16">
        <v>15000</v>
      </c>
      <c r="Y290" s="16">
        <v>15000</v>
      </c>
      <c r="Z290" s="16">
        <v>15000</v>
      </c>
      <c r="AA290" s="16">
        <v>15000</v>
      </c>
      <c r="AB290" s="6">
        <f t="shared" si="7"/>
        <v>1440000</v>
      </c>
      <c r="AC290" s="93"/>
    </row>
    <row r="291" spans="1:33" ht="18.75" thickBot="1" x14ac:dyDescent="0.3">
      <c r="A291" s="97"/>
      <c r="B291" s="12" t="s">
        <v>30</v>
      </c>
      <c r="C291" s="12">
        <v>22</v>
      </c>
      <c r="D291" s="16">
        <v>15000</v>
      </c>
      <c r="E291" s="16">
        <v>15000</v>
      </c>
      <c r="F291" s="16">
        <v>15000</v>
      </c>
      <c r="G291" s="16">
        <v>15000</v>
      </c>
      <c r="H291" s="16">
        <v>15000</v>
      </c>
      <c r="I291" s="16">
        <v>15000</v>
      </c>
      <c r="J291" s="16">
        <v>15000</v>
      </c>
      <c r="K291" s="16">
        <v>15000</v>
      </c>
      <c r="L291" s="16">
        <v>15000</v>
      </c>
      <c r="M291" s="16">
        <v>15000</v>
      </c>
      <c r="N291" s="16">
        <v>15000</v>
      </c>
      <c r="O291" s="16">
        <v>15000</v>
      </c>
      <c r="P291" s="16">
        <v>15000</v>
      </c>
      <c r="Q291" s="16">
        <v>15000</v>
      </c>
      <c r="R291" s="16">
        <v>15000</v>
      </c>
      <c r="S291" s="16">
        <v>15000</v>
      </c>
      <c r="T291" s="16">
        <v>15000</v>
      </c>
      <c r="U291" s="16">
        <v>15000</v>
      </c>
      <c r="V291" s="16">
        <v>15000</v>
      </c>
      <c r="W291" s="16">
        <v>15000</v>
      </c>
      <c r="X291" s="16">
        <v>15000</v>
      </c>
      <c r="Y291" s="16">
        <v>15000</v>
      </c>
      <c r="Z291" s="16">
        <v>15000</v>
      </c>
      <c r="AA291" s="16">
        <v>15000</v>
      </c>
      <c r="AB291" s="6">
        <f t="shared" si="7"/>
        <v>7920000</v>
      </c>
      <c r="AC291" s="94"/>
    </row>
    <row r="293" spans="1:33" ht="15.75" thickBot="1" x14ac:dyDescent="0.3"/>
    <row r="294" spans="1:33" ht="18.75" thickBot="1" x14ac:dyDescent="0.3">
      <c r="A294" s="1" t="s">
        <v>0</v>
      </c>
      <c r="B294" s="2" t="s">
        <v>1</v>
      </c>
      <c r="C294" s="2" t="s">
        <v>2</v>
      </c>
      <c r="D294" s="27" t="s">
        <v>3</v>
      </c>
      <c r="E294" s="5" t="s">
        <v>4</v>
      </c>
      <c r="F294" s="5" t="s">
        <v>5</v>
      </c>
      <c r="G294" s="5" t="s">
        <v>6</v>
      </c>
      <c r="H294" s="5" t="s">
        <v>7</v>
      </c>
      <c r="I294" s="5" t="s">
        <v>8</v>
      </c>
      <c r="J294" s="5" t="s">
        <v>9</v>
      </c>
      <c r="K294" s="5" t="s">
        <v>10</v>
      </c>
      <c r="L294" s="5" t="s">
        <v>11</v>
      </c>
      <c r="M294" s="5" t="s">
        <v>12</v>
      </c>
      <c r="N294" s="5" t="s">
        <v>13</v>
      </c>
      <c r="O294" s="5" t="s">
        <v>14</v>
      </c>
      <c r="P294" s="5" t="s">
        <v>15</v>
      </c>
      <c r="Q294" s="5" t="s">
        <v>16</v>
      </c>
      <c r="R294" s="5" t="s">
        <v>17</v>
      </c>
      <c r="S294" s="5" t="s">
        <v>18</v>
      </c>
      <c r="T294" s="5" t="s">
        <v>19</v>
      </c>
      <c r="U294" s="5" t="s">
        <v>20</v>
      </c>
      <c r="V294" s="5" t="s">
        <v>21</v>
      </c>
      <c r="W294" s="5" t="s">
        <v>22</v>
      </c>
      <c r="X294" s="5" t="s">
        <v>23</v>
      </c>
      <c r="Y294" s="5" t="s">
        <v>24</v>
      </c>
      <c r="Z294" s="5" t="s">
        <v>25</v>
      </c>
      <c r="AA294" s="5" t="s">
        <v>26</v>
      </c>
      <c r="AB294" s="109" t="s">
        <v>27</v>
      </c>
      <c r="AC294" s="110"/>
    </row>
    <row r="295" spans="1:33" ht="18.75" thickBot="1" x14ac:dyDescent="0.3">
      <c r="A295" s="95">
        <v>48945</v>
      </c>
      <c r="B295" s="9" t="s">
        <v>28</v>
      </c>
      <c r="C295" s="9">
        <v>4</v>
      </c>
      <c r="D295" s="16">
        <v>17000</v>
      </c>
      <c r="E295" s="16">
        <v>17000</v>
      </c>
      <c r="F295" s="16">
        <v>17000</v>
      </c>
      <c r="G295" s="16">
        <v>17000</v>
      </c>
      <c r="H295" s="16">
        <v>17000</v>
      </c>
      <c r="I295" s="16">
        <v>17000</v>
      </c>
      <c r="J295" s="16">
        <v>17000</v>
      </c>
      <c r="K295" s="16">
        <v>17000</v>
      </c>
      <c r="L295" s="16">
        <v>17000</v>
      </c>
      <c r="M295" s="16">
        <v>17000</v>
      </c>
      <c r="N295" s="16">
        <v>17000</v>
      </c>
      <c r="O295" s="16">
        <v>17000</v>
      </c>
      <c r="P295" s="16">
        <v>17000</v>
      </c>
      <c r="Q295" s="16">
        <v>17000</v>
      </c>
      <c r="R295" s="16">
        <v>17000</v>
      </c>
      <c r="S295" s="16">
        <v>17000</v>
      </c>
      <c r="T295" s="16">
        <v>17000</v>
      </c>
      <c r="U295" s="16">
        <v>17000</v>
      </c>
      <c r="V295" s="16">
        <v>17000</v>
      </c>
      <c r="W295" s="16">
        <v>17000</v>
      </c>
      <c r="X295" s="16">
        <v>17000</v>
      </c>
      <c r="Y295" s="16">
        <v>17000</v>
      </c>
      <c r="Z295" s="16">
        <v>17000</v>
      </c>
      <c r="AA295" s="16">
        <v>17000</v>
      </c>
      <c r="AB295" s="6">
        <f t="shared" ref="AB295:AB330" si="8">SUM(D295:AA295)*C295</f>
        <v>1632000</v>
      </c>
      <c r="AC295" s="92">
        <f>+AB295+AB296+AB297</f>
        <v>12648000</v>
      </c>
      <c r="AF295" s="67">
        <v>48945</v>
      </c>
      <c r="AG295" s="68">
        <f>AB295+AB296+AB297</f>
        <v>12648000</v>
      </c>
    </row>
    <row r="296" spans="1:33" ht="18.75" thickBot="1" x14ac:dyDescent="0.3">
      <c r="A296" s="96"/>
      <c r="B296" s="11" t="s">
        <v>29</v>
      </c>
      <c r="C296" s="11">
        <v>6</v>
      </c>
      <c r="D296" s="16">
        <v>17000</v>
      </c>
      <c r="E296" s="16">
        <v>17000</v>
      </c>
      <c r="F296" s="16">
        <v>17000</v>
      </c>
      <c r="G296" s="16">
        <v>17000</v>
      </c>
      <c r="H296" s="16">
        <v>17000</v>
      </c>
      <c r="I296" s="16">
        <v>17000</v>
      </c>
      <c r="J296" s="16">
        <v>17000</v>
      </c>
      <c r="K296" s="16">
        <v>17000</v>
      </c>
      <c r="L296" s="16">
        <v>17000</v>
      </c>
      <c r="M296" s="16">
        <v>17000</v>
      </c>
      <c r="N296" s="16">
        <v>17000</v>
      </c>
      <c r="O296" s="16">
        <v>17000</v>
      </c>
      <c r="P296" s="16">
        <v>17000</v>
      </c>
      <c r="Q296" s="16">
        <v>17000</v>
      </c>
      <c r="R296" s="16">
        <v>17000</v>
      </c>
      <c r="S296" s="16">
        <v>17000</v>
      </c>
      <c r="T296" s="16">
        <v>17000</v>
      </c>
      <c r="U296" s="16">
        <v>17000</v>
      </c>
      <c r="V296" s="16">
        <v>17000</v>
      </c>
      <c r="W296" s="16">
        <v>17000</v>
      </c>
      <c r="X296" s="16">
        <v>17000</v>
      </c>
      <c r="Y296" s="16">
        <v>17000</v>
      </c>
      <c r="Z296" s="16">
        <v>17000</v>
      </c>
      <c r="AA296" s="16">
        <v>17000</v>
      </c>
      <c r="AB296" s="6">
        <f t="shared" si="8"/>
        <v>2448000</v>
      </c>
      <c r="AC296" s="93"/>
      <c r="AF296" s="67">
        <v>48976</v>
      </c>
      <c r="AG296" s="68">
        <f>AC298</f>
        <v>11424000</v>
      </c>
    </row>
    <row r="297" spans="1:33" ht="18.75" thickBot="1" x14ac:dyDescent="0.3">
      <c r="A297" s="97"/>
      <c r="B297" s="12" t="s">
        <v>30</v>
      </c>
      <c r="C297" s="12">
        <v>21</v>
      </c>
      <c r="D297" s="16">
        <v>17000</v>
      </c>
      <c r="E297" s="16">
        <v>17000</v>
      </c>
      <c r="F297" s="16">
        <v>17000</v>
      </c>
      <c r="G297" s="16">
        <v>17000</v>
      </c>
      <c r="H297" s="16">
        <v>17000</v>
      </c>
      <c r="I297" s="16">
        <v>17000</v>
      </c>
      <c r="J297" s="16">
        <v>17000</v>
      </c>
      <c r="K297" s="16">
        <v>17000</v>
      </c>
      <c r="L297" s="16">
        <v>17000</v>
      </c>
      <c r="M297" s="16">
        <v>17000</v>
      </c>
      <c r="N297" s="16">
        <v>17000</v>
      </c>
      <c r="O297" s="16">
        <v>17000</v>
      </c>
      <c r="P297" s="16">
        <v>17000</v>
      </c>
      <c r="Q297" s="16">
        <v>17000</v>
      </c>
      <c r="R297" s="16">
        <v>17000</v>
      </c>
      <c r="S297" s="16">
        <v>17000</v>
      </c>
      <c r="T297" s="16">
        <v>17000</v>
      </c>
      <c r="U297" s="16">
        <v>17000</v>
      </c>
      <c r="V297" s="16">
        <v>17000</v>
      </c>
      <c r="W297" s="16">
        <v>17000</v>
      </c>
      <c r="X297" s="16">
        <v>17000</v>
      </c>
      <c r="Y297" s="16">
        <v>17000</v>
      </c>
      <c r="Z297" s="16">
        <v>17000</v>
      </c>
      <c r="AA297" s="16">
        <v>17000</v>
      </c>
      <c r="AB297" s="6">
        <f t="shared" si="8"/>
        <v>8568000</v>
      </c>
      <c r="AC297" s="94"/>
      <c r="AF297" s="67">
        <v>49004</v>
      </c>
      <c r="AG297" s="68">
        <f>AC301</f>
        <v>12648000</v>
      </c>
    </row>
    <row r="298" spans="1:33" ht="18.75" thickBot="1" x14ac:dyDescent="0.3">
      <c r="A298" s="95">
        <v>48976</v>
      </c>
      <c r="B298" s="9" t="s">
        <v>28</v>
      </c>
      <c r="C298" s="9">
        <v>4</v>
      </c>
      <c r="D298" s="16">
        <v>17000</v>
      </c>
      <c r="E298" s="16">
        <v>17000</v>
      </c>
      <c r="F298" s="16">
        <v>17000</v>
      </c>
      <c r="G298" s="16">
        <v>17000</v>
      </c>
      <c r="H298" s="16">
        <v>17000</v>
      </c>
      <c r="I298" s="16">
        <v>17000</v>
      </c>
      <c r="J298" s="16">
        <v>17000</v>
      </c>
      <c r="K298" s="16">
        <v>17000</v>
      </c>
      <c r="L298" s="16">
        <v>17000</v>
      </c>
      <c r="M298" s="16">
        <v>17000</v>
      </c>
      <c r="N298" s="16">
        <v>17000</v>
      </c>
      <c r="O298" s="16">
        <v>17000</v>
      </c>
      <c r="P298" s="16">
        <v>17000</v>
      </c>
      <c r="Q298" s="16">
        <v>17000</v>
      </c>
      <c r="R298" s="16">
        <v>17000</v>
      </c>
      <c r="S298" s="16">
        <v>17000</v>
      </c>
      <c r="T298" s="16">
        <v>17000</v>
      </c>
      <c r="U298" s="16">
        <v>17000</v>
      </c>
      <c r="V298" s="16">
        <v>17000</v>
      </c>
      <c r="W298" s="16">
        <v>17000</v>
      </c>
      <c r="X298" s="16">
        <v>17000</v>
      </c>
      <c r="Y298" s="16">
        <v>17000</v>
      </c>
      <c r="Z298" s="16">
        <v>17000</v>
      </c>
      <c r="AA298" s="16">
        <v>17000</v>
      </c>
      <c r="AB298" s="6">
        <f t="shared" si="8"/>
        <v>1632000</v>
      </c>
      <c r="AC298" s="92">
        <f>+AB298+AB299+AB300</f>
        <v>11424000</v>
      </c>
      <c r="AF298" s="67">
        <v>49035</v>
      </c>
      <c r="AG298" s="68">
        <f>AC304</f>
        <v>12240000</v>
      </c>
    </row>
    <row r="299" spans="1:33" ht="18.75" thickBot="1" x14ac:dyDescent="0.3">
      <c r="A299" s="96"/>
      <c r="B299" s="11" t="s">
        <v>29</v>
      </c>
      <c r="C299" s="11">
        <v>4</v>
      </c>
      <c r="D299" s="16">
        <v>17000</v>
      </c>
      <c r="E299" s="16">
        <v>17000</v>
      </c>
      <c r="F299" s="16">
        <v>17000</v>
      </c>
      <c r="G299" s="16">
        <v>17000</v>
      </c>
      <c r="H299" s="16">
        <v>17000</v>
      </c>
      <c r="I299" s="16">
        <v>17000</v>
      </c>
      <c r="J299" s="16">
        <v>17000</v>
      </c>
      <c r="K299" s="16">
        <v>17000</v>
      </c>
      <c r="L299" s="16">
        <v>17000</v>
      </c>
      <c r="M299" s="16">
        <v>17000</v>
      </c>
      <c r="N299" s="16">
        <v>17000</v>
      </c>
      <c r="O299" s="16">
        <v>17000</v>
      </c>
      <c r="P299" s="16">
        <v>17000</v>
      </c>
      <c r="Q299" s="16">
        <v>17000</v>
      </c>
      <c r="R299" s="16">
        <v>17000</v>
      </c>
      <c r="S299" s="16">
        <v>17000</v>
      </c>
      <c r="T299" s="16">
        <v>17000</v>
      </c>
      <c r="U299" s="16">
        <v>17000</v>
      </c>
      <c r="V299" s="16">
        <v>17000</v>
      </c>
      <c r="W299" s="16">
        <v>17000</v>
      </c>
      <c r="X299" s="16">
        <v>17000</v>
      </c>
      <c r="Y299" s="16">
        <v>17000</v>
      </c>
      <c r="Z299" s="16">
        <v>17000</v>
      </c>
      <c r="AA299" s="16">
        <v>17000</v>
      </c>
      <c r="AB299" s="6">
        <f t="shared" si="8"/>
        <v>1632000</v>
      </c>
      <c r="AC299" s="93"/>
      <c r="AF299" s="67">
        <v>49065</v>
      </c>
      <c r="AG299" s="68">
        <f>AC307</f>
        <v>12648000</v>
      </c>
    </row>
    <row r="300" spans="1:33" ht="18.75" thickBot="1" x14ac:dyDescent="0.3">
      <c r="A300" s="97"/>
      <c r="B300" s="12" t="s">
        <v>30</v>
      </c>
      <c r="C300" s="12">
        <v>20</v>
      </c>
      <c r="D300" s="16">
        <v>17000</v>
      </c>
      <c r="E300" s="16">
        <v>17000</v>
      </c>
      <c r="F300" s="16">
        <v>17000</v>
      </c>
      <c r="G300" s="16">
        <v>17000</v>
      </c>
      <c r="H300" s="16">
        <v>17000</v>
      </c>
      <c r="I300" s="16">
        <v>17000</v>
      </c>
      <c r="J300" s="16">
        <v>17000</v>
      </c>
      <c r="K300" s="16">
        <v>17000</v>
      </c>
      <c r="L300" s="16">
        <v>17000</v>
      </c>
      <c r="M300" s="16">
        <v>17000</v>
      </c>
      <c r="N300" s="16">
        <v>17000</v>
      </c>
      <c r="O300" s="16">
        <v>17000</v>
      </c>
      <c r="P300" s="16">
        <v>17000</v>
      </c>
      <c r="Q300" s="16">
        <v>17000</v>
      </c>
      <c r="R300" s="16">
        <v>17000</v>
      </c>
      <c r="S300" s="16">
        <v>17000</v>
      </c>
      <c r="T300" s="16">
        <v>17000</v>
      </c>
      <c r="U300" s="16">
        <v>17000</v>
      </c>
      <c r="V300" s="16">
        <v>17000</v>
      </c>
      <c r="W300" s="16">
        <v>17000</v>
      </c>
      <c r="X300" s="16">
        <v>17000</v>
      </c>
      <c r="Y300" s="16">
        <v>17000</v>
      </c>
      <c r="Z300" s="16">
        <v>17000</v>
      </c>
      <c r="AA300" s="16">
        <v>17000</v>
      </c>
      <c r="AB300" s="6">
        <f t="shared" si="8"/>
        <v>8160000</v>
      </c>
      <c r="AC300" s="94"/>
      <c r="AF300" s="67">
        <v>49096</v>
      </c>
      <c r="AG300" s="68">
        <f>AC310</f>
        <v>12240000</v>
      </c>
    </row>
    <row r="301" spans="1:33" ht="18.75" thickBot="1" x14ac:dyDescent="0.3">
      <c r="A301" s="95">
        <v>49004</v>
      </c>
      <c r="B301" s="9" t="s">
        <v>28</v>
      </c>
      <c r="C301" s="9">
        <v>4</v>
      </c>
      <c r="D301" s="16">
        <v>17000</v>
      </c>
      <c r="E301" s="16">
        <v>17000</v>
      </c>
      <c r="F301" s="16">
        <v>17000</v>
      </c>
      <c r="G301" s="16">
        <v>17000</v>
      </c>
      <c r="H301" s="16">
        <v>17000</v>
      </c>
      <c r="I301" s="16">
        <v>17000</v>
      </c>
      <c r="J301" s="16">
        <v>17000</v>
      </c>
      <c r="K301" s="16">
        <v>17000</v>
      </c>
      <c r="L301" s="16">
        <v>17000</v>
      </c>
      <c r="M301" s="16">
        <v>17000</v>
      </c>
      <c r="N301" s="16">
        <v>17000</v>
      </c>
      <c r="O301" s="16">
        <v>17000</v>
      </c>
      <c r="P301" s="16">
        <v>17000</v>
      </c>
      <c r="Q301" s="16">
        <v>17000</v>
      </c>
      <c r="R301" s="16">
        <v>17000</v>
      </c>
      <c r="S301" s="16">
        <v>17000</v>
      </c>
      <c r="T301" s="16">
        <v>17000</v>
      </c>
      <c r="U301" s="16">
        <v>17000</v>
      </c>
      <c r="V301" s="16">
        <v>17000</v>
      </c>
      <c r="W301" s="16">
        <v>17000</v>
      </c>
      <c r="X301" s="16">
        <v>17000</v>
      </c>
      <c r="Y301" s="16">
        <v>17000</v>
      </c>
      <c r="Z301" s="16">
        <v>17000</v>
      </c>
      <c r="AA301" s="16">
        <v>17000</v>
      </c>
      <c r="AB301" s="6">
        <f t="shared" si="8"/>
        <v>1632000</v>
      </c>
      <c r="AC301" s="92">
        <f>+AB301+AB302+AB303</f>
        <v>12648000</v>
      </c>
      <c r="AF301" s="67">
        <v>49126</v>
      </c>
      <c r="AG301" s="68">
        <f>AC313</f>
        <v>12648000</v>
      </c>
    </row>
    <row r="302" spans="1:33" ht="18.75" thickBot="1" x14ac:dyDescent="0.3">
      <c r="A302" s="96"/>
      <c r="B302" s="11" t="s">
        <v>29</v>
      </c>
      <c r="C302" s="11">
        <v>5</v>
      </c>
      <c r="D302" s="16">
        <v>17000</v>
      </c>
      <c r="E302" s="16">
        <v>17000</v>
      </c>
      <c r="F302" s="16">
        <v>17000</v>
      </c>
      <c r="G302" s="16">
        <v>17000</v>
      </c>
      <c r="H302" s="16">
        <v>17000</v>
      </c>
      <c r="I302" s="16">
        <v>17000</v>
      </c>
      <c r="J302" s="16">
        <v>17000</v>
      </c>
      <c r="K302" s="16">
        <v>17000</v>
      </c>
      <c r="L302" s="16">
        <v>17000</v>
      </c>
      <c r="M302" s="16">
        <v>17000</v>
      </c>
      <c r="N302" s="16">
        <v>17000</v>
      </c>
      <c r="O302" s="16">
        <v>17000</v>
      </c>
      <c r="P302" s="16">
        <v>17000</v>
      </c>
      <c r="Q302" s="16">
        <v>17000</v>
      </c>
      <c r="R302" s="16">
        <v>17000</v>
      </c>
      <c r="S302" s="16">
        <v>17000</v>
      </c>
      <c r="T302" s="16">
        <v>17000</v>
      </c>
      <c r="U302" s="16">
        <v>17000</v>
      </c>
      <c r="V302" s="16">
        <v>17000</v>
      </c>
      <c r="W302" s="16">
        <v>17000</v>
      </c>
      <c r="X302" s="16">
        <v>17000</v>
      </c>
      <c r="Y302" s="16">
        <v>17000</v>
      </c>
      <c r="Z302" s="16">
        <v>17000</v>
      </c>
      <c r="AA302" s="16">
        <v>17000</v>
      </c>
      <c r="AB302" s="6">
        <f t="shared" si="8"/>
        <v>2040000</v>
      </c>
      <c r="AC302" s="93"/>
      <c r="AF302" s="67">
        <v>49157</v>
      </c>
      <c r="AG302" s="68">
        <f>AC316</f>
        <v>12648000</v>
      </c>
    </row>
    <row r="303" spans="1:33" ht="18.75" thickBot="1" x14ac:dyDescent="0.3">
      <c r="A303" s="97"/>
      <c r="B303" s="12" t="s">
        <v>30</v>
      </c>
      <c r="C303" s="12">
        <v>22</v>
      </c>
      <c r="D303" s="16">
        <v>17000</v>
      </c>
      <c r="E303" s="16">
        <v>17000</v>
      </c>
      <c r="F303" s="16">
        <v>17000</v>
      </c>
      <c r="G303" s="16">
        <v>17000</v>
      </c>
      <c r="H303" s="16">
        <v>17000</v>
      </c>
      <c r="I303" s="16">
        <v>17000</v>
      </c>
      <c r="J303" s="16">
        <v>17000</v>
      </c>
      <c r="K303" s="16">
        <v>17000</v>
      </c>
      <c r="L303" s="16">
        <v>17000</v>
      </c>
      <c r="M303" s="16">
        <v>17000</v>
      </c>
      <c r="N303" s="16">
        <v>17000</v>
      </c>
      <c r="O303" s="16">
        <v>17000</v>
      </c>
      <c r="P303" s="16">
        <v>17000</v>
      </c>
      <c r="Q303" s="16">
        <v>17000</v>
      </c>
      <c r="R303" s="16">
        <v>17000</v>
      </c>
      <c r="S303" s="16">
        <v>17000</v>
      </c>
      <c r="T303" s="16">
        <v>17000</v>
      </c>
      <c r="U303" s="16">
        <v>17000</v>
      </c>
      <c r="V303" s="16">
        <v>17000</v>
      </c>
      <c r="W303" s="16">
        <v>17000</v>
      </c>
      <c r="X303" s="16">
        <v>17000</v>
      </c>
      <c r="Y303" s="16">
        <v>17000</v>
      </c>
      <c r="Z303" s="16">
        <v>17000</v>
      </c>
      <c r="AA303" s="16">
        <v>17000</v>
      </c>
      <c r="AB303" s="6">
        <f t="shared" si="8"/>
        <v>8976000</v>
      </c>
      <c r="AC303" s="94"/>
      <c r="AF303" s="67">
        <v>49188</v>
      </c>
      <c r="AG303" s="68">
        <f>AC319</f>
        <v>12240000</v>
      </c>
    </row>
    <row r="304" spans="1:33" ht="18.75" thickBot="1" x14ac:dyDescent="0.3">
      <c r="A304" s="95">
        <v>49035</v>
      </c>
      <c r="B304" s="9" t="s">
        <v>28</v>
      </c>
      <c r="C304" s="9">
        <v>5</v>
      </c>
      <c r="D304" s="16">
        <v>17000</v>
      </c>
      <c r="E304" s="16">
        <v>17000</v>
      </c>
      <c r="F304" s="16">
        <v>17000</v>
      </c>
      <c r="G304" s="16">
        <v>17000</v>
      </c>
      <c r="H304" s="16">
        <v>17000</v>
      </c>
      <c r="I304" s="16">
        <v>17000</v>
      </c>
      <c r="J304" s="16">
        <v>17000</v>
      </c>
      <c r="K304" s="16">
        <v>17000</v>
      </c>
      <c r="L304" s="16">
        <v>17000</v>
      </c>
      <c r="M304" s="16">
        <v>17000</v>
      </c>
      <c r="N304" s="16">
        <v>17000</v>
      </c>
      <c r="O304" s="16">
        <v>17000</v>
      </c>
      <c r="P304" s="16">
        <v>17000</v>
      </c>
      <c r="Q304" s="16">
        <v>17000</v>
      </c>
      <c r="R304" s="16">
        <v>17000</v>
      </c>
      <c r="S304" s="16">
        <v>17000</v>
      </c>
      <c r="T304" s="16">
        <v>17000</v>
      </c>
      <c r="U304" s="16">
        <v>17000</v>
      </c>
      <c r="V304" s="16">
        <v>17000</v>
      </c>
      <c r="W304" s="16">
        <v>17000</v>
      </c>
      <c r="X304" s="16">
        <v>17000</v>
      </c>
      <c r="Y304" s="16">
        <v>17000</v>
      </c>
      <c r="Z304" s="16">
        <v>17000</v>
      </c>
      <c r="AA304" s="16">
        <v>17000</v>
      </c>
      <c r="AB304" s="6">
        <f t="shared" si="8"/>
        <v>2040000</v>
      </c>
      <c r="AC304" s="92">
        <f>+AB304+AB305+AB306</f>
        <v>12240000</v>
      </c>
      <c r="AF304" s="67">
        <v>49218</v>
      </c>
      <c r="AG304" s="68">
        <f>AC322</f>
        <v>12648000</v>
      </c>
    </row>
    <row r="305" spans="1:33" ht="18.75" thickBot="1" x14ac:dyDescent="0.3">
      <c r="A305" s="96"/>
      <c r="B305" s="11" t="s">
        <v>29</v>
      </c>
      <c r="C305" s="11">
        <v>6</v>
      </c>
      <c r="D305" s="16">
        <v>17000</v>
      </c>
      <c r="E305" s="16">
        <v>17000</v>
      </c>
      <c r="F305" s="16">
        <v>17000</v>
      </c>
      <c r="G305" s="16">
        <v>17000</v>
      </c>
      <c r="H305" s="16">
        <v>17000</v>
      </c>
      <c r="I305" s="16">
        <v>17000</v>
      </c>
      <c r="J305" s="16">
        <v>17000</v>
      </c>
      <c r="K305" s="16">
        <v>17000</v>
      </c>
      <c r="L305" s="16">
        <v>17000</v>
      </c>
      <c r="M305" s="16">
        <v>17000</v>
      </c>
      <c r="N305" s="16">
        <v>17000</v>
      </c>
      <c r="O305" s="16">
        <v>17000</v>
      </c>
      <c r="P305" s="16">
        <v>17000</v>
      </c>
      <c r="Q305" s="16">
        <v>17000</v>
      </c>
      <c r="R305" s="16">
        <v>17000</v>
      </c>
      <c r="S305" s="16">
        <v>17000</v>
      </c>
      <c r="T305" s="16">
        <v>17000</v>
      </c>
      <c r="U305" s="16">
        <v>17000</v>
      </c>
      <c r="V305" s="16">
        <v>17000</v>
      </c>
      <c r="W305" s="16">
        <v>17000</v>
      </c>
      <c r="X305" s="16">
        <v>17000</v>
      </c>
      <c r="Y305" s="16">
        <v>17000</v>
      </c>
      <c r="Z305" s="16">
        <v>17000</v>
      </c>
      <c r="AA305" s="16">
        <v>17000</v>
      </c>
      <c r="AB305" s="6">
        <f t="shared" si="8"/>
        <v>2448000</v>
      </c>
      <c r="AC305" s="93"/>
      <c r="AF305" s="67">
        <v>49249</v>
      </c>
      <c r="AG305" s="68">
        <f>AC325</f>
        <v>12240000</v>
      </c>
    </row>
    <row r="306" spans="1:33" ht="18.75" thickBot="1" x14ac:dyDescent="0.3">
      <c r="A306" s="97"/>
      <c r="B306" s="12" t="s">
        <v>30</v>
      </c>
      <c r="C306" s="12">
        <v>19</v>
      </c>
      <c r="D306" s="16">
        <v>17000</v>
      </c>
      <c r="E306" s="16">
        <v>17000</v>
      </c>
      <c r="F306" s="16">
        <v>17000</v>
      </c>
      <c r="G306" s="16">
        <v>17000</v>
      </c>
      <c r="H306" s="16">
        <v>17000</v>
      </c>
      <c r="I306" s="16">
        <v>17000</v>
      </c>
      <c r="J306" s="16">
        <v>17000</v>
      </c>
      <c r="K306" s="16">
        <v>17000</v>
      </c>
      <c r="L306" s="16">
        <v>17000</v>
      </c>
      <c r="M306" s="16">
        <v>17000</v>
      </c>
      <c r="N306" s="16">
        <v>17000</v>
      </c>
      <c r="O306" s="16">
        <v>17000</v>
      </c>
      <c r="P306" s="16">
        <v>17000</v>
      </c>
      <c r="Q306" s="16">
        <v>17000</v>
      </c>
      <c r="R306" s="16">
        <v>17000</v>
      </c>
      <c r="S306" s="16">
        <v>17000</v>
      </c>
      <c r="T306" s="16">
        <v>17000</v>
      </c>
      <c r="U306" s="16">
        <v>17000</v>
      </c>
      <c r="V306" s="16">
        <v>17000</v>
      </c>
      <c r="W306" s="16">
        <v>17000</v>
      </c>
      <c r="X306" s="16">
        <v>17000</v>
      </c>
      <c r="Y306" s="16">
        <v>17000</v>
      </c>
      <c r="Z306" s="16">
        <v>17000</v>
      </c>
      <c r="AA306" s="16">
        <v>17000</v>
      </c>
      <c r="AB306" s="6">
        <f t="shared" si="8"/>
        <v>7752000</v>
      </c>
      <c r="AC306" s="94"/>
      <c r="AF306" s="67">
        <v>49279</v>
      </c>
      <c r="AG306" s="68">
        <f>AC328</f>
        <v>12648000</v>
      </c>
    </row>
    <row r="307" spans="1:33" ht="18.75" thickBot="1" x14ac:dyDescent="0.3">
      <c r="A307" s="95">
        <v>49065</v>
      </c>
      <c r="B307" s="9" t="s">
        <v>28</v>
      </c>
      <c r="C307" s="9">
        <v>4</v>
      </c>
      <c r="D307" s="16">
        <v>17000</v>
      </c>
      <c r="E307" s="16">
        <v>17000</v>
      </c>
      <c r="F307" s="16">
        <v>17000</v>
      </c>
      <c r="G307" s="16">
        <v>17000</v>
      </c>
      <c r="H307" s="16">
        <v>17000</v>
      </c>
      <c r="I307" s="16">
        <v>17000</v>
      </c>
      <c r="J307" s="16">
        <v>17000</v>
      </c>
      <c r="K307" s="16">
        <v>17000</v>
      </c>
      <c r="L307" s="16">
        <v>17000</v>
      </c>
      <c r="M307" s="16">
        <v>17000</v>
      </c>
      <c r="N307" s="16">
        <v>17000</v>
      </c>
      <c r="O307" s="16">
        <v>17000</v>
      </c>
      <c r="P307" s="16">
        <v>17000</v>
      </c>
      <c r="Q307" s="16">
        <v>17000</v>
      </c>
      <c r="R307" s="16">
        <v>17000</v>
      </c>
      <c r="S307" s="16">
        <v>17000</v>
      </c>
      <c r="T307" s="16">
        <v>17000</v>
      </c>
      <c r="U307" s="16">
        <v>17000</v>
      </c>
      <c r="V307" s="16">
        <v>17000</v>
      </c>
      <c r="W307" s="16">
        <v>17000</v>
      </c>
      <c r="X307" s="16">
        <v>17000</v>
      </c>
      <c r="Y307" s="16">
        <v>17000</v>
      </c>
      <c r="Z307" s="16">
        <v>17000</v>
      </c>
      <c r="AA307" s="16">
        <v>17000</v>
      </c>
      <c r="AB307" s="6">
        <f t="shared" si="8"/>
        <v>1632000</v>
      </c>
      <c r="AC307" s="92">
        <f>+AB307+AB308+AB309</f>
        <v>12648000</v>
      </c>
    </row>
    <row r="308" spans="1:33" ht="18.75" thickBot="1" x14ac:dyDescent="0.3">
      <c r="A308" s="96"/>
      <c r="B308" s="11" t="s">
        <v>29</v>
      </c>
      <c r="C308" s="11">
        <v>6</v>
      </c>
      <c r="D308" s="16">
        <v>17000</v>
      </c>
      <c r="E308" s="16">
        <v>17000</v>
      </c>
      <c r="F308" s="16">
        <v>17000</v>
      </c>
      <c r="G308" s="16">
        <v>17000</v>
      </c>
      <c r="H308" s="16">
        <v>17000</v>
      </c>
      <c r="I308" s="16">
        <v>17000</v>
      </c>
      <c r="J308" s="16">
        <v>17000</v>
      </c>
      <c r="K308" s="16">
        <v>17000</v>
      </c>
      <c r="L308" s="16">
        <v>17000</v>
      </c>
      <c r="M308" s="16">
        <v>17000</v>
      </c>
      <c r="N308" s="16">
        <v>17000</v>
      </c>
      <c r="O308" s="16">
        <v>17000</v>
      </c>
      <c r="P308" s="16">
        <v>17000</v>
      </c>
      <c r="Q308" s="16">
        <v>17000</v>
      </c>
      <c r="R308" s="16">
        <v>17000</v>
      </c>
      <c r="S308" s="16">
        <v>17000</v>
      </c>
      <c r="T308" s="16">
        <v>17000</v>
      </c>
      <c r="U308" s="16">
        <v>17000</v>
      </c>
      <c r="V308" s="16">
        <v>17000</v>
      </c>
      <c r="W308" s="16">
        <v>17000</v>
      </c>
      <c r="X308" s="16">
        <v>17000</v>
      </c>
      <c r="Y308" s="16">
        <v>17000</v>
      </c>
      <c r="Z308" s="16">
        <v>17000</v>
      </c>
      <c r="AA308" s="16">
        <v>17000</v>
      </c>
      <c r="AB308" s="6">
        <f t="shared" si="8"/>
        <v>2448000</v>
      </c>
      <c r="AC308" s="93"/>
    </row>
    <row r="309" spans="1:33" ht="18.75" thickBot="1" x14ac:dyDescent="0.3">
      <c r="A309" s="97"/>
      <c r="B309" s="12" t="s">
        <v>30</v>
      </c>
      <c r="C309" s="12">
        <v>21</v>
      </c>
      <c r="D309" s="16">
        <v>17000</v>
      </c>
      <c r="E309" s="16">
        <v>17000</v>
      </c>
      <c r="F309" s="16">
        <v>17000</v>
      </c>
      <c r="G309" s="16">
        <v>17000</v>
      </c>
      <c r="H309" s="16">
        <v>17000</v>
      </c>
      <c r="I309" s="16">
        <v>17000</v>
      </c>
      <c r="J309" s="16">
        <v>17000</v>
      </c>
      <c r="K309" s="16">
        <v>17000</v>
      </c>
      <c r="L309" s="16">
        <v>17000</v>
      </c>
      <c r="M309" s="16">
        <v>17000</v>
      </c>
      <c r="N309" s="16">
        <v>17000</v>
      </c>
      <c r="O309" s="16">
        <v>17000</v>
      </c>
      <c r="P309" s="16">
        <v>17000</v>
      </c>
      <c r="Q309" s="16">
        <v>17000</v>
      </c>
      <c r="R309" s="16">
        <v>17000</v>
      </c>
      <c r="S309" s="16">
        <v>17000</v>
      </c>
      <c r="T309" s="16">
        <v>17000</v>
      </c>
      <c r="U309" s="16">
        <v>17000</v>
      </c>
      <c r="V309" s="16">
        <v>17000</v>
      </c>
      <c r="W309" s="16">
        <v>17000</v>
      </c>
      <c r="X309" s="16">
        <v>17000</v>
      </c>
      <c r="Y309" s="16">
        <v>17000</v>
      </c>
      <c r="Z309" s="16">
        <v>17000</v>
      </c>
      <c r="AA309" s="16">
        <v>17000</v>
      </c>
      <c r="AB309" s="6">
        <f t="shared" si="8"/>
        <v>8568000</v>
      </c>
      <c r="AC309" s="94"/>
    </row>
    <row r="310" spans="1:33" ht="18.75" thickBot="1" x14ac:dyDescent="0.3">
      <c r="A310" s="95">
        <v>49096</v>
      </c>
      <c r="B310" s="9" t="s">
        <v>28</v>
      </c>
      <c r="C310" s="9">
        <v>4</v>
      </c>
      <c r="D310" s="16">
        <v>17000</v>
      </c>
      <c r="E310" s="16">
        <v>17000</v>
      </c>
      <c r="F310" s="16">
        <v>17000</v>
      </c>
      <c r="G310" s="16">
        <v>17000</v>
      </c>
      <c r="H310" s="16">
        <v>17000</v>
      </c>
      <c r="I310" s="16">
        <v>17000</v>
      </c>
      <c r="J310" s="16">
        <v>17000</v>
      </c>
      <c r="K310" s="16">
        <v>17000</v>
      </c>
      <c r="L310" s="16">
        <v>17000</v>
      </c>
      <c r="M310" s="16">
        <v>17000</v>
      </c>
      <c r="N310" s="16">
        <v>17000</v>
      </c>
      <c r="O310" s="16">
        <v>17000</v>
      </c>
      <c r="P310" s="16">
        <v>17000</v>
      </c>
      <c r="Q310" s="16">
        <v>17000</v>
      </c>
      <c r="R310" s="16">
        <v>17000</v>
      </c>
      <c r="S310" s="16">
        <v>17000</v>
      </c>
      <c r="T310" s="16">
        <v>17000</v>
      </c>
      <c r="U310" s="16">
        <v>17000</v>
      </c>
      <c r="V310" s="16">
        <v>17000</v>
      </c>
      <c r="W310" s="16">
        <v>17000</v>
      </c>
      <c r="X310" s="16">
        <v>17000</v>
      </c>
      <c r="Y310" s="16">
        <v>17000</v>
      </c>
      <c r="Z310" s="16">
        <v>17000</v>
      </c>
      <c r="AA310" s="16">
        <v>17000</v>
      </c>
      <c r="AB310" s="6">
        <f t="shared" si="8"/>
        <v>1632000</v>
      </c>
      <c r="AC310" s="92">
        <f>+AB310+AB311+AB312</f>
        <v>12240000</v>
      </c>
    </row>
    <row r="311" spans="1:33" ht="18.75" thickBot="1" x14ac:dyDescent="0.3">
      <c r="A311" s="96"/>
      <c r="B311" s="11" t="s">
        <v>29</v>
      </c>
      <c r="C311" s="11">
        <v>5</v>
      </c>
      <c r="D311" s="16">
        <v>17000</v>
      </c>
      <c r="E311" s="16">
        <v>17000</v>
      </c>
      <c r="F311" s="16">
        <v>17000</v>
      </c>
      <c r="G311" s="16">
        <v>17000</v>
      </c>
      <c r="H311" s="16">
        <v>17000</v>
      </c>
      <c r="I311" s="16">
        <v>17000</v>
      </c>
      <c r="J311" s="16">
        <v>17000</v>
      </c>
      <c r="K311" s="16">
        <v>17000</v>
      </c>
      <c r="L311" s="16">
        <v>17000</v>
      </c>
      <c r="M311" s="16">
        <v>17000</v>
      </c>
      <c r="N311" s="16">
        <v>17000</v>
      </c>
      <c r="O311" s="16">
        <v>17000</v>
      </c>
      <c r="P311" s="16">
        <v>17000</v>
      </c>
      <c r="Q311" s="16">
        <v>17000</v>
      </c>
      <c r="R311" s="16">
        <v>17000</v>
      </c>
      <c r="S311" s="16">
        <v>17000</v>
      </c>
      <c r="T311" s="16">
        <v>17000</v>
      </c>
      <c r="U311" s="16">
        <v>17000</v>
      </c>
      <c r="V311" s="16">
        <v>17000</v>
      </c>
      <c r="W311" s="16">
        <v>17000</v>
      </c>
      <c r="X311" s="16">
        <v>17000</v>
      </c>
      <c r="Y311" s="16">
        <v>17000</v>
      </c>
      <c r="Z311" s="16">
        <v>17000</v>
      </c>
      <c r="AA311" s="16">
        <v>17000</v>
      </c>
      <c r="AB311" s="6">
        <f t="shared" si="8"/>
        <v>2040000</v>
      </c>
      <c r="AC311" s="93"/>
    </row>
    <row r="312" spans="1:33" ht="18.75" thickBot="1" x14ac:dyDescent="0.3">
      <c r="A312" s="97"/>
      <c r="B312" s="12" t="s">
        <v>30</v>
      </c>
      <c r="C312" s="12">
        <v>21</v>
      </c>
      <c r="D312" s="16">
        <v>17000</v>
      </c>
      <c r="E312" s="16">
        <v>17000</v>
      </c>
      <c r="F312" s="16">
        <v>17000</v>
      </c>
      <c r="G312" s="16">
        <v>17000</v>
      </c>
      <c r="H312" s="16">
        <v>17000</v>
      </c>
      <c r="I312" s="16">
        <v>17000</v>
      </c>
      <c r="J312" s="16">
        <v>17000</v>
      </c>
      <c r="K312" s="16">
        <v>17000</v>
      </c>
      <c r="L312" s="16">
        <v>17000</v>
      </c>
      <c r="M312" s="16">
        <v>17000</v>
      </c>
      <c r="N312" s="16">
        <v>17000</v>
      </c>
      <c r="O312" s="16">
        <v>17000</v>
      </c>
      <c r="P312" s="16">
        <v>17000</v>
      </c>
      <c r="Q312" s="16">
        <v>17000</v>
      </c>
      <c r="R312" s="16">
        <v>17000</v>
      </c>
      <c r="S312" s="16">
        <v>17000</v>
      </c>
      <c r="T312" s="16">
        <v>17000</v>
      </c>
      <c r="U312" s="16">
        <v>17000</v>
      </c>
      <c r="V312" s="16">
        <v>17000</v>
      </c>
      <c r="W312" s="16">
        <v>17000</v>
      </c>
      <c r="X312" s="16">
        <v>17000</v>
      </c>
      <c r="Y312" s="16">
        <v>17000</v>
      </c>
      <c r="Z312" s="16">
        <v>17000</v>
      </c>
      <c r="AA312" s="16">
        <v>17000</v>
      </c>
      <c r="AB312" s="6">
        <f t="shared" si="8"/>
        <v>8568000</v>
      </c>
      <c r="AC312" s="94"/>
    </row>
    <row r="313" spans="1:33" ht="18.75" thickBot="1" x14ac:dyDescent="0.3">
      <c r="A313" s="95">
        <v>49126</v>
      </c>
      <c r="B313" s="9" t="s">
        <v>28</v>
      </c>
      <c r="C313" s="9">
        <v>5</v>
      </c>
      <c r="D313" s="16">
        <v>17000</v>
      </c>
      <c r="E313" s="16">
        <v>17000</v>
      </c>
      <c r="F313" s="16">
        <v>17000</v>
      </c>
      <c r="G313" s="16">
        <v>17000</v>
      </c>
      <c r="H313" s="16">
        <v>17000</v>
      </c>
      <c r="I313" s="16">
        <v>17000</v>
      </c>
      <c r="J313" s="16">
        <v>17000</v>
      </c>
      <c r="K313" s="16">
        <v>17000</v>
      </c>
      <c r="L313" s="16">
        <v>17000</v>
      </c>
      <c r="M313" s="16">
        <v>17000</v>
      </c>
      <c r="N313" s="16">
        <v>17000</v>
      </c>
      <c r="O313" s="16">
        <v>17000</v>
      </c>
      <c r="P313" s="16">
        <v>17000</v>
      </c>
      <c r="Q313" s="16">
        <v>17000</v>
      </c>
      <c r="R313" s="16">
        <v>17000</v>
      </c>
      <c r="S313" s="16">
        <v>17000</v>
      </c>
      <c r="T313" s="16">
        <v>17000</v>
      </c>
      <c r="U313" s="16">
        <v>17000</v>
      </c>
      <c r="V313" s="16">
        <v>17000</v>
      </c>
      <c r="W313" s="16">
        <v>17000</v>
      </c>
      <c r="X313" s="16">
        <v>17000</v>
      </c>
      <c r="Y313" s="16">
        <v>17000</v>
      </c>
      <c r="Z313" s="16">
        <v>17000</v>
      </c>
      <c r="AA313" s="16">
        <v>17000</v>
      </c>
      <c r="AB313" s="6">
        <f t="shared" si="8"/>
        <v>2040000</v>
      </c>
      <c r="AC313" s="92">
        <f>+AB313+AB314+AB315</f>
        <v>12648000</v>
      </c>
    </row>
    <row r="314" spans="1:33" ht="18.75" thickBot="1" x14ac:dyDescent="0.3">
      <c r="A314" s="96"/>
      <c r="B314" s="11" t="s">
        <v>29</v>
      </c>
      <c r="C314" s="11">
        <v>7</v>
      </c>
      <c r="D314" s="16">
        <v>17000</v>
      </c>
      <c r="E314" s="16">
        <v>17000</v>
      </c>
      <c r="F314" s="16">
        <v>17000</v>
      </c>
      <c r="G314" s="16">
        <v>17000</v>
      </c>
      <c r="H314" s="16">
        <v>17000</v>
      </c>
      <c r="I314" s="16">
        <v>17000</v>
      </c>
      <c r="J314" s="16">
        <v>17000</v>
      </c>
      <c r="K314" s="16">
        <v>17000</v>
      </c>
      <c r="L314" s="16">
        <v>17000</v>
      </c>
      <c r="M314" s="16">
        <v>17000</v>
      </c>
      <c r="N314" s="16">
        <v>17000</v>
      </c>
      <c r="O314" s="16">
        <v>17000</v>
      </c>
      <c r="P314" s="16">
        <v>17000</v>
      </c>
      <c r="Q314" s="16">
        <v>17000</v>
      </c>
      <c r="R314" s="16">
        <v>17000</v>
      </c>
      <c r="S314" s="16">
        <v>17000</v>
      </c>
      <c r="T314" s="16">
        <v>17000</v>
      </c>
      <c r="U314" s="16">
        <v>17000</v>
      </c>
      <c r="V314" s="16">
        <v>17000</v>
      </c>
      <c r="W314" s="16">
        <v>17000</v>
      </c>
      <c r="X314" s="16">
        <v>17000</v>
      </c>
      <c r="Y314" s="16">
        <v>17000</v>
      </c>
      <c r="Z314" s="16">
        <v>17000</v>
      </c>
      <c r="AA314" s="16">
        <v>17000</v>
      </c>
      <c r="AB314" s="6">
        <f t="shared" si="8"/>
        <v>2856000</v>
      </c>
      <c r="AC314" s="93"/>
    </row>
    <row r="315" spans="1:33" ht="18.75" thickBot="1" x14ac:dyDescent="0.3">
      <c r="A315" s="97"/>
      <c r="B315" s="12" t="s">
        <v>30</v>
      </c>
      <c r="C315" s="12">
        <v>19</v>
      </c>
      <c r="D315" s="16">
        <v>17000</v>
      </c>
      <c r="E315" s="16">
        <v>17000</v>
      </c>
      <c r="F315" s="16">
        <v>17000</v>
      </c>
      <c r="G315" s="16">
        <v>17000</v>
      </c>
      <c r="H315" s="16">
        <v>17000</v>
      </c>
      <c r="I315" s="16">
        <v>17000</v>
      </c>
      <c r="J315" s="16">
        <v>17000</v>
      </c>
      <c r="K315" s="16">
        <v>17000</v>
      </c>
      <c r="L315" s="16">
        <v>17000</v>
      </c>
      <c r="M315" s="16">
        <v>17000</v>
      </c>
      <c r="N315" s="16">
        <v>17000</v>
      </c>
      <c r="O315" s="16">
        <v>17000</v>
      </c>
      <c r="P315" s="16">
        <v>17000</v>
      </c>
      <c r="Q315" s="16">
        <v>17000</v>
      </c>
      <c r="R315" s="16">
        <v>17000</v>
      </c>
      <c r="S315" s="16">
        <v>17000</v>
      </c>
      <c r="T315" s="16">
        <v>17000</v>
      </c>
      <c r="U315" s="16">
        <v>17000</v>
      </c>
      <c r="V315" s="16">
        <v>17000</v>
      </c>
      <c r="W315" s="16">
        <v>17000</v>
      </c>
      <c r="X315" s="16">
        <v>17000</v>
      </c>
      <c r="Y315" s="16">
        <v>17000</v>
      </c>
      <c r="Z315" s="16">
        <v>17000</v>
      </c>
      <c r="AA315" s="16">
        <v>17000</v>
      </c>
      <c r="AB315" s="6">
        <f t="shared" si="8"/>
        <v>7752000</v>
      </c>
      <c r="AC315" s="94"/>
    </row>
    <row r="316" spans="1:33" ht="18.75" thickBot="1" x14ac:dyDescent="0.3">
      <c r="A316" s="95">
        <v>49157</v>
      </c>
      <c r="B316" s="9" t="s">
        <v>28</v>
      </c>
      <c r="C316" s="9">
        <v>4</v>
      </c>
      <c r="D316" s="16">
        <v>17000</v>
      </c>
      <c r="E316" s="16">
        <v>17000</v>
      </c>
      <c r="F316" s="16">
        <v>17000</v>
      </c>
      <c r="G316" s="16">
        <v>17000</v>
      </c>
      <c r="H316" s="16">
        <v>17000</v>
      </c>
      <c r="I316" s="16">
        <v>17000</v>
      </c>
      <c r="J316" s="16">
        <v>17000</v>
      </c>
      <c r="K316" s="16">
        <v>17000</v>
      </c>
      <c r="L316" s="16">
        <v>17000</v>
      </c>
      <c r="M316" s="16">
        <v>17000</v>
      </c>
      <c r="N316" s="16">
        <v>17000</v>
      </c>
      <c r="O316" s="16">
        <v>17000</v>
      </c>
      <c r="P316" s="16">
        <v>17000</v>
      </c>
      <c r="Q316" s="16">
        <v>17000</v>
      </c>
      <c r="R316" s="16">
        <v>17000</v>
      </c>
      <c r="S316" s="16">
        <v>17000</v>
      </c>
      <c r="T316" s="16">
        <v>17000</v>
      </c>
      <c r="U316" s="16">
        <v>17000</v>
      </c>
      <c r="V316" s="16">
        <v>17000</v>
      </c>
      <c r="W316" s="16">
        <v>17000</v>
      </c>
      <c r="X316" s="16">
        <v>17000</v>
      </c>
      <c r="Y316" s="16">
        <v>17000</v>
      </c>
      <c r="Z316" s="16">
        <v>17000</v>
      </c>
      <c r="AA316" s="16">
        <v>17000</v>
      </c>
      <c r="AB316" s="6">
        <f t="shared" si="8"/>
        <v>1632000</v>
      </c>
      <c r="AC316" s="92">
        <f>+AB316+AB317+AB318</f>
        <v>12648000</v>
      </c>
    </row>
    <row r="317" spans="1:33" ht="18.75" thickBot="1" x14ac:dyDescent="0.3">
      <c r="A317" s="96"/>
      <c r="B317" s="11" t="s">
        <v>29</v>
      </c>
      <c r="C317" s="11">
        <v>6</v>
      </c>
      <c r="D317" s="16">
        <v>17000</v>
      </c>
      <c r="E317" s="16">
        <v>17000</v>
      </c>
      <c r="F317" s="16">
        <v>17000</v>
      </c>
      <c r="G317" s="16">
        <v>17000</v>
      </c>
      <c r="H317" s="16">
        <v>17000</v>
      </c>
      <c r="I317" s="16">
        <v>17000</v>
      </c>
      <c r="J317" s="16">
        <v>17000</v>
      </c>
      <c r="K317" s="16">
        <v>17000</v>
      </c>
      <c r="L317" s="16">
        <v>17000</v>
      </c>
      <c r="M317" s="16">
        <v>17000</v>
      </c>
      <c r="N317" s="16">
        <v>17000</v>
      </c>
      <c r="O317" s="16">
        <v>17000</v>
      </c>
      <c r="P317" s="16">
        <v>17000</v>
      </c>
      <c r="Q317" s="16">
        <v>17000</v>
      </c>
      <c r="R317" s="16">
        <v>17000</v>
      </c>
      <c r="S317" s="16">
        <v>17000</v>
      </c>
      <c r="T317" s="16">
        <v>17000</v>
      </c>
      <c r="U317" s="16">
        <v>17000</v>
      </c>
      <c r="V317" s="16">
        <v>17000</v>
      </c>
      <c r="W317" s="16">
        <v>17000</v>
      </c>
      <c r="X317" s="16">
        <v>17000</v>
      </c>
      <c r="Y317" s="16">
        <v>17000</v>
      </c>
      <c r="Z317" s="16">
        <v>17000</v>
      </c>
      <c r="AA317" s="16">
        <v>17000</v>
      </c>
      <c r="AB317" s="6">
        <f t="shared" si="8"/>
        <v>2448000</v>
      </c>
      <c r="AC317" s="93"/>
    </row>
    <row r="318" spans="1:33" ht="18.75" thickBot="1" x14ac:dyDescent="0.3">
      <c r="A318" s="97"/>
      <c r="B318" s="12" t="s">
        <v>30</v>
      </c>
      <c r="C318" s="12">
        <v>21</v>
      </c>
      <c r="D318" s="16">
        <v>17000</v>
      </c>
      <c r="E318" s="16">
        <v>17000</v>
      </c>
      <c r="F318" s="16">
        <v>17000</v>
      </c>
      <c r="G318" s="16">
        <v>17000</v>
      </c>
      <c r="H318" s="16">
        <v>17000</v>
      </c>
      <c r="I318" s="16">
        <v>17000</v>
      </c>
      <c r="J318" s="16">
        <v>17000</v>
      </c>
      <c r="K318" s="16">
        <v>17000</v>
      </c>
      <c r="L318" s="16">
        <v>17000</v>
      </c>
      <c r="M318" s="16">
        <v>17000</v>
      </c>
      <c r="N318" s="16">
        <v>17000</v>
      </c>
      <c r="O318" s="16">
        <v>17000</v>
      </c>
      <c r="P318" s="16">
        <v>17000</v>
      </c>
      <c r="Q318" s="16">
        <v>17000</v>
      </c>
      <c r="R318" s="16">
        <v>17000</v>
      </c>
      <c r="S318" s="16">
        <v>17000</v>
      </c>
      <c r="T318" s="16">
        <v>17000</v>
      </c>
      <c r="U318" s="16">
        <v>17000</v>
      </c>
      <c r="V318" s="16">
        <v>17000</v>
      </c>
      <c r="W318" s="16">
        <v>17000</v>
      </c>
      <c r="X318" s="16">
        <v>17000</v>
      </c>
      <c r="Y318" s="16">
        <v>17000</v>
      </c>
      <c r="Z318" s="16">
        <v>17000</v>
      </c>
      <c r="AA318" s="16">
        <v>17000</v>
      </c>
      <c r="AB318" s="6">
        <f t="shared" si="8"/>
        <v>8568000</v>
      </c>
      <c r="AC318" s="94"/>
    </row>
    <row r="319" spans="1:33" ht="18.75" thickBot="1" x14ac:dyDescent="0.3">
      <c r="A319" s="95">
        <v>49188</v>
      </c>
      <c r="B319" s="9" t="s">
        <v>28</v>
      </c>
      <c r="C319" s="9">
        <v>5</v>
      </c>
      <c r="D319" s="16">
        <v>17000</v>
      </c>
      <c r="E319" s="16">
        <v>17000</v>
      </c>
      <c r="F319" s="16">
        <v>17000</v>
      </c>
      <c r="G319" s="16">
        <v>17000</v>
      </c>
      <c r="H319" s="16">
        <v>17000</v>
      </c>
      <c r="I319" s="16">
        <v>17000</v>
      </c>
      <c r="J319" s="16">
        <v>17000</v>
      </c>
      <c r="K319" s="16">
        <v>17000</v>
      </c>
      <c r="L319" s="16">
        <v>17000</v>
      </c>
      <c r="M319" s="16">
        <v>17000</v>
      </c>
      <c r="N319" s="16">
        <v>17000</v>
      </c>
      <c r="O319" s="16">
        <v>17000</v>
      </c>
      <c r="P319" s="16">
        <v>17000</v>
      </c>
      <c r="Q319" s="16">
        <v>17000</v>
      </c>
      <c r="R319" s="16">
        <v>17000</v>
      </c>
      <c r="S319" s="16">
        <v>17000</v>
      </c>
      <c r="T319" s="16">
        <v>17000</v>
      </c>
      <c r="U319" s="16">
        <v>17000</v>
      </c>
      <c r="V319" s="16">
        <v>17000</v>
      </c>
      <c r="W319" s="16">
        <v>17000</v>
      </c>
      <c r="X319" s="16">
        <v>17000</v>
      </c>
      <c r="Y319" s="16">
        <v>17000</v>
      </c>
      <c r="Z319" s="16">
        <v>17000</v>
      </c>
      <c r="AA319" s="16">
        <v>17000</v>
      </c>
      <c r="AB319" s="6">
        <f t="shared" si="8"/>
        <v>2040000</v>
      </c>
      <c r="AC319" s="92">
        <f>+AB319+AB320+AB321</f>
        <v>12240000</v>
      </c>
    </row>
    <row r="320" spans="1:33" ht="18.75" thickBot="1" x14ac:dyDescent="0.3">
      <c r="A320" s="96"/>
      <c r="B320" s="11" t="s">
        <v>29</v>
      </c>
      <c r="C320" s="11">
        <v>4</v>
      </c>
      <c r="D320" s="16">
        <v>17000</v>
      </c>
      <c r="E320" s="16">
        <v>17000</v>
      </c>
      <c r="F320" s="16">
        <v>17000</v>
      </c>
      <c r="G320" s="16">
        <v>17000</v>
      </c>
      <c r="H320" s="16">
        <v>17000</v>
      </c>
      <c r="I320" s="16">
        <v>17000</v>
      </c>
      <c r="J320" s="16">
        <v>17000</v>
      </c>
      <c r="K320" s="16">
        <v>17000</v>
      </c>
      <c r="L320" s="16">
        <v>17000</v>
      </c>
      <c r="M320" s="16">
        <v>17000</v>
      </c>
      <c r="N320" s="16">
        <v>17000</v>
      </c>
      <c r="O320" s="16">
        <v>17000</v>
      </c>
      <c r="P320" s="16">
        <v>17000</v>
      </c>
      <c r="Q320" s="16">
        <v>17000</v>
      </c>
      <c r="R320" s="16">
        <v>17000</v>
      </c>
      <c r="S320" s="16">
        <v>17000</v>
      </c>
      <c r="T320" s="16">
        <v>17000</v>
      </c>
      <c r="U320" s="16">
        <v>17000</v>
      </c>
      <c r="V320" s="16">
        <v>17000</v>
      </c>
      <c r="W320" s="16">
        <v>17000</v>
      </c>
      <c r="X320" s="16">
        <v>17000</v>
      </c>
      <c r="Y320" s="16">
        <v>17000</v>
      </c>
      <c r="Z320" s="16">
        <v>17000</v>
      </c>
      <c r="AA320" s="16">
        <v>17000</v>
      </c>
      <c r="AB320" s="6">
        <f t="shared" si="8"/>
        <v>1632000</v>
      </c>
      <c r="AC320" s="93"/>
    </row>
    <row r="321" spans="1:33" ht="18.75" thickBot="1" x14ac:dyDescent="0.3">
      <c r="A321" s="97"/>
      <c r="B321" s="12" t="s">
        <v>30</v>
      </c>
      <c r="C321" s="12">
        <v>21</v>
      </c>
      <c r="D321" s="16">
        <v>17000</v>
      </c>
      <c r="E321" s="16">
        <v>17000</v>
      </c>
      <c r="F321" s="16">
        <v>17000</v>
      </c>
      <c r="G321" s="16">
        <v>17000</v>
      </c>
      <c r="H321" s="16">
        <v>17000</v>
      </c>
      <c r="I321" s="16">
        <v>17000</v>
      </c>
      <c r="J321" s="16">
        <v>17000</v>
      </c>
      <c r="K321" s="16">
        <v>17000</v>
      </c>
      <c r="L321" s="16">
        <v>17000</v>
      </c>
      <c r="M321" s="16">
        <v>17000</v>
      </c>
      <c r="N321" s="16">
        <v>17000</v>
      </c>
      <c r="O321" s="16">
        <v>17000</v>
      </c>
      <c r="P321" s="16">
        <v>17000</v>
      </c>
      <c r="Q321" s="16">
        <v>17000</v>
      </c>
      <c r="R321" s="16">
        <v>17000</v>
      </c>
      <c r="S321" s="16">
        <v>17000</v>
      </c>
      <c r="T321" s="16">
        <v>17000</v>
      </c>
      <c r="U321" s="16">
        <v>17000</v>
      </c>
      <c r="V321" s="16">
        <v>17000</v>
      </c>
      <c r="W321" s="16">
        <v>17000</v>
      </c>
      <c r="X321" s="16">
        <v>17000</v>
      </c>
      <c r="Y321" s="16">
        <v>17000</v>
      </c>
      <c r="Z321" s="16">
        <v>17000</v>
      </c>
      <c r="AA321" s="16">
        <v>17000</v>
      </c>
      <c r="AB321" s="6">
        <f t="shared" si="8"/>
        <v>8568000</v>
      </c>
      <c r="AC321" s="94"/>
    </row>
    <row r="322" spans="1:33" ht="18.75" thickBot="1" x14ac:dyDescent="0.3">
      <c r="A322" s="95">
        <v>49218</v>
      </c>
      <c r="B322" s="9" t="s">
        <v>28</v>
      </c>
      <c r="C322" s="9">
        <v>4</v>
      </c>
      <c r="D322" s="16">
        <v>17000</v>
      </c>
      <c r="E322" s="16">
        <v>17000</v>
      </c>
      <c r="F322" s="16">
        <v>17000</v>
      </c>
      <c r="G322" s="16">
        <v>17000</v>
      </c>
      <c r="H322" s="16">
        <v>17000</v>
      </c>
      <c r="I322" s="16">
        <v>17000</v>
      </c>
      <c r="J322" s="16">
        <v>17000</v>
      </c>
      <c r="K322" s="16">
        <v>17000</v>
      </c>
      <c r="L322" s="16">
        <v>17000</v>
      </c>
      <c r="M322" s="16">
        <v>17000</v>
      </c>
      <c r="N322" s="16">
        <v>17000</v>
      </c>
      <c r="O322" s="16">
        <v>17000</v>
      </c>
      <c r="P322" s="16">
        <v>17000</v>
      </c>
      <c r="Q322" s="16">
        <v>17000</v>
      </c>
      <c r="R322" s="16">
        <v>17000</v>
      </c>
      <c r="S322" s="16">
        <v>17000</v>
      </c>
      <c r="T322" s="16">
        <v>17000</v>
      </c>
      <c r="U322" s="16">
        <v>17000</v>
      </c>
      <c r="V322" s="16">
        <v>17000</v>
      </c>
      <c r="W322" s="16">
        <v>17000</v>
      </c>
      <c r="X322" s="16">
        <v>17000</v>
      </c>
      <c r="Y322" s="16">
        <v>17000</v>
      </c>
      <c r="Z322" s="16">
        <v>17000</v>
      </c>
      <c r="AA322" s="16">
        <v>17000</v>
      </c>
      <c r="AB322" s="6">
        <f t="shared" si="8"/>
        <v>1632000</v>
      </c>
      <c r="AC322" s="92">
        <f>+AB322+AB323+AB324</f>
        <v>12648000</v>
      </c>
    </row>
    <row r="323" spans="1:33" ht="18.75" thickBot="1" x14ac:dyDescent="0.3">
      <c r="A323" s="96"/>
      <c r="B323" s="11" t="s">
        <v>29</v>
      </c>
      <c r="C323" s="11">
        <v>6</v>
      </c>
      <c r="D323" s="16">
        <v>17000</v>
      </c>
      <c r="E323" s="16">
        <v>17000</v>
      </c>
      <c r="F323" s="16">
        <v>17000</v>
      </c>
      <c r="G323" s="16">
        <v>17000</v>
      </c>
      <c r="H323" s="16">
        <v>17000</v>
      </c>
      <c r="I323" s="16">
        <v>17000</v>
      </c>
      <c r="J323" s="16">
        <v>17000</v>
      </c>
      <c r="K323" s="16">
        <v>17000</v>
      </c>
      <c r="L323" s="16">
        <v>17000</v>
      </c>
      <c r="M323" s="16">
        <v>17000</v>
      </c>
      <c r="N323" s="16">
        <v>17000</v>
      </c>
      <c r="O323" s="16">
        <v>17000</v>
      </c>
      <c r="P323" s="16">
        <v>17000</v>
      </c>
      <c r="Q323" s="16">
        <v>17000</v>
      </c>
      <c r="R323" s="16">
        <v>17000</v>
      </c>
      <c r="S323" s="16">
        <v>17000</v>
      </c>
      <c r="T323" s="16">
        <v>17000</v>
      </c>
      <c r="U323" s="16">
        <v>17000</v>
      </c>
      <c r="V323" s="16">
        <v>17000</v>
      </c>
      <c r="W323" s="16">
        <v>17000</v>
      </c>
      <c r="X323" s="16">
        <v>17000</v>
      </c>
      <c r="Y323" s="16">
        <v>17000</v>
      </c>
      <c r="Z323" s="16">
        <v>17000</v>
      </c>
      <c r="AA323" s="16">
        <v>17000</v>
      </c>
      <c r="AB323" s="6">
        <f t="shared" si="8"/>
        <v>2448000</v>
      </c>
      <c r="AC323" s="93"/>
    </row>
    <row r="324" spans="1:33" ht="18.75" thickBot="1" x14ac:dyDescent="0.3">
      <c r="A324" s="97"/>
      <c r="B324" s="12" t="s">
        <v>30</v>
      </c>
      <c r="C324" s="12">
        <v>21</v>
      </c>
      <c r="D324" s="16">
        <v>17000</v>
      </c>
      <c r="E324" s="16">
        <v>17000</v>
      </c>
      <c r="F324" s="16">
        <v>17000</v>
      </c>
      <c r="G324" s="16">
        <v>17000</v>
      </c>
      <c r="H324" s="16">
        <v>17000</v>
      </c>
      <c r="I324" s="16">
        <v>17000</v>
      </c>
      <c r="J324" s="16">
        <v>17000</v>
      </c>
      <c r="K324" s="16">
        <v>17000</v>
      </c>
      <c r="L324" s="16">
        <v>17000</v>
      </c>
      <c r="M324" s="16">
        <v>17000</v>
      </c>
      <c r="N324" s="16">
        <v>17000</v>
      </c>
      <c r="O324" s="16">
        <v>17000</v>
      </c>
      <c r="P324" s="16">
        <v>17000</v>
      </c>
      <c r="Q324" s="16">
        <v>17000</v>
      </c>
      <c r="R324" s="16">
        <v>17000</v>
      </c>
      <c r="S324" s="16">
        <v>17000</v>
      </c>
      <c r="T324" s="16">
        <v>17000</v>
      </c>
      <c r="U324" s="16">
        <v>17000</v>
      </c>
      <c r="V324" s="16">
        <v>17000</v>
      </c>
      <c r="W324" s="16">
        <v>17000</v>
      </c>
      <c r="X324" s="16">
        <v>17000</v>
      </c>
      <c r="Y324" s="16">
        <v>17000</v>
      </c>
      <c r="Z324" s="16">
        <v>17000</v>
      </c>
      <c r="AA324" s="16">
        <v>17000</v>
      </c>
      <c r="AB324" s="6">
        <f t="shared" si="8"/>
        <v>8568000</v>
      </c>
      <c r="AC324" s="94"/>
    </row>
    <row r="325" spans="1:33" ht="18.75" thickBot="1" x14ac:dyDescent="0.3">
      <c r="A325" s="95">
        <v>49249</v>
      </c>
      <c r="B325" s="9" t="s">
        <v>28</v>
      </c>
      <c r="C325" s="9">
        <v>4</v>
      </c>
      <c r="D325" s="16">
        <v>17000</v>
      </c>
      <c r="E325" s="16">
        <v>17000</v>
      </c>
      <c r="F325" s="16">
        <v>17000</v>
      </c>
      <c r="G325" s="16">
        <v>17000</v>
      </c>
      <c r="H325" s="16">
        <v>17000</v>
      </c>
      <c r="I325" s="16">
        <v>17000</v>
      </c>
      <c r="J325" s="16">
        <v>17000</v>
      </c>
      <c r="K325" s="16">
        <v>17000</v>
      </c>
      <c r="L325" s="16">
        <v>17000</v>
      </c>
      <c r="M325" s="16">
        <v>17000</v>
      </c>
      <c r="N325" s="16">
        <v>17000</v>
      </c>
      <c r="O325" s="16">
        <v>17000</v>
      </c>
      <c r="P325" s="16">
        <v>17000</v>
      </c>
      <c r="Q325" s="16">
        <v>17000</v>
      </c>
      <c r="R325" s="16">
        <v>17000</v>
      </c>
      <c r="S325" s="16">
        <v>17000</v>
      </c>
      <c r="T325" s="16">
        <v>17000</v>
      </c>
      <c r="U325" s="16">
        <v>17000</v>
      </c>
      <c r="V325" s="16">
        <v>17000</v>
      </c>
      <c r="W325" s="16">
        <v>17000</v>
      </c>
      <c r="X325" s="16">
        <v>17000</v>
      </c>
      <c r="Y325" s="16">
        <v>17000</v>
      </c>
      <c r="Z325" s="16">
        <v>17000</v>
      </c>
      <c r="AA325" s="16">
        <v>17000</v>
      </c>
      <c r="AB325" s="6">
        <f t="shared" si="8"/>
        <v>1632000</v>
      </c>
      <c r="AC325" s="92">
        <f>+AB325+AB326+AB327</f>
        <v>12240000</v>
      </c>
    </row>
    <row r="326" spans="1:33" ht="18.75" thickBot="1" x14ac:dyDescent="0.3">
      <c r="A326" s="96"/>
      <c r="B326" s="11" t="s">
        <v>29</v>
      </c>
      <c r="C326" s="11">
        <v>6</v>
      </c>
      <c r="D326" s="16">
        <v>17000</v>
      </c>
      <c r="E326" s="16">
        <v>17000</v>
      </c>
      <c r="F326" s="16">
        <v>17000</v>
      </c>
      <c r="G326" s="16">
        <v>17000</v>
      </c>
      <c r="H326" s="16">
        <v>17000</v>
      </c>
      <c r="I326" s="16">
        <v>17000</v>
      </c>
      <c r="J326" s="16">
        <v>17000</v>
      </c>
      <c r="K326" s="16">
        <v>17000</v>
      </c>
      <c r="L326" s="16">
        <v>17000</v>
      </c>
      <c r="M326" s="16">
        <v>17000</v>
      </c>
      <c r="N326" s="16">
        <v>17000</v>
      </c>
      <c r="O326" s="16">
        <v>17000</v>
      </c>
      <c r="P326" s="16">
        <v>17000</v>
      </c>
      <c r="Q326" s="16">
        <v>17000</v>
      </c>
      <c r="R326" s="16">
        <v>17000</v>
      </c>
      <c r="S326" s="16">
        <v>17000</v>
      </c>
      <c r="T326" s="16">
        <v>17000</v>
      </c>
      <c r="U326" s="16">
        <v>17000</v>
      </c>
      <c r="V326" s="16">
        <v>17000</v>
      </c>
      <c r="W326" s="16">
        <v>17000</v>
      </c>
      <c r="X326" s="16">
        <v>17000</v>
      </c>
      <c r="Y326" s="16">
        <v>17000</v>
      </c>
      <c r="Z326" s="16">
        <v>17000</v>
      </c>
      <c r="AA326" s="16">
        <v>17000</v>
      </c>
      <c r="AB326" s="6">
        <f t="shared" si="8"/>
        <v>2448000</v>
      </c>
      <c r="AC326" s="93"/>
    </row>
    <row r="327" spans="1:33" ht="18.75" thickBot="1" x14ac:dyDescent="0.3">
      <c r="A327" s="97"/>
      <c r="B327" s="12" t="s">
        <v>30</v>
      </c>
      <c r="C327" s="12">
        <v>20</v>
      </c>
      <c r="D327" s="16">
        <v>17000</v>
      </c>
      <c r="E327" s="16">
        <v>17000</v>
      </c>
      <c r="F327" s="16">
        <v>17000</v>
      </c>
      <c r="G327" s="16">
        <v>17000</v>
      </c>
      <c r="H327" s="16">
        <v>17000</v>
      </c>
      <c r="I327" s="16">
        <v>17000</v>
      </c>
      <c r="J327" s="16">
        <v>17000</v>
      </c>
      <c r="K327" s="16">
        <v>17000</v>
      </c>
      <c r="L327" s="16">
        <v>17000</v>
      </c>
      <c r="M327" s="16">
        <v>17000</v>
      </c>
      <c r="N327" s="16">
        <v>17000</v>
      </c>
      <c r="O327" s="16">
        <v>17000</v>
      </c>
      <c r="P327" s="16">
        <v>17000</v>
      </c>
      <c r="Q327" s="16">
        <v>17000</v>
      </c>
      <c r="R327" s="16">
        <v>17000</v>
      </c>
      <c r="S327" s="16">
        <v>17000</v>
      </c>
      <c r="T327" s="16">
        <v>17000</v>
      </c>
      <c r="U327" s="16">
        <v>17000</v>
      </c>
      <c r="V327" s="16">
        <v>17000</v>
      </c>
      <c r="W327" s="16">
        <v>17000</v>
      </c>
      <c r="X327" s="16">
        <v>17000</v>
      </c>
      <c r="Y327" s="16">
        <v>17000</v>
      </c>
      <c r="Z327" s="16">
        <v>17000</v>
      </c>
      <c r="AA327" s="16">
        <v>17000</v>
      </c>
      <c r="AB327" s="6">
        <f t="shared" si="8"/>
        <v>8160000</v>
      </c>
      <c r="AC327" s="94"/>
    </row>
    <row r="328" spans="1:33" ht="18.75" thickBot="1" x14ac:dyDescent="0.3">
      <c r="A328" s="95">
        <v>49279</v>
      </c>
      <c r="B328" s="9" t="s">
        <v>28</v>
      </c>
      <c r="C328" s="9">
        <v>5</v>
      </c>
      <c r="D328" s="16">
        <v>17000</v>
      </c>
      <c r="E328" s="16">
        <v>17000</v>
      </c>
      <c r="F328" s="16">
        <v>17000</v>
      </c>
      <c r="G328" s="16">
        <v>17000</v>
      </c>
      <c r="H328" s="16">
        <v>17000</v>
      </c>
      <c r="I328" s="16">
        <v>17000</v>
      </c>
      <c r="J328" s="16">
        <v>17000</v>
      </c>
      <c r="K328" s="16">
        <v>17000</v>
      </c>
      <c r="L328" s="16">
        <v>17000</v>
      </c>
      <c r="M328" s="16">
        <v>17000</v>
      </c>
      <c r="N328" s="16">
        <v>17000</v>
      </c>
      <c r="O328" s="16">
        <v>17000</v>
      </c>
      <c r="P328" s="16">
        <v>17000</v>
      </c>
      <c r="Q328" s="16">
        <v>17000</v>
      </c>
      <c r="R328" s="16">
        <v>17000</v>
      </c>
      <c r="S328" s="16">
        <v>17000</v>
      </c>
      <c r="T328" s="16">
        <v>17000</v>
      </c>
      <c r="U328" s="16">
        <v>17000</v>
      </c>
      <c r="V328" s="16">
        <v>17000</v>
      </c>
      <c r="W328" s="16">
        <v>17000</v>
      </c>
      <c r="X328" s="16">
        <v>17000</v>
      </c>
      <c r="Y328" s="16">
        <v>17000</v>
      </c>
      <c r="Z328" s="16">
        <v>17000</v>
      </c>
      <c r="AA328" s="16">
        <v>17000</v>
      </c>
      <c r="AB328" s="6">
        <f t="shared" si="8"/>
        <v>2040000</v>
      </c>
      <c r="AC328" s="92">
        <f>+AB328+AB329+AB330</f>
        <v>12648000</v>
      </c>
    </row>
    <row r="329" spans="1:33" ht="18.75" thickBot="1" x14ac:dyDescent="0.3">
      <c r="A329" s="96"/>
      <c r="B329" s="11" t="s">
        <v>29</v>
      </c>
      <c r="C329" s="11">
        <v>7</v>
      </c>
      <c r="D329" s="16">
        <v>17000</v>
      </c>
      <c r="E329" s="16">
        <v>17000</v>
      </c>
      <c r="F329" s="16">
        <v>17000</v>
      </c>
      <c r="G329" s="16">
        <v>17000</v>
      </c>
      <c r="H329" s="16">
        <v>17000</v>
      </c>
      <c r="I329" s="16">
        <v>17000</v>
      </c>
      <c r="J329" s="16">
        <v>17000</v>
      </c>
      <c r="K329" s="16">
        <v>17000</v>
      </c>
      <c r="L329" s="16">
        <v>17000</v>
      </c>
      <c r="M329" s="16">
        <v>17000</v>
      </c>
      <c r="N329" s="16">
        <v>17000</v>
      </c>
      <c r="O329" s="16">
        <v>17000</v>
      </c>
      <c r="P329" s="16">
        <v>17000</v>
      </c>
      <c r="Q329" s="16">
        <v>17000</v>
      </c>
      <c r="R329" s="16">
        <v>17000</v>
      </c>
      <c r="S329" s="16">
        <v>17000</v>
      </c>
      <c r="T329" s="16">
        <v>17000</v>
      </c>
      <c r="U329" s="16">
        <v>17000</v>
      </c>
      <c r="V329" s="16">
        <v>17000</v>
      </c>
      <c r="W329" s="16">
        <v>17000</v>
      </c>
      <c r="X329" s="16">
        <v>17000</v>
      </c>
      <c r="Y329" s="16">
        <v>17000</v>
      </c>
      <c r="Z329" s="16">
        <v>17000</v>
      </c>
      <c r="AA329" s="16">
        <v>17000</v>
      </c>
      <c r="AB329" s="6">
        <f t="shared" si="8"/>
        <v>2856000</v>
      </c>
      <c r="AC329" s="93"/>
    </row>
    <row r="330" spans="1:33" ht="18.75" thickBot="1" x14ac:dyDescent="0.3">
      <c r="A330" s="97"/>
      <c r="B330" s="12" t="s">
        <v>30</v>
      </c>
      <c r="C330" s="12">
        <v>19</v>
      </c>
      <c r="D330" s="16">
        <v>17000</v>
      </c>
      <c r="E330" s="16">
        <v>17000</v>
      </c>
      <c r="F330" s="16">
        <v>17000</v>
      </c>
      <c r="G330" s="16">
        <v>17000</v>
      </c>
      <c r="H330" s="16">
        <v>17000</v>
      </c>
      <c r="I330" s="16">
        <v>17000</v>
      </c>
      <c r="J330" s="16">
        <v>17000</v>
      </c>
      <c r="K330" s="16">
        <v>17000</v>
      </c>
      <c r="L330" s="16">
        <v>17000</v>
      </c>
      <c r="M330" s="16">
        <v>17000</v>
      </c>
      <c r="N330" s="16">
        <v>17000</v>
      </c>
      <c r="O330" s="16">
        <v>17000</v>
      </c>
      <c r="P330" s="16">
        <v>17000</v>
      </c>
      <c r="Q330" s="16">
        <v>17000</v>
      </c>
      <c r="R330" s="16">
        <v>17000</v>
      </c>
      <c r="S330" s="16">
        <v>17000</v>
      </c>
      <c r="T330" s="16">
        <v>17000</v>
      </c>
      <c r="U330" s="16">
        <v>17000</v>
      </c>
      <c r="V330" s="16">
        <v>17000</v>
      </c>
      <c r="W330" s="16">
        <v>17000</v>
      </c>
      <c r="X330" s="16">
        <v>17000</v>
      </c>
      <c r="Y330" s="16">
        <v>17000</v>
      </c>
      <c r="Z330" s="16">
        <v>17000</v>
      </c>
      <c r="AA330" s="16">
        <v>17000</v>
      </c>
      <c r="AB330" s="6">
        <f t="shared" si="8"/>
        <v>7752000</v>
      </c>
      <c r="AC330" s="94"/>
    </row>
    <row r="332" spans="1:33" ht="15.75" thickBot="1" x14ac:dyDescent="0.3"/>
    <row r="333" spans="1:33" ht="18.75" thickBot="1" x14ac:dyDescent="0.3">
      <c r="A333" s="1" t="s">
        <v>0</v>
      </c>
      <c r="B333" s="2" t="s">
        <v>1</v>
      </c>
      <c r="C333" s="2" t="s">
        <v>2</v>
      </c>
      <c r="D333" s="27" t="s">
        <v>3</v>
      </c>
      <c r="E333" s="5" t="s">
        <v>4</v>
      </c>
      <c r="F333" s="5" t="s">
        <v>5</v>
      </c>
      <c r="G333" s="5" t="s">
        <v>6</v>
      </c>
      <c r="H333" s="5" t="s">
        <v>7</v>
      </c>
      <c r="I333" s="5" t="s">
        <v>8</v>
      </c>
      <c r="J333" s="5" t="s">
        <v>9</v>
      </c>
      <c r="K333" s="5" t="s">
        <v>10</v>
      </c>
      <c r="L333" s="5" t="s">
        <v>11</v>
      </c>
      <c r="M333" s="5" t="s">
        <v>12</v>
      </c>
      <c r="N333" s="5" t="s">
        <v>13</v>
      </c>
      <c r="O333" s="5" t="s">
        <v>14</v>
      </c>
      <c r="P333" s="5" t="s">
        <v>15</v>
      </c>
      <c r="Q333" s="5" t="s">
        <v>16</v>
      </c>
      <c r="R333" s="5" t="s">
        <v>17</v>
      </c>
      <c r="S333" s="5" t="s">
        <v>18</v>
      </c>
      <c r="T333" s="5" t="s">
        <v>19</v>
      </c>
      <c r="U333" s="5" t="s">
        <v>20</v>
      </c>
      <c r="V333" s="5" t="s">
        <v>21</v>
      </c>
      <c r="W333" s="5" t="s">
        <v>22</v>
      </c>
      <c r="X333" s="5" t="s">
        <v>23</v>
      </c>
      <c r="Y333" s="5" t="s">
        <v>24</v>
      </c>
      <c r="Z333" s="5" t="s">
        <v>25</v>
      </c>
      <c r="AA333" s="5" t="s">
        <v>26</v>
      </c>
      <c r="AB333" s="109" t="s">
        <v>27</v>
      </c>
      <c r="AC333" s="110"/>
    </row>
    <row r="334" spans="1:33" ht="18.75" thickBot="1" x14ac:dyDescent="0.3">
      <c r="A334" s="95">
        <v>49310</v>
      </c>
      <c r="B334" s="9" t="s">
        <v>28</v>
      </c>
      <c r="C334" s="9">
        <v>3</v>
      </c>
      <c r="D334" s="16">
        <v>17000</v>
      </c>
      <c r="E334" s="16">
        <v>17000</v>
      </c>
      <c r="F334" s="16">
        <v>17000</v>
      </c>
      <c r="G334" s="16">
        <v>17000</v>
      </c>
      <c r="H334" s="16">
        <v>17000</v>
      </c>
      <c r="I334" s="16">
        <v>17000</v>
      </c>
      <c r="J334" s="16">
        <v>17000</v>
      </c>
      <c r="K334" s="16">
        <v>17000</v>
      </c>
      <c r="L334" s="16">
        <v>17000</v>
      </c>
      <c r="M334" s="16">
        <v>17000</v>
      </c>
      <c r="N334" s="16">
        <v>17000</v>
      </c>
      <c r="O334" s="16">
        <v>17000</v>
      </c>
      <c r="P334" s="16">
        <v>17000</v>
      </c>
      <c r="Q334" s="16">
        <v>17000</v>
      </c>
      <c r="R334" s="16">
        <v>17000</v>
      </c>
      <c r="S334" s="16">
        <v>17000</v>
      </c>
      <c r="T334" s="16">
        <v>17000</v>
      </c>
      <c r="U334" s="16">
        <v>17000</v>
      </c>
      <c r="V334" s="16">
        <v>17000</v>
      </c>
      <c r="W334" s="16">
        <v>17000</v>
      </c>
      <c r="X334" s="16">
        <v>17000</v>
      </c>
      <c r="Y334" s="16">
        <v>17000</v>
      </c>
      <c r="Z334" s="16">
        <v>17000</v>
      </c>
      <c r="AA334" s="16">
        <v>17000</v>
      </c>
      <c r="AB334" s="6">
        <f t="shared" ref="AB334:AB369" si="9">SUM(D334:AA334)*C334</f>
        <v>1224000</v>
      </c>
      <c r="AC334" s="92">
        <f>+AB334+AB335+AB336</f>
        <v>12648000</v>
      </c>
      <c r="AF334" s="67">
        <v>49310</v>
      </c>
      <c r="AG334" s="68">
        <f>AB334+AB335+AB336</f>
        <v>12648000</v>
      </c>
    </row>
    <row r="335" spans="1:33" ht="18.75" thickBot="1" x14ac:dyDescent="0.3">
      <c r="A335" s="96"/>
      <c r="B335" s="11" t="s">
        <v>29</v>
      </c>
      <c r="C335" s="11">
        <v>6</v>
      </c>
      <c r="D335" s="16">
        <v>17000</v>
      </c>
      <c r="E335" s="16">
        <v>17000</v>
      </c>
      <c r="F335" s="16">
        <v>17000</v>
      </c>
      <c r="G335" s="16">
        <v>17000</v>
      </c>
      <c r="H335" s="16">
        <v>17000</v>
      </c>
      <c r="I335" s="16">
        <v>17000</v>
      </c>
      <c r="J335" s="16">
        <v>17000</v>
      </c>
      <c r="K335" s="16">
        <v>17000</v>
      </c>
      <c r="L335" s="16">
        <v>17000</v>
      </c>
      <c r="M335" s="16">
        <v>17000</v>
      </c>
      <c r="N335" s="16">
        <v>17000</v>
      </c>
      <c r="O335" s="16">
        <v>17000</v>
      </c>
      <c r="P335" s="16">
        <v>17000</v>
      </c>
      <c r="Q335" s="16">
        <v>17000</v>
      </c>
      <c r="R335" s="16">
        <v>17000</v>
      </c>
      <c r="S335" s="16">
        <v>17000</v>
      </c>
      <c r="T335" s="16">
        <v>17000</v>
      </c>
      <c r="U335" s="16">
        <v>17000</v>
      </c>
      <c r="V335" s="16">
        <v>17000</v>
      </c>
      <c r="W335" s="16">
        <v>17000</v>
      </c>
      <c r="X335" s="16">
        <v>17000</v>
      </c>
      <c r="Y335" s="16">
        <v>17000</v>
      </c>
      <c r="Z335" s="16">
        <v>17000</v>
      </c>
      <c r="AA335" s="16">
        <v>17000</v>
      </c>
      <c r="AB335" s="6">
        <f t="shared" si="9"/>
        <v>2448000</v>
      </c>
      <c r="AC335" s="93"/>
      <c r="AF335" s="67">
        <v>49341</v>
      </c>
      <c r="AG335" s="68">
        <f>AC337</f>
        <v>11424000</v>
      </c>
    </row>
    <row r="336" spans="1:33" ht="18.75" thickBot="1" x14ac:dyDescent="0.3">
      <c r="A336" s="97"/>
      <c r="B336" s="12" t="s">
        <v>30</v>
      </c>
      <c r="C336" s="12">
        <v>22</v>
      </c>
      <c r="D336" s="16">
        <v>17000</v>
      </c>
      <c r="E336" s="16">
        <v>17000</v>
      </c>
      <c r="F336" s="16">
        <v>17000</v>
      </c>
      <c r="G336" s="16">
        <v>17000</v>
      </c>
      <c r="H336" s="16">
        <v>17000</v>
      </c>
      <c r="I336" s="16">
        <v>17000</v>
      </c>
      <c r="J336" s="16">
        <v>17000</v>
      </c>
      <c r="K336" s="16">
        <v>17000</v>
      </c>
      <c r="L336" s="16">
        <v>17000</v>
      </c>
      <c r="M336" s="16">
        <v>17000</v>
      </c>
      <c r="N336" s="16">
        <v>17000</v>
      </c>
      <c r="O336" s="16">
        <v>17000</v>
      </c>
      <c r="P336" s="16">
        <v>17000</v>
      </c>
      <c r="Q336" s="16">
        <v>17000</v>
      </c>
      <c r="R336" s="16">
        <v>17000</v>
      </c>
      <c r="S336" s="16">
        <v>17000</v>
      </c>
      <c r="T336" s="16">
        <v>17000</v>
      </c>
      <c r="U336" s="16">
        <v>17000</v>
      </c>
      <c r="V336" s="16">
        <v>17000</v>
      </c>
      <c r="W336" s="16">
        <v>17000</v>
      </c>
      <c r="X336" s="16">
        <v>17000</v>
      </c>
      <c r="Y336" s="16">
        <v>17000</v>
      </c>
      <c r="Z336" s="16">
        <v>17000</v>
      </c>
      <c r="AA336" s="16">
        <v>17000</v>
      </c>
      <c r="AB336" s="6">
        <f t="shared" si="9"/>
        <v>8976000</v>
      </c>
      <c r="AC336" s="94"/>
      <c r="AF336" s="67">
        <v>49369</v>
      </c>
      <c r="AG336" s="68">
        <f>AC340</f>
        <v>12648000</v>
      </c>
    </row>
    <row r="337" spans="1:33" ht="18.75" thickBot="1" x14ac:dyDescent="0.3">
      <c r="A337" s="95">
        <v>49341</v>
      </c>
      <c r="B337" s="9" t="s">
        <v>28</v>
      </c>
      <c r="C337" s="9">
        <v>4</v>
      </c>
      <c r="D337" s="16">
        <v>17000</v>
      </c>
      <c r="E337" s="16">
        <v>17000</v>
      </c>
      <c r="F337" s="16">
        <v>17000</v>
      </c>
      <c r="G337" s="16">
        <v>17000</v>
      </c>
      <c r="H337" s="16">
        <v>17000</v>
      </c>
      <c r="I337" s="16">
        <v>17000</v>
      </c>
      <c r="J337" s="16">
        <v>17000</v>
      </c>
      <c r="K337" s="16">
        <v>17000</v>
      </c>
      <c r="L337" s="16">
        <v>17000</v>
      </c>
      <c r="M337" s="16">
        <v>17000</v>
      </c>
      <c r="N337" s="16">
        <v>17000</v>
      </c>
      <c r="O337" s="16">
        <v>17000</v>
      </c>
      <c r="P337" s="16">
        <v>17000</v>
      </c>
      <c r="Q337" s="16">
        <v>17000</v>
      </c>
      <c r="R337" s="16">
        <v>17000</v>
      </c>
      <c r="S337" s="16">
        <v>17000</v>
      </c>
      <c r="T337" s="16">
        <v>17000</v>
      </c>
      <c r="U337" s="16">
        <v>17000</v>
      </c>
      <c r="V337" s="16">
        <v>17000</v>
      </c>
      <c r="W337" s="16">
        <v>17000</v>
      </c>
      <c r="X337" s="16">
        <v>17000</v>
      </c>
      <c r="Y337" s="16">
        <v>17000</v>
      </c>
      <c r="Z337" s="16">
        <v>17000</v>
      </c>
      <c r="AA337" s="16">
        <v>17000</v>
      </c>
      <c r="AB337" s="6">
        <f t="shared" si="9"/>
        <v>1632000</v>
      </c>
      <c r="AC337" s="92">
        <f>+AB337+AB338+AB339</f>
        <v>11424000</v>
      </c>
      <c r="AF337" s="67">
        <v>49400</v>
      </c>
      <c r="AG337" s="68">
        <f>AC343</f>
        <v>12240000</v>
      </c>
    </row>
    <row r="338" spans="1:33" ht="18.75" thickBot="1" x14ac:dyDescent="0.3">
      <c r="A338" s="96"/>
      <c r="B338" s="11" t="s">
        <v>29</v>
      </c>
      <c r="C338" s="11">
        <v>4</v>
      </c>
      <c r="D338" s="16">
        <v>17000</v>
      </c>
      <c r="E338" s="16">
        <v>17000</v>
      </c>
      <c r="F338" s="16">
        <v>17000</v>
      </c>
      <c r="G338" s="16">
        <v>17000</v>
      </c>
      <c r="H338" s="16">
        <v>17000</v>
      </c>
      <c r="I338" s="16">
        <v>17000</v>
      </c>
      <c r="J338" s="16">
        <v>17000</v>
      </c>
      <c r="K338" s="16">
        <v>17000</v>
      </c>
      <c r="L338" s="16">
        <v>17000</v>
      </c>
      <c r="M338" s="16">
        <v>17000</v>
      </c>
      <c r="N338" s="16">
        <v>17000</v>
      </c>
      <c r="O338" s="16">
        <v>17000</v>
      </c>
      <c r="P338" s="16">
        <v>17000</v>
      </c>
      <c r="Q338" s="16">
        <v>17000</v>
      </c>
      <c r="R338" s="16">
        <v>17000</v>
      </c>
      <c r="S338" s="16">
        <v>17000</v>
      </c>
      <c r="T338" s="16">
        <v>17000</v>
      </c>
      <c r="U338" s="16">
        <v>17000</v>
      </c>
      <c r="V338" s="16">
        <v>17000</v>
      </c>
      <c r="W338" s="16">
        <v>17000</v>
      </c>
      <c r="X338" s="16">
        <v>17000</v>
      </c>
      <c r="Y338" s="16">
        <v>17000</v>
      </c>
      <c r="Z338" s="16">
        <v>17000</v>
      </c>
      <c r="AA338" s="16">
        <v>17000</v>
      </c>
      <c r="AB338" s="6">
        <f t="shared" si="9"/>
        <v>1632000</v>
      </c>
      <c r="AC338" s="93"/>
      <c r="AF338" s="67">
        <v>49430</v>
      </c>
      <c r="AG338" s="68">
        <f>AC346</f>
        <v>12648000</v>
      </c>
    </row>
    <row r="339" spans="1:33" ht="18.75" thickBot="1" x14ac:dyDescent="0.3">
      <c r="A339" s="97"/>
      <c r="B339" s="12" t="s">
        <v>30</v>
      </c>
      <c r="C339" s="12">
        <v>20</v>
      </c>
      <c r="D339" s="16">
        <v>17000</v>
      </c>
      <c r="E339" s="16">
        <v>17000</v>
      </c>
      <c r="F339" s="16">
        <v>17000</v>
      </c>
      <c r="G339" s="16">
        <v>17000</v>
      </c>
      <c r="H339" s="16">
        <v>17000</v>
      </c>
      <c r="I339" s="16">
        <v>17000</v>
      </c>
      <c r="J339" s="16">
        <v>17000</v>
      </c>
      <c r="K339" s="16">
        <v>17000</v>
      </c>
      <c r="L339" s="16">
        <v>17000</v>
      </c>
      <c r="M339" s="16">
        <v>17000</v>
      </c>
      <c r="N339" s="16">
        <v>17000</v>
      </c>
      <c r="O339" s="16">
        <v>17000</v>
      </c>
      <c r="P339" s="16">
        <v>17000</v>
      </c>
      <c r="Q339" s="16">
        <v>17000</v>
      </c>
      <c r="R339" s="16">
        <v>17000</v>
      </c>
      <c r="S339" s="16">
        <v>17000</v>
      </c>
      <c r="T339" s="16">
        <v>17000</v>
      </c>
      <c r="U339" s="16">
        <v>17000</v>
      </c>
      <c r="V339" s="16">
        <v>17000</v>
      </c>
      <c r="W339" s="16">
        <v>17000</v>
      </c>
      <c r="X339" s="16">
        <v>17000</v>
      </c>
      <c r="Y339" s="16">
        <v>17000</v>
      </c>
      <c r="Z339" s="16">
        <v>17000</v>
      </c>
      <c r="AA339" s="16">
        <v>17000</v>
      </c>
      <c r="AB339" s="6">
        <f t="shared" si="9"/>
        <v>8160000</v>
      </c>
      <c r="AC339" s="94"/>
      <c r="AF339" s="67">
        <v>49461</v>
      </c>
      <c r="AG339" s="68">
        <f>AC349</f>
        <v>12240000</v>
      </c>
    </row>
    <row r="340" spans="1:33" ht="18.75" thickBot="1" x14ac:dyDescent="0.3">
      <c r="A340" s="95">
        <v>49369</v>
      </c>
      <c r="B340" s="9" t="s">
        <v>28</v>
      </c>
      <c r="C340" s="9">
        <v>5</v>
      </c>
      <c r="D340" s="16">
        <v>17000</v>
      </c>
      <c r="E340" s="16">
        <v>17000</v>
      </c>
      <c r="F340" s="16">
        <v>17000</v>
      </c>
      <c r="G340" s="16">
        <v>17000</v>
      </c>
      <c r="H340" s="16">
        <v>17000</v>
      </c>
      <c r="I340" s="16">
        <v>17000</v>
      </c>
      <c r="J340" s="16">
        <v>17000</v>
      </c>
      <c r="K340" s="16">
        <v>17000</v>
      </c>
      <c r="L340" s="16">
        <v>17000</v>
      </c>
      <c r="M340" s="16">
        <v>17000</v>
      </c>
      <c r="N340" s="16">
        <v>17000</v>
      </c>
      <c r="O340" s="16">
        <v>17000</v>
      </c>
      <c r="P340" s="16">
        <v>17000</v>
      </c>
      <c r="Q340" s="16">
        <v>17000</v>
      </c>
      <c r="R340" s="16">
        <v>17000</v>
      </c>
      <c r="S340" s="16">
        <v>17000</v>
      </c>
      <c r="T340" s="16">
        <v>17000</v>
      </c>
      <c r="U340" s="16">
        <v>17000</v>
      </c>
      <c r="V340" s="16">
        <v>17000</v>
      </c>
      <c r="W340" s="16">
        <v>17000</v>
      </c>
      <c r="X340" s="16">
        <v>17000</v>
      </c>
      <c r="Y340" s="16">
        <v>17000</v>
      </c>
      <c r="Z340" s="16">
        <v>17000</v>
      </c>
      <c r="AA340" s="16">
        <v>17000</v>
      </c>
      <c r="AB340" s="6">
        <f t="shared" si="9"/>
        <v>2040000</v>
      </c>
      <c r="AC340" s="92">
        <f>+AB340+AB341+AB342</f>
        <v>12648000</v>
      </c>
      <c r="AF340" s="67">
        <v>49491</v>
      </c>
      <c r="AG340" s="68">
        <f>AC352</f>
        <v>12648000</v>
      </c>
    </row>
    <row r="341" spans="1:33" ht="18.75" thickBot="1" x14ac:dyDescent="0.3">
      <c r="A341" s="96"/>
      <c r="B341" s="11" t="s">
        <v>29</v>
      </c>
      <c r="C341" s="11">
        <v>7</v>
      </c>
      <c r="D341" s="16">
        <v>17000</v>
      </c>
      <c r="E341" s="16">
        <v>17000</v>
      </c>
      <c r="F341" s="16">
        <v>17000</v>
      </c>
      <c r="G341" s="16">
        <v>17000</v>
      </c>
      <c r="H341" s="16">
        <v>17000</v>
      </c>
      <c r="I341" s="16">
        <v>17000</v>
      </c>
      <c r="J341" s="16">
        <v>17000</v>
      </c>
      <c r="K341" s="16">
        <v>17000</v>
      </c>
      <c r="L341" s="16">
        <v>17000</v>
      </c>
      <c r="M341" s="16">
        <v>17000</v>
      </c>
      <c r="N341" s="16">
        <v>17000</v>
      </c>
      <c r="O341" s="16">
        <v>17000</v>
      </c>
      <c r="P341" s="16">
        <v>17000</v>
      </c>
      <c r="Q341" s="16">
        <v>17000</v>
      </c>
      <c r="R341" s="16">
        <v>17000</v>
      </c>
      <c r="S341" s="16">
        <v>17000</v>
      </c>
      <c r="T341" s="16">
        <v>17000</v>
      </c>
      <c r="U341" s="16">
        <v>17000</v>
      </c>
      <c r="V341" s="16">
        <v>17000</v>
      </c>
      <c r="W341" s="16">
        <v>17000</v>
      </c>
      <c r="X341" s="16">
        <v>17000</v>
      </c>
      <c r="Y341" s="16">
        <v>17000</v>
      </c>
      <c r="Z341" s="16">
        <v>17000</v>
      </c>
      <c r="AA341" s="16">
        <v>17000</v>
      </c>
      <c r="AB341" s="6">
        <f t="shared" si="9"/>
        <v>2856000</v>
      </c>
      <c r="AC341" s="93"/>
      <c r="AF341" s="67">
        <v>49522</v>
      </c>
      <c r="AG341" s="68">
        <f>AC355</f>
        <v>12648000</v>
      </c>
    </row>
    <row r="342" spans="1:33" ht="18.75" thickBot="1" x14ac:dyDescent="0.3">
      <c r="A342" s="97"/>
      <c r="B342" s="12" t="s">
        <v>30</v>
      </c>
      <c r="C342" s="12">
        <v>19</v>
      </c>
      <c r="D342" s="16">
        <v>17000</v>
      </c>
      <c r="E342" s="16">
        <v>17000</v>
      </c>
      <c r="F342" s="16">
        <v>17000</v>
      </c>
      <c r="G342" s="16">
        <v>17000</v>
      </c>
      <c r="H342" s="16">
        <v>17000</v>
      </c>
      <c r="I342" s="16">
        <v>17000</v>
      </c>
      <c r="J342" s="16">
        <v>17000</v>
      </c>
      <c r="K342" s="16">
        <v>17000</v>
      </c>
      <c r="L342" s="16">
        <v>17000</v>
      </c>
      <c r="M342" s="16">
        <v>17000</v>
      </c>
      <c r="N342" s="16">
        <v>17000</v>
      </c>
      <c r="O342" s="16">
        <v>17000</v>
      </c>
      <c r="P342" s="16">
        <v>17000</v>
      </c>
      <c r="Q342" s="16">
        <v>17000</v>
      </c>
      <c r="R342" s="16">
        <v>17000</v>
      </c>
      <c r="S342" s="16">
        <v>17000</v>
      </c>
      <c r="T342" s="16">
        <v>17000</v>
      </c>
      <c r="U342" s="16">
        <v>17000</v>
      </c>
      <c r="V342" s="16">
        <v>17000</v>
      </c>
      <c r="W342" s="16">
        <v>17000</v>
      </c>
      <c r="X342" s="16">
        <v>17000</v>
      </c>
      <c r="Y342" s="16">
        <v>17000</v>
      </c>
      <c r="Z342" s="16">
        <v>17000</v>
      </c>
      <c r="AA342" s="16">
        <v>17000</v>
      </c>
      <c r="AB342" s="6">
        <f t="shared" si="9"/>
        <v>7752000</v>
      </c>
      <c r="AC342" s="94"/>
      <c r="AF342" s="67">
        <v>49553</v>
      </c>
      <c r="AG342" s="68">
        <f>AC358</f>
        <v>12240000</v>
      </c>
    </row>
    <row r="343" spans="1:33" ht="18.75" thickBot="1" x14ac:dyDescent="0.3">
      <c r="A343" s="95">
        <v>49400</v>
      </c>
      <c r="B343" s="9" t="s">
        <v>28</v>
      </c>
      <c r="C343" s="9">
        <v>4</v>
      </c>
      <c r="D343" s="16">
        <v>17000</v>
      </c>
      <c r="E343" s="16">
        <v>17000</v>
      </c>
      <c r="F343" s="16">
        <v>17000</v>
      </c>
      <c r="G343" s="16">
        <v>17000</v>
      </c>
      <c r="H343" s="16">
        <v>17000</v>
      </c>
      <c r="I343" s="16">
        <v>17000</v>
      </c>
      <c r="J343" s="16">
        <v>17000</v>
      </c>
      <c r="K343" s="16">
        <v>17000</v>
      </c>
      <c r="L343" s="16">
        <v>17000</v>
      </c>
      <c r="M343" s="16">
        <v>17000</v>
      </c>
      <c r="N343" s="16">
        <v>17000</v>
      </c>
      <c r="O343" s="16">
        <v>17000</v>
      </c>
      <c r="P343" s="16">
        <v>17000</v>
      </c>
      <c r="Q343" s="16">
        <v>17000</v>
      </c>
      <c r="R343" s="16">
        <v>17000</v>
      </c>
      <c r="S343" s="16">
        <v>17000</v>
      </c>
      <c r="T343" s="16">
        <v>17000</v>
      </c>
      <c r="U343" s="16">
        <v>17000</v>
      </c>
      <c r="V343" s="16">
        <v>17000</v>
      </c>
      <c r="W343" s="16">
        <v>17000</v>
      </c>
      <c r="X343" s="16">
        <v>17000</v>
      </c>
      <c r="Y343" s="16">
        <v>17000</v>
      </c>
      <c r="Z343" s="16">
        <v>17000</v>
      </c>
      <c r="AA343" s="16">
        <v>17000</v>
      </c>
      <c r="AB343" s="6">
        <f t="shared" si="9"/>
        <v>1632000</v>
      </c>
      <c r="AC343" s="92">
        <f>+AB343+AB344+AB345</f>
        <v>12240000</v>
      </c>
      <c r="AF343" s="67">
        <v>49583</v>
      </c>
      <c r="AG343" s="68">
        <f>AC361</f>
        <v>12648000</v>
      </c>
    </row>
    <row r="344" spans="1:33" ht="18.75" thickBot="1" x14ac:dyDescent="0.3">
      <c r="A344" s="96"/>
      <c r="B344" s="11" t="s">
        <v>29</v>
      </c>
      <c r="C344" s="11">
        <v>5</v>
      </c>
      <c r="D344" s="16">
        <v>17000</v>
      </c>
      <c r="E344" s="16">
        <v>17000</v>
      </c>
      <c r="F344" s="16">
        <v>17000</v>
      </c>
      <c r="G344" s="16">
        <v>17000</v>
      </c>
      <c r="H344" s="16">
        <v>17000</v>
      </c>
      <c r="I344" s="16">
        <v>17000</v>
      </c>
      <c r="J344" s="16">
        <v>17000</v>
      </c>
      <c r="K344" s="16">
        <v>17000</v>
      </c>
      <c r="L344" s="16">
        <v>17000</v>
      </c>
      <c r="M344" s="16">
        <v>17000</v>
      </c>
      <c r="N344" s="16">
        <v>17000</v>
      </c>
      <c r="O344" s="16">
        <v>17000</v>
      </c>
      <c r="P344" s="16">
        <v>17000</v>
      </c>
      <c r="Q344" s="16">
        <v>17000</v>
      </c>
      <c r="R344" s="16">
        <v>17000</v>
      </c>
      <c r="S344" s="16">
        <v>17000</v>
      </c>
      <c r="T344" s="16">
        <v>17000</v>
      </c>
      <c r="U344" s="16">
        <v>17000</v>
      </c>
      <c r="V344" s="16">
        <v>17000</v>
      </c>
      <c r="W344" s="16">
        <v>17000</v>
      </c>
      <c r="X344" s="16">
        <v>17000</v>
      </c>
      <c r="Y344" s="16">
        <v>17000</v>
      </c>
      <c r="Z344" s="16">
        <v>17000</v>
      </c>
      <c r="AA344" s="16">
        <v>17000</v>
      </c>
      <c r="AB344" s="6">
        <f t="shared" si="9"/>
        <v>2040000</v>
      </c>
      <c r="AC344" s="93"/>
      <c r="AF344" s="67">
        <v>49614</v>
      </c>
      <c r="AG344" s="68">
        <f>AC364</f>
        <v>12240000</v>
      </c>
    </row>
    <row r="345" spans="1:33" ht="18.75" thickBot="1" x14ac:dyDescent="0.3">
      <c r="A345" s="97"/>
      <c r="B345" s="12" t="s">
        <v>30</v>
      </c>
      <c r="C345" s="12">
        <v>21</v>
      </c>
      <c r="D345" s="16">
        <v>17000</v>
      </c>
      <c r="E345" s="16">
        <v>17000</v>
      </c>
      <c r="F345" s="16">
        <v>17000</v>
      </c>
      <c r="G345" s="16">
        <v>17000</v>
      </c>
      <c r="H345" s="16">
        <v>17000</v>
      </c>
      <c r="I345" s="16">
        <v>17000</v>
      </c>
      <c r="J345" s="16">
        <v>17000</v>
      </c>
      <c r="K345" s="16">
        <v>17000</v>
      </c>
      <c r="L345" s="16">
        <v>17000</v>
      </c>
      <c r="M345" s="16">
        <v>17000</v>
      </c>
      <c r="N345" s="16">
        <v>17000</v>
      </c>
      <c r="O345" s="16">
        <v>17000</v>
      </c>
      <c r="P345" s="16">
        <v>17000</v>
      </c>
      <c r="Q345" s="16">
        <v>17000</v>
      </c>
      <c r="R345" s="16">
        <v>17000</v>
      </c>
      <c r="S345" s="16">
        <v>17000</v>
      </c>
      <c r="T345" s="16">
        <v>17000</v>
      </c>
      <c r="U345" s="16">
        <v>17000</v>
      </c>
      <c r="V345" s="16">
        <v>17000</v>
      </c>
      <c r="W345" s="16">
        <v>17000</v>
      </c>
      <c r="X345" s="16">
        <v>17000</v>
      </c>
      <c r="Y345" s="16">
        <v>17000</v>
      </c>
      <c r="Z345" s="16">
        <v>17000</v>
      </c>
      <c r="AA345" s="16">
        <v>17000</v>
      </c>
      <c r="AB345" s="6">
        <f t="shared" si="9"/>
        <v>8568000</v>
      </c>
      <c r="AC345" s="94"/>
      <c r="AF345" s="67">
        <v>49644</v>
      </c>
      <c r="AG345" s="68">
        <f>AC367</f>
        <v>12648000</v>
      </c>
    </row>
    <row r="346" spans="1:33" ht="18.75" thickBot="1" x14ac:dyDescent="0.3">
      <c r="A346" s="95">
        <v>49430</v>
      </c>
      <c r="B346" s="9" t="s">
        <v>28</v>
      </c>
      <c r="C346" s="9">
        <v>4</v>
      </c>
      <c r="D346" s="16">
        <v>17000</v>
      </c>
      <c r="E346" s="16">
        <v>17000</v>
      </c>
      <c r="F346" s="16">
        <v>17000</v>
      </c>
      <c r="G346" s="16">
        <v>17000</v>
      </c>
      <c r="H346" s="16">
        <v>17000</v>
      </c>
      <c r="I346" s="16">
        <v>17000</v>
      </c>
      <c r="J346" s="16">
        <v>17000</v>
      </c>
      <c r="K346" s="16">
        <v>17000</v>
      </c>
      <c r="L346" s="16">
        <v>17000</v>
      </c>
      <c r="M346" s="16">
        <v>17000</v>
      </c>
      <c r="N346" s="16">
        <v>17000</v>
      </c>
      <c r="O346" s="16">
        <v>17000</v>
      </c>
      <c r="P346" s="16">
        <v>17000</v>
      </c>
      <c r="Q346" s="16">
        <v>17000</v>
      </c>
      <c r="R346" s="16">
        <v>17000</v>
      </c>
      <c r="S346" s="16">
        <v>17000</v>
      </c>
      <c r="T346" s="16">
        <v>17000</v>
      </c>
      <c r="U346" s="16">
        <v>17000</v>
      </c>
      <c r="V346" s="16">
        <v>17000</v>
      </c>
      <c r="W346" s="16">
        <v>17000</v>
      </c>
      <c r="X346" s="16">
        <v>17000</v>
      </c>
      <c r="Y346" s="16">
        <v>17000</v>
      </c>
      <c r="Z346" s="16">
        <v>17000</v>
      </c>
      <c r="AA346" s="16">
        <v>17000</v>
      </c>
      <c r="AB346" s="6">
        <f t="shared" si="9"/>
        <v>1632000</v>
      </c>
      <c r="AC346" s="92">
        <f>+AB346+AB347+AB348</f>
        <v>12648000</v>
      </c>
    </row>
    <row r="347" spans="1:33" ht="18.75" thickBot="1" x14ac:dyDescent="0.3">
      <c r="A347" s="96"/>
      <c r="B347" s="11" t="s">
        <v>29</v>
      </c>
      <c r="C347" s="11">
        <v>7</v>
      </c>
      <c r="D347" s="16">
        <v>17000</v>
      </c>
      <c r="E347" s="16">
        <v>17000</v>
      </c>
      <c r="F347" s="16">
        <v>17000</v>
      </c>
      <c r="G347" s="16">
        <v>17000</v>
      </c>
      <c r="H347" s="16">
        <v>17000</v>
      </c>
      <c r="I347" s="16">
        <v>17000</v>
      </c>
      <c r="J347" s="16">
        <v>17000</v>
      </c>
      <c r="K347" s="16">
        <v>17000</v>
      </c>
      <c r="L347" s="16">
        <v>17000</v>
      </c>
      <c r="M347" s="16">
        <v>17000</v>
      </c>
      <c r="N347" s="16">
        <v>17000</v>
      </c>
      <c r="O347" s="16">
        <v>17000</v>
      </c>
      <c r="P347" s="16">
        <v>17000</v>
      </c>
      <c r="Q347" s="16">
        <v>17000</v>
      </c>
      <c r="R347" s="16">
        <v>17000</v>
      </c>
      <c r="S347" s="16">
        <v>17000</v>
      </c>
      <c r="T347" s="16">
        <v>17000</v>
      </c>
      <c r="U347" s="16">
        <v>17000</v>
      </c>
      <c r="V347" s="16">
        <v>17000</v>
      </c>
      <c r="W347" s="16">
        <v>17000</v>
      </c>
      <c r="X347" s="16">
        <v>17000</v>
      </c>
      <c r="Y347" s="16">
        <v>17000</v>
      </c>
      <c r="Z347" s="16">
        <v>17000</v>
      </c>
      <c r="AA347" s="16">
        <v>17000</v>
      </c>
      <c r="AB347" s="6">
        <f t="shared" si="9"/>
        <v>2856000</v>
      </c>
      <c r="AC347" s="93"/>
    </row>
    <row r="348" spans="1:33" ht="18.75" thickBot="1" x14ac:dyDescent="0.3">
      <c r="A348" s="97"/>
      <c r="B348" s="12" t="s">
        <v>30</v>
      </c>
      <c r="C348" s="12">
        <v>20</v>
      </c>
      <c r="D348" s="16">
        <v>17000</v>
      </c>
      <c r="E348" s="16">
        <v>17000</v>
      </c>
      <c r="F348" s="16">
        <v>17000</v>
      </c>
      <c r="G348" s="16">
        <v>17000</v>
      </c>
      <c r="H348" s="16">
        <v>17000</v>
      </c>
      <c r="I348" s="16">
        <v>17000</v>
      </c>
      <c r="J348" s="16">
        <v>17000</v>
      </c>
      <c r="K348" s="16">
        <v>17000</v>
      </c>
      <c r="L348" s="16">
        <v>17000</v>
      </c>
      <c r="M348" s="16">
        <v>17000</v>
      </c>
      <c r="N348" s="16">
        <v>17000</v>
      </c>
      <c r="O348" s="16">
        <v>17000</v>
      </c>
      <c r="P348" s="16">
        <v>17000</v>
      </c>
      <c r="Q348" s="16">
        <v>17000</v>
      </c>
      <c r="R348" s="16">
        <v>17000</v>
      </c>
      <c r="S348" s="16">
        <v>17000</v>
      </c>
      <c r="T348" s="16">
        <v>17000</v>
      </c>
      <c r="U348" s="16">
        <v>17000</v>
      </c>
      <c r="V348" s="16">
        <v>17000</v>
      </c>
      <c r="W348" s="16">
        <v>17000</v>
      </c>
      <c r="X348" s="16">
        <v>17000</v>
      </c>
      <c r="Y348" s="16">
        <v>17000</v>
      </c>
      <c r="Z348" s="16">
        <v>17000</v>
      </c>
      <c r="AA348" s="16">
        <v>17000</v>
      </c>
      <c r="AB348" s="6">
        <f t="shared" si="9"/>
        <v>8160000</v>
      </c>
      <c r="AC348" s="94"/>
    </row>
    <row r="349" spans="1:33" ht="18.75" thickBot="1" x14ac:dyDescent="0.3">
      <c r="A349" s="95">
        <v>49461</v>
      </c>
      <c r="B349" s="9" t="s">
        <v>28</v>
      </c>
      <c r="C349" s="9">
        <v>5</v>
      </c>
      <c r="D349" s="16">
        <v>17000</v>
      </c>
      <c r="E349" s="16">
        <v>17000</v>
      </c>
      <c r="F349" s="16">
        <v>17000</v>
      </c>
      <c r="G349" s="16">
        <v>17000</v>
      </c>
      <c r="H349" s="16">
        <v>17000</v>
      </c>
      <c r="I349" s="16">
        <v>17000</v>
      </c>
      <c r="J349" s="16">
        <v>17000</v>
      </c>
      <c r="K349" s="16">
        <v>17000</v>
      </c>
      <c r="L349" s="16">
        <v>17000</v>
      </c>
      <c r="M349" s="16">
        <v>17000</v>
      </c>
      <c r="N349" s="16">
        <v>17000</v>
      </c>
      <c r="O349" s="16">
        <v>17000</v>
      </c>
      <c r="P349" s="16">
        <v>17000</v>
      </c>
      <c r="Q349" s="16">
        <v>17000</v>
      </c>
      <c r="R349" s="16">
        <v>17000</v>
      </c>
      <c r="S349" s="16">
        <v>17000</v>
      </c>
      <c r="T349" s="16">
        <v>17000</v>
      </c>
      <c r="U349" s="16">
        <v>17000</v>
      </c>
      <c r="V349" s="16">
        <v>17000</v>
      </c>
      <c r="W349" s="16">
        <v>17000</v>
      </c>
      <c r="X349" s="16">
        <v>17000</v>
      </c>
      <c r="Y349" s="16">
        <v>17000</v>
      </c>
      <c r="Z349" s="16">
        <v>17000</v>
      </c>
      <c r="AA349" s="16">
        <v>17000</v>
      </c>
      <c r="AB349" s="6">
        <f t="shared" si="9"/>
        <v>2040000</v>
      </c>
      <c r="AC349" s="92">
        <f>+AB349+AB350+AB351</f>
        <v>12240000</v>
      </c>
    </row>
    <row r="350" spans="1:33" ht="18.75" thickBot="1" x14ac:dyDescent="0.3">
      <c r="A350" s="96"/>
      <c r="B350" s="11" t="s">
        <v>29</v>
      </c>
      <c r="C350" s="11">
        <v>5</v>
      </c>
      <c r="D350" s="16">
        <v>17000</v>
      </c>
      <c r="E350" s="16">
        <v>17000</v>
      </c>
      <c r="F350" s="16">
        <v>17000</v>
      </c>
      <c r="G350" s="16">
        <v>17000</v>
      </c>
      <c r="H350" s="16">
        <v>17000</v>
      </c>
      <c r="I350" s="16">
        <v>17000</v>
      </c>
      <c r="J350" s="16">
        <v>17000</v>
      </c>
      <c r="K350" s="16">
        <v>17000</v>
      </c>
      <c r="L350" s="16">
        <v>17000</v>
      </c>
      <c r="M350" s="16">
        <v>17000</v>
      </c>
      <c r="N350" s="16">
        <v>17000</v>
      </c>
      <c r="O350" s="16">
        <v>17000</v>
      </c>
      <c r="P350" s="16">
        <v>17000</v>
      </c>
      <c r="Q350" s="16">
        <v>17000</v>
      </c>
      <c r="R350" s="16">
        <v>17000</v>
      </c>
      <c r="S350" s="16">
        <v>17000</v>
      </c>
      <c r="T350" s="16">
        <v>17000</v>
      </c>
      <c r="U350" s="16">
        <v>17000</v>
      </c>
      <c r="V350" s="16">
        <v>17000</v>
      </c>
      <c r="W350" s="16">
        <v>17000</v>
      </c>
      <c r="X350" s="16">
        <v>17000</v>
      </c>
      <c r="Y350" s="16">
        <v>17000</v>
      </c>
      <c r="Z350" s="16">
        <v>17000</v>
      </c>
      <c r="AA350" s="16">
        <v>17000</v>
      </c>
      <c r="AB350" s="6">
        <f t="shared" si="9"/>
        <v>2040000</v>
      </c>
      <c r="AC350" s="93"/>
    </row>
    <row r="351" spans="1:33" ht="18.75" thickBot="1" x14ac:dyDescent="0.3">
      <c r="A351" s="97"/>
      <c r="B351" s="12" t="s">
        <v>30</v>
      </c>
      <c r="C351" s="12">
        <v>20</v>
      </c>
      <c r="D351" s="16">
        <v>17000</v>
      </c>
      <c r="E351" s="16">
        <v>17000</v>
      </c>
      <c r="F351" s="16">
        <v>17000</v>
      </c>
      <c r="G351" s="16">
        <v>17000</v>
      </c>
      <c r="H351" s="16">
        <v>17000</v>
      </c>
      <c r="I351" s="16">
        <v>17000</v>
      </c>
      <c r="J351" s="16">
        <v>17000</v>
      </c>
      <c r="K351" s="16">
        <v>17000</v>
      </c>
      <c r="L351" s="16">
        <v>17000</v>
      </c>
      <c r="M351" s="16">
        <v>17000</v>
      </c>
      <c r="N351" s="16">
        <v>17000</v>
      </c>
      <c r="O351" s="16">
        <v>17000</v>
      </c>
      <c r="P351" s="16">
        <v>17000</v>
      </c>
      <c r="Q351" s="16">
        <v>17000</v>
      </c>
      <c r="R351" s="16">
        <v>17000</v>
      </c>
      <c r="S351" s="16">
        <v>17000</v>
      </c>
      <c r="T351" s="16">
        <v>17000</v>
      </c>
      <c r="U351" s="16">
        <v>17000</v>
      </c>
      <c r="V351" s="16">
        <v>17000</v>
      </c>
      <c r="W351" s="16">
        <v>17000</v>
      </c>
      <c r="X351" s="16">
        <v>17000</v>
      </c>
      <c r="Y351" s="16">
        <v>17000</v>
      </c>
      <c r="Z351" s="16">
        <v>17000</v>
      </c>
      <c r="AA351" s="16">
        <v>17000</v>
      </c>
      <c r="AB351" s="6">
        <f t="shared" si="9"/>
        <v>8160000</v>
      </c>
      <c r="AC351" s="94"/>
    </row>
    <row r="352" spans="1:33" ht="18.75" thickBot="1" x14ac:dyDescent="0.3">
      <c r="A352" s="95">
        <v>49491</v>
      </c>
      <c r="B352" s="9" t="s">
        <v>28</v>
      </c>
      <c r="C352" s="9">
        <v>4</v>
      </c>
      <c r="D352" s="16">
        <v>17000</v>
      </c>
      <c r="E352" s="16">
        <v>17000</v>
      </c>
      <c r="F352" s="16">
        <v>17000</v>
      </c>
      <c r="G352" s="16">
        <v>17000</v>
      </c>
      <c r="H352" s="16">
        <v>17000</v>
      </c>
      <c r="I352" s="16">
        <v>17000</v>
      </c>
      <c r="J352" s="16">
        <v>17000</v>
      </c>
      <c r="K352" s="16">
        <v>17000</v>
      </c>
      <c r="L352" s="16">
        <v>17000</v>
      </c>
      <c r="M352" s="16">
        <v>17000</v>
      </c>
      <c r="N352" s="16">
        <v>17000</v>
      </c>
      <c r="O352" s="16">
        <v>17000</v>
      </c>
      <c r="P352" s="16">
        <v>17000</v>
      </c>
      <c r="Q352" s="16">
        <v>17000</v>
      </c>
      <c r="R352" s="16">
        <v>17000</v>
      </c>
      <c r="S352" s="16">
        <v>17000</v>
      </c>
      <c r="T352" s="16">
        <v>17000</v>
      </c>
      <c r="U352" s="16">
        <v>17000</v>
      </c>
      <c r="V352" s="16">
        <v>17000</v>
      </c>
      <c r="W352" s="16">
        <v>17000</v>
      </c>
      <c r="X352" s="16">
        <v>17000</v>
      </c>
      <c r="Y352" s="16">
        <v>17000</v>
      </c>
      <c r="Z352" s="16">
        <v>17000</v>
      </c>
      <c r="AA352" s="16">
        <v>17000</v>
      </c>
      <c r="AB352" s="6">
        <f t="shared" si="9"/>
        <v>1632000</v>
      </c>
      <c r="AC352" s="92">
        <f>+AB352+AB353+AB354</f>
        <v>12648000</v>
      </c>
    </row>
    <row r="353" spans="1:29" ht="18.75" thickBot="1" x14ac:dyDescent="0.3">
      <c r="A353" s="96"/>
      <c r="B353" s="11" t="s">
        <v>29</v>
      </c>
      <c r="C353" s="11">
        <v>7</v>
      </c>
      <c r="D353" s="16">
        <v>17000</v>
      </c>
      <c r="E353" s="16">
        <v>17000</v>
      </c>
      <c r="F353" s="16">
        <v>17000</v>
      </c>
      <c r="G353" s="16">
        <v>17000</v>
      </c>
      <c r="H353" s="16">
        <v>17000</v>
      </c>
      <c r="I353" s="16">
        <v>17000</v>
      </c>
      <c r="J353" s="16">
        <v>17000</v>
      </c>
      <c r="K353" s="16">
        <v>17000</v>
      </c>
      <c r="L353" s="16">
        <v>17000</v>
      </c>
      <c r="M353" s="16">
        <v>17000</v>
      </c>
      <c r="N353" s="16">
        <v>17000</v>
      </c>
      <c r="O353" s="16">
        <v>17000</v>
      </c>
      <c r="P353" s="16">
        <v>17000</v>
      </c>
      <c r="Q353" s="16">
        <v>17000</v>
      </c>
      <c r="R353" s="16">
        <v>17000</v>
      </c>
      <c r="S353" s="16">
        <v>17000</v>
      </c>
      <c r="T353" s="16">
        <v>17000</v>
      </c>
      <c r="U353" s="16">
        <v>17000</v>
      </c>
      <c r="V353" s="16">
        <v>17000</v>
      </c>
      <c r="W353" s="16">
        <v>17000</v>
      </c>
      <c r="X353" s="16">
        <v>17000</v>
      </c>
      <c r="Y353" s="16">
        <v>17000</v>
      </c>
      <c r="Z353" s="16">
        <v>17000</v>
      </c>
      <c r="AA353" s="16">
        <v>17000</v>
      </c>
      <c r="AB353" s="6">
        <f t="shared" si="9"/>
        <v>2856000</v>
      </c>
      <c r="AC353" s="93"/>
    </row>
    <row r="354" spans="1:29" ht="18.75" thickBot="1" x14ac:dyDescent="0.3">
      <c r="A354" s="97"/>
      <c r="B354" s="12" t="s">
        <v>30</v>
      </c>
      <c r="C354" s="12">
        <v>20</v>
      </c>
      <c r="D354" s="16">
        <v>17000</v>
      </c>
      <c r="E354" s="16">
        <v>17000</v>
      </c>
      <c r="F354" s="16">
        <v>17000</v>
      </c>
      <c r="G354" s="16">
        <v>17000</v>
      </c>
      <c r="H354" s="16">
        <v>17000</v>
      </c>
      <c r="I354" s="16">
        <v>17000</v>
      </c>
      <c r="J354" s="16">
        <v>17000</v>
      </c>
      <c r="K354" s="16">
        <v>17000</v>
      </c>
      <c r="L354" s="16">
        <v>17000</v>
      </c>
      <c r="M354" s="16">
        <v>17000</v>
      </c>
      <c r="N354" s="16">
        <v>17000</v>
      </c>
      <c r="O354" s="16">
        <v>17000</v>
      </c>
      <c r="P354" s="16">
        <v>17000</v>
      </c>
      <c r="Q354" s="16">
        <v>17000</v>
      </c>
      <c r="R354" s="16">
        <v>17000</v>
      </c>
      <c r="S354" s="16">
        <v>17000</v>
      </c>
      <c r="T354" s="16">
        <v>17000</v>
      </c>
      <c r="U354" s="16">
        <v>17000</v>
      </c>
      <c r="V354" s="16">
        <v>17000</v>
      </c>
      <c r="W354" s="16">
        <v>17000</v>
      </c>
      <c r="X354" s="16">
        <v>17000</v>
      </c>
      <c r="Y354" s="16">
        <v>17000</v>
      </c>
      <c r="Z354" s="16">
        <v>17000</v>
      </c>
      <c r="AA354" s="16">
        <v>17000</v>
      </c>
      <c r="AB354" s="6">
        <f t="shared" si="9"/>
        <v>8160000</v>
      </c>
      <c r="AC354" s="94"/>
    </row>
    <row r="355" spans="1:29" ht="18.75" thickBot="1" x14ac:dyDescent="0.3">
      <c r="A355" s="95">
        <v>49522</v>
      </c>
      <c r="B355" s="9" t="s">
        <v>28</v>
      </c>
      <c r="C355" s="9">
        <v>4</v>
      </c>
      <c r="D355" s="16">
        <v>17000</v>
      </c>
      <c r="E355" s="16">
        <v>17000</v>
      </c>
      <c r="F355" s="16">
        <v>17000</v>
      </c>
      <c r="G355" s="16">
        <v>17000</v>
      </c>
      <c r="H355" s="16">
        <v>17000</v>
      </c>
      <c r="I355" s="16">
        <v>17000</v>
      </c>
      <c r="J355" s="16">
        <v>17000</v>
      </c>
      <c r="K355" s="16">
        <v>17000</v>
      </c>
      <c r="L355" s="16">
        <v>17000</v>
      </c>
      <c r="M355" s="16">
        <v>17000</v>
      </c>
      <c r="N355" s="16">
        <v>17000</v>
      </c>
      <c r="O355" s="16">
        <v>17000</v>
      </c>
      <c r="P355" s="16">
        <v>17000</v>
      </c>
      <c r="Q355" s="16">
        <v>17000</v>
      </c>
      <c r="R355" s="16">
        <v>17000</v>
      </c>
      <c r="S355" s="16">
        <v>17000</v>
      </c>
      <c r="T355" s="16">
        <v>17000</v>
      </c>
      <c r="U355" s="16">
        <v>17000</v>
      </c>
      <c r="V355" s="16">
        <v>17000</v>
      </c>
      <c r="W355" s="16">
        <v>17000</v>
      </c>
      <c r="X355" s="16">
        <v>17000</v>
      </c>
      <c r="Y355" s="16">
        <v>17000</v>
      </c>
      <c r="Z355" s="16">
        <v>17000</v>
      </c>
      <c r="AA355" s="16">
        <v>17000</v>
      </c>
      <c r="AB355" s="6">
        <f t="shared" si="9"/>
        <v>1632000</v>
      </c>
      <c r="AC355" s="92">
        <f>+AB355+AB356+AB357</f>
        <v>12648000</v>
      </c>
    </row>
    <row r="356" spans="1:29" ht="18.75" thickBot="1" x14ac:dyDescent="0.3">
      <c r="A356" s="96"/>
      <c r="B356" s="11" t="s">
        <v>29</v>
      </c>
      <c r="C356" s="11">
        <v>6</v>
      </c>
      <c r="D356" s="16">
        <v>17000</v>
      </c>
      <c r="E356" s="16">
        <v>17000</v>
      </c>
      <c r="F356" s="16">
        <v>17000</v>
      </c>
      <c r="G356" s="16">
        <v>17000</v>
      </c>
      <c r="H356" s="16">
        <v>17000</v>
      </c>
      <c r="I356" s="16">
        <v>17000</v>
      </c>
      <c r="J356" s="16">
        <v>17000</v>
      </c>
      <c r="K356" s="16">
        <v>17000</v>
      </c>
      <c r="L356" s="16">
        <v>17000</v>
      </c>
      <c r="M356" s="16">
        <v>17000</v>
      </c>
      <c r="N356" s="16">
        <v>17000</v>
      </c>
      <c r="O356" s="16">
        <v>17000</v>
      </c>
      <c r="P356" s="16">
        <v>17000</v>
      </c>
      <c r="Q356" s="16">
        <v>17000</v>
      </c>
      <c r="R356" s="16">
        <v>17000</v>
      </c>
      <c r="S356" s="16">
        <v>17000</v>
      </c>
      <c r="T356" s="16">
        <v>17000</v>
      </c>
      <c r="U356" s="16">
        <v>17000</v>
      </c>
      <c r="V356" s="16">
        <v>17000</v>
      </c>
      <c r="W356" s="16">
        <v>17000</v>
      </c>
      <c r="X356" s="16">
        <v>17000</v>
      </c>
      <c r="Y356" s="16">
        <v>17000</v>
      </c>
      <c r="Z356" s="16">
        <v>17000</v>
      </c>
      <c r="AA356" s="16">
        <v>17000</v>
      </c>
      <c r="AB356" s="6">
        <f t="shared" si="9"/>
        <v>2448000</v>
      </c>
      <c r="AC356" s="93"/>
    </row>
    <row r="357" spans="1:29" ht="18.75" thickBot="1" x14ac:dyDescent="0.3">
      <c r="A357" s="97"/>
      <c r="B357" s="12" t="s">
        <v>30</v>
      </c>
      <c r="C357" s="12">
        <v>21</v>
      </c>
      <c r="D357" s="16">
        <v>17000</v>
      </c>
      <c r="E357" s="16">
        <v>17000</v>
      </c>
      <c r="F357" s="16">
        <v>17000</v>
      </c>
      <c r="G357" s="16">
        <v>17000</v>
      </c>
      <c r="H357" s="16">
        <v>17000</v>
      </c>
      <c r="I357" s="16">
        <v>17000</v>
      </c>
      <c r="J357" s="16">
        <v>17000</v>
      </c>
      <c r="K357" s="16">
        <v>17000</v>
      </c>
      <c r="L357" s="16">
        <v>17000</v>
      </c>
      <c r="M357" s="16">
        <v>17000</v>
      </c>
      <c r="N357" s="16">
        <v>17000</v>
      </c>
      <c r="O357" s="16">
        <v>17000</v>
      </c>
      <c r="P357" s="16">
        <v>17000</v>
      </c>
      <c r="Q357" s="16">
        <v>17000</v>
      </c>
      <c r="R357" s="16">
        <v>17000</v>
      </c>
      <c r="S357" s="16">
        <v>17000</v>
      </c>
      <c r="T357" s="16">
        <v>17000</v>
      </c>
      <c r="U357" s="16">
        <v>17000</v>
      </c>
      <c r="V357" s="16">
        <v>17000</v>
      </c>
      <c r="W357" s="16">
        <v>17000</v>
      </c>
      <c r="X357" s="16">
        <v>17000</v>
      </c>
      <c r="Y357" s="16">
        <v>17000</v>
      </c>
      <c r="Z357" s="16">
        <v>17000</v>
      </c>
      <c r="AA357" s="16">
        <v>17000</v>
      </c>
      <c r="AB357" s="6">
        <f t="shared" si="9"/>
        <v>8568000</v>
      </c>
      <c r="AC357" s="94"/>
    </row>
    <row r="358" spans="1:29" ht="18.75" thickBot="1" x14ac:dyDescent="0.3">
      <c r="A358" s="95">
        <v>49553</v>
      </c>
      <c r="B358" s="9" t="s">
        <v>28</v>
      </c>
      <c r="C358" s="9">
        <v>5</v>
      </c>
      <c r="D358" s="16">
        <v>17000</v>
      </c>
      <c r="E358" s="16">
        <v>17000</v>
      </c>
      <c r="F358" s="16">
        <v>17000</v>
      </c>
      <c r="G358" s="16">
        <v>17000</v>
      </c>
      <c r="H358" s="16">
        <v>17000</v>
      </c>
      <c r="I358" s="16">
        <v>17000</v>
      </c>
      <c r="J358" s="16">
        <v>17000</v>
      </c>
      <c r="K358" s="16">
        <v>17000</v>
      </c>
      <c r="L358" s="16">
        <v>17000</v>
      </c>
      <c r="M358" s="16">
        <v>17000</v>
      </c>
      <c r="N358" s="16">
        <v>17000</v>
      </c>
      <c r="O358" s="16">
        <v>17000</v>
      </c>
      <c r="P358" s="16">
        <v>17000</v>
      </c>
      <c r="Q358" s="16">
        <v>17000</v>
      </c>
      <c r="R358" s="16">
        <v>17000</v>
      </c>
      <c r="S358" s="16">
        <v>17000</v>
      </c>
      <c r="T358" s="16">
        <v>17000</v>
      </c>
      <c r="U358" s="16">
        <v>17000</v>
      </c>
      <c r="V358" s="16">
        <v>17000</v>
      </c>
      <c r="W358" s="16">
        <v>17000</v>
      </c>
      <c r="X358" s="16">
        <v>17000</v>
      </c>
      <c r="Y358" s="16">
        <v>17000</v>
      </c>
      <c r="Z358" s="16">
        <v>17000</v>
      </c>
      <c r="AA358" s="16">
        <v>17000</v>
      </c>
      <c r="AB358" s="6">
        <f t="shared" si="9"/>
        <v>2040000</v>
      </c>
      <c r="AC358" s="92">
        <f>+AB358+AB359+AB360</f>
        <v>12240000</v>
      </c>
    </row>
    <row r="359" spans="1:29" ht="18.75" thickBot="1" x14ac:dyDescent="0.3">
      <c r="A359" s="96"/>
      <c r="B359" s="11" t="s">
        <v>29</v>
      </c>
      <c r="C359" s="11">
        <v>5</v>
      </c>
      <c r="D359" s="16">
        <v>17000</v>
      </c>
      <c r="E359" s="16">
        <v>17000</v>
      </c>
      <c r="F359" s="16">
        <v>17000</v>
      </c>
      <c r="G359" s="16">
        <v>17000</v>
      </c>
      <c r="H359" s="16">
        <v>17000</v>
      </c>
      <c r="I359" s="16">
        <v>17000</v>
      </c>
      <c r="J359" s="16">
        <v>17000</v>
      </c>
      <c r="K359" s="16">
        <v>17000</v>
      </c>
      <c r="L359" s="16">
        <v>17000</v>
      </c>
      <c r="M359" s="16">
        <v>17000</v>
      </c>
      <c r="N359" s="16">
        <v>17000</v>
      </c>
      <c r="O359" s="16">
        <v>17000</v>
      </c>
      <c r="P359" s="16">
        <v>17000</v>
      </c>
      <c r="Q359" s="16">
        <v>17000</v>
      </c>
      <c r="R359" s="16">
        <v>17000</v>
      </c>
      <c r="S359" s="16">
        <v>17000</v>
      </c>
      <c r="T359" s="16">
        <v>17000</v>
      </c>
      <c r="U359" s="16">
        <v>17000</v>
      </c>
      <c r="V359" s="16">
        <v>17000</v>
      </c>
      <c r="W359" s="16">
        <v>17000</v>
      </c>
      <c r="X359" s="16">
        <v>17000</v>
      </c>
      <c r="Y359" s="16">
        <v>17000</v>
      </c>
      <c r="Z359" s="16">
        <v>17000</v>
      </c>
      <c r="AA359" s="16">
        <v>17000</v>
      </c>
      <c r="AB359" s="6">
        <f t="shared" si="9"/>
        <v>2040000</v>
      </c>
      <c r="AC359" s="93"/>
    </row>
    <row r="360" spans="1:29" ht="18.75" thickBot="1" x14ac:dyDescent="0.3">
      <c r="A360" s="97"/>
      <c r="B360" s="12" t="s">
        <v>30</v>
      </c>
      <c r="C360" s="12">
        <v>20</v>
      </c>
      <c r="D360" s="16">
        <v>17000</v>
      </c>
      <c r="E360" s="16">
        <v>17000</v>
      </c>
      <c r="F360" s="16">
        <v>17000</v>
      </c>
      <c r="G360" s="16">
        <v>17000</v>
      </c>
      <c r="H360" s="16">
        <v>17000</v>
      </c>
      <c r="I360" s="16">
        <v>17000</v>
      </c>
      <c r="J360" s="16">
        <v>17000</v>
      </c>
      <c r="K360" s="16">
        <v>17000</v>
      </c>
      <c r="L360" s="16">
        <v>17000</v>
      </c>
      <c r="M360" s="16">
        <v>17000</v>
      </c>
      <c r="N360" s="16">
        <v>17000</v>
      </c>
      <c r="O360" s="16">
        <v>17000</v>
      </c>
      <c r="P360" s="16">
        <v>17000</v>
      </c>
      <c r="Q360" s="16">
        <v>17000</v>
      </c>
      <c r="R360" s="16">
        <v>17000</v>
      </c>
      <c r="S360" s="16">
        <v>17000</v>
      </c>
      <c r="T360" s="16">
        <v>17000</v>
      </c>
      <c r="U360" s="16">
        <v>17000</v>
      </c>
      <c r="V360" s="16">
        <v>17000</v>
      </c>
      <c r="W360" s="16">
        <v>17000</v>
      </c>
      <c r="X360" s="16">
        <v>17000</v>
      </c>
      <c r="Y360" s="16">
        <v>17000</v>
      </c>
      <c r="Z360" s="16">
        <v>17000</v>
      </c>
      <c r="AA360" s="16">
        <v>17000</v>
      </c>
      <c r="AB360" s="6">
        <f t="shared" si="9"/>
        <v>8160000</v>
      </c>
      <c r="AC360" s="94"/>
    </row>
    <row r="361" spans="1:29" ht="18.75" thickBot="1" x14ac:dyDescent="0.3">
      <c r="A361" s="95">
        <v>49583</v>
      </c>
      <c r="B361" s="9" t="s">
        <v>28</v>
      </c>
      <c r="C361" s="9">
        <v>4</v>
      </c>
      <c r="D361" s="16">
        <v>17000</v>
      </c>
      <c r="E361" s="16">
        <v>17000</v>
      </c>
      <c r="F361" s="16">
        <v>17000</v>
      </c>
      <c r="G361" s="16">
        <v>17000</v>
      </c>
      <c r="H361" s="16">
        <v>17000</v>
      </c>
      <c r="I361" s="16">
        <v>17000</v>
      </c>
      <c r="J361" s="16">
        <v>17000</v>
      </c>
      <c r="K361" s="16">
        <v>17000</v>
      </c>
      <c r="L361" s="16">
        <v>17000</v>
      </c>
      <c r="M361" s="16">
        <v>17000</v>
      </c>
      <c r="N361" s="16">
        <v>17000</v>
      </c>
      <c r="O361" s="16">
        <v>17000</v>
      </c>
      <c r="P361" s="16">
        <v>17000</v>
      </c>
      <c r="Q361" s="16">
        <v>17000</v>
      </c>
      <c r="R361" s="16">
        <v>17000</v>
      </c>
      <c r="S361" s="16">
        <v>17000</v>
      </c>
      <c r="T361" s="16">
        <v>17000</v>
      </c>
      <c r="U361" s="16">
        <v>17000</v>
      </c>
      <c r="V361" s="16">
        <v>17000</v>
      </c>
      <c r="W361" s="16">
        <v>17000</v>
      </c>
      <c r="X361" s="16">
        <v>17000</v>
      </c>
      <c r="Y361" s="16">
        <v>17000</v>
      </c>
      <c r="Z361" s="16">
        <v>17000</v>
      </c>
      <c r="AA361" s="16">
        <v>17000</v>
      </c>
      <c r="AB361" s="6">
        <f t="shared" si="9"/>
        <v>1632000</v>
      </c>
      <c r="AC361" s="92">
        <f>+AB361+AB362+AB363</f>
        <v>12648000</v>
      </c>
    </row>
    <row r="362" spans="1:29" ht="18.75" thickBot="1" x14ac:dyDescent="0.3">
      <c r="A362" s="96"/>
      <c r="B362" s="11" t="s">
        <v>29</v>
      </c>
      <c r="C362" s="11">
        <v>5</v>
      </c>
      <c r="D362" s="16">
        <v>17000</v>
      </c>
      <c r="E362" s="16">
        <v>17000</v>
      </c>
      <c r="F362" s="16">
        <v>17000</v>
      </c>
      <c r="G362" s="16">
        <v>17000</v>
      </c>
      <c r="H362" s="16">
        <v>17000</v>
      </c>
      <c r="I362" s="16">
        <v>17000</v>
      </c>
      <c r="J362" s="16">
        <v>17000</v>
      </c>
      <c r="K362" s="16">
        <v>17000</v>
      </c>
      <c r="L362" s="16">
        <v>17000</v>
      </c>
      <c r="M362" s="16">
        <v>17000</v>
      </c>
      <c r="N362" s="16">
        <v>17000</v>
      </c>
      <c r="O362" s="16">
        <v>17000</v>
      </c>
      <c r="P362" s="16">
        <v>17000</v>
      </c>
      <c r="Q362" s="16">
        <v>17000</v>
      </c>
      <c r="R362" s="16">
        <v>17000</v>
      </c>
      <c r="S362" s="16">
        <v>17000</v>
      </c>
      <c r="T362" s="16">
        <v>17000</v>
      </c>
      <c r="U362" s="16">
        <v>17000</v>
      </c>
      <c r="V362" s="16">
        <v>17000</v>
      </c>
      <c r="W362" s="16">
        <v>17000</v>
      </c>
      <c r="X362" s="16">
        <v>17000</v>
      </c>
      <c r="Y362" s="16">
        <v>17000</v>
      </c>
      <c r="Z362" s="16">
        <v>17000</v>
      </c>
      <c r="AA362" s="16">
        <v>17000</v>
      </c>
      <c r="AB362" s="6">
        <f t="shared" si="9"/>
        <v>2040000</v>
      </c>
      <c r="AC362" s="93"/>
    </row>
    <row r="363" spans="1:29" ht="18.75" thickBot="1" x14ac:dyDescent="0.3">
      <c r="A363" s="97"/>
      <c r="B363" s="12" t="s">
        <v>30</v>
      </c>
      <c r="C363" s="12">
        <v>22</v>
      </c>
      <c r="D363" s="16">
        <v>17000</v>
      </c>
      <c r="E363" s="16">
        <v>17000</v>
      </c>
      <c r="F363" s="16">
        <v>17000</v>
      </c>
      <c r="G363" s="16">
        <v>17000</v>
      </c>
      <c r="H363" s="16">
        <v>17000</v>
      </c>
      <c r="I363" s="16">
        <v>17000</v>
      </c>
      <c r="J363" s="16">
        <v>17000</v>
      </c>
      <c r="K363" s="16">
        <v>17000</v>
      </c>
      <c r="L363" s="16">
        <v>17000</v>
      </c>
      <c r="M363" s="16">
        <v>17000</v>
      </c>
      <c r="N363" s="16">
        <v>17000</v>
      </c>
      <c r="O363" s="16">
        <v>17000</v>
      </c>
      <c r="P363" s="16">
        <v>17000</v>
      </c>
      <c r="Q363" s="16">
        <v>17000</v>
      </c>
      <c r="R363" s="16">
        <v>17000</v>
      </c>
      <c r="S363" s="16">
        <v>17000</v>
      </c>
      <c r="T363" s="16">
        <v>17000</v>
      </c>
      <c r="U363" s="16">
        <v>17000</v>
      </c>
      <c r="V363" s="16">
        <v>17000</v>
      </c>
      <c r="W363" s="16">
        <v>17000</v>
      </c>
      <c r="X363" s="16">
        <v>17000</v>
      </c>
      <c r="Y363" s="16">
        <v>17000</v>
      </c>
      <c r="Z363" s="16">
        <v>17000</v>
      </c>
      <c r="AA363" s="16">
        <v>17000</v>
      </c>
      <c r="AB363" s="6">
        <f t="shared" si="9"/>
        <v>8976000</v>
      </c>
      <c r="AC363" s="94"/>
    </row>
    <row r="364" spans="1:29" ht="18.75" thickBot="1" x14ac:dyDescent="0.3">
      <c r="A364" s="95">
        <v>49614</v>
      </c>
      <c r="B364" s="9" t="s">
        <v>28</v>
      </c>
      <c r="C364" s="9">
        <v>4</v>
      </c>
      <c r="D364" s="16">
        <v>17000</v>
      </c>
      <c r="E364" s="16">
        <v>17000</v>
      </c>
      <c r="F364" s="16">
        <v>17000</v>
      </c>
      <c r="G364" s="16">
        <v>17000</v>
      </c>
      <c r="H364" s="16">
        <v>17000</v>
      </c>
      <c r="I364" s="16">
        <v>17000</v>
      </c>
      <c r="J364" s="16">
        <v>17000</v>
      </c>
      <c r="K364" s="16">
        <v>17000</v>
      </c>
      <c r="L364" s="16">
        <v>17000</v>
      </c>
      <c r="M364" s="16">
        <v>17000</v>
      </c>
      <c r="N364" s="16">
        <v>17000</v>
      </c>
      <c r="O364" s="16">
        <v>17000</v>
      </c>
      <c r="P364" s="16">
        <v>17000</v>
      </c>
      <c r="Q364" s="16">
        <v>17000</v>
      </c>
      <c r="R364" s="16">
        <v>17000</v>
      </c>
      <c r="S364" s="16">
        <v>17000</v>
      </c>
      <c r="T364" s="16">
        <v>17000</v>
      </c>
      <c r="U364" s="16">
        <v>17000</v>
      </c>
      <c r="V364" s="16">
        <v>17000</v>
      </c>
      <c r="W364" s="16">
        <v>17000</v>
      </c>
      <c r="X364" s="16">
        <v>17000</v>
      </c>
      <c r="Y364" s="16">
        <v>17000</v>
      </c>
      <c r="Z364" s="16">
        <v>17000</v>
      </c>
      <c r="AA364" s="16">
        <v>17000</v>
      </c>
      <c r="AB364" s="6">
        <f t="shared" si="9"/>
        <v>1632000</v>
      </c>
      <c r="AC364" s="92">
        <f>+AB364+AB365+AB366</f>
        <v>12240000</v>
      </c>
    </row>
    <row r="365" spans="1:29" ht="18.75" thickBot="1" x14ac:dyDescent="0.3">
      <c r="A365" s="96"/>
      <c r="B365" s="11" t="s">
        <v>29</v>
      </c>
      <c r="C365" s="11">
        <v>6</v>
      </c>
      <c r="D365" s="16">
        <v>17000</v>
      </c>
      <c r="E365" s="16">
        <v>17000</v>
      </c>
      <c r="F365" s="16">
        <v>17000</v>
      </c>
      <c r="G365" s="16">
        <v>17000</v>
      </c>
      <c r="H365" s="16">
        <v>17000</v>
      </c>
      <c r="I365" s="16">
        <v>17000</v>
      </c>
      <c r="J365" s="16">
        <v>17000</v>
      </c>
      <c r="K365" s="16">
        <v>17000</v>
      </c>
      <c r="L365" s="16">
        <v>17000</v>
      </c>
      <c r="M365" s="16">
        <v>17000</v>
      </c>
      <c r="N365" s="16">
        <v>17000</v>
      </c>
      <c r="O365" s="16">
        <v>17000</v>
      </c>
      <c r="P365" s="16">
        <v>17000</v>
      </c>
      <c r="Q365" s="16">
        <v>17000</v>
      </c>
      <c r="R365" s="16">
        <v>17000</v>
      </c>
      <c r="S365" s="16">
        <v>17000</v>
      </c>
      <c r="T365" s="16">
        <v>17000</v>
      </c>
      <c r="U365" s="16">
        <v>17000</v>
      </c>
      <c r="V365" s="16">
        <v>17000</v>
      </c>
      <c r="W365" s="16">
        <v>17000</v>
      </c>
      <c r="X365" s="16">
        <v>17000</v>
      </c>
      <c r="Y365" s="16">
        <v>17000</v>
      </c>
      <c r="Z365" s="16">
        <v>17000</v>
      </c>
      <c r="AA365" s="16">
        <v>17000</v>
      </c>
      <c r="AB365" s="6">
        <f t="shared" si="9"/>
        <v>2448000</v>
      </c>
      <c r="AC365" s="93"/>
    </row>
    <row r="366" spans="1:29" ht="18.75" thickBot="1" x14ac:dyDescent="0.3">
      <c r="A366" s="97"/>
      <c r="B366" s="12" t="s">
        <v>30</v>
      </c>
      <c r="C366" s="12">
        <v>20</v>
      </c>
      <c r="D366" s="16">
        <v>17000</v>
      </c>
      <c r="E366" s="16">
        <v>17000</v>
      </c>
      <c r="F366" s="16">
        <v>17000</v>
      </c>
      <c r="G366" s="16">
        <v>17000</v>
      </c>
      <c r="H366" s="16">
        <v>17000</v>
      </c>
      <c r="I366" s="16">
        <v>17000</v>
      </c>
      <c r="J366" s="16">
        <v>17000</v>
      </c>
      <c r="K366" s="16">
        <v>17000</v>
      </c>
      <c r="L366" s="16">
        <v>17000</v>
      </c>
      <c r="M366" s="16">
        <v>17000</v>
      </c>
      <c r="N366" s="16">
        <v>17000</v>
      </c>
      <c r="O366" s="16">
        <v>17000</v>
      </c>
      <c r="P366" s="16">
        <v>17000</v>
      </c>
      <c r="Q366" s="16">
        <v>17000</v>
      </c>
      <c r="R366" s="16">
        <v>17000</v>
      </c>
      <c r="S366" s="16">
        <v>17000</v>
      </c>
      <c r="T366" s="16">
        <v>17000</v>
      </c>
      <c r="U366" s="16">
        <v>17000</v>
      </c>
      <c r="V366" s="16">
        <v>17000</v>
      </c>
      <c r="W366" s="16">
        <v>17000</v>
      </c>
      <c r="X366" s="16">
        <v>17000</v>
      </c>
      <c r="Y366" s="16">
        <v>17000</v>
      </c>
      <c r="Z366" s="16">
        <v>17000</v>
      </c>
      <c r="AA366" s="16">
        <v>17000</v>
      </c>
      <c r="AB366" s="6">
        <f t="shared" si="9"/>
        <v>8160000</v>
      </c>
      <c r="AC366" s="94"/>
    </row>
    <row r="367" spans="1:29" ht="18.75" thickBot="1" x14ac:dyDescent="0.3">
      <c r="A367" s="95">
        <v>49644</v>
      </c>
      <c r="B367" s="9" t="s">
        <v>28</v>
      </c>
      <c r="C367" s="9">
        <v>4</v>
      </c>
      <c r="D367" s="16">
        <v>17000</v>
      </c>
      <c r="E367" s="16">
        <v>17000</v>
      </c>
      <c r="F367" s="16">
        <v>17000</v>
      </c>
      <c r="G367" s="16">
        <v>17000</v>
      </c>
      <c r="H367" s="16">
        <v>17000</v>
      </c>
      <c r="I367" s="16">
        <v>17000</v>
      </c>
      <c r="J367" s="16">
        <v>17000</v>
      </c>
      <c r="K367" s="16">
        <v>17000</v>
      </c>
      <c r="L367" s="16">
        <v>17000</v>
      </c>
      <c r="M367" s="16">
        <v>17000</v>
      </c>
      <c r="N367" s="16">
        <v>17000</v>
      </c>
      <c r="O367" s="16">
        <v>17000</v>
      </c>
      <c r="P367" s="16">
        <v>17000</v>
      </c>
      <c r="Q367" s="16">
        <v>17000</v>
      </c>
      <c r="R367" s="16">
        <v>17000</v>
      </c>
      <c r="S367" s="16">
        <v>17000</v>
      </c>
      <c r="T367" s="16">
        <v>17000</v>
      </c>
      <c r="U367" s="16">
        <v>17000</v>
      </c>
      <c r="V367" s="16">
        <v>17000</v>
      </c>
      <c r="W367" s="16">
        <v>17000</v>
      </c>
      <c r="X367" s="16">
        <v>17000</v>
      </c>
      <c r="Y367" s="16">
        <v>17000</v>
      </c>
      <c r="Z367" s="16">
        <v>17000</v>
      </c>
      <c r="AA367" s="16">
        <v>17000</v>
      </c>
      <c r="AB367" s="6">
        <f t="shared" si="9"/>
        <v>1632000</v>
      </c>
      <c r="AC367" s="92">
        <f>+AB367+AB368+AB369</f>
        <v>12648000</v>
      </c>
    </row>
    <row r="368" spans="1:29" ht="18.75" thickBot="1" x14ac:dyDescent="0.3">
      <c r="A368" s="96"/>
      <c r="B368" s="11" t="s">
        <v>29</v>
      </c>
      <c r="C368" s="11">
        <v>7</v>
      </c>
      <c r="D368" s="16">
        <v>17000</v>
      </c>
      <c r="E368" s="16">
        <v>17000</v>
      </c>
      <c r="F368" s="16">
        <v>17000</v>
      </c>
      <c r="G368" s="16">
        <v>17000</v>
      </c>
      <c r="H368" s="16">
        <v>17000</v>
      </c>
      <c r="I368" s="16">
        <v>17000</v>
      </c>
      <c r="J368" s="16">
        <v>17000</v>
      </c>
      <c r="K368" s="16">
        <v>17000</v>
      </c>
      <c r="L368" s="16">
        <v>17000</v>
      </c>
      <c r="M368" s="16">
        <v>17000</v>
      </c>
      <c r="N368" s="16">
        <v>17000</v>
      </c>
      <c r="O368" s="16">
        <v>17000</v>
      </c>
      <c r="P368" s="16">
        <v>17000</v>
      </c>
      <c r="Q368" s="16">
        <v>17000</v>
      </c>
      <c r="R368" s="16">
        <v>17000</v>
      </c>
      <c r="S368" s="16">
        <v>17000</v>
      </c>
      <c r="T368" s="16">
        <v>17000</v>
      </c>
      <c r="U368" s="16">
        <v>17000</v>
      </c>
      <c r="V368" s="16">
        <v>17000</v>
      </c>
      <c r="W368" s="16">
        <v>17000</v>
      </c>
      <c r="X368" s="16">
        <v>17000</v>
      </c>
      <c r="Y368" s="16">
        <v>17000</v>
      </c>
      <c r="Z368" s="16">
        <v>17000</v>
      </c>
      <c r="AA368" s="16">
        <v>17000</v>
      </c>
      <c r="AB368" s="6">
        <f t="shared" si="9"/>
        <v>2856000</v>
      </c>
      <c r="AC368" s="93"/>
    </row>
    <row r="369" spans="1:33" ht="18.75" thickBot="1" x14ac:dyDescent="0.3">
      <c r="A369" s="97"/>
      <c r="B369" s="12" t="s">
        <v>30</v>
      </c>
      <c r="C369" s="12">
        <v>20</v>
      </c>
      <c r="D369" s="16">
        <v>17000</v>
      </c>
      <c r="E369" s="16">
        <v>17000</v>
      </c>
      <c r="F369" s="16">
        <v>17000</v>
      </c>
      <c r="G369" s="16">
        <v>17000</v>
      </c>
      <c r="H369" s="16">
        <v>17000</v>
      </c>
      <c r="I369" s="16">
        <v>17000</v>
      </c>
      <c r="J369" s="16">
        <v>17000</v>
      </c>
      <c r="K369" s="16">
        <v>17000</v>
      </c>
      <c r="L369" s="16">
        <v>17000</v>
      </c>
      <c r="M369" s="16">
        <v>17000</v>
      </c>
      <c r="N369" s="16">
        <v>17000</v>
      </c>
      <c r="O369" s="16">
        <v>17000</v>
      </c>
      <c r="P369" s="16">
        <v>17000</v>
      </c>
      <c r="Q369" s="16">
        <v>17000</v>
      </c>
      <c r="R369" s="16">
        <v>17000</v>
      </c>
      <c r="S369" s="16">
        <v>17000</v>
      </c>
      <c r="T369" s="16">
        <v>17000</v>
      </c>
      <c r="U369" s="16">
        <v>17000</v>
      </c>
      <c r="V369" s="16">
        <v>17000</v>
      </c>
      <c r="W369" s="16">
        <v>17000</v>
      </c>
      <c r="X369" s="16">
        <v>17000</v>
      </c>
      <c r="Y369" s="16">
        <v>17000</v>
      </c>
      <c r="Z369" s="16">
        <v>17000</v>
      </c>
      <c r="AA369" s="16">
        <v>17000</v>
      </c>
      <c r="AB369" s="6">
        <f t="shared" si="9"/>
        <v>8160000</v>
      </c>
      <c r="AC369" s="94"/>
    </row>
    <row r="371" spans="1:33" ht="15.75" thickBot="1" x14ac:dyDescent="0.3"/>
    <row r="372" spans="1:33" ht="18.75" thickBot="1" x14ac:dyDescent="0.3">
      <c r="A372" s="1" t="s">
        <v>0</v>
      </c>
      <c r="B372" s="2" t="s">
        <v>1</v>
      </c>
      <c r="C372" s="2" t="s">
        <v>2</v>
      </c>
      <c r="D372" s="27" t="s">
        <v>3</v>
      </c>
      <c r="E372" s="5" t="s">
        <v>4</v>
      </c>
      <c r="F372" s="5" t="s">
        <v>5</v>
      </c>
      <c r="G372" s="5" t="s">
        <v>6</v>
      </c>
      <c r="H372" s="5" t="s">
        <v>7</v>
      </c>
      <c r="I372" s="5" t="s">
        <v>8</v>
      </c>
      <c r="J372" s="5" t="s">
        <v>9</v>
      </c>
      <c r="K372" s="5" t="s">
        <v>10</v>
      </c>
      <c r="L372" s="5" t="s">
        <v>11</v>
      </c>
      <c r="M372" s="5" t="s">
        <v>12</v>
      </c>
      <c r="N372" s="5" t="s">
        <v>13</v>
      </c>
      <c r="O372" s="5" t="s">
        <v>14</v>
      </c>
      <c r="P372" s="5" t="s">
        <v>15</v>
      </c>
      <c r="Q372" s="5" t="s">
        <v>16</v>
      </c>
      <c r="R372" s="5" t="s">
        <v>17</v>
      </c>
      <c r="S372" s="5" t="s">
        <v>18</v>
      </c>
      <c r="T372" s="5" t="s">
        <v>19</v>
      </c>
      <c r="U372" s="5" t="s">
        <v>20</v>
      </c>
      <c r="V372" s="5" t="s">
        <v>21</v>
      </c>
      <c r="W372" s="5" t="s">
        <v>22</v>
      </c>
      <c r="X372" s="5" t="s">
        <v>23</v>
      </c>
      <c r="Y372" s="5" t="s">
        <v>24</v>
      </c>
      <c r="Z372" s="5" t="s">
        <v>25</v>
      </c>
      <c r="AA372" s="5" t="s">
        <v>26</v>
      </c>
      <c r="AB372" s="109" t="s">
        <v>27</v>
      </c>
      <c r="AC372" s="110"/>
    </row>
    <row r="373" spans="1:33" ht="18.75" thickBot="1" x14ac:dyDescent="0.3">
      <c r="A373" s="95">
        <v>49675</v>
      </c>
      <c r="B373" s="9" t="s">
        <v>28</v>
      </c>
      <c r="C373" s="9">
        <v>4</v>
      </c>
      <c r="D373" s="16">
        <v>17000</v>
      </c>
      <c r="E373" s="16">
        <v>17000</v>
      </c>
      <c r="F373" s="16">
        <v>17000</v>
      </c>
      <c r="G373" s="16">
        <v>17000</v>
      </c>
      <c r="H373" s="16">
        <v>17000</v>
      </c>
      <c r="I373" s="16">
        <v>17000</v>
      </c>
      <c r="J373" s="16">
        <v>17000</v>
      </c>
      <c r="K373" s="16">
        <v>17000</v>
      </c>
      <c r="L373" s="16">
        <v>17000</v>
      </c>
      <c r="M373" s="16">
        <v>17000</v>
      </c>
      <c r="N373" s="16">
        <v>17000</v>
      </c>
      <c r="O373" s="16">
        <v>17000</v>
      </c>
      <c r="P373" s="16">
        <v>17000</v>
      </c>
      <c r="Q373" s="16">
        <v>17000</v>
      </c>
      <c r="R373" s="16">
        <v>17000</v>
      </c>
      <c r="S373" s="16">
        <v>17000</v>
      </c>
      <c r="T373" s="16">
        <v>17000</v>
      </c>
      <c r="U373" s="16">
        <v>17000</v>
      </c>
      <c r="V373" s="16">
        <v>17000</v>
      </c>
      <c r="W373" s="16">
        <v>17000</v>
      </c>
      <c r="X373" s="16">
        <v>17000</v>
      </c>
      <c r="Y373" s="16">
        <v>17000</v>
      </c>
      <c r="Z373" s="16">
        <v>17000</v>
      </c>
      <c r="AA373" s="16">
        <v>17000</v>
      </c>
      <c r="AB373" s="6">
        <f t="shared" ref="AB373:AB387" si="10">SUM(D373:AA373)*C373</f>
        <v>1632000</v>
      </c>
      <c r="AC373" s="92">
        <f>+AB373+AB374+AB375</f>
        <v>12648000</v>
      </c>
      <c r="AF373" s="67">
        <v>49675</v>
      </c>
      <c r="AG373" s="68">
        <f>AB373+AB374+AB375</f>
        <v>12648000</v>
      </c>
    </row>
    <row r="374" spans="1:33" ht="18.75" thickBot="1" x14ac:dyDescent="0.3">
      <c r="A374" s="96"/>
      <c r="B374" s="11" t="s">
        <v>29</v>
      </c>
      <c r="C374" s="11">
        <v>6</v>
      </c>
      <c r="D374" s="16">
        <v>17000</v>
      </c>
      <c r="E374" s="16">
        <v>17000</v>
      </c>
      <c r="F374" s="16">
        <v>17000</v>
      </c>
      <c r="G374" s="16">
        <v>17000</v>
      </c>
      <c r="H374" s="16">
        <v>17000</v>
      </c>
      <c r="I374" s="16">
        <v>17000</v>
      </c>
      <c r="J374" s="16">
        <v>17000</v>
      </c>
      <c r="K374" s="16">
        <v>17000</v>
      </c>
      <c r="L374" s="16">
        <v>17000</v>
      </c>
      <c r="M374" s="16">
        <v>17000</v>
      </c>
      <c r="N374" s="16">
        <v>17000</v>
      </c>
      <c r="O374" s="16">
        <v>17000</v>
      </c>
      <c r="P374" s="16">
        <v>17000</v>
      </c>
      <c r="Q374" s="16">
        <v>17000</v>
      </c>
      <c r="R374" s="16">
        <v>17000</v>
      </c>
      <c r="S374" s="16">
        <v>17000</v>
      </c>
      <c r="T374" s="16">
        <v>17000</v>
      </c>
      <c r="U374" s="16">
        <v>17000</v>
      </c>
      <c r="V374" s="16">
        <v>17000</v>
      </c>
      <c r="W374" s="16">
        <v>17000</v>
      </c>
      <c r="X374" s="16">
        <v>17000</v>
      </c>
      <c r="Y374" s="16">
        <v>17000</v>
      </c>
      <c r="Z374" s="16">
        <v>17000</v>
      </c>
      <c r="AA374" s="16">
        <v>17000</v>
      </c>
      <c r="AB374" s="6">
        <f t="shared" si="10"/>
        <v>2448000</v>
      </c>
      <c r="AC374" s="93"/>
      <c r="AF374" s="67">
        <v>49706</v>
      </c>
      <c r="AG374" s="68">
        <f>AC376</f>
        <v>11832000</v>
      </c>
    </row>
    <row r="375" spans="1:33" ht="18.75" thickBot="1" x14ac:dyDescent="0.3">
      <c r="A375" s="97"/>
      <c r="B375" s="12" t="s">
        <v>30</v>
      </c>
      <c r="C375" s="12">
        <v>21</v>
      </c>
      <c r="D375" s="16">
        <v>17000</v>
      </c>
      <c r="E375" s="16">
        <v>17000</v>
      </c>
      <c r="F375" s="16">
        <v>17000</v>
      </c>
      <c r="G375" s="16">
        <v>17000</v>
      </c>
      <c r="H375" s="16">
        <v>17000</v>
      </c>
      <c r="I375" s="16">
        <v>17000</v>
      </c>
      <c r="J375" s="16">
        <v>17000</v>
      </c>
      <c r="K375" s="16">
        <v>17000</v>
      </c>
      <c r="L375" s="16">
        <v>17000</v>
      </c>
      <c r="M375" s="16">
        <v>17000</v>
      </c>
      <c r="N375" s="16">
        <v>17000</v>
      </c>
      <c r="O375" s="16">
        <v>17000</v>
      </c>
      <c r="P375" s="16">
        <v>17000</v>
      </c>
      <c r="Q375" s="16">
        <v>17000</v>
      </c>
      <c r="R375" s="16">
        <v>17000</v>
      </c>
      <c r="S375" s="16">
        <v>17000</v>
      </c>
      <c r="T375" s="16">
        <v>17000</v>
      </c>
      <c r="U375" s="16">
        <v>17000</v>
      </c>
      <c r="V375" s="16">
        <v>17000</v>
      </c>
      <c r="W375" s="16">
        <v>17000</v>
      </c>
      <c r="X375" s="16">
        <v>17000</v>
      </c>
      <c r="Y375" s="16">
        <v>17000</v>
      </c>
      <c r="Z375" s="16">
        <v>17000</v>
      </c>
      <c r="AA375" s="16">
        <v>17000</v>
      </c>
      <c r="AB375" s="6">
        <f t="shared" si="10"/>
        <v>8568000</v>
      </c>
      <c r="AC375" s="94"/>
      <c r="AF375" s="67">
        <v>49735</v>
      </c>
      <c r="AG375" s="68">
        <f>AC379</f>
        <v>12648000</v>
      </c>
    </row>
    <row r="376" spans="1:33" ht="18.75" thickBot="1" x14ac:dyDescent="0.3">
      <c r="A376" s="95">
        <v>49706</v>
      </c>
      <c r="B376" s="9" t="s">
        <v>28</v>
      </c>
      <c r="C376" s="9">
        <v>4</v>
      </c>
      <c r="D376" s="16">
        <v>17000</v>
      </c>
      <c r="E376" s="16">
        <v>17000</v>
      </c>
      <c r="F376" s="16">
        <v>17000</v>
      </c>
      <c r="G376" s="16">
        <v>17000</v>
      </c>
      <c r="H376" s="16">
        <v>17000</v>
      </c>
      <c r="I376" s="16">
        <v>17000</v>
      </c>
      <c r="J376" s="16">
        <v>17000</v>
      </c>
      <c r="K376" s="16">
        <v>17000</v>
      </c>
      <c r="L376" s="16">
        <v>17000</v>
      </c>
      <c r="M376" s="16">
        <v>17000</v>
      </c>
      <c r="N376" s="16">
        <v>17000</v>
      </c>
      <c r="O376" s="16">
        <v>17000</v>
      </c>
      <c r="P376" s="16">
        <v>17000</v>
      </c>
      <c r="Q376" s="16">
        <v>17000</v>
      </c>
      <c r="R376" s="16">
        <v>17000</v>
      </c>
      <c r="S376" s="16">
        <v>17000</v>
      </c>
      <c r="T376" s="16">
        <v>17000</v>
      </c>
      <c r="U376" s="16">
        <v>17000</v>
      </c>
      <c r="V376" s="16">
        <v>17000</v>
      </c>
      <c r="W376" s="16">
        <v>17000</v>
      </c>
      <c r="X376" s="16">
        <v>17000</v>
      </c>
      <c r="Y376" s="16">
        <v>17000</v>
      </c>
      <c r="Z376" s="16">
        <v>17000</v>
      </c>
      <c r="AA376" s="16">
        <v>17000</v>
      </c>
      <c r="AB376" s="6">
        <f t="shared" si="10"/>
        <v>1632000</v>
      </c>
      <c r="AC376" s="92">
        <f>+AB376+AB377+AB378</f>
        <v>11832000</v>
      </c>
      <c r="AF376" s="67">
        <v>49766</v>
      </c>
      <c r="AG376" s="68">
        <f>AC382</f>
        <v>12240000</v>
      </c>
    </row>
    <row r="377" spans="1:33" ht="18.75" thickBot="1" x14ac:dyDescent="0.3">
      <c r="A377" s="96"/>
      <c r="B377" s="11" t="s">
        <v>29</v>
      </c>
      <c r="C377" s="11">
        <v>4</v>
      </c>
      <c r="D377" s="16">
        <v>17000</v>
      </c>
      <c r="E377" s="16">
        <v>17000</v>
      </c>
      <c r="F377" s="16">
        <v>17000</v>
      </c>
      <c r="G377" s="16">
        <v>17000</v>
      </c>
      <c r="H377" s="16">
        <v>17000</v>
      </c>
      <c r="I377" s="16">
        <v>17000</v>
      </c>
      <c r="J377" s="16">
        <v>17000</v>
      </c>
      <c r="K377" s="16">
        <v>17000</v>
      </c>
      <c r="L377" s="16">
        <v>17000</v>
      </c>
      <c r="M377" s="16">
        <v>17000</v>
      </c>
      <c r="N377" s="16">
        <v>17000</v>
      </c>
      <c r="O377" s="16">
        <v>17000</v>
      </c>
      <c r="P377" s="16">
        <v>17000</v>
      </c>
      <c r="Q377" s="16">
        <v>17000</v>
      </c>
      <c r="R377" s="16">
        <v>17000</v>
      </c>
      <c r="S377" s="16">
        <v>17000</v>
      </c>
      <c r="T377" s="16">
        <v>17000</v>
      </c>
      <c r="U377" s="16">
        <v>17000</v>
      </c>
      <c r="V377" s="16">
        <v>17000</v>
      </c>
      <c r="W377" s="16">
        <v>17000</v>
      </c>
      <c r="X377" s="16">
        <v>17000</v>
      </c>
      <c r="Y377" s="16">
        <v>17000</v>
      </c>
      <c r="Z377" s="16">
        <v>17000</v>
      </c>
      <c r="AA377" s="16">
        <v>17000</v>
      </c>
      <c r="AB377" s="6">
        <f t="shared" si="10"/>
        <v>1632000</v>
      </c>
      <c r="AC377" s="93"/>
      <c r="AF377" s="67">
        <v>49796</v>
      </c>
      <c r="AG377" s="68">
        <f>AC385</f>
        <v>12648000</v>
      </c>
    </row>
    <row r="378" spans="1:33" ht="18.75" thickBot="1" x14ac:dyDescent="0.3">
      <c r="A378" s="97"/>
      <c r="B378" s="12" t="s">
        <v>30</v>
      </c>
      <c r="C378" s="12">
        <v>21</v>
      </c>
      <c r="D378" s="16">
        <v>17000</v>
      </c>
      <c r="E378" s="16">
        <v>17000</v>
      </c>
      <c r="F378" s="16">
        <v>17000</v>
      </c>
      <c r="G378" s="16">
        <v>17000</v>
      </c>
      <c r="H378" s="16">
        <v>17000</v>
      </c>
      <c r="I378" s="16">
        <v>17000</v>
      </c>
      <c r="J378" s="16">
        <v>17000</v>
      </c>
      <c r="K378" s="16">
        <v>17000</v>
      </c>
      <c r="L378" s="16">
        <v>17000</v>
      </c>
      <c r="M378" s="16">
        <v>17000</v>
      </c>
      <c r="N378" s="16">
        <v>17000</v>
      </c>
      <c r="O378" s="16">
        <v>17000</v>
      </c>
      <c r="P378" s="16">
        <v>17000</v>
      </c>
      <c r="Q378" s="16">
        <v>17000</v>
      </c>
      <c r="R378" s="16">
        <v>17000</v>
      </c>
      <c r="S378" s="16">
        <v>17000</v>
      </c>
      <c r="T378" s="16">
        <v>17000</v>
      </c>
      <c r="U378" s="16">
        <v>17000</v>
      </c>
      <c r="V378" s="16">
        <v>17000</v>
      </c>
      <c r="W378" s="16">
        <v>17000</v>
      </c>
      <c r="X378" s="16">
        <v>17000</v>
      </c>
      <c r="Y378" s="16">
        <v>17000</v>
      </c>
      <c r="Z378" s="16">
        <v>17000</v>
      </c>
      <c r="AA378" s="16">
        <v>17000</v>
      </c>
      <c r="AB378" s="6">
        <f t="shared" si="10"/>
        <v>8568000</v>
      </c>
      <c r="AC378" s="94"/>
    </row>
    <row r="379" spans="1:33" ht="18.75" thickBot="1" x14ac:dyDescent="0.3">
      <c r="A379" s="95">
        <v>49735</v>
      </c>
      <c r="B379" s="9" t="s">
        <v>28</v>
      </c>
      <c r="C379" s="9">
        <v>5</v>
      </c>
      <c r="D379" s="16">
        <v>17000</v>
      </c>
      <c r="E379" s="16">
        <v>17000</v>
      </c>
      <c r="F379" s="16">
        <v>17000</v>
      </c>
      <c r="G379" s="16">
        <v>17000</v>
      </c>
      <c r="H379" s="16">
        <v>17000</v>
      </c>
      <c r="I379" s="16">
        <v>17000</v>
      </c>
      <c r="J379" s="16">
        <v>17000</v>
      </c>
      <c r="K379" s="16">
        <v>17000</v>
      </c>
      <c r="L379" s="16">
        <v>17000</v>
      </c>
      <c r="M379" s="16">
        <v>17000</v>
      </c>
      <c r="N379" s="16">
        <v>17000</v>
      </c>
      <c r="O379" s="16">
        <v>17000</v>
      </c>
      <c r="P379" s="16">
        <v>17000</v>
      </c>
      <c r="Q379" s="16">
        <v>17000</v>
      </c>
      <c r="R379" s="16">
        <v>17000</v>
      </c>
      <c r="S379" s="16">
        <v>17000</v>
      </c>
      <c r="T379" s="16">
        <v>17000</v>
      </c>
      <c r="U379" s="16">
        <v>17000</v>
      </c>
      <c r="V379" s="16">
        <v>17000</v>
      </c>
      <c r="W379" s="16">
        <v>17000</v>
      </c>
      <c r="X379" s="16">
        <v>17000</v>
      </c>
      <c r="Y379" s="16">
        <v>17000</v>
      </c>
      <c r="Z379" s="16">
        <v>17000</v>
      </c>
      <c r="AA379" s="16">
        <v>17000</v>
      </c>
      <c r="AB379" s="6">
        <f t="shared" si="10"/>
        <v>2040000</v>
      </c>
      <c r="AC379" s="92">
        <f>+AB379+AB380+AB381</f>
        <v>12648000</v>
      </c>
    </row>
    <row r="380" spans="1:33" ht="18.75" thickBot="1" x14ac:dyDescent="0.3">
      <c r="A380" s="96"/>
      <c r="B380" s="11" t="s">
        <v>29</v>
      </c>
      <c r="C380" s="11">
        <v>6</v>
      </c>
      <c r="D380" s="16">
        <v>17000</v>
      </c>
      <c r="E380" s="16">
        <v>17000</v>
      </c>
      <c r="F380" s="16">
        <v>17000</v>
      </c>
      <c r="G380" s="16">
        <v>17000</v>
      </c>
      <c r="H380" s="16">
        <v>17000</v>
      </c>
      <c r="I380" s="16">
        <v>17000</v>
      </c>
      <c r="J380" s="16">
        <v>17000</v>
      </c>
      <c r="K380" s="16">
        <v>17000</v>
      </c>
      <c r="L380" s="16">
        <v>17000</v>
      </c>
      <c r="M380" s="16">
        <v>17000</v>
      </c>
      <c r="N380" s="16">
        <v>17000</v>
      </c>
      <c r="O380" s="16">
        <v>17000</v>
      </c>
      <c r="P380" s="16">
        <v>17000</v>
      </c>
      <c r="Q380" s="16">
        <v>17000</v>
      </c>
      <c r="R380" s="16">
        <v>17000</v>
      </c>
      <c r="S380" s="16">
        <v>17000</v>
      </c>
      <c r="T380" s="16">
        <v>17000</v>
      </c>
      <c r="U380" s="16">
        <v>17000</v>
      </c>
      <c r="V380" s="16">
        <v>17000</v>
      </c>
      <c r="W380" s="16">
        <v>17000</v>
      </c>
      <c r="X380" s="16">
        <v>17000</v>
      </c>
      <c r="Y380" s="16">
        <v>17000</v>
      </c>
      <c r="Z380" s="16">
        <v>17000</v>
      </c>
      <c r="AA380" s="16">
        <v>17000</v>
      </c>
      <c r="AB380" s="6">
        <f t="shared" si="10"/>
        <v>2448000</v>
      </c>
      <c r="AC380" s="93"/>
    </row>
    <row r="381" spans="1:33" ht="18.75" thickBot="1" x14ac:dyDescent="0.3">
      <c r="A381" s="97"/>
      <c r="B381" s="12" t="s">
        <v>30</v>
      </c>
      <c r="C381" s="12">
        <v>20</v>
      </c>
      <c r="D381" s="16">
        <v>17000</v>
      </c>
      <c r="E381" s="16">
        <v>17000</v>
      </c>
      <c r="F381" s="16">
        <v>17000</v>
      </c>
      <c r="G381" s="16">
        <v>17000</v>
      </c>
      <c r="H381" s="16">
        <v>17000</v>
      </c>
      <c r="I381" s="16">
        <v>17000</v>
      </c>
      <c r="J381" s="16">
        <v>17000</v>
      </c>
      <c r="K381" s="16">
        <v>17000</v>
      </c>
      <c r="L381" s="16">
        <v>17000</v>
      </c>
      <c r="M381" s="16">
        <v>17000</v>
      </c>
      <c r="N381" s="16">
        <v>17000</v>
      </c>
      <c r="O381" s="16">
        <v>17000</v>
      </c>
      <c r="P381" s="16">
        <v>17000</v>
      </c>
      <c r="Q381" s="16">
        <v>17000</v>
      </c>
      <c r="R381" s="16">
        <v>17000</v>
      </c>
      <c r="S381" s="16">
        <v>17000</v>
      </c>
      <c r="T381" s="16">
        <v>17000</v>
      </c>
      <c r="U381" s="16">
        <v>17000</v>
      </c>
      <c r="V381" s="16">
        <v>17000</v>
      </c>
      <c r="W381" s="16">
        <v>17000</v>
      </c>
      <c r="X381" s="16">
        <v>17000</v>
      </c>
      <c r="Y381" s="16">
        <v>17000</v>
      </c>
      <c r="Z381" s="16">
        <v>17000</v>
      </c>
      <c r="AA381" s="16">
        <v>17000</v>
      </c>
      <c r="AB381" s="6">
        <f t="shared" si="10"/>
        <v>8160000</v>
      </c>
      <c r="AC381" s="94"/>
    </row>
    <row r="382" spans="1:33" ht="18.75" thickBot="1" x14ac:dyDescent="0.3">
      <c r="A382" s="95">
        <v>49766</v>
      </c>
      <c r="B382" s="9" t="s">
        <v>28</v>
      </c>
      <c r="C382" s="9">
        <v>4</v>
      </c>
      <c r="D382" s="16">
        <v>17000</v>
      </c>
      <c r="E382" s="16">
        <v>17000</v>
      </c>
      <c r="F382" s="16">
        <v>17000</v>
      </c>
      <c r="G382" s="16">
        <v>17000</v>
      </c>
      <c r="H382" s="16">
        <v>17000</v>
      </c>
      <c r="I382" s="16">
        <v>17000</v>
      </c>
      <c r="J382" s="16">
        <v>17000</v>
      </c>
      <c r="K382" s="16">
        <v>17000</v>
      </c>
      <c r="L382" s="16">
        <v>17000</v>
      </c>
      <c r="M382" s="16">
        <v>17000</v>
      </c>
      <c r="N382" s="16">
        <v>17000</v>
      </c>
      <c r="O382" s="16">
        <v>17000</v>
      </c>
      <c r="P382" s="16">
        <v>17000</v>
      </c>
      <c r="Q382" s="16">
        <v>17000</v>
      </c>
      <c r="R382" s="16">
        <v>17000</v>
      </c>
      <c r="S382" s="16">
        <v>17000</v>
      </c>
      <c r="T382" s="16">
        <v>17000</v>
      </c>
      <c r="U382" s="16">
        <v>17000</v>
      </c>
      <c r="V382" s="16">
        <v>17000</v>
      </c>
      <c r="W382" s="16">
        <v>17000</v>
      </c>
      <c r="X382" s="16">
        <v>17000</v>
      </c>
      <c r="Y382" s="16">
        <v>17000</v>
      </c>
      <c r="Z382" s="16">
        <v>17000</v>
      </c>
      <c r="AA382" s="16">
        <v>17000</v>
      </c>
      <c r="AB382" s="6">
        <f t="shared" si="10"/>
        <v>1632000</v>
      </c>
      <c r="AC382" s="92">
        <f>+AB382+AB383+AB384</f>
        <v>12240000</v>
      </c>
    </row>
    <row r="383" spans="1:33" ht="18.75" thickBot="1" x14ac:dyDescent="0.3">
      <c r="A383" s="96"/>
      <c r="B383" s="11" t="s">
        <v>29</v>
      </c>
      <c r="C383" s="11">
        <v>6</v>
      </c>
      <c r="D383" s="16">
        <v>17000</v>
      </c>
      <c r="E383" s="16">
        <v>17000</v>
      </c>
      <c r="F383" s="16">
        <v>17000</v>
      </c>
      <c r="G383" s="16">
        <v>17000</v>
      </c>
      <c r="H383" s="16">
        <v>17000</v>
      </c>
      <c r="I383" s="16">
        <v>17000</v>
      </c>
      <c r="J383" s="16">
        <v>17000</v>
      </c>
      <c r="K383" s="16">
        <v>17000</v>
      </c>
      <c r="L383" s="16">
        <v>17000</v>
      </c>
      <c r="M383" s="16">
        <v>17000</v>
      </c>
      <c r="N383" s="16">
        <v>17000</v>
      </c>
      <c r="O383" s="16">
        <v>17000</v>
      </c>
      <c r="P383" s="16">
        <v>17000</v>
      </c>
      <c r="Q383" s="16">
        <v>17000</v>
      </c>
      <c r="R383" s="16">
        <v>17000</v>
      </c>
      <c r="S383" s="16">
        <v>17000</v>
      </c>
      <c r="T383" s="16">
        <v>17000</v>
      </c>
      <c r="U383" s="16">
        <v>17000</v>
      </c>
      <c r="V383" s="16">
        <v>17000</v>
      </c>
      <c r="W383" s="16">
        <v>17000</v>
      </c>
      <c r="X383" s="16">
        <v>17000</v>
      </c>
      <c r="Y383" s="16">
        <v>17000</v>
      </c>
      <c r="Z383" s="16">
        <v>17000</v>
      </c>
      <c r="AA383" s="16">
        <v>17000</v>
      </c>
      <c r="AB383" s="6">
        <f t="shared" si="10"/>
        <v>2448000</v>
      </c>
      <c r="AC383" s="93"/>
    </row>
    <row r="384" spans="1:33" ht="18.75" thickBot="1" x14ac:dyDescent="0.3">
      <c r="A384" s="97"/>
      <c r="B384" s="12" t="s">
        <v>30</v>
      </c>
      <c r="C384" s="12">
        <v>20</v>
      </c>
      <c r="D384" s="16">
        <v>17000</v>
      </c>
      <c r="E384" s="16">
        <v>17000</v>
      </c>
      <c r="F384" s="16">
        <v>17000</v>
      </c>
      <c r="G384" s="16">
        <v>17000</v>
      </c>
      <c r="H384" s="16">
        <v>17000</v>
      </c>
      <c r="I384" s="16">
        <v>17000</v>
      </c>
      <c r="J384" s="16">
        <v>17000</v>
      </c>
      <c r="K384" s="16">
        <v>17000</v>
      </c>
      <c r="L384" s="16">
        <v>17000</v>
      </c>
      <c r="M384" s="16">
        <v>17000</v>
      </c>
      <c r="N384" s="16">
        <v>17000</v>
      </c>
      <c r="O384" s="16">
        <v>17000</v>
      </c>
      <c r="P384" s="16">
        <v>17000</v>
      </c>
      <c r="Q384" s="16">
        <v>17000</v>
      </c>
      <c r="R384" s="16">
        <v>17000</v>
      </c>
      <c r="S384" s="16">
        <v>17000</v>
      </c>
      <c r="T384" s="16">
        <v>17000</v>
      </c>
      <c r="U384" s="16">
        <v>17000</v>
      </c>
      <c r="V384" s="16">
        <v>17000</v>
      </c>
      <c r="W384" s="16">
        <v>17000</v>
      </c>
      <c r="X384" s="16">
        <v>17000</v>
      </c>
      <c r="Y384" s="16">
        <v>17000</v>
      </c>
      <c r="Z384" s="16">
        <v>17000</v>
      </c>
      <c r="AA384" s="16">
        <v>17000</v>
      </c>
      <c r="AB384" s="6">
        <f t="shared" si="10"/>
        <v>8160000</v>
      </c>
      <c r="AC384" s="94"/>
    </row>
    <row r="385" spans="1:29" ht="18.75" thickBot="1" x14ac:dyDescent="0.3">
      <c r="A385" s="95">
        <v>49796</v>
      </c>
      <c r="B385" s="9" t="s">
        <v>28</v>
      </c>
      <c r="C385" s="9">
        <v>5</v>
      </c>
      <c r="D385" s="16">
        <v>17000</v>
      </c>
      <c r="E385" s="16">
        <v>17000</v>
      </c>
      <c r="F385" s="16">
        <v>17000</v>
      </c>
      <c r="G385" s="16">
        <v>17000</v>
      </c>
      <c r="H385" s="16">
        <v>17000</v>
      </c>
      <c r="I385" s="16">
        <v>17000</v>
      </c>
      <c r="J385" s="16">
        <v>17000</v>
      </c>
      <c r="K385" s="16">
        <v>17000</v>
      </c>
      <c r="L385" s="16">
        <v>17000</v>
      </c>
      <c r="M385" s="16">
        <v>17000</v>
      </c>
      <c r="N385" s="16">
        <v>17000</v>
      </c>
      <c r="O385" s="16">
        <v>17000</v>
      </c>
      <c r="P385" s="16">
        <v>17000</v>
      </c>
      <c r="Q385" s="16">
        <v>17000</v>
      </c>
      <c r="R385" s="16">
        <v>17000</v>
      </c>
      <c r="S385" s="16">
        <v>17000</v>
      </c>
      <c r="T385" s="16">
        <v>17000</v>
      </c>
      <c r="U385" s="16">
        <v>17000</v>
      </c>
      <c r="V385" s="16">
        <v>17000</v>
      </c>
      <c r="W385" s="16">
        <v>17000</v>
      </c>
      <c r="X385" s="16">
        <v>17000</v>
      </c>
      <c r="Y385" s="16">
        <v>17000</v>
      </c>
      <c r="Z385" s="16">
        <v>17000</v>
      </c>
      <c r="AA385" s="16">
        <v>17000</v>
      </c>
      <c r="AB385" s="6">
        <f t="shared" si="10"/>
        <v>2040000</v>
      </c>
      <c r="AC385" s="92">
        <f>+AB385+AB386+AB387</f>
        <v>12648000</v>
      </c>
    </row>
    <row r="386" spans="1:29" ht="18.75" thickBot="1" x14ac:dyDescent="0.3">
      <c r="A386" s="96"/>
      <c r="B386" s="11" t="s">
        <v>29</v>
      </c>
      <c r="C386" s="11">
        <v>6</v>
      </c>
      <c r="D386" s="16">
        <v>17000</v>
      </c>
      <c r="E386" s="16">
        <v>17000</v>
      </c>
      <c r="F386" s="16">
        <v>17000</v>
      </c>
      <c r="G386" s="16">
        <v>17000</v>
      </c>
      <c r="H386" s="16">
        <v>17000</v>
      </c>
      <c r="I386" s="16">
        <v>17000</v>
      </c>
      <c r="J386" s="16">
        <v>17000</v>
      </c>
      <c r="K386" s="16">
        <v>17000</v>
      </c>
      <c r="L386" s="16">
        <v>17000</v>
      </c>
      <c r="M386" s="16">
        <v>17000</v>
      </c>
      <c r="N386" s="16">
        <v>17000</v>
      </c>
      <c r="O386" s="16">
        <v>17000</v>
      </c>
      <c r="P386" s="16">
        <v>17000</v>
      </c>
      <c r="Q386" s="16">
        <v>17000</v>
      </c>
      <c r="R386" s="16">
        <v>17000</v>
      </c>
      <c r="S386" s="16">
        <v>17000</v>
      </c>
      <c r="T386" s="16">
        <v>17000</v>
      </c>
      <c r="U386" s="16">
        <v>17000</v>
      </c>
      <c r="V386" s="16">
        <v>17000</v>
      </c>
      <c r="W386" s="16">
        <v>17000</v>
      </c>
      <c r="X386" s="16">
        <v>17000</v>
      </c>
      <c r="Y386" s="16">
        <v>17000</v>
      </c>
      <c r="Z386" s="16">
        <v>17000</v>
      </c>
      <c r="AA386" s="16">
        <v>17000</v>
      </c>
      <c r="AB386" s="6">
        <f t="shared" si="10"/>
        <v>2448000</v>
      </c>
      <c r="AC386" s="93"/>
    </row>
    <row r="387" spans="1:29" ht="18.75" thickBot="1" x14ac:dyDescent="0.3">
      <c r="A387" s="97"/>
      <c r="B387" s="12" t="s">
        <v>30</v>
      </c>
      <c r="C387" s="12">
        <v>20</v>
      </c>
      <c r="D387" s="16">
        <v>17000</v>
      </c>
      <c r="E387" s="16">
        <v>17000</v>
      </c>
      <c r="F387" s="16">
        <v>17000</v>
      </c>
      <c r="G387" s="16">
        <v>17000</v>
      </c>
      <c r="H387" s="16">
        <v>17000</v>
      </c>
      <c r="I387" s="16">
        <v>17000</v>
      </c>
      <c r="J387" s="16">
        <v>17000</v>
      </c>
      <c r="K387" s="16">
        <v>17000</v>
      </c>
      <c r="L387" s="16">
        <v>17000</v>
      </c>
      <c r="M387" s="16">
        <v>17000</v>
      </c>
      <c r="N387" s="16">
        <v>17000</v>
      </c>
      <c r="O387" s="16">
        <v>17000</v>
      </c>
      <c r="P387" s="16">
        <v>17000</v>
      </c>
      <c r="Q387" s="16">
        <v>17000</v>
      </c>
      <c r="R387" s="16">
        <v>17000</v>
      </c>
      <c r="S387" s="16">
        <v>17000</v>
      </c>
      <c r="T387" s="16">
        <v>17000</v>
      </c>
      <c r="U387" s="16">
        <v>17000</v>
      </c>
      <c r="V387" s="16">
        <v>17000</v>
      </c>
      <c r="W387" s="16">
        <v>17000</v>
      </c>
      <c r="X387" s="16">
        <v>17000</v>
      </c>
      <c r="Y387" s="16">
        <v>17000</v>
      </c>
      <c r="Z387" s="16">
        <v>17000</v>
      </c>
      <c r="AA387" s="16">
        <v>17000</v>
      </c>
      <c r="AB387" s="6">
        <f t="shared" si="10"/>
        <v>8160000</v>
      </c>
      <c r="AC387" s="94"/>
    </row>
  </sheetData>
  <mergeCells count="248">
    <mergeCell ref="A385:A387"/>
    <mergeCell ref="AC385:AC387"/>
    <mergeCell ref="A376:A378"/>
    <mergeCell ref="AC376:AC378"/>
    <mergeCell ref="A379:A381"/>
    <mergeCell ref="AC379:AC381"/>
    <mergeCell ref="A382:A384"/>
    <mergeCell ref="AC382:AC384"/>
    <mergeCell ref="A364:A366"/>
    <mergeCell ref="AC364:AC366"/>
    <mergeCell ref="A367:A369"/>
    <mergeCell ref="AC367:AC369"/>
    <mergeCell ref="AB372:AC372"/>
    <mergeCell ref="A373:A375"/>
    <mergeCell ref="AC373:AC375"/>
    <mergeCell ref="A355:A357"/>
    <mergeCell ref="AC355:AC357"/>
    <mergeCell ref="A358:A360"/>
    <mergeCell ref="AC358:AC360"/>
    <mergeCell ref="A361:A363"/>
    <mergeCell ref="AC361:AC363"/>
    <mergeCell ref="A346:A348"/>
    <mergeCell ref="AC346:AC348"/>
    <mergeCell ref="A349:A351"/>
    <mergeCell ref="AC349:AC351"/>
    <mergeCell ref="A352:A354"/>
    <mergeCell ref="AC352:AC354"/>
    <mergeCell ref="A337:A339"/>
    <mergeCell ref="AC337:AC339"/>
    <mergeCell ref="A340:A342"/>
    <mergeCell ref="AC340:AC342"/>
    <mergeCell ref="A343:A345"/>
    <mergeCell ref="AC343:AC345"/>
    <mergeCell ref="A325:A327"/>
    <mergeCell ref="AC325:AC327"/>
    <mergeCell ref="A328:A330"/>
    <mergeCell ref="AC328:AC330"/>
    <mergeCell ref="AB333:AC333"/>
    <mergeCell ref="A334:A336"/>
    <mergeCell ref="AC334:AC336"/>
    <mergeCell ref="A316:A318"/>
    <mergeCell ref="AC316:AC318"/>
    <mergeCell ref="A319:A321"/>
    <mergeCell ref="AC319:AC321"/>
    <mergeCell ref="A322:A324"/>
    <mergeCell ref="AC322:AC324"/>
    <mergeCell ref="A307:A309"/>
    <mergeCell ref="AC307:AC309"/>
    <mergeCell ref="A310:A312"/>
    <mergeCell ref="AC310:AC312"/>
    <mergeCell ref="A313:A315"/>
    <mergeCell ref="AC313:AC315"/>
    <mergeCell ref="A298:A300"/>
    <mergeCell ref="AC298:AC300"/>
    <mergeCell ref="A301:A303"/>
    <mergeCell ref="AC301:AC303"/>
    <mergeCell ref="A304:A306"/>
    <mergeCell ref="AC304:AC306"/>
    <mergeCell ref="A286:A288"/>
    <mergeCell ref="AC286:AC288"/>
    <mergeCell ref="A289:A291"/>
    <mergeCell ref="AC289:AC291"/>
    <mergeCell ref="AB294:AC294"/>
    <mergeCell ref="A295:A297"/>
    <mergeCell ref="AC295:AC297"/>
    <mergeCell ref="A277:A279"/>
    <mergeCell ref="AC277:AC279"/>
    <mergeCell ref="A280:A282"/>
    <mergeCell ref="AC280:AC282"/>
    <mergeCell ref="A283:A285"/>
    <mergeCell ref="AC283:AC285"/>
    <mergeCell ref="A268:A270"/>
    <mergeCell ref="AC268:AC270"/>
    <mergeCell ref="A271:A273"/>
    <mergeCell ref="AC271:AC273"/>
    <mergeCell ref="A274:A276"/>
    <mergeCell ref="AC274:AC276"/>
    <mergeCell ref="A259:A261"/>
    <mergeCell ref="AC259:AC261"/>
    <mergeCell ref="A262:A264"/>
    <mergeCell ref="AC262:AC264"/>
    <mergeCell ref="A265:A267"/>
    <mergeCell ref="AC265:AC267"/>
    <mergeCell ref="A247:A249"/>
    <mergeCell ref="AC247:AC249"/>
    <mergeCell ref="A250:A252"/>
    <mergeCell ref="AC250:AC252"/>
    <mergeCell ref="AB255:AC255"/>
    <mergeCell ref="A256:A258"/>
    <mergeCell ref="AC256:AC258"/>
    <mergeCell ref="A238:A240"/>
    <mergeCell ref="AC238:AC240"/>
    <mergeCell ref="A241:A243"/>
    <mergeCell ref="AC241:AC243"/>
    <mergeCell ref="A244:A246"/>
    <mergeCell ref="AC244:AC246"/>
    <mergeCell ref="A229:A231"/>
    <mergeCell ref="AC229:AC231"/>
    <mergeCell ref="A232:A234"/>
    <mergeCell ref="AC232:AC234"/>
    <mergeCell ref="A235:A237"/>
    <mergeCell ref="AC235:AC237"/>
    <mergeCell ref="A220:A222"/>
    <mergeCell ref="AC220:AC222"/>
    <mergeCell ref="A223:A225"/>
    <mergeCell ref="AC223:AC225"/>
    <mergeCell ref="A226:A228"/>
    <mergeCell ref="AC226:AC228"/>
    <mergeCell ref="A208:A210"/>
    <mergeCell ref="AC208:AC210"/>
    <mergeCell ref="A211:A213"/>
    <mergeCell ref="AC211:AC213"/>
    <mergeCell ref="AB216:AC216"/>
    <mergeCell ref="A217:A219"/>
    <mergeCell ref="AC217:AC219"/>
    <mergeCell ref="A199:A201"/>
    <mergeCell ref="AC199:AC201"/>
    <mergeCell ref="A202:A204"/>
    <mergeCell ref="AC202:AC204"/>
    <mergeCell ref="A205:A207"/>
    <mergeCell ref="AC205:AC207"/>
    <mergeCell ref="A190:A192"/>
    <mergeCell ref="AC190:AC192"/>
    <mergeCell ref="A193:A195"/>
    <mergeCell ref="AC193:AC195"/>
    <mergeCell ref="A196:A198"/>
    <mergeCell ref="AC196:AC198"/>
    <mergeCell ref="A181:A183"/>
    <mergeCell ref="AC181:AC183"/>
    <mergeCell ref="A184:A186"/>
    <mergeCell ref="AC184:AC186"/>
    <mergeCell ref="A187:A189"/>
    <mergeCell ref="AC187:AC189"/>
    <mergeCell ref="A169:A171"/>
    <mergeCell ref="AC169:AC171"/>
    <mergeCell ref="A172:A174"/>
    <mergeCell ref="AC172:AC174"/>
    <mergeCell ref="AB177:AC177"/>
    <mergeCell ref="A178:A180"/>
    <mergeCell ref="AC178:AC180"/>
    <mergeCell ref="A160:A162"/>
    <mergeCell ref="AC160:AC162"/>
    <mergeCell ref="A163:A165"/>
    <mergeCell ref="AC163:AC165"/>
    <mergeCell ref="A166:A168"/>
    <mergeCell ref="AC166:AC168"/>
    <mergeCell ref="A151:A153"/>
    <mergeCell ref="AC151:AC153"/>
    <mergeCell ref="A154:A156"/>
    <mergeCell ref="AC154:AC156"/>
    <mergeCell ref="A157:A159"/>
    <mergeCell ref="AC157:AC159"/>
    <mergeCell ref="A142:A144"/>
    <mergeCell ref="AC142:AC144"/>
    <mergeCell ref="A145:A147"/>
    <mergeCell ref="AC145:AC147"/>
    <mergeCell ref="A148:A150"/>
    <mergeCell ref="AC148:AC150"/>
    <mergeCell ref="A130:A132"/>
    <mergeCell ref="AC130:AC132"/>
    <mergeCell ref="A133:A135"/>
    <mergeCell ref="AC133:AC135"/>
    <mergeCell ref="AB138:AC138"/>
    <mergeCell ref="A139:A141"/>
    <mergeCell ref="AC139:AC141"/>
    <mergeCell ref="A121:A123"/>
    <mergeCell ref="AC121:AC123"/>
    <mergeCell ref="A124:A126"/>
    <mergeCell ref="AC124:AC126"/>
    <mergeCell ref="A127:A129"/>
    <mergeCell ref="AC127:AC129"/>
    <mergeCell ref="A112:A114"/>
    <mergeCell ref="AC112:AC114"/>
    <mergeCell ref="A115:A117"/>
    <mergeCell ref="AC115:AC117"/>
    <mergeCell ref="A118:A120"/>
    <mergeCell ref="AC118:AC120"/>
    <mergeCell ref="A103:A105"/>
    <mergeCell ref="AC103:AC105"/>
    <mergeCell ref="A106:A108"/>
    <mergeCell ref="AC106:AC108"/>
    <mergeCell ref="A109:A111"/>
    <mergeCell ref="AC109:AC111"/>
    <mergeCell ref="A91:A93"/>
    <mergeCell ref="AC91:AC93"/>
    <mergeCell ref="A94:A96"/>
    <mergeCell ref="AC94:AC96"/>
    <mergeCell ref="AB99:AC99"/>
    <mergeCell ref="A100:A102"/>
    <mergeCell ref="AC100:AC102"/>
    <mergeCell ref="A82:A84"/>
    <mergeCell ref="AC82:AC84"/>
    <mergeCell ref="A85:A87"/>
    <mergeCell ref="AC85:AC87"/>
    <mergeCell ref="A88:A90"/>
    <mergeCell ref="AC88:AC90"/>
    <mergeCell ref="A73:A75"/>
    <mergeCell ref="AC73:AC75"/>
    <mergeCell ref="A76:A78"/>
    <mergeCell ref="AC76:AC78"/>
    <mergeCell ref="A79:A81"/>
    <mergeCell ref="AC79:AC81"/>
    <mergeCell ref="A64:A66"/>
    <mergeCell ref="AC64:AC66"/>
    <mergeCell ref="A67:A69"/>
    <mergeCell ref="AC67:AC69"/>
    <mergeCell ref="A70:A72"/>
    <mergeCell ref="AC70:AC72"/>
    <mergeCell ref="A52:A54"/>
    <mergeCell ref="AC52:AC54"/>
    <mergeCell ref="A55:A57"/>
    <mergeCell ref="AC55:AC57"/>
    <mergeCell ref="AB60:AC60"/>
    <mergeCell ref="A61:A63"/>
    <mergeCell ref="AC61:AC63"/>
    <mergeCell ref="A43:A45"/>
    <mergeCell ref="AC43:AC45"/>
    <mergeCell ref="A46:A48"/>
    <mergeCell ref="AC46:AC48"/>
    <mergeCell ref="A49:A51"/>
    <mergeCell ref="AC49:AC51"/>
    <mergeCell ref="A34:A36"/>
    <mergeCell ref="AC34:AC36"/>
    <mergeCell ref="A37:A39"/>
    <mergeCell ref="AC37:AC39"/>
    <mergeCell ref="A40:A42"/>
    <mergeCell ref="AC40:AC42"/>
    <mergeCell ref="A25:A27"/>
    <mergeCell ref="AC25:AC27"/>
    <mergeCell ref="A28:A30"/>
    <mergeCell ref="AC28:AC30"/>
    <mergeCell ref="A31:A33"/>
    <mergeCell ref="AC31:AC33"/>
    <mergeCell ref="A2:E2"/>
    <mergeCell ref="AB3:AC3"/>
    <mergeCell ref="A13:A15"/>
    <mergeCell ref="AC13:AC15"/>
    <mergeCell ref="A16:A18"/>
    <mergeCell ref="AC16:AC18"/>
    <mergeCell ref="AB21:AC21"/>
    <mergeCell ref="A22:A24"/>
    <mergeCell ref="AC22:AC24"/>
    <mergeCell ref="A4:A6"/>
    <mergeCell ref="AC4:AC6"/>
    <mergeCell ref="A7:A9"/>
    <mergeCell ref="AC7:AC9"/>
    <mergeCell ref="A10:A12"/>
    <mergeCell ref="AC10:A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A5BD-D2F3-4F2C-BCAD-B9D34BA2FA57}">
  <dimension ref="A1:K151"/>
  <sheetViews>
    <sheetView topLeftCell="A22" zoomScale="85" zoomScaleNormal="85" workbookViewId="0">
      <selection activeCell="A144" sqref="A144"/>
    </sheetView>
  </sheetViews>
  <sheetFormatPr baseColWidth="10" defaultRowHeight="15" x14ac:dyDescent="0.25"/>
  <cols>
    <col min="1" max="1" width="16.28515625" customWidth="1"/>
    <col min="2" max="2" width="23.140625" bestFit="1" customWidth="1"/>
    <col min="3" max="3" width="19.42578125" customWidth="1"/>
    <col min="4" max="4" width="17.140625" customWidth="1"/>
    <col min="5" max="5" width="18.5703125" customWidth="1"/>
    <col min="7" max="7" width="70.140625" customWidth="1"/>
    <col min="11" max="11" width="11.42578125" bestFit="1" customWidth="1"/>
  </cols>
  <sheetData>
    <row r="1" spans="1:7" ht="15.75" x14ac:dyDescent="0.25">
      <c r="A1" s="32"/>
      <c r="B1" s="33"/>
      <c r="C1" s="33"/>
      <c r="D1" s="34"/>
      <c r="E1" s="33"/>
      <c r="F1" s="33"/>
      <c r="G1" s="35"/>
    </row>
    <row r="2" spans="1:7" ht="15.75" x14ac:dyDescent="0.25">
      <c r="A2" s="32"/>
      <c r="B2" s="33"/>
      <c r="C2" s="33"/>
      <c r="D2" s="34"/>
      <c r="E2" s="33"/>
      <c r="F2" s="33"/>
      <c r="G2" s="35"/>
    </row>
    <row r="3" spans="1:7" ht="15.75" x14ac:dyDescent="0.25">
      <c r="A3" s="32"/>
      <c r="B3" s="33"/>
      <c r="C3" s="33"/>
      <c r="D3" s="34"/>
      <c r="E3" s="33"/>
      <c r="F3" s="33"/>
      <c r="G3" s="35"/>
    </row>
    <row r="4" spans="1:7" ht="15.75" x14ac:dyDescent="0.25">
      <c r="A4" s="32"/>
      <c r="B4" s="33"/>
      <c r="C4" s="33"/>
      <c r="D4" s="34"/>
      <c r="E4" s="33"/>
      <c r="F4" s="33"/>
      <c r="G4" s="35"/>
    </row>
    <row r="5" spans="1:7" x14ac:dyDescent="0.25">
      <c r="A5" s="80" t="s">
        <v>48</v>
      </c>
      <c r="B5" s="80"/>
      <c r="C5" s="80"/>
      <c r="D5" s="80"/>
      <c r="E5" s="80"/>
      <c r="F5" s="80"/>
      <c r="G5" s="80"/>
    </row>
    <row r="6" spans="1:7" x14ac:dyDescent="0.25">
      <c r="A6" s="80"/>
      <c r="B6" s="80"/>
      <c r="C6" s="80"/>
      <c r="D6" s="80"/>
      <c r="E6" s="80"/>
      <c r="F6" s="80"/>
      <c r="G6" s="80"/>
    </row>
    <row r="7" spans="1:7" ht="16.5" thickBot="1" x14ac:dyDescent="0.3">
      <c r="A7" s="36"/>
      <c r="B7" s="37"/>
      <c r="C7" s="37"/>
      <c r="D7" s="34"/>
      <c r="E7" s="33"/>
      <c r="F7" s="33"/>
      <c r="G7" s="35"/>
    </row>
    <row r="8" spans="1:7" ht="30.75" thickBot="1" x14ac:dyDescent="0.3">
      <c r="A8" s="38" t="s">
        <v>33</v>
      </c>
      <c r="B8" s="81"/>
      <c r="C8" s="82"/>
      <c r="D8" s="82"/>
      <c r="E8" s="82"/>
      <c r="F8" s="82"/>
      <c r="G8" s="83"/>
    </row>
    <row r="9" spans="1:7" ht="15.75" thickBot="1" x14ac:dyDescent="0.3">
      <c r="A9" s="39"/>
      <c r="B9" s="40"/>
      <c r="C9" s="40"/>
      <c r="D9" s="41"/>
      <c r="E9" s="42"/>
      <c r="F9" s="42"/>
      <c r="G9" s="43"/>
    </row>
    <row r="10" spans="1:7" ht="75.75" thickBot="1" x14ac:dyDescent="0.3">
      <c r="A10" s="44" t="s">
        <v>34</v>
      </c>
      <c r="B10" s="45" t="s">
        <v>35</v>
      </c>
      <c r="C10" s="44" t="s">
        <v>36</v>
      </c>
      <c r="D10" s="46" t="s">
        <v>37</v>
      </c>
      <c r="E10" s="44" t="s">
        <v>38</v>
      </c>
      <c r="F10" s="44" t="s">
        <v>39</v>
      </c>
      <c r="G10" s="44" t="s">
        <v>40</v>
      </c>
    </row>
    <row r="11" spans="1:7" ht="15.75" thickBot="1" x14ac:dyDescent="0.3">
      <c r="A11" s="47">
        <v>46235</v>
      </c>
      <c r="B11" s="68">
        <v>7024968.7906087227</v>
      </c>
      <c r="C11" s="73">
        <f>SUM(B11:B15)</f>
        <v>22523729.994889721</v>
      </c>
      <c r="D11" s="49">
        <v>0</v>
      </c>
      <c r="E11" s="70"/>
      <c r="F11" s="77"/>
      <c r="G11" s="50"/>
    </row>
    <row r="12" spans="1:7" ht="15.75" thickBot="1" x14ac:dyDescent="0.3">
      <c r="A12" s="47">
        <v>46266</v>
      </c>
      <c r="B12" s="68">
        <v>2275335.8508950048</v>
      </c>
      <c r="C12" s="74"/>
      <c r="D12" s="49">
        <v>0</v>
      </c>
      <c r="E12" s="70"/>
      <c r="F12" s="78"/>
      <c r="G12" s="50"/>
    </row>
    <row r="13" spans="1:7" ht="15.75" thickBot="1" x14ac:dyDescent="0.3">
      <c r="A13" s="47">
        <v>46296</v>
      </c>
      <c r="B13" s="68">
        <v>2149277.0968822557</v>
      </c>
      <c r="C13" s="74"/>
      <c r="D13" s="49">
        <v>0</v>
      </c>
      <c r="E13" s="70"/>
      <c r="F13" s="78"/>
      <c r="G13" s="50"/>
    </row>
    <row r="14" spans="1:7" ht="15.75" thickBot="1" x14ac:dyDescent="0.3">
      <c r="A14" s="47">
        <v>46327</v>
      </c>
      <c r="B14" s="68">
        <v>2095521.3673851695</v>
      </c>
      <c r="C14" s="74"/>
      <c r="D14" s="51">
        <v>0</v>
      </c>
      <c r="E14" s="70"/>
      <c r="F14" s="78"/>
      <c r="G14" s="50"/>
    </row>
    <row r="15" spans="1:7" ht="15.75" thickBot="1" x14ac:dyDescent="0.3">
      <c r="A15" s="47">
        <v>46357</v>
      </c>
      <c r="B15" s="68">
        <v>8978626.8891185708</v>
      </c>
      <c r="C15" s="84"/>
      <c r="D15" s="52">
        <v>0</v>
      </c>
      <c r="E15" s="70"/>
      <c r="F15" s="79"/>
      <c r="G15" s="50"/>
    </row>
    <row r="16" spans="1:7" ht="15.75" thickBot="1" x14ac:dyDescent="0.3">
      <c r="A16" s="47">
        <v>46388</v>
      </c>
      <c r="B16" s="48">
        <f>'Cantidades -Producto 2'!AG22</f>
        <v>7839429.9019830637</v>
      </c>
      <c r="C16" s="73">
        <f>SUM(B16:B27)</f>
        <v>75224915.294088885</v>
      </c>
      <c r="D16" s="52">
        <v>0</v>
      </c>
      <c r="E16" s="70"/>
      <c r="F16" s="75"/>
      <c r="G16" s="50"/>
    </row>
    <row r="17" spans="1:11" ht="15.75" thickBot="1" x14ac:dyDescent="0.3">
      <c r="A17" s="47">
        <v>46419</v>
      </c>
      <c r="B17" s="48">
        <f>'Cantidades -Producto 2'!AG23</f>
        <v>6751684.6927503254</v>
      </c>
      <c r="C17" s="74"/>
      <c r="D17" s="52">
        <v>0</v>
      </c>
      <c r="E17" s="70"/>
      <c r="F17" s="76"/>
      <c r="G17" s="50"/>
      <c r="K17" s="69"/>
    </row>
    <row r="18" spans="1:11" ht="15.75" thickBot="1" x14ac:dyDescent="0.3">
      <c r="A18" s="47">
        <v>46447</v>
      </c>
      <c r="B18" s="48">
        <f>'Cantidades -Producto 2'!AG24</f>
        <v>8300034.1636855919</v>
      </c>
      <c r="C18" s="74"/>
      <c r="D18" s="52">
        <v>0</v>
      </c>
      <c r="E18" s="70"/>
      <c r="F18" s="76"/>
      <c r="G18" s="50"/>
      <c r="K18" s="69"/>
    </row>
    <row r="19" spans="1:11" ht="15.75" thickBot="1" x14ac:dyDescent="0.3">
      <c r="A19" s="47">
        <v>46478</v>
      </c>
      <c r="B19" s="48">
        <f>'Cantidades -Producto 2'!AG25</f>
        <v>7930619.6906873994</v>
      </c>
      <c r="C19" s="74"/>
      <c r="D19" s="52">
        <v>0</v>
      </c>
      <c r="E19" s="70"/>
      <c r="F19" s="76"/>
      <c r="G19" s="50"/>
      <c r="K19" s="69"/>
    </row>
    <row r="20" spans="1:11" ht="15.75" thickBot="1" x14ac:dyDescent="0.3">
      <c r="A20" s="47">
        <v>46508</v>
      </c>
      <c r="B20" s="48">
        <f>'Cantidades -Producto 2'!AG26</f>
        <v>7510979.5060049919</v>
      </c>
      <c r="C20" s="74"/>
      <c r="D20" s="52">
        <v>0</v>
      </c>
      <c r="E20" s="70"/>
      <c r="F20" s="76"/>
      <c r="G20" s="50"/>
      <c r="K20" s="69"/>
    </row>
    <row r="21" spans="1:11" ht="15.75" thickBot="1" x14ac:dyDescent="0.3">
      <c r="A21" s="47">
        <v>46539</v>
      </c>
      <c r="B21" s="48">
        <f>'Cantidades -Producto 2'!AG27</f>
        <v>7268434.0356727839</v>
      </c>
      <c r="C21" s="74"/>
      <c r="D21" s="52">
        <v>0</v>
      </c>
      <c r="E21" s="70"/>
      <c r="F21" s="76"/>
      <c r="G21" s="50"/>
      <c r="K21" s="69"/>
    </row>
    <row r="22" spans="1:11" ht="15.75" thickBot="1" x14ac:dyDescent="0.3">
      <c r="A22" s="47">
        <v>46569</v>
      </c>
      <c r="B22" s="48">
        <f>'Cantidades -Producto 2'!AG28</f>
        <v>7399601.834105962</v>
      </c>
      <c r="C22" s="74"/>
      <c r="D22" s="52">
        <v>0</v>
      </c>
      <c r="E22" s="70"/>
      <c r="F22" s="76"/>
      <c r="G22" s="50"/>
      <c r="K22" s="69"/>
    </row>
    <row r="23" spans="1:11" ht="15.75" thickBot="1" x14ac:dyDescent="0.3">
      <c r="A23" s="47">
        <v>46600</v>
      </c>
      <c r="B23" s="48">
        <f>'Cantidades -Producto 2'!AG29</f>
        <v>7183515.2765491698</v>
      </c>
      <c r="C23" s="74"/>
      <c r="D23" s="52">
        <v>0</v>
      </c>
      <c r="E23" s="70"/>
      <c r="F23" s="76"/>
      <c r="G23" s="50"/>
      <c r="K23" s="69"/>
    </row>
    <row r="24" spans="1:11" ht="15.75" thickBot="1" x14ac:dyDescent="0.3">
      <c r="A24" s="47">
        <v>46631</v>
      </c>
      <c r="B24" s="48">
        <f>'Cantidades -Producto 2'!AG30</f>
        <v>2065944.3358410331</v>
      </c>
      <c r="C24" s="74"/>
      <c r="D24" s="52">
        <v>0</v>
      </c>
      <c r="E24" s="70"/>
      <c r="F24" s="76"/>
      <c r="G24" s="50"/>
      <c r="K24" s="69"/>
    </row>
    <row r="25" spans="1:11" ht="15.75" thickBot="1" x14ac:dyDescent="0.3">
      <c r="A25" s="47">
        <v>46661</v>
      </c>
      <c r="B25" s="48">
        <f>'Cantidades -Producto 2'!AG31</f>
        <v>1878100.9656849685</v>
      </c>
      <c r="C25" s="74"/>
      <c r="D25" s="52">
        <v>0</v>
      </c>
      <c r="E25" s="70"/>
      <c r="F25" s="76"/>
      <c r="G25" s="50"/>
      <c r="K25" s="69"/>
    </row>
    <row r="26" spans="1:11" ht="15.75" thickBot="1" x14ac:dyDescent="0.3">
      <c r="A26" s="47">
        <v>46692</v>
      </c>
      <c r="B26" s="48">
        <f>'Cantidades -Producto 2'!AG32</f>
        <v>1922771.6270457422</v>
      </c>
      <c r="C26" s="74"/>
      <c r="D26" s="52">
        <v>0</v>
      </c>
      <c r="E26" s="70"/>
      <c r="F26" s="76"/>
      <c r="G26" s="50"/>
      <c r="K26" s="69"/>
    </row>
    <row r="27" spans="1:11" ht="15.75" thickBot="1" x14ac:dyDescent="0.3">
      <c r="A27" s="47">
        <v>46722</v>
      </c>
      <c r="B27" s="48">
        <f>'Cantidades -Producto 2'!AG33</f>
        <v>9173799.2640778609</v>
      </c>
      <c r="C27" s="74"/>
      <c r="D27" s="52">
        <v>0</v>
      </c>
      <c r="E27" s="70"/>
      <c r="F27" s="76"/>
      <c r="G27" s="50"/>
      <c r="K27" s="69"/>
    </row>
    <row r="28" spans="1:11" ht="15.75" thickBot="1" x14ac:dyDescent="0.3">
      <c r="A28" s="47">
        <v>46753</v>
      </c>
      <c r="B28" s="48">
        <f>'Cantidades -Producto 2'!AG61</f>
        <v>6921496.2367132828</v>
      </c>
      <c r="C28" s="73">
        <f>SUM(B28:B39)</f>
        <v>76156871.079346716</v>
      </c>
      <c r="D28" s="52">
        <v>0</v>
      </c>
      <c r="E28" s="70"/>
      <c r="F28" s="75"/>
      <c r="G28" s="50"/>
    </row>
    <row r="29" spans="1:11" ht="15.75" thickBot="1" x14ac:dyDescent="0.3">
      <c r="A29" s="47">
        <v>46784</v>
      </c>
      <c r="B29" s="48">
        <f>'Cantidades -Producto 2'!AG62</f>
        <v>5803036.3222499611</v>
      </c>
      <c r="C29" s="74"/>
      <c r="D29" s="52">
        <v>0</v>
      </c>
      <c r="E29" s="70"/>
      <c r="F29" s="76"/>
      <c r="G29" s="50"/>
    </row>
    <row r="30" spans="1:11" ht="15.75" thickBot="1" x14ac:dyDescent="0.3">
      <c r="A30" s="47">
        <v>46813</v>
      </c>
      <c r="B30" s="48">
        <f>'Cantidades -Producto 2'!AG63</f>
        <v>7335720.1947792843</v>
      </c>
      <c r="C30" s="74"/>
      <c r="D30" s="52">
        <v>0</v>
      </c>
      <c r="E30" s="70"/>
      <c r="F30" s="76"/>
      <c r="G30" s="50"/>
    </row>
    <row r="31" spans="1:11" ht="15.75" thickBot="1" x14ac:dyDescent="0.3">
      <c r="A31" s="47">
        <v>46844</v>
      </c>
      <c r="B31" s="48">
        <f>'Cantidades -Producto 2'!AG64</f>
        <v>6914373.1282233261</v>
      </c>
      <c r="C31" s="74"/>
      <c r="D31" s="52">
        <v>0</v>
      </c>
      <c r="E31" s="70"/>
      <c r="F31" s="76"/>
      <c r="G31" s="50"/>
    </row>
    <row r="32" spans="1:11" ht="15.75" thickBot="1" x14ac:dyDescent="0.3">
      <c r="A32" s="47">
        <v>46874</v>
      </c>
      <c r="B32" s="48">
        <f>'Cantidades -Producto 2'!AG65</f>
        <v>4526703.3564893864</v>
      </c>
      <c r="C32" s="74"/>
      <c r="D32" s="52">
        <v>0</v>
      </c>
      <c r="E32" s="70"/>
      <c r="F32" s="76"/>
      <c r="G32" s="50"/>
    </row>
    <row r="33" spans="1:7" ht="15.75" thickBot="1" x14ac:dyDescent="0.3">
      <c r="A33" s="47">
        <v>46905</v>
      </c>
      <c r="B33" s="48">
        <f>'Cantidades -Producto 2'!AG66</f>
        <v>4322879.5742072072</v>
      </c>
      <c r="C33" s="74"/>
      <c r="D33" s="52">
        <v>0</v>
      </c>
      <c r="E33" s="70"/>
      <c r="F33" s="76"/>
      <c r="G33" s="50"/>
    </row>
    <row r="34" spans="1:7" ht="15.75" thickBot="1" x14ac:dyDescent="0.3">
      <c r="A34" s="47">
        <v>46935</v>
      </c>
      <c r="B34" s="48">
        <f>'Cantidades -Producto 2'!AG67</f>
        <v>4291029.2760839611</v>
      </c>
      <c r="C34" s="74"/>
      <c r="D34" s="52">
        <v>0</v>
      </c>
      <c r="E34" s="70"/>
      <c r="F34" s="76"/>
      <c r="G34" s="50"/>
    </row>
    <row r="35" spans="1:7" ht="15.75" thickBot="1" x14ac:dyDescent="0.3">
      <c r="A35" s="47">
        <v>46966</v>
      </c>
      <c r="B35" s="48">
        <f>'Cantidades -Producto 2'!AG68</f>
        <v>6546836.8466459699</v>
      </c>
      <c r="C35" s="74"/>
      <c r="D35" s="52">
        <v>0</v>
      </c>
      <c r="E35" s="70"/>
      <c r="F35" s="76"/>
      <c r="G35" s="50"/>
    </row>
    <row r="36" spans="1:7" ht="15.75" thickBot="1" x14ac:dyDescent="0.3">
      <c r="A36" s="47">
        <v>46997</v>
      </c>
      <c r="B36" s="48">
        <f>'Cantidades -Producto 2'!AG69</f>
        <v>6870287.471228037</v>
      </c>
      <c r="C36" s="74"/>
      <c r="D36" s="52">
        <v>0</v>
      </c>
      <c r="E36" s="70"/>
      <c r="F36" s="76"/>
      <c r="G36" s="50"/>
    </row>
    <row r="37" spans="1:7" ht="15.75" thickBot="1" x14ac:dyDescent="0.3">
      <c r="A37" s="47">
        <v>47027</v>
      </c>
      <c r="B37" s="48">
        <f>'Cantidades -Producto 2'!AG70</f>
        <v>7266240.7434550403</v>
      </c>
      <c r="C37" s="74"/>
      <c r="D37" s="52">
        <v>0</v>
      </c>
      <c r="E37" s="70"/>
      <c r="F37" s="76"/>
      <c r="G37" s="50"/>
    </row>
    <row r="38" spans="1:7" ht="15.75" thickBot="1" x14ac:dyDescent="0.3">
      <c r="A38" s="47">
        <v>47058</v>
      </c>
      <c r="B38" s="48">
        <f>'Cantidades -Producto 2'!AG71</f>
        <v>7127709.8922313172</v>
      </c>
      <c r="C38" s="74"/>
      <c r="D38" s="52">
        <v>0</v>
      </c>
      <c r="E38" s="70"/>
      <c r="F38" s="76"/>
      <c r="G38" s="50"/>
    </row>
    <row r="39" spans="1:7" ht="15.75" thickBot="1" x14ac:dyDescent="0.3">
      <c r="A39" s="47">
        <v>47088</v>
      </c>
      <c r="B39" s="48">
        <f>'Cantidades -Producto 2'!AG72</f>
        <v>8230558.037039943</v>
      </c>
      <c r="C39" s="74"/>
      <c r="D39" s="52">
        <v>0</v>
      </c>
      <c r="E39" s="70"/>
      <c r="F39" s="76"/>
      <c r="G39" s="50"/>
    </row>
    <row r="40" spans="1:7" ht="15.75" thickBot="1" x14ac:dyDescent="0.3">
      <c r="A40" s="47">
        <v>47119</v>
      </c>
      <c r="B40" s="48">
        <f>'Cantidades -Producto 2'!AG100</f>
        <v>6809640.6598552167</v>
      </c>
      <c r="C40" s="73">
        <f t="shared" ref="C40" si="0">SUM(B40:B51)</f>
        <v>86260491.883853227</v>
      </c>
      <c r="D40" s="52">
        <v>0</v>
      </c>
      <c r="E40" s="70"/>
      <c r="F40" s="77"/>
      <c r="G40" s="50"/>
    </row>
    <row r="41" spans="1:7" ht="15.75" thickBot="1" x14ac:dyDescent="0.3">
      <c r="A41" s="47">
        <v>47150</v>
      </c>
      <c r="B41" s="48">
        <f>'Cantidades -Producto 2'!AG101</f>
        <v>5723692.3996578343</v>
      </c>
      <c r="C41" s="74"/>
      <c r="D41" s="52">
        <v>0</v>
      </c>
      <c r="E41" s="70"/>
      <c r="F41" s="78"/>
      <c r="G41" s="50"/>
    </row>
    <row r="42" spans="1:7" ht="15.75" thickBot="1" x14ac:dyDescent="0.3">
      <c r="A42" s="47">
        <v>47178</v>
      </c>
      <c r="B42" s="48">
        <f>'Cantidades -Producto 2'!AG102</f>
        <v>7092058.4859306328</v>
      </c>
      <c r="C42" s="74"/>
      <c r="D42" s="52">
        <v>0</v>
      </c>
      <c r="E42" s="70"/>
      <c r="F42" s="78"/>
      <c r="G42" s="50"/>
    </row>
    <row r="43" spans="1:7" ht="15.75" thickBot="1" x14ac:dyDescent="0.3">
      <c r="A43" s="47">
        <v>47209</v>
      </c>
      <c r="B43" s="48">
        <f>'Cantidades -Producto 2'!AG103</f>
        <v>6778314.0251326598</v>
      </c>
      <c r="C43" s="74"/>
      <c r="D43" s="52">
        <v>0</v>
      </c>
      <c r="E43" s="70"/>
      <c r="F43" s="78"/>
      <c r="G43" s="50"/>
    </row>
    <row r="44" spans="1:7" ht="15.75" thickBot="1" x14ac:dyDescent="0.3">
      <c r="A44" s="47">
        <v>47239</v>
      </c>
      <c r="B44" s="48">
        <f>'Cantidades -Producto 2'!AG104</f>
        <v>7580413.9494835362</v>
      </c>
      <c r="C44" s="74"/>
      <c r="D44" s="52">
        <v>0</v>
      </c>
      <c r="E44" s="70"/>
      <c r="F44" s="78"/>
      <c r="G44" s="50"/>
    </row>
    <row r="45" spans="1:7" ht="15.75" thickBot="1" x14ac:dyDescent="0.3">
      <c r="A45" s="47">
        <v>47270</v>
      </c>
      <c r="B45" s="48">
        <f>'Cantidades -Producto 2'!AG105</f>
        <v>7278300.6260397146</v>
      </c>
      <c r="C45" s="74"/>
      <c r="D45" s="52">
        <v>0</v>
      </c>
      <c r="E45" s="70"/>
      <c r="F45" s="78"/>
      <c r="G45" s="50"/>
    </row>
    <row r="46" spans="1:7" ht="15.75" thickBot="1" x14ac:dyDescent="0.3">
      <c r="A46" s="47">
        <v>47300</v>
      </c>
      <c r="B46" s="48">
        <f>'Cantidades -Producto 2'!AG106</f>
        <v>7391065.4190664543</v>
      </c>
      <c r="C46" s="74"/>
      <c r="D46" s="52">
        <v>0</v>
      </c>
      <c r="E46" s="70"/>
      <c r="F46" s="78"/>
      <c r="G46" s="50"/>
    </row>
    <row r="47" spans="1:7" ht="15.75" thickBot="1" x14ac:dyDescent="0.3">
      <c r="A47" s="47">
        <v>47331</v>
      </c>
      <c r="B47" s="48">
        <f>'Cantidades -Producto 2'!AG107</f>
        <v>7218033.0650974112</v>
      </c>
      <c r="C47" s="74"/>
      <c r="D47" s="52">
        <v>0</v>
      </c>
      <c r="E47" s="70"/>
      <c r="F47" s="78"/>
      <c r="G47" s="50"/>
    </row>
    <row r="48" spans="1:7" ht="15.75" thickBot="1" x14ac:dyDescent="0.3">
      <c r="A48" s="47">
        <v>47362</v>
      </c>
      <c r="B48" s="48">
        <f>'Cantidades -Producto 2'!AG108</f>
        <v>7435131.7182565071</v>
      </c>
      <c r="C48" s="74"/>
      <c r="D48" s="52">
        <v>0</v>
      </c>
      <c r="E48" s="70"/>
      <c r="F48" s="78"/>
      <c r="G48" s="50"/>
    </row>
    <row r="49" spans="1:7" ht="15.75" thickBot="1" x14ac:dyDescent="0.3">
      <c r="A49" s="47">
        <v>47392</v>
      </c>
      <c r="B49" s="48">
        <f>'Cantidades -Producto 2'!AG109</f>
        <v>7534835.619209121</v>
      </c>
      <c r="C49" s="74"/>
      <c r="D49" s="52">
        <v>0</v>
      </c>
      <c r="E49" s="70"/>
      <c r="F49" s="78"/>
      <c r="G49" s="50"/>
    </row>
    <row r="50" spans="1:7" ht="15.75" thickBot="1" x14ac:dyDescent="0.3">
      <c r="A50" s="47">
        <v>47423</v>
      </c>
      <c r="B50" s="48">
        <f>'Cantidades -Producto 2'!AG110</f>
        <v>7339145.1221487578</v>
      </c>
      <c r="C50" s="74"/>
      <c r="D50" s="52">
        <v>0</v>
      </c>
      <c r="E50" s="70"/>
      <c r="F50" s="78"/>
      <c r="G50" s="50"/>
    </row>
    <row r="51" spans="1:7" ht="15.75" thickBot="1" x14ac:dyDescent="0.3">
      <c r="A51" s="47">
        <v>47453</v>
      </c>
      <c r="B51" s="48">
        <f>'Cantidades -Producto 2'!AG111</f>
        <v>8079860.793975383</v>
      </c>
      <c r="C51" s="74"/>
      <c r="D51" s="52">
        <v>0</v>
      </c>
      <c r="E51" s="70"/>
      <c r="F51" s="79"/>
      <c r="G51" s="50"/>
    </row>
    <row r="52" spans="1:7" ht="15.75" thickBot="1" x14ac:dyDescent="0.3">
      <c r="A52" s="47">
        <v>47484</v>
      </c>
      <c r="B52" s="48">
        <f>'Cantidades -Producto 2'!AG139</f>
        <v>7387035.858426813</v>
      </c>
      <c r="C52" s="73">
        <f t="shared" ref="C52" si="1">SUM(B52:B63)</f>
        <v>93113391.433033019</v>
      </c>
      <c r="D52" s="52">
        <v>0</v>
      </c>
      <c r="E52" s="70"/>
      <c r="F52" s="77"/>
      <c r="G52" s="50"/>
    </row>
    <row r="53" spans="1:7" ht="15.75" thickBot="1" x14ac:dyDescent="0.3">
      <c r="A53" s="47">
        <v>47515</v>
      </c>
      <c r="B53" s="48">
        <f>'Cantidades -Producto 2'!AG140</f>
        <v>6235177.3002697965</v>
      </c>
      <c r="C53" s="74"/>
      <c r="D53" s="52">
        <v>0</v>
      </c>
      <c r="E53" s="70"/>
      <c r="F53" s="78"/>
      <c r="G53" s="50"/>
    </row>
    <row r="54" spans="1:7" ht="15.75" thickBot="1" x14ac:dyDescent="0.3">
      <c r="A54" s="47">
        <v>47543</v>
      </c>
      <c r="B54" s="48">
        <f>'Cantidades -Producto 2'!AG141</f>
        <v>7714097.1811407022</v>
      </c>
      <c r="C54" s="74"/>
      <c r="D54" s="52">
        <v>0</v>
      </c>
      <c r="E54" s="70"/>
      <c r="F54" s="78"/>
      <c r="G54" s="50"/>
    </row>
    <row r="55" spans="1:7" ht="15.75" thickBot="1" x14ac:dyDescent="0.3">
      <c r="A55" s="47">
        <v>47574</v>
      </c>
      <c r="B55" s="48">
        <f>'Cantidades -Producto 2'!AG142</f>
        <v>7255521.5586887011</v>
      </c>
      <c r="C55" s="74"/>
      <c r="D55" s="52">
        <v>0</v>
      </c>
      <c r="E55" s="70"/>
      <c r="F55" s="78"/>
      <c r="G55" s="50"/>
    </row>
    <row r="56" spans="1:7" ht="15.75" thickBot="1" x14ac:dyDescent="0.3">
      <c r="A56" s="47">
        <v>47604</v>
      </c>
      <c r="B56" s="48">
        <f>'Cantidades -Producto 2'!AG143</f>
        <v>8123518.5240184506</v>
      </c>
      <c r="C56" s="74"/>
      <c r="D56" s="52">
        <v>0</v>
      </c>
      <c r="E56" s="70"/>
      <c r="F56" s="78"/>
      <c r="G56" s="50"/>
    </row>
    <row r="57" spans="1:7" ht="15.75" thickBot="1" x14ac:dyDescent="0.3">
      <c r="A57" s="47">
        <v>47635</v>
      </c>
      <c r="B57" s="48">
        <f>'Cantidades -Producto 2'!AG144</f>
        <v>7823755.9604949001</v>
      </c>
      <c r="C57" s="74"/>
      <c r="D57" s="52">
        <v>0</v>
      </c>
      <c r="E57" s="70"/>
      <c r="F57" s="78"/>
      <c r="G57" s="50"/>
    </row>
    <row r="58" spans="1:7" ht="15.75" thickBot="1" x14ac:dyDescent="0.3">
      <c r="A58" s="47">
        <v>47665</v>
      </c>
      <c r="B58" s="48">
        <f>'Cantidades -Producto 2'!AG145</f>
        <v>8030676.3339689998</v>
      </c>
      <c r="C58" s="74"/>
      <c r="D58" s="52">
        <v>0</v>
      </c>
      <c r="E58" s="70"/>
      <c r="F58" s="78"/>
      <c r="G58" s="50"/>
    </row>
    <row r="59" spans="1:7" ht="15.75" thickBot="1" x14ac:dyDescent="0.3">
      <c r="A59" s="47">
        <v>47696</v>
      </c>
      <c r="B59" s="48">
        <f>'Cantidades -Producto 2'!AG146</f>
        <v>7788436.7306381743</v>
      </c>
      <c r="C59" s="74"/>
      <c r="D59" s="52">
        <v>0</v>
      </c>
      <c r="E59" s="70"/>
      <c r="F59" s="78"/>
      <c r="G59" s="50"/>
    </row>
    <row r="60" spans="1:7" ht="15.75" thickBot="1" x14ac:dyDescent="0.3">
      <c r="A60" s="47">
        <v>47727</v>
      </c>
      <c r="B60" s="48">
        <f>'Cantidades -Producto 2'!AG147</f>
        <v>8020389.719422223</v>
      </c>
      <c r="C60" s="74"/>
      <c r="D60" s="52">
        <v>0</v>
      </c>
      <c r="E60" s="70"/>
      <c r="F60" s="78"/>
      <c r="G60" s="50"/>
    </row>
    <row r="61" spans="1:7" ht="15.75" thickBot="1" x14ac:dyDescent="0.3">
      <c r="A61" s="47">
        <v>47757</v>
      </c>
      <c r="B61" s="48">
        <f>'Cantidades -Producto 2'!AG148</f>
        <v>8129272.8993255422</v>
      </c>
      <c r="C61" s="74"/>
      <c r="D61" s="52">
        <v>0</v>
      </c>
      <c r="E61" s="70"/>
      <c r="F61" s="78"/>
      <c r="G61" s="50"/>
    </row>
    <row r="62" spans="1:7" ht="15.75" thickBot="1" x14ac:dyDescent="0.3">
      <c r="A62" s="47">
        <v>47788</v>
      </c>
      <c r="B62" s="48">
        <f>'Cantidades -Producto 2'!AG149</f>
        <v>7906906.1104953177</v>
      </c>
      <c r="C62" s="74"/>
      <c r="D62" s="52">
        <v>0</v>
      </c>
      <c r="E62" s="70"/>
      <c r="F62" s="78"/>
      <c r="G62" s="50"/>
    </row>
    <row r="63" spans="1:7" ht="15.75" thickBot="1" x14ac:dyDescent="0.3">
      <c r="A63" s="47">
        <v>47818</v>
      </c>
      <c r="B63" s="48">
        <f>'Cantidades -Producto 2'!AG150</f>
        <v>8698603.256143406</v>
      </c>
      <c r="C63" s="74"/>
      <c r="D63" s="52">
        <v>0</v>
      </c>
      <c r="E63" s="70"/>
      <c r="F63" s="79"/>
      <c r="G63" s="50"/>
    </row>
    <row r="64" spans="1:7" ht="15.75" thickBot="1" x14ac:dyDescent="0.3">
      <c r="A64" s="47">
        <v>47849</v>
      </c>
      <c r="B64" s="48">
        <f>'Cantidades -Producto 2'!AG178</f>
        <v>7977999.8441648465</v>
      </c>
      <c r="C64" s="73">
        <f t="shared" ref="C64" si="2">SUM(B64:B75)</f>
        <v>100156004.07410125</v>
      </c>
      <c r="D64" s="52">
        <v>0</v>
      </c>
      <c r="E64" s="70"/>
      <c r="F64" s="77"/>
      <c r="G64" s="50"/>
    </row>
    <row r="65" spans="1:7" ht="15.75" thickBot="1" x14ac:dyDescent="0.3">
      <c r="A65" s="47">
        <v>47880</v>
      </c>
      <c r="B65" s="48">
        <f>'Cantidades -Producto 2'!AG179</f>
        <v>6758682.0960461395</v>
      </c>
      <c r="C65" s="74"/>
      <c r="D65" s="52">
        <v>0</v>
      </c>
      <c r="E65" s="70"/>
      <c r="F65" s="78"/>
      <c r="G65" s="50"/>
    </row>
    <row r="66" spans="1:7" ht="15.75" thickBot="1" x14ac:dyDescent="0.3">
      <c r="A66" s="47">
        <v>47908</v>
      </c>
      <c r="B66" s="48">
        <f>'Cantidades -Producto 2'!AG180</f>
        <v>8312747.1079625143</v>
      </c>
      <c r="C66" s="74"/>
      <c r="D66" s="52">
        <v>0</v>
      </c>
      <c r="E66" s="70"/>
      <c r="F66" s="78"/>
      <c r="G66" s="50"/>
    </row>
    <row r="67" spans="1:7" ht="15.75" thickBot="1" x14ac:dyDescent="0.3">
      <c r="A67" s="47">
        <v>47939</v>
      </c>
      <c r="B67" s="48">
        <f>'Cantidades -Producto 2'!AG181</f>
        <v>7829931.4537678873</v>
      </c>
      <c r="C67" s="74"/>
      <c r="D67" s="52">
        <v>0</v>
      </c>
      <c r="E67" s="70"/>
      <c r="F67" s="78"/>
      <c r="G67" s="50"/>
    </row>
    <row r="68" spans="1:7" ht="15.75" thickBot="1" x14ac:dyDescent="0.3">
      <c r="A68" s="47">
        <v>47969</v>
      </c>
      <c r="B68" s="48">
        <f>'Cantidades -Producto 2'!AG182</f>
        <v>8673993.6352526098</v>
      </c>
      <c r="C68" s="74"/>
      <c r="D68" s="52">
        <v>0</v>
      </c>
      <c r="E68" s="70"/>
      <c r="F68" s="78"/>
      <c r="G68" s="50"/>
    </row>
    <row r="69" spans="1:7" ht="15.75" thickBot="1" x14ac:dyDescent="0.3">
      <c r="A69" s="47">
        <v>48000</v>
      </c>
      <c r="B69" s="48">
        <f>'Cantidades -Producto 2'!AG183</f>
        <v>8415628.9429268949</v>
      </c>
      <c r="C69" s="74"/>
      <c r="D69" s="52">
        <v>0</v>
      </c>
      <c r="E69" s="70"/>
      <c r="F69" s="78"/>
      <c r="G69" s="50"/>
    </row>
    <row r="70" spans="1:7" ht="15.75" thickBot="1" x14ac:dyDescent="0.3">
      <c r="A70" s="47">
        <v>48030</v>
      </c>
      <c r="B70" s="48">
        <f>'Cantidades -Producto 2'!AG184</f>
        <v>8636765.8708822709</v>
      </c>
      <c r="C70" s="74"/>
      <c r="D70" s="52">
        <v>0</v>
      </c>
      <c r="E70" s="70"/>
      <c r="F70" s="78"/>
      <c r="G70" s="50"/>
    </row>
    <row r="71" spans="1:7" ht="15.75" thickBot="1" x14ac:dyDescent="0.3">
      <c r="A71" s="47">
        <v>48061</v>
      </c>
      <c r="B71" s="48">
        <f>'Cantidades -Producto 2'!AG185</f>
        <v>8351302.3117452022</v>
      </c>
      <c r="C71" s="74"/>
      <c r="D71" s="52">
        <v>0</v>
      </c>
      <c r="E71" s="70"/>
      <c r="F71" s="78"/>
      <c r="G71" s="50"/>
    </row>
    <row r="72" spans="1:7" ht="15.75" thickBot="1" x14ac:dyDescent="0.3">
      <c r="A72" s="47">
        <v>48092</v>
      </c>
      <c r="B72" s="48">
        <f>'Cantidades -Producto 2'!AG186</f>
        <v>8662552.8556045704</v>
      </c>
      <c r="C72" s="74"/>
      <c r="D72" s="52">
        <v>0</v>
      </c>
      <c r="E72" s="70"/>
      <c r="F72" s="78"/>
      <c r="G72" s="50"/>
    </row>
    <row r="73" spans="1:7" ht="15.75" thickBot="1" x14ac:dyDescent="0.3">
      <c r="A73" s="47">
        <v>48122</v>
      </c>
      <c r="B73" s="48">
        <f>'Cantidades -Producto 2'!AG187</f>
        <v>8737679.4555246904</v>
      </c>
      <c r="C73" s="74"/>
      <c r="D73" s="52">
        <v>0</v>
      </c>
      <c r="E73" s="70"/>
      <c r="F73" s="78"/>
      <c r="G73" s="50"/>
    </row>
    <row r="74" spans="1:7" ht="15.75" thickBot="1" x14ac:dyDescent="0.3">
      <c r="A74" s="47">
        <v>48153</v>
      </c>
      <c r="B74" s="48">
        <f>'Cantidades -Producto 2'!AG188</f>
        <v>8451777.0423152782</v>
      </c>
      <c r="C74" s="74"/>
      <c r="D74" s="52">
        <v>0</v>
      </c>
      <c r="E74" s="70"/>
      <c r="F74" s="78"/>
      <c r="G74" s="50"/>
    </row>
    <row r="75" spans="1:7" ht="15.75" thickBot="1" x14ac:dyDescent="0.3">
      <c r="A75" s="47">
        <v>48183</v>
      </c>
      <c r="B75" s="48">
        <f>'Cantidades -Producto 2'!AG189</f>
        <v>9346943.457908351</v>
      </c>
      <c r="C75" s="74"/>
      <c r="D75" s="52">
        <v>0</v>
      </c>
      <c r="E75" s="70"/>
      <c r="F75" s="79"/>
      <c r="G75" s="50"/>
    </row>
    <row r="76" spans="1:7" ht="15.75" thickBot="1" x14ac:dyDescent="0.3">
      <c r="A76" s="47">
        <v>48214</v>
      </c>
      <c r="B76" s="48">
        <f>'Cantidades -Producto 2'!AG217</f>
        <v>5598870.5923237298</v>
      </c>
      <c r="C76" s="73">
        <f t="shared" ref="C76" si="3">SUM(B76:B87)</f>
        <v>72190554.39073585</v>
      </c>
      <c r="D76" s="52">
        <v>0</v>
      </c>
      <c r="E76" s="70"/>
      <c r="F76" s="77"/>
      <c r="G76" s="50"/>
    </row>
    <row r="77" spans="1:7" ht="15.75" thickBot="1" x14ac:dyDescent="0.3">
      <c r="A77" s="47">
        <v>48245</v>
      </c>
      <c r="B77" s="48">
        <f>'Cantidades -Producto 2'!AG218</f>
        <v>4239587.1415850865</v>
      </c>
      <c r="C77" s="74"/>
      <c r="D77" s="52">
        <v>0</v>
      </c>
      <c r="E77" s="70"/>
      <c r="F77" s="78"/>
      <c r="G77" s="50"/>
    </row>
    <row r="78" spans="1:7" ht="15.75" thickBot="1" x14ac:dyDescent="0.3">
      <c r="A78" s="47">
        <v>48274</v>
      </c>
      <c r="B78" s="48">
        <f>'Cantidades -Producto 2'!AG219</f>
        <v>5922130.1169427074</v>
      </c>
      <c r="C78" s="74"/>
      <c r="D78" s="52">
        <v>0</v>
      </c>
      <c r="E78" s="70"/>
      <c r="F78" s="78"/>
      <c r="G78" s="50"/>
    </row>
    <row r="79" spans="1:7" ht="15.75" thickBot="1" x14ac:dyDescent="0.3">
      <c r="A79" s="47">
        <v>48305</v>
      </c>
      <c r="B79" s="48">
        <f>'Cantidades -Producto 2'!AG220</f>
        <v>5732489.9777884614</v>
      </c>
      <c r="C79" s="74"/>
      <c r="D79" s="52">
        <v>0</v>
      </c>
      <c r="E79" s="70"/>
      <c r="F79" s="78"/>
      <c r="G79" s="50"/>
    </row>
    <row r="80" spans="1:7" ht="15.75" thickBot="1" x14ac:dyDescent="0.3">
      <c r="A80" s="47">
        <v>48335</v>
      </c>
      <c r="B80" s="48">
        <f>'Cantidades -Producto 2'!AG221</f>
        <v>6228647.801964473</v>
      </c>
      <c r="C80" s="74"/>
      <c r="D80" s="52">
        <v>0</v>
      </c>
      <c r="E80" s="70"/>
      <c r="F80" s="78"/>
      <c r="G80" s="50"/>
    </row>
    <row r="81" spans="1:7" ht="15.75" thickBot="1" x14ac:dyDescent="0.3">
      <c r="A81" s="47">
        <v>48366</v>
      </c>
      <c r="B81" s="48">
        <f>'Cantidades -Producto 2'!AG222</f>
        <v>6182689.7230190765</v>
      </c>
      <c r="C81" s="74"/>
      <c r="D81" s="52">
        <v>0</v>
      </c>
      <c r="E81" s="70"/>
      <c r="F81" s="78"/>
      <c r="G81" s="50"/>
    </row>
    <row r="82" spans="1:7" ht="15.75" thickBot="1" x14ac:dyDescent="0.3">
      <c r="A82" s="47">
        <v>48396</v>
      </c>
      <c r="B82" s="48">
        <f>'Cantidades -Producto 2'!AG223</f>
        <v>6263981.9761533197</v>
      </c>
      <c r="C82" s="74"/>
      <c r="D82" s="52">
        <v>0</v>
      </c>
      <c r="E82" s="70"/>
      <c r="F82" s="78"/>
      <c r="G82" s="50"/>
    </row>
    <row r="83" spans="1:7" ht="15.75" thickBot="1" x14ac:dyDescent="0.3">
      <c r="A83" s="47">
        <v>48427</v>
      </c>
      <c r="B83" s="48">
        <f>'Cantidades -Producto 2'!AG224</f>
        <v>6021283.5355670089</v>
      </c>
      <c r="C83" s="74"/>
      <c r="D83" s="52">
        <v>0</v>
      </c>
      <c r="E83" s="70"/>
      <c r="F83" s="78"/>
      <c r="G83" s="50"/>
    </row>
    <row r="84" spans="1:7" ht="15.75" thickBot="1" x14ac:dyDescent="0.3">
      <c r="A84" s="47">
        <v>48458</v>
      </c>
      <c r="B84" s="48">
        <f>'Cantidades -Producto 2'!AG225</f>
        <v>6404524.1693287306</v>
      </c>
      <c r="C84" s="74"/>
      <c r="D84" s="52">
        <v>0</v>
      </c>
      <c r="E84" s="70"/>
      <c r="F84" s="78"/>
      <c r="G84" s="50"/>
    </row>
    <row r="85" spans="1:7" ht="15.75" thickBot="1" x14ac:dyDescent="0.3">
      <c r="A85" s="47">
        <v>48488</v>
      </c>
      <c r="B85" s="48">
        <f>'Cantidades -Producto 2'!AG226</f>
        <v>6329685.4987157788</v>
      </c>
      <c r="C85" s="74"/>
      <c r="D85" s="52">
        <v>0</v>
      </c>
      <c r="E85" s="70"/>
      <c r="F85" s="78"/>
      <c r="G85" s="50"/>
    </row>
    <row r="86" spans="1:7" ht="15.75" thickBot="1" x14ac:dyDescent="0.3">
      <c r="A86" s="47">
        <v>48519</v>
      </c>
      <c r="B86" s="48">
        <f>'Cantidades -Producto 2'!AG227</f>
        <v>6243719.1958402526</v>
      </c>
      <c r="C86" s="74"/>
      <c r="D86" s="52">
        <v>0</v>
      </c>
      <c r="E86" s="70"/>
      <c r="F86" s="78"/>
      <c r="G86" s="50"/>
    </row>
    <row r="87" spans="1:7" ht="15.75" thickBot="1" x14ac:dyDescent="0.3">
      <c r="A87" s="47">
        <v>48549</v>
      </c>
      <c r="B87" s="48">
        <f>'Cantidades -Producto 2'!AG228</f>
        <v>7022944.6615072312</v>
      </c>
      <c r="C87" s="74"/>
      <c r="D87" s="52">
        <v>0</v>
      </c>
      <c r="E87" s="70"/>
      <c r="F87" s="79"/>
      <c r="G87" s="50"/>
    </row>
    <row r="88" spans="1:7" ht="15.75" thickBot="1" x14ac:dyDescent="0.3">
      <c r="A88" s="47">
        <v>48580</v>
      </c>
      <c r="B88" s="48">
        <f>'Cantidades -Producto 2'!AG256</f>
        <v>11358035.540712053</v>
      </c>
      <c r="C88" s="73">
        <f t="shared" ref="C88" si="4">SUM(B88:B99)</f>
        <v>123706560.47370702</v>
      </c>
      <c r="D88" s="52">
        <v>0</v>
      </c>
      <c r="E88" s="70"/>
      <c r="F88" s="77"/>
      <c r="G88" s="50"/>
    </row>
    <row r="89" spans="1:7" ht="15.75" thickBot="1" x14ac:dyDescent="0.3">
      <c r="A89" s="47">
        <v>48611</v>
      </c>
      <c r="B89" s="48">
        <f>'Cantidades -Producto 2'!AG257</f>
        <v>8396888.9793665987</v>
      </c>
      <c r="C89" s="74"/>
      <c r="D89" s="52">
        <v>0</v>
      </c>
      <c r="E89" s="70"/>
      <c r="F89" s="78"/>
      <c r="G89" s="50"/>
    </row>
    <row r="90" spans="1:7" ht="15.75" thickBot="1" x14ac:dyDescent="0.3">
      <c r="A90" s="47">
        <v>48639</v>
      </c>
      <c r="B90" s="48">
        <f>'Cantidades -Producto 2'!AG258</f>
        <v>10204130.990121413</v>
      </c>
      <c r="C90" s="74"/>
      <c r="D90" s="52">
        <v>0</v>
      </c>
      <c r="E90" s="70"/>
      <c r="F90" s="78"/>
      <c r="G90" s="50"/>
    </row>
    <row r="91" spans="1:7" ht="15.75" thickBot="1" x14ac:dyDescent="0.3">
      <c r="A91" s="47">
        <v>48670</v>
      </c>
      <c r="B91" s="48">
        <f>'Cantidades -Producto 2'!AG259</f>
        <v>9705330.6784714796</v>
      </c>
      <c r="C91" s="74"/>
      <c r="D91" s="52">
        <v>0</v>
      </c>
      <c r="E91" s="70"/>
      <c r="F91" s="78"/>
      <c r="G91" s="50"/>
    </row>
    <row r="92" spans="1:7" ht="15.75" thickBot="1" x14ac:dyDescent="0.3">
      <c r="A92" s="47">
        <v>48700</v>
      </c>
      <c r="B92" s="48">
        <f>'Cantidades -Producto 2'!AG260</f>
        <v>10548724.150241269</v>
      </c>
      <c r="C92" s="74"/>
      <c r="D92" s="52">
        <v>0</v>
      </c>
      <c r="E92" s="70"/>
      <c r="F92" s="78"/>
      <c r="G92" s="50"/>
    </row>
    <row r="93" spans="1:7" ht="15.75" thickBot="1" x14ac:dyDescent="0.3">
      <c r="A93" s="47">
        <v>48731</v>
      </c>
      <c r="B93" s="48">
        <f>'Cantidades -Producto 2'!AG261</f>
        <v>10226685.68713399</v>
      </c>
      <c r="C93" s="74"/>
      <c r="D93" s="52">
        <v>0</v>
      </c>
      <c r="E93" s="70"/>
      <c r="F93" s="78"/>
      <c r="G93" s="50"/>
    </row>
    <row r="94" spans="1:7" ht="15.75" thickBot="1" x14ac:dyDescent="0.3">
      <c r="A94" s="47">
        <v>48761</v>
      </c>
      <c r="B94" s="48">
        <f>'Cantidades -Producto 2'!AG262</f>
        <v>10420460.913353972</v>
      </c>
      <c r="C94" s="74"/>
      <c r="D94" s="52">
        <v>0</v>
      </c>
      <c r="E94" s="70"/>
      <c r="F94" s="78"/>
      <c r="G94" s="50"/>
    </row>
    <row r="95" spans="1:7" ht="15.75" thickBot="1" x14ac:dyDescent="0.3">
      <c r="A95" s="47">
        <v>48792</v>
      </c>
      <c r="B95" s="48">
        <f>'Cantidades -Producto 2'!AG263</f>
        <v>10263431.319537481</v>
      </c>
      <c r="C95" s="74"/>
      <c r="D95" s="52">
        <v>0</v>
      </c>
      <c r="E95" s="70"/>
      <c r="F95" s="78"/>
      <c r="G95" s="50"/>
    </row>
    <row r="96" spans="1:7" ht="15.75" thickBot="1" x14ac:dyDescent="0.3">
      <c r="A96" s="47">
        <v>48823</v>
      </c>
      <c r="B96" s="48">
        <f>'Cantidades -Producto 2'!AG264</f>
        <v>10485351.387438299</v>
      </c>
      <c r="C96" s="74"/>
      <c r="D96" s="52">
        <v>0</v>
      </c>
      <c r="E96" s="70"/>
      <c r="F96" s="78"/>
      <c r="G96" s="50"/>
    </row>
    <row r="97" spans="1:7" ht="15.75" thickBot="1" x14ac:dyDescent="0.3">
      <c r="A97" s="47">
        <v>48853</v>
      </c>
      <c r="B97" s="48">
        <f>'Cantidades -Producto 2'!AG265</f>
        <v>10539764.704736955</v>
      </c>
      <c r="C97" s="74"/>
      <c r="D97" s="52">
        <v>0</v>
      </c>
      <c r="E97" s="70"/>
      <c r="F97" s="78"/>
      <c r="G97" s="50"/>
    </row>
    <row r="98" spans="1:7" ht="15.75" thickBot="1" x14ac:dyDescent="0.3">
      <c r="A98" s="47">
        <v>48884</v>
      </c>
      <c r="B98" s="48">
        <f>'Cantidades -Producto 2'!AG266</f>
        <v>10320767.497072842</v>
      </c>
      <c r="C98" s="74"/>
      <c r="D98" s="52">
        <v>0</v>
      </c>
      <c r="E98" s="70"/>
      <c r="F98" s="78"/>
      <c r="G98" s="50"/>
    </row>
    <row r="99" spans="1:7" ht="15.75" thickBot="1" x14ac:dyDescent="0.3">
      <c r="A99" s="47">
        <v>48914</v>
      </c>
      <c r="B99" s="48">
        <f>'Cantidades -Producto 2'!AG267</f>
        <v>11236988.625520669</v>
      </c>
      <c r="C99" s="74"/>
      <c r="D99" s="52">
        <v>0</v>
      </c>
      <c r="E99" s="70"/>
      <c r="F99" s="79"/>
      <c r="G99" s="50"/>
    </row>
    <row r="100" spans="1:7" ht="15.75" thickBot="1" x14ac:dyDescent="0.3">
      <c r="A100" s="47">
        <v>48945</v>
      </c>
      <c r="B100" s="48">
        <f>'Cantidades -Producto 2'!AG295</f>
        <v>14643909.374650192</v>
      </c>
      <c r="C100" s="73">
        <f t="shared" ref="C100" si="5">SUM(B100:B111)</f>
        <v>178550050.29751229</v>
      </c>
      <c r="D100" s="52">
        <v>0</v>
      </c>
      <c r="E100" s="70"/>
      <c r="F100" s="77"/>
      <c r="G100" s="50"/>
    </row>
    <row r="101" spans="1:7" ht="15.75" thickBot="1" x14ac:dyDescent="0.3">
      <c r="A101" s="47">
        <v>48976</v>
      </c>
      <c r="B101" s="48">
        <f>'Cantidades -Producto 2'!AG296</f>
        <v>12752507.855516173</v>
      </c>
      <c r="C101" s="74"/>
      <c r="D101" s="52">
        <v>0</v>
      </c>
      <c r="E101" s="70"/>
      <c r="F101" s="78"/>
      <c r="G101" s="50"/>
    </row>
    <row r="102" spans="1:7" ht="15.75" thickBot="1" x14ac:dyDescent="0.3">
      <c r="A102" s="47">
        <v>49004</v>
      </c>
      <c r="B102" s="48">
        <f>'Cantidades -Producto 2'!AG297</f>
        <v>15037518.779692113</v>
      </c>
      <c r="C102" s="74"/>
      <c r="D102" s="52">
        <v>0</v>
      </c>
      <c r="E102" s="70"/>
      <c r="F102" s="78"/>
      <c r="G102" s="50"/>
    </row>
    <row r="103" spans="1:7" ht="15.75" thickBot="1" x14ac:dyDescent="0.3">
      <c r="A103" s="47">
        <v>49035</v>
      </c>
      <c r="B103" s="48">
        <f>'Cantidades -Producto 2'!AG298</f>
        <v>14249121.659810608</v>
      </c>
      <c r="C103" s="74"/>
      <c r="D103" s="52">
        <v>0</v>
      </c>
      <c r="E103" s="70"/>
      <c r="F103" s="78"/>
      <c r="G103" s="50"/>
    </row>
    <row r="104" spans="1:7" ht="15.75" thickBot="1" x14ac:dyDescent="0.3">
      <c r="A104" s="47">
        <v>49065</v>
      </c>
      <c r="B104" s="48">
        <f>'Cantidades -Producto 2'!AG299</f>
        <v>15386324.725581115</v>
      </c>
      <c r="C104" s="74"/>
      <c r="D104" s="52">
        <v>0</v>
      </c>
      <c r="E104" s="70"/>
      <c r="F104" s="78"/>
      <c r="G104" s="50"/>
    </row>
    <row r="105" spans="1:7" ht="15.75" thickBot="1" x14ac:dyDescent="0.3">
      <c r="A105" s="47">
        <v>49096</v>
      </c>
      <c r="B105" s="48">
        <f>'Cantidades -Producto 2'!AG300</f>
        <v>14908457.658325143</v>
      </c>
      <c r="C105" s="74"/>
      <c r="D105" s="52">
        <v>0</v>
      </c>
      <c r="E105" s="70"/>
      <c r="F105" s="78"/>
      <c r="G105" s="50"/>
    </row>
    <row r="106" spans="1:7" ht="15.75" thickBot="1" x14ac:dyDescent="0.3">
      <c r="A106" s="47">
        <v>49126</v>
      </c>
      <c r="B106" s="48">
        <f>'Cantidades -Producto 2'!AG301</f>
        <v>15151108.132947678</v>
      </c>
      <c r="C106" s="74"/>
      <c r="D106" s="52">
        <v>0</v>
      </c>
      <c r="E106" s="70"/>
      <c r="F106" s="78"/>
      <c r="G106" s="50"/>
    </row>
    <row r="107" spans="1:7" ht="15.75" thickBot="1" x14ac:dyDescent="0.3">
      <c r="A107" s="47">
        <v>49157</v>
      </c>
      <c r="B107" s="48">
        <f>'Cantidades -Producto 2'!AG302</f>
        <v>15017950.723140765</v>
      </c>
      <c r="C107" s="74"/>
      <c r="D107" s="52">
        <v>0</v>
      </c>
      <c r="E107" s="70"/>
      <c r="F107" s="78"/>
      <c r="G107" s="50"/>
    </row>
    <row r="108" spans="1:7" ht="15.75" thickBot="1" x14ac:dyDescent="0.3">
      <c r="A108" s="47">
        <v>49188</v>
      </c>
      <c r="B108" s="48">
        <f>'Cantidades -Producto 2'!AG303</f>
        <v>15163093.224088833</v>
      </c>
      <c r="C108" s="74"/>
      <c r="D108" s="52">
        <v>0</v>
      </c>
      <c r="E108" s="70"/>
      <c r="F108" s="78"/>
      <c r="G108" s="50"/>
    </row>
    <row r="109" spans="1:7" ht="15.75" thickBot="1" x14ac:dyDescent="0.3">
      <c r="A109" s="47">
        <v>49218</v>
      </c>
      <c r="B109" s="48">
        <f>'Cantidades -Producto 2'!AG304</f>
        <v>15332943.318289137</v>
      </c>
      <c r="C109" s="74"/>
      <c r="D109" s="52">
        <v>0</v>
      </c>
      <c r="E109" s="70"/>
      <c r="F109" s="78"/>
      <c r="G109" s="50"/>
    </row>
    <row r="110" spans="1:7" ht="15.75" thickBot="1" x14ac:dyDescent="0.3">
      <c r="A110" s="47">
        <v>49249</v>
      </c>
      <c r="B110" s="48">
        <f>'Cantidades -Producto 2'!AG305</f>
        <v>14908582.87617786</v>
      </c>
      <c r="C110" s="74"/>
      <c r="D110" s="52">
        <v>0</v>
      </c>
      <c r="E110" s="70"/>
      <c r="F110" s="78"/>
      <c r="G110" s="50"/>
    </row>
    <row r="111" spans="1:7" ht="15.75" thickBot="1" x14ac:dyDescent="0.3">
      <c r="A111" s="47">
        <v>49279</v>
      </c>
      <c r="B111" s="48">
        <f>'Cantidades -Producto 2'!AG306</f>
        <v>15998531.969292697</v>
      </c>
      <c r="C111" s="74"/>
      <c r="D111" s="52">
        <v>0</v>
      </c>
      <c r="E111" s="70"/>
      <c r="F111" s="79"/>
      <c r="G111" s="50"/>
    </row>
    <row r="112" spans="1:7" ht="15.95" customHeight="1" thickBot="1" x14ac:dyDescent="0.3">
      <c r="A112" s="47">
        <v>49310</v>
      </c>
      <c r="B112" s="48">
        <f>'Cantidades -Producto 2'!AG334</f>
        <v>15309615.384693936</v>
      </c>
      <c r="C112" s="73">
        <f t="shared" ref="C112" si="6">SUM(B112:B123)</f>
        <v>186312589.2725738</v>
      </c>
      <c r="D112" s="52">
        <v>0</v>
      </c>
      <c r="E112" s="70"/>
      <c r="F112" s="77"/>
      <c r="G112" s="50"/>
    </row>
    <row r="113" spans="1:7" ht="15.95" customHeight="1" thickBot="1" x14ac:dyDescent="0.3">
      <c r="A113" s="47">
        <v>49341</v>
      </c>
      <c r="B113" s="48">
        <f>'Cantidades -Producto 2'!AG335</f>
        <v>13320655.790120807</v>
      </c>
      <c r="C113" s="74"/>
      <c r="D113" s="52">
        <v>0</v>
      </c>
      <c r="E113" s="70"/>
      <c r="F113" s="78"/>
      <c r="G113" s="50"/>
    </row>
    <row r="114" spans="1:7" ht="15.75" thickBot="1" x14ac:dyDescent="0.3">
      <c r="A114" s="47">
        <v>49369</v>
      </c>
      <c r="B114" s="48">
        <f>'Cantidades -Producto 2'!AG336</f>
        <v>15606345.779846175</v>
      </c>
      <c r="C114" s="74"/>
      <c r="D114" s="52">
        <v>0</v>
      </c>
      <c r="E114" s="70"/>
      <c r="F114" s="78"/>
      <c r="G114" s="50"/>
    </row>
    <row r="115" spans="1:7" ht="15.75" thickBot="1" x14ac:dyDescent="0.3">
      <c r="A115" s="47">
        <v>49400</v>
      </c>
      <c r="B115" s="48">
        <f>'Cantidades -Producto 2'!AG337</f>
        <v>15006316.010072287</v>
      </c>
      <c r="C115" s="74"/>
      <c r="D115" s="52">
        <v>0</v>
      </c>
      <c r="E115" s="70"/>
      <c r="F115" s="78"/>
      <c r="G115" s="50"/>
    </row>
    <row r="116" spans="1:7" ht="15.75" thickBot="1" x14ac:dyDescent="0.3">
      <c r="A116" s="47">
        <v>49430</v>
      </c>
      <c r="B116" s="48">
        <f>'Cantidades -Producto 2'!AG338</f>
        <v>15986922.192252116</v>
      </c>
      <c r="C116" s="74"/>
      <c r="D116" s="52">
        <v>0</v>
      </c>
      <c r="E116" s="70"/>
      <c r="F116" s="78"/>
      <c r="G116" s="50"/>
    </row>
    <row r="117" spans="1:7" ht="15.75" thickBot="1" x14ac:dyDescent="0.3">
      <c r="A117" s="47">
        <v>49461</v>
      </c>
      <c r="B117" s="48">
        <f>'Cantidades -Producto 2'!AG339</f>
        <v>15541986.380094847</v>
      </c>
      <c r="C117" s="74"/>
      <c r="D117" s="52">
        <v>0</v>
      </c>
      <c r="E117" s="70"/>
      <c r="F117" s="78"/>
      <c r="G117" s="50"/>
    </row>
    <row r="118" spans="1:7" ht="15.75" thickBot="1" x14ac:dyDescent="0.3">
      <c r="A118" s="47">
        <v>49491</v>
      </c>
      <c r="B118" s="48">
        <f>'Cantidades -Producto 2'!AG340</f>
        <v>15838420.376555454</v>
      </c>
      <c r="C118" s="74"/>
      <c r="D118" s="52">
        <v>0</v>
      </c>
      <c r="E118" s="70"/>
      <c r="F118" s="78"/>
      <c r="G118" s="50"/>
    </row>
    <row r="119" spans="1:7" ht="15.75" thickBot="1" x14ac:dyDescent="0.3">
      <c r="A119" s="47">
        <v>49522</v>
      </c>
      <c r="B119" s="48">
        <f>'Cantidades -Producto 2'!AG341</f>
        <v>15668100.56513457</v>
      </c>
      <c r="C119" s="74"/>
      <c r="D119" s="52">
        <v>0</v>
      </c>
      <c r="E119" s="70"/>
      <c r="F119" s="78"/>
      <c r="G119" s="50"/>
    </row>
    <row r="120" spans="1:7" ht="15.75" thickBot="1" x14ac:dyDescent="0.3">
      <c r="A120" s="47">
        <v>49553</v>
      </c>
      <c r="B120" s="48">
        <f>'Cantidades -Producto 2'!AG342</f>
        <v>15753042.064494396</v>
      </c>
      <c r="C120" s="74"/>
      <c r="D120" s="52">
        <v>0</v>
      </c>
      <c r="E120" s="70"/>
      <c r="F120" s="78"/>
      <c r="G120" s="50"/>
    </row>
    <row r="121" spans="1:7" ht="15.75" thickBot="1" x14ac:dyDescent="0.3">
      <c r="A121" s="47">
        <v>49583</v>
      </c>
      <c r="B121" s="48">
        <f>'Cantidades -Producto 2'!AG343</f>
        <v>16050113.93028656</v>
      </c>
      <c r="C121" s="74"/>
      <c r="D121" s="52">
        <v>0</v>
      </c>
      <c r="E121" s="70"/>
      <c r="F121" s="78"/>
      <c r="G121" s="50"/>
    </row>
    <row r="122" spans="1:7" ht="15.75" thickBot="1" x14ac:dyDescent="0.3">
      <c r="A122" s="47">
        <v>49614</v>
      </c>
      <c r="B122" s="48">
        <f>'Cantidades -Producto 2'!AG344</f>
        <v>15546574.573768046</v>
      </c>
      <c r="C122" s="74"/>
      <c r="D122" s="52">
        <v>0</v>
      </c>
      <c r="E122" s="70"/>
      <c r="F122" s="78"/>
      <c r="G122" s="50"/>
    </row>
    <row r="123" spans="1:7" ht="15.75" thickBot="1" x14ac:dyDescent="0.3">
      <c r="A123" s="47">
        <v>49644</v>
      </c>
      <c r="B123" s="48">
        <f>'Cantidades -Producto 2'!AG345</f>
        <v>16684496.225254634</v>
      </c>
      <c r="C123" s="74"/>
      <c r="D123" s="52">
        <v>0</v>
      </c>
      <c r="E123" s="70"/>
      <c r="F123" s="79"/>
      <c r="G123" s="50"/>
    </row>
    <row r="124" spans="1:7" ht="15.75" thickBot="1" x14ac:dyDescent="0.3">
      <c r="A124" s="47">
        <v>49675</v>
      </c>
      <c r="B124" s="48">
        <f>'Cantidades -Producto 2'!AG373</f>
        <v>15941701.072210908</v>
      </c>
      <c r="C124" s="73">
        <f>SUM(B124:B128)</f>
        <v>78927757.86099261</v>
      </c>
      <c r="D124" s="52">
        <v>0</v>
      </c>
      <c r="E124" s="70"/>
      <c r="F124" s="77"/>
      <c r="G124" s="50"/>
    </row>
    <row r="125" spans="1:7" ht="15.75" thickBot="1" x14ac:dyDescent="0.3">
      <c r="A125" s="47">
        <v>49706</v>
      </c>
      <c r="B125" s="48">
        <f>'Cantidades -Producto 2'!AG374</f>
        <v>14408880.607408088</v>
      </c>
      <c r="C125" s="74"/>
      <c r="D125" s="52">
        <v>0</v>
      </c>
      <c r="E125" s="70"/>
      <c r="F125" s="78"/>
      <c r="G125" s="50"/>
    </row>
    <row r="126" spans="1:7" ht="15.75" thickBot="1" x14ac:dyDescent="0.3">
      <c r="A126" s="47">
        <v>49735</v>
      </c>
      <c r="B126" s="48">
        <f>'Cantidades -Producto 2'!AG375</f>
        <v>16313532.120035876</v>
      </c>
      <c r="C126" s="74"/>
      <c r="D126" s="52">
        <v>0</v>
      </c>
      <c r="E126" s="70"/>
      <c r="F126" s="78"/>
      <c r="G126" s="50"/>
    </row>
    <row r="127" spans="1:7" ht="15.75" thickBot="1" x14ac:dyDescent="0.3">
      <c r="A127" s="47">
        <v>49766</v>
      </c>
      <c r="B127" s="48">
        <f>'Cantidades -Producto 2'!AG376</f>
        <v>15548846.003407309</v>
      </c>
      <c r="C127" s="74"/>
      <c r="D127" s="52">
        <v>0</v>
      </c>
      <c r="E127" s="70"/>
      <c r="F127" s="78"/>
      <c r="G127" s="50"/>
    </row>
    <row r="128" spans="1:7" ht="15.75" thickBot="1" x14ac:dyDescent="0.3">
      <c r="A128" s="47">
        <v>49796</v>
      </c>
      <c r="B128" s="48">
        <f>'Cantidades -Producto 2'!AG377</f>
        <v>16714798.057930432</v>
      </c>
      <c r="C128" s="74"/>
      <c r="D128" s="52">
        <v>0</v>
      </c>
      <c r="E128" s="70"/>
      <c r="F128" s="79"/>
      <c r="G128" s="50"/>
    </row>
    <row r="129" spans="1:7" ht="15.75" thickBot="1" x14ac:dyDescent="0.3">
      <c r="A129" s="44" t="s">
        <v>41</v>
      </c>
      <c r="B129" s="53">
        <f>SUM(B11:B128)</f>
        <v>1093122916.0548344</v>
      </c>
      <c r="C129" s="53">
        <f>SUM(C11:C128)</f>
        <v>1093122916.0548344</v>
      </c>
      <c r="D129" s="71"/>
      <c r="E129" s="72"/>
      <c r="F129" s="72"/>
      <c r="G129" s="72" t="str">
        <f>IFERROR(SUMPRODUCT(F11:F15,G11:G15)/SUM(F11:F15),"")</f>
        <v/>
      </c>
    </row>
    <row r="130" spans="1:7" ht="15.75" x14ac:dyDescent="0.25">
      <c r="A130" s="54"/>
      <c r="B130" s="55"/>
      <c r="C130" s="55"/>
      <c r="D130" s="56"/>
      <c r="E130" s="55"/>
      <c r="F130" s="55"/>
      <c r="G130" s="57"/>
    </row>
    <row r="131" spans="1:7" ht="15.75" x14ac:dyDescent="0.25">
      <c r="A131" s="58" t="s">
        <v>42</v>
      </c>
      <c r="B131" s="55"/>
      <c r="C131" s="55"/>
      <c r="D131" s="56"/>
      <c r="E131" s="55"/>
      <c r="F131" s="55"/>
      <c r="G131" s="59"/>
    </row>
    <row r="132" spans="1:7" ht="15.75" customHeight="1" x14ac:dyDescent="0.25">
      <c r="A132" s="85" t="s">
        <v>43</v>
      </c>
      <c r="B132" s="85"/>
      <c r="C132" s="85"/>
      <c r="D132" s="85"/>
      <c r="E132" s="85"/>
      <c r="F132" s="85"/>
      <c r="G132" s="85"/>
    </row>
    <row r="133" spans="1:7" ht="15.75" customHeight="1" x14ac:dyDescent="0.25">
      <c r="A133" s="85" t="s">
        <v>44</v>
      </c>
      <c r="B133" s="85"/>
      <c r="C133" s="85"/>
      <c r="D133" s="85"/>
      <c r="E133" s="85"/>
      <c r="F133" s="85"/>
      <c r="G133" s="85"/>
    </row>
    <row r="134" spans="1:7" ht="31.5" customHeight="1" x14ac:dyDescent="0.25">
      <c r="A134" s="86" t="s">
        <v>49</v>
      </c>
      <c r="B134" s="86"/>
      <c r="C134" s="86"/>
      <c r="D134" s="86"/>
      <c r="E134" s="86"/>
      <c r="F134" s="86"/>
      <c r="G134" s="86"/>
    </row>
    <row r="135" spans="1:7" ht="15.75" customHeight="1" x14ac:dyDescent="0.25">
      <c r="A135" s="86" t="s">
        <v>53</v>
      </c>
      <c r="B135" s="86"/>
      <c r="C135" s="86"/>
      <c r="D135" s="86"/>
      <c r="E135" s="86"/>
      <c r="F135" s="86"/>
      <c r="G135" s="86"/>
    </row>
    <row r="136" spans="1:7" ht="15.75" customHeight="1" x14ac:dyDescent="0.25">
      <c r="A136" s="85" t="s">
        <v>54</v>
      </c>
      <c r="B136" s="85"/>
      <c r="C136" s="85"/>
      <c r="D136" s="85"/>
      <c r="E136" s="85"/>
      <c r="F136" s="85"/>
      <c r="G136" s="85"/>
    </row>
    <row r="137" spans="1:7" ht="25.5" customHeight="1" x14ac:dyDescent="0.25">
      <c r="A137" s="85" t="s">
        <v>52</v>
      </c>
      <c r="B137" s="85"/>
      <c r="C137" s="85"/>
      <c r="D137" s="85"/>
      <c r="E137" s="85"/>
      <c r="F137" s="85"/>
      <c r="G137" s="85"/>
    </row>
    <row r="138" spans="1:7" ht="15.75" customHeight="1" x14ac:dyDescent="0.25">
      <c r="A138" s="85" t="s">
        <v>50</v>
      </c>
      <c r="B138" s="85"/>
      <c r="C138" s="85"/>
      <c r="D138" s="85"/>
      <c r="E138" s="85"/>
      <c r="F138" s="85"/>
      <c r="G138" s="85"/>
    </row>
    <row r="139" spans="1:7" ht="15.75" customHeight="1" x14ac:dyDescent="0.25">
      <c r="A139" s="86" t="s">
        <v>51</v>
      </c>
      <c r="B139" s="86"/>
      <c r="C139" s="86"/>
      <c r="D139" s="86"/>
      <c r="E139" s="86"/>
      <c r="F139" s="86"/>
      <c r="G139" s="86"/>
    </row>
    <row r="140" spans="1:7" ht="15.75" customHeight="1" x14ac:dyDescent="0.25">
      <c r="A140" s="85" t="s">
        <v>55</v>
      </c>
      <c r="B140" s="85"/>
      <c r="C140" s="85"/>
      <c r="D140" s="85"/>
      <c r="E140" s="85"/>
      <c r="F140" s="85"/>
      <c r="G140" s="85"/>
    </row>
    <row r="141" spans="1:7" ht="15.75" customHeight="1" x14ac:dyDescent="0.25">
      <c r="A141" s="85"/>
      <c r="B141" s="85"/>
      <c r="C141" s="85"/>
      <c r="D141" s="85"/>
      <c r="E141" s="85"/>
      <c r="F141" s="85"/>
      <c r="G141" s="85"/>
    </row>
    <row r="142" spans="1:7" ht="15.75" x14ac:dyDescent="0.25">
      <c r="A142" s="60"/>
      <c r="B142" s="60"/>
      <c r="C142" s="60"/>
      <c r="D142" s="60"/>
      <c r="E142" s="60"/>
      <c r="F142" s="60"/>
      <c r="G142" s="60"/>
    </row>
    <row r="143" spans="1:7" ht="15.75" x14ac:dyDescent="0.25">
      <c r="A143" s="87" t="s">
        <v>45</v>
      </c>
      <c r="B143" s="87"/>
      <c r="C143" s="87"/>
      <c r="D143" s="87"/>
      <c r="E143" s="62"/>
      <c r="F143" s="62"/>
      <c r="G143" s="59"/>
    </row>
    <row r="144" spans="1:7" ht="15.75" x14ac:dyDescent="0.25">
      <c r="A144" s="61"/>
      <c r="B144" s="62"/>
      <c r="C144" s="62"/>
      <c r="D144" s="63"/>
      <c r="E144" s="62"/>
      <c r="F144" s="62"/>
      <c r="G144" s="59"/>
    </row>
    <row r="145" spans="1:7" ht="15.75" x14ac:dyDescent="0.25">
      <c r="A145" s="61"/>
      <c r="B145" s="62"/>
      <c r="C145" s="62"/>
      <c r="D145" s="63"/>
      <c r="E145" s="62"/>
      <c r="F145" s="62"/>
      <c r="G145" s="59"/>
    </row>
    <row r="146" spans="1:7" ht="15.75" x14ac:dyDescent="0.25">
      <c r="A146" s="88"/>
      <c r="B146" s="88"/>
      <c r="C146" s="88"/>
      <c r="D146" s="88"/>
      <c r="E146" s="65"/>
      <c r="F146" s="64"/>
      <c r="G146" s="59"/>
    </row>
    <row r="147" spans="1:7" ht="15.75" x14ac:dyDescent="0.25">
      <c r="A147" s="89" t="s">
        <v>46</v>
      </c>
      <c r="B147" s="89"/>
      <c r="C147" s="89"/>
      <c r="D147" s="89"/>
      <c r="E147" s="65"/>
      <c r="F147" s="64"/>
      <c r="G147" s="59"/>
    </row>
    <row r="148" spans="1:7" ht="15.75" x14ac:dyDescent="0.25">
      <c r="A148" s="32"/>
      <c r="B148" s="32"/>
      <c r="C148" s="32"/>
      <c r="D148" s="34"/>
      <c r="E148" s="32"/>
      <c r="F148" s="32"/>
      <c r="G148" s="32"/>
    </row>
    <row r="149" spans="1:7" ht="15.75" x14ac:dyDescent="0.25">
      <c r="A149" s="32"/>
      <c r="B149" s="32"/>
      <c r="C149" s="32"/>
      <c r="D149" s="34"/>
      <c r="E149" s="32"/>
      <c r="F149" s="32"/>
      <c r="G149" s="32"/>
    </row>
    <row r="150" spans="1:7" ht="15.75" x14ac:dyDescent="0.25">
      <c r="A150" s="32"/>
      <c r="B150" s="32"/>
      <c r="C150" s="32"/>
      <c r="D150" s="34"/>
      <c r="E150" s="32"/>
      <c r="F150" s="32"/>
      <c r="G150" s="32"/>
    </row>
    <row r="151" spans="1:7" ht="15.75" x14ac:dyDescent="0.25">
      <c r="A151" s="32"/>
      <c r="B151" s="32"/>
      <c r="C151" s="32"/>
      <c r="D151" s="34"/>
      <c r="E151" s="32"/>
      <c r="F151" s="32"/>
      <c r="G151" s="32"/>
    </row>
  </sheetData>
  <protectedRanges>
    <protectedRange sqref="A143:G147" name="Firma"/>
    <protectedRange algorithmName="SHA-512" hashValue="EfuM75OxYYlPPr0UY+MtkUX4tvrGAqmm1y+w1rxwSe0n0ngf3SoQCMO5MnavFoE7SkF/ZNF0iErlsn2vdjoS/g==" saltValue="mLJWVwp6Ft7/S/i0xbc+xA==" spinCount="100000" sqref="B8" name="Proponente"/>
    <protectedRange algorithmName="SHA-512" hashValue="ZCGCsZBsuti+jNpq0zPDF7TJcNUKSC9UOPfyeHu6/iZZ4KM54hDGjg/wkL+h8IG2Vs+ED/T62OT2avFLotLyFw==" saltValue="/cGMZahkX9SqIv/qJhV3zw==" spinCount="100000" sqref="D11:D128 G11:G128" name="Oferta despacho"/>
  </protectedRanges>
  <mergeCells count="37">
    <mergeCell ref="A140:G140"/>
    <mergeCell ref="A141:G141"/>
    <mergeCell ref="A143:D143"/>
    <mergeCell ref="A146:D146"/>
    <mergeCell ref="A147:D147"/>
    <mergeCell ref="A138:G138"/>
    <mergeCell ref="A139:G139"/>
    <mergeCell ref="A137:G137"/>
    <mergeCell ref="F88:F99"/>
    <mergeCell ref="F100:F111"/>
    <mergeCell ref="F112:F123"/>
    <mergeCell ref="A132:G132"/>
    <mergeCell ref="A133:G133"/>
    <mergeCell ref="A134:G134"/>
    <mergeCell ref="A135:G135"/>
    <mergeCell ref="A136:G136"/>
    <mergeCell ref="F76:F87"/>
    <mergeCell ref="C88:C99"/>
    <mergeCell ref="C100:C111"/>
    <mergeCell ref="C112:C123"/>
    <mergeCell ref="C124:C128"/>
    <mergeCell ref="F124:F128"/>
    <mergeCell ref="C76:C87"/>
    <mergeCell ref="A5:G6"/>
    <mergeCell ref="B8:G8"/>
    <mergeCell ref="C11:C15"/>
    <mergeCell ref="F11:F15"/>
    <mergeCell ref="C16:C27"/>
    <mergeCell ref="F16:F27"/>
    <mergeCell ref="C28:C39"/>
    <mergeCell ref="F28:F39"/>
    <mergeCell ref="C40:C51"/>
    <mergeCell ref="C52:C63"/>
    <mergeCell ref="C64:C75"/>
    <mergeCell ref="F40:F51"/>
    <mergeCell ref="F52:F63"/>
    <mergeCell ref="F64:F75"/>
  </mergeCells>
  <conditionalFormatting sqref="G129">
    <cfRule type="containsText" dxfId="0" priority="1" operator="containsText" text="No cumple con la relación requerida para ofertar">
      <formula>NOT(ISERROR(SEARCH("No cumple con la relación requerida para ofertar",G129)))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C45B-A81E-4297-A484-21C7F362ABA5}">
  <dimension ref="A1:AG387"/>
  <sheetViews>
    <sheetView zoomScale="55" zoomScaleNormal="55" workbookViewId="0">
      <selection activeCell="AC4" sqref="AC4:AC18"/>
    </sheetView>
  </sheetViews>
  <sheetFormatPr baseColWidth="10" defaultRowHeight="15" x14ac:dyDescent="0.25"/>
  <cols>
    <col min="2" max="2" width="13.140625" bestFit="1" customWidth="1"/>
    <col min="28" max="28" width="26.42578125" customWidth="1"/>
    <col min="29" max="29" width="19.42578125" customWidth="1"/>
    <col min="33" max="33" width="16.140625" customWidth="1"/>
    <col min="35" max="35" width="17.7109375" customWidth="1"/>
  </cols>
  <sheetData>
    <row r="1" spans="1:33" ht="15.75" thickBot="1" x14ac:dyDescent="0.3"/>
    <row r="2" spans="1:33" ht="15.75" thickBot="1" x14ac:dyDescent="0.3">
      <c r="A2" s="98" t="s">
        <v>32</v>
      </c>
      <c r="B2" s="99"/>
      <c r="C2" s="99"/>
      <c r="D2" s="99"/>
      <c r="E2" s="100"/>
    </row>
    <row r="3" spans="1:33" ht="15.75" thickBot="1" x14ac:dyDescent="0.3">
      <c r="A3" s="28" t="s">
        <v>0</v>
      </c>
      <c r="B3" s="29" t="s">
        <v>1</v>
      </c>
      <c r="C3" s="30" t="s">
        <v>2</v>
      </c>
      <c r="D3" s="31" t="s">
        <v>3</v>
      </c>
      <c r="E3" s="31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101" t="s">
        <v>27</v>
      </c>
      <c r="AC3" s="102"/>
    </row>
    <row r="4" spans="1:33" ht="15.75" thickBot="1" x14ac:dyDescent="0.3">
      <c r="A4" s="103">
        <v>46235</v>
      </c>
      <c r="B4" s="15" t="s">
        <v>28</v>
      </c>
      <c r="C4" s="13">
        <v>5</v>
      </c>
      <c r="D4" s="16">
        <v>6655.8914964543619</v>
      </c>
      <c r="E4" s="16">
        <v>5098.4853493194678</v>
      </c>
      <c r="F4" s="16">
        <v>4540.3207377346225</v>
      </c>
      <c r="G4" s="16">
        <v>4119.1306570396573</v>
      </c>
      <c r="H4" s="16">
        <v>4032.7904619461351</v>
      </c>
      <c r="I4" s="16">
        <v>4176.3429054673616</v>
      </c>
      <c r="J4" s="16">
        <v>4834.882839844282</v>
      </c>
      <c r="K4" s="16">
        <v>6323.5221988748999</v>
      </c>
      <c r="L4" s="16">
        <v>8568.8617033470618</v>
      </c>
      <c r="M4" s="16">
        <v>9560.2105865213853</v>
      </c>
      <c r="N4" s="16">
        <v>11205.754863442959</v>
      </c>
      <c r="O4" s="16">
        <v>12404.360668372337</v>
      </c>
      <c r="P4" s="16">
        <v>12792.347951975786</v>
      </c>
      <c r="Q4" s="16">
        <v>12646.441337715692</v>
      </c>
      <c r="R4" s="16">
        <v>12212.810391725885</v>
      </c>
      <c r="S4" s="16">
        <v>12047.186895209532</v>
      </c>
      <c r="T4" s="16">
        <v>11734.815407182141</v>
      </c>
      <c r="U4" s="16">
        <v>11247.929073726089</v>
      </c>
      <c r="V4" s="16">
        <v>12789.27601199612</v>
      </c>
      <c r="W4" s="16">
        <v>13483.545684490349</v>
      </c>
      <c r="X4" s="16">
        <v>12833.885861933904</v>
      </c>
      <c r="Y4" s="16">
        <v>11280.738572603459</v>
      </c>
      <c r="Z4" s="16">
        <v>9254.1346791930337</v>
      </c>
      <c r="AA4" s="16">
        <v>7766.5712717053648</v>
      </c>
      <c r="AB4" s="17">
        <f t="shared" ref="AB4:AB18" si="0">SUM(D4:AA4)*C4</f>
        <v>1108051.1880391093</v>
      </c>
      <c r="AC4" s="106">
        <f>+AB4+AB5+AB6</f>
        <v>7024968.7906087227</v>
      </c>
    </row>
    <row r="5" spans="1:33" ht="22.5" customHeight="1" thickBot="1" x14ac:dyDescent="0.3">
      <c r="A5" s="104"/>
      <c r="B5" s="18" t="s">
        <v>29</v>
      </c>
      <c r="C5" s="19">
        <v>5</v>
      </c>
      <c r="D5" s="16">
        <v>6571.5687606694446</v>
      </c>
      <c r="E5" s="16">
        <v>5859.9658740238956</v>
      </c>
      <c r="F5" s="16">
        <v>5166.8700763014458</v>
      </c>
      <c r="G5" s="16">
        <v>4610.2768516119286</v>
      </c>
      <c r="H5" s="16">
        <v>4246.343566387297</v>
      </c>
      <c r="I5" s="16">
        <v>4327.8315450951541</v>
      </c>
      <c r="J5" s="16">
        <v>4731.1909696628463</v>
      </c>
      <c r="K5" s="16">
        <v>6251.708954909951</v>
      </c>
      <c r="L5" s="16">
        <v>8128.0514596505382</v>
      </c>
      <c r="M5" s="16">
        <v>9363.0921302096795</v>
      </c>
      <c r="N5" s="16">
        <v>10087.772182475077</v>
      </c>
      <c r="O5" s="16">
        <v>11154.556465769077</v>
      </c>
      <c r="P5" s="16">
        <v>11804.19180751832</v>
      </c>
      <c r="Q5" s="16">
        <v>11731.9714196368</v>
      </c>
      <c r="R5" s="16">
        <v>11079.070298073799</v>
      </c>
      <c r="S5" s="16">
        <v>10660.832763257775</v>
      </c>
      <c r="T5" s="16">
        <v>10373.15217592127</v>
      </c>
      <c r="U5" s="16">
        <v>10122.716528138237</v>
      </c>
      <c r="V5" s="16">
        <v>11069.617094569872</v>
      </c>
      <c r="W5" s="16">
        <v>12617.149249244179</v>
      </c>
      <c r="X5" s="16">
        <v>12122.303844173188</v>
      </c>
      <c r="Y5" s="16">
        <v>10700.708386274127</v>
      </c>
      <c r="Z5" s="16">
        <v>8925.8007015555049</v>
      </c>
      <c r="AA5" s="16">
        <v>7346.7665639034458</v>
      </c>
      <c r="AB5" s="17">
        <f t="shared" si="0"/>
        <v>1045267.5483451643</v>
      </c>
      <c r="AC5" s="107"/>
      <c r="AF5" s="66" t="s">
        <v>34</v>
      </c>
      <c r="AG5" s="66" t="s">
        <v>35</v>
      </c>
    </row>
    <row r="6" spans="1:33" ht="15.75" thickBot="1" x14ac:dyDescent="0.3">
      <c r="A6" s="105"/>
      <c r="B6" s="18" t="s">
        <v>30</v>
      </c>
      <c r="C6" s="20">
        <v>21</v>
      </c>
      <c r="D6" s="16">
        <v>6612.0713479307451</v>
      </c>
      <c r="E6" s="16">
        <v>5856.6633941216751</v>
      </c>
      <c r="F6" s="16">
        <v>5341.0985976730917</v>
      </c>
      <c r="G6" s="16">
        <v>4990.0865951026608</v>
      </c>
      <c r="H6" s="16">
        <v>4882.5114014319843</v>
      </c>
      <c r="I6" s="16">
        <v>5649.3782317805744</v>
      </c>
      <c r="J6" s="16">
        <v>6703.4592151040451</v>
      </c>
      <c r="K6" s="16">
        <v>7987.4048921691465</v>
      </c>
      <c r="L6" s="16">
        <v>9724.1351382522262</v>
      </c>
      <c r="M6" s="16">
        <v>10969.140226065421</v>
      </c>
      <c r="N6" s="16">
        <v>11638.728957058225</v>
      </c>
      <c r="O6" s="16">
        <v>11758.438731343082</v>
      </c>
      <c r="P6" s="16">
        <v>11102.089438447576</v>
      </c>
      <c r="Q6" s="16">
        <v>11480.264523034348</v>
      </c>
      <c r="R6" s="16">
        <v>11823.164749938336</v>
      </c>
      <c r="S6" s="16">
        <v>11881.224659517029</v>
      </c>
      <c r="T6" s="16">
        <v>12967.356120521534</v>
      </c>
      <c r="U6" s="16">
        <v>12457.592472731383</v>
      </c>
      <c r="V6" s="16">
        <v>12671.562226147988</v>
      </c>
      <c r="W6" s="16">
        <v>13306.391009619911</v>
      </c>
      <c r="X6" s="16">
        <v>12831.817941323818</v>
      </c>
      <c r="Y6" s="16">
        <v>11633.733626169353</v>
      </c>
      <c r="Z6" s="16">
        <v>9771.685779479456</v>
      </c>
      <c r="AA6" s="16">
        <v>7943.3366404863955</v>
      </c>
      <c r="AB6" s="17">
        <f t="shared" si="0"/>
        <v>4871650.0542244492</v>
      </c>
      <c r="AC6" s="108"/>
      <c r="AF6" s="67">
        <v>46235</v>
      </c>
      <c r="AG6" s="68">
        <f>AC4</f>
        <v>7024968.7906087227</v>
      </c>
    </row>
    <row r="7" spans="1:33" ht="15.75" thickBot="1" x14ac:dyDescent="0.3">
      <c r="A7" s="103">
        <v>46266</v>
      </c>
      <c r="B7" s="15" t="s">
        <v>28</v>
      </c>
      <c r="C7" s="13">
        <v>4</v>
      </c>
      <c r="D7" s="16">
        <v>1995.8492913374657</v>
      </c>
      <c r="E7" s="16">
        <v>1903.5485193140739</v>
      </c>
      <c r="F7" s="16">
        <v>1741.97352101671</v>
      </c>
      <c r="G7" s="16">
        <v>1651.3014324824944</v>
      </c>
      <c r="H7" s="16">
        <v>1639.5365266759054</v>
      </c>
      <c r="I7" s="16">
        <v>1680.9493363122947</v>
      </c>
      <c r="J7" s="16">
        <v>1869.2304788671927</v>
      </c>
      <c r="K7" s="16">
        <v>2458.9738381343232</v>
      </c>
      <c r="L7" s="16">
        <v>3114.5501300837313</v>
      </c>
      <c r="M7" s="16">
        <v>3530.0925954482109</v>
      </c>
      <c r="N7" s="16">
        <v>3839.9753523337331</v>
      </c>
      <c r="O7" s="16">
        <v>4169.7477732500765</v>
      </c>
      <c r="P7" s="16">
        <v>4287.6735209169101</v>
      </c>
      <c r="Q7" s="16">
        <v>4248.0770532273709</v>
      </c>
      <c r="R7" s="16">
        <v>4118.1640884560784</v>
      </c>
      <c r="S7" s="16">
        <v>3936.1860309723834</v>
      </c>
      <c r="T7" s="16">
        <v>3782.2650453932165</v>
      </c>
      <c r="U7" s="16">
        <v>3720.8175629178004</v>
      </c>
      <c r="V7" s="16">
        <v>4157.7589567837631</v>
      </c>
      <c r="W7" s="16">
        <v>4324.1549648332111</v>
      </c>
      <c r="X7" s="16">
        <v>4114.7350566386049</v>
      </c>
      <c r="Y7" s="16">
        <v>3711.1627485187928</v>
      </c>
      <c r="Z7" s="16">
        <v>3243.3568695718677</v>
      </c>
      <c r="AA7" s="16">
        <v>2745.167380341768</v>
      </c>
      <c r="AB7" s="17">
        <f t="shared" si="0"/>
        <v>303940.99229531188</v>
      </c>
      <c r="AC7" s="106">
        <f>+AB7+AB8+AB9</f>
        <v>2275335.8508950048</v>
      </c>
      <c r="AF7" s="67">
        <v>46266</v>
      </c>
      <c r="AG7" s="68">
        <f>AC7</f>
        <v>2275335.8508950048</v>
      </c>
    </row>
    <row r="8" spans="1:33" ht="15.75" thickBot="1" x14ac:dyDescent="0.3">
      <c r="A8" s="104"/>
      <c r="B8" s="18" t="s">
        <v>29</v>
      </c>
      <c r="C8" s="19">
        <v>4</v>
      </c>
      <c r="D8" s="16">
        <v>2371.2536384641235</v>
      </c>
      <c r="E8" s="16">
        <v>2108.3313443699399</v>
      </c>
      <c r="F8" s="16">
        <v>1915.1710819155533</v>
      </c>
      <c r="G8" s="16">
        <v>1799.8288367654259</v>
      </c>
      <c r="H8" s="16">
        <v>1714.7491835181008</v>
      </c>
      <c r="I8" s="16">
        <v>1704.7121216357091</v>
      </c>
      <c r="J8" s="16">
        <v>1752.7084377885731</v>
      </c>
      <c r="K8" s="16">
        <v>2145.1166670387202</v>
      </c>
      <c r="L8" s="16">
        <v>2656.5851246316324</v>
      </c>
      <c r="M8" s="16">
        <v>2936.8946145739264</v>
      </c>
      <c r="N8" s="16">
        <v>3181.0164100606526</v>
      </c>
      <c r="O8" s="16">
        <v>3537.0109017130353</v>
      </c>
      <c r="P8" s="16">
        <v>3705.3895853422691</v>
      </c>
      <c r="Q8" s="16">
        <v>3585.517947418316</v>
      </c>
      <c r="R8" s="16">
        <v>3315.3409479491065</v>
      </c>
      <c r="S8" s="16">
        <v>3191.7289357665441</v>
      </c>
      <c r="T8" s="16">
        <v>3079.6190009257034</v>
      </c>
      <c r="U8" s="16">
        <v>3124.2598559064336</v>
      </c>
      <c r="V8" s="16">
        <v>3699.626018336874</v>
      </c>
      <c r="W8" s="16">
        <v>3916.7319264867801</v>
      </c>
      <c r="X8" s="16">
        <v>3778.0725848502125</v>
      </c>
      <c r="Y8" s="16">
        <v>3449.1398289078306</v>
      </c>
      <c r="Z8" s="16">
        <v>2907.9168433614395</v>
      </c>
      <c r="AA8" s="16">
        <v>2432.5337210653652</v>
      </c>
      <c r="AB8" s="17">
        <f t="shared" si="0"/>
        <v>272037.02223516908</v>
      </c>
      <c r="AC8" s="107"/>
      <c r="AF8" s="67">
        <v>46296</v>
      </c>
      <c r="AG8" s="68">
        <f>AC10</f>
        <v>2149277.0968822557</v>
      </c>
    </row>
    <row r="9" spans="1:33" ht="15.75" thickBot="1" x14ac:dyDescent="0.3">
      <c r="A9" s="105"/>
      <c r="B9" s="18" t="s">
        <v>30</v>
      </c>
      <c r="C9" s="20">
        <v>22</v>
      </c>
      <c r="D9" s="16">
        <v>2083.7030619553279</v>
      </c>
      <c r="E9" s="16">
        <v>1890.6069678371905</v>
      </c>
      <c r="F9" s="16">
        <v>1745.6189028742265</v>
      </c>
      <c r="G9" s="16">
        <v>1610.5084967287576</v>
      </c>
      <c r="H9" s="16">
        <v>1638.7101897174043</v>
      </c>
      <c r="I9" s="16">
        <v>1903.1409243685603</v>
      </c>
      <c r="J9" s="16">
        <v>2252.1276908887648</v>
      </c>
      <c r="K9" s="16">
        <v>2638.8079268184165</v>
      </c>
      <c r="L9" s="16">
        <v>3201.8120883496704</v>
      </c>
      <c r="M9" s="16">
        <v>3498.1403019781828</v>
      </c>
      <c r="N9" s="16">
        <v>3738.7915307047142</v>
      </c>
      <c r="O9" s="16">
        <v>4059.1052286785925</v>
      </c>
      <c r="P9" s="16">
        <v>4114.1310309779728</v>
      </c>
      <c r="Q9" s="16">
        <v>4162.0084612329347</v>
      </c>
      <c r="R9" s="16">
        <v>4267.7888003681837</v>
      </c>
      <c r="S9" s="16">
        <v>4226.7810654707491</v>
      </c>
      <c r="T9" s="16">
        <v>4155.8542137452832</v>
      </c>
      <c r="U9" s="16">
        <v>4015.1461380377632</v>
      </c>
      <c r="V9" s="16">
        <v>4333.8664838798122</v>
      </c>
      <c r="W9" s="16">
        <v>4429.8129770192963</v>
      </c>
      <c r="X9" s="16">
        <v>4179.6027017430242</v>
      </c>
      <c r="Y9" s="16">
        <v>3670.218358043925</v>
      </c>
      <c r="Z9" s="16">
        <v>2987.3945620817613</v>
      </c>
      <c r="AA9" s="16">
        <v>2439.8599130687644</v>
      </c>
      <c r="AB9" s="17">
        <f t="shared" si="0"/>
        <v>1699357.836364524</v>
      </c>
      <c r="AC9" s="108"/>
      <c r="AF9" s="67">
        <v>46327</v>
      </c>
      <c r="AG9" s="68">
        <f>AC13</f>
        <v>2095521.3673851695</v>
      </c>
    </row>
    <row r="10" spans="1:33" ht="15.75" thickBot="1" x14ac:dyDescent="0.3">
      <c r="A10" s="103">
        <v>46296</v>
      </c>
      <c r="B10" s="15" t="s">
        <v>28</v>
      </c>
      <c r="C10" s="13">
        <v>5</v>
      </c>
      <c r="D10" s="16">
        <v>1876.9935772043264</v>
      </c>
      <c r="E10" s="16">
        <v>1670.3156117493572</v>
      </c>
      <c r="F10" s="16">
        <v>1537.4478896772507</v>
      </c>
      <c r="G10" s="16">
        <v>1416.6354194732658</v>
      </c>
      <c r="H10" s="16">
        <v>1358.988074639642</v>
      </c>
      <c r="I10" s="16">
        <v>1395.9470950099003</v>
      </c>
      <c r="J10" s="16">
        <v>1504.3773108349851</v>
      </c>
      <c r="K10" s="16">
        <v>2042.5883707493322</v>
      </c>
      <c r="L10" s="16">
        <v>2702.1127201704476</v>
      </c>
      <c r="M10" s="16">
        <v>3193.6562924269128</v>
      </c>
      <c r="N10" s="16">
        <v>3542.9083841342881</v>
      </c>
      <c r="O10" s="16">
        <v>3914.4734973222976</v>
      </c>
      <c r="P10" s="16">
        <v>4007.5010696468617</v>
      </c>
      <c r="Q10" s="16">
        <v>3902.311995427016</v>
      </c>
      <c r="R10" s="16">
        <v>3786.6443991110445</v>
      </c>
      <c r="S10" s="16">
        <v>3629.2463309623572</v>
      </c>
      <c r="T10" s="16">
        <v>3495.9897131597672</v>
      </c>
      <c r="U10" s="16">
        <v>3490.5993295002572</v>
      </c>
      <c r="V10" s="16">
        <v>3821.0059673609958</v>
      </c>
      <c r="W10" s="16">
        <v>3859.7789748454543</v>
      </c>
      <c r="X10" s="16">
        <v>3720.1107352582148</v>
      </c>
      <c r="Y10" s="16">
        <v>3384.8929311190404</v>
      </c>
      <c r="Z10" s="16">
        <v>2917.6037643346363</v>
      </c>
      <c r="AA10" s="16">
        <v>2453.0631722819826</v>
      </c>
      <c r="AB10" s="17">
        <f t="shared" si="0"/>
        <v>343125.96313199814</v>
      </c>
      <c r="AC10" s="106">
        <f>+AB10+AB11+AB12</f>
        <v>2149277.0968822557</v>
      </c>
      <c r="AF10" s="67">
        <v>46357</v>
      </c>
      <c r="AG10" s="68">
        <f>AC16</f>
        <v>8978626.8891185708</v>
      </c>
    </row>
    <row r="11" spans="1:33" ht="15.75" thickBot="1" x14ac:dyDescent="0.3">
      <c r="A11" s="104"/>
      <c r="B11" s="18" t="s">
        <v>29</v>
      </c>
      <c r="C11" s="19">
        <v>4</v>
      </c>
      <c r="D11" s="16">
        <v>2009.6729375777959</v>
      </c>
      <c r="E11" s="16">
        <v>1769.9382160996302</v>
      </c>
      <c r="F11" s="16">
        <v>1592.5844328981575</v>
      </c>
      <c r="G11" s="16">
        <v>1492.7506695133234</v>
      </c>
      <c r="H11" s="16">
        <v>1445.4349535343927</v>
      </c>
      <c r="I11" s="16">
        <v>1460.3635981273392</v>
      </c>
      <c r="J11" s="16">
        <v>1498.2843359764511</v>
      </c>
      <c r="K11" s="16">
        <v>1894.5990003941642</v>
      </c>
      <c r="L11" s="16">
        <v>2347.6272472708788</v>
      </c>
      <c r="M11" s="16">
        <v>2686.1666542009107</v>
      </c>
      <c r="N11" s="16">
        <v>2867.6029141741519</v>
      </c>
      <c r="O11" s="16">
        <v>3284.931151924784</v>
      </c>
      <c r="P11" s="16">
        <v>3507.1368883394452</v>
      </c>
      <c r="Q11" s="16">
        <v>3443.2044933554698</v>
      </c>
      <c r="R11" s="16">
        <v>3158.1156583415705</v>
      </c>
      <c r="S11" s="16">
        <v>2817.2399886783915</v>
      </c>
      <c r="T11" s="16">
        <v>2869.3858515231323</v>
      </c>
      <c r="U11" s="16">
        <v>3004.989357061585</v>
      </c>
      <c r="V11" s="16">
        <v>3538.8105372129603</v>
      </c>
      <c r="W11" s="16">
        <v>3647.6332592063445</v>
      </c>
      <c r="X11" s="16">
        <v>3377.8068795503332</v>
      </c>
      <c r="Y11" s="16">
        <v>2956.0978397089548</v>
      </c>
      <c r="Z11" s="16">
        <v>2439.9413970829701</v>
      </c>
      <c r="AA11" s="16">
        <v>2014.7688126668745</v>
      </c>
      <c r="AB11" s="17">
        <f t="shared" si="0"/>
        <v>244500.34829768006</v>
      </c>
      <c r="AC11" s="107"/>
    </row>
    <row r="12" spans="1:33" ht="15.75" thickBot="1" x14ac:dyDescent="0.3">
      <c r="A12" s="105"/>
      <c r="B12" s="18" t="s">
        <v>30</v>
      </c>
      <c r="C12" s="20">
        <v>22</v>
      </c>
      <c r="D12" s="16">
        <v>1904.8269112170474</v>
      </c>
      <c r="E12" s="16">
        <v>1700.0784199975951</v>
      </c>
      <c r="F12" s="16">
        <v>1550.5537789498721</v>
      </c>
      <c r="G12" s="16">
        <v>1396.7977985592297</v>
      </c>
      <c r="H12" s="16">
        <v>1446.9750068848325</v>
      </c>
      <c r="I12" s="16">
        <v>1651.398933811256</v>
      </c>
      <c r="J12" s="16">
        <v>1935.9217834642304</v>
      </c>
      <c r="K12" s="16">
        <v>2388.1024870969268</v>
      </c>
      <c r="L12" s="16">
        <v>2886.7682809445814</v>
      </c>
      <c r="M12" s="16">
        <v>3192.8532279012334</v>
      </c>
      <c r="N12" s="16">
        <v>3388.8737435885632</v>
      </c>
      <c r="O12" s="16">
        <v>3622.2765448690916</v>
      </c>
      <c r="P12" s="16">
        <v>3812.8134150681253</v>
      </c>
      <c r="Q12" s="16">
        <v>3816.265650063604</v>
      </c>
      <c r="R12" s="16">
        <v>3931.6314231559081</v>
      </c>
      <c r="S12" s="16">
        <v>3976.8457330371921</v>
      </c>
      <c r="T12" s="16">
        <v>3938.3377410662006</v>
      </c>
      <c r="U12" s="16">
        <v>3755.3931995953026</v>
      </c>
      <c r="V12" s="16">
        <v>4153.2820149008548</v>
      </c>
      <c r="W12" s="16">
        <v>4130.7160283290787</v>
      </c>
      <c r="X12" s="16">
        <v>3909.2975361580238</v>
      </c>
      <c r="Y12" s="16">
        <v>3400.340494092653</v>
      </c>
      <c r="Z12" s="16">
        <v>2800.3741613307502</v>
      </c>
      <c r="AA12" s="16">
        <v>2293.4022973986266</v>
      </c>
      <c r="AB12" s="17">
        <f t="shared" si="0"/>
        <v>1561650.7854525773</v>
      </c>
      <c r="AC12" s="108"/>
    </row>
    <row r="13" spans="1:33" ht="15.75" thickBot="1" x14ac:dyDescent="0.3">
      <c r="A13" s="103">
        <v>46327</v>
      </c>
      <c r="B13" s="15" t="s">
        <v>28</v>
      </c>
      <c r="C13" s="13">
        <v>4</v>
      </c>
      <c r="D13" s="16">
        <v>1815.6678095528614</v>
      </c>
      <c r="E13" s="16">
        <v>1745.0633077055254</v>
      </c>
      <c r="F13" s="16">
        <v>1568.1194918558922</v>
      </c>
      <c r="G13" s="16">
        <v>1425.355253662482</v>
      </c>
      <c r="H13" s="16">
        <v>1423.3660098556375</v>
      </c>
      <c r="I13" s="16">
        <v>1481.9407170008444</v>
      </c>
      <c r="J13" s="16">
        <v>1631.6561376399286</v>
      </c>
      <c r="K13" s="16">
        <v>2164.0415784788693</v>
      </c>
      <c r="L13" s="16">
        <v>2864.4357874859452</v>
      </c>
      <c r="M13" s="16">
        <v>3290.432265974664</v>
      </c>
      <c r="N13" s="16">
        <v>3562.5532060044461</v>
      </c>
      <c r="O13" s="16">
        <v>3841.3237147662649</v>
      </c>
      <c r="P13" s="16">
        <v>3968.9501716774639</v>
      </c>
      <c r="Q13" s="16">
        <v>3889.6187314736826</v>
      </c>
      <c r="R13" s="16">
        <v>3769.4953811425858</v>
      </c>
      <c r="S13" s="16">
        <v>3615.7998179448759</v>
      </c>
      <c r="T13" s="16">
        <v>3477.7517590680727</v>
      </c>
      <c r="U13" s="16">
        <v>3554.3074428866375</v>
      </c>
      <c r="V13" s="16">
        <v>4002.8463400142846</v>
      </c>
      <c r="W13" s="16">
        <v>4015.8500698081998</v>
      </c>
      <c r="X13" s="16">
        <v>3827.4511388836672</v>
      </c>
      <c r="Y13" s="16">
        <v>3432.2920767633796</v>
      </c>
      <c r="Z13" s="16">
        <v>2961.9794829171678</v>
      </c>
      <c r="AA13" s="16">
        <v>2490.444298503312</v>
      </c>
      <c r="AB13" s="17">
        <f t="shared" si="0"/>
        <v>279282.96796426678</v>
      </c>
      <c r="AC13" s="106">
        <f>+AB13+AB14+AB15</f>
        <v>2095521.3673851695</v>
      </c>
    </row>
    <row r="14" spans="1:33" ht="15.75" thickBot="1" x14ac:dyDescent="0.3">
      <c r="A14" s="104"/>
      <c r="B14" s="18" t="s">
        <v>29</v>
      </c>
      <c r="C14" s="19">
        <v>5</v>
      </c>
      <c r="D14" s="16">
        <v>2066.5216433284395</v>
      </c>
      <c r="E14" s="16">
        <v>1834.7903435974285</v>
      </c>
      <c r="F14" s="16">
        <v>1697.1509379081836</v>
      </c>
      <c r="G14" s="16">
        <v>1583.0877003878686</v>
      </c>
      <c r="H14" s="16">
        <v>1539.2363881352303</v>
      </c>
      <c r="I14" s="16">
        <v>1556.1221458954415</v>
      </c>
      <c r="J14" s="16">
        <v>1646.6464515077687</v>
      </c>
      <c r="K14" s="16">
        <v>2040.3888807672711</v>
      </c>
      <c r="L14" s="16">
        <v>2559.6896177210356</v>
      </c>
      <c r="M14" s="16">
        <v>2882.2176979261958</v>
      </c>
      <c r="N14" s="16">
        <v>3064.7563506403467</v>
      </c>
      <c r="O14" s="16">
        <v>3303.0161125975601</v>
      </c>
      <c r="P14" s="16">
        <v>3432.4984129331469</v>
      </c>
      <c r="Q14" s="16">
        <v>3332.8544741743626</v>
      </c>
      <c r="R14" s="16">
        <v>3127.0936932961231</v>
      </c>
      <c r="S14" s="16">
        <v>2973.6002106955048</v>
      </c>
      <c r="T14" s="16">
        <v>2915.3065486626565</v>
      </c>
      <c r="U14" s="16">
        <v>2969.1880092995852</v>
      </c>
      <c r="V14" s="16">
        <v>3577.5230103761769</v>
      </c>
      <c r="W14" s="16">
        <v>3725.6314203822603</v>
      </c>
      <c r="X14" s="16">
        <v>3501.0205212161036</v>
      </c>
      <c r="Y14" s="16">
        <v>3111.5363243687752</v>
      </c>
      <c r="Z14" s="16">
        <v>2655.4580300828984</v>
      </c>
      <c r="AA14" s="16">
        <v>2241.588515205819</v>
      </c>
      <c r="AB14" s="17">
        <f t="shared" si="0"/>
        <v>316684.61720553087</v>
      </c>
      <c r="AC14" s="107"/>
    </row>
    <row r="15" spans="1:33" ht="15.75" thickBot="1" x14ac:dyDescent="0.3">
      <c r="A15" s="105"/>
      <c r="B15" s="18" t="s">
        <v>30</v>
      </c>
      <c r="C15" s="20">
        <v>21</v>
      </c>
      <c r="D15" s="16">
        <v>1904.2588735126974</v>
      </c>
      <c r="E15" s="16">
        <v>1696.928177066703</v>
      </c>
      <c r="F15" s="16">
        <v>1563.7303940165884</v>
      </c>
      <c r="G15" s="16">
        <v>1476.0198067306428</v>
      </c>
      <c r="H15" s="16">
        <v>1470.1932513068423</v>
      </c>
      <c r="I15" s="16">
        <v>1667.2947791061342</v>
      </c>
      <c r="J15" s="16">
        <v>1989.7803364207102</v>
      </c>
      <c r="K15" s="16">
        <v>2464.6609230561789</v>
      </c>
      <c r="L15" s="16">
        <v>2975.2143073823954</v>
      </c>
      <c r="M15" s="16">
        <v>3250.5689868216559</v>
      </c>
      <c r="N15" s="16">
        <v>3521.9377773657279</v>
      </c>
      <c r="O15" s="16">
        <v>3807.5628841482312</v>
      </c>
      <c r="P15" s="16">
        <v>3898.7358690682604</v>
      </c>
      <c r="Q15" s="16">
        <v>3865.5106659741559</v>
      </c>
      <c r="R15" s="16">
        <v>3955.3398126250158</v>
      </c>
      <c r="S15" s="16">
        <v>3856.1370119153016</v>
      </c>
      <c r="T15" s="16">
        <v>3720.961339819396</v>
      </c>
      <c r="U15" s="16">
        <v>3663.658756663026</v>
      </c>
      <c r="V15" s="16">
        <v>4094.7803007929924</v>
      </c>
      <c r="W15" s="16">
        <v>4036.5065867570775</v>
      </c>
      <c r="X15" s="16">
        <v>3884.0725972742712</v>
      </c>
      <c r="Y15" s="16">
        <v>3462.9055469031873</v>
      </c>
      <c r="Z15" s="16">
        <v>2853.7345687830702</v>
      </c>
      <c r="AA15" s="16">
        <v>2326.8294091265016</v>
      </c>
      <c r="AB15" s="17">
        <f t="shared" si="0"/>
        <v>1499553.7822153717</v>
      </c>
      <c r="AC15" s="108"/>
    </row>
    <row r="16" spans="1:33" ht="15.75" thickBot="1" x14ac:dyDescent="0.3">
      <c r="A16" s="103">
        <v>46357</v>
      </c>
      <c r="B16" s="21" t="s">
        <v>28</v>
      </c>
      <c r="C16" s="22">
        <v>4</v>
      </c>
      <c r="D16" s="16">
        <v>8696.0575657504705</v>
      </c>
      <c r="E16" s="16">
        <v>7748.4034143278404</v>
      </c>
      <c r="F16" s="16">
        <v>7253.1107982879512</v>
      </c>
      <c r="G16" s="16">
        <v>6926.1405195340303</v>
      </c>
      <c r="H16" s="16">
        <v>6835.4620430332652</v>
      </c>
      <c r="I16" s="16">
        <v>7188.8053019096224</v>
      </c>
      <c r="J16" s="16">
        <v>7646.0628865103208</v>
      </c>
      <c r="K16" s="16">
        <v>9390.20116098168</v>
      </c>
      <c r="L16" s="16">
        <v>11738.856284027108</v>
      </c>
      <c r="M16" s="16">
        <v>13040.320707938983</v>
      </c>
      <c r="N16" s="16">
        <v>13919.369420572024</v>
      </c>
      <c r="O16" s="16">
        <v>14798.957287132129</v>
      </c>
      <c r="P16" s="16">
        <v>15094.698403561386</v>
      </c>
      <c r="Q16" s="16">
        <v>15035.839500904007</v>
      </c>
      <c r="R16" s="16">
        <v>14548.415874398197</v>
      </c>
      <c r="S16" s="16">
        <v>14146.643683552094</v>
      </c>
      <c r="T16" s="16">
        <v>13803.86328541582</v>
      </c>
      <c r="U16" s="16">
        <v>13746.475665481936</v>
      </c>
      <c r="V16" s="16">
        <v>15557.05706774666</v>
      </c>
      <c r="W16" s="16">
        <v>15812.560974724769</v>
      </c>
      <c r="X16" s="16">
        <v>15124.312002534178</v>
      </c>
      <c r="Y16" s="16">
        <v>13953.932224783755</v>
      </c>
      <c r="Z16" s="16">
        <v>12304.827423674735</v>
      </c>
      <c r="AA16" s="16">
        <v>10815.89690120747</v>
      </c>
      <c r="AB16" s="17">
        <f t="shared" si="0"/>
        <v>1140505.0815919617</v>
      </c>
      <c r="AC16" s="106">
        <f>+AB16+AB17+AB18</f>
        <v>8978626.8891185708</v>
      </c>
    </row>
    <row r="17" spans="1:33" ht="15.75" thickBot="1" x14ac:dyDescent="0.3">
      <c r="A17" s="104"/>
      <c r="B17" s="23" t="s">
        <v>29</v>
      </c>
      <c r="C17" s="23">
        <v>4</v>
      </c>
      <c r="D17" s="16">
        <v>9628.4129080877756</v>
      </c>
      <c r="E17" s="16">
        <v>8775.5903637097144</v>
      </c>
      <c r="F17" s="16">
        <v>8180.0391640072921</v>
      </c>
      <c r="G17" s="16">
        <v>7707.9187762552356</v>
      </c>
      <c r="H17" s="16">
        <v>7499.8901569181326</v>
      </c>
      <c r="I17" s="16">
        <v>7607.6222240062925</v>
      </c>
      <c r="J17" s="16">
        <v>7635.3177765554501</v>
      </c>
      <c r="K17" s="16">
        <v>8947.9854646982494</v>
      </c>
      <c r="L17" s="16">
        <v>10602.418524100558</v>
      </c>
      <c r="M17" s="16">
        <v>11991.614429397781</v>
      </c>
      <c r="N17" s="16">
        <v>12683.248933876868</v>
      </c>
      <c r="O17" s="16">
        <v>13703.438272782838</v>
      </c>
      <c r="P17" s="16">
        <v>14212.66156317764</v>
      </c>
      <c r="Q17" s="16">
        <v>14227.637639278462</v>
      </c>
      <c r="R17" s="16">
        <v>13638.362646910104</v>
      </c>
      <c r="S17" s="16">
        <v>13024.94343044173</v>
      </c>
      <c r="T17" s="16">
        <v>12738.919740895111</v>
      </c>
      <c r="U17" s="16">
        <v>12630.796597366902</v>
      </c>
      <c r="V17" s="16">
        <v>14664.533303795659</v>
      </c>
      <c r="W17" s="16">
        <v>15300.135034066036</v>
      </c>
      <c r="X17" s="16">
        <v>14320.735347543519</v>
      </c>
      <c r="Y17" s="16">
        <v>13014.262867083762</v>
      </c>
      <c r="Z17" s="16">
        <v>12029.800702372853</v>
      </c>
      <c r="AA17" s="16">
        <v>10591.872116414583</v>
      </c>
      <c r="AB17" s="17">
        <f t="shared" si="0"/>
        <v>1101432.6319349702</v>
      </c>
      <c r="AC17" s="107"/>
    </row>
    <row r="18" spans="1:33" ht="15.75" thickBot="1" x14ac:dyDescent="0.3">
      <c r="A18" s="105"/>
      <c r="B18" s="24" t="s">
        <v>30</v>
      </c>
      <c r="C18" s="24">
        <v>23</v>
      </c>
      <c r="D18" s="16">
        <v>9028.7515185047414</v>
      </c>
      <c r="E18" s="16">
        <v>8140.113025760551</v>
      </c>
      <c r="F18" s="16">
        <v>7576.1334288716753</v>
      </c>
      <c r="G18" s="16">
        <v>7174.1144422138823</v>
      </c>
      <c r="H18" s="16">
        <v>7077.4297873495598</v>
      </c>
      <c r="I18" s="16">
        <v>7470.7272089054968</v>
      </c>
      <c r="J18" s="16">
        <v>8256.9083752282677</v>
      </c>
      <c r="K18" s="16">
        <v>10145.498407911949</v>
      </c>
      <c r="L18" s="16">
        <v>12394.148523211243</v>
      </c>
      <c r="M18" s="16">
        <v>13195.970939108236</v>
      </c>
      <c r="N18" s="16">
        <v>13684.348933153939</v>
      </c>
      <c r="O18" s="16">
        <v>14626.491311448965</v>
      </c>
      <c r="P18" s="16">
        <v>14708.813354087219</v>
      </c>
      <c r="Q18" s="16">
        <v>14806.113823262604</v>
      </c>
      <c r="R18" s="16">
        <v>14816.162119255394</v>
      </c>
      <c r="S18" s="16">
        <v>14849.09245505416</v>
      </c>
      <c r="T18" s="16">
        <v>14562.905500585959</v>
      </c>
      <c r="U18" s="16">
        <v>14380.940869399015</v>
      </c>
      <c r="V18" s="16">
        <v>16349.380285731502</v>
      </c>
      <c r="W18" s="16">
        <v>16540.680488303435</v>
      </c>
      <c r="X18" s="16">
        <v>15773.256888485426</v>
      </c>
      <c r="Y18" s="16">
        <v>14259.475745408075</v>
      </c>
      <c r="Z18" s="16">
        <v>12420.260424101412</v>
      </c>
      <c r="AA18" s="16">
        <v>10661.81151820681</v>
      </c>
      <c r="AB18" s="17">
        <f t="shared" si="0"/>
        <v>6736689.1755916383</v>
      </c>
      <c r="AC18" s="108"/>
    </row>
    <row r="20" spans="1:33" ht="15.75" thickBot="1" x14ac:dyDescent="0.3"/>
    <row r="21" spans="1:33" ht="18.75" thickBot="1" x14ac:dyDescent="0.3">
      <c r="A21" s="1" t="s">
        <v>0</v>
      </c>
      <c r="B21" s="25" t="s">
        <v>1</v>
      </c>
      <c r="C21" s="25" t="s">
        <v>2</v>
      </c>
      <c r="D21" s="3" t="s">
        <v>3</v>
      </c>
      <c r="E21" s="4" t="s">
        <v>4</v>
      </c>
      <c r="F21" s="4" t="s">
        <v>5</v>
      </c>
      <c r="G21" s="4" t="s">
        <v>6</v>
      </c>
      <c r="H21" s="4" t="s">
        <v>7</v>
      </c>
      <c r="I21" s="4" t="s">
        <v>8</v>
      </c>
      <c r="J21" s="4" t="s">
        <v>9</v>
      </c>
      <c r="K21" s="4" t="s">
        <v>10</v>
      </c>
      <c r="L21" s="4" t="s">
        <v>11</v>
      </c>
      <c r="M21" s="4" t="s">
        <v>12</v>
      </c>
      <c r="N21" s="4" t="s">
        <v>13</v>
      </c>
      <c r="O21" s="4" t="s">
        <v>14</v>
      </c>
      <c r="P21" s="4" t="s">
        <v>15</v>
      </c>
      <c r="Q21" s="4" t="s">
        <v>16</v>
      </c>
      <c r="R21" s="4" t="s">
        <v>17</v>
      </c>
      <c r="S21" s="4" t="s">
        <v>18</v>
      </c>
      <c r="T21" s="4" t="s">
        <v>19</v>
      </c>
      <c r="U21" s="4" t="s">
        <v>20</v>
      </c>
      <c r="V21" s="4" t="s">
        <v>21</v>
      </c>
      <c r="W21" s="4" t="s">
        <v>22</v>
      </c>
      <c r="X21" s="4" t="s">
        <v>23</v>
      </c>
      <c r="Y21" s="4" t="s">
        <v>24</v>
      </c>
      <c r="Z21" s="4" t="s">
        <v>25</v>
      </c>
      <c r="AA21" s="4" t="s">
        <v>26</v>
      </c>
      <c r="AB21" s="109" t="s">
        <v>27</v>
      </c>
      <c r="AC21" s="110"/>
    </row>
    <row r="22" spans="1:33" ht="18.75" thickBot="1" x14ac:dyDescent="0.3">
      <c r="A22" s="90">
        <v>46388</v>
      </c>
      <c r="B22" s="1" t="s">
        <v>28</v>
      </c>
      <c r="C22" s="1">
        <v>5</v>
      </c>
      <c r="D22" s="16">
        <v>7310.7866963280576</v>
      </c>
      <c r="E22" s="16">
        <v>6523.7312825127592</v>
      </c>
      <c r="F22" s="16">
        <v>6036.1580520491589</v>
      </c>
      <c r="G22" s="16">
        <v>5583.7552334799657</v>
      </c>
      <c r="H22" s="16">
        <v>5525.8676218959154</v>
      </c>
      <c r="I22" s="16">
        <v>5691.2790525751625</v>
      </c>
      <c r="J22" s="16">
        <v>6023.8438978952836</v>
      </c>
      <c r="K22" s="16">
        <v>7601.418022657821</v>
      </c>
      <c r="L22" s="16">
        <v>9976.1894031353222</v>
      </c>
      <c r="M22" s="16">
        <v>11424.443298909358</v>
      </c>
      <c r="N22" s="16">
        <v>12274.860325689791</v>
      </c>
      <c r="O22" s="16">
        <v>13501.914204103625</v>
      </c>
      <c r="P22" s="16">
        <v>13867.559832229315</v>
      </c>
      <c r="Q22" s="16">
        <v>13484.779997240348</v>
      </c>
      <c r="R22" s="16">
        <v>12975.861355967358</v>
      </c>
      <c r="S22" s="16">
        <v>13083.556178881881</v>
      </c>
      <c r="T22" s="16">
        <v>12706.656244449521</v>
      </c>
      <c r="U22" s="16">
        <v>12437.639049216647</v>
      </c>
      <c r="V22" s="16">
        <v>13721.342170896587</v>
      </c>
      <c r="W22" s="16">
        <v>14622.667598437401</v>
      </c>
      <c r="X22" s="16">
        <v>14056.222144847507</v>
      </c>
      <c r="Y22" s="16">
        <v>12747.66145699214</v>
      </c>
      <c r="Z22" s="16">
        <v>10938.140382532143</v>
      </c>
      <c r="AA22" s="16">
        <v>9231.689511213619</v>
      </c>
      <c r="AB22" s="6">
        <f t="shared" ref="AB22:AB57" si="1">SUM(D22:AA22)*C22</f>
        <v>1256740.1150706834</v>
      </c>
      <c r="AC22" s="92">
        <f>+AB22+AB23+AB24</f>
        <v>7839429.9019830637</v>
      </c>
      <c r="AF22" s="67">
        <v>46388</v>
      </c>
      <c r="AG22" s="68">
        <f>AC22</f>
        <v>7839429.9019830637</v>
      </c>
    </row>
    <row r="23" spans="1:33" ht="18.75" thickBot="1" x14ac:dyDescent="0.3">
      <c r="A23" s="91"/>
      <c r="B23" s="7" t="s">
        <v>29</v>
      </c>
      <c r="C23" s="7">
        <v>7</v>
      </c>
      <c r="D23" s="16">
        <v>7633.0562347824634</v>
      </c>
      <c r="E23" s="16">
        <v>6872.0967554605122</v>
      </c>
      <c r="F23" s="16">
        <v>6176.1074525030053</v>
      </c>
      <c r="G23" s="16">
        <v>5802.8931828064706</v>
      </c>
      <c r="H23" s="16">
        <v>5468.3145012991154</v>
      </c>
      <c r="I23" s="16">
        <v>5435.2750600762374</v>
      </c>
      <c r="J23" s="16">
        <v>5502.8447450493913</v>
      </c>
      <c r="K23" s="16">
        <v>6508.1104281310763</v>
      </c>
      <c r="L23" s="16">
        <v>8212.4685384226796</v>
      </c>
      <c r="M23" s="16">
        <v>9371.6877699015567</v>
      </c>
      <c r="N23" s="16">
        <v>9960.7627289147786</v>
      </c>
      <c r="O23" s="16">
        <v>10933.605336188277</v>
      </c>
      <c r="P23" s="16">
        <v>11546.043300523805</v>
      </c>
      <c r="Q23" s="16">
        <v>11494.960137618411</v>
      </c>
      <c r="R23" s="16">
        <v>10688.350781577083</v>
      </c>
      <c r="S23" s="16">
        <v>10334.837655196465</v>
      </c>
      <c r="T23" s="16">
        <v>10068.33853818215</v>
      </c>
      <c r="U23" s="16">
        <v>9928.7518161582811</v>
      </c>
      <c r="V23" s="16">
        <v>11903.505174439189</v>
      </c>
      <c r="W23" s="16">
        <v>13193.258574107454</v>
      </c>
      <c r="X23" s="16">
        <v>12642.690167434419</v>
      </c>
      <c r="Y23" s="16">
        <v>11150.499565072267</v>
      </c>
      <c r="Z23" s="16">
        <v>9528.6429677572924</v>
      </c>
      <c r="AA23" s="16">
        <v>7982.2172200032401</v>
      </c>
      <c r="AB23" s="6">
        <f t="shared" si="1"/>
        <v>1528375.2304212395</v>
      </c>
      <c r="AC23" s="93"/>
      <c r="AF23" s="67">
        <v>46419</v>
      </c>
      <c r="AG23" s="68">
        <f>AC25</f>
        <v>6751684.6927503254</v>
      </c>
    </row>
    <row r="24" spans="1:33" ht="18.75" thickBot="1" x14ac:dyDescent="0.3">
      <c r="A24" s="91"/>
      <c r="B24" s="8" t="s">
        <v>30</v>
      </c>
      <c r="C24" s="8">
        <v>19</v>
      </c>
      <c r="D24" s="16">
        <v>7714.2867178011475</v>
      </c>
      <c r="E24" s="16">
        <v>6819.7830093404154</v>
      </c>
      <c r="F24" s="16">
        <v>6303.2985004988914</v>
      </c>
      <c r="G24" s="16">
        <v>5996.7637294884298</v>
      </c>
      <c r="H24" s="16">
        <v>5953.0171762839273</v>
      </c>
      <c r="I24" s="16">
        <v>6460.1663620240761</v>
      </c>
      <c r="J24" s="16">
        <v>7189.1723772823716</v>
      </c>
      <c r="K24" s="16">
        <v>8675.0232210934046</v>
      </c>
      <c r="L24" s="16">
        <v>10932.986286255222</v>
      </c>
      <c r="M24" s="16">
        <v>11848.402750650192</v>
      </c>
      <c r="N24" s="16">
        <v>12673.087863626439</v>
      </c>
      <c r="O24" s="16">
        <v>13927.139137797785</v>
      </c>
      <c r="P24" s="16">
        <v>14327.474201612313</v>
      </c>
      <c r="Q24" s="16">
        <v>14281.856718081093</v>
      </c>
      <c r="R24" s="16">
        <v>14298.398720194895</v>
      </c>
      <c r="S24" s="16">
        <v>14202.946553762016</v>
      </c>
      <c r="T24" s="16">
        <v>13836.840530738169</v>
      </c>
      <c r="U24" s="16">
        <v>13400.790634706511</v>
      </c>
      <c r="V24" s="16">
        <v>14218.830669910549</v>
      </c>
      <c r="W24" s="16">
        <v>15087.571950541766</v>
      </c>
      <c r="X24" s="16">
        <v>14460.177102698111</v>
      </c>
      <c r="Y24" s="16">
        <v>13111.768587647621</v>
      </c>
      <c r="Z24" s="16">
        <v>11105.21603562462</v>
      </c>
      <c r="AA24" s="16">
        <v>9191.5567671369245</v>
      </c>
      <c r="AB24" s="6">
        <f t="shared" si="1"/>
        <v>5054314.5564911403</v>
      </c>
      <c r="AC24" s="94"/>
      <c r="AF24" s="67">
        <v>46447</v>
      </c>
      <c r="AG24" s="68">
        <f>AC28</f>
        <v>8300034.1636855919</v>
      </c>
    </row>
    <row r="25" spans="1:33" ht="18.75" thickBot="1" x14ac:dyDescent="0.3">
      <c r="A25" s="90">
        <v>46419</v>
      </c>
      <c r="B25" s="1" t="s">
        <v>28</v>
      </c>
      <c r="C25" s="1">
        <v>4</v>
      </c>
      <c r="D25" s="16">
        <v>6751.5849159170139</v>
      </c>
      <c r="E25" s="16">
        <v>5861.7391899341928</v>
      </c>
      <c r="F25" s="16">
        <v>5437.2704684330711</v>
      </c>
      <c r="G25" s="16">
        <v>4975.9364856190805</v>
      </c>
      <c r="H25" s="16">
        <v>4875.1653377053553</v>
      </c>
      <c r="I25" s="16">
        <v>5036.2755494091725</v>
      </c>
      <c r="J25" s="16">
        <v>5618.0038079356673</v>
      </c>
      <c r="K25" s="16">
        <v>7300.7971960239884</v>
      </c>
      <c r="L25" s="16">
        <v>9699.175540153883</v>
      </c>
      <c r="M25" s="16">
        <v>10718.368080359618</v>
      </c>
      <c r="N25" s="16">
        <v>11453.69194588282</v>
      </c>
      <c r="O25" s="16">
        <v>12436.46367704216</v>
      </c>
      <c r="P25" s="16">
        <v>12684.705207439856</v>
      </c>
      <c r="Q25" s="16">
        <v>12894.647277614371</v>
      </c>
      <c r="R25" s="16">
        <v>12608.100684654019</v>
      </c>
      <c r="S25" s="16">
        <v>11374.428179284139</v>
      </c>
      <c r="T25" s="16">
        <v>11636.53923482091</v>
      </c>
      <c r="U25" s="16">
        <v>11557.071916553967</v>
      </c>
      <c r="V25" s="16">
        <v>12781.760136822981</v>
      </c>
      <c r="W25" s="16">
        <v>13606.420775353956</v>
      </c>
      <c r="X25" s="16">
        <v>13194.288405417235</v>
      </c>
      <c r="Y25" s="16">
        <v>11784.28599938655</v>
      </c>
      <c r="Z25" s="16">
        <v>9886.4337377197553</v>
      </c>
      <c r="AA25" s="16">
        <v>8301.2648501963849</v>
      </c>
      <c r="AB25" s="6">
        <f t="shared" si="1"/>
        <v>929897.6743987205</v>
      </c>
      <c r="AC25" s="92">
        <f>+AB25+AB26+AB27</f>
        <v>6751684.6927503254</v>
      </c>
      <c r="AF25" s="67">
        <v>46478</v>
      </c>
      <c r="AG25" s="68">
        <f>AC31</f>
        <v>7930619.6906873994</v>
      </c>
    </row>
    <row r="26" spans="1:33" ht="18.75" thickBot="1" x14ac:dyDescent="0.3">
      <c r="A26" s="91"/>
      <c r="B26" s="7" t="s">
        <v>29</v>
      </c>
      <c r="C26" s="7">
        <v>4</v>
      </c>
      <c r="D26" s="16">
        <v>7118.652066969069</v>
      </c>
      <c r="E26" s="16">
        <v>6422.8471042320889</v>
      </c>
      <c r="F26" s="16">
        <v>5746.3832848727252</v>
      </c>
      <c r="G26" s="16">
        <v>5382.4665160624354</v>
      </c>
      <c r="H26" s="16">
        <v>5206.6016095795821</v>
      </c>
      <c r="I26" s="16">
        <v>5336.3499247995205</v>
      </c>
      <c r="J26" s="16">
        <v>5568.0925653892373</v>
      </c>
      <c r="K26" s="16">
        <v>6839.9935680153758</v>
      </c>
      <c r="L26" s="16">
        <v>8654.1562148837183</v>
      </c>
      <c r="M26" s="16">
        <v>9729.7941929316439</v>
      </c>
      <c r="N26" s="16">
        <v>10398.786358853362</v>
      </c>
      <c r="O26" s="16">
        <v>11395.638636606029</v>
      </c>
      <c r="P26" s="16">
        <v>12292.746862018757</v>
      </c>
      <c r="Q26" s="16">
        <v>12185.013873561264</v>
      </c>
      <c r="R26" s="16">
        <v>11328.488995438511</v>
      </c>
      <c r="S26" s="16">
        <v>10844.028555195888</v>
      </c>
      <c r="T26" s="16">
        <v>10257.002350955172</v>
      </c>
      <c r="U26" s="16">
        <v>10368.565472179631</v>
      </c>
      <c r="V26" s="16">
        <v>12055.071343905558</v>
      </c>
      <c r="W26" s="16">
        <v>12274.675582259646</v>
      </c>
      <c r="X26" s="16">
        <v>12275.616775294529</v>
      </c>
      <c r="Y26" s="16">
        <v>11097.474658982923</v>
      </c>
      <c r="Z26" s="16">
        <v>9467.3955506342099</v>
      </c>
      <c r="AA26" s="16">
        <v>7650.0657145056175</v>
      </c>
      <c r="AB26" s="6">
        <f t="shared" si="1"/>
        <v>879583.63111250591</v>
      </c>
      <c r="AC26" s="93"/>
      <c r="AF26" s="67">
        <v>46508</v>
      </c>
      <c r="AG26" s="68">
        <f>AC34</f>
        <v>7510979.5060049919</v>
      </c>
    </row>
    <row r="27" spans="1:33" ht="18.75" thickBot="1" x14ac:dyDescent="0.3">
      <c r="A27" s="91"/>
      <c r="B27" s="8" t="s">
        <v>30</v>
      </c>
      <c r="C27" s="8">
        <v>20</v>
      </c>
      <c r="D27" s="16">
        <v>6599.4806516934368</v>
      </c>
      <c r="E27" s="16">
        <v>5901.3230798585428</v>
      </c>
      <c r="F27" s="16">
        <v>5446.8500954774318</v>
      </c>
      <c r="G27" s="16">
        <v>5018.2221971364379</v>
      </c>
      <c r="H27" s="16">
        <v>5075.0299195992047</v>
      </c>
      <c r="I27" s="16">
        <v>6180.97730128486</v>
      </c>
      <c r="J27" s="16">
        <v>7386.073393366969</v>
      </c>
      <c r="K27" s="16">
        <v>8473.9573385687981</v>
      </c>
      <c r="L27" s="16">
        <v>10132.192311253988</v>
      </c>
      <c r="M27" s="16">
        <v>10841.265854847057</v>
      </c>
      <c r="N27" s="16">
        <v>11955.434109505291</v>
      </c>
      <c r="O27" s="16">
        <v>13056.356192665386</v>
      </c>
      <c r="P27" s="16">
        <v>13316.84070230259</v>
      </c>
      <c r="Q27" s="16">
        <v>13159.037738346356</v>
      </c>
      <c r="R27" s="16">
        <v>13432.276160584861</v>
      </c>
      <c r="S27" s="16">
        <v>13453.578869763754</v>
      </c>
      <c r="T27" s="16">
        <v>13266.991458979897</v>
      </c>
      <c r="U27" s="16">
        <v>12679.072615313216</v>
      </c>
      <c r="V27" s="16">
        <v>13595.613862471248</v>
      </c>
      <c r="W27" s="16">
        <v>14434.665043714183</v>
      </c>
      <c r="X27" s="16">
        <v>13813.204993500709</v>
      </c>
      <c r="Y27" s="16">
        <v>12167.846811396379</v>
      </c>
      <c r="Z27" s="16">
        <v>9961.592856916297</v>
      </c>
      <c r="AA27" s="16">
        <v>7762.2858034079945</v>
      </c>
      <c r="AB27" s="6">
        <f t="shared" si="1"/>
        <v>4942203.3872390995</v>
      </c>
      <c r="AC27" s="94"/>
      <c r="AF27" s="67">
        <v>46539</v>
      </c>
      <c r="AG27" s="68">
        <f>AC37</f>
        <v>7268434.0356727839</v>
      </c>
    </row>
    <row r="28" spans="1:33" ht="18.75" thickBot="1" x14ac:dyDescent="0.3">
      <c r="A28" s="90">
        <v>46447</v>
      </c>
      <c r="B28" s="1" t="s">
        <v>28</v>
      </c>
      <c r="C28" s="1">
        <v>4</v>
      </c>
      <c r="D28" s="16">
        <v>7808.2171152902847</v>
      </c>
      <c r="E28" s="16">
        <v>6897.4847912941368</v>
      </c>
      <c r="F28" s="16">
        <v>6343.7033100678236</v>
      </c>
      <c r="G28" s="16">
        <v>5918.8423297487861</v>
      </c>
      <c r="H28" s="16">
        <v>5859.8526686455916</v>
      </c>
      <c r="I28" s="16">
        <v>6125.4038462302487</v>
      </c>
      <c r="J28" s="16">
        <v>6732.1825611832392</v>
      </c>
      <c r="K28" s="16">
        <v>8418.4479894927899</v>
      </c>
      <c r="L28" s="16">
        <v>10862.328315989114</v>
      </c>
      <c r="M28" s="16">
        <v>12170.096822913125</v>
      </c>
      <c r="N28" s="16">
        <v>13180.067743255604</v>
      </c>
      <c r="O28" s="16">
        <v>14519.703966849844</v>
      </c>
      <c r="P28" s="16">
        <v>14952.859823891293</v>
      </c>
      <c r="Q28" s="16">
        <v>14921.499554938735</v>
      </c>
      <c r="R28" s="16">
        <v>14836.221072521148</v>
      </c>
      <c r="S28" s="16">
        <v>14564.060956452206</v>
      </c>
      <c r="T28" s="16">
        <v>13769.721991198541</v>
      </c>
      <c r="U28" s="16">
        <v>13393.136708677808</v>
      </c>
      <c r="V28" s="16">
        <v>14562.671912998147</v>
      </c>
      <c r="W28" s="16">
        <v>15595.671871107403</v>
      </c>
      <c r="X28" s="16">
        <v>14987.652560092392</v>
      </c>
      <c r="Y28" s="16">
        <v>13785.930022778135</v>
      </c>
      <c r="Z28" s="16">
        <v>11955.584282341813</v>
      </c>
      <c r="AA28" s="16">
        <v>10290.704367101487</v>
      </c>
      <c r="AB28" s="6">
        <f t="shared" si="1"/>
        <v>1089808.1863402387</v>
      </c>
      <c r="AC28" s="92">
        <f>+AB28+AB29+AB30</f>
        <v>8300034.1636855919</v>
      </c>
      <c r="AF28" s="67">
        <v>46569</v>
      </c>
      <c r="AG28" s="68">
        <f>AC40</f>
        <v>7399601.834105962</v>
      </c>
    </row>
    <row r="29" spans="1:33" ht="18.75" thickBot="1" x14ac:dyDescent="0.3">
      <c r="A29" s="91"/>
      <c r="B29" s="7" t="s">
        <v>29</v>
      </c>
      <c r="C29" s="7">
        <v>4</v>
      </c>
      <c r="D29" s="16">
        <v>8888.1474035921128</v>
      </c>
      <c r="E29" s="16">
        <v>7953.2608206959922</v>
      </c>
      <c r="F29" s="16">
        <v>7246.4113961243165</v>
      </c>
      <c r="G29" s="16">
        <v>6656.855608186288</v>
      </c>
      <c r="H29" s="16">
        <v>6278.7969600534161</v>
      </c>
      <c r="I29" s="16">
        <v>6423.9699257732864</v>
      </c>
      <c r="J29" s="16">
        <v>6449.4672801250199</v>
      </c>
      <c r="K29" s="16">
        <v>7806.5453148990091</v>
      </c>
      <c r="L29" s="16">
        <v>9236.0179617541071</v>
      </c>
      <c r="M29" s="16">
        <v>10307.03433761025</v>
      </c>
      <c r="N29" s="16">
        <v>11297.332444046053</v>
      </c>
      <c r="O29" s="16">
        <v>12315.979458053087</v>
      </c>
      <c r="P29" s="16">
        <v>13178.494150407692</v>
      </c>
      <c r="Q29" s="16">
        <v>13015.580711493149</v>
      </c>
      <c r="R29" s="16">
        <v>12130.865812643959</v>
      </c>
      <c r="S29" s="16">
        <v>11596.422381307588</v>
      </c>
      <c r="T29" s="16">
        <v>11193.900208874675</v>
      </c>
      <c r="U29" s="16">
        <v>11039.506085001463</v>
      </c>
      <c r="V29" s="16">
        <v>12629.487474497026</v>
      </c>
      <c r="W29" s="16">
        <v>14217.673862364387</v>
      </c>
      <c r="X29" s="16">
        <v>13824.318568851329</v>
      </c>
      <c r="Y29" s="16">
        <v>12463.213772337549</v>
      </c>
      <c r="Z29" s="16">
        <v>10417.062130803708</v>
      </c>
      <c r="AA29" s="16">
        <v>8646.6742415189874</v>
      </c>
      <c r="AB29" s="6">
        <f t="shared" si="1"/>
        <v>980852.07324405771</v>
      </c>
      <c r="AC29" s="93"/>
      <c r="AF29" s="67">
        <v>46600</v>
      </c>
      <c r="AG29" s="68">
        <f>AC43</f>
        <v>7183515.2765491698</v>
      </c>
    </row>
    <row r="30" spans="1:33" ht="18.75" thickBot="1" x14ac:dyDescent="0.3">
      <c r="A30" s="91"/>
      <c r="B30" s="8" t="s">
        <v>30</v>
      </c>
      <c r="C30" s="8">
        <v>23</v>
      </c>
      <c r="D30" s="16">
        <v>7437.5015638322475</v>
      </c>
      <c r="E30" s="16">
        <v>6687.9562204335562</v>
      </c>
      <c r="F30" s="16">
        <v>6185.4121896920769</v>
      </c>
      <c r="G30" s="16">
        <v>5863.3983648997855</v>
      </c>
      <c r="H30" s="16">
        <v>5852.4791503538472</v>
      </c>
      <c r="I30" s="16">
        <v>6848.8959149417242</v>
      </c>
      <c r="J30" s="16">
        <v>7933.7611954133645</v>
      </c>
      <c r="K30" s="16">
        <v>9258.2838082519665</v>
      </c>
      <c r="L30" s="16">
        <v>11007.219408387202</v>
      </c>
      <c r="M30" s="16">
        <v>11971.652576452874</v>
      </c>
      <c r="N30" s="16">
        <v>12946.380874110229</v>
      </c>
      <c r="O30" s="16">
        <v>13996.082299900685</v>
      </c>
      <c r="P30" s="16">
        <v>14097.443466737754</v>
      </c>
      <c r="Q30" s="16">
        <v>14116.440945995269</v>
      </c>
      <c r="R30" s="16">
        <v>14764.598235401703</v>
      </c>
      <c r="S30" s="16">
        <v>14786.131438478322</v>
      </c>
      <c r="T30" s="16">
        <v>14631.967307078143</v>
      </c>
      <c r="U30" s="16">
        <v>14026.519695653245</v>
      </c>
      <c r="V30" s="16">
        <v>14851.640287984388</v>
      </c>
      <c r="W30" s="16">
        <v>15693.491507305855</v>
      </c>
      <c r="X30" s="16">
        <v>14812.126773239564</v>
      </c>
      <c r="Y30" s="16">
        <v>13171.291927278358</v>
      </c>
      <c r="Z30" s="16">
        <v>10973.029171677761</v>
      </c>
      <c r="AA30" s="16">
        <v>8928.6393330781611</v>
      </c>
      <c r="AB30" s="6">
        <f t="shared" si="1"/>
        <v>6229373.9041012954</v>
      </c>
      <c r="AC30" s="94"/>
      <c r="AF30" s="67">
        <v>46631</v>
      </c>
      <c r="AG30" s="68">
        <f>AC46</f>
        <v>2065944.3358410331</v>
      </c>
    </row>
    <row r="31" spans="1:33" ht="18.75" thickBot="1" x14ac:dyDescent="0.3">
      <c r="A31" s="95">
        <v>46478</v>
      </c>
      <c r="B31" s="10" t="s">
        <v>28</v>
      </c>
      <c r="C31" s="10">
        <v>4</v>
      </c>
      <c r="D31" s="16">
        <v>7711.825352007847</v>
      </c>
      <c r="E31" s="16">
        <v>6913.0306707174823</v>
      </c>
      <c r="F31" s="16">
        <v>6295.3709962525354</v>
      </c>
      <c r="G31" s="16">
        <v>5942.8263140369854</v>
      </c>
      <c r="H31" s="16">
        <v>5776.2613469983808</v>
      </c>
      <c r="I31" s="16">
        <v>5896.1598451401769</v>
      </c>
      <c r="J31" s="16">
        <v>4899.3483426320927</v>
      </c>
      <c r="K31" s="16">
        <v>8221.1510721057384</v>
      </c>
      <c r="L31" s="16">
        <v>10502.263947544168</v>
      </c>
      <c r="M31" s="16">
        <v>11890.598958220537</v>
      </c>
      <c r="N31" s="16">
        <v>12536.461148723251</v>
      </c>
      <c r="O31" s="16">
        <v>13565.873776841479</v>
      </c>
      <c r="P31" s="16">
        <v>13890.111979320736</v>
      </c>
      <c r="Q31" s="16">
        <v>14447.174049285761</v>
      </c>
      <c r="R31" s="16">
        <v>14223.447950545949</v>
      </c>
      <c r="S31" s="16">
        <v>13608.952553014456</v>
      </c>
      <c r="T31" s="16">
        <v>12552.866620351389</v>
      </c>
      <c r="U31" s="16">
        <v>12060.175092018402</v>
      </c>
      <c r="V31" s="16">
        <v>12300.851054116854</v>
      </c>
      <c r="W31" s="16">
        <v>12761.058652281663</v>
      </c>
      <c r="X31" s="16">
        <v>12646.85547457029</v>
      </c>
      <c r="Y31" s="16">
        <v>12522.90995318205</v>
      </c>
      <c r="Z31" s="16">
        <v>10940.943499116886</v>
      </c>
      <c r="AA31" s="16">
        <v>9383.2913187644408</v>
      </c>
      <c r="AB31" s="6">
        <f t="shared" si="1"/>
        <v>1005959.2398711583</v>
      </c>
      <c r="AC31" s="92">
        <f>+AB31+AB32+AB33</f>
        <v>7930619.6906873994</v>
      </c>
      <c r="AF31" s="67">
        <v>46661</v>
      </c>
      <c r="AG31" s="68">
        <f>AC49</f>
        <v>1878100.9656849685</v>
      </c>
    </row>
    <row r="32" spans="1:33" ht="18.75" thickBot="1" x14ac:dyDescent="0.3">
      <c r="A32" s="96"/>
      <c r="B32" s="11" t="s">
        <v>29</v>
      </c>
      <c r="C32" s="11">
        <v>4</v>
      </c>
      <c r="D32" s="16">
        <v>7183.2241321193505</v>
      </c>
      <c r="E32" s="16">
        <v>6312.8224056961881</v>
      </c>
      <c r="F32" s="16">
        <v>5833.4439015223179</v>
      </c>
      <c r="G32" s="16">
        <v>5343.7005316464529</v>
      </c>
      <c r="H32" s="16">
        <v>5175.4633242690579</v>
      </c>
      <c r="I32" s="16">
        <v>4268.9805237085675</v>
      </c>
      <c r="J32" s="16">
        <v>5494.2954144247124</v>
      </c>
      <c r="K32" s="16">
        <v>6828.4823504081905</v>
      </c>
      <c r="L32" s="16">
        <v>8296.3502205435216</v>
      </c>
      <c r="M32" s="16">
        <v>9234.2527410490329</v>
      </c>
      <c r="N32" s="16">
        <v>9960.8039933549881</v>
      </c>
      <c r="O32" s="16">
        <v>10650.260998025202</v>
      </c>
      <c r="P32" s="16">
        <v>11254.142647061246</v>
      </c>
      <c r="Q32" s="16">
        <v>11174.190152310031</v>
      </c>
      <c r="R32" s="16">
        <v>10984.859025542279</v>
      </c>
      <c r="S32" s="16">
        <v>10791.434879467521</v>
      </c>
      <c r="T32" s="16">
        <v>10505.820766199959</v>
      </c>
      <c r="U32" s="16">
        <v>10281.861536742221</v>
      </c>
      <c r="V32" s="16">
        <v>10746.150812719654</v>
      </c>
      <c r="W32" s="16">
        <v>12609.957812837227</v>
      </c>
      <c r="X32" s="16">
        <v>12635.535403007845</v>
      </c>
      <c r="Y32" s="16">
        <v>11964.394911769668</v>
      </c>
      <c r="Z32" s="16">
        <v>10793.05797333064</v>
      </c>
      <c r="AA32" s="16">
        <v>9028.6931959821632</v>
      </c>
      <c r="AB32" s="6">
        <f t="shared" si="1"/>
        <v>869408.71861495206</v>
      </c>
      <c r="AC32" s="93"/>
      <c r="AF32" s="67">
        <v>46692</v>
      </c>
      <c r="AG32" s="68">
        <f>AC52</f>
        <v>1922771.6270457422</v>
      </c>
    </row>
    <row r="33" spans="1:33" ht="18.75" thickBot="1" x14ac:dyDescent="0.3">
      <c r="A33" s="97"/>
      <c r="B33" s="12" t="s">
        <v>30</v>
      </c>
      <c r="C33" s="12">
        <v>22</v>
      </c>
      <c r="D33" s="16">
        <v>7968.6712607010231</v>
      </c>
      <c r="E33" s="16">
        <v>7187.1973096356814</v>
      </c>
      <c r="F33" s="16">
        <v>6631.9585739179711</v>
      </c>
      <c r="G33" s="16">
        <v>6274.7926107902858</v>
      </c>
      <c r="H33" s="16">
        <v>6174.8354841761029</v>
      </c>
      <c r="I33" s="16">
        <v>7021.3434542950345</v>
      </c>
      <c r="J33" s="16">
        <v>7968.493199239183</v>
      </c>
      <c r="K33" s="16">
        <v>9514.2069445519919</v>
      </c>
      <c r="L33" s="16">
        <v>11424.810966768404</v>
      </c>
      <c r="M33" s="16">
        <v>12564.915067886555</v>
      </c>
      <c r="N33" s="16">
        <v>13523.700808020083</v>
      </c>
      <c r="O33" s="16">
        <v>14653.820991630972</v>
      </c>
      <c r="P33" s="16">
        <v>14862.991416476882</v>
      </c>
      <c r="Q33" s="16">
        <v>15056.282236984309</v>
      </c>
      <c r="R33" s="16">
        <v>15400.244054298972</v>
      </c>
      <c r="S33" s="16">
        <v>15106.116763312708</v>
      </c>
      <c r="T33" s="16">
        <v>14346.438896156764</v>
      </c>
      <c r="U33" s="16">
        <v>13961.61367457236</v>
      </c>
      <c r="V33" s="16">
        <v>13763.476255464338</v>
      </c>
      <c r="W33" s="16">
        <v>14689.778821529319</v>
      </c>
      <c r="X33" s="16">
        <v>14315.813458868521</v>
      </c>
      <c r="Y33" s="16">
        <v>12832.933860748377</v>
      </c>
      <c r="Z33" s="16">
        <v>10957.6162519627</v>
      </c>
      <c r="AA33" s="16">
        <v>9036.6627380700083</v>
      </c>
      <c r="AB33" s="6">
        <f t="shared" si="1"/>
        <v>6055251.7322012894</v>
      </c>
      <c r="AC33" s="94"/>
      <c r="AF33" s="67">
        <v>46722</v>
      </c>
      <c r="AG33" s="68">
        <f>AC55</f>
        <v>9173799.2640778609</v>
      </c>
    </row>
    <row r="34" spans="1:33" ht="18.75" thickBot="1" x14ac:dyDescent="0.3">
      <c r="A34" s="95">
        <v>46508</v>
      </c>
      <c r="B34" s="9" t="s">
        <v>28</v>
      </c>
      <c r="C34" s="9">
        <v>5</v>
      </c>
      <c r="D34" s="16">
        <v>7427.8298339643443</v>
      </c>
      <c r="E34" s="16">
        <v>6597.0007179120694</v>
      </c>
      <c r="F34" s="16">
        <v>6074.0933017605785</v>
      </c>
      <c r="G34" s="16">
        <v>5706.092033475561</v>
      </c>
      <c r="H34" s="16">
        <v>5602.6942772659131</v>
      </c>
      <c r="I34" s="16">
        <v>5763.9756569649253</v>
      </c>
      <c r="J34" s="16">
        <v>6223.979739334558</v>
      </c>
      <c r="K34" s="16">
        <v>7982.619116737631</v>
      </c>
      <c r="L34" s="16">
        <v>10225.540680724884</v>
      </c>
      <c r="M34" s="16">
        <v>11412.171371201795</v>
      </c>
      <c r="N34" s="16">
        <v>12251.5973475475</v>
      </c>
      <c r="O34" s="16">
        <v>13126.964620811228</v>
      </c>
      <c r="P34" s="16">
        <v>13687.009046565545</v>
      </c>
      <c r="Q34" s="16">
        <v>13517.787164371432</v>
      </c>
      <c r="R34" s="16">
        <v>13266.513423061406</v>
      </c>
      <c r="S34" s="16">
        <v>12854.58041509601</v>
      </c>
      <c r="T34" s="16">
        <v>12057.799146400044</v>
      </c>
      <c r="U34" s="16">
        <v>12060.154900150163</v>
      </c>
      <c r="V34" s="16">
        <v>12986.491210184253</v>
      </c>
      <c r="W34" s="16">
        <v>13645.069210116631</v>
      </c>
      <c r="X34" s="16">
        <v>13002.008364655787</v>
      </c>
      <c r="Y34" s="16">
        <v>11753.48170693099</v>
      </c>
      <c r="Z34" s="16">
        <v>9912.5336347517696</v>
      </c>
      <c r="AA34" s="16">
        <v>8354.7183406679105</v>
      </c>
      <c r="AB34" s="6">
        <f t="shared" si="1"/>
        <v>1227463.5263032648</v>
      </c>
      <c r="AC34" s="92">
        <f>+AB34+AB35+AB36</f>
        <v>7510979.5060049919</v>
      </c>
    </row>
    <row r="35" spans="1:33" ht="18.75" thickBot="1" x14ac:dyDescent="0.3">
      <c r="A35" s="96"/>
      <c r="B35" s="11" t="s">
        <v>29</v>
      </c>
      <c r="C35" s="11">
        <v>5</v>
      </c>
      <c r="D35" s="16">
        <v>7087.2072470586281</v>
      </c>
      <c r="E35" s="16">
        <v>5923.9357598785864</v>
      </c>
      <c r="F35" s="16">
        <v>5321.8088111974685</v>
      </c>
      <c r="G35" s="16">
        <v>5011.1075787072077</v>
      </c>
      <c r="H35" s="16">
        <v>4813.4425740086808</v>
      </c>
      <c r="I35" s="16">
        <v>4863.2330204716054</v>
      </c>
      <c r="J35" s="16">
        <v>5075.2594191706812</v>
      </c>
      <c r="K35" s="16">
        <v>6723.8889489782596</v>
      </c>
      <c r="L35" s="16">
        <v>8538.0932946048342</v>
      </c>
      <c r="M35" s="16">
        <v>9660.6178042911961</v>
      </c>
      <c r="N35" s="16">
        <v>10692.522131863792</v>
      </c>
      <c r="O35" s="16">
        <v>11329.824151076617</v>
      </c>
      <c r="P35" s="16">
        <v>12091.581596907447</v>
      </c>
      <c r="Q35" s="16">
        <v>11745.415640335352</v>
      </c>
      <c r="R35" s="16">
        <v>11003.25618224396</v>
      </c>
      <c r="S35" s="16">
        <v>10439.814391450873</v>
      </c>
      <c r="T35" s="16">
        <v>10171.31839225841</v>
      </c>
      <c r="U35" s="16">
        <v>10036.963377803761</v>
      </c>
      <c r="V35" s="16">
        <v>11389.859486652698</v>
      </c>
      <c r="W35" s="16">
        <v>12610.539451350691</v>
      </c>
      <c r="X35" s="16">
        <v>12147.71731104255</v>
      </c>
      <c r="Y35" s="16">
        <v>11044.906365142739</v>
      </c>
      <c r="Z35" s="16">
        <v>9324.0517939521487</v>
      </c>
      <c r="AA35" s="16">
        <v>7741.5688615690779</v>
      </c>
      <c r="AB35" s="6">
        <f t="shared" si="1"/>
        <v>1073939.6679600864</v>
      </c>
      <c r="AC35" s="93"/>
    </row>
    <row r="36" spans="1:33" ht="18.75" thickBot="1" x14ac:dyDescent="0.3">
      <c r="A36" s="97"/>
      <c r="B36" s="12" t="s">
        <v>30</v>
      </c>
      <c r="C36" s="12">
        <v>21</v>
      </c>
      <c r="D36" s="16">
        <v>6675.9840703478003</v>
      </c>
      <c r="E36" s="16">
        <v>5796.3851238252391</v>
      </c>
      <c r="F36" s="16">
        <v>5304.3216320877364</v>
      </c>
      <c r="G36" s="16">
        <v>5040.8384806476424</v>
      </c>
      <c r="H36" s="16">
        <v>5052.750083714549</v>
      </c>
      <c r="I36" s="16">
        <v>5796.8400219059658</v>
      </c>
      <c r="J36" s="16">
        <v>6733.1221909631167</v>
      </c>
      <c r="K36" s="16">
        <v>8200.1916029407621</v>
      </c>
      <c r="L36" s="16">
        <v>10229.284026499601</v>
      </c>
      <c r="M36" s="16">
        <v>11321.559886168583</v>
      </c>
      <c r="N36" s="16">
        <v>12286.845120236991</v>
      </c>
      <c r="O36" s="16">
        <v>13372.462617333716</v>
      </c>
      <c r="P36" s="16">
        <v>13457.671924367733</v>
      </c>
      <c r="Q36" s="16">
        <v>13420.663128757191</v>
      </c>
      <c r="R36" s="16">
        <v>13649.473466067779</v>
      </c>
      <c r="S36" s="16">
        <v>13588.288145425773</v>
      </c>
      <c r="T36" s="16">
        <v>13270.888190473797</v>
      </c>
      <c r="U36" s="16">
        <v>12962.590273892944</v>
      </c>
      <c r="V36" s="16">
        <v>13697.421558317259</v>
      </c>
      <c r="W36" s="16">
        <v>14373.848889229466</v>
      </c>
      <c r="X36" s="16">
        <v>13547.363964915745</v>
      </c>
      <c r="Y36" s="16">
        <v>12020.576185180773</v>
      </c>
      <c r="Z36" s="16">
        <v>10102.199635499266</v>
      </c>
      <c r="AA36" s="16">
        <v>8173.4922450881531</v>
      </c>
      <c r="AB36" s="6">
        <f t="shared" si="1"/>
        <v>5209576.3117416408</v>
      </c>
      <c r="AC36" s="94"/>
    </row>
    <row r="37" spans="1:33" ht="18.75" thickBot="1" x14ac:dyDescent="0.3">
      <c r="A37" s="95">
        <v>46539</v>
      </c>
      <c r="B37" s="9" t="s">
        <v>28</v>
      </c>
      <c r="C37" s="9">
        <v>4</v>
      </c>
      <c r="D37" s="16">
        <v>6168.2099129593553</v>
      </c>
      <c r="E37" s="16">
        <v>5684.8976201689511</v>
      </c>
      <c r="F37" s="16">
        <v>5419.7179449907708</v>
      </c>
      <c r="G37" s="16">
        <v>4985.0097679684332</v>
      </c>
      <c r="H37" s="16">
        <v>4824.7843767567829</v>
      </c>
      <c r="I37" s="16">
        <v>5247.4142053889154</v>
      </c>
      <c r="J37" s="16">
        <v>5625.0855390606557</v>
      </c>
      <c r="K37" s="16">
        <v>7519.4760308989789</v>
      </c>
      <c r="L37" s="16">
        <v>10003.854246304127</v>
      </c>
      <c r="M37" s="16">
        <v>11286.513490472713</v>
      </c>
      <c r="N37" s="16">
        <v>11872.086873775836</v>
      </c>
      <c r="O37" s="16">
        <v>13018.137001250594</v>
      </c>
      <c r="P37" s="16">
        <v>13205.585049207617</v>
      </c>
      <c r="Q37" s="16">
        <v>12630.151271722305</v>
      </c>
      <c r="R37" s="16">
        <v>12986.780025017855</v>
      </c>
      <c r="S37" s="16">
        <v>12581.962728189163</v>
      </c>
      <c r="T37" s="16">
        <v>11604.943486019743</v>
      </c>
      <c r="U37" s="16">
        <v>11699.711791301037</v>
      </c>
      <c r="V37" s="16">
        <v>13602.301362812985</v>
      </c>
      <c r="W37" s="16">
        <v>15035.173025974884</v>
      </c>
      <c r="X37" s="16">
        <v>14009.373094426846</v>
      </c>
      <c r="Y37" s="16">
        <v>12773.723452815932</v>
      </c>
      <c r="Z37" s="16">
        <v>11166.006460203382</v>
      </c>
      <c r="AA37" s="16">
        <v>9617.4255749779477</v>
      </c>
      <c r="AB37" s="6">
        <f t="shared" si="1"/>
        <v>970273.29733066319</v>
      </c>
      <c r="AC37" s="92">
        <f>+AB37+AB38+AB39</f>
        <v>7268434.0356727839</v>
      </c>
    </row>
    <row r="38" spans="1:33" ht="18.75" thickBot="1" x14ac:dyDescent="0.3">
      <c r="A38" s="96"/>
      <c r="B38" s="11" t="s">
        <v>29</v>
      </c>
      <c r="C38" s="11">
        <v>4</v>
      </c>
      <c r="D38" s="16">
        <v>8129.4245985309135</v>
      </c>
      <c r="E38" s="16">
        <v>7062.7202307777843</v>
      </c>
      <c r="F38" s="16">
        <v>6270.5717752801138</v>
      </c>
      <c r="G38" s="16">
        <v>5831.2771433130983</v>
      </c>
      <c r="H38" s="16">
        <v>5653.7297025495245</v>
      </c>
      <c r="I38" s="16">
        <v>5816.0534660117773</v>
      </c>
      <c r="J38" s="16">
        <v>5873.6824552078433</v>
      </c>
      <c r="K38" s="16">
        <v>7638.7434787508282</v>
      </c>
      <c r="L38" s="16">
        <v>9446.996369362816</v>
      </c>
      <c r="M38" s="16">
        <v>10330.296938269199</v>
      </c>
      <c r="N38" s="16">
        <v>10940.9196960505</v>
      </c>
      <c r="O38" s="16">
        <v>11935.901290056554</v>
      </c>
      <c r="P38" s="16">
        <v>12398.164759969382</v>
      </c>
      <c r="Q38" s="16">
        <v>11904.801148166425</v>
      </c>
      <c r="R38" s="16">
        <v>11237.658782863411</v>
      </c>
      <c r="S38" s="16">
        <v>10647.380337089326</v>
      </c>
      <c r="T38" s="16">
        <v>10149.586332876264</v>
      </c>
      <c r="U38" s="16">
        <v>10052.228281306936</v>
      </c>
      <c r="V38" s="16">
        <v>11934.22562432817</v>
      </c>
      <c r="W38" s="16">
        <v>13278.33159318149</v>
      </c>
      <c r="X38" s="16">
        <v>12293.183722425496</v>
      </c>
      <c r="Y38" s="16">
        <v>10794.153137820605</v>
      </c>
      <c r="Z38" s="16">
        <v>9223.6619645267347</v>
      </c>
      <c r="AA38" s="16">
        <v>7543.1030068477376</v>
      </c>
      <c r="AB38" s="6">
        <f t="shared" si="1"/>
        <v>905547.18334225169</v>
      </c>
      <c r="AC38" s="93"/>
    </row>
    <row r="39" spans="1:33" ht="18.75" thickBot="1" x14ac:dyDescent="0.3">
      <c r="A39" s="97"/>
      <c r="B39" s="12" t="s">
        <v>30</v>
      </c>
      <c r="C39" s="12">
        <v>22</v>
      </c>
      <c r="D39" s="16">
        <v>6409.0263933748793</v>
      </c>
      <c r="E39" s="16">
        <v>5555.0664727545336</v>
      </c>
      <c r="F39" s="16">
        <v>4998.3998343476524</v>
      </c>
      <c r="G39" s="16">
        <v>4692.1839368240726</v>
      </c>
      <c r="H39" s="16">
        <v>4812.5552174601507</v>
      </c>
      <c r="I39" s="16">
        <v>5499.4166537588426</v>
      </c>
      <c r="J39" s="16">
        <v>6517.7354923796229</v>
      </c>
      <c r="K39" s="16">
        <v>8304.9291559450685</v>
      </c>
      <c r="L39" s="16">
        <v>10314.452974322514</v>
      </c>
      <c r="M39" s="16">
        <v>11406.532416586284</v>
      </c>
      <c r="N39" s="16">
        <v>12363.642241011512</v>
      </c>
      <c r="O39" s="16">
        <v>13338.806964833559</v>
      </c>
      <c r="P39" s="16">
        <v>13540.519822062011</v>
      </c>
      <c r="Q39" s="16">
        <v>13692.306144102433</v>
      </c>
      <c r="R39" s="16">
        <v>13754.558745989514</v>
      </c>
      <c r="S39" s="16">
        <v>13567.154098280207</v>
      </c>
      <c r="T39" s="16">
        <v>13190.41854529197</v>
      </c>
      <c r="U39" s="16">
        <v>12896.268709330474</v>
      </c>
      <c r="V39" s="16">
        <v>13460.905139344297</v>
      </c>
      <c r="W39" s="16">
        <v>13953.567311983912</v>
      </c>
      <c r="X39" s="16">
        <v>13226.096719704285</v>
      </c>
      <c r="Y39" s="16">
        <v>11595.454289393638</v>
      </c>
      <c r="Z39" s="16">
        <v>9684.9175181845167</v>
      </c>
      <c r="AA39" s="16">
        <v>8343.883157273598</v>
      </c>
      <c r="AB39" s="6">
        <f t="shared" si="1"/>
        <v>5392613.5549998693</v>
      </c>
      <c r="AC39" s="94"/>
    </row>
    <row r="40" spans="1:33" ht="18.75" thickBot="1" x14ac:dyDescent="0.3">
      <c r="A40" s="95">
        <v>46569</v>
      </c>
      <c r="B40" s="9" t="s">
        <v>28</v>
      </c>
      <c r="C40" s="9">
        <v>5</v>
      </c>
      <c r="D40" s="16">
        <v>6204.7270647845144</v>
      </c>
      <c r="E40" s="16">
        <v>5477.2942160698731</v>
      </c>
      <c r="F40" s="16">
        <v>5043.9030808085845</v>
      </c>
      <c r="G40" s="16">
        <v>4628.9337116635179</v>
      </c>
      <c r="H40" s="16">
        <v>4515.2298941194022</v>
      </c>
      <c r="I40" s="16">
        <v>4719.1311349594434</v>
      </c>
      <c r="J40" s="16">
        <v>5158.1176747873797</v>
      </c>
      <c r="K40" s="16">
        <v>7081.724864000651</v>
      </c>
      <c r="L40" s="16">
        <v>9283.6215637985115</v>
      </c>
      <c r="M40" s="16">
        <v>10119.714535228428</v>
      </c>
      <c r="N40" s="16">
        <v>10620.042299356213</v>
      </c>
      <c r="O40" s="16">
        <v>12022.219716825042</v>
      </c>
      <c r="P40" s="16">
        <v>12463.473605704483</v>
      </c>
      <c r="Q40" s="16">
        <v>12350.545741210954</v>
      </c>
      <c r="R40" s="16">
        <v>12211.064620949484</v>
      </c>
      <c r="S40" s="16">
        <v>12115.999693999049</v>
      </c>
      <c r="T40" s="16">
        <v>11823.869387830862</v>
      </c>
      <c r="U40" s="16">
        <v>11650.002513233438</v>
      </c>
      <c r="V40" s="16">
        <v>12625.046251692995</v>
      </c>
      <c r="W40" s="16">
        <v>13474.814505785165</v>
      </c>
      <c r="X40" s="16">
        <v>12886.300389341202</v>
      </c>
      <c r="Y40" s="16">
        <v>11604.890453769232</v>
      </c>
      <c r="Z40" s="16">
        <v>10030.123992644087</v>
      </c>
      <c r="AA40" s="16">
        <v>8269.2925325895121</v>
      </c>
      <c r="AB40" s="6">
        <f t="shared" si="1"/>
        <v>1131900.4172257599</v>
      </c>
      <c r="AC40" s="92">
        <f>+AB40+AB41+AB42</f>
        <v>7399601.834105962</v>
      </c>
    </row>
    <row r="41" spans="1:33" ht="18.75" thickBot="1" x14ac:dyDescent="0.3">
      <c r="A41" s="96"/>
      <c r="B41" s="11" t="s">
        <v>29</v>
      </c>
      <c r="C41" s="11">
        <v>4</v>
      </c>
      <c r="D41" s="16">
        <v>7044.9809954627854</v>
      </c>
      <c r="E41" s="16">
        <v>6144.6992656024049</v>
      </c>
      <c r="F41" s="16">
        <v>5515.123706995033</v>
      </c>
      <c r="G41" s="16">
        <v>4976.9611128155848</v>
      </c>
      <c r="H41" s="16">
        <v>4790.9459457334451</v>
      </c>
      <c r="I41" s="16">
        <v>4888.7445054492673</v>
      </c>
      <c r="J41" s="16">
        <v>5212.5411708586726</v>
      </c>
      <c r="K41" s="16">
        <v>6522.510094051835</v>
      </c>
      <c r="L41" s="16">
        <v>8157.2883369796036</v>
      </c>
      <c r="M41" s="16">
        <v>8558.2104643165985</v>
      </c>
      <c r="N41" s="16">
        <v>9615.6137883775846</v>
      </c>
      <c r="O41" s="16">
        <v>11038.247179157188</v>
      </c>
      <c r="P41" s="16">
        <v>11839.646506623281</v>
      </c>
      <c r="Q41" s="16">
        <v>11773.108532535061</v>
      </c>
      <c r="R41" s="16">
        <v>11210.54257085628</v>
      </c>
      <c r="S41" s="16">
        <v>11088.240979946553</v>
      </c>
      <c r="T41" s="16">
        <v>10750.633774003683</v>
      </c>
      <c r="U41" s="16">
        <v>10418.588158159666</v>
      </c>
      <c r="V41" s="16">
        <v>11090.898085232177</v>
      </c>
      <c r="W41" s="16">
        <v>13197.566124867091</v>
      </c>
      <c r="X41" s="16">
        <v>12689.30263905906</v>
      </c>
      <c r="Y41" s="16">
        <v>11324.458173751362</v>
      </c>
      <c r="Z41" s="16">
        <v>9399.5784927234745</v>
      </c>
      <c r="AA41" s="16">
        <v>7777.7707677606413</v>
      </c>
      <c r="AB41" s="6">
        <f t="shared" si="1"/>
        <v>860104.80548527325</v>
      </c>
      <c r="AC41" s="93"/>
    </row>
    <row r="42" spans="1:33" ht="18.75" thickBot="1" x14ac:dyDescent="0.3">
      <c r="A42" s="97"/>
      <c r="B42" s="12" t="s">
        <v>30</v>
      </c>
      <c r="C42" s="12">
        <v>22</v>
      </c>
      <c r="D42" s="16">
        <v>6852.9740903950515</v>
      </c>
      <c r="E42" s="16">
        <v>6060.6625752524269</v>
      </c>
      <c r="F42" s="16">
        <v>5507.4971903796213</v>
      </c>
      <c r="G42" s="16">
        <v>5217.6853805471837</v>
      </c>
      <c r="H42" s="16">
        <v>5209.3173443781379</v>
      </c>
      <c r="I42" s="16">
        <v>5995.8585792167396</v>
      </c>
      <c r="J42" s="16">
        <v>6988.3792905388582</v>
      </c>
      <c r="K42" s="16">
        <v>8402.2223898844568</v>
      </c>
      <c r="L42" s="16">
        <v>10125.348551738858</v>
      </c>
      <c r="M42" s="16">
        <v>10788.236235984848</v>
      </c>
      <c r="N42" s="16">
        <v>11617.071090527501</v>
      </c>
      <c r="O42" s="16">
        <v>12756.837482228919</v>
      </c>
      <c r="P42" s="16">
        <v>12642.911974867289</v>
      </c>
      <c r="Q42" s="16">
        <v>13049.183906952174</v>
      </c>
      <c r="R42" s="16">
        <v>13735.117118237613</v>
      </c>
      <c r="S42" s="16">
        <v>13778.741960147723</v>
      </c>
      <c r="T42" s="16">
        <v>13175.087938051714</v>
      </c>
      <c r="U42" s="16">
        <v>12703.052514734958</v>
      </c>
      <c r="V42" s="16">
        <v>13336.201419161673</v>
      </c>
      <c r="W42" s="16">
        <v>14302.253991225181</v>
      </c>
      <c r="X42" s="16">
        <v>13709.154106772618</v>
      </c>
      <c r="Y42" s="16">
        <v>11947.059749855373</v>
      </c>
      <c r="Z42" s="16">
        <v>9822.7773128846457</v>
      </c>
      <c r="AA42" s="16">
        <v>8076.213778533267</v>
      </c>
      <c r="AB42" s="6">
        <f t="shared" si="1"/>
        <v>5407596.6113949288</v>
      </c>
      <c r="AC42" s="94"/>
    </row>
    <row r="43" spans="1:33" ht="18.75" thickBot="1" x14ac:dyDescent="0.3">
      <c r="A43" s="95">
        <v>46600</v>
      </c>
      <c r="B43" s="9" t="s">
        <v>28</v>
      </c>
      <c r="C43" s="9">
        <v>4</v>
      </c>
      <c r="D43" s="16">
        <v>6829.0574075509103</v>
      </c>
      <c r="E43" s="16">
        <v>5257.1952557556579</v>
      </c>
      <c r="F43" s="16">
        <v>4693.8497026154109</v>
      </c>
      <c r="G43" s="16">
        <v>4268.7500921034334</v>
      </c>
      <c r="H43" s="16">
        <v>4181.6084784044033</v>
      </c>
      <c r="I43" s="16">
        <v>4326.4933905282251</v>
      </c>
      <c r="J43" s="16">
        <v>4991.1459605704804</v>
      </c>
      <c r="K43" s="16">
        <v>6493.6030238340863</v>
      </c>
      <c r="L43" s="16">
        <v>8759.7840014187459</v>
      </c>
      <c r="M43" s="16">
        <v>9760.3346872837683</v>
      </c>
      <c r="N43" s="16">
        <v>11421.153076086674</v>
      </c>
      <c r="O43" s="16">
        <v>12630.884463853814</v>
      </c>
      <c r="P43" s="16">
        <v>13022.473085483478</v>
      </c>
      <c r="Q43" s="16">
        <v>12875.212150964919</v>
      </c>
      <c r="R43" s="16">
        <v>12437.556197761911</v>
      </c>
      <c r="S43" s="16">
        <v>12270.395366850214</v>
      </c>
      <c r="T43" s="16">
        <v>11955.124414418504</v>
      </c>
      <c r="U43" s="16">
        <v>11463.718751744149</v>
      </c>
      <c r="V43" s="16">
        <v>13019.372631439743</v>
      </c>
      <c r="W43" s="16">
        <v>13720.086586717618</v>
      </c>
      <c r="X43" s="16">
        <v>13064.39655461063</v>
      </c>
      <c r="Y43" s="16">
        <v>11496.832791777688</v>
      </c>
      <c r="Z43" s="16">
        <v>9451.4177517811622</v>
      </c>
      <c r="AA43" s="16">
        <v>7950.0466271538207</v>
      </c>
      <c r="AB43" s="6">
        <f t="shared" si="1"/>
        <v>905361.96980283759</v>
      </c>
      <c r="AC43" s="92">
        <f>+AB43+AB44+AB45</f>
        <v>7183515.2765491698</v>
      </c>
    </row>
    <row r="44" spans="1:33" ht="18.75" thickBot="1" x14ac:dyDescent="0.3">
      <c r="A44" s="96"/>
      <c r="B44" s="11" t="s">
        <v>29</v>
      </c>
      <c r="C44" s="11">
        <v>5</v>
      </c>
      <c r="D44" s="16">
        <v>6743.9519794260923</v>
      </c>
      <c r="E44" s="16">
        <v>6025.7439213134858</v>
      </c>
      <c r="F44" s="16">
        <v>5326.214736834223</v>
      </c>
      <c r="G44" s="16">
        <v>4764.4551563647146</v>
      </c>
      <c r="H44" s="16">
        <v>4397.1438048104101</v>
      </c>
      <c r="I44" s="16">
        <v>4479.3881633502897</v>
      </c>
      <c r="J44" s="16">
        <v>4886.4916117438042</v>
      </c>
      <c r="K44" s="16">
        <v>6421.1232019239142</v>
      </c>
      <c r="L44" s="16">
        <v>8314.88211152644</v>
      </c>
      <c r="M44" s="16">
        <v>9561.386557108035</v>
      </c>
      <c r="N44" s="16">
        <v>10292.793164441995</v>
      </c>
      <c r="O44" s="16">
        <v>11369.47944959933</v>
      </c>
      <c r="P44" s="16">
        <v>12025.144773665739</v>
      </c>
      <c r="Q44" s="16">
        <v>11952.254028687119</v>
      </c>
      <c r="R44" s="16">
        <v>11293.292611501536</v>
      </c>
      <c r="S44" s="16">
        <v>10871.172952704197</v>
      </c>
      <c r="T44" s="16">
        <v>10580.822084452928</v>
      </c>
      <c r="U44" s="16">
        <v>10328.061867129614</v>
      </c>
      <c r="V44" s="16">
        <v>11283.75166238664</v>
      </c>
      <c r="W44" s="16">
        <v>12845.648170303797</v>
      </c>
      <c r="X44" s="16">
        <v>12346.209559089999</v>
      </c>
      <c r="Y44" s="16">
        <v>10911.418705370554</v>
      </c>
      <c r="Z44" s="16">
        <v>9120.0361442626163</v>
      </c>
      <c r="AA44" s="16">
        <v>7526.3452487091199</v>
      </c>
      <c r="AB44" s="6">
        <f t="shared" si="1"/>
        <v>1068336.0583335329</v>
      </c>
      <c r="AC44" s="93"/>
    </row>
    <row r="45" spans="1:33" ht="18.75" thickBot="1" x14ac:dyDescent="0.3">
      <c r="A45" s="97"/>
      <c r="B45" s="12" t="s">
        <v>30</v>
      </c>
      <c r="C45" s="12">
        <v>22</v>
      </c>
      <c r="D45" s="16">
        <v>6784.8305158842522</v>
      </c>
      <c r="E45" s="16">
        <v>6022.4107874518304</v>
      </c>
      <c r="F45" s="16">
        <v>5502.060465330389</v>
      </c>
      <c r="G45" s="16">
        <v>5147.7903331100024</v>
      </c>
      <c r="H45" s="16">
        <v>5039.2166153845028</v>
      </c>
      <c r="I45" s="16">
        <v>5813.2015828316216</v>
      </c>
      <c r="J45" s="16">
        <v>6877.0666546764842</v>
      </c>
      <c r="K45" s="16">
        <v>8172.9300480838829</v>
      </c>
      <c r="L45" s="16">
        <v>9925.7808036290335</v>
      </c>
      <c r="M45" s="16">
        <v>11182.342157214462</v>
      </c>
      <c r="N45" s="16">
        <v>11858.146079943581</v>
      </c>
      <c r="O45" s="16">
        <v>11978.96701271342</v>
      </c>
      <c r="P45" s="16">
        <v>11316.525417912995</v>
      </c>
      <c r="Q45" s="16">
        <v>11698.210762681592</v>
      </c>
      <c r="R45" s="16">
        <v>12044.293824896256</v>
      </c>
      <c r="S45" s="16">
        <v>12102.892652550363</v>
      </c>
      <c r="T45" s="16">
        <v>13199.105697919316</v>
      </c>
      <c r="U45" s="16">
        <v>12684.610371317125</v>
      </c>
      <c r="V45" s="16">
        <v>12900.566214077382</v>
      </c>
      <c r="W45" s="16">
        <v>13541.287543863757</v>
      </c>
      <c r="X45" s="16">
        <v>13062.309439347926</v>
      </c>
      <c r="Y45" s="16">
        <v>11853.104381877627</v>
      </c>
      <c r="Z45" s="16">
        <v>9973.7728148177521</v>
      </c>
      <c r="AA45" s="16">
        <v>8128.4527503389545</v>
      </c>
      <c r="AB45" s="6">
        <f t="shared" si="1"/>
        <v>5209817.2484127991</v>
      </c>
      <c r="AC45" s="94"/>
    </row>
    <row r="46" spans="1:33" ht="18.75" thickBot="1" x14ac:dyDescent="0.3">
      <c r="A46" s="95">
        <v>46631</v>
      </c>
      <c r="B46" s="9" t="s">
        <v>28</v>
      </c>
      <c r="C46" s="9">
        <v>4</v>
      </c>
      <c r="D46" s="16">
        <v>1755.8693930772288</v>
      </c>
      <c r="E46" s="16">
        <v>1667.598995379135</v>
      </c>
      <c r="F46" s="16">
        <v>1513.0792763657055</v>
      </c>
      <c r="G46" s="16">
        <v>1426.3664446138373</v>
      </c>
      <c r="H46" s="16">
        <v>1415.1152612091628</v>
      </c>
      <c r="I46" s="16">
        <v>1454.7197530922112</v>
      </c>
      <c r="J46" s="16">
        <v>1634.779474891292</v>
      </c>
      <c r="K46" s="16">
        <v>2198.7712998906163</v>
      </c>
      <c r="L46" s="16">
        <v>2825.7214189768383</v>
      </c>
      <c r="M46" s="16">
        <v>3223.1189474490056</v>
      </c>
      <c r="N46" s="16">
        <v>3519.4704685731685</v>
      </c>
      <c r="O46" s="16">
        <v>3834.8431583787487</v>
      </c>
      <c r="P46" s="16">
        <v>3947.6196001918079</v>
      </c>
      <c r="Q46" s="16">
        <v>3909.7521384818492</v>
      </c>
      <c r="R46" s="16">
        <v>3785.5119093362673</v>
      </c>
      <c r="S46" s="16">
        <v>3611.4800442253081</v>
      </c>
      <c r="T46" s="16">
        <v>3464.280120396802</v>
      </c>
      <c r="U46" s="16">
        <v>3405.5157829297532</v>
      </c>
      <c r="V46" s="16">
        <v>3823.3778415215656</v>
      </c>
      <c r="W46" s="16">
        <v>3982.508057704129</v>
      </c>
      <c r="X46" s="16">
        <v>3782.2326084635606</v>
      </c>
      <c r="Y46" s="16">
        <v>3396.2825523941983</v>
      </c>
      <c r="Z46" s="16">
        <v>2948.9037268987167</v>
      </c>
      <c r="AA46" s="16">
        <v>2472.4680115809033</v>
      </c>
      <c r="AB46" s="6">
        <f t="shared" si="1"/>
        <v>275997.54514408729</v>
      </c>
      <c r="AC46" s="92">
        <f>+AB46+AB47+AB48</f>
        <v>2065944.3358410331</v>
      </c>
    </row>
    <row r="47" spans="1:33" ht="18.75" thickBot="1" x14ac:dyDescent="0.3">
      <c r="A47" s="96"/>
      <c r="B47" s="11" t="s">
        <v>29</v>
      </c>
      <c r="C47" s="11">
        <v>4</v>
      </c>
      <c r="D47" s="16">
        <v>2114.8814608209877</v>
      </c>
      <c r="E47" s="16">
        <v>1863.4398427865581</v>
      </c>
      <c r="F47" s="16">
        <v>1678.7140510890003</v>
      </c>
      <c r="G47" s="16">
        <v>1568.4083014446478</v>
      </c>
      <c r="H47" s="16">
        <v>1487.0437075899617</v>
      </c>
      <c r="I47" s="16">
        <v>1477.4449206604804</v>
      </c>
      <c r="J47" s="16">
        <v>1523.34544588884</v>
      </c>
      <c r="K47" s="16">
        <v>1898.618909984426</v>
      </c>
      <c r="L47" s="16">
        <v>2387.7537587191155</v>
      </c>
      <c r="M47" s="16">
        <v>2655.8233491824049</v>
      </c>
      <c r="N47" s="16">
        <v>2889.285404829403</v>
      </c>
      <c r="O47" s="16">
        <v>3229.7351612899747</v>
      </c>
      <c r="P47" s="16">
        <v>3390.7614782103492</v>
      </c>
      <c r="Q47" s="16">
        <v>3276.1241147266765</v>
      </c>
      <c r="R47" s="16">
        <v>3017.7445728309622</v>
      </c>
      <c r="S47" s="16">
        <v>2899.5301610072875</v>
      </c>
      <c r="T47" s="16">
        <v>2792.3155807023631</v>
      </c>
      <c r="U47" s="16">
        <v>2835.0071631924138</v>
      </c>
      <c r="V47" s="16">
        <v>3385.249581174462</v>
      </c>
      <c r="W47" s="16">
        <v>3592.8754160931694</v>
      </c>
      <c r="X47" s="16">
        <v>3460.2707264193514</v>
      </c>
      <c r="Y47" s="16">
        <v>3145.7010370606786</v>
      </c>
      <c r="Z47" s="16">
        <v>2628.1109115368954</v>
      </c>
      <c r="AA47" s="16">
        <v>2173.4857080402071</v>
      </c>
      <c r="AB47" s="6">
        <f t="shared" si="1"/>
        <v>245486.68306112246</v>
      </c>
      <c r="AC47" s="93"/>
    </row>
    <row r="48" spans="1:33" ht="18.75" thickBot="1" x14ac:dyDescent="0.3">
      <c r="A48" s="97"/>
      <c r="B48" s="12" t="s">
        <v>30</v>
      </c>
      <c r="C48" s="12">
        <v>22</v>
      </c>
      <c r="D48" s="16">
        <v>1839.8869706306477</v>
      </c>
      <c r="E48" s="16">
        <v>1655.2225453164492</v>
      </c>
      <c r="F48" s="16">
        <v>1516.5654802107056</v>
      </c>
      <c r="G48" s="16">
        <v>1387.35475940992</v>
      </c>
      <c r="H48" s="16">
        <v>1414.3250068010948</v>
      </c>
      <c r="I48" s="16">
        <v>1667.2091983367964</v>
      </c>
      <c r="J48" s="16">
        <v>2000.9572266230962</v>
      </c>
      <c r="K48" s="16">
        <v>2370.7528140191889</v>
      </c>
      <c r="L48" s="16">
        <v>2909.1730260565364</v>
      </c>
      <c r="M48" s="16">
        <v>3192.5618720298444</v>
      </c>
      <c r="N48" s="16">
        <v>3422.7049055121897</v>
      </c>
      <c r="O48" s="16">
        <v>3729.031893775471</v>
      </c>
      <c r="P48" s="16">
        <v>3781.6549579833409</v>
      </c>
      <c r="Q48" s="16">
        <v>3827.4417885452494</v>
      </c>
      <c r="R48" s="16">
        <v>3928.6031591320661</v>
      </c>
      <c r="S48" s="16">
        <v>3889.3860541312843</v>
      </c>
      <c r="T48" s="16">
        <v>3821.5562703490432</v>
      </c>
      <c r="U48" s="16">
        <v>3686.9923059340044</v>
      </c>
      <c r="V48" s="16">
        <v>3991.7955168412946</v>
      </c>
      <c r="W48" s="16">
        <v>4083.5524428290146</v>
      </c>
      <c r="X48" s="16">
        <v>3844.2677648938316</v>
      </c>
      <c r="Y48" s="16">
        <v>3357.1260258398306</v>
      </c>
      <c r="Z48" s="16">
        <v>2704.1181830448968</v>
      </c>
      <c r="AA48" s="16">
        <v>2180.491997018903</v>
      </c>
      <c r="AB48" s="6">
        <f t="shared" si="1"/>
        <v>1544460.1076358235</v>
      </c>
      <c r="AC48" s="94"/>
    </row>
    <row r="49" spans="1:33" ht="18.75" thickBot="1" x14ac:dyDescent="0.3">
      <c r="A49" s="95">
        <v>46661</v>
      </c>
      <c r="B49" s="9" t="s">
        <v>28</v>
      </c>
      <c r="C49" s="9">
        <v>5</v>
      </c>
      <c r="D49" s="16">
        <v>1580.7725175203814</v>
      </c>
      <c r="E49" s="16">
        <v>1385.4805366423607</v>
      </c>
      <c r="F49" s="16">
        <v>1259.9325587479016</v>
      </c>
      <c r="G49" s="16">
        <v>1145.7757033280923</v>
      </c>
      <c r="H49" s="16">
        <v>1091.3041773474006</v>
      </c>
      <c r="I49" s="16">
        <v>1126.2271082148982</v>
      </c>
      <c r="J49" s="16">
        <v>1228.6838533686332</v>
      </c>
      <c r="K49" s="16">
        <v>1737.2446174043798</v>
      </c>
      <c r="L49" s="16">
        <v>2360.4354657960102</v>
      </c>
      <c r="M49" s="16">
        <v>2824.8996756236393</v>
      </c>
      <c r="N49" s="16">
        <v>3154.9113082869499</v>
      </c>
      <c r="O49" s="16">
        <v>3506.0067277716316</v>
      </c>
      <c r="P49" s="16">
        <v>3593.9093681694339</v>
      </c>
      <c r="Q49" s="16">
        <v>3494.5152086328935</v>
      </c>
      <c r="R49" s="16">
        <v>3385.2197936223019</v>
      </c>
      <c r="S49" s="16">
        <v>3236.4928577466517</v>
      </c>
      <c r="T49" s="16">
        <v>3110.5774085671246</v>
      </c>
      <c r="U49" s="16">
        <v>3105.4839836331166</v>
      </c>
      <c r="V49" s="16">
        <v>3417.688367206506</v>
      </c>
      <c r="W49" s="16">
        <v>3454.3253518002412</v>
      </c>
      <c r="X49" s="16">
        <v>3322.3515000415691</v>
      </c>
      <c r="Y49" s="16">
        <v>3005.6009995621962</v>
      </c>
      <c r="Z49" s="16">
        <v>2564.055008806592</v>
      </c>
      <c r="AA49" s="16">
        <v>2125.1061725312611</v>
      </c>
      <c r="AB49" s="6">
        <f t="shared" si="1"/>
        <v>301085.00135186082</v>
      </c>
      <c r="AC49" s="92">
        <f>+AB49+AB50+AB51</f>
        <v>1878100.9656849685</v>
      </c>
    </row>
    <row r="50" spans="1:33" ht="18.75" thickBot="1" x14ac:dyDescent="0.3">
      <c r="A50" s="96"/>
      <c r="B50" s="11" t="s">
        <v>29</v>
      </c>
      <c r="C50" s="11">
        <v>5</v>
      </c>
      <c r="D50" s="16">
        <v>1706.1425106491824</v>
      </c>
      <c r="E50" s="16">
        <v>1479.6148857054741</v>
      </c>
      <c r="F50" s="16">
        <v>1312.0316043364046</v>
      </c>
      <c r="G50" s="16">
        <v>1217.6977290874738</v>
      </c>
      <c r="H50" s="16">
        <v>1172.9886577559164</v>
      </c>
      <c r="I50" s="16">
        <v>1187.0948764230234</v>
      </c>
      <c r="J50" s="16">
        <v>1222.9265433092678</v>
      </c>
      <c r="K50" s="16">
        <v>1597.4080498151316</v>
      </c>
      <c r="L50" s="16">
        <v>2025.4787613275666</v>
      </c>
      <c r="M50" s="16">
        <v>2345.3678759658742</v>
      </c>
      <c r="N50" s="16">
        <v>2516.8087285757483</v>
      </c>
      <c r="O50" s="16">
        <v>2911.1461609539101</v>
      </c>
      <c r="P50" s="16">
        <v>3121.110480717517</v>
      </c>
      <c r="Q50" s="16">
        <v>3060.7001509021839</v>
      </c>
      <c r="R50" s="16">
        <v>2791.3169914854998</v>
      </c>
      <c r="S50" s="16">
        <v>2469.2203199070836</v>
      </c>
      <c r="T50" s="16">
        <v>2518.4934430826734</v>
      </c>
      <c r="U50" s="16">
        <v>2646.6264888687183</v>
      </c>
      <c r="V50" s="16">
        <v>3151.0392136452247</v>
      </c>
      <c r="W50" s="16">
        <v>3253.8668416211576</v>
      </c>
      <c r="X50" s="16">
        <v>2998.9053218473009</v>
      </c>
      <c r="Y50" s="16">
        <v>2600.4284277889674</v>
      </c>
      <c r="Z50" s="16">
        <v>2112.7072819886234</v>
      </c>
      <c r="AA50" s="16">
        <v>1710.9576516259294</v>
      </c>
      <c r="AB50" s="6">
        <f t="shared" si="1"/>
        <v>265650.39498692926</v>
      </c>
      <c r="AC50" s="93"/>
    </row>
    <row r="51" spans="1:33" ht="18.75" thickBot="1" x14ac:dyDescent="0.3">
      <c r="A51" s="97"/>
      <c r="B51" s="12" t="s">
        <v>30</v>
      </c>
      <c r="C51" s="12">
        <v>21</v>
      </c>
      <c r="D51" s="16">
        <v>1607.0725003067337</v>
      </c>
      <c r="E51" s="16">
        <v>1413.603698037412</v>
      </c>
      <c r="F51" s="16">
        <v>1272.3164385271702</v>
      </c>
      <c r="G51" s="16">
        <v>1127.0309461127745</v>
      </c>
      <c r="H51" s="16">
        <v>1174.443868855963</v>
      </c>
      <c r="I51" s="16">
        <v>1367.6059872290689</v>
      </c>
      <c r="J51" s="16">
        <v>1636.4543416797778</v>
      </c>
      <c r="K51" s="16">
        <v>2063.7242014969697</v>
      </c>
      <c r="L51" s="16">
        <v>2534.9182664387308</v>
      </c>
      <c r="M51" s="16">
        <v>2824.1408522935963</v>
      </c>
      <c r="N51" s="16">
        <v>3009.3625072341229</v>
      </c>
      <c r="O51" s="16">
        <v>3229.9070403884562</v>
      </c>
      <c r="P51" s="16">
        <v>3409.9471464034104</v>
      </c>
      <c r="Q51" s="16">
        <v>3413.2091961784763</v>
      </c>
      <c r="R51" s="16">
        <v>3522.2194155461975</v>
      </c>
      <c r="S51" s="16">
        <v>3564.9428482126204</v>
      </c>
      <c r="T51" s="16">
        <v>3528.5562793053105</v>
      </c>
      <c r="U51" s="16">
        <v>3355.6902371221277</v>
      </c>
      <c r="V51" s="16">
        <v>3731.6591738163543</v>
      </c>
      <c r="W51" s="16">
        <v>3710.3363578675526</v>
      </c>
      <c r="X51" s="16">
        <v>3501.1159126985613</v>
      </c>
      <c r="Y51" s="16">
        <v>3020.1975491567</v>
      </c>
      <c r="Z51" s="16">
        <v>2453.2836387779807</v>
      </c>
      <c r="AA51" s="16">
        <v>1974.2410889890962</v>
      </c>
      <c r="AB51" s="6">
        <f t="shared" si="1"/>
        <v>1311365.5693461786</v>
      </c>
      <c r="AC51" s="94"/>
    </row>
    <row r="52" spans="1:33" ht="18.75" thickBot="1" x14ac:dyDescent="0.3">
      <c r="A52" s="95">
        <v>46692</v>
      </c>
      <c r="B52" s="9" t="s">
        <v>28</v>
      </c>
      <c r="C52" s="9">
        <v>4</v>
      </c>
      <c r="D52" s="16">
        <v>1607.7818530855593</v>
      </c>
      <c r="E52" s="16">
        <v>1539.9385629849494</v>
      </c>
      <c r="F52" s="16">
        <v>1369.9146931734731</v>
      </c>
      <c r="G52" s="16">
        <v>1232.7337008241375</v>
      </c>
      <c r="H52" s="16">
        <v>1230.8222526708669</v>
      </c>
      <c r="I52" s="16">
        <v>1287.1062111357687</v>
      </c>
      <c r="J52" s="16">
        <v>1430.9665380156976</v>
      </c>
      <c r="K52" s="16">
        <v>1942.5313669309262</v>
      </c>
      <c r="L52" s="16">
        <v>2615.5344511988051</v>
      </c>
      <c r="M52" s="16">
        <v>3024.8709937104895</v>
      </c>
      <c r="N52" s="16">
        <v>3286.3497860516582</v>
      </c>
      <c r="O52" s="16">
        <v>3554.2180947654069</v>
      </c>
      <c r="P52" s="16">
        <v>3676.853316517434</v>
      </c>
      <c r="Q52" s="16">
        <v>3600.6243825114734</v>
      </c>
      <c r="R52" s="16">
        <v>3485.1988346903008</v>
      </c>
      <c r="S52" s="16">
        <v>3337.5140212807391</v>
      </c>
      <c r="T52" s="16">
        <v>3204.8647671799763</v>
      </c>
      <c r="U52" s="16">
        <v>3278.4264995095054</v>
      </c>
      <c r="V52" s="16">
        <v>3709.4238682755422</v>
      </c>
      <c r="W52" s="16">
        <v>3721.9190461992685</v>
      </c>
      <c r="X52" s="16">
        <v>3540.888049719827</v>
      </c>
      <c r="Y52" s="16">
        <v>3161.1829291415534</v>
      </c>
      <c r="Z52" s="16">
        <v>2709.2633927461156</v>
      </c>
      <c r="AA52" s="16">
        <v>2256.1690790434996</v>
      </c>
      <c r="AB52" s="6">
        <f t="shared" si="1"/>
        <v>255220.38676545193</v>
      </c>
      <c r="AC52" s="92">
        <f>+AB52+AB53+AB54</f>
        <v>1922771.6270457422</v>
      </c>
    </row>
    <row r="53" spans="1:33" ht="18.75" thickBot="1" x14ac:dyDescent="0.3">
      <c r="A53" s="96"/>
      <c r="B53" s="11" t="s">
        <v>29</v>
      </c>
      <c r="C53" s="11">
        <v>4</v>
      </c>
      <c r="D53" s="16">
        <v>1848.8252564436816</v>
      </c>
      <c r="E53" s="16">
        <v>1626.1565401196731</v>
      </c>
      <c r="F53" s="16">
        <v>1493.8999575345888</v>
      </c>
      <c r="G53" s="16">
        <v>1384.2975226978151</v>
      </c>
      <c r="H53" s="16">
        <v>1342.1611543274112</v>
      </c>
      <c r="I53" s="16">
        <v>1358.3865412690493</v>
      </c>
      <c r="J53" s="16">
        <v>1445.3706083770185</v>
      </c>
      <c r="K53" s="16">
        <v>1823.7144979908962</v>
      </c>
      <c r="L53" s="16">
        <v>2322.7063416383853</v>
      </c>
      <c r="M53" s="16">
        <v>2632.6209439432687</v>
      </c>
      <c r="N53" s="16">
        <v>2808.0208468763403</v>
      </c>
      <c r="O53" s="16">
        <v>3036.9627093190038</v>
      </c>
      <c r="P53" s="16">
        <v>3161.3811958845727</v>
      </c>
      <c r="Q53" s="16">
        <v>3065.6341476496491</v>
      </c>
      <c r="R53" s="16">
        <v>2867.9202911219982</v>
      </c>
      <c r="S53" s="16">
        <v>2720.4296553103732</v>
      </c>
      <c r="T53" s="16">
        <v>2664.4157508022336</v>
      </c>
      <c r="U53" s="16">
        <v>2716.1900069670864</v>
      </c>
      <c r="V53" s="16">
        <v>3300.7341490054077</v>
      </c>
      <c r="W53" s="16">
        <v>3443.050312471999</v>
      </c>
      <c r="X53" s="16">
        <v>3227.2235309894613</v>
      </c>
      <c r="Y53" s="16">
        <v>2852.9713421778861</v>
      </c>
      <c r="Z53" s="16">
        <v>2414.7294281603945</v>
      </c>
      <c r="AA53" s="16">
        <v>2017.0455860972297</v>
      </c>
      <c r="AB53" s="6">
        <f t="shared" si="1"/>
        <v>230299.39326870171</v>
      </c>
      <c r="AC53" s="93"/>
    </row>
    <row r="54" spans="1:33" ht="18.75" thickBot="1" x14ac:dyDescent="0.3">
      <c r="A54" s="97"/>
      <c r="B54" s="12" t="s">
        <v>30</v>
      </c>
      <c r="C54" s="12">
        <v>22</v>
      </c>
      <c r="D54" s="16">
        <v>1692.908284053723</v>
      </c>
      <c r="E54" s="16">
        <v>1493.6859084584503</v>
      </c>
      <c r="F54" s="16">
        <v>1365.6972448493461</v>
      </c>
      <c r="G54" s="16">
        <v>1281.4168567375245</v>
      </c>
      <c r="H54" s="16">
        <v>1275.8181671417979</v>
      </c>
      <c r="I54" s="16">
        <v>1465.2114179953242</v>
      </c>
      <c r="J54" s="16">
        <v>1775.085160401386</v>
      </c>
      <c r="K54" s="16">
        <v>2231.3940438196114</v>
      </c>
      <c r="L54" s="16">
        <v>2721.9806276551099</v>
      </c>
      <c r="M54" s="16">
        <v>2986.5666938262302</v>
      </c>
      <c r="N54" s="16">
        <v>3247.3227518597696</v>
      </c>
      <c r="O54" s="16">
        <v>3521.7775879177088</v>
      </c>
      <c r="P54" s="16">
        <v>3609.3849656829771</v>
      </c>
      <c r="Q54" s="16">
        <v>3577.4591389553989</v>
      </c>
      <c r="R54" s="16">
        <v>3663.7752334857714</v>
      </c>
      <c r="S54" s="16">
        <v>3568.4520712050644</v>
      </c>
      <c r="T54" s="16">
        <v>3438.5628701399974</v>
      </c>
      <c r="U54" s="16">
        <v>3383.5012852427935</v>
      </c>
      <c r="V54" s="16">
        <v>3797.762461538251</v>
      </c>
      <c r="W54" s="16">
        <v>3741.7677248977034</v>
      </c>
      <c r="X54" s="16">
        <v>3595.2951473836465</v>
      </c>
      <c r="Y54" s="16">
        <v>3190.5991629699865</v>
      </c>
      <c r="Z54" s="16">
        <v>2605.2517374072813</v>
      </c>
      <c r="AA54" s="16">
        <v>2098.9528659927873</v>
      </c>
      <c r="AB54" s="6">
        <f t="shared" si="1"/>
        <v>1437251.8470115885</v>
      </c>
      <c r="AC54" s="94"/>
    </row>
    <row r="55" spans="1:33" ht="18.75" thickBot="1" x14ac:dyDescent="0.3">
      <c r="A55" s="95">
        <v>46722</v>
      </c>
      <c r="B55" s="9" t="s">
        <v>28</v>
      </c>
      <c r="C55" s="9">
        <v>4</v>
      </c>
      <c r="D55" s="16">
        <v>8921.6331994202774</v>
      </c>
      <c r="E55" s="16">
        <v>7963.6501394590086</v>
      </c>
      <c r="F55" s="16">
        <v>7462.9591065776403</v>
      </c>
      <c r="G55" s="16">
        <v>7132.4250317921942</v>
      </c>
      <c r="H55" s="16">
        <v>7040.758209818774</v>
      </c>
      <c r="I55" s="16">
        <v>7397.9527156908844</v>
      </c>
      <c r="J55" s="16">
        <v>7860.1941562297943</v>
      </c>
      <c r="K55" s="16">
        <v>9623.3425776927579</v>
      </c>
      <c r="L55" s="16">
        <v>11997.596748574695</v>
      </c>
      <c r="M55" s="16">
        <v>13313.246418212235</v>
      </c>
      <c r="N55" s="16">
        <v>14201.87627787044</v>
      </c>
      <c r="O55" s="16">
        <v>15091.051167936705</v>
      </c>
      <c r="P55" s="16">
        <v>15390.015699720734</v>
      </c>
      <c r="Q55" s="16">
        <v>15330.515267427971</v>
      </c>
      <c r="R55" s="16">
        <v>14837.778991734489</v>
      </c>
      <c r="S55" s="16">
        <v>14431.627705195737</v>
      </c>
      <c r="T55" s="16">
        <v>14085.111189430609</v>
      </c>
      <c r="U55" s="16">
        <v>14027.098076033042</v>
      </c>
      <c r="V55" s="16">
        <v>15857.413818803394</v>
      </c>
      <c r="W55" s="16">
        <v>16115.702577705044</v>
      </c>
      <c r="X55" s="16">
        <v>15419.952070619158</v>
      </c>
      <c r="Y55" s="16">
        <v>14236.815797620227</v>
      </c>
      <c r="Z55" s="16">
        <v>12569.736662060492</v>
      </c>
      <c r="AA55" s="16">
        <v>11064.577616598985</v>
      </c>
      <c r="AB55" s="6">
        <f t="shared" si="1"/>
        <v>1165492.1248889011</v>
      </c>
      <c r="AC55" s="92">
        <f>+AB55+AB56+AB57</f>
        <v>9173799.2640778609</v>
      </c>
    </row>
    <row r="56" spans="1:33" ht="18.75" thickBot="1" x14ac:dyDescent="0.3">
      <c r="A56" s="96"/>
      <c r="B56" s="11" t="s">
        <v>29</v>
      </c>
      <c r="C56" s="11">
        <v>4</v>
      </c>
      <c r="D56" s="16">
        <v>9864.1507016996366</v>
      </c>
      <c r="E56" s="16">
        <v>9002.0328610920988</v>
      </c>
      <c r="F56" s="16">
        <v>8399.9904811816159</v>
      </c>
      <c r="G56" s="16">
        <v>7922.7242411194129</v>
      </c>
      <c r="H56" s="16">
        <v>7712.4282243574926</v>
      </c>
      <c r="I56" s="16">
        <v>7821.334511667199</v>
      </c>
      <c r="J56" s="16">
        <v>7849.3319304919169</v>
      </c>
      <c r="K56" s="16">
        <v>9176.3069737727674</v>
      </c>
      <c r="L56" s="16">
        <v>10848.772442707821</v>
      </c>
      <c r="M56" s="16">
        <v>12253.109818579014</v>
      </c>
      <c r="N56" s="16">
        <v>12952.282758391502</v>
      </c>
      <c r="O56" s="16">
        <v>13983.591599446889</v>
      </c>
      <c r="P56" s="16">
        <v>14498.36514336439</v>
      </c>
      <c r="Q56" s="16">
        <v>14513.504450449931</v>
      </c>
      <c r="R56" s="16">
        <v>13917.80668507822</v>
      </c>
      <c r="S56" s="16">
        <v>13297.701536855911</v>
      </c>
      <c r="T56" s="16">
        <v>13008.560346557802</v>
      </c>
      <c r="U56" s="16">
        <v>12899.258720290152</v>
      </c>
      <c r="V56" s="16">
        <v>14955.162037186277</v>
      </c>
      <c r="W56" s="16">
        <v>15597.69147639889</v>
      </c>
      <c r="X56" s="16">
        <v>14607.616872482016</v>
      </c>
      <c r="Y56" s="16">
        <v>13286.904561237308</v>
      </c>
      <c r="Z56" s="16">
        <v>12291.712300906831</v>
      </c>
      <c r="AA56" s="16">
        <v>10838.111084984179</v>
      </c>
      <c r="AB56" s="6">
        <f t="shared" si="1"/>
        <v>1125993.8070411971</v>
      </c>
      <c r="AC56" s="93"/>
    </row>
    <row r="57" spans="1:33" ht="18.75" thickBot="1" x14ac:dyDescent="0.3">
      <c r="A57" s="97"/>
      <c r="B57" s="12" t="s">
        <v>30</v>
      </c>
      <c r="C57" s="12">
        <v>23</v>
      </c>
      <c r="D57" s="16">
        <v>9257.9533331016246</v>
      </c>
      <c r="E57" s="16">
        <v>8359.629170008513</v>
      </c>
      <c r="F57" s="16">
        <v>7789.5025060011358</v>
      </c>
      <c r="G57" s="16">
        <v>7383.1017337122175</v>
      </c>
      <c r="H57" s="16">
        <v>7285.3632693376567</v>
      </c>
      <c r="I57" s="16">
        <v>7682.9474162665974</v>
      </c>
      <c r="J57" s="16">
        <v>8477.697524486106</v>
      </c>
      <c r="K57" s="16">
        <v>10386.872148800911</v>
      </c>
      <c r="L57" s="16">
        <v>12660.031312408017</v>
      </c>
      <c r="M57" s="16">
        <v>13470.593151211135</v>
      </c>
      <c r="N57" s="16">
        <v>13964.294196525283</v>
      </c>
      <c r="O57" s="16">
        <v>14916.705408066253</v>
      </c>
      <c r="P57" s="16">
        <v>14999.924715648525</v>
      </c>
      <c r="Q57" s="16">
        <v>15098.285706371113</v>
      </c>
      <c r="R57" s="16">
        <v>15108.443523258338</v>
      </c>
      <c r="S57" s="16">
        <v>15141.732781588176</v>
      </c>
      <c r="T57" s="16">
        <v>14852.426546870724</v>
      </c>
      <c r="U57" s="16">
        <v>14668.478601380801</v>
      </c>
      <c r="V57" s="16">
        <v>16658.372923666717</v>
      </c>
      <c r="W57" s="16">
        <v>16851.758193130212</v>
      </c>
      <c r="X57" s="16">
        <v>16075.970098563765</v>
      </c>
      <c r="Y57" s="16">
        <v>14545.68957440853</v>
      </c>
      <c r="Z57" s="16">
        <v>12686.427818642511</v>
      </c>
      <c r="AA57" s="16">
        <v>10908.812787752217</v>
      </c>
      <c r="AB57" s="6">
        <f t="shared" si="1"/>
        <v>6882313.3321477631</v>
      </c>
      <c r="AC57" s="94"/>
    </row>
    <row r="59" spans="1:33" ht="15.75" thickBot="1" x14ac:dyDescent="0.3"/>
    <row r="60" spans="1:33" ht="18.75" thickBot="1" x14ac:dyDescent="0.3">
      <c r="A60" s="1" t="s">
        <v>0</v>
      </c>
      <c r="B60" s="2" t="s">
        <v>1</v>
      </c>
      <c r="C60" s="2" t="s">
        <v>2</v>
      </c>
      <c r="D60" s="26" t="s">
        <v>3</v>
      </c>
      <c r="E60" s="26" t="s">
        <v>4</v>
      </c>
      <c r="F60" s="26" t="s">
        <v>5</v>
      </c>
      <c r="G60" s="26" t="s">
        <v>6</v>
      </c>
      <c r="H60" s="26" t="s">
        <v>7</v>
      </c>
      <c r="I60" s="26" t="s">
        <v>8</v>
      </c>
      <c r="J60" s="26" t="s">
        <v>9</v>
      </c>
      <c r="K60" s="4" t="s">
        <v>10</v>
      </c>
      <c r="L60" s="4" t="s">
        <v>11</v>
      </c>
      <c r="M60" s="4" t="s">
        <v>12</v>
      </c>
      <c r="N60" s="4" t="s">
        <v>13</v>
      </c>
      <c r="O60" s="4" t="s">
        <v>14</v>
      </c>
      <c r="P60" s="4" t="s">
        <v>15</v>
      </c>
      <c r="Q60" s="4" t="s">
        <v>16</v>
      </c>
      <c r="R60" s="4" t="s">
        <v>17</v>
      </c>
      <c r="S60" s="4" t="s">
        <v>18</v>
      </c>
      <c r="T60" s="4" t="s">
        <v>19</v>
      </c>
      <c r="U60" s="4" t="s">
        <v>20</v>
      </c>
      <c r="V60" s="4" t="s">
        <v>21</v>
      </c>
      <c r="W60" s="4" t="s">
        <v>22</v>
      </c>
      <c r="X60" s="4" t="s">
        <v>23</v>
      </c>
      <c r="Y60" s="4" t="s">
        <v>24</v>
      </c>
      <c r="Z60" s="4" t="s">
        <v>25</v>
      </c>
      <c r="AA60" s="4" t="s">
        <v>26</v>
      </c>
      <c r="AB60" s="109" t="s">
        <v>27</v>
      </c>
      <c r="AC60" s="110"/>
    </row>
    <row r="61" spans="1:33" ht="18.75" thickBot="1" x14ac:dyDescent="0.3">
      <c r="A61" s="95">
        <v>46753</v>
      </c>
      <c r="B61" s="9" t="s">
        <v>28</v>
      </c>
      <c r="C61" s="9">
        <v>4</v>
      </c>
      <c r="D61" s="16">
        <v>6237.6621293604476</v>
      </c>
      <c r="E61" s="16">
        <v>5494.3443691898174</v>
      </c>
      <c r="F61" s="16">
        <v>5033.8661929067821</v>
      </c>
      <c r="G61" s="16">
        <v>4606.6039647447251</v>
      </c>
      <c r="H61" s="16">
        <v>4551.9332401311949</v>
      </c>
      <c r="I61" s="16">
        <v>4708.1525507424958</v>
      </c>
      <c r="J61" s="16">
        <v>5022.2363516994301</v>
      </c>
      <c r="K61" s="16">
        <v>6512.1427094197825</v>
      </c>
      <c r="L61" s="16">
        <v>8754.9450743725756</v>
      </c>
      <c r="M61" s="16">
        <v>10122.717689958419</v>
      </c>
      <c r="N61" s="16">
        <v>10925.875979021079</v>
      </c>
      <c r="O61" s="16">
        <v>12084.740938846255</v>
      </c>
      <c r="P61" s="16">
        <v>12430.067182137118</v>
      </c>
      <c r="Q61" s="16">
        <v>12068.558901286575</v>
      </c>
      <c r="R61" s="16">
        <v>11587.921505367594</v>
      </c>
      <c r="S61" s="16">
        <v>11689.631592288591</v>
      </c>
      <c r="T61" s="16">
        <v>11333.676458567264</v>
      </c>
      <c r="U61" s="16">
        <v>11079.608885308935</v>
      </c>
      <c r="V61" s="16">
        <v>12291.975019105841</v>
      </c>
      <c r="W61" s="16">
        <v>13143.2126654321</v>
      </c>
      <c r="X61" s="16">
        <v>12608.245294100245</v>
      </c>
      <c r="Y61" s="16">
        <v>11372.402960167383</v>
      </c>
      <c r="Z61" s="16">
        <v>9663.4392348193142</v>
      </c>
      <c r="AA61" s="16">
        <v>8051.817972523575</v>
      </c>
      <c r="AB61" s="6">
        <f>SUM(D61:AA61)*C61</f>
        <v>885503.11544599023</v>
      </c>
      <c r="AC61" s="92">
        <f>+AB61+AB62+AB63</f>
        <v>6921496.2367132828</v>
      </c>
      <c r="AF61" s="67">
        <v>46753</v>
      </c>
      <c r="AG61" s="68">
        <f>AC61</f>
        <v>6921496.2367132828</v>
      </c>
    </row>
    <row r="62" spans="1:33" ht="18.75" thickBot="1" x14ac:dyDescent="0.3">
      <c r="A62" s="96"/>
      <c r="B62" s="11" t="s">
        <v>29</v>
      </c>
      <c r="C62" s="11">
        <v>7</v>
      </c>
      <c r="D62" s="16">
        <v>6542.0227465296084</v>
      </c>
      <c r="E62" s="16">
        <v>5823.350737136705</v>
      </c>
      <c r="F62" s="16">
        <v>5166.0384301553604</v>
      </c>
      <c r="G62" s="16">
        <v>4813.5641441711596</v>
      </c>
      <c r="H62" s="16">
        <v>4497.5784184224358</v>
      </c>
      <c r="I62" s="16">
        <v>4466.3750202677511</v>
      </c>
      <c r="J62" s="16">
        <v>4530.1897733436599</v>
      </c>
      <c r="K62" s="16">
        <v>5479.5915852217149</v>
      </c>
      <c r="L62" s="16">
        <v>7089.2363838380261</v>
      </c>
      <c r="M62" s="16">
        <v>8184.0363528930757</v>
      </c>
      <c r="N62" s="16">
        <v>8740.3756797312126</v>
      </c>
      <c r="O62" s="16">
        <v>9659.1562066723491</v>
      </c>
      <c r="P62" s="16">
        <v>10237.560227409034</v>
      </c>
      <c r="Q62" s="16">
        <v>10189.31581975138</v>
      </c>
      <c r="R62" s="16">
        <v>9427.5307543785639</v>
      </c>
      <c r="S62" s="16">
        <v>9093.6627945377804</v>
      </c>
      <c r="T62" s="16">
        <v>8841.9733667422734</v>
      </c>
      <c r="U62" s="16">
        <v>8710.1436534297427</v>
      </c>
      <c r="V62" s="16">
        <v>10575.15749794574</v>
      </c>
      <c r="W62" s="16">
        <v>11793.237688216625</v>
      </c>
      <c r="X62" s="16">
        <v>11273.265056448472</v>
      </c>
      <c r="Y62" s="16">
        <v>9863.9973520072817</v>
      </c>
      <c r="Z62" s="16">
        <v>8332.2693541143126</v>
      </c>
      <c r="AA62" s="16">
        <v>6871.7804191376345</v>
      </c>
      <c r="AB62" s="6">
        <f t="shared" ref="AB62:AB96" si="2">SUM(D62:AA62)*C62</f>
        <v>1331409.8662375133</v>
      </c>
      <c r="AC62" s="93"/>
      <c r="AF62" s="67">
        <v>46784</v>
      </c>
      <c r="AG62" s="68">
        <f>AC64</f>
        <v>5803036.3222499611</v>
      </c>
    </row>
    <row r="63" spans="1:33" ht="18.75" thickBot="1" x14ac:dyDescent="0.3">
      <c r="A63" s="97"/>
      <c r="B63" s="12" t="s">
        <v>30</v>
      </c>
      <c r="C63" s="12">
        <v>20</v>
      </c>
      <c r="D63" s="16">
        <v>6618.7391500193335</v>
      </c>
      <c r="E63" s="16">
        <v>5773.9441313125681</v>
      </c>
      <c r="F63" s="16">
        <v>5286.1613125477888</v>
      </c>
      <c r="G63" s="16">
        <v>4996.6610621176624</v>
      </c>
      <c r="H63" s="16">
        <v>4955.345559584588</v>
      </c>
      <c r="I63" s="16">
        <v>5434.3118308275843</v>
      </c>
      <c r="J63" s="16">
        <v>6122.8060701161521</v>
      </c>
      <c r="K63" s="16">
        <v>7526.0863243174754</v>
      </c>
      <c r="L63" s="16">
        <v>9658.5715581182631</v>
      </c>
      <c r="M63" s="16">
        <v>10523.11718475831</v>
      </c>
      <c r="N63" s="16">
        <v>11301.97351464746</v>
      </c>
      <c r="O63" s="16">
        <v>12486.335591184707</v>
      </c>
      <c r="P63" s="16">
        <v>12864.423534840236</v>
      </c>
      <c r="Q63" s="16">
        <v>12821.341071918509</v>
      </c>
      <c r="R63" s="16">
        <v>12836.963814287257</v>
      </c>
      <c r="S63" s="16">
        <v>12746.816044116436</v>
      </c>
      <c r="T63" s="16">
        <v>12401.054990647684</v>
      </c>
      <c r="U63" s="16">
        <v>11989.236932666634</v>
      </c>
      <c r="V63" s="16">
        <v>12761.817460065769</v>
      </c>
      <c r="W63" s="16">
        <v>13582.281701276239</v>
      </c>
      <c r="X63" s="16">
        <v>12989.751969753193</v>
      </c>
      <c r="Y63" s="16">
        <v>11716.276202216515</v>
      </c>
      <c r="Z63" s="16">
        <v>9821.2302849230509</v>
      </c>
      <c r="AA63" s="16">
        <v>8013.9154552256114</v>
      </c>
      <c r="AB63" s="6">
        <f t="shared" si="2"/>
        <v>4704583.2550297789</v>
      </c>
      <c r="AC63" s="94"/>
      <c r="AF63" s="67">
        <v>46813</v>
      </c>
      <c r="AG63" s="68">
        <f>AC67</f>
        <v>7335720.1947792843</v>
      </c>
    </row>
    <row r="64" spans="1:33" ht="18.75" thickBot="1" x14ac:dyDescent="0.3">
      <c r="A64" s="95">
        <v>46784</v>
      </c>
      <c r="B64" s="9" t="s">
        <v>28</v>
      </c>
      <c r="C64" s="9">
        <v>4</v>
      </c>
      <c r="D64" s="16">
        <v>5550.9208329746798</v>
      </c>
      <c r="E64" s="16">
        <v>4718.0519336088109</v>
      </c>
      <c r="F64" s="16">
        <v>4320.7619466266187</v>
      </c>
      <c r="G64" s="16">
        <v>3888.9671812115448</v>
      </c>
      <c r="H64" s="16">
        <v>3794.6484104403062</v>
      </c>
      <c r="I64" s="16">
        <v>3945.442734422877</v>
      </c>
      <c r="J64" s="16">
        <v>4489.922929429551</v>
      </c>
      <c r="K64" s="16">
        <v>6064.9670478347871</v>
      </c>
      <c r="L64" s="16">
        <v>8309.7772137005013</v>
      </c>
      <c r="M64" s="16">
        <v>9263.7108500794384</v>
      </c>
      <c r="N64" s="16">
        <v>9951.9519245413576</v>
      </c>
      <c r="O64" s="16">
        <v>10871.796776472882</v>
      </c>
      <c r="P64" s="16">
        <v>11104.143400345092</v>
      </c>
      <c r="Q64" s="16">
        <v>11300.642878638049</v>
      </c>
      <c r="R64" s="16">
        <v>11032.443865564925</v>
      </c>
      <c r="S64" s="16">
        <v>9877.7634173439728</v>
      </c>
      <c r="T64" s="16">
        <v>10123.09150058607</v>
      </c>
      <c r="U64" s="16">
        <v>10048.712475134842</v>
      </c>
      <c r="V64" s="16">
        <v>11194.983902078216</v>
      </c>
      <c r="W64" s="16">
        <v>11966.841515492102</v>
      </c>
      <c r="X64" s="16">
        <v>11581.097983417341</v>
      </c>
      <c r="Y64" s="16">
        <v>10261.37803902254</v>
      </c>
      <c r="Z64" s="16">
        <v>8485.0452678698493</v>
      </c>
      <c r="AA64" s="16">
        <v>7001.3747527337364</v>
      </c>
      <c r="AB64" s="6">
        <f t="shared" si="2"/>
        <v>796593.75511828018</v>
      </c>
      <c r="AC64" s="92">
        <f>+AB64+AB65+AB66</f>
        <v>5803036.3222499611</v>
      </c>
      <c r="AF64" s="67">
        <v>46844</v>
      </c>
      <c r="AG64" s="68">
        <f>AC70</f>
        <v>6914373.1282233261</v>
      </c>
    </row>
    <row r="65" spans="1:33" ht="18.75" thickBot="1" x14ac:dyDescent="0.3">
      <c r="A65" s="96"/>
      <c r="B65" s="11" t="s">
        <v>29</v>
      </c>
      <c r="C65" s="11">
        <v>4</v>
      </c>
      <c r="D65" s="16">
        <v>5894.4846723721494</v>
      </c>
      <c r="E65" s="16">
        <v>5243.2321051386643</v>
      </c>
      <c r="F65" s="16">
        <v>4610.0822677683864</v>
      </c>
      <c r="G65" s="16">
        <v>4269.4670916208033</v>
      </c>
      <c r="H65" s="16">
        <v>4104.862816045199</v>
      </c>
      <c r="I65" s="16">
        <v>4226.3033459442977</v>
      </c>
      <c r="J65" s="16">
        <v>4443.2075040116069</v>
      </c>
      <c r="K65" s="16">
        <v>5633.6686786040518</v>
      </c>
      <c r="L65" s="16">
        <v>7331.6704814436016</v>
      </c>
      <c r="M65" s="16">
        <v>8338.435353976347</v>
      </c>
      <c r="N65" s="16">
        <v>8964.5919479187469</v>
      </c>
      <c r="O65" s="16">
        <v>9897.6157689695574</v>
      </c>
      <c r="P65" s="16">
        <v>10737.2821498878</v>
      </c>
      <c r="Q65" s="16">
        <v>10636.447305260226</v>
      </c>
      <c r="R65" s="16">
        <v>9834.7657196868713</v>
      </c>
      <c r="S65" s="16">
        <v>9381.3252840366076</v>
      </c>
      <c r="T65" s="16">
        <v>8831.8863708082645</v>
      </c>
      <c r="U65" s="16">
        <v>8936.3061047811498</v>
      </c>
      <c r="V65" s="16">
        <v>10514.82499647672</v>
      </c>
      <c r="W65" s="16">
        <v>10720.367974268785</v>
      </c>
      <c r="X65" s="16">
        <v>10721.248902708587</v>
      </c>
      <c r="Y65" s="16">
        <v>9618.54323243607</v>
      </c>
      <c r="Z65" s="16">
        <v>8092.8380981554183</v>
      </c>
      <c r="AA65" s="16">
        <v>6391.8719012009678</v>
      </c>
      <c r="AB65" s="6">
        <f t="shared" si="2"/>
        <v>749501.32029408356</v>
      </c>
      <c r="AC65" s="93"/>
      <c r="AF65" s="67">
        <v>46874</v>
      </c>
      <c r="AG65" s="68">
        <f>AC73</f>
        <v>4526703.3564893864</v>
      </c>
    </row>
    <row r="66" spans="1:33" ht="18.75" thickBot="1" x14ac:dyDescent="0.3">
      <c r="A66" s="97"/>
      <c r="B66" s="12" t="s">
        <v>30</v>
      </c>
      <c r="C66" s="12">
        <v>20</v>
      </c>
      <c r="D66" s="16">
        <v>5408.5558056067857</v>
      </c>
      <c r="E66" s="16">
        <v>4755.1012668485746</v>
      </c>
      <c r="F66" s="16">
        <v>4329.728190099846</v>
      </c>
      <c r="G66" s="16">
        <v>3928.5453383931908</v>
      </c>
      <c r="H66" s="16">
        <v>3981.7156620813657</v>
      </c>
      <c r="I66" s="16">
        <v>5016.8492269740236</v>
      </c>
      <c r="J66" s="16">
        <v>6144.7830098035993</v>
      </c>
      <c r="K66" s="16">
        <v>7163.009740147565</v>
      </c>
      <c r="L66" s="16">
        <v>8715.0679186199159</v>
      </c>
      <c r="M66" s="16">
        <v>9378.7394794059619</v>
      </c>
      <c r="N66" s="16">
        <v>10421.567534730581</v>
      </c>
      <c r="O66" s="16">
        <v>11451.997570989279</v>
      </c>
      <c r="P66" s="16">
        <v>11695.803256074498</v>
      </c>
      <c r="Q66" s="16">
        <v>11548.104416748458</v>
      </c>
      <c r="R66" s="16">
        <v>11803.84738134257</v>
      </c>
      <c r="S66" s="16">
        <v>11823.786077938254</v>
      </c>
      <c r="T66" s="16">
        <v>11649.145860069657</v>
      </c>
      <c r="U66" s="16">
        <v>11098.871463122592</v>
      </c>
      <c r="V66" s="16">
        <v>11956.72656929935</v>
      </c>
      <c r="W66" s="16">
        <v>12742.053298898009</v>
      </c>
      <c r="X66" s="16">
        <v>12160.385339039603</v>
      </c>
      <c r="Y66" s="16">
        <v>10620.379450178021</v>
      </c>
      <c r="Z66" s="16">
        <v>8555.3919482603123</v>
      </c>
      <c r="AA66" s="16">
        <v>6496.9065372078257</v>
      </c>
      <c r="AB66" s="6">
        <f t="shared" si="2"/>
        <v>4256941.2468375973</v>
      </c>
      <c r="AC66" s="94"/>
      <c r="AF66" s="67">
        <v>46905</v>
      </c>
      <c r="AG66" s="68">
        <f>AC76</f>
        <v>4322879.5742072072</v>
      </c>
    </row>
    <row r="67" spans="1:33" ht="18.75" thickBot="1" x14ac:dyDescent="0.3">
      <c r="A67" s="95">
        <v>46813</v>
      </c>
      <c r="B67" s="9" t="s">
        <v>28</v>
      </c>
      <c r="C67" s="9">
        <v>4</v>
      </c>
      <c r="D67" s="16">
        <v>6727.3409588938666</v>
      </c>
      <c r="E67" s="16">
        <v>5866.3046195558782</v>
      </c>
      <c r="F67" s="16">
        <v>5342.7413652112446</v>
      </c>
      <c r="G67" s="16">
        <v>4941.0637991660551</v>
      </c>
      <c r="H67" s="16">
        <v>4885.2930303937137</v>
      </c>
      <c r="I67" s="16">
        <v>5136.3538611448494</v>
      </c>
      <c r="J67" s="16">
        <v>5710.0224460248355</v>
      </c>
      <c r="K67" s="16">
        <v>7304.27332884516</v>
      </c>
      <c r="L67" s="16">
        <v>9614.7982928360361</v>
      </c>
      <c r="M67" s="16">
        <v>10851.205718195102</v>
      </c>
      <c r="N67" s="16">
        <v>11806.065495515562</v>
      </c>
      <c r="O67" s="16">
        <v>13072.601709962073</v>
      </c>
      <c r="P67" s="16">
        <v>13482.121525700335</v>
      </c>
      <c r="Q67" s="16">
        <v>13452.472494400903</v>
      </c>
      <c r="R67" s="16">
        <v>13371.847407983692</v>
      </c>
      <c r="S67" s="16">
        <v>13114.53826908593</v>
      </c>
      <c r="T67" s="16">
        <v>12363.544045190971</v>
      </c>
      <c r="U67" s="16">
        <v>12007.507914083377</v>
      </c>
      <c r="V67" s="16">
        <v>13113.225021648286</v>
      </c>
      <c r="W67" s="16">
        <v>14089.8572098679</v>
      </c>
      <c r="X67" s="16">
        <v>13515.015724604677</v>
      </c>
      <c r="Y67" s="16">
        <v>12378.867652151501</v>
      </c>
      <c r="Z67" s="16">
        <v>10648.398496128837</v>
      </c>
      <c r="AA67" s="16">
        <v>9074.366181819616</v>
      </c>
      <c r="AB67" s="6">
        <f t="shared" si="2"/>
        <v>967479.30627364165</v>
      </c>
      <c r="AC67" s="92">
        <f>+AB67+AB68+AB69</f>
        <v>7335720.1947792843</v>
      </c>
      <c r="AF67" s="67">
        <v>46935</v>
      </c>
      <c r="AG67" s="68">
        <f>AC79</f>
        <v>4291029.2760839611</v>
      </c>
    </row>
    <row r="68" spans="1:33" ht="18.75" thickBot="1" x14ac:dyDescent="0.3">
      <c r="A68" s="96"/>
      <c r="B68" s="11" t="s">
        <v>29</v>
      </c>
      <c r="C68" s="11">
        <v>5</v>
      </c>
      <c r="D68" s="16">
        <v>7748.342627199163</v>
      </c>
      <c r="E68" s="16">
        <v>6864.4700558370387</v>
      </c>
      <c r="F68" s="16">
        <v>6196.1913256764383</v>
      </c>
      <c r="G68" s="16">
        <v>5638.805863333022</v>
      </c>
      <c r="H68" s="16">
        <v>5281.3767638419049</v>
      </c>
      <c r="I68" s="16">
        <v>5418.6280677440227</v>
      </c>
      <c r="J68" s="16">
        <v>5442.7341064508582</v>
      </c>
      <c r="K68" s="16">
        <v>6725.7603837335482</v>
      </c>
      <c r="L68" s="16">
        <v>8077.2309120126192</v>
      </c>
      <c r="M68" s="16">
        <v>9089.8050738605489</v>
      </c>
      <c r="N68" s="16">
        <v>10026.065524875823</v>
      </c>
      <c r="O68" s="16">
        <v>10989.127966944037</v>
      </c>
      <c r="P68" s="16">
        <v>11804.577769001779</v>
      </c>
      <c r="Q68" s="16">
        <v>11650.554037356411</v>
      </c>
      <c r="R68" s="16">
        <v>10814.115428786605</v>
      </c>
      <c r="S68" s="16">
        <v>10308.835003818342</v>
      </c>
      <c r="T68" s="16">
        <v>9928.2772826064283</v>
      </c>
      <c r="U68" s="16">
        <v>9782.307992034006</v>
      </c>
      <c r="V68" s="16">
        <v>11285.52877288836</v>
      </c>
      <c r="W68" s="16">
        <v>12787.05250007466</v>
      </c>
      <c r="X68" s="16">
        <v>12415.161448157702</v>
      </c>
      <c r="Y68" s="16">
        <v>11128.32813768155</v>
      </c>
      <c r="Z68" s="16">
        <v>9193.8289739468382</v>
      </c>
      <c r="AA68" s="16">
        <v>7520.0459454612101</v>
      </c>
      <c r="AB68" s="6">
        <f t="shared" si="2"/>
        <v>1080585.7598166147</v>
      </c>
      <c r="AC68" s="93"/>
      <c r="AF68" s="67">
        <v>46966</v>
      </c>
      <c r="AG68" s="68">
        <f>AC82</f>
        <v>6546836.8466459699</v>
      </c>
    </row>
    <row r="69" spans="1:33" ht="18.75" thickBot="1" x14ac:dyDescent="0.3">
      <c r="A69" s="97"/>
      <c r="B69" s="12" t="s">
        <v>30</v>
      </c>
      <c r="C69" s="12">
        <v>22</v>
      </c>
      <c r="D69" s="16">
        <v>6376.8542648864604</v>
      </c>
      <c r="E69" s="16">
        <v>5668.209406629976</v>
      </c>
      <c r="F69" s="16">
        <v>5193.087725775229</v>
      </c>
      <c r="G69" s="16">
        <v>4888.6452484304245</v>
      </c>
      <c r="H69" s="16">
        <v>4878.3218633112665</v>
      </c>
      <c r="I69" s="16">
        <v>5820.367095296875</v>
      </c>
      <c r="J69" s="16">
        <v>6846.0344677620014</v>
      </c>
      <c r="K69" s="16">
        <v>8098.2817767460183</v>
      </c>
      <c r="L69" s="16">
        <v>9751.7831044146114</v>
      </c>
      <c r="M69" s="16">
        <v>10663.589990683555</v>
      </c>
      <c r="N69" s="16">
        <v>11585.130231598061</v>
      </c>
      <c r="O69" s="16">
        <v>12577.552537522832</v>
      </c>
      <c r="P69" s="16">
        <v>12673.382723566374</v>
      </c>
      <c r="Q69" s="16">
        <v>12691.34356624819</v>
      </c>
      <c r="R69" s="16">
        <v>13304.132818458929</v>
      </c>
      <c r="S69" s="16">
        <v>13324.491017968045</v>
      </c>
      <c r="T69" s="16">
        <v>13178.739169855766</v>
      </c>
      <c r="U69" s="16">
        <v>12606.329054098824</v>
      </c>
      <c r="V69" s="16">
        <v>13386.425242203601</v>
      </c>
      <c r="W69" s="16">
        <v>14182.339116184918</v>
      </c>
      <c r="X69" s="16">
        <v>13349.0678637579</v>
      </c>
      <c r="Y69" s="16">
        <v>11797.768550008466</v>
      </c>
      <c r="Z69" s="16">
        <v>9719.4585283764827</v>
      </c>
      <c r="AA69" s="16">
        <v>7786.6250311709628</v>
      </c>
      <c r="AB69" s="6">
        <f t="shared" si="2"/>
        <v>5287655.1286890274</v>
      </c>
      <c r="AC69" s="94"/>
      <c r="AF69" s="67">
        <v>46997</v>
      </c>
      <c r="AG69" s="68">
        <f>AC85</f>
        <v>6870287.471228037</v>
      </c>
    </row>
    <row r="70" spans="1:33" ht="18.75" thickBot="1" x14ac:dyDescent="0.3">
      <c r="A70" s="95">
        <v>46844</v>
      </c>
      <c r="B70" s="9" t="s">
        <v>28</v>
      </c>
      <c r="C70" s="9">
        <v>5</v>
      </c>
      <c r="D70" s="16">
        <v>6594.5405679842843</v>
      </c>
      <c r="E70" s="16">
        <v>5841.0223198515305</v>
      </c>
      <c r="F70" s="16">
        <v>5258.3721761459601</v>
      </c>
      <c r="G70" s="16">
        <v>4925.8100578022932</v>
      </c>
      <c r="H70" s="16">
        <v>4768.6861496154343</v>
      </c>
      <c r="I70" s="16">
        <v>4881.7886882147286</v>
      </c>
      <c r="J70" s="16">
        <v>3941.4773983659688</v>
      </c>
      <c r="K70" s="16">
        <v>7074.9972276570188</v>
      </c>
      <c r="L70" s="16">
        <v>9226.8144817689354</v>
      </c>
      <c r="M70" s="16">
        <v>10536.457359430955</v>
      </c>
      <c r="N70" s="16">
        <v>11145.711474063548</v>
      </c>
      <c r="O70" s="16">
        <v>12116.776027087803</v>
      </c>
      <c r="P70" s="16">
        <v>12422.636103566045</v>
      </c>
      <c r="Q70" s="16">
        <v>12948.123371937916</v>
      </c>
      <c r="R70" s="16">
        <v>12737.07827870861</v>
      </c>
      <c r="S70" s="16">
        <v>12157.413057746457</v>
      </c>
      <c r="T70" s="16">
        <v>11161.187068143689</v>
      </c>
      <c r="U70" s="16">
        <v>10696.421758615586</v>
      </c>
      <c r="V70" s="16">
        <v>10923.455981020685</v>
      </c>
      <c r="W70" s="16">
        <v>11357.578580067482</v>
      </c>
      <c r="X70" s="16">
        <v>11249.84854578476</v>
      </c>
      <c r="Y70" s="16">
        <v>11132.928373019593</v>
      </c>
      <c r="Z70" s="16">
        <v>9640.6292641342407</v>
      </c>
      <c r="AA70" s="16">
        <v>8171.2662730796146</v>
      </c>
      <c r="AB70" s="6">
        <f t="shared" si="2"/>
        <v>1104555.1029190659</v>
      </c>
      <c r="AC70" s="92">
        <f>+AB70+AB71+AB72</f>
        <v>6914373.1282233261</v>
      </c>
      <c r="AF70" s="67">
        <v>47027</v>
      </c>
      <c r="AG70" s="68">
        <f>AC88</f>
        <v>7266240.7434550403</v>
      </c>
    </row>
    <row r="71" spans="1:33" ht="18.75" thickBot="1" x14ac:dyDescent="0.3">
      <c r="A71" s="96"/>
      <c r="B71" s="11" t="s">
        <v>29</v>
      </c>
      <c r="C71" s="11">
        <v>5</v>
      </c>
      <c r="D71" s="16">
        <v>6095.900961962132</v>
      </c>
      <c r="E71" s="16">
        <v>5274.8344233033749</v>
      </c>
      <c r="F71" s="16">
        <v>4822.6275432148868</v>
      </c>
      <c r="G71" s="16">
        <v>4360.6432877521893</v>
      </c>
      <c r="H71" s="16">
        <v>4201.941923380331</v>
      </c>
      <c r="I71" s="16">
        <v>3346.8394197714933</v>
      </c>
      <c r="J71" s="16">
        <v>4502.7023110615628</v>
      </c>
      <c r="K71" s="16">
        <v>5761.2662777868645</v>
      </c>
      <c r="L71" s="16">
        <v>7145.9340176972109</v>
      </c>
      <c r="M71" s="16">
        <v>8030.6753419996785</v>
      </c>
      <c r="N71" s="16">
        <v>8716.0449865895316</v>
      </c>
      <c r="O71" s="16">
        <v>9366.4229203568575</v>
      </c>
      <c r="P71" s="16">
        <v>9936.0759900619523</v>
      </c>
      <c r="Q71" s="16">
        <v>9860.6552778440637</v>
      </c>
      <c r="R71" s="16">
        <v>9682.0556172547149</v>
      </c>
      <c r="S71" s="16">
        <v>9499.5949335388614</v>
      </c>
      <c r="T71" s="16">
        <v>9230.1696966009986</v>
      </c>
      <c r="U71" s="16">
        <v>9018.9046867219295</v>
      </c>
      <c r="V71" s="16">
        <v>9456.8776102474003</v>
      </c>
      <c r="W71" s="16">
        <v>11215.042278191213</v>
      </c>
      <c r="X71" s="16">
        <v>11239.17010651587</v>
      </c>
      <c r="Y71" s="16">
        <v>10606.070488987352</v>
      </c>
      <c r="Z71" s="16">
        <v>9501.126028916613</v>
      </c>
      <c r="AA71" s="16">
        <v>7836.7671051101424</v>
      </c>
      <c r="AB71" s="6">
        <f t="shared" si="2"/>
        <v>943541.71617433603</v>
      </c>
      <c r="AC71" s="93"/>
      <c r="AF71" s="67">
        <v>47058</v>
      </c>
      <c r="AG71" s="68">
        <f>AC91</f>
        <v>7127709.8922313172</v>
      </c>
    </row>
    <row r="72" spans="1:33" ht="18.75" thickBot="1" x14ac:dyDescent="0.3">
      <c r="A72" s="97"/>
      <c r="B72" s="12" t="s">
        <v>30</v>
      </c>
      <c r="C72" s="12">
        <v>20</v>
      </c>
      <c r="D72" s="16">
        <v>6836.8282092163317</v>
      </c>
      <c r="E72" s="16">
        <v>6099.6489360432679</v>
      </c>
      <c r="F72" s="16">
        <v>5575.881653620203</v>
      </c>
      <c r="G72" s="16">
        <v>5238.9601929090859</v>
      </c>
      <c r="H72" s="16">
        <v>5144.6687301604434</v>
      </c>
      <c r="I72" s="16">
        <v>5943.1958330751004</v>
      </c>
      <c r="J72" s="16">
        <v>6836.6602404454716</v>
      </c>
      <c r="K72" s="16">
        <v>8294.7614781769807</v>
      </c>
      <c r="L72" s="16">
        <v>10097.070669032215</v>
      </c>
      <c r="M72" s="16">
        <v>11172.552598350718</v>
      </c>
      <c r="N72" s="16">
        <v>12076.993461768863</v>
      </c>
      <c r="O72" s="16">
        <v>13143.057371406238</v>
      </c>
      <c r="P72" s="16">
        <v>13340.371820015818</v>
      </c>
      <c r="Q72" s="16">
        <v>13522.706735182775</v>
      </c>
      <c r="R72" s="16">
        <v>13847.172473473402</v>
      </c>
      <c r="S72" s="16">
        <v>13569.71659372971</v>
      </c>
      <c r="T72" s="16">
        <v>12853.097981948424</v>
      </c>
      <c r="U72" s="16">
        <v>12490.085015541135</v>
      </c>
      <c r="V72" s="16">
        <v>12303.178211536582</v>
      </c>
      <c r="W72" s="16">
        <v>13176.977077716612</v>
      </c>
      <c r="X72" s="16">
        <v>12824.208423224198</v>
      </c>
      <c r="Y72" s="16">
        <v>11425.379834177649</v>
      </c>
      <c r="Z72" s="16">
        <v>9656.3569896814806</v>
      </c>
      <c r="AA72" s="16">
        <v>7844.284926063523</v>
      </c>
      <c r="AB72" s="6">
        <f t="shared" si="2"/>
        <v>4866276.3091299245</v>
      </c>
      <c r="AC72" s="94"/>
      <c r="AF72" s="67">
        <v>47088</v>
      </c>
      <c r="AG72" s="68">
        <f>AC94</f>
        <v>8230558.037039943</v>
      </c>
    </row>
    <row r="73" spans="1:33" ht="18.75" thickBot="1" x14ac:dyDescent="0.3">
      <c r="A73" s="95">
        <v>46874</v>
      </c>
      <c r="B73" s="9" t="s">
        <v>28</v>
      </c>
      <c r="C73" s="9">
        <v>4</v>
      </c>
      <c r="D73" s="16">
        <v>4479.5686676651439</v>
      </c>
      <c r="E73" s="16">
        <v>3988.6461111918634</v>
      </c>
      <c r="F73" s="16">
        <v>3679.6691620501642</v>
      </c>
      <c r="G73" s="16">
        <v>3462.2235767650636</v>
      </c>
      <c r="H73" s="16">
        <v>3401.1276307620756</v>
      </c>
      <c r="I73" s="16">
        <v>3496.4260088564643</v>
      </c>
      <c r="J73" s="16">
        <v>3768.2344659048522</v>
      </c>
      <c r="K73" s="16">
        <v>4807.3840604346751</v>
      </c>
      <c r="L73" s="16">
        <v>6132.6876239323065</v>
      </c>
      <c r="M73" s="16">
        <v>6833.8471775677917</v>
      </c>
      <c r="N73" s="16">
        <v>7329.849470115978</v>
      </c>
      <c r="O73" s="16">
        <v>7847.0888534510177</v>
      </c>
      <c r="P73" s="16">
        <v>8178.0094193265886</v>
      </c>
      <c r="Q73" s="16">
        <v>8078.0191356293963</v>
      </c>
      <c r="R73" s="16">
        <v>7929.545827369986</v>
      </c>
      <c r="S73" s="16">
        <v>7686.1417368549664</v>
      </c>
      <c r="T73" s="16">
        <v>7215.3374645674812</v>
      </c>
      <c r="U73" s="16">
        <v>7216.7294387184666</v>
      </c>
      <c r="V73" s="16">
        <v>7764.0855444322024</v>
      </c>
      <c r="W73" s="16">
        <v>8153.2278952685429</v>
      </c>
      <c r="X73" s="16">
        <v>7773.2543626586903</v>
      </c>
      <c r="Y73" s="16">
        <v>7035.5215523936095</v>
      </c>
      <c r="Z73" s="16">
        <v>5947.7371735516026</v>
      </c>
      <c r="AA73" s="16">
        <v>5027.2510568412908</v>
      </c>
      <c r="AB73" s="6">
        <f t="shared" si="2"/>
        <v>588926.4536652409</v>
      </c>
      <c r="AC73" s="92">
        <f>+AB73+AB74+AB75</f>
        <v>4526703.3564893864</v>
      </c>
    </row>
    <row r="74" spans="1:33" ht="18.75" thickBot="1" x14ac:dyDescent="0.3">
      <c r="A74" s="96"/>
      <c r="B74" s="11" t="s">
        <v>29</v>
      </c>
      <c r="C74" s="11">
        <v>4</v>
      </c>
      <c r="D74" s="16">
        <v>4278.3006717253211</v>
      </c>
      <c r="E74" s="16">
        <v>3590.9436673482996</v>
      </c>
      <c r="F74" s="16">
        <v>3235.1572664424966</v>
      </c>
      <c r="G74" s="16">
        <v>3051.5692813725054</v>
      </c>
      <c r="H74" s="16">
        <v>2934.7724484774517</v>
      </c>
      <c r="I74" s="16">
        <v>2964.1927622258063</v>
      </c>
      <c r="J74" s="16">
        <v>3089.4754944725464</v>
      </c>
      <c r="K74" s="16">
        <v>4063.6221725477426</v>
      </c>
      <c r="L74" s="16">
        <v>5135.604145870755</v>
      </c>
      <c r="M74" s="16">
        <v>5798.8844659173028</v>
      </c>
      <c r="N74" s="16">
        <v>6408.618887521161</v>
      </c>
      <c r="O74" s="16">
        <v>6785.1896292931142</v>
      </c>
      <c r="P74" s="16">
        <v>7235.2989303449776</v>
      </c>
      <c r="Q74" s="16">
        <v>7030.7554531352816</v>
      </c>
      <c r="R74" s="16">
        <v>6592.2262641147499</v>
      </c>
      <c r="S74" s="16">
        <v>6259.2982539911609</v>
      </c>
      <c r="T74" s="16">
        <v>6100.6486113874962</v>
      </c>
      <c r="U74" s="16">
        <v>6021.2605568565214</v>
      </c>
      <c r="V74" s="16">
        <v>6820.663470845253</v>
      </c>
      <c r="W74" s="16">
        <v>7541.942151776253</v>
      </c>
      <c r="X74" s="16">
        <v>7268.4685530269635</v>
      </c>
      <c r="Y74" s="16">
        <v>6616.836636899232</v>
      </c>
      <c r="Z74" s="16">
        <v>5600.0134309170535</v>
      </c>
      <c r="AA74" s="16">
        <v>4664.9516333332194</v>
      </c>
      <c r="AB74" s="6">
        <f t="shared" si="2"/>
        <v>516354.77935937064</v>
      </c>
      <c r="AC74" s="93"/>
    </row>
    <row r="75" spans="1:33" ht="18.75" thickBot="1" x14ac:dyDescent="0.3">
      <c r="A75" s="97"/>
      <c r="B75" s="12" t="s">
        <v>30</v>
      </c>
      <c r="C75" s="12">
        <v>23</v>
      </c>
      <c r="D75" s="16">
        <v>4035.3160082229388</v>
      </c>
      <c r="E75" s="16">
        <v>3515.5762023410171</v>
      </c>
      <c r="F75" s="16">
        <v>3224.824394726531</v>
      </c>
      <c r="G75" s="16">
        <v>3069.1367571684987</v>
      </c>
      <c r="H75" s="16">
        <v>3076.1751174237179</v>
      </c>
      <c r="I75" s="16">
        <v>3515.8449937499954</v>
      </c>
      <c r="J75" s="16">
        <v>4069.077935558651</v>
      </c>
      <c r="K75" s="16">
        <v>4935.9438798745705</v>
      </c>
      <c r="L75" s="16">
        <v>6134.8995022138715</v>
      </c>
      <c r="M75" s="16">
        <v>6780.3064180795991</v>
      </c>
      <c r="N75" s="16">
        <v>7350.6767694298669</v>
      </c>
      <c r="O75" s="16">
        <v>7992.1493740001151</v>
      </c>
      <c r="P75" s="16">
        <v>8042.4980799328314</v>
      </c>
      <c r="Q75" s="16">
        <v>8020.6302226296903</v>
      </c>
      <c r="R75" s="16">
        <v>8155.8302939437071</v>
      </c>
      <c r="S75" s="16">
        <v>8119.6769461037384</v>
      </c>
      <c r="T75" s="16">
        <v>7932.1308017775664</v>
      </c>
      <c r="U75" s="16">
        <v>7749.9628945159529</v>
      </c>
      <c r="V75" s="16">
        <v>8184.1619924486604</v>
      </c>
      <c r="W75" s="16">
        <v>8583.8512042780221</v>
      </c>
      <c r="X75" s="16">
        <v>8095.4955555754204</v>
      </c>
      <c r="Y75" s="16">
        <v>7193.3430605098838</v>
      </c>
      <c r="Z75" s="16">
        <v>6059.8075333452598</v>
      </c>
      <c r="AA75" s="16">
        <v>4920.1676910531223</v>
      </c>
      <c r="AB75" s="6">
        <f t="shared" si="2"/>
        <v>3421422.1234647743</v>
      </c>
      <c r="AC75" s="94"/>
    </row>
    <row r="76" spans="1:33" ht="18.75" thickBot="1" x14ac:dyDescent="0.3">
      <c r="A76" s="95">
        <v>46905</v>
      </c>
      <c r="B76" s="9" t="s">
        <v>28</v>
      </c>
      <c r="C76" s="9">
        <v>4</v>
      </c>
      <c r="D76" s="16">
        <v>3692.8665079486582</v>
      </c>
      <c r="E76" s="16">
        <v>3408.4139475028405</v>
      </c>
      <c r="F76" s="16">
        <v>3252.3429377068296</v>
      </c>
      <c r="G76" s="16">
        <v>2996.4962401464945</v>
      </c>
      <c r="H76" s="16">
        <v>2902.1958810237211</v>
      </c>
      <c r="I76" s="16">
        <v>3150.9338888676921</v>
      </c>
      <c r="J76" s="16">
        <v>3373.211657243226</v>
      </c>
      <c r="K76" s="16">
        <v>4488.1516948253247</v>
      </c>
      <c r="L76" s="16">
        <v>5950.3279213138885</v>
      </c>
      <c r="M76" s="16">
        <v>6705.2346588950004</v>
      </c>
      <c r="N76" s="16">
        <v>7049.8727959633034</v>
      </c>
      <c r="O76" s="16">
        <v>7724.3784893262982</v>
      </c>
      <c r="P76" s="16">
        <v>7834.7006929766594</v>
      </c>
      <c r="Q76" s="16">
        <v>7496.0302022517535</v>
      </c>
      <c r="R76" s="16">
        <v>7705.9233986731215</v>
      </c>
      <c r="S76" s="16">
        <v>7467.6689236403254</v>
      </c>
      <c r="T76" s="16">
        <v>6892.6460467435281</v>
      </c>
      <c r="U76" s="16">
        <v>6948.4217584075905</v>
      </c>
      <c r="V76" s="16">
        <v>8068.1873492422219</v>
      </c>
      <c r="W76" s="16">
        <v>8911.5013295746357</v>
      </c>
      <c r="X76" s="16">
        <v>8307.7686677188267</v>
      </c>
      <c r="Y76" s="16">
        <v>7580.5293452077185</v>
      </c>
      <c r="Z76" s="16">
        <v>6634.3104680081397</v>
      </c>
      <c r="AA76" s="16">
        <v>5722.8960379786186</v>
      </c>
      <c r="AB76" s="6">
        <f t="shared" si="2"/>
        <v>577060.04336474568</v>
      </c>
      <c r="AC76" s="92">
        <f>+AB76+AB77+AB78</f>
        <v>4322879.5742072072</v>
      </c>
    </row>
    <row r="77" spans="1:33" ht="18.75" thickBot="1" x14ac:dyDescent="0.3">
      <c r="A77" s="96"/>
      <c r="B77" s="11" t="s">
        <v>29</v>
      </c>
      <c r="C77" s="11">
        <v>4</v>
      </c>
      <c r="D77" s="16">
        <v>4847.1358017708644</v>
      </c>
      <c r="E77" s="16">
        <v>4219.3289092660598</v>
      </c>
      <c r="F77" s="16">
        <v>3753.111393633304</v>
      </c>
      <c r="G77" s="16">
        <v>3494.5653464560783</v>
      </c>
      <c r="H77" s="16">
        <v>3390.0701269485889</v>
      </c>
      <c r="I77" s="16">
        <v>3485.6054791976658</v>
      </c>
      <c r="J77" s="16">
        <v>3519.5229147300452</v>
      </c>
      <c r="K77" s="16">
        <v>4558.3463317616752</v>
      </c>
      <c r="L77" s="16">
        <v>5622.5902426675257</v>
      </c>
      <c r="M77" s="16">
        <v>6142.4551668928852</v>
      </c>
      <c r="N77" s="16">
        <v>6501.836067210068</v>
      </c>
      <c r="O77" s="16">
        <v>7087.4306532228475</v>
      </c>
      <c r="P77" s="16">
        <v>7359.4949677018012</v>
      </c>
      <c r="Q77" s="16">
        <v>7069.126721949342</v>
      </c>
      <c r="R77" s="16">
        <v>6676.4813106425408</v>
      </c>
      <c r="S77" s="16">
        <v>6329.0740177160333</v>
      </c>
      <c r="T77" s="16">
        <v>6036.098272664196</v>
      </c>
      <c r="U77" s="16">
        <v>5978.7983705884126</v>
      </c>
      <c r="V77" s="16">
        <v>7086.4444432422606</v>
      </c>
      <c r="W77" s="16">
        <v>7877.515537551546</v>
      </c>
      <c r="X77" s="16">
        <v>7297.7085712598491</v>
      </c>
      <c r="Y77" s="16">
        <v>6415.4568794694005</v>
      </c>
      <c r="Z77" s="16">
        <v>5491.1471897203555</v>
      </c>
      <c r="AA77" s="16">
        <v>4502.057308037467</v>
      </c>
      <c r="AB77" s="6">
        <f t="shared" si="2"/>
        <v>538965.60809720331</v>
      </c>
      <c r="AC77" s="93"/>
    </row>
    <row r="78" spans="1:33" ht="18.75" thickBot="1" x14ac:dyDescent="0.3">
      <c r="A78" s="97"/>
      <c r="B78" s="12" t="s">
        <v>30</v>
      </c>
      <c r="C78" s="12">
        <v>22</v>
      </c>
      <c r="D78" s="16">
        <v>3834.5986043045286</v>
      </c>
      <c r="E78" s="16">
        <v>3332.0020646301127</v>
      </c>
      <c r="F78" s="16">
        <v>3004.3769390712368</v>
      </c>
      <c r="G78" s="16">
        <v>2824.1541361358886</v>
      </c>
      <c r="H78" s="16">
        <v>2894.9984318259303</v>
      </c>
      <c r="I78" s="16">
        <v>3299.2494660767461</v>
      </c>
      <c r="J78" s="16">
        <v>3898.5791444582374</v>
      </c>
      <c r="K78" s="16">
        <v>4950.4286860427219</v>
      </c>
      <c r="L78" s="16">
        <v>6133.1302310709016</v>
      </c>
      <c r="M78" s="16">
        <v>6775.8715769792852</v>
      </c>
      <c r="N78" s="16">
        <v>7339.1768027035359</v>
      </c>
      <c r="O78" s="16">
        <v>7913.1082062399946</v>
      </c>
      <c r="P78" s="16">
        <v>8031.825937134452</v>
      </c>
      <c r="Q78" s="16">
        <v>8121.1594976275555</v>
      </c>
      <c r="R78" s="16">
        <v>8157.7981519000496</v>
      </c>
      <c r="S78" s="16">
        <v>8047.5014913856103</v>
      </c>
      <c r="T78" s="16">
        <v>7825.7744750091642</v>
      </c>
      <c r="U78" s="16">
        <v>7652.6531304000982</v>
      </c>
      <c r="V78" s="16">
        <v>7984.9688621418318</v>
      </c>
      <c r="W78" s="16">
        <v>8274.9242771656154</v>
      </c>
      <c r="X78" s="16">
        <v>7846.7727988983024</v>
      </c>
      <c r="Y78" s="16">
        <v>6887.0611975329175</v>
      </c>
      <c r="Z78" s="16">
        <v>5762.6182969423462</v>
      </c>
      <c r="AA78" s="16">
        <v>4973.3549918346507</v>
      </c>
      <c r="AB78" s="6">
        <f t="shared" si="2"/>
        <v>3206853.9227452576</v>
      </c>
      <c r="AC78" s="94"/>
    </row>
    <row r="79" spans="1:33" ht="18.75" thickBot="1" x14ac:dyDescent="0.3">
      <c r="A79" s="95">
        <v>46935</v>
      </c>
      <c r="B79" s="9" t="s">
        <v>28</v>
      </c>
      <c r="C79" s="9">
        <v>5</v>
      </c>
      <c r="D79" s="16">
        <v>3611.0976529084292</v>
      </c>
      <c r="E79" s="16">
        <v>3187.0945373343475</v>
      </c>
      <c r="F79" s="16">
        <v>2934.4812659682393</v>
      </c>
      <c r="G79" s="16">
        <v>2692.6055990991699</v>
      </c>
      <c r="H79" s="16">
        <v>2626.3303779889902</v>
      </c>
      <c r="I79" s="16">
        <v>2745.1795082397912</v>
      </c>
      <c r="J79" s="16">
        <v>3001.0542063799985</v>
      </c>
      <c r="K79" s="16">
        <v>4122.2785816722389</v>
      </c>
      <c r="L79" s="16">
        <v>5405.711220899695</v>
      </c>
      <c r="M79" s="16">
        <v>5893.0497091495454</v>
      </c>
      <c r="N79" s="16">
        <v>6184.6787319153482</v>
      </c>
      <c r="O79" s="16">
        <v>7001.9742316235588</v>
      </c>
      <c r="P79" s="16">
        <v>7259.1705130049304</v>
      </c>
      <c r="Q79" s="16">
        <v>7193.3475762692724</v>
      </c>
      <c r="R79" s="16">
        <v>7112.0473852494051</v>
      </c>
      <c r="S79" s="16">
        <v>7056.6363252731753</v>
      </c>
      <c r="T79" s="16">
        <v>6886.360594409789</v>
      </c>
      <c r="U79" s="16">
        <v>6785.0177740316631</v>
      </c>
      <c r="V79" s="16">
        <v>7353.3473231554872</v>
      </c>
      <c r="W79" s="16">
        <v>7848.6568048315985</v>
      </c>
      <c r="X79" s="16">
        <v>7505.6260778408068</v>
      </c>
      <c r="Y79" s="16">
        <v>6758.7230393402278</v>
      </c>
      <c r="Z79" s="16">
        <v>5840.8295361825767</v>
      </c>
      <c r="AA79" s="16">
        <v>4814.4832192913073</v>
      </c>
      <c r="AB79" s="6">
        <f t="shared" si="2"/>
        <v>659098.90896029782</v>
      </c>
      <c r="AC79" s="92">
        <f>+AB79+AB80+AB81</f>
        <v>4291029.2760839611</v>
      </c>
    </row>
    <row r="80" spans="1:33" ht="18.75" thickBot="1" x14ac:dyDescent="0.3">
      <c r="A80" s="96"/>
      <c r="B80" s="11" t="s">
        <v>29</v>
      </c>
      <c r="C80" s="11">
        <v>5</v>
      </c>
      <c r="D80" s="16">
        <v>4100.8614642491957</v>
      </c>
      <c r="E80" s="16">
        <v>3576.1088922011786</v>
      </c>
      <c r="F80" s="16">
        <v>3209.1444379419318</v>
      </c>
      <c r="G80" s="16">
        <v>2895.4624025200937</v>
      </c>
      <c r="H80" s="16">
        <v>2787.0386345719944</v>
      </c>
      <c r="I80" s="16">
        <v>2844.0430633538926</v>
      </c>
      <c r="J80" s="16">
        <v>3032.7763535657323</v>
      </c>
      <c r="K80" s="16">
        <v>3796.3257392177002</v>
      </c>
      <c r="L80" s="16">
        <v>4749.1986669372509</v>
      </c>
      <c r="M80" s="16">
        <v>4982.8865343381349</v>
      </c>
      <c r="N80" s="16">
        <v>5599.2215054800872</v>
      </c>
      <c r="O80" s="16">
        <v>6428.4403001442497</v>
      </c>
      <c r="P80" s="16">
        <v>6895.5566975753081</v>
      </c>
      <c r="Q80" s="16">
        <v>6856.7733124597689</v>
      </c>
      <c r="R80" s="16">
        <v>6528.8671409290127</v>
      </c>
      <c r="S80" s="16">
        <v>6457.5804844671529</v>
      </c>
      <c r="T80" s="16">
        <v>6260.7973622683494</v>
      </c>
      <c r="U80" s="16">
        <v>6067.2559572034734</v>
      </c>
      <c r="V80" s="16">
        <v>6459.129247245055</v>
      </c>
      <c r="W80" s="16">
        <v>7687.0553903438595</v>
      </c>
      <c r="X80" s="16">
        <v>7390.8008262340009</v>
      </c>
      <c r="Y80" s="16">
        <v>6595.2658066276526</v>
      </c>
      <c r="Z80" s="16">
        <v>5473.2997264551723</v>
      </c>
      <c r="AA80" s="16">
        <v>4527.9870017666744</v>
      </c>
      <c r="AB80" s="6">
        <f t="shared" si="2"/>
        <v>626009.38474048453</v>
      </c>
      <c r="AC80" s="93"/>
    </row>
    <row r="81" spans="1:29" ht="18.75" thickBot="1" x14ac:dyDescent="0.3">
      <c r="A81" s="97"/>
      <c r="B81" s="12" t="s">
        <v>30</v>
      </c>
      <c r="C81" s="12">
        <v>21</v>
      </c>
      <c r="D81" s="16">
        <v>3988.9452563073792</v>
      </c>
      <c r="E81" s="16">
        <v>3527.1259261529922</v>
      </c>
      <c r="F81" s="16">
        <v>3204.6991247949863</v>
      </c>
      <c r="G81" s="16">
        <v>3035.7747896948513</v>
      </c>
      <c r="H81" s="16">
        <v>3030.8972626307641</v>
      </c>
      <c r="I81" s="16">
        <v>3489.3532351488229</v>
      </c>
      <c r="J81" s="16">
        <v>4067.8696915007476</v>
      </c>
      <c r="K81" s="16">
        <v>4891.9648366604797</v>
      </c>
      <c r="L81" s="16">
        <v>5896.3336418972067</v>
      </c>
      <c r="M81" s="16">
        <v>6282.7149331636429</v>
      </c>
      <c r="N81" s="16">
        <v>6765.8228396095019</v>
      </c>
      <c r="O81" s="16">
        <v>7430.1652623663867</v>
      </c>
      <c r="P81" s="16">
        <v>7363.7608235923617</v>
      </c>
      <c r="Q81" s="16">
        <v>7600.5669635387094</v>
      </c>
      <c r="R81" s="16">
        <v>8000.3809383608059</v>
      </c>
      <c r="S81" s="16">
        <v>8025.8088097017771</v>
      </c>
      <c r="T81" s="16">
        <v>7673.953395762479</v>
      </c>
      <c r="U81" s="16">
        <v>7398.8152981342446</v>
      </c>
      <c r="V81" s="16">
        <v>7767.8625697464649</v>
      </c>
      <c r="W81" s="16">
        <v>8330.9513841807475</v>
      </c>
      <c r="X81" s="16">
        <v>7985.2477232876936</v>
      </c>
      <c r="Y81" s="16">
        <v>6958.1652941829525</v>
      </c>
      <c r="Z81" s="16">
        <v>5719.9721424351155</v>
      </c>
      <c r="AA81" s="16">
        <v>4701.9422563479002</v>
      </c>
      <c r="AB81" s="6">
        <f t="shared" si="2"/>
        <v>3005920.982383179</v>
      </c>
      <c r="AC81" s="94"/>
    </row>
    <row r="82" spans="1:29" ht="18.75" thickBot="1" x14ac:dyDescent="0.3">
      <c r="A82" s="95">
        <v>46966</v>
      </c>
      <c r="B82" s="9" t="s">
        <v>28</v>
      </c>
      <c r="C82" s="9">
        <v>4</v>
      </c>
      <c r="D82" s="16">
        <v>6717.8301906097768</v>
      </c>
      <c r="E82" s="16">
        <v>5572.6566636159769</v>
      </c>
      <c r="F82" s="16">
        <v>5162.2336419349249</v>
      </c>
      <c r="G82" s="16">
        <v>4852.5291174397644</v>
      </c>
      <c r="H82" s="16">
        <v>4789.0424630956313</v>
      </c>
      <c r="I82" s="16">
        <v>4894.5977534469657</v>
      </c>
      <c r="J82" s="16">
        <v>5378.8275741036105</v>
      </c>
      <c r="K82" s="16">
        <v>6473.4363171980531</v>
      </c>
      <c r="L82" s="16">
        <v>8124.4528900844762</v>
      </c>
      <c r="M82" s="16">
        <v>8853.3998633031297</v>
      </c>
      <c r="N82" s="16">
        <v>10063.382080782794</v>
      </c>
      <c r="O82" s="16">
        <v>10944.726770240555</v>
      </c>
      <c r="P82" s="16">
        <v>11230.017005424423</v>
      </c>
      <c r="Q82" s="16">
        <v>11122.730673999991</v>
      </c>
      <c r="R82" s="16">
        <v>10803.87827910843</v>
      </c>
      <c r="S82" s="16">
        <v>10682.093962276496</v>
      </c>
      <c r="T82" s="16">
        <v>10452.404642419428</v>
      </c>
      <c r="U82" s="16">
        <v>10094.393123873233</v>
      </c>
      <c r="V82" s="16">
        <v>11227.758182735364</v>
      </c>
      <c r="W82" s="16">
        <v>11738.260373186899</v>
      </c>
      <c r="X82" s="16">
        <v>11260.560171661567</v>
      </c>
      <c r="Y82" s="16">
        <v>10118.518217778514</v>
      </c>
      <c r="Z82" s="16">
        <v>8628.3397356236164</v>
      </c>
      <c r="AA82" s="16">
        <v>7534.5221485327511</v>
      </c>
      <c r="AB82" s="6">
        <f t="shared" si="2"/>
        <v>826882.36736990546</v>
      </c>
      <c r="AC82" s="92">
        <f>+AB82+AB83+AB84</f>
        <v>6546836.8466459699</v>
      </c>
    </row>
    <row r="83" spans="1:29" ht="18.75" thickBot="1" x14ac:dyDescent="0.3">
      <c r="A83" s="96"/>
      <c r="B83" s="11" t="s">
        <v>29</v>
      </c>
      <c r="C83" s="11">
        <v>4</v>
      </c>
      <c r="D83" s="16">
        <v>6655.8269906595087</v>
      </c>
      <c r="E83" s="16">
        <v>6132.5795455290208</v>
      </c>
      <c r="F83" s="16">
        <v>5622.9405148352125</v>
      </c>
      <c r="G83" s="16">
        <v>5213.6729468400918</v>
      </c>
      <c r="H83" s="16">
        <v>4946.0698141583325</v>
      </c>
      <c r="I83" s="16">
        <v>5005.9885939552041</v>
      </c>
      <c r="J83" s="16">
        <v>5302.5820906022727</v>
      </c>
      <c r="K83" s="16">
        <v>6420.6314492915662</v>
      </c>
      <c r="L83" s="16">
        <v>7800.3214986438961</v>
      </c>
      <c r="M83" s="16">
        <v>8708.4570439458748</v>
      </c>
      <c r="N83" s="16">
        <v>9241.3202363260552</v>
      </c>
      <c r="O83" s="16">
        <v>10025.735478611296</v>
      </c>
      <c r="P83" s="16">
        <v>10503.417679198097</v>
      </c>
      <c r="Q83" s="16">
        <v>10450.313435026917</v>
      </c>
      <c r="R83" s="16">
        <v>9970.2298797295443</v>
      </c>
      <c r="S83" s="16">
        <v>9662.6963864608952</v>
      </c>
      <c r="T83" s="16">
        <v>9451.1624886052487</v>
      </c>
      <c r="U83" s="16">
        <v>9267.0151006009855</v>
      </c>
      <c r="V83" s="16">
        <v>9963.2788615780482</v>
      </c>
      <c r="W83" s="16">
        <v>11101.191960845659</v>
      </c>
      <c r="X83" s="16">
        <v>10737.328071593434</v>
      </c>
      <c r="Y83" s="16">
        <v>9692.0172594616342</v>
      </c>
      <c r="Z83" s="16">
        <v>8386.9130660969895</v>
      </c>
      <c r="AA83" s="16">
        <v>7225.83630010038</v>
      </c>
      <c r="AB83" s="6">
        <f t="shared" si="2"/>
        <v>789950.10677078471</v>
      </c>
      <c r="AC83" s="93"/>
    </row>
    <row r="84" spans="1:29" ht="18.75" thickBot="1" x14ac:dyDescent="0.3">
      <c r="A84" s="97"/>
      <c r="B84" s="12" t="s">
        <v>30</v>
      </c>
      <c r="C84" s="12">
        <v>23</v>
      </c>
      <c r="D84" s="16">
        <v>6685.6088756172157</v>
      </c>
      <c r="E84" s="16">
        <v>6130.1512049420689</v>
      </c>
      <c r="F84" s="16">
        <v>5751.0521770943742</v>
      </c>
      <c r="G84" s="16">
        <v>5492.9501696377902</v>
      </c>
      <c r="H84" s="16">
        <v>5413.8492464909777</v>
      </c>
      <c r="I84" s="16">
        <v>5977.7327231681684</v>
      </c>
      <c r="J84" s="16">
        <v>6752.8071246852705</v>
      </c>
      <c r="K84" s="16">
        <v>7696.9029228031977</v>
      </c>
      <c r="L84" s="16">
        <v>8973.9349320851743</v>
      </c>
      <c r="M84" s="16">
        <v>9889.397395206408</v>
      </c>
      <c r="N84" s="16">
        <v>10381.751486730303</v>
      </c>
      <c r="O84" s="16">
        <v>10469.775066633094</v>
      </c>
      <c r="P84" s="16">
        <v>9987.1560426438846</v>
      </c>
      <c r="Q84" s="16">
        <v>10265.231287328214</v>
      </c>
      <c r="R84" s="16">
        <v>10517.368639535929</v>
      </c>
      <c r="S84" s="16">
        <v>10560.060567747136</v>
      </c>
      <c r="T84" s="16">
        <v>11358.701948651953</v>
      </c>
      <c r="U84" s="16">
        <v>10983.868553042841</v>
      </c>
      <c r="V84" s="16">
        <v>11141.20226951806</v>
      </c>
      <c r="W84" s="16">
        <v>11607.997086235042</v>
      </c>
      <c r="X84" s="16">
        <v>11259.039612658409</v>
      </c>
      <c r="Y84" s="16">
        <v>10378.078378913804</v>
      </c>
      <c r="Z84" s="16">
        <v>9008.899308991724</v>
      </c>
      <c r="AA84" s="16">
        <v>7664.4991755206884</v>
      </c>
      <c r="AB84" s="6">
        <f t="shared" si="2"/>
        <v>4930004.3725052802</v>
      </c>
      <c r="AC84" s="94"/>
    </row>
    <row r="85" spans="1:29" ht="18.75" thickBot="1" x14ac:dyDescent="0.3">
      <c r="A85" s="95">
        <v>46997</v>
      </c>
      <c r="B85" s="9" t="s">
        <v>28</v>
      </c>
      <c r="C85" s="9">
        <v>5</v>
      </c>
      <c r="D85" s="16">
        <v>6653.7517647862423</v>
      </c>
      <c r="E85" s="16">
        <v>6424.4420144457599</v>
      </c>
      <c r="F85" s="16">
        <v>6023.0290933117649</v>
      </c>
      <c r="G85" s="16">
        <v>5797.7656038648747</v>
      </c>
      <c r="H85" s="16">
        <v>5768.5371634721487</v>
      </c>
      <c r="I85" s="16">
        <v>5871.4221213164001</v>
      </c>
      <c r="J85" s="16">
        <v>6339.1831253320852</v>
      </c>
      <c r="K85" s="16">
        <v>7804.3269103074872</v>
      </c>
      <c r="L85" s="16">
        <v>9433.024401569648</v>
      </c>
      <c r="M85" s="16">
        <v>10465.387803302074</v>
      </c>
      <c r="N85" s="16">
        <v>11235.25284406502</v>
      </c>
      <c r="O85" s="16">
        <v>12054.531273180859</v>
      </c>
      <c r="P85" s="16">
        <v>12347.503077894944</v>
      </c>
      <c r="Q85" s="16">
        <v>12249.130594965416</v>
      </c>
      <c r="R85" s="16">
        <v>11926.378045180161</v>
      </c>
      <c r="S85" s="16">
        <v>11474.276269493424</v>
      </c>
      <c r="T85" s="16">
        <v>11091.878787851831</v>
      </c>
      <c r="U85" s="16">
        <v>10939.220185365622</v>
      </c>
      <c r="V85" s="16">
        <v>12024.746554694742</v>
      </c>
      <c r="W85" s="16">
        <v>12438.136672968096</v>
      </c>
      <c r="X85" s="16">
        <v>11917.859043521377</v>
      </c>
      <c r="Y85" s="16">
        <v>10915.23400376728</v>
      </c>
      <c r="Z85" s="16">
        <v>9753.0286726792183</v>
      </c>
      <c r="AA85" s="16">
        <v>8515.3390532613503</v>
      </c>
      <c r="AB85" s="6">
        <f t="shared" si="2"/>
        <v>1147316.9254029891</v>
      </c>
      <c r="AC85" s="92">
        <f>+AB85+AB86+AB87</f>
        <v>6870287.471228037</v>
      </c>
    </row>
    <row r="86" spans="1:29" ht="18.75" thickBot="1" x14ac:dyDescent="0.3">
      <c r="A86" s="96"/>
      <c r="B86" s="11" t="s">
        <v>29</v>
      </c>
      <c r="C86" s="11">
        <v>4</v>
      </c>
      <c r="D86" s="16">
        <v>7586.3970203917961</v>
      </c>
      <c r="E86" s="16">
        <v>6933.1993894726857</v>
      </c>
      <c r="F86" s="16">
        <v>6453.3168209076866</v>
      </c>
      <c r="G86" s="16">
        <v>6166.7634058140029</v>
      </c>
      <c r="H86" s="16">
        <v>5955.3936239853665</v>
      </c>
      <c r="I86" s="16">
        <v>5930.457796213308</v>
      </c>
      <c r="J86" s="16">
        <v>6049.6986544748943</v>
      </c>
      <c r="K86" s="16">
        <v>7024.5879333868634</v>
      </c>
      <c r="L86" s="16">
        <v>8295.2674926861</v>
      </c>
      <c r="M86" s="16">
        <v>8991.661442028646</v>
      </c>
      <c r="N86" s="16">
        <v>9598.1515801777095</v>
      </c>
      <c r="O86" s="16">
        <v>10482.575471916196</v>
      </c>
      <c r="P86" s="16">
        <v>10900.891300259362</v>
      </c>
      <c r="Q86" s="16">
        <v>10603.085174019376</v>
      </c>
      <c r="R86" s="16">
        <v>9931.8641328744088</v>
      </c>
      <c r="S86" s="16">
        <v>9624.7655135314999</v>
      </c>
      <c r="T86" s="16">
        <v>9346.2423700574</v>
      </c>
      <c r="U86" s="16">
        <v>9457.1470037480358</v>
      </c>
      <c r="V86" s="16">
        <v>10886.572437241153</v>
      </c>
      <c r="W86" s="16">
        <v>11425.944974479327</v>
      </c>
      <c r="X86" s="16">
        <v>11081.463142788914</v>
      </c>
      <c r="Y86" s="16">
        <v>10264.270756523289</v>
      </c>
      <c r="Z86" s="16">
        <v>8919.6697854423383</v>
      </c>
      <c r="AA86" s="16">
        <v>7738.6397387796096</v>
      </c>
      <c r="AB86" s="6">
        <f t="shared" si="2"/>
        <v>838592.10784479976</v>
      </c>
      <c r="AC86" s="93"/>
    </row>
    <row r="87" spans="1:29" ht="18.75" thickBot="1" x14ac:dyDescent="0.3">
      <c r="A87" s="97"/>
      <c r="B87" s="12" t="s">
        <v>30</v>
      </c>
      <c r="C87" s="12">
        <v>21</v>
      </c>
      <c r="D87" s="16">
        <v>6872.0134950537504</v>
      </c>
      <c r="E87" s="16">
        <v>6392.2903447129156</v>
      </c>
      <c r="F87" s="16">
        <v>6032.0855896477988</v>
      </c>
      <c r="G87" s="16">
        <v>5696.4206453311144</v>
      </c>
      <c r="H87" s="16">
        <v>5766.4842324132078</v>
      </c>
      <c r="I87" s="16">
        <v>6423.4293956653655</v>
      </c>
      <c r="J87" s="16">
        <v>7290.443468771924</v>
      </c>
      <c r="K87" s="16">
        <v>8251.1022630467578</v>
      </c>
      <c r="L87" s="16">
        <v>9649.8158478981022</v>
      </c>
      <c r="M87" s="16">
        <v>10386.006317342657</v>
      </c>
      <c r="N87" s="16">
        <v>10983.874265450679</v>
      </c>
      <c r="O87" s="16">
        <v>11779.653677722683</v>
      </c>
      <c r="P87" s="16">
        <v>11916.358417140877</v>
      </c>
      <c r="Q87" s="16">
        <v>12035.303918224301</v>
      </c>
      <c r="R87" s="16">
        <v>12298.101971006443</v>
      </c>
      <c r="S87" s="16">
        <v>12196.223370803877</v>
      </c>
      <c r="T87" s="16">
        <v>12020.014458298996</v>
      </c>
      <c r="U87" s="16">
        <v>11670.442802460573</v>
      </c>
      <c r="V87" s="16">
        <v>12462.263730187493</v>
      </c>
      <c r="W87" s="16">
        <v>12700.630819709608</v>
      </c>
      <c r="X87" s="16">
        <v>12079.014613274354</v>
      </c>
      <c r="Y87" s="16">
        <v>10813.512774878149</v>
      </c>
      <c r="Z87" s="16">
        <v>9117.1222599760258</v>
      </c>
      <c r="AA87" s="16">
        <v>7756.8407486132019</v>
      </c>
      <c r="AB87" s="6">
        <f t="shared" si="2"/>
        <v>4884378.4379802477</v>
      </c>
      <c r="AC87" s="94"/>
    </row>
    <row r="88" spans="1:29" ht="18.75" thickBot="1" x14ac:dyDescent="0.3">
      <c r="A88" s="95">
        <v>47027</v>
      </c>
      <c r="B88" s="9" t="s">
        <v>28</v>
      </c>
      <c r="C88" s="9">
        <v>4</v>
      </c>
      <c r="D88" s="16">
        <v>7133.3890068140263</v>
      </c>
      <c r="E88" s="16">
        <v>6590.1374587192458</v>
      </c>
      <c r="F88" s="16">
        <v>6240.8956053431248</v>
      </c>
      <c r="G88" s="16">
        <v>5923.3408949365676</v>
      </c>
      <c r="H88" s="16">
        <v>5771.8152629927808</v>
      </c>
      <c r="I88" s="16">
        <v>5868.9617826423782</v>
      </c>
      <c r="J88" s="16">
        <v>6153.969826327917</v>
      </c>
      <c r="K88" s="16">
        <v>7568.6537325516201</v>
      </c>
      <c r="L88" s="16">
        <v>9302.2087491229831</v>
      </c>
      <c r="M88" s="16">
        <v>10594.227499145687</v>
      </c>
      <c r="N88" s="16">
        <v>11512.2341143052</v>
      </c>
      <c r="O88" s="16">
        <v>12488.890346202254</v>
      </c>
      <c r="P88" s="16">
        <v>12733.412652049272</v>
      </c>
      <c r="Q88" s="16">
        <v>12456.923925799259</v>
      </c>
      <c r="R88" s="16">
        <v>12152.892479463269</v>
      </c>
      <c r="S88" s="16">
        <v>11739.172787571235</v>
      </c>
      <c r="T88" s="16">
        <v>11388.908724560108</v>
      </c>
      <c r="U88" s="16">
        <v>11374.740139818103</v>
      </c>
      <c r="V88" s="16">
        <v>12243.211614866301</v>
      </c>
      <c r="W88" s="16">
        <v>12345.126186619775</v>
      </c>
      <c r="X88" s="16">
        <v>11978.009221787972</v>
      </c>
      <c r="Y88" s="16">
        <v>11096.891630724705</v>
      </c>
      <c r="Z88" s="16">
        <v>9868.6254113204013</v>
      </c>
      <c r="AA88" s="16">
        <v>8647.5838008616629</v>
      </c>
      <c r="AB88" s="6">
        <f t="shared" si="2"/>
        <v>932696.89141818346</v>
      </c>
      <c r="AC88" s="92">
        <f>+AB88+AB89+AB90</f>
        <v>7266240.7434550403</v>
      </c>
    </row>
    <row r="89" spans="1:29" ht="18.75" thickBot="1" x14ac:dyDescent="0.3">
      <c r="A89" s="96"/>
      <c r="B89" s="11" t="s">
        <v>29</v>
      </c>
      <c r="C89" s="11">
        <v>5</v>
      </c>
      <c r="D89" s="16">
        <v>7482.1357528178614</v>
      </c>
      <c r="E89" s="16">
        <v>6851.9947588885352</v>
      </c>
      <c r="F89" s="16">
        <v>6385.8216132773341</v>
      </c>
      <c r="G89" s="16">
        <v>6123.4092831019825</v>
      </c>
      <c r="H89" s="16">
        <v>5999.0402634138718</v>
      </c>
      <c r="I89" s="16">
        <v>6038.2800985275098</v>
      </c>
      <c r="J89" s="16">
        <v>6137.9544856644152</v>
      </c>
      <c r="K89" s="16">
        <v>7179.6647352483069</v>
      </c>
      <c r="L89" s="16">
        <v>8370.4462290794036</v>
      </c>
      <c r="M89" s="16">
        <v>9260.2946292268298</v>
      </c>
      <c r="N89" s="16">
        <v>9737.1985357173653</v>
      </c>
      <c r="O89" s="16">
        <v>10834.142811913534</v>
      </c>
      <c r="P89" s="16">
        <v>11418.208994474764</v>
      </c>
      <c r="Q89" s="16">
        <v>11250.163153342182</v>
      </c>
      <c r="R89" s="16">
        <v>10500.809197660907</v>
      </c>
      <c r="S89" s="16">
        <v>9604.8199476955306</v>
      </c>
      <c r="T89" s="16">
        <v>9741.8849737363271</v>
      </c>
      <c r="U89" s="16">
        <v>10098.31781430875</v>
      </c>
      <c r="V89" s="16">
        <v>11501.462953098126</v>
      </c>
      <c r="W89" s="16">
        <v>11787.50269642855</v>
      </c>
      <c r="X89" s="16">
        <v>11078.265995059552</v>
      </c>
      <c r="Y89" s="16">
        <v>9969.806812025312</v>
      </c>
      <c r="Z89" s="16">
        <v>8613.093308975298</v>
      </c>
      <c r="AA89" s="16">
        <v>7495.5302238972781</v>
      </c>
      <c r="AB89" s="6">
        <f t="shared" si="2"/>
        <v>1067301.2463378978</v>
      </c>
      <c r="AC89" s="93"/>
    </row>
    <row r="90" spans="1:29" ht="18.75" thickBot="1" x14ac:dyDescent="0.3">
      <c r="A90" s="97"/>
      <c r="B90" s="12" t="s">
        <v>30</v>
      </c>
      <c r="C90" s="12">
        <v>22</v>
      </c>
      <c r="D90" s="16">
        <v>7206.5487254021446</v>
      </c>
      <c r="E90" s="16">
        <v>6668.3687864803378</v>
      </c>
      <c r="F90" s="16">
        <v>6275.3443411860462</v>
      </c>
      <c r="G90" s="16">
        <v>5871.1978508130978</v>
      </c>
      <c r="H90" s="16">
        <v>6003.0882825867593</v>
      </c>
      <c r="I90" s="16">
        <v>6540.4151065949554</v>
      </c>
      <c r="J90" s="16">
        <v>7288.2813738192399</v>
      </c>
      <c r="K90" s="16">
        <v>8476.835106319435</v>
      </c>
      <c r="L90" s="16">
        <v>9787.5745646516552</v>
      </c>
      <c r="M90" s="16">
        <v>10592.116649806539</v>
      </c>
      <c r="N90" s="16">
        <v>11107.35516771561</v>
      </c>
      <c r="O90" s="16">
        <v>11720.852754873406</v>
      </c>
      <c r="P90" s="16">
        <v>12221.67754999319</v>
      </c>
      <c r="Q90" s="16">
        <v>12230.75172488916</v>
      </c>
      <c r="R90" s="16">
        <v>12533.989831049057</v>
      </c>
      <c r="S90" s="16">
        <v>12652.835319899179</v>
      </c>
      <c r="T90" s="16">
        <v>12551.617339519842</v>
      </c>
      <c r="U90" s="16">
        <v>12070.748925943313</v>
      </c>
      <c r="V90" s="16">
        <v>13116.596819832303</v>
      </c>
      <c r="W90" s="16">
        <v>13057.282286169186</v>
      </c>
      <c r="X90" s="16">
        <v>12475.285369449266</v>
      </c>
      <c r="Y90" s="16">
        <v>11137.495439075694</v>
      </c>
      <c r="Z90" s="16">
        <v>9560.4882416216133</v>
      </c>
      <c r="AA90" s="16">
        <v>8227.9163377162095</v>
      </c>
      <c r="AB90" s="6">
        <f t="shared" si="2"/>
        <v>5266242.605698959</v>
      </c>
      <c r="AC90" s="94"/>
    </row>
    <row r="91" spans="1:29" ht="18.75" thickBot="1" x14ac:dyDescent="0.3">
      <c r="A91" s="95">
        <v>47058</v>
      </c>
      <c r="B91" s="9" t="s">
        <v>28</v>
      </c>
      <c r="C91" s="9">
        <v>4</v>
      </c>
      <c r="D91" s="16">
        <v>6989.0169917367421</v>
      </c>
      <c r="E91" s="16">
        <v>6803.2101258034545</v>
      </c>
      <c r="F91" s="16">
        <v>6337.5546079671203</v>
      </c>
      <c r="G91" s="16">
        <v>5961.8480315872184</v>
      </c>
      <c r="H91" s="16">
        <v>5956.6130232285959</v>
      </c>
      <c r="I91" s="16">
        <v>6110.7615898617005</v>
      </c>
      <c r="J91" s="16">
        <v>6504.7612975713018</v>
      </c>
      <c r="K91" s="16">
        <v>7905.8174291574614</v>
      </c>
      <c r="L91" s="16">
        <v>9749.0150934483318</v>
      </c>
      <c r="M91" s="16">
        <v>10870.09191568489</v>
      </c>
      <c r="N91" s="16">
        <v>11586.221025002618</v>
      </c>
      <c r="O91" s="16">
        <v>12319.849521662229</v>
      </c>
      <c r="P91" s="16">
        <v>12655.718642587621</v>
      </c>
      <c r="Q91" s="16">
        <v>12446.945463986194</v>
      </c>
      <c r="R91" s="16">
        <v>12130.821949671368</v>
      </c>
      <c r="S91" s="16">
        <v>11726.347869996294</v>
      </c>
      <c r="T91" s="16">
        <v>11363.052662227034</v>
      </c>
      <c r="U91" s="16">
        <v>11564.521000754008</v>
      </c>
      <c r="V91" s="16">
        <v>12744.921747786637</v>
      </c>
      <c r="W91" s="16">
        <v>12779.143110663401</v>
      </c>
      <c r="X91" s="16">
        <v>12283.341653470761</v>
      </c>
      <c r="Y91" s="16">
        <v>11243.418348913387</v>
      </c>
      <c r="Z91" s="16">
        <v>10005.716689882163</v>
      </c>
      <c r="AA91" s="16">
        <v>8764.7975912295333</v>
      </c>
      <c r="AB91" s="6">
        <f t="shared" si="2"/>
        <v>947214.02953552024</v>
      </c>
      <c r="AC91" s="92">
        <f>+AB91+AB92+AB93</f>
        <v>7127709.8922313172</v>
      </c>
    </row>
    <row r="92" spans="1:29" ht="18.75" thickBot="1" x14ac:dyDescent="0.3">
      <c r="A92" s="96"/>
      <c r="B92" s="11" t="s">
        <v>29</v>
      </c>
      <c r="C92" s="11">
        <v>4</v>
      </c>
      <c r="D92" s="16">
        <v>7649.1783616444754</v>
      </c>
      <c r="E92" s="16">
        <v>7039.3409516338925</v>
      </c>
      <c r="F92" s="16">
        <v>6677.1211790854359</v>
      </c>
      <c r="G92" s="16">
        <v>6376.9458060238139</v>
      </c>
      <c r="H92" s="16">
        <v>6261.5441718002257</v>
      </c>
      <c r="I92" s="16">
        <v>6305.9817026409291</v>
      </c>
      <c r="J92" s="16">
        <v>6544.2106693006317</v>
      </c>
      <c r="K92" s="16">
        <v>7580.4058813829688</v>
      </c>
      <c r="L92" s="16">
        <v>8947.0275540188086</v>
      </c>
      <c r="M92" s="16">
        <v>9795.8109911993452</v>
      </c>
      <c r="N92" s="16">
        <v>10276.190203361173</v>
      </c>
      <c r="O92" s="16">
        <v>10903.208289870796</v>
      </c>
      <c r="P92" s="16">
        <v>11243.961355039486</v>
      </c>
      <c r="Q92" s="16">
        <v>10981.732637527231</v>
      </c>
      <c r="R92" s="16">
        <v>10440.24073790816</v>
      </c>
      <c r="S92" s="16">
        <v>10036.298465149492</v>
      </c>
      <c r="T92" s="16">
        <v>9882.8895129906341</v>
      </c>
      <c r="U92" s="16">
        <v>10024.68706230984</v>
      </c>
      <c r="V92" s="16">
        <v>11625.616422762949</v>
      </c>
      <c r="W92" s="16">
        <v>12015.387028907822</v>
      </c>
      <c r="X92" s="16">
        <v>11424.288074357282</v>
      </c>
      <c r="Y92" s="16">
        <v>10399.29907148569</v>
      </c>
      <c r="Z92" s="16">
        <v>9199.0572134708436</v>
      </c>
      <c r="AA92" s="16">
        <v>8109.894405822728</v>
      </c>
      <c r="AB92" s="6">
        <f t="shared" si="2"/>
        <v>878961.27099877875</v>
      </c>
      <c r="AC92" s="93"/>
    </row>
    <row r="93" spans="1:29" ht="18.75" thickBot="1" x14ac:dyDescent="0.3">
      <c r="A93" s="97"/>
      <c r="B93" s="12" t="s">
        <v>30</v>
      </c>
      <c r="C93" s="12">
        <v>22</v>
      </c>
      <c r="D93" s="16">
        <v>7222.1583285266406</v>
      </c>
      <c r="E93" s="16">
        <v>6676.5349488490447</v>
      </c>
      <c r="F93" s="16">
        <v>6326.0040057752249</v>
      </c>
      <c r="G93" s="16">
        <v>6095.179782016683</v>
      </c>
      <c r="H93" s="16">
        <v>6079.8462838096711</v>
      </c>
      <c r="I93" s="16">
        <v>6598.549995227917</v>
      </c>
      <c r="J93" s="16">
        <v>7447.2215267250631</v>
      </c>
      <c r="K93" s="16">
        <v>8696.9445781826907</v>
      </c>
      <c r="L93" s="16">
        <v>10040.546214780992</v>
      </c>
      <c r="M93" s="16">
        <v>10765.185418628094</v>
      </c>
      <c r="N93" s="16">
        <v>11479.335128120074</v>
      </c>
      <c r="O93" s="16">
        <v>12231.002578984193</v>
      </c>
      <c r="P93" s="16">
        <v>12470.938647400959</v>
      </c>
      <c r="Q93" s="16">
        <v>12383.501292906749</v>
      </c>
      <c r="R93" s="16">
        <v>12619.900839280548</v>
      </c>
      <c r="S93" s="16">
        <v>12358.833046018124</v>
      </c>
      <c r="T93" s="16">
        <v>12003.096976427623</v>
      </c>
      <c r="U93" s="16">
        <v>11852.296204414695</v>
      </c>
      <c r="V93" s="16">
        <v>12986.860444019647</v>
      </c>
      <c r="W93" s="16">
        <v>12833.503988156277</v>
      </c>
      <c r="X93" s="16">
        <v>12432.349938393985</v>
      </c>
      <c r="Y93" s="16">
        <v>11323.982516823235</v>
      </c>
      <c r="Z93" s="16">
        <v>9720.8531511242109</v>
      </c>
      <c r="AA93" s="16">
        <v>8334.2192425449011</v>
      </c>
      <c r="AB93" s="6">
        <f t="shared" si="2"/>
        <v>5301534.5916970177</v>
      </c>
      <c r="AC93" s="94"/>
    </row>
    <row r="94" spans="1:29" ht="18.75" thickBot="1" x14ac:dyDescent="0.3">
      <c r="A94" s="95">
        <v>47088</v>
      </c>
      <c r="B94" s="9" t="s">
        <v>28</v>
      </c>
      <c r="C94" s="9">
        <v>5</v>
      </c>
      <c r="D94" s="16">
        <v>7859.5326641093961</v>
      </c>
      <c r="E94" s="16">
        <v>6950.1822472647218</v>
      </c>
      <c r="F94" s="16">
        <v>6474.9091255463936</v>
      </c>
      <c r="G94" s="16">
        <v>6161.1548314989923</v>
      </c>
      <c r="H94" s="16">
        <v>6074.1415363205524</v>
      </c>
      <c r="I94" s="16">
        <v>6413.2028270521078</v>
      </c>
      <c r="J94" s="16">
        <v>6851.9782753924337</v>
      </c>
      <c r="K94" s="16">
        <v>8525.6193020732208</v>
      </c>
      <c r="L94" s="16">
        <v>10779.342890957971</v>
      </c>
      <c r="M94" s="16">
        <v>12028.202735676758</v>
      </c>
      <c r="N94" s="16">
        <v>12871.720713263428</v>
      </c>
      <c r="O94" s="16">
        <v>13715.756052429308</v>
      </c>
      <c r="P94" s="16">
        <v>13999.543452188314</v>
      </c>
      <c r="Q94" s="16">
        <v>13943.063598661414</v>
      </c>
      <c r="R94" s="16">
        <v>13475.341405625477</v>
      </c>
      <c r="S94" s="16">
        <v>13089.808657550635</v>
      </c>
      <c r="T94" s="16">
        <v>12760.88328170179</v>
      </c>
      <c r="U94" s="16">
        <v>12705.815242343488</v>
      </c>
      <c r="V94" s="16">
        <v>14443.213796878357</v>
      </c>
      <c r="W94" s="16">
        <v>14688.390356245702</v>
      </c>
      <c r="X94" s="16">
        <v>14027.960083434798</v>
      </c>
      <c r="Y94" s="16">
        <v>12904.886505203536</v>
      </c>
      <c r="Z94" s="16">
        <v>11322.437743640257</v>
      </c>
      <c r="AA94" s="16">
        <v>9893.6890917973979</v>
      </c>
      <c r="AB94" s="6">
        <f t="shared" si="2"/>
        <v>1309803.8820842821</v>
      </c>
      <c r="AC94" s="92">
        <f>+AB94+AB95+AB96</f>
        <v>8230558.037039943</v>
      </c>
    </row>
    <row r="95" spans="1:29" ht="18.75" thickBot="1" x14ac:dyDescent="0.3">
      <c r="A95" s="96"/>
      <c r="B95" s="11" t="s">
        <v>29</v>
      </c>
      <c r="C95" s="11">
        <v>5</v>
      </c>
      <c r="D95" s="16">
        <v>8754.2026425282165</v>
      </c>
      <c r="E95" s="16">
        <v>7935.850783824786</v>
      </c>
      <c r="F95" s="16">
        <v>7364.3714831867437</v>
      </c>
      <c r="G95" s="16">
        <v>6911.3339791999788</v>
      </c>
      <c r="H95" s="16">
        <v>6711.7137787019055</v>
      </c>
      <c r="I95" s="16">
        <v>6815.0913663662323</v>
      </c>
      <c r="J95" s="16">
        <v>6841.667477722378</v>
      </c>
      <c r="K95" s="16">
        <v>8101.2777560071663</v>
      </c>
      <c r="L95" s="16">
        <v>9688.8394101724407</v>
      </c>
      <c r="M95" s="16">
        <v>11021.884671109165</v>
      </c>
      <c r="N95" s="16">
        <v>11685.563634587608</v>
      </c>
      <c r="O95" s="16">
        <v>12664.51740079224</v>
      </c>
      <c r="P95" s="16">
        <v>13153.158125567599</v>
      </c>
      <c r="Q95" s="16">
        <v>13167.52887572422</v>
      </c>
      <c r="R95" s="16">
        <v>12602.072101075079</v>
      </c>
      <c r="S95" s="16">
        <v>12013.447000495235</v>
      </c>
      <c r="T95" s="16">
        <v>11738.984253799925</v>
      </c>
      <c r="U95" s="16">
        <v>11635.231396821109</v>
      </c>
      <c r="V95" s="16">
        <v>13586.765423202985</v>
      </c>
      <c r="W95" s="16">
        <v>14196.676430822048</v>
      </c>
      <c r="X95" s="16">
        <v>13256.863618458181</v>
      </c>
      <c r="Y95" s="16">
        <v>12003.198140479035</v>
      </c>
      <c r="Z95" s="16">
        <v>11058.527472911381</v>
      </c>
      <c r="AA95" s="16">
        <v>9678.7192833191366</v>
      </c>
      <c r="AB95" s="6">
        <f t="shared" si="2"/>
        <v>1262937.4325343741</v>
      </c>
      <c r="AC95" s="93"/>
    </row>
    <row r="96" spans="1:29" ht="18.75" thickBot="1" x14ac:dyDescent="0.3">
      <c r="A96" s="97"/>
      <c r="B96" s="12" t="s">
        <v>30</v>
      </c>
      <c r="C96" s="12">
        <v>21</v>
      </c>
      <c r="D96" s="16">
        <v>8178.7792839491631</v>
      </c>
      <c r="E96" s="16">
        <v>7326.0591406478852</v>
      </c>
      <c r="F96" s="16">
        <v>6784.8753335038055</v>
      </c>
      <c r="G96" s="16">
        <v>6399.105764987773</v>
      </c>
      <c r="H96" s="16">
        <v>6306.3290583470989</v>
      </c>
      <c r="I96" s="16">
        <v>6683.7295833159696</v>
      </c>
      <c r="J96" s="16">
        <v>7438.1336770856251</v>
      </c>
      <c r="K96" s="16">
        <v>9250.3877899298932</v>
      </c>
      <c r="L96" s="16">
        <v>11408.148526392182</v>
      </c>
      <c r="M96" s="16">
        <v>12177.561657793278</v>
      </c>
      <c r="N96" s="16">
        <v>12646.199643282525</v>
      </c>
      <c r="O96" s="16">
        <v>13550.261070274086</v>
      </c>
      <c r="P96" s="16">
        <v>13629.255694711934</v>
      </c>
      <c r="Q96" s="16">
        <v>13722.62332473919</v>
      </c>
      <c r="R96" s="16">
        <v>13732.265473339401</v>
      </c>
      <c r="S96" s="16">
        <v>13763.864780471114</v>
      </c>
      <c r="T96" s="16">
        <v>13489.24536794547</v>
      </c>
      <c r="U96" s="16">
        <v>13314.635661469296</v>
      </c>
      <c r="V96" s="16">
        <v>15203.511683474018</v>
      </c>
      <c r="W96" s="16">
        <v>15387.079621935645</v>
      </c>
      <c r="X96" s="16">
        <v>14650.674922665014</v>
      </c>
      <c r="Y96" s="16">
        <v>13198.080100595704</v>
      </c>
      <c r="Z96" s="16">
        <v>11433.2049965437</v>
      </c>
      <c r="AA96" s="16">
        <v>9745.8317674233367</v>
      </c>
      <c r="AB96" s="6">
        <f t="shared" si="2"/>
        <v>5657816.7224212866</v>
      </c>
      <c r="AC96" s="94"/>
    </row>
    <row r="98" spans="1:33" ht="15.75" thickBot="1" x14ac:dyDescent="0.3"/>
    <row r="99" spans="1:33" ht="18.75" thickBot="1" x14ac:dyDescent="0.3">
      <c r="A99" s="1" t="s">
        <v>0</v>
      </c>
      <c r="B99" s="2" t="s">
        <v>1</v>
      </c>
      <c r="C99" s="2" t="s">
        <v>2</v>
      </c>
      <c r="D99" s="27" t="s">
        <v>3</v>
      </c>
      <c r="E99" s="5" t="s">
        <v>4</v>
      </c>
      <c r="F99" s="5" t="s">
        <v>5</v>
      </c>
      <c r="G99" s="5" t="s">
        <v>6</v>
      </c>
      <c r="H99" s="5" t="s">
        <v>7</v>
      </c>
      <c r="I99" s="5" t="s">
        <v>8</v>
      </c>
      <c r="J99" s="5" t="s">
        <v>9</v>
      </c>
      <c r="K99" s="5" t="s">
        <v>10</v>
      </c>
      <c r="L99" s="5" t="s">
        <v>11</v>
      </c>
      <c r="M99" s="5" t="s">
        <v>12</v>
      </c>
      <c r="N99" s="5" t="s">
        <v>13</v>
      </c>
      <c r="O99" s="5" t="s">
        <v>14</v>
      </c>
      <c r="P99" s="5" t="s">
        <v>15</v>
      </c>
      <c r="Q99" s="5" t="s">
        <v>16</v>
      </c>
      <c r="R99" s="5" t="s">
        <v>17</v>
      </c>
      <c r="S99" s="5" t="s">
        <v>18</v>
      </c>
      <c r="T99" s="5" t="s">
        <v>19</v>
      </c>
      <c r="U99" s="5" t="s">
        <v>20</v>
      </c>
      <c r="V99" s="5" t="s">
        <v>21</v>
      </c>
      <c r="W99" s="5" t="s">
        <v>22</v>
      </c>
      <c r="X99" s="5" t="s">
        <v>23</v>
      </c>
      <c r="Y99" s="5" t="s">
        <v>24</v>
      </c>
      <c r="Z99" s="5" t="s">
        <v>25</v>
      </c>
      <c r="AA99" s="5" t="s">
        <v>26</v>
      </c>
      <c r="AB99" s="109" t="s">
        <v>27</v>
      </c>
      <c r="AC99" s="110"/>
    </row>
    <row r="100" spans="1:33" ht="18.75" thickBot="1" x14ac:dyDescent="0.3">
      <c r="A100" s="95">
        <v>47119</v>
      </c>
      <c r="B100" s="9" t="s">
        <v>28</v>
      </c>
      <c r="C100" s="9">
        <v>4</v>
      </c>
      <c r="D100" s="16">
        <v>5618.688244240424</v>
      </c>
      <c r="E100" s="16">
        <v>4778.3263023064355</v>
      </c>
      <c r="F100" s="16">
        <v>4257.7301923055056</v>
      </c>
      <c r="G100" s="16">
        <v>3774.6865533496893</v>
      </c>
      <c r="H100" s="16">
        <v>3712.8782678963507</v>
      </c>
      <c r="I100" s="16">
        <v>3889.4928602918844</v>
      </c>
      <c r="J100" s="16">
        <v>4244.582011991406</v>
      </c>
      <c r="K100" s="16">
        <v>5929.0037588715786</v>
      </c>
      <c r="L100" s="16">
        <v>8464.616187065436</v>
      </c>
      <c r="M100" s="16">
        <v>10010.958966624476</v>
      </c>
      <c r="N100" s="16">
        <v>10918.97394439406</v>
      </c>
      <c r="O100" s="16">
        <v>12229.135036003641</v>
      </c>
      <c r="P100" s="16">
        <v>12619.545501032841</v>
      </c>
      <c r="Q100" s="16">
        <v>12210.840345311757</v>
      </c>
      <c r="R100" s="16">
        <v>11667.453119762555</v>
      </c>
      <c r="S100" s="16">
        <v>11782.442012453055</v>
      </c>
      <c r="T100" s="16">
        <v>11380.014997461833</v>
      </c>
      <c r="U100" s="16">
        <v>11092.777518840558</v>
      </c>
      <c r="V100" s="16">
        <v>12463.424654055914</v>
      </c>
      <c r="W100" s="16">
        <v>13425.796011024224</v>
      </c>
      <c r="X100" s="16">
        <v>12820.985735886225</v>
      </c>
      <c r="Y100" s="16">
        <v>11423.797454753741</v>
      </c>
      <c r="Z100" s="16">
        <v>9491.7192078966</v>
      </c>
      <c r="AA100" s="16">
        <v>7669.6920127787816</v>
      </c>
      <c r="AB100" s="6">
        <f t="shared" ref="AB100:AB135" si="3">SUM(D100:AA100)*C100</f>
        <v>863510.24358639587</v>
      </c>
      <c r="AC100" s="92">
        <f>+AB100+AB101+AB102</f>
        <v>6809640.6598552167</v>
      </c>
      <c r="AF100" s="67">
        <v>47119</v>
      </c>
      <c r="AG100" s="68">
        <f>AC100</f>
        <v>6809640.6598552167</v>
      </c>
    </row>
    <row r="101" spans="1:33" ht="18.75" thickBot="1" x14ac:dyDescent="0.3">
      <c r="A101" s="96"/>
      <c r="B101" s="11" t="s">
        <v>29</v>
      </c>
      <c r="C101" s="11">
        <v>6</v>
      </c>
      <c r="D101" s="16">
        <v>5962.7847975553705</v>
      </c>
      <c r="E101" s="16">
        <v>5150.2862433860464</v>
      </c>
      <c r="F101" s="16">
        <v>4407.1582349483688</v>
      </c>
      <c r="G101" s="16">
        <v>4008.6665113233539</v>
      </c>
      <c r="H101" s="16">
        <v>3651.4271281924302</v>
      </c>
      <c r="I101" s="16">
        <v>3616.1499564722362</v>
      </c>
      <c r="J101" s="16">
        <v>3688.2960731028943</v>
      </c>
      <c r="K101" s="16">
        <v>4761.6474620463523</v>
      </c>
      <c r="L101" s="16">
        <v>6581.4401553874013</v>
      </c>
      <c r="M101" s="16">
        <v>7819.1722227783066</v>
      </c>
      <c r="N101" s="16">
        <v>8448.1446786074557</v>
      </c>
      <c r="O101" s="16">
        <v>9486.877007099305</v>
      </c>
      <c r="P101" s="16">
        <v>10140.7948227817</v>
      </c>
      <c r="Q101" s="16">
        <v>10086.251844961105</v>
      </c>
      <c r="R101" s="16">
        <v>9225.0115905562379</v>
      </c>
      <c r="S101" s="16">
        <v>8847.5553502843359</v>
      </c>
      <c r="T101" s="16">
        <v>8563.006496967635</v>
      </c>
      <c r="U101" s="16">
        <v>8413.9656966260882</v>
      </c>
      <c r="V101" s="16">
        <v>10522.467255571028</v>
      </c>
      <c r="W101" s="16">
        <v>11899.574448452287</v>
      </c>
      <c r="X101" s="16">
        <v>11311.716557790689</v>
      </c>
      <c r="Y101" s="16">
        <v>9718.4612795403809</v>
      </c>
      <c r="Z101" s="16">
        <v>7986.7578495987764</v>
      </c>
      <c r="AA101" s="16">
        <v>6335.5941302112988</v>
      </c>
      <c r="AB101" s="6">
        <f t="shared" si="3"/>
        <v>1083799.2467654464</v>
      </c>
      <c r="AC101" s="93"/>
      <c r="AF101" s="67">
        <v>47150</v>
      </c>
      <c r="AG101" s="68">
        <f>AC103</f>
        <v>5723692.3996578343</v>
      </c>
    </row>
    <row r="102" spans="1:33" ht="18.75" thickBot="1" x14ac:dyDescent="0.3">
      <c r="A102" s="97"/>
      <c r="B102" s="12" t="s">
        <v>30</v>
      </c>
      <c r="C102" s="12">
        <v>21</v>
      </c>
      <c r="D102" s="16">
        <v>6049.5169453248782</v>
      </c>
      <c r="E102" s="16">
        <v>5094.4293360988995</v>
      </c>
      <c r="F102" s="16">
        <v>4542.9638138367809</v>
      </c>
      <c r="G102" s="16">
        <v>4215.6677290694934</v>
      </c>
      <c r="H102" s="16">
        <v>4168.9582626729098</v>
      </c>
      <c r="I102" s="16">
        <v>4710.4561891185949</v>
      </c>
      <c r="J102" s="16">
        <v>5488.8371009457078</v>
      </c>
      <c r="K102" s="16">
        <v>7075.3232347191588</v>
      </c>
      <c r="L102" s="16">
        <v>9486.2160294924397</v>
      </c>
      <c r="M102" s="16">
        <v>10463.632796080914</v>
      </c>
      <c r="N102" s="16">
        <v>11344.173061556314</v>
      </c>
      <c r="O102" s="16">
        <v>12683.160057324232</v>
      </c>
      <c r="P102" s="16">
        <v>13110.609441123772</v>
      </c>
      <c r="Q102" s="16">
        <v>13061.902328036773</v>
      </c>
      <c r="R102" s="16">
        <v>13079.564704504577</v>
      </c>
      <c r="S102" s="16">
        <v>12977.647651985371</v>
      </c>
      <c r="T102" s="16">
        <v>12586.745609941543</v>
      </c>
      <c r="U102" s="16">
        <v>12121.162461694155</v>
      </c>
      <c r="V102" s="16">
        <v>12994.607584485904</v>
      </c>
      <c r="W102" s="16">
        <v>13922.187900705918</v>
      </c>
      <c r="X102" s="16">
        <v>13252.300185764158</v>
      </c>
      <c r="Y102" s="16">
        <v>11812.565221315926</v>
      </c>
      <c r="Z102" s="16">
        <v>9670.1107389351455</v>
      </c>
      <c r="AA102" s="16">
        <v>7626.8411154271707</v>
      </c>
      <c r="AB102" s="6">
        <f t="shared" si="3"/>
        <v>4862331.169503375</v>
      </c>
      <c r="AC102" s="94"/>
      <c r="AF102" s="67">
        <v>47178</v>
      </c>
      <c r="AG102" s="68">
        <f>AC106</f>
        <v>7092058.4859306328</v>
      </c>
    </row>
    <row r="103" spans="1:33" ht="18.75" thickBot="1" x14ac:dyDescent="0.3">
      <c r="A103" s="95">
        <v>47150</v>
      </c>
      <c r="B103" s="9" t="s">
        <v>28</v>
      </c>
      <c r="C103" s="9">
        <v>4</v>
      </c>
      <c r="D103" s="16">
        <v>5002.0644447316517</v>
      </c>
      <c r="E103" s="16">
        <v>4052.87792866979</v>
      </c>
      <c r="F103" s="16">
        <v>3600.1028293750387</v>
      </c>
      <c r="G103" s="16">
        <v>3108.0040496629626</v>
      </c>
      <c r="H103" s="16">
        <v>3000.5128160537424</v>
      </c>
      <c r="I103" s="16">
        <v>3172.366920741646</v>
      </c>
      <c r="J103" s="16">
        <v>3792.8886616261516</v>
      </c>
      <c r="K103" s="16">
        <v>5587.9018270007618</v>
      </c>
      <c r="L103" s="16">
        <v>8146.2198794345131</v>
      </c>
      <c r="M103" s="16">
        <v>9233.3789095749707</v>
      </c>
      <c r="N103" s="16">
        <v>10017.739026967483</v>
      </c>
      <c r="O103" s="16">
        <v>11066.048467969649</v>
      </c>
      <c r="P103" s="16">
        <v>11330.844383148997</v>
      </c>
      <c r="Q103" s="16">
        <v>11554.786777145066</v>
      </c>
      <c r="R103" s="16">
        <v>11249.131364841964</v>
      </c>
      <c r="S103" s="16">
        <v>9933.1894289069351</v>
      </c>
      <c r="T103" s="16">
        <v>10212.779780764231</v>
      </c>
      <c r="U103" s="16">
        <v>10128.013056865802</v>
      </c>
      <c r="V103" s="16">
        <v>11434.371576231875</v>
      </c>
      <c r="W103" s="16">
        <v>12314.026032689508</v>
      </c>
      <c r="X103" s="16">
        <v>11874.409954358078</v>
      </c>
      <c r="Y103" s="16">
        <v>10370.37927539862</v>
      </c>
      <c r="Z103" s="16">
        <v>8345.9656903786017</v>
      </c>
      <c r="AA103" s="16">
        <v>6655.0872720368934</v>
      </c>
      <c r="AB103" s="6">
        <f t="shared" si="3"/>
        <v>780732.36141829961</v>
      </c>
      <c r="AC103" s="92">
        <f>+AB103+AB104+AB105</f>
        <v>5723692.3996578343</v>
      </c>
      <c r="AF103" s="67">
        <v>47209</v>
      </c>
      <c r="AG103" s="68">
        <f>AC109</f>
        <v>6778314.0251326598</v>
      </c>
    </row>
    <row r="104" spans="1:33" ht="18.75" thickBot="1" x14ac:dyDescent="0.3">
      <c r="A104" s="96"/>
      <c r="B104" s="11" t="s">
        <v>29</v>
      </c>
      <c r="C104" s="11">
        <v>4</v>
      </c>
      <c r="D104" s="16">
        <v>5393.6100577456709</v>
      </c>
      <c r="E104" s="16">
        <v>4651.4042245835117</v>
      </c>
      <c r="F104" s="16">
        <v>3929.8293299798061</v>
      </c>
      <c r="G104" s="16">
        <v>3541.6441875024248</v>
      </c>
      <c r="H104" s="16">
        <v>3354.0514475388409</v>
      </c>
      <c r="I104" s="16">
        <v>3492.4522373526961</v>
      </c>
      <c r="J104" s="16">
        <v>3739.6490077831913</v>
      </c>
      <c r="K104" s="16">
        <v>5096.3687696552588</v>
      </c>
      <c r="L104" s="16">
        <v>7031.5117636260693</v>
      </c>
      <c r="M104" s="16">
        <v>8178.8803862032873</v>
      </c>
      <c r="N104" s="16">
        <v>8892.4853681708846</v>
      </c>
      <c r="O104" s="16">
        <v>9955.8143396095293</v>
      </c>
      <c r="P104" s="16">
        <v>10912.747666529143</v>
      </c>
      <c r="Q104" s="16">
        <v>10797.830330868564</v>
      </c>
      <c r="R104" s="16">
        <v>9884.1867168727804</v>
      </c>
      <c r="S104" s="16">
        <v>9367.4192548098508</v>
      </c>
      <c r="T104" s="16">
        <v>8741.2462662001126</v>
      </c>
      <c r="U104" s="16">
        <v>8860.2491531770356</v>
      </c>
      <c r="V104" s="16">
        <v>10659.222375117657</v>
      </c>
      <c r="W104" s="16">
        <v>10893.471274482217</v>
      </c>
      <c r="X104" s="16">
        <v>10894.475232484867</v>
      </c>
      <c r="Y104" s="16">
        <v>9637.7668187062372</v>
      </c>
      <c r="Z104" s="16">
        <v>7898.9832694007382</v>
      </c>
      <c r="AA104" s="16">
        <v>5960.4618770718007</v>
      </c>
      <c r="AB104" s="6">
        <f t="shared" si="3"/>
        <v>727063.04542188882</v>
      </c>
      <c r="AC104" s="93"/>
      <c r="AF104" s="67">
        <v>47239</v>
      </c>
      <c r="AG104" s="68">
        <f>AC112</f>
        <v>7580413.9494835362</v>
      </c>
    </row>
    <row r="105" spans="1:33" ht="18.75" thickBot="1" x14ac:dyDescent="0.3">
      <c r="A105" s="97"/>
      <c r="B105" s="12" t="s">
        <v>30</v>
      </c>
      <c r="C105" s="12">
        <v>20</v>
      </c>
      <c r="D105" s="16">
        <v>4839.8168635826005</v>
      </c>
      <c r="E105" s="16">
        <v>4095.1015338098514</v>
      </c>
      <c r="F105" s="16">
        <v>3610.3212892202719</v>
      </c>
      <c r="G105" s="16">
        <v>3153.1096517042897</v>
      </c>
      <c r="H105" s="16">
        <v>3213.7056882928664</v>
      </c>
      <c r="I105" s="16">
        <v>4393.4049457237052</v>
      </c>
      <c r="J105" s="16">
        <v>5678.8648043973044</v>
      </c>
      <c r="K105" s="16">
        <v>6839.2960360978977</v>
      </c>
      <c r="L105" s="16">
        <v>8608.1130687319128</v>
      </c>
      <c r="M105" s="16">
        <v>9364.4723193552418</v>
      </c>
      <c r="N105" s="16">
        <v>10552.940671864009</v>
      </c>
      <c r="O105" s="16">
        <v>11727.27951067355</v>
      </c>
      <c r="P105" s="16">
        <v>12005.134847808014</v>
      </c>
      <c r="Q105" s="16">
        <v>11836.808539990539</v>
      </c>
      <c r="R105" s="16">
        <v>12128.268304852976</v>
      </c>
      <c r="S105" s="16">
        <v>12150.991619375687</v>
      </c>
      <c r="T105" s="16">
        <v>11951.961327706504</v>
      </c>
      <c r="U105" s="16">
        <v>11324.836172578365</v>
      </c>
      <c r="V105" s="16">
        <v>12302.498443480497</v>
      </c>
      <c r="W105" s="16">
        <v>13197.503099081827</v>
      </c>
      <c r="X105" s="16">
        <v>12534.59998822827</v>
      </c>
      <c r="Y105" s="16">
        <v>10779.518455617039</v>
      </c>
      <c r="Z105" s="16">
        <v>8426.1369160387039</v>
      </c>
      <c r="AA105" s="16">
        <v>6080.1655426704128</v>
      </c>
      <c r="AB105" s="6">
        <f t="shared" si="3"/>
        <v>4215896.9928176459</v>
      </c>
      <c r="AC105" s="94"/>
      <c r="AF105" s="67">
        <v>47270</v>
      </c>
      <c r="AG105" s="68">
        <f>AC115</f>
        <v>7278300.6260397146</v>
      </c>
    </row>
    <row r="106" spans="1:33" ht="18.75" thickBot="1" x14ac:dyDescent="0.3">
      <c r="A106" s="95">
        <v>47178</v>
      </c>
      <c r="B106" s="9" t="s">
        <v>28</v>
      </c>
      <c r="C106" s="9">
        <v>5</v>
      </c>
      <c r="D106" s="16">
        <v>6077.7055067225447</v>
      </c>
      <c r="E106" s="16">
        <v>5108.6052788264133</v>
      </c>
      <c r="F106" s="16">
        <v>4519.3325084186908</v>
      </c>
      <c r="G106" s="16">
        <v>4067.2426220679627</v>
      </c>
      <c r="H106" s="16">
        <v>4004.4723738705761</v>
      </c>
      <c r="I106" s="16">
        <v>4287.042455040184</v>
      </c>
      <c r="J106" s="16">
        <v>4932.7089977223186</v>
      </c>
      <c r="K106" s="16">
        <v>6727.0454540124847</v>
      </c>
      <c r="L106" s="16">
        <v>9327.5515730513325</v>
      </c>
      <c r="M106" s="16">
        <v>10719.133627078438</v>
      </c>
      <c r="N106" s="16">
        <v>11793.832551541451</v>
      </c>
      <c r="O106" s="16">
        <v>13219.324691632199</v>
      </c>
      <c r="P106" s="16">
        <v>13680.241064877326</v>
      </c>
      <c r="Q106" s="16">
        <v>13646.870948336982</v>
      </c>
      <c r="R106" s="16">
        <v>13556.127055133667</v>
      </c>
      <c r="S106" s="16">
        <v>13266.524475366474</v>
      </c>
      <c r="T106" s="16">
        <v>12421.277137623631</v>
      </c>
      <c r="U106" s="16">
        <v>12020.556889206578</v>
      </c>
      <c r="V106" s="16">
        <v>13265.046409537008</v>
      </c>
      <c r="W106" s="16">
        <v>14364.250279262193</v>
      </c>
      <c r="X106" s="16">
        <v>13717.263631984275</v>
      </c>
      <c r="Y106" s="16">
        <v>12438.523925382968</v>
      </c>
      <c r="Z106" s="16">
        <v>10490.87319700819</v>
      </c>
      <c r="AA106" s="16">
        <v>8719.2928294644189</v>
      </c>
      <c r="AB106" s="6">
        <f t="shared" si="3"/>
        <v>1181854.2274158413</v>
      </c>
      <c r="AC106" s="92">
        <f>+AB106+AB107+AB108</f>
        <v>7092058.4859306328</v>
      </c>
      <c r="AF106" s="67">
        <v>47300</v>
      </c>
      <c r="AG106" s="68">
        <f>AC118</f>
        <v>7391065.4190664543</v>
      </c>
    </row>
    <row r="107" spans="1:33" ht="18.75" thickBot="1" x14ac:dyDescent="0.3">
      <c r="A107" s="96"/>
      <c r="B107" s="11" t="s">
        <v>29</v>
      </c>
      <c r="C107" s="11">
        <v>7</v>
      </c>
      <c r="D107" s="16">
        <v>7226.8474235407484</v>
      </c>
      <c r="E107" s="16">
        <v>6232.044914976781</v>
      </c>
      <c r="F107" s="16">
        <v>5479.8942331661783</v>
      </c>
      <c r="G107" s="16">
        <v>4852.5544172899972</v>
      </c>
      <c r="H107" s="16">
        <v>4450.2663767644735</v>
      </c>
      <c r="I107" s="16">
        <v>4604.7433294943039</v>
      </c>
      <c r="J107" s="16">
        <v>4631.8747832288027</v>
      </c>
      <c r="K107" s="16">
        <v>6075.9265623527281</v>
      </c>
      <c r="L107" s="16">
        <v>7597.0126502606145</v>
      </c>
      <c r="M107" s="16">
        <v>8736.6693710942818</v>
      </c>
      <c r="N107" s="16">
        <v>9790.4346711124454</v>
      </c>
      <c r="O107" s="16">
        <v>10874.365731216232</v>
      </c>
      <c r="P107" s="16">
        <v>11792.158108736086</v>
      </c>
      <c r="Q107" s="16">
        <v>11618.803714014841</v>
      </c>
      <c r="R107" s="16">
        <v>10677.388341454203</v>
      </c>
      <c r="S107" s="16">
        <v>10108.692976790877</v>
      </c>
      <c r="T107" s="16">
        <v>9680.3735696940166</v>
      </c>
      <c r="U107" s="16">
        <v>9516.0844842085717</v>
      </c>
      <c r="V107" s="16">
        <v>11207.96615603696</v>
      </c>
      <c r="W107" s="16">
        <v>12897.937786417238</v>
      </c>
      <c r="X107" s="16">
        <v>12479.372754141888</v>
      </c>
      <c r="Y107" s="16">
        <v>11031.036142233515</v>
      </c>
      <c r="Z107" s="16">
        <v>8853.7487331079428</v>
      </c>
      <c r="AA107" s="16">
        <v>6969.8984932896965</v>
      </c>
      <c r="AB107" s="6">
        <f t="shared" si="3"/>
        <v>1451702.6700723639</v>
      </c>
      <c r="AC107" s="93"/>
      <c r="AF107" s="67">
        <v>47331</v>
      </c>
      <c r="AG107" s="68">
        <f>AC121</f>
        <v>7218033.0650974112</v>
      </c>
    </row>
    <row r="108" spans="1:33" ht="18.75" thickBot="1" x14ac:dyDescent="0.3">
      <c r="A108" s="97"/>
      <c r="B108" s="12" t="s">
        <v>30</v>
      </c>
      <c r="C108" s="12">
        <v>19</v>
      </c>
      <c r="D108" s="16">
        <v>5683.2311744332874</v>
      </c>
      <c r="E108" s="16">
        <v>4885.6482359921683</v>
      </c>
      <c r="F108" s="16">
        <v>4350.8966719074997</v>
      </c>
      <c r="G108" s="16">
        <v>4008.2453101740903</v>
      </c>
      <c r="H108" s="16">
        <v>3996.6262943270594</v>
      </c>
      <c r="I108" s="16">
        <v>5056.9023910451506</v>
      </c>
      <c r="J108" s="16">
        <v>6211.2955786379025</v>
      </c>
      <c r="K108" s="16">
        <v>7620.7054921054005</v>
      </c>
      <c r="L108" s="16">
        <v>9481.7285874862573</v>
      </c>
      <c r="M108" s="16">
        <v>10507.971291667451</v>
      </c>
      <c r="N108" s="16">
        <v>11545.168929774492</v>
      </c>
      <c r="O108" s="16">
        <v>12662.144647176097</v>
      </c>
      <c r="P108" s="16">
        <v>12770.001947607259</v>
      </c>
      <c r="Q108" s="16">
        <v>12790.216955895448</v>
      </c>
      <c r="R108" s="16">
        <v>13479.913983579921</v>
      </c>
      <c r="S108" s="16">
        <v>13502.827227635342</v>
      </c>
      <c r="T108" s="16">
        <v>13338.782874605491</v>
      </c>
      <c r="U108" s="16">
        <v>12694.532744516207</v>
      </c>
      <c r="V108" s="16">
        <v>13572.5344723579</v>
      </c>
      <c r="W108" s="16">
        <v>14468.339075975462</v>
      </c>
      <c r="X108" s="16">
        <v>13530.488576834876</v>
      </c>
      <c r="Y108" s="16">
        <v>11784.494302486881</v>
      </c>
      <c r="Z108" s="16">
        <v>9445.3471334476453</v>
      </c>
      <c r="AA108" s="16">
        <v>7269.9344394058535</v>
      </c>
      <c r="AB108" s="6">
        <f t="shared" si="3"/>
        <v>4458501.588442428</v>
      </c>
      <c r="AC108" s="94"/>
      <c r="AF108" s="67">
        <v>47362</v>
      </c>
      <c r="AG108" s="68">
        <f>AC124</f>
        <v>7435131.7182565071</v>
      </c>
    </row>
    <row r="109" spans="1:33" ht="18.75" thickBot="1" x14ac:dyDescent="0.3">
      <c r="A109" s="95">
        <v>47209</v>
      </c>
      <c r="B109" s="9" t="s">
        <v>28</v>
      </c>
      <c r="C109" s="9">
        <v>4</v>
      </c>
      <c r="D109" s="16">
        <v>5983.8463922725714</v>
      </c>
      <c r="E109" s="16">
        <v>5133.5048033108942</v>
      </c>
      <c r="F109" s="16">
        <v>4475.9870189240028</v>
      </c>
      <c r="G109" s="16">
        <v>4100.6923252101078</v>
      </c>
      <c r="H109" s="16">
        <v>3923.3787776184327</v>
      </c>
      <c r="I109" s="16">
        <v>4051.0144289466516</v>
      </c>
      <c r="J109" s="16">
        <v>2989.8778230183998</v>
      </c>
      <c r="K109" s="16">
        <v>6526.0393390601712</v>
      </c>
      <c r="L109" s="16">
        <v>8954.3543898912976</v>
      </c>
      <c r="M109" s="16">
        <v>10432.279852643005</v>
      </c>
      <c r="N109" s="16">
        <v>11119.820085679068</v>
      </c>
      <c r="O109" s="16">
        <v>12215.661595886959</v>
      </c>
      <c r="P109" s="16">
        <v>12560.823168386294</v>
      </c>
      <c r="Q109" s="16">
        <v>13153.832932746696</v>
      </c>
      <c r="R109" s="16">
        <v>12915.66959647198</v>
      </c>
      <c r="S109" s="16">
        <v>12261.520282530037</v>
      </c>
      <c r="T109" s="16">
        <v>11137.28421649852</v>
      </c>
      <c r="U109" s="16">
        <v>10612.798880174236</v>
      </c>
      <c r="V109" s="16">
        <v>10869.00586906539</v>
      </c>
      <c r="W109" s="16">
        <v>11358.911059274647</v>
      </c>
      <c r="X109" s="16">
        <v>11237.338252301663</v>
      </c>
      <c r="Y109" s="16">
        <v>11105.394419836852</v>
      </c>
      <c r="Z109" s="16">
        <v>9421.3423101497974</v>
      </c>
      <c r="AA109" s="16">
        <v>7763.1734951661201</v>
      </c>
      <c r="AB109" s="6">
        <f t="shared" si="3"/>
        <v>857214.20526025526</v>
      </c>
      <c r="AC109" s="92">
        <f>+AB109+AB110+AB111</f>
        <v>6778314.0251326598</v>
      </c>
      <c r="AF109" s="67">
        <v>47392</v>
      </c>
      <c r="AG109" s="68">
        <f>AC127</f>
        <v>7534835.619209121</v>
      </c>
    </row>
    <row r="110" spans="1:33" ht="18.75" thickBot="1" x14ac:dyDescent="0.3">
      <c r="A110" s="96"/>
      <c r="B110" s="11" t="s">
        <v>29</v>
      </c>
      <c r="C110" s="11">
        <v>5</v>
      </c>
      <c r="D110" s="16">
        <v>5421.1340811177688</v>
      </c>
      <c r="E110" s="16">
        <v>4494.5645828256129</v>
      </c>
      <c r="F110" s="16">
        <v>3984.2513715573696</v>
      </c>
      <c r="G110" s="16">
        <v>3462.9044408905829</v>
      </c>
      <c r="H110" s="16">
        <v>3283.8107418530853</v>
      </c>
      <c r="I110" s="16">
        <v>2318.8318266832175</v>
      </c>
      <c r="J110" s="16">
        <v>3623.2173409518364</v>
      </c>
      <c r="K110" s="16">
        <v>5043.5005071885134</v>
      </c>
      <c r="L110" s="16">
        <v>6606.0911532107821</v>
      </c>
      <c r="M110" s="16">
        <v>7604.5173298716982</v>
      </c>
      <c r="N110" s="16">
        <v>8377.9535592541033</v>
      </c>
      <c r="O110" s="16">
        <v>9111.9018173032964</v>
      </c>
      <c r="P110" s="16">
        <v>9754.7524684325654</v>
      </c>
      <c r="Q110" s="16">
        <v>9669.6405704434874</v>
      </c>
      <c r="R110" s="16">
        <v>9468.0917432586066</v>
      </c>
      <c r="S110" s="16">
        <v>9262.1857707112285</v>
      </c>
      <c r="T110" s="16">
        <v>8958.140733113476</v>
      </c>
      <c r="U110" s="16">
        <v>8719.7292219951414</v>
      </c>
      <c r="V110" s="16">
        <v>9213.9794841961229</v>
      </c>
      <c r="W110" s="16">
        <v>11198.059552728475</v>
      </c>
      <c r="X110" s="16">
        <v>11225.287686787105</v>
      </c>
      <c r="Y110" s="16">
        <v>10510.837922532184</v>
      </c>
      <c r="Z110" s="16">
        <v>9263.9136042170467</v>
      </c>
      <c r="AA110" s="16">
        <v>7385.6928505999531</v>
      </c>
      <c r="AB110" s="6">
        <f t="shared" si="3"/>
        <v>889814.95180861617</v>
      </c>
      <c r="AC110" s="93"/>
      <c r="AF110" s="67">
        <v>47423</v>
      </c>
      <c r="AG110" s="68">
        <f>AC130</f>
        <v>7339145.1221487578</v>
      </c>
    </row>
    <row r="111" spans="1:33" ht="18.75" thickBot="1" x14ac:dyDescent="0.3">
      <c r="A111" s="97"/>
      <c r="B111" s="12" t="s">
        <v>30</v>
      </c>
      <c r="C111" s="12">
        <v>21</v>
      </c>
      <c r="D111" s="16">
        <v>6257.2667883168251</v>
      </c>
      <c r="E111" s="16">
        <v>5425.3636511957811</v>
      </c>
      <c r="F111" s="16">
        <v>4834.2948824095765</v>
      </c>
      <c r="G111" s="16">
        <v>4454.0806925524194</v>
      </c>
      <c r="H111" s="16">
        <v>4347.6732466041758</v>
      </c>
      <c r="I111" s="16">
        <v>5248.8071039514216</v>
      </c>
      <c r="J111" s="16">
        <v>6257.0772363957403</v>
      </c>
      <c r="K111" s="16">
        <v>7902.537218860758</v>
      </c>
      <c r="L111" s="16">
        <v>9936.4341615689809</v>
      </c>
      <c r="M111" s="16">
        <v>11150.110160713648</v>
      </c>
      <c r="N111" s="16">
        <v>12170.767169122766</v>
      </c>
      <c r="O111" s="16">
        <v>13373.814979978208</v>
      </c>
      <c r="P111" s="16">
        <v>13596.483352206142</v>
      </c>
      <c r="Q111" s="16">
        <v>13802.247395572675</v>
      </c>
      <c r="R111" s="16">
        <v>14168.405364733186</v>
      </c>
      <c r="S111" s="16">
        <v>13855.297786738021</v>
      </c>
      <c r="T111" s="16">
        <v>13046.597253563603</v>
      </c>
      <c r="U111" s="16">
        <v>12636.938929517179</v>
      </c>
      <c r="V111" s="16">
        <v>12426.015532374739</v>
      </c>
      <c r="W111" s="16">
        <v>13412.093199560219</v>
      </c>
      <c r="X111" s="16">
        <v>13013.995530472181</v>
      </c>
      <c r="Y111" s="16">
        <v>11435.424436749581</v>
      </c>
      <c r="Z111" s="16">
        <v>9439.0909700737393</v>
      </c>
      <c r="AA111" s="16">
        <v>7394.1766740917774</v>
      </c>
      <c r="AB111" s="6">
        <f t="shared" si="3"/>
        <v>5031284.8680637889</v>
      </c>
      <c r="AC111" s="94"/>
      <c r="AF111" s="67">
        <v>47453</v>
      </c>
      <c r="AG111" s="68">
        <f>AC133</f>
        <v>8079860.793975383</v>
      </c>
    </row>
    <row r="112" spans="1:33" ht="18.75" thickBot="1" x14ac:dyDescent="0.3">
      <c r="A112" s="95">
        <v>47239</v>
      </c>
      <c r="B112" s="9" t="s">
        <v>28</v>
      </c>
      <c r="C112" s="9">
        <v>4</v>
      </c>
      <c r="D112" s="16">
        <v>7099.4786297369756</v>
      </c>
      <c r="E112" s="16">
        <v>6154.3967316517155</v>
      </c>
      <c r="F112" s="16">
        <v>5559.5808738162559</v>
      </c>
      <c r="G112" s="16">
        <v>5140.9733281621775</v>
      </c>
      <c r="H112" s="16">
        <v>5023.3566657121555</v>
      </c>
      <c r="I112" s="16">
        <v>5206.816909830708</v>
      </c>
      <c r="J112" s="16">
        <v>5730.0791822924111</v>
      </c>
      <c r="K112" s="16">
        <v>7730.5606395876639</v>
      </c>
      <c r="L112" s="16">
        <v>10281.921115519832</v>
      </c>
      <c r="M112" s="16">
        <v>11631.733205171713</v>
      </c>
      <c r="N112" s="16">
        <v>12586.594174412177</v>
      </c>
      <c r="O112" s="16">
        <v>13582.338964951938</v>
      </c>
      <c r="P112" s="16">
        <v>14219.398787095506</v>
      </c>
      <c r="Q112" s="16">
        <v>14026.906089702468</v>
      </c>
      <c r="R112" s="16">
        <v>13741.078041806613</v>
      </c>
      <c r="S112" s="16">
        <v>13272.497413696539</v>
      </c>
      <c r="T112" s="16">
        <v>12366.145506632918</v>
      </c>
      <c r="U112" s="16">
        <v>12368.825215591798</v>
      </c>
      <c r="V112" s="16">
        <v>13422.548130734835</v>
      </c>
      <c r="W112" s="16">
        <v>14171.69152759928</v>
      </c>
      <c r="X112" s="16">
        <v>13440.199151284673</v>
      </c>
      <c r="Y112" s="16">
        <v>12019.97937239772</v>
      </c>
      <c r="Z112" s="16">
        <v>9925.8704097767295</v>
      </c>
      <c r="AA112" s="16">
        <v>8153.8296777492469</v>
      </c>
      <c r="AB112" s="6">
        <f t="shared" si="3"/>
        <v>987427.1989796561</v>
      </c>
      <c r="AC112" s="92">
        <f>+AB112+AB113+AB114</f>
        <v>7580413.9494835362</v>
      </c>
    </row>
    <row r="113" spans="1:29" ht="18.75" thickBot="1" x14ac:dyDescent="0.3">
      <c r="A113" s="96"/>
      <c r="B113" s="11" t="s">
        <v>29</v>
      </c>
      <c r="C113" s="11">
        <v>4</v>
      </c>
      <c r="D113" s="16">
        <v>6712.0147882033925</v>
      </c>
      <c r="E113" s="16">
        <v>5388.7741796937044</v>
      </c>
      <c r="F113" s="16">
        <v>4703.8447898189843</v>
      </c>
      <c r="G113" s="16">
        <v>4350.4169851525257</v>
      </c>
      <c r="H113" s="16">
        <v>4125.5697642063606</v>
      </c>
      <c r="I113" s="16">
        <v>4182.2072227890385</v>
      </c>
      <c r="J113" s="16">
        <v>4423.3907675820192</v>
      </c>
      <c r="K113" s="16">
        <v>6298.7341988200751</v>
      </c>
      <c r="L113" s="16">
        <v>8362.4217289660664</v>
      </c>
      <c r="M113" s="16">
        <v>9639.311974823635</v>
      </c>
      <c r="N113" s="16">
        <v>10813.120260670163</v>
      </c>
      <c r="O113" s="16">
        <v>11538.061876622545</v>
      </c>
      <c r="P113" s="16">
        <v>12404.573604337544</v>
      </c>
      <c r="Q113" s="16">
        <v>12010.804087876506</v>
      </c>
      <c r="R113" s="16">
        <v>11166.585396230643</v>
      </c>
      <c r="S113" s="16">
        <v>10525.661015013138</v>
      </c>
      <c r="T113" s="16">
        <v>10220.242363159887</v>
      </c>
      <c r="U113" s="16">
        <v>10067.411306057067</v>
      </c>
      <c r="V113" s="16">
        <v>11606.353066473985</v>
      </c>
      <c r="W113" s="16">
        <v>12994.896770229847</v>
      </c>
      <c r="X113" s="16">
        <v>12468.428910128056</v>
      </c>
      <c r="Y113" s="16">
        <v>11213.963170009938</v>
      </c>
      <c r="Z113" s="16">
        <v>9256.4625564094167</v>
      </c>
      <c r="AA113" s="16">
        <v>7456.3619767253222</v>
      </c>
      <c r="AB113" s="6">
        <f t="shared" si="3"/>
        <v>847718.45103999949</v>
      </c>
      <c r="AC113" s="93"/>
    </row>
    <row r="114" spans="1:29" ht="18.75" thickBot="1" x14ac:dyDescent="0.3">
      <c r="A114" s="97"/>
      <c r="B114" s="12" t="s">
        <v>30</v>
      </c>
      <c r="C114" s="12">
        <v>23</v>
      </c>
      <c r="D114" s="16">
        <v>6244.2416049173262</v>
      </c>
      <c r="E114" s="16">
        <v>5243.6832158670368</v>
      </c>
      <c r="F114" s="16">
        <v>4683.952833572057</v>
      </c>
      <c r="G114" s="16">
        <v>4384.236379170834</v>
      </c>
      <c r="H114" s="16">
        <v>4397.7860252029823</v>
      </c>
      <c r="I114" s="16">
        <v>5244.2006699779522</v>
      </c>
      <c r="J114" s="16">
        <v>6309.2371647031141</v>
      </c>
      <c r="K114" s="16">
        <v>7978.0529508935251</v>
      </c>
      <c r="L114" s="16">
        <v>10286.179233418698</v>
      </c>
      <c r="M114" s="16">
        <v>11528.661138234038</v>
      </c>
      <c r="N114" s="16">
        <v>12626.689100400021</v>
      </c>
      <c r="O114" s="16">
        <v>13861.59700736629</v>
      </c>
      <c r="P114" s="16">
        <v>13958.524007239474</v>
      </c>
      <c r="Q114" s="16">
        <v>13916.425888473903</v>
      </c>
      <c r="R114" s="16">
        <v>14176.701441784458</v>
      </c>
      <c r="S114" s="16">
        <v>14107.102124849025</v>
      </c>
      <c r="T114" s="16">
        <v>13746.054412289908</v>
      </c>
      <c r="U114" s="16">
        <v>13395.360419327302</v>
      </c>
      <c r="V114" s="16">
        <v>14231.243191895501</v>
      </c>
      <c r="W114" s="16">
        <v>15000.690498765085</v>
      </c>
      <c r="X114" s="16">
        <v>14060.550190827049</v>
      </c>
      <c r="Y114" s="16">
        <v>12323.803770935665</v>
      </c>
      <c r="Z114" s="16">
        <v>10141.618631072102</v>
      </c>
      <c r="AA114" s="16">
        <v>7947.6819885506338</v>
      </c>
      <c r="AB114" s="6">
        <f t="shared" si="3"/>
        <v>5745268.2994638812</v>
      </c>
      <c r="AC114" s="94"/>
    </row>
    <row r="115" spans="1:29" ht="18.75" thickBot="1" x14ac:dyDescent="0.3">
      <c r="A115" s="95">
        <v>47270</v>
      </c>
      <c r="B115" s="9" t="s">
        <v>28</v>
      </c>
      <c r="C115" s="9">
        <v>5</v>
      </c>
      <c r="D115" s="16">
        <v>5649.61429914576</v>
      </c>
      <c r="E115" s="16">
        <v>5100.2914720774352</v>
      </c>
      <c r="F115" s="16">
        <v>4798.8936987890338</v>
      </c>
      <c r="G115" s="16">
        <v>4304.8133116071876</v>
      </c>
      <c r="H115" s="16">
        <v>4122.7044222173572</v>
      </c>
      <c r="I115" s="16">
        <v>4603.0568066502638</v>
      </c>
      <c r="J115" s="16">
        <v>5032.3102889431211</v>
      </c>
      <c r="K115" s="16">
        <v>7185.4356202685412</v>
      </c>
      <c r="L115" s="16">
        <v>10009.128882680881</v>
      </c>
      <c r="M115" s="16">
        <v>11466.973039931749</v>
      </c>
      <c r="N115" s="16">
        <v>12132.523722524329</v>
      </c>
      <c r="O115" s="16">
        <v>13435.100763037277</v>
      </c>
      <c r="P115" s="16">
        <v>13648.150365061047</v>
      </c>
      <c r="Q115" s="16">
        <v>12994.124150222106</v>
      </c>
      <c r="R115" s="16">
        <v>13399.461067773093</v>
      </c>
      <c r="S115" s="16">
        <v>12939.35404120398</v>
      </c>
      <c r="T115" s="16">
        <v>11828.894033845118</v>
      </c>
      <c r="U115" s="16">
        <v>11936.605743541208</v>
      </c>
      <c r="V115" s="16">
        <v>14099.049980453889</v>
      </c>
      <c r="W115" s="16">
        <v>15727.622488489673</v>
      </c>
      <c r="X115" s="16">
        <v>14561.719351304549</v>
      </c>
      <c r="Y115" s="16">
        <v>13157.305342968877</v>
      </c>
      <c r="Z115" s="16">
        <v>11330.00722396425</v>
      </c>
      <c r="AA115" s="16">
        <v>9569.921990243718</v>
      </c>
      <c r="AB115" s="6">
        <f t="shared" si="3"/>
        <v>1215165.3105347222</v>
      </c>
      <c r="AC115" s="92">
        <f>+AB115+AB116+AB117</f>
        <v>7278300.6260397146</v>
      </c>
    </row>
    <row r="116" spans="1:29" ht="18.75" thickBot="1" x14ac:dyDescent="0.3">
      <c r="A116" s="96"/>
      <c r="B116" s="11" t="s">
        <v>29</v>
      </c>
      <c r="C116" s="11">
        <v>4</v>
      </c>
      <c r="D116" s="16">
        <v>7878.6906368198324</v>
      </c>
      <c r="E116" s="16">
        <v>6666.2963574250061</v>
      </c>
      <c r="F116" s="16">
        <v>5765.9566898376615</v>
      </c>
      <c r="G116" s="16">
        <v>5266.6634321494857</v>
      </c>
      <c r="H116" s="16">
        <v>5064.8666569507841</v>
      </c>
      <c r="I116" s="16">
        <v>5249.3605131501463</v>
      </c>
      <c r="J116" s="16">
        <v>5314.8604388472595</v>
      </c>
      <c r="K116" s="16">
        <v>7320.9925523154088</v>
      </c>
      <c r="L116" s="16">
        <v>9376.2156549403189</v>
      </c>
      <c r="M116" s="16">
        <v>10380.156942800626</v>
      </c>
      <c r="N116" s="16">
        <v>11074.178230031041</v>
      </c>
      <c r="O116" s="16">
        <v>12205.05387762684</v>
      </c>
      <c r="P116" s="16">
        <v>12730.453044854421</v>
      </c>
      <c r="Q116" s="16">
        <v>12169.706095002322</v>
      </c>
      <c r="R116" s="16">
        <v>11411.445782504481</v>
      </c>
      <c r="S116" s="16">
        <v>10740.547422526826</v>
      </c>
      <c r="T116" s="16">
        <v>10174.764979640429</v>
      </c>
      <c r="U116" s="16">
        <v>10064.109817494325</v>
      </c>
      <c r="V116" s="16">
        <v>12203.149350370102</v>
      </c>
      <c r="W116" s="16">
        <v>13730.83259307652</v>
      </c>
      <c r="X116" s="16">
        <v>12611.133753389218</v>
      </c>
      <c r="Y116" s="16">
        <v>10907.366373828376</v>
      </c>
      <c r="Z116" s="16">
        <v>9122.3783566215207</v>
      </c>
      <c r="AA116" s="16">
        <v>7212.2895559470962</v>
      </c>
      <c r="AB116" s="6">
        <f t="shared" si="3"/>
        <v>898565.8764326002</v>
      </c>
      <c r="AC116" s="93"/>
    </row>
    <row r="117" spans="1:29" ht="18.75" thickBot="1" x14ac:dyDescent="0.3">
      <c r="A117" s="97"/>
      <c r="B117" s="12" t="s">
        <v>30</v>
      </c>
      <c r="C117" s="12">
        <v>21</v>
      </c>
      <c r="D117" s="16">
        <v>5923.3213655701402</v>
      </c>
      <c r="E117" s="16">
        <v>4952.7280560354993</v>
      </c>
      <c r="F117" s="16">
        <v>4320.0321860860386</v>
      </c>
      <c r="G117" s="16">
        <v>3971.9934851671205</v>
      </c>
      <c r="H117" s="16">
        <v>4108.8050108891039</v>
      </c>
      <c r="I117" s="16">
        <v>4889.4776145454634</v>
      </c>
      <c r="J117" s="16">
        <v>6046.8778951352433</v>
      </c>
      <c r="K117" s="16">
        <v>8078.1655127546037</v>
      </c>
      <c r="L117" s="16">
        <v>10362.149018737873</v>
      </c>
      <c r="M117" s="16">
        <v>11603.38408673913</v>
      </c>
      <c r="N117" s="16">
        <v>12691.215458733928</v>
      </c>
      <c r="O117" s="16">
        <v>13799.56765862208</v>
      </c>
      <c r="P117" s="16">
        <v>14028.830349932963</v>
      </c>
      <c r="Q117" s="16">
        <v>14201.347566600794</v>
      </c>
      <c r="R117" s="16">
        <v>14272.102595535682</v>
      </c>
      <c r="S117" s="16">
        <v>14059.102321342234</v>
      </c>
      <c r="T117" s="16">
        <v>13630.912428157797</v>
      </c>
      <c r="U117" s="16">
        <v>13296.587765031283</v>
      </c>
      <c r="V117" s="16">
        <v>13938.341936459878</v>
      </c>
      <c r="W117" s="16">
        <v>14498.291644963119</v>
      </c>
      <c r="X117" s="16">
        <v>13671.463508536184</v>
      </c>
      <c r="Y117" s="16">
        <v>11818.108807822486</v>
      </c>
      <c r="Z117" s="16">
        <v>9646.6319469313821</v>
      </c>
      <c r="AA117" s="16">
        <v>8122.4398307361953</v>
      </c>
      <c r="AB117" s="6">
        <f t="shared" si="3"/>
        <v>5164569.4390723919</v>
      </c>
      <c r="AC117" s="94"/>
    </row>
    <row r="118" spans="1:29" ht="18.75" thickBot="1" x14ac:dyDescent="0.3">
      <c r="A118" s="95">
        <v>47300</v>
      </c>
      <c r="B118" s="9" t="s">
        <v>28</v>
      </c>
      <c r="C118" s="9">
        <v>4</v>
      </c>
      <c r="D118" s="16">
        <v>5698.2073150589567</v>
      </c>
      <c r="E118" s="16">
        <v>4871.1388368061198</v>
      </c>
      <c r="F118" s="16">
        <v>4378.3866228221268</v>
      </c>
      <c r="G118" s="16">
        <v>3906.5793827905654</v>
      </c>
      <c r="H118" s="16">
        <v>3777.3016858678602</v>
      </c>
      <c r="I118" s="16">
        <v>4009.1310420392547</v>
      </c>
      <c r="J118" s="16">
        <v>4508.245056632506</v>
      </c>
      <c r="K118" s="16">
        <v>6695.3264807804844</v>
      </c>
      <c r="L118" s="16">
        <v>9198.8144054592231</v>
      </c>
      <c r="M118" s="16">
        <v>10149.426056803139</v>
      </c>
      <c r="N118" s="16">
        <v>10718.283131701523</v>
      </c>
      <c r="O118" s="16">
        <v>12312.515155943482</v>
      </c>
      <c r="P118" s="16">
        <v>12814.207075745457</v>
      </c>
      <c r="Q118" s="16">
        <v>12685.811613258385</v>
      </c>
      <c r="R118" s="16">
        <v>12527.225926505995</v>
      </c>
      <c r="S118" s="16">
        <v>12419.140067299828</v>
      </c>
      <c r="T118" s="16">
        <v>12086.997013544449</v>
      </c>
      <c r="U118" s="16">
        <v>11889.31579575787</v>
      </c>
      <c r="V118" s="16">
        <v>12997.910138758252</v>
      </c>
      <c r="W118" s="16">
        <v>13964.070160293493</v>
      </c>
      <c r="X118" s="16">
        <v>13294.947951174563</v>
      </c>
      <c r="Y118" s="16">
        <v>11838.024790082447</v>
      </c>
      <c r="Z118" s="16">
        <v>10047.564402009837</v>
      </c>
      <c r="AA118" s="16">
        <v>8045.5539089445883</v>
      </c>
      <c r="AB118" s="6">
        <f t="shared" si="3"/>
        <v>899336.4960643216</v>
      </c>
      <c r="AC118" s="92">
        <f>+AB118+AB119+AB120</f>
        <v>7391065.4190664543</v>
      </c>
    </row>
    <row r="119" spans="1:29" ht="18.75" thickBot="1" x14ac:dyDescent="0.3">
      <c r="A119" s="96"/>
      <c r="B119" s="11" t="s">
        <v>29</v>
      </c>
      <c r="C119" s="11">
        <v>5</v>
      </c>
      <c r="D119" s="16">
        <v>6653.5498473902917</v>
      </c>
      <c r="E119" s="16">
        <v>5629.9575781792701</v>
      </c>
      <c r="F119" s="16">
        <v>4914.1497890168102</v>
      </c>
      <c r="G119" s="16">
        <v>4302.2756914872953</v>
      </c>
      <c r="H119" s="16">
        <v>4090.7822437519899</v>
      </c>
      <c r="I119" s="16">
        <v>4201.976158217647</v>
      </c>
      <c r="J119" s="16">
        <v>4570.1228755355405</v>
      </c>
      <c r="K119" s="16">
        <v>6059.5167155006784</v>
      </c>
      <c r="L119" s="16">
        <v>7918.2086291916821</v>
      </c>
      <c r="M119" s="16">
        <v>8374.044593075374</v>
      </c>
      <c r="N119" s="16">
        <v>9576.2792181351506</v>
      </c>
      <c r="O119" s="16">
        <v>11193.769046512873</v>
      </c>
      <c r="P119" s="16">
        <v>12104.935105911209</v>
      </c>
      <c r="Q119" s="16">
        <v>12029.283503055482</v>
      </c>
      <c r="R119" s="16">
        <v>11389.663537219942</v>
      </c>
      <c r="S119" s="16">
        <v>11250.610439933578</v>
      </c>
      <c r="T119" s="16">
        <v>10866.761568440153</v>
      </c>
      <c r="U119" s="16">
        <v>10489.236051559943</v>
      </c>
      <c r="V119" s="16">
        <v>11253.631485833583</v>
      </c>
      <c r="W119" s="16">
        <v>13648.847391746338</v>
      </c>
      <c r="X119" s="16">
        <v>13070.967648617454</v>
      </c>
      <c r="Y119" s="16">
        <v>11519.182027486309</v>
      </c>
      <c r="Z119" s="16">
        <v>9330.653819802832</v>
      </c>
      <c r="AA119" s="16">
        <v>7486.7089808065793</v>
      </c>
      <c r="AB119" s="6">
        <f t="shared" si="3"/>
        <v>1059625.5697320399</v>
      </c>
      <c r="AC119" s="93"/>
    </row>
    <row r="120" spans="1:29" ht="18.75" thickBot="1" x14ac:dyDescent="0.3">
      <c r="A120" s="97"/>
      <c r="B120" s="12" t="s">
        <v>30</v>
      </c>
      <c r="C120" s="12">
        <v>22</v>
      </c>
      <c r="D120" s="16">
        <v>6435.2439803002781</v>
      </c>
      <c r="E120" s="16">
        <v>5534.4104802884176</v>
      </c>
      <c r="F120" s="16">
        <v>4905.4786773085289</v>
      </c>
      <c r="G120" s="16">
        <v>4575.9716816300242</v>
      </c>
      <c r="H120" s="16">
        <v>4566.457485299019</v>
      </c>
      <c r="I120" s="16">
        <v>5460.7303564383001</v>
      </c>
      <c r="J120" s="16">
        <v>6589.1954729065619</v>
      </c>
      <c r="K120" s="16">
        <v>8196.6910138767671</v>
      </c>
      <c r="L120" s="16">
        <v>10155.831757989119</v>
      </c>
      <c r="M120" s="16">
        <v>10909.514395816965</v>
      </c>
      <c r="N120" s="16">
        <v>11851.873794462186</v>
      </c>
      <c r="O120" s="16">
        <v>13147.752660551178</v>
      </c>
      <c r="P120" s="16">
        <v>13018.222909215019</v>
      </c>
      <c r="Q120" s="16">
        <v>13480.141434368252</v>
      </c>
      <c r="R120" s="16">
        <v>14260.026118216887</v>
      </c>
      <c r="S120" s="16">
        <v>14309.626203883035</v>
      </c>
      <c r="T120" s="16">
        <v>13623.290393878939</v>
      </c>
      <c r="U120" s="16">
        <v>13086.600828740571</v>
      </c>
      <c r="V120" s="16">
        <v>13806.471400734878</v>
      </c>
      <c r="W120" s="16">
        <v>14904.843067756246</v>
      </c>
      <c r="X120" s="16">
        <v>14230.506983328822</v>
      </c>
      <c r="Y120" s="16">
        <v>12227.060615889408</v>
      </c>
      <c r="Z120" s="16">
        <v>9811.8176891655748</v>
      </c>
      <c r="AA120" s="16">
        <v>7826.029382959241</v>
      </c>
      <c r="AB120" s="6">
        <f t="shared" si="3"/>
        <v>5432103.353270093</v>
      </c>
      <c r="AC120" s="94"/>
    </row>
    <row r="121" spans="1:29" ht="18.75" thickBot="1" x14ac:dyDescent="0.3">
      <c r="A121" s="95">
        <v>47331</v>
      </c>
      <c r="B121" s="9" t="s">
        <v>28</v>
      </c>
      <c r="C121" s="9">
        <v>4</v>
      </c>
      <c r="D121" s="16">
        <v>6447.0638864164284</v>
      </c>
      <c r="E121" s="16">
        <v>4656.6488241800398</v>
      </c>
      <c r="F121" s="16">
        <v>4014.9752763856486</v>
      </c>
      <c r="G121" s="16">
        <v>3530.7694923465097</v>
      </c>
      <c r="H121" s="16">
        <v>3431.5116423269428</v>
      </c>
      <c r="I121" s="16">
        <v>3596.5414629514889</v>
      </c>
      <c r="J121" s="16">
        <v>4353.6078324156661</v>
      </c>
      <c r="K121" s="16">
        <v>6064.9676697641808</v>
      </c>
      <c r="L121" s="16">
        <v>8646.2401759996173</v>
      </c>
      <c r="M121" s="16">
        <v>9785.9081910718596</v>
      </c>
      <c r="N121" s="16">
        <v>11677.648033242971</v>
      </c>
      <c r="O121" s="16">
        <v>13055.581394285269</v>
      </c>
      <c r="P121" s="16">
        <v>13501.616796031791</v>
      </c>
      <c r="Q121" s="16">
        <v>13333.880589049568</v>
      </c>
      <c r="R121" s="16">
        <v>12835.372618870922</v>
      </c>
      <c r="S121" s="16">
        <v>12644.969618748793</v>
      </c>
      <c r="T121" s="16">
        <v>12285.863153035712</v>
      </c>
      <c r="U121" s="16">
        <v>11726.132072854442</v>
      </c>
      <c r="V121" s="16">
        <v>13498.085252497043</v>
      </c>
      <c r="W121" s="16">
        <v>14296.227009658051</v>
      </c>
      <c r="X121" s="16">
        <v>13549.36933622797</v>
      </c>
      <c r="Y121" s="16">
        <v>11763.850314228108</v>
      </c>
      <c r="Z121" s="16">
        <v>9434.0392096398173</v>
      </c>
      <c r="AA121" s="16">
        <v>7723.9163006624149</v>
      </c>
      <c r="AB121" s="6">
        <f t="shared" si="3"/>
        <v>903419.14461156516</v>
      </c>
      <c r="AC121" s="92">
        <f>+AB121+AB122+AB123</f>
        <v>7218033.0650974112</v>
      </c>
    </row>
    <row r="122" spans="1:29" ht="18.75" thickBot="1" x14ac:dyDescent="0.3">
      <c r="A122" s="96"/>
      <c r="B122" s="11" t="s">
        <v>29</v>
      </c>
      <c r="C122" s="11">
        <v>4</v>
      </c>
      <c r="D122" s="16">
        <v>6350.1253347637139</v>
      </c>
      <c r="E122" s="16">
        <v>5532.0570813893828</v>
      </c>
      <c r="F122" s="16">
        <v>4735.2648264609415</v>
      </c>
      <c r="G122" s="16">
        <v>4095.3977661850295</v>
      </c>
      <c r="H122" s="16">
        <v>3677.0151646304803</v>
      </c>
      <c r="I122" s="16">
        <v>3770.6948414046747</v>
      </c>
      <c r="J122" s="16">
        <v>4234.4022632416672</v>
      </c>
      <c r="K122" s="16">
        <v>5982.4101982276516</v>
      </c>
      <c r="L122" s="16">
        <v>8139.4787885771548</v>
      </c>
      <c r="M122" s="16">
        <v>9559.2981613923657</v>
      </c>
      <c r="N122" s="16">
        <v>10392.400100321494</v>
      </c>
      <c r="O122" s="16">
        <v>11618.789666383222</v>
      </c>
      <c r="P122" s="16">
        <v>12365.619196347954</v>
      </c>
      <c r="Q122" s="16">
        <v>12282.593666686655</v>
      </c>
      <c r="R122" s="16">
        <v>11532.009752305734</v>
      </c>
      <c r="S122" s="16">
        <v>11051.198254736639</v>
      </c>
      <c r="T122" s="16">
        <v>10720.476780683239</v>
      </c>
      <c r="U122" s="16">
        <v>10432.572590285283</v>
      </c>
      <c r="V122" s="16">
        <v>11521.142222361177</v>
      </c>
      <c r="W122" s="16">
        <v>13300.206010006565</v>
      </c>
      <c r="X122" s="16">
        <v>12731.325074004439</v>
      </c>
      <c r="Y122" s="16">
        <v>11097.039807497862</v>
      </c>
      <c r="Z122" s="16">
        <v>9056.5820510895755</v>
      </c>
      <c r="AA122" s="16">
        <v>7241.3031599418428</v>
      </c>
      <c r="AB122" s="6">
        <f t="shared" si="3"/>
        <v>845677.61103569902</v>
      </c>
      <c r="AC122" s="93"/>
    </row>
    <row r="123" spans="1:29" ht="18.75" thickBot="1" x14ac:dyDescent="0.3">
      <c r="A123" s="97"/>
      <c r="B123" s="12" t="s">
        <v>30</v>
      </c>
      <c r="C123" s="12">
        <v>23</v>
      </c>
      <c r="D123" s="16">
        <v>6396.6876540569683</v>
      </c>
      <c r="E123" s="16">
        <v>5528.2605060576716</v>
      </c>
      <c r="F123" s="16">
        <v>4935.5602789405966</v>
      </c>
      <c r="G123" s="16">
        <v>4532.0321577860632</v>
      </c>
      <c r="H123" s="16">
        <v>4408.3622676772393</v>
      </c>
      <c r="I123" s="16">
        <v>5289.9626943299008</v>
      </c>
      <c r="J123" s="16">
        <v>6501.748375817795</v>
      </c>
      <c r="K123" s="16">
        <v>7977.7896021476554</v>
      </c>
      <c r="L123" s="16">
        <v>9974.3580614086204</v>
      </c>
      <c r="M123" s="16">
        <v>11405.632662374101</v>
      </c>
      <c r="N123" s="16">
        <v>12175.400877093645</v>
      </c>
      <c r="O123" s="16">
        <v>12313.020844351915</v>
      </c>
      <c r="P123" s="16">
        <v>11558.472865810683</v>
      </c>
      <c r="Q123" s="16">
        <v>11993.228031540762</v>
      </c>
      <c r="R123" s="16">
        <v>12387.430746242135</v>
      </c>
      <c r="S123" s="16">
        <v>12454.177199511894</v>
      </c>
      <c r="T123" s="16">
        <v>13702.808541393235</v>
      </c>
      <c r="U123" s="16">
        <v>13116.777392830543</v>
      </c>
      <c r="V123" s="16">
        <v>13362.759900402416</v>
      </c>
      <c r="W123" s="16">
        <v>14092.567611743685</v>
      </c>
      <c r="X123" s="16">
        <v>13546.99202686995</v>
      </c>
      <c r="Y123" s="16">
        <v>12169.658177489728</v>
      </c>
      <c r="Z123" s="16">
        <v>10029.022918375347</v>
      </c>
      <c r="AA123" s="16">
        <v>7927.1281470581343</v>
      </c>
      <c r="AB123" s="6">
        <f t="shared" si="3"/>
        <v>5468936.3094501467</v>
      </c>
      <c r="AC123" s="94"/>
    </row>
    <row r="124" spans="1:29" ht="18.75" thickBot="1" x14ac:dyDescent="0.3">
      <c r="A124" s="95">
        <v>47362</v>
      </c>
      <c r="B124" s="9" t="s">
        <v>28</v>
      </c>
      <c r="C124" s="9">
        <v>5</v>
      </c>
      <c r="D124" s="16">
        <v>5944.7895987845222</v>
      </c>
      <c r="E124" s="16">
        <v>5593.0295436311826</v>
      </c>
      <c r="F124" s="16">
        <v>4977.2640514630584</v>
      </c>
      <c r="G124" s="16">
        <v>4631.7109410775774</v>
      </c>
      <c r="H124" s="16">
        <v>4586.874653962328</v>
      </c>
      <c r="I124" s="16">
        <v>4744.6996849172101</v>
      </c>
      <c r="J124" s="16">
        <v>5462.2428174130073</v>
      </c>
      <c r="K124" s="16">
        <v>7709.7663433218586</v>
      </c>
      <c r="L124" s="16">
        <v>10208.18046877364</v>
      </c>
      <c r="M124" s="16">
        <v>11791.820966364721</v>
      </c>
      <c r="N124" s="16">
        <v>12972.790239573998</v>
      </c>
      <c r="O124" s="16">
        <v>14229.559413077619</v>
      </c>
      <c r="P124" s="16">
        <v>14678.976753734005</v>
      </c>
      <c r="Q124" s="16">
        <v>14528.073837615164</v>
      </c>
      <c r="R124" s="16">
        <v>14032.972977120713</v>
      </c>
      <c r="S124" s="16">
        <v>13339.451025636496</v>
      </c>
      <c r="T124" s="16">
        <v>12752.855126277573</v>
      </c>
      <c r="U124" s="16">
        <v>12518.677563612018</v>
      </c>
      <c r="V124" s="16">
        <v>14183.869798040112</v>
      </c>
      <c r="W124" s="16">
        <v>14818.008253067717</v>
      </c>
      <c r="X124" s="16">
        <v>14019.904869511261</v>
      </c>
      <c r="Y124" s="16">
        <v>12481.882876297495</v>
      </c>
      <c r="Z124" s="16">
        <v>10699.065482985505</v>
      </c>
      <c r="AA124" s="16">
        <v>8800.4555540893234</v>
      </c>
      <c r="AB124" s="6">
        <f t="shared" si="3"/>
        <v>1248534.6142017404</v>
      </c>
      <c r="AC124" s="92">
        <f>+AB124+AB125+AB126</f>
        <v>7435131.7182565071</v>
      </c>
    </row>
    <row r="125" spans="1:29" ht="18.75" thickBot="1" x14ac:dyDescent="0.3">
      <c r="A125" s="96"/>
      <c r="B125" s="11" t="s">
        <v>29</v>
      </c>
      <c r="C125" s="11">
        <v>5</v>
      </c>
      <c r="D125" s="16">
        <v>7375.4629393781543</v>
      </c>
      <c r="E125" s="16">
        <v>6373.4609122642942</v>
      </c>
      <c r="F125" s="16">
        <v>5637.3233579958505</v>
      </c>
      <c r="G125" s="16">
        <v>5197.7517961757949</v>
      </c>
      <c r="H125" s="16">
        <v>4873.5115665152953</v>
      </c>
      <c r="I125" s="16">
        <v>4835.2601265334815</v>
      </c>
      <c r="J125" s="16">
        <v>5018.175030135917</v>
      </c>
      <c r="K125" s="16">
        <v>6513.6504994924981</v>
      </c>
      <c r="L125" s="16">
        <v>8462.8668376449132</v>
      </c>
      <c r="M125" s="16">
        <v>9531.1318096553041</v>
      </c>
      <c r="N125" s="16">
        <v>10461.484767296672</v>
      </c>
      <c r="O125" s="16">
        <v>11818.186767429364</v>
      </c>
      <c r="P125" s="16">
        <v>12459.881238035265</v>
      </c>
      <c r="Q125" s="16">
        <v>12003.04807138781</v>
      </c>
      <c r="R125" s="16">
        <v>10973.398219592767</v>
      </c>
      <c r="S125" s="16">
        <v>10502.310413177303</v>
      </c>
      <c r="T125" s="16">
        <v>10075.057249434991</v>
      </c>
      <c r="U125" s="16">
        <v>10245.184424602441</v>
      </c>
      <c r="V125" s="16">
        <v>12437.916170969693</v>
      </c>
      <c r="W125" s="16">
        <v>13265.311051324246</v>
      </c>
      <c r="X125" s="16">
        <v>12736.877576799852</v>
      </c>
      <c r="Y125" s="16">
        <v>11483.308383004704</v>
      </c>
      <c r="Z125" s="16">
        <v>9420.6969543830019</v>
      </c>
      <c r="AA125" s="16">
        <v>7609.0025378351565</v>
      </c>
      <c r="AB125" s="6">
        <f t="shared" si="3"/>
        <v>1096551.2935053238</v>
      </c>
      <c r="AC125" s="93"/>
    </row>
    <row r="126" spans="1:29" ht="18.75" thickBot="1" x14ac:dyDescent="0.3">
      <c r="A126" s="97"/>
      <c r="B126" s="12" t="s">
        <v>30</v>
      </c>
      <c r="C126" s="12">
        <v>20</v>
      </c>
      <c r="D126" s="16">
        <v>6279.6020442333684</v>
      </c>
      <c r="E126" s="16">
        <v>5543.709036754768</v>
      </c>
      <c r="F126" s="16">
        <v>4991.1566733246618</v>
      </c>
      <c r="G126" s="16">
        <v>4476.2482616650523</v>
      </c>
      <c r="H126" s="16">
        <v>4583.7254675825643</v>
      </c>
      <c r="I126" s="16">
        <v>5591.4761912878457</v>
      </c>
      <c r="J126" s="16">
        <v>6921.4716132960457</v>
      </c>
      <c r="K126" s="16">
        <v>8395.1175875989502</v>
      </c>
      <c r="L126" s="16">
        <v>10540.737505724923</v>
      </c>
      <c r="M126" s="16">
        <v>11670.050148343344</v>
      </c>
      <c r="N126" s="16">
        <v>12587.176707892708</v>
      </c>
      <c r="O126" s="16">
        <v>13807.898502474312</v>
      </c>
      <c r="P126" s="16">
        <v>14017.60291585431</v>
      </c>
      <c r="Q126" s="16">
        <v>14200.064742964685</v>
      </c>
      <c r="R126" s="16">
        <v>14603.195693147038</v>
      </c>
      <c r="S126" s="16">
        <v>14446.914409978788</v>
      </c>
      <c r="T126" s="16">
        <v>14176.610784907491</v>
      </c>
      <c r="U126" s="16">
        <v>13640.369544597448</v>
      </c>
      <c r="V126" s="16">
        <v>14855.019042908018</v>
      </c>
      <c r="W126" s="16">
        <v>15220.673012844058</v>
      </c>
      <c r="X126" s="16">
        <v>14267.116739134792</v>
      </c>
      <c r="Y126" s="16">
        <v>12325.84299996787</v>
      </c>
      <c r="Z126" s="16">
        <v>9723.5881015278719</v>
      </c>
      <c r="AA126" s="16">
        <v>7636.9227994612083</v>
      </c>
      <c r="AB126" s="6">
        <f t="shared" si="3"/>
        <v>5090045.8105494427</v>
      </c>
      <c r="AC126" s="94"/>
    </row>
    <row r="127" spans="1:29" ht="18.75" thickBot="1" x14ac:dyDescent="0.3">
      <c r="A127" s="95">
        <v>47392</v>
      </c>
      <c r="B127" s="9" t="s">
        <v>28</v>
      </c>
      <c r="C127" s="9">
        <v>4</v>
      </c>
      <c r="D127" s="16">
        <v>6137.4483663008214</v>
      </c>
      <c r="E127" s="16">
        <v>5324.9785798801531</v>
      </c>
      <c r="F127" s="16">
        <v>4802.6635399750085</v>
      </c>
      <c r="G127" s="16">
        <v>4327.7387861556635</v>
      </c>
      <c r="H127" s="16">
        <v>4101.1218565686613</v>
      </c>
      <c r="I127" s="16">
        <v>4246.4111104106923</v>
      </c>
      <c r="J127" s="16">
        <v>4672.6601016808709</v>
      </c>
      <c r="K127" s="16">
        <v>6788.4164859439406</v>
      </c>
      <c r="L127" s="16">
        <v>9381.0663900294057</v>
      </c>
      <c r="M127" s="16">
        <v>11313.368656933024</v>
      </c>
      <c r="N127" s="16">
        <v>12686.310236514648</v>
      </c>
      <c r="O127" s="16">
        <v>14146.96632285013</v>
      </c>
      <c r="P127" s="16">
        <v>14512.666128590867</v>
      </c>
      <c r="Q127" s="16">
        <v>14099.158358292021</v>
      </c>
      <c r="R127" s="16">
        <v>13644.458569334081</v>
      </c>
      <c r="S127" s="16">
        <v>13025.712519022047</v>
      </c>
      <c r="T127" s="16">
        <v>12501.868694805577</v>
      </c>
      <c r="U127" s="16">
        <v>12480.678608813934</v>
      </c>
      <c r="V127" s="16">
        <v>13779.537003823509</v>
      </c>
      <c r="W127" s="16">
        <v>13931.957205176073</v>
      </c>
      <c r="X127" s="16">
        <v>13382.908715476678</v>
      </c>
      <c r="Y127" s="16">
        <v>12065.137190419257</v>
      </c>
      <c r="Z127" s="16">
        <v>10228.181186433729</v>
      </c>
      <c r="AA127" s="16">
        <v>8402.0300784628853</v>
      </c>
      <c r="AB127" s="6">
        <f t="shared" si="3"/>
        <v>959933.77876757458</v>
      </c>
      <c r="AC127" s="92">
        <f>+AB127+AB128+AB129</f>
        <v>7534835.619209121</v>
      </c>
    </row>
    <row r="128" spans="1:29" ht="18.75" thickBot="1" x14ac:dyDescent="0.3">
      <c r="A128" s="96"/>
      <c r="B128" s="11" t="s">
        <v>29</v>
      </c>
      <c r="C128" s="11">
        <v>4</v>
      </c>
      <c r="D128" s="16">
        <v>6659.0229393220179</v>
      </c>
      <c r="E128" s="16">
        <v>5716.6040533599225</v>
      </c>
      <c r="F128" s="16">
        <v>5019.410281196564</v>
      </c>
      <c r="G128" s="16">
        <v>4626.954722442184</v>
      </c>
      <c r="H128" s="16">
        <v>4440.9523608884592</v>
      </c>
      <c r="I128" s="16">
        <v>4499.6382138156514</v>
      </c>
      <c r="J128" s="16">
        <v>4648.7080661018408</v>
      </c>
      <c r="K128" s="16">
        <v>6206.6568781390597</v>
      </c>
      <c r="L128" s="16">
        <v>7987.5519153637724</v>
      </c>
      <c r="M128" s="16">
        <v>9318.3809615948849</v>
      </c>
      <c r="N128" s="16">
        <v>10031.623319409475</v>
      </c>
      <c r="O128" s="16">
        <v>11672.178389932691</v>
      </c>
      <c r="P128" s="16">
        <v>12545.689249248757</v>
      </c>
      <c r="Q128" s="16">
        <v>12294.365218727908</v>
      </c>
      <c r="R128" s="16">
        <v>11173.655207940006</v>
      </c>
      <c r="S128" s="16">
        <v>9833.6421014746775</v>
      </c>
      <c r="T128" s="16">
        <v>10038.632207482959</v>
      </c>
      <c r="U128" s="16">
        <v>10571.701859780864</v>
      </c>
      <c r="V128" s="16">
        <v>12670.201229414521</v>
      </c>
      <c r="W128" s="16">
        <v>13097.993197953827</v>
      </c>
      <c r="X128" s="16">
        <v>12037.281280419749</v>
      </c>
      <c r="Y128" s="16">
        <v>10379.504880418164</v>
      </c>
      <c r="Z128" s="16">
        <v>8350.4471926437182</v>
      </c>
      <c r="AA128" s="16">
        <v>6679.055285470462</v>
      </c>
      <c r="AB128" s="6">
        <f t="shared" si="3"/>
        <v>841999.40405016846</v>
      </c>
      <c r="AC128" s="93"/>
    </row>
    <row r="129" spans="1:33" ht="18.75" thickBot="1" x14ac:dyDescent="0.3">
      <c r="A129" s="97"/>
      <c r="B129" s="12" t="s">
        <v>30</v>
      </c>
      <c r="C129" s="12">
        <v>23</v>
      </c>
      <c r="D129" s="16">
        <v>6246.8637212028807</v>
      </c>
      <c r="E129" s="16">
        <v>5441.9788726181505</v>
      </c>
      <c r="F129" s="16">
        <v>4854.1839767798701</v>
      </c>
      <c r="G129" s="16">
        <v>4249.7553030512099</v>
      </c>
      <c r="H129" s="16">
        <v>4447.0064499828331</v>
      </c>
      <c r="I129" s="16">
        <v>5250.6154069588156</v>
      </c>
      <c r="J129" s="16">
        <v>6369.1004780716321</v>
      </c>
      <c r="K129" s="16">
        <v>8146.6637461020109</v>
      </c>
      <c r="L129" s="16">
        <v>10106.964110636865</v>
      </c>
      <c r="M129" s="16">
        <v>11310.211737605772</v>
      </c>
      <c r="N129" s="16">
        <v>12080.786124497805</v>
      </c>
      <c r="O129" s="16">
        <v>12998.313659128456</v>
      </c>
      <c r="P129" s="16">
        <v>13747.331339339751</v>
      </c>
      <c r="Q129" s="16">
        <v>13760.902387531933</v>
      </c>
      <c r="R129" s="16">
        <v>14214.415682082825</v>
      </c>
      <c r="S129" s="16">
        <v>14392.157226090854</v>
      </c>
      <c r="T129" s="16">
        <v>14240.778824705456</v>
      </c>
      <c r="U129" s="16">
        <v>13521.607275825114</v>
      </c>
      <c r="V129" s="16">
        <v>15085.744217462037</v>
      </c>
      <c r="W129" s="16">
        <v>14997.035282041743</v>
      </c>
      <c r="X129" s="16">
        <v>14126.619151092364</v>
      </c>
      <c r="Y129" s="16">
        <v>12125.8629584626</v>
      </c>
      <c r="Z129" s="16">
        <v>9767.3410078250454</v>
      </c>
      <c r="AA129" s="16">
        <v>7774.3887300943752</v>
      </c>
      <c r="AB129" s="6">
        <f t="shared" si="3"/>
        <v>5732902.4363913778</v>
      </c>
      <c r="AC129" s="94"/>
    </row>
    <row r="130" spans="1:33" ht="18.75" thickBot="1" x14ac:dyDescent="0.3">
      <c r="A130" s="95">
        <v>47423</v>
      </c>
      <c r="B130" s="9" t="s">
        <v>28</v>
      </c>
      <c r="C130" s="9">
        <v>4</v>
      </c>
      <c r="D130" s="16">
        <v>5854.278379149051</v>
      </c>
      <c r="E130" s="16">
        <v>5577.2847841581461</v>
      </c>
      <c r="F130" s="16">
        <v>4883.1037846295949</v>
      </c>
      <c r="G130" s="16">
        <v>4323.0151424232354</v>
      </c>
      <c r="H130" s="16">
        <v>4315.2109970931997</v>
      </c>
      <c r="I130" s="16">
        <v>4545.0096400008806</v>
      </c>
      <c r="J130" s="16">
        <v>5132.3689655870076</v>
      </c>
      <c r="K130" s="16">
        <v>7221.0085469221667</v>
      </c>
      <c r="L130" s="16">
        <v>9968.7754001345565</v>
      </c>
      <c r="M130" s="16">
        <v>11640.032797930489</v>
      </c>
      <c r="N130" s="16">
        <v>12707.610012966084</v>
      </c>
      <c r="O130" s="16">
        <v>13801.274628946849</v>
      </c>
      <c r="P130" s="16">
        <v>14301.975153570958</v>
      </c>
      <c r="Q130" s="16">
        <v>13990.74427957704</v>
      </c>
      <c r="R130" s="16">
        <v>13519.479731566957</v>
      </c>
      <c r="S130" s="16">
        <v>12916.505622687349</v>
      </c>
      <c r="T130" s="16">
        <v>12374.919362472909</v>
      </c>
      <c r="U130" s="16">
        <v>12675.260467120072</v>
      </c>
      <c r="V130" s="16">
        <v>14434.955647425795</v>
      </c>
      <c r="W130" s="16">
        <v>14485.971514256711</v>
      </c>
      <c r="X130" s="16">
        <v>13746.850129588249</v>
      </c>
      <c r="Y130" s="16">
        <v>12196.573215991364</v>
      </c>
      <c r="Z130" s="16">
        <v>10351.456081383658</v>
      </c>
      <c r="AA130" s="16">
        <v>8501.5425138620121</v>
      </c>
      <c r="AB130" s="6">
        <f t="shared" si="3"/>
        <v>973860.82719777734</v>
      </c>
      <c r="AC130" s="92">
        <f>+AB130+AB131+AB132</f>
        <v>7339145.1221487578</v>
      </c>
    </row>
    <row r="131" spans="1:33" ht="18.75" thickBot="1" x14ac:dyDescent="0.3">
      <c r="A131" s="96"/>
      <c r="B131" s="11" t="s">
        <v>29</v>
      </c>
      <c r="C131" s="11">
        <v>4</v>
      </c>
      <c r="D131" s="16">
        <v>6838.421081338096</v>
      </c>
      <c r="E131" s="16">
        <v>5929.2993666463299</v>
      </c>
      <c r="F131" s="16">
        <v>5389.3163231187136</v>
      </c>
      <c r="G131" s="16">
        <v>4941.8266391695324</v>
      </c>
      <c r="H131" s="16">
        <v>4769.7904048201854</v>
      </c>
      <c r="I131" s="16">
        <v>4836.03613453668</v>
      </c>
      <c r="J131" s="16">
        <v>5191.1785431586068</v>
      </c>
      <c r="K131" s="16">
        <v>6735.8977625770167</v>
      </c>
      <c r="L131" s="16">
        <v>8773.2038018048552</v>
      </c>
      <c r="M131" s="16">
        <v>10038.536890829597</v>
      </c>
      <c r="N131" s="16">
        <v>10754.667396918529</v>
      </c>
      <c r="O131" s="16">
        <v>11689.401390919462</v>
      </c>
      <c r="P131" s="16">
        <v>12197.382708246747</v>
      </c>
      <c r="Q131" s="16">
        <v>11806.462411471206</v>
      </c>
      <c r="R131" s="16">
        <v>10999.227505588915</v>
      </c>
      <c r="S131" s="16">
        <v>10397.046193621722</v>
      </c>
      <c r="T131" s="16">
        <v>10168.350138990852</v>
      </c>
      <c r="U131" s="16">
        <v>10379.736369254966</v>
      </c>
      <c r="V131" s="16">
        <v>12766.339128259646</v>
      </c>
      <c r="W131" s="16">
        <v>13347.393874948149</v>
      </c>
      <c r="X131" s="16">
        <v>12466.206715399883</v>
      </c>
      <c r="Y131" s="16">
        <v>10938.193273563549</v>
      </c>
      <c r="Z131" s="16">
        <v>9148.9197424688427</v>
      </c>
      <c r="AA131" s="16">
        <v>7525.2385070878117</v>
      </c>
      <c r="AB131" s="6">
        <f t="shared" si="3"/>
        <v>872112.28921895963</v>
      </c>
      <c r="AC131" s="93"/>
    </row>
    <row r="132" spans="1:33" ht="18.75" thickBot="1" x14ac:dyDescent="0.3">
      <c r="A132" s="97"/>
      <c r="B132" s="12" t="s">
        <v>30</v>
      </c>
      <c r="C132" s="12">
        <v>22</v>
      </c>
      <c r="D132" s="16">
        <v>6201.8363485171249</v>
      </c>
      <c r="E132" s="16">
        <v>5388.4423940534216</v>
      </c>
      <c r="F132" s="16">
        <v>4865.8845994860712</v>
      </c>
      <c r="G132" s="16">
        <v>4521.7808914303132</v>
      </c>
      <c r="H132" s="16">
        <v>4498.9223131382096</v>
      </c>
      <c r="I132" s="16">
        <v>5272.1854809936485</v>
      </c>
      <c r="J132" s="16">
        <v>6537.3517454105568</v>
      </c>
      <c r="K132" s="16">
        <v>8400.3899007957225</v>
      </c>
      <c r="L132" s="16">
        <v>10403.378572326576</v>
      </c>
      <c r="M132" s="16">
        <v>11483.642302823067</v>
      </c>
      <c r="N132" s="16">
        <v>12548.268706160161</v>
      </c>
      <c r="O132" s="16">
        <v>13668.825088222256</v>
      </c>
      <c r="P132" s="16">
        <v>14026.512377251744</v>
      </c>
      <c r="Q132" s="16">
        <v>13896.164195357644</v>
      </c>
      <c r="R132" s="16">
        <v>14248.579375902194</v>
      </c>
      <c r="S132" s="16">
        <v>13859.389739508108</v>
      </c>
      <c r="T132" s="16">
        <v>13329.072346289791</v>
      </c>
      <c r="U132" s="16">
        <v>13104.264464420336</v>
      </c>
      <c r="V132" s="16">
        <v>14795.628375531844</v>
      </c>
      <c r="W132" s="16">
        <v>14567.010580321246</v>
      </c>
      <c r="X132" s="16">
        <v>13968.985841942031</v>
      </c>
      <c r="Y132" s="16">
        <v>12316.675120647633</v>
      </c>
      <c r="Z132" s="16">
        <v>9926.7926800283713</v>
      </c>
      <c r="AA132" s="16">
        <v>7859.653183624745</v>
      </c>
      <c r="AB132" s="6">
        <f t="shared" si="3"/>
        <v>5493172.0057320204</v>
      </c>
      <c r="AC132" s="94"/>
    </row>
    <row r="133" spans="1:33" ht="18.75" thickBot="1" x14ac:dyDescent="0.3">
      <c r="A133" s="95">
        <v>47453</v>
      </c>
      <c r="B133" s="9" t="s">
        <v>28</v>
      </c>
      <c r="C133" s="9">
        <v>5</v>
      </c>
      <c r="D133" s="16">
        <v>7268.4588685161943</v>
      </c>
      <c r="E133" s="16">
        <v>6248.8058536610297</v>
      </c>
      <c r="F133" s="16">
        <v>5715.8829424677169</v>
      </c>
      <c r="G133" s="16">
        <v>5364.070807208278</v>
      </c>
      <c r="H133" s="16">
        <v>5266.5029531470936</v>
      </c>
      <c r="I133" s="16">
        <v>5646.6917790506814</v>
      </c>
      <c r="J133" s="16">
        <v>6138.689913605951</v>
      </c>
      <c r="K133" s="16">
        <v>8015.3406381547939</v>
      </c>
      <c r="L133" s="16">
        <v>10542.43691423101</v>
      </c>
      <c r="M133" s="16">
        <v>11942.781250375483</v>
      </c>
      <c r="N133" s="16">
        <v>12888.616467469456</v>
      </c>
      <c r="O133" s="16">
        <v>13835.031801187604</v>
      </c>
      <c r="P133" s="16">
        <v>14153.242110857042</v>
      </c>
      <c r="Q133" s="16">
        <v>14089.911350942602</v>
      </c>
      <c r="R133" s="16">
        <v>13565.455282732299</v>
      </c>
      <c r="S133" s="16">
        <v>13133.158093862086</v>
      </c>
      <c r="T133" s="16">
        <v>12764.334651398178</v>
      </c>
      <c r="U133" s="16">
        <v>12702.586956215186</v>
      </c>
      <c r="V133" s="16">
        <v>14650.728884036031</v>
      </c>
      <c r="W133" s="16">
        <v>14925.644926630677</v>
      </c>
      <c r="X133" s="16">
        <v>14185.105629238707</v>
      </c>
      <c r="Y133" s="16">
        <v>12925.805211341292</v>
      </c>
      <c r="Z133" s="16">
        <v>11151.408212458715</v>
      </c>
      <c r="AA133" s="16">
        <v>9549.354874894063</v>
      </c>
      <c r="AB133" s="6">
        <f t="shared" si="3"/>
        <v>1283350.2318684109</v>
      </c>
      <c r="AC133" s="92">
        <f>+AB133+AB134+AB135</f>
        <v>8079860.793975383</v>
      </c>
    </row>
    <row r="134" spans="1:33" ht="18.75" thickBot="1" x14ac:dyDescent="0.3">
      <c r="A134" s="96"/>
      <c r="B134" s="11" t="s">
        <v>29</v>
      </c>
      <c r="C134" s="11">
        <v>5</v>
      </c>
      <c r="D134" s="16">
        <v>8271.6507337165713</v>
      </c>
      <c r="E134" s="16">
        <v>7354.0342412376267</v>
      </c>
      <c r="F134" s="16">
        <v>6713.2355116952494</v>
      </c>
      <c r="G134" s="16">
        <v>6205.2453593561368</v>
      </c>
      <c r="H134" s="16">
        <v>5981.4115814269171</v>
      </c>
      <c r="I134" s="16">
        <v>6097.3286877236751</v>
      </c>
      <c r="J134" s="16">
        <v>6127.1284344059823</v>
      </c>
      <c r="K134" s="16">
        <v>7539.5272127033641</v>
      </c>
      <c r="L134" s="16">
        <v>9319.6572890219686</v>
      </c>
      <c r="M134" s="16">
        <v>10814.398583548355</v>
      </c>
      <c r="N134" s="16">
        <v>11558.580632042795</v>
      </c>
      <c r="O134" s="16">
        <v>12656.279759490233</v>
      </c>
      <c r="P134" s="16">
        <v>13204.1917403601</v>
      </c>
      <c r="Q134" s="16">
        <v>13220.305637106063</v>
      </c>
      <c r="R134" s="16">
        <v>12586.259955308393</v>
      </c>
      <c r="S134" s="16">
        <v>11926.23567060168</v>
      </c>
      <c r="T134" s="16">
        <v>11618.481077928409</v>
      </c>
      <c r="U134" s="16">
        <v>11502.143182812717</v>
      </c>
      <c r="V134" s="16">
        <v>13690.394836666197</v>
      </c>
      <c r="W134" s="16">
        <v>14374.28697130669</v>
      </c>
      <c r="X134" s="16">
        <v>13320.476526207389</v>
      </c>
      <c r="Y134" s="16">
        <v>11914.743641983485</v>
      </c>
      <c r="Z134" s="16">
        <v>10855.486092431907</v>
      </c>
      <c r="AA134" s="16">
        <v>9308.3096086717524</v>
      </c>
      <c r="AB134" s="6">
        <f t="shared" si="3"/>
        <v>1230798.9648387684</v>
      </c>
      <c r="AC134" s="93"/>
    </row>
    <row r="135" spans="1:33" ht="18.75" thickBot="1" x14ac:dyDescent="0.3">
      <c r="A135" s="97"/>
      <c r="B135" s="12" t="s">
        <v>30</v>
      </c>
      <c r="C135" s="12">
        <v>21</v>
      </c>
      <c r="D135" s="16">
        <v>7626.429538977256</v>
      </c>
      <c r="E135" s="16">
        <v>6670.275949735118</v>
      </c>
      <c r="F135" s="16">
        <v>6063.4475034910429</v>
      </c>
      <c r="G135" s="16">
        <v>5630.8847682787782</v>
      </c>
      <c r="H135" s="16">
        <v>5526.854411133565</v>
      </c>
      <c r="I135" s="16">
        <v>5950.0329526112218</v>
      </c>
      <c r="J135" s="16">
        <v>6795.9449293170037</v>
      </c>
      <c r="K135" s="16">
        <v>8828.0222623402733</v>
      </c>
      <c r="L135" s="16">
        <v>11247.515561638636</v>
      </c>
      <c r="M135" s="16">
        <v>12110.257145707528</v>
      </c>
      <c r="N135" s="16">
        <v>12635.740090376785</v>
      </c>
      <c r="O135" s="16">
        <v>13649.462570259544</v>
      </c>
      <c r="P135" s="16">
        <v>13738.039102994739</v>
      </c>
      <c r="Q135" s="16">
        <v>13842.732061488681</v>
      </c>
      <c r="R135" s="16">
        <v>13853.54378566868</v>
      </c>
      <c r="S135" s="16">
        <v>13888.976032894101</v>
      </c>
      <c r="T135" s="16">
        <v>13581.045771102235</v>
      </c>
      <c r="U135" s="16">
        <v>13385.256215906138</v>
      </c>
      <c r="V135" s="16">
        <v>15503.249560218548</v>
      </c>
      <c r="W135" s="16">
        <v>15709.083965103542</v>
      </c>
      <c r="X135" s="16">
        <v>14883.354677630123</v>
      </c>
      <c r="Y135" s="16">
        <v>13254.562671545893</v>
      </c>
      <c r="Z135" s="16">
        <v>11275.611337324623</v>
      </c>
      <c r="AA135" s="16">
        <v>9383.5627184561163</v>
      </c>
      <c r="AB135" s="6">
        <f t="shared" si="3"/>
        <v>5565711.5972682042</v>
      </c>
      <c r="AC135" s="94"/>
    </row>
    <row r="137" spans="1:33" ht="15.75" thickBot="1" x14ac:dyDescent="0.3"/>
    <row r="138" spans="1:33" ht="18.75" thickBot="1" x14ac:dyDescent="0.3">
      <c r="A138" s="1" t="s">
        <v>0</v>
      </c>
      <c r="B138" s="2" t="s">
        <v>1</v>
      </c>
      <c r="C138" s="2" t="s">
        <v>2</v>
      </c>
      <c r="D138" s="27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  <c r="J138" s="5" t="s">
        <v>9</v>
      </c>
      <c r="K138" s="5" t="s">
        <v>10</v>
      </c>
      <c r="L138" s="5" t="s">
        <v>11</v>
      </c>
      <c r="M138" s="5" t="s">
        <v>12</v>
      </c>
      <c r="N138" s="5" t="s">
        <v>13</v>
      </c>
      <c r="O138" s="5" t="s">
        <v>14</v>
      </c>
      <c r="P138" s="5" t="s">
        <v>15</v>
      </c>
      <c r="Q138" s="5" t="s">
        <v>16</v>
      </c>
      <c r="R138" s="5" t="s">
        <v>17</v>
      </c>
      <c r="S138" s="5" t="s">
        <v>18</v>
      </c>
      <c r="T138" s="5" t="s">
        <v>19</v>
      </c>
      <c r="U138" s="5" t="s">
        <v>20</v>
      </c>
      <c r="V138" s="5" t="s">
        <v>21</v>
      </c>
      <c r="W138" s="5" t="s">
        <v>22</v>
      </c>
      <c r="X138" s="5" t="s">
        <v>23</v>
      </c>
      <c r="Y138" s="5" t="s">
        <v>24</v>
      </c>
      <c r="Z138" s="5" t="s">
        <v>25</v>
      </c>
      <c r="AA138" s="5" t="s">
        <v>26</v>
      </c>
      <c r="AB138" s="109" t="s">
        <v>27</v>
      </c>
      <c r="AC138" s="110"/>
    </row>
    <row r="139" spans="1:33" ht="18.75" thickBot="1" x14ac:dyDescent="0.3">
      <c r="A139" s="95">
        <v>47484</v>
      </c>
      <c r="B139" s="9" t="s">
        <v>28</v>
      </c>
      <c r="C139" s="9">
        <v>4</v>
      </c>
      <c r="D139" s="16">
        <v>6281.2018591990964</v>
      </c>
      <c r="E139" s="16">
        <v>5413.8376549761924</v>
      </c>
      <c r="F139" s="16">
        <v>4876.5139041726761</v>
      </c>
      <c r="G139" s="16">
        <v>4377.9492493483158</v>
      </c>
      <c r="H139" s="16">
        <v>4314.1549582798289</v>
      </c>
      <c r="I139" s="16">
        <v>4496.4444787152279</v>
      </c>
      <c r="J139" s="16">
        <v>4862.9432504030992</v>
      </c>
      <c r="K139" s="16">
        <v>6601.4883405057662</v>
      </c>
      <c r="L139" s="16">
        <v>9218.5743200738725</v>
      </c>
      <c r="M139" s="16">
        <v>10814.603730165145</v>
      </c>
      <c r="N139" s="16">
        <v>11751.794777635812</v>
      </c>
      <c r="O139" s="16">
        <v>13104.05357937605</v>
      </c>
      <c r="P139" s="16">
        <v>13507.008598425382</v>
      </c>
      <c r="Q139" s="16">
        <v>13085.17104907375</v>
      </c>
      <c r="R139" s="16">
        <v>12524.323865313021</v>
      </c>
      <c r="S139" s="16">
        <v>12643.007547219691</v>
      </c>
      <c r="T139" s="16">
        <v>12227.649865965872</v>
      </c>
      <c r="U139" s="16">
        <v>11931.182957321751</v>
      </c>
      <c r="V139" s="16">
        <v>13345.871322397499</v>
      </c>
      <c r="W139" s="16">
        <v>14339.165312226112</v>
      </c>
      <c r="X139" s="16">
        <v>13714.921451546717</v>
      </c>
      <c r="Y139" s="16">
        <v>12272.839128274114</v>
      </c>
      <c r="Z139" s="16">
        <v>10278.679912514119</v>
      </c>
      <c r="AA139" s="16">
        <v>8398.1078764592094</v>
      </c>
      <c r="AB139" s="6">
        <f t="shared" ref="AB139:AB174" si="4">SUM(D139:AA139)*C139</f>
        <v>937525.95595835312</v>
      </c>
      <c r="AC139" s="92">
        <f>+AB139+AB140+AB141</f>
        <v>7387035.858426813</v>
      </c>
      <c r="AF139" s="67">
        <v>47484</v>
      </c>
      <c r="AG139" s="68">
        <f>AB139+AB140+AB141</f>
        <v>7387035.858426813</v>
      </c>
    </row>
    <row r="140" spans="1:33" ht="18.75" thickBot="1" x14ac:dyDescent="0.3">
      <c r="A140" s="96"/>
      <c r="B140" s="11" t="s">
        <v>29</v>
      </c>
      <c r="C140" s="11">
        <v>6</v>
      </c>
      <c r="D140" s="16">
        <v>6636.3548215702904</v>
      </c>
      <c r="E140" s="16">
        <v>5797.7493032772036</v>
      </c>
      <c r="F140" s="16">
        <v>5030.7433246498076</v>
      </c>
      <c r="G140" s="16">
        <v>4619.447382384762</v>
      </c>
      <c r="H140" s="16">
        <v>4250.7292886627365</v>
      </c>
      <c r="I140" s="16">
        <v>4214.318601255949</v>
      </c>
      <c r="J140" s="16">
        <v>4288.7828956468984</v>
      </c>
      <c r="K140" s="16">
        <v>5396.6228951356243</v>
      </c>
      <c r="L140" s="16">
        <v>7274.8886310611124</v>
      </c>
      <c r="M140" s="16">
        <v>8552.391140519132</v>
      </c>
      <c r="N140" s="16">
        <v>9201.5735539597772</v>
      </c>
      <c r="O140" s="16">
        <v>10273.682123547656</v>
      </c>
      <c r="P140" s="16">
        <v>10948.611433793711</v>
      </c>
      <c r="Q140" s="16">
        <v>10892.31589708195</v>
      </c>
      <c r="R140" s="16">
        <v>10003.402524604062</v>
      </c>
      <c r="S140" s="16">
        <v>9613.8179716447048</v>
      </c>
      <c r="T140" s="16">
        <v>9320.1260784211954</v>
      </c>
      <c r="U140" s="16">
        <v>9166.2963430009004</v>
      </c>
      <c r="V140" s="16">
        <v>11342.547652726073</v>
      </c>
      <c r="W140" s="16">
        <v>12763.90364813706</v>
      </c>
      <c r="X140" s="16">
        <v>12157.156880956703</v>
      </c>
      <c r="Y140" s="16">
        <v>10512.707593589908</v>
      </c>
      <c r="Z140" s="16">
        <v>8725.3615793181671</v>
      </c>
      <c r="AA140" s="16">
        <v>7021.1431538474571</v>
      </c>
      <c r="AB140" s="6">
        <f t="shared" si="4"/>
        <v>1188028.0483127569</v>
      </c>
      <c r="AC140" s="93"/>
      <c r="AF140" s="67">
        <v>47515</v>
      </c>
      <c r="AG140" s="68">
        <f>AC142</f>
        <v>6235177.3002697965</v>
      </c>
    </row>
    <row r="141" spans="1:33" ht="18.75" thickBot="1" x14ac:dyDescent="0.3">
      <c r="A141" s="97"/>
      <c r="B141" s="12" t="s">
        <v>30</v>
      </c>
      <c r="C141" s="12">
        <v>21</v>
      </c>
      <c r="D141" s="16">
        <v>6725.8738211545788</v>
      </c>
      <c r="E141" s="16">
        <v>5740.0976183044513</v>
      </c>
      <c r="F141" s="16">
        <v>5170.9125683812526</v>
      </c>
      <c r="G141" s="16">
        <v>4833.0999022625074</v>
      </c>
      <c r="H141" s="16">
        <v>4784.8895810555368</v>
      </c>
      <c r="I141" s="16">
        <v>5343.7867593106748</v>
      </c>
      <c r="J141" s="16">
        <v>6147.1783772312483</v>
      </c>
      <c r="K141" s="16">
        <v>7784.641015965517</v>
      </c>
      <c r="L141" s="16">
        <v>10272.999907603098</v>
      </c>
      <c r="M141" s="16">
        <v>11281.822741720363</v>
      </c>
      <c r="N141" s="16">
        <v>12190.656267537375</v>
      </c>
      <c r="O141" s="16">
        <v>13572.66719889424</v>
      </c>
      <c r="P141" s="16">
        <v>14013.851260337589</v>
      </c>
      <c r="Q141" s="16">
        <v>13963.5791046454</v>
      </c>
      <c r="R141" s="16">
        <v>13981.809003389299</v>
      </c>
      <c r="S141" s="16">
        <v>13876.617182170423</v>
      </c>
      <c r="T141" s="16">
        <v>13473.154790898679</v>
      </c>
      <c r="U141" s="16">
        <v>12992.611662125109</v>
      </c>
      <c r="V141" s="16">
        <v>13894.122066224481</v>
      </c>
      <c r="W141" s="16">
        <v>14851.507119835351</v>
      </c>
      <c r="X141" s="16">
        <v>14160.094770232776</v>
      </c>
      <c r="Y141" s="16">
        <v>12674.098666153342</v>
      </c>
      <c r="Z141" s="16">
        <v>10462.803467661393</v>
      </c>
      <c r="AA141" s="16">
        <v>8353.8801067007626</v>
      </c>
      <c r="AB141" s="6">
        <f t="shared" si="4"/>
        <v>5261481.8541557034</v>
      </c>
      <c r="AC141" s="94"/>
      <c r="AF141" s="67">
        <v>47543</v>
      </c>
      <c r="AG141" s="68">
        <f>AC145</f>
        <v>7714097.1811407022</v>
      </c>
    </row>
    <row r="142" spans="1:33" ht="18.75" thickBot="1" x14ac:dyDescent="0.3">
      <c r="A142" s="95">
        <v>47515</v>
      </c>
      <c r="B142" s="9" t="s">
        <v>28</v>
      </c>
      <c r="C142" s="9">
        <v>4</v>
      </c>
      <c r="D142" s="16">
        <v>5649.4292304933078</v>
      </c>
      <c r="E142" s="16">
        <v>4669.5223891712158</v>
      </c>
      <c r="F142" s="16">
        <v>4202.0932697395438</v>
      </c>
      <c r="G142" s="16">
        <v>3694.067762964758</v>
      </c>
      <c r="H142" s="16">
        <v>3583.0975864889697</v>
      </c>
      <c r="I142" s="16">
        <v>3760.5137318337765</v>
      </c>
      <c r="J142" s="16">
        <v>4401.1185958857968</v>
      </c>
      <c r="K142" s="16">
        <v>6254.2271801834322</v>
      </c>
      <c r="L142" s="16">
        <v>8895.3449367427347</v>
      </c>
      <c r="M142" s="16">
        <v>10017.689758558867</v>
      </c>
      <c r="N142" s="16">
        <v>10827.435611546764</v>
      </c>
      <c r="O142" s="16">
        <v>11909.673481214952</v>
      </c>
      <c r="P142" s="16">
        <v>12183.039489315175</v>
      </c>
      <c r="Q142" s="16">
        <v>12414.229756165205</v>
      </c>
      <c r="R142" s="16">
        <v>12098.681837463617</v>
      </c>
      <c r="S142" s="16">
        <v>10740.149574325849</v>
      </c>
      <c r="T142" s="16">
        <v>11028.788839545625</v>
      </c>
      <c r="U142" s="16">
        <v>10941.278649231128</v>
      </c>
      <c r="V142" s="16">
        <v>12289.917329495296</v>
      </c>
      <c r="W142" s="16">
        <v>13198.041713160816</v>
      </c>
      <c r="X142" s="16">
        <v>12744.197505070442</v>
      </c>
      <c r="Y142" s="16">
        <v>11191.489025829225</v>
      </c>
      <c r="Z142" s="16">
        <v>9101.5555005860006</v>
      </c>
      <c r="AA142" s="16">
        <v>7355.9519738404415</v>
      </c>
      <c r="AB142" s="6">
        <f t="shared" si="4"/>
        <v>852606.13891541178</v>
      </c>
      <c r="AC142" s="92">
        <f>+AB142+AB143+AB144</f>
        <v>6235177.3002697965</v>
      </c>
      <c r="AF142" s="67">
        <v>47574</v>
      </c>
      <c r="AG142" s="68">
        <f>AC148</f>
        <v>7255521.5586887011</v>
      </c>
    </row>
    <row r="143" spans="1:33" ht="18.75" thickBot="1" x14ac:dyDescent="0.3">
      <c r="A143" s="96"/>
      <c r="B143" s="11" t="s">
        <v>29</v>
      </c>
      <c r="C143" s="11">
        <v>4</v>
      </c>
      <c r="D143" s="16">
        <v>6053.6471775349055</v>
      </c>
      <c r="E143" s="16">
        <v>5287.419927908275</v>
      </c>
      <c r="F143" s="16">
        <v>4542.4913350727256</v>
      </c>
      <c r="G143" s="16">
        <v>4141.7426198556386</v>
      </c>
      <c r="H143" s="16">
        <v>3948.078459901757</v>
      </c>
      <c r="I143" s="16">
        <v>4090.9585772317623</v>
      </c>
      <c r="J143" s="16">
        <v>4346.1558460494562</v>
      </c>
      <c r="K143" s="16">
        <v>5746.7857053222069</v>
      </c>
      <c r="L143" s="16">
        <v>7744.5594058969073</v>
      </c>
      <c r="M143" s="16">
        <v>8929.0624974983948</v>
      </c>
      <c r="N143" s="16">
        <v>9665.7632322842255</v>
      </c>
      <c r="O143" s="16">
        <v>10763.506737967153</v>
      </c>
      <c r="P143" s="16">
        <v>11751.411114894188</v>
      </c>
      <c r="Q143" s="16">
        <v>11632.774491327818</v>
      </c>
      <c r="R143" s="16">
        <v>10689.56089448995</v>
      </c>
      <c r="S143" s="16">
        <v>10156.068305963636</v>
      </c>
      <c r="T143" s="16">
        <v>9509.6292921272943</v>
      </c>
      <c r="U143" s="16">
        <v>9632.4836954637249</v>
      </c>
      <c r="V143" s="16">
        <v>11489.680503156233</v>
      </c>
      <c r="W143" s="16">
        <v>11731.51084437501</v>
      </c>
      <c r="X143" s="16">
        <v>11732.547295376524</v>
      </c>
      <c r="Y143" s="16">
        <v>10435.165641328193</v>
      </c>
      <c r="Z143" s="16">
        <v>8640.1065389170471</v>
      </c>
      <c r="AA143" s="16">
        <v>6638.8450984642295</v>
      </c>
      <c r="AB143" s="6">
        <f t="shared" si="4"/>
        <v>797199.8209536291</v>
      </c>
      <c r="AC143" s="93"/>
      <c r="AF143" s="67">
        <v>47604</v>
      </c>
      <c r="AG143" s="68">
        <f>AC151</f>
        <v>8123518.5240184506</v>
      </c>
    </row>
    <row r="144" spans="1:33" ht="18.75" thickBot="1" x14ac:dyDescent="0.3">
      <c r="A144" s="97"/>
      <c r="B144" s="12" t="s">
        <v>30</v>
      </c>
      <c r="C144" s="12">
        <v>20</v>
      </c>
      <c r="D144" s="16">
        <v>5481.9305228467383</v>
      </c>
      <c r="E144" s="16">
        <v>4713.1125570064032</v>
      </c>
      <c r="F144" s="16">
        <v>4212.6424490006029</v>
      </c>
      <c r="G144" s="16">
        <v>3740.6332032384234</v>
      </c>
      <c r="H144" s="16">
        <v>3803.1904244013531</v>
      </c>
      <c r="I144" s="16">
        <v>5021.0705285722943</v>
      </c>
      <c r="J144" s="16">
        <v>6348.1341651116636</v>
      </c>
      <c r="K144" s="16">
        <v>7546.1226358550921</v>
      </c>
      <c r="L144" s="16">
        <v>9372.1872522346093</v>
      </c>
      <c r="M144" s="16">
        <v>10153.025993242121</v>
      </c>
      <c r="N144" s="16">
        <v>11379.959003363216</v>
      </c>
      <c r="O144" s="16">
        <v>12592.305199508202</v>
      </c>
      <c r="P144" s="16">
        <v>12879.153296429729</v>
      </c>
      <c r="Q144" s="16">
        <v>12705.379124743031</v>
      </c>
      <c r="R144" s="16">
        <v>13006.271955315246</v>
      </c>
      <c r="S144" s="16">
        <v>13029.730707606312</v>
      </c>
      <c r="T144" s="16">
        <v>12824.258820746669</v>
      </c>
      <c r="U144" s="16">
        <v>12176.836823619189</v>
      </c>
      <c r="V144" s="16">
        <v>13186.141034696979</v>
      </c>
      <c r="W144" s="16">
        <v>14110.112425143609</v>
      </c>
      <c r="X144" s="16">
        <v>13425.75452238473</v>
      </c>
      <c r="Y144" s="16">
        <v>11613.869954092232</v>
      </c>
      <c r="Z144" s="16">
        <v>9184.3214598280829</v>
      </c>
      <c r="AA144" s="16">
        <v>6762.4229610513175</v>
      </c>
      <c r="AB144" s="6">
        <f t="shared" si="4"/>
        <v>4585371.3404007554</v>
      </c>
      <c r="AC144" s="94"/>
      <c r="AF144" s="67">
        <v>47635</v>
      </c>
      <c r="AG144" s="68">
        <f>AC154</f>
        <v>7823755.9604949001</v>
      </c>
    </row>
    <row r="145" spans="1:33" ht="18.75" thickBot="1" x14ac:dyDescent="0.3">
      <c r="A145" s="95">
        <v>47543</v>
      </c>
      <c r="B145" s="9" t="s">
        <v>28</v>
      </c>
      <c r="C145" s="9">
        <v>5</v>
      </c>
      <c r="D145" s="16">
        <v>6763.5249250659472</v>
      </c>
      <c r="E145" s="16">
        <v>5762.8924341158418</v>
      </c>
      <c r="F145" s="16">
        <v>5154.4461009824299</v>
      </c>
      <c r="G145" s="16">
        <v>4687.6462632664079</v>
      </c>
      <c r="H145" s="16">
        <v>4622.8336174705582</v>
      </c>
      <c r="I145" s="16">
        <v>4914.597870588681</v>
      </c>
      <c r="J145" s="16">
        <v>5581.2728979279746</v>
      </c>
      <c r="K145" s="16">
        <v>7433.99288103859</v>
      </c>
      <c r="L145" s="16">
        <v>10119.113409050413</v>
      </c>
      <c r="M145" s="16">
        <v>11555.974300214963</v>
      </c>
      <c r="N145" s="16">
        <v>12665.641423234239</v>
      </c>
      <c r="O145" s="16">
        <v>14137.515755639914</v>
      </c>
      <c r="P145" s="16">
        <v>14613.429273564903</v>
      </c>
      <c r="Q145" s="16">
        <v>14578.973371197044</v>
      </c>
      <c r="R145" s="16">
        <v>14485.276883175706</v>
      </c>
      <c r="S145" s="16">
        <v>14186.251310343956</v>
      </c>
      <c r="T145" s="16">
        <v>13313.501593969708</v>
      </c>
      <c r="U145" s="16">
        <v>12899.742842495474</v>
      </c>
      <c r="V145" s="16">
        <v>14184.725151696843</v>
      </c>
      <c r="W145" s="16">
        <v>15319.694553791538</v>
      </c>
      <c r="X145" s="16">
        <v>14651.656468729245</v>
      </c>
      <c r="Y145" s="16">
        <v>13331.309552011342</v>
      </c>
      <c r="Z145" s="16">
        <v>11320.286807681412</v>
      </c>
      <c r="AA145" s="16">
        <v>9491.0633434148986</v>
      </c>
      <c r="AB145" s="6">
        <f t="shared" si="4"/>
        <v>1278876.8151533401</v>
      </c>
      <c r="AC145" s="92">
        <f>+AB145+AB146+AB147</f>
        <v>7714097.1811407022</v>
      </c>
      <c r="AF145" s="67">
        <v>47665</v>
      </c>
      <c r="AG145" s="68">
        <f>AC157</f>
        <v>8030676.3339689998</v>
      </c>
    </row>
    <row r="146" spans="1:33" ht="18.75" thickBot="1" x14ac:dyDescent="0.3">
      <c r="A146" s="96"/>
      <c r="B146" s="11" t="s">
        <v>29</v>
      </c>
      <c r="C146" s="11">
        <v>6</v>
      </c>
      <c r="D146" s="16">
        <v>7950.0572419319615</v>
      </c>
      <c r="E146" s="16">
        <v>6922.8861779969011</v>
      </c>
      <c r="F146" s="16">
        <v>6146.262265789308</v>
      </c>
      <c r="G146" s="16">
        <v>5498.5102742381896</v>
      </c>
      <c r="H146" s="16">
        <v>5083.1327183538051</v>
      </c>
      <c r="I146" s="16">
        <v>5242.6359911370637</v>
      </c>
      <c r="J146" s="16">
        <v>5270.6502391497634</v>
      </c>
      <c r="K146" s="16">
        <v>6761.6880979919333</v>
      </c>
      <c r="L146" s="16">
        <v>8332.2667825074786</v>
      </c>
      <c r="M146" s="16">
        <v>9509.0052772156341</v>
      </c>
      <c r="N146" s="16">
        <v>10597.057644433706</v>
      </c>
      <c r="O146" s="16">
        <v>11716.257295273212</v>
      </c>
      <c r="P146" s="16">
        <v>12663.912497962057</v>
      </c>
      <c r="Q146" s="16">
        <v>12484.917555216405</v>
      </c>
      <c r="R146" s="16">
        <v>11512.870720278464</v>
      </c>
      <c r="S146" s="16">
        <v>10925.671333719416</v>
      </c>
      <c r="T146" s="16">
        <v>10483.415411258171</v>
      </c>
      <c r="U146" s="16">
        <v>10313.780741785333</v>
      </c>
      <c r="V146" s="16">
        <v>12060.712300505304</v>
      </c>
      <c r="W146" s="16">
        <v>13805.671669479547</v>
      </c>
      <c r="X146" s="16">
        <v>13373.487506465208</v>
      </c>
      <c r="Y146" s="16">
        <v>11878.025396365032</v>
      </c>
      <c r="Z146" s="16">
        <v>9629.894128831027</v>
      </c>
      <c r="AA146" s="16">
        <v>7684.7477922765283</v>
      </c>
      <c r="AB146" s="6">
        <f t="shared" si="4"/>
        <v>1355085.1023609687</v>
      </c>
      <c r="AC146" s="93"/>
      <c r="AF146" s="67">
        <v>47696</v>
      </c>
      <c r="AG146" s="68">
        <f>AC160</f>
        <v>7788436.7306381743</v>
      </c>
    </row>
    <row r="147" spans="1:33" ht="18.75" thickBot="1" x14ac:dyDescent="0.3">
      <c r="A147" s="97"/>
      <c r="B147" s="12" t="s">
        <v>30</v>
      </c>
      <c r="C147" s="12">
        <v>20</v>
      </c>
      <c r="D147" s="16">
        <v>6356.2153172750113</v>
      </c>
      <c r="E147" s="16">
        <v>5532.6808886800936</v>
      </c>
      <c r="F147" s="16">
        <v>4980.5297548689305</v>
      </c>
      <c r="G147" s="16">
        <v>4626.729316329056</v>
      </c>
      <c r="H147" s="16">
        <v>4614.7322447829647</v>
      </c>
      <c r="I147" s="16">
        <v>5709.5072548530188</v>
      </c>
      <c r="J147" s="16">
        <v>6901.4617066071805</v>
      </c>
      <c r="K147" s="16">
        <v>8356.7305342128129</v>
      </c>
      <c r="L147" s="16">
        <v>10278.30698424561</v>
      </c>
      <c r="M147" s="16">
        <v>11337.941234496</v>
      </c>
      <c r="N147" s="16">
        <v>12408.886866693148</v>
      </c>
      <c r="O147" s="16">
        <v>13562.206370972672</v>
      </c>
      <c r="P147" s="16">
        <v>13673.573096612487</v>
      </c>
      <c r="Q147" s="16">
        <v>13694.445854161935</v>
      </c>
      <c r="R147" s="16">
        <v>14406.58401587823</v>
      </c>
      <c r="S147" s="16">
        <v>14430.242803498888</v>
      </c>
      <c r="T147" s="16">
        <v>14260.860829505429</v>
      </c>
      <c r="U147" s="16">
        <v>13595.64830152399</v>
      </c>
      <c r="V147" s="16">
        <v>14502.218159521068</v>
      </c>
      <c r="W147" s="16">
        <v>15427.170157384484</v>
      </c>
      <c r="X147" s="16">
        <v>14458.804188540209</v>
      </c>
      <c r="Y147" s="16">
        <v>12655.999329317008</v>
      </c>
      <c r="Z147" s="16">
        <v>10240.741762474823</v>
      </c>
      <c r="AA147" s="16">
        <v>7994.5462088846398</v>
      </c>
      <c r="AB147" s="6">
        <f t="shared" si="4"/>
        <v>5080135.2636263939</v>
      </c>
      <c r="AC147" s="94"/>
      <c r="AF147" s="67">
        <v>47727</v>
      </c>
      <c r="AG147" s="68">
        <f>AC163</f>
        <v>8020389.719422223</v>
      </c>
    </row>
    <row r="148" spans="1:33" ht="18.75" thickBot="1" x14ac:dyDescent="0.3">
      <c r="A148" s="95">
        <v>47574</v>
      </c>
      <c r="B148" s="9" t="s">
        <v>28</v>
      </c>
      <c r="C148" s="9">
        <v>4</v>
      </c>
      <c r="D148" s="16">
        <v>6629.32878244741</v>
      </c>
      <c r="E148" s="16">
        <v>5752.8299051103204</v>
      </c>
      <c r="F148" s="16">
        <v>5075.0862696990516</v>
      </c>
      <c r="G148" s="16">
        <v>4688.2471664717705</v>
      </c>
      <c r="H148" s="16">
        <v>4505.4792912811317</v>
      </c>
      <c r="I148" s="16">
        <v>4637.0411324865854</v>
      </c>
      <c r="J148" s="16">
        <v>3543.2629898308805</v>
      </c>
      <c r="K148" s="16">
        <v>7188.2000823208036</v>
      </c>
      <c r="L148" s="16">
        <v>9691.2123346947883</v>
      </c>
      <c r="M148" s="16">
        <v>11214.600142259915</v>
      </c>
      <c r="N148" s="16">
        <v>11923.289744418551</v>
      </c>
      <c r="O148" s="16">
        <v>13052.840346088444</v>
      </c>
      <c r="P148" s="16">
        <v>13408.619405613201</v>
      </c>
      <c r="Q148" s="16">
        <v>14019.870695046782</v>
      </c>
      <c r="R148" s="16">
        <v>13774.381235778372</v>
      </c>
      <c r="S148" s="16">
        <v>13100.109688057117</v>
      </c>
      <c r="T148" s="16">
        <v>11941.291087944042</v>
      </c>
      <c r="U148" s="16">
        <v>11400.672100897515</v>
      </c>
      <c r="V148" s="16">
        <v>11664.760252111217</v>
      </c>
      <c r="W148" s="16">
        <v>12169.735375983917</v>
      </c>
      <c r="X148" s="16">
        <v>12044.422877795208</v>
      </c>
      <c r="Y148" s="16">
        <v>11908.420331844027</v>
      </c>
      <c r="Z148" s="16">
        <v>10172.565232341913</v>
      </c>
      <c r="AA148" s="16">
        <v>8463.3896214638844</v>
      </c>
      <c r="AB148" s="6">
        <f t="shared" si="4"/>
        <v>927878.62436794734</v>
      </c>
      <c r="AC148" s="92">
        <f>+AB148+AB149+AB150</f>
        <v>7255521.5586887011</v>
      </c>
      <c r="AF148" s="67">
        <v>47757</v>
      </c>
      <c r="AG148" s="68">
        <f>AC166</f>
        <v>8129272.8993255422</v>
      </c>
    </row>
    <row r="149" spans="1:33" ht="18.75" thickBot="1" x14ac:dyDescent="0.3">
      <c r="A149" s="96"/>
      <c r="B149" s="11" t="s">
        <v>29</v>
      </c>
      <c r="C149" s="11">
        <v>6</v>
      </c>
      <c r="D149" s="16">
        <v>6049.3069237103882</v>
      </c>
      <c r="E149" s="16">
        <v>5094.235296531082</v>
      </c>
      <c r="F149" s="16">
        <v>4568.224382125416</v>
      </c>
      <c r="G149" s="16">
        <v>4030.8403409772509</v>
      </c>
      <c r="H149" s="16">
        <v>3846.2375552471203</v>
      </c>
      <c r="I149" s="16">
        <v>2851.5750022451757</v>
      </c>
      <c r="J149" s="16">
        <v>4196.0846131031394</v>
      </c>
      <c r="K149" s="16">
        <v>5660.0569941638969</v>
      </c>
      <c r="L149" s="16">
        <v>7270.7143638079469</v>
      </c>
      <c r="M149" s="16">
        <v>8299.8530467880846</v>
      </c>
      <c r="N149" s="16">
        <v>9097.0808850422254</v>
      </c>
      <c r="O149" s="16">
        <v>9853.6060656924492</v>
      </c>
      <c r="P149" s="16">
        <v>10516.23139335429</v>
      </c>
      <c r="Q149" s="16">
        <v>10428.501375201769</v>
      </c>
      <c r="R149" s="16">
        <v>10220.752720955814</v>
      </c>
      <c r="S149" s="16">
        <v>10008.512891553662</v>
      </c>
      <c r="T149" s="16">
        <v>9695.1151493125071</v>
      </c>
      <c r="U149" s="16">
        <v>9449.3698811143222</v>
      </c>
      <c r="V149" s="16">
        <v>9958.8237353844597</v>
      </c>
      <c r="W149" s="16">
        <v>12003.935929342886</v>
      </c>
      <c r="X149" s="16">
        <v>12032.001625816127</v>
      </c>
      <c r="Y149" s="16">
        <v>11295.574730540036</v>
      </c>
      <c r="Z149" s="16">
        <v>10010.293874805258</v>
      </c>
      <c r="AA149" s="16">
        <v>8074.2973255281649</v>
      </c>
      <c r="AB149" s="6">
        <f t="shared" si="4"/>
        <v>1167067.3566140609</v>
      </c>
      <c r="AC149" s="93"/>
      <c r="AF149" s="67">
        <v>47788</v>
      </c>
      <c r="AG149" s="68">
        <f>AC169</f>
        <v>7906906.1104953177</v>
      </c>
    </row>
    <row r="150" spans="1:33" ht="18.75" thickBot="1" x14ac:dyDescent="0.3">
      <c r="A150" s="97"/>
      <c r="B150" s="12" t="s">
        <v>30</v>
      </c>
      <c r="C150" s="12">
        <v>20</v>
      </c>
      <c r="D150" s="16">
        <v>6911.1598410299775</v>
      </c>
      <c r="E150" s="16">
        <v>6053.6665992491617</v>
      </c>
      <c r="F150" s="16">
        <v>5444.4160121965833</v>
      </c>
      <c r="G150" s="16">
        <v>5052.506084605764</v>
      </c>
      <c r="H150" s="16">
        <v>4942.8254478773852</v>
      </c>
      <c r="I150" s="16">
        <v>5871.6790104318789</v>
      </c>
      <c r="J150" s="16">
        <v>6910.9644583176851</v>
      </c>
      <c r="K150" s="16">
        <v>8607.0403013148134</v>
      </c>
      <c r="L150" s="16">
        <v>10703.501782259082</v>
      </c>
      <c r="M150" s="16">
        <v>11954.51156998477</v>
      </c>
      <c r="N150" s="16">
        <v>13006.56492551828</v>
      </c>
      <c r="O150" s="16">
        <v>14246.61959212022</v>
      </c>
      <c r="P150" s="16">
        <v>14476.137448014546</v>
      </c>
      <c r="Q150" s="16">
        <v>14688.230982363879</v>
      </c>
      <c r="R150" s="16">
        <v>15065.652306997785</v>
      </c>
      <c r="S150" s="16">
        <v>14742.913252292008</v>
      </c>
      <c r="T150" s="16">
        <v>13909.336347868451</v>
      </c>
      <c r="U150" s="16">
        <v>13487.076557474189</v>
      </c>
      <c r="V150" s="16">
        <v>13269.664962887571</v>
      </c>
      <c r="W150" s="16">
        <v>14286.075284897826</v>
      </c>
      <c r="X150" s="16">
        <v>13875.731765827746</v>
      </c>
      <c r="Y150" s="16">
        <v>12248.602375232927</v>
      </c>
      <c r="Z150" s="16">
        <v>10190.859857348514</v>
      </c>
      <c r="AA150" s="16">
        <v>8083.0421192235881</v>
      </c>
      <c r="AB150" s="6">
        <f t="shared" si="4"/>
        <v>5160575.5777066927</v>
      </c>
      <c r="AC150" s="94"/>
      <c r="AF150" s="67">
        <v>47818</v>
      </c>
      <c r="AG150" s="68">
        <f>AC172</f>
        <v>8698603.256143406</v>
      </c>
    </row>
    <row r="151" spans="1:33" ht="18.75" thickBot="1" x14ac:dyDescent="0.3">
      <c r="A151" s="95">
        <v>47604</v>
      </c>
      <c r="B151" s="9" t="s">
        <v>28</v>
      </c>
      <c r="C151" s="9">
        <v>4</v>
      </c>
      <c r="D151" s="16">
        <v>7785.9688514791269</v>
      </c>
      <c r="E151" s="16">
        <v>6811.5292706787623</v>
      </c>
      <c r="F151" s="16">
        <v>6198.2362678851532</v>
      </c>
      <c r="G151" s="16">
        <v>5766.625248635446</v>
      </c>
      <c r="H151" s="16">
        <v>5645.3549846666392</v>
      </c>
      <c r="I151" s="16">
        <v>5834.514171541985</v>
      </c>
      <c r="J151" s="16">
        <v>6374.0308742312045</v>
      </c>
      <c r="K151" s="16">
        <v>8436.6545649347063</v>
      </c>
      <c r="L151" s="16">
        <v>11067.269581130553</v>
      </c>
      <c r="M151" s="16">
        <v>12459.011745978347</v>
      </c>
      <c r="N151" s="16">
        <v>13443.534171468043</v>
      </c>
      <c r="O151" s="16">
        <v>14470.210418514493</v>
      </c>
      <c r="P151" s="16">
        <v>15127.059636864808</v>
      </c>
      <c r="Q151" s="16">
        <v>14928.587415849015</v>
      </c>
      <c r="R151" s="16">
        <v>14633.880508715454</v>
      </c>
      <c r="S151" s="16">
        <v>14150.744061226793</v>
      </c>
      <c r="T151" s="16">
        <v>13216.237565899752</v>
      </c>
      <c r="U151" s="16">
        <v>13219.000516369812</v>
      </c>
      <c r="V151" s="16">
        <v>14305.455899540306</v>
      </c>
      <c r="W151" s="16">
        <v>15077.870416291626</v>
      </c>
      <c r="X151" s="16">
        <v>14323.655225016886</v>
      </c>
      <c r="Y151" s="16">
        <v>12859.318251907134</v>
      </c>
      <c r="Z151" s="16">
        <v>10700.158644871055</v>
      </c>
      <c r="AA151" s="16">
        <v>8873.0718796114234</v>
      </c>
      <c r="AB151" s="6">
        <f t="shared" si="4"/>
        <v>1062831.9206932341</v>
      </c>
      <c r="AC151" s="92">
        <f>+AB151+AB152+AB153</f>
        <v>8123518.5240184506</v>
      </c>
    </row>
    <row r="152" spans="1:33" ht="18.75" thickBot="1" x14ac:dyDescent="0.3">
      <c r="A152" s="96"/>
      <c r="B152" s="11" t="s">
        <v>29</v>
      </c>
      <c r="C152" s="11">
        <v>5</v>
      </c>
      <c r="D152" s="16">
        <v>7386.4689731254912</v>
      </c>
      <c r="E152" s="16">
        <v>6022.1236963123774</v>
      </c>
      <c r="F152" s="16">
        <v>5315.9179072695733</v>
      </c>
      <c r="G152" s="16">
        <v>4951.5113489383621</v>
      </c>
      <c r="H152" s="16">
        <v>4719.6795551363575</v>
      </c>
      <c r="I152" s="16">
        <v>4778.0763792747966</v>
      </c>
      <c r="J152" s="16">
        <v>5026.7519625868481</v>
      </c>
      <c r="K152" s="16">
        <v>6960.3503847920256</v>
      </c>
      <c r="L152" s="16">
        <v>9088.1435589630346</v>
      </c>
      <c r="M152" s="16">
        <v>10404.698662200524</v>
      </c>
      <c r="N152" s="16">
        <v>11614.969704654766</v>
      </c>
      <c r="O152" s="16">
        <v>12362.430645113549</v>
      </c>
      <c r="P152" s="16">
        <v>13255.859380151105</v>
      </c>
      <c r="Q152" s="16">
        <v>12849.857949661699</v>
      </c>
      <c r="R152" s="16">
        <v>11979.414753513407</v>
      </c>
      <c r="S152" s="16">
        <v>11318.580928821979</v>
      </c>
      <c r="T152" s="16">
        <v>11003.674862285887</v>
      </c>
      <c r="U152" s="16">
        <v>10846.096316428357</v>
      </c>
      <c r="V152" s="16">
        <v>12432.843207819507</v>
      </c>
      <c r="W152" s="16">
        <v>13864.52013164181</v>
      </c>
      <c r="X152" s="16">
        <v>13321.698264095929</v>
      </c>
      <c r="Y152" s="16">
        <v>12028.264253344361</v>
      </c>
      <c r="Z152" s="16">
        <v>10009.95654773929</v>
      </c>
      <c r="AA152" s="16">
        <v>8153.9382938507588</v>
      </c>
      <c r="AB152" s="6">
        <f t="shared" si="4"/>
        <v>1148479.1383386089</v>
      </c>
      <c r="AC152" s="93"/>
    </row>
    <row r="153" spans="1:33" ht="18.75" thickBot="1" x14ac:dyDescent="0.3">
      <c r="A153" s="97"/>
      <c r="B153" s="12" t="s">
        <v>30</v>
      </c>
      <c r="C153" s="12">
        <v>22</v>
      </c>
      <c r="D153" s="16">
        <v>6904.1650526352023</v>
      </c>
      <c r="E153" s="16">
        <v>5872.5256791927823</v>
      </c>
      <c r="F153" s="16">
        <v>5295.4080344788381</v>
      </c>
      <c r="G153" s="16">
        <v>4986.3812963967648</v>
      </c>
      <c r="H153" s="16">
        <v>5000.3518437390776</v>
      </c>
      <c r="I153" s="16">
        <v>5873.0592073112894</v>
      </c>
      <c r="J153" s="16">
        <v>6971.1796110135474</v>
      </c>
      <c r="K153" s="16">
        <v>8691.8348880038466</v>
      </c>
      <c r="L153" s="16">
        <v>11071.659971665777</v>
      </c>
      <c r="M153" s="16">
        <v>12352.737885583323</v>
      </c>
      <c r="N153" s="16">
        <v>13484.874591754342</v>
      </c>
      <c r="O153" s="16">
        <v>14758.143231889386</v>
      </c>
      <c r="P153" s="16">
        <v>14858.081137076242</v>
      </c>
      <c r="Q153" s="16">
        <v>14814.675297555335</v>
      </c>
      <c r="R153" s="16">
        <v>15083.035956641452</v>
      </c>
      <c r="S153" s="16">
        <v>15011.274631664262</v>
      </c>
      <c r="T153" s="16">
        <v>14639.011463373954</v>
      </c>
      <c r="U153" s="16">
        <v>14277.423638885906</v>
      </c>
      <c r="V153" s="16">
        <v>15139.271971977269</v>
      </c>
      <c r="W153" s="16">
        <v>15932.621112060282</v>
      </c>
      <c r="X153" s="16">
        <v>14963.276625178558</v>
      </c>
      <c r="Y153" s="16">
        <v>13172.580541818785</v>
      </c>
      <c r="Z153" s="16">
        <v>10922.608790983708</v>
      </c>
      <c r="AA153" s="16">
        <v>8660.5204930568398</v>
      </c>
      <c r="AB153" s="6">
        <f t="shared" si="4"/>
        <v>5912207.4649866074</v>
      </c>
      <c r="AC153" s="94"/>
    </row>
    <row r="154" spans="1:33" ht="18.75" thickBot="1" x14ac:dyDescent="0.3">
      <c r="A154" s="95">
        <v>47635</v>
      </c>
      <c r="B154" s="9" t="s">
        <v>28</v>
      </c>
      <c r="C154" s="9">
        <v>5</v>
      </c>
      <c r="D154" s="16">
        <v>6297.7327233006508</v>
      </c>
      <c r="E154" s="16">
        <v>5731.1685938101982</v>
      </c>
      <c r="F154" s="16">
        <v>5420.3110094552285</v>
      </c>
      <c r="G154" s="16">
        <v>4910.7231848313459</v>
      </c>
      <c r="H154" s="16">
        <v>4722.8985409142842</v>
      </c>
      <c r="I154" s="16">
        <v>5218.3274892930167</v>
      </c>
      <c r="J154" s="16">
        <v>5661.0537215596196</v>
      </c>
      <c r="K154" s="16">
        <v>7881.7580486246479</v>
      </c>
      <c r="L154" s="16">
        <v>10794.07706457502</v>
      </c>
      <c r="M154" s="16">
        <v>12297.677798397868</v>
      </c>
      <c r="N154" s="16">
        <v>12984.117765087874</v>
      </c>
      <c r="O154" s="16">
        <v>14327.578096039448</v>
      </c>
      <c r="P154" s="16">
        <v>14547.314572226107</v>
      </c>
      <c r="Q154" s="16">
        <v>13872.760785608989</v>
      </c>
      <c r="R154" s="16">
        <v>14290.819796679451</v>
      </c>
      <c r="S154" s="16">
        <v>13816.271636407673</v>
      </c>
      <c r="T154" s="16">
        <v>12670.958213404807</v>
      </c>
      <c r="U154" s="16">
        <v>12782.050613051804</v>
      </c>
      <c r="V154" s="16">
        <v>15012.366333220645</v>
      </c>
      <c r="W154" s="16">
        <v>16692.053977463784</v>
      </c>
      <c r="X154" s="16">
        <v>15489.557260706526</v>
      </c>
      <c r="Y154" s="16">
        <v>14041.063659369389</v>
      </c>
      <c r="Z154" s="16">
        <v>12156.413109457644</v>
      </c>
      <c r="AA154" s="16">
        <v>10341.085019791637</v>
      </c>
      <c r="AB154" s="6">
        <f t="shared" si="4"/>
        <v>1309800.6950663882</v>
      </c>
      <c r="AC154" s="92">
        <f>+AB154+AB155+AB156</f>
        <v>7823755.9604949001</v>
      </c>
    </row>
    <row r="155" spans="1:33" ht="18.75" thickBot="1" x14ac:dyDescent="0.3">
      <c r="A155" s="96"/>
      <c r="B155" s="11" t="s">
        <v>29</v>
      </c>
      <c r="C155" s="11">
        <v>5</v>
      </c>
      <c r="D155" s="16">
        <v>8596.7718904186586</v>
      </c>
      <c r="E155" s="16">
        <v>7346.3248387815802</v>
      </c>
      <c r="F155" s="16">
        <v>6417.7266905220313</v>
      </c>
      <c r="G155" s="16">
        <v>5902.762381807137</v>
      </c>
      <c r="H155" s="16">
        <v>5694.6319189159403</v>
      </c>
      <c r="I155" s="16">
        <v>5884.9163853230239</v>
      </c>
      <c r="J155" s="16">
        <v>5952.4721222333683</v>
      </c>
      <c r="K155" s="16">
        <v>8021.569633756495</v>
      </c>
      <c r="L155" s="16">
        <v>10141.2989271152</v>
      </c>
      <c r="M155" s="16">
        <v>11176.750384415282</v>
      </c>
      <c r="N155" s="16">
        <v>11892.554547417294</v>
      </c>
      <c r="O155" s="16">
        <v>13058.924385462222</v>
      </c>
      <c r="P155" s="16">
        <v>13600.813975967583</v>
      </c>
      <c r="Q155" s="16">
        <v>13022.467160848133</v>
      </c>
      <c r="R155" s="16">
        <v>12240.407736574354</v>
      </c>
      <c r="S155" s="16">
        <v>11548.452247803027</v>
      </c>
      <c r="T155" s="16">
        <v>10964.911893316643</v>
      </c>
      <c r="U155" s="16">
        <v>10850.783656648382</v>
      </c>
      <c r="V155" s="16">
        <v>13056.960081824844</v>
      </c>
      <c r="W155" s="16">
        <v>14632.591903208187</v>
      </c>
      <c r="X155" s="16">
        <v>13477.749673576975</v>
      </c>
      <c r="Y155" s="16">
        <v>11720.507056504641</v>
      </c>
      <c r="Z155" s="16">
        <v>9879.4945729766259</v>
      </c>
      <c r="AA155" s="16">
        <v>7909.4548344515024</v>
      </c>
      <c r="AB155" s="6">
        <f t="shared" si="4"/>
        <v>1214956.4944993453</v>
      </c>
      <c r="AC155" s="93"/>
    </row>
    <row r="156" spans="1:33" ht="18.75" thickBot="1" x14ac:dyDescent="0.3">
      <c r="A156" s="97"/>
      <c r="B156" s="12" t="s">
        <v>30</v>
      </c>
      <c r="C156" s="12">
        <v>20</v>
      </c>
      <c r="D156" s="16">
        <v>6580.0304873526511</v>
      </c>
      <c r="E156" s="16">
        <v>5578.9736835774966</v>
      </c>
      <c r="F156" s="16">
        <v>4926.4197260017754</v>
      </c>
      <c r="G156" s="16">
        <v>4567.4573201110979</v>
      </c>
      <c r="H156" s="16">
        <v>4708.5628761802145</v>
      </c>
      <c r="I156" s="16">
        <v>5513.7380342345823</v>
      </c>
      <c r="J156" s="16">
        <v>6707.4650197741648</v>
      </c>
      <c r="K156" s="16">
        <v>8802.5075778328355</v>
      </c>
      <c r="L156" s="16">
        <v>11158.177255250062</v>
      </c>
      <c r="M156" s="16">
        <v>12438.370305934419</v>
      </c>
      <c r="N156" s="16">
        <v>13560.344860671019</v>
      </c>
      <c r="O156" s="16">
        <v>14703.484319574938</v>
      </c>
      <c r="P156" s="16">
        <v>14939.942756629902</v>
      </c>
      <c r="Q156" s="16">
        <v>15117.874679111923</v>
      </c>
      <c r="R156" s="16">
        <v>15190.85045838093</v>
      </c>
      <c r="S156" s="16">
        <v>14971.164858250886</v>
      </c>
      <c r="T156" s="16">
        <v>14529.535597396454</v>
      </c>
      <c r="U156" s="16">
        <v>14184.717664483753</v>
      </c>
      <c r="V156" s="16">
        <v>14846.61423161309</v>
      </c>
      <c r="W156" s="16">
        <v>15424.138782794922</v>
      </c>
      <c r="X156" s="16">
        <v>14571.359432894227</v>
      </c>
      <c r="Y156" s="16">
        <v>12659.834477248638</v>
      </c>
      <c r="Z156" s="16">
        <v>10420.202630952896</v>
      </c>
      <c r="AA156" s="16">
        <v>8848.1715102055277</v>
      </c>
      <c r="AB156" s="6">
        <f t="shared" si="4"/>
        <v>5298998.770929167</v>
      </c>
      <c r="AC156" s="94"/>
    </row>
    <row r="157" spans="1:33" ht="18.75" thickBot="1" x14ac:dyDescent="0.3">
      <c r="A157" s="95">
        <v>47665</v>
      </c>
      <c r="B157" s="9" t="s">
        <v>28</v>
      </c>
      <c r="C157" s="9">
        <v>4</v>
      </c>
      <c r="D157" s="16">
        <v>6371.5399336400515</v>
      </c>
      <c r="E157" s="16">
        <v>5517.5661212328559</v>
      </c>
      <c r="F157" s="16">
        <v>5008.7842031540458</v>
      </c>
      <c r="G157" s="16">
        <v>4521.6286192026346</v>
      </c>
      <c r="H157" s="16">
        <v>4388.1453942905682</v>
      </c>
      <c r="I157" s="16">
        <v>4627.5163826950702</v>
      </c>
      <c r="J157" s="16">
        <v>5142.8670568840571</v>
      </c>
      <c r="K157" s="16">
        <v>7401.0963461565807</v>
      </c>
      <c r="L157" s="16">
        <v>9986.0251441559594</v>
      </c>
      <c r="M157" s="16">
        <v>10967.561108060381</v>
      </c>
      <c r="N157" s="16">
        <v>11554.923651476376</v>
      </c>
      <c r="O157" s="16">
        <v>13201.017578885556</v>
      </c>
      <c r="P157" s="16">
        <v>13719.03002002251</v>
      </c>
      <c r="Q157" s="16">
        <v>13586.457729481954</v>
      </c>
      <c r="R157" s="16">
        <v>13422.713097604264</v>
      </c>
      <c r="S157" s="16">
        <v>13311.111101299695</v>
      </c>
      <c r="T157" s="16">
        <v>12968.163114115814</v>
      </c>
      <c r="U157" s="16">
        <v>12764.051135926147</v>
      </c>
      <c r="V157" s="16">
        <v>13908.709120601121</v>
      </c>
      <c r="W157" s="16">
        <v>14906.299258153962</v>
      </c>
      <c r="X157" s="16">
        <v>14215.409859135012</v>
      </c>
      <c r="Y157" s="16">
        <v>12711.09158443729</v>
      </c>
      <c r="Z157" s="16">
        <v>10862.38579553282</v>
      </c>
      <c r="AA157" s="16">
        <v>8795.247972974561</v>
      </c>
      <c r="AB157" s="6">
        <f t="shared" si="4"/>
        <v>975437.36531647725</v>
      </c>
      <c r="AC157" s="92">
        <f>+AB157+AB158+AB159</f>
        <v>8030676.3339689998</v>
      </c>
    </row>
    <row r="158" spans="1:33" ht="18.75" thickBot="1" x14ac:dyDescent="0.3">
      <c r="A158" s="96"/>
      <c r="B158" s="11" t="s">
        <v>29</v>
      </c>
      <c r="C158" s="11">
        <v>4</v>
      </c>
      <c r="D158" s="16">
        <v>7357.9606786467666</v>
      </c>
      <c r="E158" s="16">
        <v>6301.0699670877584</v>
      </c>
      <c r="F158" s="16">
        <v>5561.9762611431761</v>
      </c>
      <c r="G158" s="16">
        <v>4930.1973099198003</v>
      </c>
      <c r="H158" s="16">
        <v>4711.8237766384991</v>
      </c>
      <c r="I158" s="16">
        <v>4826.6349362335459</v>
      </c>
      <c r="J158" s="16">
        <v>5206.7578208310733</v>
      </c>
      <c r="K158" s="16">
        <v>6744.6030768583478</v>
      </c>
      <c r="L158" s="16">
        <v>8663.760028623954</v>
      </c>
      <c r="M158" s="16">
        <v>9134.4247754323333</v>
      </c>
      <c r="N158" s="16">
        <v>10375.769250727852</v>
      </c>
      <c r="O158" s="16">
        <v>12045.877581041132</v>
      </c>
      <c r="P158" s="16">
        <v>12986.684749903598</v>
      </c>
      <c r="Q158" s="16">
        <v>12908.572127546253</v>
      </c>
      <c r="R158" s="16">
        <v>12248.144708198572</v>
      </c>
      <c r="S158" s="16">
        <v>12104.568079734247</v>
      </c>
      <c r="T158" s="16">
        <v>11708.232234762978</v>
      </c>
      <c r="U158" s="16">
        <v>11318.425449220569</v>
      </c>
      <c r="V158" s="16">
        <v>12107.687403166972</v>
      </c>
      <c r="W158" s="16">
        <v>14580.8219893522</v>
      </c>
      <c r="X158" s="16">
        <v>13984.143261618359</v>
      </c>
      <c r="Y158" s="16">
        <v>12381.876559693683</v>
      </c>
      <c r="Z158" s="16">
        <v>10122.153421623843</v>
      </c>
      <c r="AA158" s="16">
        <v>8218.2232810958412</v>
      </c>
      <c r="AB158" s="6">
        <f t="shared" si="4"/>
        <v>922121.55491640558</v>
      </c>
      <c r="AC158" s="93"/>
    </row>
    <row r="159" spans="1:33" ht="18.75" thickBot="1" x14ac:dyDescent="0.3">
      <c r="A159" s="97"/>
      <c r="B159" s="12" t="s">
        <v>30</v>
      </c>
      <c r="C159" s="12">
        <v>23</v>
      </c>
      <c r="D159" s="16">
        <v>7132.5531114480509</v>
      </c>
      <c r="E159" s="16">
        <v>6202.4146300802786</v>
      </c>
      <c r="F159" s="16">
        <v>5553.0230698198029</v>
      </c>
      <c r="G159" s="16">
        <v>5212.7968942208463</v>
      </c>
      <c r="H159" s="16">
        <v>5202.9731919199839</v>
      </c>
      <c r="I159" s="16">
        <v>6126.3376208393565</v>
      </c>
      <c r="J159" s="16">
        <v>7291.5127943808293</v>
      </c>
      <c r="K159" s="16">
        <v>8951.3017134916336</v>
      </c>
      <c r="L159" s="16">
        <v>10974.175192875329</v>
      </c>
      <c r="M159" s="16">
        <v>11752.375852789974</v>
      </c>
      <c r="N159" s="16">
        <v>12725.391110267599</v>
      </c>
      <c r="O159" s="16">
        <v>14063.426163942593</v>
      </c>
      <c r="P159" s="16">
        <v>13929.682685044249</v>
      </c>
      <c r="Q159" s="16">
        <v>14406.627864698436</v>
      </c>
      <c r="R159" s="16">
        <v>15211.882948426344</v>
      </c>
      <c r="S159" s="16">
        <v>15263.096572649483</v>
      </c>
      <c r="T159" s="16">
        <v>14554.433597730003</v>
      </c>
      <c r="U159" s="16">
        <v>14000.285004147328</v>
      </c>
      <c r="V159" s="16">
        <v>14743.573659162175</v>
      </c>
      <c r="W159" s="16">
        <v>15877.676414362988</v>
      </c>
      <c r="X159" s="16">
        <v>15181.403527650236</v>
      </c>
      <c r="Y159" s="16">
        <v>13112.783120341519</v>
      </c>
      <c r="Z159" s="16">
        <v>10618.970015070034</v>
      </c>
      <c r="AA159" s="16">
        <v>8568.5821027329439</v>
      </c>
      <c r="AB159" s="6">
        <f t="shared" si="4"/>
        <v>6133117.4137361171</v>
      </c>
      <c r="AC159" s="94"/>
    </row>
    <row r="160" spans="1:33" ht="18.75" thickBot="1" x14ac:dyDescent="0.3">
      <c r="A160" s="95">
        <v>47696</v>
      </c>
      <c r="B160" s="9" t="s">
        <v>28</v>
      </c>
      <c r="C160" s="9">
        <v>5</v>
      </c>
      <c r="D160" s="16">
        <v>7127.0795560295555</v>
      </c>
      <c r="E160" s="16">
        <v>5279.8963364416486</v>
      </c>
      <c r="F160" s="16">
        <v>4617.8774365008139</v>
      </c>
      <c r="G160" s="16">
        <v>4118.3190838206829</v>
      </c>
      <c r="H160" s="16">
        <v>4015.914094700729</v>
      </c>
      <c r="I160" s="16">
        <v>4186.1764667165771</v>
      </c>
      <c r="J160" s="16">
        <v>4967.2469141701331</v>
      </c>
      <c r="K160" s="16">
        <v>6732.8683283902792</v>
      </c>
      <c r="L160" s="16">
        <v>9395.9844735069018</v>
      </c>
      <c r="M160" s="16">
        <v>10571.787603040986</v>
      </c>
      <c r="N160" s="16">
        <v>12523.508277195469</v>
      </c>
      <c r="O160" s="16">
        <v>13945.131361089989</v>
      </c>
      <c r="P160" s="16">
        <v>14405.309074529901</v>
      </c>
      <c r="Q160" s="16">
        <v>14232.254505569865</v>
      </c>
      <c r="R160" s="16">
        <v>13717.940491592228</v>
      </c>
      <c r="S160" s="16">
        <v>13521.500440230349</v>
      </c>
      <c r="T160" s="16">
        <v>13151.007892718961</v>
      </c>
      <c r="U160" s="16">
        <v>12573.529585816654</v>
      </c>
      <c r="V160" s="16">
        <v>14401.665557395681</v>
      </c>
      <c r="W160" s="16">
        <v>15225.113757635165</v>
      </c>
      <c r="X160" s="16">
        <v>14454.575690301612</v>
      </c>
      <c r="Y160" s="16">
        <v>12612.443748240406</v>
      </c>
      <c r="Z160" s="16">
        <v>10208.76201657005</v>
      </c>
      <c r="AA160" s="16">
        <v>8444.4167496406335</v>
      </c>
      <c r="AB160" s="6">
        <f t="shared" si="4"/>
        <v>1222151.5472092265</v>
      </c>
      <c r="AC160" s="92">
        <f>+AB160+AB161+AB162</f>
        <v>7788436.7306381743</v>
      </c>
    </row>
    <row r="161" spans="1:29" ht="18.75" thickBot="1" x14ac:dyDescent="0.3">
      <c r="A161" s="96"/>
      <c r="B161" s="11" t="s">
        <v>29</v>
      </c>
      <c r="C161" s="11">
        <v>4</v>
      </c>
      <c r="D161" s="16">
        <v>7027.0674025792905</v>
      </c>
      <c r="E161" s="16">
        <v>6183.0609026433922</v>
      </c>
      <c r="F161" s="16">
        <v>5361.0049929019988</v>
      </c>
      <c r="G161" s="16">
        <v>4700.8498582415777</v>
      </c>
      <c r="H161" s="16">
        <v>4269.2017240967725</v>
      </c>
      <c r="I161" s="16">
        <v>4365.8516744929475</v>
      </c>
      <c r="J161" s="16">
        <v>4844.2617295031814</v>
      </c>
      <c r="K161" s="16">
        <v>6647.6932316820348</v>
      </c>
      <c r="L161" s="16">
        <v>8873.1553536420324</v>
      </c>
      <c r="M161" s="16">
        <v>10337.992516614813</v>
      </c>
      <c r="N161" s="16">
        <v>11197.509370697695</v>
      </c>
      <c r="O161" s="16">
        <v>12462.783705620495</v>
      </c>
      <c r="P161" s="16">
        <v>13233.292737152227</v>
      </c>
      <c r="Q161" s="16">
        <v>13147.634741739595</v>
      </c>
      <c r="R161" s="16">
        <v>12373.252286642713</v>
      </c>
      <c r="S161" s="16">
        <v>11877.195842063218</v>
      </c>
      <c r="T161" s="16">
        <v>11535.988280691538</v>
      </c>
      <c r="U161" s="16">
        <v>11238.955597840963</v>
      </c>
      <c r="V161" s="16">
        <v>12362.0401831616</v>
      </c>
      <c r="W161" s="16">
        <v>14197.512216674448</v>
      </c>
      <c r="X161" s="16">
        <v>13610.593942196789</v>
      </c>
      <c r="Y161" s="16">
        <v>11924.490879290297</v>
      </c>
      <c r="Z161" s="16">
        <v>9819.3369362669255</v>
      </c>
      <c r="AA161" s="16">
        <v>7946.5015377466225</v>
      </c>
      <c r="AB161" s="6">
        <f t="shared" si="4"/>
        <v>918148.91057673248</v>
      </c>
      <c r="AC161" s="93"/>
    </row>
    <row r="162" spans="1:29" ht="18.75" thickBot="1" x14ac:dyDescent="0.3">
      <c r="A162" s="97"/>
      <c r="B162" s="12" t="s">
        <v>30</v>
      </c>
      <c r="C162" s="12">
        <v>22</v>
      </c>
      <c r="D162" s="16">
        <v>7075.1060594682494</v>
      </c>
      <c r="E162" s="16">
        <v>6179.1439504279188</v>
      </c>
      <c r="F162" s="16">
        <v>5567.6511536632024</v>
      </c>
      <c r="G162" s="16">
        <v>5151.3284865061105</v>
      </c>
      <c r="H162" s="16">
        <v>5023.7374320095332</v>
      </c>
      <c r="I162" s="16">
        <v>5933.290500927651</v>
      </c>
      <c r="J162" s="16">
        <v>7183.4979102561774</v>
      </c>
      <c r="K162" s="16">
        <v>8706.3395363151139</v>
      </c>
      <c r="L162" s="16">
        <v>10766.212597312853</v>
      </c>
      <c r="M162" s="16">
        <v>12242.868195944513</v>
      </c>
      <c r="N162" s="16">
        <v>13037.043222279466</v>
      </c>
      <c r="O162" s="16">
        <v>13179.026664868568</v>
      </c>
      <c r="P162" s="16">
        <v>12400.554458209204</v>
      </c>
      <c r="Q162" s="16">
        <v>12849.094276547552</v>
      </c>
      <c r="R162" s="16">
        <v>13255.795859365353</v>
      </c>
      <c r="S162" s="16">
        <v>13324.658622557763</v>
      </c>
      <c r="T162" s="16">
        <v>14612.87994666447</v>
      </c>
      <c r="U162" s="16">
        <v>14008.267682942394</v>
      </c>
      <c r="V162" s="16">
        <v>14262.049484650077</v>
      </c>
      <c r="W162" s="16">
        <v>15014.996991822834</v>
      </c>
      <c r="X162" s="16">
        <v>14452.123004303532</v>
      </c>
      <c r="Y162" s="16">
        <v>13031.118440608876</v>
      </c>
      <c r="Z162" s="16">
        <v>10822.610696625077</v>
      </c>
      <c r="AA162" s="16">
        <v>8654.0717735515573</v>
      </c>
      <c r="AB162" s="6">
        <f t="shared" si="4"/>
        <v>5648136.2728522159</v>
      </c>
      <c r="AC162" s="94"/>
    </row>
    <row r="163" spans="1:29" ht="18.75" thickBot="1" x14ac:dyDescent="0.3">
      <c r="A163" s="95">
        <v>47727</v>
      </c>
      <c r="B163" s="9" t="s">
        <v>28</v>
      </c>
      <c r="C163" s="9">
        <v>4</v>
      </c>
      <c r="D163" s="16">
        <v>6611.3310641577373</v>
      </c>
      <c r="E163" s="16">
        <v>6248.3766896957313</v>
      </c>
      <c r="F163" s="16">
        <v>5613.0152387551279</v>
      </c>
      <c r="G163" s="16">
        <v>5256.4653372357789</v>
      </c>
      <c r="H163" s="16">
        <v>5210.2021919334511</v>
      </c>
      <c r="I163" s="16">
        <v>5373.0498050875503</v>
      </c>
      <c r="J163" s="16">
        <v>6113.4278411638552</v>
      </c>
      <c r="K163" s="16">
        <v>8432.4759635531118</v>
      </c>
      <c r="L163" s="16">
        <v>11010.398961817085</v>
      </c>
      <c r="M163" s="16">
        <v>12644.436817324324</v>
      </c>
      <c r="N163" s="16">
        <v>13862.988945506346</v>
      </c>
      <c r="O163" s="16">
        <v>15159.753210036881</v>
      </c>
      <c r="P163" s="16">
        <v>15623.472689723709</v>
      </c>
      <c r="Q163" s="16">
        <v>15467.767478964262</v>
      </c>
      <c r="R163" s="16">
        <v>14956.910659141355</v>
      </c>
      <c r="S163" s="16">
        <v>14241.318247811712</v>
      </c>
      <c r="T163" s="16">
        <v>13636.054675115869</v>
      </c>
      <c r="U163" s="16">
        <v>13394.424707400347</v>
      </c>
      <c r="V163" s="16">
        <v>15112.609580729339</v>
      </c>
      <c r="W163" s="16">
        <v>15766.928690858309</v>
      </c>
      <c r="X163" s="16">
        <v>14943.426675518702</v>
      </c>
      <c r="Y163" s="16">
        <v>13356.459075651888</v>
      </c>
      <c r="Z163" s="16">
        <v>11516.90577137615</v>
      </c>
      <c r="AA163" s="16">
        <v>9557.8749803743885</v>
      </c>
      <c r="AB163" s="6">
        <f t="shared" si="4"/>
        <v>1076440.3011957321</v>
      </c>
      <c r="AC163" s="92">
        <f>+AB163+AB164+AB165</f>
        <v>8020389.719422223</v>
      </c>
    </row>
    <row r="164" spans="1:29" ht="18.75" thickBot="1" x14ac:dyDescent="0.3">
      <c r="A164" s="96"/>
      <c r="B164" s="11" t="s">
        <v>29</v>
      </c>
      <c r="C164" s="11">
        <v>5</v>
      </c>
      <c r="D164" s="16">
        <v>8087.5337761691189</v>
      </c>
      <c r="E164" s="16">
        <v>7053.644300565531</v>
      </c>
      <c r="F164" s="16">
        <v>6294.0800987376024</v>
      </c>
      <c r="G164" s="16">
        <v>5840.519727358489</v>
      </c>
      <c r="H164" s="16">
        <v>5505.960962064506</v>
      </c>
      <c r="I164" s="16">
        <v>5466.4922183357194</v>
      </c>
      <c r="J164" s="16">
        <v>5655.2281576334863</v>
      </c>
      <c r="K164" s="16">
        <v>7198.2952442786227</v>
      </c>
      <c r="L164" s="16">
        <v>9209.5429295703252</v>
      </c>
      <c r="M164" s="16">
        <v>10311.804084568968</v>
      </c>
      <c r="N164" s="16">
        <v>11271.764349592242</v>
      </c>
      <c r="O164" s="16">
        <v>12671.641676694831</v>
      </c>
      <c r="P164" s="16">
        <v>13333.757263050891</v>
      </c>
      <c r="Q164" s="16">
        <v>12862.385958080675</v>
      </c>
      <c r="R164" s="16">
        <v>11799.968800708277</v>
      </c>
      <c r="S164" s="16">
        <v>11313.889220070083</v>
      </c>
      <c r="T164" s="16">
        <v>10873.039264223313</v>
      </c>
      <c r="U164" s="16">
        <v>11048.580521785869</v>
      </c>
      <c r="V164" s="16">
        <v>13311.09318547868</v>
      </c>
      <c r="W164" s="16">
        <v>14164.818862492364</v>
      </c>
      <c r="X164" s="16">
        <v>13619.568660313551</v>
      </c>
      <c r="Y164" s="16">
        <v>12326.106210802558</v>
      </c>
      <c r="Z164" s="16">
        <v>10197.854779561359</v>
      </c>
      <c r="AA164" s="16">
        <v>8328.505477271221</v>
      </c>
      <c r="AB164" s="6">
        <f t="shared" si="4"/>
        <v>1188730.3786470415</v>
      </c>
      <c r="AC164" s="93"/>
    </row>
    <row r="165" spans="1:29" ht="18.75" thickBot="1" x14ac:dyDescent="0.3">
      <c r="A165" s="97"/>
      <c r="B165" s="12" t="s">
        <v>30</v>
      </c>
      <c r="C165" s="12">
        <v>21</v>
      </c>
      <c r="D165" s="16">
        <v>6956.7984926496065</v>
      </c>
      <c r="E165" s="16">
        <v>6197.4866200041179</v>
      </c>
      <c r="F165" s="16">
        <v>5627.3499757542377</v>
      </c>
      <c r="G165" s="16">
        <v>5096.055254477058</v>
      </c>
      <c r="H165" s="16">
        <v>5206.9527866761309</v>
      </c>
      <c r="I165" s="16">
        <v>6246.7739038767177</v>
      </c>
      <c r="J165" s="16">
        <v>7619.0947497495945</v>
      </c>
      <c r="K165" s="16">
        <v>9139.6376452423938</v>
      </c>
      <c r="L165" s="16">
        <v>11353.539206285644</v>
      </c>
      <c r="M165" s="16">
        <v>12518.790796876074</v>
      </c>
      <c r="N165" s="16">
        <v>13465.103750399536</v>
      </c>
      <c r="O165" s="16">
        <v>14724.673473719497</v>
      </c>
      <c r="P165" s="16">
        <v>14941.051465095119</v>
      </c>
      <c r="Q165" s="16">
        <v>15129.319909313934</v>
      </c>
      <c r="R165" s="16">
        <v>15545.279992632448</v>
      </c>
      <c r="S165" s="16">
        <v>15384.025255087778</v>
      </c>
      <c r="T165" s="16">
        <v>15105.119558675495</v>
      </c>
      <c r="U165" s="16">
        <v>14551.813118429971</v>
      </c>
      <c r="V165" s="16">
        <v>15805.117302322375</v>
      </c>
      <c r="W165" s="16">
        <v>16182.407747850171</v>
      </c>
      <c r="X165" s="16">
        <v>15198.505750542379</v>
      </c>
      <c r="Y165" s="16">
        <v>13195.45342741346</v>
      </c>
      <c r="Z165" s="16">
        <v>10510.385054763083</v>
      </c>
      <c r="AA165" s="16">
        <v>8357.3142659464465</v>
      </c>
      <c r="AB165" s="6">
        <f t="shared" si="4"/>
        <v>5755219.0395794492</v>
      </c>
      <c r="AC165" s="94"/>
    </row>
    <row r="166" spans="1:29" ht="18.75" thickBot="1" x14ac:dyDescent="0.3">
      <c r="A166" s="95">
        <v>47757</v>
      </c>
      <c r="B166" s="9" t="s">
        <v>28</v>
      </c>
      <c r="C166" s="9">
        <v>4</v>
      </c>
      <c r="D166" s="16">
        <v>6809.5530893054274</v>
      </c>
      <c r="E166" s="16">
        <v>5971.249305739555</v>
      </c>
      <c r="F166" s="16">
        <v>5432.326281789552</v>
      </c>
      <c r="G166" s="16">
        <v>4942.300406747705</v>
      </c>
      <c r="H166" s="16">
        <v>4708.477767840981</v>
      </c>
      <c r="I166" s="16">
        <v>4858.3867653728303</v>
      </c>
      <c r="J166" s="16">
        <v>5298.1891409136188</v>
      </c>
      <c r="K166" s="16">
        <v>7481.2199583981273</v>
      </c>
      <c r="L166" s="16">
        <v>10156.308017526535</v>
      </c>
      <c r="M166" s="16">
        <v>12150.051450712497</v>
      </c>
      <c r="N166" s="16">
        <v>13566.648276852517</v>
      </c>
      <c r="O166" s="16">
        <v>15073.748656619209</v>
      </c>
      <c r="P166" s="16">
        <v>15451.07657197757</v>
      </c>
      <c r="Q166" s="16">
        <v>15024.420548370152</v>
      </c>
      <c r="R166" s="16">
        <v>14555.262728792255</v>
      </c>
      <c r="S166" s="16">
        <v>13916.842490018655</v>
      </c>
      <c r="T166" s="16">
        <v>13376.342071199499</v>
      </c>
      <c r="U166" s="16">
        <v>13354.478206773063</v>
      </c>
      <c r="V166" s="16">
        <v>14694.636234863789</v>
      </c>
      <c r="W166" s="16">
        <v>14851.902921725636</v>
      </c>
      <c r="X166" s="16">
        <v>14285.396407921784</v>
      </c>
      <c r="Y166" s="16">
        <v>12925.723871423255</v>
      </c>
      <c r="Z166" s="16">
        <v>11030.358413995909</v>
      </c>
      <c r="AA166" s="16">
        <v>9146.1414144700575</v>
      </c>
      <c r="AB166" s="6">
        <f t="shared" si="4"/>
        <v>1036244.1639974009</v>
      </c>
      <c r="AC166" s="92">
        <f>+AB166+AB167+AB168</f>
        <v>8129272.8993255422</v>
      </c>
    </row>
    <row r="167" spans="1:29" ht="18.75" thickBot="1" x14ac:dyDescent="0.3">
      <c r="A167" s="96"/>
      <c r="B167" s="11" t="s">
        <v>29</v>
      </c>
      <c r="C167" s="11">
        <v>4</v>
      </c>
      <c r="D167" s="16">
        <v>7347.7121018413491</v>
      </c>
      <c r="E167" s="16">
        <v>6375.3272439545799</v>
      </c>
      <c r="F167" s="16">
        <v>5655.9648912227422</v>
      </c>
      <c r="G167" s="16">
        <v>5251.0304736185535</v>
      </c>
      <c r="H167" s="16">
        <v>5059.1138189333287</v>
      </c>
      <c r="I167" s="16">
        <v>5119.6656983667635</v>
      </c>
      <c r="J167" s="16">
        <v>5273.4755055445239</v>
      </c>
      <c r="K167" s="16">
        <v>6880.9622152798911</v>
      </c>
      <c r="L167" s="16">
        <v>8718.4841426074963</v>
      </c>
      <c r="M167" s="16">
        <v>10091.629388598543</v>
      </c>
      <c r="N167" s="16">
        <v>10827.550621792361</v>
      </c>
      <c r="O167" s="16">
        <v>12520.270210574348</v>
      </c>
      <c r="P167" s="16">
        <v>13421.555982167814</v>
      </c>
      <c r="Q167" s="16">
        <v>13162.240633821351</v>
      </c>
      <c r="R167" s="16">
        <v>12005.89555117823</v>
      </c>
      <c r="S167" s="16">
        <v>10623.274220572701</v>
      </c>
      <c r="T167" s="16">
        <v>10834.782370577104</v>
      </c>
      <c r="U167" s="16">
        <v>11384.801969944827</v>
      </c>
      <c r="V167" s="16">
        <v>13550.027053728612</v>
      </c>
      <c r="W167" s="16">
        <v>13991.421468388005</v>
      </c>
      <c r="X167" s="16">
        <v>12896.982230641599</v>
      </c>
      <c r="Y167" s="16">
        <v>11186.493727986079</v>
      </c>
      <c r="Z167" s="16">
        <v>9092.9183542748506</v>
      </c>
      <c r="AA167" s="16">
        <v>7368.3814139199239</v>
      </c>
      <c r="AB167" s="6">
        <f t="shared" si="4"/>
        <v>914559.84515814227</v>
      </c>
      <c r="AC167" s="93"/>
    </row>
    <row r="168" spans="1:29" ht="18.75" thickBot="1" x14ac:dyDescent="0.3">
      <c r="A168" s="97"/>
      <c r="B168" s="12" t="s">
        <v>30</v>
      </c>
      <c r="C168" s="12">
        <v>23</v>
      </c>
      <c r="D168" s="16">
        <v>6922.4475101535972</v>
      </c>
      <c r="E168" s="16">
        <v>6091.9698417150212</v>
      </c>
      <c r="F168" s="16">
        <v>5485.4849072871875</v>
      </c>
      <c r="G168" s="16">
        <v>4861.8372928759745</v>
      </c>
      <c r="H168" s="16">
        <v>5065.3604091188099</v>
      </c>
      <c r="I168" s="16">
        <v>5894.5216165875026</v>
      </c>
      <c r="J168" s="16">
        <v>7048.5710134352776</v>
      </c>
      <c r="K168" s="16">
        <v>8882.6552317326459</v>
      </c>
      <c r="L168" s="16">
        <v>10905.287014453814</v>
      </c>
      <c r="M168" s="16">
        <v>12146.794151228038</v>
      </c>
      <c r="N168" s="16">
        <v>12941.870392642977</v>
      </c>
      <c r="O168" s="16">
        <v>13888.572432106255</v>
      </c>
      <c r="P168" s="16">
        <v>14661.406531014829</v>
      </c>
      <c r="Q168" s="16">
        <v>14675.4090960783</v>
      </c>
      <c r="R168" s="16">
        <v>15143.342694439325</v>
      </c>
      <c r="S168" s="16">
        <v>15326.735863427424</v>
      </c>
      <c r="T168" s="16">
        <v>15170.544102512111</v>
      </c>
      <c r="U168" s="16">
        <v>14428.505148527966</v>
      </c>
      <c r="V168" s="16">
        <v>16042.376751022824</v>
      </c>
      <c r="W168" s="16">
        <v>15950.8471490095</v>
      </c>
      <c r="X168" s="16">
        <v>15052.754508461963</v>
      </c>
      <c r="Y168" s="16">
        <v>12988.380528891041</v>
      </c>
      <c r="Z168" s="16">
        <v>10554.864959588482</v>
      </c>
      <c r="AA168" s="16">
        <v>8498.5430349934759</v>
      </c>
      <c r="AB168" s="6">
        <f t="shared" si="4"/>
        <v>6178468.8901699996</v>
      </c>
      <c r="AC168" s="94"/>
    </row>
    <row r="169" spans="1:29" ht="18.75" thickBot="1" x14ac:dyDescent="0.3">
      <c r="A169" s="95">
        <v>47788</v>
      </c>
      <c r="B169" s="9" t="s">
        <v>28</v>
      </c>
      <c r="C169" s="9">
        <v>5</v>
      </c>
      <c r="D169" s="16">
        <v>6514.4065459911217</v>
      </c>
      <c r="E169" s="16">
        <v>6228.6449049060793</v>
      </c>
      <c r="F169" s="16">
        <v>5512.4900723661922</v>
      </c>
      <c r="G169" s="16">
        <v>4934.6722006019118</v>
      </c>
      <c r="H169" s="16">
        <v>4926.6210202962757</v>
      </c>
      <c r="I169" s="16">
        <v>5163.693784807565</v>
      </c>
      <c r="J169" s="16">
        <v>5769.645575106566</v>
      </c>
      <c r="K169" s="16">
        <v>7924.3996387054285</v>
      </c>
      <c r="L169" s="16">
        <v>10759.145205002136</v>
      </c>
      <c r="M169" s="16">
        <v>12483.305132546175</v>
      </c>
      <c r="N169" s="16">
        <v>13584.675786851694</v>
      </c>
      <c r="O169" s="16">
        <v>14712.959621247101</v>
      </c>
      <c r="P169" s="16">
        <v>15229.509484479222</v>
      </c>
      <c r="Q169" s="16">
        <v>14908.426806333711</v>
      </c>
      <c r="R169" s="16">
        <v>14422.24469577269</v>
      </c>
      <c r="S169" s="16">
        <v>13800.183846709071</v>
      </c>
      <c r="T169" s="16">
        <v>13241.454037404015</v>
      </c>
      <c r="U169" s="16">
        <v>13551.302237872645</v>
      </c>
      <c r="V169" s="16">
        <v>15366.69938649665</v>
      </c>
      <c r="W169" s="16">
        <v>15419.330126306562</v>
      </c>
      <c r="X169" s="16">
        <v>14656.812350937631</v>
      </c>
      <c r="Y169" s="16">
        <v>13057.462463514261</v>
      </c>
      <c r="Z169" s="16">
        <v>11153.939386033202</v>
      </c>
      <c r="AA169" s="16">
        <v>9245.4680477777911</v>
      </c>
      <c r="AB169" s="6">
        <f t="shared" si="4"/>
        <v>1312837.4617903284</v>
      </c>
      <c r="AC169" s="92">
        <f>+AB169+AB170+AB171</f>
        <v>7906906.1104953177</v>
      </c>
    </row>
    <row r="170" spans="1:29" ht="18.75" thickBot="1" x14ac:dyDescent="0.3">
      <c r="A170" s="96"/>
      <c r="B170" s="11" t="s">
        <v>29</v>
      </c>
      <c r="C170" s="11">
        <v>4</v>
      </c>
      <c r="D170" s="16">
        <v>7529.701624018624</v>
      </c>
      <c r="E170" s="16">
        <v>6591.8022724292969</v>
      </c>
      <c r="F170" s="16">
        <v>6034.7264285578385</v>
      </c>
      <c r="G170" s="16">
        <v>5573.0717594015259</v>
      </c>
      <c r="H170" s="16">
        <v>5395.5898336718892</v>
      </c>
      <c r="I170" s="16">
        <v>5463.9325274416988</v>
      </c>
      <c r="J170" s="16">
        <v>5830.3167303328446</v>
      </c>
      <c r="K170" s="16">
        <v>7423.9329985036093</v>
      </c>
      <c r="L170" s="16">
        <v>9525.7285912187763</v>
      </c>
      <c r="M170" s="16">
        <v>10831.114948801474</v>
      </c>
      <c r="N170" s="16">
        <v>11569.914084780605</v>
      </c>
      <c r="O170" s="16">
        <v>12534.236455167742</v>
      </c>
      <c r="P170" s="16">
        <v>13058.297579702961</v>
      </c>
      <c r="Q170" s="16">
        <v>12655.002963653449</v>
      </c>
      <c r="R170" s="16">
        <v>11822.215579332791</v>
      </c>
      <c r="S170" s="16">
        <v>11200.972622635036</v>
      </c>
      <c r="T170" s="16">
        <v>10965.037348091464</v>
      </c>
      <c r="U170" s="16">
        <v>11183.114867411135</v>
      </c>
      <c r="V170" s="16">
        <v>13645.263932820599</v>
      </c>
      <c r="W170" s="16">
        <v>14244.711577014004</v>
      </c>
      <c r="X170" s="16">
        <v>13335.631030137651</v>
      </c>
      <c r="Y170" s="16">
        <v>11759.249349711099</v>
      </c>
      <c r="Z170" s="16">
        <v>9913.3375674822055</v>
      </c>
      <c r="AA170" s="16">
        <v>8238.2597938004437</v>
      </c>
      <c r="AB170" s="6">
        <f t="shared" si="4"/>
        <v>945300.64986447513</v>
      </c>
      <c r="AC170" s="93"/>
    </row>
    <row r="171" spans="1:29" ht="18.75" thickBot="1" x14ac:dyDescent="0.3">
      <c r="A171" s="97"/>
      <c r="B171" s="12" t="s">
        <v>30</v>
      </c>
      <c r="C171" s="12">
        <v>21</v>
      </c>
      <c r="D171" s="16">
        <v>6872.9662293010078</v>
      </c>
      <c r="E171" s="16">
        <v>6033.8248358553137</v>
      </c>
      <c r="F171" s="16">
        <v>5494.7258254892113</v>
      </c>
      <c r="G171" s="16">
        <v>5139.7297458120265</v>
      </c>
      <c r="H171" s="16">
        <v>5116.1475945863385</v>
      </c>
      <c r="I171" s="16">
        <v>5913.8878883438301</v>
      </c>
      <c r="J171" s="16">
        <v>7219.1021405978536</v>
      </c>
      <c r="K171" s="16">
        <v>9141.1135167251414</v>
      </c>
      <c r="L171" s="16">
        <v>11207.50544853208</v>
      </c>
      <c r="M171" s="16">
        <v>12321.964201419356</v>
      </c>
      <c r="N171" s="16">
        <v>13420.290638065166</v>
      </c>
      <c r="O171" s="16">
        <v>14576.317479324418</v>
      </c>
      <c r="P171" s="16">
        <v>14945.32711910213</v>
      </c>
      <c r="Q171" s="16">
        <v>14810.85285311149</v>
      </c>
      <c r="R171" s="16">
        <v>15174.423499353328</v>
      </c>
      <c r="S171" s="16">
        <v>14772.914326576545</v>
      </c>
      <c r="T171" s="16">
        <v>14225.810092679065</v>
      </c>
      <c r="U171" s="16">
        <v>13993.886068392592</v>
      </c>
      <c r="V171" s="16">
        <v>15738.788967418506</v>
      </c>
      <c r="W171" s="16">
        <v>15502.934429544555</v>
      </c>
      <c r="X171" s="16">
        <v>14885.979619978258</v>
      </c>
      <c r="Y171" s="16">
        <v>13181.366113247172</v>
      </c>
      <c r="Z171" s="16">
        <v>10715.833550105745</v>
      </c>
      <c r="AA171" s="16">
        <v>8583.2601421776562</v>
      </c>
      <c r="AB171" s="6">
        <f t="shared" si="4"/>
        <v>5648767.9988405146</v>
      </c>
      <c r="AC171" s="94"/>
    </row>
    <row r="172" spans="1:29" ht="18.75" thickBot="1" x14ac:dyDescent="0.3">
      <c r="A172" s="95">
        <v>47818</v>
      </c>
      <c r="B172" s="9" t="s">
        <v>28</v>
      </c>
      <c r="C172" s="9">
        <v>4</v>
      </c>
      <c r="D172" s="16">
        <v>7974.6118524187405</v>
      </c>
      <c r="E172" s="16">
        <v>6922.6247176661673</v>
      </c>
      <c r="F172" s="16">
        <v>6372.8023386582536</v>
      </c>
      <c r="G172" s="16">
        <v>6009.833922196176</v>
      </c>
      <c r="H172" s="16">
        <v>5909.1721031828129</v>
      </c>
      <c r="I172" s="16">
        <v>6301.4170608305576</v>
      </c>
      <c r="J172" s="16">
        <v>6809.0169014958919</v>
      </c>
      <c r="K172" s="16">
        <v>8745.1779189081863</v>
      </c>
      <c r="L172" s="16">
        <v>11352.410704946626</v>
      </c>
      <c r="M172" s="16">
        <v>12797.161227316115</v>
      </c>
      <c r="N172" s="16">
        <v>13772.98973513463</v>
      </c>
      <c r="O172" s="16">
        <v>14749.416755600494</v>
      </c>
      <c r="P172" s="16">
        <v>15077.717802173116</v>
      </c>
      <c r="Q172" s="16">
        <v>15012.378766546808</v>
      </c>
      <c r="R172" s="16">
        <v>14471.291721775473</v>
      </c>
      <c r="S172" s="16">
        <v>14025.28599781284</v>
      </c>
      <c r="T172" s="16">
        <v>13644.766830199431</v>
      </c>
      <c r="U172" s="16">
        <v>13581.061059719894</v>
      </c>
      <c r="V172" s="16">
        <v>15590.980331160205</v>
      </c>
      <c r="W172" s="16">
        <v>15874.614210267348</v>
      </c>
      <c r="X172" s="16">
        <v>15110.591741559474</v>
      </c>
      <c r="Y172" s="16">
        <v>13811.357767730842</v>
      </c>
      <c r="Z172" s="16">
        <v>11980.693034166354</v>
      </c>
      <c r="AA172" s="16">
        <v>10327.837135392951</v>
      </c>
      <c r="AB172" s="6">
        <f t="shared" si="4"/>
        <v>1104900.8465474374</v>
      </c>
      <c r="AC172" s="92">
        <f>+AB172+AB173+AB174</f>
        <v>8698603.256143406</v>
      </c>
    </row>
    <row r="173" spans="1:29" ht="18.75" thickBot="1" x14ac:dyDescent="0.3">
      <c r="A173" s="96"/>
      <c r="B173" s="11" t="s">
        <v>29</v>
      </c>
      <c r="C173" s="11">
        <v>5</v>
      </c>
      <c r="D173" s="16">
        <v>9009.6158395634702</v>
      </c>
      <c r="E173" s="16">
        <v>8062.9008976557525</v>
      </c>
      <c r="F173" s="16">
        <v>7401.7818604702152</v>
      </c>
      <c r="G173" s="16">
        <v>6877.6828806641752</v>
      </c>
      <c r="H173" s="16">
        <v>6646.7511310649716</v>
      </c>
      <c r="I173" s="16">
        <v>6766.3440737085621</v>
      </c>
      <c r="J173" s="16">
        <v>6797.0887973272365</v>
      </c>
      <c r="K173" s="16">
        <v>8254.276019119694</v>
      </c>
      <c r="L173" s="16">
        <v>10090.855631194201</v>
      </c>
      <c r="M173" s="16">
        <v>11632.9965249261</v>
      </c>
      <c r="N173" s="16">
        <v>12400.777259670631</v>
      </c>
      <c r="O173" s="16">
        <v>13533.285419878306</v>
      </c>
      <c r="P173" s="16">
        <v>14098.572185527479</v>
      </c>
      <c r="Q173" s="16">
        <v>14115.197068522491</v>
      </c>
      <c r="R173" s="16">
        <v>13461.045224337224</v>
      </c>
      <c r="S173" s="16">
        <v>12780.090972233771</v>
      </c>
      <c r="T173" s="16">
        <v>12462.577202905788</v>
      </c>
      <c r="U173" s="16">
        <v>12342.550127848997</v>
      </c>
      <c r="V173" s="16">
        <v>14600.193222036192</v>
      </c>
      <c r="W173" s="16">
        <v>15305.772195195474</v>
      </c>
      <c r="X173" s="16">
        <v>14218.544467172898</v>
      </c>
      <c r="Y173" s="16">
        <v>12768.234520987684</v>
      </c>
      <c r="Z173" s="16">
        <v>11675.386955900965</v>
      </c>
      <c r="AA173" s="16">
        <v>10079.148105630313</v>
      </c>
      <c r="AB173" s="6">
        <f t="shared" si="4"/>
        <v>1326908.3429177131</v>
      </c>
      <c r="AC173" s="93"/>
    </row>
    <row r="174" spans="1:29" ht="18.75" thickBot="1" x14ac:dyDescent="0.3">
      <c r="A174" s="97"/>
      <c r="B174" s="12" t="s">
        <v>30</v>
      </c>
      <c r="C174" s="12">
        <v>22</v>
      </c>
      <c r="D174" s="16">
        <v>8343.9340968072247</v>
      </c>
      <c r="E174" s="16">
        <v>7357.4600119214883</v>
      </c>
      <c r="F174" s="16">
        <v>6731.3884864610955</v>
      </c>
      <c r="G174" s="16">
        <v>6285.1087954415707</v>
      </c>
      <c r="H174" s="16">
        <v>6177.779541522752</v>
      </c>
      <c r="I174" s="16">
        <v>6614.377457531551</v>
      </c>
      <c r="J174" s="16">
        <v>7487.1140685776227</v>
      </c>
      <c r="K174" s="16">
        <v>9583.6304128817283</v>
      </c>
      <c r="L174" s="16">
        <v>12079.8480343669</v>
      </c>
      <c r="M174" s="16">
        <v>12969.947934856526</v>
      </c>
      <c r="N174" s="16">
        <v>13512.094419268662</v>
      </c>
      <c r="O174" s="16">
        <v>14557.962956417661</v>
      </c>
      <c r="P174" s="16">
        <v>14649.348331168552</v>
      </c>
      <c r="Q174" s="16">
        <v>14757.36119812453</v>
      </c>
      <c r="R174" s="16">
        <v>14768.515771863</v>
      </c>
      <c r="S174" s="16">
        <v>14805.071607714486</v>
      </c>
      <c r="T174" s="16">
        <v>14487.376598641178</v>
      </c>
      <c r="U174" s="16">
        <v>14285.378379458267</v>
      </c>
      <c r="V174" s="16">
        <v>16470.535209524354</v>
      </c>
      <c r="W174" s="16">
        <v>16682.896809670485</v>
      </c>
      <c r="X174" s="16">
        <v>15830.982899197876</v>
      </c>
      <c r="Y174" s="16">
        <v>14150.540424527371</v>
      </c>
      <c r="Z174" s="16">
        <v>12108.834752526855</v>
      </c>
      <c r="AA174" s="16">
        <v>10156.787559630768</v>
      </c>
      <c r="AB174" s="6">
        <f t="shared" si="4"/>
        <v>6266794.0666782549</v>
      </c>
      <c r="AC174" s="94"/>
    </row>
    <row r="176" spans="1:29" ht="15.75" thickBot="1" x14ac:dyDescent="0.3"/>
    <row r="177" spans="1:33" ht="18.75" thickBot="1" x14ac:dyDescent="0.3">
      <c r="A177" s="1" t="s">
        <v>0</v>
      </c>
      <c r="B177" s="2" t="s">
        <v>1</v>
      </c>
      <c r="C177" s="2" t="s">
        <v>2</v>
      </c>
      <c r="D177" s="27" t="s">
        <v>3</v>
      </c>
      <c r="E177" s="5" t="s">
        <v>4</v>
      </c>
      <c r="F177" s="5" t="s">
        <v>5</v>
      </c>
      <c r="G177" s="5" t="s">
        <v>6</v>
      </c>
      <c r="H177" s="5" t="s">
        <v>7</v>
      </c>
      <c r="I177" s="5" t="s">
        <v>8</v>
      </c>
      <c r="J177" s="5" t="s">
        <v>9</v>
      </c>
      <c r="K177" s="5" t="s">
        <v>10</v>
      </c>
      <c r="L177" s="5" t="s">
        <v>11</v>
      </c>
      <c r="M177" s="5" t="s">
        <v>12</v>
      </c>
      <c r="N177" s="5" t="s">
        <v>13</v>
      </c>
      <c r="O177" s="5" t="s">
        <v>14</v>
      </c>
      <c r="P177" s="5" t="s">
        <v>15</v>
      </c>
      <c r="Q177" s="5" t="s">
        <v>16</v>
      </c>
      <c r="R177" s="5" t="s">
        <v>17</v>
      </c>
      <c r="S177" s="5" t="s">
        <v>18</v>
      </c>
      <c r="T177" s="5" t="s">
        <v>19</v>
      </c>
      <c r="U177" s="5" t="s">
        <v>20</v>
      </c>
      <c r="V177" s="5" t="s">
        <v>21</v>
      </c>
      <c r="W177" s="5" t="s">
        <v>22</v>
      </c>
      <c r="X177" s="5" t="s">
        <v>23</v>
      </c>
      <c r="Y177" s="5" t="s">
        <v>24</v>
      </c>
      <c r="Z177" s="5" t="s">
        <v>25</v>
      </c>
      <c r="AA177" s="5" t="s">
        <v>26</v>
      </c>
      <c r="AB177" s="109" t="s">
        <v>27</v>
      </c>
      <c r="AC177" s="110"/>
    </row>
    <row r="178" spans="1:33" ht="18.75" thickBot="1" x14ac:dyDescent="0.3">
      <c r="A178" s="95">
        <v>47849</v>
      </c>
      <c r="B178" s="9" t="s">
        <v>28</v>
      </c>
      <c r="C178" s="9">
        <v>4</v>
      </c>
      <c r="D178" s="16">
        <v>6959.2845441093014</v>
      </c>
      <c r="E178" s="16">
        <v>6064.2835244336929</v>
      </c>
      <c r="F178" s="16">
        <v>5509.8390332687304</v>
      </c>
      <c r="G178" s="16">
        <v>4995.3886187029166</v>
      </c>
      <c r="H178" s="16">
        <v>4929.5616508873209</v>
      </c>
      <c r="I178" s="16">
        <v>5117.6594601715151</v>
      </c>
      <c r="J178" s="16">
        <v>5495.8359779174643</v>
      </c>
      <c r="K178" s="16">
        <v>7289.7763098083524</v>
      </c>
      <c r="L178" s="16">
        <v>9990.2504692080111</v>
      </c>
      <c r="M178" s="16">
        <v>11637.134145649026</v>
      </c>
      <c r="N178" s="16">
        <v>12604.18690045875</v>
      </c>
      <c r="O178" s="16">
        <v>13999.532708517709</v>
      </c>
      <c r="P178" s="16">
        <v>14415.327078606653</v>
      </c>
      <c r="Q178" s="16">
        <v>13980.048524374153</v>
      </c>
      <c r="R178" s="16">
        <v>13401.331073383921</v>
      </c>
      <c r="S178" s="16">
        <v>13523.796372053348</v>
      </c>
      <c r="T178" s="16">
        <v>13095.204153879757</v>
      </c>
      <c r="U178" s="16">
        <v>12789.290923607256</v>
      </c>
      <c r="V178" s="16">
        <v>14249.055487445108</v>
      </c>
      <c r="W178" s="16">
        <v>15273.998792006249</v>
      </c>
      <c r="X178" s="16">
        <v>14629.864656525235</v>
      </c>
      <c r="Y178" s="16">
        <v>13141.833281122217</v>
      </c>
      <c r="Z178" s="16">
        <v>11084.134193690148</v>
      </c>
      <c r="AA178" s="16">
        <v>9143.6415129361303</v>
      </c>
      <c r="AB178" s="6">
        <f t="shared" ref="AB178:AB213" si="5">SUM(D178:AA178)*C178</f>
        <v>1013281.0375710519</v>
      </c>
      <c r="AC178" s="92">
        <f>+AB178+AB179+AB180</f>
        <v>7977999.8441648465</v>
      </c>
      <c r="AF178" s="67">
        <v>47849</v>
      </c>
      <c r="AG178" s="68">
        <f>AB178+AB179+AB180</f>
        <v>7977999.8441648465</v>
      </c>
    </row>
    <row r="179" spans="1:33" ht="18.75" thickBot="1" x14ac:dyDescent="0.3">
      <c r="A179" s="96"/>
      <c r="B179" s="11" t="s">
        <v>29</v>
      </c>
      <c r="C179" s="11">
        <v>6</v>
      </c>
      <c r="D179" s="16">
        <v>7325.7537411495578</v>
      </c>
      <c r="E179" s="16">
        <v>6460.4277450758054</v>
      </c>
      <c r="F179" s="16">
        <v>5668.9826639592284</v>
      </c>
      <c r="G179" s="16">
        <v>5244.5816039161109</v>
      </c>
      <c r="H179" s="16">
        <v>4864.1150499040996</v>
      </c>
      <c r="I179" s="16">
        <v>4826.5442091920813</v>
      </c>
      <c r="J179" s="16">
        <v>4903.3811585206931</v>
      </c>
      <c r="K179" s="16">
        <v>6046.5202509024966</v>
      </c>
      <c r="L179" s="16">
        <v>7984.6331459131579</v>
      </c>
      <c r="M179" s="16">
        <v>9302.8407028268703</v>
      </c>
      <c r="N179" s="16">
        <v>9972.708007882884</v>
      </c>
      <c r="O179" s="16">
        <v>11078.977160232545</v>
      </c>
      <c r="P179" s="16">
        <v>11775.411735164504</v>
      </c>
      <c r="Q179" s="16">
        <v>11717.322454427635</v>
      </c>
      <c r="R179" s="16">
        <v>10800.085645602012</v>
      </c>
      <c r="S179" s="16">
        <v>10398.087764607048</v>
      </c>
      <c r="T179" s="16">
        <v>10095.037970038917</v>
      </c>
      <c r="U179" s="16">
        <v>9936.306759565523</v>
      </c>
      <c r="V179" s="16">
        <v>12181.899939214261</v>
      </c>
      <c r="W179" s="16">
        <v>13648.544584014428</v>
      </c>
      <c r="X179" s="16">
        <v>13022.465051717121</v>
      </c>
      <c r="Y179" s="16">
        <v>11325.618696019603</v>
      </c>
      <c r="Z179" s="16">
        <v>9481.3224966859671</v>
      </c>
      <c r="AA179" s="16">
        <v>7722.8025795390677</v>
      </c>
      <c r="AB179" s="6">
        <f t="shared" si="5"/>
        <v>1294706.2266964295</v>
      </c>
      <c r="AC179" s="93"/>
      <c r="AF179" s="67">
        <v>47880</v>
      </c>
      <c r="AG179" s="68">
        <f>AC181</f>
        <v>6758682.0960461395</v>
      </c>
    </row>
    <row r="180" spans="1:33" ht="18.75" thickBot="1" x14ac:dyDescent="0.3">
      <c r="A180" s="97"/>
      <c r="B180" s="12" t="s">
        <v>30</v>
      </c>
      <c r="C180" s="12">
        <v>21</v>
      </c>
      <c r="D180" s="16">
        <v>7418.1250835662831</v>
      </c>
      <c r="E180" s="16">
        <v>6400.9391051418352</v>
      </c>
      <c r="F180" s="16">
        <v>5813.6181186575232</v>
      </c>
      <c r="G180" s="16">
        <v>5465.0417315255545</v>
      </c>
      <c r="H180" s="16">
        <v>5415.2952854201576</v>
      </c>
      <c r="I180" s="16">
        <v>5992.0005979022717</v>
      </c>
      <c r="J180" s="16">
        <v>6820.9906735095028</v>
      </c>
      <c r="K180" s="16">
        <v>8510.6277650711672</v>
      </c>
      <c r="L180" s="16">
        <v>11078.273206849357</v>
      </c>
      <c r="M180" s="16">
        <v>12119.24015108234</v>
      </c>
      <c r="N180" s="16">
        <v>13057.031828858992</v>
      </c>
      <c r="O180" s="16">
        <v>14483.077758291147</v>
      </c>
      <c r="P180" s="16">
        <v>14938.319262302935</v>
      </c>
      <c r="Q180" s="16">
        <v>14886.445285504327</v>
      </c>
      <c r="R180" s="16">
        <v>14905.256043297806</v>
      </c>
      <c r="S180" s="16">
        <v>14796.712496314827</v>
      </c>
      <c r="T180" s="16">
        <v>14380.394587608313</v>
      </c>
      <c r="U180" s="16">
        <v>13884.539918766197</v>
      </c>
      <c r="V180" s="16">
        <v>14814.77513828392</v>
      </c>
      <c r="W180" s="16">
        <v>15802.665340614323</v>
      </c>
      <c r="X180" s="16">
        <v>15089.22252743641</v>
      </c>
      <c r="Y180" s="16">
        <v>13555.878146944448</v>
      </c>
      <c r="Z180" s="16">
        <v>11274.124475512708</v>
      </c>
      <c r="AA180" s="16">
        <v>9098.0045142692834</v>
      </c>
      <c r="AB180" s="6">
        <f t="shared" si="5"/>
        <v>5670012.5798973646</v>
      </c>
      <c r="AC180" s="94"/>
      <c r="AF180" s="67">
        <v>47908</v>
      </c>
      <c r="AG180" s="68">
        <f>AC184</f>
        <v>8312747.1079625143</v>
      </c>
    </row>
    <row r="181" spans="1:33" ht="18.75" thickBot="1" x14ac:dyDescent="0.3">
      <c r="A181" s="95">
        <v>47880</v>
      </c>
      <c r="B181" s="9" t="s">
        <v>28</v>
      </c>
      <c r="C181" s="9">
        <v>4</v>
      </c>
      <c r="D181" s="16">
        <v>6312.0070887203619</v>
      </c>
      <c r="E181" s="16">
        <v>5300.6579944944242</v>
      </c>
      <c r="F181" s="16">
        <v>4818.2304854526083</v>
      </c>
      <c r="G181" s="16">
        <v>4293.9039735291481</v>
      </c>
      <c r="H181" s="16">
        <v>4179.3730990294207</v>
      </c>
      <c r="I181" s="16">
        <v>4362.4819929865662</v>
      </c>
      <c r="J181" s="16">
        <v>5023.6419336005383</v>
      </c>
      <c r="K181" s="16">
        <v>6936.2111791658936</v>
      </c>
      <c r="L181" s="16">
        <v>9662.0744328976944</v>
      </c>
      <c r="M181" s="16">
        <v>10820.431912493885</v>
      </c>
      <c r="N181" s="16">
        <v>11656.160065863656</v>
      </c>
      <c r="O181" s="16">
        <v>12773.123682271515</v>
      </c>
      <c r="P181" s="16">
        <v>13055.261180476253</v>
      </c>
      <c r="Q181" s="16">
        <v>13293.869645192313</v>
      </c>
      <c r="R181" s="16">
        <v>12968.196746191879</v>
      </c>
      <c r="S181" s="16">
        <v>11566.073283162106</v>
      </c>
      <c r="T181" s="16">
        <v>11863.974111208376</v>
      </c>
      <c r="U181" s="16">
        <v>11773.655983017037</v>
      </c>
      <c r="V181" s="16">
        <v>13165.568407960407</v>
      </c>
      <c r="W181" s="16">
        <v>14102.831762123194</v>
      </c>
      <c r="X181" s="16">
        <v>13634.425063224542</v>
      </c>
      <c r="Y181" s="16">
        <v>12031.894855394941</v>
      </c>
      <c r="Z181" s="16">
        <v>9874.9016713332749</v>
      </c>
      <c r="AA181" s="16">
        <v>8073.2869961363685</v>
      </c>
      <c r="AB181" s="6">
        <f t="shared" si="5"/>
        <v>926168.95018370554</v>
      </c>
      <c r="AC181" s="92">
        <f>+AB181+AB182+AB183</f>
        <v>6758682.0960461395</v>
      </c>
      <c r="AF181" s="67">
        <v>47939</v>
      </c>
      <c r="AG181" s="68">
        <f>AC187</f>
        <v>7829931.4537678873</v>
      </c>
    </row>
    <row r="182" spans="1:33" ht="18.75" thickBot="1" x14ac:dyDescent="0.3">
      <c r="A182" s="96"/>
      <c r="B182" s="11" t="s">
        <v>29</v>
      </c>
      <c r="C182" s="11">
        <v>4</v>
      </c>
      <c r="D182" s="16">
        <v>6729.1951696391843</v>
      </c>
      <c r="E182" s="16">
        <v>5938.3820002611683</v>
      </c>
      <c r="F182" s="16">
        <v>5169.5508972853277</v>
      </c>
      <c r="G182" s="16">
        <v>4755.9433653691449</v>
      </c>
      <c r="H182" s="16">
        <v>4556.0651070551976</v>
      </c>
      <c r="I182" s="16">
        <v>4703.5298160979801</v>
      </c>
      <c r="J182" s="16">
        <v>4966.9155950149725</v>
      </c>
      <c r="K182" s="16">
        <v>6412.4874389773249</v>
      </c>
      <c r="L182" s="16">
        <v>8474.3636677611066</v>
      </c>
      <c r="M182" s="16">
        <v>9696.8738884089362</v>
      </c>
      <c r="N182" s="16">
        <v>10457.213126204231</v>
      </c>
      <c r="O182" s="16">
        <v>11590.179907686179</v>
      </c>
      <c r="P182" s="16">
        <v>12609.783154295808</v>
      </c>
      <c r="Q182" s="16">
        <v>12487.339839557859</v>
      </c>
      <c r="R182" s="16">
        <v>11513.861365281125</v>
      </c>
      <c r="S182" s="16">
        <v>10963.25060981953</v>
      </c>
      <c r="T182" s="16">
        <v>10296.069319163766</v>
      </c>
      <c r="U182" s="16">
        <v>10422.865749494147</v>
      </c>
      <c r="V182" s="16">
        <v>12339.654397203711</v>
      </c>
      <c r="W182" s="16">
        <v>12589.244344160277</v>
      </c>
      <c r="X182" s="16">
        <v>12590.314051746129</v>
      </c>
      <c r="Y182" s="16">
        <v>11251.303336281759</v>
      </c>
      <c r="Z182" s="16">
        <v>9398.6462052669849</v>
      </c>
      <c r="AA182" s="16">
        <v>7333.1703255593748</v>
      </c>
      <c r="AB182" s="6">
        <f t="shared" si="5"/>
        <v>868984.81071036495</v>
      </c>
      <c r="AC182" s="93"/>
      <c r="AF182" s="67">
        <v>47969</v>
      </c>
      <c r="AG182" s="68">
        <f>AC190</f>
        <v>8673993.6352526098</v>
      </c>
    </row>
    <row r="183" spans="1:33" ht="18.75" thickBot="1" x14ac:dyDescent="0.3">
      <c r="A183" s="97"/>
      <c r="B183" s="12" t="s">
        <v>30</v>
      </c>
      <c r="C183" s="12">
        <v>20</v>
      </c>
      <c r="D183" s="16">
        <v>6139.1338531035763</v>
      </c>
      <c r="E183" s="16">
        <v>5345.6468392480674</v>
      </c>
      <c r="F183" s="16">
        <v>4829.1181560357691</v>
      </c>
      <c r="G183" s="16">
        <v>4341.9635582336123</v>
      </c>
      <c r="H183" s="16">
        <v>4406.5280518083891</v>
      </c>
      <c r="I183" s="16">
        <v>5663.4862526178222</v>
      </c>
      <c r="J183" s="16">
        <v>7033.131355802805</v>
      </c>
      <c r="K183" s="16">
        <v>8269.5596607065781</v>
      </c>
      <c r="L183" s="16">
        <v>10154.217179049614</v>
      </c>
      <c r="M183" s="16">
        <v>10960.110678465342</v>
      </c>
      <c r="N183" s="16">
        <v>12226.412265652649</v>
      </c>
      <c r="O183" s="16">
        <v>13477.658992030465</v>
      </c>
      <c r="P183" s="16">
        <v>13773.711178594051</v>
      </c>
      <c r="Q183" s="16">
        <v>13594.361118237201</v>
      </c>
      <c r="R183" s="16">
        <v>13904.908691563371</v>
      </c>
      <c r="S183" s="16">
        <v>13929.120164410353</v>
      </c>
      <c r="T183" s="16">
        <v>13717.055304873276</v>
      </c>
      <c r="U183" s="16">
        <v>13048.859489959472</v>
      </c>
      <c r="V183" s="16">
        <v>14090.549226807045</v>
      </c>
      <c r="W183" s="16">
        <v>15044.168070367832</v>
      </c>
      <c r="X183" s="16">
        <v>14337.851188093864</v>
      </c>
      <c r="Y183" s="16">
        <v>12467.828712781586</v>
      </c>
      <c r="Z183" s="16">
        <v>9960.3233403965096</v>
      </c>
      <c r="AA183" s="16">
        <v>7460.7134287641711</v>
      </c>
      <c r="AB183" s="6">
        <f t="shared" si="5"/>
        <v>4963528.3351520691</v>
      </c>
      <c r="AC183" s="94"/>
      <c r="AF183" s="67">
        <v>48000</v>
      </c>
      <c r="AG183" s="68">
        <f>AC193</f>
        <v>8415628.9429268949</v>
      </c>
    </row>
    <row r="184" spans="1:33" ht="18.75" thickBot="1" x14ac:dyDescent="0.3">
      <c r="A184" s="95">
        <v>47908</v>
      </c>
      <c r="B184" s="9" t="s">
        <v>28</v>
      </c>
      <c r="C184" s="9">
        <v>5</v>
      </c>
      <c r="D184" s="16">
        <v>7453.8219219890052</v>
      </c>
      <c r="E184" s="16">
        <v>6421.4513001109008</v>
      </c>
      <c r="F184" s="16">
        <v>5793.7062238742037</v>
      </c>
      <c r="G184" s="16">
        <v>5312.1003964460797</v>
      </c>
      <c r="H184" s="16">
        <v>5245.2320186440629</v>
      </c>
      <c r="I184" s="16">
        <v>5546.2504706307227</v>
      </c>
      <c r="J184" s="16">
        <v>6234.0711428451177</v>
      </c>
      <c r="K184" s="16">
        <v>8145.5558272108865</v>
      </c>
      <c r="L184" s="16">
        <v>10915.843194842899</v>
      </c>
      <c r="M184" s="16">
        <v>12398.278539667055</v>
      </c>
      <c r="N184" s="16">
        <v>13543.142161656135</v>
      </c>
      <c r="O184" s="16">
        <v>15061.701506485402</v>
      </c>
      <c r="P184" s="16">
        <v>15552.710082465088</v>
      </c>
      <c r="Q184" s="16">
        <v>15517.161305389993</v>
      </c>
      <c r="R184" s="16">
        <v>15420.492945646311</v>
      </c>
      <c r="S184" s="16">
        <v>15111.982858902422</v>
      </c>
      <c r="T184" s="16">
        <v>14211.55120633664</v>
      </c>
      <c r="U184" s="16">
        <v>13784.668826011992</v>
      </c>
      <c r="V184" s="16">
        <v>15110.408293449218</v>
      </c>
      <c r="W184" s="16">
        <v>16281.376733960857</v>
      </c>
      <c r="X184" s="16">
        <v>15592.149770463817</v>
      </c>
      <c r="Y184" s="16">
        <v>14229.923998429735</v>
      </c>
      <c r="Z184" s="16">
        <v>12155.115494856542</v>
      </c>
      <c r="AA184" s="16">
        <v>10267.872593553428</v>
      </c>
      <c r="AB184" s="6">
        <f t="shared" si="5"/>
        <v>1376532.8440693428</v>
      </c>
      <c r="AC184" s="92">
        <f>+AB184+AB185+AB186</f>
        <v>8312747.1079625143</v>
      </c>
      <c r="AF184" s="67">
        <v>48030</v>
      </c>
      <c r="AG184" s="68">
        <f>AC196</f>
        <v>8636765.8708822709</v>
      </c>
    </row>
    <row r="185" spans="1:33" ht="18.75" thickBot="1" x14ac:dyDescent="0.3">
      <c r="A185" s="96"/>
      <c r="B185" s="11" t="s">
        <v>29</v>
      </c>
      <c r="C185" s="11">
        <v>6</v>
      </c>
      <c r="D185" s="16">
        <v>8677.9887533881629</v>
      </c>
      <c r="E185" s="16">
        <v>7618.2378062217795</v>
      </c>
      <c r="F185" s="16">
        <v>6816.9808827634151</v>
      </c>
      <c r="G185" s="16">
        <v>6148.6834485021573</v>
      </c>
      <c r="H185" s="16">
        <v>5720.1309184165111</v>
      </c>
      <c r="I185" s="16">
        <v>5884.6933270971385</v>
      </c>
      <c r="J185" s="16">
        <v>5913.5961329763049</v>
      </c>
      <c r="K185" s="16">
        <v>7451.926834306134</v>
      </c>
      <c r="L185" s="16">
        <v>9072.3212427489998</v>
      </c>
      <c r="M185" s="16">
        <v>10286.383610858069</v>
      </c>
      <c r="N185" s="16">
        <v>11408.946898718441</v>
      </c>
      <c r="O185" s="16">
        <v>12563.645401908012</v>
      </c>
      <c r="P185" s="16">
        <v>13541.358398211953</v>
      </c>
      <c r="Q185" s="16">
        <v>13356.686081425687</v>
      </c>
      <c r="R185" s="16">
        <v>12353.807797384874</v>
      </c>
      <c r="S185" s="16">
        <v>11747.983579851414</v>
      </c>
      <c r="T185" s="16">
        <v>11291.70015328881</v>
      </c>
      <c r="U185" s="16">
        <v>11116.684999573903</v>
      </c>
      <c r="V185" s="16">
        <v>12919.0258549481</v>
      </c>
      <c r="W185" s="16">
        <v>14719.331966525071</v>
      </c>
      <c r="X185" s="16">
        <v>14273.439756175856</v>
      </c>
      <c r="Y185" s="16">
        <v>12730.544474878978</v>
      </c>
      <c r="Z185" s="16">
        <v>10411.106823475136</v>
      </c>
      <c r="AA185" s="16">
        <v>8404.2642001599816</v>
      </c>
      <c r="AB185" s="6">
        <f t="shared" si="5"/>
        <v>1466576.8160628295</v>
      </c>
      <c r="AC185" s="93"/>
      <c r="AF185" s="67">
        <v>48061</v>
      </c>
      <c r="AG185" s="68">
        <f>AC199</f>
        <v>8351302.3117452022</v>
      </c>
    </row>
    <row r="186" spans="1:33" ht="18.75" thickBot="1" x14ac:dyDescent="0.3">
      <c r="A186" s="97"/>
      <c r="B186" s="12" t="s">
        <v>30</v>
      </c>
      <c r="C186" s="12">
        <v>20</v>
      </c>
      <c r="D186" s="16">
        <v>7033.5932397354482</v>
      </c>
      <c r="E186" s="16">
        <v>6183.9378888690189</v>
      </c>
      <c r="F186" s="16">
        <v>5614.2735870012184</v>
      </c>
      <c r="G186" s="16">
        <v>5249.2512815498449</v>
      </c>
      <c r="H186" s="16">
        <v>5236.8736860542231</v>
      </c>
      <c r="I186" s="16">
        <v>6366.3728460200218</v>
      </c>
      <c r="J186" s="16">
        <v>7596.1337919587422</v>
      </c>
      <c r="K186" s="16">
        <v>9097.5609374320375</v>
      </c>
      <c r="L186" s="16">
        <v>11080.086082925834</v>
      </c>
      <c r="M186" s="16">
        <v>12173.329886008458</v>
      </c>
      <c r="N186" s="16">
        <v>13278.243846236976</v>
      </c>
      <c r="O186" s="16">
        <v>14468.144418750537</v>
      </c>
      <c r="P186" s="16">
        <v>14583.043481938199</v>
      </c>
      <c r="Q186" s="16">
        <v>14604.578283063005</v>
      </c>
      <c r="R186" s="16">
        <v>15339.304092511902</v>
      </c>
      <c r="S186" s="16">
        <v>15363.71329120345</v>
      </c>
      <c r="T186" s="16">
        <v>15188.95884798071</v>
      </c>
      <c r="U186" s="16">
        <v>14502.647062780499</v>
      </c>
      <c r="V186" s="16">
        <v>15437.971566572825</v>
      </c>
      <c r="W186" s="16">
        <v>16392.261256221991</v>
      </c>
      <c r="X186" s="16">
        <v>15393.180588241557</v>
      </c>
      <c r="Y186" s="16">
        <v>13533.194239133569</v>
      </c>
      <c r="Z186" s="16">
        <v>11041.329364838784</v>
      </c>
      <c r="AA186" s="16">
        <v>8723.8888244882328</v>
      </c>
      <c r="AB186" s="6">
        <f t="shared" si="5"/>
        <v>5469637.4478303418</v>
      </c>
      <c r="AC186" s="94"/>
      <c r="AF186" s="67">
        <v>48092</v>
      </c>
      <c r="AG186" s="68">
        <f>AC202</f>
        <v>8662552.8556045704</v>
      </c>
    </row>
    <row r="187" spans="1:33" ht="18.75" thickBot="1" x14ac:dyDescent="0.3">
      <c r="A187" s="95">
        <v>47939</v>
      </c>
      <c r="B187" s="9" t="s">
        <v>28</v>
      </c>
      <c r="C187" s="9">
        <v>4</v>
      </c>
      <c r="D187" s="16">
        <v>7317.4341044772846</v>
      </c>
      <c r="E187" s="16">
        <v>6413.0507029223991</v>
      </c>
      <c r="F187" s="16">
        <v>5713.7456493465106</v>
      </c>
      <c r="G187" s="16">
        <v>5314.5998283113258</v>
      </c>
      <c r="H187" s="16">
        <v>5126.017461654963</v>
      </c>
      <c r="I187" s="16">
        <v>5261.7647495758538</v>
      </c>
      <c r="J187" s="16">
        <v>4133.1896620564657</v>
      </c>
      <c r="K187" s="16">
        <v>7894.085073781971</v>
      </c>
      <c r="L187" s="16">
        <v>10476.726984074983</v>
      </c>
      <c r="M187" s="16">
        <v>12048.579136902255</v>
      </c>
      <c r="N187" s="16">
        <v>12779.814657698382</v>
      </c>
      <c r="O187" s="16">
        <v>13945.300252466248</v>
      </c>
      <c r="P187" s="16">
        <v>14312.397900135293</v>
      </c>
      <c r="Q187" s="16">
        <v>14943.095251422543</v>
      </c>
      <c r="R187" s="16">
        <v>14689.795905628111</v>
      </c>
      <c r="S187" s="16">
        <v>13994.07339911165</v>
      </c>
      <c r="T187" s="16">
        <v>12798.388687524417</v>
      </c>
      <c r="U187" s="16">
        <v>12240.570701566787</v>
      </c>
      <c r="V187" s="16">
        <v>12513.060429369525</v>
      </c>
      <c r="W187" s="16">
        <v>13034.100595006792</v>
      </c>
      <c r="X187" s="16">
        <v>12904.801463770527</v>
      </c>
      <c r="Y187" s="16">
        <v>12764.472196605762</v>
      </c>
      <c r="Z187" s="16">
        <v>10973.393417060026</v>
      </c>
      <c r="AA187" s="16">
        <v>9209.842894877158</v>
      </c>
      <c r="AB187" s="6">
        <f t="shared" si="5"/>
        <v>1003209.2044213891</v>
      </c>
      <c r="AC187" s="92">
        <f>+AB187+AB188+AB189</f>
        <v>7829931.4537678873</v>
      </c>
      <c r="AF187" s="67">
        <v>48122</v>
      </c>
      <c r="AG187" s="68">
        <f>AC205</f>
        <v>8737679.4555246904</v>
      </c>
    </row>
    <row r="188" spans="1:33" ht="18.75" thickBot="1" x14ac:dyDescent="0.3">
      <c r="A188" s="96"/>
      <c r="B188" s="11" t="s">
        <v>29</v>
      </c>
      <c r="C188" s="11">
        <v>6</v>
      </c>
      <c r="D188" s="16">
        <v>6718.9597023486021</v>
      </c>
      <c r="E188" s="16">
        <v>5733.503874337548</v>
      </c>
      <c r="F188" s="16">
        <v>5190.758695392793</v>
      </c>
      <c r="G188" s="16">
        <v>4636.2785703851987</v>
      </c>
      <c r="H188" s="16">
        <v>4445.8029182059872</v>
      </c>
      <c r="I188" s="16">
        <v>3419.4966372257695</v>
      </c>
      <c r="J188" s="16">
        <v>4806.779846287227</v>
      </c>
      <c r="K188" s="16">
        <v>6317.3263580963321</v>
      </c>
      <c r="L188" s="16">
        <v>7979.2244259222934</v>
      </c>
      <c r="M188" s="16">
        <v>9041.1036443110061</v>
      </c>
      <c r="N188" s="16">
        <v>9863.6941151225765</v>
      </c>
      <c r="O188" s="16">
        <v>10644.287033070199</v>
      </c>
      <c r="P188" s="16">
        <v>11327.992812144199</v>
      </c>
      <c r="Q188" s="16">
        <v>11237.471792338329</v>
      </c>
      <c r="R188" s="16">
        <v>11023.113919837429</v>
      </c>
      <c r="S188" s="16">
        <v>10804.121992040215</v>
      </c>
      <c r="T188" s="16">
        <v>10480.753961006583</v>
      </c>
      <c r="U188" s="16">
        <v>10227.190668097061</v>
      </c>
      <c r="V188" s="16">
        <v>10752.852048360168</v>
      </c>
      <c r="W188" s="16">
        <v>12863.026482527956</v>
      </c>
      <c r="X188" s="16">
        <v>12891.985047906379</v>
      </c>
      <c r="Y188" s="16">
        <v>12132.129812757961</v>
      </c>
      <c r="Z188" s="16">
        <v>10805.959634657716</v>
      </c>
      <c r="AA188" s="16">
        <v>8808.3721991174243</v>
      </c>
      <c r="AB188" s="6">
        <f t="shared" si="5"/>
        <v>1272913.1171489819</v>
      </c>
      <c r="AC188" s="93"/>
      <c r="AF188" s="67">
        <v>48153</v>
      </c>
      <c r="AG188" s="68">
        <f>AC208</f>
        <v>8451777.0423152782</v>
      </c>
    </row>
    <row r="189" spans="1:33" ht="18.75" thickBot="1" x14ac:dyDescent="0.3">
      <c r="A189" s="97"/>
      <c r="B189" s="12" t="s">
        <v>30</v>
      </c>
      <c r="C189" s="12">
        <v>20</v>
      </c>
      <c r="D189" s="16">
        <v>7608.2312041827463</v>
      </c>
      <c r="E189" s="16">
        <v>6723.458074560338</v>
      </c>
      <c r="F189" s="16">
        <v>6094.8250750613333</v>
      </c>
      <c r="G189" s="16">
        <v>5690.447108834458</v>
      </c>
      <c r="H189" s="16">
        <v>5577.2771437678966</v>
      </c>
      <c r="I189" s="16">
        <v>6535.6808179420732</v>
      </c>
      <c r="J189" s="16">
        <v>7608.029605656473</v>
      </c>
      <c r="K189" s="16">
        <v>9358.0636100866905</v>
      </c>
      <c r="L189" s="16">
        <v>11521.220933374392</v>
      </c>
      <c r="M189" s="16">
        <v>12812.029759780566</v>
      </c>
      <c r="N189" s="16">
        <v>13897.552647368597</v>
      </c>
      <c r="O189" s="16">
        <v>15177.057831565391</v>
      </c>
      <c r="P189" s="16">
        <v>15413.877460886455</v>
      </c>
      <c r="Q189" s="16">
        <v>15632.718439468648</v>
      </c>
      <c r="R189" s="16">
        <v>16022.146869119093</v>
      </c>
      <c r="S189" s="16">
        <v>15689.140345487049</v>
      </c>
      <c r="T189" s="16">
        <v>14829.044416362154</v>
      </c>
      <c r="U189" s="16">
        <v>14393.351051030269</v>
      </c>
      <c r="V189" s="16">
        <v>14169.022825936492</v>
      </c>
      <c r="W189" s="16">
        <v>15217.768749248851</v>
      </c>
      <c r="X189" s="16">
        <v>14794.370753908493</v>
      </c>
      <c r="Y189" s="16">
        <v>13115.476631982383</v>
      </c>
      <c r="Z189" s="16">
        <v>10992.270058686663</v>
      </c>
      <c r="AA189" s="16">
        <v>8817.3951955782868</v>
      </c>
      <c r="AB189" s="6">
        <f t="shared" si="5"/>
        <v>5553809.132197516</v>
      </c>
      <c r="AC189" s="94"/>
      <c r="AF189" s="67">
        <v>48183</v>
      </c>
      <c r="AG189" s="68">
        <f>AC211</f>
        <v>9346943.457908351</v>
      </c>
    </row>
    <row r="190" spans="1:33" ht="18.75" thickBot="1" x14ac:dyDescent="0.3">
      <c r="A190" s="95">
        <v>47969</v>
      </c>
      <c r="B190" s="9" t="s">
        <v>28</v>
      </c>
      <c r="C190" s="9">
        <v>5</v>
      </c>
      <c r="D190" s="16">
        <v>8487.6678420905446</v>
      </c>
      <c r="E190" s="16">
        <v>7483.2201771610271</v>
      </c>
      <c r="F190" s="16">
        <v>6851.0406796208335</v>
      </c>
      <c r="G190" s="16">
        <v>6406.1381028113647</v>
      </c>
      <c r="H190" s="16">
        <v>6281.1332940280445</v>
      </c>
      <c r="I190" s="16">
        <v>6476.1176802337504</v>
      </c>
      <c r="J190" s="16">
        <v>7032.2489200603923</v>
      </c>
      <c r="K190" s="16">
        <v>9158.3915671537543</v>
      </c>
      <c r="L190" s="16">
        <v>11870.016959234144</v>
      </c>
      <c r="M190" s="16">
        <v>13304.61813431892</v>
      </c>
      <c r="N190" s="16">
        <v>14319.459147387814</v>
      </c>
      <c r="O190" s="16">
        <v>15377.752118345939</v>
      </c>
      <c r="P190" s="16">
        <v>16054.829154811188</v>
      </c>
      <c r="Q190" s="16">
        <v>15850.244937502459</v>
      </c>
      <c r="R190" s="16">
        <v>15546.462465462715</v>
      </c>
      <c r="S190" s="16">
        <v>15048.44772336477</v>
      </c>
      <c r="T190" s="16">
        <v>14085.162892178279</v>
      </c>
      <c r="U190" s="16">
        <v>14088.010928324027</v>
      </c>
      <c r="V190" s="16">
        <v>15207.923947230098</v>
      </c>
      <c r="W190" s="16">
        <v>16004.125141224366</v>
      </c>
      <c r="X190" s="16">
        <v>15226.683724992032</v>
      </c>
      <c r="Y190" s="16">
        <v>13717.252168340819</v>
      </c>
      <c r="Z190" s="16">
        <v>11491.600759850015</v>
      </c>
      <c r="AA190" s="16">
        <v>9608.2484503294036</v>
      </c>
      <c r="AB190" s="6">
        <f t="shared" si="5"/>
        <v>1424883.9845802835</v>
      </c>
      <c r="AC190" s="92">
        <f>+AB190+AB191+AB192</f>
        <v>8673993.6352526098</v>
      </c>
    </row>
    <row r="191" spans="1:33" ht="18.75" thickBot="1" x14ac:dyDescent="0.3">
      <c r="A191" s="96"/>
      <c r="B191" s="11" t="s">
        <v>29</v>
      </c>
      <c r="C191" s="11">
        <v>6</v>
      </c>
      <c r="D191" s="16">
        <v>8075.8652759198012</v>
      </c>
      <c r="E191" s="16">
        <v>6669.5046821445067</v>
      </c>
      <c r="F191" s="16">
        <v>5941.5511283888954</v>
      </c>
      <c r="G191" s="16">
        <v>5565.9225888542605</v>
      </c>
      <c r="H191" s="16">
        <v>5326.9514832782916</v>
      </c>
      <c r="I191" s="16">
        <v>5387.1466506348734</v>
      </c>
      <c r="J191" s="16">
        <v>5643.4802539739503</v>
      </c>
      <c r="K191" s="16">
        <v>7636.6242706611047</v>
      </c>
      <c r="L191" s="16">
        <v>9829.9433099940361</v>
      </c>
      <c r="M191" s="16">
        <v>11187.042021144251</v>
      </c>
      <c r="N191" s="16">
        <v>12434.583630164783</v>
      </c>
      <c r="O191" s="16">
        <v>13205.062796921513</v>
      </c>
      <c r="P191" s="16">
        <v>14126.004869032658</v>
      </c>
      <c r="Q191" s="16">
        <v>13707.500533978688</v>
      </c>
      <c r="R191" s="16">
        <v>12810.251845551225</v>
      </c>
      <c r="S191" s="16">
        <v>12129.067495904263</v>
      </c>
      <c r="T191" s="16">
        <v>11804.463826845058</v>
      </c>
      <c r="U191" s="16">
        <v>11642.032614537799</v>
      </c>
      <c r="V191" s="16">
        <v>13277.643730193551</v>
      </c>
      <c r="W191" s="16">
        <v>14753.409464058375</v>
      </c>
      <c r="X191" s="16">
        <v>14193.871276086473</v>
      </c>
      <c r="Y191" s="16">
        <v>12860.605676619816</v>
      </c>
      <c r="Z191" s="16">
        <v>10780.143735265654</v>
      </c>
      <c r="AA191" s="16">
        <v>8866.9689854739299</v>
      </c>
      <c r="AB191" s="6">
        <f t="shared" si="5"/>
        <v>1487133.8528737663</v>
      </c>
      <c r="AC191" s="93"/>
    </row>
    <row r="192" spans="1:33" ht="18.75" thickBot="1" x14ac:dyDescent="0.3">
      <c r="A192" s="97"/>
      <c r="B192" s="12" t="s">
        <v>30</v>
      </c>
      <c r="C192" s="12">
        <v>20</v>
      </c>
      <c r="D192" s="16">
        <v>7578.7086986747381</v>
      </c>
      <c r="E192" s="16">
        <v>6515.2997607368197</v>
      </c>
      <c r="F192" s="16">
        <v>5920.4096494931691</v>
      </c>
      <c r="G192" s="16">
        <v>5601.8663641184357</v>
      </c>
      <c r="H192" s="16">
        <v>5616.267137580704</v>
      </c>
      <c r="I192" s="16">
        <v>6515.8497189726768</v>
      </c>
      <c r="J192" s="16">
        <v>7647.7869853183511</v>
      </c>
      <c r="K192" s="16">
        <v>9421.430225160886</v>
      </c>
      <c r="L192" s="16">
        <v>11874.542552824681</v>
      </c>
      <c r="M192" s="16">
        <v>13195.071546700681</v>
      </c>
      <c r="N192" s="16">
        <v>14362.072655133128</v>
      </c>
      <c r="O192" s="16">
        <v>15674.551886899517</v>
      </c>
      <c r="P192" s="16">
        <v>15777.567402156441</v>
      </c>
      <c r="Q192" s="16">
        <v>15732.824870130724</v>
      </c>
      <c r="R192" s="16">
        <v>16009.44975554086</v>
      </c>
      <c r="S192" s="16">
        <v>15935.478524562754</v>
      </c>
      <c r="T192" s="16">
        <v>15551.751429013802</v>
      </c>
      <c r="U192" s="16">
        <v>15179.02842685943</v>
      </c>
      <c r="V192" s="16">
        <v>16067.417571506016</v>
      </c>
      <c r="W192" s="16">
        <v>16885.198075224576</v>
      </c>
      <c r="X192" s="16">
        <v>15886.002408766806</v>
      </c>
      <c r="Y192" s="16">
        <v>14040.16144030798</v>
      </c>
      <c r="Z192" s="16">
        <v>11720.901307804521</v>
      </c>
      <c r="AA192" s="16">
        <v>9389.1514964403541</v>
      </c>
      <c r="AB192" s="6">
        <f t="shared" si="5"/>
        <v>5761975.7977985609</v>
      </c>
      <c r="AC192" s="94"/>
    </row>
    <row r="193" spans="1:29" ht="18.75" thickBot="1" x14ac:dyDescent="0.3">
      <c r="A193" s="95">
        <v>48000</v>
      </c>
      <c r="B193" s="9" t="s">
        <v>28</v>
      </c>
      <c r="C193" s="9">
        <v>4</v>
      </c>
      <c r="D193" s="16">
        <v>6971.0589605406312</v>
      </c>
      <c r="E193" s="16">
        <v>6386.5829482023109</v>
      </c>
      <c r="F193" s="16">
        <v>6065.8976244203077</v>
      </c>
      <c r="G193" s="16">
        <v>5540.1992185925374</v>
      </c>
      <c r="H193" s="16">
        <v>5346.4365125168115</v>
      </c>
      <c r="I193" s="16">
        <v>5857.5284102791957</v>
      </c>
      <c r="J193" s="16">
        <v>6314.2513994763322</v>
      </c>
      <c r="K193" s="16">
        <v>8605.1631288029785</v>
      </c>
      <c r="L193" s="16">
        <v>11609.554894004592</v>
      </c>
      <c r="M193" s="16">
        <v>13160.691853282493</v>
      </c>
      <c r="N193" s="16">
        <v>13868.83356850448</v>
      </c>
      <c r="O193" s="16">
        <v>15254.767297975661</v>
      </c>
      <c r="P193" s="16">
        <v>15481.45072652656</v>
      </c>
      <c r="Q193" s="16">
        <v>14785.570972077101</v>
      </c>
      <c r="R193" s="16">
        <v>15216.846887713207</v>
      </c>
      <c r="S193" s="16">
        <v>14727.29592262195</v>
      </c>
      <c r="T193" s="16">
        <v>13545.773500868378</v>
      </c>
      <c r="U193" s="16">
        <v>13660.378078474037</v>
      </c>
      <c r="V193" s="16">
        <v>15961.205064383175</v>
      </c>
      <c r="W193" s="16">
        <v>17693.995908667854</v>
      </c>
      <c r="X193" s="16">
        <v>16453.482347577596</v>
      </c>
      <c r="Y193" s="16">
        <v>14959.194728683487</v>
      </c>
      <c r="Z193" s="16">
        <v>13014.961091699945</v>
      </c>
      <c r="AA193" s="16">
        <v>11142.241539390892</v>
      </c>
      <c r="AB193" s="6">
        <f t="shared" si="5"/>
        <v>1126493.4503411299</v>
      </c>
      <c r="AC193" s="92">
        <f>+AB193+AB194+AB195</f>
        <v>8415628.9429268949</v>
      </c>
    </row>
    <row r="194" spans="1:29" ht="18.75" thickBot="1" x14ac:dyDescent="0.3">
      <c r="A194" s="96"/>
      <c r="B194" s="11" t="s">
        <v>29</v>
      </c>
      <c r="C194" s="11">
        <v>5</v>
      </c>
      <c r="D194" s="16">
        <v>9342.7820800668342</v>
      </c>
      <c r="E194" s="16">
        <v>8052.8022378231071</v>
      </c>
      <c r="F194" s="16">
        <v>7094.8465281179888</v>
      </c>
      <c r="G194" s="16">
        <v>6563.6016610542465</v>
      </c>
      <c r="H194" s="16">
        <v>6348.8911690466084</v>
      </c>
      <c r="I194" s="16">
        <v>6545.191464717569</v>
      </c>
      <c r="J194" s="16">
        <v>6614.8829712297193</v>
      </c>
      <c r="K194" s="16">
        <v>8749.3948468082381</v>
      </c>
      <c r="L194" s="16">
        <v>10936.139224242212</v>
      </c>
      <c r="M194" s="16">
        <v>12004.326402412044</v>
      </c>
      <c r="N194" s="16">
        <v>12742.760660830154</v>
      </c>
      <c r="O194" s="16">
        <v>13946.005194622481</v>
      </c>
      <c r="P194" s="16">
        <v>14505.026584259456</v>
      </c>
      <c r="Q194" s="16">
        <v>13908.395377561643</v>
      </c>
      <c r="R194" s="16">
        <v>13101.611202710625</v>
      </c>
      <c r="S194" s="16">
        <v>12387.779592586616</v>
      </c>
      <c r="T194" s="16">
        <v>11785.790653160759</v>
      </c>
      <c r="U194" s="16">
        <v>11668.054260772024</v>
      </c>
      <c r="V194" s="16">
        <v>13943.978789671586</v>
      </c>
      <c r="W194" s="16">
        <v>15569.42409398999</v>
      </c>
      <c r="X194" s="16">
        <v>14378.071613094678</v>
      </c>
      <c r="Y194" s="16">
        <v>12565.273901278542</v>
      </c>
      <c r="Z194" s="16">
        <v>10666.057944904354</v>
      </c>
      <c r="AA194" s="16">
        <v>8633.7355464553802</v>
      </c>
      <c r="AB194" s="6">
        <f t="shared" si="5"/>
        <v>1310274.1200070842</v>
      </c>
      <c r="AC194" s="93"/>
    </row>
    <row r="195" spans="1:29" ht="18.75" thickBot="1" x14ac:dyDescent="0.3">
      <c r="A195" s="97"/>
      <c r="B195" s="12" t="s">
        <v>30</v>
      </c>
      <c r="C195" s="12">
        <v>21</v>
      </c>
      <c r="D195" s="16">
        <v>7262.281547423303</v>
      </c>
      <c r="E195" s="16">
        <v>6229.5764071934427</v>
      </c>
      <c r="F195" s="16">
        <v>5556.3920047455358</v>
      </c>
      <c r="G195" s="16">
        <v>5186.0810290700319</v>
      </c>
      <c r="H195" s="16">
        <v>5331.6476268075785</v>
      </c>
      <c r="I195" s="16">
        <v>6162.2783376447369</v>
      </c>
      <c r="J195" s="16">
        <v>7393.7449131166286</v>
      </c>
      <c r="K195" s="16">
        <v>9555.0220859487235</v>
      </c>
      <c r="L195" s="16">
        <v>11985.166085148587</v>
      </c>
      <c r="M195" s="16">
        <v>13305.832343988804</v>
      </c>
      <c r="N195" s="16">
        <v>14463.278040890378</v>
      </c>
      <c r="O195" s="16">
        <v>15642.557768831586</v>
      </c>
      <c r="P195" s="16">
        <v>15886.491821800901</v>
      </c>
      <c r="Q195" s="16">
        <v>16070.049048788624</v>
      </c>
      <c r="R195" s="16">
        <v>16145.331951895801</v>
      </c>
      <c r="S195" s="16">
        <v>15918.701007844262</v>
      </c>
      <c r="T195" s="16">
        <v>15463.109670728969</v>
      </c>
      <c r="U195" s="16">
        <v>15107.390344493448</v>
      </c>
      <c r="V195" s="16">
        <v>15790.21272240168</v>
      </c>
      <c r="W195" s="16">
        <v>16385.995669348591</v>
      </c>
      <c r="X195" s="16">
        <v>15506.255763677735</v>
      </c>
      <c r="Y195" s="16">
        <v>13534.298088620322</v>
      </c>
      <c r="Z195" s="16">
        <v>11223.860447949148</v>
      </c>
      <c r="AA195" s="16">
        <v>9602.1296801497228</v>
      </c>
      <c r="AB195" s="6">
        <f t="shared" si="5"/>
        <v>5978861.3725786796</v>
      </c>
      <c r="AC195" s="94"/>
    </row>
    <row r="196" spans="1:29" ht="18.75" thickBot="1" x14ac:dyDescent="0.3">
      <c r="A196" s="95">
        <v>48030</v>
      </c>
      <c r="B196" s="9" t="s">
        <v>28</v>
      </c>
      <c r="C196" s="9">
        <v>4</v>
      </c>
      <c r="D196" s="16">
        <v>7046.5065953712729</v>
      </c>
      <c r="E196" s="16">
        <v>6165.5621549627176</v>
      </c>
      <c r="F196" s="16">
        <v>5640.7116319138804</v>
      </c>
      <c r="G196" s="16">
        <v>5138.1704566918161</v>
      </c>
      <c r="H196" s="16">
        <v>5000.4714978178672</v>
      </c>
      <c r="I196" s="16">
        <v>5247.4024204835587</v>
      </c>
      <c r="J196" s="16">
        <v>5779.0291573829709</v>
      </c>
      <c r="K196" s="16">
        <v>8108.5789733717138</v>
      </c>
      <c r="L196" s="16">
        <v>10775.146285348841</v>
      </c>
      <c r="M196" s="16">
        <v>11787.681608914889</v>
      </c>
      <c r="N196" s="16">
        <v>12393.594529907161</v>
      </c>
      <c r="O196" s="16">
        <v>14091.676218915614</v>
      </c>
      <c r="P196" s="16">
        <v>14626.048788017844</v>
      </c>
      <c r="Q196" s="16">
        <v>14489.289533100273</v>
      </c>
      <c r="R196" s="16">
        <v>14320.373436372687</v>
      </c>
      <c r="S196" s="16">
        <v>14205.246770010552</v>
      </c>
      <c r="T196" s="16">
        <v>13851.467627992919</v>
      </c>
      <c r="U196" s="16">
        <v>13640.909283235105</v>
      </c>
      <c r="V196" s="16">
        <v>14821.718428806253</v>
      </c>
      <c r="W196" s="16">
        <v>15850.814956961305</v>
      </c>
      <c r="X196" s="16">
        <v>15138.105543440393</v>
      </c>
      <c r="Y196" s="16">
        <v>13586.277136706944</v>
      </c>
      <c r="Z196" s="16">
        <v>11679.184597070682</v>
      </c>
      <c r="AA196" s="16">
        <v>9546.7613940595947</v>
      </c>
      <c r="AB196" s="6">
        <f t="shared" si="5"/>
        <v>1051722.9161074276</v>
      </c>
      <c r="AC196" s="92">
        <f>+AB196+AB197+AB198</f>
        <v>8636765.8708822709</v>
      </c>
    </row>
    <row r="197" spans="1:29" ht="18.75" thickBot="1" x14ac:dyDescent="0.3">
      <c r="A197" s="96"/>
      <c r="B197" s="11" t="s">
        <v>29</v>
      </c>
      <c r="C197" s="11">
        <v>4</v>
      </c>
      <c r="D197" s="16">
        <v>8064.0809736391857</v>
      </c>
      <c r="E197" s="16">
        <v>6973.8110110944835</v>
      </c>
      <c r="F197" s="16">
        <v>6211.3748781204522</v>
      </c>
      <c r="G197" s="16">
        <v>5559.6427681175301</v>
      </c>
      <c r="H197" s="16">
        <v>5334.3724527032136</v>
      </c>
      <c r="I197" s="16">
        <v>5452.8096357557188</v>
      </c>
      <c r="J197" s="16">
        <v>5844.9377513876534</v>
      </c>
      <c r="K197" s="16">
        <v>7431.3520053412831</v>
      </c>
      <c r="L197" s="16">
        <v>9411.1207316956024</v>
      </c>
      <c r="M197" s="16">
        <v>9896.6502479091905</v>
      </c>
      <c r="N197" s="16">
        <v>11177.199485198948</v>
      </c>
      <c r="O197" s="16">
        <v>12900.054011993219</v>
      </c>
      <c r="P197" s="16">
        <v>13870.574223344509</v>
      </c>
      <c r="Q197" s="16">
        <v>13789.994609085068</v>
      </c>
      <c r="R197" s="16">
        <v>13108.709240710927</v>
      </c>
      <c r="S197" s="16">
        <v>12960.598103366185</v>
      </c>
      <c r="T197" s="16">
        <v>12551.744981538159</v>
      </c>
      <c r="U197" s="16">
        <v>12149.627123158942</v>
      </c>
      <c r="V197" s="16">
        <v>12963.81594283149</v>
      </c>
      <c r="W197" s="16">
        <v>15515.058302290552</v>
      </c>
      <c r="X197" s="16">
        <v>14899.534968588443</v>
      </c>
      <c r="Y197" s="16">
        <v>13246.664678417001</v>
      </c>
      <c r="Z197" s="16">
        <v>10915.573834151175</v>
      </c>
      <c r="AA197" s="16">
        <v>8951.5128198016355</v>
      </c>
      <c r="AB197" s="6">
        <f t="shared" si="5"/>
        <v>996723.25912096223</v>
      </c>
      <c r="AC197" s="93"/>
    </row>
    <row r="198" spans="1:29" ht="18.75" thickBot="1" x14ac:dyDescent="0.3">
      <c r="A198" s="97"/>
      <c r="B198" s="12" t="s">
        <v>30</v>
      </c>
      <c r="C198" s="12">
        <v>23</v>
      </c>
      <c r="D198" s="16">
        <v>7831.5544719306708</v>
      </c>
      <c r="E198" s="16">
        <v>6872.0398918977626</v>
      </c>
      <c r="F198" s="16">
        <v>6202.1389226313622</v>
      </c>
      <c r="G198" s="16">
        <v>5851.1675538132622</v>
      </c>
      <c r="H198" s="16">
        <v>5841.0335944336657</v>
      </c>
      <c r="I198" s="16">
        <v>6793.5601805061633</v>
      </c>
      <c r="J198" s="16">
        <v>7995.5344990628946</v>
      </c>
      <c r="K198" s="16">
        <v>9707.743701849522</v>
      </c>
      <c r="L198" s="16">
        <v>11794.504583064059</v>
      </c>
      <c r="M198" s="16">
        <v>12597.28276538516</v>
      </c>
      <c r="N198" s="16">
        <v>13601.02827731298</v>
      </c>
      <c r="O198" s="16">
        <v>14981.321823181923</v>
      </c>
      <c r="P198" s="16">
        <v>14843.354390850149</v>
      </c>
      <c r="Q198" s="16">
        <v>15335.362691680421</v>
      </c>
      <c r="R198" s="16">
        <v>16166.049744157121</v>
      </c>
      <c r="S198" s="16">
        <v>16218.880822671548</v>
      </c>
      <c r="T198" s="16">
        <v>15487.83649928775</v>
      </c>
      <c r="U198" s="16">
        <v>14916.186507702172</v>
      </c>
      <c r="V198" s="16">
        <v>15682.950076725829</v>
      </c>
      <c r="W198" s="16">
        <v>16852.870632287075</v>
      </c>
      <c r="X198" s="16">
        <v>16134.607707071817</v>
      </c>
      <c r="Y198" s="16">
        <v>14000.655095577269</v>
      </c>
      <c r="Z198" s="16">
        <v>11428.081137701185</v>
      </c>
      <c r="AA198" s="16">
        <v>9312.936848952224</v>
      </c>
      <c r="AB198" s="6">
        <f t="shared" si="5"/>
        <v>6588319.6956538809</v>
      </c>
      <c r="AC198" s="94"/>
    </row>
    <row r="199" spans="1:29" ht="18.75" thickBot="1" x14ac:dyDescent="0.3">
      <c r="A199" s="95">
        <v>48061</v>
      </c>
      <c r="B199" s="9" t="s">
        <v>28</v>
      </c>
      <c r="C199" s="9">
        <v>5</v>
      </c>
      <c r="D199" s="16">
        <v>7817.1159650684895</v>
      </c>
      <c r="E199" s="16">
        <v>5912.3280501816007</v>
      </c>
      <c r="F199" s="16">
        <v>5229.6639881318479</v>
      </c>
      <c r="G199" s="16">
        <v>4714.5268307153819</v>
      </c>
      <c r="H199" s="16">
        <v>4608.9283261212768</v>
      </c>
      <c r="I199" s="16">
        <v>4784.5003566251689</v>
      </c>
      <c r="J199" s="16">
        <v>5589.9286071680326</v>
      </c>
      <c r="K199" s="16">
        <v>7410.6111991322032</v>
      </c>
      <c r="L199" s="16">
        <v>10156.777034424915</v>
      </c>
      <c r="M199" s="16">
        <v>11369.247766982971</v>
      </c>
      <c r="N199" s="16">
        <v>13381.833153176402</v>
      </c>
      <c r="O199" s="16">
        <v>14847.789773511347</v>
      </c>
      <c r="P199" s="16">
        <v>15322.31820034287</v>
      </c>
      <c r="Q199" s="16">
        <v>15143.866897799864</v>
      </c>
      <c r="R199" s="16">
        <v>14613.513921498939</v>
      </c>
      <c r="S199" s="16">
        <v>14410.947856657065</v>
      </c>
      <c r="T199" s="16">
        <v>14028.90144156848</v>
      </c>
      <c r="U199" s="16">
        <v>13433.414384067895</v>
      </c>
      <c r="V199" s="16">
        <v>15318.561059561514</v>
      </c>
      <c r="W199" s="16">
        <v>16167.688619685978</v>
      </c>
      <c r="X199" s="16">
        <v>15373.121203171282</v>
      </c>
      <c r="Y199" s="16">
        <v>13473.542090684488</v>
      </c>
      <c r="Z199" s="16">
        <v>10994.90117127341</v>
      </c>
      <c r="AA199" s="16">
        <v>9175.5345234512279</v>
      </c>
      <c r="AB199" s="6">
        <f t="shared" si="5"/>
        <v>1316397.8121050133</v>
      </c>
      <c r="AC199" s="92">
        <f>+AB199+AB200+AB201</f>
        <v>8351302.3117452022</v>
      </c>
    </row>
    <row r="200" spans="1:29" ht="18.75" thickBot="1" x14ac:dyDescent="0.3">
      <c r="A200" s="96"/>
      <c r="B200" s="11" t="s">
        <v>29</v>
      </c>
      <c r="C200" s="11">
        <v>5</v>
      </c>
      <c r="D200" s="16">
        <v>7713.9849170956877</v>
      </c>
      <c r="E200" s="16">
        <v>6843.6579435090935</v>
      </c>
      <c r="F200" s="16">
        <v>5995.9660926779216</v>
      </c>
      <c r="G200" s="16">
        <v>5315.2239177180272</v>
      </c>
      <c r="H200" s="16">
        <v>4870.1147695383843</v>
      </c>
      <c r="I200" s="16">
        <v>4969.7787636331996</v>
      </c>
      <c r="J200" s="16">
        <v>5463.1081104357145</v>
      </c>
      <c r="K200" s="16">
        <v>7322.7799038179364</v>
      </c>
      <c r="L200" s="16">
        <v>9617.6434073385171</v>
      </c>
      <c r="M200" s="16">
        <v>11128.161744512578</v>
      </c>
      <c r="N200" s="16">
        <v>12014.482765046705</v>
      </c>
      <c r="O200" s="16">
        <v>13319.214876415259</v>
      </c>
      <c r="P200" s="16">
        <v>14113.752351642146</v>
      </c>
      <c r="Q200" s="16">
        <v>14025.423098352472</v>
      </c>
      <c r="R200" s="16">
        <v>13226.891406245581</v>
      </c>
      <c r="S200" s="16">
        <v>12715.365364477202</v>
      </c>
      <c r="T200" s="16">
        <v>12363.517192364743</v>
      </c>
      <c r="U200" s="16">
        <v>12057.221499213942</v>
      </c>
      <c r="V200" s="16">
        <v>13215.32965157782</v>
      </c>
      <c r="W200" s="16">
        <v>15108.041165234874</v>
      </c>
      <c r="X200" s="16">
        <v>14502.819753305459</v>
      </c>
      <c r="Y200" s="16">
        <v>12764.135304778178</v>
      </c>
      <c r="Z200" s="16">
        <v>10593.331809420539</v>
      </c>
      <c r="AA200" s="16">
        <v>8662.0917484212332</v>
      </c>
      <c r="AB200" s="6">
        <f t="shared" si="5"/>
        <v>1239610.187783866</v>
      </c>
      <c r="AC200" s="93"/>
    </row>
    <row r="201" spans="1:29" ht="18.75" thickBot="1" x14ac:dyDescent="0.3">
      <c r="A201" s="97"/>
      <c r="B201" s="12" t="s">
        <v>30</v>
      </c>
      <c r="C201" s="12">
        <v>21</v>
      </c>
      <c r="D201" s="16">
        <v>7763.521666953071</v>
      </c>
      <c r="E201" s="16">
        <v>6839.6188405310568</v>
      </c>
      <c r="F201" s="16">
        <v>6209.0565460242506</v>
      </c>
      <c r="G201" s="16">
        <v>5779.7507918981282</v>
      </c>
      <c r="H201" s="16">
        <v>5648.1807905709284</v>
      </c>
      <c r="I201" s="16">
        <v>6586.0984130632023</v>
      </c>
      <c r="J201" s="16">
        <v>7875.2937344251513</v>
      </c>
      <c r="K201" s="16">
        <v>9445.6254128662731</v>
      </c>
      <c r="L201" s="16">
        <v>11569.73593486684</v>
      </c>
      <c r="M201" s="16">
        <v>13092.441267449471</v>
      </c>
      <c r="N201" s="16">
        <v>13911.38276519936</v>
      </c>
      <c r="O201" s="16">
        <v>14057.793983474778</v>
      </c>
      <c r="P201" s="16">
        <v>13255.045000268387</v>
      </c>
      <c r="Q201" s="16">
        <v>13717.572602433942</v>
      </c>
      <c r="R201" s="16">
        <v>14136.957237212915</v>
      </c>
      <c r="S201" s="16">
        <v>14207.967496359754</v>
      </c>
      <c r="T201" s="16">
        <v>15536.362202330209</v>
      </c>
      <c r="U201" s="16">
        <v>14912.895011356512</v>
      </c>
      <c r="V201" s="16">
        <v>15174.591037925475</v>
      </c>
      <c r="W201" s="16">
        <v>15951.019329931525</v>
      </c>
      <c r="X201" s="16">
        <v>15370.592029779815</v>
      </c>
      <c r="Y201" s="16">
        <v>13905.273218293129</v>
      </c>
      <c r="Z201" s="16">
        <v>11627.892817656459</v>
      </c>
      <c r="AA201" s="16">
        <v>9391.7276718114335</v>
      </c>
      <c r="AB201" s="6">
        <f t="shared" si="5"/>
        <v>5795294.3118563229</v>
      </c>
      <c r="AC201" s="94"/>
    </row>
    <row r="202" spans="1:29" ht="18.75" thickBot="1" x14ac:dyDescent="0.3">
      <c r="A202" s="95">
        <v>48092</v>
      </c>
      <c r="B202" s="9" t="s">
        <v>28</v>
      </c>
      <c r="C202" s="9">
        <v>4</v>
      </c>
      <c r="D202" s="16">
        <v>7305.6863262515035</v>
      </c>
      <c r="E202" s="16">
        <v>6931.0705099718034</v>
      </c>
      <c r="F202" s="16">
        <v>6275.2953896703257</v>
      </c>
      <c r="G202" s="16">
        <v>5907.2898170688022</v>
      </c>
      <c r="H202" s="16">
        <v>5859.5402728821864</v>
      </c>
      <c r="I202" s="16">
        <v>6027.6200532164257</v>
      </c>
      <c r="J202" s="16">
        <v>6791.7858598729908</v>
      </c>
      <c r="K202" s="16">
        <v>9185.3431951399434</v>
      </c>
      <c r="L202" s="16">
        <v>11846.092854742041</v>
      </c>
      <c r="M202" s="16">
        <v>13532.631075916881</v>
      </c>
      <c r="N202" s="16">
        <v>14790.334336429758</v>
      </c>
      <c r="O202" s="16">
        <v>16128.76262841417</v>
      </c>
      <c r="P202" s="16">
        <v>16607.3810543945</v>
      </c>
      <c r="Q202" s="16">
        <v>16446.673156289915</v>
      </c>
      <c r="R202" s="16">
        <v>15919.402904088987</v>
      </c>
      <c r="S202" s="16">
        <v>15180.819065028867</v>
      </c>
      <c r="T202" s="16">
        <v>14556.108844396007</v>
      </c>
      <c r="U202" s="16">
        <v>14306.71549370954</v>
      </c>
      <c r="V202" s="16">
        <v>16080.104310955921</v>
      </c>
      <c r="W202" s="16">
        <v>16755.446185293989</v>
      </c>
      <c r="X202" s="16">
        <v>15905.485690557703</v>
      </c>
      <c r="Y202" s="16">
        <v>14267.530055735129</v>
      </c>
      <c r="Z202" s="16">
        <v>12368.873334231921</v>
      </c>
      <c r="AA202" s="16">
        <v>10346.900407260026</v>
      </c>
      <c r="AB202" s="6">
        <f t="shared" si="5"/>
        <v>1157291.5712860774</v>
      </c>
      <c r="AC202" s="92">
        <f>+AB202+AB203+AB204</f>
        <v>8662552.8556045704</v>
      </c>
    </row>
    <row r="203" spans="1:29" ht="18.75" thickBot="1" x14ac:dyDescent="0.3">
      <c r="A203" s="96"/>
      <c r="B203" s="11" t="s">
        <v>29</v>
      </c>
      <c r="C203" s="11">
        <v>4</v>
      </c>
      <c r="D203" s="16">
        <v>8829.3182835027692</v>
      </c>
      <c r="E203" s="16">
        <v>7762.2107430017641</v>
      </c>
      <c r="F203" s="16">
        <v>6978.2423340071655</v>
      </c>
      <c r="G203" s="16">
        <v>6510.1094205847439</v>
      </c>
      <c r="H203" s="16">
        <v>6164.8015423151701</v>
      </c>
      <c r="I203" s="16">
        <v>6124.0646985413223</v>
      </c>
      <c r="J203" s="16">
        <v>6318.8645768074275</v>
      </c>
      <c r="K203" s="16">
        <v>7911.5092090556063</v>
      </c>
      <c r="L203" s="16">
        <v>9987.376718527059</v>
      </c>
      <c r="M203" s="16">
        <v>11125.052667316177</v>
      </c>
      <c r="N203" s="16">
        <v>12115.855709188367</v>
      </c>
      <c r="O203" s="16">
        <v>13560.710006264431</v>
      </c>
      <c r="P203" s="16">
        <v>14244.098851548217</v>
      </c>
      <c r="Q203" s="16">
        <v>13757.582753088212</v>
      </c>
      <c r="R203" s="16">
        <v>12661.030958586332</v>
      </c>
      <c r="S203" s="16">
        <v>12159.33401899831</v>
      </c>
      <c r="T203" s="16">
        <v>11704.319896875651</v>
      </c>
      <c r="U203" s="16">
        <v>11885.501158542596</v>
      </c>
      <c r="V203" s="16">
        <v>14220.706594787222</v>
      </c>
      <c r="W203" s="16">
        <v>15101.861813945223</v>
      </c>
      <c r="X203" s="16">
        <v>14539.09314675763</v>
      </c>
      <c r="Y203" s="16">
        <v>13204.072754541841</v>
      </c>
      <c r="Z203" s="16">
        <v>11007.442259745796</v>
      </c>
      <c r="AA203" s="16">
        <v>9078.032217981392</v>
      </c>
      <c r="AB203" s="6">
        <f t="shared" si="5"/>
        <v>1027804.7693380417</v>
      </c>
      <c r="AC203" s="93"/>
    </row>
    <row r="204" spans="1:29" ht="18.75" thickBot="1" x14ac:dyDescent="0.3">
      <c r="A204" s="97"/>
      <c r="B204" s="12" t="s">
        <v>30</v>
      </c>
      <c r="C204" s="12">
        <v>22</v>
      </c>
      <c r="D204" s="16">
        <v>7662.2533545849219</v>
      </c>
      <c r="E204" s="16">
        <v>6878.5453819131799</v>
      </c>
      <c r="F204" s="16">
        <v>6290.0906906225064</v>
      </c>
      <c r="G204" s="16">
        <v>5741.725883086121</v>
      </c>
      <c r="H204" s="16">
        <v>5856.1864667606933</v>
      </c>
      <c r="I204" s="16">
        <v>6929.4162278907534</v>
      </c>
      <c r="J204" s="16">
        <v>8345.8286754231449</v>
      </c>
      <c r="K204" s="16">
        <v>9915.2254317721054</v>
      </c>
      <c r="L204" s="16">
        <v>12200.257928439099</v>
      </c>
      <c r="M204" s="16">
        <v>13402.948146534131</v>
      </c>
      <c r="N204" s="16">
        <v>14379.665399400183</v>
      </c>
      <c r="O204" s="16">
        <v>15679.704118487447</v>
      </c>
      <c r="P204" s="16">
        <v>15903.034166470177</v>
      </c>
      <c r="Q204" s="16">
        <v>16097.351529403968</v>
      </c>
      <c r="R204" s="16">
        <v>16526.676086748434</v>
      </c>
      <c r="S204" s="16">
        <v>16360.240359878335</v>
      </c>
      <c r="T204" s="16">
        <v>16072.373640317739</v>
      </c>
      <c r="U204" s="16">
        <v>15501.289894398895</v>
      </c>
      <c r="V204" s="16">
        <v>16794.86176714889</v>
      </c>
      <c r="W204" s="16">
        <v>17184.27426130998</v>
      </c>
      <c r="X204" s="16">
        <v>16168.760257912087</v>
      </c>
      <c r="Y204" s="16">
        <v>14101.351421216994</v>
      </c>
      <c r="Z204" s="16">
        <v>11330.013889665825</v>
      </c>
      <c r="AA204" s="16">
        <v>9107.7666106350043</v>
      </c>
      <c r="AB204" s="6">
        <f t="shared" si="5"/>
        <v>6477456.5149804512</v>
      </c>
      <c r="AC204" s="94"/>
    </row>
    <row r="205" spans="1:29" ht="18.75" thickBot="1" x14ac:dyDescent="0.3">
      <c r="A205" s="95">
        <v>48122</v>
      </c>
      <c r="B205" s="9" t="s">
        <v>28</v>
      </c>
      <c r="C205" s="9">
        <v>4</v>
      </c>
      <c r="D205" s="16">
        <v>7497.4522733006306</v>
      </c>
      <c r="E205" s="16">
        <v>6632.7073936566449</v>
      </c>
      <c r="F205" s="16">
        <v>6076.7860980367259</v>
      </c>
      <c r="G205" s="16">
        <v>5571.3042254236534</v>
      </c>
      <c r="H205" s="16">
        <v>5330.1065430281924</v>
      </c>
      <c r="I205" s="16">
        <v>5484.7438482265679</v>
      </c>
      <c r="J205" s="16">
        <v>5938.4181125683244</v>
      </c>
      <c r="K205" s="16">
        <v>8190.3043124549804</v>
      </c>
      <c r="L205" s="16">
        <v>10949.767823269834</v>
      </c>
      <c r="M205" s="16">
        <v>13006.396290145778</v>
      </c>
      <c r="N205" s="16">
        <v>14467.674261138316</v>
      </c>
      <c r="O205" s="16">
        <v>16022.310375231853</v>
      </c>
      <c r="P205" s="16">
        <v>16411.539660783848</v>
      </c>
      <c r="Q205" s="16">
        <v>15971.426399915108</v>
      </c>
      <c r="R205" s="16">
        <v>15487.470785997684</v>
      </c>
      <c r="S205" s="16">
        <v>14828.91401533367</v>
      </c>
      <c r="T205" s="16">
        <v>14271.365571938666</v>
      </c>
      <c r="U205" s="16">
        <v>14248.812095284215</v>
      </c>
      <c r="V205" s="16">
        <v>15631.240297833509</v>
      </c>
      <c r="W205" s="16">
        <v>15793.467362614098</v>
      </c>
      <c r="X205" s="16">
        <v>15209.092561139336</v>
      </c>
      <c r="Y205" s="16">
        <v>13806.534339430844</v>
      </c>
      <c r="Z205" s="16">
        <v>11851.386806405797</v>
      </c>
      <c r="AA205" s="16">
        <v>9907.7393668733857</v>
      </c>
      <c r="AB205" s="6">
        <f t="shared" si="5"/>
        <v>1114347.8432801266</v>
      </c>
      <c r="AC205" s="92">
        <f>+AB205+AB206+AB207</f>
        <v>8737679.4555246904</v>
      </c>
    </row>
    <row r="206" spans="1:29" ht="18.75" thickBot="1" x14ac:dyDescent="0.3">
      <c r="A206" s="96"/>
      <c r="B206" s="11" t="s">
        <v>29</v>
      </c>
      <c r="C206" s="11">
        <v>4</v>
      </c>
      <c r="D206" s="16">
        <v>8052.5854596798781</v>
      </c>
      <c r="E206" s="16">
        <v>7049.530429528204</v>
      </c>
      <c r="F206" s="16">
        <v>6307.4785345845303</v>
      </c>
      <c r="G206" s="16">
        <v>5889.7720049475574</v>
      </c>
      <c r="H206" s="16">
        <v>5691.802071242244</v>
      </c>
      <c r="I206" s="16">
        <v>5754.263828804822</v>
      </c>
      <c r="J206" s="16">
        <v>5912.9249798141027</v>
      </c>
      <c r="K206" s="16">
        <v>7571.1137278435199</v>
      </c>
      <c r="L206" s="16">
        <v>9466.5932771914413</v>
      </c>
      <c r="M206" s="16">
        <v>10883.049153636777</v>
      </c>
      <c r="N206" s="16">
        <v>11642.182215781231</v>
      </c>
      <c r="O206" s="16">
        <v>13388.292189001077</v>
      </c>
      <c r="P206" s="16">
        <v>14318.005583310463</v>
      </c>
      <c r="Q206" s="16">
        <v>14050.511121169482</v>
      </c>
      <c r="R206" s="16">
        <v>12857.693542482542</v>
      </c>
      <c r="S206" s="16">
        <v>11431.462694469512</v>
      </c>
      <c r="T206" s="16">
        <v>11649.642062503954</v>
      </c>
      <c r="U206" s="16">
        <v>12217.009932697634</v>
      </c>
      <c r="V206" s="16">
        <v>14450.528784914077</v>
      </c>
      <c r="W206" s="16">
        <v>14905.845303177379</v>
      </c>
      <c r="X206" s="16">
        <v>13776.886153193649</v>
      </c>
      <c r="Y206" s="16">
        <v>12012.446813471834</v>
      </c>
      <c r="Z206" s="16">
        <v>9852.8375882043001</v>
      </c>
      <c r="AA206" s="16">
        <v>8073.9067063879411</v>
      </c>
      <c r="AB206" s="6">
        <f t="shared" si="5"/>
        <v>988825.45663215267</v>
      </c>
      <c r="AC206" s="93"/>
    </row>
    <row r="207" spans="1:29" ht="18.75" thickBot="1" x14ac:dyDescent="0.3">
      <c r="A207" s="97"/>
      <c r="B207" s="12" t="s">
        <v>30</v>
      </c>
      <c r="C207" s="12">
        <v>23</v>
      </c>
      <c r="D207" s="16">
        <v>7613.907518144646</v>
      </c>
      <c r="E207" s="16">
        <v>6757.235598585663</v>
      </c>
      <c r="F207" s="16">
        <v>6131.6214096614203</v>
      </c>
      <c r="G207" s="16">
        <v>5488.3032094616137</v>
      </c>
      <c r="H207" s="16">
        <v>5698.2456862944782</v>
      </c>
      <c r="I207" s="16">
        <v>6553.559622142453</v>
      </c>
      <c r="J207" s="16">
        <v>7744.0091063799628</v>
      </c>
      <c r="K207" s="16">
        <v>9635.9425172755946</v>
      </c>
      <c r="L207" s="16">
        <v>11722.370506510451</v>
      </c>
      <c r="M207" s="16">
        <v>13003.036251570418</v>
      </c>
      <c r="N207" s="16">
        <v>13823.190141089552</v>
      </c>
      <c r="O207" s="16">
        <v>14799.752286249022</v>
      </c>
      <c r="P207" s="16">
        <v>15596.962489694259</v>
      </c>
      <c r="Q207" s="16">
        <v>15611.406712275493</v>
      </c>
      <c r="R207" s="16">
        <v>16094.099491586192</v>
      </c>
      <c r="S207" s="16">
        <v>16283.277098741393</v>
      </c>
      <c r="T207" s="16">
        <v>16122.15886434721</v>
      </c>
      <c r="U207" s="16">
        <v>15356.715121239322</v>
      </c>
      <c r="V207" s="16">
        <v>17021.490149122277</v>
      </c>
      <c r="W207" s="16">
        <v>16927.073594850986</v>
      </c>
      <c r="X207" s="16">
        <v>16000.654046729742</v>
      </c>
      <c r="Y207" s="16">
        <v>13871.167262224535</v>
      </c>
      <c r="Z207" s="16">
        <v>11360.895724218346</v>
      </c>
      <c r="AA207" s="16">
        <v>9239.7149660576979</v>
      </c>
      <c r="AB207" s="6">
        <f t="shared" si="5"/>
        <v>6634506.155612411</v>
      </c>
      <c r="AC207" s="94"/>
    </row>
    <row r="208" spans="1:29" ht="18.75" thickBot="1" x14ac:dyDescent="0.3">
      <c r="A208" s="95">
        <v>48153</v>
      </c>
      <c r="B208" s="9" t="s">
        <v>28</v>
      </c>
      <c r="C208" s="9">
        <v>5</v>
      </c>
      <c r="D208" s="16">
        <v>7179.7784836204155</v>
      </c>
      <c r="E208" s="16">
        <v>6885.1791469000127</v>
      </c>
      <c r="F208" s="16">
        <v>6146.8759307850996</v>
      </c>
      <c r="G208" s="16">
        <v>5551.1879961812629</v>
      </c>
      <c r="H208" s="16">
        <v>5542.887818561725</v>
      </c>
      <c r="I208" s="16">
        <v>5787.2924871320356</v>
      </c>
      <c r="J208" s="16">
        <v>6411.9844325898266</v>
      </c>
      <c r="K208" s="16">
        <v>8633.3781631182173</v>
      </c>
      <c r="L208" s="16">
        <v>11555.793363531997</v>
      </c>
      <c r="M208" s="16">
        <v>13333.276055490682</v>
      </c>
      <c r="N208" s="16">
        <v>14468.708589436559</v>
      </c>
      <c r="O208" s="16">
        <v>15631.886642247082</v>
      </c>
      <c r="P208" s="16">
        <v>16164.411744333516</v>
      </c>
      <c r="Q208" s="16">
        <v>15833.39900359296</v>
      </c>
      <c r="R208" s="16">
        <v>15332.180831858084</v>
      </c>
      <c r="S208" s="16">
        <v>14690.88162585536</v>
      </c>
      <c r="T208" s="16">
        <v>14114.872086568732</v>
      </c>
      <c r="U208" s="16">
        <v>14434.302903089352</v>
      </c>
      <c r="V208" s="16">
        <v>16305.844492219516</v>
      </c>
      <c r="W208" s="16">
        <v>16360.102932856378</v>
      </c>
      <c r="X208" s="16">
        <v>15574.002916044275</v>
      </c>
      <c r="Y208" s="16">
        <v>13925.190240453023</v>
      </c>
      <c r="Z208" s="16">
        <v>11962.797268713988</v>
      </c>
      <c r="AA208" s="16">
        <v>9995.3030022857529</v>
      </c>
      <c r="AB208" s="6">
        <f t="shared" si="5"/>
        <v>1409107.5907873292</v>
      </c>
      <c r="AC208" s="92">
        <f>+AB208+AB209+AB210</f>
        <v>8451777.0423152782</v>
      </c>
    </row>
    <row r="209" spans="1:33" ht="18.75" thickBot="1" x14ac:dyDescent="0.3">
      <c r="A209" s="96"/>
      <c r="B209" s="11" t="s">
        <v>29</v>
      </c>
      <c r="C209" s="11">
        <v>5</v>
      </c>
      <c r="D209" s="16">
        <v>8226.4733983986334</v>
      </c>
      <c r="E209" s="16">
        <v>7259.5678128918516</v>
      </c>
      <c r="F209" s="16">
        <v>6685.2633909115393</v>
      </c>
      <c r="G209" s="16">
        <v>6209.3312160719761</v>
      </c>
      <c r="H209" s="16">
        <v>6026.3603407603732</v>
      </c>
      <c r="I209" s="16">
        <v>6096.8166559530728</v>
      </c>
      <c r="J209" s="16">
        <v>6474.5319530332854</v>
      </c>
      <c r="K209" s="16">
        <v>8117.4336868255887</v>
      </c>
      <c r="L209" s="16">
        <v>10284.231109967081</v>
      </c>
      <c r="M209" s="16">
        <v>11629.988901836987</v>
      </c>
      <c r="N209" s="16">
        <v>12391.63673743395</v>
      </c>
      <c r="O209" s="16">
        <v>13385.782521388741</v>
      </c>
      <c r="P209" s="16">
        <v>13926.051184120413</v>
      </c>
      <c r="Q209" s="16">
        <v>13510.283952591471</v>
      </c>
      <c r="R209" s="16">
        <v>12651.741112067353</v>
      </c>
      <c r="S209" s="16">
        <v>12011.285093231312</v>
      </c>
      <c r="T209" s="16">
        <v>11768.053093563452</v>
      </c>
      <c r="U209" s="16">
        <v>11992.875054626053</v>
      </c>
      <c r="V209" s="16">
        <v>14531.170533411208</v>
      </c>
      <c r="W209" s="16">
        <v>15149.15718028041</v>
      </c>
      <c r="X209" s="16">
        <v>14211.961673149715</v>
      </c>
      <c r="Y209" s="16">
        <v>12586.827537901485</v>
      </c>
      <c r="Z209" s="16">
        <v>10683.827594927421</v>
      </c>
      <c r="AA209" s="16">
        <v>8956.9450112188642</v>
      </c>
      <c r="AB209" s="6">
        <f t="shared" si="5"/>
        <v>1273837.9837328112</v>
      </c>
      <c r="AC209" s="93"/>
    </row>
    <row r="210" spans="1:33" ht="18.75" thickBot="1" x14ac:dyDescent="0.3">
      <c r="A210" s="97"/>
      <c r="B210" s="12" t="s">
        <v>30</v>
      </c>
      <c r="C210" s="12">
        <v>20</v>
      </c>
      <c r="D210" s="16">
        <v>7549.4272736983476</v>
      </c>
      <c r="E210" s="16">
        <v>6684.333914823892</v>
      </c>
      <c r="F210" s="16">
        <v>6128.5622924415329</v>
      </c>
      <c r="G210" s="16">
        <v>5762.5873168844773</v>
      </c>
      <c r="H210" s="16">
        <v>5738.275844976808</v>
      </c>
      <c r="I210" s="16">
        <v>6560.6877002690198</v>
      </c>
      <c r="J210" s="16">
        <v>7906.2680641416555</v>
      </c>
      <c r="K210" s="16">
        <v>9887.721118604135</v>
      </c>
      <c r="L210" s="16">
        <v>12018.019958585777</v>
      </c>
      <c r="M210" s="16">
        <v>13166.945364235769</v>
      </c>
      <c r="N210" s="16">
        <v>14299.239532584437</v>
      </c>
      <c r="O210" s="16">
        <v>15491.018594927544</v>
      </c>
      <c r="P210" s="16">
        <v>15871.440525278915</v>
      </c>
      <c r="Q210" s="16">
        <v>15732.807399375866</v>
      </c>
      <c r="R210" s="16">
        <v>16107.622125478236</v>
      </c>
      <c r="S210" s="16">
        <v>15693.695555284732</v>
      </c>
      <c r="T210" s="16">
        <v>15129.671133353462</v>
      </c>
      <c r="U210" s="16">
        <v>14890.574439112446</v>
      </c>
      <c r="V210" s="16">
        <v>16689.441616465905</v>
      </c>
      <c r="W210" s="16">
        <v>16446.292850395217</v>
      </c>
      <c r="X210" s="16">
        <v>15810.257597397056</v>
      </c>
      <c r="Y210" s="16">
        <v>14052.925834670477</v>
      </c>
      <c r="Z210" s="16">
        <v>11511.142217365938</v>
      </c>
      <c r="AA210" s="16">
        <v>9312.6151194052436</v>
      </c>
      <c r="AB210" s="6">
        <f t="shared" si="5"/>
        <v>5768831.4677951382</v>
      </c>
      <c r="AC210" s="94"/>
    </row>
    <row r="211" spans="1:33" ht="18.75" thickBot="1" x14ac:dyDescent="0.3">
      <c r="A211" s="95">
        <v>48183</v>
      </c>
      <c r="B211" s="9" t="s">
        <v>28</v>
      </c>
      <c r="C211" s="9">
        <v>4</v>
      </c>
      <c r="D211" s="16">
        <v>8701.4422051964975</v>
      </c>
      <c r="E211" s="16">
        <v>7616.1741521336771</v>
      </c>
      <c r="F211" s="16">
        <v>7048.9574599479674</v>
      </c>
      <c r="G211" s="16">
        <v>6674.5060872610338</v>
      </c>
      <c r="H211" s="16">
        <v>6570.659706702314</v>
      </c>
      <c r="I211" s="16">
        <v>6975.3138202815608</v>
      </c>
      <c r="J211" s="16">
        <v>7498.9722117346391</v>
      </c>
      <c r="K211" s="16">
        <v>9496.3860853152983</v>
      </c>
      <c r="L211" s="16">
        <v>12186.101915586347</v>
      </c>
      <c r="M211" s="16">
        <v>13676.558913372923</v>
      </c>
      <c r="N211" s="16">
        <v>14683.258966841233</v>
      </c>
      <c r="O211" s="16">
        <v>15690.576467647126</v>
      </c>
      <c r="P211" s="16">
        <v>16029.263725182984</v>
      </c>
      <c r="Q211" s="16">
        <v>15961.857608092167</v>
      </c>
      <c r="R211" s="16">
        <v>15403.652603280378</v>
      </c>
      <c r="S211" s="16">
        <v>14943.536934837684</v>
      </c>
      <c r="T211" s="16">
        <v>14550.979571209828</v>
      </c>
      <c r="U211" s="16">
        <v>14485.258389635248</v>
      </c>
      <c r="V211" s="16">
        <v>16558.763951129124</v>
      </c>
      <c r="W211" s="16">
        <v>16851.370939933848</v>
      </c>
      <c r="X211" s="16">
        <v>16063.177672431713</v>
      </c>
      <c r="Y211" s="16">
        <v>14722.840819755565</v>
      </c>
      <c r="Z211" s="16">
        <v>12834.260735861688</v>
      </c>
      <c r="AA211" s="16">
        <v>11129.11468987216</v>
      </c>
      <c r="AB211" s="6">
        <f t="shared" si="5"/>
        <v>1185411.9425329717</v>
      </c>
      <c r="AC211" s="92">
        <f>+AB211+AB212+AB213</f>
        <v>9346943.457908351</v>
      </c>
    </row>
    <row r="212" spans="1:33" ht="18.75" thickBot="1" x14ac:dyDescent="0.3">
      <c r="A212" s="96"/>
      <c r="B212" s="11" t="s">
        <v>29</v>
      </c>
      <c r="C212" s="11">
        <v>4</v>
      </c>
      <c r="D212" s="16">
        <v>9769.1898277042601</v>
      </c>
      <c r="E212" s="16">
        <v>8792.5243839283539</v>
      </c>
      <c r="F212" s="16">
        <v>8110.4900256870169</v>
      </c>
      <c r="G212" s="16">
        <v>7569.8105243544378</v>
      </c>
      <c r="H212" s="16">
        <v>7331.5729623172738</v>
      </c>
      <c r="I212" s="16">
        <v>7454.9493760919431</v>
      </c>
      <c r="J212" s="16">
        <v>7486.666747190251</v>
      </c>
      <c r="K212" s="16">
        <v>8989.9538948174595</v>
      </c>
      <c r="L212" s="16">
        <v>10884.635981742176</v>
      </c>
      <c r="M212" s="16">
        <v>12475.564416130881</v>
      </c>
      <c r="N212" s="16">
        <v>13267.634847078982</v>
      </c>
      <c r="O212" s="16">
        <v>14435.971308147415</v>
      </c>
      <c r="P212" s="16">
        <v>15019.141622033945</v>
      </c>
      <c r="Q212" s="16">
        <v>15036.292453830611</v>
      </c>
      <c r="R212" s="16">
        <v>14361.44570438498</v>
      </c>
      <c r="S212" s="16">
        <v>13658.94861959033</v>
      </c>
      <c r="T212" s="16">
        <v>13331.389908199566</v>
      </c>
      <c r="U212" s="16">
        <v>13207.565627694134</v>
      </c>
      <c r="V212" s="16">
        <v>15536.632062442426</v>
      </c>
      <c r="W212" s="16">
        <v>16264.532901897779</v>
      </c>
      <c r="X212" s="16">
        <v>15142.90937567045</v>
      </c>
      <c r="Y212" s="16">
        <v>13646.717074797623</v>
      </c>
      <c r="Z212" s="16">
        <v>12519.295920987544</v>
      </c>
      <c r="AA212" s="16">
        <v>10872.558074080418</v>
      </c>
      <c r="AB212" s="6">
        <f t="shared" si="5"/>
        <v>1140665.5745632013</v>
      </c>
      <c r="AC212" s="93"/>
    </row>
    <row r="213" spans="1:33" ht="18.75" thickBot="1" x14ac:dyDescent="0.3">
      <c r="A213" s="97"/>
      <c r="B213" s="12" t="s">
        <v>30</v>
      </c>
      <c r="C213" s="12">
        <v>23</v>
      </c>
      <c r="D213" s="16">
        <v>9082.4484170400938</v>
      </c>
      <c r="E213" s="16">
        <v>8064.7660004650388</v>
      </c>
      <c r="F213" s="16">
        <v>7418.8879254691201</v>
      </c>
      <c r="G213" s="16">
        <v>6958.4896226817473</v>
      </c>
      <c r="H213" s="16">
        <v>6847.7648746414052</v>
      </c>
      <c r="I213" s="16">
        <v>7298.1751074524727</v>
      </c>
      <c r="J213" s="16">
        <v>8198.5218240778377</v>
      </c>
      <c r="K213" s="16">
        <v>10361.364064284924</v>
      </c>
      <c r="L213" s="16">
        <v>12936.552627524794</v>
      </c>
      <c r="M213" s="16">
        <v>13854.811942799584</v>
      </c>
      <c r="N213" s="16">
        <v>14414.109903939752</v>
      </c>
      <c r="O213" s="16">
        <v>15493.065789971875</v>
      </c>
      <c r="P213" s="16">
        <v>15587.342254443691</v>
      </c>
      <c r="Q213" s="16">
        <v>15698.77224246785</v>
      </c>
      <c r="R213" s="16">
        <v>15710.279704987097</v>
      </c>
      <c r="S213" s="16">
        <v>15747.992030064113</v>
      </c>
      <c r="T213" s="16">
        <v>15420.246345183798</v>
      </c>
      <c r="U213" s="16">
        <v>15211.857661698279</v>
      </c>
      <c r="V213" s="16">
        <v>17466.144639419261</v>
      </c>
      <c r="W213" s="16">
        <v>17685.224562283624</v>
      </c>
      <c r="X213" s="16">
        <v>16806.3592982011</v>
      </c>
      <c r="Y213" s="16">
        <v>15072.753940756626</v>
      </c>
      <c r="Z213" s="16">
        <v>12966.456376480368</v>
      </c>
      <c r="AA213" s="16">
        <v>10952.653748542962</v>
      </c>
      <c r="AB213" s="6">
        <f t="shared" si="5"/>
        <v>7020865.940812178</v>
      </c>
      <c r="AC213" s="94"/>
    </row>
    <row r="215" spans="1:33" ht="15.75" thickBot="1" x14ac:dyDescent="0.3"/>
    <row r="216" spans="1:33" ht="18.75" thickBot="1" x14ac:dyDescent="0.3">
      <c r="A216" s="1" t="s">
        <v>0</v>
      </c>
      <c r="B216" s="2" t="s">
        <v>1</v>
      </c>
      <c r="C216" s="2" t="s">
        <v>2</v>
      </c>
      <c r="D216" s="27" t="s">
        <v>3</v>
      </c>
      <c r="E216" s="5" t="s">
        <v>4</v>
      </c>
      <c r="F216" s="5" t="s">
        <v>5</v>
      </c>
      <c r="G216" s="5" t="s">
        <v>6</v>
      </c>
      <c r="H216" s="5" t="s">
        <v>7</v>
      </c>
      <c r="I216" s="5" t="s">
        <v>8</v>
      </c>
      <c r="J216" s="5" t="s">
        <v>9</v>
      </c>
      <c r="K216" s="5" t="s">
        <v>10</v>
      </c>
      <c r="L216" s="5" t="s">
        <v>11</v>
      </c>
      <c r="M216" s="5" t="s">
        <v>12</v>
      </c>
      <c r="N216" s="5" t="s">
        <v>13</v>
      </c>
      <c r="O216" s="5" t="s">
        <v>14</v>
      </c>
      <c r="P216" s="5" t="s">
        <v>15</v>
      </c>
      <c r="Q216" s="5" t="s">
        <v>16</v>
      </c>
      <c r="R216" s="5" t="s">
        <v>17</v>
      </c>
      <c r="S216" s="5" t="s">
        <v>18</v>
      </c>
      <c r="T216" s="5" t="s">
        <v>19</v>
      </c>
      <c r="U216" s="5" t="s">
        <v>20</v>
      </c>
      <c r="V216" s="5" t="s">
        <v>21</v>
      </c>
      <c r="W216" s="5" t="s">
        <v>22</v>
      </c>
      <c r="X216" s="5" t="s">
        <v>23</v>
      </c>
      <c r="Y216" s="5" t="s">
        <v>24</v>
      </c>
      <c r="Z216" s="5" t="s">
        <v>25</v>
      </c>
      <c r="AA216" s="5" t="s">
        <v>26</v>
      </c>
      <c r="AB216" s="109" t="s">
        <v>27</v>
      </c>
      <c r="AC216" s="110"/>
    </row>
    <row r="217" spans="1:33" ht="18.75" thickBot="1" x14ac:dyDescent="0.3">
      <c r="A217" s="95">
        <v>48214</v>
      </c>
      <c r="B217" s="9" t="s">
        <v>28</v>
      </c>
      <c r="C217" s="9">
        <v>5</v>
      </c>
      <c r="D217" s="16">
        <v>4682.9326185867576</v>
      </c>
      <c r="E217" s="16">
        <v>4002.9814264237139</v>
      </c>
      <c r="F217" s="16">
        <v>3581.7582272674827</v>
      </c>
      <c r="G217" s="16">
        <v>3190.9193734530108</v>
      </c>
      <c r="H217" s="16">
        <v>3140.9092346277885</v>
      </c>
      <c r="I217" s="16">
        <v>3283.8111161389443</v>
      </c>
      <c r="J217" s="16">
        <v>3571.1198101364407</v>
      </c>
      <c r="K217" s="16">
        <v>4934.0141985480732</v>
      </c>
      <c r="L217" s="16">
        <v>6985.6214970009969</v>
      </c>
      <c r="M217" s="16">
        <v>8236.793835950728</v>
      </c>
      <c r="N217" s="16">
        <v>8971.4842542429396</v>
      </c>
      <c r="O217" s="16">
        <v>10031.557957860925</v>
      </c>
      <c r="P217" s="16">
        <v>10347.445729406849</v>
      </c>
      <c r="Q217" s="16">
        <v>10016.755411332499</v>
      </c>
      <c r="R217" s="16">
        <v>9577.091531542741</v>
      </c>
      <c r="S217" s="16">
        <v>9670.131007474356</v>
      </c>
      <c r="T217" s="16">
        <v>9344.5204402321433</v>
      </c>
      <c r="U217" s="16">
        <v>9112.1116931475553</v>
      </c>
      <c r="V217" s="16">
        <v>10221.125687141295</v>
      </c>
      <c r="W217" s="16">
        <v>10999.796779704371</v>
      </c>
      <c r="X217" s="16">
        <v>10510.434462003359</v>
      </c>
      <c r="Y217" s="16">
        <v>9379.9455737917961</v>
      </c>
      <c r="Z217" s="16">
        <v>7816.6680837623935</v>
      </c>
      <c r="AA217" s="16">
        <v>6342.4347782622681</v>
      </c>
      <c r="AB217" s="6">
        <f t="shared" ref="AB217:AB252" si="6">SUM(D217:AA217)*C217</f>
        <v>889761.82364019728</v>
      </c>
      <c r="AC217" s="92">
        <f>+AB217+AB218+AB219</f>
        <v>5598870.5923237298</v>
      </c>
      <c r="AF217" s="67">
        <v>48214</v>
      </c>
      <c r="AG217" s="68">
        <f>AB217+AB218+AB219</f>
        <v>5598870.5923237298</v>
      </c>
    </row>
    <row r="218" spans="1:33" ht="18.75" thickBot="1" x14ac:dyDescent="0.3">
      <c r="A218" s="96"/>
      <c r="B218" s="11" t="s">
        <v>29</v>
      </c>
      <c r="C218" s="11">
        <v>6</v>
      </c>
      <c r="D218" s="16">
        <v>4961.3470135880852</v>
      </c>
      <c r="E218" s="16">
        <v>4303.9405640923287</v>
      </c>
      <c r="F218" s="16">
        <v>3702.663007300449</v>
      </c>
      <c r="G218" s="16">
        <v>3380.2365514778958</v>
      </c>
      <c r="H218" s="16">
        <v>3091.1880685248852</v>
      </c>
      <c r="I218" s="16">
        <v>3062.6447067061872</v>
      </c>
      <c r="J218" s="16">
        <v>3121.0193612033381</v>
      </c>
      <c r="K218" s="16">
        <v>3989.4862920621526</v>
      </c>
      <c r="L218" s="16">
        <v>5461.9116240318399</v>
      </c>
      <c r="M218" s="16">
        <v>6463.3817677940024</v>
      </c>
      <c r="N218" s="16">
        <v>6972.2941183396688</v>
      </c>
      <c r="O218" s="16">
        <v>7812.7501764411318</v>
      </c>
      <c r="P218" s="16">
        <v>8341.8462434603389</v>
      </c>
      <c r="Q218" s="16">
        <v>8297.7145890592765</v>
      </c>
      <c r="R218" s="16">
        <v>7600.8703978840967</v>
      </c>
      <c r="S218" s="16">
        <v>7295.464110717392</v>
      </c>
      <c r="T218" s="16">
        <v>7065.2307762614691</v>
      </c>
      <c r="U218" s="16">
        <v>6944.6393205847053</v>
      </c>
      <c r="V218" s="16">
        <v>8650.6639239631259</v>
      </c>
      <c r="W218" s="16">
        <v>9764.9048608872727</v>
      </c>
      <c r="X218" s="16">
        <v>9289.2590068426289</v>
      </c>
      <c r="Y218" s="16">
        <v>8000.1289644073368</v>
      </c>
      <c r="Z218" s="16">
        <v>6598.9781591342944</v>
      </c>
      <c r="AA218" s="16">
        <v>5262.9934084801826</v>
      </c>
      <c r="AB218" s="6">
        <f t="shared" si="6"/>
        <v>896613.34207946458</v>
      </c>
      <c r="AC218" s="93"/>
      <c r="AF218" s="67">
        <v>48245</v>
      </c>
      <c r="AG218" s="68">
        <f>AC220</f>
        <v>4239587.1415850865</v>
      </c>
    </row>
    <row r="219" spans="1:33" ht="18.75" thickBot="1" x14ac:dyDescent="0.3">
      <c r="A219" s="97"/>
      <c r="B219" s="12" t="s">
        <v>30</v>
      </c>
      <c r="C219" s="12">
        <v>20</v>
      </c>
      <c r="D219" s="16">
        <v>5031.523474862639</v>
      </c>
      <c r="E219" s="16">
        <v>4258.7457869311584</v>
      </c>
      <c r="F219" s="16">
        <v>3812.5456193747832</v>
      </c>
      <c r="G219" s="16">
        <v>3547.7247702586847</v>
      </c>
      <c r="H219" s="16">
        <v>3509.9313436685134</v>
      </c>
      <c r="I219" s="16">
        <v>3948.0665593033536</v>
      </c>
      <c r="J219" s="16">
        <v>4577.8678419932548</v>
      </c>
      <c r="K219" s="16">
        <v>5861.5208540832937</v>
      </c>
      <c r="L219" s="16">
        <v>7812.2153681765558</v>
      </c>
      <c r="M219" s="16">
        <v>8603.05995848784</v>
      </c>
      <c r="N219" s="16">
        <v>9315.520118070599</v>
      </c>
      <c r="O219" s="16">
        <v>10398.917352800108</v>
      </c>
      <c r="P219" s="16">
        <v>10744.773945775953</v>
      </c>
      <c r="Q219" s="16">
        <v>10705.364189148822</v>
      </c>
      <c r="R219" s="16">
        <v>10719.655119444971</v>
      </c>
      <c r="S219" s="16">
        <v>10637.192292531734</v>
      </c>
      <c r="T219" s="16">
        <v>10320.906777632073</v>
      </c>
      <c r="U219" s="16">
        <v>9944.1955048996606</v>
      </c>
      <c r="V219" s="16">
        <v>10650.91486342327</v>
      </c>
      <c r="W219" s="16">
        <v>11401.435931035252</v>
      </c>
      <c r="X219" s="16">
        <v>10859.418345919759</v>
      </c>
      <c r="Y219" s="16">
        <v>9694.504209967261</v>
      </c>
      <c r="Z219" s="16">
        <v>7961.0077166618757</v>
      </c>
      <c r="AA219" s="16">
        <v>6307.7633857519941</v>
      </c>
      <c r="AB219" s="6">
        <f t="shared" si="6"/>
        <v>3812495.4266040684</v>
      </c>
      <c r="AC219" s="94"/>
      <c r="AF219" s="67">
        <v>48274</v>
      </c>
      <c r="AG219" s="68">
        <f>AC223</f>
        <v>5922130.1169427074</v>
      </c>
    </row>
    <row r="220" spans="1:33" ht="18.75" thickBot="1" x14ac:dyDescent="0.3">
      <c r="A220" s="95">
        <v>48245</v>
      </c>
      <c r="B220" s="9" t="s">
        <v>28</v>
      </c>
      <c r="C220" s="9">
        <v>4</v>
      </c>
      <c r="D220" s="16">
        <v>3572.1293912734473</v>
      </c>
      <c r="E220" s="16">
        <v>2833.1629068183647</v>
      </c>
      <c r="F220" s="16">
        <v>2480.6656708032297</v>
      </c>
      <c r="G220" s="16">
        <v>2097.553922906498</v>
      </c>
      <c r="H220" s="16">
        <v>2013.8691911221595</v>
      </c>
      <c r="I220" s="16">
        <v>2147.6620984501023</v>
      </c>
      <c r="J220" s="16">
        <v>2630.7544745321557</v>
      </c>
      <c r="K220" s="16">
        <v>4028.2190886217795</v>
      </c>
      <c r="L220" s="16">
        <v>6019.9364859238412</v>
      </c>
      <c r="M220" s="16">
        <v>6866.3181748248462</v>
      </c>
      <c r="N220" s="16">
        <v>7476.9630045692902</v>
      </c>
      <c r="O220" s="16">
        <v>8293.0992740271613</v>
      </c>
      <c r="P220" s="16">
        <v>8499.2498073807146</v>
      </c>
      <c r="Q220" s="16">
        <v>8673.5948078747351</v>
      </c>
      <c r="R220" s="16">
        <v>8435.6340892359949</v>
      </c>
      <c r="S220" s="16">
        <v>7411.1389350280151</v>
      </c>
      <c r="T220" s="16">
        <v>7628.8073235937882</v>
      </c>
      <c r="U220" s="16">
        <v>7562.8142159189338</v>
      </c>
      <c r="V220" s="16">
        <v>8579.8484301207063</v>
      </c>
      <c r="W220" s="16">
        <v>9264.6823908060214</v>
      </c>
      <c r="X220" s="16">
        <v>8922.4297961712582</v>
      </c>
      <c r="Y220" s="16">
        <v>7751.5026448306162</v>
      </c>
      <c r="Z220" s="16">
        <v>6175.4438147788678</v>
      </c>
      <c r="AA220" s="16">
        <v>4859.0508200415607</v>
      </c>
      <c r="AB220" s="6">
        <f t="shared" si="6"/>
        <v>576898.12303861638</v>
      </c>
      <c r="AC220" s="92">
        <f>+AB220+AB221+AB222</f>
        <v>4239587.1415850865</v>
      </c>
      <c r="AF220" s="67">
        <v>48305</v>
      </c>
      <c r="AG220" s="68">
        <f>AC226</f>
        <v>5732489.9777884614</v>
      </c>
    </row>
    <row r="221" spans="1:33" ht="18.75" thickBot="1" x14ac:dyDescent="0.3">
      <c r="A221" s="96"/>
      <c r="B221" s="11" t="s">
        <v>29</v>
      </c>
      <c r="C221" s="11">
        <v>4</v>
      </c>
      <c r="D221" s="16">
        <v>3876.9578736177173</v>
      </c>
      <c r="E221" s="16">
        <v>3299.1312547257221</v>
      </c>
      <c r="F221" s="16">
        <v>2737.3663601414046</v>
      </c>
      <c r="G221" s="16">
        <v>2435.1540918462742</v>
      </c>
      <c r="H221" s="16">
        <v>2289.1082460463003</v>
      </c>
      <c r="I221" s="16">
        <v>2396.8568743336891</v>
      </c>
      <c r="J221" s="16">
        <v>2589.3060140154957</v>
      </c>
      <c r="K221" s="16">
        <v>3645.5477703575107</v>
      </c>
      <c r="L221" s="16">
        <v>5152.1071145689421</v>
      </c>
      <c r="M221" s="16">
        <v>6045.3635431555267</v>
      </c>
      <c r="N221" s="16">
        <v>6600.9236526713066</v>
      </c>
      <c r="O221" s="16">
        <v>7428.7530187092452</v>
      </c>
      <c r="P221" s="16">
        <v>8173.7505976735956</v>
      </c>
      <c r="Q221" s="16">
        <v>8084.2844515589495</v>
      </c>
      <c r="R221" s="16">
        <v>7372.9890443291006</v>
      </c>
      <c r="S221" s="16">
        <v>6970.6720831634557</v>
      </c>
      <c r="T221" s="16">
        <v>6483.1800631825135</v>
      </c>
      <c r="U221" s="16">
        <v>6575.8269176639624</v>
      </c>
      <c r="V221" s="16">
        <v>7976.3745391808043</v>
      </c>
      <c r="W221" s="16">
        <v>8158.7434231901279</v>
      </c>
      <c r="X221" s="16">
        <v>8159.5250307068854</v>
      </c>
      <c r="Y221" s="16">
        <v>7181.1447199876493</v>
      </c>
      <c r="Z221" s="16">
        <v>5827.456330070745</v>
      </c>
      <c r="AA221" s="16">
        <v>4318.2668145330736</v>
      </c>
      <c r="AB221" s="6">
        <f t="shared" si="6"/>
        <v>535115.15931771998</v>
      </c>
      <c r="AC221" s="93"/>
      <c r="AF221" s="67">
        <v>48335</v>
      </c>
      <c r="AG221" s="68">
        <f>AC229</f>
        <v>6228647.801964473</v>
      </c>
    </row>
    <row r="222" spans="1:33" ht="18.75" thickBot="1" x14ac:dyDescent="0.3">
      <c r="A222" s="97"/>
      <c r="B222" s="12" t="s">
        <v>30</v>
      </c>
      <c r="C222" s="12">
        <v>20</v>
      </c>
      <c r="D222" s="16">
        <v>3445.8154133310563</v>
      </c>
      <c r="E222" s="16">
        <v>2866.0350858088841</v>
      </c>
      <c r="F222" s="16">
        <v>2488.6210085799448</v>
      </c>
      <c r="G222" s="16">
        <v>2132.6698117288524</v>
      </c>
      <c r="H222" s="16">
        <v>2179.8454082760509</v>
      </c>
      <c r="I222" s="16">
        <v>3098.2720801959495</v>
      </c>
      <c r="J222" s="16">
        <v>4099.0361414189265</v>
      </c>
      <c r="K222" s="16">
        <v>5002.4621522513262</v>
      </c>
      <c r="L222" s="16">
        <v>6379.5323930643972</v>
      </c>
      <c r="M222" s="16">
        <v>6968.3778169723992</v>
      </c>
      <c r="N222" s="16">
        <v>7893.6314583571293</v>
      </c>
      <c r="O222" s="16">
        <v>8807.884904428618</v>
      </c>
      <c r="P222" s="16">
        <v>9024.2025387342874</v>
      </c>
      <c r="Q222" s="16">
        <v>8893.1561133749565</v>
      </c>
      <c r="R222" s="16">
        <v>9120.0651498561092</v>
      </c>
      <c r="S222" s="16">
        <v>9137.7558434804596</v>
      </c>
      <c r="T222" s="16">
        <v>8982.8055650619899</v>
      </c>
      <c r="U222" s="16">
        <v>8494.5722585869662</v>
      </c>
      <c r="V222" s="16">
        <v>9255.7078616403851</v>
      </c>
      <c r="W222" s="16">
        <v>9952.4923531275635</v>
      </c>
      <c r="X222" s="16">
        <v>9436.4049740166411</v>
      </c>
      <c r="Y222" s="16">
        <v>8070.0281785826519</v>
      </c>
      <c r="Z222" s="16">
        <v>6237.8592070942759</v>
      </c>
      <c r="AA222" s="16">
        <v>4411.4592434676924</v>
      </c>
      <c r="AB222" s="6">
        <f t="shared" si="6"/>
        <v>3127573.8592287502</v>
      </c>
      <c r="AC222" s="94"/>
      <c r="AF222" s="67">
        <v>48366</v>
      </c>
      <c r="AG222" s="68">
        <f>AC232</f>
        <v>6182689.7230190765</v>
      </c>
    </row>
    <row r="223" spans="1:33" ht="18.75" thickBot="1" x14ac:dyDescent="0.3">
      <c r="A223" s="95">
        <v>48274</v>
      </c>
      <c r="B223" s="9" t="s">
        <v>28</v>
      </c>
      <c r="C223" s="9">
        <v>4</v>
      </c>
      <c r="D223" s="16">
        <v>5150.7255741626541</v>
      </c>
      <c r="E223" s="16">
        <v>4362.1780703936129</v>
      </c>
      <c r="F223" s="16">
        <v>3882.6925035055974</v>
      </c>
      <c r="G223" s="16">
        <v>3514.8313255807661</v>
      </c>
      <c r="H223" s="16">
        <v>3463.7557803459149</v>
      </c>
      <c r="I223" s="16">
        <v>3693.6803286352497</v>
      </c>
      <c r="J223" s="16">
        <v>4219.0529638316111</v>
      </c>
      <c r="K223" s="16">
        <v>5679.0872232405854</v>
      </c>
      <c r="L223" s="16">
        <v>7795.0939578133402</v>
      </c>
      <c r="M223" s="16">
        <v>8927.4108466196849</v>
      </c>
      <c r="N223" s="16">
        <v>9801.8829907738073</v>
      </c>
      <c r="O223" s="16">
        <v>10961.792189382963</v>
      </c>
      <c r="P223" s="16">
        <v>11336.835394519509</v>
      </c>
      <c r="Q223" s="16">
        <v>11309.682452707184</v>
      </c>
      <c r="R223" s="16">
        <v>11235.84502247244</v>
      </c>
      <c r="S223" s="16">
        <v>11000.198197936796</v>
      </c>
      <c r="T223" s="16">
        <v>10312.428595723901</v>
      </c>
      <c r="U223" s="16">
        <v>9986.3663964764928</v>
      </c>
      <c r="V223" s="16">
        <v>10998.99551003447</v>
      </c>
      <c r="W223" s="16">
        <v>11893.407091679426</v>
      </c>
      <c r="X223" s="16">
        <v>11366.960300112281</v>
      </c>
      <c r="Y223" s="16">
        <v>10326.46214049479</v>
      </c>
      <c r="Z223" s="16">
        <v>8741.6775373500132</v>
      </c>
      <c r="AA223" s="16">
        <v>7300.1596877611773</v>
      </c>
      <c r="AB223" s="6">
        <f t="shared" si="6"/>
        <v>789044.80832621711</v>
      </c>
      <c r="AC223" s="92">
        <f>+AB223+AB224+AB225</f>
        <v>5922130.1169427074</v>
      </c>
      <c r="AF223" s="67">
        <v>48396</v>
      </c>
      <c r="AG223" s="68">
        <f>AC235</f>
        <v>6263981.9761533197</v>
      </c>
    </row>
    <row r="224" spans="1:33" ht="18.75" thickBot="1" x14ac:dyDescent="0.3">
      <c r="A224" s="96"/>
      <c r="B224" s="11" t="s">
        <v>29</v>
      </c>
      <c r="C224" s="11">
        <v>7</v>
      </c>
      <c r="D224" s="16">
        <v>6085.7712628326299</v>
      </c>
      <c r="E224" s="16">
        <v>5276.3100613072711</v>
      </c>
      <c r="F224" s="16">
        <v>4664.2923096578452</v>
      </c>
      <c r="G224" s="16">
        <v>4153.8319552133635</v>
      </c>
      <c r="H224" s="16">
        <v>3826.4940586562443</v>
      </c>
      <c r="I224" s="16">
        <v>3952.1904644133738</v>
      </c>
      <c r="J224" s="16">
        <v>3974.2670665027254</v>
      </c>
      <c r="K224" s="16">
        <v>5149.2780642954749</v>
      </c>
      <c r="L224" s="16">
        <v>6386.9711357763554</v>
      </c>
      <c r="M224" s="16">
        <v>7314.2988120044101</v>
      </c>
      <c r="N224" s="16">
        <v>8171.737467954059</v>
      </c>
      <c r="O224" s="16">
        <v>9053.721711790371</v>
      </c>
      <c r="P224" s="16">
        <v>9800.5205128212074</v>
      </c>
      <c r="Q224" s="16">
        <v>9659.4637146801106</v>
      </c>
      <c r="R224" s="16">
        <v>8893.4431105429103</v>
      </c>
      <c r="S224" s="16">
        <v>8430.7011801402768</v>
      </c>
      <c r="T224" s="16">
        <v>8082.1818118027986</v>
      </c>
      <c r="U224" s="16">
        <v>7948.5013683080215</v>
      </c>
      <c r="V224" s="16">
        <v>9325.1691582735621</v>
      </c>
      <c r="W224" s="16">
        <v>10700.282765944383</v>
      </c>
      <c r="X224" s="16">
        <v>10359.700438270927</v>
      </c>
      <c r="Y224" s="16">
        <v>9181.2029133894648</v>
      </c>
      <c r="Z224" s="16">
        <v>7409.5651590768612</v>
      </c>
      <c r="AA224" s="16">
        <v>5876.6943978055024</v>
      </c>
      <c r="AB224" s="6">
        <f t="shared" si="6"/>
        <v>1215736.1363102209</v>
      </c>
      <c r="AC224" s="93"/>
      <c r="AF224" s="67">
        <v>48427</v>
      </c>
      <c r="AG224" s="68">
        <f>AC238</f>
        <v>6021283.5355670089</v>
      </c>
    </row>
    <row r="225" spans="1:33" ht="18.75" thickBot="1" x14ac:dyDescent="0.3">
      <c r="A225" s="97"/>
      <c r="B225" s="12" t="s">
        <v>30</v>
      </c>
      <c r="C225" s="12">
        <v>20</v>
      </c>
      <c r="D225" s="16">
        <v>4829.7456165962867</v>
      </c>
      <c r="E225" s="16">
        <v>4180.7600761409922</v>
      </c>
      <c r="F225" s="16">
        <v>3745.6378887166884</v>
      </c>
      <c r="G225" s="16">
        <v>3466.8257822078267</v>
      </c>
      <c r="H225" s="16">
        <v>3457.371501134834</v>
      </c>
      <c r="I225" s="16">
        <v>4320.1079295310137</v>
      </c>
      <c r="J225" s="16">
        <v>5259.4265265562717</v>
      </c>
      <c r="K225" s="16">
        <v>6406.2497725531284</v>
      </c>
      <c r="L225" s="16">
        <v>7920.5463066742559</v>
      </c>
      <c r="M225" s="16">
        <v>8755.5900919802334</v>
      </c>
      <c r="N225" s="16">
        <v>9599.5478013082284</v>
      </c>
      <c r="O225" s="16">
        <v>10508.420163911847</v>
      </c>
      <c r="P225" s="16">
        <v>10596.182608466119</v>
      </c>
      <c r="Q225" s="16">
        <v>10612.631365638455</v>
      </c>
      <c r="R225" s="16">
        <v>11173.831181593723</v>
      </c>
      <c r="S225" s="16">
        <v>11192.475467172295</v>
      </c>
      <c r="T225" s="16">
        <v>11058.994160114999</v>
      </c>
      <c r="U225" s="16">
        <v>10534.774046177277</v>
      </c>
      <c r="V225" s="16">
        <v>11249.195579538711</v>
      </c>
      <c r="W225" s="16">
        <v>11978.103141123927</v>
      </c>
      <c r="X225" s="16">
        <v>11214.983240088139</v>
      </c>
      <c r="Y225" s="16">
        <v>9794.2845476307921</v>
      </c>
      <c r="Z225" s="16">
        <v>7890.9430685985499</v>
      </c>
      <c r="AA225" s="16">
        <v>6120.830751858899</v>
      </c>
      <c r="AB225" s="6">
        <f t="shared" si="6"/>
        <v>3917349.1723062694</v>
      </c>
      <c r="AC225" s="94"/>
      <c r="AF225" s="67">
        <v>48458</v>
      </c>
      <c r="AG225" s="68">
        <f>AC241</f>
        <v>6404524.1693287306</v>
      </c>
    </row>
    <row r="226" spans="1:33" ht="18.75" thickBot="1" x14ac:dyDescent="0.3">
      <c r="A226" s="95">
        <v>48305</v>
      </c>
      <c r="B226" s="9" t="s">
        <v>28</v>
      </c>
      <c r="C226" s="9">
        <v>4</v>
      </c>
      <c r="D226" s="16">
        <v>5097.0076921665714</v>
      </c>
      <c r="E226" s="16">
        <v>4404.1749094789957</v>
      </c>
      <c r="F226" s="16">
        <v>3868.4491703914846</v>
      </c>
      <c r="G226" s="16">
        <v>3562.6703276899552</v>
      </c>
      <c r="H226" s="16">
        <v>3418.2005755563987</v>
      </c>
      <c r="I226" s="16">
        <v>3522.194270123131</v>
      </c>
      <c r="J226" s="16">
        <v>2657.6120398283147</v>
      </c>
      <c r="K226" s="16">
        <v>5538.770217900641</v>
      </c>
      <c r="L226" s="16">
        <v>7517.2883754845825</v>
      </c>
      <c r="M226" s="16">
        <v>8721.4576461107717</v>
      </c>
      <c r="N226" s="16">
        <v>9281.6447744925536</v>
      </c>
      <c r="O226" s="16">
        <v>10174.503518269823</v>
      </c>
      <c r="P226" s="16">
        <v>10455.730798995377</v>
      </c>
      <c r="Q226" s="16">
        <v>10938.897341166277</v>
      </c>
      <c r="R226" s="16">
        <v>10744.849009122616</v>
      </c>
      <c r="S226" s="16">
        <v>10211.867798565843</v>
      </c>
      <c r="T226" s="16">
        <v>9295.8740236671511</v>
      </c>
      <c r="U226" s="16">
        <v>8868.5391270074506</v>
      </c>
      <c r="V226" s="16">
        <v>9077.2888851772368</v>
      </c>
      <c r="W226" s="16">
        <v>9476.4489175593153</v>
      </c>
      <c r="X226" s="16">
        <v>9377.3950464472546</v>
      </c>
      <c r="Y226" s="16">
        <v>9269.8911753068533</v>
      </c>
      <c r="Z226" s="16">
        <v>7897.7761047384847</v>
      </c>
      <c r="AA226" s="16">
        <v>6546.7499651682592</v>
      </c>
      <c r="AB226" s="6">
        <f t="shared" si="6"/>
        <v>719701.12684166129</v>
      </c>
      <c r="AC226" s="92">
        <f>+AB226+AB227+AB228</f>
        <v>5732489.9777884614</v>
      </c>
      <c r="AF226" s="67">
        <v>48488</v>
      </c>
      <c r="AG226" s="68">
        <f>AC244</f>
        <v>6329685.4987157788</v>
      </c>
    </row>
    <row r="227" spans="1:33" ht="18.75" thickBot="1" x14ac:dyDescent="0.3">
      <c r="A227" s="96"/>
      <c r="B227" s="11" t="s">
        <v>29</v>
      </c>
      <c r="C227" s="11">
        <v>4</v>
      </c>
      <c r="D227" s="16">
        <v>4638.5266047414661</v>
      </c>
      <c r="E227" s="16">
        <v>3883.5856113942409</v>
      </c>
      <c r="F227" s="16">
        <v>3467.797736503946</v>
      </c>
      <c r="G227" s="16">
        <v>3043.0199184972389</v>
      </c>
      <c r="H227" s="16">
        <v>2897.0997524408249</v>
      </c>
      <c r="I227" s="16">
        <v>2110.8639200286434</v>
      </c>
      <c r="J227" s="16">
        <v>3173.6380537172008</v>
      </c>
      <c r="K227" s="16">
        <v>4330.8421126997018</v>
      </c>
      <c r="L227" s="16">
        <v>5603.9940313388142</v>
      </c>
      <c r="M227" s="16">
        <v>6417.4816876685109</v>
      </c>
      <c r="N227" s="16">
        <v>7047.6542935841208</v>
      </c>
      <c r="O227" s="16">
        <v>7645.6532866638772</v>
      </c>
      <c r="P227" s="16">
        <v>8169.4286861692271</v>
      </c>
      <c r="Q227" s="16">
        <v>8100.0820684228238</v>
      </c>
      <c r="R227" s="16">
        <v>7935.8661384970328</v>
      </c>
      <c r="S227" s="16">
        <v>7768.1001374171756</v>
      </c>
      <c r="T227" s="16">
        <v>7520.3733742014338</v>
      </c>
      <c r="U227" s="16">
        <v>7326.1228367502918</v>
      </c>
      <c r="V227" s="16">
        <v>7728.8231032666044</v>
      </c>
      <c r="W227" s="16">
        <v>9345.3919419550111</v>
      </c>
      <c r="X227" s="16">
        <v>9367.5766076612563</v>
      </c>
      <c r="Y227" s="16">
        <v>8785.4644015963459</v>
      </c>
      <c r="Z227" s="16">
        <v>7769.5079242541324</v>
      </c>
      <c r="AA227" s="16">
        <v>6239.1900753775881</v>
      </c>
      <c r="AB227" s="6">
        <f t="shared" si="6"/>
        <v>601264.33721938997</v>
      </c>
      <c r="AC227" s="93"/>
      <c r="AF227" s="67">
        <v>48519</v>
      </c>
      <c r="AG227" s="68">
        <f>AC247</f>
        <v>6243719.1958402526</v>
      </c>
    </row>
    <row r="228" spans="1:33" ht="18.75" thickBot="1" x14ac:dyDescent="0.3">
      <c r="A228" s="97"/>
      <c r="B228" s="12" t="s">
        <v>30</v>
      </c>
      <c r="C228" s="12">
        <v>22</v>
      </c>
      <c r="D228" s="16">
        <v>5319.7824173992776</v>
      </c>
      <c r="E228" s="16">
        <v>4641.9727313860531</v>
      </c>
      <c r="F228" s="16">
        <v>4160.3876541021018</v>
      </c>
      <c r="G228" s="16">
        <v>3850.6005537231867</v>
      </c>
      <c r="H228" s="16">
        <v>3763.9029632113343</v>
      </c>
      <c r="I228" s="16">
        <v>4498.1197603954388</v>
      </c>
      <c r="J228" s="16">
        <v>5319.6279761880614</v>
      </c>
      <c r="K228" s="16">
        <v>6660.2993407914801</v>
      </c>
      <c r="L228" s="16">
        <v>8317.4574720748969</v>
      </c>
      <c r="M228" s="16">
        <v>9306.3242177262437</v>
      </c>
      <c r="N228" s="16">
        <v>10137.924887957062</v>
      </c>
      <c r="O228" s="16">
        <v>11118.132105057837</v>
      </c>
      <c r="P228" s="16">
        <v>11299.555605860107</v>
      </c>
      <c r="Q228" s="16">
        <v>11467.205967306916</v>
      </c>
      <c r="R228" s="16">
        <v>11765.540481306729</v>
      </c>
      <c r="S228" s="16">
        <v>11510.429832411097</v>
      </c>
      <c r="T228" s="16">
        <v>10851.524931094533</v>
      </c>
      <c r="U228" s="16">
        <v>10517.747634670894</v>
      </c>
      <c r="V228" s="16">
        <v>10345.89358675286</v>
      </c>
      <c r="W228" s="16">
        <v>11149.320048507376</v>
      </c>
      <c r="X228" s="16">
        <v>10824.962026465328</v>
      </c>
      <c r="Y228" s="16">
        <v>9538.7897190876902</v>
      </c>
      <c r="Z228" s="16">
        <v>7912.2371796802545</v>
      </c>
      <c r="AA228" s="16">
        <v>6246.1024399072921</v>
      </c>
      <c r="AB228" s="6">
        <f t="shared" si="6"/>
        <v>4411524.5137274098</v>
      </c>
      <c r="AC228" s="94"/>
      <c r="AF228" s="67">
        <v>48549</v>
      </c>
      <c r="AG228" s="68">
        <f>AC250</f>
        <v>7022944.6615072312</v>
      </c>
    </row>
    <row r="229" spans="1:33" ht="18.75" thickBot="1" x14ac:dyDescent="0.3">
      <c r="A229" s="95">
        <v>48335</v>
      </c>
      <c r="B229" s="9" t="s">
        <v>28</v>
      </c>
      <c r="C229" s="9">
        <v>4</v>
      </c>
      <c r="D229" s="16">
        <v>6018.9800181243518</v>
      </c>
      <c r="E229" s="16">
        <v>5248.4002174690249</v>
      </c>
      <c r="F229" s="16">
        <v>4763.4125290093252</v>
      </c>
      <c r="G229" s="16">
        <v>4422.0976443030777</v>
      </c>
      <c r="H229" s="16">
        <v>4326.1979931848982</v>
      </c>
      <c r="I229" s="16">
        <v>4475.7837154672416</v>
      </c>
      <c r="J229" s="16">
        <v>4902.4296372872523</v>
      </c>
      <c r="K229" s="16">
        <v>6533.5375927992536</v>
      </c>
      <c r="L229" s="16">
        <v>8613.8089967134147</v>
      </c>
      <c r="M229" s="16">
        <v>9714.3886745946838</v>
      </c>
      <c r="N229" s="16">
        <v>10492.94191619374</v>
      </c>
      <c r="O229" s="16">
        <v>11304.830096204663</v>
      </c>
      <c r="P229" s="16">
        <v>11824.261726148568</v>
      </c>
      <c r="Q229" s="16">
        <v>11667.311323558853</v>
      </c>
      <c r="R229" s="16">
        <v>11434.259224459798</v>
      </c>
      <c r="S229" s="16">
        <v>11052.198402290258</v>
      </c>
      <c r="T229" s="16">
        <v>10313.197397950153</v>
      </c>
      <c r="U229" s="16">
        <v>10315.38231927764</v>
      </c>
      <c r="V229" s="16">
        <v>11174.543409487851</v>
      </c>
      <c r="W229" s="16">
        <v>11785.363244877371</v>
      </c>
      <c r="X229" s="16">
        <v>11188.935304967184</v>
      </c>
      <c r="Y229" s="16">
        <v>10030.948175683785</v>
      </c>
      <c r="Z229" s="16">
        <v>8323.5003129786273</v>
      </c>
      <c r="AA229" s="16">
        <v>6878.6532613047384</v>
      </c>
      <c r="AB229" s="6">
        <f t="shared" si="6"/>
        <v>827221.45253734326</v>
      </c>
      <c r="AC229" s="92">
        <f>+AB229+AB230+AB231</f>
        <v>6228647.801964473</v>
      </c>
    </row>
    <row r="230" spans="1:33" ht="18.75" thickBot="1" x14ac:dyDescent="0.3">
      <c r="A230" s="96"/>
      <c r="B230" s="11" t="s">
        <v>29</v>
      </c>
      <c r="C230" s="11">
        <v>8</v>
      </c>
      <c r="D230" s="16">
        <v>5703.0583923107515</v>
      </c>
      <c r="E230" s="16">
        <v>4624.1439761207221</v>
      </c>
      <c r="F230" s="16">
        <v>4065.6815256368554</v>
      </c>
      <c r="G230" s="16">
        <v>3777.5114444854753</v>
      </c>
      <c r="H230" s="16">
        <v>3594.1805320580661</v>
      </c>
      <c r="I230" s="16">
        <v>3640.3603198972887</v>
      </c>
      <c r="J230" s="16">
        <v>3837.011179726951</v>
      </c>
      <c r="K230" s="16">
        <v>5366.0868824057143</v>
      </c>
      <c r="L230" s="16">
        <v>7048.7303959642777</v>
      </c>
      <c r="M230" s="16">
        <v>8089.8526871700742</v>
      </c>
      <c r="N230" s="16">
        <v>9046.9263087765539</v>
      </c>
      <c r="O230" s="16">
        <v>9638.0130357989583</v>
      </c>
      <c r="P230" s="16">
        <v>10344.530043225426</v>
      </c>
      <c r="Q230" s="16">
        <v>10023.467036819904</v>
      </c>
      <c r="R230" s="16">
        <v>9335.1268279597462</v>
      </c>
      <c r="S230" s="16">
        <v>8812.5442000262992</v>
      </c>
      <c r="T230" s="16">
        <v>8563.5187511860277</v>
      </c>
      <c r="U230" s="16">
        <v>8438.9067723143235</v>
      </c>
      <c r="V230" s="16">
        <v>9693.6947831362595</v>
      </c>
      <c r="W230" s="16">
        <v>10825.854580725427</v>
      </c>
      <c r="X230" s="16">
        <v>10396.594958347105</v>
      </c>
      <c r="Y230" s="16">
        <v>9373.7566605153224</v>
      </c>
      <c r="Z230" s="16">
        <v>7777.6934667677633</v>
      </c>
      <c r="AA230" s="16">
        <v>6309.9676023079555</v>
      </c>
      <c r="AB230" s="6">
        <f t="shared" si="6"/>
        <v>1426617.6989094659</v>
      </c>
      <c r="AC230" s="93"/>
    </row>
    <row r="231" spans="1:33" ht="18.75" thickBot="1" x14ac:dyDescent="0.3">
      <c r="A231" s="97"/>
      <c r="B231" s="12" t="s">
        <v>30</v>
      </c>
      <c r="C231" s="12">
        <v>19</v>
      </c>
      <c r="D231" s="16">
        <v>5321.6559264940115</v>
      </c>
      <c r="E231" s="16">
        <v>4505.8429418834166</v>
      </c>
      <c r="F231" s="16">
        <v>4049.4624659866222</v>
      </c>
      <c r="G231" s="16">
        <v>3805.0863477332368</v>
      </c>
      <c r="H231" s="16">
        <v>3816.1341559280172</v>
      </c>
      <c r="I231" s="16">
        <v>4506.2648520760049</v>
      </c>
      <c r="J231" s="16">
        <v>5374.6505564881809</v>
      </c>
      <c r="K231" s="16">
        <v>6735.3323539688208</v>
      </c>
      <c r="L231" s="16">
        <v>8617.2808859203942</v>
      </c>
      <c r="M231" s="16">
        <v>9630.3480713888821</v>
      </c>
      <c r="N231" s="16">
        <v>10525.633622740654</v>
      </c>
      <c r="O231" s="16">
        <v>11532.525290759782</v>
      </c>
      <c r="P231" s="16">
        <v>11611.55546623105</v>
      </c>
      <c r="Q231" s="16">
        <v>11577.23044103264</v>
      </c>
      <c r="R231" s="16">
        <v>11789.448116973577</v>
      </c>
      <c r="S231" s="16">
        <v>11732.699778148639</v>
      </c>
      <c r="T231" s="16">
        <v>11438.316746440454</v>
      </c>
      <c r="U231" s="16">
        <v>11152.37569970615</v>
      </c>
      <c r="V231" s="16">
        <v>11833.919152778104</v>
      </c>
      <c r="W231" s="16">
        <v>12461.293937485756</v>
      </c>
      <c r="X231" s="16">
        <v>11694.743300396345</v>
      </c>
      <c r="Y231" s="16">
        <v>10278.673737811179</v>
      </c>
      <c r="Z231" s="16">
        <v>8499.4122859984855</v>
      </c>
      <c r="AA231" s="16">
        <v>6710.5691560329506</v>
      </c>
      <c r="AB231" s="6">
        <f t="shared" si="6"/>
        <v>3974808.6505176639</v>
      </c>
      <c r="AC231" s="94"/>
    </row>
    <row r="232" spans="1:33" ht="18.75" thickBot="1" x14ac:dyDescent="0.3">
      <c r="A232" s="95">
        <v>48366</v>
      </c>
      <c r="B232" s="9" t="s">
        <v>28</v>
      </c>
      <c r="C232" s="9">
        <v>4</v>
      </c>
      <c r="D232" s="16">
        <v>4928.2367930494329</v>
      </c>
      <c r="E232" s="16">
        <v>4477.9103725300592</v>
      </c>
      <c r="F232" s="16">
        <v>4230.8291049959298</v>
      </c>
      <c r="G232" s="16">
        <v>3825.7895886228853</v>
      </c>
      <c r="H232" s="16">
        <v>3676.4995168060086</v>
      </c>
      <c r="I232" s="16">
        <v>4070.2850272754495</v>
      </c>
      <c r="J232" s="16">
        <v>4422.1804422321875</v>
      </c>
      <c r="K232" s="16">
        <v>6187.2795344364204</v>
      </c>
      <c r="L232" s="16">
        <v>8502.0999221001184</v>
      </c>
      <c r="M232" s="16">
        <v>9697.2181816371558</v>
      </c>
      <c r="N232" s="16">
        <v>10242.826413804909</v>
      </c>
      <c r="O232" s="16">
        <v>11310.65907467475</v>
      </c>
      <c r="P232" s="16">
        <v>11485.313867712339</v>
      </c>
      <c r="Q232" s="16">
        <v>10949.153217287338</v>
      </c>
      <c r="R232" s="16">
        <v>11281.442199631754</v>
      </c>
      <c r="S232" s="16">
        <v>10904.25352273574</v>
      </c>
      <c r="T232" s="16">
        <v>9993.9154562973818</v>
      </c>
      <c r="U232" s="16">
        <v>10082.215862334262</v>
      </c>
      <c r="V232" s="16">
        <v>11854.954450276666</v>
      </c>
      <c r="W232" s="16">
        <v>13190.033190794384</v>
      </c>
      <c r="X232" s="16">
        <v>12234.243697678019</v>
      </c>
      <c r="Y232" s="16">
        <v>11082.926653971037</v>
      </c>
      <c r="Z232" s="16">
        <v>9584.9357083830691</v>
      </c>
      <c r="AA232" s="16">
        <v>8142.0448543101447</v>
      </c>
      <c r="AB232" s="6">
        <f t="shared" si="6"/>
        <v>825428.98661430995</v>
      </c>
      <c r="AC232" s="92">
        <f>+AB232+AB233+AB234</f>
        <v>6182689.7230190765</v>
      </c>
    </row>
    <row r="233" spans="1:33" ht="18.75" thickBot="1" x14ac:dyDescent="0.3">
      <c r="A233" s="96"/>
      <c r="B233" s="11" t="s">
        <v>29</v>
      </c>
      <c r="C233" s="11">
        <v>4</v>
      </c>
      <c r="D233" s="16">
        <v>6755.5993542712713</v>
      </c>
      <c r="E233" s="16">
        <v>5761.6971364955534</v>
      </c>
      <c r="F233" s="16">
        <v>5023.612498869923</v>
      </c>
      <c r="G233" s="16">
        <v>4614.2995512829038</v>
      </c>
      <c r="H233" s="16">
        <v>4448.8696529250119</v>
      </c>
      <c r="I233" s="16">
        <v>4600.1148839187335</v>
      </c>
      <c r="J233" s="16">
        <v>4653.8107174614343</v>
      </c>
      <c r="K233" s="16">
        <v>6298.407026281322</v>
      </c>
      <c r="L233" s="16">
        <v>7983.2473743753508</v>
      </c>
      <c r="M233" s="16">
        <v>8806.2630298261829</v>
      </c>
      <c r="N233" s="16">
        <v>9375.2110266001218</v>
      </c>
      <c r="O233" s="16">
        <v>10302.285521487265</v>
      </c>
      <c r="P233" s="16">
        <v>10732.999692941172</v>
      </c>
      <c r="Q233" s="16">
        <v>10273.307951944869</v>
      </c>
      <c r="R233" s="16">
        <v>9651.6977884433581</v>
      </c>
      <c r="S233" s="16">
        <v>9101.7056124519622</v>
      </c>
      <c r="T233" s="16">
        <v>8637.8858515701759</v>
      </c>
      <c r="U233" s="16">
        <v>8547.1724484021543</v>
      </c>
      <c r="V233" s="16">
        <v>10300.724219280168</v>
      </c>
      <c r="W233" s="16">
        <v>11553.095488915831</v>
      </c>
      <c r="X233" s="16">
        <v>10635.183569567609</v>
      </c>
      <c r="Y233" s="16">
        <v>9238.4612277526066</v>
      </c>
      <c r="Z233" s="16">
        <v>7775.1554540809266</v>
      </c>
      <c r="AA233" s="16">
        <v>6209.2939786486204</v>
      </c>
      <c r="AB233" s="6">
        <f t="shared" si="6"/>
        <v>765120.40423117811</v>
      </c>
      <c r="AC233" s="93"/>
    </row>
    <row r="234" spans="1:33" ht="18.75" thickBot="1" x14ac:dyDescent="0.3">
      <c r="A234" s="97"/>
      <c r="B234" s="12" t="s">
        <v>30</v>
      </c>
      <c r="C234" s="12">
        <v>22</v>
      </c>
      <c r="D234" s="16">
        <v>5152.617644199494</v>
      </c>
      <c r="E234" s="16">
        <v>4356.9401494275153</v>
      </c>
      <c r="F234" s="16">
        <v>3838.2657882830608</v>
      </c>
      <c r="G234" s="16">
        <v>3552.9490043010701</v>
      </c>
      <c r="H234" s="16">
        <v>3665.1049927805216</v>
      </c>
      <c r="I234" s="16">
        <v>4305.0884085040761</v>
      </c>
      <c r="J234" s="16">
        <v>5253.9073903179997</v>
      </c>
      <c r="K234" s="16">
        <v>6919.1257952580017</v>
      </c>
      <c r="L234" s="16">
        <v>8791.5004101341474</v>
      </c>
      <c r="M234" s="16">
        <v>9809.0458636505064</v>
      </c>
      <c r="N234" s="16">
        <v>10700.833322208386</v>
      </c>
      <c r="O234" s="16">
        <v>11609.443440440962</v>
      </c>
      <c r="P234" s="16">
        <v>11797.389475175525</v>
      </c>
      <c r="Q234" s="16">
        <v>11938.816440944644</v>
      </c>
      <c r="R234" s="16">
        <v>11996.82032744621</v>
      </c>
      <c r="S234" s="16">
        <v>11822.205972606647</v>
      </c>
      <c r="T234" s="16">
        <v>11471.18247167295</v>
      </c>
      <c r="U234" s="16">
        <v>11197.108245337582</v>
      </c>
      <c r="V234" s="16">
        <v>11723.208462973122</v>
      </c>
      <c r="W234" s="16">
        <v>12182.246637750744</v>
      </c>
      <c r="X234" s="16">
        <v>11504.425624833813</v>
      </c>
      <c r="Y234" s="16">
        <v>9985.073893576995</v>
      </c>
      <c r="Z234" s="16">
        <v>8204.9304991643949</v>
      </c>
      <c r="AA234" s="16">
        <v>6955.4212014474615</v>
      </c>
      <c r="AB234" s="6">
        <f t="shared" si="6"/>
        <v>4592140.3321735887</v>
      </c>
      <c r="AC234" s="94"/>
    </row>
    <row r="235" spans="1:33" ht="18.75" thickBot="1" x14ac:dyDescent="0.3">
      <c r="A235" s="95">
        <v>48396</v>
      </c>
      <c r="B235" s="9" t="s">
        <v>28</v>
      </c>
      <c r="C235" s="9">
        <v>5</v>
      </c>
      <c r="D235" s="16">
        <v>4938.5491059251144</v>
      </c>
      <c r="E235" s="16">
        <v>4261.7107778706886</v>
      </c>
      <c r="F235" s="16">
        <v>3858.4629290799985</v>
      </c>
      <c r="G235" s="16">
        <v>3472.3555729134005</v>
      </c>
      <c r="H235" s="16">
        <v>3366.5601006633515</v>
      </c>
      <c r="I235" s="16">
        <v>3556.2795712402622</v>
      </c>
      <c r="J235" s="16">
        <v>3964.7336521640864</v>
      </c>
      <c r="K235" s="16">
        <v>5754.5498201872215</v>
      </c>
      <c r="L235" s="16">
        <v>7803.2998642265084</v>
      </c>
      <c r="M235" s="16">
        <v>8581.2407695356596</v>
      </c>
      <c r="N235" s="16">
        <v>9046.769660552658</v>
      </c>
      <c r="O235" s="16">
        <v>10351.4226200007</v>
      </c>
      <c r="P235" s="16">
        <v>10761.986350968302</v>
      </c>
      <c r="Q235" s="16">
        <v>10656.912862563684</v>
      </c>
      <c r="R235" s="16">
        <v>10527.132954494165</v>
      </c>
      <c r="S235" s="16">
        <v>10438.679997870826</v>
      </c>
      <c r="T235" s="16">
        <v>10166.867983400662</v>
      </c>
      <c r="U235" s="16">
        <v>10005.093924235596</v>
      </c>
      <c r="V235" s="16">
        <v>10912.321271591463</v>
      </c>
      <c r="W235" s="16">
        <v>11702.986314213282</v>
      </c>
      <c r="X235" s="16">
        <v>11155.404621533064</v>
      </c>
      <c r="Y235" s="16">
        <v>9963.1195056252727</v>
      </c>
      <c r="Z235" s="16">
        <v>8497.8814420603921</v>
      </c>
      <c r="AA235" s="16">
        <v>6859.5196008060921</v>
      </c>
      <c r="AB235" s="6">
        <f t="shared" si="6"/>
        <v>953019.20636861236</v>
      </c>
      <c r="AC235" s="92">
        <f>+AB235+AB236+AB237</f>
        <v>6263981.9761533197</v>
      </c>
    </row>
    <row r="236" spans="1:33" ht="18.75" thickBot="1" x14ac:dyDescent="0.3">
      <c r="A236" s="96"/>
      <c r="B236" s="11" t="s">
        <v>29</v>
      </c>
      <c r="C236" s="11">
        <v>4</v>
      </c>
      <c r="D236" s="16">
        <v>5720.3615668091043</v>
      </c>
      <c r="E236" s="16">
        <v>4882.696369405181</v>
      </c>
      <c r="F236" s="16">
        <v>4296.9091462619126</v>
      </c>
      <c r="G236" s="16">
        <v>3796.1769190749346</v>
      </c>
      <c r="H236" s="16">
        <v>3623.0995073205595</v>
      </c>
      <c r="I236" s="16">
        <v>3714.0959666654362</v>
      </c>
      <c r="J236" s="16">
        <v>4015.3718769196221</v>
      </c>
      <c r="K236" s="16">
        <v>5234.2296413771837</v>
      </c>
      <c r="L236" s="16">
        <v>6755.3055381257473</v>
      </c>
      <c r="M236" s="16">
        <v>7128.3426683932084</v>
      </c>
      <c r="N236" s="16">
        <v>8112.2013148665465</v>
      </c>
      <c r="O236" s="16">
        <v>9435.8874906435813</v>
      </c>
      <c r="P236" s="16">
        <v>10181.547769615761</v>
      </c>
      <c r="Q236" s="16">
        <v>10119.637654869668</v>
      </c>
      <c r="R236" s="16">
        <v>9596.1993669290023</v>
      </c>
      <c r="S236" s="16">
        <v>9482.4041149603727</v>
      </c>
      <c r="T236" s="16">
        <v>9168.2782169984312</v>
      </c>
      <c r="U236" s="16">
        <v>8859.3270885708662</v>
      </c>
      <c r="V236" s="16">
        <v>9484.8764128531147</v>
      </c>
      <c r="W236" s="16">
        <v>11445.021155053975</v>
      </c>
      <c r="X236" s="16">
        <v>10972.108488883772</v>
      </c>
      <c r="Y236" s="16">
        <v>9702.1918944029167</v>
      </c>
      <c r="Z236" s="16">
        <v>7911.1917391103234</v>
      </c>
      <c r="AA236" s="16">
        <v>6402.1842328790408</v>
      </c>
      <c r="AB236" s="6">
        <f t="shared" si="6"/>
        <v>720158.58456396114</v>
      </c>
      <c r="AC236" s="93"/>
    </row>
    <row r="237" spans="1:33" ht="18.75" thickBot="1" x14ac:dyDescent="0.3">
      <c r="A237" s="97"/>
      <c r="B237" s="12" t="s">
        <v>30</v>
      </c>
      <c r="C237" s="12">
        <v>22</v>
      </c>
      <c r="D237" s="16">
        <v>5541.7091553451683</v>
      </c>
      <c r="E237" s="16">
        <v>4804.5046117849233</v>
      </c>
      <c r="F237" s="16">
        <v>4289.8130702956223</v>
      </c>
      <c r="G237" s="16">
        <v>4020.1582957497394</v>
      </c>
      <c r="H237" s="16">
        <v>4012.3722745111299</v>
      </c>
      <c r="I237" s="16">
        <v>4744.2078731848742</v>
      </c>
      <c r="J237" s="16">
        <v>5667.6966323159322</v>
      </c>
      <c r="K237" s="16">
        <v>6983.2039003520986</v>
      </c>
      <c r="L237" s="16">
        <v>8586.48292806877</v>
      </c>
      <c r="M237" s="16">
        <v>9203.2653467974633</v>
      </c>
      <c r="N237" s="16">
        <v>9974.4529528742896</v>
      </c>
      <c r="O237" s="16">
        <v>11034.946138320793</v>
      </c>
      <c r="P237" s="16">
        <v>10928.944395257298</v>
      </c>
      <c r="Q237" s="16">
        <v>11306.959239835262</v>
      </c>
      <c r="R237" s="16">
        <v>11945.184319584951</v>
      </c>
      <c r="S237" s="16">
        <v>11985.774959823775</v>
      </c>
      <c r="T237" s="16">
        <v>11424.106374523093</v>
      </c>
      <c r="U237" s="16">
        <v>10984.902031105401</v>
      </c>
      <c r="V237" s="16">
        <v>11574.014066173506</v>
      </c>
      <c r="W237" s="16">
        <v>12472.875602112534</v>
      </c>
      <c r="X237" s="16">
        <v>11921.027091461037</v>
      </c>
      <c r="Y237" s="16">
        <v>10281.490190539665</v>
      </c>
      <c r="Z237" s="16">
        <v>8304.9561702583305</v>
      </c>
      <c r="AA237" s="16">
        <v>6679.8698897582981</v>
      </c>
      <c r="AB237" s="6">
        <f t="shared" si="6"/>
        <v>4590804.1852207463</v>
      </c>
      <c r="AC237" s="94"/>
    </row>
    <row r="238" spans="1:33" ht="18.75" thickBot="1" x14ac:dyDescent="0.3">
      <c r="A238" s="95">
        <v>48427</v>
      </c>
      <c r="B238" s="9" t="s">
        <v>28</v>
      </c>
      <c r="C238" s="9">
        <v>4</v>
      </c>
      <c r="D238" s="16">
        <v>5470.7911119105847</v>
      </c>
      <c r="E238" s="16">
        <v>4012.3179278137341</v>
      </c>
      <c r="F238" s="16">
        <v>3489.6102707225145</v>
      </c>
      <c r="G238" s="16">
        <v>3095.1759484801842</v>
      </c>
      <c r="H238" s="16">
        <v>3014.3204442912156</v>
      </c>
      <c r="I238" s="16">
        <v>3148.7538352036972</v>
      </c>
      <c r="J238" s="16">
        <v>3765.4605540724842</v>
      </c>
      <c r="K238" s="16">
        <v>5159.5353045359116</v>
      </c>
      <c r="L238" s="16">
        <v>7262.2414370951337</v>
      </c>
      <c r="M238" s="16">
        <v>8190.6156860693045</v>
      </c>
      <c r="N238" s="16">
        <v>9731.6280967043349</v>
      </c>
      <c r="O238" s="16">
        <v>10854.093439484888</v>
      </c>
      <c r="P238" s="16">
        <v>11217.434145406231</v>
      </c>
      <c r="Q238" s="16">
        <v>11080.796130542734</v>
      </c>
      <c r="R238" s="16">
        <v>10674.711238888649</v>
      </c>
      <c r="S238" s="16">
        <v>10519.608840731402</v>
      </c>
      <c r="T238" s="16">
        <v>10227.080498267551</v>
      </c>
      <c r="U238" s="16">
        <v>9771.1232244663261</v>
      </c>
      <c r="V238" s="16">
        <v>11214.557347923601</v>
      </c>
      <c r="W238" s="16">
        <v>11864.724102258908</v>
      </c>
      <c r="X238" s="16">
        <v>11256.333393305562</v>
      </c>
      <c r="Y238" s="16">
        <v>9801.8485265234194</v>
      </c>
      <c r="Z238" s="16">
        <v>7903.9830026438794</v>
      </c>
      <c r="AA238" s="16">
        <v>6510.9158547738261</v>
      </c>
      <c r="AB238" s="6">
        <f t="shared" si="6"/>
        <v>756950.64144846436</v>
      </c>
      <c r="AC238" s="92">
        <f>+AB238+AB239+AB240</f>
        <v>6021283.5355670089</v>
      </c>
    </row>
    <row r="239" spans="1:33" ht="18.75" thickBot="1" x14ac:dyDescent="0.3">
      <c r="A239" s="96"/>
      <c r="B239" s="11" t="s">
        <v>29</v>
      </c>
      <c r="C239" s="11">
        <v>5</v>
      </c>
      <c r="D239" s="16">
        <v>5391.8249095630272</v>
      </c>
      <c r="E239" s="16">
        <v>4725.426019454786</v>
      </c>
      <c r="F239" s="16">
        <v>4076.3585704479447</v>
      </c>
      <c r="G239" s="16">
        <v>3555.1224791733257</v>
      </c>
      <c r="H239" s="16">
        <v>3214.307760882366</v>
      </c>
      <c r="I239" s="16">
        <v>3290.619281798281</v>
      </c>
      <c r="J239" s="16">
        <v>3668.3556258900117</v>
      </c>
      <c r="K239" s="16">
        <v>5092.2839386808519</v>
      </c>
      <c r="L239" s="16">
        <v>6849.4333068014894</v>
      </c>
      <c r="M239" s="16">
        <v>8006.0190199073768</v>
      </c>
      <c r="N239" s="16">
        <v>8684.6643592900291</v>
      </c>
      <c r="O239" s="16">
        <v>9683.6820357404285</v>
      </c>
      <c r="P239" s="16">
        <v>10292.049819010012</v>
      </c>
      <c r="Q239" s="16">
        <v>10224.417172725643</v>
      </c>
      <c r="R239" s="16">
        <v>9612.9910656576831</v>
      </c>
      <c r="S239" s="16">
        <v>9221.3217312107117</v>
      </c>
      <c r="T239" s="16">
        <v>8951.915819986214</v>
      </c>
      <c r="U239" s="16">
        <v>8717.3888937213887</v>
      </c>
      <c r="V239" s="16">
        <v>9604.1383692434283</v>
      </c>
      <c r="W239" s="16">
        <v>11053.364798246734</v>
      </c>
      <c r="X239" s="16">
        <v>10589.95404640316</v>
      </c>
      <c r="Y239" s="16">
        <v>9258.6642875987818</v>
      </c>
      <c r="Z239" s="16">
        <v>7596.5061747829277</v>
      </c>
      <c r="AA239" s="16">
        <v>6117.7789007345127</v>
      </c>
      <c r="AB239" s="6">
        <f t="shared" si="6"/>
        <v>887392.94193475565</v>
      </c>
      <c r="AC239" s="93"/>
    </row>
    <row r="240" spans="1:33" ht="18.75" thickBot="1" x14ac:dyDescent="0.3">
      <c r="A240" s="97"/>
      <c r="B240" s="12" t="s">
        <v>30</v>
      </c>
      <c r="C240" s="12">
        <v>22</v>
      </c>
      <c r="D240" s="16">
        <v>5429.7546028006072</v>
      </c>
      <c r="E240" s="16">
        <v>4722.33332691131</v>
      </c>
      <c r="F240" s="16">
        <v>4239.5193662319289</v>
      </c>
      <c r="G240" s="16">
        <v>3910.8051165887573</v>
      </c>
      <c r="H240" s="16">
        <v>3810.06354989381</v>
      </c>
      <c r="I240" s="16">
        <v>4528.2157864792061</v>
      </c>
      <c r="J240" s="16">
        <v>5515.3371297922131</v>
      </c>
      <c r="K240" s="16">
        <v>6717.7211985089561</v>
      </c>
      <c r="L240" s="16">
        <v>8344.1270635313413</v>
      </c>
      <c r="M240" s="16">
        <v>9510.0442123625362</v>
      </c>
      <c r="N240" s="16">
        <v>10137.097861998518</v>
      </c>
      <c r="O240" s="16">
        <v>10249.203169910619</v>
      </c>
      <c r="P240" s="16">
        <v>9634.5479337989091</v>
      </c>
      <c r="Q240" s="16">
        <v>9988.6997526921587</v>
      </c>
      <c r="R240" s="16">
        <v>10309.817520642566</v>
      </c>
      <c r="S240" s="16">
        <v>10364.189221529581</v>
      </c>
      <c r="T240" s="16">
        <v>11381.325061909574</v>
      </c>
      <c r="U240" s="16">
        <v>10903.943736622594</v>
      </c>
      <c r="V240" s="16">
        <v>11104.321234900766</v>
      </c>
      <c r="W240" s="16">
        <v>11698.823034505152</v>
      </c>
      <c r="X240" s="16">
        <v>11254.39683567594</v>
      </c>
      <c r="Y240" s="16">
        <v>10132.419855455068</v>
      </c>
      <c r="Z240" s="16">
        <v>8388.6570888199349</v>
      </c>
      <c r="AA240" s="16">
        <v>6676.4523467919134</v>
      </c>
      <c r="AB240" s="6">
        <f t="shared" si="6"/>
        <v>4376939.9521837886</v>
      </c>
      <c r="AC240" s="94"/>
    </row>
    <row r="241" spans="1:33" ht="18.75" thickBot="1" x14ac:dyDescent="0.3">
      <c r="A241" s="95">
        <v>48458</v>
      </c>
      <c r="B241" s="9" t="s">
        <v>28</v>
      </c>
      <c r="C241" s="9">
        <v>4</v>
      </c>
      <c r="D241" s="16">
        <v>5242.2620782823287</v>
      </c>
      <c r="E241" s="16">
        <v>4952.6846141106726</v>
      </c>
      <c r="F241" s="16">
        <v>4445.771429585704</v>
      </c>
      <c r="G241" s="16">
        <v>4161.3036738638748</v>
      </c>
      <c r="H241" s="16">
        <v>4124.3933478177678</v>
      </c>
      <c r="I241" s="16">
        <v>4254.3187659463438</v>
      </c>
      <c r="J241" s="16">
        <v>4845.0177884699297</v>
      </c>
      <c r="K241" s="16">
        <v>6695.2340190055911</v>
      </c>
      <c r="L241" s="16">
        <v>8751.9895155431223</v>
      </c>
      <c r="M241" s="16">
        <v>10055.681031204436</v>
      </c>
      <c r="N241" s="16">
        <v>11027.883765399234</v>
      </c>
      <c r="O241" s="16">
        <v>12062.486827857938</v>
      </c>
      <c r="P241" s="16">
        <v>12432.458153355128</v>
      </c>
      <c r="Q241" s="16">
        <v>12308.23118913444</v>
      </c>
      <c r="R241" s="16">
        <v>11900.652074932026</v>
      </c>
      <c r="S241" s="16">
        <v>11329.727874995137</v>
      </c>
      <c r="T241" s="16">
        <v>10846.827811325871</v>
      </c>
      <c r="U241" s="16">
        <v>10654.047125261255</v>
      </c>
      <c r="V241" s="16">
        <v>12024.874021435749</v>
      </c>
      <c r="W241" s="16">
        <v>12546.912277486677</v>
      </c>
      <c r="X241" s="16">
        <v>11889.894089744037</v>
      </c>
      <c r="Y241" s="16">
        <v>10623.756840473565</v>
      </c>
      <c r="Z241" s="16">
        <v>9156.0980421732238</v>
      </c>
      <c r="AA241" s="16">
        <v>7593.1160019832969</v>
      </c>
      <c r="AB241" s="6">
        <f t="shared" si="6"/>
        <v>855702.48943754937</v>
      </c>
      <c r="AC241" s="92">
        <f>+AB241+AB242+AB243</f>
        <v>6404524.1693287306</v>
      </c>
    </row>
    <row r="242" spans="1:33" ht="18.75" thickBot="1" x14ac:dyDescent="0.3">
      <c r="A242" s="96"/>
      <c r="B242" s="11" t="s">
        <v>29</v>
      </c>
      <c r="C242" s="11">
        <v>4</v>
      </c>
      <c r="D242" s="16">
        <v>6420.0272962417694</v>
      </c>
      <c r="E242" s="16">
        <v>5595.1547677791314</v>
      </c>
      <c r="F242" s="16">
        <v>4989.1483633462703</v>
      </c>
      <c r="G242" s="16">
        <v>4627.2823233311865</v>
      </c>
      <c r="H242" s="16">
        <v>4360.359851288149</v>
      </c>
      <c r="I242" s="16">
        <v>4328.8703321441426</v>
      </c>
      <c r="J242" s="16">
        <v>4479.4503459018306</v>
      </c>
      <c r="K242" s="16">
        <v>5710.5622581353564</v>
      </c>
      <c r="L242" s="16">
        <v>7315.2047297715544</v>
      </c>
      <c r="M242" s="16">
        <v>8194.6265320092352</v>
      </c>
      <c r="N242" s="16">
        <v>8960.5157974659051</v>
      </c>
      <c r="O242" s="16">
        <v>10077.386002253028</v>
      </c>
      <c r="P242" s="16">
        <v>10605.644554776929</v>
      </c>
      <c r="Q242" s="16">
        <v>10229.568340297119</v>
      </c>
      <c r="R242" s="16">
        <v>9381.9354476494445</v>
      </c>
      <c r="S242" s="16">
        <v>8994.1244657444295</v>
      </c>
      <c r="T242" s="16">
        <v>8642.3992317297671</v>
      </c>
      <c r="U242" s="16">
        <v>8782.4520752801909</v>
      </c>
      <c r="V242" s="16">
        <v>10587.562375382127</v>
      </c>
      <c r="W242" s="16">
        <v>11268.694038319922</v>
      </c>
      <c r="X242" s="16">
        <v>10833.674702569908</v>
      </c>
      <c r="Y242" s="16">
        <v>9801.7059415215117</v>
      </c>
      <c r="Z242" s="16">
        <v>8103.7138633380455</v>
      </c>
      <c r="AA242" s="16">
        <v>6612.2827945966528</v>
      </c>
      <c r="AB242" s="6">
        <f t="shared" si="6"/>
        <v>755609.38572349434</v>
      </c>
      <c r="AC242" s="93"/>
    </row>
    <row r="243" spans="1:33" ht="18.75" thickBot="1" x14ac:dyDescent="0.3">
      <c r="A243" s="97"/>
      <c r="B243" s="12" t="s">
        <v>30</v>
      </c>
      <c r="C243" s="12">
        <v>22</v>
      </c>
      <c r="D243" s="16">
        <v>5517.8878564393272</v>
      </c>
      <c r="E243" s="16">
        <v>4912.0827688934623</v>
      </c>
      <c r="F243" s="16">
        <v>4457.2081750331781</v>
      </c>
      <c r="G243" s="16">
        <v>4033.3230011920314</v>
      </c>
      <c r="H243" s="16">
        <v>4121.800860715568</v>
      </c>
      <c r="I243" s="16">
        <v>4951.4058565429514</v>
      </c>
      <c r="J243" s="16">
        <v>6046.2905542871522</v>
      </c>
      <c r="K243" s="16">
        <v>7259.4318933154973</v>
      </c>
      <c r="L243" s="16">
        <v>9025.7585863684435</v>
      </c>
      <c r="M243" s="16">
        <v>9955.4363212774806</v>
      </c>
      <c r="N243" s="16">
        <v>10710.437292956911</v>
      </c>
      <c r="O243" s="16">
        <v>11715.365273139083</v>
      </c>
      <c r="P243" s="16">
        <v>11887.999065300937</v>
      </c>
      <c r="Q243" s="16">
        <v>12038.206095430382</v>
      </c>
      <c r="R243" s="16">
        <v>12370.073334398217</v>
      </c>
      <c r="S243" s="16">
        <v>12241.418767131832</v>
      </c>
      <c r="T243" s="16">
        <v>12018.898224626144</v>
      </c>
      <c r="U243" s="16">
        <v>11577.451345487025</v>
      </c>
      <c r="V243" s="16">
        <v>12577.380463148838</v>
      </c>
      <c r="W243" s="16">
        <v>12878.395737132185</v>
      </c>
      <c r="X243" s="16">
        <v>12093.404935475253</v>
      </c>
      <c r="Y243" s="16">
        <v>10495.30100520968</v>
      </c>
      <c r="Z243" s="16">
        <v>8353.0612495045025</v>
      </c>
      <c r="AA243" s="16">
        <v>6635.2674355251293</v>
      </c>
      <c r="AB243" s="6">
        <f t="shared" si="6"/>
        <v>4793212.2941676872</v>
      </c>
      <c r="AC243" s="94"/>
    </row>
    <row r="244" spans="1:33" ht="18.75" thickBot="1" x14ac:dyDescent="0.3">
      <c r="A244" s="95">
        <v>48488</v>
      </c>
      <c r="B244" s="9" t="s">
        <v>28</v>
      </c>
      <c r="C244" s="9">
        <v>5</v>
      </c>
      <c r="D244" s="16">
        <v>5295.6454476025901</v>
      </c>
      <c r="E244" s="16">
        <v>4630.8447999887285</v>
      </c>
      <c r="F244" s="16">
        <v>4203.4622897822355</v>
      </c>
      <c r="G244" s="16">
        <v>3814.8567204626652</v>
      </c>
      <c r="H244" s="16">
        <v>3629.4281862972111</v>
      </c>
      <c r="I244" s="16">
        <v>3748.3106255704788</v>
      </c>
      <c r="J244" s="16">
        <v>4097.0874172460863</v>
      </c>
      <c r="K244" s="16">
        <v>5828.2979040357823</v>
      </c>
      <c r="L244" s="16">
        <v>7949.7248962508565</v>
      </c>
      <c r="M244" s="16">
        <v>9530.8246736130786</v>
      </c>
      <c r="N244" s="16">
        <v>10654.229465393582</v>
      </c>
      <c r="O244" s="16">
        <v>11849.406354881234</v>
      </c>
      <c r="P244" s="16">
        <v>12148.638980822634</v>
      </c>
      <c r="Q244" s="16">
        <v>11810.287650000708</v>
      </c>
      <c r="R244" s="16">
        <v>11438.231089595141</v>
      </c>
      <c r="S244" s="16">
        <v>10931.94423212549</v>
      </c>
      <c r="T244" s="16">
        <v>10503.310799340437</v>
      </c>
      <c r="U244" s="16">
        <v>10485.9720833344</v>
      </c>
      <c r="V244" s="16">
        <v>11548.758560558526</v>
      </c>
      <c r="W244" s="16">
        <v>11673.475873450894</v>
      </c>
      <c r="X244" s="16">
        <v>11224.218808604688</v>
      </c>
      <c r="Y244" s="16">
        <v>10145.956726854256</v>
      </c>
      <c r="Z244" s="16">
        <v>8642.8737058009174</v>
      </c>
      <c r="AA244" s="16">
        <v>7148.6317542716533</v>
      </c>
      <c r="AB244" s="6">
        <f t="shared" si="6"/>
        <v>1014672.0952294214</v>
      </c>
      <c r="AC244" s="92">
        <f>+AB244+AB245+AB246</f>
        <v>6329685.4987157788</v>
      </c>
    </row>
    <row r="245" spans="1:33" ht="18.75" thickBot="1" x14ac:dyDescent="0.3">
      <c r="A245" s="96"/>
      <c r="B245" s="11" t="s">
        <v>29</v>
      </c>
      <c r="C245" s="11">
        <v>5</v>
      </c>
      <c r="D245" s="16">
        <v>5722.4220732922477</v>
      </c>
      <c r="E245" s="16">
        <v>4951.2910156423823</v>
      </c>
      <c r="F245" s="16">
        <v>4380.8145757879538</v>
      </c>
      <c r="G245" s="16">
        <v>4059.6891456732137</v>
      </c>
      <c r="H245" s="16">
        <v>3907.4933440749992</v>
      </c>
      <c r="I245" s="16">
        <v>3955.5128442260702</v>
      </c>
      <c r="J245" s="16">
        <v>4077.4887453560732</v>
      </c>
      <c r="K245" s="16">
        <v>5352.2750777247747</v>
      </c>
      <c r="L245" s="16">
        <v>6809.4864028315642</v>
      </c>
      <c r="M245" s="16">
        <v>7898.432757003673</v>
      </c>
      <c r="N245" s="16">
        <v>8482.040897645682</v>
      </c>
      <c r="O245" s="16">
        <v>9824.4195208986785</v>
      </c>
      <c r="P245" s="16">
        <v>10539.166819415925</v>
      </c>
      <c r="Q245" s="16">
        <v>10333.521783694338</v>
      </c>
      <c r="R245" s="16">
        <v>9416.5046177496915</v>
      </c>
      <c r="S245" s="16">
        <v>8320.0434374345386</v>
      </c>
      <c r="T245" s="16">
        <v>8487.7758965443245</v>
      </c>
      <c r="U245" s="16">
        <v>8923.9583318717741</v>
      </c>
      <c r="V245" s="16">
        <v>10641.048324960328</v>
      </c>
      <c r="W245" s="16">
        <v>10991.087652554092</v>
      </c>
      <c r="X245" s="16">
        <v>10123.163722957921</v>
      </c>
      <c r="Y245" s="16">
        <v>8766.6938052576224</v>
      </c>
      <c r="Z245" s="16">
        <v>7106.4242328702167</v>
      </c>
      <c r="AA245" s="16">
        <v>5738.8134725975433</v>
      </c>
      <c r="AB245" s="6">
        <f t="shared" si="6"/>
        <v>894047.84249032801</v>
      </c>
      <c r="AC245" s="93"/>
    </row>
    <row r="246" spans="1:33" ht="18.75" thickBot="1" x14ac:dyDescent="0.3">
      <c r="A246" s="97"/>
      <c r="B246" s="12" t="s">
        <v>30</v>
      </c>
      <c r="C246" s="12">
        <v>21</v>
      </c>
      <c r="D246" s="16">
        <v>5385.1741907183678</v>
      </c>
      <c r="E246" s="16">
        <v>4726.5798927678698</v>
      </c>
      <c r="F246" s="16">
        <v>4245.6187124894896</v>
      </c>
      <c r="G246" s="16">
        <v>3751.0469998582594</v>
      </c>
      <c r="H246" s="16">
        <v>3912.4470819467551</v>
      </c>
      <c r="I246" s="16">
        <v>4569.997385915005</v>
      </c>
      <c r="J246" s="16">
        <v>5485.1940025153926</v>
      </c>
      <c r="K246" s="16">
        <v>6939.6791187771159</v>
      </c>
      <c r="L246" s="16">
        <v>8543.6882445831761</v>
      </c>
      <c r="M246" s="16">
        <v>9528.2415350788251</v>
      </c>
      <c r="N246" s="16">
        <v>10158.761414097731</v>
      </c>
      <c r="O246" s="16">
        <v>10909.525207928436</v>
      </c>
      <c r="P246" s="16">
        <v>11522.406384805676</v>
      </c>
      <c r="Q246" s="16">
        <v>11533.510848968835</v>
      </c>
      <c r="R246" s="16">
        <v>11904.596564349307</v>
      </c>
      <c r="S246" s="16">
        <v>12050.032980003591</v>
      </c>
      <c r="T246" s="16">
        <v>11926.168116401561</v>
      </c>
      <c r="U246" s="16">
        <v>11337.708435276185</v>
      </c>
      <c r="V246" s="16">
        <v>12617.558183705591</v>
      </c>
      <c r="W246" s="16">
        <v>12544.972398114278</v>
      </c>
      <c r="X246" s="16">
        <v>11832.757350588698</v>
      </c>
      <c r="Y246" s="16">
        <v>10195.645380631671</v>
      </c>
      <c r="Z246" s="16">
        <v>8265.7927923859825</v>
      </c>
      <c r="AA246" s="16">
        <v>6635.0663493316861</v>
      </c>
      <c r="AB246" s="6">
        <f t="shared" si="6"/>
        <v>4420965.5609960295</v>
      </c>
      <c r="AC246" s="94"/>
    </row>
    <row r="247" spans="1:33" ht="18.75" thickBot="1" x14ac:dyDescent="0.3">
      <c r="A247" s="95">
        <v>48519</v>
      </c>
      <c r="B247" s="9" t="s">
        <v>28</v>
      </c>
      <c r="C247" s="9">
        <v>4</v>
      </c>
      <c r="D247" s="16">
        <v>5111.5684524810968</v>
      </c>
      <c r="E247" s="16">
        <v>4884.2867995074448</v>
      </c>
      <c r="F247" s="16">
        <v>4314.6902171715556</v>
      </c>
      <c r="G247" s="16">
        <v>3855.1204844612766</v>
      </c>
      <c r="H247" s="16">
        <v>3848.7169463191185</v>
      </c>
      <c r="I247" s="16">
        <v>4037.2737084813416</v>
      </c>
      <c r="J247" s="16">
        <v>4519.2198647203986</v>
      </c>
      <c r="K247" s="16">
        <v>6233.0120429389535</v>
      </c>
      <c r="L247" s="16">
        <v>8487.6381558814937</v>
      </c>
      <c r="M247" s="16">
        <v>9858.9555826543983</v>
      </c>
      <c r="N247" s="16">
        <v>10734.935094448763</v>
      </c>
      <c r="O247" s="16">
        <v>11632.320110615165</v>
      </c>
      <c r="P247" s="16">
        <v>12043.160090092231</v>
      </c>
      <c r="Q247" s="16">
        <v>11787.785710406322</v>
      </c>
      <c r="R247" s="16">
        <v>11401.098843285334</v>
      </c>
      <c r="S247" s="16">
        <v>10906.340283359168</v>
      </c>
      <c r="T247" s="16">
        <v>10461.952316722614</v>
      </c>
      <c r="U247" s="16">
        <v>10708.391310094939</v>
      </c>
      <c r="V247" s="16">
        <v>12152.274621991684</v>
      </c>
      <c r="W247" s="16">
        <v>12194.134689339437</v>
      </c>
      <c r="X247" s="16">
        <v>11587.663156807648</v>
      </c>
      <c r="Y247" s="16">
        <v>10315.613889745135</v>
      </c>
      <c r="Z247" s="16">
        <v>8801.6392713160749</v>
      </c>
      <c r="AA247" s="16">
        <v>7283.729034082935</v>
      </c>
      <c r="AB247" s="6">
        <f t="shared" si="6"/>
        <v>828646.08270769811</v>
      </c>
      <c r="AC247" s="92">
        <f>+AB247+AB248+AB249</f>
        <v>6243719.1958402526</v>
      </c>
    </row>
    <row r="248" spans="1:33" ht="18.75" thickBot="1" x14ac:dyDescent="0.3">
      <c r="A248" s="96"/>
      <c r="B248" s="11" t="s">
        <v>29</v>
      </c>
      <c r="C248" s="11">
        <v>4</v>
      </c>
      <c r="D248" s="16">
        <v>5919.0874137871433</v>
      </c>
      <c r="E248" s="16">
        <v>5173.1254500234318</v>
      </c>
      <c r="F248" s="16">
        <v>4730.0529713448886</v>
      </c>
      <c r="G248" s="16">
        <v>4362.8741018841483</v>
      </c>
      <c r="H248" s="16">
        <v>4221.7131493517754</v>
      </c>
      <c r="I248" s="16">
        <v>4276.0697815074946</v>
      </c>
      <c r="J248" s="16">
        <v>4567.4749083129936</v>
      </c>
      <c r="K248" s="16">
        <v>5834.9639185953929</v>
      </c>
      <c r="L248" s="16">
        <v>7506.6353672587138</v>
      </c>
      <c r="M248" s="16">
        <v>8544.8795766428484</v>
      </c>
      <c r="N248" s="16">
        <v>9132.4863954001339</v>
      </c>
      <c r="O248" s="16">
        <v>9899.4640118109855</v>
      </c>
      <c r="P248" s="16">
        <v>10316.278102713233</v>
      </c>
      <c r="Q248" s="16">
        <v>9995.516132621422</v>
      </c>
      <c r="R248" s="16">
        <v>9333.155388312578</v>
      </c>
      <c r="S248" s="16">
        <v>8839.0473423188087</v>
      </c>
      <c r="T248" s="16">
        <v>8651.3952873073395</v>
      </c>
      <c r="U248" s="16">
        <v>8824.8441059772267</v>
      </c>
      <c r="V248" s="16">
        <v>10783.12411629975</v>
      </c>
      <c r="W248" s="16">
        <v>11259.897174174559</v>
      </c>
      <c r="X248" s="16">
        <v>10536.856360873935</v>
      </c>
      <c r="Y248" s="16">
        <v>9283.0749482101346</v>
      </c>
      <c r="Z248" s="16">
        <v>7814.9217016249131</v>
      </c>
      <c r="AA248" s="16">
        <v>6482.6419603124123</v>
      </c>
      <c r="AB248" s="6">
        <f t="shared" si="6"/>
        <v>745158.31866666488</v>
      </c>
      <c r="AC248" s="93"/>
    </row>
    <row r="249" spans="1:33" ht="18.75" thickBot="1" x14ac:dyDescent="0.3">
      <c r="A249" s="97"/>
      <c r="B249" s="12" t="s">
        <v>30</v>
      </c>
      <c r="C249" s="12">
        <v>22</v>
      </c>
      <c r="D249" s="16">
        <v>5396.7503166492388</v>
      </c>
      <c r="E249" s="16">
        <v>4729.3358860182489</v>
      </c>
      <c r="F249" s="16">
        <v>4300.5613530640367</v>
      </c>
      <c r="G249" s="16">
        <v>4018.213815158535</v>
      </c>
      <c r="H249" s="16">
        <v>3999.4576577859152</v>
      </c>
      <c r="I249" s="16">
        <v>4633.9435598140735</v>
      </c>
      <c r="J249" s="16">
        <v>5672.0508845434342</v>
      </c>
      <c r="K249" s="16">
        <v>7200.7302445222376</v>
      </c>
      <c r="L249" s="16">
        <v>8844.2432512687665</v>
      </c>
      <c r="M249" s="16">
        <v>9730.632434104522</v>
      </c>
      <c r="N249" s="16">
        <v>10604.190715326851</v>
      </c>
      <c r="O249" s="16">
        <v>11523.64124187643</v>
      </c>
      <c r="P249" s="16">
        <v>11817.134520307496</v>
      </c>
      <c r="Q249" s="16">
        <v>11710.17988027701</v>
      </c>
      <c r="R249" s="16">
        <v>11999.347233658609</v>
      </c>
      <c r="S249" s="16">
        <v>11680.005322944871</v>
      </c>
      <c r="T249" s="16">
        <v>11244.863803750912</v>
      </c>
      <c r="U249" s="16">
        <v>11060.402112517681</v>
      </c>
      <c r="V249" s="16">
        <v>12448.217543809613</v>
      </c>
      <c r="W249" s="16">
        <v>12260.629703028088</v>
      </c>
      <c r="X249" s="16">
        <v>11769.932251838185</v>
      </c>
      <c r="Y249" s="16">
        <v>10414.161148270938</v>
      </c>
      <c r="Z249" s="16">
        <v>8453.1900596272171</v>
      </c>
      <c r="AA249" s="16">
        <v>6757.0393537411655</v>
      </c>
      <c r="AB249" s="6">
        <f t="shared" si="6"/>
        <v>4669914.7944658902</v>
      </c>
      <c r="AC249" s="94"/>
    </row>
    <row r="250" spans="1:33" ht="18.75" thickBot="1" x14ac:dyDescent="0.3">
      <c r="A250" s="95">
        <v>48549</v>
      </c>
      <c r="B250" s="9" t="s">
        <v>28</v>
      </c>
      <c r="C250" s="9">
        <v>4</v>
      </c>
      <c r="D250" s="16">
        <v>6435.7261134011169</v>
      </c>
      <c r="E250" s="16">
        <v>5591.5705378596613</v>
      </c>
      <c r="F250" s="16">
        <v>5150.3715807011613</v>
      </c>
      <c r="G250" s="16">
        <v>4859.1115430259088</v>
      </c>
      <c r="H250" s="16">
        <v>4778.3365668335791</v>
      </c>
      <c r="I250" s="16">
        <v>5093.0892449205057</v>
      </c>
      <c r="J250" s="16">
        <v>5500.4071877795504</v>
      </c>
      <c r="K250" s="16">
        <v>7054.0584293215979</v>
      </c>
      <c r="L250" s="16">
        <v>9146.2038751748696</v>
      </c>
      <c r="M250" s="16">
        <v>10305.528137264329</v>
      </c>
      <c r="N250" s="16">
        <v>11088.571055218872</v>
      </c>
      <c r="O250" s="16">
        <v>11872.094243104108</v>
      </c>
      <c r="P250" s="16">
        <v>12135.535828809003</v>
      </c>
      <c r="Q250" s="16">
        <v>12083.105233982937</v>
      </c>
      <c r="R250" s="16">
        <v>11648.915850284437</v>
      </c>
      <c r="S250" s="16">
        <v>11291.023433002156</v>
      </c>
      <c r="T250" s="16">
        <v>10985.679986937292</v>
      </c>
      <c r="U250" s="16">
        <v>10934.559987872744</v>
      </c>
      <c r="V250" s="16">
        <v>12547.397734005088</v>
      </c>
      <c r="W250" s="16">
        <v>12774.996639496505</v>
      </c>
      <c r="X250" s="16">
        <v>12161.915162078643</v>
      </c>
      <c r="Y250" s="16">
        <v>11119.359063521151</v>
      </c>
      <c r="Z250" s="16">
        <v>9650.3621616255332</v>
      </c>
      <c r="AA250" s="16">
        <v>8324.0460153312997</v>
      </c>
      <c r="AB250" s="6">
        <f t="shared" si="6"/>
        <v>890127.86244620802</v>
      </c>
      <c r="AC250" s="92">
        <f>+AB250+AB251+AB252</f>
        <v>7022944.6615072312</v>
      </c>
    </row>
    <row r="251" spans="1:33" ht="18.75" thickBot="1" x14ac:dyDescent="0.3">
      <c r="A251" s="96"/>
      <c r="B251" s="11" t="s">
        <v>29</v>
      </c>
      <c r="C251" s="11">
        <v>4</v>
      </c>
      <c r="D251" s="16">
        <v>7266.2537478111626</v>
      </c>
      <c r="E251" s="16">
        <v>6506.5726925406852</v>
      </c>
      <c r="F251" s="16">
        <v>5976.0649487667724</v>
      </c>
      <c r="G251" s="16">
        <v>5555.5074520794078</v>
      </c>
      <c r="H251" s="16">
        <v>5370.1987942510386</v>
      </c>
      <c r="I251" s="16">
        <v>5466.1648436378891</v>
      </c>
      <c r="J251" s="16">
        <v>5490.835610992177</v>
      </c>
      <c r="K251" s="16">
        <v>6660.1395665706659</v>
      </c>
      <c r="L251" s="16">
        <v>8133.8827980628412</v>
      </c>
      <c r="M251" s="16">
        <v>9371.3568989418854</v>
      </c>
      <c r="N251" s="16">
        <v>9987.4541558540113</v>
      </c>
      <c r="O251" s="16">
        <v>10896.222947984119</v>
      </c>
      <c r="P251" s="16">
        <v>11349.831133140084</v>
      </c>
      <c r="Q251" s="16">
        <v>11363.171588749618</v>
      </c>
      <c r="R251" s="16">
        <v>10838.254592830657</v>
      </c>
      <c r="S251" s="16">
        <v>10291.830297692301</v>
      </c>
      <c r="T251" s="16">
        <v>10037.044844681568</v>
      </c>
      <c r="U251" s="16">
        <v>9940.7304304858517</v>
      </c>
      <c r="V251" s="16">
        <v>11752.351449966307</v>
      </c>
      <c r="W251" s="16">
        <v>12318.535583308687</v>
      </c>
      <c r="X251" s="16">
        <v>11446.101578961869</v>
      </c>
      <c r="Y251" s="16">
        <v>10282.31621800931</v>
      </c>
      <c r="Z251" s="16">
        <v>9405.3726368486532</v>
      </c>
      <c r="AA251" s="16">
        <v>8124.4882221654152</v>
      </c>
      <c r="AB251" s="6">
        <f t="shared" si="6"/>
        <v>855322.73213733197</v>
      </c>
      <c r="AC251" s="93"/>
    </row>
    <row r="252" spans="1:33" ht="18.75" thickBot="1" x14ac:dyDescent="0.3">
      <c r="A252" s="97"/>
      <c r="B252" s="12" t="s">
        <v>30</v>
      </c>
      <c r="C252" s="12">
        <v>23</v>
      </c>
      <c r="D252" s="16">
        <v>6732.0847108333437</v>
      </c>
      <c r="E252" s="16">
        <v>5940.4993659428801</v>
      </c>
      <c r="F252" s="16">
        <v>5438.1151147995079</v>
      </c>
      <c r="G252" s="16">
        <v>5080.0028556475409</v>
      </c>
      <c r="H252" s="16">
        <v>4993.877669206373</v>
      </c>
      <c r="I252" s="16">
        <v>5344.2208938459917</v>
      </c>
      <c r="J252" s="16">
        <v>6044.5388462770061</v>
      </c>
      <c r="K252" s="16">
        <v>7726.8654668153322</v>
      </c>
      <c r="L252" s="16">
        <v>9729.9280075346614</v>
      </c>
      <c r="M252" s="16">
        <v>10444.178941757291</v>
      </c>
      <c r="N252" s="16">
        <v>10879.218461213335</v>
      </c>
      <c r="O252" s="16">
        <v>11718.464234998737</v>
      </c>
      <c r="P252" s="16">
        <v>11791.795429906411</v>
      </c>
      <c r="Q252" s="16">
        <v>11878.469174155722</v>
      </c>
      <c r="R252" s="16">
        <v>11887.420039905926</v>
      </c>
      <c r="S252" s="16">
        <v>11916.753870742054</v>
      </c>
      <c r="T252" s="16">
        <v>11661.822983879065</v>
      </c>
      <c r="U252" s="16">
        <v>11499.731721220418</v>
      </c>
      <c r="V252" s="16">
        <v>13253.18693050549</v>
      </c>
      <c r="W252" s="16">
        <v>13423.59417492148</v>
      </c>
      <c r="X252" s="16">
        <v>12739.985170923614</v>
      </c>
      <c r="Y252" s="16">
        <v>11391.532478388141</v>
      </c>
      <c r="Z252" s="16">
        <v>9753.1880826278102</v>
      </c>
      <c r="AA252" s="16">
        <v>8186.7891532427639</v>
      </c>
      <c r="AB252" s="6">
        <f t="shared" si="6"/>
        <v>5277494.066923691</v>
      </c>
      <c r="AC252" s="94"/>
    </row>
    <row r="254" spans="1:33" ht="15.75" thickBot="1" x14ac:dyDescent="0.3"/>
    <row r="255" spans="1:33" ht="18.75" thickBot="1" x14ac:dyDescent="0.3">
      <c r="A255" s="1" t="s">
        <v>0</v>
      </c>
      <c r="B255" s="2" t="s">
        <v>1</v>
      </c>
      <c r="C255" s="2" t="s">
        <v>2</v>
      </c>
      <c r="D255" s="27" t="s">
        <v>3</v>
      </c>
      <c r="E255" s="5" t="s">
        <v>4</v>
      </c>
      <c r="F255" s="5" t="s">
        <v>5</v>
      </c>
      <c r="G255" s="5" t="s">
        <v>6</v>
      </c>
      <c r="H255" s="5" t="s">
        <v>7</v>
      </c>
      <c r="I255" s="5" t="s">
        <v>8</v>
      </c>
      <c r="J255" s="5" t="s">
        <v>9</v>
      </c>
      <c r="K255" s="5" t="s">
        <v>10</v>
      </c>
      <c r="L255" s="5" t="s">
        <v>11</v>
      </c>
      <c r="M255" s="5" t="s">
        <v>12</v>
      </c>
      <c r="N255" s="5" t="s">
        <v>13</v>
      </c>
      <c r="O255" s="5" t="s">
        <v>14</v>
      </c>
      <c r="P255" s="5" t="s">
        <v>15</v>
      </c>
      <c r="Q255" s="5" t="s">
        <v>16</v>
      </c>
      <c r="R255" s="5" t="s">
        <v>17</v>
      </c>
      <c r="S255" s="5" t="s">
        <v>18</v>
      </c>
      <c r="T255" s="5" t="s">
        <v>19</v>
      </c>
      <c r="U255" s="5" t="s">
        <v>20</v>
      </c>
      <c r="V255" s="5" t="s">
        <v>21</v>
      </c>
      <c r="W255" s="5" t="s">
        <v>22</v>
      </c>
      <c r="X255" s="5" t="s">
        <v>23</v>
      </c>
      <c r="Y255" s="5" t="s">
        <v>24</v>
      </c>
      <c r="Z255" s="5" t="s">
        <v>25</v>
      </c>
      <c r="AA255" s="5" t="s">
        <v>26</v>
      </c>
      <c r="AB255" s="109" t="s">
        <v>27</v>
      </c>
      <c r="AC255" s="110"/>
    </row>
    <row r="256" spans="1:33" ht="18.75" thickBot="1" x14ac:dyDescent="0.3">
      <c r="A256" s="95">
        <v>48580</v>
      </c>
      <c r="B256" s="9" t="s">
        <v>28</v>
      </c>
      <c r="C256" s="9">
        <v>4</v>
      </c>
      <c r="D256" s="16">
        <v>6562.2058150703597</v>
      </c>
      <c r="E256" s="16">
        <v>5805.6605324339507</v>
      </c>
      <c r="F256" s="16">
        <v>5336.9880336845854</v>
      </c>
      <c r="G256" s="16">
        <v>4902.1225690271531</v>
      </c>
      <c r="H256" s="16">
        <v>4846.4789654151718</v>
      </c>
      <c r="I256" s="16">
        <v>5005.4782371029069</v>
      </c>
      <c r="J256" s="16">
        <v>5325.1512365909548</v>
      </c>
      <c r="K256" s="16">
        <v>6841.5708445989512</v>
      </c>
      <c r="L256" s="16">
        <v>9124.2844295687428</v>
      </c>
      <c r="M256" s="16">
        <v>10516.396895444977</v>
      </c>
      <c r="N256" s="16">
        <v>11333.847583911251</v>
      </c>
      <c r="O256" s="16">
        <v>12513.33483088233</v>
      </c>
      <c r="P256" s="16">
        <v>12864.80623965411</v>
      </c>
      <c r="Q256" s="16">
        <v>12496.864829982027</v>
      </c>
      <c r="R256" s="16">
        <v>12007.674373322305</v>
      </c>
      <c r="S256" s="16">
        <v>12111.194416269962</v>
      </c>
      <c r="T256" s="16">
        <v>11748.904973346838</v>
      </c>
      <c r="U256" s="16">
        <v>11490.316205098719</v>
      </c>
      <c r="V256" s="16">
        <v>12724.256692598497</v>
      </c>
      <c r="W256" s="16">
        <v>13590.642322322754</v>
      </c>
      <c r="X256" s="16">
        <v>13046.155074967584</v>
      </c>
      <c r="Y256" s="16">
        <v>11788.320622573163</v>
      </c>
      <c r="Z256" s="16">
        <v>10048.945467172547</v>
      </c>
      <c r="AA256" s="16">
        <v>8408.645007909352</v>
      </c>
      <c r="AB256" s="6">
        <f t="shared" ref="AB256:AB291" si="7">SUM(D256:AA256)*C256</f>
        <v>921760.9847957968</v>
      </c>
      <c r="AC256" s="92">
        <f>+AB256+AB257+AB258</f>
        <v>11358035.540712053</v>
      </c>
      <c r="AF256" s="67">
        <v>48580</v>
      </c>
      <c r="AG256" s="68">
        <f>AB256+AB257+AB258</f>
        <v>11358035.540712053</v>
      </c>
    </row>
    <row r="257" spans="1:33" ht="18.75" thickBot="1" x14ac:dyDescent="0.3">
      <c r="A257" s="96"/>
      <c r="B257" s="11" t="s">
        <v>29</v>
      </c>
      <c r="C257" s="11">
        <v>7</v>
      </c>
      <c r="D257" s="16">
        <v>12449.216424954113</v>
      </c>
      <c r="E257" s="16">
        <v>11501.586938333392</v>
      </c>
      <c r="F257" s="16">
        <v>10634.865379857216</v>
      </c>
      <c r="G257" s="16">
        <v>10170.098389757834</v>
      </c>
      <c r="H257" s="16">
        <v>9753.4446351143306</v>
      </c>
      <c r="I257" s="16">
        <v>9712.3003303582227</v>
      </c>
      <c r="J257" s="16">
        <v>9796.4454492800542</v>
      </c>
      <c r="K257" s="16">
        <v>11048.311585470321</v>
      </c>
      <c r="L257" s="16">
        <v>13170.76362787425</v>
      </c>
      <c r="M257" s="16">
        <v>14614.349462675898</v>
      </c>
      <c r="N257" s="16">
        <v>15347.929654735832</v>
      </c>
      <c r="O257" s="16">
        <v>16559.419051404893</v>
      </c>
      <c r="P257" s="16">
        <v>17322.093398069777</v>
      </c>
      <c r="Q257" s="16">
        <v>17258.479089089567</v>
      </c>
      <c r="R257" s="16">
        <v>16254.001412236128</v>
      </c>
      <c r="S257" s="16">
        <v>15813.768427998581</v>
      </c>
      <c r="T257" s="16">
        <v>15481.894749696843</v>
      </c>
      <c r="U257" s="16">
        <v>15308.066185463154</v>
      </c>
      <c r="V257" s="16">
        <v>17767.243792104884</v>
      </c>
      <c r="W257" s="16">
        <v>19373.384966775608</v>
      </c>
      <c r="X257" s="16">
        <v>18687.757320701669</v>
      </c>
      <c r="Y257" s="16">
        <v>16829.519329216626</v>
      </c>
      <c r="Z257" s="16">
        <v>14809.807141577556</v>
      </c>
      <c r="AA257" s="16">
        <v>12884.029649789136</v>
      </c>
      <c r="AB257" s="6">
        <f t="shared" si="7"/>
        <v>2397841.4347477513</v>
      </c>
      <c r="AC257" s="93"/>
      <c r="AF257" s="67">
        <v>48611</v>
      </c>
      <c r="AG257" s="68">
        <f>AC259</f>
        <v>8396888.9793665987</v>
      </c>
    </row>
    <row r="258" spans="1:33" ht="18.75" thickBot="1" x14ac:dyDescent="0.3">
      <c r="A258" s="97"/>
      <c r="B258" s="12" t="s">
        <v>30</v>
      </c>
      <c r="C258" s="12">
        <v>20</v>
      </c>
      <c r="D258" s="16">
        <v>12550.373455009834</v>
      </c>
      <c r="E258" s="16">
        <v>11436.440173326708</v>
      </c>
      <c r="F258" s="16">
        <v>10793.257502946992</v>
      </c>
      <c r="G258" s="16">
        <v>10411.527075010308</v>
      </c>
      <c r="H258" s="16">
        <v>10357.049110176293</v>
      </c>
      <c r="I258" s="16">
        <v>10988.606421153338</v>
      </c>
      <c r="J258" s="16">
        <v>11896.443979860396</v>
      </c>
      <c r="K258" s="16">
        <v>13746.787014643603</v>
      </c>
      <c r="L258" s="16">
        <v>16558.648143115828</v>
      </c>
      <c r="M258" s="16">
        <v>17698.624262437879</v>
      </c>
      <c r="N258" s="16">
        <v>18725.611837295077</v>
      </c>
      <c r="O258" s="16">
        <v>20287.292843224524</v>
      </c>
      <c r="P258" s="16">
        <v>20785.833595140597</v>
      </c>
      <c r="Q258" s="16">
        <v>20729.025744428054</v>
      </c>
      <c r="R258" s="16">
        <v>20749.625644155632</v>
      </c>
      <c r="S258" s="16">
        <v>20630.758227517075</v>
      </c>
      <c r="T258" s="16">
        <v>20174.843199090094</v>
      </c>
      <c r="U258" s="16">
        <v>19631.82645464308</v>
      </c>
      <c r="V258" s="16">
        <v>20650.538856105428</v>
      </c>
      <c r="W258" s="16">
        <v>21732.389961376291</v>
      </c>
      <c r="X258" s="16">
        <v>20951.08967702958</v>
      </c>
      <c r="Y258" s="16">
        <v>19271.904774817853</v>
      </c>
      <c r="Z258" s="16">
        <v>16773.127354441462</v>
      </c>
      <c r="AA258" s="16">
        <v>14390.030751479306</v>
      </c>
      <c r="AB258" s="6">
        <f t="shared" si="7"/>
        <v>8038433.1211685054</v>
      </c>
      <c r="AC258" s="94"/>
      <c r="AF258" s="67">
        <v>48639</v>
      </c>
      <c r="AG258" s="68">
        <f>AC262</f>
        <v>10204130.990121413</v>
      </c>
    </row>
    <row r="259" spans="1:33" ht="18.75" thickBot="1" x14ac:dyDescent="0.3">
      <c r="A259" s="95">
        <v>48611</v>
      </c>
      <c r="B259" s="9" t="s">
        <v>28</v>
      </c>
      <c r="C259" s="9">
        <v>4</v>
      </c>
      <c r="D259" s="16">
        <v>8385.4161899180217</v>
      </c>
      <c r="E259" s="16">
        <v>7275.6746539231499</v>
      </c>
      <c r="F259" s="16">
        <v>6746.3125889874937</v>
      </c>
      <c r="G259" s="16">
        <v>6170.9752380897589</v>
      </c>
      <c r="H259" s="16">
        <v>6045.3018486421279</v>
      </c>
      <c r="I259" s="16">
        <v>6246.2250969986708</v>
      </c>
      <c r="J259" s="16">
        <v>6971.7081692871798</v>
      </c>
      <c r="K259" s="16">
        <v>9070.3480399193177</v>
      </c>
      <c r="L259" s="16">
        <v>12061.405916352753</v>
      </c>
      <c r="M259" s="16">
        <v>13332.458034733401</v>
      </c>
      <c r="N259" s="16">
        <v>14249.492765757281</v>
      </c>
      <c r="O259" s="16">
        <v>15475.123882055024</v>
      </c>
      <c r="P259" s="16">
        <v>15784.710059970297</v>
      </c>
      <c r="Q259" s="16">
        <v>16046.532338397355</v>
      </c>
      <c r="R259" s="16">
        <v>15689.17527422234</v>
      </c>
      <c r="S259" s="16">
        <v>14150.641592429663</v>
      </c>
      <c r="T259" s="16">
        <v>14477.524687868874</v>
      </c>
      <c r="U259" s="16">
        <v>14378.419661840297</v>
      </c>
      <c r="V259" s="16">
        <v>15905.748890932307</v>
      </c>
      <c r="W259" s="16">
        <v>16934.197010596075</v>
      </c>
      <c r="X259" s="16">
        <v>16420.219816693585</v>
      </c>
      <c r="Y259" s="16">
        <v>14661.782157068101</v>
      </c>
      <c r="Z259" s="16">
        <v>12294.938756626681</v>
      </c>
      <c r="AA259" s="16">
        <v>10318.048038734501</v>
      </c>
      <c r="AB259" s="6">
        <f t="shared" si="7"/>
        <v>1156369.5228401767</v>
      </c>
      <c r="AC259" s="92">
        <f>+AB259+AB260+AB261</f>
        <v>8396888.9793665987</v>
      </c>
      <c r="AF259" s="67">
        <v>48670</v>
      </c>
      <c r="AG259" s="68">
        <f>AC265</f>
        <v>9705330.6784714796</v>
      </c>
    </row>
    <row r="260" spans="1:33" ht="18.75" thickBot="1" x14ac:dyDescent="0.3">
      <c r="A260" s="96"/>
      <c r="B260" s="11" t="s">
        <v>29</v>
      </c>
      <c r="C260" s="11">
        <v>4</v>
      </c>
      <c r="D260" s="16">
        <v>8843.1917931798744</v>
      </c>
      <c r="E260" s="16">
        <v>7975.4417489261359</v>
      </c>
      <c r="F260" s="16">
        <v>7131.8123691123728</v>
      </c>
      <c r="G260" s="16">
        <v>6677.9656604059019</v>
      </c>
      <c r="H260" s="16">
        <v>6458.6415846147684</v>
      </c>
      <c r="I260" s="16">
        <v>6620.4528856308898</v>
      </c>
      <c r="J260" s="16">
        <v>6909.4630212243428</v>
      </c>
      <c r="K260" s="16">
        <v>8495.6721033984286</v>
      </c>
      <c r="L260" s="16">
        <v>10758.144780959014</v>
      </c>
      <c r="M260" s="16">
        <v>12099.590951996048</v>
      </c>
      <c r="N260" s="16">
        <v>12933.902307437493</v>
      </c>
      <c r="O260" s="16">
        <v>14177.093509655606</v>
      </c>
      <c r="P260" s="16">
        <v>15295.892230550253</v>
      </c>
      <c r="Q260" s="16">
        <v>15161.536612944641</v>
      </c>
      <c r="R260" s="16">
        <v>14093.350065421553</v>
      </c>
      <c r="S260" s="16">
        <v>13489.171321415339</v>
      </c>
      <c r="T260" s="16">
        <v>12757.081092130018</v>
      </c>
      <c r="U260" s="16">
        <v>12896.213332576826</v>
      </c>
      <c r="V260" s="16">
        <v>14999.483103846866</v>
      </c>
      <c r="W260" s="16">
        <v>15273.355234336537</v>
      </c>
      <c r="X260" s="16">
        <v>15274.529011963041</v>
      </c>
      <c r="Y260" s="16">
        <v>13805.248210134334</v>
      </c>
      <c r="Z260" s="16">
        <v>11772.349202282076</v>
      </c>
      <c r="AA260" s="16">
        <v>9505.9266698513275</v>
      </c>
      <c r="AB260" s="6">
        <f t="shared" si="7"/>
        <v>1093622.035215975</v>
      </c>
      <c r="AC260" s="93"/>
      <c r="AF260" s="67">
        <v>48700</v>
      </c>
      <c r="AG260" s="68">
        <f>AC268</f>
        <v>10548724.150241269</v>
      </c>
    </row>
    <row r="261" spans="1:33" ht="18.75" thickBot="1" x14ac:dyDescent="0.3">
      <c r="A261" s="97"/>
      <c r="B261" s="12" t="s">
        <v>30</v>
      </c>
      <c r="C261" s="12">
        <v>20</v>
      </c>
      <c r="D261" s="16">
        <v>8195.7244097789262</v>
      </c>
      <c r="E261" s="16">
        <v>7325.0403872437018</v>
      </c>
      <c r="F261" s="16">
        <v>6758.2595026153831</v>
      </c>
      <c r="G261" s="16">
        <v>6223.7104584540248</v>
      </c>
      <c r="H261" s="16">
        <v>6294.5563223396748</v>
      </c>
      <c r="I261" s="16">
        <v>7673.8018592284316</v>
      </c>
      <c r="J261" s="16">
        <v>9176.6974165134234</v>
      </c>
      <c r="K261" s="16">
        <v>10533.415738668678</v>
      </c>
      <c r="L261" s="16">
        <v>12601.428397374872</v>
      </c>
      <c r="M261" s="16">
        <v>13485.725911453723</v>
      </c>
      <c r="N261" s="16">
        <v>14875.223836968304</v>
      </c>
      <c r="O261" s="16">
        <v>16248.2022397441</v>
      </c>
      <c r="P261" s="16">
        <v>16573.056842499413</v>
      </c>
      <c r="Q261" s="16">
        <v>16376.258118302681</v>
      </c>
      <c r="R261" s="16">
        <v>16717.018339466704</v>
      </c>
      <c r="S261" s="16">
        <v>16743.585305531444</v>
      </c>
      <c r="T261" s="16">
        <v>16510.88901470881</v>
      </c>
      <c r="U261" s="16">
        <v>15777.685559817361</v>
      </c>
      <c r="V261" s="16">
        <v>16920.719528205987</v>
      </c>
      <c r="W261" s="16">
        <v>17967.114335151244</v>
      </c>
      <c r="X261" s="16">
        <v>17192.081078772302</v>
      </c>
      <c r="Y261" s="16">
        <v>15140.127281664962</v>
      </c>
      <c r="Z261" s="16">
        <v>12388.670955305352</v>
      </c>
      <c r="AA261" s="16">
        <v>9645.8782257128369</v>
      </c>
      <c r="AB261" s="6">
        <f t="shared" si="7"/>
        <v>6146897.4213104472</v>
      </c>
      <c r="AC261" s="94"/>
      <c r="AF261" s="67">
        <v>48731</v>
      </c>
      <c r="AG261" s="68">
        <f>AC271</f>
        <v>10226685.68713399</v>
      </c>
    </row>
    <row r="262" spans="1:33" ht="18.75" thickBot="1" x14ac:dyDescent="0.3">
      <c r="A262" s="95">
        <v>48639</v>
      </c>
      <c r="B262" s="9" t="s">
        <v>28</v>
      </c>
      <c r="C262" s="9">
        <v>4</v>
      </c>
      <c r="D262" s="16">
        <v>9600.359607201437</v>
      </c>
      <c r="E262" s="16">
        <v>8469.2965465631714</v>
      </c>
      <c r="F262" s="16">
        <v>7781.5403743299794</v>
      </c>
      <c r="G262" s="16">
        <v>7253.8940527007326</v>
      </c>
      <c r="H262" s="16">
        <v>7180.6332000051443</v>
      </c>
      <c r="I262" s="16">
        <v>7510.4283766571425</v>
      </c>
      <c r="J262" s="16">
        <v>8264.0032442466472</v>
      </c>
      <c r="K262" s="16">
        <v>10358.22180456248</v>
      </c>
      <c r="L262" s="16">
        <v>13393.342760620999</v>
      </c>
      <c r="M262" s="16">
        <v>15017.495775809308</v>
      </c>
      <c r="N262" s="16">
        <v>16271.805928440983</v>
      </c>
      <c r="O262" s="16">
        <v>17935.536321309752</v>
      </c>
      <c r="P262" s="16">
        <v>18473.484274281233</v>
      </c>
      <c r="Q262" s="16">
        <v>18434.537109621167</v>
      </c>
      <c r="R262" s="16">
        <v>18328.627460003612</v>
      </c>
      <c r="S262" s="16">
        <v>17990.624464223358</v>
      </c>
      <c r="T262" s="16">
        <v>17004.113458133452</v>
      </c>
      <c r="U262" s="16">
        <v>16536.422028921555</v>
      </c>
      <c r="V262" s="16">
        <v>17988.899373657106</v>
      </c>
      <c r="W262" s="16">
        <v>19271.80991001708</v>
      </c>
      <c r="X262" s="16">
        <v>18516.694312685184</v>
      </c>
      <c r="Y262" s="16">
        <v>17024.242650127977</v>
      </c>
      <c r="Z262" s="16">
        <v>14751.086860378189</v>
      </c>
      <c r="AA262" s="16">
        <v>12683.427546097751</v>
      </c>
      <c r="AB262" s="6">
        <f t="shared" si="7"/>
        <v>1344162.1097623818</v>
      </c>
      <c r="AC262" s="92">
        <f>+AB262+AB263+AB264</f>
        <v>10204130.990121413</v>
      </c>
      <c r="AF262" s="67">
        <v>48761</v>
      </c>
      <c r="AG262" s="68">
        <f>AC274</f>
        <v>10420460.913353972</v>
      </c>
    </row>
    <row r="263" spans="1:33" ht="18.75" thickBot="1" x14ac:dyDescent="0.3">
      <c r="A263" s="96"/>
      <c r="B263" s="11" t="s">
        <v>29</v>
      </c>
      <c r="C263" s="11">
        <v>5</v>
      </c>
      <c r="D263" s="16">
        <v>10941.554187627684</v>
      </c>
      <c r="E263" s="16">
        <v>9780.493300757691</v>
      </c>
      <c r="F263" s="16">
        <v>8902.6379172368761</v>
      </c>
      <c r="G263" s="16">
        <v>8170.4526676826827</v>
      </c>
      <c r="H263" s="16">
        <v>7700.9314259399289</v>
      </c>
      <c r="I263" s="16">
        <v>7881.2256513700449</v>
      </c>
      <c r="J263" s="16">
        <v>7912.8915041034852</v>
      </c>
      <c r="K263" s="16">
        <v>9598.2833531611323</v>
      </c>
      <c r="L263" s="16">
        <v>11373.584025433582</v>
      </c>
      <c r="M263" s="16">
        <v>12703.708177340461</v>
      </c>
      <c r="N263" s="16">
        <v>13933.586131265252</v>
      </c>
      <c r="O263" s="16">
        <v>15198.671358851501</v>
      </c>
      <c r="P263" s="16">
        <v>16269.851641000143</v>
      </c>
      <c r="Q263" s="16">
        <v>16067.525042961697</v>
      </c>
      <c r="R263" s="16">
        <v>14968.773725018062</v>
      </c>
      <c r="S263" s="16">
        <v>14305.033999021587</v>
      </c>
      <c r="T263" s="16">
        <v>13805.130845997392</v>
      </c>
      <c r="U263" s="16">
        <v>13613.384615308707</v>
      </c>
      <c r="V263" s="16">
        <v>15588.025428396119</v>
      </c>
      <c r="W263" s="16">
        <v>17560.436980500959</v>
      </c>
      <c r="X263" s="16">
        <v>17071.918421889841</v>
      </c>
      <c r="Y263" s="16">
        <v>15381.525628715182</v>
      </c>
      <c r="Z263" s="16">
        <v>12840.354664179322</v>
      </c>
      <c r="AA263" s="16">
        <v>10641.662148484913</v>
      </c>
      <c r="AB263" s="6">
        <f t="shared" si="7"/>
        <v>1511058.2142112213</v>
      </c>
      <c r="AC263" s="93"/>
      <c r="AF263" s="67">
        <v>48792</v>
      </c>
      <c r="AG263" s="68">
        <f>AC277</f>
        <v>10263431.319537481</v>
      </c>
    </row>
    <row r="264" spans="1:33" ht="18.75" thickBot="1" x14ac:dyDescent="0.3">
      <c r="A264" s="97"/>
      <c r="B264" s="12" t="s">
        <v>30</v>
      </c>
      <c r="C264" s="12">
        <v>22</v>
      </c>
      <c r="D264" s="16">
        <v>9139.9579554641859</v>
      </c>
      <c r="E264" s="16">
        <v>8209.077357670365</v>
      </c>
      <c r="F264" s="16">
        <v>7584.954358475763</v>
      </c>
      <c r="G264" s="16">
        <v>7185.0366959080566</v>
      </c>
      <c r="H264" s="16">
        <v>7171.4758285723001</v>
      </c>
      <c r="I264" s="16">
        <v>8408.9527092444332</v>
      </c>
      <c r="J264" s="16">
        <v>9756.2761896786687</v>
      </c>
      <c r="K264" s="16">
        <v>11401.236581320762</v>
      </c>
      <c r="L264" s="16">
        <v>13573.286919962913</v>
      </c>
      <c r="M264" s="16">
        <v>14771.042508637984</v>
      </c>
      <c r="N264" s="16">
        <v>15981.583896695396</v>
      </c>
      <c r="O264" s="16">
        <v>17285.236436665993</v>
      </c>
      <c r="P264" s="16">
        <v>17411.119606255892</v>
      </c>
      <c r="Q264" s="16">
        <v>17434.713088629647</v>
      </c>
      <c r="R264" s="16">
        <v>18239.67712494966</v>
      </c>
      <c r="S264" s="16">
        <v>18266.419791192486</v>
      </c>
      <c r="T264" s="16">
        <v>18074.959194365285</v>
      </c>
      <c r="U264" s="16">
        <v>17323.037460183743</v>
      </c>
      <c r="V264" s="16">
        <v>18347.776999967187</v>
      </c>
      <c r="W264" s="16">
        <v>19393.294757094503</v>
      </c>
      <c r="X264" s="16">
        <v>18298.70409924072</v>
      </c>
      <c r="Y264" s="16">
        <v>16260.907005654029</v>
      </c>
      <c r="Z264" s="16">
        <v>13530.825141943613</v>
      </c>
      <c r="AA264" s="16">
        <v>10991.842208036</v>
      </c>
      <c r="AB264" s="6">
        <f t="shared" si="7"/>
        <v>7348910.6661478104</v>
      </c>
      <c r="AC264" s="94"/>
      <c r="AF264" s="67">
        <v>48823</v>
      </c>
      <c r="AG264" s="68">
        <f>AC280</f>
        <v>10485351.387438299</v>
      </c>
    </row>
    <row r="265" spans="1:33" ht="18.75" thickBot="1" x14ac:dyDescent="0.3">
      <c r="A265" s="95">
        <v>48670</v>
      </c>
      <c r="B265" s="9" t="s">
        <v>28</v>
      </c>
      <c r="C265" s="9">
        <v>4</v>
      </c>
      <c r="D265" s="16">
        <v>9477.9282338797857</v>
      </c>
      <c r="E265" s="16">
        <v>8485.9937715424967</v>
      </c>
      <c r="F265" s="16">
        <v>7718.9907713371103</v>
      </c>
      <c r="G265" s="16">
        <v>7281.2046568396472</v>
      </c>
      <c r="H265" s="16">
        <v>7074.3661100972349</v>
      </c>
      <c r="I265" s="16">
        <v>7223.2547482854716</v>
      </c>
      <c r="J265" s="16">
        <v>5985.4251721111177</v>
      </c>
      <c r="K265" s="16">
        <v>10110.403319346959</v>
      </c>
      <c r="L265" s="16">
        <v>12943.064235382997</v>
      </c>
      <c r="M265" s="16">
        <v>14667.083404031797</v>
      </c>
      <c r="N265" s="16">
        <v>15469.107978914286</v>
      </c>
      <c r="O265" s="16">
        <v>16747.421274824286</v>
      </c>
      <c r="P265" s="16">
        <v>17150.056713665628</v>
      </c>
      <c r="Q265" s="16">
        <v>17841.810274125797</v>
      </c>
      <c r="R265" s="16">
        <v>17563.989661817999</v>
      </c>
      <c r="S265" s="16">
        <v>16800.916025956412</v>
      </c>
      <c r="T265" s="16">
        <v>15489.480113406415</v>
      </c>
      <c r="U265" s="16">
        <v>14877.661184585249</v>
      </c>
      <c r="V265" s="16">
        <v>15176.529951057237</v>
      </c>
      <c r="W265" s="16">
        <v>15748.010692155476</v>
      </c>
      <c r="X265" s="16">
        <v>15606.194440327967</v>
      </c>
      <c r="Y265" s="16">
        <v>15452.28025311937</v>
      </c>
      <c r="Z265" s="16">
        <v>13487.811684658358</v>
      </c>
      <c r="AA265" s="16">
        <v>11553.536314258447</v>
      </c>
      <c r="AB265" s="6">
        <f t="shared" si="7"/>
        <v>1239730.0839429102</v>
      </c>
      <c r="AC265" s="92">
        <f>+AB265+AB266+AB267</f>
        <v>9705330.6784714796</v>
      </c>
      <c r="AF265" s="67">
        <v>48853</v>
      </c>
      <c r="AG265" s="68">
        <f>AC283</f>
        <v>10539764.704736955</v>
      </c>
    </row>
    <row r="266" spans="1:33" ht="18.75" thickBot="1" x14ac:dyDescent="0.3">
      <c r="A266" s="96"/>
      <c r="B266" s="11" t="s">
        <v>29</v>
      </c>
      <c r="C266" s="11">
        <v>5</v>
      </c>
      <c r="D266" s="16">
        <v>8821.5170444688556</v>
      </c>
      <c r="E266" s="16">
        <v>7740.6617399213719</v>
      </c>
      <c r="F266" s="16">
        <v>7145.3747782885985</v>
      </c>
      <c r="G266" s="16">
        <v>6537.2168402608695</v>
      </c>
      <c r="H266" s="16">
        <v>6328.3017238313878</v>
      </c>
      <c r="I266" s="16">
        <v>5202.6413376862802</v>
      </c>
      <c r="J266" s="16">
        <v>6724.2239117627651</v>
      </c>
      <c r="K266" s="16">
        <v>8381.0025959477352</v>
      </c>
      <c r="L266" s="16">
        <v>10203.78479599045</v>
      </c>
      <c r="M266" s="16">
        <v>11368.461845291229</v>
      </c>
      <c r="N266" s="16">
        <v>12270.685210940577</v>
      </c>
      <c r="O266" s="16">
        <v>13126.845347269304</v>
      </c>
      <c r="P266" s="16">
        <v>13876.738946816433</v>
      </c>
      <c r="Q266" s="16">
        <v>13777.454816925299</v>
      </c>
      <c r="R266" s="16">
        <v>13542.345503064193</v>
      </c>
      <c r="S266" s="16">
        <v>13302.15352277987</v>
      </c>
      <c r="T266" s="16">
        <v>12947.481053726442</v>
      </c>
      <c r="U266" s="16">
        <v>12669.370942253528</v>
      </c>
      <c r="V266" s="16">
        <v>13245.920266031797</v>
      </c>
      <c r="W266" s="16">
        <v>15560.375329222268</v>
      </c>
      <c r="X266" s="16">
        <v>15592.137299786205</v>
      </c>
      <c r="Y266" s="16">
        <v>14758.72240867337</v>
      </c>
      <c r="Z266" s="16">
        <v>13304.16906291321</v>
      </c>
      <c r="AA266" s="16">
        <v>11113.200259817444</v>
      </c>
      <c r="AB266" s="6">
        <f t="shared" si="7"/>
        <v>1337703.9329183474</v>
      </c>
      <c r="AC266" s="93"/>
      <c r="AF266" s="67">
        <v>48884</v>
      </c>
      <c r="AG266" s="68">
        <f>AC286</f>
        <v>10320767.497072842</v>
      </c>
    </row>
    <row r="267" spans="1:33" ht="18.75" thickBot="1" x14ac:dyDescent="0.3">
      <c r="A267" s="97"/>
      <c r="B267" s="12" t="s">
        <v>30</v>
      </c>
      <c r="C267" s="12">
        <v>21</v>
      </c>
      <c r="D267" s="16">
        <v>9796.8766624440977</v>
      </c>
      <c r="E267" s="16">
        <v>8826.4508926725757</v>
      </c>
      <c r="F267" s="16">
        <v>8136.9615286556764</v>
      </c>
      <c r="G267" s="16">
        <v>7693.4367582754676</v>
      </c>
      <c r="H267" s="16">
        <v>7569.3110962409482</v>
      </c>
      <c r="I267" s="16">
        <v>8620.4953966268004</v>
      </c>
      <c r="J267" s="16">
        <v>9796.6555476763788</v>
      </c>
      <c r="K267" s="16">
        <v>11716.105900559825</v>
      </c>
      <c r="L267" s="16">
        <v>14088.67299183692</v>
      </c>
      <c r="M267" s="16">
        <v>15504.4417432316</v>
      </c>
      <c r="N267" s="16">
        <v>16695.051345313193</v>
      </c>
      <c r="O267" s="16">
        <v>18098.422177597313</v>
      </c>
      <c r="P267" s="16">
        <v>18358.167713923642</v>
      </c>
      <c r="Q267" s="16">
        <v>18598.194131982709</v>
      </c>
      <c r="R267" s="16">
        <v>19025.322139108932</v>
      </c>
      <c r="S267" s="16">
        <v>18660.078099461753</v>
      </c>
      <c r="T267" s="16">
        <v>17716.718467309969</v>
      </c>
      <c r="U267" s="16">
        <v>17238.846733550403</v>
      </c>
      <c r="V267" s="16">
        <v>16992.801862577646</v>
      </c>
      <c r="W267" s="16">
        <v>18143.074215852517</v>
      </c>
      <c r="X267" s="16">
        <v>17678.688135634151</v>
      </c>
      <c r="Y267" s="16">
        <v>15837.264536648574</v>
      </c>
      <c r="Z267" s="16">
        <v>13508.515726031139</v>
      </c>
      <c r="AA267" s="16">
        <v>11123.096749655371</v>
      </c>
      <c r="AB267" s="6">
        <f t="shared" si="7"/>
        <v>7127896.6616102215</v>
      </c>
      <c r="AC267" s="94"/>
      <c r="AF267" s="67">
        <v>48914</v>
      </c>
      <c r="AG267" s="68">
        <f>AC289</f>
        <v>11236988.625520669</v>
      </c>
    </row>
    <row r="268" spans="1:33" ht="18.75" thickBot="1" x14ac:dyDescent="0.3">
      <c r="A268" s="95">
        <v>48700</v>
      </c>
      <c r="B268" s="9" t="s">
        <v>28</v>
      </c>
      <c r="C268" s="9">
        <v>4</v>
      </c>
      <c r="D268" s="16">
        <v>10703.701670766648</v>
      </c>
      <c r="E268" s="16">
        <v>9604.4855503402578</v>
      </c>
      <c r="F268" s="16">
        <v>8912.6606609389746</v>
      </c>
      <c r="G268" s="16">
        <v>8425.7820494161715</v>
      </c>
      <c r="H268" s="16">
        <v>8288.9831839868893</v>
      </c>
      <c r="I268" s="16">
        <v>8502.3641176404126</v>
      </c>
      <c r="J268" s="16">
        <v>9110.9656856803485</v>
      </c>
      <c r="K268" s="16">
        <v>11437.707390212119</v>
      </c>
      <c r="L268" s="16">
        <v>14405.171447925328</v>
      </c>
      <c r="M268" s="16">
        <v>15975.125556133131</v>
      </c>
      <c r="N268" s="16">
        <v>17085.715624868528</v>
      </c>
      <c r="O268" s="16">
        <v>18243.857292600653</v>
      </c>
      <c r="P268" s="16">
        <v>18984.815750904556</v>
      </c>
      <c r="Q268" s="16">
        <v>18760.929253377224</v>
      </c>
      <c r="R268" s="16">
        <v>18428.485262487469</v>
      </c>
      <c r="S268" s="16">
        <v>17883.483415365386</v>
      </c>
      <c r="T268" s="16">
        <v>16829.313793619378</v>
      </c>
      <c r="U268" s="16">
        <v>16832.430538624889</v>
      </c>
      <c r="V268" s="16">
        <v>18058.006033335529</v>
      </c>
      <c r="W268" s="16">
        <v>18929.327873286893</v>
      </c>
      <c r="X268" s="16">
        <v>18078.53577405923</v>
      </c>
      <c r="Y268" s="16">
        <v>16426.691125818907</v>
      </c>
      <c r="Z268" s="16">
        <v>13991.052125319595</v>
      </c>
      <c r="AA268" s="16">
        <v>11930.007741078232</v>
      </c>
      <c r="AB268" s="6">
        <f t="shared" si="7"/>
        <v>1383318.3956711472</v>
      </c>
      <c r="AC268" s="92">
        <f>+AB268+AB269+AB270</f>
        <v>10548724.150241269</v>
      </c>
    </row>
    <row r="269" spans="1:33" ht="18.75" thickBot="1" x14ac:dyDescent="0.3">
      <c r="A269" s="96"/>
      <c r="B269" s="11" t="s">
        <v>29</v>
      </c>
      <c r="C269" s="11">
        <v>6</v>
      </c>
      <c r="D269" s="16">
        <v>10253.046016945598</v>
      </c>
      <c r="E269" s="16">
        <v>8713.9969556700016</v>
      </c>
      <c r="F269" s="16">
        <v>7917.3618405234156</v>
      </c>
      <c r="G269" s="16">
        <v>7506.2931901944103</v>
      </c>
      <c r="H269" s="16">
        <v>7244.77544194652</v>
      </c>
      <c r="I269" s="16">
        <v>7310.6499525261825</v>
      </c>
      <c r="J269" s="16">
        <v>7591.1683297749078</v>
      </c>
      <c r="K269" s="16">
        <v>9772.363139588786</v>
      </c>
      <c r="L269" s="16">
        <v>12172.619249937808</v>
      </c>
      <c r="M269" s="16">
        <v>13657.758627917116</v>
      </c>
      <c r="N269" s="16">
        <v>15023.004320070006</v>
      </c>
      <c r="O269" s="16">
        <v>15866.177289774823</v>
      </c>
      <c r="P269" s="16">
        <v>16874.009162941144</v>
      </c>
      <c r="Q269" s="16">
        <v>16416.019436227081</v>
      </c>
      <c r="R269" s="16">
        <v>15434.116389620758</v>
      </c>
      <c r="S269" s="16">
        <v>14688.663097968525</v>
      </c>
      <c r="T269" s="16">
        <v>14333.433454615755</v>
      </c>
      <c r="U269" s="16">
        <v>14155.6770485206</v>
      </c>
      <c r="V269" s="16">
        <v>15945.606148712752</v>
      </c>
      <c r="W269" s="16">
        <v>17560.608643393174</v>
      </c>
      <c r="X269" s="16">
        <v>16948.278685658595</v>
      </c>
      <c r="Y269" s="16">
        <v>15489.221045411567</v>
      </c>
      <c r="Z269" s="16">
        <v>13212.469967464109</v>
      </c>
      <c r="AA269" s="16">
        <v>11118.789430796867</v>
      </c>
      <c r="AB269" s="6">
        <f t="shared" si="7"/>
        <v>1831236.6411972027</v>
      </c>
      <c r="AC269" s="93"/>
    </row>
    <row r="270" spans="1:33" ht="18.75" thickBot="1" x14ac:dyDescent="0.3">
      <c r="A270" s="97"/>
      <c r="B270" s="12" t="s">
        <v>30</v>
      </c>
      <c r="C270" s="12">
        <v>21</v>
      </c>
      <c r="D270" s="16">
        <v>9708.9833015206677</v>
      </c>
      <c r="E270" s="16">
        <v>8545.2429813429189</v>
      </c>
      <c r="F270" s="16">
        <v>7894.2256879659108</v>
      </c>
      <c r="G270" s="16">
        <v>7545.6282183684671</v>
      </c>
      <c r="H270" s="16">
        <v>7561.3876878650153</v>
      </c>
      <c r="I270" s="16">
        <v>8545.844827491328</v>
      </c>
      <c r="J270" s="16">
        <v>9784.5790432414906</v>
      </c>
      <c r="K270" s="16">
        <v>11725.563436148623</v>
      </c>
      <c r="L270" s="16">
        <v>14410.124025946967</v>
      </c>
      <c r="M270" s="16">
        <v>15855.243376849929</v>
      </c>
      <c r="N270" s="16">
        <v>17132.349666936658</v>
      </c>
      <c r="O270" s="16">
        <v>18568.659770145176</v>
      </c>
      <c r="P270" s="16">
        <v>18681.394678073288</v>
      </c>
      <c r="Q270" s="16">
        <v>18632.430740788601</v>
      </c>
      <c r="R270" s="16">
        <v>18935.154858699971</v>
      </c>
      <c r="S270" s="16">
        <v>18854.20452910303</v>
      </c>
      <c r="T270" s="16">
        <v>18434.273233527361</v>
      </c>
      <c r="U270" s="16">
        <v>18026.384254612218</v>
      </c>
      <c r="V270" s="16">
        <v>18998.591869904805</v>
      </c>
      <c r="W270" s="16">
        <v>19893.529002065829</v>
      </c>
      <c r="X270" s="16">
        <v>18800.060399988251</v>
      </c>
      <c r="Y270" s="16">
        <v>16780.066507707383</v>
      </c>
      <c r="Z270" s="16">
        <v>14241.986910211428</v>
      </c>
      <c r="AA270" s="16">
        <v>11690.239247347843</v>
      </c>
      <c r="AB270" s="6">
        <f t="shared" si="7"/>
        <v>7334169.1133729191</v>
      </c>
      <c r="AC270" s="94"/>
    </row>
    <row r="271" spans="1:33" ht="18.75" thickBot="1" x14ac:dyDescent="0.3">
      <c r="A271" s="95">
        <v>48731</v>
      </c>
      <c r="B271" s="9" t="s">
        <v>28</v>
      </c>
      <c r="C271" s="9">
        <v>4</v>
      </c>
      <c r="D271" s="16">
        <v>9041.8126489076967</v>
      </c>
      <c r="E271" s="16">
        <v>8402.2502677018019</v>
      </c>
      <c r="F271" s="16">
        <v>8051.3406239077558</v>
      </c>
      <c r="G271" s="16">
        <v>7476.0955888168501</v>
      </c>
      <c r="H271" s="16">
        <v>7264.0709118914274</v>
      </c>
      <c r="I271" s="16">
        <v>7823.3327879096032</v>
      </c>
      <c r="J271" s="16">
        <v>8323.1015318034333</v>
      </c>
      <c r="K271" s="16">
        <v>10829.929750260006</v>
      </c>
      <c r="L271" s="16">
        <v>14117.482893357159</v>
      </c>
      <c r="M271" s="16">
        <v>15814.81319658611</v>
      </c>
      <c r="N271" s="16">
        <v>16589.696668375967</v>
      </c>
      <c r="O271" s="16">
        <v>18106.253477385049</v>
      </c>
      <c r="P271" s="16">
        <v>18354.301626981331</v>
      </c>
      <c r="Q271" s="16">
        <v>17592.835795375817</v>
      </c>
      <c r="R271" s="16">
        <v>18064.759100589785</v>
      </c>
      <c r="S271" s="16">
        <v>17529.06837189283</v>
      </c>
      <c r="T271" s="16">
        <v>16236.188463131974</v>
      </c>
      <c r="U271" s="16">
        <v>16361.594425059015</v>
      </c>
      <c r="V271" s="16">
        <v>18879.272404628617</v>
      </c>
      <c r="W271" s="16">
        <v>20775.377317589526</v>
      </c>
      <c r="X271" s="16">
        <v>19417.946404599636</v>
      </c>
      <c r="Y271" s="16">
        <v>17782.823443910514</v>
      </c>
      <c r="Z271" s="16">
        <v>15655.347434219231</v>
      </c>
      <c r="AA271" s="16">
        <v>13606.125651080722</v>
      </c>
      <c r="AB271" s="6">
        <f t="shared" si="7"/>
        <v>1368383.2831438475</v>
      </c>
      <c r="AC271" s="92">
        <f>+AB271+AB272+AB273</f>
        <v>10226685.68713399</v>
      </c>
    </row>
    <row r="272" spans="1:33" ht="18.75" thickBot="1" x14ac:dyDescent="0.3">
      <c r="A272" s="96"/>
      <c r="B272" s="11" t="s">
        <v>29</v>
      </c>
      <c r="C272" s="11">
        <v>5</v>
      </c>
      <c r="D272" s="16">
        <v>11637.068662609137</v>
      </c>
      <c r="E272" s="16">
        <v>10225.509313385668</v>
      </c>
      <c r="F272" s="16">
        <v>9177.2670898294491</v>
      </c>
      <c r="G272" s="16">
        <v>8595.9528442312439</v>
      </c>
      <c r="H272" s="16">
        <v>8361.0060703013514</v>
      </c>
      <c r="I272" s="16">
        <v>8575.8075024909595</v>
      </c>
      <c r="J272" s="16">
        <v>8652.0673744340638</v>
      </c>
      <c r="K272" s="16">
        <v>10987.755185462756</v>
      </c>
      <c r="L272" s="16">
        <v>13380.59836738402</v>
      </c>
      <c r="M272" s="16">
        <v>14549.461281895656</v>
      </c>
      <c r="N272" s="16">
        <v>15357.49234340743</v>
      </c>
      <c r="O272" s="16">
        <v>16674.141654858984</v>
      </c>
      <c r="P272" s="16">
        <v>17285.850336744632</v>
      </c>
      <c r="Q272" s="16">
        <v>16632.987144411392</v>
      </c>
      <c r="R272" s="16">
        <v>15750.164244763833</v>
      </c>
      <c r="S272" s="16">
        <v>14969.054610299168</v>
      </c>
      <c r="T272" s="16">
        <v>14310.328723468498</v>
      </c>
      <c r="U272" s="16">
        <v>14181.495775869022</v>
      </c>
      <c r="V272" s="16">
        <v>16671.924262958681</v>
      </c>
      <c r="W272" s="16">
        <v>18450.566409778003</v>
      </c>
      <c r="X272" s="16">
        <v>17146.929967131466</v>
      </c>
      <c r="Y272" s="16">
        <v>15163.277607173492</v>
      </c>
      <c r="Z272" s="16">
        <v>13085.062156340224</v>
      </c>
      <c r="AA272" s="16">
        <v>10861.195094063376</v>
      </c>
      <c r="AB272" s="6">
        <f t="shared" si="7"/>
        <v>1603414.8201164627</v>
      </c>
      <c r="AC272" s="93"/>
    </row>
    <row r="273" spans="1:29" ht="18.75" thickBot="1" x14ac:dyDescent="0.3">
      <c r="A273" s="97"/>
      <c r="B273" s="12" t="s">
        <v>30</v>
      </c>
      <c r="C273" s="12">
        <v>21</v>
      </c>
      <c r="D273" s="16">
        <v>9360.4827178168925</v>
      </c>
      <c r="E273" s="16">
        <v>8230.4459932529644</v>
      </c>
      <c r="F273" s="16">
        <v>7493.8145313427121</v>
      </c>
      <c r="G273" s="16">
        <v>7088.6020600178563</v>
      </c>
      <c r="H273" s="16">
        <v>7247.8881862364578</v>
      </c>
      <c r="I273" s="16">
        <v>8156.805137678868</v>
      </c>
      <c r="J273" s="16">
        <v>9504.3363943224358</v>
      </c>
      <c r="K273" s="16">
        <v>11869.312109189461</v>
      </c>
      <c r="L273" s="16">
        <v>14528.495120966909</v>
      </c>
      <c r="M273" s="16">
        <v>15973.633055546878</v>
      </c>
      <c r="N273" s="16">
        <v>17240.167028541473</v>
      </c>
      <c r="O273" s="16">
        <v>18530.592871498644</v>
      </c>
      <c r="P273" s="16">
        <v>18797.517502246286</v>
      </c>
      <c r="Q273" s="16">
        <v>18998.374842327961</v>
      </c>
      <c r="R273" s="16">
        <v>19080.753095256929</v>
      </c>
      <c r="S273" s="16">
        <v>18832.762376779603</v>
      </c>
      <c r="T273" s="16">
        <v>18334.231942217346</v>
      </c>
      <c r="U273" s="16">
        <v>17944.986370926978</v>
      </c>
      <c r="V273" s="16">
        <v>18692.164179317304</v>
      </c>
      <c r="W273" s="16">
        <v>19344.099164136962</v>
      </c>
      <c r="X273" s="16">
        <v>18381.444517863769</v>
      </c>
      <c r="Y273" s="16">
        <v>16223.631503004002</v>
      </c>
      <c r="Z273" s="16">
        <v>13695.437072605284</v>
      </c>
      <c r="AA273" s="16">
        <v>11920.859554224095</v>
      </c>
      <c r="AB273" s="6">
        <f t="shared" si="7"/>
        <v>7254887.5838736789</v>
      </c>
      <c r="AC273" s="94"/>
    </row>
    <row r="274" spans="1:29" ht="18.75" thickBot="1" x14ac:dyDescent="0.3">
      <c r="A274" s="95">
        <v>48761</v>
      </c>
      <c r="B274" s="9" t="s">
        <v>28</v>
      </c>
      <c r="C274" s="9">
        <v>5</v>
      </c>
      <c r="D274" s="16">
        <v>9106.9241383342742</v>
      </c>
      <c r="E274" s="16">
        <v>8143.648587028787</v>
      </c>
      <c r="F274" s="16">
        <v>7569.7466997447555</v>
      </c>
      <c r="G274" s="16">
        <v>7020.2391423882</v>
      </c>
      <c r="H274" s="16">
        <v>6869.6711446357185</v>
      </c>
      <c r="I274" s="16">
        <v>7139.6796829208943</v>
      </c>
      <c r="J274" s="16">
        <v>7720.9910739525731</v>
      </c>
      <c r="K274" s="16">
        <v>10268.255442009042</v>
      </c>
      <c r="L274" s="16">
        <v>13184.034212741411</v>
      </c>
      <c r="M274" s="16">
        <v>14291.198838891985</v>
      </c>
      <c r="N274" s="16">
        <v>14953.739035798462</v>
      </c>
      <c r="O274" s="16">
        <v>16810.519668164761</v>
      </c>
      <c r="P274" s="16">
        <v>17394.83351077867</v>
      </c>
      <c r="Q274" s="16">
        <v>17245.293039627322</v>
      </c>
      <c r="R274" s="16">
        <v>17060.590419648051</v>
      </c>
      <c r="S274" s="16">
        <v>16934.704270734375</v>
      </c>
      <c r="T274" s="16">
        <v>16547.861715817548</v>
      </c>
      <c r="U274" s="16">
        <v>16317.625055791072</v>
      </c>
      <c r="V274" s="16">
        <v>17608.790001629313</v>
      </c>
      <c r="W274" s="16">
        <v>18734.063605768737</v>
      </c>
      <c r="X274" s="16">
        <v>17954.745953327947</v>
      </c>
      <c r="Y274" s="16">
        <v>16257.887110181804</v>
      </c>
      <c r="Z274" s="16">
        <v>14172.561937283575</v>
      </c>
      <c r="AA274" s="16">
        <v>11840.847197651987</v>
      </c>
      <c r="AB274" s="6">
        <f t="shared" si="7"/>
        <v>1605742.2574242558</v>
      </c>
      <c r="AC274" s="92">
        <f>+AB274+AB275+AB276</f>
        <v>10420460.913353972</v>
      </c>
    </row>
    <row r="275" spans="1:29" ht="18.75" thickBot="1" x14ac:dyDescent="0.3">
      <c r="A275" s="96"/>
      <c r="B275" s="11" t="s">
        <v>29</v>
      </c>
      <c r="C275" s="11">
        <v>5</v>
      </c>
      <c r="D275" s="16">
        <v>10219.598758047836</v>
      </c>
      <c r="E275" s="16">
        <v>9027.4345862017653</v>
      </c>
      <c r="F275" s="16">
        <v>8193.7428655466283</v>
      </c>
      <c r="G275" s="16">
        <v>7481.1013199851404</v>
      </c>
      <c r="H275" s="16">
        <v>7234.7777411986608</v>
      </c>
      <c r="I275" s="16">
        <v>7364.2838003402103</v>
      </c>
      <c r="J275" s="16">
        <v>7793.059338775478</v>
      </c>
      <c r="K275" s="16">
        <v>9527.7363456107305</v>
      </c>
      <c r="L275" s="16">
        <v>11692.529860229984</v>
      </c>
      <c r="M275" s="16">
        <v>12223.435886708601</v>
      </c>
      <c r="N275" s="16">
        <v>13623.6624117231</v>
      </c>
      <c r="O275" s="16">
        <v>15507.531096276289</v>
      </c>
      <c r="P275" s="16">
        <v>16568.753971136553</v>
      </c>
      <c r="Q275" s="16">
        <v>16480.643565088983</v>
      </c>
      <c r="R275" s="16">
        <v>15735.686779264208</v>
      </c>
      <c r="S275" s="16">
        <v>15573.733503965628</v>
      </c>
      <c r="T275" s="16">
        <v>15126.669877400007</v>
      </c>
      <c r="U275" s="16">
        <v>14686.97097704668</v>
      </c>
      <c r="V275" s="16">
        <v>15577.252075560806</v>
      </c>
      <c r="W275" s="16">
        <v>18366.927879839801</v>
      </c>
      <c r="X275" s="16">
        <v>17693.879102395542</v>
      </c>
      <c r="Y275" s="16">
        <v>15886.535225790842</v>
      </c>
      <c r="Z275" s="16">
        <v>13337.585808377007</v>
      </c>
      <c r="AA275" s="16">
        <v>11189.968013640999</v>
      </c>
      <c r="AB275" s="6">
        <f t="shared" si="7"/>
        <v>1530567.5039507577</v>
      </c>
      <c r="AC275" s="93"/>
    </row>
    <row r="276" spans="1:29" ht="18.75" thickBot="1" x14ac:dyDescent="0.3">
      <c r="A276" s="97"/>
      <c r="B276" s="12" t="s">
        <v>30</v>
      </c>
      <c r="C276" s="12">
        <v>21</v>
      </c>
      <c r="D276" s="16">
        <v>9965.3408459114835</v>
      </c>
      <c r="E276" s="16">
        <v>8916.1521642300286</v>
      </c>
      <c r="F276" s="16">
        <v>8183.6437381698088</v>
      </c>
      <c r="G276" s="16">
        <v>7799.8713646999167</v>
      </c>
      <c r="H276" s="16">
        <v>7788.7903079833777</v>
      </c>
      <c r="I276" s="16">
        <v>8830.3379133086273</v>
      </c>
      <c r="J276" s="16">
        <v>10144.646082193613</v>
      </c>
      <c r="K276" s="16">
        <v>12016.874554399776</v>
      </c>
      <c r="L276" s="16">
        <v>14298.659473051885</v>
      </c>
      <c r="M276" s="16">
        <v>15176.463521389756</v>
      </c>
      <c r="N276" s="16">
        <v>16274.016859627834</v>
      </c>
      <c r="O276" s="16">
        <v>17783.309574777595</v>
      </c>
      <c r="P276" s="16">
        <v>17632.448012634177</v>
      </c>
      <c r="Q276" s="16">
        <v>18170.438316550913</v>
      </c>
      <c r="R276" s="16">
        <v>19078.759536065882</v>
      </c>
      <c r="S276" s="16">
        <v>19136.528089844876</v>
      </c>
      <c r="T276" s="16">
        <v>18337.1619875857</v>
      </c>
      <c r="U276" s="16">
        <v>17712.086857373182</v>
      </c>
      <c r="V276" s="16">
        <v>18550.51044664027</v>
      </c>
      <c r="W276" s="16">
        <v>19829.769179028925</v>
      </c>
      <c r="X276" s="16">
        <v>19044.378996024709</v>
      </c>
      <c r="Y276" s="16">
        <v>16710.991912789486</v>
      </c>
      <c r="Z276" s="16">
        <v>13897.990906281106</v>
      </c>
      <c r="AA276" s="16">
        <v>11585.169929863576</v>
      </c>
      <c r="AB276" s="6">
        <f t="shared" si="7"/>
        <v>7284151.1519789575</v>
      </c>
      <c r="AC276" s="94"/>
    </row>
    <row r="277" spans="1:29" ht="18.75" thickBot="1" x14ac:dyDescent="0.3">
      <c r="A277" s="95">
        <v>48792</v>
      </c>
      <c r="B277" s="9" t="s">
        <v>28</v>
      </c>
      <c r="C277" s="9">
        <v>4</v>
      </c>
      <c r="D277" s="16">
        <v>10001.026962399781</v>
      </c>
      <c r="E277" s="16">
        <v>7913.9247146553244</v>
      </c>
      <c r="F277" s="16">
        <v>7165.920337253021</v>
      </c>
      <c r="G277" s="16">
        <v>6601.4774873494716</v>
      </c>
      <c r="H277" s="16">
        <v>6485.7717572919064</v>
      </c>
      <c r="I277" s="16">
        <v>6678.1484395681036</v>
      </c>
      <c r="J277" s="16">
        <v>7560.6672223506575</v>
      </c>
      <c r="K277" s="16">
        <v>9555.6141140329637</v>
      </c>
      <c r="L277" s="16">
        <v>12564.625690977373</v>
      </c>
      <c r="M277" s="16">
        <v>13893.146505010656</v>
      </c>
      <c r="N277" s="16">
        <v>16098.363920804364</v>
      </c>
      <c r="O277" s="16">
        <v>17704.632699330617</v>
      </c>
      <c r="P277" s="16">
        <v>18224.580006071861</v>
      </c>
      <c r="Q277" s="16">
        <v>18029.048465925283</v>
      </c>
      <c r="R277" s="16">
        <v>17447.933434543247</v>
      </c>
      <c r="S277" s="16">
        <v>17225.979018545528</v>
      </c>
      <c r="T277" s="16">
        <v>16807.365520716059</v>
      </c>
      <c r="U277" s="16">
        <v>16154.882183070564</v>
      </c>
      <c r="V277" s="16">
        <v>18220.463255378214</v>
      </c>
      <c r="W277" s="16">
        <v>19150.863971125502</v>
      </c>
      <c r="X277" s="16">
        <v>18280.245553173809</v>
      </c>
      <c r="Y277" s="16">
        <v>16198.850661672179</v>
      </c>
      <c r="Z277" s="16">
        <v>13482.96980489897</v>
      </c>
      <c r="AA277" s="16">
        <v>11489.464811264839</v>
      </c>
      <c r="AB277" s="6">
        <f t="shared" si="7"/>
        <v>1291743.8661496411</v>
      </c>
      <c r="AC277" s="92">
        <f>+AB277+AB278+AB279</f>
        <v>10263431.319537481</v>
      </c>
    </row>
    <row r="278" spans="1:29" ht="18.75" thickBot="1" x14ac:dyDescent="0.3">
      <c r="A278" s="96"/>
      <c r="B278" s="11" t="s">
        <v>29</v>
      </c>
      <c r="C278" s="11">
        <v>4</v>
      </c>
      <c r="D278" s="16">
        <v>9888.0248584101282</v>
      </c>
      <c r="E278" s="16">
        <v>8934.3956545241526</v>
      </c>
      <c r="F278" s="16">
        <v>8005.5680651442344</v>
      </c>
      <c r="G278" s="16">
        <v>7259.6695257902502</v>
      </c>
      <c r="H278" s="16">
        <v>6771.9573262341546</v>
      </c>
      <c r="I278" s="16">
        <v>6881.160531729518</v>
      </c>
      <c r="J278" s="16">
        <v>7421.7082643892863</v>
      </c>
      <c r="K278" s="16">
        <v>9459.3761589094393</v>
      </c>
      <c r="L278" s="16">
        <v>11973.889580078929</v>
      </c>
      <c r="M278" s="16">
        <v>13628.98524303225</v>
      </c>
      <c r="N278" s="16">
        <v>14600.139343560968</v>
      </c>
      <c r="O278" s="16">
        <v>16029.752215975364</v>
      </c>
      <c r="P278" s="16">
        <v>16900.337826847273</v>
      </c>
      <c r="Q278" s="16">
        <v>16803.55425233924</v>
      </c>
      <c r="R278" s="16">
        <v>15928.592123240236</v>
      </c>
      <c r="S278" s="16">
        <v>15368.106022288677</v>
      </c>
      <c r="T278" s="16">
        <v>14982.581153540079</v>
      </c>
      <c r="U278" s="16">
        <v>14646.968760867243</v>
      </c>
      <c r="V278" s="16">
        <v>15915.923750049526</v>
      </c>
      <c r="W278" s="16">
        <v>17989.793719305402</v>
      </c>
      <c r="X278" s="16">
        <v>17326.644315978803</v>
      </c>
      <c r="Y278" s="16">
        <v>15421.543914890266</v>
      </c>
      <c r="Z278" s="16">
        <v>13042.964746488989</v>
      </c>
      <c r="AA278" s="16">
        <v>10926.878519385256</v>
      </c>
      <c r="AB278" s="6">
        <f t="shared" si="7"/>
        <v>1224434.0634919987</v>
      </c>
      <c r="AC278" s="93"/>
    </row>
    <row r="279" spans="1:29" ht="18.75" thickBot="1" x14ac:dyDescent="0.3">
      <c r="A279" s="97"/>
      <c r="B279" s="12" t="s">
        <v>30</v>
      </c>
      <c r="C279" s="12">
        <v>23</v>
      </c>
      <c r="D279" s="16">
        <v>9942.3029547615733</v>
      </c>
      <c r="E279" s="16">
        <v>8929.9699539837166</v>
      </c>
      <c r="F279" s="16">
        <v>8239.0541979972004</v>
      </c>
      <c r="G279" s="16">
        <v>7768.657994092544</v>
      </c>
      <c r="H279" s="16">
        <v>7624.4949387940505</v>
      </c>
      <c r="I279" s="16">
        <v>8652.1841438775482</v>
      </c>
      <c r="J279" s="16">
        <v>10064.773142351922</v>
      </c>
      <c r="K279" s="16">
        <v>11785.40710383598</v>
      </c>
      <c r="L279" s="16">
        <v>14112.824140807414</v>
      </c>
      <c r="M279" s="16">
        <v>15781.273261808059</v>
      </c>
      <c r="N279" s="16">
        <v>16678.598694926688</v>
      </c>
      <c r="O279" s="16">
        <v>16839.023475223432</v>
      </c>
      <c r="P279" s="16">
        <v>15959.440402414977</v>
      </c>
      <c r="Q279" s="16">
        <v>16466.238240945411</v>
      </c>
      <c r="R279" s="16">
        <v>16925.763738285976</v>
      </c>
      <c r="S279" s="16">
        <v>17003.570653334089</v>
      </c>
      <c r="T279" s="16">
        <v>18459.110955251323</v>
      </c>
      <c r="U279" s="16">
        <v>17775.969401534887</v>
      </c>
      <c r="V279" s="16">
        <v>18062.71332772696</v>
      </c>
      <c r="W279" s="16">
        <v>18913.456458126566</v>
      </c>
      <c r="X279" s="16">
        <v>18277.474303194205</v>
      </c>
      <c r="Y279" s="16">
        <v>16671.904380572294</v>
      </c>
      <c r="Z279" s="16">
        <v>14176.547435061533</v>
      </c>
      <c r="AA279" s="16">
        <v>11726.350609606499</v>
      </c>
      <c r="AB279" s="6">
        <f t="shared" si="7"/>
        <v>7747253.3898958415</v>
      </c>
      <c r="AC279" s="94"/>
    </row>
    <row r="280" spans="1:29" ht="18.75" thickBot="1" x14ac:dyDescent="0.3">
      <c r="A280" s="95">
        <v>48823</v>
      </c>
      <c r="B280" s="9" t="s">
        <v>28</v>
      </c>
      <c r="C280" s="9">
        <v>4</v>
      </c>
      <c r="D280" s="16">
        <v>9394.7633650494536</v>
      </c>
      <c r="E280" s="16">
        <v>8985.0622665366063</v>
      </c>
      <c r="F280" s="16">
        <v>8267.8694105779905</v>
      </c>
      <c r="G280" s="16">
        <v>7865.3976493720475</v>
      </c>
      <c r="H280" s="16">
        <v>7813.1760403085973</v>
      </c>
      <c r="I280" s="16">
        <v>7996.9976187048524</v>
      </c>
      <c r="J280" s="16">
        <v>8832.7326753352172</v>
      </c>
      <c r="K280" s="16">
        <v>11450.462698992746</v>
      </c>
      <c r="L280" s="16">
        <v>14360.40939914151</v>
      </c>
      <c r="M280" s="16">
        <v>16204.903229544339</v>
      </c>
      <c r="N280" s="16">
        <v>17580.398830751372</v>
      </c>
      <c r="O280" s="16">
        <v>19044.179903724711</v>
      </c>
      <c r="P280" s="16">
        <v>19567.624153463003</v>
      </c>
      <c r="Q280" s="16">
        <v>19391.864883480717</v>
      </c>
      <c r="R280" s="16">
        <v>18815.212237884531</v>
      </c>
      <c r="S280" s="16">
        <v>18007.455071591183</v>
      </c>
      <c r="T280" s="16">
        <v>17324.23655138223</v>
      </c>
      <c r="U280" s="16">
        <v>17051.485841727852</v>
      </c>
      <c r="V280" s="16">
        <v>18990.964408681255</v>
      </c>
      <c r="W280" s="16">
        <v>19729.55657634735</v>
      </c>
      <c r="X280" s="16">
        <v>18799.991584019379</v>
      </c>
      <c r="Y280" s="16">
        <v>17008.630424828327</v>
      </c>
      <c r="Z280" s="16">
        <v>14932.151774717448</v>
      </c>
      <c r="AA280" s="16">
        <v>12720.807529910926</v>
      </c>
      <c r="AB280" s="6">
        <f t="shared" si="7"/>
        <v>1400545.3365042943</v>
      </c>
      <c r="AC280" s="92">
        <f>+AB280+AB281+AB282</f>
        <v>10485351.387438299</v>
      </c>
    </row>
    <row r="281" spans="1:29" ht="18.75" thickBot="1" x14ac:dyDescent="0.3">
      <c r="A281" s="96"/>
      <c r="B281" s="11" t="s">
        <v>29</v>
      </c>
      <c r="C281" s="11">
        <v>4</v>
      </c>
      <c r="D281" s="16">
        <v>11061.093667956473</v>
      </c>
      <c r="E281" s="16">
        <v>9894.044353497804</v>
      </c>
      <c r="F281" s="16">
        <v>9036.6520480841973</v>
      </c>
      <c r="G281" s="16">
        <v>8524.6753494389268</v>
      </c>
      <c r="H281" s="16">
        <v>8147.0270737810897</v>
      </c>
      <c r="I281" s="16">
        <v>8102.4749515299845</v>
      </c>
      <c r="J281" s="16">
        <v>8315.5191441334318</v>
      </c>
      <c r="K281" s="16">
        <v>10057.325621640717</v>
      </c>
      <c r="L281" s="16">
        <v>12327.612037851639</v>
      </c>
      <c r="M281" s="16">
        <v>13571.838965052524</v>
      </c>
      <c r="N281" s="16">
        <v>14655.437353119036</v>
      </c>
      <c r="O281" s="16">
        <v>16235.611939931157</v>
      </c>
      <c r="P281" s="16">
        <v>16983.004731310648</v>
      </c>
      <c r="Q281" s="16">
        <v>16450.923139127091</v>
      </c>
      <c r="R281" s="16">
        <v>15251.671918916414</v>
      </c>
      <c r="S281" s="16">
        <v>14702.987698076478</v>
      </c>
      <c r="T281" s="16">
        <v>14205.358453471061</v>
      </c>
      <c r="U281" s="16">
        <v>14403.508554745658</v>
      </c>
      <c r="V281" s="16">
        <v>16957.421632906393</v>
      </c>
      <c r="W281" s="16">
        <v>17921.102944695471</v>
      </c>
      <c r="X281" s="16">
        <v>17305.62721960431</v>
      </c>
      <c r="Y281" s="16">
        <v>15845.573219055979</v>
      </c>
      <c r="Z281" s="16">
        <v>13443.213554474158</v>
      </c>
      <c r="AA281" s="16">
        <v>11333.101329521043</v>
      </c>
      <c r="AB281" s="6">
        <f t="shared" si="7"/>
        <v>1258931.227607687</v>
      </c>
      <c r="AC281" s="93"/>
    </row>
    <row r="282" spans="1:29" ht="18.75" thickBot="1" x14ac:dyDescent="0.3">
      <c r="A282" s="97"/>
      <c r="B282" s="12" t="s">
        <v>30</v>
      </c>
      <c r="C282" s="12">
        <v>22</v>
      </c>
      <c r="D282" s="16">
        <v>9784.7252856443556</v>
      </c>
      <c r="E282" s="16">
        <v>8927.6178081609396</v>
      </c>
      <c r="F282" s="16">
        <v>8284.0503906368031</v>
      </c>
      <c r="G282" s="16">
        <v>7684.3275432018199</v>
      </c>
      <c r="H282" s="16">
        <v>7809.508127763369</v>
      </c>
      <c r="I282" s="16">
        <v>8983.2530498500637</v>
      </c>
      <c r="J282" s="16">
        <v>10532.322017263894</v>
      </c>
      <c r="K282" s="16">
        <v>12248.703299464185</v>
      </c>
      <c r="L282" s="16">
        <v>14747.744405948135</v>
      </c>
      <c r="M282" s="16">
        <v>16063.07462456412</v>
      </c>
      <c r="N282" s="16">
        <v>17131.267995067446</v>
      </c>
      <c r="O282" s="16">
        <v>18553.064054317663</v>
      </c>
      <c r="P282" s="16">
        <v>18797.31045826857</v>
      </c>
      <c r="Q282" s="16">
        <v>19009.826944744549</v>
      </c>
      <c r="R282" s="16">
        <v>19479.360624633911</v>
      </c>
      <c r="S282" s="16">
        <v>19297.33707632876</v>
      </c>
      <c r="T282" s="16">
        <v>18982.509708919351</v>
      </c>
      <c r="U282" s="16">
        <v>18357.94014223804</v>
      </c>
      <c r="V282" s="16">
        <v>19772.663691644426</v>
      </c>
      <c r="W282" s="16">
        <v>20198.547276103935</v>
      </c>
      <c r="X282" s="16">
        <v>19087.92357932801</v>
      </c>
      <c r="Y282" s="16">
        <v>16826.888047297172</v>
      </c>
      <c r="Z282" s="16">
        <v>13795.996179724127</v>
      </c>
      <c r="AA282" s="16">
        <v>11365.620547355404</v>
      </c>
      <c r="AB282" s="6">
        <f t="shared" si="7"/>
        <v>7825874.8233263176</v>
      </c>
      <c r="AC282" s="94"/>
    </row>
    <row r="283" spans="1:29" ht="18.75" thickBot="1" x14ac:dyDescent="0.3">
      <c r="A283" s="95">
        <v>48853</v>
      </c>
      <c r="B283" s="9" t="s">
        <v>28</v>
      </c>
      <c r="C283" s="9">
        <v>5</v>
      </c>
      <c r="D283" s="16">
        <v>9598.1893296411545</v>
      </c>
      <c r="E283" s="16">
        <v>8652.697457365266</v>
      </c>
      <c r="F283" s="16">
        <v>8044.8660853540023</v>
      </c>
      <c r="G283" s="16">
        <v>7492.1840014367008</v>
      </c>
      <c r="H283" s="16">
        <v>7228.4640839385138</v>
      </c>
      <c r="I283" s="16">
        <v>7397.5409049263471</v>
      </c>
      <c r="J283" s="16">
        <v>7893.5777589086101</v>
      </c>
      <c r="K283" s="16">
        <v>10355.737581305755</v>
      </c>
      <c r="L283" s="16">
        <v>13372.87059097617</v>
      </c>
      <c r="M283" s="16">
        <v>15621.540164507489</v>
      </c>
      <c r="N283" s="16">
        <v>17219.267398553751</v>
      </c>
      <c r="O283" s="16">
        <v>18919.070247721422</v>
      </c>
      <c r="P283" s="16">
        <v>19344.644465741287</v>
      </c>
      <c r="Q283" s="16">
        <v>18863.434896505612</v>
      </c>
      <c r="R283" s="16">
        <v>18334.289121523288</v>
      </c>
      <c r="S283" s="16">
        <v>17614.238516133839</v>
      </c>
      <c r="T283" s="16">
        <v>17004.628058715367</v>
      </c>
      <c r="U283" s="16">
        <v>16979.968613634726</v>
      </c>
      <c r="V283" s="16">
        <v>18491.483350852301</v>
      </c>
      <c r="W283" s="16">
        <v>18668.858637857607</v>
      </c>
      <c r="X283" s="16">
        <v>18029.916866517262</v>
      </c>
      <c r="Y283" s="16">
        <v>16496.392436092108</v>
      </c>
      <c r="Z283" s="16">
        <v>14358.679747539976</v>
      </c>
      <c r="AA283" s="16">
        <v>12233.540992853941</v>
      </c>
      <c r="AB283" s="6">
        <f t="shared" si="7"/>
        <v>1691080.4065430127</v>
      </c>
      <c r="AC283" s="92">
        <f>+AB283+AB284+AB285</f>
        <v>10539764.704736955</v>
      </c>
    </row>
    <row r="284" spans="1:29" ht="18.75" thickBot="1" x14ac:dyDescent="0.3">
      <c r="A284" s="96"/>
      <c r="B284" s="11" t="s">
        <v>29</v>
      </c>
      <c r="C284" s="11">
        <v>5</v>
      </c>
      <c r="D284" s="16">
        <v>10205.159001399472</v>
      </c>
      <c r="E284" s="16">
        <v>9108.4420380746342</v>
      </c>
      <c r="F284" s="16">
        <v>8297.0998121859811</v>
      </c>
      <c r="G284" s="16">
        <v>7840.3892400101504</v>
      </c>
      <c r="H284" s="16">
        <v>7623.9335341949991</v>
      </c>
      <c r="I284" s="16">
        <v>7692.2277623467744</v>
      </c>
      <c r="J284" s="16">
        <v>7865.7041624463927</v>
      </c>
      <c r="K284" s="16">
        <v>9678.7290451223234</v>
      </c>
      <c r="L284" s="16">
        <v>11751.202152695347</v>
      </c>
      <c r="M284" s="16">
        <v>13299.921954503083</v>
      </c>
      <c r="N284" s="16">
        <v>14129.940330014</v>
      </c>
      <c r="O284" s="16">
        <v>16039.096228640341</v>
      </c>
      <c r="P284" s="16">
        <v>17055.62315878817</v>
      </c>
      <c r="Q284" s="16">
        <v>16763.150955960868</v>
      </c>
      <c r="R284" s="16">
        <v>15458.952050243581</v>
      </c>
      <c r="S284" s="16">
        <v>13899.544522626133</v>
      </c>
      <c r="T284" s="16">
        <v>14138.09675234247</v>
      </c>
      <c r="U284" s="16">
        <v>14758.443541882825</v>
      </c>
      <c r="V284" s="16">
        <v>17200.520934945896</v>
      </c>
      <c r="W284" s="16">
        <v>17698.353391043409</v>
      </c>
      <c r="X284" s="16">
        <v>16463.97580111125</v>
      </c>
      <c r="Y284" s="16">
        <v>14534.779000873896</v>
      </c>
      <c r="Z284" s="16">
        <v>12173.512669209544</v>
      </c>
      <c r="AA284" s="16">
        <v>10228.471155011255</v>
      </c>
      <c r="AB284" s="6">
        <f t="shared" si="7"/>
        <v>1519526.3459783641</v>
      </c>
      <c r="AC284" s="93"/>
    </row>
    <row r="285" spans="1:29" ht="18.75" thickBot="1" x14ac:dyDescent="0.3">
      <c r="A285" s="97"/>
      <c r="B285" s="12" t="s">
        <v>30</v>
      </c>
      <c r="C285" s="12">
        <v>21</v>
      </c>
      <c r="D285" s="16">
        <v>9725.5187768293763</v>
      </c>
      <c r="E285" s="16">
        <v>8788.8536907250564</v>
      </c>
      <c r="F285" s="16">
        <v>8104.8217354831031</v>
      </c>
      <c r="G285" s="16">
        <v>7401.4326274417945</v>
      </c>
      <c r="H285" s="16">
        <v>7630.9788325290829</v>
      </c>
      <c r="I285" s="16">
        <v>8566.1591309328142</v>
      </c>
      <c r="J285" s="16">
        <v>9867.7688174394134</v>
      </c>
      <c r="K285" s="16">
        <v>11936.364659979092</v>
      </c>
      <c r="L285" s="16">
        <v>14217.616335875278</v>
      </c>
      <c r="M285" s="16">
        <v>15617.866376736874</v>
      </c>
      <c r="N285" s="16">
        <v>16514.603500956735</v>
      </c>
      <c r="O285" s="16">
        <v>17582.35376205192</v>
      </c>
      <c r="P285" s="16">
        <v>18454.004795317596</v>
      </c>
      <c r="Q285" s="16">
        <v>18469.797771226891</v>
      </c>
      <c r="R285" s="16">
        <v>18997.562792318909</v>
      </c>
      <c r="S285" s="16">
        <v>19204.405173456202</v>
      </c>
      <c r="T285" s="16">
        <v>19028.242255720441</v>
      </c>
      <c r="U285" s="16">
        <v>18191.323928906066</v>
      </c>
      <c r="V285" s="16">
        <v>20011.550096280691</v>
      </c>
      <c r="W285" s="16">
        <v>19908.31723908407</v>
      </c>
      <c r="X285" s="16">
        <v>18895.391723495282</v>
      </c>
      <c r="Y285" s="16">
        <v>16567.060565642678</v>
      </c>
      <c r="Z285" s="16">
        <v>13822.38824405866</v>
      </c>
      <c r="AA285" s="16">
        <v>11503.138701587137</v>
      </c>
      <c r="AB285" s="6">
        <f t="shared" si="7"/>
        <v>7329157.9522155784</v>
      </c>
      <c r="AC285" s="94"/>
    </row>
    <row r="286" spans="1:29" ht="18.75" thickBot="1" x14ac:dyDescent="0.3">
      <c r="A286" s="95">
        <v>48884</v>
      </c>
      <c r="B286" s="9" t="s">
        <v>28</v>
      </c>
      <c r="C286" s="9">
        <v>4</v>
      </c>
      <c r="D286" s="16">
        <v>9282.2008423880761</v>
      </c>
      <c r="E286" s="16">
        <v>8959.6764191815091</v>
      </c>
      <c r="F286" s="16">
        <v>8151.3894027208735</v>
      </c>
      <c r="G286" s="16">
        <v>7499.2361777407532</v>
      </c>
      <c r="H286" s="16">
        <v>7490.1492258519429</v>
      </c>
      <c r="I286" s="16">
        <v>7757.7210256976578</v>
      </c>
      <c r="J286" s="16">
        <v>8441.6275532326545</v>
      </c>
      <c r="K286" s="16">
        <v>10873.587311286443</v>
      </c>
      <c r="L286" s="16">
        <v>14073.018400902623</v>
      </c>
      <c r="M286" s="16">
        <v>16018.988769898126</v>
      </c>
      <c r="N286" s="16">
        <v>17262.049012930587</v>
      </c>
      <c r="O286" s="16">
        <v>18535.484774007346</v>
      </c>
      <c r="P286" s="16">
        <v>19118.487958282851</v>
      </c>
      <c r="Q286" s="16">
        <v>18756.098502590707</v>
      </c>
      <c r="R286" s="16">
        <v>18207.36983422692</v>
      </c>
      <c r="S286" s="16">
        <v>17505.281843054145</v>
      </c>
      <c r="T286" s="16">
        <v>16874.67232950926</v>
      </c>
      <c r="U286" s="16">
        <v>17224.382009780853</v>
      </c>
      <c r="V286" s="16">
        <v>19273.32712371432</v>
      </c>
      <c r="W286" s="16">
        <v>19332.728724767818</v>
      </c>
      <c r="X286" s="16">
        <v>18472.114246380101</v>
      </c>
      <c r="Y286" s="16">
        <v>16667.010531311495</v>
      </c>
      <c r="Z286" s="16">
        <v>14518.602227475272</v>
      </c>
      <c r="AA286" s="16">
        <v>12364.609076960314</v>
      </c>
      <c r="AB286" s="6">
        <f t="shared" si="7"/>
        <v>1370639.2532955704</v>
      </c>
      <c r="AC286" s="92">
        <f>+AB286+AB287+AB288</f>
        <v>10320767.497072842</v>
      </c>
    </row>
    <row r="287" spans="1:29" ht="18.75" thickBot="1" x14ac:dyDescent="0.3">
      <c r="A287" s="96"/>
      <c r="B287" s="11" t="s">
        <v>29</v>
      </c>
      <c r="C287" s="11">
        <v>4</v>
      </c>
      <c r="D287" s="16">
        <v>10428.112022705795</v>
      </c>
      <c r="E287" s="16">
        <v>9369.5534063408377</v>
      </c>
      <c r="F287" s="16">
        <v>8740.8106382606165</v>
      </c>
      <c r="G287" s="16">
        <v>8219.7648277560911</v>
      </c>
      <c r="H287" s="16">
        <v>8019.4501336348258</v>
      </c>
      <c r="I287" s="16">
        <v>8096.5850066177627</v>
      </c>
      <c r="J287" s="16">
        <v>8510.1039563997583</v>
      </c>
      <c r="K287" s="16">
        <v>10308.736431188139</v>
      </c>
      <c r="L287" s="16">
        <v>12680.924695031539</v>
      </c>
      <c r="M287" s="16">
        <v>14154.246938151602</v>
      </c>
      <c r="N287" s="16">
        <v>14988.091411792026</v>
      </c>
      <c r="O287" s="16">
        <v>16076.472326436004</v>
      </c>
      <c r="P287" s="16">
        <v>16667.953083874003</v>
      </c>
      <c r="Q287" s="16">
        <v>16212.775254793112</v>
      </c>
      <c r="R287" s="16">
        <v>15272.851093657027</v>
      </c>
      <c r="S287" s="16">
        <v>14571.686215406426</v>
      </c>
      <c r="T287" s="16">
        <v>14305.398241809562</v>
      </c>
      <c r="U287" s="16">
        <v>14551.531088281994</v>
      </c>
      <c r="V287" s="16">
        <v>17330.431727830946</v>
      </c>
      <c r="W287" s="16">
        <v>18006.997361174566</v>
      </c>
      <c r="X287" s="16">
        <v>16980.965043063847</v>
      </c>
      <c r="Y287" s="16">
        <v>15201.784358411824</v>
      </c>
      <c r="Z287" s="16">
        <v>13118.398951633557</v>
      </c>
      <c r="AA287" s="16">
        <v>11227.825077787158</v>
      </c>
      <c r="AB287" s="6">
        <f t="shared" si="7"/>
        <v>1252165.7971681559</v>
      </c>
      <c r="AC287" s="93"/>
    </row>
    <row r="288" spans="1:29" ht="18.75" thickBot="1" x14ac:dyDescent="0.3">
      <c r="A288" s="97"/>
      <c r="B288" s="12" t="s">
        <v>30</v>
      </c>
      <c r="C288" s="12">
        <v>22</v>
      </c>
      <c r="D288" s="16">
        <v>9686.8886605485131</v>
      </c>
      <c r="E288" s="16">
        <v>8739.7930570861645</v>
      </c>
      <c r="F288" s="16">
        <v>8131.3398136439682</v>
      </c>
      <c r="G288" s="16">
        <v>7730.6740510743693</v>
      </c>
      <c r="H288" s="16">
        <v>7704.0580934771351</v>
      </c>
      <c r="I288" s="16">
        <v>8604.4264114075486</v>
      </c>
      <c r="J288" s="16">
        <v>10077.554408121232</v>
      </c>
      <c r="K288" s="16">
        <v>12246.829500915916</v>
      </c>
      <c r="L288" s="16">
        <v>14579.059478998955</v>
      </c>
      <c r="M288" s="16">
        <v>15836.891583747787</v>
      </c>
      <c r="N288" s="16">
        <v>17076.515975344471</v>
      </c>
      <c r="O288" s="16">
        <v>18381.263837138475</v>
      </c>
      <c r="P288" s="16">
        <v>18797.74598210051</v>
      </c>
      <c r="Q288" s="16">
        <v>18645.971814965706</v>
      </c>
      <c r="R288" s="16">
        <v>19056.315248495644</v>
      </c>
      <c r="S288" s="16">
        <v>18603.152557134148</v>
      </c>
      <c r="T288" s="16">
        <v>17985.66423084354</v>
      </c>
      <c r="U288" s="16">
        <v>17723.903548490522</v>
      </c>
      <c r="V288" s="16">
        <v>19693.285439366213</v>
      </c>
      <c r="W288" s="16">
        <v>19427.088589083534</v>
      </c>
      <c r="X288" s="16">
        <v>18730.763521295055</v>
      </c>
      <c r="Y288" s="16">
        <v>16806.854189164103</v>
      </c>
      <c r="Z288" s="16">
        <v>14024.13477026367</v>
      </c>
      <c r="AA288" s="16">
        <v>11617.20917407078</v>
      </c>
      <c r="AB288" s="6">
        <f t="shared" si="7"/>
        <v>7697962.4466091162</v>
      </c>
      <c r="AC288" s="94"/>
    </row>
    <row r="289" spans="1:33" ht="18.75" thickBot="1" x14ac:dyDescent="0.3">
      <c r="A289" s="95">
        <v>48914</v>
      </c>
      <c r="B289" s="9" t="s">
        <v>28</v>
      </c>
      <c r="C289" s="9">
        <v>5</v>
      </c>
      <c r="D289" s="16">
        <v>10897.153832948057</v>
      </c>
      <c r="E289" s="16">
        <v>9711.346088557304</v>
      </c>
      <c r="F289" s="16">
        <v>9091.5822021669373</v>
      </c>
      <c r="G289" s="16">
        <v>8682.4414959821443</v>
      </c>
      <c r="H289" s="16">
        <v>8568.9747428183036</v>
      </c>
      <c r="I289" s="16">
        <v>9011.1161845825263</v>
      </c>
      <c r="J289" s="16">
        <v>9583.286510842303</v>
      </c>
      <c r="K289" s="16">
        <v>11765.741650253265</v>
      </c>
      <c r="L289" s="16">
        <v>14704.633892353751</v>
      </c>
      <c r="M289" s="16">
        <v>16333.167456636613</v>
      </c>
      <c r="N289" s="16">
        <v>17433.128628728911</v>
      </c>
      <c r="O289" s="16">
        <v>18533.764448741233</v>
      </c>
      <c r="P289" s="16">
        <v>18903.827837024932</v>
      </c>
      <c r="Q289" s="16">
        <v>18830.17718874498</v>
      </c>
      <c r="R289" s="16">
        <v>18220.259836257334</v>
      </c>
      <c r="S289" s="16">
        <v>17717.518857735879</v>
      </c>
      <c r="T289" s="16">
        <v>17288.594813953503</v>
      </c>
      <c r="U289" s="16">
        <v>17216.785194328466</v>
      </c>
      <c r="V289" s="16">
        <v>19482.381187795356</v>
      </c>
      <c r="W289" s="16">
        <v>19802.095411768198</v>
      </c>
      <c r="X289" s="16">
        <v>18940.883586686876</v>
      </c>
      <c r="Y289" s="16">
        <v>17476.377361233925</v>
      </c>
      <c r="Z289" s="16">
        <v>15412.838419805354</v>
      </c>
      <c r="AA289" s="16">
        <v>13549.726923115406</v>
      </c>
      <c r="AB289" s="6">
        <f t="shared" si="7"/>
        <v>1785789.0187653073</v>
      </c>
      <c r="AC289" s="92">
        <f>+AB289+AB290+AB291</f>
        <v>11236988.625520669</v>
      </c>
    </row>
    <row r="290" spans="1:33" ht="18.75" thickBot="1" x14ac:dyDescent="0.3">
      <c r="A290" s="96"/>
      <c r="B290" s="11" t="s">
        <v>29</v>
      </c>
      <c r="C290" s="11">
        <v>4</v>
      </c>
      <c r="D290" s="16">
        <v>12063.818046688833</v>
      </c>
      <c r="E290" s="16">
        <v>10996.67390323061</v>
      </c>
      <c r="F290" s="16">
        <v>10251.455593651986</v>
      </c>
      <c r="G290" s="16">
        <v>9660.687314696308</v>
      </c>
      <c r="H290" s="16">
        <v>9400.3793241762069</v>
      </c>
      <c r="I290" s="16">
        <v>9535.1853810911562</v>
      </c>
      <c r="J290" s="16">
        <v>9569.8410628593119</v>
      </c>
      <c r="K290" s="16">
        <v>11212.393367489112</v>
      </c>
      <c r="L290" s="16">
        <v>13282.599604089457</v>
      </c>
      <c r="M290" s="16">
        <v>15020.912321344371</v>
      </c>
      <c r="N290" s="16">
        <v>15886.360491932708</v>
      </c>
      <c r="O290" s="16">
        <v>17162.932136771164</v>
      </c>
      <c r="P290" s="16">
        <v>17800.127595122511</v>
      </c>
      <c r="Q290" s="16">
        <v>17818.867287228837</v>
      </c>
      <c r="R290" s="16">
        <v>17081.502449563948</v>
      </c>
      <c r="S290" s="16">
        <v>16313.925737791702</v>
      </c>
      <c r="T290" s="16">
        <v>15956.021848873545</v>
      </c>
      <c r="U290" s="16">
        <v>15820.726434664517</v>
      </c>
      <c r="V290" s="16">
        <v>18365.558568744877</v>
      </c>
      <c r="W290" s="16">
        <v>19160.892449751249</v>
      </c>
      <c r="X290" s="16">
        <v>17935.361245789572</v>
      </c>
      <c r="Y290" s="16">
        <v>16300.561057517451</v>
      </c>
      <c r="Z290" s="16">
        <v>15068.695131302284</v>
      </c>
      <c r="AA290" s="16">
        <v>13269.402793954912</v>
      </c>
      <c r="AB290" s="6">
        <f t="shared" si="7"/>
        <v>1379739.5245933062</v>
      </c>
      <c r="AC290" s="93"/>
    </row>
    <row r="291" spans="1:33" ht="18.75" thickBot="1" x14ac:dyDescent="0.3">
      <c r="A291" s="97"/>
      <c r="B291" s="12" t="s">
        <v>30</v>
      </c>
      <c r="C291" s="12">
        <v>22</v>
      </c>
      <c r="D291" s="16">
        <v>11313.456621360619</v>
      </c>
      <c r="E291" s="16">
        <v>10201.495675399605</v>
      </c>
      <c r="F291" s="16">
        <v>9495.7831824344939</v>
      </c>
      <c r="G291" s="16">
        <v>8992.7333862031628</v>
      </c>
      <c r="H291" s="16">
        <v>8871.7510506857725</v>
      </c>
      <c r="I291" s="16">
        <v>9363.8874779148609</v>
      </c>
      <c r="J291" s="16">
        <v>10347.642695068895</v>
      </c>
      <c r="K291" s="16">
        <v>12710.851554939891</v>
      </c>
      <c r="L291" s="16">
        <v>15524.606675564992</v>
      </c>
      <c r="M291" s="16">
        <v>16527.933922081447</v>
      </c>
      <c r="N291" s="16">
        <v>17139.045482833884</v>
      </c>
      <c r="O291" s="16">
        <v>18317.956298371188</v>
      </c>
      <c r="P291" s="16">
        <v>18420.966574375314</v>
      </c>
      <c r="Q291" s="16">
        <v>18542.71948360683</v>
      </c>
      <c r="R291" s="16">
        <v>18555.293002319639</v>
      </c>
      <c r="S291" s="16">
        <v>18596.499013137989</v>
      </c>
      <c r="T291" s="16">
        <v>18238.390829427139</v>
      </c>
      <c r="U291" s="16">
        <v>18010.69693018894</v>
      </c>
      <c r="V291" s="16">
        <v>20473.822006723407</v>
      </c>
      <c r="W291" s="16">
        <v>20713.197586277165</v>
      </c>
      <c r="X291" s="16">
        <v>19752.913872512712</v>
      </c>
      <c r="Y291" s="16">
        <v>17858.706581720966</v>
      </c>
      <c r="Z291" s="16">
        <v>15557.280720468236</v>
      </c>
      <c r="AA291" s="16">
        <v>13356.918565567139</v>
      </c>
      <c r="AB291" s="6">
        <f t="shared" si="7"/>
        <v>8071460.0821620543</v>
      </c>
      <c r="AC291" s="94"/>
    </row>
    <row r="293" spans="1:33" ht="15.75" thickBot="1" x14ac:dyDescent="0.3"/>
    <row r="294" spans="1:33" ht="18.75" thickBot="1" x14ac:dyDescent="0.3">
      <c r="A294" s="1" t="s">
        <v>0</v>
      </c>
      <c r="B294" s="2" t="s">
        <v>1</v>
      </c>
      <c r="C294" s="2" t="s">
        <v>2</v>
      </c>
      <c r="D294" s="27" t="s">
        <v>3</v>
      </c>
      <c r="E294" s="5" t="s">
        <v>4</v>
      </c>
      <c r="F294" s="5" t="s">
        <v>5</v>
      </c>
      <c r="G294" s="5" t="s">
        <v>6</v>
      </c>
      <c r="H294" s="5" t="s">
        <v>7</v>
      </c>
      <c r="I294" s="5" t="s">
        <v>8</v>
      </c>
      <c r="J294" s="5" t="s">
        <v>9</v>
      </c>
      <c r="K294" s="5" t="s">
        <v>10</v>
      </c>
      <c r="L294" s="5" t="s">
        <v>11</v>
      </c>
      <c r="M294" s="5" t="s">
        <v>12</v>
      </c>
      <c r="N294" s="5" t="s">
        <v>13</v>
      </c>
      <c r="O294" s="5" t="s">
        <v>14</v>
      </c>
      <c r="P294" s="5" t="s">
        <v>15</v>
      </c>
      <c r="Q294" s="5" t="s">
        <v>16</v>
      </c>
      <c r="R294" s="5" t="s">
        <v>17</v>
      </c>
      <c r="S294" s="5" t="s">
        <v>18</v>
      </c>
      <c r="T294" s="5" t="s">
        <v>19</v>
      </c>
      <c r="U294" s="5" t="s">
        <v>20</v>
      </c>
      <c r="V294" s="5" t="s">
        <v>21</v>
      </c>
      <c r="W294" s="5" t="s">
        <v>22</v>
      </c>
      <c r="X294" s="5" t="s">
        <v>23</v>
      </c>
      <c r="Y294" s="5" t="s">
        <v>24</v>
      </c>
      <c r="Z294" s="5" t="s">
        <v>25</v>
      </c>
      <c r="AA294" s="5" t="s">
        <v>26</v>
      </c>
      <c r="AB294" s="109" t="s">
        <v>27</v>
      </c>
      <c r="AC294" s="110"/>
    </row>
    <row r="295" spans="1:33" ht="18.75" thickBot="1" x14ac:dyDescent="0.3">
      <c r="A295" s="95">
        <v>48945</v>
      </c>
      <c r="B295" s="9" t="s">
        <v>28</v>
      </c>
      <c r="C295" s="9">
        <v>4</v>
      </c>
      <c r="D295" s="16">
        <v>14315.226700282212</v>
      </c>
      <c r="E295" s="16">
        <v>13038.902794017064</v>
      </c>
      <c r="F295" s="16">
        <v>12248.232455979523</v>
      </c>
      <c r="G295" s="16">
        <v>11514.5960150553</v>
      </c>
      <c r="H295" s="16">
        <v>11420.722901111312</v>
      </c>
      <c r="I295" s="16">
        <v>11688.961400764125</v>
      </c>
      <c r="J295" s="16">
        <v>12228.263278389033</v>
      </c>
      <c r="K295" s="16">
        <v>14786.527326887492</v>
      </c>
      <c r="L295" s="16">
        <v>18637.56174151005</v>
      </c>
      <c r="M295" s="16">
        <v>20986.114380971121</v>
      </c>
      <c r="N295" s="16">
        <v>22365.188284183634</v>
      </c>
      <c r="O295" s="16">
        <v>24355.033181765983</v>
      </c>
      <c r="P295" s="16">
        <v>24947.980321454517</v>
      </c>
      <c r="Q295" s="16">
        <v>24327.247593292006</v>
      </c>
      <c r="R295" s="16">
        <v>23501.962592008567</v>
      </c>
      <c r="S295" s="16">
        <v>23676.605285082085</v>
      </c>
      <c r="T295" s="16">
        <v>23065.407663997328</v>
      </c>
      <c r="U295" s="16">
        <v>22629.157469353864</v>
      </c>
      <c r="V295" s="16">
        <v>24710.867287986526</v>
      </c>
      <c r="W295" s="16">
        <v>26172.496507863754</v>
      </c>
      <c r="X295" s="16">
        <v>25253.923480702477</v>
      </c>
      <c r="Y295" s="16">
        <v>23131.903532180142</v>
      </c>
      <c r="Z295" s="16">
        <v>20197.504040499771</v>
      </c>
      <c r="AA295" s="16">
        <v>17430.247753711898</v>
      </c>
      <c r="AB295" s="6">
        <f t="shared" ref="AB295:AB330" si="8">SUM(D295:AA295)*C295</f>
        <v>1866522.5359561988</v>
      </c>
      <c r="AC295" s="92">
        <f>+AB295+AB296+AB297</f>
        <v>14643909.374650192</v>
      </c>
      <c r="AF295" s="67">
        <v>48945</v>
      </c>
      <c r="AG295" s="68">
        <f>AB295+AB296+AB297</f>
        <v>14643909.374650192</v>
      </c>
    </row>
    <row r="296" spans="1:33" ht="18.75" thickBot="1" x14ac:dyDescent="0.3">
      <c r="A296" s="96"/>
      <c r="B296" s="11" t="s">
        <v>29</v>
      </c>
      <c r="C296" s="11">
        <v>6</v>
      </c>
      <c r="D296" s="16">
        <v>14837.833252464461</v>
      </c>
      <c r="E296" s="16">
        <v>13603.827668982631</v>
      </c>
      <c r="F296" s="16">
        <v>12475.180600076314</v>
      </c>
      <c r="G296" s="16">
        <v>11869.95981611159</v>
      </c>
      <c r="H296" s="16">
        <v>11327.392212561983</v>
      </c>
      <c r="I296" s="16">
        <v>11273.813991839274</v>
      </c>
      <c r="J296" s="16">
        <v>11383.387984669065</v>
      </c>
      <c r="K296" s="16">
        <v>13013.571324931574</v>
      </c>
      <c r="L296" s="16">
        <v>15777.433897780298</v>
      </c>
      <c r="M296" s="16">
        <v>17657.275128484318</v>
      </c>
      <c r="N296" s="16">
        <v>18612.545163571296</v>
      </c>
      <c r="O296" s="16">
        <v>20190.149808557406</v>
      </c>
      <c r="P296" s="16">
        <v>21183.3063274823</v>
      </c>
      <c r="Q296" s="16">
        <v>21100.467608785555</v>
      </c>
      <c r="R296" s="16">
        <v>19792.434164047343</v>
      </c>
      <c r="S296" s="16">
        <v>19219.161626360437</v>
      </c>
      <c r="T296" s="16">
        <v>18786.994858845203</v>
      </c>
      <c r="U296" s="16">
        <v>18560.634850148206</v>
      </c>
      <c r="V296" s="16">
        <v>21762.982329004102</v>
      </c>
      <c r="W296" s="16">
        <v>23854.503546301348</v>
      </c>
      <c r="X296" s="16">
        <v>22961.677441383647</v>
      </c>
      <c r="Y296" s="16">
        <v>20541.875093202412</v>
      </c>
      <c r="Z296" s="16">
        <v>17911.800626587123</v>
      </c>
      <c r="AA296" s="16">
        <v>15404.04816535363</v>
      </c>
      <c r="AB296" s="6">
        <f t="shared" si="8"/>
        <v>2478613.5449251891</v>
      </c>
      <c r="AC296" s="93"/>
      <c r="AF296" s="67">
        <v>48976</v>
      </c>
      <c r="AG296" s="68">
        <f>AC298</f>
        <v>12752507.855516173</v>
      </c>
    </row>
    <row r="297" spans="1:33" ht="18.75" thickBot="1" x14ac:dyDescent="0.3">
      <c r="A297" s="97"/>
      <c r="B297" s="12" t="s">
        <v>30</v>
      </c>
      <c r="C297" s="12">
        <v>21</v>
      </c>
      <c r="D297" s="16">
        <v>14969.560200242689</v>
      </c>
      <c r="E297" s="16">
        <v>13518.993382060318</v>
      </c>
      <c r="F297" s="16">
        <v>12681.439234945658</v>
      </c>
      <c r="G297" s="16">
        <v>12184.348878314202</v>
      </c>
      <c r="H297" s="16">
        <v>12113.407530740024</v>
      </c>
      <c r="I297" s="16">
        <v>12935.823104587998</v>
      </c>
      <c r="J297" s="16">
        <v>14118.011535990619</v>
      </c>
      <c r="K297" s="16">
        <v>16527.533051009777</v>
      </c>
      <c r="L297" s="16">
        <v>20189.14592977726</v>
      </c>
      <c r="M297" s="16">
        <v>21673.625798903995</v>
      </c>
      <c r="N297" s="16">
        <v>23010.971691399907</v>
      </c>
      <c r="O297" s="16">
        <v>25044.596761264133</v>
      </c>
      <c r="P297" s="16">
        <v>25693.797825755588</v>
      </c>
      <c r="Q297" s="16">
        <v>25619.822494727356</v>
      </c>
      <c r="R297" s="16">
        <v>25646.647737759471</v>
      </c>
      <c r="S297" s="16">
        <v>25491.858278485553</v>
      </c>
      <c r="T297" s="16">
        <v>24898.164542045983</v>
      </c>
      <c r="U297" s="16">
        <v>24191.04672434141</v>
      </c>
      <c r="V297" s="16">
        <v>25517.616664508183</v>
      </c>
      <c r="W297" s="16">
        <v>26926.405989079467</v>
      </c>
      <c r="X297" s="16">
        <v>25908.994725635253</v>
      </c>
      <c r="Y297" s="16">
        <v>23722.355776253331</v>
      </c>
      <c r="Z297" s="16">
        <v>20468.441316902055</v>
      </c>
      <c r="AA297" s="16">
        <v>17365.166719022345</v>
      </c>
      <c r="AB297" s="6">
        <f t="shared" si="8"/>
        <v>10298773.293768803</v>
      </c>
      <c r="AC297" s="94"/>
      <c r="AF297" s="67">
        <v>49004</v>
      </c>
      <c r="AG297" s="68">
        <f>AC301</f>
        <v>15037518.779692113</v>
      </c>
    </row>
    <row r="298" spans="1:33" ht="18.75" thickBot="1" x14ac:dyDescent="0.3">
      <c r="A298" s="95">
        <v>48976</v>
      </c>
      <c r="B298" s="9" t="s">
        <v>28</v>
      </c>
      <c r="C298" s="9">
        <v>4</v>
      </c>
      <c r="D298" s="16">
        <v>13599.182516679801</v>
      </c>
      <c r="E298" s="16">
        <v>12147.115829883467</v>
      </c>
      <c r="F298" s="16">
        <v>11454.459932258003</v>
      </c>
      <c r="G298" s="16">
        <v>10701.646620499512</v>
      </c>
      <c r="H298" s="16">
        <v>10537.206400579213</v>
      </c>
      <c r="I298" s="16">
        <v>10800.109018962234</v>
      </c>
      <c r="J298" s="16">
        <v>11749.383932927125</v>
      </c>
      <c r="K298" s="16">
        <v>14495.397256647204</v>
      </c>
      <c r="L298" s="16">
        <v>18409.115325021688</v>
      </c>
      <c r="M298" s="16">
        <v>20072.252531675702</v>
      </c>
      <c r="N298" s="16">
        <v>21272.167593304228</v>
      </c>
      <c r="O298" s="16">
        <v>22875.872651240519</v>
      </c>
      <c r="P298" s="16">
        <v>23280.957764361345</v>
      </c>
      <c r="Q298" s="16">
        <v>23623.545111084575</v>
      </c>
      <c r="R298" s="16">
        <v>23155.953089565184</v>
      </c>
      <c r="S298" s="16">
        <v>21142.823515350909</v>
      </c>
      <c r="T298" s="16">
        <v>21570.541175696577</v>
      </c>
      <c r="U298" s="16">
        <v>21440.86493837239</v>
      </c>
      <c r="V298" s="16">
        <v>23439.333790262863</v>
      </c>
      <c r="W298" s="16">
        <v>24785.030247702649</v>
      </c>
      <c r="X298" s="16">
        <v>24112.50503635261</v>
      </c>
      <c r="Y298" s="16">
        <v>21811.637074281411</v>
      </c>
      <c r="Z298" s="16">
        <v>18714.68670956097</v>
      </c>
      <c r="AA298" s="16">
        <v>16127.978848514133</v>
      </c>
      <c r="AB298" s="6">
        <f t="shared" si="8"/>
        <v>1765279.0676431374</v>
      </c>
      <c r="AC298" s="92">
        <f>+AB298+AB299+AB300</f>
        <v>12752507.855516173</v>
      </c>
      <c r="AF298" s="67">
        <v>49035</v>
      </c>
      <c r="AG298" s="68">
        <f>AC304</f>
        <v>14249121.659810608</v>
      </c>
    </row>
    <row r="299" spans="1:33" ht="18.75" thickBot="1" x14ac:dyDescent="0.3">
      <c r="A299" s="96"/>
      <c r="B299" s="11" t="s">
        <v>29</v>
      </c>
      <c r="C299" s="11">
        <v>4</v>
      </c>
      <c r="D299" s="16">
        <v>14198.169471717687</v>
      </c>
      <c r="E299" s="16">
        <v>13062.742085378311</v>
      </c>
      <c r="F299" s="16">
        <v>11958.875933939711</v>
      </c>
      <c r="G299" s="16">
        <v>11365.029830816224</v>
      </c>
      <c r="H299" s="16">
        <v>11078.05022904509</v>
      </c>
      <c r="I299" s="16">
        <v>11289.77592564348</v>
      </c>
      <c r="J299" s="16">
        <v>11667.937845721131</v>
      </c>
      <c r="K299" s="16">
        <v>13743.449387653207</v>
      </c>
      <c r="L299" s="16">
        <v>16703.833493603997</v>
      </c>
      <c r="M299" s="16">
        <v>18459.079408002552</v>
      </c>
      <c r="N299" s="16">
        <v>19550.753177396386</v>
      </c>
      <c r="O299" s="16">
        <v>21177.435131263119</v>
      </c>
      <c r="P299" s="16">
        <v>22641.35289873233</v>
      </c>
      <c r="Q299" s="16">
        <v>22465.552218861267</v>
      </c>
      <c r="R299" s="16">
        <v>21067.859106877549</v>
      </c>
      <c r="S299" s="16">
        <v>20277.307614853438</v>
      </c>
      <c r="T299" s="16">
        <v>19319.387415244702</v>
      </c>
      <c r="U299" s="16">
        <v>19501.438176488882</v>
      </c>
      <c r="V299" s="16">
        <v>22253.509599560399</v>
      </c>
      <c r="W299" s="16">
        <v>22611.863850732472</v>
      </c>
      <c r="X299" s="16">
        <v>22613.399706906064</v>
      </c>
      <c r="Y299" s="16">
        <v>20690.885646934235</v>
      </c>
      <c r="Z299" s="16">
        <v>18030.8924582705</v>
      </c>
      <c r="AA299" s="16">
        <v>15065.340074402186</v>
      </c>
      <c r="AB299" s="6">
        <f t="shared" si="8"/>
        <v>1683175.682752179</v>
      </c>
      <c r="AC299" s="93"/>
      <c r="AF299" s="67">
        <v>49065</v>
      </c>
      <c r="AG299" s="68">
        <f>AC307</f>
        <v>15386324.725581115</v>
      </c>
    </row>
    <row r="300" spans="1:33" ht="18.75" thickBot="1" x14ac:dyDescent="0.3">
      <c r="A300" s="97"/>
      <c r="B300" s="12" t="s">
        <v>30</v>
      </c>
      <c r="C300" s="12">
        <v>20</v>
      </c>
      <c r="D300" s="16">
        <v>13350.975969691237</v>
      </c>
      <c r="E300" s="16">
        <v>12211.709552384611</v>
      </c>
      <c r="F300" s="16">
        <v>11470.092144558268</v>
      </c>
      <c r="G300" s="16">
        <v>10770.649225365669</v>
      </c>
      <c r="H300" s="16">
        <v>10863.34911584371</v>
      </c>
      <c r="I300" s="16">
        <v>12668.054474766086</v>
      </c>
      <c r="J300" s="16">
        <v>14634.552530109519</v>
      </c>
      <c r="K300" s="16">
        <v>16409.781639833469</v>
      </c>
      <c r="L300" s="16">
        <v>19115.720087823815</v>
      </c>
      <c r="M300" s="16">
        <v>20272.799389410531</v>
      </c>
      <c r="N300" s="16">
        <v>22090.919720649239</v>
      </c>
      <c r="O300" s="16">
        <v>23887.424704644698</v>
      </c>
      <c r="P300" s="16">
        <v>24312.488137357046</v>
      </c>
      <c r="Q300" s="16">
        <v>24054.982346917379</v>
      </c>
      <c r="R300" s="16">
        <v>24500.857849715452</v>
      </c>
      <c r="S300" s="16">
        <v>24535.620003911368</v>
      </c>
      <c r="T300" s="16">
        <v>24231.143221629165</v>
      </c>
      <c r="U300" s="16">
        <v>23271.76639652242</v>
      </c>
      <c r="V300" s="16">
        <v>24767.395327709339</v>
      </c>
      <c r="W300" s="16">
        <v>26136.574538470093</v>
      </c>
      <c r="X300" s="16">
        <v>25122.464553176767</v>
      </c>
      <c r="Y300" s="16">
        <v>22437.538689828187</v>
      </c>
      <c r="Z300" s="16">
        <v>18837.332748090521</v>
      </c>
      <c r="AA300" s="16">
        <v>15248.462887634214</v>
      </c>
      <c r="AB300" s="6">
        <f t="shared" si="8"/>
        <v>9304053.1051208563</v>
      </c>
      <c r="AC300" s="94"/>
      <c r="AF300" s="67">
        <v>49096</v>
      </c>
      <c r="AG300" s="68">
        <f>AC310</f>
        <v>14908457.658325143</v>
      </c>
    </row>
    <row r="301" spans="1:33" ht="18.75" thickBot="1" x14ac:dyDescent="0.3">
      <c r="A301" s="95">
        <v>49004</v>
      </c>
      <c r="B301" s="9" t="s">
        <v>28</v>
      </c>
      <c r="C301" s="9">
        <v>4</v>
      </c>
      <c r="D301" s="16">
        <v>14879.308276441348</v>
      </c>
      <c r="E301" s="16">
        <v>13413.577345433852</v>
      </c>
      <c r="F301" s="16">
        <v>12522.322445760397</v>
      </c>
      <c r="G301" s="16">
        <v>11838.551963672609</v>
      </c>
      <c r="H301" s="16">
        <v>11743.614111341627</v>
      </c>
      <c r="I301" s="16">
        <v>12170.991689248855</v>
      </c>
      <c r="J301" s="16">
        <v>13147.54023962987</v>
      </c>
      <c r="K301" s="16">
        <v>15861.412725583687</v>
      </c>
      <c r="L301" s="16">
        <v>19794.589238424269</v>
      </c>
      <c r="M301" s="16">
        <v>21899.309473657857</v>
      </c>
      <c r="N301" s="16">
        <v>23524.754819518159</v>
      </c>
      <c r="O301" s="16">
        <v>25680.762899482244</v>
      </c>
      <c r="P301" s="16">
        <v>26377.883140945632</v>
      </c>
      <c r="Q301" s="16">
        <v>26327.411981640784</v>
      </c>
      <c r="R301" s="16">
        <v>26190.164948527512</v>
      </c>
      <c r="S301" s="16">
        <v>25752.150957151345</v>
      </c>
      <c r="T301" s="16">
        <v>24473.743284117321</v>
      </c>
      <c r="U301" s="16">
        <v>23867.667621478198</v>
      </c>
      <c r="V301" s="16">
        <v>25749.915433165334</v>
      </c>
      <c r="W301" s="16">
        <v>27412.423670148251</v>
      </c>
      <c r="X301" s="16">
        <v>26433.878506741552</v>
      </c>
      <c r="Y301" s="16">
        <v>24499.828460399112</v>
      </c>
      <c r="Z301" s="16">
        <v>21554.073384501869</v>
      </c>
      <c r="AA301" s="16">
        <v>18874.618704038359</v>
      </c>
      <c r="AB301" s="6">
        <f t="shared" si="8"/>
        <v>1975961.9812842002</v>
      </c>
      <c r="AC301" s="92">
        <f>+AB301+AB302+AB303</f>
        <v>15037518.779692113</v>
      </c>
      <c r="AF301" s="67">
        <v>49126</v>
      </c>
      <c r="AG301" s="68">
        <f>AC313</f>
        <v>15151108.132947678</v>
      </c>
    </row>
    <row r="302" spans="1:33" ht="18.75" thickBot="1" x14ac:dyDescent="0.3">
      <c r="A302" s="96"/>
      <c r="B302" s="11" t="s">
        <v>29</v>
      </c>
      <c r="C302" s="11">
        <v>5</v>
      </c>
      <c r="D302" s="16">
        <v>16617.34610071707</v>
      </c>
      <c r="E302" s="16">
        <v>15112.741349760032</v>
      </c>
      <c r="F302" s="16">
        <v>13975.139182952629</v>
      </c>
      <c r="G302" s="16">
        <v>13026.309179704695</v>
      </c>
      <c r="H302" s="16">
        <v>12417.862285153078</v>
      </c>
      <c r="I302" s="16">
        <v>12651.503389784179</v>
      </c>
      <c r="J302" s="16">
        <v>12692.538785089138</v>
      </c>
      <c r="K302" s="16">
        <v>14876.617683959452</v>
      </c>
      <c r="L302" s="16">
        <v>17177.208338665965</v>
      </c>
      <c r="M302" s="16">
        <v>18900.900128608999</v>
      </c>
      <c r="N302" s="16">
        <v>20494.684083868327</v>
      </c>
      <c r="O302" s="16">
        <v>22134.092718951368</v>
      </c>
      <c r="P302" s="16">
        <v>23522.222282076342</v>
      </c>
      <c r="Q302" s="16">
        <v>23260.02969244025</v>
      </c>
      <c r="R302" s="16">
        <v>21836.171157721205</v>
      </c>
      <c r="S302" s="16">
        <v>20976.038880054504</v>
      </c>
      <c r="T302" s="16">
        <v>20328.220434385999</v>
      </c>
      <c r="U302" s="16">
        <v>20079.738814744116</v>
      </c>
      <c r="V302" s="16">
        <v>22638.651945315942</v>
      </c>
      <c r="W302" s="16">
        <v>25194.676203561226</v>
      </c>
      <c r="X302" s="16">
        <v>24561.610916004713</v>
      </c>
      <c r="Y302" s="16">
        <v>22371.051354179668</v>
      </c>
      <c r="Z302" s="16">
        <v>19077.978657068947</v>
      </c>
      <c r="AA302" s="16">
        <v>16228.719636789923</v>
      </c>
      <c r="AB302" s="6">
        <f t="shared" si="8"/>
        <v>2250760.2660077889</v>
      </c>
      <c r="AC302" s="93"/>
      <c r="AF302" s="67">
        <v>49157</v>
      </c>
      <c r="AG302" s="68">
        <f>AC316</f>
        <v>15017950.723140765</v>
      </c>
    </row>
    <row r="303" spans="1:33" ht="18.75" thickBot="1" x14ac:dyDescent="0.3">
      <c r="A303" s="97"/>
      <c r="B303" s="12" t="s">
        <v>30</v>
      </c>
      <c r="C303" s="12">
        <v>22</v>
      </c>
      <c r="D303" s="16">
        <v>14282.679348203321</v>
      </c>
      <c r="E303" s="16">
        <v>13076.362447984517</v>
      </c>
      <c r="F303" s="16">
        <v>12267.5690070985</v>
      </c>
      <c r="G303" s="16">
        <v>11749.32054838663</v>
      </c>
      <c r="H303" s="16">
        <v>11731.747184533608</v>
      </c>
      <c r="I303" s="16">
        <v>13335.378496994894</v>
      </c>
      <c r="J303" s="16">
        <v>15081.358688612796</v>
      </c>
      <c r="K303" s="16">
        <v>17213.042951160845</v>
      </c>
      <c r="L303" s="16">
        <v>20027.776696648529</v>
      </c>
      <c r="M303" s="16">
        <v>21579.933667558224</v>
      </c>
      <c r="N303" s="16">
        <v>23148.659601140767</v>
      </c>
      <c r="O303" s="16">
        <v>24838.047149561913</v>
      </c>
      <c r="P303" s="16">
        <v>25001.177625467521</v>
      </c>
      <c r="Q303" s="16">
        <v>25031.752133723392</v>
      </c>
      <c r="R303" s="16">
        <v>26074.895285898368</v>
      </c>
      <c r="S303" s="16">
        <v>26109.550783415551</v>
      </c>
      <c r="T303" s="16">
        <v>25861.43931323773</v>
      </c>
      <c r="U303" s="16">
        <v>24887.033038432193</v>
      </c>
      <c r="V303" s="16">
        <v>26214.980605599128</v>
      </c>
      <c r="W303" s="16">
        <v>27569.854413142915</v>
      </c>
      <c r="X303" s="16">
        <v>26151.387627477779</v>
      </c>
      <c r="Y303" s="16">
        <v>23510.631037388375</v>
      </c>
      <c r="Z303" s="16">
        <v>19972.750992428875</v>
      </c>
      <c r="AA303" s="16">
        <v>16682.513737727517</v>
      </c>
      <c r="AB303" s="6">
        <f t="shared" si="8"/>
        <v>10810796.532400124</v>
      </c>
      <c r="AC303" s="94"/>
      <c r="AF303" s="67">
        <v>49188</v>
      </c>
      <c r="AG303" s="68">
        <f>AC319</f>
        <v>15163093.224088833</v>
      </c>
    </row>
    <row r="304" spans="1:33" ht="18.75" thickBot="1" x14ac:dyDescent="0.3">
      <c r="A304" s="95">
        <v>49035</v>
      </c>
      <c r="B304" s="9" t="s">
        <v>28</v>
      </c>
      <c r="C304" s="9">
        <v>5</v>
      </c>
      <c r="D304" s="16">
        <v>14778.092307267401</v>
      </c>
      <c r="E304" s="16">
        <v>13490.328710375859</v>
      </c>
      <c r="F304" s="16">
        <v>12494.578910491164</v>
      </c>
      <c r="G304" s="16">
        <v>11926.229848249663</v>
      </c>
      <c r="H304" s="16">
        <v>11657.70489923115</v>
      </c>
      <c r="I304" s="16">
        <v>11850.997274412657</v>
      </c>
      <c r="J304" s="16">
        <v>10244.004143438044</v>
      </c>
      <c r="K304" s="16">
        <v>15599.193319411232</v>
      </c>
      <c r="L304" s="16">
        <v>19276.65160774751</v>
      </c>
      <c r="M304" s="16">
        <v>21514.832868733109</v>
      </c>
      <c r="N304" s="16">
        <v>22556.04888709027</v>
      </c>
      <c r="O304" s="16">
        <v>24215.599382005523</v>
      </c>
      <c r="P304" s="16">
        <v>24738.314622422302</v>
      </c>
      <c r="Q304" s="16">
        <v>25636.372999264757</v>
      </c>
      <c r="R304" s="16">
        <v>25275.696679830216</v>
      </c>
      <c r="S304" s="16">
        <v>24285.048116522114</v>
      </c>
      <c r="T304" s="16">
        <v>22582.49669607971</v>
      </c>
      <c r="U304" s="16">
        <v>21788.212220300331</v>
      </c>
      <c r="V304" s="16">
        <v>22176.21398082353</v>
      </c>
      <c r="W304" s="16">
        <v>22918.130027350271</v>
      </c>
      <c r="X304" s="16">
        <v>22734.019268539909</v>
      </c>
      <c r="Y304" s="16">
        <v>22534.202551954266</v>
      </c>
      <c r="Z304" s="16">
        <v>19983.861571018046</v>
      </c>
      <c r="AA304" s="16">
        <v>17472.718443179096</v>
      </c>
      <c r="AB304" s="6">
        <f t="shared" si="8"/>
        <v>2308647.7466786904</v>
      </c>
      <c r="AC304" s="92">
        <f>+AB304+AB305+AB306</f>
        <v>14249121.659810608</v>
      </c>
      <c r="AF304" s="67">
        <v>49218</v>
      </c>
      <c r="AG304" s="68">
        <f>AC322</f>
        <v>15332943.318289137</v>
      </c>
    </row>
    <row r="305" spans="1:33" ht="18.75" thickBot="1" x14ac:dyDescent="0.3">
      <c r="A305" s="96"/>
      <c r="B305" s="11" t="s">
        <v>29</v>
      </c>
      <c r="C305" s="11">
        <v>6</v>
      </c>
      <c r="D305" s="16">
        <v>13925.916617833351</v>
      </c>
      <c r="E305" s="16">
        <v>12522.712910782309</v>
      </c>
      <c r="F305" s="16">
        <v>11749.890806095522</v>
      </c>
      <c r="G305" s="16">
        <v>10960.359155075588</v>
      </c>
      <c r="H305" s="16">
        <v>10689.138331530128</v>
      </c>
      <c r="I305" s="16">
        <v>9227.7671192376329</v>
      </c>
      <c r="J305" s="16">
        <v>11203.13819762845</v>
      </c>
      <c r="K305" s="16">
        <v>13354.025538080386</v>
      </c>
      <c r="L305" s="16">
        <v>15720.424379336411</v>
      </c>
      <c r="M305" s="16">
        <v>17232.448372020932</v>
      </c>
      <c r="N305" s="16">
        <v>18403.745923081449</v>
      </c>
      <c r="O305" s="16">
        <v>19515.242598049212</v>
      </c>
      <c r="P305" s="16">
        <v>20488.780382756595</v>
      </c>
      <c r="Q305" s="16">
        <v>20359.886294409676</v>
      </c>
      <c r="R305" s="16">
        <v>20054.659258576008</v>
      </c>
      <c r="S305" s="16">
        <v>19742.833729552025</v>
      </c>
      <c r="T305" s="16">
        <v>19282.385673951205</v>
      </c>
      <c r="U305" s="16">
        <v>18921.333516696403</v>
      </c>
      <c r="V305" s="16">
        <v>19669.829772411358</v>
      </c>
      <c r="W305" s="16">
        <v>22674.535315149667</v>
      </c>
      <c r="X305" s="16">
        <v>22715.769802921568</v>
      </c>
      <c r="Y305" s="16">
        <v>21633.801791291487</v>
      </c>
      <c r="Z305" s="16">
        <v>19745.45037340335</v>
      </c>
      <c r="AA305" s="16">
        <v>16901.058960785631</v>
      </c>
      <c r="AB305" s="6">
        <f t="shared" si="8"/>
        <v>2440170.8089239383</v>
      </c>
      <c r="AC305" s="93"/>
      <c r="AF305" s="67">
        <v>49249</v>
      </c>
      <c r="AG305" s="68">
        <f>AC325</f>
        <v>14908582.87617786</v>
      </c>
    </row>
    <row r="306" spans="1:33" ht="18.75" thickBot="1" x14ac:dyDescent="0.3">
      <c r="A306" s="97"/>
      <c r="B306" s="12" t="s">
        <v>30</v>
      </c>
      <c r="C306" s="12">
        <v>19</v>
      </c>
      <c r="D306" s="16">
        <v>15192.162179003768</v>
      </c>
      <c r="E306" s="16">
        <v>13932.321910068455</v>
      </c>
      <c r="F306" s="16">
        <v>13037.202991291593</v>
      </c>
      <c r="G306" s="16">
        <v>12461.403807674662</v>
      </c>
      <c r="H306" s="16">
        <v>12300.259583860243</v>
      </c>
      <c r="I306" s="16">
        <v>13664.943367979547</v>
      </c>
      <c r="J306" s="16">
        <v>15191.875120171338</v>
      </c>
      <c r="K306" s="16">
        <v>17683.771897968181</v>
      </c>
      <c r="L306" s="16">
        <v>20763.920483722817</v>
      </c>
      <c r="M306" s="16">
        <v>22601.920400941861</v>
      </c>
      <c r="N306" s="16">
        <v>24147.610929787363</v>
      </c>
      <c r="O306" s="16">
        <v>25969.515439987117</v>
      </c>
      <c r="P306" s="16">
        <v>26306.726071169302</v>
      </c>
      <c r="Q306" s="16">
        <v>26618.33666159118</v>
      </c>
      <c r="R306" s="16">
        <v>27172.849000535352</v>
      </c>
      <c r="S306" s="16">
        <v>26698.676566672155</v>
      </c>
      <c r="T306" s="16">
        <v>25473.974492908557</v>
      </c>
      <c r="U306" s="16">
        <v>24853.584894518179</v>
      </c>
      <c r="V306" s="16">
        <v>24534.160940546448</v>
      </c>
      <c r="W306" s="16">
        <v>26027.484259072771</v>
      </c>
      <c r="X306" s="16">
        <v>25424.60220212795</v>
      </c>
      <c r="Y306" s="16">
        <v>23034.002452580877</v>
      </c>
      <c r="Z306" s="16">
        <v>20010.740272989526</v>
      </c>
      <c r="AA306" s="16">
        <v>16913.9069258823</v>
      </c>
      <c r="AB306" s="6">
        <f t="shared" si="8"/>
        <v>9500303.1042079795</v>
      </c>
      <c r="AC306" s="94"/>
      <c r="AF306" s="67">
        <v>49279</v>
      </c>
      <c r="AG306" s="68">
        <f>AC328</f>
        <v>15998531.969292697</v>
      </c>
    </row>
    <row r="307" spans="1:33" ht="18.75" thickBot="1" x14ac:dyDescent="0.3">
      <c r="A307" s="95">
        <v>49065</v>
      </c>
      <c r="B307" s="9" t="s">
        <v>28</v>
      </c>
      <c r="C307" s="9">
        <v>4</v>
      </c>
      <c r="D307" s="16">
        <v>16193.379504973149</v>
      </c>
      <c r="E307" s="16">
        <v>14773.868093323261</v>
      </c>
      <c r="F307" s="16">
        <v>13880.455681405943</v>
      </c>
      <c r="G307" s="16">
        <v>13251.707856204128</v>
      </c>
      <c r="H307" s="16">
        <v>13075.047828235925</v>
      </c>
      <c r="I307" s="16">
        <v>13350.604804449289</v>
      </c>
      <c r="J307" s="16">
        <v>14136.543852218703</v>
      </c>
      <c r="K307" s="16">
        <v>17141.2636158475</v>
      </c>
      <c r="L307" s="16">
        <v>20973.402733267634</v>
      </c>
      <c r="M307" s="16">
        <v>23000.818207763339</v>
      </c>
      <c r="N307" s="16">
        <v>24435.01776774013</v>
      </c>
      <c r="O307" s="16">
        <v>25930.62475812457</v>
      </c>
      <c r="P307" s="16">
        <v>26887.48753294714</v>
      </c>
      <c r="Q307" s="16">
        <v>26598.363827200279</v>
      </c>
      <c r="R307" s="16">
        <v>26169.050582940916</v>
      </c>
      <c r="S307" s="16">
        <v>25465.243272455002</v>
      </c>
      <c r="T307" s="16">
        <v>24103.904241780452</v>
      </c>
      <c r="U307" s="16">
        <v>24107.929160102067</v>
      </c>
      <c r="V307" s="16">
        <v>25690.619195529645</v>
      </c>
      <c r="W307" s="16">
        <v>26815.831309914356</v>
      </c>
      <c r="X307" s="16">
        <v>25717.130998526314</v>
      </c>
      <c r="Y307" s="16">
        <v>23583.963293943925</v>
      </c>
      <c r="Z307" s="16">
        <v>20438.615175752988</v>
      </c>
      <c r="AA307" s="16">
        <v>17777.012994907382</v>
      </c>
      <c r="AB307" s="6">
        <f t="shared" si="8"/>
        <v>2013991.545158216</v>
      </c>
      <c r="AC307" s="92">
        <f>+AB307+AB308+AB309</f>
        <v>15386324.725581115</v>
      </c>
    </row>
    <row r="308" spans="1:33" ht="18.75" thickBot="1" x14ac:dyDescent="0.3">
      <c r="A308" s="96"/>
      <c r="B308" s="11" t="s">
        <v>29</v>
      </c>
      <c r="C308" s="11">
        <v>6</v>
      </c>
      <c r="D308" s="16">
        <v>15611.40947065872</v>
      </c>
      <c r="E308" s="16">
        <v>13623.904315874144</v>
      </c>
      <c r="F308" s="16">
        <v>12595.141531324603</v>
      </c>
      <c r="G308" s="16">
        <v>12064.293566788576</v>
      </c>
      <c r="H308" s="16">
        <v>11726.573421415473</v>
      </c>
      <c r="I308" s="16">
        <v>11811.642788364356</v>
      </c>
      <c r="J308" s="16">
        <v>12173.90006451093</v>
      </c>
      <c r="K308" s="16">
        <v>14990.662724761271</v>
      </c>
      <c r="L308" s="16">
        <v>18090.317902854127</v>
      </c>
      <c r="M308" s="16">
        <v>20008.204891369605</v>
      </c>
      <c r="N308" s="16">
        <v>21771.262950384531</v>
      </c>
      <c r="O308" s="16">
        <v>22860.124030793748</v>
      </c>
      <c r="P308" s="16">
        <v>24161.623179504495</v>
      </c>
      <c r="Q308" s="16">
        <v>23570.182032119534</v>
      </c>
      <c r="R308" s="16">
        <v>22302.166985860211</v>
      </c>
      <c r="S308" s="16">
        <v>21339.499649848221</v>
      </c>
      <c r="T308" s="16">
        <v>20880.761351596208</v>
      </c>
      <c r="U308" s="16">
        <v>20651.209362449561</v>
      </c>
      <c r="V308" s="16">
        <v>22962.697282387795</v>
      </c>
      <c r="W308" s="16">
        <v>25048.28757572575</v>
      </c>
      <c r="X308" s="16">
        <v>24257.533740745457</v>
      </c>
      <c r="Y308" s="16">
        <v>22373.328321903711</v>
      </c>
      <c r="Z308" s="16">
        <v>19433.165712771915</v>
      </c>
      <c r="AA308" s="16">
        <v>16729.417688229158</v>
      </c>
      <c r="AB308" s="6">
        <f t="shared" si="8"/>
        <v>2706223.8632534528</v>
      </c>
      <c r="AC308" s="93"/>
    </row>
    <row r="309" spans="1:33" ht="18.75" thickBot="1" x14ac:dyDescent="0.3">
      <c r="A309" s="97"/>
      <c r="B309" s="12" t="s">
        <v>30</v>
      </c>
      <c r="C309" s="12">
        <v>21</v>
      </c>
      <c r="D309" s="16">
        <v>14908.814940932087</v>
      </c>
      <c r="E309" s="16">
        <v>13405.977933730439</v>
      </c>
      <c r="F309" s="16">
        <v>12565.263846703027</v>
      </c>
      <c r="G309" s="16">
        <v>12115.090239374658</v>
      </c>
      <c r="H309" s="16">
        <v>12135.441784786144</v>
      </c>
      <c r="I309" s="16">
        <v>13406.755148929384</v>
      </c>
      <c r="J309" s="16">
        <v>15006.438161744401</v>
      </c>
      <c r="K309" s="16">
        <v>17512.99664862069</v>
      </c>
      <c r="L309" s="16">
        <v>20979.798419146107</v>
      </c>
      <c r="M309" s="16">
        <v>22846.004137642209</v>
      </c>
      <c r="N309" s="16">
        <v>24495.240278724945</v>
      </c>
      <c r="O309" s="16">
        <v>26350.069865268524</v>
      </c>
      <c r="P309" s="16">
        <v>26495.654055057494</v>
      </c>
      <c r="Q309" s="16">
        <v>26432.422751910337</v>
      </c>
      <c r="R309" s="16">
        <v>26823.356192542691</v>
      </c>
      <c r="S309" s="16">
        <v>26718.818136282105</v>
      </c>
      <c r="T309" s="16">
        <v>26176.525082985769</v>
      </c>
      <c r="U309" s="16">
        <v>25649.783299002767</v>
      </c>
      <c r="V309" s="16">
        <v>26905.277808913539</v>
      </c>
      <c r="W309" s="16">
        <v>28060.986361767558</v>
      </c>
      <c r="X309" s="16">
        <v>26648.897210156625</v>
      </c>
      <c r="Y309" s="16">
        <v>24040.307026414157</v>
      </c>
      <c r="Z309" s="16">
        <v>20762.668639047988</v>
      </c>
      <c r="AA309" s="16">
        <v>17467.37951457563</v>
      </c>
      <c r="AB309" s="6">
        <f t="shared" si="8"/>
        <v>10666109.317169446</v>
      </c>
      <c r="AC309" s="94"/>
    </row>
    <row r="310" spans="1:33" ht="18.75" thickBot="1" x14ac:dyDescent="0.3">
      <c r="A310" s="95">
        <v>49096</v>
      </c>
      <c r="B310" s="9" t="s">
        <v>28</v>
      </c>
      <c r="C310" s="9">
        <v>4</v>
      </c>
      <c r="D310" s="16">
        <v>14041.417674666423</v>
      </c>
      <c r="E310" s="16">
        <v>13215.65119466191</v>
      </c>
      <c r="F310" s="16">
        <v>12762.576670783437</v>
      </c>
      <c r="G310" s="16">
        <v>12019.853080832065</v>
      </c>
      <c r="H310" s="16">
        <v>11746.09890722248</v>
      </c>
      <c r="I310" s="16">
        <v>12468.18595350792</v>
      </c>
      <c r="J310" s="16">
        <v>13113.458859777598</v>
      </c>
      <c r="K310" s="16">
        <v>16350.132520957872</v>
      </c>
      <c r="L310" s="16">
        <v>20594.833689410647</v>
      </c>
      <c r="M310" s="16">
        <v>22786.329798452658</v>
      </c>
      <c r="N310" s="16">
        <v>23786.815154872616</v>
      </c>
      <c r="O310" s="16">
        <v>25744.906835532529</v>
      </c>
      <c r="P310" s="16">
        <v>26065.172463066068</v>
      </c>
      <c r="Q310" s="16">
        <v>25082.011198604261</v>
      </c>
      <c r="R310" s="16">
        <v>25691.331662143501</v>
      </c>
      <c r="S310" s="16">
        <v>24999.678337298043</v>
      </c>
      <c r="T310" s="16">
        <v>23330.385516614908</v>
      </c>
      <c r="U310" s="16">
        <v>23492.302544249993</v>
      </c>
      <c r="V310" s="16">
        <v>26742.984798347046</v>
      </c>
      <c r="W310" s="16">
        <v>29191.127349731607</v>
      </c>
      <c r="X310" s="16">
        <v>27438.489952961223</v>
      </c>
      <c r="Y310" s="16">
        <v>25327.312417664441</v>
      </c>
      <c r="Z310" s="16">
        <v>22580.43669851352</v>
      </c>
      <c r="AA310" s="16">
        <v>19934.598374783083</v>
      </c>
      <c r="AB310" s="6">
        <f t="shared" si="8"/>
        <v>1994024.3666186233</v>
      </c>
      <c r="AC310" s="92">
        <f>+AB310+AB311+AB312</f>
        <v>14908457.658325143</v>
      </c>
    </row>
    <row r="311" spans="1:33" ht="18.75" thickBot="1" x14ac:dyDescent="0.3">
      <c r="A311" s="96"/>
      <c r="B311" s="11" t="s">
        <v>29</v>
      </c>
      <c r="C311" s="11">
        <v>5</v>
      </c>
      <c r="D311" s="16">
        <v>17392.264263085221</v>
      </c>
      <c r="E311" s="16">
        <v>15569.739315748655</v>
      </c>
      <c r="F311" s="16">
        <v>14216.308725434661</v>
      </c>
      <c r="G311" s="16">
        <v>13465.748916930897</v>
      </c>
      <c r="H311" s="16">
        <v>13162.399038642721</v>
      </c>
      <c r="I311" s="16">
        <v>13439.738400324219</v>
      </c>
      <c r="J311" s="16">
        <v>13538.200798786926</v>
      </c>
      <c r="K311" s="16">
        <v>16553.90772399096</v>
      </c>
      <c r="L311" s="16">
        <v>19643.410405202914</v>
      </c>
      <c r="M311" s="16">
        <v>21152.579554120319</v>
      </c>
      <c r="N311" s="16">
        <v>22195.863188377843</v>
      </c>
      <c r="O311" s="16">
        <v>23895.845706529886</v>
      </c>
      <c r="P311" s="16">
        <v>24685.649078136084</v>
      </c>
      <c r="Q311" s="16">
        <v>23842.709349190445</v>
      </c>
      <c r="R311" s="16">
        <v>22702.858758017777</v>
      </c>
      <c r="S311" s="16">
        <v>21694.334535355832</v>
      </c>
      <c r="T311" s="16">
        <v>20843.825229554597</v>
      </c>
      <c r="U311" s="16">
        <v>20677.48347341935</v>
      </c>
      <c r="V311" s="16">
        <v>23892.982736539598</v>
      </c>
      <c r="W311" s="16">
        <v>26189.464061781626</v>
      </c>
      <c r="X311" s="16">
        <v>24506.283017862035</v>
      </c>
      <c r="Y311" s="16">
        <v>21945.104194700769</v>
      </c>
      <c r="Z311" s="16">
        <v>19261.830900405643</v>
      </c>
      <c r="AA311" s="16">
        <v>16390.500550187426</v>
      </c>
      <c r="AB311" s="6">
        <f t="shared" si="8"/>
        <v>2354295.1596116326</v>
      </c>
      <c r="AC311" s="93"/>
    </row>
    <row r="312" spans="1:33" ht="18.75" thickBot="1" x14ac:dyDescent="0.3">
      <c r="A312" s="97"/>
      <c r="B312" s="12" t="s">
        <v>30</v>
      </c>
      <c r="C312" s="12">
        <v>21</v>
      </c>
      <c r="D312" s="16">
        <v>14452.866297691711</v>
      </c>
      <c r="E312" s="16">
        <v>12993.827311440626</v>
      </c>
      <c r="F312" s="16">
        <v>12042.730769121667</v>
      </c>
      <c r="G312" s="16">
        <v>11519.543530577488</v>
      </c>
      <c r="H312" s="16">
        <v>11725.204694564462</v>
      </c>
      <c r="I312" s="16">
        <v>12898.74643758234</v>
      </c>
      <c r="J312" s="16">
        <v>14638.601962537588</v>
      </c>
      <c r="K312" s="16">
        <v>17692.123759238115</v>
      </c>
      <c r="L312" s="16">
        <v>21125.509242579014</v>
      </c>
      <c r="M312" s="16">
        <v>22991.388944741971</v>
      </c>
      <c r="N312" s="16">
        <v>24626.665395357937</v>
      </c>
      <c r="O312" s="16">
        <v>26292.789666201432</v>
      </c>
      <c r="P312" s="16">
        <v>26637.427529897213</v>
      </c>
      <c r="Q312" s="16">
        <v>26896.763074914066</v>
      </c>
      <c r="R312" s="16">
        <v>27003.125178047485</v>
      </c>
      <c r="S312" s="16">
        <v>26682.933702300128</v>
      </c>
      <c r="T312" s="16">
        <v>26039.259630433371</v>
      </c>
      <c r="U312" s="16">
        <v>25536.687942812001</v>
      </c>
      <c r="V312" s="16">
        <v>26501.401326373772</v>
      </c>
      <c r="W312" s="16">
        <v>27343.142606702466</v>
      </c>
      <c r="X312" s="16">
        <v>26100.2178161384</v>
      </c>
      <c r="Y312" s="16">
        <v>23314.172685671227</v>
      </c>
      <c r="Z312" s="16">
        <v>20049.912189891285</v>
      </c>
      <c r="AA312" s="16">
        <v>17758.678881131338</v>
      </c>
      <c r="AB312" s="6">
        <f t="shared" si="8"/>
        <v>10560138.132094888</v>
      </c>
      <c r="AC312" s="94"/>
    </row>
    <row r="313" spans="1:33" ht="18.75" thickBot="1" x14ac:dyDescent="0.3">
      <c r="A313" s="95">
        <v>49126</v>
      </c>
      <c r="B313" s="9" t="s">
        <v>28</v>
      </c>
      <c r="C313" s="9">
        <v>5</v>
      </c>
      <c r="D313" s="16">
        <v>14171.322462016458</v>
      </c>
      <c r="E313" s="16">
        <v>12925.764436562167</v>
      </c>
      <c r="F313" s="16">
        <v>12183.683834016811</v>
      </c>
      <c r="G313" s="16">
        <v>11473.14618237015</v>
      </c>
      <c r="H313" s="16">
        <v>11278.455081030537</v>
      </c>
      <c r="I313" s="16">
        <v>11627.588100493656</v>
      </c>
      <c r="J313" s="16">
        <v>12379.249520121946</v>
      </c>
      <c r="K313" s="16">
        <v>15672.975362417608</v>
      </c>
      <c r="L313" s="16">
        <v>19443.206677240203</v>
      </c>
      <c r="M313" s="16">
        <v>20874.819660391287</v>
      </c>
      <c r="N313" s="16">
        <v>21731.513529891577</v>
      </c>
      <c r="O313" s="16">
        <v>24132.413267269527</v>
      </c>
      <c r="P313" s="16">
        <v>24887.956990003309</v>
      </c>
      <c r="Q313" s="16">
        <v>24694.594526147201</v>
      </c>
      <c r="R313" s="16">
        <v>24455.765843818634</v>
      </c>
      <c r="S313" s="16">
        <v>24292.989468086416</v>
      </c>
      <c r="T313" s="16">
        <v>23792.784881547406</v>
      </c>
      <c r="U313" s="16">
        <v>23495.078665230467</v>
      </c>
      <c r="V313" s="16">
        <v>25164.612225274141</v>
      </c>
      <c r="W313" s="16">
        <v>26619.640920405262</v>
      </c>
      <c r="X313" s="16">
        <v>25611.948619837371</v>
      </c>
      <c r="Y313" s="16">
        <v>23417.834851166117</v>
      </c>
      <c r="Z313" s="16">
        <v>20721.416883051905</v>
      </c>
      <c r="AA313" s="16">
        <v>17706.406273593231</v>
      </c>
      <c r="AB313" s="6">
        <f t="shared" si="8"/>
        <v>2363775.8413099172</v>
      </c>
      <c r="AC313" s="92">
        <f>+AB313+AB314+AB315</f>
        <v>15151108.132947678</v>
      </c>
    </row>
    <row r="314" spans="1:33" ht="18.75" thickBot="1" x14ac:dyDescent="0.3">
      <c r="A314" s="96"/>
      <c r="B314" s="11" t="s">
        <v>29</v>
      </c>
      <c r="C314" s="11">
        <v>7</v>
      </c>
      <c r="D314" s="16">
        <v>15610.060111306189</v>
      </c>
      <c r="E314" s="16">
        <v>14068.53894439865</v>
      </c>
      <c r="F314" s="16">
        <v>12990.538561217028</v>
      </c>
      <c r="G314" s="16">
        <v>12069.061425060831</v>
      </c>
      <c r="H314" s="16">
        <v>11750.554109059387</v>
      </c>
      <c r="I314" s="16">
        <v>11918.011189320696</v>
      </c>
      <c r="J314" s="16">
        <v>12472.436983988417</v>
      </c>
      <c r="K314" s="16">
        <v>14715.451316186973</v>
      </c>
      <c r="L314" s="16">
        <v>17514.625375915908</v>
      </c>
      <c r="M314" s="16">
        <v>18201.110422843856</v>
      </c>
      <c r="N314" s="16">
        <v>20011.665443494101</v>
      </c>
      <c r="O314" s="16">
        <v>22447.591234164458</v>
      </c>
      <c r="P314" s="16">
        <v>23819.79949460092</v>
      </c>
      <c r="Q314" s="16">
        <v>23705.86883038978</v>
      </c>
      <c r="R314" s="16">
        <v>22742.606654843898</v>
      </c>
      <c r="S314" s="16">
        <v>22533.193884506923</v>
      </c>
      <c r="T314" s="16">
        <v>21955.120780499623</v>
      </c>
      <c r="U314" s="16">
        <v>21386.570594235396</v>
      </c>
      <c r="V314" s="16">
        <v>22537.743553687847</v>
      </c>
      <c r="W314" s="16">
        <v>26144.918138079862</v>
      </c>
      <c r="X314" s="16">
        <v>25274.636207710348</v>
      </c>
      <c r="Y314" s="16">
        <v>22937.660388891149</v>
      </c>
      <c r="Z314" s="16">
        <v>19641.755703015879</v>
      </c>
      <c r="AA314" s="16">
        <v>16864.7906111306</v>
      </c>
      <c r="AB314" s="6">
        <f t="shared" si="8"/>
        <v>3173200.1697098413</v>
      </c>
      <c r="AC314" s="93"/>
    </row>
    <row r="315" spans="1:33" ht="18.75" thickBot="1" x14ac:dyDescent="0.3">
      <c r="A315" s="97"/>
      <c r="B315" s="12" t="s">
        <v>30</v>
      </c>
      <c r="C315" s="12">
        <v>19</v>
      </c>
      <c r="D315" s="16">
        <v>15281.293350261043</v>
      </c>
      <c r="E315" s="16">
        <v>13924.645835525454</v>
      </c>
      <c r="F315" s="16">
        <v>12977.479941451133</v>
      </c>
      <c r="G315" s="16">
        <v>12481.245235737653</v>
      </c>
      <c r="H315" s="16">
        <v>12466.916937770275</v>
      </c>
      <c r="I315" s="16">
        <v>13813.684201765889</v>
      </c>
      <c r="J315" s="16">
        <v>15513.142976003652</v>
      </c>
      <c r="K315" s="16">
        <v>17934.017455668371</v>
      </c>
      <c r="L315" s="16">
        <v>20884.466591365759</v>
      </c>
      <c r="M315" s="16">
        <v>22019.506171371424</v>
      </c>
      <c r="N315" s="16">
        <v>23438.691332827926</v>
      </c>
      <c r="O315" s="16">
        <v>25390.273776259317</v>
      </c>
      <c r="P315" s="16">
        <v>25195.203083137661</v>
      </c>
      <c r="Q315" s="16">
        <v>25890.848415101013</v>
      </c>
      <c r="R315" s="16">
        <v>27065.348051393034</v>
      </c>
      <c r="S315" s="16">
        <v>27140.045354444897</v>
      </c>
      <c r="T315" s="16">
        <v>26106.429518772893</v>
      </c>
      <c r="U315" s="16">
        <v>25298.179642719333</v>
      </c>
      <c r="V315" s="16">
        <v>26382.298541954871</v>
      </c>
      <c r="W315" s="16">
        <v>28036.436839765629</v>
      </c>
      <c r="X315" s="16">
        <v>27020.892487759455</v>
      </c>
      <c r="Y315" s="16">
        <v>24003.719463824476</v>
      </c>
      <c r="Z315" s="16">
        <v>20366.384358081355</v>
      </c>
      <c r="AA315" s="16">
        <v>17375.804222717466</v>
      </c>
      <c r="AB315" s="6">
        <f t="shared" si="8"/>
        <v>9614132.1219279189</v>
      </c>
      <c r="AC315" s="94"/>
    </row>
    <row r="316" spans="1:33" ht="18.75" thickBot="1" x14ac:dyDescent="0.3">
      <c r="A316" s="95">
        <v>49157</v>
      </c>
      <c r="B316" s="9" t="s">
        <v>28</v>
      </c>
      <c r="C316" s="9">
        <v>4</v>
      </c>
      <c r="D316" s="16">
        <v>15378.897911044187</v>
      </c>
      <c r="E316" s="16">
        <v>12675.886122317974</v>
      </c>
      <c r="F316" s="16">
        <v>11707.14362188596</v>
      </c>
      <c r="G316" s="16">
        <v>10976.132154191768</v>
      </c>
      <c r="H316" s="16">
        <v>10826.281348987202</v>
      </c>
      <c r="I316" s="16">
        <v>11075.428912615462</v>
      </c>
      <c r="J316" s="16">
        <v>12218.381384738728</v>
      </c>
      <c r="K316" s="16">
        <v>14802.042521574531</v>
      </c>
      <c r="L316" s="16">
        <v>18699.021586056981</v>
      </c>
      <c r="M316" s="16">
        <v>20419.592500002829</v>
      </c>
      <c r="N316" s="16">
        <v>23275.575563619648</v>
      </c>
      <c r="O316" s="16">
        <v>25355.858620624393</v>
      </c>
      <c r="P316" s="16">
        <v>26029.243789538319</v>
      </c>
      <c r="Q316" s="16">
        <v>25776.010360914886</v>
      </c>
      <c r="R316" s="16">
        <v>25023.406705713431</v>
      </c>
      <c r="S316" s="16">
        <v>24735.952938822025</v>
      </c>
      <c r="T316" s="16">
        <v>24193.805461008793</v>
      </c>
      <c r="U316" s="16">
        <v>23348.772518559897</v>
      </c>
      <c r="V316" s="16">
        <v>26023.912174535653</v>
      </c>
      <c r="W316" s="16">
        <v>27228.876668068289</v>
      </c>
      <c r="X316" s="16">
        <v>26101.33639075375</v>
      </c>
      <c r="Y316" s="16">
        <v>23405.71621459633</v>
      </c>
      <c r="Z316" s="16">
        <v>19888.371541824621</v>
      </c>
      <c r="AA316" s="16">
        <v>17306.577811066585</v>
      </c>
      <c r="AB316" s="6">
        <f t="shared" si="8"/>
        <v>1905888.8992922492</v>
      </c>
      <c r="AC316" s="92">
        <f>+AB316+AB317+AB318</f>
        <v>15017950.723140765</v>
      </c>
    </row>
    <row r="317" spans="1:33" ht="18.75" thickBot="1" x14ac:dyDescent="0.3">
      <c r="A317" s="96"/>
      <c r="B317" s="11" t="s">
        <v>29</v>
      </c>
      <c r="C317" s="11">
        <v>6</v>
      </c>
      <c r="D317" s="16">
        <v>15232.548579302063</v>
      </c>
      <c r="E317" s="16">
        <v>13997.500807702425</v>
      </c>
      <c r="F317" s="16">
        <v>12794.573674400101</v>
      </c>
      <c r="G317" s="16">
        <v>11828.558450543016</v>
      </c>
      <c r="H317" s="16">
        <v>11196.921056481267</v>
      </c>
      <c r="I317" s="16">
        <v>11338.350424467269</v>
      </c>
      <c r="J317" s="16">
        <v>12038.415260930175</v>
      </c>
      <c r="K317" s="16">
        <v>14677.404484553146</v>
      </c>
      <c r="L317" s="16">
        <v>17933.957644647111</v>
      </c>
      <c r="M317" s="16">
        <v>20077.476532266184</v>
      </c>
      <c r="N317" s="16">
        <v>21335.220845097923</v>
      </c>
      <c r="O317" s="16">
        <v>23186.716358375714</v>
      </c>
      <c r="P317" s="16">
        <v>24314.214147152146</v>
      </c>
      <c r="Q317" s="16">
        <v>24188.869476984204</v>
      </c>
      <c r="R317" s="16">
        <v>23055.703647567127</v>
      </c>
      <c r="S317" s="16">
        <v>22329.816576185498</v>
      </c>
      <c r="T317" s="16">
        <v>21830.522271749389</v>
      </c>
      <c r="U317" s="16">
        <v>21395.869750619837</v>
      </c>
      <c r="V317" s="16">
        <v>23039.296803045989</v>
      </c>
      <c r="W317" s="16">
        <v>25725.171431968469</v>
      </c>
      <c r="X317" s="16">
        <v>24866.324838891524</v>
      </c>
      <c r="Y317" s="16">
        <v>22399.024136008149</v>
      </c>
      <c r="Z317" s="16">
        <v>19318.519795813292</v>
      </c>
      <c r="AA317" s="16">
        <v>16577.970776710841</v>
      </c>
      <c r="AB317" s="6">
        <f t="shared" si="8"/>
        <v>2728073.6866287775</v>
      </c>
      <c r="AC317" s="93"/>
    </row>
    <row r="318" spans="1:33" ht="18.75" thickBot="1" x14ac:dyDescent="0.3">
      <c r="A318" s="97"/>
      <c r="B318" s="12" t="s">
        <v>30</v>
      </c>
      <c r="C318" s="12">
        <v>21</v>
      </c>
      <c r="D318" s="16">
        <v>15302.844289282795</v>
      </c>
      <c r="E318" s="16">
        <v>13991.769070914204</v>
      </c>
      <c r="F318" s="16">
        <v>13096.962199105928</v>
      </c>
      <c r="G318" s="16">
        <v>12487.750798035162</v>
      </c>
      <c r="H318" s="16">
        <v>12301.044833633205</v>
      </c>
      <c r="I318" s="16">
        <v>13632.007913898877</v>
      </c>
      <c r="J318" s="16">
        <v>15461.455761807432</v>
      </c>
      <c r="K318" s="16">
        <v>17689.853477827499</v>
      </c>
      <c r="L318" s="16">
        <v>20704.097602673224</v>
      </c>
      <c r="M318" s="16">
        <v>22864.910590071631</v>
      </c>
      <c r="N318" s="16">
        <v>24027.039195253645</v>
      </c>
      <c r="O318" s="16">
        <v>24234.805763860692</v>
      </c>
      <c r="P318" s="16">
        <v>23095.655337697004</v>
      </c>
      <c r="Q318" s="16">
        <v>23752.010594622807</v>
      </c>
      <c r="R318" s="16">
        <v>24347.14331410225</v>
      </c>
      <c r="S318" s="16">
        <v>24447.911261071189</v>
      </c>
      <c r="T318" s="16">
        <v>26332.985458705865</v>
      </c>
      <c r="U318" s="16">
        <v>25448.246977368959</v>
      </c>
      <c r="V318" s="16">
        <v>25819.609814853538</v>
      </c>
      <c r="W318" s="16">
        <v>26921.409553286634</v>
      </c>
      <c r="X318" s="16">
        <v>26097.747337379638</v>
      </c>
      <c r="Y318" s="16">
        <v>24018.369370554392</v>
      </c>
      <c r="Z318" s="16">
        <v>20786.625814106803</v>
      </c>
      <c r="AA318" s="16">
        <v>17613.369251778851</v>
      </c>
      <c r="AB318" s="6">
        <f t="shared" si="8"/>
        <v>10383988.137219738</v>
      </c>
      <c r="AC318" s="94"/>
    </row>
    <row r="319" spans="1:33" ht="18.75" thickBot="1" x14ac:dyDescent="0.3">
      <c r="A319" s="95">
        <v>49188</v>
      </c>
      <c r="B319" s="9" t="s">
        <v>28</v>
      </c>
      <c r="C319" s="9">
        <v>5</v>
      </c>
      <c r="D319" s="16">
        <v>14414.441790163335</v>
      </c>
      <c r="E319" s="16">
        <v>13886.847768528452</v>
      </c>
      <c r="F319" s="16">
        <v>12963.280161469302</v>
      </c>
      <c r="G319" s="16">
        <v>12444.995744220028</v>
      </c>
      <c r="H319" s="16">
        <v>12377.747184618798</v>
      </c>
      <c r="I319" s="16">
        <v>12614.464064708663</v>
      </c>
      <c r="J319" s="16">
        <v>13690.684805022465</v>
      </c>
      <c r="K319" s="16">
        <v>17061.675792718219</v>
      </c>
      <c r="L319" s="16">
        <v>20808.969826948174</v>
      </c>
      <c r="M319" s="16">
        <v>23184.22320409392</v>
      </c>
      <c r="N319" s="16">
        <v>24955.522472307035</v>
      </c>
      <c r="O319" s="16">
        <v>26840.511665370694</v>
      </c>
      <c r="P319" s="16">
        <v>27514.57882756168</v>
      </c>
      <c r="Q319" s="16">
        <v>27288.244213312028</v>
      </c>
      <c r="R319" s="16">
        <v>26545.657753376167</v>
      </c>
      <c r="S319" s="16">
        <v>25505.465639134753</v>
      </c>
      <c r="T319" s="16">
        <v>24625.648601687455</v>
      </c>
      <c r="U319" s="16">
        <v>24274.412921986659</v>
      </c>
      <c r="V319" s="16">
        <v>26771.983225624797</v>
      </c>
      <c r="W319" s="16">
        <v>27723.107871132102</v>
      </c>
      <c r="X319" s="16">
        <v>26526.057303160684</v>
      </c>
      <c r="Y319" s="16">
        <v>24219.2257090821</v>
      </c>
      <c r="Z319" s="16">
        <v>21545.233069502632</v>
      </c>
      <c r="AA319" s="16">
        <v>18697.566788959222</v>
      </c>
      <c r="AB319" s="6">
        <f t="shared" si="8"/>
        <v>2532402.7320234464</v>
      </c>
      <c r="AC319" s="92">
        <f>+AB319+AB320+AB321</f>
        <v>15163093.224088833</v>
      </c>
    </row>
    <row r="320" spans="1:33" ht="18.75" thickBot="1" x14ac:dyDescent="0.3">
      <c r="A320" s="96"/>
      <c r="B320" s="11" t="s">
        <v>29</v>
      </c>
      <c r="C320" s="11">
        <v>4</v>
      </c>
      <c r="D320" s="16">
        <v>16560.264462042811</v>
      </c>
      <c r="E320" s="16">
        <v>15057.392628170535</v>
      </c>
      <c r="F320" s="16">
        <v>13953.282690037711</v>
      </c>
      <c r="G320" s="16">
        <v>13293.982906849214</v>
      </c>
      <c r="H320" s="16">
        <v>12807.665019879842</v>
      </c>
      <c r="I320" s="16">
        <v>12750.292868728306</v>
      </c>
      <c r="J320" s="16">
        <v>13024.64127240505</v>
      </c>
      <c r="K320" s="16">
        <v>15267.658651937287</v>
      </c>
      <c r="L320" s="16">
        <v>18191.227919726814</v>
      </c>
      <c r="M320" s="16">
        <v>19793.485494166169</v>
      </c>
      <c r="N320" s="16">
        <v>21188.89310589157</v>
      </c>
      <c r="O320" s="16">
        <v>23223.768453230456</v>
      </c>
      <c r="P320" s="16">
        <v>24186.226132685428</v>
      </c>
      <c r="Q320" s="16">
        <v>23501.036202570533</v>
      </c>
      <c r="R320" s="16">
        <v>21956.696252011046</v>
      </c>
      <c r="S320" s="16">
        <v>21250.126228812856</v>
      </c>
      <c r="T320" s="16">
        <v>20609.302429712727</v>
      </c>
      <c r="U320" s="16">
        <v>20864.470915221551</v>
      </c>
      <c r="V320" s="16">
        <v>24153.281408294948</v>
      </c>
      <c r="W320" s="16">
        <v>25394.2653858989</v>
      </c>
      <c r="X320" s="16">
        <v>24601.684369645394</v>
      </c>
      <c r="Y320" s="16">
        <v>22721.494727124234</v>
      </c>
      <c r="Z320" s="16">
        <v>19627.847672110503</v>
      </c>
      <c r="AA320" s="16">
        <v>16910.543278968777</v>
      </c>
      <c r="AB320" s="6">
        <f t="shared" si="8"/>
        <v>1843558.1219044905</v>
      </c>
      <c r="AC320" s="93"/>
    </row>
    <row r="321" spans="1:33" ht="18.75" thickBot="1" x14ac:dyDescent="0.3">
      <c r="A321" s="97"/>
      <c r="B321" s="12" t="s">
        <v>30</v>
      </c>
      <c r="C321" s="12">
        <v>21</v>
      </c>
      <c r="D321" s="16">
        <v>14916.616616440198</v>
      </c>
      <c r="E321" s="16">
        <v>13812.873466470031</v>
      </c>
      <c r="F321" s="16">
        <v>12984.117275097284</v>
      </c>
      <c r="G321" s="16">
        <v>12211.822082106424</v>
      </c>
      <c r="H321" s="16">
        <v>12373.023817418252</v>
      </c>
      <c r="I321" s="16">
        <v>13884.517943416617</v>
      </c>
      <c r="J321" s="16">
        <v>15879.336920652124</v>
      </c>
      <c r="K321" s="16">
        <v>18089.612916059283</v>
      </c>
      <c r="L321" s="16">
        <v>21307.761835812351</v>
      </c>
      <c r="M321" s="16">
        <v>23001.582922298257</v>
      </c>
      <c r="N321" s="16">
        <v>24377.152668811643</v>
      </c>
      <c r="O321" s="16">
        <v>26208.075513703479</v>
      </c>
      <c r="P321" s="16">
        <v>26522.604674103764</v>
      </c>
      <c r="Q321" s="16">
        <v>26796.273522370371</v>
      </c>
      <c r="R321" s="16">
        <v>27400.917159805213</v>
      </c>
      <c r="S321" s="16">
        <v>27166.515699249801</v>
      </c>
      <c r="T321" s="16">
        <v>26761.095656454767</v>
      </c>
      <c r="U321" s="16">
        <v>25956.804013907902</v>
      </c>
      <c r="V321" s="16">
        <v>27778.61920952786</v>
      </c>
      <c r="W321" s="16">
        <v>28327.052284003075</v>
      </c>
      <c r="X321" s="16">
        <v>26896.842736525774</v>
      </c>
      <c r="Y321" s="16">
        <v>23985.18632717368</v>
      </c>
      <c r="Z321" s="16">
        <v>20082.144730854438</v>
      </c>
      <c r="AA321" s="16">
        <v>16952.420015399141</v>
      </c>
      <c r="AB321" s="6">
        <f t="shared" si="8"/>
        <v>10787132.370160896</v>
      </c>
      <c r="AC321" s="94"/>
    </row>
    <row r="322" spans="1:33" ht="18.75" thickBot="1" x14ac:dyDescent="0.3">
      <c r="A322" s="95">
        <v>49218</v>
      </c>
      <c r="B322" s="9" t="s">
        <v>28</v>
      </c>
      <c r="C322" s="9">
        <v>4</v>
      </c>
      <c r="D322" s="16">
        <v>14768.572436858016</v>
      </c>
      <c r="E322" s="16">
        <v>13547.469264167896</v>
      </c>
      <c r="F322" s="16">
        <v>12762.454777436305</v>
      </c>
      <c r="G322" s="16">
        <v>12048.665620755459</v>
      </c>
      <c r="H322" s="16">
        <v>11708.071230257465</v>
      </c>
      <c r="I322" s="16">
        <v>11926.434019606077</v>
      </c>
      <c r="J322" s="16">
        <v>12567.065836684484</v>
      </c>
      <c r="K322" s="16">
        <v>15746.946340112023</v>
      </c>
      <c r="L322" s="16">
        <v>19643.574961221515</v>
      </c>
      <c r="M322" s="16">
        <v>22547.732713483623</v>
      </c>
      <c r="N322" s="16">
        <v>24611.198145387425</v>
      </c>
      <c r="O322" s="16">
        <v>26806.494279525628</v>
      </c>
      <c r="P322" s="16">
        <v>27356.123570984557</v>
      </c>
      <c r="Q322" s="16">
        <v>26734.641198737292</v>
      </c>
      <c r="R322" s="16">
        <v>26051.249195492288</v>
      </c>
      <c r="S322" s="16">
        <v>25121.303519045541</v>
      </c>
      <c r="T322" s="16">
        <v>24333.991342720918</v>
      </c>
      <c r="U322" s="16">
        <v>24302.143658454464</v>
      </c>
      <c r="V322" s="16">
        <v>26254.26561243958</v>
      </c>
      <c r="W322" s="16">
        <v>26483.345874332932</v>
      </c>
      <c r="X322" s="16">
        <v>25658.152293059837</v>
      </c>
      <c r="Y322" s="16">
        <v>23677.604810528384</v>
      </c>
      <c r="Z322" s="16">
        <v>20916.747924463853</v>
      </c>
      <c r="AA322" s="16">
        <v>18172.130279568184</v>
      </c>
      <c r="AB322" s="6">
        <f t="shared" si="8"/>
        <v>1974985.5156212954</v>
      </c>
      <c r="AC322" s="92">
        <f>+AB322+AB323+AB324</f>
        <v>15332943.318289137</v>
      </c>
    </row>
    <row r="323" spans="1:33" ht="18.75" thickBot="1" x14ac:dyDescent="0.3">
      <c r="A323" s="96"/>
      <c r="B323" s="11" t="s">
        <v>29</v>
      </c>
      <c r="C323" s="11">
        <v>6</v>
      </c>
      <c r="D323" s="16">
        <v>15552.474037330467</v>
      </c>
      <c r="E323" s="16">
        <v>14136.063592431092</v>
      </c>
      <c r="F323" s="16">
        <v>13088.214747590879</v>
      </c>
      <c r="G323" s="16">
        <v>12498.372840920005</v>
      </c>
      <c r="H323" s="16">
        <v>12218.820200788337</v>
      </c>
      <c r="I323" s="16">
        <v>12307.02222675797</v>
      </c>
      <c r="J323" s="16">
        <v>12531.067074482151</v>
      </c>
      <c r="K323" s="16">
        <v>14872.589515148578</v>
      </c>
      <c r="L323" s="16">
        <v>17549.189453422754</v>
      </c>
      <c r="M323" s="16">
        <v>19549.361764839108</v>
      </c>
      <c r="N323" s="16">
        <v>20621.330865205658</v>
      </c>
      <c r="O323" s="16">
        <v>23087.006555638705</v>
      </c>
      <c r="P323" s="16">
        <v>24399.851537098541</v>
      </c>
      <c r="Q323" s="16">
        <v>24022.123557336621</v>
      </c>
      <c r="R323" s="16">
        <v>22337.750091748901</v>
      </c>
      <c r="S323" s="16">
        <v>20323.774577705677</v>
      </c>
      <c r="T323" s="16">
        <v>20631.864888263015</v>
      </c>
      <c r="U323" s="16">
        <v>21433.043042288256</v>
      </c>
      <c r="V323" s="16">
        <v>24586.987079317478</v>
      </c>
      <c r="W323" s="16">
        <v>25229.937917324685</v>
      </c>
      <c r="X323" s="16">
        <v>23635.738712062855</v>
      </c>
      <c r="Y323" s="16">
        <v>21144.180188304257</v>
      </c>
      <c r="Z323" s="16">
        <v>18094.60367293856</v>
      </c>
      <c r="AA323" s="16">
        <v>15582.581694066917</v>
      </c>
      <c r="AB323" s="6">
        <f t="shared" si="8"/>
        <v>2696603.6989980694</v>
      </c>
      <c r="AC323" s="93"/>
    </row>
    <row r="324" spans="1:33" ht="18.75" thickBot="1" x14ac:dyDescent="0.3">
      <c r="A324" s="97"/>
      <c r="B324" s="12" t="s">
        <v>30</v>
      </c>
      <c r="C324" s="12">
        <v>21</v>
      </c>
      <c r="D324" s="16">
        <v>14933.01847441533</v>
      </c>
      <c r="E324" s="16">
        <v>13723.315099983462</v>
      </c>
      <c r="F324" s="16">
        <v>12839.887526188675</v>
      </c>
      <c r="G324" s="16">
        <v>11931.460180962073</v>
      </c>
      <c r="H324" s="16">
        <v>12227.919206713777</v>
      </c>
      <c r="I324" s="16">
        <v>13435.704977171335</v>
      </c>
      <c r="J324" s="16">
        <v>15116.734464999256</v>
      </c>
      <c r="K324" s="16">
        <v>17788.326913761979</v>
      </c>
      <c r="L324" s="16">
        <v>20734.564465689502</v>
      </c>
      <c r="M324" s="16">
        <v>22542.98801494731</v>
      </c>
      <c r="N324" s="16">
        <v>23701.124408883821</v>
      </c>
      <c r="O324" s="16">
        <v>25080.124344997057</v>
      </c>
      <c r="P324" s="16">
        <v>26205.862041332075</v>
      </c>
      <c r="Q324" s="16">
        <v>26226.258676728459</v>
      </c>
      <c r="R324" s="16">
        <v>26907.867435711305</v>
      </c>
      <c r="S324" s="16">
        <v>27175.004462754754</v>
      </c>
      <c r="T324" s="16">
        <v>26947.489976311117</v>
      </c>
      <c r="U324" s="16">
        <v>25866.609585773673</v>
      </c>
      <c r="V324" s="16">
        <v>28217.432488824677</v>
      </c>
      <c r="W324" s="16">
        <v>28084.107207936504</v>
      </c>
      <c r="X324" s="16">
        <v>26775.913454978123</v>
      </c>
      <c r="Y324" s="16">
        <v>23768.87273120819</v>
      </c>
      <c r="Z324" s="16">
        <v>20224.127209690851</v>
      </c>
      <c r="AA324" s="16">
        <v>17228.815396216356</v>
      </c>
      <c r="AB324" s="6">
        <f t="shared" si="8"/>
        <v>10661354.103669772</v>
      </c>
      <c r="AC324" s="94"/>
    </row>
    <row r="325" spans="1:33" ht="18.75" thickBot="1" x14ac:dyDescent="0.3">
      <c r="A325" s="95">
        <v>49249</v>
      </c>
      <c r="B325" s="9" t="s">
        <v>28</v>
      </c>
      <c r="C325" s="9">
        <v>4</v>
      </c>
      <c r="D325" s="16">
        <v>14321.624272605331</v>
      </c>
      <c r="E325" s="16">
        <v>13905.599841048024</v>
      </c>
      <c r="F325" s="16">
        <v>12862.989972266652</v>
      </c>
      <c r="G325" s="16">
        <v>12021.77716731621</v>
      </c>
      <c r="H325" s="16">
        <v>12010.055903058004</v>
      </c>
      <c r="I325" s="16">
        <v>12355.196915403245</v>
      </c>
      <c r="J325" s="16">
        <v>13237.368322849961</v>
      </c>
      <c r="K325" s="16">
        <v>16374.354557429084</v>
      </c>
      <c r="L325" s="16">
        <v>20501.302486305322</v>
      </c>
      <c r="M325" s="16">
        <v>23011.410739627296</v>
      </c>
      <c r="N325" s="16">
        <v>24614.834833398498</v>
      </c>
      <c r="O325" s="16">
        <v>26257.440324665105</v>
      </c>
      <c r="P325" s="16">
        <v>27009.456453933482</v>
      </c>
      <c r="Q325" s="16">
        <v>26542.010094963865</v>
      </c>
      <c r="R325" s="16">
        <v>25834.204682692696</v>
      </c>
      <c r="S325" s="16">
        <v>24928.580995261771</v>
      </c>
      <c r="T325" s="16">
        <v>24115.157435585752</v>
      </c>
      <c r="U325" s="16">
        <v>24566.248145240002</v>
      </c>
      <c r="V325" s="16">
        <v>27209.183578908996</v>
      </c>
      <c r="W325" s="16">
        <v>27285.80573690305</v>
      </c>
      <c r="X325" s="16">
        <v>26175.698646092365</v>
      </c>
      <c r="Y325" s="16">
        <v>23847.294367442038</v>
      </c>
      <c r="Z325" s="16">
        <v>21076.061310204648</v>
      </c>
      <c r="AA325" s="16">
        <v>18297.624356152999</v>
      </c>
      <c r="AB325" s="6">
        <f t="shared" si="8"/>
        <v>1993445.1245574176</v>
      </c>
      <c r="AC325" s="92">
        <f>+AB325+AB326+AB327</f>
        <v>14908582.87617786</v>
      </c>
    </row>
    <row r="326" spans="1:33" ht="18.75" thickBot="1" x14ac:dyDescent="0.3">
      <c r="A326" s="96"/>
      <c r="B326" s="11" t="s">
        <v>29</v>
      </c>
      <c r="C326" s="11">
        <v>6</v>
      </c>
      <c r="D326" s="16">
        <v>15799.735736745555</v>
      </c>
      <c r="E326" s="16">
        <v>14434.300393074649</v>
      </c>
      <c r="F326" s="16">
        <v>13623.28474940412</v>
      </c>
      <c r="G326" s="16">
        <v>12951.187470769106</v>
      </c>
      <c r="H326" s="16">
        <v>12692.80143622994</v>
      </c>
      <c r="I326" s="16">
        <v>12792.297751476181</v>
      </c>
      <c r="J326" s="16">
        <v>13325.69607310048</v>
      </c>
      <c r="K326" s="16">
        <v>15645.753095340624</v>
      </c>
      <c r="L326" s="16">
        <v>18705.640046538399</v>
      </c>
      <c r="M326" s="16">
        <v>20606.079221348402</v>
      </c>
      <c r="N326" s="16">
        <v>21681.655668256048</v>
      </c>
      <c r="O326" s="16">
        <v>23085.558810941715</v>
      </c>
      <c r="P326" s="16">
        <v>23848.510166512795</v>
      </c>
      <c r="Q326" s="16">
        <v>23261.376033481312</v>
      </c>
      <c r="R326" s="16">
        <v>22048.967339107257</v>
      </c>
      <c r="S326" s="16">
        <v>21144.534375544288</v>
      </c>
      <c r="T326" s="16">
        <v>20801.049371386231</v>
      </c>
      <c r="U326" s="16">
        <v>21118.536265938994</v>
      </c>
      <c r="V326" s="16">
        <v>24703.041735102015</v>
      </c>
      <c r="W326" s="16">
        <v>25575.74411907843</v>
      </c>
      <c r="X326" s="16">
        <v>24252.264465483175</v>
      </c>
      <c r="Y326" s="16">
        <v>21957.298318079091</v>
      </c>
      <c r="Z326" s="16">
        <v>19269.938331655379</v>
      </c>
      <c r="AA326" s="16">
        <v>16831.286048010188</v>
      </c>
      <c r="AB326" s="6">
        <f t="shared" si="8"/>
        <v>2760939.2221356267</v>
      </c>
      <c r="AC326" s="93"/>
    </row>
    <row r="327" spans="1:33" ht="18.75" thickBot="1" x14ac:dyDescent="0.3">
      <c r="A327" s="97"/>
      <c r="B327" s="12" t="s">
        <v>30</v>
      </c>
      <c r="C327" s="12">
        <v>20</v>
      </c>
      <c r="D327" s="16">
        <v>14843.631312675385</v>
      </c>
      <c r="E327" s="16">
        <v>13621.972170885394</v>
      </c>
      <c r="F327" s="16">
        <v>12837.127996247131</v>
      </c>
      <c r="G327" s="16">
        <v>12320.309007904245</v>
      </c>
      <c r="H327" s="16">
        <v>12285.977069505112</v>
      </c>
      <c r="I327" s="16">
        <v>13447.362659889703</v>
      </c>
      <c r="J327" s="16">
        <v>15347.551276152873</v>
      </c>
      <c r="K327" s="16">
        <v>18145.700415988169</v>
      </c>
      <c r="L327" s="16">
        <v>21154.045152323008</v>
      </c>
      <c r="M327" s="16">
        <v>22776.523478677576</v>
      </c>
      <c r="N327" s="16">
        <v>24375.515665784857</v>
      </c>
      <c r="O327" s="16">
        <v>26058.510653053803</v>
      </c>
      <c r="P327" s="16">
        <v>26595.731201776798</v>
      </c>
      <c r="Q327" s="16">
        <v>26399.957619796303</v>
      </c>
      <c r="R327" s="16">
        <v>26929.259841253901</v>
      </c>
      <c r="S327" s="16">
        <v>26344.725035479205</v>
      </c>
      <c r="T327" s="16">
        <v>25548.226502486585</v>
      </c>
      <c r="U327" s="16">
        <v>25210.581253803444</v>
      </c>
      <c r="V327" s="16">
        <v>27750.888042124003</v>
      </c>
      <c r="W327" s="16">
        <v>27407.520577979216</v>
      </c>
      <c r="X327" s="16">
        <v>26509.330488603358</v>
      </c>
      <c r="Y327" s="16">
        <v>24027.678778912683</v>
      </c>
      <c r="Z327" s="16">
        <v>20438.247464155873</v>
      </c>
      <c r="AA327" s="16">
        <v>17333.55280878229</v>
      </c>
      <c r="AB327" s="6">
        <f t="shared" si="8"/>
        <v>10154198.529484816</v>
      </c>
      <c r="AC327" s="94"/>
    </row>
    <row r="328" spans="1:33" ht="18.75" thickBot="1" x14ac:dyDescent="0.3">
      <c r="A328" s="95">
        <v>49279</v>
      </c>
      <c r="B328" s="9" t="s">
        <v>28</v>
      </c>
      <c r="C328" s="9">
        <v>5</v>
      </c>
      <c r="D328" s="16">
        <v>16221.038324366142</v>
      </c>
      <c r="E328" s="16">
        <v>14699.876393759852</v>
      </c>
      <c r="F328" s="16">
        <v>13904.839226562057</v>
      </c>
      <c r="G328" s="16">
        <v>13379.990852570838</v>
      </c>
      <c r="H328" s="16">
        <v>13234.434959451744</v>
      </c>
      <c r="I328" s="16">
        <v>13801.61689289465</v>
      </c>
      <c r="J328" s="16">
        <v>14535.600729858146</v>
      </c>
      <c r="K328" s="16">
        <v>17335.26845764288</v>
      </c>
      <c r="L328" s="16">
        <v>21105.298648442746</v>
      </c>
      <c r="M328" s="16">
        <v>23194.392156576672</v>
      </c>
      <c r="N328" s="16">
        <v>24605.429542735379</v>
      </c>
      <c r="O328" s="16">
        <v>26017.332371658609</v>
      </c>
      <c r="P328" s="16">
        <v>26492.05210665035</v>
      </c>
      <c r="Q328" s="16">
        <v>26397.572573304504</v>
      </c>
      <c r="R328" s="16">
        <v>25615.166604201084</v>
      </c>
      <c r="S328" s="16">
        <v>24970.247188638059</v>
      </c>
      <c r="T328" s="16">
        <v>24420.020619778305</v>
      </c>
      <c r="U328" s="16">
        <v>24327.902770032735</v>
      </c>
      <c r="V328" s="16">
        <v>27234.224129206043</v>
      </c>
      <c r="W328" s="16">
        <v>27644.355626897253</v>
      </c>
      <c r="X328" s="16">
        <v>26539.587464690027</v>
      </c>
      <c r="Y328" s="16">
        <v>24660.909299673047</v>
      </c>
      <c r="Z328" s="16">
        <v>22013.788048464237</v>
      </c>
      <c r="AA328" s="16">
        <v>19623.776434316984</v>
      </c>
      <c r="AB328" s="6">
        <f t="shared" si="8"/>
        <v>2559873.6071118624</v>
      </c>
      <c r="AC328" s="92">
        <f>+AB328+AB329+AB330</f>
        <v>15998531.969292697</v>
      </c>
    </row>
    <row r="329" spans="1:33" ht="18.75" thickBot="1" x14ac:dyDescent="0.3">
      <c r="A329" s="96"/>
      <c r="B329" s="11" t="s">
        <v>29</v>
      </c>
      <c r="C329" s="11">
        <v>7</v>
      </c>
      <c r="D329" s="16">
        <v>17717.642808641111</v>
      </c>
      <c r="E329" s="16">
        <v>16348.703321462999</v>
      </c>
      <c r="F329" s="16">
        <v>15392.732399630142</v>
      </c>
      <c r="G329" s="16">
        <v>14634.890987303315</v>
      </c>
      <c r="H329" s="16">
        <v>14300.966194448094</v>
      </c>
      <c r="I329" s="16">
        <v>14473.896285994699</v>
      </c>
      <c r="J329" s="16">
        <v>14518.352821241908</v>
      </c>
      <c r="K329" s="16">
        <v>16625.429661186325</v>
      </c>
      <c r="L329" s="16">
        <v>19281.103762250765</v>
      </c>
      <c r="M329" s="16">
        <v>21511.022685857999</v>
      </c>
      <c r="N329" s="16">
        <v>22621.225259790612</v>
      </c>
      <c r="O329" s="16">
        <v>24258.819715557474</v>
      </c>
      <c r="P329" s="16">
        <v>25076.218217282803</v>
      </c>
      <c r="Q329" s="16">
        <v>25100.257616888921</v>
      </c>
      <c r="R329" s="16">
        <v>24154.361180194785</v>
      </c>
      <c r="S329" s="16">
        <v>23169.708753786668</v>
      </c>
      <c r="T329" s="16">
        <v>22710.587304113586</v>
      </c>
      <c r="U329" s="16">
        <v>22537.029461829363</v>
      </c>
      <c r="V329" s="16">
        <v>25801.556768602444</v>
      </c>
      <c r="W329" s="16">
        <v>26821.816273257515</v>
      </c>
      <c r="X329" s="16">
        <v>25249.696828891414</v>
      </c>
      <c r="Y329" s="16">
        <v>23152.564454515486</v>
      </c>
      <c r="Z329" s="16">
        <v>21572.318787008626</v>
      </c>
      <c r="AA329" s="16">
        <v>19264.174807892807</v>
      </c>
      <c r="AB329" s="6">
        <f t="shared" si="8"/>
        <v>3474065.5345034092</v>
      </c>
      <c r="AC329" s="93"/>
    </row>
    <row r="330" spans="1:33" ht="18.75" thickBot="1" x14ac:dyDescent="0.3">
      <c r="A330" s="97"/>
      <c r="B330" s="12" t="s">
        <v>30</v>
      </c>
      <c r="C330" s="12">
        <v>19</v>
      </c>
      <c r="D330" s="16">
        <v>16755.074264284711</v>
      </c>
      <c r="E330" s="16">
        <v>15328.643489719394</v>
      </c>
      <c r="F330" s="16">
        <v>14423.350887837008</v>
      </c>
      <c r="G330" s="16">
        <v>13778.035318895847</v>
      </c>
      <c r="H330" s="16">
        <v>13622.838387575888</v>
      </c>
      <c r="I330" s="16">
        <v>14254.154215379076</v>
      </c>
      <c r="J330" s="16">
        <v>15516.121842465956</v>
      </c>
      <c r="K330" s="16">
        <v>18547.661625126268</v>
      </c>
      <c r="L330" s="16">
        <v>22157.16509800373</v>
      </c>
      <c r="M330" s="16">
        <v>23444.239852372964</v>
      </c>
      <c r="N330" s="16">
        <v>24228.177759649509</v>
      </c>
      <c r="O330" s="16">
        <v>25740.492264811328</v>
      </c>
      <c r="P330" s="16">
        <v>25872.634520636479</v>
      </c>
      <c r="Q330" s="16">
        <v>26028.819948957062</v>
      </c>
      <c r="R330" s="16">
        <v>26044.949341002422</v>
      </c>
      <c r="S330" s="16">
        <v>26097.808681199451</v>
      </c>
      <c r="T330" s="16">
        <v>25638.425160830062</v>
      </c>
      <c r="U330" s="16">
        <v>25346.337937592703</v>
      </c>
      <c r="V330" s="16">
        <v>28506.05089651842</v>
      </c>
      <c r="W330" s="16">
        <v>28813.123455671826</v>
      </c>
      <c r="X330" s="16">
        <v>27581.265226654927</v>
      </c>
      <c r="Y330" s="16">
        <v>25151.36372444329</v>
      </c>
      <c r="Z330" s="16">
        <v>22199.079576519194</v>
      </c>
      <c r="AA330" s="16">
        <v>19376.440612137951</v>
      </c>
      <c r="AB330" s="6">
        <f t="shared" si="8"/>
        <v>9964592.827677425</v>
      </c>
      <c r="AC330" s="94"/>
    </row>
    <row r="332" spans="1:33" ht="15.75" thickBot="1" x14ac:dyDescent="0.3"/>
    <row r="333" spans="1:33" ht="18.75" thickBot="1" x14ac:dyDescent="0.3">
      <c r="A333" s="1" t="s">
        <v>0</v>
      </c>
      <c r="B333" s="2" t="s">
        <v>1</v>
      </c>
      <c r="C333" s="2" t="s">
        <v>2</v>
      </c>
      <c r="D333" s="27" t="s">
        <v>3</v>
      </c>
      <c r="E333" s="5" t="s">
        <v>4</v>
      </c>
      <c r="F333" s="5" t="s">
        <v>5</v>
      </c>
      <c r="G333" s="5" t="s">
        <v>6</v>
      </c>
      <c r="H333" s="5" t="s">
        <v>7</v>
      </c>
      <c r="I333" s="5" t="s">
        <v>8</v>
      </c>
      <c r="J333" s="5" t="s">
        <v>9</v>
      </c>
      <c r="K333" s="5" t="s">
        <v>10</v>
      </c>
      <c r="L333" s="5" t="s">
        <v>11</v>
      </c>
      <c r="M333" s="5" t="s">
        <v>12</v>
      </c>
      <c r="N333" s="5" t="s">
        <v>13</v>
      </c>
      <c r="O333" s="5" t="s">
        <v>14</v>
      </c>
      <c r="P333" s="5" t="s">
        <v>15</v>
      </c>
      <c r="Q333" s="5" t="s">
        <v>16</v>
      </c>
      <c r="R333" s="5" t="s">
        <v>17</v>
      </c>
      <c r="S333" s="5" t="s">
        <v>18</v>
      </c>
      <c r="T333" s="5" t="s">
        <v>19</v>
      </c>
      <c r="U333" s="5" t="s">
        <v>20</v>
      </c>
      <c r="V333" s="5" t="s">
        <v>21</v>
      </c>
      <c r="W333" s="5" t="s">
        <v>22</v>
      </c>
      <c r="X333" s="5" t="s">
        <v>23</v>
      </c>
      <c r="Y333" s="5" t="s">
        <v>24</v>
      </c>
      <c r="Z333" s="5" t="s">
        <v>25</v>
      </c>
      <c r="AA333" s="5" t="s">
        <v>26</v>
      </c>
      <c r="AB333" s="109" t="s">
        <v>27</v>
      </c>
      <c r="AC333" s="110"/>
    </row>
    <row r="334" spans="1:33" ht="18.75" thickBot="1" x14ac:dyDescent="0.3">
      <c r="A334" s="95">
        <v>49310</v>
      </c>
      <c r="B334" s="9" t="s">
        <v>28</v>
      </c>
      <c r="C334" s="9">
        <v>3</v>
      </c>
      <c r="D334" s="16">
        <v>15051.134527738843</v>
      </c>
      <c r="E334" s="16">
        <v>13744.817009676466</v>
      </c>
      <c r="F334" s="16">
        <v>12935.565918695043</v>
      </c>
      <c r="G334" s="16">
        <v>12184.689021409104</v>
      </c>
      <c r="H334" s="16">
        <v>12088.609889287432</v>
      </c>
      <c r="I334" s="16">
        <v>12363.151993682084</v>
      </c>
      <c r="J334" s="16">
        <v>12915.127465431178</v>
      </c>
      <c r="K334" s="16">
        <v>15533.510719069349</v>
      </c>
      <c r="L334" s="16">
        <v>19475.04444243553</v>
      </c>
      <c r="M334" s="16">
        <v>21878.788068923946</v>
      </c>
      <c r="N334" s="16">
        <v>23290.270208861955</v>
      </c>
      <c r="O334" s="16">
        <v>25326.876461537482</v>
      </c>
      <c r="P334" s="16">
        <v>25933.7578590087</v>
      </c>
      <c r="Q334" s="16">
        <v>25298.437911734378</v>
      </c>
      <c r="R334" s="16">
        <v>24453.758712920768</v>
      </c>
      <c r="S334" s="16">
        <v>24632.505509281516</v>
      </c>
      <c r="T334" s="16">
        <v>24006.944744101274</v>
      </c>
      <c r="U334" s="16">
        <v>23560.442669883683</v>
      </c>
      <c r="V334" s="16">
        <v>25691.072669254208</v>
      </c>
      <c r="W334" s="16">
        <v>27187.050175798562</v>
      </c>
      <c r="X334" s="16">
        <v>26246.890682498997</v>
      </c>
      <c r="Y334" s="16">
        <v>24075.00326518638</v>
      </c>
      <c r="Z334" s="16">
        <v>21071.64538545152</v>
      </c>
      <c r="AA334" s="16">
        <v>18239.358575924132</v>
      </c>
      <c r="AB334" s="6">
        <f t="shared" ref="AB334:AB369" si="9">SUM(D334:AA334)*C334</f>
        <v>1461553.3616633774</v>
      </c>
      <c r="AC334" s="92">
        <f>+AB334+AB335+AB336</f>
        <v>15309615.384693936</v>
      </c>
      <c r="AF334" s="67">
        <v>49310</v>
      </c>
      <c r="AG334" s="68">
        <f>AB334+AB335+AB336</f>
        <v>15309615.384693936</v>
      </c>
    </row>
    <row r="335" spans="1:33" ht="18.75" thickBot="1" x14ac:dyDescent="0.3">
      <c r="A335" s="96"/>
      <c r="B335" s="11" t="s">
        <v>29</v>
      </c>
      <c r="C335" s="11">
        <v>6</v>
      </c>
      <c r="D335" s="16">
        <v>15586.022333897381</v>
      </c>
      <c r="E335" s="16">
        <v>14323.017619203729</v>
      </c>
      <c r="F335" s="16">
        <v>13167.84734417811</v>
      </c>
      <c r="G335" s="16">
        <v>12548.403871790215</v>
      </c>
      <c r="H335" s="16">
        <v>11993.085929557194</v>
      </c>
      <c r="I335" s="16">
        <v>11938.248620647497</v>
      </c>
      <c r="J335" s="16">
        <v>12050.397602308789</v>
      </c>
      <c r="K335" s="16">
        <v>13718.890251067467</v>
      </c>
      <c r="L335" s="16">
        <v>16547.703594378137</v>
      </c>
      <c r="M335" s="16">
        <v>18471.721094003697</v>
      </c>
      <c r="N335" s="16">
        <v>19449.439974915222</v>
      </c>
      <c r="O335" s="16">
        <v>21064.11832905851</v>
      </c>
      <c r="P335" s="16">
        <v>22080.61402617814</v>
      </c>
      <c r="Q335" s="16">
        <v>21995.828597592015</v>
      </c>
      <c r="R335" s="16">
        <v>20657.056366902456</v>
      </c>
      <c r="S335" s="16">
        <v>20070.31192457991</v>
      </c>
      <c r="T335" s="16">
        <v>19627.989238028073</v>
      </c>
      <c r="U335" s="16">
        <v>19396.309769126688</v>
      </c>
      <c r="V335" s="16">
        <v>22673.912413735699</v>
      </c>
      <c r="W335" s="16">
        <v>24814.584379639433</v>
      </c>
      <c r="X335" s="16">
        <v>23900.776861256163</v>
      </c>
      <c r="Y335" s="16">
        <v>21424.109157892664</v>
      </c>
      <c r="Z335" s="16">
        <v>18732.227941311925</v>
      </c>
      <c r="AA335" s="16">
        <v>16165.543297239441</v>
      </c>
      <c r="AB335" s="6">
        <f t="shared" si="9"/>
        <v>2594388.9632309312</v>
      </c>
      <c r="AC335" s="93"/>
      <c r="AF335" s="67">
        <v>49341</v>
      </c>
      <c r="AG335" s="68">
        <f>AC337</f>
        <v>13320655.790120807</v>
      </c>
    </row>
    <row r="336" spans="1:33" ht="18.75" thickBot="1" x14ac:dyDescent="0.3">
      <c r="A336" s="97"/>
      <c r="B336" s="12" t="s">
        <v>30</v>
      </c>
      <c r="C336" s="12">
        <v>22</v>
      </c>
      <c r="D336" s="16">
        <v>15720.844864948394</v>
      </c>
      <c r="E336" s="16">
        <v>14236.189726538738</v>
      </c>
      <c r="F336" s="16">
        <v>13378.953056966882</v>
      </c>
      <c r="G336" s="16">
        <v>12870.181076954588</v>
      </c>
      <c r="H336" s="16">
        <v>12797.572607712416</v>
      </c>
      <c r="I336" s="16">
        <v>13639.314947545819</v>
      </c>
      <c r="J336" s="16">
        <v>14849.284807086402</v>
      </c>
      <c r="K336" s="16">
        <v>17315.430077708515</v>
      </c>
      <c r="L336" s="16">
        <v>21063.090859127034</v>
      </c>
      <c r="M336" s="16">
        <v>22582.456005178239</v>
      </c>
      <c r="N336" s="16">
        <v>23951.229526147807</v>
      </c>
      <c r="O336" s="16">
        <v>26032.64478515384</v>
      </c>
      <c r="P336" s="16">
        <v>26697.102074660848</v>
      </c>
      <c r="Q336" s="16">
        <v>26621.388323353451</v>
      </c>
      <c r="R336" s="16">
        <v>26648.843959596823</v>
      </c>
      <c r="S336" s="16">
        <v>26490.416948029961</v>
      </c>
      <c r="T336" s="16">
        <v>25882.771408784065</v>
      </c>
      <c r="U336" s="16">
        <v>25159.036322363441</v>
      </c>
      <c r="V336" s="16">
        <v>26516.780656124138</v>
      </c>
      <c r="W336" s="16">
        <v>27958.676529822835</v>
      </c>
      <c r="X336" s="16">
        <v>26917.356101687677</v>
      </c>
      <c r="Y336" s="16">
        <v>24679.331136995286</v>
      </c>
      <c r="Z336" s="16">
        <v>21348.949687849257</v>
      </c>
      <c r="AA336" s="16">
        <v>18172.748136919377</v>
      </c>
      <c r="AB336" s="6">
        <f t="shared" si="9"/>
        <v>11253673.059799626</v>
      </c>
      <c r="AC336" s="94"/>
      <c r="AF336" s="67">
        <v>49369</v>
      </c>
      <c r="AG336" s="68">
        <f>AC340</f>
        <v>15606345.779846175</v>
      </c>
    </row>
    <row r="337" spans="1:33" ht="18.75" thickBot="1" x14ac:dyDescent="0.3">
      <c r="A337" s="95">
        <v>49341</v>
      </c>
      <c r="B337" s="9" t="s">
        <v>28</v>
      </c>
      <c r="C337" s="9">
        <v>4</v>
      </c>
      <c r="D337" s="16">
        <v>14318.26330582178</v>
      </c>
      <c r="E337" s="16">
        <v>12832.073051885727</v>
      </c>
      <c r="F337" s="16">
        <v>12123.139740666073</v>
      </c>
      <c r="G337" s="16">
        <v>11352.635316081254</v>
      </c>
      <c r="H337" s="16">
        <v>11184.330750992827</v>
      </c>
      <c r="I337" s="16">
        <v>11453.411580907847</v>
      </c>
      <c r="J337" s="16">
        <v>12424.994455350912</v>
      </c>
      <c r="K337" s="16">
        <v>15235.539092178416</v>
      </c>
      <c r="L337" s="16">
        <v>19241.229535159706</v>
      </c>
      <c r="M337" s="16">
        <v>20943.450466170085</v>
      </c>
      <c r="N337" s="16">
        <v>22171.563531746884</v>
      </c>
      <c r="O337" s="16">
        <v>23812.955658544677</v>
      </c>
      <c r="P337" s="16">
        <v>24227.560271823844</v>
      </c>
      <c r="Q337" s="16">
        <v>24578.198421195069</v>
      </c>
      <c r="R337" s="16">
        <v>24099.617987169971</v>
      </c>
      <c r="S337" s="16">
        <v>22039.179867961655</v>
      </c>
      <c r="T337" s="16">
        <v>22476.948893325454</v>
      </c>
      <c r="U337" s="16">
        <v>22344.225264424145</v>
      </c>
      <c r="V337" s="16">
        <v>24389.658134334044</v>
      </c>
      <c r="W337" s="16">
        <v>25766.978458523663</v>
      </c>
      <c r="X337" s="16">
        <v>25078.648904706897</v>
      </c>
      <c r="Y337" s="16">
        <v>22723.710545527036</v>
      </c>
      <c r="Z337" s="16">
        <v>19553.981847235649</v>
      </c>
      <c r="AA337" s="16">
        <v>16906.486351454216</v>
      </c>
      <c r="AB337" s="6">
        <f t="shared" si="9"/>
        <v>1845115.1257327513</v>
      </c>
      <c r="AC337" s="92">
        <f>+AB337+AB338+AB339</f>
        <v>13320655.790120807</v>
      </c>
      <c r="AF337" s="67">
        <v>49400</v>
      </c>
      <c r="AG337" s="68">
        <f>AC343</f>
        <v>15006316.010072287</v>
      </c>
    </row>
    <row r="338" spans="1:33" ht="18.75" thickBot="1" x14ac:dyDescent="0.3">
      <c r="A338" s="96"/>
      <c r="B338" s="11" t="s">
        <v>29</v>
      </c>
      <c r="C338" s="11">
        <v>4</v>
      </c>
      <c r="D338" s="16">
        <v>14931.326454303056</v>
      </c>
      <c r="E338" s="16">
        <v>13769.216524384701</v>
      </c>
      <c r="F338" s="16">
        <v>12639.409518387296</v>
      </c>
      <c r="G338" s="16">
        <v>12031.608031840406</v>
      </c>
      <c r="H338" s="16">
        <v>11737.88440942765</v>
      </c>
      <c r="I338" s="16">
        <v>11954.585659896104</v>
      </c>
      <c r="J338" s="16">
        <v>12341.634385095582</v>
      </c>
      <c r="K338" s="16">
        <v>14465.920448263059</v>
      </c>
      <c r="L338" s="16">
        <v>17495.873580703701</v>
      </c>
      <c r="M338" s="16">
        <v>19292.367774090613</v>
      </c>
      <c r="N338" s="16">
        <v>20409.695877065198</v>
      </c>
      <c r="O338" s="16">
        <v>22074.604856847807</v>
      </c>
      <c r="P338" s="16">
        <v>23572.924691852546</v>
      </c>
      <c r="Q338" s="16">
        <v>23392.992696004512</v>
      </c>
      <c r="R338" s="16">
        <v>21962.453795889174</v>
      </c>
      <c r="S338" s="16">
        <v>21153.324343802502</v>
      </c>
      <c r="T338" s="16">
        <v>20172.893019502953</v>
      </c>
      <c r="U338" s="16">
        <v>20359.221973636377</v>
      </c>
      <c r="V338" s="16">
        <v>23175.967075150067</v>
      </c>
      <c r="W338" s="16">
        <v>23542.742651224689</v>
      </c>
      <c r="X338" s="16">
        <v>23544.314600018362</v>
      </c>
      <c r="Y338" s="16">
        <v>21576.621459637194</v>
      </c>
      <c r="Z338" s="16">
        <v>18854.11843103986</v>
      </c>
      <c r="AA338" s="16">
        <v>15818.875566150644</v>
      </c>
      <c r="AB338" s="6">
        <f t="shared" si="9"/>
        <v>1761082.3112968563</v>
      </c>
      <c r="AC338" s="93"/>
      <c r="AF338" s="67">
        <v>49430</v>
      </c>
      <c r="AG338" s="68">
        <f>AC346</f>
        <v>15986922.192252116</v>
      </c>
    </row>
    <row r="339" spans="1:33" ht="18.75" thickBot="1" x14ac:dyDescent="0.3">
      <c r="A339" s="97"/>
      <c r="B339" s="12" t="s">
        <v>30</v>
      </c>
      <c r="C339" s="12">
        <v>20</v>
      </c>
      <c r="D339" s="16">
        <v>14064.223904978982</v>
      </c>
      <c r="E339" s="16">
        <v>12898.184726865653</v>
      </c>
      <c r="F339" s="16">
        <v>12139.139309955386</v>
      </c>
      <c r="G339" s="16">
        <v>11423.259482161764</v>
      </c>
      <c r="H339" s="16">
        <v>11518.13782006604</v>
      </c>
      <c r="I339" s="16">
        <v>13365.253754923087</v>
      </c>
      <c r="J339" s="16">
        <v>15377.964514567098</v>
      </c>
      <c r="K339" s="16">
        <v>17194.911508369558</v>
      </c>
      <c r="L339" s="16">
        <v>19964.439509887678</v>
      </c>
      <c r="M339" s="16">
        <v>21148.710175061686</v>
      </c>
      <c r="N339" s="16">
        <v>23009.556334084496</v>
      </c>
      <c r="O339" s="16">
        <v>24848.279185203857</v>
      </c>
      <c r="P339" s="16">
        <v>25283.331608584936</v>
      </c>
      <c r="Q339" s="16">
        <v>25019.774432069942</v>
      </c>
      <c r="R339" s="16">
        <v>25476.128009183769</v>
      </c>
      <c r="S339" s="16">
        <v>25511.707074003287</v>
      </c>
      <c r="T339" s="16">
        <v>25200.075087337456</v>
      </c>
      <c r="U339" s="16">
        <v>24218.152906840696</v>
      </c>
      <c r="V339" s="16">
        <v>25748.929117910506</v>
      </c>
      <c r="W339" s="16">
        <v>27150.284040124141</v>
      </c>
      <c r="X339" s="16">
        <v>26112.342470176431</v>
      </c>
      <c r="Y339" s="16">
        <v>23364.320849039148</v>
      </c>
      <c r="Z339" s="16">
        <v>19679.51006767065</v>
      </c>
      <c r="AA339" s="16">
        <v>16006.301765493619</v>
      </c>
      <c r="AB339" s="6">
        <f t="shared" si="9"/>
        <v>9714458.353091199</v>
      </c>
      <c r="AC339" s="94"/>
      <c r="AF339" s="67">
        <v>49461</v>
      </c>
      <c r="AG339" s="68">
        <f>AC349</f>
        <v>15541986.380094847</v>
      </c>
    </row>
    <row r="340" spans="1:33" ht="18.75" thickBot="1" x14ac:dyDescent="0.3">
      <c r="A340" s="95">
        <v>49369</v>
      </c>
      <c r="B340" s="9" t="s">
        <v>28</v>
      </c>
      <c r="C340" s="9">
        <v>5</v>
      </c>
      <c r="D340" s="16">
        <v>15628.472020937723</v>
      </c>
      <c r="E340" s="16">
        <v>14128.29641305155</v>
      </c>
      <c r="F340" s="16">
        <v>13216.097023235772</v>
      </c>
      <c r="G340" s="16">
        <v>12516.257934818917</v>
      </c>
      <c r="H340" s="16">
        <v>12419.089042958156</v>
      </c>
      <c r="I340" s="16">
        <v>12856.509993946202</v>
      </c>
      <c r="J340" s="16">
        <v>13856.007435261174</v>
      </c>
      <c r="K340" s="16">
        <v>16633.655924634899</v>
      </c>
      <c r="L340" s="16">
        <v>20659.262085527233</v>
      </c>
      <c r="M340" s="16">
        <v>22813.443246288822</v>
      </c>
      <c r="N340" s="16">
        <v>24477.086557776835</v>
      </c>
      <c r="O340" s="16">
        <v>26683.760827620077</v>
      </c>
      <c r="P340" s="16">
        <v>27397.263394757851</v>
      </c>
      <c r="Q340" s="16">
        <v>27345.606163209348</v>
      </c>
      <c r="R340" s="16">
        <v>27205.133824817916</v>
      </c>
      <c r="S340" s="16">
        <v>26756.826504644407</v>
      </c>
      <c r="T340" s="16">
        <v>25448.376251294081</v>
      </c>
      <c r="U340" s="16">
        <v>24828.057810582941</v>
      </c>
      <c r="V340" s="16">
        <v>26754.538445844722</v>
      </c>
      <c r="W340" s="16">
        <v>28456.115626396742</v>
      </c>
      <c r="X340" s="16">
        <v>27454.574651649978</v>
      </c>
      <c r="Y340" s="16">
        <v>25475.074429218497</v>
      </c>
      <c r="Z340" s="16">
        <v>22460.094109037673</v>
      </c>
      <c r="AA340" s="16">
        <v>19717.672243583263</v>
      </c>
      <c r="AB340" s="6">
        <f t="shared" si="9"/>
        <v>2575936.3598054736</v>
      </c>
      <c r="AC340" s="92">
        <f>+AB340+AB341+AB342</f>
        <v>15606345.779846175</v>
      </c>
      <c r="AF340" s="67">
        <v>49491</v>
      </c>
      <c r="AG340" s="68">
        <f>AC352</f>
        <v>15838420.376555454</v>
      </c>
    </row>
    <row r="341" spans="1:33" ht="18.75" thickBot="1" x14ac:dyDescent="0.3">
      <c r="A341" s="96"/>
      <c r="B341" s="11" t="s">
        <v>29</v>
      </c>
      <c r="C341" s="11">
        <v>7</v>
      </c>
      <c r="D341" s="16">
        <v>17407.353734083925</v>
      </c>
      <c r="E341" s="16">
        <v>15867.390771479397</v>
      </c>
      <c r="F341" s="16">
        <v>14703.05495375202</v>
      </c>
      <c r="G341" s="16">
        <v>13731.927445427758</v>
      </c>
      <c r="H341" s="16">
        <v>13109.182048854174</v>
      </c>
      <c r="I341" s="16">
        <v>13348.313719444108</v>
      </c>
      <c r="J341" s="16">
        <v>13390.313446538737</v>
      </c>
      <c r="K341" s="16">
        <v>15625.718199532505</v>
      </c>
      <c r="L341" s="16">
        <v>17980.372734624616</v>
      </c>
      <c r="M341" s="16">
        <v>19744.571281631317</v>
      </c>
      <c r="N341" s="16">
        <v>21375.809159839235</v>
      </c>
      <c r="O341" s="16">
        <v>23053.743897846733</v>
      </c>
      <c r="P341" s="16">
        <v>24474.494505705137</v>
      </c>
      <c r="Q341" s="16">
        <v>24206.140390212604</v>
      </c>
      <c r="R341" s="16">
        <v>22748.821179927654</v>
      </c>
      <c r="S341" s="16">
        <v>21868.475793735786</v>
      </c>
      <c r="T341" s="16">
        <v>21205.433614594076</v>
      </c>
      <c r="U341" s="16">
        <v>20951.112676890603</v>
      </c>
      <c r="V341" s="16">
        <v>23570.160266030864</v>
      </c>
      <c r="W341" s="16">
        <v>26186.251094344916</v>
      </c>
      <c r="X341" s="16">
        <v>25538.308772530829</v>
      </c>
      <c r="Y341" s="16">
        <v>23296.271061002895</v>
      </c>
      <c r="Z341" s="16">
        <v>19925.81115551007</v>
      </c>
      <c r="AA341" s="16">
        <v>17009.594548254492</v>
      </c>
      <c r="AB341" s="6">
        <f t="shared" si="9"/>
        <v>3292230.3851625612</v>
      </c>
      <c r="AC341" s="93"/>
      <c r="AF341" s="67">
        <v>49522</v>
      </c>
      <c r="AG341" s="68">
        <f>AC355</f>
        <v>15668100.56513457</v>
      </c>
    </row>
    <row r="342" spans="1:33" ht="18.75" thickBot="1" x14ac:dyDescent="0.3">
      <c r="A342" s="97"/>
      <c r="B342" s="12" t="s">
        <v>30</v>
      </c>
      <c r="C342" s="12">
        <v>19</v>
      </c>
      <c r="D342" s="16">
        <v>15017.822312886103</v>
      </c>
      <c r="E342" s="16">
        <v>13783.156965512153</v>
      </c>
      <c r="F342" s="16">
        <v>12955.356878765313</v>
      </c>
      <c r="G342" s="16">
        <v>12424.929581273718</v>
      </c>
      <c r="H342" s="16">
        <v>12406.943243370151</v>
      </c>
      <c r="I342" s="16">
        <v>14048.259891674275</v>
      </c>
      <c r="J342" s="16">
        <v>15835.270617795199</v>
      </c>
      <c r="K342" s="16">
        <v>18017.049460513132</v>
      </c>
      <c r="L342" s="16">
        <v>20897.929449019772</v>
      </c>
      <c r="M342" s="16">
        <v>22486.562108745842</v>
      </c>
      <c r="N342" s="16">
        <v>24092.153101767581</v>
      </c>
      <c r="O342" s="16">
        <v>25821.241257576621</v>
      </c>
      <c r="P342" s="16">
        <v>25988.205299666006</v>
      </c>
      <c r="Q342" s="16">
        <v>26019.498308865892</v>
      </c>
      <c r="R342" s="16">
        <v>27087.15532511699</v>
      </c>
      <c r="S342" s="16">
        <v>27122.625226825818</v>
      </c>
      <c r="T342" s="16">
        <v>26868.683137098815</v>
      </c>
      <c r="U342" s="16">
        <v>25871.378314835354</v>
      </c>
      <c r="V342" s="16">
        <v>27230.532649830711</v>
      </c>
      <c r="W342" s="16">
        <v>28617.245991851778</v>
      </c>
      <c r="X342" s="16">
        <v>27165.445236723514</v>
      </c>
      <c r="Y342" s="16">
        <v>24462.630866767009</v>
      </c>
      <c r="Z342" s="16">
        <v>20841.610640750951</v>
      </c>
      <c r="AA342" s="16">
        <v>17474.052810564121</v>
      </c>
      <c r="AB342" s="6">
        <f t="shared" si="9"/>
        <v>9738179.0348781403</v>
      </c>
      <c r="AC342" s="94"/>
      <c r="AF342" s="67">
        <v>49553</v>
      </c>
      <c r="AG342" s="68">
        <f>AC358</f>
        <v>15753042.064494396</v>
      </c>
    </row>
    <row r="343" spans="1:33" ht="18.75" thickBot="1" x14ac:dyDescent="0.3">
      <c r="A343" s="95">
        <v>49400</v>
      </c>
      <c r="B343" s="9" t="s">
        <v>28</v>
      </c>
      <c r="C343" s="9">
        <v>4</v>
      </c>
      <c r="D343" s="16">
        <v>15524.877476488189</v>
      </c>
      <c r="E343" s="16">
        <v>14206.851435069693</v>
      </c>
      <c r="F343" s="16">
        <v>13187.701514887707</v>
      </c>
      <c r="G343" s="16">
        <v>12605.996249683532</v>
      </c>
      <c r="H343" s="16">
        <v>12331.160964363087</v>
      </c>
      <c r="I343" s="16">
        <v>12528.995710361356</v>
      </c>
      <c r="J343" s="16">
        <v>10884.238240808842</v>
      </c>
      <c r="K343" s="16">
        <v>16365.274362417396</v>
      </c>
      <c r="L343" s="16">
        <v>20129.152920529588</v>
      </c>
      <c r="M343" s="16">
        <v>22419.931441148343</v>
      </c>
      <c r="N343" s="16">
        <v>23485.616035936888</v>
      </c>
      <c r="O343" s="16">
        <v>25184.165967482651</v>
      </c>
      <c r="P343" s="16">
        <v>25719.165016049228</v>
      </c>
      <c r="Q343" s="16">
        <v>26638.327764747482</v>
      </c>
      <c r="R343" s="16">
        <v>26269.175551806227</v>
      </c>
      <c r="S343" s="16">
        <v>25255.246747260389</v>
      </c>
      <c r="T343" s="16">
        <v>23512.685368437589</v>
      </c>
      <c r="U343" s="16">
        <v>22699.735207477388</v>
      </c>
      <c r="V343" s="16">
        <v>23096.855009372892</v>
      </c>
      <c r="W343" s="16">
        <v>23856.206082993012</v>
      </c>
      <c r="X343" s="16">
        <v>23667.768721350607</v>
      </c>
      <c r="Y343" s="16">
        <v>23463.256311925194</v>
      </c>
      <c r="Z343" s="16">
        <v>20852.982317936978</v>
      </c>
      <c r="AA343" s="16">
        <v>18282.827326593804</v>
      </c>
      <c r="AB343" s="6">
        <f t="shared" si="9"/>
        <v>1928672.7749805122</v>
      </c>
      <c r="AC343" s="92">
        <f>+AB343+AB344+AB345</f>
        <v>15006316.010072287</v>
      </c>
      <c r="AF343" s="67">
        <v>49583</v>
      </c>
      <c r="AG343" s="68">
        <f>AC361</f>
        <v>16050113.93028656</v>
      </c>
    </row>
    <row r="344" spans="1:33" ht="18.75" thickBot="1" x14ac:dyDescent="0.3">
      <c r="A344" s="96"/>
      <c r="B344" s="11" t="s">
        <v>29</v>
      </c>
      <c r="C344" s="11">
        <v>5</v>
      </c>
      <c r="D344" s="16">
        <v>14652.675658352437</v>
      </c>
      <c r="E344" s="16">
        <v>13216.496664185699</v>
      </c>
      <c r="F344" s="16">
        <v>12425.51324003877</v>
      </c>
      <c r="G344" s="16">
        <v>11617.427595219866</v>
      </c>
      <c r="H344" s="16">
        <v>11339.833082321089</v>
      </c>
      <c r="I344" s="16">
        <v>9844.1196465397225</v>
      </c>
      <c r="J344" s="16">
        <v>11865.911945272721</v>
      </c>
      <c r="K344" s="16">
        <v>14067.345138225279</v>
      </c>
      <c r="L344" s="16">
        <v>16489.354352250819</v>
      </c>
      <c r="M344" s="16">
        <v>18036.910908763428</v>
      </c>
      <c r="N344" s="16">
        <v>19235.733952273862</v>
      </c>
      <c r="O344" s="16">
        <v>20373.350799103377</v>
      </c>
      <c r="P344" s="16">
        <v>21369.766721751381</v>
      </c>
      <c r="Q344" s="16">
        <v>21237.843622328306</v>
      </c>
      <c r="R344" s="16">
        <v>20925.443751152547</v>
      </c>
      <c r="S344" s="16">
        <v>20606.290322196495</v>
      </c>
      <c r="T344" s="16">
        <v>20135.021737289062</v>
      </c>
      <c r="U344" s="16">
        <v>19765.484854338771</v>
      </c>
      <c r="V344" s="16">
        <v>20531.570772063023</v>
      </c>
      <c r="W344" s="16">
        <v>23606.886895055686</v>
      </c>
      <c r="X344" s="16">
        <v>23649.090393290229</v>
      </c>
      <c r="Y344" s="16">
        <v>22541.696133386838</v>
      </c>
      <c r="Z344" s="16">
        <v>20608.968457178329</v>
      </c>
      <c r="AA344" s="16">
        <v>17697.733846364099</v>
      </c>
      <c r="AB344" s="6">
        <f t="shared" si="9"/>
        <v>2129202.3524447088</v>
      </c>
      <c r="AC344" s="93"/>
      <c r="AF344" s="67">
        <v>49614</v>
      </c>
      <c r="AG344" s="68">
        <f>AC364</f>
        <v>15546574.573768046</v>
      </c>
    </row>
    <row r="345" spans="1:33" ht="18.75" thickBot="1" x14ac:dyDescent="0.3">
      <c r="A345" s="97"/>
      <c r="B345" s="12" t="s">
        <v>30</v>
      </c>
      <c r="C345" s="12">
        <v>21</v>
      </c>
      <c r="D345" s="16">
        <v>15948.677990210359</v>
      </c>
      <c r="E345" s="16">
        <v>14659.231474955064</v>
      </c>
      <c r="F345" s="16">
        <v>13743.077261586946</v>
      </c>
      <c r="G345" s="16">
        <v>13153.746797155018</v>
      </c>
      <c r="H345" s="16">
        <v>12988.815684080961</v>
      </c>
      <c r="I345" s="16">
        <v>14385.56953712707</v>
      </c>
      <c r="J345" s="16">
        <v>15948.384185495364</v>
      </c>
      <c r="K345" s="16">
        <v>18498.840537570431</v>
      </c>
      <c r="L345" s="16">
        <v>21651.372615090302</v>
      </c>
      <c r="M345" s="16">
        <v>23532.565530364001</v>
      </c>
      <c r="N345" s="16">
        <v>25114.579786637376</v>
      </c>
      <c r="O345" s="16">
        <v>26979.29905282682</v>
      </c>
      <c r="P345" s="16">
        <v>27324.43413384178</v>
      </c>
      <c r="Q345" s="16">
        <v>27643.367573138574</v>
      </c>
      <c r="R345" s="16">
        <v>28210.91095204794</v>
      </c>
      <c r="S345" s="16">
        <v>27725.595465988961</v>
      </c>
      <c r="T345" s="16">
        <v>26472.112893491911</v>
      </c>
      <c r="U345" s="16">
        <v>25837.144139539356</v>
      </c>
      <c r="V345" s="16">
        <v>25510.213722649292</v>
      </c>
      <c r="W345" s="16">
        <v>27038.630139160981</v>
      </c>
      <c r="X345" s="16">
        <v>26421.580353877958</v>
      </c>
      <c r="Y345" s="16">
        <v>23974.80151021653</v>
      </c>
      <c r="Z345" s="16">
        <v>20880.492669404775</v>
      </c>
      <c r="AA345" s="16">
        <v>17710.883738640536</v>
      </c>
      <c r="AB345" s="6">
        <f t="shared" si="9"/>
        <v>10948440.882647065</v>
      </c>
      <c r="AC345" s="94"/>
      <c r="AF345" s="67">
        <v>49644</v>
      </c>
      <c r="AG345" s="68">
        <f>AC367</f>
        <v>16684496.225254634</v>
      </c>
    </row>
    <row r="346" spans="1:33" ht="18.75" thickBot="1" x14ac:dyDescent="0.3">
      <c r="A346" s="95">
        <v>49430</v>
      </c>
      <c r="B346" s="9" t="s">
        <v>28</v>
      </c>
      <c r="C346" s="9">
        <v>4</v>
      </c>
      <c r="D346" s="16">
        <v>16973.423923340015</v>
      </c>
      <c r="E346" s="16">
        <v>15520.553993516362</v>
      </c>
      <c r="F346" s="16">
        <v>14606.146389918984</v>
      </c>
      <c r="G346" s="16">
        <v>13962.622990824926</v>
      </c>
      <c r="H346" s="16">
        <v>13781.811452199472</v>
      </c>
      <c r="I346" s="16">
        <v>14063.844017353851</v>
      </c>
      <c r="J346" s="16">
        <v>14868.252632745847</v>
      </c>
      <c r="K346" s="16">
        <v>17943.583310819922</v>
      </c>
      <c r="L346" s="16">
        <v>21865.777697499419</v>
      </c>
      <c r="M346" s="16">
        <v>23940.837435645779</v>
      </c>
      <c r="N346" s="16">
        <v>25408.740685282028</v>
      </c>
      <c r="O346" s="16">
        <v>26939.494439940507</v>
      </c>
      <c r="P346" s="16">
        <v>27918.843489971405</v>
      </c>
      <c r="Q346" s="16">
        <v>27622.925377139487</v>
      </c>
      <c r="R346" s="16">
        <v>27183.523271640035</v>
      </c>
      <c r="S346" s="16">
        <v>26463.176489357691</v>
      </c>
      <c r="T346" s="16">
        <v>25069.845991462302</v>
      </c>
      <c r="U346" s="16">
        <v>25073.965495364471</v>
      </c>
      <c r="V346" s="16">
        <v>26693.848746624593</v>
      </c>
      <c r="W346" s="16">
        <v>27845.503345697347</v>
      </c>
      <c r="X346" s="16">
        <v>26720.98357699169</v>
      </c>
      <c r="Y346" s="16">
        <v>24537.686431351613</v>
      </c>
      <c r="Z346" s="16">
        <v>21318.422632383183</v>
      </c>
      <c r="AA346" s="16">
        <v>18594.272800287712</v>
      </c>
      <c r="AB346" s="6">
        <f t="shared" si="9"/>
        <v>2099672.3464694344</v>
      </c>
      <c r="AC346" s="92">
        <f>+AB346+AB347+AB348</f>
        <v>15986922.192252116</v>
      </c>
    </row>
    <row r="347" spans="1:33" ht="18.75" thickBot="1" x14ac:dyDescent="0.3">
      <c r="A347" s="96"/>
      <c r="B347" s="11" t="s">
        <v>29</v>
      </c>
      <c r="C347" s="11">
        <v>7</v>
      </c>
      <c r="D347" s="16">
        <v>16377.777593219202</v>
      </c>
      <c r="E347" s="16">
        <v>14343.56606729719</v>
      </c>
      <c r="F347" s="16">
        <v>13290.627357310736</v>
      </c>
      <c r="G347" s="16">
        <v>12747.304465608107</v>
      </c>
      <c r="H347" s="16">
        <v>12401.647896818737</v>
      </c>
      <c r="I347" s="16">
        <v>12488.716393890922</v>
      </c>
      <c r="J347" s="16">
        <v>12859.486716026939</v>
      </c>
      <c r="K347" s="16">
        <v>15742.443298793161</v>
      </c>
      <c r="L347" s="16">
        <v>18914.940373571197</v>
      </c>
      <c r="M347" s="16">
        <v>20877.897706316799</v>
      </c>
      <c r="N347" s="16">
        <v>22682.387629718571</v>
      </c>
      <c r="O347" s="16">
        <v>23796.836945517411</v>
      </c>
      <c r="P347" s="16">
        <v>25128.921324222851</v>
      </c>
      <c r="Q347" s="16">
        <v>24523.581309874346</v>
      </c>
      <c r="R347" s="16">
        <v>23225.767910027935</v>
      </c>
      <c r="S347" s="16">
        <v>22240.477891619659</v>
      </c>
      <c r="T347" s="16">
        <v>21770.959243358724</v>
      </c>
      <c r="U347" s="16">
        <v>21536.012782467136</v>
      </c>
      <c r="V347" s="16">
        <v>23901.820668523913</v>
      </c>
      <c r="W347" s="16">
        <v>26036.422333755305</v>
      </c>
      <c r="X347" s="16">
        <v>25227.085783652983</v>
      </c>
      <c r="Y347" s="16">
        <v>23298.60153746845</v>
      </c>
      <c r="Z347" s="16">
        <v>20289.345107022054</v>
      </c>
      <c r="AA347" s="16">
        <v>17522.059003902548</v>
      </c>
      <c r="AB347" s="6">
        <f t="shared" si="9"/>
        <v>3298572.8113798937</v>
      </c>
      <c r="AC347" s="93"/>
    </row>
    <row r="348" spans="1:33" ht="18.75" thickBot="1" x14ac:dyDescent="0.3">
      <c r="A348" s="97"/>
      <c r="B348" s="12" t="s">
        <v>30</v>
      </c>
      <c r="C348" s="12">
        <v>20</v>
      </c>
      <c r="D348" s="16">
        <v>15658.672092043995</v>
      </c>
      <c r="E348" s="16">
        <v>14120.518415173108</v>
      </c>
      <c r="F348" s="16">
        <v>13260.047547100548</v>
      </c>
      <c r="G348" s="16">
        <v>12799.294859999965</v>
      </c>
      <c r="H348" s="16">
        <v>12820.124666728621</v>
      </c>
      <c r="I348" s="16">
        <v>14121.313894929226</v>
      </c>
      <c r="J348" s="16">
        <v>15758.589458545401</v>
      </c>
      <c r="K348" s="16">
        <v>18324.052069863283</v>
      </c>
      <c r="L348" s="16">
        <v>21872.323681996044</v>
      </c>
      <c r="M348" s="16">
        <v>23782.385234876805</v>
      </c>
      <c r="N348" s="16">
        <v>25470.378425274983</v>
      </c>
      <c r="O348" s="16">
        <v>27368.796507102335</v>
      </c>
      <c r="P348" s="16">
        <v>27517.801925351348</v>
      </c>
      <c r="Q348" s="16">
        <v>27453.08468658023</v>
      </c>
      <c r="R348" s="16">
        <v>27853.205063067449</v>
      </c>
      <c r="S348" s="16">
        <v>27746.210362484744</v>
      </c>
      <c r="T348" s="16">
        <v>27191.173422435939</v>
      </c>
      <c r="U348" s="16">
        <v>26652.053206529337</v>
      </c>
      <c r="V348" s="16">
        <v>27937.051837423009</v>
      </c>
      <c r="W348" s="16">
        <v>29119.919541269104</v>
      </c>
      <c r="X348" s="16">
        <v>27674.64629459531</v>
      </c>
      <c r="Y348" s="16">
        <v>25004.754241534887</v>
      </c>
      <c r="Z348" s="16">
        <v>21650.091352065618</v>
      </c>
      <c r="AA348" s="16">
        <v>18277.362933168159</v>
      </c>
      <c r="AB348" s="6">
        <f t="shared" si="9"/>
        <v>10588677.034402788</v>
      </c>
      <c r="AC348" s="94"/>
    </row>
    <row r="349" spans="1:33" ht="18.75" thickBot="1" x14ac:dyDescent="0.3">
      <c r="A349" s="95">
        <v>49461</v>
      </c>
      <c r="B349" s="9" t="s">
        <v>28</v>
      </c>
      <c r="C349" s="9">
        <v>5</v>
      </c>
      <c r="D349" s="16">
        <v>14770.890990021086</v>
      </c>
      <c r="E349" s="16">
        <v>13925.718997736469</v>
      </c>
      <c r="F349" s="16">
        <v>13461.997222546848</v>
      </c>
      <c r="G349" s="16">
        <v>12701.81962823162</v>
      </c>
      <c r="H349" s="16">
        <v>12421.632231542208</v>
      </c>
      <c r="I349" s="16">
        <v>13160.688323415361</v>
      </c>
      <c r="J349" s="16">
        <v>13821.125142982371</v>
      </c>
      <c r="K349" s="16">
        <v>17133.860635200384</v>
      </c>
      <c r="L349" s="16">
        <v>21478.312281111801</v>
      </c>
      <c r="M349" s="16">
        <v>23721.308548716297</v>
      </c>
      <c r="N349" s="16">
        <v>24745.305311012133</v>
      </c>
      <c r="O349" s="16">
        <v>26749.412146167546</v>
      </c>
      <c r="P349" s="16">
        <v>27077.204015948118</v>
      </c>
      <c r="Q349" s="16">
        <v>26070.93846177146</v>
      </c>
      <c r="R349" s="16">
        <v>26694.577956203873</v>
      </c>
      <c r="S349" s="16">
        <v>25986.670778224558</v>
      </c>
      <c r="T349" s="16">
        <v>24278.14957625536</v>
      </c>
      <c r="U349" s="16">
        <v>24443.871654039875</v>
      </c>
      <c r="V349" s="16">
        <v>27770.944941108202</v>
      </c>
      <c r="W349" s="16">
        <v>30276.618842450305</v>
      </c>
      <c r="X349" s="16">
        <v>28482.794466855812</v>
      </c>
      <c r="Y349" s="16">
        <v>26322.00425947956</v>
      </c>
      <c r="Z349" s="16">
        <v>23510.576960928593</v>
      </c>
      <c r="AA349" s="16">
        <v>20802.561436590491</v>
      </c>
      <c r="AB349" s="6">
        <f t="shared" si="9"/>
        <v>2599044.9240427022</v>
      </c>
      <c r="AC349" s="92">
        <f>+AB349+AB350+AB351</f>
        <v>15541986.380094847</v>
      </c>
    </row>
    <row r="350" spans="1:33" ht="18.75" thickBot="1" x14ac:dyDescent="0.3">
      <c r="A350" s="96"/>
      <c r="B350" s="11" t="s">
        <v>29</v>
      </c>
      <c r="C350" s="11">
        <v>5</v>
      </c>
      <c r="D350" s="16">
        <v>18200.48247326773</v>
      </c>
      <c r="E350" s="16">
        <v>16335.128189668751</v>
      </c>
      <c r="F350" s="16">
        <v>14949.891980482378</v>
      </c>
      <c r="G350" s="16">
        <v>14181.694016478777</v>
      </c>
      <c r="H350" s="16">
        <v>13871.215416050829</v>
      </c>
      <c r="I350" s="16">
        <v>14155.072252731839</v>
      </c>
      <c r="J350" s="16">
        <v>14255.848517558421</v>
      </c>
      <c r="K350" s="16">
        <v>17342.424555504753</v>
      </c>
      <c r="L350" s="16">
        <v>20504.53054972519</v>
      </c>
      <c r="M350" s="16">
        <v>22049.165173642141</v>
      </c>
      <c r="N350" s="16">
        <v>23116.96597330473</v>
      </c>
      <c r="O350" s="16">
        <v>24856.898080633335</v>
      </c>
      <c r="P350" s="16">
        <v>25665.261831472286</v>
      </c>
      <c r="Q350" s="16">
        <v>24802.513018896425</v>
      </c>
      <c r="R350" s="16">
        <v>23635.875938831196</v>
      </c>
      <c r="S350" s="16">
        <v>22603.651396936693</v>
      </c>
      <c r="T350" s="16">
        <v>21733.155122449134</v>
      </c>
      <c r="U350" s="16">
        <v>21562.90433504471</v>
      </c>
      <c r="V350" s="16">
        <v>24853.967830848283</v>
      </c>
      <c r="W350" s="16">
        <v>27204.416467233495</v>
      </c>
      <c r="X350" s="16">
        <v>25481.680668781795</v>
      </c>
      <c r="Y350" s="16">
        <v>22860.314143276235</v>
      </c>
      <c r="Z350" s="16">
        <v>20113.983926565183</v>
      </c>
      <c r="AA350" s="16">
        <v>17175.177313116837</v>
      </c>
      <c r="AB350" s="6">
        <f t="shared" si="9"/>
        <v>2457561.095862506</v>
      </c>
      <c r="AC350" s="93"/>
    </row>
    <row r="351" spans="1:33" ht="18.75" thickBot="1" x14ac:dyDescent="0.3">
      <c r="A351" s="97"/>
      <c r="B351" s="12" t="s">
        <v>30</v>
      </c>
      <c r="C351" s="12">
        <v>20</v>
      </c>
      <c r="D351" s="16">
        <v>15192.008655687467</v>
      </c>
      <c r="E351" s="16">
        <v>13698.682253259482</v>
      </c>
      <c r="F351" s="16">
        <v>12725.234942196028</v>
      </c>
      <c r="G351" s="16">
        <v>12189.75280354606</v>
      </c>
      <c r="H351" s="16">
        <v>12400.247004886733</v>
      </c>
      <c r="I351" s="16">
        <v>13601.366978865528</v>
      </c>
      <c r="J351" s="16">
        <v>15382.109108657227</v>
      </c>
      <c r="K351" s="16">
        <v>18507.388667580213</v>
      </c>
      <c r="L351" s="16">
        <v>22021.458709779625</v>
      </c>
      <c r="M351" s="16">
        <v>23931.186584943411</v>
      </c>
      <c r="N351" s="16">
        <v>25604.892032148855</v>
      </c>
      <c r="O351" s="16">
        <v>27310.170223357163</v>
      </c>
      <c r="P351" s="16">
        <v>27662.907076849799</v>
      </c>
      <c r="Q351" s="16">
        <v>27928.337007174552</v>
      </c>
      <c r="R351" s="16">
        <v>28037.1986197316</v>
      </c>
      <c r="S351" s="16">
        <v>27709.482644304182</v>
      </c>
      <c r="T351" s="16">
        <v>27050.682231748564</v>
      </c>
      <c r="U351" s="16">
        <v>26536.30010946808</v>
      </c>
      <c r="V351" s="16">
        <v>27523.684257543566</v>
      </c>
      <c r="W351" s="16">
        <v>28385.206457959983</v>
      </c>
      <c r="X351" s="16">
        <v>27113.072934817654</v>
      </c>
      <c r="Y351" s="16">
        <v>24261.555743784505</v>
      </c>
      <c r="Z351" s="16">
        <v>20920.585126353733</v>
      </c>
      <c r="AA351" s="16">
        <v>18575.507834837925</v>
      </c>
      <c r="AB351" s="6">
        <f t="shared" si="9"/>
        <v>10485380.360189639</v>
      </c>
      <c r="AC351" s="94"/>
    </row>
    <row r="352" spans="1:33" ht="18.75" thickBot="1" x14ac:dyDescent="0.3">
      <c r="A352" s="95">
        <v>49491</v>
      </c>
      <c r="B352" s="9" t="s">
        <v>28</v>
      </c>
      <c r="C352" s="9">
        <v>4</v>
      </c>
      <c r="D352" s="16">
        <v>14903.848539873848</v>
      </c>
      <c r="E352" s="16">
        <v>13629.019900821379</v>
      </c>
      <c r="F352" s="16">
        <v>12869.500404116206</v>
      </c>
      <c r="G352" s="16">
        <v>12142.26511765585</v>
      </c>
      <c r="H352" s="16">
        <v>11942.998775434757</v>
      </c>
      <c r="I352" s="16">
        <v>12300.336420855259</v>
      </c>
      <c r="J352" s="16">
        <v>13069.661883844812</v>
      </c>
      <c r="K352" s="16">
        <v>16440.790283434428</v>
      </c>
      <c r="L352" s="16">
        <v>20299.622034155349</v>
      </c>
      <c r="M352" s="16">
        <v>21764.87792241048</v>
      </c>
      <c r="N352" s="16">
        <v>22641.704097844035</v>
      </c>
      <c r="O352" s="16">
        <v>25099.024979050359</v>
      </c>
      <c r="P352" s="16">
        <v>25872.323979268389</v>
      </c>
      <c r="Q352" s="16">
        <v>25674.417497511669</v>
      </c>
      <c r="R352" s="16">
        <v>25429.97634114838</v>
      </c>
      <c r="S352" s="16">
        <v>25263.374720586449</v>
      </c>
      <c r="T352" s="16">
        <v>24751.415326263777</v>
      </c>
      <c r="U352" s="16">
        <v>24446.713013863387</v>
      </c>
      <c r="V352" s="16">
        <v>26155.480612568077</v>
      </c>
      <c r="W352" s="16">
        <v>27644.702482034787</v>
      </c>
      <c r="X352" s="16">
        <v>26613.329412403553</v>
      </c>
      <c r="Y352" s="16">
        <v>24367.653970168532</v>
      </c>
      <c r="Z352" s="16">
        <v>21607.87017980362</v>
      </c>
      <c r="AA352" s="16">
        <v>18522.006821022682</v>
      </c>
      <c r="AB352" s="6">
        <f t="shared" si="9"/>
        <v>1973811.6588645603</v>
      </c>
      <c r="AC352" s="92">
        <f>+AB352+AB353+AB354</f>
        <v>15838420.376555454</v>
      </c>
    </row>
    <row r="353" spans="1:29" ht="18.75" thickBot="1" x14ac:dyDescent="0.3">
      <c r="A353" s="96"/>
      <c r="B353" s="11" t="s">
        <v>29</v>
      </c>
      <c r="C353" s="11">
        <v>7</v>
      </c>
      <c r="D353" s="16">
        <v>16376.396523921889</v>
      </c>
      <c r="E353" s="16">
        <v>14798.649609592019</v>
      </c>
      <c r="F353" s="16">
        <v>13695.316217405631</v>
      </c>
      <c r="G353" s="16">
        <v>12752.184368549762</v>
      </c>
      <c r="H353" s="16">
        <v>12426.192130622287</v>
      </c>
      <c r="I353" s="16">
        <v>12597.584452269733</v>
      </c>
      <c r="J353" s="16">
        <v>13165.039253112143</v>
      </c>
      <c r="K353" s="16">
        <v>15460.764422117369</v>
      </c>
      <c r="L353" s="16">
        <v>18325.719072249936</v>
      </c>
      <c r="M353" s="16">
        <v>19028.336517780692</v>
      </c>
      <c r="N353" s="16">
        <v>20881.43958141622</v>
      </c>
      <c r="O353" s="16">
        <v>23374.609628167331</v>
      </c>
      <c r="P353" s="16">
        <v>24779.064782724046</v>
      </c>
      <c r="Q353" s="16">
        <v>24662.45674790394</v>
      </c>
      <c r="R353" s="16">
        <v>23676.557911232725</v>
      </c>
      <c r="S353" s="16">
        <v>23462.223940792843</v>
      </c>
      <c r="T353" s="16">
        <v>22870.566118841365</v>
      </c>
      <c r="U353" s="16">
        <v>22288.655003199936</v>
      </c>
      <c r="V353" s="16">
        <v>23466.880527199515</v>
      </c>
      <c r="W353" s="16">
        <v>27158.823714324746</v>
      </c>
      <c r="X353" s="16">
        <v>26268.090158591542</v>
      </c>
      <c r="Y353" s="16">
        <v>23876.195408030093</v>
      </c>
      <c r="Z353" s="16">
        <v>20502.836962036759</v>
      </c>
      <c r="AA353" s="16">
        <v>17660.613190492179</v>
      </c>
      <c r="AB353" s="6">
        <f t="shared" si="9"/>
        <v>3314886.3736980222</v>
      </c>
      <c r="AC353" s="93"/>
    </row>
    <row r="354" spans="1:29" ht="18.75" thickBot="1" x14ac:dyDescent="0.3">
      <c r="A354" s="97"/>
      <c r="B354" s="12" t="s">
        <v>30</v>
      </c>
      <c r="C354" s="12">
        <v>20</v>
      </c>
      <c r="D354" s="16">
        <v>16039.903743992174</v>
      </c>
      <c r="E354" s="16">
        <v>14651.375012660304</v>
      </c>
      <c r="F354" s="16">
        <v>13681.950720075238</v>
      </c>
      <c r="G354" s="16">
        <v>13174.054498777492</v>
      </c>
      <c r="H354" s="16">
        <v>13159.389485807878</v>
      </c>
      <c r="I354" s="16">
        <v>14537.805780507388</v>
      </c>
      <c r="J354" s="16">
        <v>16277.201835939733</v>
      </c>
      <c r="K354" s="16">
        <v>18754.96686587658</v>
      </c>
      <c r="L354" s="16">
        <v>21774.751556262854</v>
      </c>
      <c r="M354" s="16">
        <v>22936.464566398652</v>
      </c>
      <c r="N354" s="16">
        <v>24389.000579149382</v>
      </c>
      <c r="O354" s="16">
        <v>26386.445210001424</v>
      </c>
      <c r="P354" s="16">
        <v>26186.790355591394</v>
      </c>
      <c r="Q354" s="16">
        <v>26898.783352855891</v>
      </c>
      <c r="R354" s="16">
        <v>28100.883730600777</v>
      </c>
      <c r="S354" s="16">
        <v>28177.336420274354</v>
      </c>
      <c r="T354" s="16">
        <v>27119.430612464057</v>
      </c>
      <c r="U354" s="16">
        <v>26292.186864323237</v>
      </c>
      <c r="V354" s="16">
        <v>27401.782557690814</v>
      </c>
      <c r="W354" s="16">
        <v>29094.793105500125</v>
      </c>
      <c r="X354" s="16">
        <v>28055.383461221805</v>
      </c>
      <c r="Y354" s="16">
        <v>24967.306871224355</v>
      </c>
      <c r="Z354" s="16">
        <v>21244.494390496264</v>
      </c>
      <c r="AA354" s="16">
        <v>18183.635621951333</v>
      </c>
      <c r="AB354" s="6">
        <f t="shared" si="9"/>
        <v>10549722.34399287</v>
      </c>
      <c r="AC354" s="94"/>
    </row>
    <row r="355" spans="1:29" ht="18.75" thickBot="1" x14ac:dyDescent="0.3">
      <c r="A355" s="95">
        <v>49522</v>
      </c>
      <c r="B355" s="9" t="s">
        <v>28</v>
      </c>
      <c r="C355" s="9">
        <v>4</v>
      </c>
      <c r="D355" s="16">
        <v>16139.802011953732</v>
      </c>
      <c r="E355" s="16">
        <v>13373.269446192444</v>
      </c>
      <c r="F355" s="16">
        <v>12381.761497000283</v>
      </c>
      <c r="G355" s="16">
        <v>11633.571259815275</v>
      </c>
      <c r="H355" s="16">
        <v>11480.198960688405</v>
      </c>
      <c r="I355" s="16">
        <v>11735.201492061929</v>
      </c>
      <c r="J355" s="16">
        <v>12905.013347280092</v>
      </c>
      <c r="K355" s="16">
        <v>15549.390520831534</v>
      </c>
      <c r="L355" s="16">
        <v>19537.948593329325</v>
      </c>
      <c r="M355" s="16">
        <v>21298.952923752899</v>
      </c>
      <c r="N355" s="16">
        <v>24222.05158936471</v>
      </c>
      <c r="O355" s="16">
        <v>26351.221298209064</v>
      </c>
      <c r="P355" s="16">
        <v>27040.43101859247</v>
      </c>
      <c r="Q355" s="16">
        <v>26781.246604396387</v>
      </c>
      <c r="R355" s="16">
        <v>26010.956763297705</v>
      </c>
      <c r="S355" s="16">
        <v>25716.747832884343</v>
      </c>
      <c r="T355" s="16">
        <v>25161.859889342501</v>
      </c>
      <c r="U355" s="16">
        <v>24296.968672746058</v>
      </c>
      <c r="V355" s="16">
        <v>27034.974110637238</v>
      </c>
      <c r="W355" s="16">
        <v>28268.255269767891</v>
      </c>
      <c r="X355" s="16">
        <v>27114.217795936464</v>
      </c>
      <c r="Y355" s="16">
        <v>24355.250545639348</v>
      </c>
      <c r="Z355" s="16">
        <v>20755.248273057499</v>
      </c>
      <c r="AA355" s="16">
        <v>18112.782389626649</v>
      </c>
      <c r="AB355" s="6">
        <f t="shared" si="9"/>
        <v>1989029.2884256169</v>
      </c>
      <c r="AC355" s="92">
        <f>+AB355+AB356+AB357</f>
        <v>15668100.56513457</v>
      </c>
    </row>
    <row r="356" spans="1:29" ht="18.75" thickBot="1" x14ac:dyDescent="0.3">
      <c r="A356" s="96"/>
      <c r="B356" s="11" t="s">
        <v>29</v>
      </c>
      <c r="C356" s="11">
        <v>6</v>
      </c>
      <c r="D356" s="16">
        <v>15990.01347091567</v>
      </c>
      <c r="E356" s="16">
        <v>14725.942076683434</v>
      </c>
      <c r="F356" s="16">
        <v>13494.746155748504</v>
      </c>
      <c r="G356" s="16">
        <v>12506.029574130778</v>
      </c>
      <c r="H356" s="16">
        <v>11859.54870130858</v>
      </c>
      <c r="I356" s="16">
        <v>12004.301659442255</v>
      </c>
      <c r="J356" s="16">
        <v>12720.818019562037</v>
      </c>
      <c r="K356" s="16">
        <v>15421.82348994015</v>
      </c>
      <c r="L356" s="16">
        <v>18754.905649296321</v>
      </c>
      <c r="M356" s="16">
        <v>20948.797230774435</v>
      </c>
      <c r="N356" s="16">
        <v>22236.098534957724</v>
      </c>
      <c r="O356" s="16">
        <v>24131.104192797553</v>
      </c>
      <c r="P356" s="16">
        <v>25285.098179610228</v>
      </c>
      <c r="Q356" s="16">
        <v>25156.807909693336</v>
      </c>
      <c r="R356" s="16">
        <v>23997.012683284964</v>
      </c>
      <c r="S356" s="16">
        <v>23254.067265725855</v>
      </c>
      <c r="T356" s="16">
        <v>22743.0395451355</v>
      </c>
      <c r="U356" s="16">
        <v>22298.172689759405</v>
      </c>
      <c r="V356" s="16">
        <v>23980.220277917571</v>
      </c>
      <c r="W356" s="16">
        <v>26729.212960619727</v>
      </c>
      <c r="X356" s="16">
        <v>25850.18347260548</v>
      </c>
      <c r="Y356" s="16">
        <v>23324.901203204347</v>
      </c>
      <c r="Z356" s="16">
        <v>20172.00501101491</v>
      </c>
      <c r="AA356" s="16">
        <v>17367.053089963556</v>
      </c>
      <c r="AB356" s="6">
        <f t="shared" si="9"/>
        <v>2849711.4182645539</v>
      </c>
      <c r="AC356" s="93"/>
    </row>
    <row r="357" spans="1:29" ht="18.75" thickBot="1" x14ac:dyDescent="0.3">
      <c r="A357" s="97"/>
      <c r="B357" s="12" t="s">
        <v>30</v>
      </c>
      <c r="C357" s="12">
        <v>21</v>
      </c>
      <c r="D357" s="16">
        <v>16061.961130080941</v>
      </c>
      <c r="E357" s="16">
        <v>14720.075644080691</v>
      </c>
      <c r="F357" s="16">
        <v>13804.240810784919</v>
      </c>
      <c r="G357" s="16">
        <v>13180.712941788988</v>
      </c>
      <c r="H357" s="16">
        <v>12989.619387223589</v>
      </c>
      <c r="I357" s="16">
        <v>14351.860099875503</v>
      </c>
      <c r="J357" s="16">
        <v>16224.299972209912</v>
      </c>
      <c r="K357" s="16">
        <v>18505.065034556443</v>
      </c>
      <c r="L357" s="16">
        <v>21590.143896336042</v>
      </c>
      <c r="M357" s="16">
        <v>23801.735988938315</v>
      </c>
      <c r="N357" s="16">
        <v>24991.174616342112</v>
      </c>
      <c r="O357" s="16">
        <v>25203.823699311419</v>
      </c>
      <c r="P357" s="16">
        <v>24037.903238132887</v>
      </c>
      <c r="Q357" s="16">
        <v>24709.682843596449</v>
      </c>
      <c r="R357" s="16">
        <v>25318.801181983654</v>
      </c>
      <c r="S357" s="16">
        <v>25421.937175706364</v>
      </c>
      <c r="T357" s="16">
        <v>27351.310616985451</v>
      </c>
      <c r="U357" s="16">
        <v>26445.780781337133</v>
      </c>
      <c r="V357" s="16">
        <v>26825.870645502597</v>
      </c>
      <c r="W357" s="16">
        <v>27953.562677788876</v>
      </c>
      <c r="X357" s="16">
        <v>27110.544399808066</v>
      </c>
      <c r="Y357" s="16">
        <v>24982.301050762428</v>
      </c>
      <c r="Z357" s="16">
        <v>21674.611520738312</v>
      </c>
      <c r="AA357" s="16">
        <v>18426.783429195661</v>
      </c>
      <c r="AB357" s="6">
        <f t="shared" si="9"/>
        <v>10829359.8584444</v>
      </c>
      <c r="AC357" s="94"/>
    </row>
    <row r="358" spans="1:29" ht="18.75" thickBot="1" x14ac:dyDescent="0.3">
      <c r="A358" s="95">
        <v>49553</v>
      </c>
      <c r="B358" s="9" t="s">
        <v>28</v>
      </c>
      <c r="C358" s="9">
        <v>5</v>
      </c>
      <c r="D358" s="16">
        <v>15152.681172232176</v>
      </c>
      <c r="E358" s="16">
        <v>14612.688691088872</v>
      </c>
      <c r="F358" s="16">
        <v>13667.41724526383</v>
      </c>
      <c r="G358" s="16">
        <v>13136.953144209201</v>
      </c>
      <c r="H358" s="16">
        <v>13068.124243457343</v>
      </c>
      <c r="I358" s="16">
        <v>13310.403970229319</v>
      </c>
      <c r="J358" s="16">
        <v>14411.915897940497</v>
      </c>
      <c r="K358" s="16">
        <v>17862.125173847096</v>
      </c>
      <c r="L358" s="16">
        <v>21697.480617881462</v>
      </c>
      <c r="M358" s="16">
        <v>24128.552449390132</v>
      </c>
      <c r="N358" s="16">
        <v>25941.477250406249</v>
      </c>
      <c r="O358" s="16">
        <v>27870.763689506915</v>
      </c>
      <c r="P358" s="16">
        <v>28560.671430009381</v>
      </c>
      <c r="Q358" s="16">
        <v>28329.017952324866</v>
      </c>
      <c r="R358" s="16">
        <v>27568.980710580508</v>
      </c>
      <c r="S358" s="16">
        <v>26504.344081654424</v>
      </c>
      <c r="T358" s="16">
        <v>25603.851343827111</v>
      </c>
      <c r="U358" s="16">
        <v>25244.361625653342</v>
      </c>
      <c r="V358" s="16">
        <v>27800.624831426983</v>
      </c>
      <c r="W358" s="16">
        <v>28774.100906103704</v>
      </c>
      <c r="X358" s="16">
        <v>27548.919649784963</v>
      </c>
      <c r="Y358" s="16">
        <v>25187.877513245534</v>
      </c>
      <c r="Z358" s="16">
        <v>22451.046046635944</v>
      </c>
      <c r="AA358" s="16">
        <v>19536.459608499768</v>
      </c>
      <c r="AB358" s="6">
        <f t="shared" si="9"/>
        <v>2639854.1962259985</v>
      </c>
      <c r="AC358" s="92">
        <f>+AB358+AB359+AB360</f>
        <v>15753042.064494396</v>
      </c>
    </row>
    <row r="359" spans="1:29" ht="18.75" thickBot="1" x14ac:dyDescent="0.3">
      <c r="A359" s="96"/>
      <c r="B359" s="11" t="s">
        <v>29</v>
      </c>
      <c r="C359" s="11">
        <v>5</v>
      </c>
      <c r="D359" s="16">
        <v>17348.930676900818</v>
      </c>
      <c r="E359" s="16">
        <v>15810.741354932543</v>
      </c>
      <c r="F359" s="16">
        <v>14680.684833253599</v>
      </c>
      <c r="G359" s="16">
        <v>14005.891505160173</v>
      </c>
      <c r="H359" s="16">
        <v>13508.145147847019</v>
      </c>
      <c r="I359" s="16">
        <v>13449.424751143422</v>
      </c>
      <c r="J359" s="16">
        <v>13730.220342306573</v>
      </c>
      <c r="K359" s="16">
        <v>16025.948630257815</v>
      </c>
      <c r="L359" s="16">
        <v>19018.221775840393</v>
      </c>
      <c r="M359" s="16">
        <v>20658.132403279073</v>
      </c>
      <c r="N359" s="16">
        <v>22086.332093880032</v>
      </c>
      <c r="O359" s="16">
        <v>24169.027011881371</v>
      </c>
      <c r="P359" s="16">
        <v>25154.102446803532</v>
      </c>
      <c r="Q359" s="16">
        <v>24452.810553330935</v>
      </c>
      <c r="R359" s="16">
        <v>22872.178613933313</v>
      </c>
      <c r="S359" s="16">
        <v>22149.004195189969</v>
      </c>
      <c r="T359" s="16">
        <v>21493.121036810975</v>
      </c>
      <c r="U359" s="16">
        <v>21754.285981729263</v>
      </c>
      <c r="V359" s="16">
        <v>25120.383521389886</v>
      </c>
      <c r="W359" s="16">
        <v>26390.53062246753</v>
      </c>
      <c r="X359" s="16">
        <v>25579.323952332059</v>
      </c>
      <c r="Y359" s="16">
        <v>23654.949853211656</v>
      </c>
      <c r="Z359" s="16">
        <v>20488.602092405097</v>
      </c>
      <c r="AA359" s="16">
        <v>17707.441046024549</v>
      </c>
      <c r="AB359" s="6">
        <f t="shared" si="9"/>
        <v>2406542.1722115581</v>
      </c>
      <c r="AC359" s="93"/>
    </row>
    <row r="360" spans="1:29" ht="18.75" thickBot="1" x14ac:dyDescent="0.3">
      <c r="A360" s="97"/>
      <c r="B360" s="12" t="s">
        <v>30</v>
      </c>
      <c r="C360" s="12">
        <v>20</v>
      </c>
      <c r="D360" s="16">
        <v>15666.657106926545</v>
      </c>
      <c r="E360" s="16">
        <v>14536.975992932079</v>
      </c>
      <c r="F360" s="16">
        <v>13688.744031062073</v>
      </c>
      <c r="G360" s="16">
        <v>12898.299901035931</v>
      </c>
      <c r="H360" s="16">
        <v>13063.289877127583</v>
      </c>
      <c r="I360" s="16">
        <v>14610.30411508691</v>
      </c>
      <c r="J360" s="16">
        <v>16652.001338287453</v>
      </c>
      <c r="K360" s="16">
        <v>18914.218819586684</v>
      </c>
      <c r="L360" s="16">
        <v>22207.99423895395</v>
      </c>
      <c r="M360" s="16">
        <v>23941.620120972271</v>
      </c>
      <c r="N360" s="16">
        <v>25349.515756528723</v>
      </c>
      <c r="O360" s="16">
        <v>27223.465288275511</v>
      </c>
      <c r="P360" s="16">
        <v>27545.385883945208</v>
      </c>
      <c r="Q360" s="16">
        <v>27825.485950146081</v>
      </c>
      <c r="R360" s="16">
        <v>28444.338713060642</v>
      </c>
      <c r="S360" s="16">
        <v>28204.428818182176</v>
      </c>
      <c r="T360" s="16">
        <v>27789.481404381455</v>
      </c>
      <c r="U360" s="16">
        <v>26966.288908234739</v>
      </c>
      <c r="V360" s="16">
        <v>28830.916760951768</v>
      </c>
      <c r="W360" s="16">
        <v>29392.238012677153</v>
      </c>
      <c r="X360" s="16">
        <v>27928.418540834129</v>
      </c>
      <c r="Y360" s="16">
        <v>24948.338205862259</v>
      </c>
      <c r="Z360" s="16">
        <v>20953.575132029517</v>
      </c>
      <c r="AA360" s="16">
        <v>17750.301885761022</v>
      </c>
      <c r="AB360" s="6">
        <f t="shared" si="9"/>
        <v>10706645.696056839</v>
      </c>
      <c r="AC360" s="94"/>
    </row>
    <row r="361" spans="1:29" ht="18.75" thickBot="1" x14ac:dyDescent="0.3">
      <c r="A361" s="95">
        <v>49583</v>
      </c>
      <c r="B361" s="9" t="s">
        <v>28</v>
      </c>
      <c r="C361" s="9">
        <v>4</v>
      </c>
      <c r="D361" s="16">
        <v>15515.133889124183</v>
      </c>
      <c r="E361" s="16">
        <v>14265.334791875841</v>
      </c>
      <c r="F361" s="16">
        <v>13461.872464706059</v>
      </c>
      <c r="G361" s="16">
        <v>12731.309262843217</v>
      </c>
      <c r="H361" s="16">
        <v>12382.710904168518</v>
      </c>
      <c r="I361" s="16">
        <v>12606.205219066822</v>
      </c>
      <c r="J361" s="16">
        <v>13261.891883846572</v>
      </c>
      <c r="K361" s="16">
        <v>16516.49957910466</v>
      </c>
      <c r="L361" s="16">
        <v>20504.698972810227</v>
      </c>
      <c r="M361" s="16">
        <v>23477.104432250489</v>
      </c>
      <c r="N361" s="16">
        <v>25589.061301804031</v>
      </c>
      <c r="O361" s="16">
        <v>27835.946895094487</v>
      </c>
      <c r="P361" s="16">
        <v>28398.49247490269</v>
      </c>
      <c r="Q361" s="16">
        <v>27762.405266907619</v>
      </c>
      <c r="R361" s="16">
        <v>27062.953551586361</v>
      </c>
      <c r="S361" s="16">
        <v>26111.154151743118</v>
      </c>
      <c r="T361" s="16">
        <v>25305.340139274864</v>
      </c>
      <c r="U361" s="16">
        <v>25272.744034428149</v>
      </c>
      <c r="V361" s="16">
        <v>27270.740854331918</v>
      </c>
      <c r="W361" s="16">
        <v>27505.204502379755</v>
      </c>
      <c r="X361" s="16">
        <v>26660.618871946754</v>
      </c>
      <c r="Y361" s="16">
        <v>24633.528523575806</v>
      </c>
      <c r="Z361" s="16">
        <v>21807.791500688756</v>
      </c>
      <c r="AA361" s="16">
        <v>18998.675341138034</v>
      </c>
      <c r="AB361" s="6">
        <f t="shared" si="9"/>
        <v>2059749.6752383958</v>
      </c>
      <c r="AC361" s="92">
        <f>+AB361+AB362+AB363</f>
        <v>16050113.93028656</v>
      </c>
    </row>
    <row r="362" spans="1:29" ht="18.75" thickBot="1" x14ac:dyDescent="0.3">
      <c r="A362" s="96"/>
      <c r="B362" s="11" t="s">
        <v>29</v>
      </c>
      <c r="C362" s="11">
        <v>5</v>
      </c>
      <c r="D362" s="16">
        <v>16317.457177207732</v>
      </c>
      <c r="E362" s="16">
        <v>14867.761086853225</v>
      </c>
      <c r="F362" s="16">
        <v>13795.287794159267</v>
      </c>
      <c r="G362" s="16">
        <v>13191.584602681625</v>
      </c>
      <c r="H362" s="16">
        <v>12905.462475506865</v>
      </c>
      <c r="I362" s="16">
        <v>12995.737249086786</v>
      </c>
      <c r="J362" s="16">
        <v>13225.047150732484</v>
      </c>
      <c r="K362" s="16">
        <v>15621.595368754573</v>
      </c>
      <c r="L362" s="16">
        <v>18361.095405578184</v>
      </c>
      <c r="M362" s="16">
        <v>20408.271766312828</v>
      </c>
      <c r="N362" s="16">
        <v>21505.432140537996</v>
      </c>
      <c r="O362" s="16">
        <v>24029.051209696219</v>
      </c>
      <c r="P362" s="16">
        <v>25372.748048220361</v>
      </c>
      <c r="Q362" s="16">
        <v>24986.143460934036</v>
      </c>
      <c r="R362" s="16">
        <v>23262.187218905005</v>
      </c>
      <c r="S362" s="16">
        <v>21200.883280281771</v>
      </c>
      <c r="T362" s="16">
        <v>21516.2137131372</v>
      </c>
      <c r="U362" s="16">
        <v>22336.219553782037</v>
      </c>
      <c r="V362" s="16">
        <v>25564.281275681438</v>
      </c>
      <c r="W362" s="16">
        <v>26222.341458381816</v>
      </c>
      <c r="X362" s="16">
        <v>24590.678571796336</v>
      </c>
      <c r="Y362" s="16">
        <v>22040.568422729411</v>
      </c>
      <c r="Z362" s="16">
        <v>18919.326859252615</v>
      </c>
      <c r="AA362" s="16">
        <v>16348.272363877491</v>
      </c>
      <c r="AB362" s="6">
        <f t="shared" si="9"/>
        <v>2347918.2382704369</v>
      </c>
      <c r="AC362" s="93"/>
    </row>
    <row r="363" spans="1:29" ht="18.75" thickBot="1" x14ac:dyDescent="0.3">
      <c r="A363" s="97"/>
      <c r="B363" s="12" t="s">
        <v>30</v>
      </c>
      <c r="C363" s="12">
        <v>22</v>
      </c>
      <c r="D363" s="16">
        <v>15683.444408564097</v>
      </c>
      <c r="E363" s="16">
        <v>14445.313004833071</v>
      </c>
      <c r="F363" s="16">
        <v>13541.124883054112</v>
      </c>
      <c r="G363" s="16">
        <v>12611.349495214683</v>
      </c>
      <c r="H363" s="16">
        <v>12914.775308071552</v>
      </c>
      <c r="I363" s="16">
        <v>14150.944044134863</v>
      </c>
      <c r="J363" s="16">
        <v>15871.477724926743</v>
      </c>
      <c r="K363" s="16">
        <v>18605.852596235389</v>
      </c>
      <c r="L363" s="16">
        <v>21621.326730633205</v>
      </c>
      <c r="M363" s="16">
        <v>23472.248233298567</v>
      </c>
      <c r="N363" s="16">
        <v>24657.600832492593</v>
      </c>
      <c r="O363" s="16">
        <v>26069.007267104491</v>
      </c>
      <c r="P363" s="16">
        <v>27221.19979930338</v>
      </c>
      <c r="Q363" s="16">
        <v>27242.07575563158</v>
      </c>
      <c r="R363" s="16">
        <v>27939.702320450524</v>
      </c>
      <c r="S363" s="16">
        <v>28213.117067629493</v>
      </c>
      <c r="T363" s="16">
        <v>27980.255990754435</v>
      </c>
      <c r="U363" s="16">
        <v>26873.974911039353</v>
      </c>
      <c r="V363" s="16">
        <v>29280.04215231206</v>
      </c>
      <c r="W363" s="16">
        <v>29143.583727323014</v>
      </c>
      <c r="X363" s="16">
        <v>27804.647421170113</v>
      </c>
      <c r="Y363" s="16">
        <v>24726.941240391585</v>
      </c>
      <c r="Z363" s="16">
        <v>21098.894199118586</v>
      </c>
      <c r="AA363" s="16">
        <v>18033.19255802744</v>
      </c>
      <c r="AB363" s="6">
        <f t="shared" si="9"/>
        <v>11642446.016777728</v>
      </c>
      <c r="AC363" s="94"/>
    </row>
    <row r="364" spans="1:29" ht="18.75" thickBot="1" x14ac:dyDescent="0.3">
      <c r="A364" s="95">
        <v>49614</v>
      </c>
      <c r="B364" s="9" t="s">
        <v>28</v>
      </c>
      <c r="C364" s="9">
        <v>4</v>
      </c>
      <c r="D364" s="16">
        <v>15057.682443011556</v>
      </c>
      <c r="E364" s="16">
        <v>14631.881437312655</v>
      </c>
      <c r="F364" s="16">
        <v>13564.770236614917</v>
      </c>
      <c r="G364" s="16">
        <v>12703.788930748146</v>
      </c>
      <c r="H364" s="16">
        <v>12691.792216779872</v>
      </c>
      <c r="I364" s="16">
        <v>13045.044042915219</v>
      </c>
      <c r="J364" s="16">
        <v>13947.946478436941</v>
      </c>
      <c r="K364" s="16">
        <v>17158.651889528664</v>
      </c>
      <c r="L364" s="16">
        <v>21382.583094733498</v>
      </c>
      <c r="M364" s="16">
        <v>23951.678892008546</v>
      </c>
      <c r="N364" s="16">
        <v>25592.783451983363</v>
      </c>
      <c r="O364" s="16">
        <v>27273.99017229474</v>
      </c>
      <c r="P364" s="16">
        <v>28043.678680600919</v>
      </c>
      <c r="Q364" s="16">
        <v>27565.247332195511</v>
      </c>
      <c r="R364" s="16">
        <v>26840.808492735981</v>
      </c>
      <c r="S364" s="16">
        <v>25913.90264865043</v>
      </c>
      <c r="T364" s="16">
        <v>25081.363635322014</v>
      </c>
      <c r="U364" s="16">
        <v>25543.05497665314</v>
      </c>
      <c r="V364" s="16">
        <v>28248.099393013355</v>
      </c>
      <c r="W364" s="16">
        <v>28326.52217172028</v>
      </c>
      <c r="X364" s="16">
        <v>27190.32756427554</v>
      </c>
      <c r="Y364" s="16">
        <v>24807.205785076927</v>
      </c>
      <c r="Z364" s="16">
        <v>21970.848750994461</v>
      </c>
      <c r="AA364" s="16">
        <v>19127.118528522595</v>
      </c>
      <c r="AB364" s="6">
        <f t="shared" si="9"/>
        <v>2078643.0849845172</v>
      </c>
      <c r="AC364" s="92">
        <f>+AB364+AB365+AB366</f>
        <v>15546574.573768046</v>
      </c>
    </row>
    <row r="365" spans="1:29" ht="18.75" thickBot="1" x14ac:dyDescent="0.3">
      <c r="A365" s="96"/>
      <c r="B365" s="11" t="s">
        <v>29</v>
      </c>
      <c r="C365" s="11">
        <v>6</v>
      </c>
      <c r="D365" s="16">
        <v>16570.529526559076</v>
      </c>
      <c r="E365" s="16">
        <v>15173.006452311907</v>
      </c>
      <c r="F365" s="16">
        <v>14342.931941015115</v>
      </c>
      <c r="G365" s="16">
        <v>13655.040376332185</v>
      </c>
      <c r="H365" s="16">
        <v>13390.582269981343</v>
      </c>
      <c r="I365" s="16">
        <v>13492.416748635871</v>
      </c>
      <c r="J365" s="16">
        <v>14038.349930818342</v>
      </c>
      <c r="K365" s="16">
        <v>16412.928293081131</v>
      </c>
      <c r="L365" s="16">
        <v>19544.722587632052</v>
      </c>
      <c r="M365" s="16">
        <v>21489.822083050094</v>
      </c>
      <c r="N365" s="16">
        <v>22590.674576460071</v>
      </c>
      <c r="O365" s="16">
        <v>24027.569442998851</v>
      </c>
      <c r="P365" s="16">
        <v>24808.450155425853</v>
      </c>
      <c r="Q365" s="16">
        <v>24207.518370268124</v>
      </c>
      <c r="R365" s="16">
        <v>22966.618071576282</v>
      </c>
      <c r="S365" s="16">
        <v>22040.930933369586</v>
      </c>
      <c r="T365" s="16">
        <v>21689.374031613806</v>
      </c>
      <c r="U365" s="16">
        <v>22014.32186818857</v>
      </c>
      <c r="V365" s="16">
        <v>25683.063215876915</v>
      </c>
      <c r="W365" s="16">
        <v>26576.274105876779</v>
      </c>
      <c r="X365" s="16">
        <v>25221.692680422027</v>
      </c>
      <c r="Y365" s="16">
        <v>22872.794828553953</v>
      </c>
      <c r="Z365" s="16">
        <v>20122.281882449286</v>
      </c>
      <c r="AA365" s="16">
        <v>17626.321270138433</v>
      </c>
      <c r="AB365" s="6">
        <f t="shared" si="9"/>
        <v>2883349.2938558147</v>
      </c>
      <c r="AC365" s="93"/>
    </row>
    <row r="366" spans="1:29" ht="18.75" thickBot="1" x14ac:dyDescent="0.3">
      <c r="A366" s="97"/>
      <c r="B366" s="12" t="s">
        <v>30</v>
      </c>
      <c r="C366" s="12">
        <v>20</v>
      </c>
      <c r="D366" s="16">
        <v>15591.956648523261</v>
      </c>
      <c r="E366" s="16">
        <v>14341.588516901204</v>
      </c>
      <c r="F366" s="16">
        <v>13538.300504158942</v>
      </c>
      <c r="G366" s="16">
        <v>13009.336269589996</v>
      </c>
      <c r="H366" s="16">
        <v>12974.197530638485</v>
      </c>
      <c r="I366" s="16">
        <v>14162.875682397113</v>
      </c>
      <c r="J366" s="16">
        <v>16107.718731142471</v>
      </c>
      <c r="K366" s="16">
        <v>18971.624375763895</v>
      </c>
      <c r="L366" s="16">
        <v>22050.665213402608</v>
      </c>
      <c r="M366" s="16">
        <v>23711.271780426498</v>
      </c>
      <c r="N366" s="16">
        <v>25347.840283930796</v>
      </c>
      <c r="O366" s="16">
        <v>27070.385653400568</v>
      </c>
      <c r="P366" s="16">
        <v>27620.230885018558</v>
      </c>
      <c r="Q366" s="16">
        <v>27419.856623861517</v>
      </c>
      <c r="R366" s="16">
        <v>27961.597447523367</v>
      </c>
      <c r="S366" s="16">
        <v>27363.326073812968</v>
      </c>
      <c r="T366" s="16">
        <v>26548.109825295032</v>
      </c>
      <c r="U366" s="16">
        <v>26202.529913267834</v>
      </c>
      <c r="V366" s="16">
        <v>28802.533911113918</v>
      </c>
      <c r="W366" s="16">
        <v>28451.097311561731</v>
      </c>
      <c r="X366" s="16">
        <v>27531.799755085536</v>
      </c>
      <c r="Y366" s="16">
        <v>24991.829230217132</v>
      </c>
      <c r="Z366" s="16">
        <v>21318.046279563532</v>
      </c>
      <c r="AA366" s="16">
        <v>18140.391299788673</v>
      </c>
      <c r="AB366" s="6">
        <f t="shared" si="9"/>
        <v>10584582.194927715</v>
      </c>
      <c r="AC366" s="94"/>
    </row>
    <row r="367" spans="1:29" ht="18.75" thickBot="1" x14ac:dyDescent="0.3">
      <c r="A367" s="95">
        <v>49644</v>
      </c>
      <c r="B367" s="9" t="s">
        <v>28</v>
      </c>
      <c r="C367" s="9">
        <v>4</v>
      </c>
      <c r="D367" s="16">
        <v>17001.732724988746</v>
      </c>
      <c r="E367" s="16">
        <v>15444.823489013208</v>
      </c>
      <c r="F367" s="16">
        <v>14631.102948386266</v>
      </c>
      <c r="G367" s="16">
        <v>14093.920637606254</v>
      </c>
      <c r="H367" s="16">
        <v>13944.944180998864</v>
      </c>
      <c r="I367" s="16">
        <v>14525.454889877677</v>
      </c>
      <c r="J367" s="16">
        <v>15276.687347009814</v>
      </c>
      <c r="K367" s="16">
        <v>18142.147266397493</v>
      </c>
      <c r="L367" s="16">
        <v>22000.773166681152</v>
      </c>
      <c r="M367" s="16">
        <v>24138.960372256231</v>
      </c>
      <c r="N367" s="16">
        <v>25583.157136989663</v>
      </c>
      <c r="O367" s="16">
        <v>27028.239682392588</v>
      </c>
      <c r="P367" s="16">
        <v>27514.115331156638</v>
      </c>
      <c r="Q367" s="16">
        <v>27417.415528777157</v>
      </c>
      <c r="R367" s="16">
        <v>26616.623019399813</v>
      </c>
      <c r="S367" s="16">
        <v>25956.547997571055</v>
      </c>
      <c r="T367" s="16">
        <v>25393.391104343093</v>
      </c>
      <c r="U367" s="16">
        <v>25299.108485128498</v>
      </c>
      <c r="V367" s="16">
        <v>28273.72839624239</v>
      </c>
      <c r="W367" s="16">
        <v>28693.497984129346</v>
      </c>
      <c r="X367" s="16">
        <v>27562.767770110244</v>
      </c>
      <c r="Y367" s="16">
        <v>25639.940668215364</v>
      </c>
      <c r="Z367" s="16">
        <v>22930.61206760315</v>
      </c>
      <c r="AA367" s="16">
        <v>20484.435180523433</v>
      </c>
      <c r="AB367" s="6">
        <f t="shared" si="9"/>
        <v>2134376.5095031927</v>
      </c>
      <c r="AC367" s="92">
        <f>+AB367+AB368+AB369</f>
        <v>16684496.225254634</v>
      </c>
    </row>
    <row r="368" spans="1:29" ht="18.75" thickBot="1" x14ac:dyDescent="0.3">
      <c r="A368" s="96"/>
      <c r="B368" s="11" t="s">
        <v>29</v>
      </c>
      <c r="C368" s="11">
        <v>7</v>
      </c>
      <c r="D368" s="16">
        <v>18533.507414644177</v>
      </c>
      <c r="E368" s="16">
        <v>17132.397849517387</v>
      </c>
      <c r="F368" s="16">
        <v>16153.961611021456</v>
      </c>
      <c r="G368" s="16">
        <v>15378.310925504946</v>
      </c>
      <c r="H368" s="16">
        <v>15036.538900017626</v>
      </c>
      <c r="I368" s="16">
        <v>15213.532848715575</v>
      </c>
      <c r="J368" s="16">
        <v>15259.034112541096</v>
      </c>
      <c r="K368" s="16">
        <v>17415.627258224209</v>
      </c>
      <c r="L368" s="16">
        <v>20133.709700663654</v>
      </c>
      <c r="M368" s="16">
        <v>22416.031718975668</v>
      </c>
      <c r="N368" s="16">
        <v>23552.3240533957</v>
      </c>
      <c r="O368" s="16">
        <v>25228.40197887308</v>
      </c>
      <c r="P368" s="16">
        <v>26065.009345388949</v>
      </c>
      <c r="Q368" s="16">
        <v>26089.61367088581</v>
      </c>
      <c r="R368" s="16">
        <v>25121.48866792937</v>
      </c>
      <c r="S368" s="16">
        <v>24113.696909500657</v>
      </c>
      <c r="T368" s="16">
        <v>23643.786105760257</v>
      </c>
      <c r="U368" s="16">
        <v>23466.149654182358</v>
      </c>
      <c r="V368" s="16">
        <v>26807.3933526646</v>
      </c>
      <c r="W368" s="16">
        <v>27851.628955679065</v>
      </c>
      <c r="X368" s="16">
        <v>26242.564704370372</v>
      </c>
      <c r="Y368" s="16">
        <v>24096.149719196605</v>
      </c>
      <c r="Z368" s="16">
        <v>22478.768278503332</v>
      </c>
      <c r="AA368" s="16">
        <v>20116.38291587829</v>
      </c>
      <c r="AB368" s="6">
        <f t="shared" si="9"/>
        <v>3622822.0745642395</v>
      </c>
      <c r="AC368" s="93"/>
    </row>
    <row r="369" spans="1:33" ht="18.75" thickBot="1" x14ac:dyDescent="0.3">
      <c r="A369" s="97"/>
      <c r="B369" s="12" t="s">
        <v>30</v>
      </c>
      <c r="C369" s="12">
        <v>20</v>
      </c>
      <c r="D369" s="16">
        <v>17548.318509495402</v>
      </c>
      <c r="E369" s="16">
        <v>16088.366611727804</v>
      </c>
      <c r="F369" s="16">
        <v>15161.799633701179</v>
      </c>
      <c r="G369" s="16">
        <v>14501.319148889899</v>
      </c>
      <c r="H369" s="16">
        <v>14342.475089683925</v>
      </c>
      <c r="I369" s="16">
        <v>14988.626839440487</v>
      </c>
      <c r="J369" s="16">
        <v>16280.250705763909</v>
      </c>
      <c r="K369" s="16">
        <v>19383.031673316735</v>
      </c>
      <c r="L369" s="16">
        <v>23077.358477806818</v>
      </c>
      <c r="M369" s="16">
        <v>24394.679488903734</v>
      </c>
      <c r="N369" s="16">
        <v>25197.039937001275</v>
      </c>
      <c r="O369" s="16">
        <v>26744.893833034395</v>
      </c>
      <c r="P369" s="16">
        <v>26880.141431871438</v>
      </c>
      <c r="Q369" s="16">
        <v>27039.997217757562</v>
      </c>
      <c r="R369" s="16">
        <v>27056.505650515974</v>
      </c>
      <c r="S369" s="16">
        <v>27110.607185207635</v>
      </c>
      <c r="T369" s="16">
        <v>26640.428152109569</v>
      </c>
      <c r="U369" s="16">
        <v>26341.47687912613</v>
      </c>
      <c r="V369" s="16">
        <v>29575.443092586611</v>
      </c>
      <c r="W369" s="16">
        <v>29889.73185688012</v>
      </c>
      <c r="X369" s="16">
        <v>28628.924959481315</v>
      </c>
      <c r="Y369" s="16">
        <v>26141.920771967714</v>
      </c>
      <c r="Z369" s="16">
        <v>23120.257946567399</v>
      </c>
      <c r="AA369" s="16">
        <v>20231.286966523199</v>
      </c>
      <c r="AB369" s="6">
        <f t="shared" si="9"/>
        <v>10927297.641187202</v>
      </c>
      <c r="AC369" s="94"/>
    </row>
    <row r="371" spans="1:33" ht="15.75" thickBot="1" x14ac:dyDescent="0.3"/>
    <row r="372" spans="1:33" ht="18.75" thickBot="1" x14ac:dyDescent="0.3">
      <c r="A372" s="1" t="s">
        <v>0</v>
      </c>
      <c r="B372" s="2" t="s">
        <v>1</v>
      </c>
      <c r="C372" s="2" t="s">
        <v>2</v>
      </c>
      <c r="D372" s="27" t="s">
        <v>3</v>
      </c>
      <c r="E372" s="5" t="s">
        <v>4</v>
      </c>
      <c r="F372" s="5" t="s">
        <v>5</v>
      </c>
      <c r="G372" s="5" t="s">
        <v>6</v>
      </c>
      <c r="H372" s="5" t="s">
        <v>7</v>
      </c>
      <c r="I372" s="5" t="s">
        <v>8</v>
      </c>
      <c r="J372" s="5" t="s">
        <v>9</v>
      </c>
      <c r="K372" s="5" t="s">
        <v>10</v>
      </c>
      <c r="L372" s="5" t="s">
        <v>11</v>
      </c>
      <c r="M372" s="5" t="s">
        <v>12</v>
      </c>
      <c r="N372" s="5" t="s">
        <v>13</v>
      </c>
      <c r="O372" s="5" t="s">
        <v>14</v>
      </c>
      <c r="P372" s="5" t="s">
        <v>15</v>
      </c>
      <c r="Q372" s="5" t="s">
        <v>16</v>
      </c>
      <c r="R372" s="5" t="s">
        <v>17</v>
      </c>
      <c r="S372" s="5" t="s">
        <v>18</v>
      </c>
      <c r="T372" s="5" t="s">
        <v>19</v>
      </c>
      <c r="U372" s="5" t="s">
        <v>20</v>
      </c>
      <c r="V372" s="5" t="s">
        <v>21</v>
      </c>
      <c r="W372" s="5" t="s">
        <v>22</v>
      </c>
      <c r="X372" s="5" t="s">
        <v>23</v>
      </c>
      <c r="Y372" s="5" t="s">
        <v>24</v>
      </c>
      <c r="Z372" s="5" t="s">
        <v>25</v>
      </c>
      <c r="AA372" s="5" t="s">
        <v>26</v>
      </c>
      <c r="AB372" s="109" t="s">
        <v>27</v>
      </c>
      <c r="AC372" s="110"/>
    </row>
    <row r="373" spans="1:33" ht="18.75" thickBot="1" x14ac:dyDescent="0.3">
      <c r="A373" s="95">
        <v>49675</v>
      </c>
      <c r="B373" s="9" t="s">
        <v>28</v>
      </c>
      <c r="C373" s="9">
        <v>4</v>
      </c>
      <c r="D373" s="16">
        <v>15804.336189140704</v>
      </c>
      <c r="E373" s="16">
        <v>14467.320209403864</v>
      </c>
      <c r="F373" s="16">
        <v>13639.051717784379</v>
      </c>
      <c r="G373" s="16">
        <v>12870.529213412221</v>
      </c>
      <c r="H373" s="16">
        <v>12772.192221685687</v>
      </c>
      <c r="I373" s="16">
        <v>13053.186065533613</v>
      </c>
      <c r="J373" s="16">
        <v>13618.132960868814</v>
      </c>
      <c r="K373" s="16">
        <v>16298.048220967481</v>
      </c>
      <c r="L373" s="16">
        <v>20332.207986832771</v>
      </c>
      <c r="M373" s="16">
        <v>22792.439588543661</v>
      </c>
      <c r="N373" s="16">
        <v>24237.091558770211</v>
      </c>
      <c r="O373" s="16">
        <v>26321.55805838362</v>
      </c>
      <c r="P373" s="16">
        <v>26942.701168695414</v>
      </c>
      <c r="Q373" s="16">
        <v>26292.451202660137</v>
      </c>
      <c r="R373" s="16">
        <v>25427.922042674407</v>
      </c>
      <c r="S373" s="16">
        <v>25610.869388749641</v>
      </c>
      <c r="T373" s="16">
        <v>24970.607945587653</v>
      </c>
      <c r="U373" s="16">
        <v>24513.613072625951</v>
      </c>
      <c r="V373" s="16">
        <v>26694.312876981683</v>
      </c>
      <c r="W373" s="16">
        <v>28225.445854929836</v>
      </c>
      <c r="X373" s="16">
        <v>27263.192613537722</v>
      </c>
      <c r="Y373" s="16">
        <v>25040.26584191827</v>
      </c>
      <c r="Z373" s="16">
        <v>21966.329052009634</v>
      </c>
      <c r="AA373" s="16">
        <v>19067.483502458352</v>
      </c>
      <c r="AB373" s="6">
        <f t="shared" ref="AB373:AB387" si="10">SUM(D373:AA373)*C373</f>
        <v>2032885.1542166232</v>
      </c>
      <c r="AC373" s="92">
        <f>+AB373+AB374+AB375</f>
        <v>15941701.072210908</v>
      </c>
      <c r="AF373" s="67">
        <v>49675</v>
      </c>
      <c r="AG373" s="68">
        <f>AB373+AB374+AB375</f>
        <v>15941701.072210908</v>
      </c>
    </row>
    <row r="374" spans="1:33" ht="18.75" thickBot="1" x14ac:dyDescent="0.3">
      <c r="A374" s="96"/>
      <c r="B374" s="11" t="s">
        <v>29</v>
      </c>
      <c r="C374" s="11">
        <v>6</v>
      </c>
      <c r="D374" s="16">
        <v>16351.793858743971</v>
      </c>
      <c r="E374" s="16">
        <v>15059.108533255017</v>
      </c>
      <c r="F374" s="16">
        <v>13876.791756766299</v>
      </c>
      <c r="G374" s="16">
        <v>13242.791362777287</v>
      </c>
      <c r="H374" s="16">
        <v>12674.423448901791</v>
      </c>
      <c r="I374" s="16">
        <v>12618.297463232717</v>
      </c>
      <c r="J374" s="16">
        <v>12733.081945963047</v>
      </c>
      <c r="K374" s="16">
        <v>14440.784171967553</v>
      </c>
      <c r="L374" s="16">
        <v>17336.074628846021</v>
      </c>
      <c r="M374" s="16">
        <v>19305.306539712787</v>
      </c>
      <c r="N374" s="16">
        <v>20306.001814325733</v>
      </c>
      <c r="O374" s="16">
        <v>21958.625109791385</v>
      </c>
      <c r="P374" s="16">
        <v>22999.008455793322</v>
      </c>
      <c r="Q374" s="16">
        <v>22912.230569635438</v>
      </c>
      <c r="R374" s="16">
        <v>21541.997191524664</v>
      </c>
      <c r="S374" s="16">
        <v>20941.464254807543</v>
      </c>
      <c r="T374" s="16">
        <v>20488.746985121732</v>
      </c>
      <c r="U374" s="16">
        <v>20251.623048701171</v>
      </c>
      <c r="V374" s="16">
        <v>23606.249355458494</v>
      </c>
      <c r="W374" s="16">
        <v>25797.227112560962</v>
      </c>
      <c r="X374" s="16">
        <v>24861.945117495685</v>
      </c>
      <c r="Y374" s="16">
        <v>22327.075723103146</v>
      </c>
      <c r="Z374" s="16">
        <v>19571.935297932752</v>
      </c>
      <c r="AA374" s="16">
        <v>16944.933564724568</v>
      </c>
      <c r="AB374" s="6">
        <f t="shared" si="10"/>
        <v>2712885.1038668579</v>
      </c>
      <c r="AC374" s="93"/>
      <c r="AF374" s="67">
        <v>49706</v>
      </c>
      <c r="AG374" s="68">
        <f>AC376</f>
        <v>14408880.607408088</v>
      </c>
    </row>
    <row r="375" spans="1:33" ht="18.75" thickBot="1" x14ac:dyDescent="0.3">
      <c r="A375" s="97"/>
      <c r="B375" s="12" t="s">
        <v>30</v>
      </c>
      <c r="C375" s="12">
        <v>21</v>
      </c>
      <c r="D375" s="16">
        <v>16489.784719274685</v>
      </c>
      <c r="E375" s="16">
        <v>14970.240185112401</v>
      </c>
      <c r="F375" s="16">
        <v>14092.858453805609</v>
      </c>
      <c r="G375" s="16">
        <v>13572.130332263027</v>
      </c>
      <c r="H375" s="16">
        <v>13497.815563993663</v>
      </c>
      <c r="I375" s="16">
        <v>14359.338848813153</v>
      </c>
      <c r="J375" s="16">
        <v>15597.743000052935</v>
      </c>
      <c r="K375" s="16">
        <v>18121.842684534669</v>
      </c>
      <c r="L375" s="16">
        <v>21957.573494316523</v>
      </c>
      <c r="M375" s="16">
        <v>23512.64372129993</v>
      </c>
      <c r="N375" s="16">
        <v>24913.583420012284</v>
      </c>
      <c r="O375" s="16">
        <v>27043.911937604957</v>
      </c>
      <c r="P375" s="16">
        <v>27723.983973415379</v>
      </c>
      <c r="Q375" s="16">
        <v>27646.490948952262</v>
      </c>
      <c r="R375" s="16">
        <v>27674.591792647348</v>
      </c>
      <c r="S375" s="16">
        <v>27512.441746308672</v>
      </c>
      <c r="T375" s="16">
        <v>26890.516536890493</v>
      </c>
      <c r="U375" s="16">
        <v>26149.773675938988</v>
      </c>
      <c r="V375" s="16">
        <v>27539.425001543059</v>
      </c>
      <c r="W375" s="16">
        <v>29015.205428273672</v>
      </c>
      <c r="X375" s="16">
        <v>27949.413970077345</v>
      </c>
      <c r="Y375" s="16">
        <v>25658.795418714675</v>
      </c>
      <c r="Z375" s="16">
        <v>22250.150005513715</v>
      </c>
      <c r="AA375" s="16">
        <v>18999.307718136988</v>
      </c>
      <c r="AB375" s="6">
        <f t="shared" si="10"/>
        <v>11195930.814127427</v>
      </c>
      <c r="AC375" s="94"/>
      <c r="AF375" s="67">
        <v>49735</v>
      </c>
      <c r="AG375" s="68">
        <f>AC379</f>
        <v>16313532.120035876</v>
      </c>
    </row>
    <row r="376" spans="1:33" ht="18.75" thickBot="1" x14ac:dyDescent="0.3">
      <c r="A376" s="95">
        <v>49706</v>
      </c>
      <c r="B376" s="9" t="s">
        <v>28</v>
      </c>
      <c r="C376" s="9">
        <v>4</v>
      </c>
      <c r="D376" s="16">
        <v>15054.242493508595</v>
      </c>
      <c r="E376" s="16">
        <v>13533.126768605045</v>
      </c>
      <c r="F376" s="16">
        <v>12807.533524571725</v>
      </c>
      <c r="G376" s="16">
        <v>12018.922246009166</v>
      </c>
      <c r="H376" s="16">
        <v>11846.66252364116</v>
      </c>
      <c r="I376" s="16">
        <v>12122.066753059185</v>
      </c>
      <c r="J376" s="16">
        <v>13116.481825051658</v>
      </c>
      <c r="K376" s="16">
        <v>15993.074260844616</v>
      </c>
      <c r="L376" s="16">
        <v>20092.89842923596</v>
      </c>
      <c r="M376" s="16">
        <v>21835.121552125085</v>
      </c>
      <c r="N376" s="16">
        <v>23092.095274742933</v>
      </c>
      <c r="O376" s="16">
        <v>24772.060116520472</v>
      </c>
      <c r="P376" s="16">
        <v>25196.407938211705</v>
      </c>
      <c r="Q376" s="16">
        <v>25555.286084093153</v>
      </c>
      <c r="R376" s="16">
        <v>25065.459009868471</v>
      </c>
      <c r="S376" s="16">
        <v>22956.600594858755</v>
      </c>
      <c r="T376" s="16">
        <v>23404.657192318606</v>
      </c>
      <c r="U376" s="16">
        <v>23268.81455813811</v>
      </c>
      <c r="V376" s="16">
        <v>25362.315100490894</v>
      </c>
      <c r="W376" s="16">
        <v>26772.00245229897</v>
      </c>
      <c r="X376" s="16">
        <v>26067.49715396751</v>
      </c>
      <c r="Y376" s="16">
        <v>23657.217743346919</v>
      </c>
      <c r="Z376" s="16">
        <v>20413.000420645694</v>
      </c>
      <c r="AA376" s="16">
        <v>17703.288780713388</v>
      </c>
      <c r="AB376" s="6">
        <f t="shared" si="10"/>
        <v>1926827.331187471</v>
      </c>
      <c r="AC376" s="92">
        <f>+AB376+AB377+AB378</f>
        <v>14408880.607408088</v>
      </c>
      <c r="AF376" s="67">
        <v>49766</v>
      </c>
      <c r="AG376" s="68">
        <f>AC382</f>
        <v>15548846.003407309</v>
      </c>
    </row>
    <row r="377" spans="1:33" ht="18.75" thickBot="1" x14ac:dyDescent="0.3">
      <c r="A377" s="96"/>
      <c r="B377" s="11" t="s">
        <v>29</v>
      </c>
      <c r="C377" s="11">
        <v>4</v>
      </c>
      <c r="D377" s="16">
        <v>15681.71262597918</v>
      </c>
      <c r="E377" s="16">
        <v>14492.293112707743</v>
      </c>
      <c r="F377" s="16">
        <v>13335.935642069402</v>
      </c>
      <c r="G377" s="16">
        <v>12713.850820588657</v>
      </c>
      <c r="H377" s="16">
        <v>12413.2246930492</v>
      </c>
      <c r="I377" s="16">
        <v>12635.018422903664</v>
      </c>
      <c r="J377" s="16">
        <v>13031.162793145329</v>
      </c>
      <c r="K377" s="16">
        <v>15205.369578797243</v>
      </c>
      <c r="L377" s="16">
        <v>18306.52660985024</v>
      </c>
      <c r="M377" s="16">
        <v>20145.238416781751</v>
      </c>
      <c r="N377" s="16">
        <v>21288.823730176235</v>
      </c>
      <c r="O377" s="16">
        <v>22992.858070983733</v>
      </c>
      <c r="P377" s="16">
        <v>24526.388422111086</v>
      </c>
      <c r="Q377" s="16">
        <v>24342.228024360622</v>
      </c>
      <c r="R377" s="16">
        <v>22878.071460092571</v>
      </c>
      <c r="S377" s="16">
        <v>22049.927465881861</v>
      </c>
      <c r="T377" s="16">
        <v>21046.456005461274</v>
      </c>
      <c r="U377" s="16">
        <v>21237.163690016831</v>
      </c>
      <c r="V377" s="16">
        <v>24120.102301416096</v>
      </c>
      <c r="W377" s="16">
        <v>24495.497103528469</v>
      </c>
      <c r="X377" s="16">
        <v>24497.105993118799</v>
      </c>
      <c r="Y377" s="16">
        <v>22483.172063938669</v>
      </c>
      <c r="Z377" s="16">
        <v>19696.690214169299</v>
      </c>
      <c r="AA377" s="16">
        <v>16590.119141955183</v>
      </c>
      <c r="AB377" s="6">
        <f t="shared" si="10"/>
        <v>1840819.7456123321</v>
      </c>
      <c r="AC377" s="93"/>
      <c r="AF377" s="67">
        <v>49796</v>
      </c>
      <c r="AG377" s="68">
        <f>AC385</f>
        <v>16714798.057930432</v>
      </c>
    </row>
    <row r="378" spans="1:33" ht="18.75" thickBot="1" x14ac:dyDescent="0.3">
      <c r="A378" s="97"/>
      <c r="B378" s="12" t="s">
        <v>30</v>
      </c>
      <c r="C378" s="12">
        <v>21</v>
      </c>
      <c r="D378" s="16">
        <v>14794.233166745991</v>
      </c>
      <c r="E378" s="16">
        <v>13600.792067947001</v>
      </c>
      <c r="F378" s="16">
        <v>12823.909083739341</v>
      </c>
      <c r="G378" s="16">
        <v>12091.206079992564</v>
      </c>
      <c r="H378" s="16">
        <v>12188.314058837594</v>
      </c>
      <c r="I378" s="16">
        <v>14078.837218163782</v>
      </c>
      <c r="J378" s="16">
        <v>16138.84668065943</v>
      </c>
      <c r="K378" s="16">
        <v>17998.491928816242</v>
      </c>
      <c r="L378" s="16">
        <v>20833.103838370036</v>
      </c>
      <c r="M378" s="16">
        <v>22045.204864175634</v>
      </c>
      <c r="N378" s="16">
        <v>23949.780907935492</v>
      </c>
      <c r="O378" s="16">
        <v>25831.713746056143</v>
      </c>
      <c r="P378" s="16">
        <v>26276.989901386689</v>
      </c>
      <c r="Q378" s="16">
        <v>26007.239131223585</v>
      </c>
      <c r="R378" s="16">
        <v>26474.31701739959</v>
      </c>
      <c r="S378" s="16">
        <v>26510.732190242372</v>
      </c>
      <c r="T378" s="16">
        <v>26191.776851889888</v>
      </c>
      <c r="U378" s="16">
        <v>25186.779500151461</v>
      </c>
      <c r="V378" s="16">
        <v>26753.528952181412</v>
      </c>
      <c r="W378" s="16">
        <v>28187.81571506706</v>
      </c>
      <c r="X378" s="16">
        <v>27125.482518225581</v>
      </c>
      <c r="Y378" s="16">
        <v>24312.882388991573</v>
      </c>
      <c r="Z378" s="16">
        <v>20541.478554260917</v>
      </c>
      <c r="AA378" s="16">
        <v>16781.949856982719</v>
      </c>
      <c r="AB378" s="6">
        <f t="shared" si="10"/>
        <v>10641233.530608285</v>
      </c>
      <c r="AC378" s="94"/>
    </row>
    <row r="379" spans="1:33" ht="18.75" thickBot="1" x14ac:dyDescent="0.3">
      <c r="A379" s="95">
        <v>49735</v>
      </c>
      <c r="B379" s="9" t="s">
        <v>28</v>
      </c>
      <c r="C379" s="9">
        <v>5</v>
      </c>
      <c r="D379" s="16">
        <v>16395.241113429758</v>
      </c>
      <c r="E379" s="16">
        <v>14859.811378758262</v>
      </c>
      <c r="F379" s="16">
        <v>13926.175303281816</v>
      </c>
      <c r="G379" s="16">
        <v>13209.889996287162</v>
      </c>
      <c r="H379" s="16">
        <v>13110.437635467675</v>
      </c>
      <c r="I379" s="16">
        <v>13558.137978803941</v>
      </c>
      <c r="J379" s="16">
        <v>14581.123609989816</v>
      </c>
      <c r="K379" s="16">
        <v>17424.046838863826</v>
      </c>
      <c r="L379" s="16">
        <v>21544.254744537131</v>
      </c>
      <c r="M379" s="16">
        <v>23749.05916257661</v>
      </c>
      <c r="N379" s="16">
        <v>25451.798091884601</v>
      </c>
      <c r="O379" s="16">
        <v>27710.329207069153</v>
      </c>
      <c r="P379" s="16">
        <v>28440.599084534668</v>
      </c>
      <c r="Q379" s="16">
        <v>28387.72790804477</v>
      </c>
      <c r="R379" s="16">
        <v>28243.954469701144</v>
      </c>
      <c r="S379" s="16">
        <v>27785.111927503553</v>
      </c>
      <c r="T379" s="16">
        <v>26445.913093199495</v>
      </c>
      <c r="U379" s="16">
        <v>25811.017169131643</v>
      </c>
      <c r="V379" s="16">
        <v>27782.770099322079</v>
      </c>
      <c r="W379" s="16">
        <v>29524.334343617062</v>
      </c>
      <c r="X379" s="16">
        <v>28499.257155963758</v>
      </c>
      <c r="Y379" s="16">
        <v>26473.238678305133</v>
      </c>
      <c r="Z379" s="16">
        <v>23387.406320600057</v>
      </c>
      <c r="AA379" s="16">
        <v>20580.537541307473</v>
      </c>
      <c r="AB379" s="6">
        <f t="shared" si="10"/>
        <v>2684410.8642609026</v>
      </c>
      <c r="AC379" s="92">
        <f>+AB379+AB380+AB381</f>
        <v>16313532.120035876</v>
      </c>
    </row>
    <row r="380" spans="1:33" ht="18.75" thickBot="1" x14ac:dyDescent="0.3">
      <c r="A380" s="96"/>
      <c r="B380" s="11" t="s">
        <v>29</v>
      </c>
      <c r="C380" s="11">
        <v>6</v>
      </c>
      <c r="D380" s="16">
        <v>18215.926546834897</v>
      </c>
      <c r="E380" s="16">
        <v>16639.774454609164</v>
      </c>
      <c r="F380" s="16">
        <v>15448.076745165192</v>
      </c>
      <c r="G380" s="16">
        <v>14454.127740395314</v>
      </c>
      <c r="H380" s="16">
        <v>13816.747827002251</v>
      </c>
      <c r="I380" s="16">
        <v>14061.499091851048</v>
      </c>
      <c r="J380" s="16">
        <v>14104.485812532399</v>
      </c>
      <c r="K380" s="16">
        <v>16392.422577221514</v>
      </c>
      <c r="L380" s="16">
        <v>18802.411493888299</v>
      </c>
      <c r="M380" s="16">
        <v>20608.068706749655</v>
      </c>
      <c r="N380" s="16">
        <v>22277.640675095463</v>
      </c>
      <c r="O380" s="16">
        <v>23995.006879446133</v>
      </c>
      <c r="P380" s="16">
        <v>25449.14512658921</v>
      </c>
      <c r="Q380" s="16">
        <v>25174.484689382596</v>
      </c>
      <c r="R380" s="16">
        <v>23682.918477655963</v>
      </c>
      <c r="S380" s="16">
        <v>22781.884974888584</v>
      </c>
      <c r="T380" s="16">
        <v>22103.261304537038</v>
      </c>
      <c r="U380" s="16">
        <v>21842.963824797538</v>
      </c>
      <c r="V380" s="16">
        <v>24523.559032282596</v>
      </c>
      <c r="W380" s="16">
        <v>27201.12799506203</v>
      </c>
      <c r="X380" s="16">
        <v>26537.959028685305</v>
      </c>
      <c r="Y380" s="16">
        <v>24243.233430936474</v>
      </c>
      <c r="Z380" s="16">
        <v>20793.567717664562</v>
      </c>
      <c r="AA380" s="16">
        <v>17808.820020138475</v>
      </c>
      <c r="AB380" s="6">
        <f t="shared" si="10"/>
        <v>2945754.6850404702</v>
      </c>
      <c r="AC380" s="93"/>
    </row>
    <row r="381" spans="1:33" ht="18.75" thickBot="1" x14ac:dyDescent="0.3">
      <c r="A381" s="97"/>
      <c r="B381" s="12" t="s">
        <v>30</v>
      </c>
      <c r="C381" s="12">
        <v>20</v>
      </c>
      <c r="D381" s="16">
        <v>15770.241137238932</v>
      </c>
      <c r="E381" s="16">
        <v>14506.561154201692</v>
      </c>
      <c r="F381" s="16">
        <v>13659.307765416303</v>
      </c>
      <c r="G381" s="16">
        <v>13116.415426433654</v>
      </c>
      <c r="H381" s="16">
        <v>13098.006409589354</v>
      </c>
      <c r="I381" s="16">
        <v>14777.893999128624</v>
      </c>
      <c r="J381" s="16">
        <v>16606.899477313389</v>
      </c>
      <c r="K381" s="16">
        <v>18839.950122835195</v>
      </c>
      <c r="L381" s="16">
        <v>21788.530791071746</v>
      </c>
      <c r="M381" s="16">
        <v>23414.496318301375</v>
      </c>
      <c r="N381" s="16">
        <v>25057.818699659118</v>
      </c>
      <c r="O381" s="16">
        <v>26827.540427129679</v>
      </c>
      <c r="P381" s="16">
        <v>26998.428124208156</v>
      </c>
      <c r="Q381" s="16">
        <v>27030.456519124244</v>
      </c>
      <c r="R381" s="16">
        <v>28123.203475257244</v>
      </c>
      <c r="S381" s="16">
        <v>28159.506919656233</v>
      </c>
      <c r="T381" s="16">
        <v>27899.597190820641</v>
      </c>
      <c r="U381" s="16">
        <v>26878.855705233989</v>
      </c>
      <c r="V381" s="16">
        <v>28269.950167101735</v>
      </c>
      <c r="W381" s="16">
        <v>29689.251272660302</v>
      </c>
      <c r="X381" s="16">
        <v>28203.333199786517</v>
      </c>
      <c r="Y381" s="16">
        <v>25437.002692136033</v>
      </c>
      <c r="Z381" s="16">
        <v>21730.888490808604</v>
      </c>
      <c r="AA381" s="16">
        <v>18284.193051612383</v>
      </c>
      <c r="AB381" s="6">
        <f t="shared" si="10"/>
        <v>10683366.570734503</v>
      </c>
      <c r="AC381" s="94"/>
    </row>
    <row r="382" spans="1:33" ht="18.75" thickBot="1" x14ac:dyDescent="0.3">
      <c r="A382" s="95">
        <v>49766</v>
      </c>
      <c r="B382" s="9" t="s">
        <v>28</v>
      </c>
      <c r="C382" s="9">
        <v>4</v>
      </c>
      <c r="D382" s="16">
        <v>16289.212097185664</v>
      </c>
      <c r="E382" s="16">
        <v>14940.212443793833</v>
      </c>
      <c r="F382" s="16">
        <v>13897.112500487572</v>
      </c>
      <c r="G382" s="16">
        <v>13301.7371615511</v>
      </c>
      <c r="H382" s="16">
        <v>13020.443247025622</v>
      </c>
      <c r="I382" s="16">
        <v>13222.927109554854</v>
      </c>
      <c r="J382" s="16">
        <v>11539.517839467851</v>
      </c>
      <c r="K382" s="16">
        <v>17149.358309934207</v>
      </c>
      <c r="L382" s="16">
        <v>21001.688014162028</v>
      </c>
      <c r="M382" s="16">
        <v>23346.299830015334</v>
      </c>
      <c r="N382" s="16">
        <v>24437.028012781411</v>
      </c>
      <c r="O382" s="16">
        <v>26175.493867718505</v>
      </c>
      <c r="P382" s="16">
        <v>26723.065393926387</v>
      </c>
      <c r="Q382" s="16">
        <v>27663.828467219049</v>
      </c>
      <c r="R382" s="16">
        <v>27286.001177273669</v>
      </c>
      <c r="S382" s="16">
        <v>26248.245045821015</v>
      </c>
      <c r="T382" s="16">
        <v>24464.733474595872</v>
      </c>
      <c r="U382" s="16">
        <v>23632.678984853104</v>
      </c>
      <c r="V382" s="16">
        <v>24039.131102093153</v>
      </c>
      <c r="W382" s="16">
        <v>24816.326925943351</v>
      </c>
      <c r="X382" s="16">
        <v>24623.46128630235</v>
      </c>
      <c r="Y382" s="16">
        <v>24414.142835255443</v>
      </c>
      <c r="Z382" s="16">
        <v>21742.527402408494</v>
      </c>
      <c r="AA382" s="16">
        <v>19111.973768768759</v>
      </c>
      <c r="AB382" s="6">
        <f t="shared" si="10"/>
        <v>2012348.5851925546</v>
      </c>
      <c r="AC382" s="92">
        <f>+AB382+AB383+AB384</f>
        <v>15548846.003407309</v>
      </c>
    </row>
    <row r="383" spans="1:33" ht="18.75" thickBot="1" x14ac:dyDescent="0.3">
      <c r="A383" s="96"/>
      <c r="B383" s="11" t="s">
        <v>29</v>
      </c>
      <c r="C383" s="11">
        <v>6</v>
      </c>
      <c r="D383" s="16">
        <v>15396.513536323724</v>
      </c>
      <c r="E383" s="16">
        <v>13926.584335794065</v>
      </c>
      <c r="F383" s="16">
        <v>13117.012801179684</v>
      </c>
      <c r="G383" s="16">
        <v>12289.937143707535</v>
      </c>
      <c r="H383" s="16">
        <v>12005.819159755636</v>
      </c>
      <c r="I383" s="16">
        <v>10474.956458233406</v>
      </c>
      <c r="J383" s="16">
        <v>12544.260875986631</v>
      </c>
      <c r="K383" s="16">
        <v>14797.427748973572</v>
      </c>
      <c r="L383" s="16">
        <v>17276.354179528716</v>
      </c>
      <c r="M383" s="16">
        <v>18860.278315119373</v>
      </c>
      <c r="N383" s="16">
        <v>20087.273700152298</v>
      </c>
      <c r="O383" s="16">
        <v>21251.624542882302</v>
      </c>
      <c r="P383" s="16">
        <v>22271.456239712541</v>
      </c>
      <c r="Q383" s="16">
        <v>22136.432947453024</v>
      </c>
      <c r="R383" s="16">
        <v>21816.691679304633</v>
      </c>
      <c r="S383" s="16">
        <v>21490.038144768114</v>
      </c>
      <c r="T383" s="16">
        <v>21007.694748115362</v>
      </c>
      <c r="U383" s="16">
        <v>20629.47374841573</v>
      </c>
      <c r="V383" s="16">
        <v>21413.562685206511</v>
      </c>
      <c r="W383" s="16">
        <v>24561.148737089497</v>
      </c>
      <c r="X383" s="16">
        <v>24604.34401753256</v>
      </c>
      <c r="Y383" s="16">
        <v>23470.925992521428</v>
      </c>
      <c r="Z383" s="16">
        <v>21492.779215922026</v>
      </c>
      <c r="AA383" s="16">
        <v>18513.130591753659</v>
      </c>
      <c r="AB383" s="6">
        <f t="shared" si="10"/>
        <v>2672614.329272592</v>
      </c>
      <c r="AC383" s="93"/>
    </row>
    <row r="384" spans="1:33" ht="18.75" thickBot="1" x14ac:dyDescent="0.3">
      <c r="A384" s="97"/>
      <c r="B384" s="12" t="s">
        <v>30</v>
      </c>
      <c r="C384" s="12">
        <v>20</v>
      </c>
      <c r="D384" s="16">
        <v>16722.971922980309</v>
      </c>
      <c r="E384" s="16">
        <v>15403.223414616514</v>
      </c>
      <c r="F384" s="16">
        <v>14465.539577234245</v>
      </c>
      <c r="G384" s="16">
        <v>13862.359846888161</v>
      </c>
      <c r="H384" s="16">
        <v>13693.552852656867</v>
      </c>
      <c r="I384" s="16">
        <v>15123.13042124956</v>
      </c>
      <c r="J384" s="16">
        <v>16722.671213854512</v>
      </c>
      <c r="K384" s="16">
        <v>19333.063290203339</v>
      </c>
      <c r="L384" s="16">
        <v>22559.679871544926</v>
      </c>
      <c r="M384" s="16">
        <v>24485.080820327559</v>
      </c>
      <c r="N384" s="16">
        <v>26104.272411623358</v>
      </c>
      <c r="O384" s="16">
        <v>28012.81258056825</v>
      </c>
      <c r="P384" s="16">
        <v>28366.058335987065</v>
      </c>
      <c r="Q384" s="16">
        <v>28692.48671110734</v>
      </c>
      <c r="R384" s="16">
        <v>29273.36735942107</v>
      </c>
      <c r="S384" s="16">
        <v>28776.646959439699</v>
      </c>
      <c r="T384" s="16">
        <v>27493.707546488979</v>
      </c>
      <c r="U384" s="16">
        <v>26843.817026818535</v>
      </c>
      <c r="V384" s="16">
        <v>26509.203745131555</v>
      </c>
      <c r="W384" s="16">
        <v>28073.537947431265</v>
      </c>
      <c r="X384" s="16">
        <v>27441.987492194101</v>
      </c>
      <c r="Y384" s="16">
        <v>24937.709345706615</v>
      </c>
      <c r="Z384" s="16">
        <v>21770.684247135789</v>
      </c>
      <c r="AA384" s="16">
        <v>18526.589506498589</v>
      </c>
      <c r="AB384" s="6">
        <f t="shared" si="10"/>
        <v>10863883.088942163</v>
      </c>
      <c r="AC384" s="94"/>
    </row>
    <row r="385" spans="1:29" ht="18.75" thickBot="1" x14ac:dyDescent="0.3">
      <c r="A385" s="95">
        <v>49796</v>
      </c>
      <c r="B385" s="9" t="s">
        <v>28</v>
      </c>
      <c r="C385" s="9">
        <v>5</v>
      </c>
      <c r="D385" s="16">
        <v>17771.799385538507</v>
      </c>
      <c r="E385" s="16">
        <v>16284.787012364002</v>
      </c>
      <c r="F385" s="16">
        <v>15348.890830082084</v>
      </c>
      <c r="G385" s="16">
        <v>14690.244631109315</v>
      </c>
      <c r="H385" s="16">
        <v>14505.184021326164</v>
      </c>
      <c r="I385" s="16">
        <v>14793.844351761669</v>
      </c>
      <c r="J385" s="16">
        <v>15617.156569615378</v>
      </c>
      <c r="K385" s="16">
        <v>18764.757518624188</v>
      </c>
      <c r="L385" s="16">
        <v>22779.12347339066</v>
      </c>
      <c r="M385" s="16">
        <v>24902.94711538346</v>
      </c>
      <c r="N385" s="16">
        <v>26405.346091386156</v>
      </c>
      <c r="O385" s="16">
        <v>27972.072559279113</v>
      </c>
      <c r="P385" s="16">
        <v>28974.436311985744</v>
      </c>
      <c r="Q385" s="16">
        <v>28671.564123502263</v>
      </c>
      <c r="R385" s="16">
        <v>28221.836068523575</v>
      </c>
      <c r="S385" s="16">
        <v>27484.561136857606</v>
      </c>
      <c r="T385" s="16">
        <v>26058.487372261661</v>
      </c>
      <c r="U385" s="16">
        <v>26062.703684505541</v>
      </c>
      <c r="V385" s="16">
        <v>27720.654192170274</v>
      </c>
      <c r="W385" s="16">
        <v>28899.372674321239</v>
      </c>
      <c r="X385" s="16">
        <v>27748.426691050998</v>
      </c>
      <c r="Y385" s="16">
        <v>25513.822062488376</v>
      </c>
      <c r="Z385" s="16">
        <v>22218.905564244196</v>
      </c>
      <c r="AA385" s="16">
        <v>19430.738211094475</v>
      </c>
      <c r="AB385" s="6">
        <f t="shared" si="10"/>
        <v>2734208.3082643333</v>
      </c>
      <c r="AC385" s="92">
        <f>+AB385+AB386+AB387</f>
        <v>16714798.057930432</v>
      </c>
    </row>
    <row r="386" spans="1:29" ht="18.75" thickBot="1" x14ac:dyDescent="0.3">
      <c r="A386" s="96"/>
      <c r="B386" s="11" t="s">
        <v>29</v>
      </c>
      <c r="C386" s="11">
        <v>6</v>
      </c>
      <c r="D386" s="16">
        <v>17162.155366659856</v>
      </c>
      <c r="E386" s="16">
        <v>15080.139869878676</v>
      </c>
      <c r="F386" s="16">
        <v>14002.457100207539</v>
      </c>
      <c r="G386" s="16">
        <v>13446.366120549901</v>
      </c>
      <c r="H386" s="16">
        <v>13092.586622393981</v>
      </c>
      <c r="I386" s="16">
        <v>13181.701229147358</v>
      </c>
      <c r="J386" s="16">
        <v>13561.184653853576</v>
      </c>
      <c r="K386" s="16">
        <v>16511.890716314803</v>
      </c>
      <c r="L386" s="16">
        <v>19758.941472350118</v>
      </c>
      <c r="M386" s="16">
        <v>21768.028302415245</v>
      </c>
      <c r="N386" s="16">
        <v>23614.923739016958</v>
      </c>
      <c r="O386" s="16">
        <v>24755.562613737071</v>
      </c>
      <c r="P386" s="16">
        <v>26118.950975342093</v>
      </c>
      <c r="Q386" s="16">
        <v>25499.385470656402</v>
      </c>
      <c r="R386" s="16">
        <v>24171.073455913596</v>
      </c>
      <c r="S386" s="16">
        <v>23162.629122072722</v>
      </c>
      <c r="T386" s="16">
        <v>22682.076785577658</v>
      </c>
      <c r="U386" s="16">
        <v>22441.60908285511</v>
      </c>
      <c r="V386" s="16">
        <v>24863.013454234228</v>
      </c>
      <c r="W386" s="16">
        <v>27047.778258598555</v>
      </c>
      <c r="X386" s="16">
        <v>26219.422299568825</v>
      </c>
      <c r="Y386" s="16">
        <v>24245.618673598961</v>
      </c>
      <c r="Z386" s="16">
        <v>21165.644717037074</v>
      </c>
      <c r="AA386" s="16">
        <v>18333.327390494254</v>
      </c>
      <c r="AB386" s="6">
        <f t="shared" si="10"/>
        <v>2951318.8049548469</v>
      </c>
      <c r="AC386" s="93"/>
    </row>
    <row r="387" spans="1:29" ht="18.75" thickBot="1" x14ac:dyDescent="0.3">
      <c r="A387" s="97"/>
      <c r="B387" s="12" t="s">
        <v>30</v>
      </c>
      <c r="C387" s="12">
        <v>20</v>
      </c>
      <c r="D387" s="16">
        <v>16426.150886207026</v>
      </c>
      <c r="E387" s="16">
        <v>14851.850597929682</v>
      </c>
      <c r="F387" s="16">
        <v>13971.158664457413</v>
      </c>
      <c r="G387" s="16">
        <v>13499.578289209971</v>
      </c>
      <c r="H387" s="16">
        <v>13520.897596396742</v>
      </c>
      <c r="I387" s="16">
        <v>14852.664771460066</v>
      </c>
      <c r="J387" s="16">
        <v>16528.416310821223</v>
      </c>
      <c r="K387" s="16">
        <v>19154.167293505074</v>
      </c>
      <c r="L387" s="16">
        <v>22785.823288522952</v>
      </c>
      <c r="M387" s="16">
        <v>24740.771287896416</v>
      </c>
      <c r="N387" s="16">
        <v>26468.432318268948</v>
      </c>
      <c r="O387" s="16">
        <v>28411.463225019244</v>
      </c>
      <c r="P387" s="16">
        <v>28563.970270597107</v>
      </c>
      <c r="Q387" s="16">
        <v>28497.732176714868</v>
      </c>
      <c r="R387" s="16">
        <v>28907.255382049538</v>
      </c>
      <c r="S387" s="16">
        <v>28797.746306003137</v>
      </c>
      <c r="T387" s="16">
        <v>28229.665997863187</v>
      </c>
      <c r="U387" s="16">
        <v>27677.876456882776</v>
      </c>
      <c r="V387" s="16">
        <v>28993.072555602455</v>
      </c>
      <c r="W387" s="16">
        <v>30203.737650488925</v>
      </c>
      <c r="X387" s="16">
        <v>28724.500482518299</v>
      </c>
      <c r="Y387" s="16">
        <v>25991.865966210957</v>
      </c>
      <c r="Z387" s="16">
        <v>22558.368498839169</v>
      </c>
      <c r="AA387" s="16">
        <v>19106.38096209761</v>
      </c>
      <c r="AB387" s="6">
        <f t="shared" si="10"/>
        <v>11029270.944711253</v>
      </c>
      <c r="AC387" s="94"/>
    </row>
  </sheetData>
  <mergeCells count="248">
    <mergeCell ref="A385:A387"/>
    <mergeCell ref="AC385:AC387"/>
    <mergeCell ref="A376:A378"/>
    <mergeCell ref="AC376:AC378"/>
    <mergeCell ref="A379:A381"/>
    <mergeCell ref="AC379:AC381"/>
    <mergeCell ref="A382:A384"/>
    <mergeCell ref="AC382:AC384"/>
    <mergeCell ref="A364:A366"/>
    <mergeCell ref="AC364:AC366"/>
    <mergeCell ref="A367:A369"/>
    <mergeCell ref="AC367:AC369"/>
    <mergeCell ref="AB372:AC372"/>
    <mergeCell ref="A373:A375"/>
    <mergeCell ref="AC373:AC375"/>
    <mergeCell ref="A355:A357"/>
    <mergeCell ref="AC355:AC357"/>
    <mergeCell ref="A358:A360"/>
    <mergeCell ref="AC358:AC360"/>
    <mergeCell ref="A361:A363"/>
    <mergeCell ref="AC361:AC363"/>
    <mergeCell ref="A346:A348"/>
    <mergeCell ref="AC346:AC348"/>
    <mergeCell ref="A349:A351"/>
    <mergeCell ref="AC349:AC351"/>
    <mergeCell ref="A352:A354"/>
    <mergeCell ref="AC352:AC354"/>
    <mergeCell ref="A337:A339"/>
    <mergeCell ref="AC337:AC339"/>
    <mergeCell ref="A340:A342"/>
    <mergeCell ref="AC340:AC342"/>
    <mergeCell ref="A343:A345"/>
    <mergeCell ref="AC343:AC345"/>
    <mergeCell ref="A325:A327"/>
    <mergeCell ref="AC325:AC327"/>
    <mergeCell ref="A328:A330"/>
    <mergeCell ref="AC328:AC330"/>
    <mergeCell ref="AB333:AC333"/>
    <mergeCell ref="A334:A336"/>
    <mergeCell ref="AC334:AC336"/>
    <mergeCell ref="A316:A318"/>
    <mergeCell ref="AC316:AC318"/>
    <mergeCell ref="A319:A321"/>
    <mergeCell ref="AC319:AC321"/>
    <mergeCell ref="A322:A324"/>
    <mergeCell ref="AC322:AC324"/>
    <mergeCell ref="A307:A309"/>
    <mergeCell ref="AC307:AC309"/>
    <mergeCell ref="A310:A312"/>
    <mergeCell ref="AC310:AC312"/>
    <mergeCell ref="A313:A315"/>
    <mergeCell ref="AC313:AC315"/>
    <mergeCell ref="A298:A300"/>
    <mergeCell ref="AC298:AC300"/>
    <mergeCell ref="A301:A303"/>
    <mergeCell ref="AC301:AC303"/>
    <mergeCell ref="A304:A306"/>
    <mergeCell ref="AC304:AC306"/>
    <mergeCell ref="A286:A288"/>
    <mergeCell ref="AC286:AC288"/>
    <mergeCell ref="A289:A291"/>
    <mergeCell ref="AC289:AC291"/>
    <mergeCell ref="AB294:AC294"/>
    <mergeCell ref="A295:A297"/>
    <mergeCell ref="AC295:AC297"/>
    <mergeCell ref="A277:A279"/>
    <mergeCell ref="AC277:AC279"/>
    <mergeCell ref="A280:A282"/>
    <mergeCell ref="AC280:AC282"/>
    <mergeCell ref="A283:A285"/>
    <mergeCell ref="AC283:AC285"/>
    <mergeCell ref="A268:A270"/>
    <mergeCell ref="AC268:AC270"/>
    <mergeCell ref="A271:A273"/>
    <mergeCell ref="AC271:AC273"/>
    <mergeCell ref="A274:A276"/>
    <mergeCell ref="AC274:AC276"/>
    <mergeCell ref="A259:A261"/>
    <mergeCell ref="AC259:AC261"/>
    <mergeCell ref="A262:A264"/>
    <mergeCell ref="AC262:AC264"/>
    <mergeCell ref="A265:A267"/>
    <mergeCell ref="AC265:AC267"/>
    <mergeCell ref="A247:A249"/>
    <mergeCell ref="AC247:AC249"/>
    <mergeCell ref="A250:A252"/>
    <mergeCell ref="AC250:AC252"/>
    <mergeCell ref="AB255:AC255"/>
    <mergeCell ref="A256:A258"/>
    <mergeCell ref="AC256:AC258"/>
    <mergeCell ref="A238:A240"/>
    <mergeCell ref="AC238:AC240"/>
    <mergeCell ref="A241:A243"/>
    <mergeCell ref="AC241:AC243"/>
    <mergeCell ref="A244:A246"/>
    <mergeCell ref="AC244:AC246"/>
    <mergeCell ref="A229:A231"/>
    <mergeCell ref="AC229:AC231"/>
    <mergeCell ref="A232:A234"/>
    <mergeCell ref="AC232:AC234"/>
    <mergeCell ref="A235:A237"/>
    <mergeCell ref="AC235:AC237"/>
    <mergeCell ref="A220:A222"/>
    <mergeCell ref="AC220:AC222"/>
    <mergeCell ref="A223:A225"/>
    <mergeCell ref="AC223:AC225"/>
    <mergeCell ref="A226:A228"/>
    <mergeCell ref="AC226:AC228"/>
    <mergeCell ref="A208:A210"/>
    <mergeCell ref="AC208:AC210"/>
    <mergeCell ref="A211:A213"/>
    <mergeCell ref="AC211:AC213"/>
    <mergeCell ref="AB216:AC216"/>
    <mergeCell ref="A217:A219"/>
    <mergeCell ref="AC217:AC219"/>
    <mergeCell ref="A199:A201"/>
    <mergeCell ref="AC199:AC201"/>
    <mergeCell ref="A202:A204"/>
    <mergeCell ref="AC202:AC204"/>
    <mergeCell ref="A205:A207"/>
    <mergeCell ref="AC205:AC207"/>
    <mergeCell ref="A190:A192"/>
    <mergeCell ref="AC190:AC192"/>
    <mergeCell ref="A193:A195"/>
    <mergeCell ref="AC193:AC195"/>
    <mergeCell ref="A196:A198"/>
    <mergeCell ref="AC196:AC198"/>
    <mergeCell ref="A181:A183"/>
    <mergeCell ref="AC181:AC183"/>
    <mergeCell ref="A184:A186"/>
    <mergeCell ref="AC184:AC186"/>
    <mergeCell ref="A187:A189"/>
    <mergeCell ref="AC187:AC189"/>
    <mergeCell ref="A169:A171"/>
    <mergeCell ref="AC169:AC171"/>
    <mergeCell ref="A172:A174"/>
    <mergeCell ref="AC172:AC174"/>
    <mergeCell ref="AB177:AC177"/>
    <mergeCell ref="A178:A180"/>
    <mergeCell ref="AC178:AC180"/>
    <mergeCell ref="A160:A162"/>
    <mergeCell ref="AC160:AC162"/>
    <mergeCell ref="A163:A165"/>
    <mergeCell ref="AC163:AC165"/>
    <mergeCell ref="A166:A168"/>
    <mergeCell ref="AC166:AC168"/>
    <mergeCell ref="A151:A153"/>
    <mergeCell ref="AC151:AC153"/>
    <mergeCell ref="A154:A156"/>
    <mergeCell ref="AC154:AC156"/>
    <mergeCell ref="A157:A159"/>
    <mergeCell ref="AC157:AC159"/>
    <mergeCell ref="A142:A144"/>
    <mergeCell ref="AC142:AC144"/>
    <mergeCell ref="A145:A147"/>
    <mergeCell ref="AC145:AC147"/>
    <mergeCell ref="A148:A150"/>
    <mergeCell ref="AC148:AC150"/>
    <mergeCell ref="A130:A132"/>
    <mergeCell ref="AC130:AC132"/>
    <mergeCell ref="A133:A135"/>
    <mergeCell ref="AC133:AC135"/>
    <mergeCell ref="AB138:AC138"/>
    <mergeCell ref="A139:A141"/>
    <mergeCell ref="AC139:AC141"/>
    <mergeCell ref="A121:A123"/>
    <mergeCell ref="AC121:AC123"/>
    <mergeCell ref="A124:A126"/>
    <mergeCell ref="AC124:AC126"/>
    <mergeCell ref="A127:A129"/>
    <mergeCell ref="AC127:AC129"/>
    <mergeCell ref="A112:A114"/>
    <mergeCell ref="AC112:AC114"/>
    <mergeCell ref="A115:A117"/>
    <mergeCell ref="AC115:AC117"/>
    <mergeCell ref="A118:A120"/>
    <mergeCell ref="AC118:AC120"/>
    <mergeCell ref="A103:A105"/>
    <mergeCell ref="AC103:AC105"/>
    <mergeCell ref="A106:A108"/>
    <mergeCell ref="AC106:AC108"/>
    <mergeCell ref="A109:A111"/>
    <mergeCell ref="AC109:AC111"/>
    <mergeCell ref="A91:A93"/>
    <mergeCell ref="AC91:AC93"/>
    <mergeCell ref="A94:A96"/>
    <mergeCell ref="AC94:AC96"/>
    <mergeCell ref="AB99:AC99"/>
    <mergeCell ref="A100:A102"/>
    <mergeCell ref="AC100:AC102"/>
    <mergeCell ref="A82:A84"/>
    <mergeCell ref="AC82:AC84"/>
    <mergeCell ref="A85:A87"/>
    <mergeCell ref="AC85:AC87"/>
    <mergeCell ref="A88:A90"/>
    <mergeCell ref="AC88:AC90"/>
    <mergeCell ref="A73:A75"/>
    <mergeCell ref="AC73:AC75"/>
    <mergeCell ref="A76:A78"/>
    <mergeCell ref="AC76:AC78"/>
    <mergeCell ref="A79:A81"/>
    <mergeCell ref="AC79:AC81"/>
    <mergeCell ref="A64:A66"/>
    <mergeCell ref="AC64:AC66"/>
    <mergeCell ref="A67:A69"/>
    <mergeCell ref="AC67:AC69"/>
    <mergeCell ref="A70:A72"/>
    <mergeCell ref="AC70:AC72"/>
    <mergeCell ref="A52:A54"/>
    <mergeCell ref="AC52:AC54"/>
    <mergeCell ref="A55:A57"/>
    <mergeCell ref="AC55:AC57"/>
    <mergeCell ref="AB60:AC60"/>
    <mergeCell ref="A61:A63"/>
    <mergeCell ref="AC61:AC63"/>
    <mergeCell ref="A43:A45"/>
    <mergeCell ref="AC43:AC45"/>
    <mergeCell ref="A46:A48"/>
    <mergeCell ref="AC46:AC48"/>
    <mergeCell ref="A49:A51"/>
    <mergeCell ref="AC49:AC51"/>
    <mergeCell ref="A34:A36"/>
    <mergeCell ref="AC34:AC36"/>
    <mergeCell ref="A37:A39"/>
    <mergeCell ref="AC37:AC39"/>
    <mergeCell ref="A40:A42"/>
    <mergeCell ref="AC40:AC42"/>
    <mergeCell ref="A25:A27"/>
    <mergeCell ref="AC25:AC27"/>
    <mergeCell ref="A28:A30"/>
    <mergeCell ref="AC28:AC30"/>
    <mergeCell ref="A31:A33"/>
    <mergeCell ref="AC31:AC33"/>
    <mergeCell ref="A2:E2"/>
    <mergeCell ref="AB3:AC3"/>
    <mergeCell ref="A13:A15"/>
    <mergeCell ref="AC13:AC15"/>
    <mergeCell ref="A16:A18"/>
    <mergeCell ref="AC16:AC18"/>
    <mergeCell ref="AB21:AC21"/>
    <mergeCell ref="A22:A24"/>
    <mergeCell ref="AC22:AC24"/>
    <mergeCell ref="A4:A6"/>
    <mergeCell ref="AC4:AC6"/>
    <mergeCell ref="A7:A9"/>
    <mergeCell ref="AC7:AC9"/>
    <mergeCell ref="A10:A12"/>
    <mergeCell ref="AC10:A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-Producto N° 1  plano </vt:lpstr>
      <vt:lpstr>Cantidades -Producto 1</vt:lpstr>
      <vt:lpstr>Formato -Producto N° 2  Curva</vt:lpstr>
      <vt:lpstr>Cantidades -Producto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andres graciano lozano</dc:creator>
  <cp:lastModifiedBy>Empresa Distribuidora</cp:lastModifiedBy>
  <dcterms:created xsi:type="dcterms:W3CDTF">2026-03-18T10:57:13Z</dcterms:created>
  <dcterms:modified xsi:type="dcterms:W3CDTF">2026-06-03T02:48:58Z</dcterms:modified>
</cp:coreProperties>
</file>