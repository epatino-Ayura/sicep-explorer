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nerca12-my.sharepoint.com/personal/gerente_comercial_enerca_com_co/Documents/▲COMPRA ENERGIA/03_Procesos CEE/202510_CP-CASC2025-004_para 2026-2027/"/>
    </mc:Choice>
  </mc:AlternateContent>
  <xr:revisionPtr revIDLastSave="90" documentId="8_{9A48B40B-A386-4428-AC35-18A6521D121A}" xr6:coauthVersionLast="47" xr6:coauthVersionMax="47" xr10:uidLastSave="{F931695F-8087-4527-9FEA-96B5D6F24333}"/>
  <bookViews>
    <workbookView xWindow="-120" yWindow="-120" windowWidth="24240" windowHeight="13140" activeTab="2" xr2:uid="{F1014D82-29BF-4434-A8F6-EFA833A4595E}"/>
  </bookViews>
  <sheets>
    <sheet name="2026" sheetId="3" r:id="rId1"/>
    <sheet name="Curva2026" sheetId="1" r:id="rId2"/>
    <sheet name="2027" sheetId="4" r:id="rId3"/>
    <sheet name="Curva2027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AC5" i="1" l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4" i="1"/>
  <c r="B6" i="4" l="1" a="1"/>
  <c r="B6" i="4" s="1"/>
  <c r="C6" i="4" s="1"/>
  <c r="A6" i="4"/>
  <c r="B6" i="3" a="1"/>
  <c r="B6" i="3" s="1"/>
  <c r="A6" i="3"/>
  <c r="C10" i="4" l="1"/>
  <c r="C12" i="4"/>
  <c r="E12" i="4" s="1"/>
  <c r="C17" i="4"/>
  <c r="E17" i="4" s="1"/>
  <c r="C11" i="4"/>
  <c r="C16" i="4"/>
  <c r="E16" i="4" s="1"/>
  <c r="C9" i="4"/>
  <c r="C15" i="4"/>
  <c r="C8" i="4"/>
  <c r="E8" i="4" s="1"/>
  <c r="C14" i="4"/>
  <c r="E14" i="4" s="1"/>
  <c r="C13" i="4"/>
  <c r="C7" i="4"/>
  <c r="E9" i="4"/>
  <c r="E10" i="4"/>
  <c r="E13" i="4"/>
  <c r="E11" i="4"/>
  <c r="E7" i="4"/>
  <c r="E15" i="4"/>
  <c r="C18" i="4" l="1"/>
  <c r="E6" i="4"/>
  <c r="E18" i="4" s="1"/>
  <c r="AC49" i="2"/>
  <c r="AD49" i="2" s="1"/>
  <c r="AD48" i="2"/>
  <c r="AC48" i="2"/>
  <c r="AD47" i="2"/>
  <c r="AC47" i="2"/>
  <c r="AC46" i="2"/>
  <c r="AD46" i="2" s="1"/>
  <c r="AE46" i="2" s="1"/>
  <c r="AC45" i="2"/>
  <c r="AD45" i="2" s="1"/>
  <c r="AC44" i="2"/>
  <c r="AD44" i="2" s="1"/>
  <c r="AC43" i="2"/>
  <c r="AD43" i="2" s="1"/>
  <c r="AC42" i="2"/>
  <c r="AD42" i="2" s="1"/>
  <c r="AE42" i="2" s="1"/>
  <c r="AD41" i="2"/>
  <c r="AC41" i="2"/>
  <c r="AC40" i="2"/>
  <c r="AD40" i="2" s="1"/>
  <c r="AC39" i="2"/>
  <c r="AD39" i="2" s="1"/>
  <c r="AC38" i="2"/>
  <c r="AD38" i="2" s="1"/>
  <c r="AE38" i="2" s="1"/>
  <c r="AC37" i="2"/>
  <c r="AD37" i="2" s="1"/>
  <c r="AC36" i="2"/>
  <c r="AD36" i="2" s="1"/>
  <c r="AC35" i="2"/>
  <c r="AD35" i="2" s="1"/>
  <c r="AE35" i="2" s="1"/>
  <c r="AC34" i="2"/>
  <c r="AD34" i="2" s="1"/>
  <c r="AC33" i="2"/>
  <c r="AD33" i="2" s="1"/>
  <c r="AD32" i="2"/>
  <c r="AC32" i="2"/>
  <c r="AC31" i="2"/>
  <c r="AD31" i="2" s="1"/>
  <c r="AC30" i="2"/>
  <c r="AD30" i="2" s="1"/>
  <c r="AC29" i="2"/>
  <c r="AD29" i="2" s="1"/>
  <c r="AC28" i="2"/>
  <c r="AD28" i="2" s="1"/>
  <c r="AC27" i="2"/>
  <c r="AD27" i="2" s="1"/>
  <c r="AE27" i="2" s="1"/>
  <c r="AC26" i="2"/>
  <c r="AD26" i="2" s="1"/>
  <c r="AC25" i="2"/>
  <c r="AD25" i="2" s="1"/>
  <c r="AC24" i="2"/>
  <c r="AD24" i="2" s="1"/>
  <c r="AD23" i="2"/>
  <c r="AE23" i="2" s="1"/>
  <c r="AC23" i="2"/>
  <c r="AC22" i="2"/>
  <c r="AD22" i="2" s="1"/>
  <c r="AC21" i="2"/>
  <c r="AD21" i="2" s="1"/>
  <c r="AC20" i="2"/>
  <c r="AD20" i="2" s="1"/>
  <c r="AC19" i="2"/>
  <c r="AD19" i="2" s="1"/>
  <c r="AE19" i="2" s="1"/>
  <c r="AC18" i="2"/>
  <c r="AD18" i="2" s="1"/>
  <c r="AC17" i="2"/>
  <c r="AD17" i="2" s="1"/>
  <c r="AC16" i="2"/>
  <c r="AD16" i="2" s="1"/>
  <c r="AC15" i="2"/>
  <c r="AD15" i="2" s="1"/>
  <c r="AE15" i="2" s="1"/>
  <c r="AD14" i="2"/>
  <c r="AC14" i="2"/>
  <c r="AC13" i="2"/>
  <c r="AD13" i="2" s="1"/>
  <c r="AC12" i="2"/>
  <c r="AD12" i="2" s="1"/>
  <c r="AD11" i="2"/>
  <c r="AE11" i="2" s="1"/>
  <c r="AC11" i="2"/>
  <c r="AC10" i="2"/>
  <c r="AD10" i="2" s="1"/>
  <c r="AC9" i="2"/>
  <c r="AD9" i="2" s="1"/>
  <c r="AC8" i="2"/>
  <c r="AD8" i="2" s="1"/>
  <c r="AE8" i="2" s="1"/>
  <c r="AC7" i="2"/>
  <c r="AD7" i="2" s="1"/>
  <c r="AC6" i="2"/>
  <c r="AD6" i="2" s="1"/>
  <c r="AD5" i="2"/>
  <c r="AC5" i="2"/>
  <c r="AC4" i="2"/>
  <c r="AD4" i="2" s="1"/>
  <c r="AE4" i="2" s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E4" i="1" l="1"/>
  <c r="C6" i="3" s="1"/>
  <c r="E6" i="3" s="1"/>
  <c r="AE31" i="2"/>
  <c r="AE46" i="1"/>
  <c r="C17" i="3" s="1"/>
  <c r="E17" i="3" s="1"/>
  <c r="AE11" i="1"/>
  <c r="C8" i="3" s="1"/>
  <c r="E8" i="3" s="1"/>
  <c r="AE15" i="1"/>
  <c r="C9" i="3" s="1"/>
  <c r="E9" i="3" s="1"/>
  <c r="AE31" i="1"/>
  <c r="C13" i="3" s="1"/>
  <c r="E13" i="3" s="1"/>
  <c r="AE35" i="1"/>
  <c r="C14" i="3" s="1"/>
  <c r="E14" i="3" s="1"/>
  <c r="AE8" i="1"/>
  <c r="C7" i="3" s="1"/>
  <c r="E7" i="3" s="1"/>
  <c r="AE38" i="1"/>
  <c r="C15" i="3" s="1"/>
  <c r="E15" i="3" s="1"/>
  <c r="AE42" i="1"/>
  <c r="C16" i="3" s="1"/>
  <c r="E16" i="3" s="1"/>
  <c r="AE23" i="1"/>
  <c r="C11" i="3" s="1"/>
  <c r="E11" i="3" s="1"/>
  <c r="AE27" i="1"/>
  <c r="C12" i="3" s="1"/>
  <c r="E12" i="3" s="1"/>
  <c r="AE19" i="1"/>
  <c r="C10" i="3" s="1"/>
  <c r="E10" i="3" s="1"/>
  <c r="E18" i="3" l="1"/>
  <c r="C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<sst xmlns="http://schemas.openxmlformats.org/spreadsheetml/2006/main" count="184" uniqueCount="48">
  <si>
    <t>AÑO</t>
  </si>
  <si>
    <t>MES</t>
  </si>
  <si>
    <t>TD</t>
  </si>
  <si>
    <t>CD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</si>
  <si>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</si>
  <si>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</si>
  <si>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</si>
  <si>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</si>
  <si>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</si>
  <si>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</si>
  <si>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</si>
  <si>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</si>
  <si>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</si>
  <si>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</si>
  <si>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</si>
  <si>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</si>
  <si>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</si>
  <si>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</si>
  <si>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</si>
  <si>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</si>
  <si>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</si>
  <si>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</si>
  <si>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</si>
  <si>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</si>
  <si>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</si>
  <si>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</si>
  <si>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</si>
  <si>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</si>
  <si>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DIARIO</t>
  </si>
  <si>
    <t>TOTAL DIAS MES</t>
  </si>
  <si>
    <t>TOTAL MES</t>
  </si>
  <si>
    <t>OR</t>
  </si>
  <si>
    <t>SA</t>
  </si>
  <si>
    <t>DO</t>
  </si>
  <si>
    <t>FE</t>
  </si>
  <si>
    <t>NECESIDADES DE COMPRA DE ENERGIA - POR AÑO / MES / TIPO DE DIA / HORA</t>
  </si>
  <si>
    <t>CANTIDADES DE ENERGÍA A SUMINISTRAR</t>
  </si>
  <si>
    <t>PRODUCTO 1:</t>
  </si>
  <si>
    <t>Energía solicitada kWh</t>
  </si>
  <si>
    <t>% Ofertado</t>
  </si>
  <si>
    <t>Energía Ofertada kWh</t>
  </si>
  <si>
    <t>Precio energía ofertada ($/kWh)</t>
  </si>
  <si>
    <t>TOTAL</t>
  </si>
  <si>
    <t xml:space="preserve">Notas: </t>
  </si>
  <si>
    <t>2. Modalidad: pague lo contratado.</t>
  </si>
  <si>
    <t xml:space="preserve">4. El % y el precio debe ser el mismo para todos los meses del año.  </t>
  </si>
  <si>
    <t>1. La Energía Ofertada dada en el Anexo 7.1</t>
  </si>
  <si>
    <t xml:space="preserve">3. Precio ofertado en $kWh en pesos de Agosto 2025.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</si>
</sst>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3" formatCode="_-* #,##0.00_-;\-* #,##0.00_-;_-* &quot;-&quot;??_-;_-@_-"/>
    <numFmt numFmtId="164" formatCode="#,##0_ ;[Red]\-#,##0\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0"/>
      <color rgb="FFFFFFFF"/>
      <name val="Aptos Narrow"/>
      <family val="2"/>
    </font>
    <font>
      <sz val="11"/>
      <color theme="0"/>
      <name val="Aptos Narrow"/>
      <family val="2"/>
      <scheme val="minor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FFFFCC"/>
        <bgColor indexed="64"/>
      </patternFill>
    </fill>
  </fills>
  <borders count="6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rgb="FF999999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5"/>
      </top>
      <bottom/>
      <diagonal/>
    </border>
    <border>
      <left style="medium">
        <color theme="0" tint="-0.24994659260841701"/>
      </left>
      <right/>
      <top style="thin">
        <color indexed="65"/>
      </top>
      <bottom/>
      <diagonal/>
    </border>
    <border>
      <left style="medium">
        <color theme="0" tint="-0.24994659260841701"/>
      </left>
      <right/>
      <top style="thin">
        <color indexed="65"/>
      </top>
      <bottom style="thick">
        <color theme="0" tint="-0.24994659260841701"/>
      </bottom>
      <diagonal/>
    </border>
    <border>
      <left style="medium">
        <color theme="0" tint="-0.24994659260841701"/>
      </left>
      <right/>
      <top style="thick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5"/>
      </top>
      <bottom style="medium">
        <color theme="0" tint="-0.24994659260841701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theme="0"/>
      </right>
      <top style="thin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0" tint="-0.24994659260841701"/>
      </right>
      <top style="medium">
        <color theme="0" tint="-0.24994659260841701"/>
      </top>
      <bottom style="thin">
        <color theme="0" tint="-0.14990691854609822"/>
      </bottom>
      <diagonal/>
    </border>
    <border>
      <left style="medium">
        <color theme="0" tint="-0.24994659260841701"/>
      </left>
      <right style="thin">
        <color theme="0" tint="-0.14996795556505021"/>
      </right>
      <top style="medium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24994659260841701"/>
      </top>
      <bottom style="thin">
        <color theme="0" tint="-0.14996795556505021"/>
      </bottom>
      <diagonal/>
    </border>
    <border>
      <left style="double">
        <color theme="0" tint="-0.34998626667073579"/>
      </left>
      <right style="thin">
        <color theme="0" tint="-0.14993743705557422"/>
      </right>
      <top style="medium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double">
        <color theme="0" tint="-0.34998626667073579"/>
      </right>
      <top style="medium">
        <color theme="0" tint="-0.24994659260841701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0" tint="-0.24994659260841701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theme="0" tint="-0.34998626667073579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double">
        <color theme="0" tint="-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ck">
        <color theme="0" tint="-0.24994659260841701"/>
      </bottom>
      <diagonal/>
    </border>
    <border>
      <left style="thin">
        <color theme="0" tint="-0.14993743705557422"/>
      </left>
      <right style="medium">
        <color theme="0" tint="-0.24994659260841701"/>
      </right>
      <top style="thin">
        <color theme="0" tint="-0.14990691854609822"/>
      </top>
      <bottom style="thick">
        <color theme="0" tint="-0.24994659260841701"/>
      </bottom>
      <diagonal/>
    </border>
    <border>
      <left style="medium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24994659260841701"/>
      </bottom>
      <diagonal/>
    </border>
    <border>
      <left style="double">
        <color theme="0" tint="-0.34998626667073579"/>
      </left>
      <right style="thin">
        <color theme="0" tint="-0.14993743705557422"/>
      </right>
      <top style="thin">
        <color theme="0" tint="-0.14993743705557422"/>
      </top>
      <bottom style="thick">
        <color theme="0" tint="-0.24994659260841701"/>
      </bottom>
      <diagonal/>
    </border>
    <border>
      <left style="thin">
        <color theme="0" tint="-0.14993743705557422"/>
      </left>
      <right style="double">
        <color theme="0" tint="-0.34998626667073579"/>
      </right>
      <top style="thin">
        <color theme="0" tint="-0.14993743705557422"/>
      </top>
      <bottom style="thick">
        <color theme="0" tint="-0.24994659260841701"/>
      </bottom>
      <diagonal/>
    </border>
    <border>
      <left/>
      <right style="medium">
        <color theme="0" tint="-0.24994659260841701"/>
      </right>
      <top/>
      <bottom style="thick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ck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0" tint="-0.24994659260841701"/>
      </right>
      <top style="thick">
        <color theme="0" tint="-0.24994659260841701"/>
      </top>
      <bottom style="thin">
        <color theme="0" tint="-0.14990691854609822"/>
      </bottom>
      <diagonal/>
    </border>
    <border>
      <left style="medium">
        <color theme="0" tint="-0.24994659260841701"/>
      </left>
      <right style="thin">
        <color theme="0" tint="-0.14996795556505021"/>
      </right>
      <top style="thick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24994659260841701"/>
      </top>
      <bottom style="thin">
        <color theme="0" tint="-0.14996795556505021"/>
      </bottom>
      <diagonal/>
    </border>
    <border>
      <left style="double">
        <color theme="0" tint="-0.34998626667073579"/>
      </left>
      <right style="thin">
        <color theme="0" tint="-0.14993743705557422"/>
      </right>
      <top style="thick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double">
        <color theme="0" tint="-0.34998626667073579"/>
      </right>
      <top style="thick">
        <color theme="0" tint="-0.24994659260841701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 style="thick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999999"/>
      </left>
      <right style="medium">
        <color theme="0" tint="-0.24994659260841701"/>
      </right>
      <top style="thin">
        <color rgb="FF999999"/>
      </top>
      <bottom/>
      <diagonal/>
    </border>
    <border>
      <left style="medium">
        <color theme="0" tint="-0.24994659260841701"/>
      </left>
      <right style="thin">
        <color rgb="FF999999"/>
      </right>
      <top style="thick">
        <color theme="0" tint="-0.24994659260841701"/>
      </top>
      <bottom/>
      <diagonal/>
    </border>
    <border>
      <left style="thin">
        <color rgb="FF999999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rgb="FF999999"/>
      </right>
      <top/>
      <bottom/>
      <diagonal/>
    </border>
    <border>
      <left style="medium">
        <color theme="0" tint="-0.24994659260841701"/>
      </left>
      <right style="thin">
        <color rgb="FF999999"/>
      </right>
      <top/>
      <bottom style="thick">
        <color theme="0" tint="-0.24994659260841701"/>
      </bottom>
      <diagonal/>
    </border>
    <border>
      <left style="thin">
        <color rgb="FF999999"/>
      </left>
      <right style="medium">
        <color theme="0" tint="-0.24994659260841701"/>
      </right>
      <top/>
      <bottom style="thin">
        <color rgb="FF9999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D9D9D9"/>
      </left>
      <right style="thin">
        <color rgb="FFD9D9D9"/>
      </right>
      <top style="thick">
        <color rgb="FFBFBFBF"/>
      </top>
      <bottom style="thin">
        <color rgb="FFD9D9D9"/>
      </bottom>
      <diagonal/>
    </border>
    <border>
      <left style="thin">
        <color rgb="FFD9D9D9"/>
      </left>
      <right style="medium">
        <color rgb="FFBFBFBF"/>
      </right>
      <top style="thick">
        <color rgb="FFBFBFBF"/>
      </top>
      <bottom style="thin">
        <color rgb="FFD9D9D9"/>
      </bottom>
      <diagonal/>
    </border>
    <border>
      <left style="medium">
        <color rgb="FFBFBFBF"/>
      </left>
      <right style="thin">
        <color rgb="FFD9D9D9"/>
      </right>
      <top style="thick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BFBFBF"/>
      </right>
      <top style="thin">
        <color rgb="FFD9D9D9"/>
      </top>
      <bottom style="thin">
        <color rgb="FFD9D9D9"/>
      </bottom>
      <diagonal/>
    </border>
    <border>
      <left style="medium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BFBFBF"/>
      </bottom>
      <diagonal/>
    </border>
    <border>
      <left style="thin">
        <color rgb="FFD9D9D9"/>
      </left>
      <right style="medium">
        <color rgb="FFBFBFBF"/>
      </right>
      <top style="thin">
        <color rgb="FFD9D9D9"/>
      </top>
      <bottom style="thick">
        <color rgb="FFBFBFBF"/>
      </bottom>
      <diagonal/>
    </border>
    <border>
      <left style="medium">
        <color rgb="FFBFBFBF"/>
      </left>
      <right style="thin">
        <color rgb="FFD9D9D9"/>
      </right>
      <top style="thin">
        <color rgb="FFD9D9D9"/>
      </top>
      <bottom style="thick">
        <color rgb="FFBFBFBF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808080"/>
      </left>
      <right/>
      <top style="medium">
        <color rgb="FF808080"/>
      </top>
      <bottom style="thin">
        <color rgb="FF80808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/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16" xfId="0" applyNumberFormat="1" applyFont="1" applyBorder="1"/>
    <xf numFmtId="3" fontId="4" fillId="0" borderId="17" xfId="0" applyNumberFormat="1" applyFont="1" applyBorder="1"/>
    <xf numFmtId="3" fontId="3" fillId="0" borderId="18" xfId="0" applyNumberFormat="1" applyFont="1" applyBorder="1"/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3" fontId="4" fillId="0" borderId="21" xfId="0" applyNumberFormat="1" applyFont="1" applyBorder="1"/>
    <xf numFmtId="3" fontId="4" fillId="0" borderId="22" xfId="0" applyNumberFormat="1" applyFont="1" applyBorder="1"/>
    <xf numFmtId="3" fontId="4" fillId="0" borderId="23" xfId="0" applyNumberFormat="1" applyFont="1" applyBorder="1"/>
    <xf numFmtId="3" fontId="4" fillId="0" borderId="24" xfId="0" applyNumberFormat="1" applyFont="1" applyBorder="1"/>
    <xf numFmtId="0" fontId="2" fillId="0" borderId="25" xfId="0" applyFont="1" applyBorder="1"/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3" fontId="4" fillId="0" borderId="28" xfId="0" applyNumberFormat="1" applyFont="1" applyBorder="1"/>
    <xf numFmtId="3" fontId="4" fillId="0" borderId="29" xfId="0" applyNumberFormat="1" applyFont="1" applyBorder="1"/>
    <xf numFmtId="3" fontId="4" fillId="0" borderId="30" xfId="0" applyNumberFormat="1" applyFont="1" applyBorder="1"/>
    <xf numFmtId="3" fontId="4" fillId="0" borderId="31" xfId="0" applyNumberFormat="1" applyFont="1" applyBorder="1"/>
    <xf numFmtId="0" fontId="2" fillId="0" borderId="32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3" fontId="4" fillId="0" borderId="35" xfId="0" applyNumberFormat="1" applyFont="1" applyBorder="1"/>
    <xf numFmtId="3" fontId="4" fillId="0" borderId="36" xfId="0" applyNumberFormat="1" applyFont="1" applyBorder="1"/>
    <xf numFmtId="3" fontId="4" fillId="0" borderId="37" xfId="0" applyNumberFormat="1" applyFont="1" applyBorder="1"/>
    <xf numFmtId="3" fontId="4" fillId="0" borderId="38" xfId="0" applyNumberFormat="1" applyFont="1" applyBorder="1"/>
    <xf numFmtId="3" fontId="3" fillId="0" borderId="39" xfId="0" applyNumberFormat="1" applyFont="1" applyBorder="1"/>
    <xf numFmtId="0" fontId="4" fillId="0" borderId="0" xfId="0" applyFont="1"/>
    <xf numFmtId="0" fontId="6" fillId="4" borderId="47" xfId="0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3" fontId="7" fillId="0" borderId="50" xfId="0" applyNumberFormat="1" applyFont="1" applyBorder="1"/>
    <xf numFmtId="3" fontId="7" fillId="0" borderId="48" xfId="0" applyNumberFormat="1" applyFont="1" applyBorder="1"/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3" fontId="7" fillId="0" borderId="53" xfId="0" applyNumberFormat="1" applyFont="1" applyBorder="1"/>
    <xf numFmtId="3" fontId="7" fillId="0" borderId="51" xfId="0" applyNumberFormat="1" applyFont="1" applyBorder="1"/>
    <xf numFmtId="0" fontId="7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3" fontId="7" fillId="0" borderId="56" xfId="0" applyNumberFormat="1" applyFont="1" applyBorder="1"/>
    <xf numFmtId="3" fontId="7" fillId="0" borderId="54" xfId="0" applyNumberFormat="1" applyFont="1" applyBorder="1"/>
    <xf numFmtId="0" fontId="3" fillId="2" borderId="57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0" fillId="5" borderId="0" xfId="0" applyFill="1"/>
    <xf numFmtId="0" fontId="5" fillId="5" borderId="0" xfId="0" applyFont="1" applyFill="1" applyAlignment="1">
      <alignment horizontal="centerContinuous"/>
    </xf>
    <xf numFmtId="0" fontId="4" fillId="5" borderId="0" xfId="0" applyFont="1" applyFill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applyFont="1"/>
    <xf numFmtId="0" fontId="11" fillId="6" borderId="47" xfId="0" applyFont="1" applyFill="1" applyBorder="1" applyAlignment="1">
      <alignment horizontal="center" vertical="center" wrapText="1"/>
    </xf>
    <xf numFmtId="0" fontId="11" fillId="6" borderId="58" xfId="0" applyFont="1" applyFill="1" applyBorder="1" applyAlignment="1">
      <alignment horizontal="center" vertical="center" wrapText="1"/>
    </xf>
    <xf numFmtId="0" fontId="9" fillId="0" borderId="59" xfId="0" applyFont="1" applyBorder="1"/>
    <xf numFmtId="0" fontId="10" fillId="0" borderId="60" xfId="0" applyFont="1" applyBorder="1"/>
    <xf numFmtId="164" fontId="10" fillId="0" borderId="61" xfId="0" applyNumberFormat="1" applyFont="1" applyBorder="1"/>
    <xf numFmtId="0" fontId="0" fillId="7" borderId="62" xfId="0" applyFill="1" applyBorder="1"/>
    <xf numFmtId="164" fontId="0" fillId="0" borderId="62" xfId="0" applyNumberFormat="1" applyBorder="1"/>
    <xf numFmtId="164" fontId="0" fillId="0" borderId="64" xfId="0" applyNumberFormat="1" applyBorder="1"/>
    <xf numFmtId="0" fontId="0" fillId="7" borderId="65" xfId="0" applyFill="1" applyBorder="1"/>
    <xf numFmtId="164" fontId="0" fillId="0" borderId="65" xfId="0" applyNumberFormat="1" applyBorder="1"/>
    <xf numFmtId="0" fontId="0" fillId="7" borderId="66" xfId="0" applyFill="1" applyBorder="1"/>
    <xf numFmtId="164" fontId="0" fillId="0" borderId="66" xfId="0" applyNumberFormat="1" applyBorder="1"/>
    <xf numFmtId="0" fontId="2" fillId="3" borderId="0" xfId="0" applyFont="1" applyFill="1" applyAlignment="1">
      <alignment horizontal="left" vertical="top"/>
    </xf>
    <xf numFmtId="9" fontId="0" fillId="0" borderId="63" xfId="1" applyFont="1" applyBorder="1" applyAlignment="1">
      <alignment horizontal="center" vertical="center"/>
    </xf>
    <xf numFmtId="9" fontId="0" fillId="0" borderId="67" xfId="1" applyFont="1" applyBorder="1" applyAlignment="1">
      <alignment horizontal="center" vertical="center"/>
    </xf>
    <xf numFmtId="8" fontId="0" fillId="0" borderId="63" xfId="0" applyNumberFormat="1" applyBorder="1" applyAlignment="1">
      <alignment horizontal="center"/>
    </xf>
    <xf numFmtId="8" fontId="0" fillId="0" borderId="67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13" fillId="0" borderId="0" xfId="0" applyFont="1"/>
    <xf numFmtId="43" fontId="0" fillId="0" borderId="0" xfId="2" applyFont="1"/>
    <xf numFmtId="164" fontId="12" fillId="0" borderId="0" xfId="0" applyNumberFormat="1" applyFont="1"/>
    <xf numFmtId="43" fontId="12" fillId="0" borderId="0" xfId="2" applyFont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FE71-AB27-4631-B34A-3A764EAE4A3D}">
  <dimension ref="A1:H24"/>
  <sheetViews>
    <sheetView showGridLines="0" workbookViewId="0">
      <selection activeCell="G18" sqref="G18:H18"/>
    </sheetView>
  </sheetViews>
  <sheetFormatPr baseColWidth="10" defaultRowHeight="15" x14ac:dyDescent="0.25"/>
  <cols>
    <col min="2" max="2" width="13.85546875" customWidth="1"/>
    <col min="8" max="8" width="17.85546875" bestFit="1" customWidth="1"/>
  </cols>
  <sheetData>
    <row r="1" spans="1:6" ht="15.75" x14ac:dyDescent="0.25">
      <c r="A1" s="52" t="s">
        <v>36</v>
      </c>
      <c r="B1" s="52"/>
      <c r="C1" s="52"/>
      <c r="D1" s="52"/>
      <c r="E1" s="52"/>
      <c r="F1" s="52"/>
    </row>
    <row r="2" spans="1:6" x14ac:dyDescent="0.25">
      <c r="A2" s="53"/>
      <c r="B2" s="53"/>
      <c r="C2" s="53"/>
      <c r="D2" s="53"/>
      <c r="E2" s="53"/>
      <c r="F2" s="53"/>
    </row>
    <row r="3" spans="1:6" x14ac:dyDescent="0.25">
      <c r="A3" s="54" t="s">
        <v>37</v>
      </c>
      <c r="B3" s="53"/>
      <c r="C3" s="53"/>
      <c r="D3" s="53"/>
      <c r="E3" s="53"/>
      <c r="F3" s="53"/>
    </row>
    <row r="4" spans="1:6" x14ac:dyDescent="0.25">
      <c r="A4" s="53"/>
      <c r="B4" s="53"/>
      <c r="C4" s="53"/>
      <c r="D4" s="53"/>
      <c r="E4" s="53"/>
      <c r="F4" s="53"/>
    </row>
    <row r="5" spans="1:6" ht="54" x14ac:dyDescent="0.25">
      <c r="A5" s="55" t="s">
        <v>0</v>
      </c>
      <c r="B5" s="55" t="s">
        <v>1</v>
      </c>
      <c r="C5" s="55" t="s">
        <v>38</v>
      </c>
      <c r="D5" s="55" t="s">
        <v>39</v>
      </c>
      <c r="E5" s="55" t="s">
        <v>40</v>
      </c>
      <c r="F5" s="56" t="s">
        <v>41</v>
      </c>
    </row>
    <row r="6" spans="1:6" x14ac:dyDescent="0.25">
      <c r="A6" s="67">
        <f>+Curva2026!A4</f>
        <v>2026</v>
      </c>
      <c r="B6" s="60" cm="1">
        <f t="array" ref="B6:B17">_xlfn._xlws.SORT(_xlfn.UNIQUE(Curva2026!B4:B49,FALSE,TRUE))</f>
        <v>1</v>
      </c>
      <c r="C6" s="61">
        <f>_xlfn.XLOOKUP(B6,Curva2026!$B$4:$B$49,Curva2026!$AE$4:$AE$49,"88",0)</f>
        <v>7569582</v>
      </c>
      <c r="D6" s="68"/>
      <c r="E6" s="62">
        <f>C6*$D$6</f>
        <v>0</v>
      </c>
      <c r="F6" s="70"/>
    </row>
    <row r="7" spans="1:6" x14ac:dyDescent="0.25">
      <c r="A7" s="67"/>
      <c r="B7" s="63">
        <v>2</v>
      </c>
      <c r="C7" s="64">
        <f>_xlfn.XLOOKUP(B7,Curva2026!$B$4:$B$49,Curva2026!$AE$4:$AE$49,"88",0)</f>
        <v>8595696</v>
      </c>
      <c r="D7" s="68"/>
      <c r="E7" s="62">
        <f>C7*$D$6</f>
        <v>0</v>
      </c>
      <c r="F7" s="70"/>
    </row>
    <row r="8" spans="1:6" x14ac:dyDescent="0.25">
      <c r="A8" s="67"/>
      <c r="B8" s="63">
        <v>3</v>
      </c>
      <c r="C8" s="64">
        <f>_xlfn.XLOOKUP(B8,Curva2026!$B$4:$B$49,Curva2026!$AE$4:$AE$49,"88",0)</f>
        <v>8612292</v>
      </c>
      <c r="D8" s="68"/>
      <c r="E8" s="62">
        <f>C8*$D$6</f>
        <v>0</v>
      </c>
      <c r="F8" s="70"/>
    </row>
    <row r="9" spans="1:6" x14ac:dyDescent="0.25">
      <c r="A9" s="67"/>
      <c r="B9" s="63">
        <v>4</v>
      </c>
      <c r="C9" s="64">
        <f>_xlfn.XLOOKUP(B9,Curva2026!$B$4:$B$49,Curva2026!$AE$4:$AE$49,"88",0)</f>
        <v>5034448</v>
      </c>
      <c r="D9" s="68"/>
      <c r="E9" s="62">
        <f>C9*$D$6</f>
        <v>0</v>
      </c>
      <c r="F9" s="70"/>
    </row>
    <row r="10" spans="1:6" x14ac:dyDescent="0.25">
      <c r="A10" s="67"/>
      <c r="B10" s="63">
        <v>5</v>
      </c>
      <c r="C10" s="64">
        <f>_xlfn.XLOOKUP(B10,Curva2026!$B$4:$B$49,Curva2026!$AE$4:$AE$49,"88",0)</f>
        <v>0</v>
      </c>
      <c r="D10" s="68"/>
      <c r="E10" s="62">
        <f t="shared" ref="E10:E14" si="0">C10*$D$6</f>
        <v>0</v>
      </c>
      <c r="F10" s="70"/>
    </row>
    <row r="11" spans="1:6" x14ac:dyDescent="0.25">
      <c r="A11" s="67"/>
      <c r="B11" s="63">
        <v>6</v>
      </c>
      <c r="C11" s="64">
        <f>_xlfn.XLOOKUP(B11,Curva2026!$B$4:$B$49,Curva2026!$AE$4:$AE$49,"88",0)</f>
        <v>0</v>
      </c>
      <c r="D11" s="68"/>
      <c r="E11" s="62">
        <f t="shared" si="0"/>
        <v>0</v>
      </c>
      <c r="F11" s="70"/>
    </row>
    <row r="12" spans="1:6" x14ac:dyDescent="0.25">
      <c r="A12" s="67"/>
      <c r="B12" s="63">
        <v>7</v>
      </c>
      <c r="C12" s="64">
        <f>_xlfn.XLOOKUP(B12,Curva2026!$B$4:$B$49,Curva2026!$AE$4:$AE$49,"88",0)</f>
        <v>0</v>
      </c>
      <c r="D12" s="68"/>
      <c r="E12" s="62">
        <f t="shared" si="0"/>
        <v>0</v>
      </c>
      <c r="F12" s="70"/>
    </row>
    <row r="13" spans="1:6" x14ac:dyDescent="0.25">
      <c r="A13" s="67"/>
      <c r="B13" s="63">
        <v>8</v>
      </c>
      <c r="C13" s="64">
        <f>_xlfn.XLOOKUP(B13,Curva2026!$B$4:$B$49,Curva2026!$AE$4:$AE$49,"88",0)</f>
        <v>0</v>
      </c>
      <c r="D13" s="68"/>
      <c r="E13" s="62">
        <f t="shared" si="0"/>
        <v>0</v>
      </c>
      <c r="F13" s="70"/>
    </row>
    <row r="14" spans="1:6" x14ac:dyDescent="0.25">
      <c r="A14" s="67"/>
      <c r="B14" s="63">
        <v>9</v>
      </c>
      <c r="C14" s="64">
        <f>_xlfn.XLOOKUP(B14,Curva2026!$B$4:$B$49,Curva2026!$AE$4:$AE$49,"88",0)</f>
        <v>0</v>
      </c>
      <c r="D14" s="68"/>
      <c r="E14" s="62">
        <f t="shared" si="0"/>
        <v>0</v>
      </c>
      <c r="F14" s="70"/>
    </row>
    <row r="15" spans="1:6" x14ac:dyDescent="0.25">
      <c r="A15" s="67"/>
      <c r="B15" s="63">
        <v>10</v>
      </c>
      <c r="C15" s="64">
        <f>_xlfn.XLOOKUP(B15,Curva2026!$B$4:$B$49,Curva2026!$AE$4:$AE$49,"88",0)</f>
        <v>2612804</v>
      </c>
      <c r="D15" s="68"/>
      <c r="E15" s="62">
        <f>C15*$D$6</f>
        <v>0</v>
      </c>
      <c r="F15" s="70"/>
    </row>
    <row r="16" spans="1:6" x14ac:dyDescent="0.25">
      <c r="A16" s="67"/>
      <c r="B16" s="63">
        <v>11</v>
      </c>
      <c r="C16" s="64">
        <f>_xlfn.XLOOKUP(B16,Curva2026!$B$4:$B$49,Curva2026!$AE$4:$AE$49,"88",0)</f>
        <v>4423376</v>
      </c>
      <c r="D16" s="68"/>
      <c r="E16" s="62">
        <f>C16*$D$6</f>
        <v>0</v>
      </c>
      <c r="F16" s="70"/>
    </row>
    <row r="17" spans="1:8" ht="15.75" thickBot="1" x14ac:dyDescent="0.3">
      <c r="A17" s="67"/>
      <c r="B17" s="65">
        <v>12</v>
      </c>
      <c r="C17" s="66">
        <f>_xlfn.XLOOKUP(B17,Curva2026!$B$4:$B$49,Curva2026!$AE$4:$AE$49,"88",0)</f>
        <v>8951506</v>
      </c>
      <c r="D17" s="69"/>
      <c r="E17" s="62">
        <f>C17*$D$6</f>
        <v>0</v>
      </c>
      <c r="F17" s="71"/>
    </row>
    <row r="18" spans="1:8" x14ac:dyDescent="0.25">
      <c r="A18" s="57"/>
      <c r="B18" s="58" t="s">
        <v>42</v>
      </c>
      <c r="C18" s="59">
        <f>SUM(C6:C17)</f>
        <v>45799704</v>
      </c>
      <c r="D18" s="58"/>
      <c r="E18" s="59">
        <f>SUM(E6:E17)</f>
        <v>0</v>
      </c>
      <c r="F18" s="53"/>
      <c r="G18" s="87"/>
      <c r="H18" s="88"/>
    </row>
    <row r="19" spans="1:8" x14ac:dyDescent="0.25">
      <c r="A19" s="53"/>
      <c r="B19" s="53"/>
      <c r="C19" s="53"/>
      <c r="D19" s="53"/>
      <c r="E19" s="53"/>
      <c r="F19" s="53"/>
    </row>
    <row r="20" spans="1:8" x14ac:dyDescent="0.25">
      <c r="A20" s="53" t="s">
        <v>43</v>
      </c>
      <c r="B20" s="53"/>
      <c r="C20" s="53"/>
      <c r="D20" s="53"/>
      <c r="E20" s="53"/>
      <c r="F20" s="53"/>
    </row>
    <row r="21" spans="1:8" x14ac:dyDescent="0.25">
      <c r="A21" s="53"/>
      <c r="B21" s="85" t="s">
        <v>46</v>
      </c>
      <c r="C21" s="53"/>
      <c r="D21" s="53"/>
      <c r="E21" s="53"/>
      <c r="F21" s="53"/>
    </row>
    <row r="22" spans="1:8" x14ac:dyDescent="0.25">
      <c r="A22" s="53"/>
      <c r="B22" s="85" t="s">
        <v>44</v>
      </c>
      <c r="C22" s="53"/>
      <c r="D22" s="53"/>
      <c r="E22" s="53"/>
      <c r="F22" s="53"/>
    </row>
    <row r="23" spans="1:8" x14ac:dyDescent="0.25">
      <c r="A23" s="53"/>
      <c r="B23" s="85" t="s">
        <v>47</v>
      </c>
      <c r="C23" s="53"/>
      <c r="D23" s="53"/>
      <c r="E23" s="53"/>
      <c r="F23" s="53"/>
    </row>
    <row r="24" spans="1:8" x14ac:dyDescent="0.25">
      <c r="A24" s="53"/>
      <c r="B24" s="85" t="s">
        <v>45</v>
      </c>
      <c r="C24" s="53"/>
      <c r="D24" s="53"/>
      <c r="E24" s="53"/>
      <c r="F24" s="53"/>
    </row>
  </sheetData>
  <mergeCells count="2">
    <mergeCell ref="D6:D17"/>
    <mergeCell ref="F6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8C26-4F91-429F-BEDD-78CFF51B79F0}">
  <dimension ref="A1:AE49"/>
  <sheetViews>
    <sheetView showGridLines="0" workbookViewId="0">
      <selection activeCell="AD3" sqref="AD3"/>
    </sheetView>
  </sheetViews>
  <sheetFormatPr baseColWidth="10" defaultRowHeight="15" x14ac:dyDescent="0.25"/>
  <cols>
    <col min="1" max="1" width="5" bestFit="1" customWidth="1"/>
    <col min="2" max="2" width="3.85546875" bestFit="1" customWidth="1"/>
    <col min="3" max="4" width="3" bestFit="1" customWidth="1"/>
    <col min="5" max="28" width="5.7109375" bestFit="1" customWidth="1"/>
    <col min="29" max="29" width="6.5703125" bestFit="1" customWidth="1"/>
    <col min="30" max="30" width="8.42578125" bestFit="1" customWidth="1"/>
    <col min="31" max="31" width="8.140625" bestFit="1" customWidth="1"/>
  </cols>
  <sheetData>
    <row r="1" spans="1:31" ht="15.75" x14ac:dyDescent="0.25">
      <c r="A1" s="49"/>
      <c r="B1" s="49"/>
      <c r="C1" s="49"/>
      <c r="D1" s="49"/>
      <c r="E1" s="50" t="s">
        <v>35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49"/>
    </row>
    <row r="2" spans="1:31" ht="15.75" thickBot="1" x14ac:dyDescent="0.3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spans="1:31" ht="23.2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2" t="s">
        <v>28</v>
      </c>
      <c r="AD3" s="3" t="s">
        <v>29</v>
      </c>
      <c r="AE3" s="4" t="s">
        <v>30</v>
      </c>
    </row>
    <row r="4" spans="1:31" x14ac:dyDescent="0.25">
      <c r="A4" s="75">
        <v>2026</v>
      </c>
      <c r="B4" s="78">
        <v>1</v>
      </c>
      <c r="C4" s="5" t="s">
        <v>31</v>
      </c>
      <c r="D4" s="6">
        <v>20</v>
      </c>
      <c r="E4" s="7">
        <v>6593</v>
      </c>
      <c r="F4" s="8">
        <v>4528</v>
      </c>
      <c r="G4" s="8">
        <v>2952</v>
      </c>
      <c r="H4" s="8">
        <v>1846</v>
      </c>
      <c r="I4" s="8">
        <v>1297</v>
      </c>
      <c r="J4" s="8">
        <v>924</v>
      </c>
      <c r="K4" s="8">
        <v>500</v>
      </c>
      <c r="L4" s="8">
        <v>978</v>
      </c>
      <c r="M4" s="8">
        <v>6172</v>
      </c>
      <c r="N4" s="8">
        <v>9494</v>
      </c>
      <c r="O4" s="8">
        <v>12170</v>
      </c>
      <c r="P4" s="8">
        <v>13954</v>
      </c>
      <c r="Q4" s="8">
        <v>11545</v>
      </c>
      <c r="R4" s="8">
        <v>13935</v>
      </c>
      <c r="S4" s="8">
        <v>18092</v>
      </c>
      <c r="T4" s="8">
        <v>18460</v>
      </c>
      <c r="U4" s="8">
        <v>16968</v>
      </c>
      <c r="V4" s="8">
        <v>22467</v>
      </c>
      <c r="W4" s="8">
        <v>26900</v>
      </c>
      <c r="X4" s="8">
        <v>27768</v>
      </c>
      <c r="Y4" s="8">
        <v>26397</v>
      </c>
      <c r="Z4" s="8">
        <v>24188</v>
      </c>
      <c r="AA4" s="8">
        <v>20588</v>
      </c>
      <c r="AB4" s="8">
        <v>16809</v>
      </c>
      <c r="AC4" s="9">
        <f>SUM(E4:AB4)</f>
        <v>305525</v>
      </c>
      <c r="AD4" s="10">
        <f>AC4*D4</f>
        <v>6110500</v>
      </c>
      <c r="AE4" s="11">
        <f>SUM(AD4:AD7)</f>
        <v>7569582</v>
      </c>
    </row>
    <row r="5" spans="1:31" x14ac:dyDescent="0.25">
      <c r="A5" s="76"/>
      <c r="B5" s="73"/>
      <c r="C5" s="12" t="s">
        <v>32</v>
      </c>
      <c r="D5" s="13">
        <v>5</v>
      </c>
      <c r="E5" s="14">
        <v>500</v>
      </c>
      <c r="F5" s="15">
        <v>500</v>
      </c>
      <c r="G5" s="15">
        <v>500</v>
      </c>
      <c r="H5" s="15">
        <v>500</v>
      </c>
      <c r="I5" s="15">
        <v>500</v>
      </c>
      <c r="J5" s="15">
        <v>500</v>
      </c>
      <c r="K5" s="15">
        <v>500</v>
      </c>
      <c r="L5" s="15">
        <v>500</v>
      </c>
      <c r="M5" s="15">
        <v>500</v>
      </c>
      <c r="N5" s="15">
        <v>500</v>
      </c>
      <c r="O5" s="15">
        <v>500</v>
      </c>
      <c r="P5" s="15">
        <v>500</v>
      </c>
      <c r="Q5" s="15">
        <v>500</v>
      </c>
      <c r="R5" s="15">
        <v>500</v>
      </c>
      <c r="S5" s="15">
        <v>500</v>
      </c>
      <c r="T5" s="15">
        <v>500</v>
      </c>
      <c r="U5" s="15">
        <v>500</v>
      </c>
      <c r="V5" s="15">
        <v>5488</v>
      </c>
      <c r="W5" s="15">
        <v>10367</v>
      </c>
      <c r="X5" s="15">
        <v>11114</v>
      </c>
      <c r="Y5" s="15">
        <v>9992</v>
      </c>
      <c r="Z5" s="15">
        <v>8416</v>
      </c>
      <c r="AA5" s="15">
        <v>5980</v>
      </c>
      <c r="AB5" s="15">
        <v>3771</v>
      </c>
      <c r="AC5" s="16">
        <f t="shared" ref="AC5:AC49" si="0">SUM(E5:AB5)</f>
        <v>63628</v>
      </c>
      <c r="AD5" s="17">
        <f t="shared" ref="AD5:AD49" si="1">AC5*D5</f>
        <v>318140</v>
      </c>
      <c r="AE5" s="18"/>
    </row>
    <row r="6" spans="1:31" x14ac:dyDescent="0.25">
      <c r="A6" s="76"/>
      <c r="B6" s="73"/>
      <c r="C6" s="12" t="s">
        <v>33</v>
      </c>
      <c r="D6" s="13">
        <v>4</v>
      </c>
      <c r="E6" s="14">
        <v>7456</v>
      </c>
      <c r="F6" s="15">
        <v>5313</v>
      </c>
      <c r="G6" s="15">
        <v>3694</v>
      </c>
      <c r="H6" s="15">
        <v>2530</v>
      </c>
      <c r="I6" s="15">
        <v>1869</v>
      </c>
      <c r="J6" s="15">
        <v>1126</v>
      </c>
      <c r="K6" s="15">
        <v>500</v>
      </c>
      <c r="L6" s="15">
        <v>500</v>
      </c>
      <c r="M6" s="15">
        <v>1004</v>
      </c>
      <c r="N6" s="15">
        <v>3059</v>
      </c>
      <c r="O6" s="15">
        <v>5003</v>
      </c>
      <c r="P6" s="15">
        <v>6448</v>
      </c>
      <c r="Q6" s="15">
        <v>6799</v>
      </c>
      <c r="R6" s="15">
        <v>6715</v>
      </c>
      <c r="S6" s="15">
        <v>6441</v>
      </c>
      <c r="T6" s="15">
        <v>6640</v>
      </c>
      <c r="U6" s="15">
        <v>6953</v>
      </c>
      <c r="V6" s="15">
        <v>15284</v>
      </c>
      <c r="W6" s="15">
        <v>22550</v>
      </c>
      <c r="X6" s="15">
        <v>24746</v>
      </c>
      <c r="Y6" s="15">
        <v>24417</v>
      </c>
      <c r="Z6" s="15">
        <v>22261</v>
      </c>
      <c r="AA6" s="15">
        <v>19216</v>
      </c>
      <c r="AB6" s="15">
        <v>15781</v>
      </c>
      <c r="AC6" s="16">
        <f t="shared" si="0"/>
        <v>216305</v>
      </c>
      <c r="AD6" s="17">
        <f t="shared" si="1"/>
        <v>865220</v>
      </c>
      <c r="AE6" s="18"/>
    </row>
    <row r="7" spans="1:31" ht="15.75" thickBot="1" x14ac:dyDescent="0.3">
      <c r="A7" s="76"/>
      <c r="B7" s="74"/>
      <c r="C7" s="19" t="s">
        <v>34</v>
      </c>
      <c r="D7" s="20">
        <v>2</v>
      </c>
      <c r="E7" s="21">
        <v>1882</v>
      </c>
      <c r="F7" s="22">
        <v>699</v>
      </c>
      <c r="G7" s="22">
        <v>500</v>
      </c>
      <c r="H7" s="22">
        <v>500</v>
      </c>
      <c r="I7" s="22">
        <v>500</v>
      </c>
      <c r="J7" s="22">
        <v>500</v>
      </c>
      <c r="K7" s="22">
        <v>500</v>
      </c>
      <c r="L7" s="22">
        <v>500</v>
      </c>
      <c r="M7" s="22">
        <v>500</v>
      </c>
      <c r="N7" s="22">
        <v>500</v>
      </c>
      <c r="O7" s="22">
        <v>1650</v>
      </c>
      <c r="P7" s="22">
        <v>2978</v>
      </c>
      <c r="Q7" s="22">
        <v>3024</v>
      </c>
      <c r="R7" s="22">
        <v>2474</v>
      </c>
      <c r="S7" s="22">
        <v>2383</v>
      </c>
      <c r="T7" s="22">
        <v>2342</v>
      </c>
      <c r="U7" s="22">
        <v>2260</v>
      </c>
      <c r="V7" s="22">
        <v>10927</v>
      </c>
      <c r="W7" s="22">
        <v>18230</v>
      </c>
      <c r="X7" s="22">
        <v>19809</v>
      </c>
      <c r="Y7" s="22">
        <v>19467</v>
      </c>
      <c r="Z7" s="22">
        <v>17754</v>
      </c>
      <c r="AA7" s="22">
        <v>15284</v>
      </c>
      <c r="AB7" s="22">
        <v>12698</v>
      </c>
      <c r="AC7" s="23">
        <f t="shared" si="0"/>
        <v>137861</v>
      </c>
      <c r="AD7" s="24">
        <f t="shared" si="1"/>
        <v>275722</v>
      </c>
      <c r="AE7" s="25"/>
    </row>
    <row r="8" spans="1:31" ht="15.75" thickTop="1" x14ac:dyDescent="0.25">
      <c r="A8" s="76"/>
      <c r="B8" s="72">
        <v>2</v>
      </c>
      <c r="C8" s="26" t="s">
        <v>31</v>
      </c>
      <c r="D8" s="27">
        <v>20</v>
      </c>
      <c r="E8" s="28">
        <v>7767</v>
      </c>
      <c r="F8" s="29">
        <v>5785</v>
      </c>
      <c r="G8" s="29">
        <v>4177</v>
      </c>
      <c r="H8" s="29">
        <v>2957</v>
      </c>
      <c r="I8" s="29">
        <v>2351</v>
      </c>
      <c r="J8" s="29">
        <v>3376</v>
      </c>
      <c r="K8" s="29">
        <v>807</v>
      </c>
      <c r="L8" s="29">
        <v>3019</v>
      </c>
      <c r="M8" s="29">
        <v>7877</v>
      </c>
      <c r="N8" s="29">
        <v>10915</v>
      </c>
      <c r="O8" s="29">
        <v>13309</v>
      </c>
      <c r="P8" s="29">
        <v>14918</v>
      </c>
      <c r="Q8" s="29">
        <v>11550</v>
      </c>
      <c r="R8" s="29">
        <v>14360</v>
      </c>
      <c r="S8" s="29">
        <v>19381</v>
      </c>
      <c r="T8" s="29">
        <v>20127</v>
      </c>
      <c r="U8" s="29">
        <v>18683</v>
      </c>
      <c r="V8" s="29">
        <v>23937</v>
      </c>
      <c r="W8" s="29">
        <v>27943</v>
      </c>
      <c r="X8" s="29">
        <v>29341</v>
      </c>
      <c r="Y8" s="29">
        <v>28524</v>
      </c>
      <c r="Z8" s="29">
        <v>26123</v>
      </c>
      <c r="AA8" s="29">
        <v>21982</v>
      </c>
      <c r="AB8" s="29">
        <v>18042</v>
      </c>
      <c r="AC8" s="30">
        <f t="shared" si="0"/>
        <v>337251</v>
      </c>
      <c r="AD8" s="31">
        <f t="shared" si="1"/>
        <v>6745020</v>
      </c>
      <c r="AE8" s="32">
        <f>SUM(AD8:AD10)</f>
        <v>8595696</v>
      </c>
    </row>
    <row r="9" spans="1:31" x14ac:dyDescent="0.25">
      <c r="A9" s="76"/>
      <c r="B9" s="73"/>
      <c r="C9" s="12" t="s">
        <v>32</v>
      </c>
      <c r="D9" s="13">
        <v>4</v>
      </c>
      <c r="E9" s="14">
        <v>6730</v>
      </c>
      <c r="F9" s="15">
        <v>4828</v>
      </c>
      <c r="G9" s="15">
        <v>3391</v>
      </c>
      <c r="H9" s="15">
        <v>2216</v>
      </c>
      <c r="I9" s="15">
        <v>1556</v>
      </c>
      <c r="J9" s="15">
        <v>1083</v>
      </c>
      <c r="K9" s="15">
        <v>500</v>
      </c>
      <c r="L9" s="15">
        <v>500</v>
      </c>
      <c r="M9" s="15">
        <v>4855</v>
      </c>
      <c r="N9" s="15">
        <v>8349</v>
      </c>
      <c r="O9" s="15">
        <v>10793</v>
      </c>
      <c r="P9" s="15">
        <v>12116</v>
      </c>
      <c r="Q9" s="15">
        <v>11069</v>
      </c>
      <c r="R9" s="15">
        <v>10506</v>
      </c>
      <c r="S9" s="15">
        <v>11419</v>
      </c>
      <c r="T9" s="15">
        <v>11347</v>
      </c>
      <c r="U9" s="15">
        <v>10558</v>
      </c>
      <c r="V9" s="15">
        <v>17552</v>
      </c>
      <c r="W9" s="15">
        <v>23404</v>
      </c>
      <c r="X9" s="15">
        <v>24707</v>
      </c>
      <c r="Y9" s="15">
        <v>23627</v>
      </c>
      <c r="Z9" s="15">
        <v>21121</v>
      </c>
      <c r="AA9" s="15">
        <v>18235</v>
      </c>
      <c r="AB9" s="15">
        <v>15338</v>
      </c>
      <c r="AC9" s="16">
        <f t="shared" si="0"/>
        <v>255800</v>
      </c>
      <c r="AD9" s="17">
        <f t="shared" si="1"/>
        <v>1023200</v>
      </c>
      <c r="AE9" s="18"/>
    </row>
    <row r="10" spans="1:31" ht="15.75" thickBot="1" x14ac:dyDescent="0.3">
      <c r="A10" s="76"/>
      <c r="B10" s="74"/>
      <c r="C10" s="19" t="s">
        <v>33</v>
      </c>
      <c r="D10" s="20">
        <v>4</v>
      </c>
      <c r="E10" s="21">
        <v>6072</v>
      </c>
      <c r="F10" s="22">
        <v>4346</v>
      </c>
      <c r="G10" s="22">
        <v>2868</v>
      </c>
      <c r="H10" s="22">
        <v>1799</v>
      </c>
      <c r="I10" s="22">
        <v>1117</v>
      </c>
      <c r="J10" s="22">
        <v>500</v>
      </c>
      <c r="K10" s="22">
        <v>500</v>
      </c>
      <c r="L10" s="22">
        <v>500</v>
      </c>
      <c r="M10" s="22">
        <v>500</v>
      </c>
      <c r="N10" s="22">
        <v>1900</v>
      </c>
      <c r="O10" s="22">
        <v>3924</v>
      </c>
      <c r="P10" s="22">
        <v>5818</v>
      </c>
      <c r="Q10" s="22">
        <v>6192</v>
      </c>
      <c r="R10" s="22">
        <v>6364</v>
      </c>
      <c r="S10" s="22">
        <v>6934</v>
      </c>
      <c r="T10" s="22">
        <v>7478</v>
      </c>
      <c r="U10" s="22">
        <v>7144</v>
      </c>
      <c r="V10" s="22">
        <v>15166</v>
      </c>
      <c r="W10" s="22">
        <v>21649</v>
      </c>
      <c r="X10" s="22">
        <v>24384</v>
      </c>
      <c r="Y10" s="22">
        <v>24723</v>
      </c>
      <c r="Z10" s="22">
        <v>22548</v>
      </c>
      <c r="AA10" s="22">
        <v>19059</v>
      </c>
      <c r="AB10" s="22">
        <v>15384</v>
      </c>
      <c r="AC10" s="23">
        <f t="shared" si="0"/>
        <v>206869</v>
      </c>
      <c r="AD10" s="24">
        <f t="shared" si="1"/>
        <v>827476</v>
      </c>
      <c r="AE10" s="25"/>
    </row>
    <row r="11" spans="1:31" ht="15.75" thickTop="1" x14ac:dyDescent="0.25">
      <c r="A11" s="76"/>
      <c r="B11" s="72">
        <v>3</v>
      </c>
      <c r="C11" s="26" t="s">
        <v>31</v>
      </c>
      <c r="D11" s="27">
        <v>21</v>
      </c>
      <c r="E11" s="28">
        <v>5421</v>
      </c>
      <c r="F11" s="29">
        <v>3563</v>
      </c>
      <c r="G11" s="29">
        <v>2279</v>
      </c>
      <c r="H11" s="29">
        <v>1182</v>
      </c>
      <c r="I11" s="29">
        <v>674</v>
      </c>
      <c r="J11" s="29">
        <v>1083</v>
      </c>
      <c r="K11" s="29">
        <v>500</v>
      </c>
      <c r="L11" s="29">
        <v>1165</v>
      </c>
      <c r="M11" s="29">
        <v>5457</v>
      </c>
      <c r="N11" s="29">
        <v>8236</v>
      </c>
      <c r="O11" s="29">
        <v>10559</v>
      </c>
      <c r="P11" s="29">
        <v>12151</v>
      </c>
      <c r="Q11" s="29">
        <v>9029</v>
      </c>
      <c r="R11" s="29">
        <v>11283</v>
      </c>
      <c r="S11" s="29">
        <v>15219</v>
      </c>
      <c r="T11" s="29">
        <v>15843</v>
      </c>
      <c r="U11" s="29">
        <v>14423</v>
      </c>
      <c r="V11" s="29">
        <v>19607</v>
      </c>
      <c r="W11" s="29">
        <v>23718</v>
      </c>
      <c r="X11" s="29">
        <v>24831</v>
      </c>
      <c r="Y11" s="29">
        <v>23936</v>
      </c>
      <c r="Z11" s="29">
        <v>21633</v>
      </c>
      <c r="AA11" s="29">
        <v>17967</v>
      </c>
      <c r="AB11" s="29">
        <v>14755</v>
      </c>
      <c r="AC11" s="30">
        <f t="shared" si="0"/>
        <v>264514</v>
      </c>
      <c r="AD11" s="31">
        <f t="shared" si="1"/>
        <v>5554794</v>
      </c>
      <c r="AE11" s="32">
        <f>SUM(AD11:AD14)</f>
        <v>8612292</v>
      </c>
    </row>
    <row r="12" spans="1:31" x14ac:dyDescent="0.25">
      <c r="A12" s="76"/>
      <c r="B12" s="73"/>
      <c r="C12" s="12" t="s">
        <v>32</v>
      </c>
      <c r="D12" s="13">
        <v>4</v>
      </c>
      <c r="E12" s="14">
        <v>13539</v>
      </c>
      <c r="F12" s="15">
        <v>11570</v>
      </c>
      <c r="G12" s="15">
        <v>10016</v>
      </c>
      <c r="H12" s="15">
        <v>8708</v>
      </c>
      <c r="I12" s="15">
        <v>7796</v>
      </c>
      <c r="J12" s="15">
        <v>7146</v>
      </c>
      <c r="K12" s="15">
        <v>4475</v>
      </c>
      <c r="L12" s="15">
        <v>6493</v>
      </c>
      <c r="M12" s="15">
        <v>11646</v>
      </c>
      <c r="N12" s="15">
        <v>15249</v>
      </c>
      <c r="O12" s="15">
        <v>18131</v>
      </c>
      <c r="P12" s="15">
        <v>19614</v>
      </c>
      <c r="Q12" s="15">
        <v>17829</v>
      </c>
      <c r="R12" s="15">
        <v>17020</v>
      </c>
      <c r="S12" s="15">
        <v>17417</v>
      </c>
      <c r="T12" s="15">
        <v>17803</v>
      </c>
      <c r="U12" s="15">
        <v>16584</v>
      </c>
      <c r="V12" s="15">
        <v>23650</v>
      </c>
      <c r="W12" s="15">
        <v>30522</v>
      </c>
      <c r="X12" s="15">
        <v>31555</v>
      </c>
      <c r="Y12" s="15">
        <v>30190</v>
      </c>
      <c r="Z12" s="15">
        <v>28096</v>
      </c>
      <c r="AA12" s="15">
        <v>25068</v>
      </c>
      <c r="AB12" s="15">
        <v>22339</v>
      </c>
      <c r="AC12" s="16">
        <f t="shared" si="0"/>
        <v>412456</v>
      </c>
      <c r="AD12" s="17">
        <f t="shared" si="1"/>
        <v>1649824</v>
      </c>
      <c r="AE12" s="18"/>
    </row>
    <row r="13" spans="1:31" x14ac:dyDescent="0.25">
      <c r="A13" s="76"/>
      <c r="B13" s="73"/>
      <c r="C13" s="12" t="s">
        <v>33</v>
      </c>
      <c r="D13" s="13">
        <v>5</v>
      </c>
      <c r="E13" s="14">
        <v>1832</v>
      </c>
      <c r="F13" s="15">
        <v>410</v>
      </c>
      <c r="G13" s="15">
        <v>500</v>
      </c>
      <c r="H13" s="15">
        <v>500</v>
      </c>
      <c r="I13" s="15">
        <v>500</v>
      </c>
      <c r="J13" s="15">
        <v>500</v>
      </c>
      <c r="K13" s="15">
        <v>500</v>
      </c>
      <c r="L13" s="15">
        <v>500</v>
      </c>
      <c r="M13" s="15">
        <v>500</v>
      </c>
      <c r="N13" s="15">
        <v>500</v>
      </c>
      <c r="O13" s="15">
        <v>500</v>
      </c>
      <c r="P13" s="15">
        <v>863</v>
      </c>
      <c r="Q13" s="15">
        <v>1539</v>
      </c>
      <c r="R13" s="15">
        <v>1468</v>
      </c>
      <c r="S13" s="15">
        <v>2265</v>
      </c>
      <c r="T13" s="15">
        <v>1640</v>
      </c>
      <c r="U13" s="15">
        <v>873</v>
      </c>
      <c r="V13" s="15">
        <v>9660</v>
      </c>
      <c r="W13" s="15">
        <v>15453</v>
      </c>
      <c r="X13" s="15">
        <v>17312</v>
      </c>
      <c r="Y13" s="15">
        <v>17316</v>
      </c>
      <c r="Z13" s="15">
        <v>15737</v>
      </c>
      <c r="AA13" s="15">
        <v>13237</v>
      </c>
      <c r="AB13" s="15">
        <v>10004</v>
      </c>
      <c r="AC13" s="16">
        <f t="shared" si="0"/>
        <v>114109</v>
      </c>
      <c r="AD13" s="17">
        <f t="shared" si="1"/>
        <v>570545</v>
      </c>
      <c r="AE13" s="18"/>
    </row>
    <row r="14" spans="1:31" ht="15.75" thickBot="1" x14ac:dyDescent="0.3">
      <c r="A14" s="76"/>
      <c r="B14" s="74"/>
      <c r="C14" s="19" t="s">
        <v>34</v>
      </c>
      <c r="D14" s="20">
        <v>1</v>
      </c>
      <c r="E14" s="21">
        <v>31343</v>
      </c>
      <c r="F14" s="22">
        <v>28232</v>
      </c>
      <c r="G14" s="22">
        <v>26088</v>
      </c>
      <c r="H14" s="22">
        <v>24521</v>
      </c>
      <c r="I14" s="22">
        <v>23705</v>
      </c>
      <c r="J14" s="22">
        <v>21853</v>
      </c>
      <c r="K14" s="22">
        <v>18701</v>
      </c>
      <c r="L14" s="22">
        <v>20712</v>
      </c>
      <c r="M14" s="22">
        <v>24454</v>
      </c>
      <c r="N14" s="22">
        <v>27756</v>
      </c>
      <c r="O14" s="22">
        <v>31073</v>
      </c>
      <c r="P14" s="22">
        <v>34664</v>
      </c>
      <c r="Q14" s="22">
        <v>35667</v>
      </c>
      <c r="R14" s="22">
        <v>35981</v>
      </c>
      <c r="S14" s="22">
        <v>35927</v>
      </c>
      <c r="T14" s="22">
        <v>35844</v>
      </c>
      <c r="U14" s="22">
        <v>34955</v>
      </c>
      <c r="V14" s="22">
        <v>42361</v>
      </c>
      <c r="W14" s="22">
        <v>52136</v>
      </c>
      <c r="X14" s="22">
        <v>55349</v>
      </c>
      <c r="Y14" s="22">
        <v>55073</v>
      </c>
      <c r="Z14" s="22">
        <v>52175</v>
      </c>
      <c r="AA14" s="22">
        <v>47132</v>
      </c>
      <c r="AB14" s="22">
        <v>41427</v>
      </c>
      <c r="AC14" s="23">
        <f t="shared" si="0"/>
        <v>837129</v>
      </c>
      <c r="AD14" s="24">
        <f t="shared" si="1"/>
        <v>837129</v>
      </c>
      <c r="AE14" s="25"/>
    </row>
    <row r="15" spans="1:31" ht="15.75" thickTop="1" x14ac:dyDescent="0.25">
      <c r="A15" s="76"/>
      <c r="B15" s="72">
        <v>4</v>
      </c>
      <c r="C15" s="26" t="s">
        <v>31</v>
      </c>
      <c r="D15" s="27">
        <v>20</v>
      </c>
      <c r="E15" s="28">
        <v>2608</v>
      </c>
      <c r="F15" s="29">
        <v>1574</v>
      </c>
      <c r="G15" s="29">
        <v>837</v>
      </c>
      <c r="H15" s="29">
        <v>500</v>
      </c>
      <c r="I15" s="29">
        <v>500</v>
      </c>
      <c r="J15" s="29">
        <v>500</v>
      </c>
      <c r="K15" s="29">
        <v>500</v>
      </c>
      <c r="L15" s="29">
        <v>723</v>
      </c>
      <c r="M15" s="29">
        <v>3626</v>
      </c>
      <c r="N15" s="29">
        <v>5807</v>
      </c>
      <c r="O15" s="29">
        <v>7350</v>
      </c>
      <c r="P15" s="29">
        <v>7774</v>
      </c>
      <c r="Q15" s="29">
        <v>6177</v>
      </c>
      <c r="R15" s="29">
        <v>7796</v>
      </c>
      <c r="S15" s="29">
        <v>10224</v>
      </c>
      <c r="T15" s="29">
        <v>10211</v>
      </c>
      <c r="U15" s="29">
        <v>8764</v>
      </c>
      <c r="V15" s="29">
        <v>12871</v>
      </c>
      <c r="W15" s="29">
        <v>15612</v>
      </c>
      <c r="X15" s="29">
        <v>16011</v>
      </c>
      <c r="Y15" s="29">
        <v>15051</v>
      </c>
      <c r="Z15" s="29">
        <v>13362</v>
      </c>
      <c r="AA15" s="29">
        <v>10977</v>
      </c>
      <c r="AB15" s="29">
        <v>8550</v>
      </c>
      <c r="AC15" s="30">
        <f t="shared" si="0"/>
        <v>167905</v>
      </c>
      <c r="AD15" s="31">
        <f t="shared" si="1"/>
        <v>3358100</v>
      </c>
      <c r="AE15" s="32">
        <f>SUM(AD15:AD18)</f>
        <v>5034448</v>
      </c>
    </row>
    <row r="16" spans="1:31" x14ac:dyDescent="0.25">
      <c r="A16" s="76"/>
      <c r="B16" s="73"/>
      <c r="C16" s="12" t="s">
        <v>32</v>
      </c>
      <c r="D16" s="13">
        <v>4</v>
      </c>
      <c r="E16" s="14">
        <v>6678</v>
      </c>
      <c r="F16" s="15">
        <v>5441</v>
      </c>
      <c r="G16" s="15">
        <v>4479</v>
      </c>
      <c r="H16" s="15">
        <v>3724</v>
      </c>
      <c r="I16" s="15">
        <v>3329</v>
      </c>
      <c r="J16" s="15">
        <v>2472</v>
      </c>
      <c r="K16" s="15">
        <v>1399</v>
      </c>
      <c r="L16" s="15">
        <v>3156</v>
      </c>
      <c r="M16" s="15">
        <v>5952</v>
      </c>
      <c r="N16" s="15">
        <v>7795</v>
      </c>
      <c r="O16" s="15">
        <v>9467</v>
      </c>
      <c r="P16" s="15">
        <v>10745</v>
      </c>
      <c r="Q16" s="15">
        <v>10259</v>
      </c>
      <c r="R16" s="15">
        <v>10082</v>
      </c>
      <c r="S16" s="15">
        <v>10767</v>
      </c>
      <c r="T16" s="15">
        <v>10903</v>
      </c>
      <c r="U16" s="15">
        <v>10293</v>
      </c>
      <c r="V16" s="15">
        <v>15109</v>
      </c>
      <c r="W16" s="15">
        <v>19508</v>
      </c>
      <c r="X16" s="15">
        <v>20001</v>
      </c>
      <c r="Y16" s="15">
        <v>19012</v>
      </c>
      <c r="Z16" s="15">
        <v>17517</v>
      </c>
      <c r="AA16" s="15">
        <v>15347</v>
      </c>
      <c r="AB16" s="15">
        <v>13388</v>
      </c>
      <c r="AC16" s="16">
        <f t="shared" si="0"/>
        <v>236823</v>
      </c>
      <c r="AD16" s="17">
        <f t="shared" si="1"/>
        <v>947292</v>
      </c>
      <c r="AE16" s="18"/>
    </row>
    <row r="17" spans="1:31" x14ac:dyDescent="0.25">
      <c r="A17" s="76"/>
      <c r="B17" s="73"/>
      <c r="C17" s="12" t="s">
        <v>33</v>
      </c>
      <c r="D17" s="13">
        <v>4</v>
      </c>
      <c r="E17" s="14">
        <v>5556</v>
      </c>
      <c r="F17" s="15">
        <v>4360</v>
      </c>
      <c r="G17" s="15">
        <v>3390</v>
      </c>
      <c r="H17" s="15">
        <v>2657</v>
      </c>
      <c r="I17" s="15">
        <v>2133</v>
      </c>
      <c r="J17" s="15">
        <v>1117</v>
      </c>
      <c r="K17" s="15">
        <v>500</v>
      </c>
      <c r="L17" s="15">
        <v>339</v>
      </c>
      <c r="M17" s="15">
        <v>1997</v>
      </c>
      <c r="N17" s="15">
        <v>3204</v>
      </c>
      <c r="O17" s="15">
        <v>4222</v>
      </c>
      <c r="P17" s="15">
        <v>5469</v>
      </c>
      <c r="Q17" s="15">
        <v>5996</v>
      </c>
      <c r="R17" s="15">
        <v>6234</v>
      </c>
      <c r="S17" s="15">
        <v>6748</v>
      </c>
      <c r="T17" s="15">
        <v>7085</v>
      </c>
      <c r="U17" s="15">
        <v>6759</v>
      </c>
      <c r="V17" s="15">
        <v>11754</v>
      </c>
      <c r="W17" s="15">
        <v>16241</v>
      </c>
      <c r="X17" s="15">
        <v>17311</v>
      </c>
      <c r="Y17" s="15">
        <v>17150</v>
      </c>
      <c r="Z17" s="15">
        <v>15553</v>
      </c>
      <c r="AA17" s="15">
        <v>12979</v>
      </c>
      <c r="AB17" s="15">
        <v>10633</v>
      </c>
      <c r="AC17" s="16">
        <f t="shared" si="0"/>
        <v>169387</v>
      </c>
      <c r="AD17" s="17">
        <f t="shared" si="1"/>
        <v>677548</v>
      </c>
      <c r="AE17" s="18"/>
    </row>
    <row r="18" spans="1:31" ht="15.75" thickBot="1" x14ac:dyDescent="0.3">
      <c r="A18" s="76"/>
      <c r="B18" s="74"/>
      <c r="C18" s="19" t="s">
        <v>34</v>
      </c>
      <c r="D18" s="20">
        <v>2</v>
      </c>
      <c r="E18" s="21">
        <v>500</v>
      </c>
      <c r="F18" s="22">
        <v>500</v>
      </c>
      <c r="G18" s="22">
        <v>500</v>
      </c>
      <c r="H18" s="22">
        <v>500</v>
      </c>
      <c r="I18" s="22">
        <v>500</v>
      </c>
      <c r="J18" s="22">
        <v>500</v>
      </c>
      <c r="K18" s="22">
        <v>500</v>
      </c>
      <c r="L18" s="22">
        <v>500</v>
      </c>
      <c r="M18" s="22">
        <v>500</v>
      </c>
      <c r="N18" s="22">
        <v>500</v>
      </c>
      <c r="O18" s="22">
        <v>500</v>
      </c>
      <c r="P18" s="22">
        <v>500</v>
      </c>
      <c r="Q18" s="22">
        <v>500</v>
      </c>
      <c r="R18" s="22">
        <v>500</v>
      </c>
      <c r="S18" s="22">
        <v>500</v>
      </c>
      <c r="T18" s="22">
        <v>500</v>
      </c>
      <c r="U18" s="22">
        <v>500</v>
      </c>
      <c r="V18" s="22">
        <v>500</v>
      </c>
      <c r="W18" s="22">
        <v>3135</v>
      </c>
      <c r="X18" s="22">
        <v>3916</v>
      </c>
      <c r="Y18" s="22">
        <v>3736</v>
      </c>
      <c r="Z18" s="22">
        <v>3071</v>
      </c>
      <c r="AA18" s="22">
        <v>2014</v>
      </c>
      <c r="AB18" s="22">
        <v>882</v>
      </c>
      <c r="AC18" s="23">
        <f t="shared" si="0"/>
        <v>25754</v>
      </c>
      <c r="AD18" s="24">
        <f t="shared" si="1"/>
        <v>51508</v>
      </c>
      <c r="AE18" s="25"/>
    </row>
    <row r="19" spans="1:31" ht="15.75" thickTop="1" x14ac:dyDescent="0.25">
      <c r="A19" s="76"/>
      <c r="B19" s="72">
        <v>5</v>
      </c>
      <c r="C19" s="26" t="s">
        <v>31</v>
      </c>
      <c r="D19" s="27">
        <v>19</v>
      </c>
      <c r="E19" s="28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30">
        <f t="shared" si="0"/>
        <v>0</v>
      </c>
      <c r="AD19" s="31">
        <f t="shared" si="1"/>
        <v>0</v>
      </c>
      <c r="AE19" s="32">
        <f>SUM(AD19:AD22)</f>
        <v>0</v>
      </c>
    </row>
    <row r="20" spans="1:31" x14ac:dyDescent="0.25">
      <c r="A20" s="76"/>
      <c r="B20" s="73"/>
      <c r="C20" s="12" t="s">
        <v>32</v>
      </c>
      <c r="D20" s="13">
        <v>5</v>
      </c>
      <c r="E20" s="14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6">
        <f t="shared" si="0"/>
        <v>0</v>
      </c>
      <c r="AD20" s="17">
        <f t="shared" si="1"/>
        <v>0</v>
      </c>
      <c r="AE20" s="18"/>
    </row>
    <row r="21" spans="1:31" x14ac:dyDescent="0.25">
      <c r="A21" s="76"/>
      <c r="B21" s="73"/>
      <c r="C21" s="12" t="s">
        <v>33</v>
      </c>
      <c r="D21" s="13">
        <v>5</v>
      </c>
      <c r="E21" s="14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6">
        <f t="shared" si="0"/>
        <v>0</v>
      </c>
      <c r="AD21" s="17">
        <f t="shared" si="1"/>
        <v>0</v>
      </c>
      <c r="AE21" s="18"/>
    </row>
    <row r="22" spans="1:31" ht="15.75" thickBot="1" x14ac:dyDescent="0.3">
      <c r="A22" s="76"/>
      <c r="B22" s="74"/>
      <c r="C22" s="19" t="s">
        <v>34</v>
      </c>
      <c r="D22" s="20">
        <v>2</v>
      </c>
      <c r="E22" s="21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>
        <f t="shared" si="0"/>
        <v>0</v>
      </c>
      <c r="AD22" s="24">
        <f t="shared" si="1"/>
        <v>0</v>
      </c>
      <c r="AE22" s="25"/>
    </row>
    <row r="23" spans="1:31" ht="15.75" thickTop="1" x14ac:dyDescent="0.25">
      <c r="A23" s="76"/>
      <c r="B23" s="72">
        <v>6</v>
      </c>
      <c r="C23" s="26" t="s">
        <v>31</v>
      </c>
      <c r="D23" s="27">
        <v>19</v>
      </c>
      <c r="E23" s="28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30">
        <f t="shared" si="0"/>
        <v>0</v>
      </c>
      <c r="AD23" s="31">
        <f t="shared" si="1"/>
        <v>0</v>
      </c>
      <c r="AE23" s="32">
        <f>SUM(AD23:AD26)</f>
        <v>0</v>
      </c>
    </row>
    <row r="24" spans="1:31" x14ac:dyDescent="0.25">
      <c r="A24" s="76"/>
      <c r="B24" s="73"/>
      <c r="C24" s="12" t="s">
        <v>32</v>
      </c>
      <c r="D24" s="13">
        <v>4</v>
      </c>
      <c r="E24" s="14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6">
        <f t="shared" si="0"/>
        <v>0</v>
      </c>
      <c r="AD24" s="17">
        <f t="shared" si="1"/>
        <v>0</v>
      </c>
      <c r="AE24" s="18"/>
    </row>
    <row r="25" spans="1:31" x14ac:dyDescent="0.25">
      <c r="A25" s="76"/>
      <c r="B25" s="73"/>
      <c r="C25" s="12" t="s">
        <v>33</v>
      </c>
      <c r="D25" s="13">
        <v>4</v>
      </c>
      <c r="E25" s="14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6">
        <f t="shared" si="0"/>
        <v>0</v>
      </c>
      <c r="AD25" s="17">
        <f t="shared" si="1"/>
        <v>0</v>
      </c>
      <c r="AE25" s="18"/>
    </row>
    <row r="26" spans="1:31" ht="15.75" thickBot="1" x14ac:dyDescent="0.3">
      <c r="A26" s="76"/>
      <c r="B26" s="74"/>
      <c r="C26" s="19" t="s">
        <v>34</v>
      </c>
      <c r="D26" s="20">
        <v>3</v>
      </c>
      <c r="E26" s="21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3">
        <f t="shared" si="0"/>
        <v>0</v>
      </c>
      <c r="AD26" s="24">
        <f t="shared" si="1"/>
        <v>0</v>
      </c>
      <c r="AE26" s="25"/>
    </row>
    <row r="27" spans="1:31" ht="15.75" thickTop="1" x14ac:dyDescent="0.25">
      <c r="A27" s="76"/>
      <c r="B27" s="72">
        <v>7</v>
      </c>
      <c r="C27" s="26" t="s">
        <v>31</v>
      </c>
      <c r="D27" s="27">
        <v>22</v>
      </c>
      <c r="E27" s="28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30">
        <f t="shared" si="0"/>
        <v>0</v>
      </c>
      <c r="AD27" s="31">
        <f t="shared" si="1"/>
        <v>0</v>
      </c>
      <c r="AE27" s="32">
        <f>SUM(AD27:AD30)</f>
        <v>0</v>
      </c>
    </row>
    <row r="28" spans="1:31" x14ac:dyDescent="0.25">
      <c r="A28" s="76"/>
      <c r="B28" s="73"/>
      <c r="C28" s="12" t="s">
        <v>32</v>
      </c>
      <c r="D28" s="13">
        <v>4</v>
      </c>
      <c r="E28" s="14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6">
        <f t="shared" si="0"/>
        <v>0</v>
      </c>
      <c r="AD28" s="17">
        <f t="shared" si="1"/>
        <v>0</v>
      </c>
      <c r="AE28" s="18"/>
    </row>
    <row r="29" spans="1:31" x14ac:dyDescent="0.25">
      <c r="A29" s="76"/>
      <c r="B29" s="73"/>
      <c r="C29" s="12" t="s">
        <v>33</v>
      </c>
      <c r="D29" s="13">
        <v>4</v>
      </c>
      <c r="E29" s="14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6">
        <f t="shared" si="0"/>
        <v>0</v>
      </c>
      <c r="AD29" s="17">
        <f t="shared" si="1"/>
        <v>0</v>
      </c>
      <c r="AE29" s="18"/>
    </row>
    <row r="30" spans="1:31" ht="15.75" thickBot="1" x14ac:dyDescent="0.3">
      <c r="A30" s="76"/>
      <c r="B30" s="74"/>
      <c r="C30" s="19" t="s">
        <v>34</v>
      </c>
      <c r="D30" s="20">
        <v>1</v>
      </c>
      <c r="E30" s="21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3">
        <f t="shared" si="0"/>
        <v>0</v>
      </c>
      <c r="AD30" s="24">
        <f t="shared" si="1"/>
        <v>0</v>
      </c>
      <c r="AE30" s="25"/>
    </row>
    <row r="31" spans="1:31" ht="15.75" thickTop="1" x14ac:dyDescent="0.25">
      <c r="A31" s="76"/>
      <c r="B31" s="72">
        <v>8</v>
      </c>
      <c r="C31" s="26" t="s">
        <v>31</v>
      </c>
      <c r="D31" s="27">
        <v>19</v>
      </c>
      <c r="E31" s="28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30">
        <f t="shared" si="0"/>
        <v>0</v>
      </c>
      <c r="AD31" s="31">
        <f t="shared" si="1"/>
        <v>0</v>
      </c>
      <c r="AE31" s="32">
        <f>SUM(AD31:AD34)</f>
        <v>0</v>
      </c>
    </row>
    <row r="32" spans="1:31" x14ac:dyDescent="0.25">
      <c r="A32" s="76"/>
      <c r="B32" s="73"/>
      <c r="C32" s="12" t="s">
        <v>32</v>
      </c>
      <c r="D32" s="13">
        <v>5</v>
      </c>
      <c r="E32" s="14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6">
        <f t="shared" si="0"/>
        <v>0</v>
      </c>
      <c r="AD32" s="17">
        <f t="shared" si="1"/>
        <v>0</v>
      </c>
      <c r="AE32" s="18"/>
    </row>
    <row r="33" spans="1:31" x14ac:dyDescent="0.25">
      <c r="A33" s="76"/>
      <c r="B33" s="73"/>
      <c r="C33" s="12" t="s">
        <v>33</v>
      </c>
      <c r="D33" s="13">
        <v>5</v>
      </c>
      <c r="E33" s="14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6">
        <f t="shared" si="0"/>
        <v>0</v>
      </c>
      <c r="AD33" s="17">
        <f t="shared" si="1"/>
        <v>0</v>
      </c>
      <c r="AE33" s="18"/>
    </row>
    <row r="34" spans="1:31" ht="15.75" thickBot="1" x14ac:dyDescent="0.3">
      <c r="A34" s="76"/>
      <c r="B34" s="74"/>
      <c r="C34" s="19" t="s">
        <v>34</v>
      </c>
      <c r="D34" s="20">
        <v>2</v>
      </c>
      <c r="E34" s="21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3">
        <f t="shared" si="0"/>
        <v>0</v>
      </c>
      <c r="AD34" s="24">
        <f t="shared" si="1"/>
        <v>0</v>
      </c>
      <c r="AE34" s="25"/>
    </row>
    <row r="35" spans="1:31" ht="15.75" thickTop="1" x14ac:dyDescent="0.25">
      <c r="A35" s="76"/>
      <c r="B35" s="72">
        <v>9</v>
      </c>
      <c r="C35" s="26" t="s">
        <v>31</v>
      </c>
      <c r="D35" s="27">
        <v>22</v>
      </c>
      <c r="E35" s="28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30">
        <f t="shared" si="0"/>
        <v>0</v>
      </c>
      <c r="AD35" s="31">
        <f t="shared" si="1"/>
        <v>0</v>
      </c>
      <c r="AE35" s="32">
        <f>SUM(AD35:AD37)</f>
        <v>0</v>
      </c>
    </row>
    <row r="36" spans="1:31" x14ac:dyDescent="0.25">
      <c r="A36" s="76"/>
      <c r="B36" s="73"/>
      <c r="C36" s="12" t="s">
        <v>32</v>
      </c>
      <c r="D36" s="13">
        <v>4</v>
      </c>
      <c r="E36" s="14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6">
        <f t="shared" si="0"/>
        <v>0</v>
      </c>
      <c r="AD36" s="17">
        <f t="shared" si="1"/>
        <v>0</v>
      </c>
      <c r="AE36" s="18"/>
    </row>
    <row r="37" spans="1:31" ht="15.75" thickBot="1" x14ac:dyDescent="0.3">
      <c r="A37" s="76"/>
      <c r="B37" s="74"/>
      <c r="C37" s="19" t="s">
        <v>33</v>
      </c>
      <c r="D37" s="20">
        <v>4</v>
      </c>
      <c r="E37" s="21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3">
        <f t="shared" si="0"/>
        <v>0</v>
      </c>
      <c r="AD37" s="24">
        <f t="shared" si="1"/>
        <v>0</v>
      </c>
      <c r="AE37" s="25"/>
    </row>
    <row r="38" spans="1:31" ht="15.75" thickTop="1" x14ac:dyDescent="0.25">
      <c r="A38" s="76"/>
      <c r="B38" s="72">
        <v>10</v>
      </c>
      <c r="C38" s="26" t="s">
        <v>31</v>
      </c>
      <c r="D38" s="27">
        <v>21</v>
      </c>
      <c r="E38" s="28">
        <v>500</v>
      </c>
      <c r="F38" s="29">
        <v>500</v>
      </c>
      <c r="G38" s="29">
        <v>500</v>
      </c>
      <c r="H38" s="29">
        <v>500</v>
      </c>
      <c r="I38" s="29">
        <v>500</v>
      </c>
      <c r="J38" s="29">
        <v>500</v>
      </c>
      <c r="K38" s="29">
        <v>500</v>
      </c>
      <c r="L38" s="29">
        <v>500</v>
      </c>
      <c r="M38" s="29">
        <v>443</v>
      </c>
      <c r="N38" s="29">
        <v>2117</v>
      </c>
      <c r="O38" s="29">
        <v>3546</v>
      </c>
      <c r="P38" s="29">
        <v>4354</v>
      </c>
      <c r="Q38" s="29">
        <v>2967</v>
      </c>
      <c r="R38" s="29">
        <v>4004</v>
      </c>
      <c r="S38" s="29">
        <v>6086</v>
      </c>
      <c r="T38" s="29">
        <v>6057</v>
      </c>
      <c r="U38" s="29">
        <v>5030</v>
      </c>
      <c r="V38" s="29">
        <v>8561</v>
      </c>
      <c r="W38" s="29">
        <v>10314</v>
      </c>
      <c r="X38" s="29">
        <v>10052</v>
      </c>
      <c r="Y38" s="29">
        <v>9384</v>
      </c>
      <c r="Z38" s="29">
        <v>8195</v>
      </c>
      <c r="AA38" s="29">
        <v>6167</v>
      </c>
      <c r="AB38" s="29">
        <v>4457</v>
      </c>
      <c r="AC38" s="30">
        <f t="shared" si="0"/>
        <v>95734</v>
      </c>
      <c r="AD38" s="31">
        <f t="shared" si="1"/>
        <v>2010414</v>
      </c>
      <c r="AE38" s="32">
        <f>SUM(AD38:AD41)</f>
        <v>2612804</v>
      </c>
    </row>
    <row r="39" spans="1:31" x14ac:dyDescent="0.25">
      <c r="A39" s="76"/>
      <c r="B39" s="73"/>
      <c r="C39" s="12" t="s">
        <v>32</v>
      </c>
      <c r="D39" s="13">
        <v>5</v>
      </c>
      <c r="E39" s="14">
        <v>500</v>
      </c>
      <c r="F39" s="15">
        <v>500</v>
      </c>
      <c r="G39" s="15">
        <v>500</v>
      </c>
      <c r="H39" s="15">
        <v>500</v>
      </c>
      <c r="I39" s="15">
        <v>500</v>
      </c>
      <c r="J39" s="15">
        <v>500</v>
      </c>
      <c r="K39" s="15">
        <v>500</v>
      </c>
      <c r="L39" s="15">
        <v>500</v>
      </c>
      <c r="M39" s="15">
        <v>500</v>
      </c>
      <c r="N39" s="15">
        <v>500</v>
      </c>
      <c r="O39" s="15">
        <v>500</v>
      </c>
      <c r="P39" s="15">
        <v>500</v>
      </c>
      <c r="Q39" s="15">
        <v>500</v>
      </c>
      <c r="R39" s="15">
        <v>500</v>
      </c>
      <c r="S39" s="15">
        <v>500</v>
      </c>
      <c r="T39" s="15">
        <v>500</v>
      </c>
      <c r="U39" s="15">
        <v>500</v>
      </c>
      <c r="V39" s="15">
        <v>2234</v>
      </c>
      <c r="W39" s="15">
        <v>4384</v>
      </c>
      <c r="X39" s="15">
        <v>4137</v>
      </c>
      <c r="Y39" s="15">
        <v>3489</v>
      </c>
      <c r="Z39" s="15">
        <v>2680</v>
      </c>
      <c r="AA39" s="15">
        <v>1527</v>
      </c>
      <c r="AB39" s="15">
        <v>401</v>
      </c>
      <c r="AC39" s="16">
        <f t="shared" si="0"/>
        <v>27352</v>
      </c>
      <c r="AD39" s="17">
        <f t="shared" si="1"/>
        <v>136760</v>
      </c>
      <c r="AE39" s="18"/>
    </row>
    <row r="40" spans="1:31" x14ac:dyDescent="0.25">
      <c r="A40" s="76"/>
      <c r="B40" s="73"/>
      <c r="C40" s="12" t="s">
        <v>33</v>
      </c>
      <c r="D40" s="13">
        <v>4</v>
      </c>
      <c r="E40" s="14">
        <v>4076</v>
      </c>
      <c r="F40" s="15">
        <v>2852</v>
      </c>
      <c r="G40" s="15">
        <v>1743</v>
      </c>
      <c r="H40" s="15">
        <v>937</v>
      </c>
      <c r="I40" s="15">
        <v>440</v>
      </c>
      <c r="J40" s="15">
        <v>500</v>
      </c>
      <c r="K40" s="15">
        <v>500</v>
      </c>
      <c r="L40" s="15">
        <v>500</v>
      </c>
      <c r="M40" s="15">
        <v>500</v>
      </c>
      <c r="N40" s="15">
        <v>1154</v>
      </c>
      <c r="O40" s="15">
        <v>1951</v>
      </c>
      <c r="P40" s="15">
        <v>2903</v>
      </c>
      <c r="Q40" s="15">
        <v>3266</v>
      </c>
      <c r="R40" s="15">
        <v>2964</v>
      </c>
      <c r="S40" s="15">
        <v>3221</v>
      </c>
      <c r="T40" s="15">
        <v>3680</v>
      </c>
      <c r="U40" s="15">
        <v>3464</v>
      </c>
      <c r="V40" s="15">
        <v>8625</v>
      </c>
      <c r="W40" s="15">
        <v>12283</v>
      </c>
      <c r="X40" s="15">
        <v>12226</v>
      </c>
      <c r="Y40" s="15">
        <v>11713</v>
      </c>
      <c r="Z40" s="15">
        <v>10697</v>
      </c>
      <c r="AA40" s="15">
        <v>8960</v>
      </c>
      <c r="AB40" s="15">
        <v>7309</v>
      </c>
      <c r="AC40" s="16">
        <f t="shared" si="0"/>
        <v>106464</v>
      </c>
      <c r="AD40" s="17">
        <f t="shared" si="1"/>
        <v>425856</v>
      </c>
      <c r="AE40" s="18"/>
    </row>
    <row r="41" spans="1:31" ht="15.75" thickBot="1" x14ac:dyDescent="0.3">
      <c r="A41" s="76"/>
      <c r="B41" s="74"/>
      <c r="C41" s="19" t="s">
        <v>34</v>
      </c>
      <c r="D41" s="20">
        <v>1</v>
      </c>
      <c r="E41" s="21">
        <v>500</v>
      </c>
      <c r="F41" s="22">
        <v>500</v>
      </c>
      <c r="G41" s="22">
        <v>500</v>
      </c>
      <c r="H41" s="22">
        <v>500</v>
      </c>
      <c r="I41" s="22">
        <v>500</v>
      </c>
      <c r="J41" s="22">
        <v>500</v>
      </c>
      <c r="K41" s="22">
        <v>500</v>
      </c>
      <c r="L41" s="22">
        <v>500</v>
      </c>
      <c r="M41" s="22">
        <v>500</v>
      </c>
      <c r="N41" s="22">
        <v>500</v>
      </c>
      <c r="O41" s="22">
        <v>500</v>
      </c>
      <c r="P41" s="22">
        <v>798</v>
      </c>
      <c r="Q41" s="22">
        <v>972</v>
      </c>
      <c r="R41" s="22">
        <v>600</v>
      </c>
      <c r="S41" s="22">
        <v>286</v>
      </c>
      <c r="T41" s="22">
        <v>500</v>
      </c>
      <c r="U41" s="22">
        <v>500</v>
      </c>
      <c r="V41" s="22">
        <v>4758</v>
      </c>
      <c r="W41" s="22">
        <v>6286</v>
      </c>
      <c r="X41" s="22">
        <v>6608</v>
      </c>
      <c r="Y41" s="22">
        <v>5448</v>
      </c>
      <c r="Z41" s="22">
        <v>3924</v>
      </c>
      <c r="AA41" s="22">
        <v>2442</v>
      </c>
      <c r="AB41" s="22">
        <v>1152</v>
      </c>
      <c r="AC41" s="23">
        <f t="shared" si="0"/>
        <v>39774</v>
      </c>
      <c r="AD41" s="24">
        <f t="shared" si="1"/>
        <v>39774</v>
      </c>
      <c r="AE41" s="25"/>
    </row>
    <row r="42" spans="1:31" ht="15.75" thickTop="1" x14ac:dyDescent="0.25">
      <c r="A42" s="76"/>
      <c r="B42" s="72">
        <v>11</v>
      </c>
      <c r="C42" s="26" t="s">
        <v>31</v>
      </c>
      <c r="D42" s="27">
        <v>19</v>
      </c>
      <c r="E42" s="28">
        <v>500</v>
      </c>
      <c r="F42" s="29">
        <v>500</v>
      </c>
      <c r="G42" s="29">
        <v>500</v>
      </c>
      <c r="H42" s="29">
        <v>500</v>
      </c>
      <c r="I42" s="29">
        <v>500</v>
      </c>
      <c r="J42" s="29">
        <v>500</v>
      </c>
      <c r="K42" s="29">
        <v>500</v>
      </c>
      <c r="L42" s="29">
        <v>500</v>
      </c>
      <c r="M42" s="29">
        <v>1770</v>
      </c>
      <c r="N42" s="29">
        <v>4699</v>
      </c>
      <c r="O42" s="29">
        <v>6952</v>
      </c>
      <c r="P42" s="29">
        <v>8237</v>
      </c>
      <c r="Q42" s="29">
        <v>5690</v>
      </c>
      <c r="R42" s="29">
        <v>7571</v>
      </c>
      <c r="S42" s="29">
        <v>11033</v>
      </c>
      <c r="T42" s="29">
        <v>11616</v>
      </c>
      <c r="U42" s="29">
        <v>9725</v>
      </c>
      <c r="V42" s="29">
        <v>16542</v>
      </c>
      <c r="W42" s="29">
        <v>19647</v>
      </c>
      <c r="X42" s="29">
        <v>19095</v>
      </c>
      <c r="Y42" s="29">
        <v>17872</v>
      </c>
      <c r="Z42" s="29">
        <v>15534</v>
      </c>
      <c r="AA42" s="29">
        <v>12141</v>
      </c>
      <c r="AB42" s="29">
        <v>9082</v>
      </c>
      <c r="AC42" s="30">
        <f t="shared" si="0"/>
        <v>181206</v>
      </c>
      <c r="AD42" s="31">
        <f t="shared" si="1"/>
        <v>3442914</v>
      </c>
      <c r="AE42" s="32">
        <f>SUM(AD42:AD45)</f>
        <v>4423376</v>
      </c>
    </row>
    <row r="43" spans="1:31" x14ac:dyDescent="0.25">
      <c r="A43" s="76"/>
      <c r="B43" s="73"/>
      <c r="C43" s="12" t="s">
        <v>32</v>
      </c>
      <c r="D43" s="13">
        <v>4</v>
      </c>
      <c r="E43" s="14">
        <v>3225</v>
      </c>
      <c r="F43" s="15">
        <v>1531</v>
      </c>
      <c r="G43" s="15">
        <v>500</v>
      </c>
      <c r="H43" s="15">
        <v>500</v>
      </c>
      <c r="I43" s="15">
        <v>500</v>
      </c>
      <c r="J43" s="15">
        <v>500</v>
      </c>
      <c r="K43" s="15">
        <v>500</v>
      </c>
      <c r="L43" s="15">
        <v>500</v>
      </c>
      <c r="M43" s="15">
        <v>2065</v>
      </c>
      <c r="N43" s="15">
        <v>5383</v>
      </c>
      <c r="O43" s="15">
        <v>7519</v>
      </c>
      <c r="P43" s="15">
        <v>9513</v>
      </c>
      <c r="Q43" s="15">
        <v>8442</v>
      </c>
      <c r="R43" s="15">
        <v>7548</v>
      </c>
      <c r="S43" s="15">
        <v>7656</v>
      </c>
      <c r="T43" s="15">
        <v>7334</v>
      </c>
      <c r="U43" s="15">
        <v>5981</v>
      </c>
      <c r="V43" s="15">
        <v>15006</v>
      </c>
      <c r="W43" s="15">
        <v>19467</v>
      </c>
      <c r="X43" s="15">
        <v>19247</v>
      </c>
      <c r="Y43" s="15">
        <v>17684</v>
      </c>
      <c r="Z43" s="15">
        <v>15683</v>
      </c>
      <c r="AA43" s="15">
        <v>13098</v>
      </c>
      <c r="AB43" s="15">
        <v>10417</v>
      </c>
      <c r="AC43" s="16">
        <f t="shared" si="0"/>
        <v>179799</v>
      </c>
      <c r="AD43" s="17">
        <f t="shared" si="1"/>
        <v>719196</v>
      </c>
      <c r="AE43" s="18"/>
    </row>
    <row r="44" spans="1:31" x14ac:dyDescent="0.25">
      <c r="A44" s="76"/>
      <c r="B44" s="73"/>
      <c r="C44" s="12" t="s">
        <v>33</v>
      </c>
      <c r="D44" s="13">
        <v>5</v>
      </c>
      <c r="E44" s="14">
        <v>500</v>
      </c>
      <c r="F44" s="15">
        <v>500</v>
      </c>
      <c r="G44" s="15">
        <v>500</v>
      </c>
      <c r="H44" s="15">
        <v>500</v>
      </c>
      <c r="I44" s="15">
        <v>500</v>
      </c>
      <c r="J44" s="15">
        <v>500</v>
      </c>
      <c r="K44" s="15">
        <v>500</v>
      </c>
      <c r="L44" s="15">
        <v>500</v>
      </c>
      <c r="M44" s="15">
        <v>500</v>
      </c>
      <c r="N44" s="15">
        <v>500</v>
      </c>
      <c r="O44" s="15">
        <v>500</v>
      </c>
      <c r="P44" s="15">
        <v>500</v>
      </c>
      <c r="Q44" s="15">
        <v>500</v>
      </c>
      <c r="R44" s="15">
        <v>500</v>
      </c>
      <c r="S44" s="15">
        <v>500</v>
      </c>
      <c r="T44" s="15">
        <v>500</v>
      </c>
      <c r="U44" s="15">
        <v>500</v>
      </c>
      <c r="V44" s="15">
        <v>500</v>
      </c>
      <c r="W44" s="15">
        <v>1696</v>
      </c>
      <c r="X44" s="15">
        <v>2564</v>
      </c>
      <c r="Y44" s="15">
        <v>2295</v>
      </c>
      <c r="Z44" s="15">
        <v>873</v>
      </c>
      <c r="AA44" s="15">
        <v>500</v>
      </c>
      <c r="AB44" s="15">
        <v>500</v>
      </c>
      <c r="AC44" s="16">
        <f t="shared" si="0"/>
        <v>17428</v>
      </c>
      <c r="AD44" s="17">
        <f t="shared" si="1"/>
        <v>87140</v>
      </c>
      <c r="AE44" s="18"/>
    </row>
    <row r="45" spans="1:31" ht="15.75" thickBot="1" x14ac:dyDescent="0.3">
      <c r="A45" s="76"/>
      <c r="B45" s="74"/>
      <c r="C45" s="19" t="s">
        <v>34</v>
      </c>
      <c r="D45" s="20">
        <v>2</v>
      </c>
      <c r="E45" s="21">
        <v>500</v>
      </c>
      <c r="F45" s="22">
        <v>500</v>
      </c>
      <c r="G45" s="22">
        <v>500</v>
      </c>
      <c r="H45" s="22">
        <v>500</v>
      </c>
      <c r="I45" s="22">
        <v>500</v>
      </c>
      <c r="J45" s="22">
        <v>500</v>
      </c>
      <c r="K45" s="22">
        <v>500</v>
      </c>
      <c r="L45" s="22">
        <v>500</v>
      </c>
      <c r="M45" s="22">
        <v>500</v>
      </c>
      <c r="N45" s="22">
        <v>500</v>
      </c>
      <c r="O45" s="22">
        <v>500</v>
      </c>
      <c r="P45" s="22">
        <v>645</v>
      </c>
      <c r="Q45" s="22">
        <v>595</v>
      </c>
      <c r="R45" s="22">
        <v>500</v>
      </c>
      <c r="S45" s="22">
        <v>500</v>
      </c>
      <c r="T45" s="22">
        <v>824</v>
      </c>
      <c r="U45" s="22">
        <v>486</v>
      </c>
      <c r="V45" s="22">
        <v>9654</v>
      </c>
      <c r="W45" s="22">
        <v>14521</v>
      </c>
      <c r="X45" s="22">
        <v>14598</v>
      </c>
      <c r="Y45" s="22">
        <v>13320</v>
      </c>
      <c r="Z45" s="22">
        <v>11507</v>
      </c>
      <c r="AA45" s="22">
        <v>8521</v>
      </c>
      <c r="AB45" s="22">
        <v>5892</v>
      </c>
      <c r="AC45" s="23">
        <f t="shared" si="0"/>
        <v>87063</v>
      </c>
      <c r="AD45" s="24">
        <f t="shared" si="1"/>
        <v>174126</v>
      </c>
      <c r="AE45" s="25"/>
    </row>
    <row r="46" spans="1:31" ht="15.75" thickTop="1" x14ac:dyDescent="0.25">
      <c r="A46" s="76"/>
      <c r="B46" s="72">
        <v>12</v>
      </c>
      <c r="C46" s="26" t="s">
        <v>31</v>
      </c>
      <c r="D46" s="27">
        <v>21</v>
      </c>
      <c r="E46" s="28">
        <v>4885</v>
      </c>
      <c r="F46" s="29">
        <v>2892</v>
      </c>
      <c r="G46" s="29">
        <v>1431</v>
      </c>
      <c r="H46" s="29">
        <v>500</v>
      </c>
      <c r="I46" s="29">
        <v>500</v>
      </c>
      <c r="J46" s="29">
        <v>500</v>
      </c>
      <c r="K46" s="29">
        <v>500</v>
      </c>
      <c r="L46" s="29">
        <v>500</v>
      </c>
      <c r="M46" s="29">
        <v>5618</v>
      </c>
      <c r="N46" s="29">
        <v>9442</v>
      </c>
      <c r="O46" s="29">
        <v>12098</v>
      </c>
      <c r="P46" s="29">
        <v>14007</v>
      </c>
      <c r="Q46" s="29">
        <v>11414</v>
      </c>
      <c r="R46" s="29">
        <v>12731</v>
      </c>
      <c r="S46" s="29">
        <v>16256</v>
      </c>
      <c r="T46" s="29">
        <v>16499</v>
      </c>
      <c r="U46" s="29">
        <v>14639</v>
      </c>
      <c r="V46" s="29">
        <v>21489</v>
      </c>
      <c r="W46" s="29">
        <v>25773</v>
      </c>
      <c r="X46" s="29">
        <v>24999</v>
      </c>
      <c r="Y46" s="29">
        <v>23585</v>
      </c>
      <c r="Z46" s="29">
        <v>21492</v>
      </c>
      <c r="AA46" s="29">
        <v>18381</v>
      </c>
      <c r="AB46" s="29">
        <v>15227</v>
      </c>
      <c r="AC46" s="30">
        <f t="shared" si="0"/>
        <v>275358</v>
      </c>
      <c r="AD46" s="31">
        <f t="shared" si="1"/>
        <v>5782518</v>
      </c>
      <c r="AE46" s="32">
        <f>SUM(AD46:AD49)</f>
        <v>8951506</v>
      </c>
    </row>
    <row r="47" spans="1:31" x14ac:dyDescent="0.25">
      <c r="A47" s="76"/>
      <c r="B47" s="73"/>
      <c r="C47" s="12" t="s">
        <v>32</v>
      </c>
      <c r="D47" s="13">
        <v>4</v>
      </c>
      <c r="E47" s="14">
        <v>16872</v>
      </c>
      <c r="F47" s="15">
        <v>14750</v>
      </c>
      <c r="G47" s="15">
        <v>12226</v>
      </c>
      <c r="H47" s="15">
        <v>10745</v>
      </c>
      <c r="I47" s="15">
        <v>9995</v>
      </c>
      <c r="J47" s="15">
        <v>9376</v>
      </c>
      <c r="K47" s="15">
        <v>6857</v>
      </c>
      <c r="L47" s="15">
        <v>9424</v>
      </c>
      <c r="M47" s="15">
        <v>14915</v>
      </c>
      <c r="N47" s="15">
        <v>18673</v>
      </c>
      <c r="O47" s="15">
        <v>21249</v>
      </c>
      <c r="P47" s="15">
        <v>22083</v>
      </c>
      <c r="Q47" s="15">
        <v>19870</v>
      </c>
      <c r="R47" s="15">
        <v>18522</v>
      </c>
      <c r="S47" s="15">
        <v>19245</v>
      </c>
      <c r="T47" s="15">
        <v>19156</v>
      </c>
      <c r="U47" s="15">
        <v>18899</v>
      </c>
      <c r="V47" s="15">
        <v>28139</v>
      </c>
      <c r="W47" s="15">
        <v>35287</v>
      </c>
      <c r="X47" s="15">
        <v>34459</v>
      </c>
      <c r="Y47" s="15">
        <v>32779</v>
      </c>
      <c r="Z47" s="15">
        <v>30185</v>
      </c>
      <c r="AA47" s="15">
        <v>27386</v>
      </c>
      <c r="AB47" s="15">
        <v>24171</v>
      </c>
      <c r="AC47" s="16">
        <f t="shared" si="0"/>
        <v>475263</v>
      </c>
      <c r="AD47" s="17">
        <f t="shared" si="1"/>
        <v>1901052</v>
      </c>
      <c r="AE47" s="18"/>
    </row>
    <row r="48" spans="1:31" x14ac:dyDescent="0.25">
      <c r="A48" s="76"/>
      <c r="B48" s="73"/>
      <c r="C48" s="12" t="s">
        <v>33</v>
      </c>
      <c r="D48" s="13">
        <v>4</v>
      </c>
      <c r="E48" s="14">
        <v>6372</v>
      </c>
      <c r="F48" s="15">
        <v>4602</v>
      </c>
      <c r="G48" s="15">
        <v>3245</v>
      </c>
      <c r="H48" s="15">
        <v>1585</v>
      </c>
      <c r="I48" s="15">
        <v>606</v>
      </c>
      <c r="J48" s="15">
        <v>500</v>
      </c>
      <c r="K48" s="15">
        <v>500</v>
      </c>
      <c r="L48" s="15">
        <v>500</v>
      </c>
      <c r="M48" s="15">
        <v>1376</v>
      </c>
      <c r="N48" s="15">
        <v>3846</v>
      </c>
      <c r="O48" s="15">
        <v>6077</v>
      </c>
      <c r="P48" s="15">
        <v>7505</v>
      </c>
      <c r="Q48" s="15">
        <v>8420</v>
      </c>
      <c r="R48" s="15">
        <v>8282</v>
      </c>
      <c r="S48" s="15">
        <v>8097</v>
      </c>
      <c r="T48" s="15">
        <v>8029</v>
      </c>
      <c r="U48" s="15">
        <v>7878</v>
      </c>
      <c r="V48" s="15">
        <v>17198</v>
      </c>
      <c r="W48" s="15">
        <v>23875</v>
      </c>
      <c r="X48" s="15">
        <v>24100</v>
      </c>
      <c r="Y48" s="15">
        <v>22392</v>
      </c>
      <c r="Z48" s="15">
        <v>20166</v>
      </c>
      <c r="AA48" s="15">
        <v>18132</v>
      </c>
      <c r="AB48" s="15">
        <v>14897</v>
      </c>
      <c r="AC48" s="16">
        <f t="shared" si="0"/>
        <v>218180</v>
      </c>
      <c r="AD48" s="17">
        <f t="shared" si="1"/>
        <v>872720</v>
      </c>
      <c r="AE48" s="18"/>
    </row>
    <row r="49" spans="1:31" ht="15.75" thickBot="1" x14ac:dyDescent="0.3">
      <c r="A49" s="77"/>
      <c r="B49" s="74"/>
      <c r="C49" s="19" t="s">
        <v>34</v>
      </c>
      <c r="D49" s="20">
        <v>2</v>
      </c>
      <c r="E49" s="21">
        <v>6310</v>
      </c>
      <c r="F49" s="22">
        <v>5327</v>
      </c>
      <c r="G49" s="22">
        <v>4244</v>
      </c>
      <c r="H49" s="22">
        <v>3092</v>
      </c>
      <c r="I49" s="22">
        <v>2310</v>
      </c>
      <c r="J49" s="22">
        <v>564</v>
      </c>
      <c r="K49" s="22">
        <v>500</v>
      </c>
      <c r="L49" s="22">
        <v>500</v>
      </c>
      <c r="M49" s="22">
        <v>500</v>
      </c>
      <c r="N49" s="22">
        <v>1900</v>
      </c>
      <c r="O49" s="22">
        <v>3990</v>
      </c>
      <c r="P49" s="22">
        <v>5416</v>
      </c>
      <c r="Q49" s="22">
        <v>4998</v>
      </c>
      <c r="R49" s="22">
        <v>5304</v>
      </c>
      <c r="S49" s="22">
        <v>5524</v>
      </c>
      <c r="T49" s="22">
        <v>5814</v>
      </c>
      <c r="U49" s="22">
        <v>5720</v>
      </c>
      <c r="V49" s="22">
        <v>14591</v>
      </c>
      <c r="W49" s="22">
        <v>21525</v>
      </c>
      <c r="X49" s="22">
        <v>22264</v>
      </c>
      <c r="Y49" s="22">
        <v>22290</v>
      </c>
      <c r="Z49" s="22">
        <v>20818</v>
      </c>
      <c r="AA49" s="22">
        <v>18358</v>
      </c>
      <c r="AB49" s="22">
        <v>15749</v>
      </c>
      <c r="AC49" s="23">
        <f t="shared" si="0"/>
        <v>197608</v>
      </c>
      <c r="AD49" s="24">
        <f t="shared" si="1"/>
        <v>395216</v>
      </c>
      <c r="AE49" s="25"/>
    </row>
  </sheetData>
  <mergeCells count="13">
    <mergeCell ref="B38:B41"/>
    <mergeCell ref="B42:B45"/>
    <mergeCell ref="B46:B49"/>
    <mergeCell ref="A4:A49"/>
    <mergeCell ref="B4:B7"/>
    <mergeCell ref="B8:B10"/>
    <mergeCell ref="B11:B14"/>
    <mergeCell ref="B15:B18"/>
    <mergeCell ref="B19:B22"/>
    <mergeCell ref="B23:B26"/>
    <mergeCell ref="B27:B30"/>
    <mergeCell ref="B31:B34"/>
    <mergeCell ref="B35:B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B662-D339-4DB0-93DA-A40235B17225}">
  <dimension ref="A1:G24"/>
  <sheetViews>
    <sheetView showGridLines="0" tabSelected="1" workbookViewId="0">
      <selection activeCell="J12" sqref="J12"/>
    </sheetView>
  </sheetViews>
  <sheetFormatPr baseColWidth="10" defaultRowHeight="15" x14ac:dyDescent="0.25"/>
  <cols>
    <col min="2" max="2" width="13.85546875" customWidth="1"/>
    <col min="7" max="7" width="17.85546875" bestFit="1" customWidth="1"/>
  </cols>
  <sheetData>
    <row r="1" spans="1:6" ht="15.75" x14ac:dyDescent="0.25">
      <c r="A1" s="52" t="s">
        <v>36</v>
      </c>
      <c r="B1" s="52"/>
      <c r="C1" s="52"/>
      <c r="D1" s="52"/>
      <c r="E1" s="52"/>
      <c r="F1" s="52"/>
    </row>
    <row r="2" spans="1:6" x14ac:dyDescent="0.25">
      <c r="A2" s="53"/>
      <c r="B2" s="53"/>
      <c r="C2" s="53"/>
      <c r="D2" s="53"/>
      <c r="E2" s="53"/>
      <c r="F2" s="53"/>
    </row>
    <row r="3" spans="1:6" x14ac:dyDescent="0.25">
      <c r="A3" s="54" t="s">
        <v>37</v>
      </c>
      <c r="B3" s="53"/>
      <c r="C3" s="53"/>
      <c r="D3" s="53"/>
      <c r="E3" s="53"/>
      <c r="F3" s="53"/>
    </row>
    <row r="4" spans="1:6" x14ac:dyDescent="0.25">
      <c r="A4" s="53"/>
      <c r="B4" s="53"/>
      <c r="C4" s="53"/>
      <c r="D4" s="53"/>
      <c r="E4" s="53"/>
      <c r="F4" s="53"/>
    </row>
    <row r="5" spans="1:6" ht="54" x14ac:dyDescent="0.25">
      <c r="A5" s="55" t="s">
        <v>0</v>
      </c>
      <c r="B5" s="55" t="s">
        <v>1</v>
      </c>
      <c r="C5" s="55" t="s">
        <v>38</v>
      </c>
      <c r="D5" s="55" t="s">
        <v>39</v>
      </c>
      <c r="E5" s="55" t="s">
        <v>40</v>
      </c>
      <c r="F5" s="56" t="s">
        <v>41</v>
      </c>
    </row>
    <row r="6" spans="1:6" x14ac:dyDescent="0.25">
      <c r="A6" s="67">
        <f>+Curva2027!A4</f>
        <v>2027</v>
      </c>
      <c r="B6" s="60" cm="1">
        <f t="array" ref="B6:B17">_xlfn._xlws.SORT(_xlfn.UNIQUE(Curva2027!B4:B49,FALSE,TRUE))</f>
        <v>1</v>
      </c>
      <c r="C6" s="61">
        <f>_xlfn.XLOOKUP(B6,Curva2027!$B$4:$B$49,Curva2027!$AE$4:$AE$49,"88",0)</f>
        <v>8254332</v>
      </c>
      <c r="D6" s="68"/>
      <c r="E6" s="62">
        <f>C6*$D$6</f>
        <v>0</v>
      </c>
      <c r="F6" s="70"/>
    </row>
    <row r="7" spans="1:6" x14ac:dyDescent="0.25">
      <c r="A7" s="67"/>
      <c r="B7" s="63">
        <v>2</v>
      </c>
      <c r="C7" s="64">
        <f>_xlfn.XLOOKUP(B7,Curva2027!$B$4:$B$49,Curva2027!$AE$4:$AE$49,"88",0)</f>
        <v>8114548</v>
      </c>
      <c r="D7" s="68"/>
      <c r="E7" s="62">
        <f>C7*$D$6</f>
        <v>0</v>
      </c>
      <c r="F7" s="70"/>
    </row>
    <row r="8" spans="1:6" x14ac:dyDescent="0.25">
      <c r="A8" s="67"/>
      <c r="B8" s="63">
        <v>3</v>
      </c>
      <c r="C8" s="64">
        <f>_xlfn.XLOOKUP(B8,Curva2027!$B$4:$B$49,Curva2027!$AE$4:$AE$49,"88",0)</f>
        <v>9933912</v>
      </c>
      <c r="D8" s="68"/>
      <c r="E8" s="62">
        <f>C8*$D$6</f>
        <v>0</v>
      </c>
      <c r="F8" s="70"/>
    </row>
    <row r="9" spans="1:6" x14ac:dyDescent="0.25">
      <c r="A9" s="67"/>
      <c r="B9" s="63">
        <v>4</v>
      </c>
      <c r="C9" s="64">
        <f>_xlfn.XLOOKUP(B9,Curva2027!$B$4:$B$49,Curva2027!$AE$4:$AE$49,"88",0)</f>
        <v>4126772</v>
      </c>
      <c r="D9" s="68"/>
      <c r="E9" s="62">
        <f>C9*$D$6</f>
        <v>0</v>
      </c>
      <c r="F9" s="70"/>
    </row>
    <row r="10" spans="1:6" x14ac:dyDescent="0.25">
      <c r="A10" s="67"/>
      <c r="B10" s="63">
        <v>5</v>
      </c>
      <c r="C10" s="64">
        <f>_xlfn.XLOOKUP(B10,Curva2027!$B$4:$B$49,Curva2027!$AE$4:$AE$49,"88",0)</f>
        <v>0</v>
      </c>
      <c r="D10" s="68"/>
      <c r="E10" s="62">
        <f t="shared" ref="E10:E14" si="0">C10*$D$6</f>
        <v>0</v>
      </c>
      <c r="F10" s="70"/>
    </row>
    <row r="11" spans="1:6" x14ac:dyDescent="0.25">
      <c r="A11" s="67"/>
      <c r="B11" s="63">
        <v>6</v>
      </c>
      <c r="C11" s="64">
        <f>_xlfn.XLOOKUP(B11,Curva2027!$B$4:$B$49,Curva2027!$AE$4:$AE$49,"88",0)</f>
        <v>0</v>
      </c>
      <c r="D11" s="68"/>
      <c r="E11" s="62">
        <f t="shared" si="0"/>
        <v>0</v>
      </c>
      <c r="F11" s="70"/>
    </row>
    <row r="12" spans="1:6" x14ac:dyDescent="0.25">
      <c r="A12" s="67"/>
      <c r="B12" s="63">
        <v>7</v>
      </c>
      <c r="C12" s="64">
        <f>_xlfn.XLOOKUP(B12,Curva2027!$B$4:$B$49,Curva2027!$AE$4:$AE$49,"88",0)</f>
        <v>0</v>
      </c>
      <c r="D12" s="68"/>
      <c r="E12" s="62">
        <f t="shared" si="0"/>
        <v>0</v>
      </c>
      <c r="F12" s="70"/>
    </row>
    <row r="13" spans="1:6" x14ac:dyDescent="0.25">
      <c r="A13" s="67"/>
      <c r="B13" s="63">
        <v>8</v>
      </c>
      <c r="C13" s="64">
        <f>_xlfn.XLOOKUP(B13,Curva2027!$B$4:$B$49,Curva2027!$AE$4:$AE$49,"88",0)</f>
        <v>0</v>
      </c>
      <c r="D13" s="68"/>
      <c r="E13" s="62">
        <f t="shared" si="0"/>
        <v>0</v>
      </c>
      <c r="F13" s="70"/>
    </row>
    <row r="14" spans="1:6" x14ac:dyDescent="0.25">
      <c r="A14" s="67"/>
      <c r="B14" s="63">
        <v>9</v>
      </c>
      <c r="C14" s="64">
        <f>_xlfn.XLOOKUP(B14,Curva2027!$B$4:$B$49,Curva2027!$AE$4:$AE$49,"88",0)</f>
        <v>0</v>
      </c>
      <c r="D14" s="68"/>
      <c r="E14" s="62">
        <f t="shared" si="0"/>
        <v>0</v>
      </c>
      <c r="F14" s="70"/>
    </row>
    <row r="15" spans="1:6" x14ac:dyDescent="0.25">
      <c r="A15" s="67"/>
      <c r="B15" s="63">
        <v>10</v>
      </c>
      <c r="C15" s="64">
        <f>_xlfn.XLOOKUP(B15,Curva2027!$B$4:$B$49,Curva2027!$AE$4:$AE$49,"88",0)</f>
        <v>4415947</v>
      </c>
      <c r="D15" s="68"/>
      <c r="E15" s="62">
        <f>C15*$D$6</f>
        <v>0</v>
      </c>
      <c r="F15" s="70"/>
    </row>
    <row r="16" spans="1:6" x14ac:dyDescent="0.25">
      <c r="A16" s="67"/>
      <c r="B16" s="63">
        <v>11</v>
      </c>
      <c r="C16" s="64">
        <f>_xlfn.XLOOKUP(B16,Curva2027!$B$4:$B$49,Curva2027!$AE$4:$AE$49,"88",0)</f>
        <v>5051510</v>
      </c>
      <c r="D16" s="68"/>
      <c r="E16" s="62">
        <f>C16*$D$6</f>
        <v>0</v>
      </c>
      <c r="F16" s="70"/>
    </row>
    <row r="17" spans="1:7" ht="15.75" thickBot="1" x14ac:dyDescent="0.3">
      <c r="A17" s="67"/>
      <c r="B17" s="65">
        <v>12</v>
      </c>
      <c r="C17" s="66">
        <f>_xlfn.XLOOKUP(B17,Curva2027!$B$4:$B$49,Curva2027!$AE$4:$AE$49,"88",0)</f>
        <v>9160476</v>
      </c>
      <c r="D17" s="69"/>
      <c r="E17" s="62">
        <f>C17*$D$6</f>
        <v>0</v>
      </c>
      <c r="F17" s="71"/>
    </row>
    <row r="18" spans="1:7" x14ac:dyDescent="0.25">
      <c r="A18" s="57"/>
      <c r="B18" s="58" t="s">
        <v>42</v>
      </c>
      <c r="C18" s="59">
        <f>SUM(C6:C17)</f>
        <v>49057497</v>
      </c>
      <c r="D18" s="58"/>
      <c r="E18" s="59">
        <f>SUM(E6:E17)</f>
        <v>0</v>
      </c>
      <c r="F18" s="53"/>
      <c r="G18" s="86">
        <f>+C18+'2026'!C18</f>
        <v>94857201</v>
      </c>
    </row>
    <row r="19" spans="1:7" x14ac:dyDescent="0.25">
      <c r="A19" s="53"/>
      <c r="B19" s="53"/>
      <c r="C19" s="53"/>
      <c r="D19" s="53"/>
      <c r="E19" s="53"/>
      <c r="F19" s="53"/>
    </row>
    <row r="20" spans="1:7" x14ac:dyDescent="0.25">
      <c r="A20" s="53" t="s">
        <v>43</v>
      </c>
      <c r="B20" s="53"/>
      <c r="C20" s="53"/>
      <c r="D20" s="53"/>
      <c r="E20" s="53"/>
      <c r="F20" s="53"/>
    </row>
    <row r="21" spans="1:7" x14ac:dyDescent="0.25">
      <c r="A21" s="53"/>
      <c r="B21" s="85" t="s">
        <v>46</v>
      </c>
      <c r="C21" s="53"/>
      <c r="D21" s="53"/>
      <c r="E21" s="53"/>
      <c r="F21" s="53"/>
    </row>
    <row r="22" spans="1:7" x14ac:dyDescent="0.25">
      <c r="A22" s="53"/>
      <c r="B22" s="85" t="s">
        <v>44</v>
      </c>
      <c r="C22" s="53"/>
      <c r="D22" s="53"/>
      <c r="E22" s="53"/>
      <c r="F22" s="53"/>
    </row>
    <row r="23" spans="1:7" x14ac:dyDescent="0.25">
      <c r="A23" s="53"/>
      <c r="B23" s="85" t="s">
        <v>47</v>
      </c>
      <c r="C23" s="53"/>
      <c r="D23" s="53"/>
      <c r="E23" s="53"/>
      <c r="F23" s="53"/>
    </row>
    <row r="24" spans="1:7" x14ac:dyDescent="0.25">
      <c r="A24" s="53"/>
      <c r="B24" s="85" t="s">
        <v>45</v>
      </c>
      <c r="C24" s="53"/>
      <c r="D24" s="53"/>
      <c r="E24" s="53"/>
      <c r="F24" s="53"/>
    </row>
  </sheetData>
  <mergeCells count="2">
    <mergeCell ref="D6:D17"/>
    <mergeCell ref="F6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1883-A7ED-4273-A4D0-CB840D9AF24B}">
  <dimension ref="A1:AE50"/>
  <sheetViews>
    <sheetView showGridLines="0" workbookViewId="0">
      <selection activeCell="AG9" sqref="AG9"/>
    </sheetView>
  </sheetViews>
  <sheetFormatPr baseColWidth="10" defaultRowHeight="15" x14ac:dyDescent="0.25"/>
  <cols>
    <col min="1" max="1" width="5" bestFit="1" customWidth="1"/>
    <col min="2" max="2" width="3.85546875" bestFit="1" customWidth="1"/>
    <col min="3" max="3" width="3" bestFit="1" customWidth="1"/>
    <col min="4" max="4" width="2.85546875" bestFit="1" customWidth="1"/>
    <col min="5" max="28" width="5.7109375" bestFit="1" customWidth="1"/>
    <col min="29" max="29" width="6.5703125" bestFit="1" customWidth="1"/>
    <col min="30" max="30" width="8.42578125" bestFit="1" customWidth="1"/>
    <col min="31" max="31" width="8.140625" bestFit="1" customWidth="1"/>
  </cols>
  <sheetData>
    <row r="1" spans="1:31" ht="15.75" x14ac:dyDescent="0.25">
      <c r="A1" s="49"/>
      <c r="B1" s="49"/>
      <c r="C1" s="49"/>
      <c r="D1" s="49"/>
      <c r="E1" s="50" t="s">
        <v>35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49"/>
    </row>
    <row r="2" spans="1:31" ht="15.75" thickBot="1" x14ac:dyDescent="0.3"/>
    <row r="3" spans="1:31" ht="23.25" thickBot="1" x14ac:dyDescent="0.3">
      <c r="A3" s="1" t="s">
        <v>0</v>
      </c>
      <c r="B3" s="48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  <c r="M3" s="34" t="s">
        <v>12</v>
      </c>
      <c r="N3" s="34" t="s">
        <v>13</v>
      </c>
      <c r="O3" s="34" t="s">
        <v>14</v>
      </c>
      <c r="P3" s="34" t="s">
        <v>15</v>
      </c>
      <c r="Q3" s="34" t="s">
        <v>16</v>
      </c>
      <c r="R3" s="34" t="s">
        <v>17</v>
      </c>
      <c r="S3" s="34" t="s">
        <v>18</v>
      </c>
      <c r="T3" s="34" t="s">
        <v>19</v>
      </c>
      <c r="U3" s="34" t="s">
        <v>20</v>
      </c>
      <c r="V3" s="34" t="s">
        <v>21</v>
      </c>
      <c r="W3" s="34" t="s">
        <v>22</v>
      </c>
      <c r="X3" s="34" t="s">
        <v>23</v>
      </c>
      <c r="Y3" s="34" t="s">
        <v>24</v>
      </c>
      <c r="Z3" s="34" t="s">
        <v>25</v>
      </c>
      <c r="AA3" s="34" t="s">
        <v>26</v>
      </c>
      <c r="AB3" s="34" t="s">
        <v>27</v>
      </c>
      <c r="AC3" s="2" t="s">
        <v>28</v>
      </c>
      <c r="AD3" s="3" t="s">
        <v>29</v>
      </c>
      <c r="AE3" s="47" t="s">
        <v>30</v>
      </c>
    </row>
    <row r="4" spans="1:31" ht="15.75" thickTop="1" x14ac:dyDescent="0.25">
      <c r="A4" s="82">
        <v>2027</v>
      </c>
      <c r="B4" s="79">
        <v>1</v>
      </c>
      <c r="C4" s="35" t="s">
        <v>31</v>
      </c>
      <c r="D4" s="36">
        <v>19</v>
      </c>
      <c r="E4" s="37">
        <v>13905</v>
      </c>
      <c r="F4" s="38">
        <v>12606</v>
      </c>
      <c r="G4" s="38">
        <v>11552</v>
      </c>
      <c r="H4" s="38">
        <v>10815</v>
      </c>
      <c r="I4" s="38">
        <v>10407</v>
      </c>
      <c r="J4" s="38">
        <v>9966</v>
      </c>
      <c r="K4" s="38">
        <v>7798</v>
      </c>
      <c r="L4" s="38">
        <v>9241</v>
      </c>
      <c r="M4" s="38">
        <v>12181</v>
      </c>
      <c r="N4" s="38">
        <v>14243</v>
      </c>
      <c r="O4" s="38">
        <v>15778</v>
      </c>
      <c r="P4" s="38">
        <v>16860</v>
      </c>
      <c r="Q4" s="38">
        <v>15785</v>
      </c>
      <c r="R4" s="38">
        <v>17846</v>
      </c>
      <c r="S4" s="38">
        <v>20518</v>
      </c>
      <c r="T4" s="38">
        <v>20726</v>
      </c>
      <c r="U4" s="38">
        <v>19717</v>
      </c>
      <c r="V4" s="38">
        <v>21827</v>
      </c>
      <c r="W4" s="38">
        <v>23876</v>
      </c>
      <c r="X4" s="38">
        <v>24328</v>
      </c>
      <c r="Y4" s="38">
        <v>23548</v>
      </c>
      <c r="Z4" s="38">
        <v>22477</v>
      </c>
      <c r="AA4" s="38">
        <v>20737</v>
      </c>
      <c r="AB4" s="38">
        <v>18928</v>
      </c>
      <c r="AC4" s="30">
        <f>SUM(E4:AB4)</f>
        <v>395665</v>
      </c>
      <c r="AD4" s="31">
        <f>AC4*D4</f>
        <v>7517635</v>
      </c>
      <c r="AE4" s="32">
        <f>SUM(AD4:AD7)</f>
        <v>8254332</v>
      </c>
    </row>
    <row r="5" spans="1:31" x14ac:dyDescent="0.25">
      <c r="A5" s="83"/>
      <c r="B5" s="80"/>
      <c r="C5" s="39" t="s">
        <v>32</v>
      </c>
      <c r="D5" s="40">
        <v>5</v>
      </c>
      <c r="E5" s="41">
        <v>500</v>
      </c>
      <c r="F5" s="42">
        <v>500</v>
      </c>
      <c r="G5" s="42">
        <v>500</v>
      </c>
      <c r="H5" s="42">
        <v>500</v>
      </c>
      <c r="I5" s="42">
        <v>500</v>
      </c>
      <c r="J5" s="42">
        <v>500</v>
      </c>
      <c r="K5" s="42">
        <v>500</v>
      </c>
      <c r="L5" s="42">
        <v>500</v>
      </c>
      <c r="M5" s="42">
        <v>500</v>
      </c>
      <c r="N5" s="42">
        <v>500</v>
      </c>
      <c r="O5" s="42">
        <v>500</v>
      </c>
      <c r="P5" s="42">
        <v>500</v>
      </c>
      <c r="Q5" s="42">
        <v>500</v>
      </c>
      <c r="R5" s="42">
        <v>500</v>
      </c>
      <c r="S5" s="42">
        <v>500</v>
      </c>
      <c r="T5" s="42">
        <v>500</v>
      </c>
      <c r="U5" s="42">
        <v>500</v>
      </c>
      <c r="V5" s="42">
        <v>2895</v>
      </c>
      <c r="W5" s="42">
        <v>3988</v>
      </c>
      <c r="X5" s="42">
        <v>3860</v>
      </c>
      <c r="Y5" s="42">
        <v>3309</v>
      </c>
      <c r="Z5" s="42">
        <v>3114</v>
      </c>
      <c r="AA5" s="42">
        <v>2476</v>
      </c>
      <c r="AB5" s="42">
        <v>1976</v>
      </c>
      <c r="AC5" s="16">
        <f t="shared" ref="AC5:AC49" si="0">SUM(E5:AB5)</f>
        <v>30118</v>
      </c>
      <c r="AD5" s="17">
        <f t="shared" ref="AD5:AD49" si="1">AC5*D5</f>
        <v>150590</v>
      </c>
      <c r="AE5" s="18"/>
    </row>
    <row r="6" spans="1:31" x14ac:dyDescent="0.25">
      <c r="A6" s="83"/>
      <c r="B6" s="80"/>
      <c r="C6" s="39" t="s">
        <v>33</v>
      </c>
      <c r="D6" s="40">
        <v>5</v>
      </c>
      <c r="E6" s="41">
        <v>500</v>
      </c>
      <c r="F6" s="42">
        <v>500</v>
      </c>
      <c r="G6" s="42">
        <v>500</v>
      </c>
      <c r="H6" s="42">
        <v>500</v>
      </c>
      <c r="I6" s="42">
        <v>500</v>
      </c>
      <c r="J6" s="42">
        <v>500</v>
      </c>
      <c r="K6" s="42">
        <v>500</v>
      </c>
      <c r="L6" s="42">
        <v>500</v>
      </c>
      <c r="M6" s="42">
        <v>500</v>
      </c>
      <c r="N6" s="42">
        <v>500</v>
      </c>
      <c r="O6" s="42">
        <v>500</v>
      </c>
      <c r="P6" s="42">
        <v>500</v>
      </c>
      <c r="Q6" s="42">
        <v>500</v>
      </c>
      <c r="R6" s="42">
        <v>500</v>
      </c>
      <c r="S6" s="42">
        <v>500</v>
      </c>
      <c r="T6" s="42">
        <v>500</v>
      </c>
      <c r="U6" s="42">
        <v>500</v>
      </c>
      <c r="V6" s="42">
        <v>2929</v>
      </c>
      <c r="W6" s="42">
        <v>4778</v>
      </c>
      <c r="X6" s="42">
        <v>5443</v>
      </c>
      <c r="Y6" s="42">
        <v>5593</v>
      </c>
      <c r="Z6" s="42">
        <v>5045</v>
      </c>
      <c r="AA6" s="42">
        <v>4504</v>
      </c>
      <c r="AB6" s="42">
        <v>3533</v>
      </c>
      <c r="AC6" s="16">
        <f t="shared" si="0"/>
        <v>40325</v>
      </c>
      <c r="AD6" s="17">
        <f t="shared" si="1"/>
        <v>201625</v>
      </c>
      <c r="AE6" s="18"/>
    </row>
    <row r="7" spans="1:31" ht="15.75" thickBot="1" x14ac:dyDescent="0.3">
      <c r="A7" s="83"/>
      <c r="B7" s="81"/>
      <c r="C7" s="43" t="s">
        <v>34</v>
      </c>
      <c r="D7" s="44">
        <v>2</v>
      </c>
      <c r="E7" s="45">
        <v>6575</v>
      </c>
      <c r="F7" s="46">
        <v>6118</v>
      </c>
      <c r="G7" s="46">
        <v>5707</v>
      </c>
      <c r="H7" s="46">
        <v>5316</v>
      </c>
      <c r="I7" s="46">
        <v>5008</v>
      </c>
      <c r="J7" s="46">
        <v>4461</v>
      </c>
      <c r="K7" s="46">
        <v>2617</v>
      </c>
      <c r="L7" s="46">
        <v>2772</v>
      </c>
      <c r="M7" s="46">
        <v>4360</v>
      </c>
      <c r="N7" s="46">
        <v>5672</v>
      </c>
      <c r="O7" s="46">
        <v>6598</v>
      </c>
      <c r="P7" s="46">
        <v>7337</v>
      </c>
      <c r="Q7" s="46">
        <v>7341</v>
      </c>
      <c r="R7" s="46">
        <v>6900</v>
      </c>
      <c r="S7" s="46">
        <v>6796</v>
      </c>
      <c r="T7" s="46">
        <v>6810</v>
      </c>
      <c r="U7" s="46">
        <v>6970</v>
      </c>
      <c r="V7" s="46">
        <v>10988</v>
      </c>
      <c r="W7" s="46">
        <v>14070</v>
      </c>
      <c r="X7" s="46">
        <v>14739</v>
      </c>
      <c r="Y7" s="46">
        <v>14993</v>
      </c>
      <c r="Z7" s="46">
        <v>14351</v>
      </c>
      <c r="AA7" s="46">
        <v>13430</v>
      </c>
      <c r="AB7" s="46">
        <v>12312</v>
      </c>
      <c r="AC7" s="23">
        <f t="shared" si="0"/>
        <v>192241</v>
      </c>
      <c r="AD7" s="24">
        <f t="shared" si="1"/>
        <v>384482</v>
      </c>
      <c r="AE7" s="25"/>
    </row>
    <row r="8" spans="1:31" ht="15.75" thickTop="1" x14ac:dyDescent="0.25">
      <c r="A8" s="83"/>
      <c r="B8" s="79">
        <v>2</v>
      </c>
      <c r="C8" s="35" t="s">
        <v>31</v>
      </c>
      <c r="D8" s="36">
        <v>20</v>
      </c>
      <c r="E8" s="37">
        <v>10352</v>
      </c>
      <c r="F8" s="38">
        <v>9429</v>
      </c>
      <c r="G8" s="38">
        <v>8483</v>
      </c>
      <c r="H8" s="38">
        <v>7653</v>
      </c>
      <c r="I8" s="38">
        <v>7052</v>
      </c>
      <c r="J8" s="38">
        <v>7408</v>
      </c>
      <c r="K8" s="38">
        <v>5946</v>
      </c>
      <c r="L8" s="38">
        <v>6806</v>
      </c>
      <c r="M8" s="38">
        <v>9386</v>
      </c>
      <c r="N8" s="38">
        <v>11055</v>
      </c>
      <c r="O8" s="38">
        <v>12072</v>
      </c>
      <c r="P8" s="38">
        <v>12881</v>
      </c>
      <c r="Q8" s="38">
        <v>11274</v>
      </c>
      <c r="R8" s="38">
        <v>12922</v>
      </c>
      <c r="S8" s="38">
        <v>15834</v>
      </c>
      <c r="T8" s="38">
        <v>16528</v>
      </c>
      <c r="U8" s="38">
        <v>15468</v>
      </c>
      <c r="V8" s="38">
        <v>17662</v>
      </c>
      <c r="W8" s="38">
        <v>19228</v>
      </c>
      <c r="X8" s="38">
        <v>19662</v>
      </c>
      <c r="Y8" s="38">
        <v>19484</v>
      </c>
      <c r="Z8" s="38">
        <v>18424</v>
      </c>
      <c r="AA8" s="38">
        <v>16553</v>
      </c>
      <c r="AB8" s="38">
        <v>14929</v>
      </c>
      <c r="AC8" s="30">
        <f t="shared" si="0"/>
        <v>306491</v>
      </c>
      <c r="AD8" s="31">
        <f t="shared" si="1"/>
        <v>6129820</v>
      </c>
      <c r="AE8" s="32">
        <f>SUM(AD8:AD10)</f>
        <v>8114548</v>
      </c>
    </row>
    <row r="9" spans="1:31" x14ac:dyDescent="0.25">
      <c r="A9" s="83"/>
      <c r="B9" s="80"/>
      <c r="C9" s="39" t="s">
        <v>32</v>
      </c>
      <c r="D9" s="40">
        <v>4</v>
      </c>
      <c r="E9" s="41">
        <v>8645</v>
      </c>
      <c r="F9" s="42">
        <v>7736</v>
      </c>
      <c r="G9" s="42">
        <v>7103</v>
      </c>
      <c r="H9" s="42">
        <v>6615</v>
      </c>
      <c r="I9" s="42">
        <v>6253</v>
      </c>
      <c r="J9" s="42">
        <v>5879</v>
      </c>
      <c r="K9" s="42">
        <v>4193</v>
      </c>
      <c r="L9" s="42">
        <v>4788</v>
      </c>
      <c r="M9" s="42">
        <v>7219</v>
      </c>
      <c r="N9" s="42">
        <v>9305</v>
      </c>
      <c r="O9" s="42">
        <v>10532</v>
      </c>
      <c r="P9" s="42">
        <v>11046</v>
      </c>
      <c r="Q9" s="42">
        <v>10926</v>
      </c>
      <c r="R9" s="42">
        <v>10807</v>
      </c>
      <c r="S9" s="42">
        <v>12430</v>
      </c>
      <c r="T9" s="42">
        <v>11306</v>
      </c>
      <c r="U9" s="42">
        <v>11130</v>
      </c>
      <c r="V9" s="42">
        <v>14051</v>
      </c>
      <c r="W9" s="42">
        <v>16544</v>
      </c>
      <c r="X9" s="42">
        <v>16692</v>
      </c>
      <c r="Y9" s="42">
        <v>16041</v>
      </c>
      <c r="Z9" s="42">
        <v>14654</v>
      </c>
      <c r="AA9" s="42">
        <v>13416</v>
      </c>
      <c r="AB9" s="42">
        <v>12212</v>
      </c>
      <c r="AC9" s="16">
        <f t="shared" si="0"/>
        <v>249523</v>
      </c>
      <c r="AD9" s="17">
        <f t="shared" si="1"/>
        <v>998092</v>
      </c>
      <c r="AE9" s="18"/>
    </row>
    <row r="10" spans="1:31" ht="15.75" thickBot="1" x14ac:dyDescent="0.3">
      <c r="A10" s="83"/>
      <c r="B10" s="81"/>
      <c r="C10" s="43" t="s">
        <v>33</v>
      </c>
      <c r="D10" s="44">
        <v>4</v>
      </c>
      <c r="E10" s="45">
        <v>8856</v>
      </c>
      <c r="F10" s="46">
        <v>8046</v>
      </c>
      <c r="G10" s="46">
        <v>7290</v>
      </c>
      <c r="H10" s="46">
        <v>6797</v>
      </c>
      <c r="I10" s="46">
        <v>6457</v>
      </c>
      <c r="J10" s="46">
        <v>5911</v>
      </c>
      <c r="K10" s="46">
        <v>3717</v>
      </c>
      <c r="L10" s="46">
        <v>4466</v>
      </c>
      <c r="M10" s="46">
        <v>5569</v>
      </c>
      <c r="N10" s="46">
        <v>6932</v>
      </c>
      <c r="O10" s="46">
        <v>8090</v>
      </c>
      <c r="P10" s="46">
        <v>9378</v>
      </c>
      <c r="Q10" s="46">
        <v>9576</v>
      </c>
      <c r="R10" s="46">
        <v>9830</v>
      </c>
      <c r="S10" s="46">
        <v>10346</v>
      </c>
      <c r="T10" s="46">
        <v>10636</v>
      </c>
      <c r="U10" s="46">
        <v>10411</v>
      </c>
      <c r="V10" s="46">
        <v>14067</v>
      </c>
      <c r="W10" s="46">
        <v>16876</v>
      </c>
      <c r="X10" s="46">
        <v>17727</v>
      </c>
      <c r="Y10" s="46">
        <v>18282</v>
      </c>
      <c r="Z10" s="46">
        <v>17323</v>
      </c>
      <c r="AA10" s="46">
        <v>15960</v>
      </c>
      <c r="AB10" s="46">
        <v>14116</v>
      </c>
      <c r="AC10" s="23">
        <f t="shared" si="0"/>
        <v>246659</v>
      </c>
      <c r="AD10" s="24">
        <f t="shared" si="1"/>
        <v>986636</v>
      </c>
      <c r="AE10" s="25"/>
    </row>
    <row r="11" spans="1:31" ht="15.75" thickTop="1" x14ac:dyDescent="0.25">
      <c r="A11" s="83"/>
      <c r="B11" s="79">
        <v>3</v>
      </c>
      <c r="C11" s="35" t="s">
        <v>31</v>
      </c>
      <c r="D11" s="36">
        <v>20</v>
      </c>
      <c r="E11" s="37">
        <v>12378</v>
      </c>
      <c r="F11" s="38">
        <v>11182</v>
      </c>
      <c r="G11" s="38">
        <v>10419</v>
      </c>
      <c r="H11" s="38">
        <v>9638</v>
      </c>
      <c r="I11" s="38">
        <v>9180</v>
      </c>
      <c r="J11" s="38">
        <v>9270</v>
      </c>
      <c r="K11" s="38">
        <v>7664</v>
      </c>
      <c r="L11" s="38">
        <v>9023</v>
      </c>
      <c r="M11" s="38">
        <v>11902</v>
      </c>
      <c r="N11" s="38">
        <v>13846</v>
      </c>
      <c r="O11" s="38">
        <v>15108</v>
      </c>
      <c r="P11" s="38">
        <v>16423</v>
      </c>
      <c r="Q11" s="38">
        <v>14384</v>
      </c>
      <c r="R11" s="38">
        <v>15981</v>
      </c>
      <c r="S11" s="38">
        <v>18576</v>
      </c>
      <c r="T11" s="38">
        <v>18995</v>
      </c>
      <c r="U11" s="38">
        <v>17881</v>
      </c>
      <c r="V11" s="38">
        <v>19855</v>
      </c>
      <c r="W11" s="38">
        <v>21881</v>
      </c>
      <c r="X11" s="38">
        <v>22356</v>
      </c>
      <c r="Y11" s="38">
        <v>22023</v>
      </c>
      <c r="Z11" s="38">
        <v>20742</v>
      </c>
      <c r="AA11" s="38">
        <v>18664</v>
      </c>
      <c r="AB11" s="38">
        <v>17489</v>
      </c>
      <c r="AC11" s="30">
        <f t="shared" si="0"/>
        <v>364860</v>
      </c>
      <c r="AD11" s="31">
        <f t="shared" si="1"/>
        <v>7297200</v>
      </c>
      <c r="AE11" s="32">
        <f>SUM(AD11:AD14)</f>
        <v>9933912</v>
      </c>
    </row>
    <row r="12" spans="1:31" x14ac:dyDescent="0.25">
      <c r="A12" s="83"/>
      <c r="B12" s="80"/>
      <c r="C12" s="39" t="s">
        <v>32</v>
      </c>
      <c r="D12" s="40">
        <v>4</v>
      </c>
      <c r="E12" s="41">
        <v>9853</v>
      </c>
      <c r="F12" s="42">
        <v>9051</v>
      </c>
      <c r="G12" s="42">
        <v>8165</v>
      </c>
      <c r="H12" s="42">
        <v>7765</v>
      </c>
      <c r="I12" s="42">
        <v>6868</v>
      </c>
      <c r="J12" s="42">
        <v>6286</v>
      </c>
      <c r="K12" s="42">
        <v>4505</v>
      </c>
      <c r="L12" s="42">
        <v>5250</v>
      </c>
      <c r="M12" s="42">
        <v>8510</v>
      </c>
      <c r="N12" s="42">
        <v>10576</v>
      </c>
      <c r="O12" s="42">
        <v>12267</v>
      </c>
      <c r="P12" s="42">
        <v>13227</v>
      </c>
      <c r="Q12" s="42">
        <v>11932</v>
      </c>
      <c r="R12" s="42">
        <v>11150</v>
      </c>
      <c r="S12" s="42">
        <v>10934</v>
      </c>
      <c r="T12" s="42">
        <v>11349</v>
      </c>
      <c r="U12" s="42">
        <v>10695</v>
      </c>
      <c r="V12" s="42">
        <v>14123</v>
      </c>
      <c r="W12" s="42">
        <v>17063</v>
      </c>
      <c r="X12" s="42">
        <v>17107</v>
      </c>
      <c r="Y12" s="42">
        <v>16527</v>
      </c>
      <c r="Z12" s="42">
        <v>15770</v>
      </c>
      <c r="AA12" s="42">
        <v>14724</v>
      </c>
      <c r="AB12" s="42">
        <v>15581</v>
      </c>
      <c r="AC12" s="16">
        <f t="shared" si="0"/>
        <v>269278</v>
      </c>
      <c r="AD12" s="17">
        <f t="shared" si="1"/>
        <v>1077112</v>
      </c>
      <c r="AE12" s="18"/>
    </row>
    <row r="13" spans="1:31" x14ac:dyDescent="0.25">
      <c r="A13" s="83"/>
      <c r="B13" s="80"/>
      <c r="C13" s="39" t="s">
        <v>33</v>
      </c>
      <c r="D13" s="40">
        <v>4</v>
      </c>
      <c r="E13" s="41">
        <v>15099</v>
      </c>
      <c r="F13" s="42">
        <v>14208</v>
      </c>
      <c r="G13" s="42">
        <v>13311</v>
      </c>
      <c r="H13" s="42">
        <v>12584</v>
      </c>
      <c r="I13" s="42">
        <v>12082</v>
      </c>
      <c r="J13" s="42">
        <v>11235</v>
      </c>
      <c r="K13" s="42">
        <v>9331</v>
      </c>
      <c r="L13" s="42">
        <v>9833</v>
      </c>
      <c r="M13" s="42">
        <v>9830</v>
      </c>
      <c r="N13" s="42">
        <v>9259</v>
      </c>
      <c r="O13" s="42">
        <v>12862</v>
      </c>
      <c r="P13" s="42">
        <v>14697</v>
      </c>
      <c r="Q13" s="42">
        <v>15387</v>
      </c>
      <c r="R13" s="42">
        <v>15443</v>
      </c>
      <c r="S13" s="42">
        <v>16321</v>
      </c>
      <c r="T13" s="42">
        <v>15329</v>
      </c>
      <c r="U13" s="42">
        <v>14377</v>
      </c>
      <c r="V13" s="42">
        <v>19605</v>
      </c>
      <c r="W13" s="42">
        <v>23405</v>
      </c>
      <c r="X13" s="42">
        <v>24449</v>
      </c>
      <c r="Y13" s="42">
        <v>24641</v>
      </c>
      <c r="Z13" s="42">
        <v>23804</v>
      </c>
      <c r="AA13" s="42">
        <v>22420</v>
      </c>
      <c r="AB13" s="42">
        <v>21388</v>
      </c>
      <c r="AC13" s="16">
        <f t="shared" si="0"/>
        <v>380900</v>
      </c>
      <c r="AD13" s="17">
        <f t="shared" si="1"/>
        <v>1523600</v>
      </c>
      <c r="AE13" s="18"/>
    </row>
    <row r="14" spans="1:31" ht="15.75" thickBot="1" x14ac:dyDescent="0.3">
      <c r="A14" s="83"/>
      <c r="B14" s="81"/>
      <c r="C14" s="43" t="s">
        <v>34</v>
      </c>
      <c r="D14" s="44">
        <v>3</v>
      </c>
      <c r="E14" s="45">
        <v>500</v>
      </c>
      <c r="F14" s="46">
        <v>500</v>
      </c>
      <c r="G14" s="46">
        <v>500</v>
      </c>
      <c r="H14" s="46">
        <v>500</v>
      </c>
      <c r="I14" s="46">
        <v>500</v>
      </c>
      <c r="J14" s="46">
        <v>500</v>
      </c>
      <c r="K14" s="46">
        <v>500</v>
      </c>
      <c r="L14" s="46">
        <v>500</v>
      </c>
      <c r="M14" s="46">
        <v>500</v>
      </c>
      <c r="N14" s="46">
        <v>500</v>
      </c>
      <c r="O14" s="46">
        <v>500</v>
      </c>
      <c r="P14" s="46">
        <v>500</v>
      </c>
      <c r="Q14" s="46">
        <v>500</v>
      </c>
      <c r="R14" s="46">
        <v>500</v>
      </c>
      <c r="S14" s="46">
        <v>500</v>
      </c>
      <c r="T14" s="46">
        <v>500</v>
      </c>
      <c r="U14" s="46">
        <v>500</v>
      </c>
      <c r="V14" s="46">
        <v>500</v>
      </c>
      <c r="W14" s="46">
        <v>500</v>
      </c>
      <c r="X14" s="46">
        <v>500</v>
      </c>
      <c r="Y14" s="46">
        <v>500</v>
      </c>
      <c r="Z14" s="46">
        <v>500</v>
      </c>
      <c r="AA14" s="46">
        <v>500</v>
      </c>
      <c r="AB14" s="46">
        <v>500</v>
      </c>
      <c r="AC14" s="23">
        <f t="shared" si="0"/>
        <v>12000</v>
      </c>
      <c r="AD14" s="24">
        <f t="shared" si="1"/>
        <v>36000</v>
      </c>
      <c r="AE14" s="25"/>
    </row>
    <row r="15" spans="1:31" ht="15.75" thickTop="1" x14ac:dyDescent="0.25">
      <c r="A15" s="83"/>
      <c r="B15" s="79">
        <v>4</v>
      </c>
      <c r="C15" s="35" t="s">
        <v>31</v>
      </c>
      <c r="D15" s="36">
        <v>22</v>
      </c>
      <c r="E15" s="37">
        <v>3941</v>
      </c>
      <c r="F15" s="38">
        <v>3563</v>
      </c>
      <c r="G15" s="38">
        <v>3260</v>
      </c>
      <c r="H15" s="38">
        <v>2919</v>
      </c>
      <c r="I15" s="38">
        <v>2774</v>
      </c>
      <c r="J15" s="38">
        <v>2707</v>
      </c>
      <c r="K15" s="38">
        <v>2182</v>
      </c>
      <c r="L15" s="38">
        <v>2894</v>
      </c>
      <c r="M15" s="38">
        <v>4241</v>
      </c>
      <c r="N15" s="38">
        <v>5373</v>
      </c>
      <c r="O15" s="38">
        <v>6005</v>
      </c>
      <c r="P15" s="38">
        <v>5811</v>
      </c>
      <c r="Q15" s="38">
        <v>4994</v>
      </c>
      <c r="R15" s="38">
        <v>5970</v>
      </c>
      <c r="S15" s="38">
        <v>7311</v>
      </c>
      <c r="T15" s="38">
        <v>7284</v>
      </c>
      <c r="U15" s="38">
        <v>6380</v>
      </c>
      <c r="V15" s="38">
        <v>8097</v>
      </c>
      <c r="W15" s="38">
        <v>8807</v>
      </c>
      <c r="X15" s="38">
        <v>8912</v>
      </c>
      <c r="Y15" s="38">
        <v>8605</v>
      </c>
      <c r="Z15" s="38">
        <v>8022</v>
      </c>
      <c r="AA15" s="38">
        <v>7165</v>
      </c>
      <c r="AB15" s="38">
        <v>6241</v>
      </c>
      <c r="AC15" s="30">
        <f t="shared" si="0"/>
        <v>133458</v>
      </c>
      <c r="AD15" s="31">
        <f t="shared" si="1"/>
        <v>2936076</v>
      </c>
      <c r="AE15" s="32">
        <f>SUM(AD15:AD18)</f>
        <v>4126772</v>
      </c>
    </row>
    <row r="16" spans="1:31" x14ac:dyDescent="0.25">
      <c r="A16" s="83"/>
      <c r="B16" s="80"/>
      <c r="C16" s="39" t="s">
        <v>32</v>
      </c>
      <c r="D16" s="40">
        <v>4</v>
      </c>
      <c r="E16" s="41">
        <v>7634</v>
      </c>
      <c r="F16" s="42">
        <v>7059</v>
      </c>
      <c r="G16" s="42">
        <v>6516</v>
      </c>
      <c r="H16" s="42">
        <v>6049</v>
      </c>
      <c r="I16" s="42">
        <v>5812</v>
      </c>
      <c r="J16" s="42">
        <v>5429</v>
      </c>
      <c r="K16" s="42">
        <v>4730</v>
      </c>
      <c r="L16" s="42">
        <v>5755</v>
      </c>
      <c r="M16" s="42">
        <v>7180</v>
      </c>
      <c r="N16" s="42">
        <v>8031</v>
      </c>
      <c r="O16" s="42">
        <v>8913</v>
      </c>
      <c r="P16" s="42">
        <v>9671</v>
      </c>
      <c r="Q16" s="42">
        <v>9371</v>
      </c>
      <c r="R16" s="42">
        <v>9469</v>
      </c>
      <c r="S16" s="42">
        <v>9774</v>
      </c>
      <c r="T16" s="42">
        <v>9889</v>
      </c>
      <c r="U16" s="42">
        <v>9579</v>
      </c>
      <c r="V16" s="42">
        <v>11485</v>
      </c>
      <c r="W16" s="42">
        <v>13201</v>
      </c>
      <c r="X16" s="42">
        <v>13260</v>
      </c>
      <c r="Y16" s="42">
        <v>12812</v>
      </c>
      <c r="Z16" s="42">
        <v>12253</v>
      </c>
      <c r="AA16" s="42">
        <v>11410</v>
      </c>
      <c r="AB16" s="42">
        <v>10552</v>
      </c>
      <c r="AC16" s="16">
        <f t="shared" si="0"/>
        <v>215834</v>
      </c>
      <c r="AD16" s="17">
        <f t="shared" si="1"/>
        <v>863336</v>
      </c>
      <c r="AE16" s="18"/>
    </row>
    <row r="17" spans="1:31" x14ac:dyDescent="0.25">
      <c r="A17" s="83"/>
      <c r="B17" s="80"/>
      <c r="C17" s="39" t="s">
        <v>33</v>
      </c>
      <c r="D17" s="40">
        <v>4</v>
      </c>
      <c r="E17" s="41">
        <v>3127</v>
      </c>
      <c r="F17" s="42">
        <v>2707</v>
      </c>
      <c r="G17" s="42">
        <v>2308</v>
      </c>
      <c r="H17" s="42">
        <v>2014</v>
      </c>
      <c r="I17" s="42">
        <v>1758</v>
      </c>
      <c r="J17" s="42">
        <v>1429</v>
      </c>
      <c r="K17" s="42">
        <v>625</v>
      </c>
      <c r="L17" s="42">
        <v>674</v>
      </c>
      <c r="M17" s="42">
        <v>1226</v>
      </c>
      <c r="N17" s="42">
        <v>1318</v>
      </c>
      <c r="O17" s="42">
        <v>1621</v>
      </c>
      <c r="P17" s="42">
        <v>2069</v>
      </c>
      <c r="Q17" s="42">
        <v>2396</v>
      </c>
      <c r="R17" s="42">
        <v>2835</v>
      </c>
      <c r="S17" s="42">
        <v>3565</v>
      </c>
      <c r="T17" s="42">
        <v>4062</v>
      </c>
      <c r="U17" s="42">
        <v>3852</v>
      </c>
      <c r="V17" s="42">
        <v>5661</v>
      </c>
      <c r="W17" s="42">
        <v>6839</v>
      </c>
      <c r="X17" s="42">
        <v>6964</v>
      </c>
      <c r="Y17" s="42">
        <v>7115</v>
      </c>
      <c r="Z17" s="42">
        <v>6709</v>
      </c>
      <c r="AA17" s="42">
        <v>5897</v>
      </c>
      <c r="AB17" s="42">
        <v>5069</v>
      </c>
      <c r="AC17" s="16">
        <f t="shared" si="0"/>
        <v>81840</v>
      </c>
      <c r="AD17" s="17">
        <f t="shared" si="1"/>
        <v>327360</v>
      </c>
      <c r="AE17" s="18"/>
    </row>
    <row r="18" spans="1:31" ht="15.75" thickBot="1" x14ac:dyDescent="0.3">
      <c r="A18" s="83"/>
      <c r="B18" s="81"/>
      <c r="C18" s="43" t="s">
        <v>34</v>
      </c>
      <c r="D18" s="44">
        <v>0</v>
      </c>
      <c r="E18" s="45">
        <v>500</v>
      </c>
      <c r="F18" s="46">
        <v>500</v>
      </c>
      <c r="G18" s="46">
        <v>500</v>
      </c>
      <c r="H18" s="46">
        <v>500</v>
      </c>
      <c r="I18" s="46">
        <v>500</v>
      </c>
      <c r="J18" s="46">
        <v>500</v>
      </c>
      <c r="K18" s="46">
        <v>500</v>
      </c>
      <c r="L18" s="46">
        <v>500</v>
      </c>
      <c r="M18" s="46">
        <v>500</v>
      </c>
      <c r="N18" s="46">
        <v>500</v>
      </c>
      <c r="O18" s="46">
        <v>500</v>
      </c>
      <c r="P18" s="46">
        <v>500</v>
      </c>
      <c r="Q18" s="46">
        <v>500</v>
      </c>
      <c r="R18" s="46">
        <v>500</v>
      </c>
      <c r="S18" s="46">
        <v>500</v>
      </c>
      <c r="T18" s="46">
        <v>500</v>
      </c>
      <c r="U18" s="46">
        <v>500</v>
      </c>
      <c r="V18" s="46">
        <v>500</v>
      </c>
      <c r="W18" s="46">
        <v>500</v>
      </c>
      <c r="X18" s="46">
        <v>500</v>
      </c>
      <c r="Y18" s="46">
        <v>500</v>
      </c>
      <c r="Z18" s="46">
        <v>500</v>
      </c>
      <c r="AA18" s="46">
        <v>500</v>
      </c>
      <c r="AB18" s="46">
        <v>500</v>
      </c>
      <c r="AC18" s="23">
        <f t="shared" si="0"/>
        <v>12000</v>
      </c>
      <c r="AD18" s="24">
        <f t="shared" si="1"/>
        <v>0</v>
      </c>
      <c r="AE18" s="25"/>
    </row>
    <row r="19" spans="1:31" ht="15.75" thickTop="1" x14ac:dyDescent="0.25">
      <c r="A19" s="83"/>
      <c r="B19" s="79">
        <v>5</v>
      </c>
      <c r="C19" s="35" t="s">
        <v>31</v>
      </c>
      <c r="D19" s="36">
        <v>19</v>
      </c>
      <c r="E19" s="37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0">
        <f t="shared" si="0"/>
        <v>0</v>
      </c>
      <c r="AD19" s="31">
        <f t="shared" si="1"/>
        <v>0</v>
      </c>
      <c r="AE19" s="32">
        <f>SUM(AD19:AD22)</f>
        <v>0</v>
      </c>
    </row>
    <row r="20" spans="1:31" x14ac:dyDescent="0.25">
      <c r="A20" s="83"/>
      <c r="B20" s="80"/>
      <c r="C20" s="39" t="s">
        <v>32</v>
      </c>
      <c r="D20" s="40">
        <v>4</v>
      </c>
      <c r="E20" s="41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16">
        <f t="shared" si="0"/>
        <v>0</v>
      </c>
      <c r="AD20" s="17">
        <f t="shared" si="1"/>
        <v>0</v>
      </c>
      <c r="AE20" s="18"/>
    </row>
    <row r="21" spans="1:31" x14ac:dyDescent="0.25">
      <c r="A21" s="83"/>
      <c r="B21" s="80"/>
      <c r="C21" s="39" t="s">
        <v>33</v>
      </c>
      <c r="D21" s="40">
        <v>5</v>
      </c>
      <c r="E21" s="41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16">
        <f t="shared" si="0"/>
        <v>0</v>
      </c>
      <c r="AD21" s="17">
        <f t="shared" si="1"/>
        <v>0</v>
      </c>
      <c r="AE21" s="18"/>
    </row>
    <row r="22" spans="1:31" ht="15.75" thickBot="1" x14ac:dyDescent="0.3">
      <c r="A22" s="83"/>
      <c r="B22" s="81"/>
      <c r="C22" s="43" t="s">
        <v>34</v>
      </c>
      <c r="D22" s="44">
        <v>3</v>
      </c>
      <c r="E22" s="45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23">
        <f t="shared" si="0"/>
        <v>0</v>
      </c>
      <c r="AD22" s="24">
        <f t="shared" si="1"/>
        <v>0</v>
      </c>
      <c r="AE22" s="25"/>
    </row>
    <row r="23" spans="1:31" ht="15.75" thickTop="1" x14ac:dyDescent="0.25">
      <c r="A23" s="83"/>
      <c r="B23" s="79">
        <v>6</v>
      </c>
      <c r="C23" s="35" t="s">
        <v>31</v>
      </c>
      <c r="D23" s="36">
        <v>21</v>
      </c>
      <c r="E23" s="37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0">
        <f t="shared" si="0"/>
        <v>0</v>
      </c>
      <c r="AD23" s="31">
        <f t="shared" si="1"/>
        <v>0</v>
      </c>
      <c r="AE23" s="32">
        <f>SUM(AD23:AD26)</f>
        <v>0</v>
      </c>
    </row>
    <row r="24" spans="1:31" x14ac:dyDescent="0.25">
      <c r="A24" s="83"/>
      <c r="B24" s="80"/>
      <c r="C24" s="39" t="s">
        <v>32</v>
      </c>
      <c r="D24" s="40">
        <v>4</v>
      </c>
      <c r="E24" s="41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16">
        <f t="shared" si="0"/>
        <v>0</v>
      </c>
      <c r="AD24" s="17">
        <f t="shared" si="1"/>
        <v>0</v>
      </c>
      <c r="AE24" s="18"/>
    </row>
    <row r="25" spans="1:31" x14ac:dyDescent="0.25">
      <c r="A25" s="83"/>
      <c r="B25" s="80"/>
      <c r="C25" s="39" t="s">
        <v>33</v>
      </c>
      <c r="D25" s="40">
        <v>4</v>
      </c>
      <c r="E25" s="41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16">
        <f t="shared" si="0"/>
        <v>0</v>
      </c>
      <c r="AD25" s="17">
        <f t="shared" si="1"/>
        <v>0</v>
      </c>
      <c r="AE25" s="18"/>
    </row>
    <row r="26" spans="1:31" ht="15.75" thickBot="1" x14ac:dyDescent="0.3">
      <c r="A26" s="83"/>
      <c r="B26" s="81"/>
      <c r="C26" s="43" t="s">
        <v>34</v>
      </c>
      <c r="D26" s="44">
        <v>1</v>
      </c>
      <c r="E26" s="45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23">
        <f t="shared" si="0"/>
        <v>0</v>
      </c>
      <c r="AD26" s="24">
        <f t="shared" si="1"/>
        <v>0</v>
      </c>
      <c r="AE26" s="25"/>
    </row>
    <row r="27" spans="1:31" ht="15.75" thickTop="1" x14ac:dyDescent="0.25">
      <c r="A27" s="83"/>
      <c r="B27" s="79">
        <v>7</v>
      </c>
      <c r="C27" s="35" t="s">
        <v>31</v>
      </c>
      <c r="D27" s="36">
        <v>20</v>
      </c>
      <c r="E27" s="37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30">
        <f t="shared" si="0"/>
        <v>0</v>
      </c>
      <c r="AD27" s="31">
        <f t="shared" si="1"/>
        <v>0</v>
      </c>
      <c r="AE27" s="32">
        <f>SUM(AD27:AD30)</f>
        <v>0</v>
      </c>
    </row>
    <row r="28" spans="1:31" x14ac:dyDescent="0.25">
      <c r="A28" s="83"/>
      <c r="B28" s="80"/>
      <c r="C28" s="39" t="s">
        <v>32</v>
      </c>
      <c r="D28" s="40">
        <v>5</v>
      </c>
      <c r="E28" s="41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16">
        <f t="shared" si="0"/>
        <v>0</v>
      </c>
      <c r="AD28" s="17">
        <f t="shared" si="1"/>
        <v>0</v>
      </c>
      <c r="AE28" s="18"/>
    </row>
    <row r="29" spans="1:31" x14ac:dyDescent="0.25">
      <c r="A29" s="83"/>
      <c r="B29" s="80"/>
      <c r="C29" s="39" t="s">
        <v>33</v>
      </c>
      <c r="D29" s="40">
        <v>4</v>
      </c>
      <c r="E29" s="41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16">
        <f t="shared" si="0"/>
        <v>0</v>
      </c>
      <c r="AD29" s="17">
        <f t="shared" si="1"/>
        <v>0</v>
      </c>
      <c r="AE29" s="18"/>
    </row>
    <row r="30" spans="1:31" ht="15.75" thickBot="1" x14ac:dyDescent="0.3">
      <c r="A30" s="83"/>
      <c r="B30" s="81"/>
      <c r="C30" s="43" t="s">
        <v>34</v>
      </c>
      <c r="D30" s="44">
        <v>2</v>
      </c>
      <c r="E30" s="45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23">
        <f t="shared" si="0"/>
        <v>0</v>
      </c>
      <c r="AD30" s="24">
        <f t="shared" si="1"/>
        <v>0</v>
      </c>
      <c r="AE30" s="25"/>
    </row>
    <row r="31" spans="1:31" ht="15.75" thickTop="1" x14ac:dyDescent="0.25">
      <c r="A31" s="83"/>
      <c r="B31" s="79">
        <v>8</v>
      </c>
      <c r="C31" s="35" t="s">
        <v>31</v>
      </c>
      <c r="D31" s="36">
        <v>21</v>
      </c>
      <c r="E31" s="37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0">
        <f t="shared" si="0"/>
        <v>0</v>
      </c>
      <c r="AD31" s="31">
        <f t="shared" si="1"/>
        <v>0</v>
      </c>
      <c r="AE31" s="32">
        <f>SUM(AD31:AD34)</f>
        <v>0</v>
      </c>
    </row>
    <row r="32" spans="1:31" x14ac:dyDescent="0.25">
      <c r="A32" s="83"/>
      <c r="B32" s="80"/>
      <c r="C32" s="39" t="s">
        <v>32</v>
      </c>
      <c r="D32" s="40">
        <v>3</v>
      </c>
      <c r="E32" s="41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16">
        <f t="shared" si="0"/>
        <v>0</v>
      </c>
      <c r="AD32" s="17">
        <f t="shared" si="1"/>
        <v>0</v>
      </c>
      <c r="AE32" s="18"/>
    </row>
    <row r="33" spans="1:31" x14ac:dyDescent="0.25">
      <c r="A33" s="83"/>
      <c r="B33" s="80"/>
      <c r="C33" s="39" t="s">
        <v>33</v>
      </c>
      <c r="D33" s="40">
        <v>5</v>
      </c>
      <c r="E33" s="41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16">
        <f t="shared" si="0"/>
        <v>0</v>
      </c>
      <c r="AD33" s="17">
        <f t="shared" si="1"/>
        <v>0</v>
      </c>
      <c r="AE33" s="18"/>
    </row>
    <row r="34" spans="1:31" ht="15.75" thickBot="1" x14ac:dyDescent="0.3">
      <c r="A34" s="83"/>
      <c r="B34" s="81"/>
      <c r="C34" s="43" t="s">
        <v>34</v>
      </c>
      <c r="D34" s="44">
        <v>2</v>
      </c>
      <c r="E34" s="45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23">
        <f t="shared" si="0"/>
        <v>0</v>
      </c>
      <c r="AD34" s="24">
        <f t="shared" si="1"/>
        <v>0</v>
      </c>
      <c r="AE34" s="25"/>
    </row>
    <row r="35" spans="1:31" ht="15.75" thickTop="1" x14ac:dyDescent="0.25">
      <c r="A35" s="83"/>
      <c r="B35" s="79">
        <v>9</v>
      </c>
      <c r="C35" s="35" t="s">
        <v>31</v>
      </c>
      <c r="D35" s="36">
        <v>22</v>
      </c>
      <c r="E35" s="37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0">
        <f t="shared" si="0"/>
        <v>0</v>
      </c>
      <c r="AD35" s="31">
        <f t="shared" si="1"/>
        <v>0</v>
      </c>
      <c r="AE35" s="32">
        <f>SUM(AD35:AD37)</f>
        <v>0</v>
      </c>
    </row>
    <row r="36" spans="1:31" x14ac:dyDescent="0.25">
      <c r="A36" s="83"/>
      <c r="B36" s="80"/>
      <c r="C36" s="39" t="s">
        <v>32</v>
      </c>
      <c r="D36" s="40">
        <v>4</v>
      </c>
      <c r="E36" s="41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16">
        <f t="shared" si="0"/>
        <v>0</v>
      </c>
      <c r="AD36" s="17">
        <f t="shared" si="1"/>
        <v>0</v>
      </c>
      <c r="AE36" s="18"/>
    </row>
    <row r="37" spans="1:31" ht="15.75" thickBot="1" x14ac:dyDescent="0.3">
      <c r="A37" s="83"/>
      <c r="B37" s="81"/>
      <c r="C37" s="43" t="s">
        <v>33</v>
      </c>
      <c r="D37" s="44">
        <v>4</v>
      </c>
      <c r="E37" s="45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23">
        <f t="shared" si="0"/>
        <v>0</v>
      </c>
      <c r="AD37" s="24">
        <f t="shared" si="1"/>
        <v>0</v>
      </c>
      <c r="AE37" s="25"/>
    </row>
    <row r="38" spans="1:31" ht="15.75" thickTop="1" x14ac:dyDescent="0.25">
      <c r="A38" s="83"/>
      <c r="B38" s="79">
        <v>10</v>
      </c>
      <c r="C38" s="35" t="s">
        <v>31</v>
      </c>
      <c r="D38" s="36">
        <v>20</v>
      </c>
      <c r="E38" s="37">
        <v>4079</v>
      </c>
      <c r="F38" s="38">
        <v>3366</v>
      </c>
      <c r="G38" s="38">
        <v>2802</v>
      </c>
      <c r="H38" s="38">
        <v>2341</v>
      </c>
      <c r="I38" s="38">
        <v>1788</v>
      </c>
      <c r="J38" s="38">
        <v>1151</v>
      </c>
      <c r="K38" s="38">
        <v>591</v>
      </c>
      <c r="L38" s="38">
        <v>1879</v>
      </c>
      <c r="M38" s="38">
        <v>4100</v>
      </c>
      <c r="N38" s="38">
        <v>5333</v>
      </c>
      <c r="O38" s="38">
        <v>6422</v>
      </c>
      <c r="P38" s="38">
        <v>6992</v>
      </c>
      <c r="Q38" s="38">
        <v>6144</v>
      </c>
      <c r="R38" s="38">
        <v>7410</v>
      </c>
      <c r="S38" s="38">
        <v>9606</v>
      </c>
      <c r="T38" s="38">
        <v>9316</v>
      </c>
      <c r="U38" s="38">
        <v>8116</v>
      </c>
      <c r="V38" s="38">
        <v>9892</v>
      </c>
      <c r="W38" s="38">
        <v>10572</v>
      </c>
      <c r="X38" s="38">
        <v>10390</v>
      </c>
      <c r="Y38" s="38">
        <v>10243</v>
      </c>
      <c r="Z38" s="38">
        <v>9923</v>
      </c>
      <c r="AA38" s="38">
        <v>8887</v>
      </c>
      <c r="AB38" s="38">
        <v>8160</v>
      </c>
      <c r="AC38" s="30">
        <f t="shared" si="0"/>
        <v>149503</v>
      </c>
      <c r="AD38" s="31">
        <f t="shared" si="1"/>
        <v>2990060</v>
      </c>
      <c r="AE38" s="32">
        <f>SUM(AD38:AD41)</f>
        <v>4415947</v>
      </c>
    </row>
    <row r="39" spans="1:31" x14ac:dyDescent="0.25">
      <c r="A39" s="83"/>
      <c r="B39" s="80"/>
      <c r="C39" s="39" t="s">
        <v>32</v>
      </c>
      <c r="D39" s="40">
        <v>5</v>
      </c>
      <c r="E39" s="41">
        <v>4447</v>
      </c>
      <c r="F39" s="42">
        <v>3837</v>
      </c>
      <c r="G39" s="42">
        <v>2803</v>
      </c>
      <c r="H39" s="42">
        <v>1856</v>
      </c>
      <c r="I39" s="42">
        <v>932</v>
      </c>
      <c r="J39" s="42">
        <v>500</v>
      </c>
      <c r="K39" s="42">
        <v>500</v>
      </c>
      <c r="L39" s="42">
        <v>1649</v>
      </c>
      <c r="M39" s="42">
        <v>3762</v>
      </c>
      <c r="N39" s="42">
        <v>4906</v>
      </c>
      <c r="O39" s="42">
        <v>5779</v>
      </c>
      <c r="P39" s="42">
        <v>5995</v>
      </c>
      <c r="Q39" s="42">
        <v>5428</v>
      </c>
      <c r="R39" s="42">
        <v>5351</v>
      </c>
      <c r="S39" s="42">
        <v>6037</v>
      </c>
      <c r="T39" s="42">
        <v>6071</v>
      </c>
      <c r="U39" s="42">
        <v>5395</v>
      </c>
      <c r="V39" s="42">
        <v>8107</v>
      </c>
      <c r="W39" s="42">
        <v>9542</v>
      </c>
      <c r="X39" s="42">
        <v>9205</v>
      </c>
      <c r="Y39" s="42">
        <v>8735</v>
      </c>
      <c r="Z39" s="42">
        <v>8407</v>
      </c>
      <c r="AA39" s="42">
        <v>7751</v>
      </c>
      <c r="AB39" s="42">
        <v>7041</v>
      </c>
      <c r="AC39" s="16">
        <f t="shared" si="0"/>
        <v>124036</v>
      </c>
      <c r="AD39" s="17">
        <f t="shared" si="1"/>
        <v>620180</v>
      </c>
      <c r="AE39" s="18"/>
    </row>
    <row r="40" spans="1:31" x14ac:dyDescent="0.25">
      <c r="A40" s="83"/>
      <c r="B40" s="80"/>
      <c r="C40" s="39" t="s">
        <v>33</v>
      </c>
      <c r="D40" s="40">
        <v>5</v>
      </c>
      <c r="E40" s="41">
        <v>7201</v>
      </c>
      <c r="F40" s="42">
        <v>6214</v>
      </c>
      <c r="G40" s="42">
        <v>4963</v>
      </c>
      <c r="H40" s="42">
        <v>3933</v>
      </c>
      <c r="I40" s="42">
        <v>3289</v>
      </c>
      <c r="J40" s="42">
        <v>1985</v>
      </c>
      <c r="K40" s="42">
        <v>843</v>
      </c>
      <c r="L40" s="42">
        <v>1152</v>
      </c>
      <c r="M40" s="42">
        <v>2657</v>
      </c>
      <c r="N40" s="42">
        <v>3316</v>
      </c>
      <c r="O40" s="42">
        <v>3645</v>
      </c>
      <c r="P40" s="42">
        <v>4247</v>
      </c>
      <c r="Q40" s="42">
        <v>4555</v>
      </c>
      <c r="R40" s="42">
        <v>4333</v>
      </c>
      <c r="S40" s="42">
        <v>4921</v>
      </c>
      <c r="T40" s="42">
        <v>5588</v>
      </c>
      <c r="U40" s="42">
        <v>5485</v>
      </c>
      <c r="V40" s="42">
        <v>8891</v>
      </c>
      <c r="W40" s="42">
        <v>11299</v>
      </c>
      <c r="X40" s="42">
        <v>11125</v>
      </c>
      <c r="Y40" s="42">
        <v>10831</v>
      </c>
      <c r="Z40" s="42">
        <v>10508</v>
      </c>
      <c r="AA40" s="42">
        <v>9667</v>
      </c>
      <c r="AB40" s="42">
        <v>8655</v>
      </c>
      <c r="AC40" s="16">
        <f t="shared" si="0"/>
        <v>139303</v>
      </c>
      <c r="AD40" s="17">
        <f t="shared" si="1"/>
        <v>696515</v>
      </c>
      <c r="AE40" s="18"/>
    </row>
    <row r="41" spans="1:31" ht="15.75" thickBot="1" x14ac:dyDescent="0.3">
      <c r="A41" s="83"/>
      <c r="B41" s="81"/>
      <c r="C41" s="43" t="s">
        <v>34</v>
      </c>
      <c r="D41" s="44">
        <v>1</v>
      </c>
      <c r="E41" s="45">
        <v>4040</v>
      </c>
      <c r="F41" s="46">
        <v>3766</v>
      </c>
      <c r="G41" s="46">
        <v>3505</v>
      </c>
      <c r="H41" s="46">
        <v>3292</v>
      </c>
      <c r="I41" s="46">
        <v>2857</v>
      </c>
      <c r="J41" s="46">
        <v>2408</v>
      </c>
      <c r="K41" s="46">
        <v>1776</v>
      </c>
      <c r="L41" s="46">
        <v>1595</v>
      </c>
      <c r="M41" s="46">
        <v>2633</v>
      </c>
      <c r="N41" s="46">
        <v>3565</v>
      </c>
      <c r="O41" s="46">
        <v>5519</v>
      </c>
      <c r="P41" s="46">
        <v>5879</v>
      </c>
      <c r="Q41" s="46">
        <v>6061</v>
      </c>
      <c r="R41" s="46">
        <v>5519</v>
      </c>
      <c r="S41" s="46">
        <v>4859</v>
      </c>
      <c r="T41" s="46">
        <v>4400</v>
      </c>
      <c r="U41" s="46">
        <v>4447</v>
      </c>
      <c r="V41" s="46">
        <v>7951</v>
      </c>
      <c r="W41" s="46">
        <v>7513</v>
      </c>
      <c r="X41" s="46">
        <v>7367</v>
      </c>
      <c r="Y41" s="46">
        <v>6196</v>
      </c>
      <c r="Z41" s="46">
        <v>5136</v>
      </c>
      <c r="AA41" s="46">
        <v>4707</v>
      </c>
      <c r="AB41" s="46">
        <v>4201</v>
      </c>
      <c r="AC41" s="23">
        <f t="shared" si="0"/>
        <v>109192</v>
      </c>
      <c r="AD41" s="24">
        <f t="shared" si="1"/>
        <v>109192</v>
      </c>
      <c r="AE41" s="25"/>
    </row>
    <row r="42" spans="1:31" ht="15.75" thickTop="1" x14ac:dyDescent="0.25">
      <c r="A42" s="83"/>
      <c r="B42" s="79">
        <v>11</v>
      </c>
      <c r="C42" s="35" t="s">
        <v>31</v>
      </c>
      <c r="D42" s="36">
        <v>20</v>
      </c>
      <c r="E42" s="37">
        <v>4635</v>
      </c>
      <c r="F42" s="38">
        <v>3864</v>
      </c>
      <c r="G42" s="38">
        <v>3278</v>
      </c>
      <c r="H42" s="38">
        <v>2690</v>
      </c>
      <c r="I42" s="38">
        <v>2239</v>
      </c>
      <c r="J42" s="38">
        <v>1658</v>
      </c>
      <c r="K42" s="38">
        <v>1004</v>
      </c>
      <c r="L42" s="38">
        <v>2079</v>
      </c>
      <c r="M42" s="38">
        <v>4341</v>
      </c>
      <c r="N42" s="38">
        <v>5748</v>
      </c>
      <c r="O42" s="38">
        <v>6699</v>
      </c>
      <c r="P42" s="38">
        <v>7077</v>
      </c>
      <c r="Q42" s="38">
        <v>6061</v>
      </c>
      <c r="R42" s="38">
        <v>7196</v>
      </c>
      <c r="S42" s="38">
        <v>8898</v>
      </c>
      <c r="T42" s="38">
        <v>9419</v>
      </c>
      <c r="U42" s="38">
        <v>8322</v>
      </c>
      <c r="V42" s="38">
        <v>10715</v>
      </c>
      <c r="W42" s="38">
        <v>12157</v>
      </c>
      <c r="X42" s="38">
        <v>11808</v>
      </c>
      <c r="Y42" s="38">
        <v>11442</v>
      </c>
      <c r="Z42" s="38">
        <v>10717</v>
      </c>
      <c r="AA42" s="38">
        <v>9653</v>
      </c>
      <c r="AB42" s="38">
        <v>8615</v>
      </c>
      <c r="AC42" s="30">
        <f t="shared" si="0"/>
        <v>160315</v>
      </c>
      <c r="AD42" s="31">
        <f t="shared" si="1"/>
        <v>3206300</v>
      </c>
      <c r="AE42" s="32">
        <f>SUM(AD42:AD45)</f>
        <v>5051510</v>
      </c>
    </row>
    <row r="43" spans="1:31" x14ac:dyDescent="0.25">
      <c r="A43" s="83"/>
      <c r="B43" s="80"/>
      <c r="C43" s="39" t="s">
        <v>32</v>
      </c>
      <c r="D43" s="40">
        <v>4</v>
      </c>
      <c r="E43" s="41">
        <v>9982</v>
      </c>
      <c r="F43" s="42">
        <v>9104</v>
      </c>
      <c r="G43" s="42">
        <v>8298</v>
      </c>
      <c r="H43" s="42">
        <v>7508</v>
      </c>
      <c r="I43" s="42">
        <v>6913</v>
      </c>
      <c r="J43" s="42">
        <v>5820</v>
      </c>
      <c r="K43" s="42">
        <v>4939</v>
      </c>
      <c r="L43" s="42">
        <v>5950</v>
      </c>
      <c r="M43" s="42">
        <v>7918</v>
      </c>
      <c r="N43" s="42">
        <v>9743</v>
      </c>
      <c r="O43" s="42">
        <v>10942</v>
      </c>
      <c r="P43" s="42">
        <v>12544</v>
      </c>
      <c r="Q43" s="42">
        <v>12173</v>
      </c>
      <c r="R43" s="42">
        <v>11703</v>
      </c>
      <c r="S43" s="42">
        <v>11897</v>
      </c>
      <c r="T43" s="42">
        <v>11617</v>
      </c>
      <c r="U43" s="42">
        <v>10659</v>
      </c>
      <c r="V43" s="42">
        <v>14369</v>
      </c>
      <c r="W43" s="42">
        <v>16368</v>
      </c>
      <c r="X43" s="42">
        <v>16270</v>
      </c>
      <c r="Y43" s="42">
        <v>15566</v>
      </c>
      <c r="Z43" s="42">
        <v>14929</v>
      </c>
      <c r="AA43" s="42">
        <v>13918</v>
      </c>
      <c r="AB43" s="42">
        <v>12641</v>
      </c>
      <c r="AC43" s="16">
        <f t="shared" si="0"/>
        <v>261771</v>
      </c>
      <c r="AD43" s="17">
        <f t="shared" si="1"/>
        <v>1047084</v>
      </c>
      <c r="AE43" s="18"/>
    </row>
    <row r="44" spans="1:31" x14ac:dyDescent="0.25">
      <c r="A44" s="83"/>
      <c r="B44" s="80"/>
      <c r="C44" s="39" t="s">
        <v>33</v>
      </c>
      <c r="D44" s="40">
        <v>4</v>
      </c>
      <c r="E44" s="41">
        <v>5178</v>
      </c>
      <c r="F44" s="42">
        <v>4475</v>
      </c>
      <c r="G44" s="42">
        <v>3915</v>
      </c>
      <c r="H44" s="42">
        <v>3585</v>
      </c>
      <c r="I44" s="42">
        <v>3400</v>
      </c>
      <c r="J44" s="42">
        <v>1637</v>
      </c>
      <c r="K44" s="42">
        <v>500</v>
      </c>
      <c r="L44" s="42">
        <v>480</v>
      </c>
      <c r="M44" s="42">
        <v>1431</v>
      </c>
      <c r="N44" s="42">
        <v>2083</v>
      </c>
      <c r="O44" s="42">
        <v>2630</v>
      </c>
      <c r="P44" s="42">
        <v>3256</v>
      </c>
      <c r="Q44" s="42">
        <v>3787</v>
      </c>
      <c r="R44" s="42">
        <v>3844</v>
      </c>
      <c r="S44" s="42">
        <v>4061</v>
      </c>
      <c r="T44" s="42">
        <v>4366</v>
      </c>
      <c r="U44" s="42">
        <v>4435</v>
      </c>
      <c r="V44" s="42">
        <v>7892</v>
      </c>
      <c r="W44" s="42">
        <v>10060</v>
      </c>
      <c r="X44" s="42">
        <v>10890</v>
      </c>
      <c r="Y44" s="42">
        <v>11221</v>
      </c>
      <c r="Z44" s="42">
        <v>10727</v>
      </c>
      <c r="AA44" s="42">
        <v>9789</v>
      </c>
      <c r="AB44" s="42">
        <v>8474</v>
      </c>
      <c r="AC44" s="16">
        <f t="shared" si="0"/>
        <v>122116</v>
      </c>
      <c r="AD44" s="17">
        <f t="shared" si="1"/>
        <v>488464</v>
      </c>
      <c r="AE44" s="18"/>
    </row>
    <row r="45" spans="1:31" ht="15.75" thickBot="1" x14ac:dyDescent="0.3">
      <c r="A45" s="83"/>
      <c r="B45" s="81"/>
      <c r="C45" s="43" t="s">
        <v>34</v>
      </c>
      <c r="D45" s="44">
        <v>2</v>
      </c>
      <c r="E45" s="45">
        <v>7229</v>
      </c>
      <c r="F45" s="46">
        <v>5967</v>
      </c>
      <c r="G45" s="46">
        <v>5144</v>
      </c>
      <c r="H45" s="46">
        <v>4392</v>
      </c>
      <c r="I45" s="46">
        <v>3694</v>
      </c>
      <c r="J45" s="46">
        <v>2963</v>
      </c>
      <c r="K45" s="46">
        <v>1804</v>
      </c>
      <c r="L45" s="46">
        <v>2377</v>
      </c>
      <c r="M45" s="46">
        <v>3620</v>
      </c>
      <c r="N45" s="46">
        <v>4356</v>
      </c>
      <c r="O45" s="46">
        <v>4772</v>
      </c>
      <c r="P45" s="46">
        <v>5269</v>
      </c>
      <c r="Q45" s="46">
        <v>5303</v>
      </c>
      <c r="R45" s="46">
        <v>4836</v>
      </c>
      <c r="S45" s="46">
        <v>5158</v>
      </c>
      <c r="T45" s="46">
        <v>6052</v>
      </c>
      <c r="U45" s="46">
        <v>7551</v>
      </c>
      <c r="V45" s="46">
        <v>9828</v>
      </c>
      <c r="W45" s="46">
        <v>12023</v>
      </c>
      <c r="X45" s="46">
        <v>11820</v>
      </c>
      <c r="Y45" s="46">
        <v>11315</v>
      </c>
      <c r="Z45" s="46">
        <v>10849</v>
      </c>
      <c r="AA45" s="46">
        <v>9811</v>
      </c>
      <c r="AB45" s="46">
        <v>8698</v>
      </c>
      <c r="AC45" s="23">
        <f t="shared" si="0"/>
        <v>154831</v>
      </c>
      <c r="AD45" s="24">
        <f t="shared" si="1"/>
        <v>309662</v>
      </c>
      <c r="AE45" s="25"/>
    </row>
    <row r="46" spans="1:31" ht="15.75" thickTop="1" x14ac:dyDescent="0.25">
      <c r="A46" s="83"/>
      <c r="B46" s="79">
        <v>12</v>
      </c>
      <c r="C46" s="35" t="s">
        <v>31</v>
      </c>
      <c r="D46" s="36">
        <v>22</v>
      </c>
      <c r="E46" s="37">
        <v>7494</v>
      </c>
      <c r="F46" s="38">
        <v>6472</v>
      </c>
      <c r="G46" s="38">
        <v>5714</v>
      </c>
      <c r="H46" s="38">
        <v>5023</v>
      </c>
      <c r="I46" s="38">
        <v>4641</v>
      </c>
      <c r="J46" s="38">
        <v>4120</v>
      </c>
      <c r="K46" s="38">
        <v>2892</v>
      </c>
      <c r="L46" s="38">
        <v>4021</v>
      </c>
      <c r="M46" s="38">
        <v>6498</v>
      </c>
      <c r="N46" s="38">
        <v>8575</v>
      </c>
      <c r="O46" s="38">
        <v>10000</v>
      </c>
      <c r="P46" s="38">
        <v>11127</v>
      </c>
      <c r="Q46" s="38">
        <v>10201</v>
      </c>
      <c r="R46" s="38">
        <v>10752</v>
      </c>
      <c r="S46" s="38">
        <v>12577</v>
      </c>
      <c r="T46" s="38">
        <v>12917</v>
      </c>
      <c r="U46" s="38">
        <v>11854</v>
      </c>
      <c r="V46" s="38">
        <v>14778</v>
      </c>
      <c r="W46" s="38">
        <v>16344</v>
      </c>
      <c r="X46" s="38">
        <v>15929</v>
      </c>
      <c r="Y46" s="38">
        <v>15311</v>
      </c>
      <c r="Z46" s="38">
        <v>14638</v>
      </c>
      <c r="AA46" s="38">
        <v>13595</v>
      </c>
      <c r="AB46" s="38">
        <v>12462</v>
      </c>
      <c r="AC46" s="30">
        <f t="shared" si="0"/>
        <v>237935</v>
      </c>
      <c r="AD46" s="31">
        <f t="shared" si="1"/>
        <v>5234570</v>
      </c>
      <c r="AE46" s="32">
        <f>SUM(AD46:AD49)</f>
        <v>9160476</v>
      </c>
    </row>
    <row r="47" spans="1:31" x14ac:dyDescent="0.25">
      <c r="A47" s="83"/>
      <c r="B47" s="80"/>
      <c r="C47" s="39" t="s">
        <v>32</v>
      </c>
      <c r="D47" s="40">
        <v>3</v>
      </c>
      <c r="E47" s="41">
        <v>34187</v>
      </c>
      <c r="F47" s="42">
        <v>32514</v>
      </c>
      <c r="G47" s="42">
        <v>30009</v>
      </c>
      <c r="H47" s="42">
        <v>28659</v>
      </c>
      <c r="I47" s="42">
        <v>27933</v>
      </c>
      <c r="J47" s="42">
        <v>27819</v>
      </c>
      <c r="K47" s="42">
        <v>25086</v>
      </c>
      <c r="L47" s="42">
        <v>26679</v>
      </c>
      <c r="M47" s="42">
        <v>30830</v>
      </c>
      <c r="N47" s="42">
        <v>33393</v>
      </c>
      <c r="O47" s="42">
        <v>35196</v>
      </c>
      <c r="P47" s="42">
        <v>35311</v>
      </c>
      <c r="Q47" s="42">
        <v>33330</v>
      </c>
      <c r="R47" s="42">
        <v>31949</v>
      </c>
      <c r="S47" s="42">
        <v>32847</v>
      </c>
      <c r="T47" s="42">
        <v>32726</v>
      </c>
      <c r="U47" s="42">
        <v>33015</v>
      </c>
      <c r="V47" s="42">
        <v>37624</v>
      </c>
      <c r="W47" s="42">
        <v>42871</v>
      </c>
      <c r="X47" s="42">
        <v>41913</v>
      </c>
      <c r="Y47" s="42">
        <v>40568</v>
      </c>
      <c r="Z47" s="42">
        <v>38836</v>
      </c>
      <c r="AA47" s="42">
        <v>37253</v>
      </c>
      <c r="AB47" s="42">
        <v>35204</v>
      </c>
      <c r="AC47" s="16">
        <f t="shared" si="0"/>
        <v>805752</v>
      </c>
      <c r="AD47" s="17">
        <f t="shared" si="1"/>
        <v>2417256</v>
      </c>
      <c r="AE47" s="18"/>
    </row>
    <row r="48" spans="1:31" x14ac:dyDescent="0.25">
      <c r="A48" s="83"/>
      <c r="B48" s="80"/>
      <c r="C48" s="39" t="s">
        <v>33</v>
      </c>
      <c r="D48" s="40">
        <v>4</v>
      </c>
      <c r="E48" s="41">
        <v>9940</v>
      </c>
      <c r="F48" s="42">
        <v>9073</v>
      </c>
      <c r="G48" s="42">
        <v>8353</v>
      </c>
      <c r="H48" s="42">
        <v>7165</v>
      </c>
      <c r="I48" s="42">
        <v>6466</v>
      </c>
      <c r="J48" s="42">
        <v>6199</v>
      </c>
      <c r="K48" s="42">
        <v>4603</v>
      </c>
      <c r="L48" s="42">
        <v>5416</v>
      </c>
      <c r="M48" s="42">
        <v>6491</v>
      </c>
      <c r="N48" s="42">
        <v>7721</v>
      </c>
      <c r="O48" s="42">
        <v>9180</v>
      </c>
      <c r="P48" s="42">
        <v>10007</v>
      </c>
      <c r="Q48" s="42">
        <v>10985</v>
      </c>
      <c r="R48" s="42">
        <v>11088</v>
      </c>
      <c r="S48" s="42">
        <v>10986</v>
      </c>
      <c r="T48" s="42">
        <v>10825</v>
      </c>
      <c r="U48" s="42">
        <v>10753</v>
      </c>
      <c r="V48" s="42">
        <v>15159</v>
      </c>
      <c r="W48" s="42">
        <v>18078</v>
      </c>
      <c r="X48" s="42">
        <v>17968</v>
      </c>
      <c r="Y48" s="42">
        <v>16576</v>
      </c>
      <c r="Z48" s="42">
        <v>15574</v>
      </c>
      <c r="AA48" s="42">
        <v>15420</v>
      </c>
      <c r="AB48" s="42">
        <v>13937</v>
      </c>
      <c r="AC48" s="16">
        <f t="shared" si="0"/>
        <v>257963</v>
      </c>
      <c r="AD48" s="17">
        <f t="shared" si="1"/>
        <v>1031852</v>
      </c>
      <c r="AE48" s="18"/>
    </row>
    <row r="49" spans="1:31" ht="15.75" thickBot="1" x14ac:dyDescent="0.3">
      <c r="A49" s="84"/>
      <c r="B49" s="81"/>
      <c r="C49" s="43" t="s">
        <v>34</v>
      </c>
      <c r="D49" s="44">
        <v>2</v>
      </c>
      <c r="E49" s="45">
        <v>8905</v>
      </c>
      <c r="F49" s="46">
        <v>8503</v>
      </c>
      <c r="G49" s="46">
        <v>7835</v>
      </c>
      <c r="H49" s="46">
        <v>7200</v>
      </c>
      <c r="I49" s="46">
        <v>6802</v>
      </c>
      <c r="J49" s="46">
        <v>6140</v>
      </c>
      <c r="K49" s="46">
        <v>4005</v>
      </c>
      <c r="L49" s="46">
        <v>3356</v>
      </c>
      <c r="M49" s="46">
        <v>4558</v>
      </c>
      <c r="N49" s="46">
        <v>6012</v>
      </c>
      <c r="O49" s="46">
        <v>7519</v>
      </c>
      <c r="P49" s="46">
        <v>8725</v>
      </c>
      <c r="Q49" s="46">
        <v>8222</v>
      </c>
      <c r="R49" s="46">
        <v>9007</v>
      </c>
      <c r="S49" s="46">
        <v>9412</v>
      </c>
      <c r="T49" s="46">
        <v>9718</v>
      </c>
      <c r="U49" s="46">
        <v>9872</v>
      </c>
      <c r="V49" s="46">
        <v>13599</v>
      </c>
      <c r="W49" s="46">
        <v>17033</v>
      </c>
      <c r="X49" s="46">
        <v>16993</v>
      </c>
      <c r="Y49" s="46">
        <v>17617</v>
      </c>
      <c r="Z49" s="46">
        <v>16819</v>
      </c>
      <c r="AA49" s="46">
        <v>15848</v>
      </c>
      <c r="AB49" s="46">
        <v>14699</v>
      </c>
      <c r="AC49" s="23">
        <f t="shared" si="0"/>
        <v>238399</v>
      </c>
      <c r="AD49" s="24">
        <f t="shared" si="1"/>
        <v>476798</v>
      </c>
      <c r="AE49" s="25"/>
    </row>
    <row r="50" spans="1:31" ht="15.75" thickTop="1" x14ac:dyDescent="0.25"/>
  </sheetData>
  <mergeCells count="13">
    <mergeCell ref="B38:B41"/>
    <mergeCell ref="B42:B45"/>
    <mergeCell ref="B46:B49"/>
    <mergeCell ref="A4:A49"/>
    <mergeCell ref="B4:B7"/>
    <mergeCell ref="B8:B10"/>
    <mergeCell ref="B11:B14"/>
    <mergeCell ref="B15:B18"/>
    <mergeCell ref="B19:B22"/>
    <mergeCell ref="B23:B26"/>
    <mergeCell ref="B27:B30"/>
    <mergeCell ref="B31:B34"/>
    <mergeCell ref="B35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Curva2026</vt:lpstr>
      <vt:lpstr>2027</vt:lpstr>
      <vt:lpstr>Curva2027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Martinez Luna</dc:creator>
  <cp:lastModifiedBy>Ximena Andrea Ortiz Mariño</cp:lastModifiedBy>
  <dcterms:created xsi:type="dcterms:W3CDTF">2025-10-07T22:19:52Z</dcterms:created>
  <dcterms:modified xsi:type="dcterms:W3CDTF">2025-10-08T13:03:34Z</dcterms:modified>
</cp:coreProperties>
</file>