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t. Requeridas Producto 1" sheetId="1" r:id="rId4"/>
    <sheet state="visible" name="Oferta Producto 1" sheetId="2" r:id="rId5"/>
  </sheets>
  <definedNames/>
  <calcPr/>
  <extLst>
    <ext uri="GoogleSheetsCustomDataVersion2">
      <go:sheetsCustomData xmlns:go="http://customooxmlschemas.google.com/" r:id="rId6" roundtripDataChecksum="8dsPyn0nstz+V4W+AWif5DY8l0GfJ0RlsSwjhCkaKYM="/>
    </ext>
  </extLst>
</workbook>
</file>

<file path=xl/sharedStrings.xml><?xml version="1.0" encoding="utf-8"?>
<sst xmlns="http://schemas.openxmlformats.org/spreadsheetml/2006/main" count="67" uniqueCount="51">
  <si>
    <t>ANEXO 3 - CANTIDADES DE  ENERGÍA SOLICITADA EN kWh</t>
  </si>
  <si>
    <t>PRODUCTO 1 - PAGUE LO CONTRATADO</t>
  </si>
  <si>
    <t>Periodo: 1 de agosto 2026 a 31 diciembre de 2026</t>
  </si>
  <si>
    <t>CONVOCATORIA PÚBLICA N° CP-BIAC2026-002 - BIA ENERGY S.A.S. E.S.P.</t>
  </si>
  <si>
    <t>Mes</t>
  </si>
  <si>
    <t>Tipo de día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</si>
  <si>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</si>
  <si>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</si>
  <si>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</si>
  <si>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</si>
  <si>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</si>
  <si>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</si>
  <si>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</si>
  <si>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</si>
  <si>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</si>
  <si>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</si>
  <si>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</si>
  <si>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</si>
  <si>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</si>
  <si>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</si>
  <si>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</si>
  <si>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</si>
  <si>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</si>
  <si>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</si>
  <si>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</si>
  <si>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</si>
  <si>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</si>
  <si>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</si>
  <si>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</si>
  <si>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</si>
  <si>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DÍA</t>
  </si>
  <si>
    <t>DÍAS</t>
  </si>
  <si>
    <t>TOTAL</t>
  </si>
  <si>
    <t>TOTAL MES</t>
  </si>
  <si>
    <t>Ordinario</t>
  </si>
  <si>
    <t>Sábado</t>
  </si>
  <si>
    <t>Festivo</t>
  </si>
  <si>
    <t>ANEXO 4. FORMATO DE OFERTA - PRODUCTO 1</t>
  </si>
  <si>
    <t xml:space="preserve">NOMBRE DEL OFERENTE                                        
</t>
  </si>
  <si>
    <t>Precios y cantidades de la energía ofertada</t>
  </si>
  <si>
    <t>En pesos de marzo de 2026</t>
  </si>
  <si>
    <t>OPCIÓN 24 HORAS</t>
  </si>
  <si>
    <t>E. Solicitada
[kWh-mes]</t>
  </si>
  <si>
    <t>% E. Ofertada</t>
  </si>
  <si>
    <t>E. Ofertada
[kWh-mes]</t>
  </si>
  <si>
    <t>$/kWh</t>
  </si>
  <si>
    <t>El oferente debe indicar si acepta adjudicaciones parciales o no</t>
  </si>
  <si>
    <t>• Para el periodo de 2026, se puede presentar oferta con diferente porcentaje cada 
mes, incluyendo el 0%</t>
  </si>
  <si>
    <t>• El precio ofertado podrá ser diferente para cada mes del producto, expresado en 
$/kWh, con hasta dos (2) decimales</t>
  </si>
  <si>
    <t>XXXXX</t>
  </si>
  <si>
    <t>XXXXXXXX S.A.S. E.S.P.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</si>
</sst>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_-* #,##0\ _€_-;\-* #,##0\ _€_-;_-* &quot;-&quot;??\ _€_-;_-@"/>
    <numFmt numFmtId="166" formatCode="_-* #,##0_-;\-* #,##0_-;_-* &quot;-&quot;_-;_-@"/>
  </numFmts>
  <fonts count="11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/>
    <font>
      <b/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1"/>
      <name val="Din-regular"/>
    </font>
    <font>
      <b/>
      <sz val="10.0"/>
      <color rgb="FF000000"/>
      <name val="Arial"/>
    </font>
    <font>
      <sz val="11.0"/>
      <color theme="1"/>
      <name val="Din-regular"/>
    </font>
  </fonts>
  <fills count="2">
    <fill>
      <patternFill patternType="none"/>
    </fill>
    <fill>
      <patternFill patternType="lightGray"/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3" xfId="0" applyFont="1" applyNumberFormat="1"/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3" numFmtId="17" xfId="0" applyBorder="1" applyFont="1" applyNumberFormat="1"/>
    <xf borderId="1" fillId="0" fontId="3" numFmtId="4" xfId="0" applyBorder="1" applyFont="1" applyNumberFormat="1"/>
    <xf borderId="1" fillId="0" fontId="3" numFmtId="4" xfId="0" applyAlignment="1" applyBorder="1" applyFont="1" applyNumberFormat="1">
      <alignment readingOrder="0"/>
    </xf>
    <xf borderId="1" fillId="0" fontId="3" numFmtId="164" xfId="0" applyBorder="1" applyFont="1" applyNumberFormat="1"/>
    <xf borderId="2" fillId="0" fontId="3" numFmtId="164" xfId="0" applyAlignment="1" applyBorder="1" applyFont="1" applyNumberFormat="1">
      <alignment vertical="center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5" fillId="0" fontId="8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8" fillId="0" fontId="6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1" fillId="0" fontId="8" numFmtId="17" xfId="0" applyAlignment="1" applyBorder="1" applyFont="1" applyNumberFormat="1">
      <alignment horizontal="center" vertical="center"/>
    </xf>
    <xf borderId="12" fillId="0" fontId="2" numFmtId="165" xfId="0" applyAlignment="1" applyBorder="1" applyFont="1" applyNumberFormat="1">
      <alignment horizontal="center"/>
    </xf>
    <xf borderId="13" fillId="0" fontId="7" numFmtId="10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horizontal="center" vertical="center"/>
    </xf>
    <xf borderId="12" fillId="0" fontId="10" numFmtId="165" xfId="0" applyAlignment="1" applyBorder="1" applyFont="1" applyNumberFormat="1">
      <alignment horizontal="center"/>
    </xf>
    <xf borderId="14" fillId="0" fontId="8" numFmtId="17" xfId="0" applyAlignment="1" applyBorder="1" applyFont="1" applyNumberFormat="1">
      <alignment horizontal="center" vertical="center"/>
    </xf>
    <xf borderId="15" fillId="0" fontId="10" numFmtId="165" xfId="0" applyAlignment="1" applyBorder="1" applyFont="1" applyNumberFormat="1">
      <alignment horizontal="center"/>
    </xf>
    <xf borderId="16" fillId="0" fontId="7" numFmtId="10" xfId="0" applyAlignment="1" applyBorder="1" applyFont="1" applyNumberFormat="1">
      <alignment horizontal="center" vertical="center"/>
    </xf>
    <xf borderId="15" fillId="0" fontId="2" numFmtId="165" xfId="0" applyAlignment="1" applyBorder="1" applyFont="1" applyNumberFormat="1">
      <alignment horizontal="center"/>
    </xf>
    <xf borderId="16" fillId="0" fontId="7" numFmtId="0" xfId="0" applyAlignment="1" applyBorder="1" applyFont="1">
      <alignment horizontal="center" vertical="center"/>
    </xf>
    <xf borderId="17" fillId="0" fontId="8" numFmtId="17" xfId="0" applyAlignment="1" applyBorder="1" applyFont="1" applyNumberFormat="1">
      <alignment horizontal="left" vertical="center"/>
    </xf>
    <xf borderId="17" fillId="0" fontId="8" numFmtId="166" xfId="0" applyAlignment="1" applyBorder="1" applyFont="1" applyNumberFormat="1">
      <alignment horizontal="center" vertical="center"/>
    </xf>
    <xf borderId="17" fillId="0" fontId="7" numFmtId="0" xfId="0" applyBorder="1" applyFont="1"/>
    <xf borderId="0" fillId="0" fontId="8" numFmtId="4" xfId="0" applyAlignment="1" applyFont="1" applyNumberFormat="1">
      <alignment horizontal="center"/>
    </xf>
    <xf borderId="0" fillId="0" fontId="3" numFmtId="4" xfId="0" applyFont="1" applyNumberFormat="1"/>
    <xf borderId="0" fillId="0" fontId="3" numFmtId="0" xfId="0" applyAlignment="1" applyFont="1">
      <alignment horizontal="left" shrinkToFit="0" wrapText="1"/>
    </xf>
    <xf borderId="18" fillId="0" fontId="3" numFmtId="0" xfId="0" applyBorder="1" applyFont="1"/>
    <xf borderId="0" fillId="0" fontId="3" numFmtId="0" xfId="0" applyAlignment="1" applyFont="1">
      <alignment shrinkToFit="0" wrapText="1"/>
    </xf>
    <xf borderId="1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4" width="10.71"/>
    <col customWidth="1" min="5" max="5" width="11.29"/>
    <col customWidth="1" min="6" max="26" width="10.71"/>
    <col customWidth="1" min="27" max="27" width="13.43"/>
    <col customWidth="1" min="28" max="28" width="7.86"/>
    <col customWidth="1" min="29" max="30" width="18.43"/>
  </cols>
  <sheetData>
    <row r="1" ht="14.25" customHeight="1">
      <c r="A1" s="1" t="s">
        <v>0</v>
      </c>
      <c r="AD1" s="1"/>
    </row>
    <row r="2" ht="14.25" customHeight="1">
      <c r="A2" s="1" t="s">
        <v>1</v>
      </c>
      <c r="AD2" s="1"/>
    </row>
    <row r="3" ht="14.25" customHeight="1">
      <c r="A3" s="1" t="s">
        <v>2</v>
      </c>
      <c r="AD3" s="1"/>
    </row>
    <row r="4" ht="14.25" customHeight="1">
      <c r="A4" s="1" t="s">
        <v>3</v>
      </c>
      <c r="AD4" s="1"/>
    </row>
    <row r="5" ht="14.25" customHeight="1">
      <c r="A5" s="2"/>
      <c r="B5" s="3"/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4"/>
      <c r="X5" s="4"/>
      <c r="Y5" s="4"/>
      <c r="Z5" s="4"/>
      <c r="AA5" s="4"/>
      <c r="AB5" s="4"/>
    </row>
    <row r="6" ht="14.25" customHeight="1">
      <c r="A6" s="2"/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"/>
      <c r="X6" s="4"/>
      <c r="Y6" s="4"/>
      <c r="Z6" s="4"/>
      <c r="AA6" s="4"/>
      <c r="AB6" s="4"/>
    </row>
    <row r="7" ht="14.25" customHeight="1">
      <c r="A7" s="2"/>
      <c r="B7" s="3"/>
      <c r="C7" s="3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4.25" customHeight="1">
      <c r="A8" s="2"/>
      <c r="B8" s="3"/>
      <c r="C8" s="3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14.25" customHeight="1">
      <c r="A9" s="5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  <c r="M9" s="6" t="s">
        <v>16</v>
      </c>
      <c r="N9" s="6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  <c r="Z9" s="6" t="s">
        <v>29</v>
      </c>
      <c r="AA9" s="6" t="s">
        <v>30</v>
      </c>
      <c r="AB9" s="6" t="s">
        <v>31</v>
      </c>
      <c r="AC9" s="6" t="s">
        <v>32</v>
      </c>
      <c r="AD9" s="6" t="s">
        <v>33</v>
      </c>
    </row>
    <row r="10" ht="14.25" customHeight="1">
      <c r="A10" s="7">
        <v>46235.0</v>
      </c>
      <c r="B10" s="8" t="s">
        <v>34</v>
      </c>
      <c r="C10" s="9">
        <v>6845.008302</v>
      </c>
      <c r="D10" s="9">
        <v>6742.063944</v>
      </c>
      <c r="E10" s="9">
        <v>6461.956413</v>
      </c>
      <c r="F10" s="9">
        <v>6399.50058</v>
      </c>
      <c r="G10" s="9">
        <v>6741.30897</v>
      </c>
      <c r="H10" s="9">
        <v>7266.783051</v>
      </c>
      <c r="I10" s="9">
        <v>9368.350596</v>
      </c>
      <c r="J10" s="9">
        <v>12059.58937</v>
      </c>
      <c r="K10" s="9">
        <v>13955.3169</v>
      </c>
      <c r="L10" s="9">
        <v>14905.14726</v>
      </c>
      <c r="M10" s="9">
        <v>16011.57383</v>
      </c>
      <c r="N10" s="9">
        <v>16168.57189</v>
      </c>
      <c r="O10" s="9">
        <v>15813.90459</v>
      </c>
      <c r="P10" s="9">
        <v>16158.83029</v>
      </c>
      <c r="Q10" s="9">
        <v>15990.64157</v>
      </c>
      <c r="R10" s="9">
        <v>15692.08588</v>
      </c>
      <c r="S10" s="9">
        <v>14915.42465</v>
      </c>
      <c r="T10" s="9">
        <v>13671.98247</v>
      </c>
      <c r="U10" s="9">
        <v>12963.98733</v>
      </c>
      <c r="V10" s="9">
        <v>11972.8526</v>
      </c>
      <c r="W10" s="9">
        <v>10791.23305</v>
      </c>
      <c r="X10" s="9">
        <v>9806.491233</v>
      </c>
      <c r="Y10" s="9">
        <v>8615.203146</v>
      </c>
      <c r="Z10" s="9">
        <v>7777.827387</v>
      </c>
      <c r="AA10" s="10">
        <f t="shared" ref="AA10:AA24" si="1">SUM(C10:Z10)</f>
        <v>277095.6353</v>
      </c>
      <c r="AB10" s="10">
        <v>19.0</v>
      </c>
      <c r="AC10" s="10">
        <f t="shared" ref="AC10:AC24" si="2">AA10*AB10</f>
        <v>5264817.071</v>
      </c>
      <c r="AD10" s="11">
        <f>SUM(AC10:AC12)</f>
        <v>7193542.086</v>
      </c>
    </row>
    <row r="11" ht="14.25" customHeight="1">
      <c r="A11" s="7">
        <v>46235.0</v>
      </c>
      <c r="B11" s="8" t="s">
        <v>35</v>
      </c>
      <c r="C11" s="9">
        <v>7811.582031</v>
      </c>
      <c r="D11" s="9">
        <v>7386.860448</v>
      </c>
      <c r="E11" s="9">
        <v>7120.062378</v>
      </c>
      <c r="F11" s="9">
        <v>7206.044175</v>
      </c>
      <c r="G11" s="9">
        <v>7485.701157</v>
      </c>
      <c r="H11" s="9">
        <v>7204.388103</v>
      </c>
      <c r="I11" s="9">
        <v>8000.435124</v>
      </c>
      <c r="J11" s="9">
        <v>6048.608148</v>
      </c>
      <c r="K11" s="9">
        <v>10465.35217</v>
      </c>
      <c r="L11" s="9">
        <v>11440.34021</v>
      </c>
      <c r="M11" s="9">
        <v>12713.76216</v>
      </c>
      <c r="N11" s="9">
        <v>12110.83018</v>
      </c>
      <c r="O11" s="9">
        <v>12103.07343</v>
      </c>
      <c r="P11" s="9">
        <v>11722.04293</v>
      </c>
      <c r="Q11" s="9">
        <v>11397.68418</v>
      </c>
      <c r="R11" s="9">
        <v>11235.35259</v>
      </c>
      <c r="S11" s="9">
        <v>10823.12461</v>
      </c>
      <c r="T11" s="9">
        <v>10025.17798</v>
      </c>
      <c r="U11" s="9">
        <v>9845.481987</v>
      </c>
      <c r="V11" s="9">
        <v>8939.452302</v>
      </c>
      <c r="W11" s="9">
        <v>7872.393969</v>
      </c>
      <c r="X11" s="9">
        <v>7269.876009</v>
      </c>
      <c r="Y11" s="9">
        <v>6387.713244</v>
      </c>
      <c r="Z11" s="9">
        <v>5583.117969</v>
      </c>
      <c r="AA11" s="10">
        <f t="shared" si="1"/>
        <v>218198.4575</v>
      </c>
      <c r="AB11" s="10">
        <v>5.0</v>
      </c>
      <c r="AC11" s="10">
        <f t="shared" si="2"/>
        <v>1090992.287</v>
      </c>
      <c r="AD11" s="12"/>
    </row>
    <row r="12" ht="14.25" customHeight="1">
      <c r="A12" s="7">
        <v>46235.0</v>
      </c>
      <c r="B12" s="8" t="s">
        <v>36</v>
      </c>
      <c r="C12" s="9">
        <v>5336.144055</v>
      </c>
      <c r="D12" s="9">
        <v>5141.37294</v>
      </c>
      <c r="E12" s="9">
        <v>4980.502593</v>
      </c>
      <c r="F12" s="9">
        <v>4708.821546</v>
      </c>
      <c r="G12" s="9">
        <v>4699.128654</v>
      </c>
      <c r="H12" s="9">
        <v>4717.357623</v>
      </c>
      <c r="I12" s="9">
        <v>5168.978199</v>
      </c>
      <c r="J12" s="9">
        <v>0.0</v>
      </c>
      <c r="K12" s="9">
        <v>0.0</v>
      </c>
      <c r="L12" s="9">
        <v>939.991338</v>
      </c>
      <c r="M12" s="9">
        <v>3844.64421</v>
      </c>
      <c r="N12" s="9">
        <v>5543.445303</v>
      </c>
      <c r="O12" s="9">
        <v>5935.495995</v>
      </c>
      <c r="P12" s="9">
        <v>5549.947821</v>
      </c>
      <c r="Q12" s="9">
        <v>4780.909386</v>
      </c>
      <c r="R12" s="9">
        <v>4470.688134</v>
      </c>
      <c r="S12" s="9">
        <v>4382.709309</v>
      </c>
      <c r="T12" s="9">
        <v>7523.43768</v>
      </c>
      <c r="U12" s="9">
        <v>7841.427858</v>
      </c>
      <c r="V12" s="9">
        <v>7698.896073</v>
      </c>
      <c r="W12" s="9">
        <v>7440.768027</v>
      </c>
      <c r="X12" s="9">
        <v>6819.631434</v>
      </c>
      <c r="Y12" s="9">
        <v>6267.648024</v>
      </c>
      <c r="Z12" s="9">
        <v>5884.157763</v>
      </c>
      <c r="AA12" s="10">
        <f t="shared" si="1"/>
        <v>119676.104</v>
      </c>
      <c r="AB12" s="10">
        <v>7.0</v>
      </c>
      <c r="AC12" s="10">
        <f t="shared" si="2"/>
        <v>837732.7278</v>
      </c>
      <c r="AD12" s="13"/>
    </row>
    <row r="13" ht="14.25" customHeight="1">
      <c r="A13" s="7">
        <v>46266.0</v>
      </c>
      <c r="B13" s="8" t="s">
        <v>34</v>
      </c>
      <c r="C13" s="9">
        <v>5258.969793</v>
      </c>
      <c r="D13" s="9">
        <v>5179.878396</v>
      </c>
      <c r="E13" s="9">
        <v>4964.67383</v>
      </c>
      <c r="F13" s="9">
        <v>4916.68947</v>
      </c>
      <c r="G13" s="9">
        <v>5179.298355</v>
      </c>
      <c r="H13" s="9">
        <v>5583.016247</v>
      </c>
      <c r="I13" s="9">
        <v>7197.635214</v>
      </c>
      <c r="J13" s="9">
        <v>9265.294269</v>
      </c>
      <c r="K13" s="9">
        <v>10721.76786</v>
      </c>
      <c r="L13" s="9">
        <v>11451.51558</v>
      </c>
      <c r="M13" s="9">
        <v>12301.57502</v>
      </c>
      <c r="N13" s="9">
        <v>12422.19548</v>
      </c>
      <c r="O13" s="9">
        <v>12149.70719</v>
      </c>
      <c r="P13" s="9">
        <v>12414.71108</v>
      </c>
      <c r="Q13" s="9">
        <v>12285.49291</v>
      </c>
      <c r="R13" s="9">
        <v>12056.11476</v>
      </c>
      <c r="S13" s="9">
        <v>11459.41162</v>
      </c>
      <c r="T13" s="9">
        <v>10504.08409</v>
      </c>
      <c r="U13" s="9">
        <v>9960.13661</v>
      </c>
      <c r="V13" s="9">
        <v>9198.655043</v>
      </c>
      <c r="W13" s="9">
        <v>8290.825389</v>
      </c>
      <c r="X13" s="9">
        <v>7534.25546</v>
      </c>
      <c r="Y13" s="9">
        <v>6618.997539</v>
      </c>
      <c r="Z13" s="9">
        <v>5975.647871</v>
      </c>
      <c r="AA13" s="10">
        <f t="shared" si="1"/>
        <v>212890.5491</v>
      </c>
      <c r="AB13" s="10">
        <v>22.0</v>
      </c>
      <c r="AC13" s="10">
        <f t="shared" si="2"/>
        <v>4683592.08</v>
      </c>
      <c r="AD13" s="11">
        <f>SUM(AC13:AC15)</f>
        <v>5721938.293</v>
      </c>
    </row>
    <row r="14" ht="14.25" customHeight="1">
      <c r="A14" s="7">
        <v>46266.0</v>
      </c>
      <c r="B14" s="8" t="s">
        <v>35</v>
      </c>
      <c r="C14" s="9">
        <v>6001.581317</v>
      </c>
      <c r="D14" s="9">
        <v>5675.270832</v>
      </c>
      <c r="E14" s="9">
        <v>5470.291827</v>
      </c>
      <c r="F14" s="9">
        <v>5536.351013</v>
      </c>
      <c r="G14" s="9">
        <v>5751.209426</v>
      </c>
      <c r="H14" s="9">
        <v>5535.078665</v>
      </c>
      <c r="I14" s="9">
        <v>6146.675766</v>
      </c>
      <c r="J14" s="9">
        <v>4647.101382</v>
      </c>
      <c r="K14" s="9">
        <v>8040.453498</v>
      </c>
      <c r="L14" s="9">
        <v>8789.529672</v>
      </c>
      <c r="M14" s="9">
        <v>9767.89044</v>
      </c>
      <c r="N14" s="9">
        <v>9304.662213</v>
      </c>
      <c r="O14" s="9">
        <v>9298.70276</v>
      </c>
      <c r="P14" s="9">
        <v>9005.959809</v>
      </c>
      <c r="Q14" s="9">
        <v>8756.757356</v>
      </c>
      <c r="R14" s="9">
        <v>8632.039185</v>
      </c>
      <c r="S14" s="9">
        <v>8315.327444</v>
      </c>
      <c r="T14" s="9">
        <v>7702.270884</v>
      </c>
      <c r="U14" s="9">
        <v>7564.211771</v>
      </c>
      <c r="V14" s="9">
        <v>6868.115793</v>
      </c>
      <c r="W14" s="9">
        <v>6048.302684</v>
      </c>
      <c r="X14" s="9">
        <v>5585.392544</v>
      </c>
      <c r="Y14" s="9">
        <v>4907.633346</v>
      </c>
      <c r="Z14" s="9">
        <v>4289.468684</v>
      </c>
      <c r="AA14" s="10">
        <f t="shared" si="1"/>
        <v>167640.2783</v>
      </c>
      <c r="AB14" s="10">
        <v>4.0</v>
      </c>
      <c r="AC14" s="10">
        <f t="shared" si="2"/>
        <v>670561.1132</v>
      </c>
      <c r="AD14" s="12"/>
    </row>
    <row r="15" ht="14.25" customHeight="1">
      <c r="A15" s="7">
        <v>46266.0</v>
      </c>
      <c r="B15" s="8" t="s">
        <v>36</v>
      </c>
      <c r="C15" s="9">
        <v>4099.720433</v>
      </c>
      <c r="D15" s="9">
        <v>3950.07921</v>
      </c>
      <c r="E15" s="9">
        <v>3826.4837</v>
      </c>
      <c r="F15" s="9">
        <v>3617.753139</v>
      </c>
      <c r="G15" s="9">
        <v>3610.306161</v>
      </c>
      <c r="H15" s="9">
        <v>3624.311345</v>
      </c>
      <c r="I15" s="9">
        <v>3971.288129</v>
      </c>
      <c r="J15" s="9">
        <v>0.0</v>
      </c>
      <c r="K15" s="9">
        <v>0.0</v>
      </c>
      <c r="L15" s="9">
        <v>722.188467</v>
      </c>
      <c r="M15" s="9">
        <v>2953.812015</v>
      </c>
      <c r="N15" s="9">
        <v>4258.988465</v>
      </c>
      <c r="O15" s="9">
        <v>4560.198143</v>
      </c>
      <c r="P15" s="9">
        <v>4263.984302</v>
      </c>
      <c r="Q15" s="9">
        <v>3673.137699</v>
      </c>
      <c r="R15" s="9">
        <v>3434.796981</v>
      </c>
      <c r="S15" s="9">
        <v>3367.203494</v>
      </c>
      <c r="T15" s="9">
        <v>5780.20212</v>
      </c>
      <c r="U15" s="9">
        <v>6024.511647</v>
      </c>
      <c r="V15" s="9">
        <v>5915.00552</v>
      </c>
      <c r="W15" s="9">
        <v>5716.687631</v>
      </c>
      <c r="X15" s="9">
        <v>5239.472931</v>
      </c>
      <c r="Y15" s="9">
        <v>4815.388116</v>
      </c>
      <c r="Z15" s="9">
        <v>4520.755355</v>
      </c>
      <c r="AA15" s="10">
        <f t="shared" si="1"/>
        <v>91946.275</v>
      </c>
      <c r="AB15" s="10">
        <v>4.0</v>
      </c>
      <c r="AC15" s="10">
        <f t="shared" si="2"/>
        <v>367785.1</v>
      </c>
      <c r="AD15" s="13"/>
    </row>
    <row r="16" ht="14.25" customHeight="1">
      <c r="A16" s="7">
        <v>46296.0</v>
      </c>
      <c r="B16" s="8" t="s">
        <v>34</v>
      </c>
      <c r="C16" s="9">
        <v>5764.672396</v>
      </c>
      <c r="D16" s="9">
        <v>5677.975569</v>
      </c>
      <c r="E16" s="9">
        <v>5442.076929</v>
      </c>
      <c r="F16" s="9">
        <v>5389.478393</v>
      </c>
      <c r="G16" s="9">
        <v>5677.339751</v>
      </c>
      <c r="H16" s="9">
        <v>6119.87916</v>
      </c>
      <c r="I16" s="9">
        <v>7889.759909</v>
      </c>
      <c r="J16" s="9">
        <v>10156.24508</v>
      </c>
      <c r="K16" s="9">
        <v>11752.7732</v>
      </c>
      <c r="L16" s="9">
        <v>12552.69346</v>
      </c>
      <c r="M16" s="9">
        <v>13484.49463</v>
      </c>
      <c r="N16" s="9">
        <v>13616.71395</v>
      </c>
      <c r="O16" s="9">
        <v>13318.02318</v>
      </c>
      <c r="P16" s="9">
        <v>13608.50985</v>
      </c>
      <c r="Q16" s="9">
        <v>13466.86607</v>
      </c>
      <c r="R16" s="9">
        <v>13215.43091</v>
      </c>
      <c r="S16" s="9">
        <v>12561.34879</v>
      </c>
      <c r="T16" s="9">
        <v>11514.15695</v>
      </c>
      <c r="U16" s="9">
        <v>10917.90347</v>
      </c>
      <c r="V16" s="9">
        <v>10083.19783</v>
      </c>
      <c r="W16" s="9">
        <v>9088.071265</v>
      </c>
      <c r="X16" s="9">
        <v>8258.749561</v>
      </c>
      <c r="Y16" s="9">
        <v>7255.480427</v>
      </c>
      <c r="Z16" s="9">
        <v>6550.266246</v>
      </c>
      <c r="AA16" s="10">
        <f t="shared" si="1"/>
        <v>233362.107</v>
      </c>
      <c r="AB16" s="10">
        <v>21.0</v>
      </c>
      <c r="AC16" s="10">
        <f t="shared" si="2"/>
        <v>4900604.246</v>
      </c>
      <c r="AD16" s="11">
        <f>SUM(AC16:AC18)</f>
        <v>6323346.245</v>
      </c>
    </row>
    <row r="17" ht="14.25" customHeight="1">
      <c r="A17" s="7">
        <v>46296.0</v>
      </c>
      <c r="B17" s="8" t="s">
        <v>35</v>
      </c>
      <c r="C17" s="9">
        <v>6578.693453</v>
      </c>
      <c r="D17" s="9">
        <v>6221.004948</v>
      </c>
      <c r="E17" s="9">
        <v>5996.315159</v>
      </c>
      <c r="F17" s="9">
        <v>6068.726597</v>
      </c>
      <c r="G17" s="9">
        <v>6304.245798</v>
      </c>
      <c r="H17" s="9">
        <v>6067.3319</v>
      </c>
      <c r="I17" s="9">
        <v>6737.740187</v>
      </c>
      <c r="J17" s="9">
        <v>5093.966711</v>
      </c>
      <c r="K17" s="9">
        <v>8813.62361</v>
      </c>
      <c r="L17" s="9">
        <v>9634.730958</v>
      </c>
      <c r="M17" s="9">
        <v>10707.17091</v>
      </c>
      <c r="N17" s="9">
        <v>10199.39865</v>
      </c>
      <c r="O17" s="9">
        <v>10192.86614</v>
      </c>
      <c r="P17" s="9">
        <v>9871.97302</v>
      </c>
      <c r="Q17" s="9">
        <v>9598.807255</v>
      </c>
      <c r="R17" s="9">
        <v>9462.096184</v>
      </c>
      <c r="S17" s="9">
        <v>9114.929437</v>
      </c>
      <c r="T17" s="9">
        <v>8442.921351</v>
      </c>
      <c r="U17" s="9">
        <v>8291.586471</v>
      </c>
      <c r="V17" s="9">
        <v>7528.553896</v>
      </c>
      <c r="W17" s="9">
        <v>6629.907547</v>
      </c>
      <c r="X17" s="9">
        <v>6122.483962</v>
      </c>
      <c r="Y17" s="9">
        <v>5379.551432</v>
      </c>
      <c r="Z17" s="9">
        <v>4701.944047</v>
      </c>
      <c r="AA17" s="10">
        <f t="shared" si="1"/>
        <v>183760.5696</v>
      </c>
      <c r="AB17" s="10">
        <v>5.0</v>
      </c>
      <c r="AC17" s="10">
        <f t="shared" si="2"/>
        <v>918802.8481</v>
      </c>
      <c r="AD17" s="12"/>
    </row>
    <row r="18" ht="14.25" customHeight="1">
      <c r="A18" s="7">
        <v>46296.0</v>
      </c>
      <c r="B18" s="8" t="s">
        <v>36</v>
      </c>
      <c r="C18" s="9">
        <v>4493.949602</v>
      </c>
      <c r="D18" s="9">
        <v>4329.918878</v>
      </c>
      <c r="E18" s="9">
        <v>4194.438421</v>
      </c>
      <c r="F18" s="9">
        <v>3965.636327</v>
      </c>
      <c r="G18" s="9">
        <v>3957.473248</v>
      </c>
      <c r="H18" s="9">
        <v>3972.82517</v>
      </c>
      <c r="I18" s="9">
        <v>4353.167246</v>
      </c>
      <c r="J18" s="9">
        <v>0.0</v>
      </c>
      <c r="K18" s="9">
        <v>0.0</v>
      </c>
      <c r="L18" s="9">
        <v>791.6341193</v>
      </c>
      <c r="M18" s="9">
        <v>3237.850616</v>
      </c>
      <c r="N18" s="9">
        <v>4668.53285</v>
      </c>
      <c r="O18" s="9">
        <v>4998.706854</v>
      </c>
      <c r="P18" s="9">
        <v>4674.009087</v>
      </c>
      <c r="Q18" s="9">
        <v>4026.346667</v>
      </c>
      <c r="R18" s="9">
        <v>3765.087103</v>
      </c>
      <c r="S18" s="9">
        <v>3690.993825</v>
      </c>
      <c r="T18" s="9">
        <v>6336.02643</v>
      </c>
      <c r="U18" s="9">
        <v>6603.828764</v>
      </c>
      <c r="V18" s="9">
        <v>6483.792526</v>
      </c>
      <c r="W18" s="9">
        <v>6266.404386</v>
      </c>
      <c r="X18" s="9">
        <v>5743.300715</v>
      </c>
      <c r="Y18" s="9">
        <v>5278.435899</v>
      </c>
      <c r="Z18" s="9">
        <v>4955.471247</v>
      </c>
      <c r="AA18" s="10">
        <f t="shared" si="1"/>
        <v>100787.83</v>
      </c>
      <c r="AB18" s="10">
        <v>5.0</v>
      </c>
      <c r="AC18" s="10">
        <f t="shared" si="2"/>
        <v>503939.1499</v>
      </c>
      <c r="AD18" s="13"/>
    </row>
    <row r="19" ht="14.25" customHeight="1">
      <c r="A19" s="7">
        <v>46327.0</v>
      </c>
      <c r="B19" s="8" t="s">
        <v>34</v>
      </c>
      <c r="C19" s="9">
        <v>7679.765412</v>
      </c>
      <c r="D19" s="9">
        <v>7564.266864</v>
      </c>
      <c r="E19" s="9">
        <v>7249.999878</v>
      </c>
      <c r="F19" s="9">
        <v>7179.92748</v>
      </c>
      <c r="G19" s="9">
        <v>7563.41982</v>
      </c>
      <c r="H19" s="9">
        <v>8152.976106</v>
      </c>
      <c r="I19" s="9">
        <v>10510.83238</v>
      </c>
      <c r="J19" s="9">
        <v>13530.271</v>
      </c>
      <c r="K19" s="9">
        <v>15657.18482</v>
      </c>
      <c r="L19" s="9">
        <v>16722.84814</v>
      </c>
      <c r="M19" s="9">
        <v>17964.20479</v>
      </c>
      <c r="N19" s="9">
        <v>18140.34895</v>
      </c>
      <c r="O19" s="9">
        <v>17742.42954</v>
      </c>
      <c r="P19" s="9">
        <v>18129.41935</v>
      </c>
      <c r="Q19" s="9">
        <v>17940.71981</v>
      </c>
      <c r="R19" s="9">
        <v>17605.75489</v>
      </c>
      <c r="S19" s="9">
        <v>16734.37887</v>
      </c>
      <c r="T19" s="9">
        <v>15339.2974</v>
      </c>
      <c r="U19" s="9">
        <v>14544.9614</v>
      </c>
      <c r="V19" s="9">
        <v>13432.95657</v>
      </c>
      <c r="W19" s="9">
        <v>12107.23708</v>
      </c>
      <c r="X19" s="9">
        <v>11002.4048</v>
      </c>
      <c r="Y19" s="9">
        <v>9665.837676</v>
      </c>
      <c r="Z19" s="9">
        <v>8726.342922</v>
      </c>
      <c r="AA19" s="10">
        <f t="shared" si="1"/>
        <v>310887.7859</v>
      </c>
      <c r="AB19" s="10">
        <v>19.0</v>
      </c>
      <c r="AC19" s="10">
        <f t="shared" si="2"/>
        <v>5906867.933</v>
      </c>
      <c r="AD19" s="11">
        <f>SUM(AC19:AC21)</f>
        <v>7825995.29</v>
      </c>
    </row>
    <row r="20" ht="14.25" customHeight="1">
      <c r="A20" s="7">
        <v>46327.0</v>
      </c>
      <c r="B20" s="8" t="s">
        <v>35</v>
      </c>
      <c r="C20" s="9">
        <v>8764.213986</v>
      </c>
      <c r="D20" s="9">
        <v>8287.697088</v>
      </c>
      <c r="E20" s="9">
        <v>7988.362668</v>
      </c>
      <c r="F20" s="9">
        <v>8084.83005</v>
      </c>
      <c r="G20" s="9">
        <v>8398.591542</v>
      </c>
      <c r="H20" s="9">
        <v>8082.972018</v>
      </c>
      <c r="I20" s="9">
        <v>8976.097944</v>
      </c>
      <c r="J20" s="9">
        <v>6786.243288</v>
      </c>
      <c r="K20" s="9">
        <v>11741.61463</v>
      </c>
      <c r="L20" s="9">
        <v>12835.50365</v>
      </c>
      <c r="M20" s="9">
        <v>14264.22096</v>
      </c>
      <c r="N20" s="9">
        <v>13587.76069</v>
      </c>
      <c r="O20" s="9">
        <v>13579.058</v>
      </c>
      <c r="P20" s="9">
        <v>13151.56036</v>
      </c>
      <c r="Q20" s="9">
        <v>12787.64566</v>
      </c>
      <c r="R20" s="9">
        <v>12605.51754</v>
      </c>
      <c r="S20" s="9">
        <v>12143.01785</v>
      </c>
      <c r="T20" s="9">
        <v>11247.76066</v>
      </c>
      <c r="U20" s="9">
        <v>11046.15052</v>
      </c>
      <c r="V20" s="9">
        <v>10029.62941</v>
      </c>
      <c r="W20" s="9">
        <v>8832.442014</v>
      </c>
      <c r="X20" s="9">
        <v>8156.446254</v>
      </c>
      <c r="Y20" s="9">
        <v>7166.702664</v>
      </c>
      <c r="Z20" s="9">
        <v>6263.986014</v>
      </c>
      <c r="AA20" s="10">
        <f t="shared" si="1"/>
        <v>244808.0255</v>
      </c>
      <c r="AB20" s="10">
        <v>4.0</v>
      </c>
      <c r="AC20" s="10">
        <f t="shared" si="2"/>
        <v>979232.1018</v>
      </c>
      <c r="AD20" s="12"/>
    </row>
    <row r="21" ht="14.25" customHeight="1">
      <c r="A21" s="7">
        <v>46327.0</v>
      </c>
      <c r="B21" s="8" t="s">
        <v>36</v>
      </c>
      <c r="C21" s="9">
        <v>5986.89333</v>
      </c>
      <c r="D21" s="9">
        <v>5768.36964</v>
      </c>
      <c r="E21" s="9">
        <v>5587.880958</v>
      </c>
      <c r="F21" s="9">
        <v>5283.068076</v>
      </c>
      <c r="G21" s="9">
        <v>5272.193124</v>
      </c>
      <c r="H21" s="9">
        <v>5292.645138</v>
      </c>
      <c r="I21" s="9">
        <v>5799.341394</v>
      </c>
      <c r="J21" s="9">
        <v>0.0</v>
      </c>
      <c r="K21" s="9">
        <v>0.0</v>
      </c>
      <c r="L21" s="9">
        <v>1054.624428</v>
      </c>
      <c r="M21" s="9">
        <v>4313.50326</v>
      </c>
      <c r="N21" s="9">
        <v>6219.475218</v>
      </c>
      <c r="O21" s="9">
        <v>6659.33697</v>
      </c>
      <c r="P21" s="9">
        <v>6226.770726</v>
      </c>
      <c r="Q21" s="9">
        <v>5363.947116</v>
      </c>
      <c r="R21" s="9">
        <v>5015.894004</v>
      </c>
      <c r="S21" s="9">
        <v>4917.186054</v>
      </c>
      <c r="T21" s="9">
        <v>8440.93008</v>
      </c>
      <c r="U21" s="9">
        <v>8797.699548</v>
      </c>
      <c r="V21" s="9">
        <v>8637.785838</v>
      </c>
      <c r="W21" s="9">
        <v>8348.178762</v>
      </c>
      <c r="X21" s="9">
        <v>7651.293804</v>
      </c>
      <c r="Y21" s="9">
        <v>7031.995344</v>
      </c>
      <c r="Z21" s="9">
        <v>6601.737978</v>
      </c>
      <c r="AA21" s="10">
        <f t="shared" si="1"/>
        <v>134270.7508</v>
      </c>
      <c r="AB21" s="10">
        <v>7.0</v>
      </c>
      <c r="AC21" s="10">
        <f t="shared" si="2"/>
        <v>939895.2555</v>
      </c>
      <c r="AD21" s="13"/>
    </row>
    <row r="22" ht="14.25" customHeight="1">
      <c r="A22" s="7">
        <v>46357.0</v>
      </c>
      <c r="B22" s="8" t="s">
        <v>34</v>
      </c>
      <c r="C22" s="9">
        <v>5883.94148</v>
      </c>
      <c r="D22" s="9">
        <v>5795.450926</v>
      </c>
      <c r="E22" s="9">
        <v>5554.671624</v>
      </c>
      <c r="F22" s="9">
        <v>5500.984842</v>
      </c>
      <c r="G22" s="9">
        <v>5794.801953</v>
      </c>
      <c r="H22" s="9">
        <v>6246.49735</v>
      </c>
      <c r="I22" s="9">
        <v>8052.99632</v>
      </c>
      <c r="J22" s="9">
        <v>10366.37429</v>
      </c>
      <c r="K22" s="9">
        <v>11995.93402</v>
      </c>
      <c r="L22" s="9">
        <v>12812.40436</v>
      </c>
      <c r="M22" s="9">
        <v>13763.48417</v>
      </c>
      <c r="N22" s="9">
        <v>13898.43907</v>
      </c>
      <c r="O22" s="9">
        <v>13593.56849</v>
      </c>
      <c r="P22" s="9">
        <v>13890.06523</v>
      </c>
      <c r="Q22" s="9">
        <v>13745.49088</v>
      </c>
      <c r="R22" s="9">
        <v>13488.85362</v>
      </c>
      <c r="S22" s="9">
        <v>12821.23876</v>
      </c>
      <c r="T22" s="9">
        <v>11752.38089</v>
      </c>
      <c r="U22" s="9">
        <v>11143.79113</v>
      </c>
      <c r="V22" s="9">
        <v>10291.81572</v>
      </c>
      <c r="W22" s="9">
        <v>9276.100325</v>
      </c>
      <c r="X22" s="9">
        <v>8429.620242</v>
      </c>
      <c r="Y22" s="9">
        <v>7405.593815</v>
      </c>
      <c r="Z22" s="9">
        <v>6685.788996</v>
      </c>
      <c r="AA22" s="10">
        <f t="shared" si="1"/>
        <v>238190.2885</v>
      </c>
      <c r="AB22" s="10">
        <v>21.0</v>
      </c>
      <c r="AC22" s="10">
        <f t="shared" si="2"/>
        <v>5001996.059</v>
      </c>
      <c r="AD22" s="11">
        <f>SUM(AC22:AC24)</f>
        <v>6369484.681</v>
      </c>
    </row>
    <row r="23" ht="14.25" customHeight="1">
      <c r="A23" s="7">
        <v>46357.0</v>
      </c>
      <c r="B23" s="8" t="s">
        <v>35</v>
      </c>
      <c r="C23" s="9">
        <v>6714.804352</v>
      </c>
      <c r="D23" s="9">
        <v>6349.715395</v>
      </c>
      <c r="E23" s="9">
        <v>6120.376852</v>
      </c>
      <c r="F23" s="9">
        <v>6194.286458</v>
      </c>
      <c r="G23" s="9">
        <v>6434.678469</v>
      </c>
      <c r="H23" s="9">
        <v>6192.862905</v>
      </c>
      <c r="I23" s="9">
        <v>6877.141708</v>
      </c>
      <c r="J23" s="9">
        <v>5199.359125</v>
      </c>
      <c r="K23" s="9">
        <v>8995.974443</v>
      </c>
      <c r="L23" s="9">
        <v>9834.070219</v>
      </c>
      <c r="M23" s="9">
        <v>10928.69858</v>
      </c>
      <c r="N23" s="9">
        <v>10410.42069</v>
      </c>
      <c r="O23" s="9">
        <v>10403.75302</v>
      </c>
      <c r="P23" s="9">
        <v>10076.22074</v>
      </c>
      <c r="Q23" s="9">
        <v>9797.403267</v>
      </c>
      <c r="R23" s="9">
        <v>9657.863691</v>
      </c>
      <c r="S23" s="9">
        <v>9303.514184</v>
      </c>
      <c r="T23" s="9">
        <v>8617.602482</v>
      </c>
      <c r="U23" s="9">
        <v>8463.136536</v>
      </c>
      <c r="V23" s="9">
        <v>7684.31708</v>
      </c>
      <c r="W23" s="9">
        <v>6767.078048</v>
      </c>
      <c r="X23" s="9">
        <v>6249.156044</v>
      </c>
      <c r="Y23" s="9">
        <v>5490.852496</v>
      </c>
      <c r="Z23" s="9">
        <v>4799.225648</v>
      </c>
      <c r="AA23" s="10">
        <f t="shared" si="1"/>
        <v>187562.5124</v>
      </c>
      <c r="AB23" s="10">
        <v>4.0</v>
      </c>
      <c r="AC23" s="10">
        <f t="shared" si="2"/>
        <v>750250.0497</v>
      </c>
      <c r="AD23" s="12"/>
    </row>
    <row r="24" ht="14.25" customHeight="1">
      <c r="A24" s="7">
        <v>46357.0</v>
      </c>
      <c r="B24" s="8" t="s">
        <v>36</v>
      </c>
      <c r="C24" s="9">
        <v>4586.92787</v>
      </c>
      <c r="D24" s="9">
        <v>4419.503406</v>
      </c>
      <c r="E24" s="9">
        <v>4281.219906</v>
      </c>
      <c r="F24" s="9">
        <v>4047.683975</v>
      </c>
      <c r="G24" s="9">
        <v>4039.352005</v>
      </c>
      <c r="H24" s="9">
        <v>4055.021553</v>
      </c>
      <c r="I24" s="9">
        <v>4443.232775</v>
      </c>
      <c r="J24" s="9">
        <v>0.0</v>
      </c>
      <c r="K24" s="9">
        <v>0.0</v>
      </c>
      <c r="L24" s="9">
        <v>808.0127562</v>
      </c>
      <c r="M24" s="9">
        <v>3304.840629</v>
      </c>
      <c r="N24" s="9">
        <v>4765.123185</v>
      </c>
      <c r="O24" s="9">
        <v>5102.128376</v>
      </c>
      <c r="P24" s="9">
        <v>4770.712723</v>
      </c>
      <c r="Q24" s="9">
        <v>4109.650391</v>
      </c>
      <c r="R24" s="9">
        <v>3842.985457</v>
      </c>
      <c r="S24" s="9">
        <v>3767.359214</v>
      </c>
      <c r="T24" s="9">
        <v>6467.116632</v>
      </c>
      <c r="U24" s="9">
        <v>6740.459704</v>
      </c>
      <c r="V24" s="9">
        <v>6617.939958</v>
      </c>
      <c r="W24" s="9">
        <v>6396.054132</v>
      </c>
      <c r="X24" s="9">
        <v>5862.127627</v>
      </c>
      <c r="Y24" s="9">
        <v>5387.644918</v>
      </c>
      <c r="Z24" s="9">
        <v>5057.998239</v>
      </c>
      <c r="AA24" s="10">
        <f t="shared" si="1"/>
        <v>102873.0954</v>
      </c>
      <c r="AB24" s="10">
        <v>6.0</v>
      </c>
      <c r="AC24" s="10">
        <f t="shared" si="2"/>
        <v>617238.5726</v>
      </c>
      <c r="AD24" s="13"/>
    </row>
    <row r="25" ht="14.25" customHeight="1">
      <c r="AB25" s="14" t="s">
        <v>32</v>
      </c>
      <c r="AC25" s="10">
        <f t="shared" ref="AC25:AD25" si="3">SUM(AC10:AC24)</f>
        <v>33434306.59</v>
      </c>
      <c r="AD25" s="10">
        <f t="shared" si="3"/>
        <v>33434306.59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mergeCells count="9">
    <mergeCell ref="AD19:AD21"/>
    <mergeCell ref="AD22:AD24"/>
    <mergeCell ref="A1:AC1"/>
    <mergeCell ref="A2:AC2"/>
    <mergeCell ref="A3:AC3"/>
    <mergeCell ref="A4:AC4"/>
    <mergeCell ref="AD10:AD12"/>
    <mergeCell ref="AD13:AD15"/>
    <mergeCell ref="AD16:AD1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71"/>
    <col customWidth="1" min="3" max="3" width="16.0"/>
    <col customWidth="1" min="4" max="4" width="13.0"/>
    <col customWidth="1" min="5" max="5" width="14.14"/>
    <col customWidth="1" min="6" max="6" width="10.71"/>
    <col customWidth="1" min="7" max="7" width="14.86"/>
    <col customWidth="1" min="8" max="14" width="10.71"/>
  </cols>
  <sheetData>
    <row r="1" ht="14.25" customHeight="1"/>
    <row r="2" ht="14.25" customHeight="1"/>
    <row r="3" ht="14.25" customHeight="1"/>
    <row r="4" ht="14.25" customHeight="1">
      <c r="A4" s="15" t="s">
        <v>3</v>
      </c>
    </row>
    <row r="5" ht="14.25" customHeight="1">
      <c r="A5" s="16"/>
      <c r="B5" s="15" t="s">
        <v>37</v>
      </c>
    </row>
    <row r="6" ht="14.25" customHeight="1">
      <c r="A6" s="16"/>
      <c r="B6" s="15" t="s">
        <v>38</v>
      </c>
    </row>
    <row r="7" ht="14.25" customHeight="1">
      <c r="A7" s="16"/>
      <c r="B7" s="17" t="s">
        <v>39</v>
      </c>
    </row>
    <row r="8" ht="14.25" customHeight="1">
      <c r="A8" s="16"/>
      <c r="B8" s="18" t="s">
        <v>40</v>
      </c>
    </row>
    <row r="9" ht="14.25" customHeight="1">
      <c r="A9" s="16"/>
      <c r="B9" s="17"/>
      <c r="C9" s="17"/>
      <c r="D9" s="17"/>
      <c r="E9" s="17"/>
    </row>
    <row r="10" ht="14.25" customHeight="1">
      <c r="A10" s="16"/>
      <c r="B10" s="19" t="s">
        <v>41</v>
      </c>
      <c r="C10" s="20"/>
      <c r="D10" s="20"/>
      <c r="E10" s="20"/>
      <c r="F10" s="21"/>
    </row>
    <row r="11">
      <c r="A11" s="16"/>
      <c r="B11" s="22" t="s">
        <v>4</v>
      </c>
      <c r="C11" s="23" t="s">
        <v>42</v>
      </c>
      <c r="D11" s="24" t="s">
        <v>43</v>
      </c>
      <c r="E11" s="24" t="s">
        <v>44</v>
      </c>
      <c r="F11" s="25" t="s">
        <v>45</v>
      </c>
    </row>
    <row r="12" ht="14.25" customHeight="1">
      <c r="A12" s="16"/>
      <c r="B12" s="26">
        <v>46235.0</v>
      </c>
      <c r="C12" s="27">
        <f>'Cant. Requeridas Producto 1'!AD10</f>
        <v>7193542.086</v>
      </c>
      <c r="D12" s="28"/>
      <c r="E12" s="27">
        <f t="shared" ref="E12:E16" si="1">C12*$D12</f>
        <v>0</v>
      </c>
      <c r="F12" s="29"/>
    </row>
    <row r="13" ht="14.25" customHeight="1">
      <c r="A13" s="16"/>
      <c r="B13" s="26">
        <v>46266.0</v>
      </c>
      <c r="C13" s="27">
        <f>'Cant. Requeridas Producto 1'!AD13</f>
        <v>5721938.293</v>
      </c>
      <c r="D13" s="28"/>
      <c r="E13" s="27">
        <f t="shared" si="1"/>
        <v>0</v>
      </c>
      <c r="F13" s="29"/>
    </row>
    <row r="14" ht="14.25" customHeight="1">
      <c r="A14" s="16"/>
      <c r="B14" s="26">
        <v>46296.0</v>
      </c>
      <c r="C14" s="27">
        <f>'Cant. Requeridas Producto 1'!AD16</f>
        <v>6323346.245</v>
      </c>
      <c r="D14" s="28"/>
      <c r="E14" s="27">
        <f t="shared" si="1"/>
        <v>0</v>
      </c>
      <c r="F14" s="29"/>
    </row>
    <row r="15" ht="14.25" customHeight="1">
      <c r="A15" s="16"/>
      <c r="B15" s="26">
        <v>46327.0</v>
      </c>
      <c r="C15" s="30">
        <f>'Cant. Requeridas Producto 1'!AD19</f>
        <v>7825995.29</v>
      </c>
      <c r="D15" s="28"/>
      <c r="E15" s="27">
        <f t="shared" si="1"/>
        <v>0</v>
      </c>
      <c r="F15" s="29"/>
    </row>
    <row r="16" ht="14.25" customHeight="1">
      <c r="A16" s="16"/>
      <c r="B16" s="31">
        <v>46357.0</v>
      </c>
      <c r="C16" s="32">
        <f>'Cant. Requeridas Producto 1'!AD22</f>
        <v>6369484.681</v>
      </c>
      <c r="D16" s="33"/>
      <c r="E16" s="34">
        <f t="shared" si="1"/>
        <v>0</v>
      </c>
      <c r="F16" s="35"/>
    </row>
    <row r="17" ht="14.25" customHeight="1">
      <c r="A17" s="16"/>
      <c r="B17" s="36" t="s">
        <v>32</v>
      </c>
      <c r="C17" s="37">
        <f>SUM(C12:C16)</f>
        <v>33434306.59</v>
      </c>
      <c r="D17" s="38"/>
      <c r="E17" s="37">
        <f>SUM(E12:E16)</f>
        <v>0</v>
      </c>
      <c r="F17" s="38"/>
    </row>
    <row r="18" ht="14.25" customHeight="1">
      <c r="A18" s="16"/>
      <c r="B18" s="17"/>
      <c r="C18" s="39"/>
      <c r="D18" s="17"/>
      <c r="E18" s="17"/>
    </row>
    <row r="19" ht="14.25" customHeight="1">
      <c r="C19" s="40"/>
    </row>
    <row r="20" ht="30.0" customHeight="1">
      <c r="B20" s="41" t="s">
        <v>46</v>
      </c>
      <c r="E20" s="42"/>
    </row>
    <row r="21" ht="42.0" customHeight="1">
      <c r="B21" s="41" t="s">
        <v>47</v>
      </c>
      <c r="I21" s="41"/>
    </row>
    <row r="22" ht="44.25" customHeight="1">
      <c r="B22" s="41" t="s">
        <v>48</v>
      </c>
      <c r="I22" s="41"/>
    </row>
    <row r="23" ht="14.25" customHeight="1">
      <c r="B23" s="43"/>
    </row>
    <row r="24" ht="14.25" customHeight="1"/>
    <row r="25" ht="14.25" customHeight="1"/>
    <row r="26" ht="14.25" customHeight="1">
      <c r="B26" s="44"/>
      <c r="C26" s="44"/>
    </row>
    <row r="27" ht="14.25" customHeight="1">
      <c r="B27" s="4" t="s">
        <v>49</v>
      </c>
    </row>
    <row r="28" ht="14.25" customHeight="1">
      <c r="B28" s="4" t="s">
        <v>50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2">
    <mergeCell ref="B21:E21"/>
    <mergeCell ref="I21:N21"/>
    <mergeCell ref="I22:N22"/>
    <mergeCell ref="B22:E22"/>
    <mergeCell ref="B23:E23"/>
    <mergeCell ref="A4:F4"/>
    <mergeCell ref="B5:E5"/>
    <mergeCell ref="B6:E6"/>
    <mergeCell ref="B7:E7"/>
    <mergeCell ref="B8:E8"/>
    <mergeCell ref="B10:F10"/>
    <mergeCell ref="B20:D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2022-08-03T18:43:37Z</dcterms:created>
  <dc:creator>Head of trading BIA</dc:creator>
</cp:coreProperties>
</file>