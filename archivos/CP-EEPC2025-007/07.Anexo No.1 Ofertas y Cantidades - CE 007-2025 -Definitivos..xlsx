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172.25.2.9\XM_Comercial\09.Compra Energia\01. MERCADO REGULADO\13. INVITACIONES 2025\CE 007-2025\02.Publicación\Definitivos\"/>
    </mc:Choice>
  </mc:AlternateContent>
  <xr:revisionPtr revIDLastSave="0" documentId="13_ncr:1_{90A418B2-0470-4664-B3BF-992D0450AE2E}" xr6:coauthVersionLast="47" xr6:coauthVersionMax="47" xr10:uidLastSave="{00000000-0000-0000-0000-000000000000}"/>
  <bookViews>
    <workbookView xWindow="-120" yWindow="-120" windowWidth="29040" windowHeight="15720" xr2:uid="{3186AD93-F238-4ADD-BE2F-FD38D6B0A782}"/>
  </bookViews>
  <sheets>
    <sheet name="Oferta Producto No. 1" sheetId="1" r:id="rId1"/>
    <sheet name="Cantidades Producto No. 1" sheetId="2" r:id="rId2"/>
    <sheet name="Oferta Producto No. 2 " sheetId="3" r:id="rId3"/>
    <sheet name="Cantidades Producto No. 2" sheetId="4" r:id="rId4"/>
    <sheet name="Cantidades Producto Base Curva" sheetId="5" state="hidden" r:id="rId5"/>
    <sheet name="Oferta Producto No. 3" sheetId="6" r:id="rId6"/>
    <sheet name="Cantidades Producto No. 3" sheetId="7" r:id="rId7"/>
    <sheet name="Oferta Producto No. 4" sheetId="8" r:id="rId8"/>
    <sheet name="Cantidades Producto No. 4" sheetId="9" r:id="rId9"/>
    <sheet name="Oferta Producto No. 5" sheetId="10" r:id="rId10"/>
    <sheet name="Cantidades Producto No. 5" sheetId="11" r:id="rId11"/>
    <sheet name="Oferta Producto No. 6" sheetId="12" r:id="rId12"/>
    <sheet name="Cantidades Producto No. 6" sheetId="13" r:id="rId13"/>
    <sheet name="Oferta Producto No. 7" sheetId="14" r:id="rId14"/>
    <sheet name="Cantidades Producto No. 7" sheetId="15" r:id="rId15"/>
  </sheets>
  <externalReferences>
    <externalReference r:id="rId16"/>
  </externalReferences>
  <definedNames>
    <definedName name="_xlnm.Print_Area" localSheetId="0">'Oferta Producto No. 1'!$A$1:$M$37</definedName>
    <definedName name="_xlnm.Print_Area" localSheetId="2">'Oferta Producto No. 2 '!$A$1:$M$27</definedName>
    <definedName name="_xlnm.Print_Area" localSheetId="5">'Oferta Producto No. 3'!$A$1:$M$27</definedName>
    <definedName name="_xlnm.Print_Area" localSheetId="7">'Oferta Producto No. 4'!$A$1:$M$27</definedName>
    <definedName name="_xlnm.Print_Area" localSheetId="9">'Oferta Producto No. 5'!$A$1:$M$27</definedName>
    <definedName name="_xlnm.Print_Area" localSheetId="11">'Oferta Producto No. 6'!$A$1:$M$27</definedName>
    <definedName name="_xlnm.Print_Area" localSheetId="13">'Oferta Producto No. 7'!$A$1:$M$27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1" i="14" l="1"/>
  <c r="B21" i="12"/>
  <c r="B21" i="10"/>
  <c r="B21" i="8"/>
  <c r="B21" i="6"/>
  <c r="B21" i="3"/>
  <c r="B31" i="1"/>
  <c r="A11" i="15" l="1"/>
  <c r="A10" i="15"/>
  <c r="A9" i="15"/>
  <c r="A8" i="15"/>
  <c r="G15" i="14"/>
  <c r="G16" i="14" s="1"/>
  <c r="F15" i="14"/>
  <c r="F13" i="14"/>
  <c r="C9" i="14"/>
  <c r="A11" i="13"/>
  <c r="A10" i="13"/>
  <c r="A9" i="13"/>
  <c r="A8" i="13"/>
  <c r="F15" i="12"/>
  <c r="G15" i="12" s="1"/>
  <c r="G16" i="12" s="1"/>
  <c r="F13" i="12"/>
  <c r="C9" i="12"/>
  <c r="A11" i="11"/>
  <c r="A10" i="11"/>
  <c r="A9" i="11"/>
  <c r="A8" i="11"/>
  <c r="F15" i="10"/>
  <c r="F13" i="10"/>
  <c r="C9" i="10"/>
  <c r="A11" i="9"/>
  <c r="A10" i="9"/>
  <c r="A9" i="9"/>
  <c r="A8" i="9"/>
  <c r="F15" i="8"/>
  <c r="F13" i="8"/>
  <c r="C9" i="8"/>
  <c r="A11" i="7"/>
  <c r="A10" i="7"/>
  <c r="A9" i="7"/>
  <c r="A8" i="7"/>
  <c r="F15" i="6"/>
  <c r="F13" i="6"/>
  <c r="C9" i="6"/>
  <c r="Z93" i="5"/>
  <c r="AA83" i="5"/>
  <c r="AA82" i="5"/>
  <c r="AA81" i="5"/>
  <c r="AA80" i="5"/>
  <c r="AA79" i="5"/>
  <c r="AA78" i="5"/>
  <c r="AA77" i="5"/>
  <c r="AA76" i="5"/>
  <c r="AA75" i="5"/>
  <c r="AA74" i="5"/>
  <c r="AA73" i="5"/>
  <c r="AA72" i="5"/>
  <c r="A47" i="5"/>
  <c r="A46" i="5"/>
  <c r="A35" i="5"/>
  <c r="A34" i="5"/>
  <c r="A50" i="5" s="1"/>
  <c r="A33" i="5"/>
  <c r="A32" i="5"/>
  <c r="A31" i="5"/>
  <c r="A30" i="5"/>
  <c r="A29" i="5"/>
  <c r="A28" i="5"/>
  <c r="A27" i="5"/>
  <c r="A26" i="5"/>
  <c r="A42" i="5" s="1"/>
  <c r="A25" i="5"/>
  <c r="A24" i="5"/>
  <c r="Z10" i="5"/>
  <c r="AB10" i="5" s="1"/>
  <c r="Z9" i="5"/>
  <c r="AB9" i="5" s="1"/>
  <c r="A11" i="4"/>
  <c r="A10" i="4"/>
  <c r="A9" i="4"/>
  <c r="A8" i="4"/>
  <c r="F15" i="3"/>
  <c r="F13" i="3"/>
  <c r="C9" i="3"/>
  <c r="AA22" i="2"/>
  <c r="E22" i="2" s="1"/>
  <c r="X22" i="2"/>
  <c r="W22" i="2"/>
  <c r="A22" i="2"/>
  <c r="F25" i="1" s="1"/>
  <c r="F24" i="1"/>
  <c r="F23" i="1"/>
  <c r="F22" i="1"/>
  <c r="F20" i="1"/>
  <c r="F19" i="1"/>
  <c r="AA21" i="2"/>
  <c r="E21" i="2" s="1"/>
  <c r="A21" i="2"/>
  <c r="F18" i="1" s="1"/>
  <c r="AA20" i="2"/>
  <c r="L20" i="2" s="1"/>
  <c r="Q20" i="2"/>
  <c r="A20" i="2"/>
  <c r="F17" i="1" s="1"/>
  <c r="AA19" i="2"/>
  <c r="L19" i="2" s="1"/>
  <c r="A19" i="2"/>
  <c r="F16" i="1" s="1"/>
  <c r="AA18" i="2"/>
  <c r="Q18" i="2" s="1"/>
  <c r="R18" i="2"/>
  <c r="A18" i="2"/>
  <c r="F15" i="1" s="1"/>
  <c r="O19" i="2"/>
  <c r="F18" i="2"/>
  <c r="E18" i="2"/>
  <c r="F21" i="1"/>
  <c r="F13" i="1"/>
  <c r="C9" i="1"/>
  <c r="F20" i="2" l="1"/>
  <c r="S19" i="2"/>
  <c r="B20" i="2"/>
  <c r="G19" i="2"/>
  <c r="T19" i="2"/>
  <c r="C21" i="2"/>
  <c r="N19" i="2"/>
  <c r="I19" i="2"/>
  <c r="I22" i="2"/>
  <c r="X19" i="2"/>
  <c r="T20" i="2"/>
  <c r="Q22" i="2"/>
  <c r="O22" i="2"/>
  <c r="W19" i="2"/>
  <c r="Y20" i="2"/>
  <c r="R22" i="2"/>
  <c r="S22" i="2"/>
  <c r="I21" i="2"/>
  <c r="Q21" i="2"/>
  <c r="J22" i="2"/>
  <c r="H21" i="2"/>
  <c r="L21" i="2"/>
  <c r="O21" i="2"/>
  <c r="U21" i="2"/>
  <c r="W21" i="2"/>
  <c r="H22" i="2"/>
  <c r="X21" i="2"/>
  <c r="L22" i="2"/>
  <c r="M22" i="2"/>
  <c r="M18" i="2"/>
  <c r="O18" i="2"/>
  <c r="S18" i="2"/>
  <c r="V18" i="2"/>
  <c r="Y19" i="2"/>
  <c r="U22" i="2"/>
  <c r="W18" i="2"/>
  <c r="X18" i="2"/>
  <c r="H18" i="2"/>
  <c r="E19" i="2"/>
  <c r="I18" i="2"/>
  <c r="B18" i="2"/>
  <c r="F19" i="2"/>
  <c r="K20" i="2"/>
  <c r="C22" i="2"/>
  <c r="J18" i="2"/>
  <c r="N18" i="2"/>
  <c r="G20" i="2"/>
  <c r="C18" i="2"/>
  <c r="K19" i="2"/>
  <c r="O20" i="2"/>
  <c r="D22" i="2"/>
  <c r="Z94" i="5"/>
  <c r="Z95" i="5"/>
  <c r="Z8" i="4"/>
  <c r="Z90" i="5"/>
  <c r="G16" i="3"/>
  <c r="I20" i="2"/>
  <c r="R20" i="2"/>
  <c r="S21" i="2"/>
  <c r="P19" i="2"/>
  <c r="J21" i="2"/>
  <c r="G18" i="2"/>
  <c r="P18" i="2"/>
  <c r="Y18" i="2"/>
  <c r="H19" i="2"/>
  <c r="Q19" i="2"/>
  <c r="J20" i="2"/>
  <c r="S20" i="2"/>
  <c r="K21" i="2"/>
  <c r="T21" i="2"/>
  <c r="K22" i="2"/>
  <c r="T22" i="2"/>
  <c r="Z12" i="5"/>
  <c r="AB12" i="5" s="1"/>
  <c r="C19" i="2"/>
  <c r="U19" i="2"/>
  <c r="V20" i="2"/>
  <c r="M21" i="2"/>
  <c r="Z13" i="5"/>
  <c r="AB13" i="5" s="1"/>
  <c r="A58" i="5"/>
  <c r="C20" i="2"/>
  <c r="D21" i="2"/>
  <c r="U20" i="2"/>
  <c r="D20" i="2"/>
  <c r="Z14" i="5"/>
  <c r="AB14" i="5" s="1"/>
  <c r="M20" i="2"/>
  <c r="Z11" i="4"/>
  <c r="A66" i="5"/>
  <c r="R21" i="2"/>
  <c r="V22" i="2"/>
  <c r="N22" i="2"/>
  <c r="F22" i="2"/>
  <c r="V21" i="2"/>
  <c r="N21" i="2"/>
  <c r="F21" i="2"/>
  <c r="X20" i="2"/>
  <c r="P20" i="2"/>
  <c r="H20" i="2"/>
  <c r="R19" i="2"/>
  <c r="J19" i="2"/>
  <c r="T18" i="2"/>
  <c r="L18" i="2"/>
  <c r="D18" i="2"/>
  <c r="K18" i="2"/>
  <c r="U18" i="2"/>
  <c r="D19" i="2"/>
  <c r="M19" i="2"/>
  <c r="V19" i="2"/>
  <c r="N20" i="2"/>
  <c r="W20" i="2"/>
  <c r="G21" i="2"/>
  <c r="P21" i="2"/>
  <c r="Y21" i="2"/>
  <c r="G22" i="2"/>
  <c r="P22" i="2"/>
  <c r="Y22" i="2"/>
  <c r="Z9" i="4"/>
  <c r="Z8" i="5"/>
  <c r="AB8" i="5" s="1"/>
  <c r="Z17" i="5"/>
  <c r="AB17" i="5" s="1"/>
  <c r="A63" i="5"/>
  <c r="Z18" i="5"/>
  <c r="AB18" i="5" s="1"/>
  <c r="Z10" i="4"/>
  <c r="A49" i="5"/>
  <c r="Z11" i="5"/>
  <c r="AB11" i="5" s="1"/>
  <c r="Z15" i="5"/>
  <c r="AB15" i="5" s="1"/>
  <c r="Z19" i="5"/>
  <c r="AB19" i="5" s="1"/>
  <c r="A44" i="5"/>
  <c r="A45" i="5"/>
  <c r="A41" i="5"/>
  <c r="A43" i="5"/>
  <c r="Z16" i="5"/>
  <c r="AB16" i="5" s="1"/>
  <c r="A40" i="5"/>
  <c r="Z28" i="5"/>
  <c r="AB28" i="5" s="1"/>
  <c r="Z29" i="5"/>
  <c r="AB29" i="5" s="1"/>
  <c r="A48" i="5"/>
  <c r="A51" i="5"/>
  <c r="A62" i="5"/>
  <c r="Z31" i="5"/>
  <c r="AB31" i="5" s="1"/>
  <c r="Z35" i="5"/>
  <c r="AB35" i="5" s="1"/>
  <c r="Z91" i="5"/>
  <c r="Z92" i="5"/>
  <c r="Z10" i="11"/>
  <c r="Z8" i="11"/>
  <c r="Z8" i="13"/>
  <c r="Z11" i="13"/>
  <c r="Z10" i="15"/>
  <c r="Z9" i="9"/>
  <c r="Z11" i="9"/>
  <c r="Z10" i="13"/>
  <c r="Z9" i="15"/>
  <c r="Z11" i="15"/>
  <c r="Z18" i="2" l="1"/>
  <c r="G15" i="1" s="1"/>
  <c r="A78" i="5"/>
  <c r="Z34" i="5"/>
  <c r="AB34" i="5" s="1"/>
  <c r="A67" i="5"/>
  <c r="A57" i="5"/>
  <c r="Z30" i="5"/>
  <c r="AB30" i="5" s="1"/>
  <c r="G21" i="1"/>
  <c r="A64" i="5"/>
  <c r="Z26" i="5"/>
  <c r="AB26" i="5" s="1"/>
  <c r="Z24" i="5"/>
  <c r="AB24" i="5" s="1"/>
  <c r="Z8" i="9"/>
  <c r="Z8" i="7"/>
  <c r="Z9" i="7"/>
  <c r="Z50" i="5"/>
  <c r="AB50" i="5" s="1"/>
  <c r="Z42" i="5"/>
  <c r="AB42" i="5" s="1"/>
  <c r="A56" i="5"/>
  <c r="Z32" i="5"/>
  <c r="AB32" i="5" s="1"/>
  <c r="Z9" i="2"/>
  <c r="AB9" i="2" s="1"/>
  <c r="B19" i="2"/>
  <c r="Z19" i="2" s="1"/>
  <c r="G16" i="1" s="1"/>
  <c r="Z47" i="5"/>
  <c r="AB47" i="5" s="1"/>
  <c r="Z9" i="13"/>
  <c r="Z10" i="9"/>
  <c r="A59" i="5"/>
  <c r="Z27" i="5"/>
  <c r="AB27" i="5" s="1"/>
  <c r="Z8" i="2"/>
  <c r="AB8" i="2" s="1"/>
  <c r="B22" i="2"/>
  <c r="Z22" i="2" s="1"/>
  <c r="G25" i="1" s="1"/>
  <c r="Z12" i="2"/>
  <c r="AB12" i="2" s="1"/>
  <c r="Z96" i="5"/>
  <c r="Z8" i="15"/>
  <c r="Z46" i="5"/>
  <c r="AB46" i="5" s="1"/>
  <c r="Z25" i="5"/>
  <c r="AB25" i="5" s="1"/>
  <c r="A60" i="5"/>
  <c r="B21" i="2"/>
  <c r="Z21" i="2" s="1"/>
  <c r="G18" i="1" s="1"/>
  <c r="Z11" i="2"/>
  <c r="AB11" i="2" s="1"/>
  <c r="A79" i="5"/>
  <c r="Z11" i="7"/>
  <c r="Z9" i="11"/>
  <c r="Z10" i="7"/>
  <c r="Z33" i="5"/>
  <c r="AB33" i="5" s="1"/>
  <c r="G22" i="1"/>
  <c r="A82" i="5"/>
  <c r="Z11" i="11"/>
  <c r="A61" i="5"/>
  <c r="A65" i="5"/>
  <c r="E20" i="2"/>
  <c r="Z20" i="2" s="1"/>
  <c r="G17" i="1" s="1"/>
  <c r="Z10" i="2"/>
  <c r="AB10" i="2" s="1"/>
  <c r="A74" i="5"/>
  <c r="G24" i="1" l="1"/>
  <c r="G26" i="1" s="1"/>
  <c r="G19" i="1"/>
  <c r="G20" i="1"/>
  <c r="G23" i="1"/>
  <c r="AA9" i="4"/>
  <c r="AB9" i="4" s="1"/>
  <c r="AA11" i="4"/>
  <c r="AB11" i="4" s="1"/>
  <c r="Z66" i="5"/>
  <c r="AB66" i="5" s="1"/>
  <c r="AB82" i="5" s="1"/>
  <c r="A81" i="5"/>
  <c r="A83" i="5"/>
  <c r="Z41" i="5"/>
  <c r="AB41" i="5" s="1"/>
  <c r="Z45" i="5"/>
  <c r="AB45" i="5" s="1"/>
  <c r="A76" i="5"/>
  <c r="A72" i="5"/>
  <c r="AA9" i="11" s="1"/>
  <c r="AB9" i="11" s="1"/>
  <c r="Z56" i="5"/>
  <c r="AB56" i="5" s="1"/>
  <c r="AA9" i="9"/>
  <c r="AB9" i="9" s="1"/>
  <c r="A73" i="5"/>
  <c r="AA8" i="4" s="1"/>
  <c r="Z51" i="5"/>
  <c r="AB51" i="5" s="1"/>
  <c r="Z63" i="5"/>
  <c r="AB63" i="5" s="1"/>
  <c r="AB79" i="5" s="1"/>
  <c r="A75" i="5"/>
  <c r="AA9" i="15" s="1"/>
  <c r="AB9" i="15" s="1"/>
  <c r="AB9" i="13"/>
  <c r="Z62" i="5"/>
  <c r="AB62" i="5" s="1"/>
  <c r="AB78" i="5" s="1"/>
  <c r="Z82" i="5"/>
  <c r="Z58" i="5"/>
  <c r="AB58" i="5" s="1"/>
  <c r="AB74" i="5" s="1"/>
  <c r="Z74" i="5"/>
  <c r="Z40" i="5"/>
  <c r="AB40" i="5" s="1"/>
  <c r="AB72" i="5" s="1"/>
  <c r="AB8" i="7"/>
  <c r="AA9" i="13"/>
  <c r="Z79" i="5"/>
  <c r="A77" i="5"/>
  <c r="AA10" i="9" s="1"/>
  <c r="AB10" i="9" s="1"/>
  <c r="Z78" i="5"/>
  <c r="Z49" i="5"/>
  <c r="AB49" i="5" s="1"/>
  <c r="Z44" i="5"/>
  <c r="AB44" i="5" s="1"/>
  <c r="AA8" i="15"/>
  <c r="Z43" i="5"/>
  <c r="AB43" i="5" s="1"/>
  <c r="A80" i="5"/>
  <c r="AA10" i="15" s="1"/>
  <c r="AB10" i="15" s="1"/>
  <c r="AA11" i="7"/>
  <c r="AB11" i="7" s="1"/>
  <c r="AA8" i="7"/>
  <c r="Z48" i="5"/>
  <c r="AB48" i="5" s="1"/>
  <c r="AA11" i="13"/>
  <c r="AB11" i="13" s="1"/>
  <c r="AA11" i="15"/>
  <c r="AB11" i="15" s="1"/>
  <c r="AB8" i="4" l="1"/>
  <c r="Z75" i="5"/>
  <c r="Z80" i="5"/>
  <c r="Z67" i="5"/>
  <c r="AB67" i="5" s="1"/>
  <c r="AB83" i="5" s="1"/>
  <c r="Z73" i="5"/>
  <c r="AA8" i="13"/>
  <c r="AA10" i="13"/>
  <c r="AB10" i="13" s="1"/>
  <c r="AA11" i="9"/>
  <c r="AB11" i="9" s="1"/>
  <c r="AA8" i="9"/>
  <c r="Z72" i="5"/>
  <c r="Z65" i="5"/>
  <c r="AB65" i="5" s="1"/>
  <c r="AB81" i="5" s="1"/>
  <c r="Z81" i="5"/>
  <c r="AA10" i="7"/>
  <c r="AB10" i="7" s="1"/>
  <c r="AB76" i="5"/>
  <c r="Z57" i="5"/>
  <c r="AB57" i="5" s="1"/>
  <c r="AB73" i="5" s="1"/>
  <c r="AA11" i="11"/>
  <c r="AB11" i="11" s="1"/>
  <c r="Z83" i="5"/>
  <c r="AA9" i="7"/>
  <c r="AB9" i="7" s="1"/>
  <c r="AA16" i="15"/>
  <c r="Y16" i="15"/>
  <c r="J16" i="15"/>
  <c r="B16" i="15"/>
  <c r="H16" i="15"/>
  <c r="D16" i="15"/>
  <c r="M16" i="15"/>
  <c r="F16" i="15"/>
  <c r="Q16" i="15"/>
  <c r="E16" i="15"/>
  <c r="T16" i="15"/>
  <c r="N16" i="15"/>
  <c r="V16" i="15"/>
  <c r="X16" i="15"/>
  <c r="G16" i="15"/>
  <c r="I16" i="15"/>
  <c r="O16" i="15"/>
  <c r="S16" i="15"/>
  <c r="K16" i="15"/>
  <c r="W16" i="15"/>
  <c r="P16" i="15"/>
  <c r="U16" i="15"/>
  <c r="R16" i="15"/>
  <c r="L16" i="15"/>
  <c r="C16" i="15"/>
  <c r="AA8" i="11"/>
  <c r="AA10" i="11"/>
  <c r="AB10" i="11" s="1"/>
  <c r="Z76" i="5"/>
  <c r="Z61" i="5"/>
  <c r="AB61" i="5" s="1"/>
  <c r="AB77" i="5" s="1"/>
  <c r="Z59" i="5"/>
  <c r="AB59" i="5" s="1"/>
  <c r="AB75" i="5" s="1"/>
  <c r="AA10" i="4"/>
  <c r="AB10" i="4" s="1"/>
  <c r="Z64" i="5"/>
  <c r="AB64" i="5" s="1"/>
  <c r="AB80" i="5" s="1"/>
  <c r="AB8" i="15"/>
  <c r="AB16" i="15" s="1"/>
  <c r="AC16" i="15" s="1"/>
  <c r="Z60" i="5"/>
  <c r="AB60" i="5" s="1"/>
  <c r="Z77" i="5"/>
  <c r="AB16" i="7" l="1"/>
  <c r="AC16" i="7" s="1"/>
  <c r="M16" i="7"/>
  <c r="C16" i="7"/>
  <c r="D16" i="7"/>
  <c r="AB16" i="4"/>
  <c r="D16" i="4"/>
  <c r="X16" i="4"/>
  <c r="AA16" i="9"/>
  <c r="D16" i="9"/>
  <c r="O16" i="9"/>
  <c r="L16" i="9"/>
  <c r="P16" i="9"/>
  <c r="N16" i="9"/>
  <c r="Y16" i="9"/>
  <c r="W16" i="9"/>
  <c r="X16" i="9"/>
  <c r="B16" i="9"/>
  <c r="U16" i="9"/>
  <c r="R16" i="9"/>
  <c r="C16" i="9"/>
  <c r="S16" i="9"/>
  <c r="K16" i="9"/>
  <c r="T16" i="9"/>
  <c r="J16" i="9"/>
  <c r="H16" i="9"/>
  <c r="F16" i="9"/>
  <c r="G16" i="9"/>
  <c r="E16" i="9"/>
  <c r="I16" i="9"/>
  <c r="Q16" i="9"/>
  <c r="V16" i="9"/>
  <c r="M16" i="9"/>
  <c r="AB8" i="9"/>
  <c r="AB16" i="9" s="1"/>
  <c r="AC16" i="9" s="1"/>
  <c r="V16" i="7"/>
  <c r="O16" i="7"/>
  <c r="I16" i="7"/>
  <c r="M16" i="4"/>
  <c r="R16" i="4"/>
  <c r="L16" i="4"/>
  <c r="Z87" i="5"/>
  <c r="Z88" i="5" s="1"/>
  <c r="Z84" i="5"/>
  <c r="Z86" i="5" s="1"/>
  <c r="W16" i="7"/>
  <c r="X16" i="7"/>
  <c r="F16" i="7"/>
  <c r="J16" i="4"/>
  <c r="B16" i="4"/>
  <c r="S16" i="4"/>
  <c r="K16" i="7"/>
  <c r="Y16" i="7"/>
  <c r="P16" i="7"/>
  <c r="P16" i="4"/>
  <c r="W16" i="4"/>
  <c r="T16" i="4"/>
  <c r="Z16" i="15"/>
  <c r="L16" i="7"/>
  <c r="G16" i="7"/>
  <c r="E16" i="7"/>
  <c r="Y16" i="4"/>
  <c r="C16" i="4"/>
  <c r="O16" i="4"/>
  <c r="R16" i="7"/>
  <c r="H16" i="4"/>
  <c r="F16" i="4"/>
  <c r="AA16" i="13"/>
  <c r="G16" i="13"/>
  <c r="O16" i="13"/>
  <c r="Y16" i="13"/>
  <c r="W16" i="13"/>
  <c r="N16" i="13"/>
  <c r="R16" i="13"/>
  <c r="K16" i="13"/>
  <c r="S16" i="13"/>
  <c r="H16" i="13"/>
  <c r="M16" i="13"/>
  <c r="T16" i="13"/>
  <c r="F16" i="13"/>
  <c r="L16" i="13"/>
  <c r="C16" i="13"/>
  <c r="V16" i="13"/>
  <c r="E16" i="13"/>
  <c r="D16" i="13"/>
  <c r="U16" i="13"/>
  <c r="X16" i="13"/>
  <c r="P16" i="13"/>
  <c r="J16" i="13"/>
  <c r="B16" i="13"/>
  <c r="AB8" i="13"/>
  <c r="AB16" i="13" s="1"/>
  <c r="AC16" i="13" s="1"/>
  <c r="Q16" i="13"/>
  <c r="I16" i="13"/>
  <c r="B16" i="7"/>
  <c r="N16" i="7"/>
  <c r="G16" i="4"/>
  <c r="AA16" i="11"/>
  <c r="O16" i="11"/>
  <c r="I16" i="11"/>
  <c r="E16" i="11"/>
  <c r="V16" i="11"/>
  <c r="W16" i="11"/>
  <c r="D16" i="11"/>
  <c r="T16" i="11"/>
  <c r="B16" i="11"/>
  <c r="U16" i="11"/>
  <c r="R16" i="11"/>
  <c r="L16" i="11"/>
  <c r="N16" i="11"/>
  <c r="J16" i="11"/>
  <c r="F16" i="11"/>
  <c r="K16" i="11"/>
  <c r="Q16" i="11"/>
  <c r="AB8" i="11"/>
  <c r="AB16" i="11" s="1"/>
  <c r="AC16" i="11" s="1"/>
  <c r="X16" i="11"/>
  <c r="P16" i="11"/>
  <c r="G16" i="11"/>
  <c r="M16" i="11"/>
  <c r="S16" i="11"/>
  <c r="C16" i="11"/>
  <c r="H16" i="11"/>
  <c r="Y16" i="11"/>
  <c r="J16" i="7"/>
  <c r="T16" i="7"/>
  <c r="S16" i="7"/>
  <c r="I16" i="4"/>
  <c r="V16" i="4"/>
  <c r="N16" i="4"/>
  <c r="AA16" i="4"/>
  <c r="Q16" i="7"/>
  <c r="U16" i="7"/>
  <c r="H16" i="7"/>
  <c r="AA16" i="7"/>
  <c r="Q16" i="4"/>
  <c r="U16" i="4"/>
  <c r="E16" i="4"/>
  <c r="K16" i="4"/>
  <c r="Z16" i="9" l="1"/>
  <c r="Z16" i="13"/>
  <c r="Z16" i="4"/>
  <c r="Z16" i="11"/>
  <c r="Z16" i="7"/>
</calcChain>
</file>

<file path=xl/sharedStrings.xml><?xml version="1.0" encoding="utf-8"?>
<sst xmlns="http://schemas.openxmlformats.org/spreadsheetml/2006/main" count="759" uniqueCount="70">
  <si>
    <t>ANEXO No. 1 OFERTAS Y CANTIDADES</t>
  </si>
  <si>
    <t>OFERTA MERCANTIL IRREVOCABLE A LA EMPRESA DE ENERGIA DE PEREIRA S.A. ESP.
INVITACIÓN PARA EL SUMINISTRO DE ENERGÍA ELÉCTRICA CON DESTINO AL MERCADO REGULADO CONVOCATORIA PÚBLICA No. 007-2025 - CP-EEPC2025-007</t>
  </si>
  <si>
    <t>PRODUCTO No. 1</t>
  </si>
  <si>
    <r>
      <t xml:space="preserve">EMPRESA: </t>
    </r>
    <r>
      <rPr>
        <b/>
        <sz val="16"/>
        <color rgb="FFFF0000"/>
        <rFont val="Verdana"/>
        <family val="2"/>
      </rPr>
      <t>XXXXXXXXXXXXXXXXXXXXXXXXXXXXXX</t>
    </r>
  </si>
  <si>
    <r>
      <t xml:space="preserve">REPRESENTANTE LEGAL: </t>
    </r>
    <r>
      <rPr>
        <b/>
        <sz val="16"/>
        <color rgb="FFFF0000"/>
        <rFont val="Verdana"/>
        <family val="2"/>
      </rPr>
      <t>XXXXXXXXXXXXXXXXXXXXXXXXXXXXXX</t>
    </r>
  </si>
  <si>
    <r>
      <t xml:space="preserve">TIPO DE AGENTE: </t>
    </r>
    <r>
      <rPr>
        <b/>
        <sz val="16"/>
        <color rgb="FFFF0000"/>
        <rFont val="Verdana"/>
        <family val="2"/>
      </rPr>
      <t>(COMERCIALIZADOR/GENERADOR)</t>
    </r>
  </si>
  <si>
    <t>Periodo</t>
  </si>
  <si>
    <t>Energía requerida (MWh-mes)</t>
  </si>
  <si>
    <t>Energía ofertada (%)</t>
  </si>
  <si>
    <t>Energía ofertada (MWh-mes)</t>
  </si>
  <si>
    <t>Tarifa monomia ($/kWh)</t>
  </si>
  <si>
    <t>TOTAL</t>
  </si>
  <si>
    <t>Notas</t>
  </si>
  <si>
    <r>
      <t>(1) Oferta válida para la modalidad</t>
    </r>
    <r>
      <rPr>
        <b/>
        <sz val="16"/>
        <color theme="1"/>
        <rFont val="Verdana"/>
        <family val="2"/>
      </rPr>
      <t xml:space="preserve"> Pague lo Contratado.</t>
    </r>
  </si>
  <si>
    <t>(4) Esta oferta NO presenta restricciones tales como adjudicación mínima o total u otras que no permitan la evaluación objetiva e integral del producto ofertado.</t>
  </si>
  <si>
    <t>(5) Los precios ofertados incluyen todos los pagos, cargos, impuestos, estampillas, etc., que el Proponente deba realizar ante cualquier entidad gubernamental, o empresa pública, privada o mixta para entregar la energía en la frontera con el Sistema de Transmisión Nacional – STN.</t>
  </si>
  <si>
    <t>(6) Las cantidades ofertadas están sujetas a la adjudicación en la misma proporción respecto a las cantidades ofertadas para todos y cada uno de los meses del año. Es decir, si la Empresa de Energía de Pereira decide adjudicar, por ejemplo, el 50% de lo ofertado en cualesquiera de los meses de alguno de los años, ese mismo porcentaje debe ser adjudicado en el resto de cada uno de los meses de ese año.</t>
  </si>
  <si>
    <t>…..</t>
  </si>
  <si>
    <t>EMPRESA DE ENERGÍA DE PEREIRA S.A. E.S.P.</t>
  </si>
  <si>
    <t>DEMANDA DIARIA ESTIMADA TO [MWh]</t>
  </si>
  <si>
    <t>MES</t>
  </si>
  <si>
    <t>H1</t>
  </si>
  <si>
    <t>H2</t>
  </si>
  <si>
    <t>H3</t>
  </si>
  <si>
    <t>H4</t>
  </si>
  <si>
    <t>H5</t>
  </si>
  <si>
    <t>H6</t>
  </si>
  <si>
    <t>H7</t>
  </si>
  <si>
    <t>H8</t>
  </si>
  <si>
    <t>H9</t>
  </si>
  <si>
    <t>H10</t>
  </si>
  <si>
    <t>H11</t>
  </si>
  <si>
    <t>H12</t>
  </si>
  <si>
    <t>H13</t>
  </si>
  <si>
    <t>H14</t>
  </si>
  <si>
    <t>H15</t>
  </si>
  <si>
    <t>H16</t>
  </si>
  <si>
    <t>H17</t>
  </si>
  <si>
    <t>H18</t>
  </si>
  <si>
    <t>H19</t>
  </si>
  <si>
    <t>H20</t>
  </si>
  <si>
    <t>H21</t>
  </si>
  <si>
    <t>H22</t>
  </si>
  <si>
    <t>H23</t>
  </si>
  <si>
    <t>H24</t>
  </si>
  <si>
    <t>Días</t>
  </si>
  <si>
    <t>HABIL</t>
  </si>
  <si>
    <t>DEMANDA DIARIA ESTIMADA TOTAL [MWh]</t>
  </si>
  <si>
    <t>PRODUCTO No. 2</t>
  </si>
  <si>
    <t xml:space="preserve">TIPO DE DÍA </t>
  </si>
  <si>
    <t>SABADOS</t>
  </si>
  <si>
    <t>DOMINGOS Y FESTIVOS</t>
  </si>
  <si>
    <t>LUNES FESTIVOS</t>
  </si>
  <si>
    <t>DEMANDA DIARIA ESTIMADA DÍA HABIL [MWh]</t>
  </si>
  <si>
    <t>DEMANDA DIARIA ESTIMADA DÍA SABADO [MWh]</t>
  </si>
  <si>
    <t>DEMANDA DIARIA ESTIMADA DÍA DOMINGO Y FESTIVO DIFERENTE A LUNES [MWh]</t>
  </si>
  <si>
    <t>DEMANDA DIARIA ESTIMADA DÍA LUNES FESTIVO [MWh]</t>
  </si>
  <si>
    <t>PRODUCTO No. 3</t>
  </si>
  <si>
    <t>PRODUCTO No. 4</t>
  </si>
  <si>
    <t>PRODUCTO No. 5</t>
  </si>
  <si>
    <t>PRODUCTO No. 6</t>
  </si>
  <si>
    <t>PRODUCTO No. 7</t>
  </si>
  <si>
    <t>Las tarifas ofertadas están referidas en pesos constantes de septiembre de 2025 provisional</t>
  </si>
  <si>
    <t>(3) La cantidad de energía es equivalente a un porcentaje de las cantidades de energía requerida por la Empresa de Energía de Pereira S.A. ESP. (para todo el año/para cada mes), de acuerdo con el Anexo No.1 Ofertas y Cantidades PRODUCTO No. 1 de los Pliegos Definitivos, que se aplicarán para todas las 24 horas del día de la curva establecida en dicho Anexo, presentando una tarifa para cada año sin ningún tipo de discriminación por mes, ni tipo de carga ni tipo de día.</t>
  </si>
  <si>
    <t>(3) La cantidad de energía es equivalente a un porcentaje de las cantidades de energía requerida por la Empresa de Energía de Pereira S.A. ESP. (para todo el año/para cada mes), de acuerdo con el Anexo No.1 Ofertas y Cantidades PRODUCTO No. 2 de los Pliegos Definitivos, que se aplicarán para todas las 24 horas del día de la curva establecida en dicho Anexo, presentando una tarifa para cada año sin ningún tipo de discriminación por mes, ni tipo de carga ni tipo de día.</t>
  </si>
  <si>
    <t>(3) La cantidad de energía es equivalente a un porcentaje de las cantidades de energía requerida por la Empresa de Energía de Pereira S.A. ESP. (para todo el año/para cada mes), de acuerdo con el Anexo No.1 Ofertas y Cantidades PRODUCTO No. 3 de los Pliegos Definitivos, que se aplicarán para todas las 24 horas del día de la curva establecida en dicho Anexo, presentando una tarifa para cada año sin ningún tipo de discriminación por mes, ni tipo de carga ni tipo de día.</t>
  </si>
  <si>
    <t>(3) La cantidad de energía es equivalente a un porcentaje de las cantidades de energía requerida por la Empresa de Energía de Pereira S.A. ESP. (para todo el año/para cada mes), de acuerdo con el Anexo No.1 Ofertas y Cantidades PRODUCTO No. 4 de los Pliegos Definitivos, que se aplicarán para todas las 24 horas del día de la curva establecida en dicho Anexo, presentando una tarifa para cada año sin ningún tipo de discriminación por mes, ni tipo de carga ni tipo de día.</t>
  </si>
  <si>
    <t>(3) La cantidad de energía es equivalente a un porcentaje de las cantidades de energía requerida por la Empresa de Energía de Pereira S.A. ESP. (para todo el año/para cada mes), de acuerdo con el Anexo No.1 Ofertas y Cantidades PRODUCTO No. 5 de los Pliegos Definitivos, que se aplicarán para todas las 24 horas del día de la curva establecida en dicho Anexo, presentando una tarifa para cada año sin ningún tipo de discriminación por mes, ni tipo de carga ni tipo de día.</t>
  </si>
  <si>
    <t>(3) La cantidad de energía es equivalente a un porcentaje de las cantidades de energía requerida por la Empresa de Energía de Pereira S.A. ESP. (para todo el año/para cada mes), de acuerdo con el Anexo No.1 Ofertas y Cantidades PRODUCTO No. 6 de los Pliegos Definitivos, que se aplicarán para todas las 24 horas del día de la curva establecida en dicho Anexo, presentando una tarifa para cada año sin ningún tipo de discriminación por mes, ni tipo de carga ni tipo de día.</t>
  </si>
  <si>
    <t>(3) La cantidad de energía es equivalente a un porcentaje de las cantidades de energía requerida por la Empresa de Energía de Pereira S.A. ESP. (para todo el año/para cada mes), de acuerdo con el Anexo No.1 Ofertas y Cantidades PRODUCTO No. 7 de los Pliegos Definitivos, que se aplicarán para todas las 24 horas del día de la curva establecida en dicho Anexo, presentando una tarifa para cada año sin ningún tipo de discriminación por mes, ni tipo de carga ni tipo de día.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</si>
</sst>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 #,##0_-;_-* &quot;-&quot;_-;_-@_-"/>
    <numFmt numFmtId="164" formatCode="_-* #,##0_-;\-* #,##0_-;_-* &quot;-&quot;??_-;_-@_-"/>
    <numFmt numFmtId="165" formatCode="0.000%"/>
    <numFmt numFmtId="166" formatCode="_-* #,##0.00_-;\-* #,##0.00_-;_-* &quot;-&quot;_-;_-@_-"/>
    <numFmt numFmtId="167" formatCode="_ * #,##0_ ;_ * \-#,##0_ ;_ * &quot;-&quot;??_ ;_ @_ "/>
    <numFmt numFmtId="168" formatCode="_ * #,##0.00_ ;_ * \-#,##0.00_ ;_ * &quot;-&quot;?_ ;_ @_ "/>
    <numFmt numFmtId="169" formatCode="_ * #,##0_ ;_ * \-#,##0_ ;_ * &quot;-&quot;?_ ;_ @_ "/>
    <numFmt numFmtId="170" formatCode="_ * #,##0.0000_ ;_ * \-#,##0.0000_ ;_ * &quot;-&quot;?_ ;_ @_ "/>
  </numFmts>
  <fonts count="38" x14ac:knownFonts="1">
    <font>
      <sz val="11"/>
      <color theme="1"/>
      <name val="Aptos Narrow"/>
      <family val="2"/>
      <scheme val="minor"/>
    </font>
    <font>
      <sz val="11"/>
      <color theme="1"/>
      <name val="Aptos Narrow"/>
      <family val="2"/>
      <scheme val="minor"/>
    </font>
    <font>
      <sz val="10"/>
      <name val="Arial"/>
      <family val="2"/>
    </font>
    <font>
      <sz val="20"/>
      <name val="Verdana"/>
      <family val="2"/>
    </font>
    <font>
      <b/>
      <i/>
      <sz val="20"/>
      <name val="Verdana"/>
      <family val="2"/>
    </font>
    <font>
      <b/>
      <sz val="18"/>
      <color theme="1"/>
      <name val="Verdana"/>
      <family val="2"/>
    </font>
    <font>
      <b/>
      <sz val="18"/>
      <name val="Verdana"/>
      <family val="2"/>
    </font>
    <font>
      <b/>
      <i/>
      <sz val="20"/>
      <color theme="1"/>
      <name val="Verdana"/>
      <family val="2"/>
    </font>
    <font>
      <i/>
      <sz val="20"/>
      <name val="Verdana"/>
      <family val="2"/>
    </font>
    <font>
      <sz val="20"/>
      <color theme="1"/>
      <name val="Verdana"/>
      <family val="2"/>
    </font>
    <font>
      <b/>
      <sz val="16"/>
      <name val="Verdana"/>
      <family val="2"/>
    </font>
    <font>
      <b/>
      <sz val="16"/>
      <color rgb="FFFF0000"/>
      <name val="Verdana"/>
      <family val="2"/>
    </font>
    <font>
      <b/>
      <sz val="20"/>
      <name val="Verdana"/>
      <family val="2"/>
    </font>
    <font>
      <b/>
      <sz val="16"/>
      <color theme="1"/>
      <name val="Verdana"/>
      <family val="2"/>
    </font>
    <font>
      <b/>
      <sz val="16"/>
      <color rgb="FF000000"/>
      <name val="Verdana"/>
      <family val="2"/>
    </font>
    <font>
      <sz val="14"/>
      <color theme="0"/>
      <name val="Verdana"/>
      <family val="2"/>
    </font>
    <font>
      <sz val="16"/>
      <name val="Verdana"/>
      <family val="2"/>
    </font>
    <font>
      <sz val="12"/>
      <color theme="0"/>
      <name val="Verdana"/>
      <family val="2"/>
    </font>
    <font>
      <b/>
      <u/>
      <sz val="16"/>
      <name val="Verdana"/>
      <family val="2"/>
    </font>
    <font>
      <sz val="16"/>
      <color theme="1"/>
      <name val="Verdana"/>
      <family val="2"/>
    </font>
    <font>
      <sz val="12"/>
      <name val="Arial"/>
      <family val="2"/>
    </font>
    <font>
      <sz val="10"/>
      <color theme="0"/>
      <name val="Arial"/>
      <family val="2"/>
    </font>
    <font>
      <b/>
      <sz val="18"/>
      <name val="Arial"/>
      <family val="2"/>
    </font>
    <font>
      <b/>
      <sz val="16"/>
      <color theme="1"/>
      <name val="Arial"/>
      <family val="2"/>
    </font>
    <font>
      <b/>
      <sz val="10"/>
      <name val="Arial"/>
      <family val="2"/>
    </font>
    <font>
      <sz val="12"/>
      <color rgb="FFFF0000"/>
      <name val="Arial"/>
      <family val="2"/>
    </font>
    <font>
      <b/>
      <sz val="12"/>
      <color rgb="FFFF0000"/>
      <name val="Arial"/>
      <family val="2"/>
    </font>
    <font>
      <sz val="12"/>
      <color indexed="9"/>
      <name val="Arial"/>
      <family val="2"/>
    </font>
    <font>
      <sz val="10"/>
      <color indexed="9"/>
      <name val="Arial"/>
      <family val="2"/>
    </font>
    <font>
      <b/>
      <i/>
      <sz val="12"/>
      <color indexed="9"/>
      <name val="Arial"/>
      <family val="2"/>
    </font>
    <font>
      <b/>
      <sz val="12"/>
      <name val="Arial"/>
      <family val="2"/>
    </font>
    <font>
      <sz val="11"/>
      <name val="Arial"/>
      <family val="2"/>
    </font>
    <font>
      <b/>
      <sz val="11"/>
      <color indexed="10"/>
      <name val="Arial"/>
      <family val="2"/>
    </font>
    <font>
      <b/>
      <sz val="11"/>
      <name val="Arial"/>
      <family val="2"/>
    </font>
    <font>
      <sz val="10"/>
      <color rgb="FFFF0000"/>
      <name val="Arial"/>
      <family val="2"/>
    </font>
    <font>
      <b/>
      <sz val="10"/>
      <color indexed="9"/>
      <name val="Arial"/>
      <family val="2"/>
    </font>
    <font>
      <sz val="12"/>
      <color theme="0"/>
      <name val="Arial"/>
      <family val="2"/>
    </font>
    <font>
      <b/>
      <sz val="11"/>
      <color theme="0"/>
      <name val="Arial"/>
      <family val="2"/>
    </font>
  </fonts>
  <fills count="7">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FFFF"/>
        <bgColor indexed="64"/>
      </patternFill>
    </fill>
    <fill>
      <patternFill patternType="solid">
        <fgColor rgb="FFE66E23"/>
        <bgColor indexed="64"/>
      </patternFill>
    </fill>
    <fill>
      <patternFill patternType="solid">
        <fgColor rgb="FF73A037"/>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s>
  <cellStyleXfs count="9">
    <xf numFmtId="0" fontId="0" fillId="0" borderId="0"/>
    <xf numFmtId="9" fontId="1" fillId="0" borderId="0" applyFont="0" applyFill="0" applyBorder="0" applyAlignment="0" applyProtection="0"/>
    <xf numFmtId="0" fontId="2" fillId="0" borderId="0"/>
    <xf numFmtId="0" fontId="1" fillId="0" borderId="0"/>
    <xf numFmtId="0" fontId="1" fillId="0" borderId="0"/>
    <xf numFmtId="41" fontId="2" fillId="0" borderId="0" applyFont="0" applyFill="0" applyBorder="0" applyAlignment="0" applyProtection="0"/>
    <xf numFmtId="9" fontId="1" fillId="0" borderId="0" applyFont="0" applyFill="0" applyBorder="0" applyAlignment="0" applyProtection="0"/>
    <xf numFmtId="41" fontId="1" fillId="0" borderId="0" applyFont="0" applyFill="0" applyBorder="0" applyAlignment="0" applyProtection="0"/>
    <xf numFmtId="0" fontId="2" fillId="0" borderId="0" applyFont="0" applyFill="0" applyBorder="0" applyAlignment="0" applyProtection="0"/>
  </cellStyleXfs>
  <cellXfs count="121">
    <xf numFmtId="0" fontId="0" fillId="0" borderId="0" xfId="0"/>
    <xf numFmtId="0" fontId="3" fillId="2" borderId="0" xfId="2" applyFont="1" applyFill="1"/>
    <xf numFmtId="0" fontId="4" fillId="2" borderId="0" xfId="2" applyFont="1" applyFill="1" applyAlignment="1">
      <alignment vertical="center"/>
    </xf>
    <xf numFmtId="0" fontId="7" fillId="2" borderId="0" xfId="2" applyFont="1" applyFill="1" applyAlignment="1">
      <alignment vertical="center"/>
    </xf>
    <xf numFmtId="0" fontId="8" fillId="2" borderId="0" xfId="2" applyFont="1" applyFill="1"/>
    <xf numFmtId="0" fontId="4" fillId="2" borderId="0" xfId="2" applyFont="1" applyFill="1" applyAlignment="1">
      <alignment horizontal="center" vertical="center"/>
    </xf>
    <xf numFmtId="0" fontId="9" fillId="3" borderId="0" xfId="4" applyFont="1" applyFill="1" applyAlignment="1">
      <alignment horizontal="center" vertical="center"/>
    </xf>
    <xf numFmtId="0" fontId="4" fillId="3" borderId="0" xfId="2" applyFont="1" applyFill="1" applyAlignment="1">
      <alignment vertical="center"/>
    </xf>
    <xf numFmtId="0" fontId="4" fillId="3" borderId="0" xfId="2" applyFont="1" applyFill="1" applyAlignment="1">
      <alignment horizontal="center" vertical="center"/>
    </xf>
    <xf numFmtId="0" fontId="8" fillId="2" borderId="0" xfId="2" applyFont="1" applyFill="1" applyAlignment="1">
      <alignment horizontal="center" vertical="center"/>
    </xf>
    <xf numFmtId="0" fontId="10" fillId="2" borderId="0" xfId="2" applyFont="1" applyFill="1"/>
    <xf numFmtId="0" fontId="12" fillId="2" borderId="0" xfId="2" applyFont="1" applyFill="1" applyAlignment="1">
      <alignment horizontal="center" vertical="center"/>
    </xf>
    <xf numFmtId="0" fontId="3" fillId="2" borderId="0" xfId="2" applyFont="1" applyFill="1" applyAlignment="1">
      <alignment horizontal="center" vertical="center"/>
    </xf>
    <xf numFmtId="0" fontId="13" fillId="2" borderId="0" xfId="2" applyFont="1" applyFill="1"/>
    <xf numFmtId="0" fontId="7" fillId="2" borderId="0" xfId="2" applyFont="1" applyFill="1" applyAlignment="1">
      <alignment horizontal="center" vertical="center"/>
    </xf>
    <xf numFmtId="0" fontId="9" fillId="2" borderId="0" xfId="2" applyFont="1" applyFill="1"/>
    <xf numFmtId="0" fontId="12" fillId="2" borderId="0" xfId="2" applyFont="1" applyFill="1"/>
    <xf numFmtId="0" fontId="13" fillId="4" borderId="1" xfId="3" applyFont="1" applyFill="1" applyBorder="1" applyAlignment="1">
      <alignment vertical="center" wrapText="1"/>
    </xf>
    <xf numFmtId="0" fontId="10" fillId="4" borderId="1" xfId="3" applyFont="1" applyFill="1" applyBorder="1" applyAlignment="1">
      <alignment horizontal="center" vertical="center" wrapText="1"/>
    </xf>
    <xf numFmtId="0" fontId="14" fillId="4" borderId="1" xfId="3" applyFont="1" applyFill="1" applyBorder="1" applyAlignment="1">
      <alignment horizontal="center" vertical="center" wrapText="1"/>
    </xf>
    <xf numFmtId="164" fontId="15" fillId="2" borderId="0" xfId="2" applyNumberFormat="1" applyFont="1" applyFill="1"/>
    <xf numFmtId="17" fontId="10" fillId="0" borderId="1" xfId="3" applyNumberFormat="1" applyFont="1" applyBorder="1" applyAlignment="1">
      <alignment horizontal="center" vertical="center" wrapText="1"/>
    </xf>
    <xf numFmtId="3" fontId="16" fillId="0" borderId="1" xfId="3" applyNumberFormat="1" applyFont="1" applyBorder="1" applyAlignment="1">
      <alignment horizontal="center" vertical="center" wrapText="1"/>
    </xf>
    <xf numFmtId="41" fontId="16" fillId="0" borderId="1" xfId="5" applyFont="1" applyFill="1" applyBorder="1" applyAlignment="1">
      <alignment horizontal="center" vertical="center" wrapText="1"/>
    </xf>
    <xf numFmtId="165" fontId="16" fillId="0" borderId="1" xfId="6" applyNumberFormat="1" applyFont="1" applyFill="1" applyBorder="1" applyAlignment="1">
      <alignment horizontal="center" vertical="center" wrapText="1"/>
    </xf>
    <xf numFmtId="166" fontId="16" fillId="0" borderId="2" xfId="5" applyNumberFormat="1" applyFont="1" applyFill="1" applyBorder="1" applyAlignment="1">
      <alignment horizontal="center" vertical="center" wrapText="1"/>
    </xf>
    <xf numFmtId="10" fontId="17" fillId="2" borderId="0" xfId="6" applyNumberFormat="1" applyFont="1" applyFill="1"/>
    <xf numFmtId="41" fontId="3" fillId="2" borderId="0" xfId="7" applyFont="1" applyFill="1"/>
    <xf numFmtId="166" fontId="3" fillId="2" borderId="0" xfId="7" applyNumberFormat="1" applyFont="1" applyFill="1"/>
    <xf numFmtId="3" fontId="3" fillId="2" borderId="0" xfId="2" applyNumberFormat="1" applyFont="1" applyFill="1"/>
    <xf numFmtId="0" fontId="13" fillId="4" borderId="1" xfId="3" applyFont="1" applyFill="1" applyBorder="1" applyAlignment="1">
      <alignment horizontal="center" vertical="center"/>
    </xf>
    <xf numFmtId="3" fontId="10" fillId="4" borderId="1" xfId="3" applyNumberFormat="1" applyFont="1" applyFill="1" applyBorder="1" applyAlignment="1">
      <alignment horizontal="center" vertical="center" wrapText="1"/>
    </xf>
    <xf numFmtId="165" fontId="10" fillId="4" borderId="1" xfId="6" applyNumberFormat="1" applyFont="1" applyFill="1" applyBorder="1" applyAlignment="1">
      <alignment horizontal="center" vertical="center" wrapText="1"/>
    </xf>
    <xf numFmtId="2" fontId="10" fillId="4" borderId="1" xfId="3" applyNumberFormat="1" applyFont="1" applyFill="1" applyBorder="1" applyAlignment="1">
      <alignment horizontal="center" vertical="center" wrapText="1"/>
    </xf>
    <xf numFmtId="17" fontId="12" fillId="2" borderId="0" xfId="2" applyNumberFormat="1" applyFont="1" applyFill="1" applyAlignment="1">
      <alignment horizontal="left" vertical="center" wrapText="1"/>
    </xf>
    <xf numFmtId="167" fontId="3" fillId="2" borderId="0" xfId="8" applyNumberFormat="1" applyFont="1" applyFill="1" applyBorder="1" applyAlignment="1">
      <alignment horizontal="center" vertical="center" wrapText="1"/>
    </xf>
    <xf numFmtId="0" fontId="18" fillId="2" borderId="0" xfId="2" applyFont="1" applyFill="1"/>
    <xf numFmtId="0" fontId="16" fillId="2" borderId="0" xfId="2" applyFont="1" applyFill="1"/>
    <xf numFmtId="0" fontId="16" fillId="3" borderId="0" xfId="2" applyFont="1" applyFill="1" applyAlignment="1">
      <alignment horizontal="justify" vertical="justify" wrapText="1"/>
    </xf>
    <xf numFmtId="0" fontId="2" fillId="0" borderId="0" xfId="2"/>
    <xf numFmtId="0" fontId="20" fillId="0" borderId="0" xfId="2" applyFont="1" applyAlignment="1">
      <alignment horizontal="center"/>
    </xf>
    <xf numFmtId="168" fontId="2" fillId="0" borderId="0" xfId="2" applyNumberFormat="1" applyAlignment="1">
      <alignment horizontal="center"/>
    </xf>
    <xf numFmtId="0" fontId="21" fillId="0" borderId="0" xfId="2" applyFont="1"/>
    <xf numFmtId="0" fontId="22" fillId="0" borderId="6" xfId="2" applyFont="1" applyBorder="1"/>
    <xf numFmtId="0" fontId="23" fillId="0" borderId="7" xfId="2" applyFont="1" applyBorder="1"/>
    <xf numFmtId="0" fontId="24" fillId="5" borderId="8" xfId="2" applyFont="1" applyFill="1" applyBorder="1"/>
    <xf numFmtId="0" fontId="25" fillId="0" borderId="0" xfId="0" applyFont="1" applyAlignment="1">
      <alignment horizontal="center"/>
    </xf>
    <xf numFmtId="0" fontId="26" fillId="0" borderId="0" xfId="0" applyFont="1" applyAlignment="1">
      <alignment horizontal="center"/>
    </xf>
    <xf numFmtId="0" fontId="27" fillId="0" borderId="0" xfId="0" applyFont="1" applyAlignment="1">
      <alignment horizontal="center"/>
    </xf>
    <xf numFmtId="168" fontId="0" fillId="0" borderId="0" xfId="0" applyNumberFormat="1" applyAlignment="1">
      <alignment horizontal="center"/>
    </xf>
    <xf numFmtId="167" fontId="0" fillId="0" borderId="0" xfId="0" applyNumberFormat="1"/>
    <xf numFmtId="0" fontId="20" fillId="0" borderId="0" xfId="0" applyFont="1" applyAlignment="1">
      <alignment horizontal="center"/>
    </xf>
    <xf numFmtId="0" fontId="28" fillId="6" borderId="9" xfId="0" applyFont="1" applyFill="1" applyBorder="1"/>
    <xf numFmtId="0" fontId="29" fillId="6" borderId="10" xfId="0" applyFont="1" applyFill="1" applyBorder="1" applyAlignment="1">
      <alignment horizontal="center"/>
    </xf>
    <xf numFmtId="0" fontId="29" fillId="6" borderId="10" xfId="3" applyFont="1" applyFill="1" applyBorder="1" applyAlignment="1">
      <alignment horizontal="center"/>
    </xf>
    <xf numFmtId="0" fontId="28" fillId="6" borderId="11" xfId="0" applyFont="1" applyFill="1" applyBorder="1"/>
    <xf numFmtId="17" fontId="30" fillId="0" borderId="12" xfId="0" applyNumberFormat="1" applyFont="1" applyBorder="1" applyAlignment="1">
      <alignment horizontal="left"/>
    </xf>
    <xf numFmtId="168" fontId="31" fillId="0" borderId="13" xfId="0" quotePrefix="1" applyNumberFormat="1" applyFont="1" applyBorder="1" applyAlignment="1">
      <alignment horizontal="center"/>
    </xf>
    <xf numFmtId="169" fontId="32" fillId="0" borderId="14" xfId="0" applyNumberFormat="1" applyFont="1" applyBorder="1" applyAlignment="1">
      <alignment horizontal="center"/>
    </xf>
    <xf numFmtId="169" fontId="33" fillId="0" borderId="13" xfId="0" quotePrefix="1" applyNumberFormat="1" applyFont="1" applyBorder="1" applyAlignment="1">
      <alignment horizontal="left"/>
    </xf>
    <xf numFmtId="167" fontId="20" fillId="0" borderId="15" xfId="0" applyNumberFormat="1" applyFont="1" applyBorder="1"/>
    <xf numFmtId="17" fontId="30" fillId="0" borderId="16" xfId="0" applyNumberFormat="1" applyFont="1" applyBorder="1" applyAlignment="1">
      <alignment horizontal="left"/>
    </xf>
    <xf numFmtId="168" fontId="31" fillId="0" borderId="1" xfId="0" quotePrefix="1" applyNumberFormat="1" applyFont="1" applyBorder="1" applyAlignment="1">
      <alignment horizontal="center"/>
    </xf>
    <xf numFmtId="169" fontId="32" fillId="0" borderId="17" xfId="0" applyNumberFormat="1" applyFont="1" applyBorder="1" applyAlignment="1">
      <alignment horizontal="center"/>
    </xf>
    <xf numFmtId="169" fontId="33" fillId="0" borderId="1" xfId="0" quotePrefix="1" applyNumberFormat="1" applyFont="1" applyBorder="1" applyAlignment="1">
      <alignment horizontal="left"/>
    </xf>
    <xf numFmtId="167" fontId="20" fillId="0" borderId="18" xfId="0" applyNumberFormat="1" applyFont="1" applyBorder="1"/>
    <xf numFmtId="17" fontId="30" fillId="0" borderId="19" xfId="0" applyNumberFormat="1" applyFont="1" applyBorder="1" applyAlignment="1">
      <alignment horizontal="left"/>
    </xf>
    <xf numFmtId="168" fontId="31" fillId="0" borderId="20" xfId="0" quotePrefix="1" applyNumberFormat="1" applyFont="1" applyBorder="1" applyAlignment="1">
      <alignment horizontal="center"/>
    </xf>
    <xf numFmtId="169" fontId="32" fillId="0" borderId="21" xfId="0" applyNumberFormat="1" applyFont="1" applyBorder="1" applyAlignment="1">
      <alignment horizontal="center"/>
    </xf>
    <xf numFmtId="169" fontId="33" fillId="0" borderId="20" xfId="0" quotePrefix="1" applyNumberFormat="1" applyFont="1" applyBorder="1" applyAlignment="1">
      <alignment horizontal="left"/>
    </xf>
    <xf numFmtId="167" fontId="20" fillId="0" borderId="22" xfId="0" applyNumberFormat="1" applyFont="1" applyBorder="1"/>
    <xf numFmtId="170" fontId="20" fillId="0" borderId="0" xfId="0" applyNumberFormat="1" applyFont="1" applyAlignment="1">
      <alignment horizontal="center"/>
    </xf>
    <xf numFmtId="0" fontId="1" fillId="0" borderId="0" xfId="3"/>
    <xf numFmtId="0" fontId="30" fillId="0" borderId="0" xfId="0" applyFont="1" applyAlignment="1">
      <alignment horizontal="center"/>
    </xf>
    <xf numFmtId="0" fontId="28" fillId="6" borderId="23" xfId="0" applyFont="1" applyFill="1" applyBorder="1"/>
    <xf numFmtId="0" fontId="29" fillId="6" borderId="24" xfId="0" applyFont="1" applyFill="1" applyBorder="1" applyAlignment="1">
      <alignment horizontal="center"/>
    </xf>
    <xf numFmtId="10" fontId="21" fillId="0" borderId="0" xfId="1" applyNumberFormat="1" applyFont="1"/>
    <xf numFmtId="169" fontId="31" fillId="0" borderId="13" xfId="0" quotePrefix="1" applyNumberFormat="1" applyFont="1" applyBorder="1" applyAlignment="1">
      <alignment horizontal="center"/>
    </xf>
    <xf numFmtId="169" fontId="32" fillId="0" borderId="13" xfId="0" applyNumberFormat="1" applyFont="1" applyBorder="1" applyAlignment="1">
      <alignment horizontal="center"/>
    </xf>
    <xf numFmtId="169" fontId="31" fillId="0" borderId="1" xfId="0" quotePrefix="1" applyNumberFormat="1" applyFont="1" applyBorder="1" applyAlignment="1">
      <alignment horizontal="center"/>
    </xf>
    <xf numFmtId="169" fontId="32" fillId="0" borderId="1" xfId="0" applyNumberFormat="1" applyFont="1" applyBorder="1" applyAlignment="1">
      <alignment horizontal="center"/>
    </xf>
    <xf numFmtId="169" fontId="31" fillId="0" borderId="20" xfId="0" quotePrefix="1" applyNumberFormat="1" applyFont="1" applyBorder="1" applyAlignment="1">
      <alignment horizontal="center"/>
    </xf>
    <xf numFmtId="169" fontId="32" fillId="0" borderId="20" xfId="0" applyNumberFormat="1" applyFont="1" applyBorder="1" applyAlignment="1">
      <alignment horizontal="center"/>
    </xf>
    <xf numFmtId="0" fontId="20" fillId="0" borderId="0" xfId="2" applyFont="1"/>
    <xf numFmtId="168" fontId="2" fillId="0" borderId="0" xfId="2" applyNumberFormat="1"/>
    <xf numFmtId="0" fontId="34" fillId="0" borderId="0" xfId="2" applyFont="1"/>
    <xf numFmtId="0" fontId="25" fillId="0" borderId="0" xfId="0" applyFont="1"/>
    <xf numFmtId="0" fontId="26" fillId="0" borderId="0" xfId="0" applyFont="1"/>
    <xf numFmtId="0" fontId="27" fillId="0" borderId="0" xfId="0" applyFont="1"/>
    <xf numFmtId="168" fontId="0" fillId="0" borderId="0" xfId="0" applyNumberFormat="1"/>
    <xf numFmtId="0" fontId="20" fillId="0" borderId="0" xfId="0" applyFont="1"/>
    <xf numFmtId="0" fontId="35" fillId="6" borderId="11" xfId="0" applyFont="1" applyFill="1" applyBorder="1" applyAlignment="1">
      <alignment horizontal="center"/>
    </xf>
    <xf numFmtId="168" fontId="31" fillId="0" borderId="1" xfId="0" quotePrefix="1" applyNumberFormat="1" applyFont="1" applyBorder="1" applyAlignment="1">
      <alignment horizontal="left"/>
    </xf>
    <xf numFmtId="169" fontId="32" fillId="0" borderId="14" xfId="0" applyNumberFormat="1" applyFont="1" applyBorder="1" applyAlignment="1">
      <alignment horizontal="left"/>
    </xf>
    <xf numFmtId="169" fontId="32" fillId="0" borderId="17" xfId="0" applyNumberFormat="1" applyFont="1" applyBorder="1" applyAlignment="1">
      <alignment horizontal="left"/>
    </xf>
    <xf numFmtId="170" fontId="20" fillId="0" borderId="0" xfId="0" applyNumberFormat="1" applyFont="1"/>
    <xf numFmtId="0" fontId="30" fillId="0" borderId="0" xfId="0" applyFont="1"/>
    <xf numFmtId="169" fontId="31" fillId="0" borderId="13" xfId="0" quotePrefix="1" applyNumberFormat="1" applyFont="1" applyBorder="1" applyAlignment="1">
      <alignment horizontal="left"/>
    </xf>
    <xf numFmtId="169" fontId="2" fillId="0" borderId="0" xfId="2" applyNumberFormat="1"/>
    <xf numFmtId="169" fontId="32" fillId="0" borderId="21" xfId="0" applyNumberFormat="1" applyFont="1" applyBorder="1" applyAlignment="1">
      <alignment horizontal="left"/>
    </xf>
    <xf numFmtId="169" fontId="31" fillId="0" borderId="1" xfId="0" quotePrefix="1" applyNumberFormat="1" applyFont="1" applyBorder="1" applyAlignment="1">
      <alignment horizontal="left"/>
    </xf>
    <xf numFmtId="169" fontId="31" fillId="0" borderId="20" xfId="0" quotePrefix="1" applyNumberFormat="1" applyFont="1" applyBorder="1" applyAlignment="1">
      <alignment horizontal="left"/>
    </xf>
    <xf numFmtId="168" fontId="21" fillId="0" borderId="0" xfId="2" applyNumberFormat="1" applyFont="1"/>
    <xf numFmtId="0" fontId="36" fillId="3" borderId="0" xfId="2" applyFont="1" applyFill="1"/>
    <xf numFmtId="169" fontId="21" fillId="3" borderId="0" xfId="2" applyNumberFormat="1" applyFont="1" applyFill="1"/>
    <xf numFmtId="0" fontId="21" fillId="3" borderId="0" xfId="2" applyFont="1" applyFill="1"/>
    <xf numFmtId="168" fontId="21" fillId="3" borderId="0" xfId="2" applyNumberFormat="1" applyFont="1" applyFill="1"/>
    <xf numFmtId="169" fontId="37" fillId="3" borderId="0" xfId="0" applyNumberFormat="1" applyFont="1" applyFill="1" applyAlignment="1">
      <alignment horizontal="left"/>
    </xf>
    <xf numFmtId="169" fontId="37" fillId="3" borderId="0" xfId="0" quotePrefix="1" applyNumberFormat="1" applyFont="1" applyFill="1" applyAlignment="1">
      <alignment horizontal="left"/>
    </xf>
    <xf numFmtId="0" fontId="29" fillId="6" borderId="24" xfId="3" applyFont="1" applyFill="1" applyBorder="1" applyAlignment="1">
      <alignment horizontal="center"/>
    </xf>
    <xf numFmtId="3" fontId="21" fillId="0" borderId="0" xfId="2" applyNumberFormat="1" applyFont="1"/>
    <xf numFmtId="10" fontId="34" fillId="0" borderId="0" xfId="1" applyNumberFormat="1" applyFont="1"/>
    <xf numFmtId="0" fontId="19" fillId="0" borderId="5" xfId="2" applyFont="1" applyBorder="1" applyAlignment="1">
      <alignment horizontal="justify" vertical="justify" wrapText="1"/>
    </xf>
    <xf numFmtId="0" fontId="19" fillId="2" borderId="5" xfId="2" applyFont="1" applyFill="1" applyBorder="1" applyAlignment="1">
      <alignment horizontal="justify" vertical="justify" wrapText="1"/>
    </xf>
    <xf numFmtId="0" fontId="5" fillId="3" borderId="0" xfId="3" applyFont="1" applyFill="1" applyAlignment="1">
      <alignment horizontal="center" vertical="center"/>
    </xf>
    <xf numFmtId="0" fontId="6" fillId="3" borderId="0" xfId="3" applyFont="1" applyFill="1" applyAlignment="1">
      <alignment horizontal="center" vertical="center" wrapText="1"/>
    </xf>
    <xf numFmtId="0" fontId="5" fillId="0" borderId="0" xfId="3" applyFont="1" applyAlignment="1">
      <alignment horizontal="center" vertical="center"/>
    </xf>
    <xf numFmtId="0" fontId="13" fillId="0" borderId="1" xfId="2" applyFont="1" applyBorder="1" applyAlignment="1">
      <alignment horizontal="center"/>
    </xf>
    <xf numFmtId="166" fontId="16" fillId="0" borderId="2" xfId="5" applyNumberFormat="1" applyFont="1" applyFill="1" applyBorder="1" applyAlignment="1">
      <alignment horizontal="center" vertical="center" wrapText="1"/>
    </xf>
    <xf numFmtId="166" fontId="16" fillId="0" borderId="3" xfId="5" applyNumberFormat="1" applyFont="1" applyFill="1" applyBorder="1" applyAlignment="1">
      <alignment horizontal="center" vertical="center" wrapText="1"/>
    </xf>
    <xf numFmtId="166" fontId="16" fillId="0" borderId="4" xfId="5" applyNumberFormat="1" applyFont="1" applyFill="1" applyBorder="1" applyAlignment="1">
      <alignment horizontal="center" vertical="center" wrapText="1"/>
    </xf>
  </cellXfs>
  <cellStyles count="9">
    <cellStyle name="Millares [0] 2" xfId="5" xr:uid="{97EAADD0-915E-478A-A236-E4CCF36269A3}"/>
    <cellStyle name="Millares [0] 2 2" xfId="7" xr:uid="{1FC331D4-F1CF-4DB3-960B-85613BE86291}"/>
    <cellStyle name="Millares 3" xfId="8" xr:uid="{82BE088D-C788-4FD4-BE6F-4CA2850740CC}"/>
    <cellStyle name="Normal" xfId="0" builtinId="0"/>
    <cellStyle name="Normal 2" xfId="3" xr:uid="{0188ED7B-1B1A-4C8E-B74F-EB1B48958215}"/>
    <cellStyle name="Normal 2 2" xfId="4" xr:uid="{BC333105-330B-4B5D-AE38-823348D2B9D0}"/>
    <cellStyle name="Normal 3" xfId="2" xr:uid="{01511AE9-46DC-4FB9-8A23-DD0E41EA9BC7}"/>
    <cellStyle name="Porcentaje" xfId="1" builtinId="5"/>
    <cellStyle name="Porcentaje 2" xfId="6" xr:uid="{F315EBDA-54C7-418B-BF21-0951F178F55A}"/>
  </cellStyles>
  <dxfs count="2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6977</xdr:colOff>
      <xdr:row>0</xdr:row>
      <xdr:rowOff>2054679</xdr:rowOff>
    </xdr:to>
    <xdr:pic>
      <xdr:nvPicPr>
        <xdr:cNvPr id="2" name="Imagen 14">
          <a:extLst>
            <a:ext uri="{FF2B5EF4-FFF2-40B4-BE49-F238E27FC236}">
              <a16:creationId xmlns:a16="http://schemas.microsoft.com/office/drawing/2014/main" id="{A43EE2BB-28E6-43C8-A528-337C29A9BC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16466177" cy="2054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64608</xdr:colOff>
      <xdr:row>0</xdr:row>
      <xdr:rowOff>1141897</xdr:rowOff>
    </xdr:to>
    <xdr:pic>
      <xdr:nvPicPr>
        <xdr:cNvPr id="2" name="Imagen 14">
          <a:extLst>
            <a:ext uri="{FF2B5EF4-FFF2-40B4-BE49-F238E27FC236}">
              <a16:creationId xmlns:a16="http://schemas.microsoft.com/office/drawing/2014/main" id="{9A7D1CF9-039E-4E64-9EEA-03D0B50510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8275158" cy="11418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6977</xdr:colOff>
      <xdr:row>0</xdr:row>
      <xdr:rowOff>2054679</xdr:rowOff>
    </xdr:to>
    <xdr:pic>
      <xdr:nvPicPr>
        <xdr:cNvPr id="2" name="Imagen 14">
          <a:extLst>
            <a:ext uri="{FF2B5EF4-FFF2-40B4-BE49-F238E27FC236}">
              <a16:creationId xmlns:a16="http://schemas.microsoft.com/office/drawing/2014/main" id="{E7A17C75-2155-4CEE-991C-8DC17FE68D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16466177" cy="2054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64608</xdr:colOff>
      <xdr:row>0</xdr:row>
      <xdr:rowOff>1141897</xdr:rowOff>
    </xdr:to>
    <xdr:pic>
      <xdr:nvPicPr>
        <xdr:cNvPr id="2" name="Imagen 14">
          <a:extLst>
            <a:ext uri="{FF2B5EF4-FFF2-40B4-BE49-F238E27FC236}">
              <a16:creationId xmlns:a16="http://schemas.microsoft.com/office/drawing/2014/main" id="{366D1D04-692E-4081-B915-2FB7C1786B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8218008" cy="11418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64608</xdr:colOff>
      <xdr:row>0</xdr:row>
      <xdr:rowOff>1141897</xdr:rowOff>
    </xdr:to>
    <xdr:pic>
      <xdr:nvPicPr>
        <xdr:cNvPr id="2" name="Imagen 14">
          <a:extLst>
            <a:ext uri="{FF2B5EF4-FFF2-40B4-BE49-F238E27FC236}">
              <a16:creationId xmlns:a16="http://schemas.microsoft.com/office/drawing/2014/main" id="{0638028A-2B3B-4525-90E7-592109B7E2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8218008" cy="11418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6977</xdr:colOff>
      <xdr:row>0</xdr:row>
      <xdr:rowOff>2054679</xdr:rowOff>
    </xdr:to>
    <xdr:pic>
      <xdr:nvPicPr>
        <xdr:cNvPr id="2" name="Imagen 14">
          <a:extLst>
            <a:ext uri="{FF2B5EF4-FFF2-40B4-BE49-F238E27FC236}">
              <a16:creationId xmlns:a16="http://schemas.microsoft.com/office/drawing/2014/main" id="{71BEFE96-A3B8-4C55-8E8B-BF7C3D37D1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16466177" cy="2054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64608</xdr:colOff>
      <xdr:row>0</xdr:row>
      <xdr:rowOff>1141897</xdr:rowOff>
    </xdr:to>
    <xdr:pic>
      <xdr:nvPicPr>
        <xdr:cNvPr id="2" name="Imagen 14">
          <a:extLst>
            <a:ext uri="{FF2B5EF4-FFF2-40B4-BE49-F238E27FC236}">
              <a16:creationId xmlns:a16="http://schemas.microsoft.com/office/drawing/2014/main" id="{88C3F79A-2BC7-4369-9A8B-38FBCDEC57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8494233" cy="11418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6977</xdr:colOff>
      <xdr:row>0</xdr:row>
      <xdr:rowOff>2054679</xdr:rowOff>
    </xdr:to>
    <xdr:pic>
      <xdr:nvPicPr>
        <xdr:cNvPr id="2" name="Imagen 14">
          <a:extLst>
            <a:ext uri="{FF2B5EF4-FFF2-40B4-BE49-F238E27FC236}">
              <a16:creationId xmlns:a16="http://schemas.microsoft.com/office/drawing/2014/main" id="{DD943607-EB46-4155-9AA0-546F8B082F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16466177" cy="2054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64608</xdr:colOff>
      <xdr:row>0</xdr:row>
      <xdr:rowOff>1141897</xdr:rowOff>
    </xdr:to>
    <xdr:pic>
      <xdr:nvPicPr>
        <xdr:cNvPr id="2" name="Imagen 14">
          <a:extLst>
            <a:ext uri="{FF2B5EF4-FFF2-40B4-BE49-F238E27FC236}">
              <a16:creationId xmlns:a16="http://schemas.microsoft.com/office/drawing/2014/main" id="{F69FF256-060E-41BF-A12D-BD1E81C4E3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8218008" cy="11418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6977</xdr:colOff>
      <xdr:row>0</xdr:row>
      <xdr:rowOff>2054679</xdr:rowOff>
    </xdr:to>
    <xdr:pic>
      <xdr:nvPicPr>
        <xdr:cNvPr id="2" name="Imagen 14">
          <a:extLst>
            <a:ext uri="{FF2B5EF4-FFF2-40B4-BE49-F238E27FC236}">
              <a16:creationId xmlns:a16="http://schemas.microsoft.com/office/drawing/2014/main" id="{136D412A-0CEF-4A70-BC46-DDB21E7177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16466177" cy="2054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64608</xdr:colOff>
      <xdr:row>0</xdr:row>
      <xdr:rowOff>1141897</xdr:rowOff>
    </xdr:to>
    <xdr:pic>
      <xdr:nvPicPr>
        <xdr:cNvPr id="2" name="Imagen 14">
          <a:extLst>
            <a:ext uri="{FF2B5EF4-FFF2-40B4-BE49-F238E27FC236}">
              <a16:creationId xmlns:a16="http://schemas.microsoft.com/office/drawing/2014/main" id="{49439BC9-0166-4888-A315-3A653546E0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8218008" cy="11418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6977</xdr:colOff>
      <xdr:row>0</xdr:row>
      <xdr:rowOff>2054679</xdr:rowOff>
    </xdr:to>
    <xdr:pic>
      <xdr:nvPicPr>
        <xdr:cNvPr id="2" name="Imagen 14">
          <a:extLst>
            <a:ext uri="{FF2B5EF4-FFF2-40B4-BE49-F238E27FC236}">
              <a16:creationId xmlns:a16="http://schemas.microsoft.com/office/drawing/2014/main" id="{87A8CD4D-88C5-4BF5-B953-0D3D6FFF71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16466177" cy="2054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64608</xdr:colOff>
      <xdr:row>0</xdr:row>
      <xdr:rowOff>1141897</xdr:rowOff>
    </xdr:to>
    <xdr:pic>
      <xdr:nvPicPr>
        <xdr:cNvPr id="2" name="Imagen 14">
          <a:extLst>
            <a:ext uri="{FF2B5EF4-FFF2-40B4-BE49-F238E27FC236}">
              <a16:creationId xmlns:a16="http://schemas.microsoft.com/office/drawing/2014/main" id="{FF43C5C1-069F-411D-BC33-CF15C68500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8218008" cy="11418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6977</xdr:colOff>
      <xdr:row>0</xdr:row>
      <xdr:rowOff>2054679</xdr:rowOff>
    </xdr:to>
    <xdr:pic>
      <xdr:nvPicPr>
        <xdr:cNvPr id="2" name="Imagen 14">
          <a:extLst>
            <a:ext uri="{FF2B5EF4-FFF2-40B4-BE49-F238E27FC236}">
              <a16:creationId xmlns:a16="http://schemas.microsoft.com/office/drawing/2014/main" id="{B5D9AA81-0F10-4A59-930B-C8AD8F9D05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16466177" cy="2054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64608</xdr:colOff>
      <xdr:row>0</xdr:row>
      <xdr:rowOff>1141897</xdr:rowOff>
    </xdr:to>
    <xdr:pic>
      <xdr:nvPicPr>
        <xdr:cNvPr id="2" name="Imagen 14">
          <a:extLst>
            <a:ext uri="{FF2B5EF4-FFF2-40B4-BE49-F238E27FC236}">
              <a16:creationId xmlns:a16="http://schemas.microsoft.com/office/drawing/2014/main" id="{D71C1313-C535-4AFF-A87A-8F5581EC7E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8218008" cy="11418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172.25.2.9\XM_Comercial\09.Compra%20Energia\01.%20MERCADO%20REGULADO\13.%20INVITACIONES%202025\CE%20007-2025\02.Publicaci&#243;n\Producto_2026_007.xlsx" TargetMode="External"/><Relationship Id="rId1" Type="http://schemas.openxmlformats.org/officeDocument/2006/relationships/externalLinkPath" Target="/09.Compra%20Energia/01.%20MERCADO%20REGULADO/13.%20INVITACIONES%202025/CE%20007-2025/02.Publicaci&#243;n/Producto_2026_00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lance"/>
      <sheetName val="Salida sc2"/>
      <sheetName val="Salida sc1"/>
      <sheetName val="Oferta Producto No. 1"/>
      <sheetName val="Cantidades Producto No. 1"/>
      <sheetName val="Oferta Producto No. 2 "/>
      <sheetName val="Cantidades Producto No. 2"/>
      <sheetName val="Oferta Producto Base Curva"/>
      <sheetName val="Cantidades Producto Base Curva"/>
      <sheetName val="Oferta Producto No. 3"/>
      <sheetName val="Cantidades Producto No. 3"/>
      <sheetName val="Oferta Producto No. 4"/>
      <sheetName val="Cantidades Producto No. 4"/>
      <sheetName val="Oferta Producto No. 5"/>
      <sheetName val="Cantidades Producto No. 5"/>
      <sheetName val="Oferta Producto No. 6"/>
      <sheetName val="Cantidades Producto No. 6"/>
      <sheetName val="Oferta Producto No. 7"/>
      <sheetName val="Cantidades Producto No. 7"/>
    </sheetNames>
    <sheetDataSet>
      <sheetData sheetId="0"/>
      <sheetData sheetId="1"/>
      <sheetData sheetId="2"/>
      <sheetData sheetId="3"/>
      <sheetData sheetId="4"/>
      <sheetData sheetId="5"/>
      <sheetData sheetId="6"/>
      <sheetData sheetId="7">
        <row r="15">
          <cell r="F15">
            <v>46023</v>
          </cell>
          <cell r="G15">
            <v>9948.5347327947056</v>
          </cell>
        </row>
        <row r="16">
          <cell r="F16">
            <v>46054</v>
          </cell>
          <cell r="G16">
            <v>9132.7026538905029</v>
          </cell>
        </row>
        <row r="17">
          <cell r="F17">
            <v>46082</v>
          </cell>
          <cell r="G17">
            <v>9027.5020997958127</v>
          </cell>
        </row>
        <row r="18">
          <cell r="F18">
            <v>46113</v>
          </cell>
          <cell r="G18">
            <v>5928.3810611507652</v>
          </cell>
        </row>
        <row r="19">
          <cell r="F19">
            <v>46143</v>
          </cell>
          <cell r="G19">
            <v>0</v>
          </cell>
        </row>
        <row r="20">
          <cell r="F20">
            <v>46174</v>
          </cell>
          <cell r="G20">
            <v>0</v>
          </cell>
        </row>
        <row r="21">
          <cell r="F21">
            <v>46204</v>
          </cell>
          <cell r="G21">
            <v>0</v>
          </cell>
        </row>
        <row r="22">
          <cell r="F22">
            <v>46235</v>
          </cell>
          <cell r="G22">
            <v>0</v>
          </cell>
        </row>
        <row r="23">
          <cell r="F23">
            <v>46266</v>
          </cell>
          <cell r="G23">
            <v>0</v>
          </cell>
        </row>
        <row r="24">
          <cell r="F24">
            <v>46296</v>
          </cell>
          <cell r="G24">
            <v>0</v>
          </cell>
        </row>
        <row r="25">
          <cell r="F25">
            <v>46327</v>
          </cell>
          <cell r="G25">
            <v>8435.6107411051889</v>
          </cell>
        </row>
        <row r="26">
          <cell r="F26">
            <v>46357</v>
          </cell>
          <cell r="G26">
            <v>6091.3721651307833</v>
          </cell>
        </row>
      </sheetData>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DE990-40C5-432A-869E-4871D590908A}">
  <sheetPr>
    <tabColor theme="9" tint="0.39997558519241921"/>
  </sheetPr>
  <dimension ref="A1:M37"/>
  <sheetViews>
    <sheetView tabSelected="1" view="pageBreakPreview" zoomScale="60" zoomScaleNormal="100" zoomScalePageLayoutView="30" workbookViewId="0">
      <selection activeCell="G26" sqref="G26"/>
    </sheetView>
  </sheetViews>
  <sheetFormatPr baseColWidth="10" defaultColWidth="17.85546875" defaultRowHeight="24.75" x14ac:dyDescent="0.3"/>
  <cols>
    <col min="1" max="1" width="11.42578125" style="1" customWidth="1"/>
    <col min="2" max="2" width="16.42578125" style="1" bestFit="1" customWidth="1"/>
    <col min="3" max="3" width="14.85546875" style="1" customWidth="1"/>
    <col min="4" max="4" width="16.42578125" style="1" customWidth="1"/>
    <col min="5" max="5" width="22.7109375" style="1" customWidth="1"/>
    <col min="6" max="6" width="21.140625" style="1" customWidth="1"/>
    <col min="7" max="7" width="23" style="1" customWidth="1"/>
    <col min="8" max="10" width="22.7109375" style="1" customWidth="1"/>
    <col min="11" max="11" width="28.42578125" style="1" customWidth="1"/>
    <col min="12" max="12" width="15.42578125" style="1" customWidth="1"/>
    <col min="13" max="13" width="8.85546875" style="1" bestFit="1" customWidth="1"/>
    <col min="14" max="16384" width="17.85546875" style="1"/>
  </cols>
  <sheetData>
    <row r="1" spans="1:13" ht="171.2" customHeight="1" x14ac:dyDescent="0.3"/>
    <row r="2" spans="1:13" x14ac:dyDescent="0.3">
      <c r="A2" s="2"/>
      <c r="B2" s="2"/>
      <c r="C2" s="2"/>
      <c r="D2" s="114" t="s">
        <v>0</v>
      </c>
      <c r="E2" s="114"/>
      <c r="F2" s="114"/>
      <c r="G2" s="114"/>
      <c r="H2" s="114"/>
      <c r="I2" s="114"/>
      <c r="J2" s="114"/>
      <c r="K2" s="2"/>
      <c r="L2" s="2"/>
      <c r="M2" s="2"/>
    </row>
    <row r="3" spans="1:13" ht="89.25" customHeight="1" x14ac:dyDescent="0.3">
      <c r="A3" s="2"/>
      <c r="B3" s="2"/>
      <c r="C3" s="115" t="s">
        <v>1</v>
      </c>
      <c r="D3" s="115"/>
      <c r="E3" s="115"/>
      <c r="F3" s="115"/>
      <c r="G3" s="115"/>
      <c r="H3" s="115"/>
      <c r="I3" s="115"/>
      <c r="J3" s="115"/>
      <c r="K3" s="115"/>
      <c r="L3" s="2"/>
      <c r="M3" s="2"/>
    </row>
    <row r="4" spans="1:13" x14ac:dyDescent="0.3">
      <c r="A4" s="2"/>
      <c r="B4" s="2"/>
      <c r="C4" s="3"/>
      <c r="D4" s="116" t="s">
        <v>2</v>
      </c>
      <c r="E4" s="116"/>
      <c r="F4" s="116"/>
      <c r="G4" s="116"/>
      <c r="H4" s="116"/>
      <c r="I4" s="116"/>
      <c r="J4" s="116"/>
      <c r="K4" s="3"/>
      <c r="L4" s="2"/>
      <c r="M4" s="2"/>
    </row>
    <row r="5" spans="1:13" ht="19.5" customHeight="1" x14ac:dyDescent="0.3">
      <c r="A5" s="4"/>
      <c r="B5" s="5"/>
      <c r="C5" s="5"/>
      <c r="D5" s="6"/>
      <c r="E5" s="7"/>
      <c r="F5" s="7"/>
      <c r="G5" s="7"/>
      <c r="H5" s="7"/>
      <c r="I5" s="7"/>
      <c r="J5" s="8"/>
      <c r="K5" s="9"/>
      <c r="L5" s="4"/>
      <c r="M5" s="4"/>
    </row>
    <row r="6" spans="1:13" x14ac:dyDescent="0.3">
      <c r="A6" s="4"/>
      <c r="B6" s="5"/>
      <c r="C6" s="10" t="s">
        <v>3</v>
      </c>
      <c r="D6" s="5"/>
      <c r="E6" s="5"/>
      <c r="G6" s="5"/>
      <c r="H6" s="5"/>
      <c r="I6" s="5"/>
      <c r="J6" s="5"/>
      <c r="K6" s="9"/>
      <c r="L6" s="4"/>
      <c r="M6" s="4"/>
    </row>
    <row r="7" spans="1:13" x14ac:dyDescent="0.3">
      <c r="A7" s="4"/>
      <c r="B7" s="5"/>
      <c r="C7" s="10" t="s">
        <v>4</v>
      </c>
      <c r="D7" s="5"/>
      <c r="E7" s="5"/>
      <c r="G7" s="5"/>
      <c r="H7" s="5"/>
      <c r="I7" s="5"/>
      <c r="J7" s="5"/>
      <c r="K7" s="9"/>
      <c r="L7" s="4"/>
      <c r="M7" s="4"/>
    </row>
    <row r="8" spans="1:13" x14ac:dyDescent="0.3">
      <c r="B8" s="11"/>
      <c r="C8" s="10" t="s">
        <v>5</v>
      </c>
      <c r="D8" s="5"/>
      <c r="E8" s="5"/>
      <c r="G8" s="11"/>
      <c r="H8" s="11"/>
      <c r="I8" s="11"/>
      <c r="J8" s="11"/>
      <c r="K8" s="12"/>
    </row>
    <row r="9" spans="1:13" x14ac:dyDescent="0.3">
      <c r="B9" s="11"/>
      <c r="C9" s="13" t="str">
        <f>"PRODUCTO OFERTADO: "&amp;D4</f>
        <v>PRODUCTO OFERTADO: PRODUCTO No. 1</v>
      </c>
      <c r="D9" s="5"/>
      <c r="E9" s="5"/>
      <c r="G9" s="11"/>
      <c r="H9" s="11"/>
      <c r="I9" s="11"/>
      <c r="J9" s="11"/>
      <c r="K9" s="12"/>
    </row>
    <row r="10" spans="1:13" x14ac:dyDescent="0.3">
      <c r="B10" s="11"/>
      <c r="C10" s="13"/>
      <c r="D10" s="5"/>
      <c r="E10" s="5"/>
      <c r="G10" s="11"/>
      <c r="H10" s="11"/>
      <c r="I10" s="11"/>
      <c r="J10" s="11"/>
      <c r="K10" s="12"/>
    </row>
    <row r="11" spans="1:13" x14ac:dyDescent="0.3">
      <c r="B11" s="11"/>
      <c r="C11" s="10" t="s">
        <v>62</v>
      </c>
      <c r="D11" s="14"/>
      <c r="E11" s="14"/>
      <c r="F11" s="15"/>
      <c r="G11" s="11"/>
      <c r="H11" s="11"/>
      <c r="I11" s="11"/>
      <c r="J11" s="11"/>
      <c r="K11" s="12"/>
    </row>
    <row r="12" spans="1:13" x14ac:dyDescent="0.3">
      <c r="B12" s="16"/>
      <c r="C12" s="15"/>
    </row>
    <row r="13" spans="1:13" x14ac:dyDescent="0.3">
      <c r="F13" s="117" t="str">
        <f>"Oferta " &amp; PROPER(D4)</f>
        <v>Oferta Producto No. 1</v>
      </c>
      <c r="G13" s="117"/>
      <c r="H13" s="117"/>
      <c r="I13" s="117"/>
      <c r="J13" s="117"/>
    </row>
    <row r="14" spans="1:13" ht="72.75" customHeight="1" x14ac:dyDescent="0.3">
      <c r="F14" s="17" t="s">
        <v>6</v>
      </c>
      <c r="G14" s="18" t="s">
        <v>7</v>
      </c>
      <c r="H14" s="18" t="s">
        <v>8</v>
      </c>
      <c r="I14" s="18" t="s">
        <v>9</v>
      </c>
      <c r="J14" s="19" t="s">
        <v>10</v>
      </c>
    </row>
    <row r="15" spans="1:13" x14ac:dyDescent="0.3">
      <c r="A15" s="20">
        <v>22.85</v>
      </c>
      <c r="B15" s="20">
        <v>31</v>
      </c>
      <c r="F15" s="21">
        <f>+'Cantidades Producto No. 1'!A18</f>
        <v>46023</v>
      </c>
      <c r="G15" s="22">
        <f>+SUMIFS('Cantidades Producto No. 1'!$Z$18:$Z$22,'Cantidades Producto No. 1'!$A$18:$A$22,'Oferta Producto No. 1'!$F15)</f>
        <v>5282.3287837469479</v>
      </c>
      <c r="H15" s="23"/>
      <c r="I15" s="24"/>
      <c r="J15" s="118"/>
      <c r="L15" s="26"/>
      <c r="M15" s="26"/>
    </row>
    <row r="16" spans="1:13" x14ac:dyDescent="0.3">
      <c r="A16" s="27"/>
      <c r="B16" s="20">
        <v>28</v>
      </c>
      <c r="F16" s="21">
        <f>+'Cantidades Producto No. 1'!A19</f>
        <v>46054</v>
      </c>
      <c r="G16" s="22">
        <f>+SUMIFS('Cantidades Producto No. 1'!$Z$18:$Z$22,'Cantidades Producto No. 1'!$A$18:$A$22,'Oferta Producto No. 1'!$F16)</f>
        <v>4771.1356756424057</v>
      </c>
      <c r="H16" s="23"/>
      <c r="I16" s="24"/>
      <c r="J16" s="119"/>
      <c r="L16" s="26"/>
      <c r="M16" s="26"/>
    </row>
    <row r="17" spans="1:13" x14ac:dyDescent="0.3">
      <c r="A17" s="27"/>
      <c r="B17" s="20">
        <v>31</v>
      </c>
      <c r="F17" s="21">
        <f>+'Cantidades Producto No. 1'!A20</f>
        <v>46082</v>
      </c>
      <c r="G17" s="22">
        <f>+SUMIFS('Cantidades Producto No. 1'!$Z$18:$Z$22,'Cantidades Producto No. 1'!$A$18:$A$22,'Oferta Producto No. 1'!$F17)</f>
        <v>5282.3287837469479</v>
      </c>
      <c r="H17" s="23"/>
      <c r="I17" s="24"/>
      <c r="J17" s="119"/>
      <c r="L17" s="26"/>
      <c r="M17" s="26"/>
    </row>
    <row r="18" spans="1:13" x14ac:dyDescent="0.3">
      <c r="A18" s="27"/>
      <c r="B18" s="20">
        <v>30</v>
      </c>
      <c r="F18" s="21">
        <f>+'Cantidades Producto No. 1'!A21</f>
        <v>46113</v>
      </c>
      <c r="G18" s="22">
        <f>+SUMIFS('Cantidades Producto No. 1'!$Z$18:$Z$22,'Cantidades Producto No. 1'!$A$18:$A$22,'Oferta Producto No. 1'!$F18)</f>
        <v>5111.9310810454335</v>
      </c>
      <c r="H18" s="23"/>
      <c r="I18" s="24"/>
      <c r="J18" s="119"/>
      <c r="L18" s="26"/>
      <c r="M18" s="26"/>
    </row>
    <row r="19" spans="1:13" hidden="1" x14ac:dyDescent="0.3">
      <c r="A19" s="27"/>
      <c r="B19" s="20">
        <v>31</v>
      </c>
      <c r="F19" s="21" t="e">
        <f>+'Cantidades Producto No. 1'!#REF!</f>
        <v>#REF!</v>
      </c>
      <c r="G19" s="22">
        <f>+SUMIFS('Cantidades Producto No. 1'!$Z$18:$Z$22,'Cantidades Producto No. 1'!$A$18:$A$22,'Oferta Producto No. 1'!$F19)</f>
        <v>0</v>
      </c>
      <c r="H19" s="23"/>
      <c r="I19" s="24"/>
      <c r="J19" s="119"/>
      <c r="L19" s="26"/>
      <c r="M19" s="26"/>
    </row>
    <row r="20" spans="1:13" hidden="1" x14ac:dyDescent="0.3">
      <c r="A20" s="28"/>
      <c r="B20" s="20">
        <v>30</v>
      </c>
      <c r="F20" s="21" t="e">
        <f>+'Cantidades Producto No. 1'!#REF!</f>
        <v>#REF!</v>
      </c>
      <c r="G20" s="22">
        <f>+SUMIFS('Cantidades Producto No. 1'!$Z$18:$Z$22,'Cantidades Producto No. 1'!$A$18:$A$22,'Oferta Producto No. 1'!$F20)</f>
        <v>0</v>
      </c>
      <c r="H20" s="23"/>
      <c r="I20" s="24"/>
      <c r="J20" s="119"/>
      <c r="L20" s="26"/>
      <c r="M20" s="26"/>
    </row>
    <row r="21" spans="1:13" hidden="1" x14ac:dyDescent="0.3">
      <c r="A21" s="27"/>
      <c r="B21" s="20">
        <v>31</v>
      </c>
      <c r="F21" s="21" t="e">
        <f>+'Cantidades Producto No. 1'!#REF!</f>
        <v>#REF!</v>
      </c>
      <c r="G21" s="22">
        <f>+SUMIFS('Cantidades Producto No. 1'!$Z$18:$Z$22,'Cantidades Producto No. 1'!$A$18:$A$22,'Oferta Producto No. 1'!$F21)</f>
        <v>0</v>
      </c>
      <c r="H21" s="23"/>
      <c r="I21" s="24"/>
      <c r="J21" s="119"/>
      <c r="L21" s="26"/>
      <c r="M21" s="26"/>
    </row>
    <row r="22" spans="1:13" hidden="1" x14ac:dyDescent="0.3">
      <c r="A22" s="27"/>
      <c r="B22" s="20">
        <v>31</v>
      </c>
      <c r="F22" s="21" t="e">
        <f>+'Cantidades Producto No. 1'!#REF!</f>
        <v>#REF!</v>
      </c>
      <c r="G22" s="22">
        <f>+SUMIFS('Cantidades Producto No. 1'!$Z$18:$Z$22,'Cantidades Producto No. 1'!$A$18:$A$22,'Oferta Producto No. 1'!$F22)</f>
        <v>0</v>
      </c>
      <c r="H22" s="23"/>
      <c r="I22" s="24"/>
      <c r="J22" s="119"/>
      <c r="K22" s="29"/>
      <c r="L22" s="26"/>
      <c r="M22" s="26"/>
    </row>
    <row r="23" spans="1:13" hidden="1" x14ac:dyDescent="0.3">
      <c r="A23" s="28"/>
      <c r="B23" s="20">
        <v>30</v>
      </c>
      <c r="F23" s="21" t="e">
        <f>+'Cantidades Producto No. 1'!#REF!</f>
        <v>#REF!</v>
      </c>
      <c r="G23" s="22">
        <f>+SUMIFS('Cantidades Producto No. 1'!$Z$18:$Z$22,'Cantidades Producto No. 1'!$A$18:$A$22,'Oferta Producto No. 1'!$F23)</f>
        <v>0</v>
      </c>
      <c r="H23" s="23"/>
      <c r="I23" s="24"/>
      <c r="J23" s="119"/>
      <c r="K23" s="29"/>
      <c r="L23" s="26"/>
      <c r="M23" s="26"/>
    </row>
    <row r="24" spans="1:13" hidden="1" x14ac:dyDescent="0.3">
      <c r="A24" s="28"/>
      <c r="B24" s="20">
        <v>31</v>
      </c>
      <c r="F24" s="21" t="e">
        <f>+'Cantidades Producto No. 1'!#REF!</f>
        <v>#REF!</v>
      </c>
      <c r="G24" s="22">
        <f>+SUMIFS('Cantidades Producto No. 1'!$Z$18:$Z$22,'Cantidades Producto No. 1'!$A$18:$A$22,'Oferta Producto No. 1'!$F24)</f>
        <v>0</v>
      </c>
      <c r="H24" s="23"/>
      <c r="I24" s="24"/>
      <c r="J24" s="119"/>
      <c r="L24" s="26"/>
      <c r="M24" s="26"/>
    </row>
    <row r="25" spans="1:13" x14ac:dyDescent="0.3">
      <c r="A25" s="27"/>
      <c r="B25" s="20">
        <v>31</v>
      </c>
      <c r="D25" s="29"/>
      <c r="E25" s="29"/>
      <c r="F25" s="21">
        <f>+'Cantidades Producto No. 1'!A22</f>
        <v>46357</v>
      </c>
      <c r="G25" s="22">
        <f>+SUMIFS('Cantidades Producto No. 1'!$Z$18:$Z$22,'Cantidades Producto No. 1'!$A$18:$A$22,'Oferta Producto No. 1'!$F25)</f>
        <v>5282.3287837469479</v>
      </c>
      <c r="H25" s="23"/>
      <c r="I25" s="24"/>
      <c r="J25" s="120"/>
      <c r="L25" s="26"/>
      <c r="M25" s="26"/>
    </row>
    <row r="26" spans="1:13" x14ac:dyDescent="0.3">
      <c r="F26" s="30" t="s">
        <v>11</v>
      </c>
      <c r="G26" s="31">
        <f>SUM(G15:G25)</f>
        <v>25730.053107928681</v>
      </c>
      <c r="H26" s="32"/>
      <c r="I26" s="32"/>
      <c r="J26" s="33"/>
    </row>
    <row r="27" spans="1:13" x14ac:dyDescent="0.3">
      <c r="F27" s="34"/>
      <c r="G27" s="35"/>
    </row>
    <row r="28" spans="1:13" x14ac:dyDescent="0.3">
      <c r="B28" s="36" t="s">
        <v>12</v>
      </c>
      <c r="C28" s="37"/>
      <c r="D28" s="37"/>
      <c r="E28" s="37"/>
      <c r="F28" s="37"/>
      <c r="G28" s="37"/>
      <c r="L28" s="37"/>
    </row>
    <row r="29" spans="1:13" x14ac:dyDescent="0.3">
      <c r="B29" s="36"/>
      <c r="C29" s="37"/>
      <c r="D29" s="37"/>
      <c r="E29" s="37"/>
      <c r="F29" s="37"/>
      <c r="G29" s="37"/>
      <c r="H29" s="37"/>
      <c r="I29" s="37"/>
      <c r="J29" s="37"/>
      <c r="K29" s="37"/>
      <c r="L29" s="37"/>
    </row>
    <row r="30" spans="1:13" ht="24.75" customHeight="1" x14ac:dyDescent="0.3">
      <c r="B30" s="112" t="s">
        <v>13</v>
      </c>
      <c r="C30" s="112"/>
      <c r="D30" s="112"/>
      <c r="E30" s="112"/>
      <c r="F30" s="112"/>
      <c r="G30" s="112"/>
      <c r="H30" s="112"/>
      <c r="I30" s="112"/>
      <c r="J30" s="112"/>
      <c r="K30" s="112"/>
      <c r="L30" s="112"/>
    </row>
    <row r="31" spans="1:13" ht="39" customHeight="1" x14ac:dyDescent="0.3">
      <c r="B31" s="112" t="str">
        <f>"(2) Las cantidades se distribuyen de acuerdo a la curva del Anexo 1. Ofertas y Cantidades "&amp; D4 &amp;" de los Pliegos de Condiciones Definitivos."</f>
        <v>(2) Las cantidades se distribuyen de acuerdo a la curva del Anexo 1. Ofertas y Cantidades PRODUCTO No. 1 de los Pliegos de Condiciones Definitivos.</v>
      </c>
      <c r="C31" s="112"/>
      <c r="D31" s="112"/>
      <c r="E31" s="112"/>
      <c r="F31" s="112"/>
      <c r="G31" s="112"/>
      <c r="H31" s="112"/>
      <c r="I31" s="112"/>
      <c r="J31" s="112"/>
      <c r="K31" s="112"/>
      <c r="L31" s="112"/>
    </row>
    <row r="32" spans="1:13" ht="83.25" customHeight="1" x14ac:dyDescent="0.3">
      <c r="B32" s="113" t="s">
        <v>63</v>
      </c>
      <c r="C32" s="113"/>
      <c r="D32" s="113"/>
      <c r="E32" s="113"/>
      <c r="F32" s="113"/>
      <c r="G32" s="113"/>
      <c r="H32" s="113"/>
      <c r="I32" s="113"/>
      <c r="J32" s="113"/>
      <c r="K32" s="113"/>
      <c r="L32" s="113"/>
    </row>
    <row r="33" spans="1:12" ht="43.5" customHeight="1" x14ac:dyDescent="0.3">
      <c r="B33" s="113" t="s">
        <v>14</v>
      </c>
      <c r="C33" s="113"/>
      <c r="D33" s="113"/>
      <c r="E33" s="113"/>
      <c r="F33" s="113"/>
      <c r="G33" s="113"/>
      <c r="H33" s="113"/>
      <c r="I33" s="113"/>
      <c r="J33" s="113"/>
      <c r="K33" s="113"/>
      <c r="L33" s="113"/>
    </row>
    <row r="34" spans="1:12" ht="60" customHeight="1" x14ac:dyDescent="0.3">
      <c r="B34" s="113" t="s">
        <v>15</v>
      </c>
      <c r="C34" s="113"/>
      <c r="D34" s="113"/>
      <c r="E34" s="113"/>
      <c r="F34" s="113"/>
      <c r="G34" s="113"/>
      <c r="H34" s="113"/>
      <c r="I34" s="113"/>
      <c r="J34" s="113"/>
      <c r="K34" s="113"/>
      <c r="L34" s="113"/>
    </row>
    <row r="35" spans="1:12" ht="80.25" customHeight="1" x14ac:dyDescent="0.3">
      <c r="A35" s="15"/>
      <c r="B35" s="113" t="s">
        <v>16</v>
      </c>
      <c r="C35" s="113"/>
      <c r="D35" s="113"/>
      <c r="E35" s="113"/>
      <c r="F35" s="113"/>
      <c r="G35" s="113"/>
      <c r="H35" s="113"/>
      <c r="I35" s="113"/>
      <c r="J35" s="113"/>
      <c r="K35" s="113"/>
      <c r="L35" s="113"/>
    </row>
    <row r="37" spans="1:12" ht="24.75" customHeight="1" x14ac:dyDescent="0.3">
      <c r="B37" s="38"/>
      <c r="C37" s="38"/>
      <c r="D37" s="38"/>
      <c r="E37" s="38"/>
      <c r="F37" s="38"/>
      <c r="G37" s="38"/>
      <c r="H37" s="38"/>
      <c r="I37" s="38"/>
      <c r="J37" s="38"/>
      <c r="K37" s="38"/>
      <c r="L37" s="38"/>
    </row>
  </sheetData>
  <mergeCells count="11">
    <mergeCell ref="B30:L30"/>
    <mergeCell ref="D2:J2"/>
    <mergeCell ref="C3:K3"/>
    <mergeCell ref="D4:J4"/>
    <mergeCell ref="F13:J13"/>
    <mergeCell ref="J15:J25"/>
    <mergeCell ref="B31:L31"/>
    <mergeCell ref="B32:L32"/>
    <mergeCell ref="B33:L33"/>
    <mergeCell ref="B34:L34"/>
    <mergeCell ref="B35:L35"/>
  </mergeCells>
  <printOptions horizontalCentered="1" verticalCentered="1"/>
  <pageMargins left="0" right="0.39370078740157483" top="0.19685039370078741" bottom="0.19685039370078741" header="0.39370078740157483" footer="0.39370078740157483"/>
  <pageSetup scale="39" orientation="portrait" r:id="rId1"/>
  <colBreaks count="1" manualBreakCount="1">
    <brk id="14"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F5C74-3E25-4AFD-B570-999EB8B22A03}">
  <sheetPr>
    <tabColor theme="9" tint="0.39997558519241921"/>
  </sheetPr>
  <dimension ref="A1:AJ22"/>
  <sheetViews>
    <sheetView showGridLines="0" zoomScale="70" zoomScaleNormal="70" workbookViewId="0">
      <selection activeCell="A17" sqref="A17"/>
    </sheetView>
  </sheetViews>
  <sheetFormatPr baseColWidth="10" defaultColWidth="14.42578125" defaultRowHeight="15" x14ac:dyDescent="0.2"/>
  <cols>
    <col min="1" max="1" width="93.140625" style="39" bestFit="1" customWidth="1"/>
    <col min="2" max="2" width="10.7109375" style="40" bestFit="1" customWidth="1"/>
    <col min="3" max="25" width="6.42578125" style="40" bestFit="1" customWidth="1"/>
    <col min="26" max="26" width="10.28515625" style="41" bestFit="1" customWidth="1"/>
    <col min="27" max="27" width="6.7109375" style="39" customWidth="1"/>
    <col min="28" max="28" width="10.7109375" style="39" bestFit="1" customWidth="1"/>
    <col min="29" max="29" width="5.28515625" style="39" customWidth="1"/>
    <col min="30" max="30" width="14.42578125" style="42"/>
    <col min="31" max="16384" width="14.42578125" style="39"/>
  </cols>
  <sheetData>
    <row r="1" spans="1:36" ht="93" customHeight="1" thickBot="1" x14ac:dyDescent="0.25">
      <c r="AJ1" s="39" t="s">
        <v>17</v>
      </c>
    </row>
    <row r="2" spans="1:36" ht="23.25" x14ac:dyDescent="0.35">
      <c r="A2" s="43" t="s">
        <v>18</v>
      </c>
    </row>
    <row r="3" spans="1:36" ht="21" thickBot="1" x14ac:dyDescent="0.35">
      <c r="A3" s="44" t="s">
        <v>2</v>
      </c>
    </row>
    <row r="4" spans="1:36" ht="15.75" thickBot="1" x14ac:dyDescent="0.25"/>
    <row r="5" spans="1:36" ht="16.5" thickBot="1" x14ac:dyDescent="0.3">
      <c r="A5" s="45" t="s">
        <v>19</v>
      </c>
      <c r="B5" s="46"/>
      <c r="C5" s="46"/>
      <c r="D5" s="46"/>
      <c r="E5" s="47"/>
      <c r="F5" s="46"/>
      <c r="G5" s="46"/>
      <c r="H5" s="46"/>
      <c r="I5" s="46"/>
      <c r="J5" s="46"/>
      <c r="K5" s="48"/>
      <c r="L5" s="48"/>
      <c r="M5" s="48"/>
      <c r="N5" s="48"/>
      <c r="O5" s="48"/>
      <c r="P5" s="48"/>
      <c r="Q5" s="48"/>
      <c r="R5" s="48"/>
      <c r="S5" s="48"/>
      <c r="T5" s="48"/>
      <c r="U5" s="48"/>
      <c r="V5" s="48"/>
      <c r="W5" s="48"/>
      <c r="X5" s="48"/>
      <c r="Y5" s="48"/>
      <c r="Z5" s="49"/>
      <c r="AA5"/>
      <c r="AB5" s="50"/>
    </row>
    <row r="6" spans="1:36" ht="16.5" thickBot="1" x14ac:dyDescent="0.3">
      <c r="A6"/>
      <c r="B6" s="46"/>
      <c r="C6" s="46"/>
      <c r="D6" s="46"/>
      <c r="E6" s="46"/>
      <c r="F6" s="46"/>
      <c r="G6" s="46"/>
      <c r="H6" s="46"/>
      <c r="I6" s="46"/>
      <c r="J6" s="46"/>
      <c r="K6" s="51"/>
      <c r="L6" s="51"/>
      <c r="M6" s="51"/>
      <c r="N6" s="51"/>
      <c r="O6" s="51"/>
      <c r="P6" s="51"/>
      <c r="Q6" s="51"/>
      <c r="R6" s="51"/>
      <c r="S6" s="51"/>
      <c r="T6" s="51"/>
      <c r="U6" s="51"/>
      <c r="V6" s="51"/>
      <c r="W6" s="51"/>
      <c r="X6" s="51"/>
      <c r="Y6" s="51"/>
      <c r="Z6" s="49"/>
      <c r="AA6"/>
      <c r="AB6"/>
    </row>
    <row r="7" spans="1:36" ht="15.95" customHeight="1" thickBot="1" x14ac:dyDescent="0.25">
      <c r="A7" s="52" t="s">
        <v>20</v>
      </c>
      <c r="B7" s="53" t="s">
        <v>21</v>
      </c>
      <c r="C7" s="53" t="s">
        <v>22</v>
      </c>
      <c r="D7" s="53" t="s">
        <v>23</v>
      </c>
      <c r="E7" s="53" t="s">
        <v>24</v>
      </c>
      <c r="F7" s="53" t="s">
        <v>25</v>
      </c>
      <c r="G7" s="53" t="s">
        <v>26</v>
      </c>
      <c r="H7" s="53" t="s">
        <v>27</v>
      </c>
      <c r="I7" s="53" t="s">
        <v>28</v>
      </c>
      <c r="J7" s="53" t="s">
        <v>29</v>
      </c>
      <c r="K7" s="53" t="s">
        <v>30</v>
      </c>
      <c r="L7" s="53" t="s">
        <v>31</v>
      </c>
      <c r="M7" s="53" t="s">
        <v>32</v>
      </c>
      <c r="N7" s="53" t="s">
        <v>33</v>
      </c>
      <c r="O7" s="53" t="s">
        <v>34</v>
      </c>
      <c r="P7" s="53" t="s">
        <v>35</v>
      </c>
      <c r="Q7" s="53" t="s">
        <v>36</v>
      </c>
      <c r="R7" s="53" t="s">
        <v>37</v>
      </c>
      <c r="S7" s="53" t="s">
        <v>38</v>
      </c>
      <c r="T7" s="53" t="s">
        <v>39</v>
      </c>
      <c r="U7" s="53" t="s">
        <v>40</v>
      </c>
      <c r="V7" s="53" t="s">
        <v>41</v>
      </c>
      <c r="W7" s="53" t="s">
        <v>42</v>
      </c>
      <c r="X7" s="53" t="s">
        <v>43</v>
      </c>
      <c r="Y7" s="53" t="s">
        <v>44</v>
      </c>
      <c r="Z7" s="53" t="s">
        <v>11</v>
      </c>
      <c r="AA7" s="54" t="s">
        <v>45</v>
      </c>
      <c r="AB7" s="55"/>
    </row>
    <row r="8" spans="1:36" ht="15.75" x14ac:dyDescent="0.25">
      <c r="A8" s="56">
        <v>46023</v>
      </c>
      <c r="B8" s="57">
        <v>7.0999042792297695</v>
      </c>
      <c r="C8" s="57">
        <v>7.0999042792297695</v>
      </c>
      <c r="D8" s="57">
        <v>7.0999042792297695</v>
      </c>
      <c r="E8" s="57">
        <v>7.0999042792297695</v>
      </c>
      <c r="F8" s="57">
        <v>7.0999042792297695</v>
      </c>
      <c r="G8" s="57">
        <v>7.0999042792297695</v>
      </c>
      <c r="H8" s="57">
        <v>7.0999042792297695</v>
      </c>
      <c r="I8" s="57">
        <v>7.0999042792297695</v>
      </c>
      <c r="J8" s="57">
        <v>7.0999042792297695</v>
      </c>
      <c r="K8" s="57">
        <v>7.0999042792297695</v>
      </c>
      <c r="L8" s="57">
        <v>7.0999042792297695</v>
      </c>
      <c r="M8" s="57">
        <v>7.0999042792297695</v>
      </c>
      <c r="N8" s="57">
        <v>7.0999042792297695</v>
      </c>
      <c r="O8" s="57">
        <v>7.0999042792297695</v>
      </c>
      <c r="P8" s="57">
        <v>7.0999042792297695</v>
      </c>
      <c r="Q8" s="57">
        <v>7.0999042792297695</v>
      </c>
      <c r="R8" s="57">
        <v>7.0999042792297695</v>
      </c>
      <c r="S8" s="57">
        <v>7.0999042792297695</v>
      </c>
      <c r="T8" s="57">
        <v>7.0999042792297695</v>
      </c>
      <c r="U8" s="57">
        <v>7.0999042792297695</v>
      </c>
      <c r="V8" s="57">
        <v>7.0999042792297695</v>
      </c>
      <c r="W8" s="57">
        <v>7.0999042792297695</v>
      </c>
      <c r="X8" s="57">
        <v>7.0999042792297695</v>
      </c>
      <c r="Y8" s="57">
        <v>7.0999042792297695</v>
      </c>
      <c r="Z8" s="58">
        <f t="shared" ref="Z8:Z12" si="0">SUM(B8:Y8)</f>
        <v>170.39770270151456</v>
      </c>
      <c r="AA8" s="59">
        <v>31</v>
      </c>
      <c r="AB8" s="60">
        <f>+Z8*AA8</f>
        <v>5282.3287837469516</v>
      </c>
      <c r="AD8" s="42" t="s">
        <v>46</v>
      </c>
    </row>
    <row r="9" spans="1:36" ht="15.75" x14ac:dyDescent="0.25">
      <c r="A9" s="61">
        <v>46054</v>
      </c>
      <c r="B9" s="62">
        <v>7.0999042792297695</v>
      </c>
      <c r="C9" s="62">
        <v>7.0999042792297695</v>
      </c>
      <c r="D9" s="62">
        <v>7.0999042792297695</v>
      </c>
      <c r="E9" s="62">
        <v>7.0999042792297695</v>
      </c>
      <c r="F9" s="62">
        <v>7.0999042792297695</v>
      </c>
      <c r="G9" s="62">
        <v>7.0999042792297695</v>
      </c>
      <c r="H9" s="62">
        <v>7.0999042792297695</v>
      </c>
      <c r="I9" s="62">
        <v>7.0999042792297695</v>
      </c>
      <c r="J9" s="62">
        <v>7.0999042792297695</v>
      </c>
      <c r="K9" s="62">
        <v>7.0999042792297695</v>
      </c>
      <c r="L9" s="62">
        <v>7.0999042792297695</v>
      </c>
      <c r="M9" s="62">
        <v>7.0999042792297695</v>
      </c>
      <c r="N9" s="62">
        <v>7.0999042792297695</v>
      </c>
      <c r="O9" s="62">
        <v>7.0999042792297695</v>
      </c>
      <c r="P9" s="62">
        <v>7.0999042792297695</v>
      </c>
      <c r="Q9" s="62">
        <v>7.0999042792297695</v>
      </c>
      <c r="R9" s="62">
        <v>7.0999042792297695</v>
      </c>
      <c r="S9" s="62">
        <v>7.0999042792297695</v>
      </c>
      <c r="T9" s="62">
        <v>7.0999042792297695</v>
      </c>
      <c r="U9" s="62">
        <v>7.0999042792297695</v>
      </c>
      <c r="V9" s="62">
        <v>7.0999042792297695</v>
      </c>
      <c r="W9" s="62">
        <v>7.0999042792297695</v>
      </c>
      <c r="X9" s="62">
        <v>7.0999042792297695</v>
      </c>
      <c r="Y9" s="62">
        <v>7.0999042792297695</v>
      </c>
      <c r="Z9" s="63">
        <f t="shared" si="0"/>
        <v>170.39770270151456</v>
      </c>
      <c r="AA9" s="64">
        <v>28</v>
      </c>
      <c r="AB9" s="65">
        <f>+Z9*AA9</f>
        <v>4771.1356756424075</v>
      </c>
      <c r="AD9" s="42" t="s">
        <v>46</v>
      </c>
    </row>
    <row r="10" spans="1:36" ht="15.75" x14ac:dyDescent="0.25">
      <c r="A10" s="61">
        <v>46082</v>
      </c>
      <c r="B10" s="62">
        <v>7.0999042792297695</v>
      </c>
      <c r="C10" s="62">
        <v>7.0999042792297695</v>
      </c>
      <c r="D10" s="62">
        <v>7.0999042792297695</v>
      </c>
      <c r="E10" s="62">
        <v>7.0999042792297695</v>
      </c>
      <c r="F10" s="62">
        <v>7.0999042792297695</v>
      </c>
      <c r="G10" s="62">
        <v>7.0999042792297695</v>
      </c>
      <c r="H10" s="62">
        <v>7.0999042792297695</v>
      </c>
      <c r="I10" s="62">
        <v>7.0999042792297695</v>
      </c>
      <c r="J10" s="62">
        <v>7.0999042792297695</v>
      </c>
      <c r="K10" s="62">
        <v>7.0999042792297695</v>
      </c>
      <c r="L10" s="62">
        <v>7.0999042792297695</v>
      </c>
      <c r="M10" s="62">
        <v>7.0999042792297695</v>
      </c>
      <c r="N10" s="62">
        <v>7.0999042792297695</v>
      </c>
      <c r="O10" s="62">
        <v>7.0999042792297695</v>
      </c>
      <c r="P10" s="62">
        <v>7.0999042792297695</v>
      </c>
      <c r="Q10" s="62">
        <v>7.0999042792297695</v>
      </c>
      <c r="R10" s="62">
        <v>7.0999042792297695</v>
      </c>
      <c r="S10" s="62">
        <v>7.0999042792297695</v>
      </c>
      <c r="T10" s="62">
        <v>7.0999042792297695</v>
      </c>
      <c r="U10" s="62">
        <v>7.0999042792297695</v>
      </c>
      <c r="V10" s="62">
        <v>7.0999042792297695</v>
      </c>
      <c r="W10" s="62">
        <v>7.0999042792297695</v>
      </c>
      <c r="X10" s="62">
        <v>7.0999042792297695</v>
      </c>
      <c r="Y10" s="62">
        <v>7.0999042792297695</v>
      </c>
      <c r="Z10" s="63">
        <f t="shared" si="0"/>
        <v>170.39770270151456</v>
      </c>
      <c r="AA10" s="64">
        <v>31</v>
      </c>
      <c r="AB10" s="65">
        <f t="shared" ref="AB10:AB12" si="1">+Z10*AA10</f>
        <v>5282.3287837469516</v>
      </c>
      <c r="AD10" s="42" t="s">
        <v>46</v>
      </c>
    </row>
    <row r="11" spans="1:36" ht="15.75" x14ac:dyDescent="0.25">
      <c r="A11" s="61">
        <v>46113</v>
      </c>
      <c r="B11" s="62">
        <v>7.0999042792297695</v>
      </c>
      <c r="C11" s="62">
        <v>7.0999042792297695</v>
      </c>
      <c r="D11" s="62">
        <v>7.0999042792297695</v>
      </c>
      <c r="E11" s="62">
        <v>7.0999042792297695</v>
      </c>
      <c r="F11" s="62">
        <v>7.0999042792297695</v>
      </c>
      <c r="G11" s="62">
        <v>7.0999042792297695</v>
      </c>
      <c r="H11" s="62">
        <v>7.0999042792297695</v>
      </c>
      <c r="I11" s="62">
        <v>7.0999042792297695</v>
      </c>
      <c r="J11" s="62">
        <v>7.0999042792297695</v>
      </c>
      <c r="K11" s="62">
        <v>7.0999042792297695</v>
      </c>
      <c r="L11" s="62">
        <v>7.0999042792297695</v>
      </c>
      <c r="M11" s="62">
        <v>7.0999042792297695</v>
      </c>
      <c r="N11" s="62">
        <v>7.0999042792297695</v>
      </c>
      <c r="O11" s="62">
        <v>7.0999042792297695</v>
      </c>
      <c r="P11" s="62">
        <v>7.0999042792297695</v>
      </c>
      <c r="Q11" s="62">
        <v>7.0999042792297695</v>
      </c>
      <c r="R11" s="62">
        <v>7.0999042792297695</v>
      </c>
      <c r="S11" s="62">
        <v>7.0999042792297695</v>
      </c>
      <c r="T11" s="62">
        <v>7.0999042792297695</v>
      </c>
      <c r="U11" s="62">
        <v>7.0999042792297695</v>
      </c>
      <c r="V11" s="62">
        <v>7.0999042792297695</v>
      </c>
      <c r="W11" s="62">
        <v>7.0999042792297695</v>
      </c>
      <c r="X11" s="62">
        <v>7.0999042792297695</v>
      </c>
      <c r="Y11" s="62">
        <v>7.0999042792297695</v>
      </c>
      <c r="Z11" s="63">
        <f t="shared" si="0"/>
        <v>170.39770270151456</v>
      </c>
      <c r="AA11" s="64">
        <v>30</v>
      </c>
      <c r="AB11" s="65">
        <f t="shared" si="1"/>
        <v>5111.9310810454372</v>
      </c>
      <c r="AD11" s="42" t="s">
        <v>46</v>
      </c>
    </row>
    <row r="12" spans="1:36" ht="16.5" thickBot="1" x14ac:dyDescent="0.3">
      <c r="A12" s="66">
        <v>46357</v>
      </c>
      <c r="B12" s="62">
        <v>7.0999042792297695</v>
      </c>
      <c r="C12" s="67">
        <v>7.0999042792297695</v>
      </c>
      <c r="D12" s="67">
        <v>7.0999042792297695</v>
      </c>
      <c r="E12" s="67">
        <v>7.0999042792297695</v>
      </c>
      <c r="F12" s="67">
        <v>7.0999042792297695</v>
      </c>
      <c r="G12" s="67">
        <v>7.0999042792297695</v>
      </c>
      <c r="H12" s="67">
        <v>7.0999042792297695</v>
      </c>
      <c r="I12" s="67">
        <v>7.0999042792297695</v>
      </c>
      <c r="J12" s="67">
        <v>7.0999042792297695</v>
      </c>
      <c r="K12" s="67">
        <v>7.0999042792297695</v>
      </c>
      <c r="L12" s="67">
        <v>7.0999042792297695</v>
      </c>
      <c r="M12" s="67">
        <v>7.0999042792297695</v>
      </c>
      <c r="N12" s="67">
        <v>7.0999042792297695</v>
      </c>
      <c r="O12" s="67">
        <v>7.0999042792297695</v>
      </c>
      <c r="P12" s="67">
        <v>7.0999042792297695</v>
      </c>
      <c r="Q12" s="67">
        <v>7.0999042792297695</v>
      </c>
      <c r="R12" s="67">
        <v>7.0999042792297695</v>
      </c>
      <c r="S12" s="67">
        <v>7.0999042792297695</v>
      </c>
      <c r="T12" s="67">
        <v>7.0999042792297695</v>
      </c>
      <c r="U12" s="67">
        <v>7.0999042792297695</v>
      </c>
      <c r="V12" s="67">
        <v>7.0999042792297695</v>
      </c>
      <c r="W12" s="67">
        <v>7.0999042792297695</v>
      </c>
      <c r="X12" s="67">
        <v>7.0999042792297695</v>
      </c>
      <c r="Y12" s="67">
        <v>7.0999042792297695</v>
      </c>
      <c r="Z12" s="68">
        <f t="shared" si="0"/>
        <v>170.39770270151456</v>
      </c>
      <c r="AA12" s="69">
        <v>31</v>
      </c>
      <c r="AB12" s="70">
        <f t="shared" si="1"/>
        <v>5282.3287837469516</v>
      </c>
      <c r="AD12" s="42" t="s">
        <v>46</v>
      </c>
    </row>
    <row r="13" spans="1:36" ht="15.75" x14ac:dyDescent="0.25">
      <c r="A13"/>
      <c r="B13" s="71"/>
      <c r="C13" s="51"/>
      <c r="D13" s="51"/>
      <c r="E13" s="51"/>
      <c r="F13" s="51"/>
      <c r="G13" s="51"/>
      <c r="H13" s="51"/>
      <c r="I13" s="51"/>
      <c r="J13" s="51"/>
      <c r="K13" s="51"/>
      <c r="L13" s="51"/>
      <c r="M13" s="51"/>
      <c r="N13" s="51"/>
      <c r="O13" s="51"/>
      <c r="P13" s="51"/>
      <c r="Q13" s="51"/>
      <c r="R13" s="51"/>
      <c r="S13" s="51"/>
      <c r="T13" s="51"/>
      <c r="U13" s="51"/>
      <c r="V13" s="51"/>
      <c r="W13" s="51"/>
      <c r="X13" s="51"/>
      <c r="Y13" s="51"/>
      <c r="Z13" s="49"/>
      <c r="AA13" s="72"/>
      <c r="AB13"/>
    </row>
    <row r="14" spans="1:36" ht="16.5" thickBot="1" x14ac:dyDescent="0.3">
      <c r="A14"/>
      <c r="B14" s="71"/>
      <c r="C14" s="51"/>
      <c r="D14" s="51"/>
      <c r="E14" s="51"/>
      <c r="F14" s="51"/>
      <c r="G14" s="51"/>
      <c r="H14" s="51"/>
      <c r="I14" s="51"/>
      <c r="J14" s="51"/>
      <c r="K14" s="51"/>
      <c r="L14" s="51"/>
      <c r="M14" s="51"/>
      <c r="N14" s="51"/>
      <c r="O14" s="51"/>
      <c r="P14" s="51"/>
      <c r="Q14" s="51"/>
      <c r="R14" s="51"/>
      <c r="S14" s="51"/>
      <c r="T14" s="51"/>
      <c r="U14" s="51"/>
      <c r="V14" s="51"/>
      <c r="W14" s="51"/>
      <c r="X14" s="51"/>
      <c r="Y14" s="51"/>
      <c r="Z14" s="49"/>
      <c r="AA14" s="72"/>
      <c r="AB14"/>
    </row>
    <row r="15" spans="1:36" ht="16.5" thickBot="1" x14ac:dyDescent="0.3">
      <c r="A15" s="45" t="s">
        <v>47</v>
      </c>
      <c r="B15" s="51"/>
      <c r="C15" s="51"/>
      <c r="D15" s="51"/>
      <c r="E15" s="73"/>
      <c r="F15" s="51"/>
      <c r="G15" s="51"/>
      <c r="H15" s="51"/>
      <c r="I15" s="51"/>
      <c r="J15" s="51"/>
      <c r="K15" s="51"/>
      <c r="L15" s="51"/>
      <c r="M15" s="51"/>
      <c r="N15" s="51"/>
      <c r="O15" s="51"/>
      <c r="P15" s="51"/>
      <c r="Q15" s="51"/>
      <c r="R15" s="51"/>
      <c r="S15" s="51"/>
      <c r="T15" s="51"/>
      <c r="U15" s="51"/>
      <c r="V15" s="51"/>
      <c r="W15" s="51"/>
      <c r="X15" s="51"/>
      <c r="Y15" s="51"/>
      <c r="Z15" s="49"/>
      <c r="AA15" s="72"/>
      <c r="AB15"/>
    </row>
    <row r="16" spans="1:36" ht="16.5" thickBot="1" x14ac:dyDescent="0.3">
      <c r="A16"/>
      <c r="B16" s="71"/>
      <c r="C16" s="51"/>
      <c r="D16" s="51"/>
      <c r="E16" s="51"/>
      <c r="F16" s="51"/>
      <c r="G16" s="51"/>
      <c r="H16" s="51"/>
      <c r="I16" s="51"/>
      <c r="J16" s="51"/>
      <c r="K16" s="51"/>
      <c r="L16" s="51"/>
      <c r="M16" s="51"/>
      <c r="N16" s="51"/>
      <c r="O16" s="51"/>
      <c r="P16" s="51"/>
      <c r="Q16" s="51"/>
      <c r="R16" s="51"/>
      <c r="S16" s="51"/>
      <c r="T16" s="51"/>
      <c r="U16" s="51"/>
      <c r="V16" s="51"/>
      <c r="W16" s="51"/>
      <c r="X16" s="51"/>
      <c r="Y16" s="51"/>
      <c r="Z16" s="49"/>
      <c r="AA16"/>
      <c r="AB16"/>
    </row>
    <row r="17" spans="1:30" ht="15.75" thickBot="1" x14ac:dyDescent="0.25">
      <c r="A17" s="74" t="s">
        <v>20</v>
      </c>
      <c r="B17" s="75" t="s">
        <v>21</v>
      </c>
      <c r="C17" s="75" t="s">
        <v>22</v>
      </c>
      <c r="D17" s="75" t="s">
        <v>23</v>
      </c>
      <c r="E17" s="75" t="s">
        <v>24</v>
      </c>
      <c r="F17" s="75" t="s">
        <v>25</v>
      </c>
      <c r="G17" s="75" t="s">
        <v>26</v>
      </c>
      <c r="H17" s="75" t="s">
        <v>27</v>
      </c>
      <c r="I17" s="75" t="s">
        <v>28</v>
      </c>
      <c r="J17" s="75" t="s">
        <v>29</v>
      </c>
      <c r="K17" s="75" t="s">
        <v>30</v>
      </c>
      <c r="L17" s="75" t="s">
        <v>31</v>
      </c>
      <c r="M17" s="75" t="s">
        <v>32</v>
      </c>
      <c r="N17" s="75" t="s">
        <v>33</v>
      </c>
      <c r="O17" s="75" t="s">
        <v>34</v>
      </c>
      <c r="P17" s="75" t="s">
        <v>35</v>
      </c>
      <c r="Q17" s="75" t="s">
        <v>36</v>
      </c>
      <c r="R17" s="75" t="s">
        <v>37</v>
      </c>
      <c r="S17" s="75" t="s">
        <v>38</v>
      </c>
      <c r="T17" s="75" t="s">
        <v>39</v>
      </c>
      <c r="U17" s="75" t="s">
        <v>40</v>
      </c>
      <c r="V17" s="75" t="s">
        <v>41</v>
      </c>
      <c r="W17" s="75" t="s">
        <v>42</v>
      </c>
      <c r="X17" s="75" t="s">
        <v>43</v>
      </c>
      <c r="Y17" s="75" t="s">
        <v>44</v>
      </c>
      <c r="Z17" s="75" t="s">
        <v>11</v>
      </c>
      <c r="AA17" s="75" t="s">
        <v>45</v>
      </c>
      <c r="AB17" s="55"/>
      <c r="AD17" s="76"/>
    </row>
    <row r="18" spans="1:30" ht="15.75" x14ac:dyDescent="0.25">
      <c r="A18" s="56">
        <f>+A8</f>
        <v>46023</v>
      </c>
      <c r="B18" s="77">
        <f t="shared" ref="B18:Y18" si="2">+B8*$AA18</f>
        <v>220.09703265612285</v>
      </c>
      <c r="C18" s="77">
        <f t="shared" si="2"/>
        <v>220.09703265612285</v>
      </c>
      <c r="D18" s="77">
        <f t="shared" si="2"/>
        <v>220.09703265612285</v>
      </c>
      <c r="E18" s="77">
        <f t="shared" si="2"/>
        <v>220.09703265612285</v>
      </c>
      <c r="F18" s="77">
        <f t="shared" si="2"/>
        <v>220.09703265612285</v>
      </c>
      <c r="G18" s="77">
        <f t="shared" si="2"/>
        <v>220.09703265612285</v>
      </c>
      <c r="H18" s="77">
        <f t="shared" si="2"/>
        <v>220.09703265612285</v>
      </c>
      <c r="I18" s="77">
        <f t="shared" si="2"/>
        <v>220.09703265612285</v>
      </c>
      <c r="J18" s="77">
        <f t="shared" si="2"/>
        <v>220.09703265612285</v>
      </c>
      <c r="K18" s="77">
        <f t="shared" si="2"/>
        <v>220.09703265612285</v>
      </c>
      <c r="L18" s="77">
        <f t="shared" si="2"/>
        <v>220.09703265612285</v>
      </c>
      <c r="M18" s="77">
        <f t="shared" si="2"/>
        <v>220.09703265612285</v>
      </c>
      <c r="N18" s="77">
        <f t="shared" si="2"/>
        <v>220.09703265612285</v>
      </c>
      <c r="O18" s="77">
        <f t="shared" si="2"/>
        <v>220.09703265612285</v>
      </c>
      <c r="P18" s="77">
        <f t="shared" si="2"/>
        <v>220.09703265612285</v>
      </c>
      <c r="Q18" s="77">
        <f t="shared" si="2"/>
        <v>220.09703265612285</v>
      </c>
      <c r="R18" s="77">
        <f t="shared" si="2"/>
        <v>220.09703265612285</v>
      </c>
      <c r="S18" s="77">
        <f t="shared" si="2"/>
        <v>220.09703265612285</v>
      </c>
      <c r="T18" s="77">
        <f t="shared" si="2"/>
        <v>220.09703265612285</v>
      </c>
      <c r="U18" s="77">
        <f t="shared" si="2"/>
        <v>220.09703265612285</v>
      </c>
      <c r="V18" s="77">
        <f t="shared" si="2"/>
        <v>220.09703265612285</v>
      </c>
      <c r="W18" s="77">
        <f t="shared" si="2"/>
        <v>220.09703265612285</v>
      </c>
      <c r="X18" s="77">
        <f t="shared" si="2"/>
        <v>220.09703265612285</v>
      </c>
      <c r="Y18" s="77">
        <f t="shared" si="2"/>
        <v>220.09703265612285</v>
      </c>
      <c r="Z18" s="78">
        <f t="shared" ref="Z18:Z22" si="3">SUM(B18:Y18)</f>
        <v>5282.3287837469479</v>
      </c>
      <c r="AA18" s="59">
        <f>+AA8</f>
        <v>31</v>
      </c>
      <c r="AB18" s="60"/>
      <c r="AD18" s="76"/>
    </row>
    <row r="19" spans="1:30" ht="15.75" x14ac:dyDescent="0.25">
      <c r="A19" s="61">
        <f>+A9</f>
        <v>46054</v>
      </c>
      <c r="B19" s="79">
        <f t="shared" ref="B19:Y19" si="4">+B9*$AA19</f>
        <v>198.79731981843355</v>
      </c>
      <c r="C19" s="79">
        <f t="shared" si="4"/>
        <v>198.79731981843355</v>
      </c>
      <c r="D19" s="79">
        <f t="shared" si="4"/>
        <v>198.79731981843355</v>
      </c>
      <c r="E19" s="79">
        <f t="shared" si="4"/>
        <v>198.79731981843355</v>
      </c>
      <c r="F19" s="79">
        <f t="shared" si="4"/>
        <v>198.79731981843355</v>
      </c>
      <c r="G19" s="79">
        <f t="shared" si="4"/>
        <v>198.79731981843355</v>
      </c>
      <c r="H19" s="79">
        <f t="shared" si="4"/>
        <v>198.79731981843355</v>
      </c>
      <c r="I19" s="79">
        <f t="shared" si="4"/>
        <v>198.79731981843355</v>
      </c>
      <c r="J19" s="79">
        <f t="shared" si="4"/>
        <v>198.79731981843355</v>
      </c>
      <c r="K19" s="79">
        <f t="shared" si="4"/>
        <v>198.79731981843355</v>
      </c>
      <c r="L19" s="79">
        <f t="shared" si="4"/>
        <v>198.79731981843355</v>
      </c>
      <c r="M19" s="79">
        <f t="shared" si="4"/>
        <v>198.79731981843355</v>
      </c>
      <c r="N19" s="79">
        <f t="shared" si="4"/>
        <v>198.79731981843355</v>
      </c>
      <c r="O19" s="79">
        <f t="shared" si="4"/>
        <v>198.79731981843355</v>
      </c>
      <c r="P19" s="79">
        <f t="shared" si="4"/>
        <v>198.79731981843355</v>
      </c>
      <c r="Q19" s="79">
        <f t="shared" si="4"/>
        <v>198.79731981843355</v>
      </c>
      <c r="R19" s="79">
        <f t="shared" si="4"/>
        <v>198.79731981843355</v>
      </c>
      <c r="S19" s="79">
        <f t="shared" si="4"/>
        <v>198.79731981843355</v>
      </c>
      <c r="T19" s="79">
        <f t="shared" si="4"/>
        <v>198.79731981843355</v>
      </c>
      <c r="U19" s="79">
        <f t="shared" si="4"/>
        <v>198.79731981843355</v>
      </c>
      <c r="V19" s="79">
        <f t="shared" si="4"/>
        <v>198.79731981843355</v>
      </c>
      <c r="W19" s="79">
        <f t="shared" si="4"/>
        <v>198.79731981843355</v>
      </c>
      <c r="X19" s="79">
        <f t="shared" si="4"/>
        <v>198.79731981843355</v>
      </c>
      <c r="Y19" s="79">
        <f t="shared" si="4"/>
        <v>198.79731981843355</v>
      </c>
      <c r="Z19" s="80">
        <f t="shared" si="3"/>
        <v>4771.1356756424057</v>
      </c>
      <c r="AA19" s="64">
        <f>+AA9</f>
        <v>28</v>
      </c>
      <c r="AB19" s="65"/>
      <c r="AD19" s="76"/>
    </row>
    <row r="20" spans="1:30" ht="15.75" x14ac:dyDescent="0.25">
      <c r="A20" s="61">
        <f>+A10</f>
        <v>46082</v>
      </c>
      <c r="B20" s="79">
        <f t="shared" ref="B20:Y20" si="5">+B10*$AA20</f>
        <v>220.09703265612285</v>
      </c>
      <c r="C20" s="79">
        <f t="shared" si="5"/>
        <v>220.09703265612285</v>
      </c>
      <c r="D20" s="79">
        <f t="shared" si="5"/>
        <v>220.09703265612285</v>
      </c>
      <c r="E20" s="79">
        <f t="shared" si="5"/>
        <v>220.09703265612285</v>
      </c>
      <c r="F20" s="79">
        <f t="shared" si="5"/>
        <v>220.09703265612285</v>
      </c>
      <c r="G20" s="79">
        <f t="shared" si="5"/>
        <v>220.09703265612285</v>
      </c>
      <c r="H20" s="79">
        <f t="shared" si="5"/>
        <v>220.09703265612285</v>
      </c>
      <c r="I20" s="79">
        <f t="shared" si="5"/>
        <v>220.09703265612285</v>
      </c>
      <c r="J20" s="79">
        <f t="shared" si="5"/>
        <v>220.09703265612285</v>
      </c>
      <c r="K20" s="79">
        <f t="shared" si="5"/>
        <v>220.09703265612285</v>
      </c>
      <c r="L20" s="79">
        <f t="shared" si="5"/>
        <v>220.09703265612285</v>
      </c>
      <c r="M20" s="79">
        <f t="shared" si="5"/>
        <v>220.09703265612285</v>
      </c>
      <c r="N20" s="79">
        <f t="shared" si="5"/>
        <v>220.09703265612285</v>
      </c>
      <c r="O20" s="79">
        <f t="shared" si="5"/>
        <v>220.09703265612285</v>
      </c>
      <c r="P20" s="79">
        <f t="shared" si="5"/>
        <v>220.09703265612285</v>
      </c>
      <c r="Q20" s="79">
        <f t="shared" si="5"/>
        <v>220.09703265612285</v>
      </c>
      <c r="R20" s="79">
        <f t="shared" si="5"/>
        <v>220.09703265612285</v>
      </c>
      <c r="S20" s="79">
        <f t="shared" si="5"/>
        <v>220.09703265612285</v>
      </c>
      <c r="T20" s="79">
        <f t="shared" si="5"/>
        <v>220.09703265612285</v>
      </c>
      <c r="U20" s="79">
        <f t="shared" si="5"/>
        <v>220.09703265612285</v>
      </c>
      <c r="V20" s="79">
        <f t="shared" si="5"/>
        <v>220.09703265612285</v>
      </c>
      <c r="W20" s="79">
        <f t="shared" si="5"/>
        <v>220.09703265612285</v>
      </c>
      <c r="X20" s="79">
        <f t="shared" si="5"/>
        <v>220.09703265612285</v>
      </c>
      <c r="Y20" s="79">
        <f t="shared" si="5"/>
        <v>220.09703265612285</v>
      </c>
      <c r="Z20" s="80">
        <f t="shared" si="3"/>
        <v>5282.3287837469479</v>
      </c>
      <c r="AA20" s="64">
        <f>+AA10</f>
        <v>31</v>
      </c>
      <c r="AB20" s="65"/>
      <c r="AD20" s="76"/>
    </row>
    <row r="21" spans="1:30" ht="15.75" x14ac:dyDescent="0.25">
      <c r="A21" s="61">
        <f>+A11</f>
        <v>46113</v>
      </c>
      <c r="B21" s="79">
        <f t="shared" ref="B21:Y21" si="6">+B11*$AA21</f>
        <v>212.99712837689307</v>
      </c>
      <c r="C21" s="79">
        <f t="shared" si="6"/>
        <v>212.99712837689307</v>
      </c>
      <c r="D21" s="79">
        <f t="shared" si="6"/>
        <v>212.99712837689307</v>
      </c>
      <c r="E21" s="79">
        <f t="shared" si="6"/>
        <v>212.99712837689307</v>
      </c>
      <c r="F21" s="79">
        <f t="shared" si="6"/>
        <v>212.99712837689307</v>
      </c>
      <c r="G21" s="79">
        <f t="shared" si="6"/>
        <v>212.99712837689307</v>
      </c>
      <c r="H21" s="79">
        <f t="shared" si="6"/>
        <v>212.99712837689307</v>
      </c>
      <c r="I21" s="79">
        <f t="shared" si="6"/>
        <v>212.99712837689307</v>
      </c>
      <c r="J21" s="79">
        <f t="shared" si="6"/>
        <v>212.99712837689307</v>
      </c>
      <c r="K21" s="79">
        <f t="shared" si="6"/>
        <v>212.99712837689307</v>
      </c>
      <c r="L21" s="79">
        <f t="shared" si="6"/>
        <v>212.99712837689307</v>
      </c>
      <c r="M21" s="79">
        <f t="shared" si="6"/>
        <v>212.99712837689307</v>
      </c>
      <c r="N21" s="79">
        <f t="shared" si="6"/>
        <v>212.99712837689307</v>
      </c>
      <c r="O21" s="79">
        <f t="shared" si="6"/>
        <v>212.99712837689307</v>
      </c>
      <c r="P21" s="79">
        <f t="shared" si="6"/>
        <v>212.99712837689307</v>
      </c>
      <c r="Q21" s="79">
        <f t="shared" si="6"/>
        <v>212.99712837689307</v>
      </c>
      <c r="R21" s="79">
        <f t="shared" si="6"/>
        <v>212.99712837689307</v>
      </c>
      <c r="S21" s="79">
        <f t="shared" si="6"/>
        <v>212.99712837689307</v>
      </c>
      <c r="T21" s="79">
        <f t="shared" si="6"/>
        <v>212.99712837689307</v>
      </c>
      <c r="U21" s="79">
        <f t="shared" si="6"/>
        <v>212.99712837689307</v>
      </c>
      <c r="V21" s="79">
        <f t="shared" si="6"/>
        <v>212.99712837689307</v>
      </c>
      <c r="W21" s="79">
        <f t="shared" si="6"/>
        <v>212.99712837689307</v>
      </c>
      <c r="X21" s="79">
        <f t="shared" si="6"/>
        <v>212.99712837689307</v>
      </c>
      <c r="Y21" s="79">
        <f t="shared" si="6"/>
        <v>212.99712837689307</v>
      </c>
      <c r="Z21" s="80">
        <f t="shared" si="3"/>
        <v>5111.9310810454335</v>
      </c>
      <c r="AA21" s="64">
        <f>+AA11</f>
        <v>30</v>
      </c>
      <c r="AB21" s="65"/>
      <c r="AD21" s="76"/>
    </row>
    <row r="22" spans="1:30" ht="16.5" thickBot="1" x14ac:dyDescent="0.3">
      <c r="A22" s="66">
        <f>+A12</f>
        <v>46357</v>
      </c>
      <c r="B22" s="81">
        <f t="shared" ref="B22:Y22" si="7">+B12*$AA22</f>
        <v>220.09703265612285</v>
      </c>
      <c r="C22" s="81">
        <f t="shared" si="7"/>
        <v>220.09703265612285</v>
      </c>
      <c r="D22" s="81">
        <f t="shared" si="7"/>
        <v>220.09703265612285</v>
      </c>
      <c r="E22" s="81">
        <f t="shared" si="7"/>
        <v>220.09703265612285</v>
      </c>
      <c r="F22" s="81">
        <f t="shared" si="7"/>
        <v>220.09703265612285</v>
      </c>
      <c r="G22" s="81">
        <f t="shared" si="7"/>
        <v>220.09703265612285</v>
      </c>
      <c r="H22" s="81">
        <f t="shared" si="7"/>
        <v>220.09703265612285</v>
      </c>
      <c r="I22" s="81">
        <f t="shared" si="7"/>
        <v>220.09703265612285</v>
      </c>
      <c r="J22" s="81">
        <f t="shared" si="7"/>
        <v>220.09703265612285</v>
      </c>
      <c r="K22" s="81">
        <f t="shared" si="7"/>
        <v>220.09703265612285</v>
      </c>
      <c r="L22" s="81">
        <f t="shared" si="7"/>
        <v>220.09703265612285</v>
      </c>
      <c r="M22" s="81">
        <f t="shared" si="7"/>
        <v>220.09703265612285</v>
      </c>
      <c r="N22" s="81">
        <f t="shared" si="7"/>
        <v>220.09703265612285</v>
      </c>
      <c r="O22" s="81">
        <f t="shared" si="7"/>
        <v>220.09703265612285</v>
      </c>
      <c r="P22" s="81">
        <f t="shared" si="7"/>
        <v>220.09703265612285</v>
      </c>
      <c r="Q22" s="81">
        <f t="shared" si="7"/>
        <v>220.09703265612285</v>
      </c>
      <c r="R22" s="81">
        <f t="shared" si="7"/>
        <v>220.09703265612285</v>
      </c>
      <c r="S22" s="81">
        <f t="shared" si="7"/>
        <v>220.09703265612285</v>
      </c>
      <c r="T22" s="81">
        <f t="shared" si="7"/>
        <v>220.09703265612285</v>
      </c>
      <c r="U22" s="81">
        <f t="shared" si="7"/>
        <v>220.09703265612285</v>
      </c>
      <c r="V22" s="81">
        <f t="shared" si="7"/>
        <v>220.09703265612285</v>
      </c>
      <c r="W22" s="81">
        <f t="shared" si="7"/>
        <v>220.09703265612285</v>
      </c>
      <c r="X22" s="81">
        <f t="shared" si="7"/>
        <v>220.09703265612285</v>
      </c>
      <c r="Y22" s="81">
        <f t="shared" si="7"/>
        <v>220.09703265612285</v>
      </c>
      <c r="Z22" s="82">
        <f t="shared" si="3"/>
        <v>5282.3287837469479</v>
      </c>
      <c r="AA22" s="69">
        <f>+AA12</f>
        <v>31</v>
      </c>
      <c r="AB22" s="70"/>
      <c r="AD22" s="76"/>
    </row>
  </sheetData>
  <conditionalFormatting sqref="B1:Y1048576 AA8:AA12 AA18:AA22">
    <cfRule type="cellIs" dxfId="24" priority="2" operator="lessThan">
      <formula>0</formula>
    </cfRule>
  </conditionalFormatting>
  <pageMargins left="0.75" right="0.75" top="1" bottom="1" header="0" footer="0"/>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B3B09-C1EC-4BE7-8DEB-B3DCC5CCFA6C}">
  <sheetPr>
    <tabColor theme="9" tint="0.39997558519241921"/>
  </sheetPr>
  <dimension ref="A1:M27"/>
  <sheetViews>
    <sheetView view="pageBreakPreview" zoomScale="60" zoomScaleNormal="100" zoomScalePageLayoutView="30" workbookViewId="0">
      <selection activeCell="B22" sqref="B22:L22"/>
    </sheetView>
  </sheetViews>
  <sheetFormatPr baseColWidth="10" defaultColWidth="17.85546875" defaultRowHeight="24.75" x14ac:dyDescent="0.3"/>
  <cols>
    <col min="1" max="1" width="11.42578125" style="1" customWidth="1"/>
    <col min="2" max="2" width="16.42578125" style="1" bestFit="1" customWidth="1"/>
    <col min="3" max="3" width="14.85546875" style="1" customWidth="1"/>
    <col min="4" max="4" width="16.42578125" style="1" customWidth="1"/>
    <col min="5" max="5" width="22.7109375" style="1" customWidth="1"/>
    <col min="6" max="6" width="21.140625" style="1" customWidth="1"/>
    <col min="7" max="7" width="23" style="1" customWidth="1"/>
    <col min="8" max="10" width="22.7109375" style="1" customWidth="1"/>
    <col min="11" max="11" width="28.42578125" style="1" customWidth="1"/>
    <col min="12" max="12" width="15.42578125" style="1" customWidth="1"/>
    <col min="13" max="13" width="8.85546875" style="1" bestFit="1" customWidth="1"/>
    <col min="14" max="16384" width="17.85546875" style="1"/>
  </cols>
  <sheetData>
    <row r="1" spans="1:13" ht="171.2" customHeight="1" x14ac:dyDescent="0.3"/>
    <row r="2" spans="1:13" x14ac:dyDescent="0.3">
      <c r="A2" s="2"/>
      <c r="B2" s="2"/>
      <c r="C2" s="2"/>
      <c r="D2" s="114" t="s">
        <v>0</v>
      </c>
      <c r="E2" s="114"/>
      <c r="F2" s="114"/>
      <c r="G2" s="114"/>
      <c r="H2" s="114"/>
      <c r="I2" s="114"/>
      <c r="J2" s="114"/>
      <c r="K2" s="2"/>
      <c r="L2" s="2"/>
      <c r="M2" s="2"/>
    </row>
    <row r="3" spans="1:13" ht="89.25" customHeight="1" x14ac:dyDescent="0.3">
      <c r="A3" s="2"/>
      <c r="B3" s="2"/>
      <c r="C3" s="115" t="s">
        <v>1</v>
      </c>
      <c r="D3" s="115"/>
      <c r="E3" s="115"/>
      <c r="F3" s="115"/>
      <c r="G3" s="115"/>
      <c r="H3" s="115"/>
      <c r="I3" s="115"/>
      <c r="J3" s="115"/>
      <c r="K3" s="115"/>
      <c r="L3" s="2"/>
      <c r="M3" s="2"/>
    </row>
    <row r="4" spans="1:13" x14ac:dyDescent="0.3">
      <c r="A4" s="2"/>
      <c r="B4" s="2"/>
      <c r="C4" s="3"/>
      <c r="D4" s="116" t="s">
        <v>48</v>
      </c>
      <c r="E4" s="116"/>
      <c r="F4" s="116"/>
      <c r="G4" s="116"/>
      <c r="H4" s="116"/>
      <c r="I4" s="116"/>
      <c r="J4" s="116"/>
      <c r="K4" s="3"/>
      <c r="L4" s="2"/>
      <c r="M4" s="2"/>
    </row>
    <row r="5" spans="1:13" ht="19.5" customHeight="1" x14ac:dyDescent="0.3">
      <c r="A5" s="4"/>
      <c r="B5" s="5"/>
      <c r="C5" s="5"/>
      <c r="D5" s="6"/>
      <c r="E5" s="7"/>
      <c r="F5" s="7"/>
      <c r="G5" s="7"/>
      <c r="H5" s="7"/>
      <c r="I5" s="7"/>
      <c r="J5" s="8"/>
      <c r="K5" s="9"/>
      <c r="L5" s="4"/>
      <c r="M5" s="4"/>
    </row>
    <row r="6" spans="1:13" x14ac:dyDescent="0.3">
      <c r="A6" s="4"/>
      <c r="B6" s="5"/>
      <c r="C6" s="10" t="s">
        <v>3</v>
      </c>
      <c r="D6" s="5"/>
      <c r="E6" s="5"/>
      <c r="G6" s="5"/>
      <c r="H6" s="5"/>
      <c r="I6" s="5"/>
      <c r="J6" s="5"/>
      <c r="K6" s="9"/>
      <c r="L6" s="4"/>
      <c r="M6" s="4"/>
    </row>
    <row r="7" spans="1:13" x14ac:dyDescent="0.3">
      <c r="A7" s="4"/>
      <c r="B7" s="5"/>
      <c r="C7" s="10" t="s">
        <v>4</v>
      </c>
      <c r="D7" s="5"/>
      <c r="E7" s="5"/>
      <c r="G7" s="5"/>
      <c r="H7" s="5"/>
      <c r="I7" s="5"/>
      <c r="J7" s="5"/>
      <c r="K7" s="9"/>
      <c r="L7" s="4"/>
      <c r="M7" s="4"/>
    </row>
    <row r="8" spans="1:13" x14ac:dyDescent="0.3">
      <c r="B8" s="11"/>
      <c r="C8" s="10" t="s">
        <v>5</v>
      </c>
      <c r="D8" s="5"/>
      <c r="E8" s="5"/>
      <c r="G8" s="11"/>
      <c r="H8" s="11"/>
      <c r="I8" s="11"/>
      <c r="J8" s="11"/>
      <c r="K8" s="12"/>
    </row>
    <row r="9" spans="1:13" x14ac:dyDescent="0.3">
      <c r="B9" s="11"/>
      <c r="C9" s="13" t="str">
        <f>"PRODUCTO OFERTADO: "&amp;D4</f>
        <v>PRODUCTO OFERTADO: PRODUCTO No. 2</v>
      </c>
      <c r="D9" s="5"/>
      <c r="E9" s="5"/>
      <c r="G9" s="11"/>
      <c r="H9" s="11"/>
      <c r="I9" s="11"/>
      <c r="J9" s="11"/>
      <c r="K9" s="12"/>
    </row>
    <row r="10" spans="1:13" x14ac:dyDescent="0.3">
      <c r="B10" s="11"/>
      <c r="C10" s="13"/>
      <c r="D10" s="5"/>
      <c r="E10" s="5"/>
      <c r="G10" s="11"/>
      <c r="H10" s="11"/>
      <c r="I10" s="11"/>
      <c r="J10" s="11"/>
      <c r="K10" s="12"/>
    </row>
    <row r="11" spans="1:13" x14ac:dyDescent="0.3">
      <c r="B11" s="11"/>
      <c r="C11" s="10" t="s">
        <v>62</v>
      </c>
      <c r="D11" s="14"/>
      <c r="E11" s="14"/>
      <c r="F11" s="15"/>
      <c r="G11" s="11"/>
      <c r="H11" s="11"/>
      <c r="I11" s="11"/>
      <c r="J11" s="11"/>
      <c r="K11" s="12"/>
    </row>
    <row r="12" spans="1:13" x14ac:dyDescent="0.3">
      <c r="B12" s="16"/>
      <c r="C12" s="15"/>
    </row>
    <row r="13" spans="1:13" x14ac:dyDescent="0.3">
      <c r="F13" s="117" t="str">
        <f>"Oferta " &amp; PROPER(D4)</f>
        <v>Oferta Producto No. 2</v>
      </c>
      <c r="G13" s="117"/>
      <c r="H13" s="117"/>
      <c r="I13" s="117"/>
      <c r="J13" s="117"/>
    </row>
    <row r="14" spans="1:13" ht="72.75" customHeight="1" x14ac:dyDescent="0.3">
      <c r="F14" s="17" t="s">
        <v>6</v>
      </c>
      <c r="G14" s="18" t="s">
        <v>7</v>
      </c>
      <c r="H14" s="18" t="s">
        <v>8</v>
      </c>
      <c r="I14" s="18" t="s">
        <v>9</v>
      </c>
      <c r="J14" s="19" t="s">
        <v>10</v>
      </c>
    </row>
    <row r="15" spans="1:13" x14ac:dyDescent="0.3">
      <c r="A15" s="20">
        <v>22.85</v>
      </c>
      <c r="B15" s="20">
        <v>31</v>
      </c>
      <c r="F15" s="21">
        <f>+'Cantidades Producto No. 2'!A16</f>
        <v>46023</v>
      </c>
      <c r="G15" s="22">
        <v>9948.5347327947056</v>
      </c>
      <c r="H15" s="23"/>
      <c r="I15" s="24"/>
      <c r="J15" s="25"/>
      <c r="L15" s="26"/>
      <c r="M15" s="26"/>
    </row>
    <row r="16" spans="1:13" x14ac:dyDescent="0.3">
      <c r="F16" s="30" t="s">
        <v>11</v>
      </c>
      <c r="G16" s="31">
        <f>SUM(G15:G15)</f>
        <v>9948.5347327947056</v>
      </c>
      <c r="H16" s="32"/>
      <c r="I16" s="32"/>
      <c r="J16" s="33"/>
    </row>
    <row r="17" spans="1:12" x14ac:dyDescent="0.3">
      <c r="F17" s="34"/>
      <c r="G17" s="35"/>
    </row>
    <row r="18" spans="1:12" x14ac:dyDescent="0.3">
      <c r="B18" s="36" t="s">
        <v>12</v>
      </c>
      <c r="C18" s="37"/>
      <c r="D18" s="37"/>
      <c r="E18" s="37"/>
      <c r="F18" s="37"/>
      <c r="G18" s="37"/>
      <c r="L18" s="37"/>
    </row>
    <row r="19" spans="1:12" x14ac:dyDescent="0.3">
      <c r="B19" s="36"/>
      <c r="C19" s="37"/>
      <c r="D19" s="37"/>
      <c r="E19" s="37"/>
      <c r="F19" s="37"/>
      <c r="G19" s="37"/>
      <c r="H19" s="37"/>
      <c r="I19" s="37"/>
      <c r="J19" s="37"/>
      <c r="K19" s="37"/>
      <c r="L19" s="37"/>
    </row>
    <row r="20" spans="1:12" ht="24.75" customHeight="1" x14ac:dyDescent="0.3">
      <c r="B20" s="112" t="s">
        <v>13</v>
      </c>
      <c r="C20" s="112"/>
      <c r="D20" s="112"/>
      <c r="E20" s="112"/>
      <c r="F20" s="112"/>
      <c r="G20" s="112"/>
      <c r="H20" s="112"/>
      <c r="I20" s="112"/>
      <c r="J20" s="112"/>
      <c r="K20" s="112"/>
      <c r="L20" s="112"/>
    </row>
    <row r="21" spans="1:12" ht="39" customHeight="1" x14ac:dyDescent="0.3">
      <c r="B21" s="112" t="str">
        <f>"(2) Las cantidades se distribuyen de acuerdo a la curva del Anexo 1. Ofertas y Cantidades "&amp; D4 &amp;" de los Pliegos de Condiciones Definitivos"</f>
        <v>(2) Las cantidades se distribuyen de acuerdo a la curva del Anexo 1. Ofertas y Cantidades PRODUCTO No. 2 de los Pliegos de Condiciones Definitivos</v>
      </c>
      <c r="C21" s="112"/>
      <c r="D21" s="112"/>
      <c r="E21" s="112"/>
      <c r="F21" s="112"/>
      <c r="G21" s="112"/>
      <c r="H21" s="112"/>
      <c r="I21" s="112"/>
      <c r="J21" s="112"/>
      <c r="K21" s="112"/>
      <c r="L21" s="112"/>
    </row>
    <row r="22" spans="1:12" ht="83.25" customHeight="1" x14ac:dyDescent="0.3">
      <c r="B22" s="113" t="s">
        <v>64</v>
      </c>
      <c r="C22" s="113"/>
      <c r="D22" s="113"/>
      <c r="E22" s="113"/>
      <c r="F22" s="113"/>
      <c r="G22" s="113"/>
      <c r="H22" s="113"/>
      <c r="I22" s="113"/>
      <c r="J22" s="113"/>
      <c r="K22" s="113"/>
      <c r="L22" s="113"/>
    </row>
    <row r="23" spans="1:12" ht="43.5" customHeight="1" x14ac:dyDescent="0.3">
      <c r="B23" s="113" t="s">
        <v>14</v>
      </c>
      <c r="C23" s="113"/>
      <c r="D23" s="113"/>
      <c r="E23" s="113"/>
      <c r="F23" s="113"/>
      <c r="G23" s="113"/>
      <c r="H23" s="113"/>
      <c r="I23" s="113"/>
      <c r="J23" s="113"/>
      <c r="K23" s="113"/>
      <c r="L23" s="113"/>
    </row>
    <row r="24" spans="1:12" ht="60" customHeight="1" x14ac:dyDescent="0.3">
      <c r="B24" s="113" t="s">
        <v>15</v>
      </c>
      <c r="C24" s="113"/>
      <c r="D24" s="113"/>
      <c r="E24" s="113"/>
      <c r="F24" s="113"/>
      <c r="G24" s="113"/>
      <c r="H24" s="113"/>
      <c r="I24" s="113"/>
      <c r="J24" s="113"/>
      <c r="K24" s="113"/>
      <c r="L24" s="113"/>
    </row>
    <row r="25" spans="1:12" ht="80.25" customHeight="1" x14ac:dyDescent="0.3">
      <c r="A25" s="15"/>
      <c r="B25" s="113" t="s">
        <v>16</v>
      </c>
      <c r="C25" s="113"/>
      <c r="D25" s="113"/>
      <c r="E25" s="113"/>
      <c r="F25" s="113"/>
      <c r="G25" s="113"/>
      <c r="H25" s="113"/>
      <c r="I25" s="113"/>
      <c r="J25" s="113"/>
      <c r="K25" s="113"/>
      <c r="L25" s="113"/>
    </row>
    <row r="27" spans="1:12" ht="24.75" customHeight="1" x14ac:dyDescent="0.3">
      <c r="B27" s="38"/>
      <c r="C27" s="38"/>
      <c r="D27" s="38"/>
      <c r="E27" s="38"/>
      <c r="F27" s="38"/>
      <c r="G27" s="38"/>
      <c r="H27" s="38"/>
      <c r="I27" s="38"/>
      <c r="J27" s="38"/>
      <c r="K27" s="38"/>
      <c r="L27" s="38"/>
    </row>
  </sheetData>
  <mergeCells count="10">
    <mergeCell ref="B22:L22"/>
    <mergeCell ref="B23:L23"/>
    <mergeCell ref="B24:L24"/>
    <mergeCell ref="B25:L25"/>
    <mergeCell ref="D2:J2"/>
    <mergeCell ref="C3:K3"/>
    <mergeCell ref="D4:J4"/>
    <mergeCell ref="F13:J13"/>
    <mergeCell ref="B20:L20"/>
    <mergeCell ref="B21:L21"/>
  </mergeCells>
  <printOptions horizontalCentered="1" verticalCentered="1"/>
  <pageMargins left="0" right="0.39370078740157483" top="0.19685039370078741" bottom="0.19685039370078741" header="0.39370078740157483" footer="0.39370078740157483"/>
  <pageSetup scale="39" orientation="portrait" r:id="rId1"/>
  <colBreaks count="1" manualBreakCount="1">
    <brk id="14"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4E768-C3DD-4325-9618-DFB2798FE70D}">
  <sheetPr>
    <tabColor theme="9" tint="0.39997558519241921"/>
  </sheetPr>
  <dimension ref="A1:AE19"/>
  <sheetViews>
    <sheetView showGridLines="0" zoomScale="70" zoomScaleNormal="70" workbookViewId="0">
      <selection activeCell="A7" sqref="A7"/>
    </sheetView>
  </sheetViews>
  <sheetFormatPr baseColWidth="10" defaultColWidth="14.42578125" defaultRowHeight="15" x14ac:dyDescent="0.2"/>
  <cols>
    <col min="1" max="1" width="93.140625" style="39" bestFit="1" customWidth="1"/>
    <col min="2" max="20" width="7.28515625" style="83" bestFit="1" customWidth="1"/>
    <col min="21" max="21" width="7.7109375" style="83" bestFit="1" customWidth="1"/>
    <col min="22" max="25" width="7.28515625" style="83" bestFit="1" customWidth="1"/>
    <col min="26" max="26" width="13.85546875" style="84" bestFit="1" customWidth="1"/>
    <col min="27" max="27" width="8.5703125" style="39" bestFit="1" customWidth="1"/>
    <col min="28" max="28" width="9.7109375" style="39" customWidth="1"/>
    <col min="29" max="29" width="5.28515625" style="39" customWidth="1"/>
    <col min="30" max="30" width="28.7109375" style="39" bestFit="1" customWidth="1"/>
    <col min="31" max="31" width="14.42578125" style="85"/>
    <col min="32" max="16384" width="14.42578125" style="39"/>
  </cols>
  <sheetData>
    <row r="1" spans="1:31" ht="93" customHeight="1" thickBot="1" x14ac:dyDescent="0.25"/>
    <row r="2" spans="1:31" ht="23.25" x14ac:dyDescent="0.35">
      <c r="A2" s="43" t="s">
        <v>18</v>
      </c>
    </row>
    <row r="3" spans="1:31" ht="21" thickBot="1" x14ac:dyDescent="0.35">
      <c r="A3" s="44" t="s">
        <v>48</v>
      </c>
    </row>
    <row r="4" spans="1:31" ht="15.75" thickBot="1" x14ac:dyDescent="0.25"/>
    <row r="5" spans="1:31" ht="16.5" thickBot="1" x14ac:dyDescent="0.3">
      <c r="A5" s="45"/>
      <c r="B5" s="86"/>
      <c r="C5" s="86"/>
      <c r="D5" s="86"/>
      <c r="E5" s="87"/>
      <c r="F5" s="86"/>
      <c r="G5" s="86"/>
      <c r="H5" s="86"/>
      <c r="I5" s="86"/>
      <c r="J5" s="86"/>
      <c r="K5" s="88"/>
      <c r="L5" s="88"/>
      <c r="M5" s="88"/>
      <c r="N5" s="88"/>
      <c r="O5" s="88"/>
      <c r="P5" s="88"/>
      <c r="Q5" s="88"/>
      <c r="R5" s="88"/>
      <c r="S5" s="88"/>
      <c r="T5" s="88"/>
      <c r="U5" s="88"/>
      <c r="V5" s="88"/>
      <c r="W5" s="88"/>
      <c r="X5" s="88"/>
      <c r="Y5" s="88"/>
      <c r="Z5" s="89"/>
      <c r="AA5"/>
      <c r="AB5" s="50"/>
      <c r="AD5" s="50"/>
    </row>
    <row r="6" spans="1:31" ht="16.5" thickBot="1" x14ac:dyDescent="0.3">
      <c r="A6"/>
      <c r="B6" s="86"/>
      <c r="C6" s="86"/>
      <c r="D6" s="86"/>
      <c r="E6" s="86"/>
      <c r="F6" s="86"/>
      <c r="G6" s="86"/>
      <c r="H6" s="86"/>
      <c r="I6" s="86"/>
      <c r="J6" s="86"/>
      <c r="K6" s="90"/>
      <c r="L6" s="90"/>
      <c r="M6" s="90"/>
      <c r="N6" s="90"/>
      <c r="O6" s="90"/>
      <c r="P6" s="90"/>
      <c r="Q6" s="90"/>
      <c r="R6" s="90"/>
      <c r="S6" s="90"/>
      <c r="T6" s="90"/>
      <c r="U6" s="90"/>
      <c r="V6" s="90"/>
      <c r="W6" s="90"/>
      <c r="X6" s="90"/>
      <c r="Y6" s="90"/>
      <c r="Z6" s="89"/>
      <c r="AA6"/>
      <c r="AB6"/>
      <c r="AD6"/>
      <c r="AE6" s="42"/>
    </row>
    <row r="7" spans="1:31" ht="15.95" customHeight="1" thickBot="1" x14ac:dyDescent="0.25">
      <c r="A7" s="52" t="s">
        <v>20</v>
      </c>
      <c r="B7" s="53" t="s">
        <v>21</v>
      </c>
      <c r="C7" s="53" t="s">
        <v>22</v>
      </c>
      <c r="D7" s="53" t="s">
        <v>23</v>
      </c>
      <c r="E7" s="53" t="s">
        <v>24</v>
      </c>
      <c r="F7" s="53" t="s">
        <v>25</v>
      </c>
      <c r="G7" s="53" t="s">
        <v>26</v>
      </c>
      <c r="H7" s="53" t="s">
        <v>27</v>
      </c>
      <c r="I7" s="53" t="s">
        <v>28</v>
      </c>
      <c r="J7" s="53" t="s">
        <v>29</v>
      </c>
      <c r="K7" s="53" t="s">
        <v>30</v>
      </c>
      <c r="L7" s="53" t="s">
        <v>31</v>
      </c>
      <c r="M7" s="53" t="s">
        <v>32</v>
      </c>
      <c r="N7" s="53" t="s">
        <v>33</v>
      </c>
      <c r="O7" s="53" t="s">
        <v>34</v>
      </c>
      <c r="P7" s="53" t="s">
        <v>35</v>
      </c>
      <c r="Q7" s="53" t="s">
        <v>36</v>
      </c>
      <c r="R7" s="53" t="s">
        <v>37</v>
      </c>
      <c r="S7" s="53" t="s">
        <v>38</v>
      </c>
      <c r="T7" s="53" t="s">
        <v>39</v>
      </c>
      <c r="U7" s="53" t="s">
        <v>40</v>
      </c>
      <c r="V7" s="53" t="s">
        <v>41</v>
      </c>
      <c r="W7" s="53" t="s">
        <v>42</v>
      </c>
      <c r="X7" s="53" t="s">
        <v>43</v>
      </c>
      <c r="Y7" s="53" t="s">
        <v>44</v>
      </c>
      <c r="Z7" s="53" t="s">
        <v>11</v>
      </c>
      <c r="AA7" s="54" t="s">
        <v>45</v>
      </c>
      <c r="AB7" s="55"/>
      <c r="AC7" s="85"/>
      <c r="AD7" s="91" t="s">
        <v>49</v>
      </c>
    </row>
    <row r="8" spans="1:31" ht="16.5" thickBot="1" x14ac:dyDescent="0.3">
      <c r="A8" s="56">
        <f>+$A$16</f>
        <v>46023</v>
      </c>
      <c r="B8" s="92">
        <v>8.2120990761452557</v>
      </c>
      <c r="C8" s="92">
        <v>6.8609860833790375</v>
      </c>
      <c r="D8" s="92">
        <v>6.135068143050594</v>
      </c>
      <c r="E8" s="92">
        <v>5.8702145676728756</v>
      </c>
      <c r="F8" s="92">
        <v>6.3302421787176062</v>
      </c>
      <c r="G8" s="92">
        <v>7.937175858081333</v>
      </c>
      <c r="H8" s="92">
        <v>10.647548978379346</v>
      </c>
      <c r="I8" s="92">
        <v>9.5474439729053842</v>
      </c>
      <c r="J8" s="92">
        <v>12.399413772730711</v>
      </c>
      <c r="K8" s="92">
        <v>14.562553086409688</v>
      </c>
      <c r="L8" s="92">
        <v>16.645061515678492</v>
      </c>
      <c r="M8" s="92">
        <v>18.567155188630654</v>
      </c>
      <c r="N8" s="92">
        <v>18.542821400294621</v>
      </c>
      <c r="O8" s="92">
        <v>18.15404194222117</v>
      </c>
      <c r="P8" s="92">
        <v>18.555003588418344</v>
      </c>
      <c r="Q8" s="92">
        <v>18.451893362596035</v>
      </c>
      <c r="R8" s="92">
        <v>17.825475185061137</v>
      </c>
      <c r="S8" s="92">
        <v>21.092014168652195</v>
      </c>
      <c r="T8" s="92">
        <v>21.748118352687364</v>
      </c>
      <c r="U8" s="92">
        <v>22.493738725240327</v>
      </c>
      <c r="V8" s="92">
        <v>21.093278066923062</v>
      </c>
      <c r="W8" s="92">
        <v>18.880423771868969</v>
      </c>
      <c r="X8" s="92">
        <v>15.42627286636953</v>
      </c>
      <c r="Y8" s="92">
        <v>11.566793835956233</v>
      </c>
      <c r="Z8" s="93">
        <f t="shared" ref="Z8:Z11" si="0">SUM(B8:Y8)</f>
        <v>347.54483768806995</v>
      </c>
      <c r="AA8" s="59">
        <f>+SUMIFS('Cantidades Producto Base Curva'!$AA:$AA,'Cantidades Producto Base Curva'!$A:$A,'Cantidades Producto No. 2'!$A8,'Cantidades Producto Base Curva'!$AD:$AD,'Cantidades Producto No. 2'!AD8)</f>
        <v>20</v>
      </c>
      <c r="AB8" s="60">
        <f>+Z8*AA8</f>
        <v>6950.8967537613989</v>
      </c>
      <c r="AC8" s="85"/>
      <c r="AD8" s="60" t="s">
        <v>46</v>
      </c>
    </row>
    <row r="9" spans="1:31" ht="16.5" thickBot="1" x14ac:dyDescent="0.3">
      <c r="A9" s="61">
        <f t="shared" ref="A9:A11" si="1">+$A$16</f>
        <v>46023</v>
      </c>
      <c r="B9" s="92">
        <v>8.4759770209744971</v>
      </c>
      <c r="C9" s="92">
        <v>7.0358860543429618</v>
      </c>
      <c r="D9" s="92">
        <v>6.1877781570331063</v>
      </c>
      <c r="E9" s="92">
        <v>5.7280093440319613</v>
      </c>
      <c r="F9" s="92">
        <v>5.891818365184343</v>
      </c>
      <c r="G9" s="92">
        <v>6.7461214106497138</v>
      </c>
      <c r="H9" s="92">
        <v>8.7855795680233424</v>
      </c>
      <c r="I9" s="92">
        <v>7.7759923625368685</v>
      </c>
      <c r="J9" s="92">
        <v>10.795828234515923</v>
      </c>
      <c r="K9" s="92">
        <v>13.407887201379358</v>
      </c>
      <c r="L9" s="92">
        <v>15.1711794589419</v>
      </c>
      <c r="M9" s="92">
        <v>16.659925627894598</v>
      </c>
      <c r="N9" s="92">
        <v>16.85319788675729</v>
      </c>
      <c r="O9" s="92">
        <v>15.949726506448918</v>
      </c>
      <c r="P9" s="92">
        <v>15.186154112710312</v>
      </c>
      <c r="Q9" s="92">
        <v>14.868080446030049</v>
      </c>
      <c r="R9" s="92">
        <v>14.329756155302835</v>
      </c>
      <c r="S9" s="92">
        <v>18.58036865145791</v>
      </c>
      <c r="T9" s="92">
        <v>19.858116550834975</v>
      </c>
      <c r="U9" s="92">
        <v>20.427411624401916</v>
      </c>
      <c r="V9" s="92">
        <v>18.972314627144922</v>
      </c>
      <c r="W9" s="92">
        <v>16.959274388731043</v>
      </c>
      <c r="X9" s="92">
        <v>14.293955975056887</v>
      </c>
      <c r="Y9" s="92">
        <v>11.55047313065303</v>
      </c>
      <c r="Z9" s="94">
        <f t="shared" si="0"/>
        <v>310.49081286103865</v>
      </c>
      <c r="AA9" s="59">
        <f>+SUMIFS('Cantidades Producto Base Curva'!$AA:$AA,'Cantidades Producto Base Curva'!$A:$A,'Cantidades Producto No. 2'!$A9,'Cantidades Producto Base Curva'!$AD:$AD,'Cantidades Producto No. 2'!AD9)</f>
        <v>5</v>
      </c>
      <c r="AB9" s="65">
        <f>+Z9*AA9</f>
        <v>1552.4540643051932</v>
      </c>
      <c r="AC9" s="85"/>
      <c r="AD9" s="65" t="s">
        <v>50</v>
      </c>
    </row>
    <row r="10" spans="1:31" ht="16.5" thickBot="1" x14ac:dyDescent="0.3">
      <c r="A10" s="61">
        <f t="shared" si="1"/>
        <v>46023</v>
      </c>
      <c r="B10" s="92">
        <v>8.8293917121195271</v>
      </c>
      <c r="C10" s="92">
        <v>7.4003040026912421</v>
      </c>
      <c r="D10" s="92">
        <v>6.2221306262325013</v>
      </c>
      <c r="E10" s="92">
        <v>5.7546321670235629</v>
      </c>
      <c r="F10" s="92">
        <v>5.4760726409970379</v>
      </c>
      <c r="G10" s="92">
        <v>5.5752462568985939</v>
      </c>
      <c r="H10" s="92">
        <v>6.2974087969556347</v>
      </c>
      <c r="I10" s="92">
        <v>3.5879438872422251</v>
      </c>
      <c r="J10" s="92">
        <v>5.3169643738795855</v>
      </c>
      <c r="K10" s="92">
        <v>7.1806559652258803</v>
      </c>
      <c r="L10" s="92">
        <v>8.7680969157296129</v>
      </c>
      <c r="M10" s="92">
        <v>10.217103388748844</v>
      </c>
      <c r="N10" s="92">
        <v>11.210730153086937</v>
      </c>
      <c r="O10" s="92">
        <v>11.310574088098562</v>
      </c>
      <c r="P10" s="92">
        <v>10.863768947096862</v>
      </c>
      <c r="Q10" s="92">
        <v>10.627386476631363</v>
      </c>
      <c r="R10" s="92">
        <v>10.528423256145368</v>
      </c>
      <c r="S10" s="92">
        <v>14.784947086481697</v>
      </c>
      <c r="T10" s="92">
        <v>16.309042781112069</v>
      </c>
      <c r="U10" s="92">
        <v>17.999908800716018</v>
      </c>
      <c r="V10" s="92">
        <v>17.502928077231832</v>
      </c>
      <c r="W10" s="92">
        <v>15.772976739060731</v>
      </c>
      <c r="X10" s="92">
        <v>13.202472188541011</v>
      </c>
      <c r="Y10" s="92">
        <v>10.613623181116557</v>
      </c>
      <c r="Z10" s="94">
        <f t="shared" si="0"/>
        <v>241.35273250906329</v>
      </c>
      <c r="AA10" s="59">
        <f>+SUMIFS('Cantidades Producto Base Curva'!$AA:$AA,'Cantidades Producto Base Curva'!$A:$A,'Cantidades Producto No. 2'!$A10,'Cantidades Producto Base Curva'!$AD:$AD,'Cantidades Producto No. 2'!AD10)</f>
        <v>5</v>
      </c>
      <c r="AB10" s="65">
        <f t="shared" ref="AB10:AB11" si="2">+Z10*AA10</f>
        <v>1206.7636625453165</v>
      </c>
      <c r="AC10" s="85"/>
      <c r="AD10" s="65" t="s">
        <v>51</v>
      </c>
    </row>
    <row r="11" spans="1:31" ht="15.75" x14ac:dyDescent="0.25">
      <c r="A11" s="61">
        <f t="shared" si="1"/>
        <v>46023</v>
      </c>
      <c r="B11" s="92">
        <v>7.5948838375920387</v>
      </c>
      <c r="C11" s="92">
        <v>6.1893175037490584</v>
      </c>
      <c r="D11" s="92">
        <v>5.3045291398112751</v>
      </c>
      <c r="E11" s="92">
        <v>4.7937996203467268</v>
      </c>
      <c r="F11" s="92">
        <v>4.7817484029375041</v>
      </c>
      <c r="G11" s="92">
        <v>5.226015501069698</v>
      </c>
      <c r="H11" s="92">
        <v>6.5238772945040324</v>
      </c>
      <c r="I11" s="92">
        <v>4.0788136914870341</v>
      </c>
      <c r="J11" s="92">
        <v>5.9558048540824382</v>
      </c>
      <c r="K11" s="92">
        <v>8.1343676309466399</v>
      </c>
      <c r="L11" s="92">
        <v>10.165882006142427</v>
      </c>
      <c r="M11" s="92">
        <v>11.759661391983434</v>
      </c>
      <c r="N11" s="92">
        <v>12.571547696807116</v>
      </c>
      <c r="O11" s="92">
        <v>12.03933534525177</v>
      </c>
      <c r="P11" s="92">
        <v>10.749573759052343</v>
      </c>
      <c r="Q11" s="92">
        <v>10.193681322480188</v>
      </c>
      <c r="R11" s="92">
        <v>10.350495236404523</v>
      </c>
      <c r="S11" s="92">
        <v>15.354838332972722</v>
      </c>
      <c r="T11" s="92">
        <v>17.068149121151574</v>
      </c>
      <c r="U11" s="92">
        <v>17.923291876400633</v>
      </c>
      <c r="V11" s="92">
        <v>16.747628453568666</v>
      </c>
      <c r="W11" s="92">
        <v>14.575404439351987</v>
      </c>
      <c r="X11" s="92">
        <v>11.607504794239256</v>
      </c>
      <c r="Y11" s="92">
        <v>8.7301009304623367</v>
      </c>
      <c r="Z11" s="94">
        <f t="shared" si="0"/>
        <v>238.42025218279539</v>
      </c>
      <c r="AA11" s="59">
        <f>+SUMIFS('Cantidades Producto Base Curva'!$AA:$AA,'Cantidades Producto Base Curva'!$A:$A,'Cantidades Producto No. 2'!$A11,'Cantidades Producto Base Curva'!$AD:$AD,'Cantidades Producto No. 2'!AD11)</f>
        <v>1</v>
      </c>
      <c r="AB11" s="65">
        <f t="shared" si="2"/>
        <v>238.42025218279539</v>
      </c>
      <c r="AC11" s="85"/>
      <c r="AD11" s="65" t="s">
        <v>52</v>
      </c>
    </row>
    <row r="12" spans="1:31" s="85" customFormat="1" ht="16.5" thickBot="1" x14ac:dyDescent="0.3">
      <c r="A12"/>
      <c r="B12" s="95"/>
      <c r="C12" s="90"/>
      <c r="D12" s="90"/>
      <c r="E12" s="90"/>
      <c r="F12" s="90"/>
      <c r="G12" s="90"/>
      <c r="H12" s="90"/>
      <c r="I12" s="90"/>
      <c r="J12" s="90"/>
      <c r="K12" s="90"/>
      <c r="L12" s="90"/>
      <c r="M12" s="90"/>
      <c r="N12" s="90"/>
      <c r="O12" s="90"/>
      <c r="P12" s="90"/>
      <c r="Q12" s="90"/>
      <c r="R12" s="90"/>
      <c r="S12" s="90"/>
      <c r="T12" s="90"/>
      <c r="U12" s="90"/>
      <c r="V12" s="90"/>
      <c r="W12" s="90"/>
      <c r="X12" s="90"/>
      <c r="Y12" s="90"/>
      <c r="Z12" s="89"/>
      <c r="AA12" s="72"/>
      <c r="AB12"/>
      <c r="AD12"/>
    </row>
    <row r="13" spans="1:31" s="85" customFormat="1" ht="16.5" thickBot="1" x14ac:dyDescent="0.3">
      <c r="A13" s="45" t="s">
        <v>47</v>
      </c>
      <c r="B13" s="90"/>
      <c r="C13" s="90"/>
      <c r="D13" s="90"/>
      <c r="E13" s="96"/>
      <c r="F13" s="90"/>
      <c r="G13" s="90"/>
      <c r="H13" s="90"/>
      <c r="I13" s="90"/>
      <c r="J13" s="90"/>
      <c r="K13" s="90"/>
      <c r="L13" s="90"/>
      <c r="M13" s="90"/>
      <c r="N13" s="90"/>
      <c r="O13" s="90"/>
      <c r="P13" s="90"/>
      <c r="Q13" s="90"/>
      <c r="R13" s="90"/>
      <c r="S13" s="90"/>
      <c r="T13" s="90"/>
      <c r="U13" s="90"/>
      <c r="V13" s="90"/>
      <c r="W13" s="90"/>
      <c r="X13" s="90"/>
      <c r="Y13" s="90"/>
      <c r="Z13" s="89"/>
      <c r="AA13" s="72"/>
      <c r="AB13"/>
      <c r="AD13"/>
    </row>
    <row r="14" spans="1:31" s="85" customFormat="1" ht="16.5" thickBot="1" x14ac:dyDescent="0.3">
      <c r="A14"/>
      <c r="B14" s="95"/>
      <c r="C14" s="90"/>
      <c r="D14" s="90"/>
      <c r="E14" s="90"/>
      <c r="F14" s="90"/>
      <c r="G14" s="90"/>
      <c r="H14" s="90"/>
      <c r="I14" s="90"/>
      <c r="J14" s="90"/>
      <c r="K14" s="90"/>
      <c r="L14" s="90"/>
      <c r="M14" s="90"/>
      <c r="N14" s="90"/>
      <c r="O14" s="90"/>
      <c r="P14" s="90"/>
      <c r="Q14" s="90"/>
      <c r="R14" s="90"/>
      <c r="S14" s="90"/>
      <c r="T14" s="90"/>
      <c r="U14" s="90"/>
      <c r="V14" s="90"/>
      <c r="W14" s="90"/>
      <c r="X14" s="90"/>
      <c r="Y14" s="90"/>
      <c r="Z14" s="89"/>
      <c r="AA14"/>
      <c r="AB14"/>
      <c r="AD14" s="39"/>
    </row>
    <row r="15" spans="1:31" s="85" customFormat="1" ht="15.75" thickBot="1" x14ac:dyDescent="0.25">
      <c r="A15" s="52" t="s">
        <v>20</v>
      </c>
      <c r="B15" s="53" t="s">
        <v>21</v>
      </c>
      <c r="C15" s="53" t="s">
        <v>22</v>
      </c>
      <c r="D15" s="53" t="s">
        <v>23</v>
      </c>
      <c r="E15" s="53" t="s">
        <v>24</v>
      </c>
      <c r="F15" s="53" t="s">
        <v>25</v>
      </c>
      <c r="G15" s="53" t="s">
        <v>26</v>
      </c>
      <c r="H15" s="53" t="s">
        <v>27</v>
      </c>
      <c r="I15" s="53" t="s">
        <v>28</v>
      </c>
      <c r="J15" s="53" t="s">
        <v>29</v>
      </c>
      <c r="K15" s="53" t="s">
        <v>30</v>
      </c>
      <c r="L15" s="53" t="s">
        <v>31</v>
      </c>
      <c r="M15" s="53" t="s">
        <v>32</v>
      </c>
      <c r="N15" s="53" t="s">
        <v>33</v>
      </c>
      <c r="O15" s="53" t="s">
        <v>34</v>
      </c>
      <c r="P15" s="53" t="s">
        <v>35</v>
      </c>
      <c r="Q15" s="53" t="s">
        <v>36</v>
      </c>
      <c r="R15" s="53" t="s">
        <v>37</v>
      </c>
      <c r="S15" s="53" t="s">
        <v>38</v>
      </c>
      <c r="T15" s="53" t="s">
        <v>39</v>
      </c>
      <c r="U15" s="53" t="s">
        <v>40</v>
      </c>
      <c r="V15" s="53" t="s">
        <v>41</v>
      </c>
      <c r="W15" s="53" t="s">
        <v>42</v>
      </c>
      <c r="X15" s="53" t="s">
        <v>43</v>
      </c>
      <c r="Y15" s="53" t="s">
        <v>44</v>
      </c>
      <c r="Z15" s="53" t="s">
        <v>11</v>
      </c>
      <c r="AA15" s="53" t="s">
        <v>45</v>
      </c>
      <c r="AB15" s="55"/>
      <c r="AD15" s="39"/>
    </row>
    <row r="16" spans="1:31" s="85" customFormat="1" ht="15.75" x14ac:dyDescent="0.25">
      <c r="A16" s="56">
        <v>46023</v>
      </c>
      <c r="B16" s="97">
        <f>+B8*$AA$8+B9*$AA$9+B10*$AA$10+B11*$AA$11</f>
        <v>258.36370902596724</v>
      </c>
      <c r="C16" s="97">
        <f t="shared" ref="C16:Y16" si="3">+C8*$AA$8+C9*$AA$9+C10*$AA$10+C11*$AA$11</f>
        <v>215.58998945650083</v>
      </c>
      <c r="D16" s="97">
        <f t="shared" si="3"/>
        <v>190.05543591715121</v>
      </c>
      <c r="E16" s="97">
        <f t="shared" si="3"/>
        <v>179.61129852908186</v>
      </c>
      <c r="F16" s="97">
        <f t="shared" si="3"/>
        <v>188.22604700819653</v>
      </c>
      <c r="G16" s="97">
        <f t="shared" si="3"/>
        <v>225.57637100043792</v>
      </c>
      <c r="H16" s="97">
        <f t="shared" si="3"/>
        <v>294.88979868698578</v>
      </c>
      <c r="I16" s="97">
        <f t="shared" si="3"/>
        <v>251.84737439849019</v>
      </c>
      <c r="J16" s="97">
        <f t="shared" si="3"/>
        <v>334.50804335067414</v>
      </c>
      <c r="K16" s="97">
        <f t="shared" si="3"/>
        <v>402.32814519216657</v>
      </c>
      <c r="L16" s="97">
        <f t="shared" si="3"/>
        <v>462.76349419306985</v>
      </c>
      <c r="M16" s="97">
        <f t="shared" si="3"/>
        <v>517.48791024781372</v>
      </c>
      <c r="N16" s="97">
        <f t="shared" si="3"/>
        <v>523.74761590192065</v>
      </c>
      <c r="O16" s="97">
        <f t="shared" si="3"/>
        <v>511.42167716241255</v>
      </c>
      <c r="P16" s="97">
        <f t="shared" si="3"/>
        <v>512.09926082645518</v>
      </c>
      <c r="Q16" s="97">
        <f t="shared" si="3"/>
        <v>506.70888318770795</v>
      </c>
      <c r="R16" s="97">
        <f t="shared" si="3"/>
        <v>491.15089599486828</v>
      </c>
      <c r="S16" s="97">
        <f t="shared" si="3"/>
        <v>604.02170039571467</v>
      </c>
      <c r="T16" s="97">
        <f t="shared" si="3"/>
        <v>632.86631283463407</v>
      </c>
      <c r="U16" s="97">
        <f t="shared" si="3"/>
        <v>659.93466850679681</v>
      </c>
      <c r="V16" s="97">
        <f t="shared" si="3"/>
        <v>620.98940331391373</v>
      </c>
      <c r="W16" s="97">
        <f t="shared" si="3"/>
        <v>555.84513551569034</v>
      </c>
      <c r="X16" s="97">
        <f t="shared" si="3"/>
        <v>457.61510293961936</v>
      </c>
      <c r="Y16" s="97">
        <f t="shared" si="3"/>
        <v>350.88645920843493</v>
      </c>
      <c r="Z16" s="93">
        <f t="shared" ref="Z16" si="4">SUM(B16:Y16)</f>
        <v>9948.5347327947056</v>
      </c>
      <c r="AA16" s="59">
        <f>+AA8+AA9+AA10+AA11</f>
        <v>31</v>
      </c>
      <c r="AB16" s="60">
        <f>+AB8+AB9+AB10+AB11</f>
        <v>9948.5347327947038</v>
      </c>
      <c r="AD16" s="39"/>
    </row>
    <row r="17" spans="1:30" s="85" customFormat="1" x14ac:dyDescent="0.2">
      <c r="A17" s="39"/>
      <c r="B17" s="83"/>
      <c r="C17" s="83"/>
      <c r="D17" s="83"/>
      <c r="E17" s="83"/>
      <c r="F17" s="83"/>
      <c r="G17" s="83"/>
      <c r="H17" s="83"/>
      <c r="I17" s="83"/>
      <c r="J17" s="83"/>
      <c r="K17" s="83"/>
      <c r="L17" s="83"/>
      <c r="M17" s="83"/>
      <c r="N17" s="83"/>
      <c r="O17" s="83"/>
      <c r="P17" s="83"/>
      <c r="Q17" s="83"/>
      <c r="R17" s="83"/>
      <c r="S17" s="83"/>
      <c r="T17" s="83"/>
      <c r="U17" s="83"/>
      <c r="V17" s="83"/>
      <c r="W17" s="83"/>
      <c r="X17" s="83"/>
      <c r="Y17" s="83"/>
      <c r="Z17" s="84"/>
      <c r="AA17" s="39"/>
      <c r="AB17" s="39"/>
      <c r="AC17" s="39"/>
      <c r="AD17" s="39"/>
    </row>
    <row r="19" spans="1:30" s="85" customFormat="1" x14ac:dyDescent="0.2">
      <c r="A19" s="39"/>
      <c r="B19" s="83"/>
      <c r="C19" s="83"/>
      <c r="D19" s="83"/>
      <c r="E19" s="83"/>
      <c r="F19" s="83"/>
      <c r="G19" s="83"/>
      <c r="H19" s="83"/>
      <c r="I19" s="83"/>
      <c r="J19" s="83"/>
      <c r="K19" s="83"/>
      <c r="L19" s="83"/>
      <c r="M19" s="83"/>
      <c r="N19" s="83"/>
      <c r="O19" s="83"/>
      <c r="P19" s="83"/>
      <c r="Q19" s="83"/>
      <c r="R19" s="83"/>
      <c r="S19" s="83"/>
      <c r="T19" s="83"/>
      <c r="U19" s="83"/>
      <c r="V19" s="83"/>
      <c r="W19" s="83"/>
      <c r="X19" s="83"/>
      <c r="Y19" s="83"/>
      <c r="Z19" s="98"/>
      <c r="AA19" s="39"/>
      <c r="AB19" s="39"/>
      <c r="AC19" s="39"/>
      <c r="AD19" s="39"/>
    </row>
  </sheetData>
  <conditionalFormatting sqref="B1:Y1048576">
    <cfRule type="cellIs" dxfId="23" priority="1" operator="lessThan">
      <formula>0</formula>
    </cfRule>
  </conditionalFormatting>
  <conditionalFormatting sqref="AA8:AA11">
    <cfRule type="cellIs" dxfId="22" priority="3" operator="lessThan">
      <formula>0</formula>
    </cfRule>
  </conditionalFormatting>
  <conditionalFormatting sqref="AA16">
    <cfRule type="cellIs" dxfId="21" priority="2" operator="lessThan">
      <formula>0</formula>
    </cfRule>
  </conditionalFormatting>
  <pageMargins left="0.75" right="0.75" top="1" bottom="1" header="0" footer="0"/>
  <pageSetup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104D1-48F6-4055-BD85-2D97CF067A27}">
  <sheetPr>
    <tabColor theme="9" tint="0.39997558519241921"/>
  </sheetPr>
  <dimension ref="A1:AH109"/>
  <sheetViews>
    <sheetView showGridLines="0" topLeftCell="A48" zoomScale="70" zoomScaleNormal="70" workbookViewId="0">
      <selection activeCell="J75" sqref="J75"/>
    </sheetView>
  </sheetViews>
  <sheetFormatPr baseColWidth="10" defaultColWidth="14.42578125" defaultRowHeight="15" x14ac:dyDescent="0.2"/>
  <cols>
    <col min="1" max="1" width="93.140625" style="39" bestFit="1" customWidth="1"/>
    <col min="2" max="20" width="7.28515625" style="83" bestFit="1" customWidth="1"/>
    <col min="21" max="21" width="7.7109375" style="83" bestFit="1" customWidth="1"/>
    <col min="22" max="25" width="7.28515625" style="83" bestFit="1" customWidth="1"/>
    <col min="26" max="26" width="13.85546875" style="84" bestFit="1" customWidth="1"/>
    <col min="27" max="27" width="6.7109375" style="39" customWidth="1"/>
    <col min="28" max="28" width="9.7109375" style="39" customWidth="1"/>
    <col min="29" max="29" width="5.28515625" style="39" customWidth="1"/>
    <col min="30" max="30" width="14.42578125" style="42"/>
    <col min="31" max="31" width="14.42578125" style="85"/>
    <col min="32" max="16384" width="14.42578125" style="39"/>
  </cols>
  <sheetData>
    <row r="1" spans="1:30" ht="93" customHeight="1" thickBot="1" x14ac:dyDescent="0.25"/>
    <row r="2" spans="1:30" ht="23.25" x14ac:dyDescent="0.35">
      <c r="A2" s="43" t="s">
        <v>18</v>
      </c>
    </row>
    <row r="3" spans="1:30" ht="21" thickBot="1" x14ac:dyDescent="0.35">
      <c r="A3" s="44" t="s">
        <v>2</v>
      </c>
    </row>
    <row r="4" spans="1:30" ht="15.75" thickBot="1" x14ac:dyDescent="0.25"/>
    <row r="5" spans="1:30" ht="16.5" thickBot="1" x14ac:dyDescent="0.3">
      <c r="A5" s="45" t="s">
        <v>53</v>
      </c>
      <c r="B5" s="86"/>
      <c r="C5" s="86"/>
      <c r="D5" s="86"/>
      <c r="E5" s="87"/>
      <c r="F5" s="86"/>
      <c r="G5" s="86"/>
      <c r="H5" s="86"/>
      <c r="I5" s="86"/>
      <c r="J5" s="86"/>
      <c r="K5" s="88"/>
      <c r="L5" s="88"/>
      <c r="M5" s="88"/>
      <c r="N5" s="88"/>
      <c r="O5" s="88"/>
      <c r="P5" s="88"/>
      <c r="Q5" s="88"/>
      <c r="R5" s="88"/>
      <c r="S5" s="88"/>
      <c r="T5" s="88"/>
      <c r="U5" s="88"/>
      <c r="V5" s="88"/>
      <c r="W5" s="88"/>
      <c r="X5" s="88"/>
      <c r="Y5" s="88"/>
      <c r="Z5" s="89"/>
      <c r="AA5"/>
      <c r="AB5" s="50"/>
    </row>
    <row r="6" spans="1:30" ht="16.5" thickBot="1" x14ac:dyDescent="0.3">
      <c r="A6"/>
      <c r="B6" s="86"/>
      <c r="C6" s="86"/>
      <c r="D6" s="86"/>
      <c r="E6" s="86"/>
      <c r="F6" s="86"/>
      <c r="G6" s="86"/>
      <c r="H6" s="86"/>
      <c r="I6" s="86"/>
      <c r="J6" s="86"/>
      <c r="K6" s="90"/>
      <c r="L6" s="90"/>
      <c r="M6" s="90"/>
      <c r="N6" s="90"/>
      <c r="O6" s="90"/>
      <c r="P6" s="90"/>
      <c r="Q6" s="90"/>
      <c r="R6" s="90"/>
      <c r="S6" s="90"/>
      <c r="T6" s="90"/>
      <c r="U6" s="90"/>
      <c r="V6" s="90"/>
      <c r="W6" s="90"/>
      <c r="X6" s="90"/>
      <c r="Y6" s="90"/>
      <c r="Z6" s="89"/>
      <c r="AA6"/>
      <c r="AB6"/>
    </row>
    <row r="7" spans="1:30" ht="15.95" customHeight="1" thickBot="1" x14ac:dyDescent="0.25">
      <c r="A7" s="52" t="s">
        <v>20</v>
      </c>
      <c r="B7" s="53" t="s">
        <v>21</v>
      </c>
      <c r="C7" s="53" t="s">
        <v>22</v>
      </c>
      <c r="D7" s="53" t="s">
        <v>23</v>
      </c>
      <c r="E7" s="53" t="s">
        <v>24</v>
      </c>
      <c r="F7" s="53" t="s">
        <v>25</v>
      </c>
      <c r="G7" s="53" t="s">
        <v>26</v>
      </c>
      <c r="H7" s="53" t="s">
        <v>27</v>
      </c>
      <c r="I7" s="53" t="s">
        <v>28</v>
      </c>
      <c r="J7" s="53" t="s">
        <v>29</v>
      </c>
      <c r="K7" s="53" t="s">
        <v>30</v>
      </c>
      <c r="L7" s="53" t="s">
        <v>31</v>
      </c>
      <c r="M7" s="53" t="s">
        <v>32</v>
      </c>
      <c r="N7" s="53" t="s">
        <v>33</v>
      </c>
      <c r="O7" s="53" t="s">
        <v>34</v>
      </c>
      <c r="P7" s="53" t="s">
        <v>35</v>
      </c>
      <c r="Q7" s="53" t="s">
        <v>36</v>
      </c>
      <c r="R7" s="53" t="s">
        <v>37</v>
      </c>
      <c r="S7" s="53" t="s">
        <v>38</v>
      </c>
      <c r="T7" s="53" t="s">
        <v>39</v>
      </c>
      <c r="U7" s="53" t="s">
        <v>40</v>
      </c>
      <c r="V7" s="53" t="s">
        <v>41</v>
      </c>
      <c r="W7" s="53" t="s">
        <v>42</v>
      </c>
      <c r="X7" s="53" t="s">
        <v>43</v>
      </c>
      <c r="Y7" s="53" t="s">
        <v>44</v>
      </c>
      <c r="Z7" s="53" t="s">
        <v>11</v>
      </c>
      <c r="AA7" s="54" t="s">
        <v>45</v>
      </c>
      <c r="AB7" s="55"/>
    </row>
    <row r="8" spans="1:30" ht="15.75" x14ac:dyDescent="0.25">
      <c r="A8" s="56">
        <v>46023</v>
      </c>
      <c r="B8" s="92">
        <v>8.2120990761452557</v>
      </c>
      <c r="C8" s="92">
        <v>6.8609860833790375</v>
      </c>
      <c r="D8" s="92">
        <v>6.135068143050594</v>
      </c>
      <c r="E8" s="92">
        <v>5.8702145676728756</v>
      </c>
      <c r="F8" s="92">
        <v>6.3302421787176062</v>
      </c>
      <c r="G8" s="92">
        <v>7.937175858081333</v>
      </c>
      <c r="H8" s="92">
        <v>10.647548978379346</v>
      </c>
      <c r="I8" s="92">
        <v>9.5474439729053842</v>
      </c>
      <c r="J8" s="92">
        <v>12.399413772730711</v>
      </c>
      <c r="K8" s="92">
        <v>14.562553086409688</v>
      </c>
      <c r="L8" s="92">
        <v>16.645061515678492</v>
      </c>
      <c r="M8" s="92">
        <v>18.567155188630654</v>
      </c>
      <c r="N8" s="92">
        <v>18.542821400294621</v>
      </c>
      <c r="O8" s="92">
        <v>18.15404194222117</v>
      </c>
      <c r="P8" s="92">
        <v>18.555003588418344</v>
      </c>
      <c r="Q8" s="92">
        <v>18.451893362596035</v>
      </c>
      <c r="R8" s="92">
        <v>17.825475185061137</v>
      </c>
      <c r="S8" s="92">
        <v>21.092014168652195</v>
      </c>
      <c r="T8" s="92">
        <v>21.748118352687364</v>
      </c>
      <c r="U8" s="92">
        <v>22.493738725240327</v>
      </c>
      <c r="V8" s="92">
        <v>21.093278066923062</v>
      </c>
      <c r="W8" s="92">
        <v>18.880423771868969</v>
      </c>
      <c r="X8" s="92">
        <v>15.42627286636953</v>
      </c>
      <c r="Y8" s="92">
        <v>11.566793835956233</v>
      </c>
      <c r="Z8" s="93">
        <f t="shared" ref="Z8:Z19" si="0">SUM(B8:Y8)</f>
        <v>347.54483768806995</v>
      </c>
      <c r="AA8" s="59">
        <v>20</v>
      </c>
      <c r="AB8" s="60">
        <f>+Z8*AA8</f>
        <v>6950.8967537613989</v>
      </c>
      <c r="AD8" s="42" t="s">
        <v>46</v>
      </c>
    </row>
    <row r="9" spans="1:30" ht="15.75" x14ac:dyDescent="0.25">
      <c r="A9" s="61">
        <v>46054</v>
      </c>
      <c r="B9" s="92">
        <v>7.8819608250837918</v>
      </c>
      <c r="C9" s="92">
        <v>6.6656545308256314</v>
      </c>
      <c r="D9" s="92">
        <v>6.0035847599290282</v>
      </c>
      <c r="E9" s="92">
        <v>5.8143697920761914</v>
      </c>
      <c r="F9" s="92">
        <v>6.491795516904924</v>
      </c>
      <c r="G9" s="92">
        <v>9.1222298281833503</v>
      </c>
      <c r="H9" s="92">
        <v>12.129900756675911</v>
      </c>
      <c r="I9" s="92">
        <v>10.603465061591763</v>
      </c>
      <c r="J9" s="92">
        <v>12.999573629702521</v>
      </c>
      <c r="K9" s="92">
        <v>14.902382673590859</v>
      </c>
      <c r="L9" s="92">
        <v>16.852415358476428</v>
      </c>
      <c r="M9" s="92">
        <v>18.580538971087879</v>
      </c>
      <c r="N9" s="92">
        <v>17.950869593245514</v>
      </c>
      <c r="O9" s="92">
        <v>17.852801904336069</v>
      </c>
      <c r="P9" s="92">
        <v>18.533780651024646</v>
      </c>
      <c r="Q9" s="92">
        <v>18.595785128979013</v>
      </c>
      <c r="R9" s="92">
        <v>18.023370369662953</v>
      </c>
      <c r="S9" s="92">
        <v>20.485832509715838</v>
      </c>
      <c r="T9" s="92">
        <v>20.406401797993006</v>
      </c>
      <c r="U9" s="92">
        <v>21.600139780223785</v>
      </c>
      <c r="V9" s="92">
        <v>20.579430958109349</v>
      </c>
      <c r="W9" s="92">
        <v>18.367840542396326</v>
      </c>
      <c r="X9" s="92">
        <v>14.783063592749109</v>
      </c>
      <c r="Y9" s="92">
        <v>11.009176430661887</v>
      </c>
      <c r="Z9" s="94">
        <f t="shared" si="0"/>
        <v>346.23636496322587</v>
      </c>
      <c r="AA9" s="64">
        <v>20</v>
      </c>
      <c r="AB9" s="65">
        <f>+Z9*AA9</f>
        <v>6924.7272992645176</v>
      </c>
      <c r="AD9" s="42" t="s">
        <v>46</v>
      </c>
    </row>
    <row r="10" spans="1:30" ht="15.75" x14ac:dyDescent="0.25">
      <c r="A10" s="61">
        <v>46082</v>
      </c>
      <c r="B10" s="92">
        <v>6.8492601093520058</v>
      </c>
      <c r="C10" s="92">
        <v>5.7185344613431663</v>
      </c>
      <c r="D10" s="92">
        <v>5.1587112135303981</v>
      </c>
      <c r="E10" s="92">
        <v>4.9416407837879159</v>
      </c>
      <c r="F10" s="92">
        <v>5.6033158576370985</v>
      </c>
      <c r="G10" s="92">
        <v>8.0588741049677335</v>
      </c>
      <c r="H10" s="92">
        <v>10.739430442356285</v>
      </c>
      <c r="I10" s="92">
        <v>9.6931673614162275</v>
      </c>
      <c r="J10" s="92">
        <v>11.969570084263687</v>
      </c>
      <c r="K10" s="92">
        <v>13.634157124727171</v>
      </c>
      <c r="L10" s="92">
        <v>15.496149161261433</v>
      </c>
      <c r="M10" s="92">
        <v>17.045510561291522</v>
      </c>
      <c r="N10" s="92">
        <v>16.65137573107345</v>
      </c>
      <c r="O10" s="92">
        <v>16.349960301718543</v>
      </c>
      <c r="P10" s="92">
        <v>16.870269536814433</v>
      </c>
      <c r="Q10" s="92">
        <v>16.755642757777299</v>
      </c>
      <c r="R10" s="92">
        <v>16.30455931087528</v>
      </c>
      <c r="S10" s="92">
        <v>18.96439282837294</v>
      </c>
      <c r="T10" s="92">
        <v>19.094227096377995</v>
      </c>
      <c r="U10" s="92">
        <v>20.27907256196125</v>
      </c>
      <c r="V10" s="92">
        <v>18.955173466505869</v>
      </c>
      <c r="W10" s="92">
        <v>16.818566080950486</v>
      </c>
      <c r="X10" s="92">
        <v>13.465822361255682</v>
      </c>
      <c r="Y10" s="92">
        <v>9.9096936163519427</v>
      </c>
      <c r="Z10" s="94">
        <f t="shared" si="0"/>
        <v>315.32707691596983</v>
      </c>
      <c r="AA10" s="64">
        <v>21</v>
      </c>
      <c r="AB10" s="65">
        <f t="shared" ref="AB10:AB19" si="1">+Z10*AA10</f>
        <v>6621.8686152353666</v>
      </c>
      <c r="AD10" s="42" t="s">
        <v>46</v>
      </c>
    </row>
    <row r="11" spans="1:30" ht="15.75" x14ac:dyDescent="0.25">
      <c r="A11" s="61">
        <v>46113</v>
      </c>
      <c r="B11" s="92">
        <v>3.0620682987731853</v>
      </c>
      <c r="C11" s="92">
        <v>1.9016416429348393</v>
      </c>
      <c r="D11" s="92">
        <v>1.343450181508415</v>
      </c>
      <c r="E11" s="92">
        <v>1.1296269399809244</v>
      </c>
      <c r="F11" s="92">
        <v>1.7837342950886377</v>
      </c>
      <c r="G11" s="92">
        <v>3.9381655877623998</v>
      </c>
      <c r="H11" s="92">
        <v>6.6457033840004662</v>
      </c>
      <c r="I11" s="92">
        <v>5.87664478614019</v>
      </c>
      <c r="J11" s="92">
        <v>7.9431723074335316</v>
      </c>
      <c r="K11" s="92">
        <v>10.146428511389415</v>
      </c>
      <c r="L11" s="92">
        <v>11.816793384593199</v>
      </c>
      <c r="M11" s="92">
        <v>13.329256212493899</v>
      </c>
      <c r="N11" s="92">
        <v>12.965655031221802</v>
      </c>
      <c r="O11" s="92">
        <v>12.424488178814149</v>
      </c>
      <c r="P11" s="92">
        <v>12.403541167867035</v>
      </c>
      <c r="Q11" s="92">
        <v>12.483406562164383</v>
      </c>
      <c r="R11" s="92">
        <v>12.103502233273655</v>
      </c>
      <c r="S11" s="92">
        <v>15.157479605226428</v>
      </c>
      <c r="T11" s="92">
        <v>15.716177006503319</v>
      </c>
      <c r="U11" s="92">
        <v>16.377226927713476</v>
      </c>
      <c r="V11" s="92">
        <v>14.989731125644438</v>
      </c>
      <c r="W11" s="92">
        <v>12.826713955873696</v>
      </c>
      <c r="X11" s="92">
        <v>9.5266403987992376</v>
      </c>
      <c r="Y11" s="92">
        <v>6.1472089468279956</v>
      </c>
      <c r="Z11" s="94">
        <f t="shared" si="0"/>
        <v>222.03845667202867</v>
      </c>
      <c r="AA11" s="64">
        <v>20</v>
      </c>
      <c r="AB11" s="65">
        <f t="shared" si="1"/>
        <v>4440.7691334405736</v>
      </c>
      <c r="AD11" s="42" t="s">
        <v>46</v>
      </c>
    </row>
    <row r="12" spans="1:30" ht="15.75" x14ac:dyDescent="0.25">
      <c r="A12" s="61">
        <v>46143</v>
      </c>
      <c r="B12" s="92">
        <v>0</v>
      </c>
      <c r="C12" s="92">
        <v>0</v>
      </c>
      <c r="D12" s="92">
        <v>0</v>
      </c>
      <c r="E12" s="92">
        <v>0</v>
      </c>
      <c r="F12" s="92">
        <v>0</v>
      </c>
      <c r="G12" s="92">
        <v>0</v>
      </c>
      <c r="H12" s="92">
        <v>0</v>
      </c>
      <c r="I12" s="92">
        <v>0</v>
      </c>
      <c r="J12" s="92">
        <v>0</v>
      </c>
      <c r="K12" s="92">
        <v>0</v>
      </c>
      <c r="L12" s="92">
        <v>0</v>
      </c>
      <c r="M12" s="92">
        <v>0</v>
      </c>
      <c r="N12" s="92">
        <v>0</v>
      </c>
      <c r="O12" s="92">
        <v>0</v>
      </c>
      <c r="P12" s="92">
        <v>0</v>
      </c>
      <c r="Q12" s="92">
        <v>0</v>
      </c>
      <c r="R12" s="92">
        <v>0</v>
      </c>
      <c r="S12" s="92">
        <v>0</v>
      </c>
      <c r="T12" s="92">
        <v>0</v>
      </c>
      <c r="U12" s="92">
        <v>0</v>
      </c>
      <c r="V12" s="92">
        <v>0</v>
      </c>
      <c r="W12" s="92">
        <v>0</v>
      </c>
      <c r="X12" s="92">
        <v>0</v>
      </c>
      <c r="Y12" s="92">
        <v>0</v>
      </c>
      <c r="Z12" s="94">
        <f t="shared" si="0"/>
        <v>0</v>
      </c>
      <c r="AA12" s="64">
        <v>19</v>
      </c>
      <c r="AB12" s="65">
        <f t="shared" si="1"/>
        <v>0</v>
      </c>
      <c r="AD12" s="42" t="s">
        <v>46</v>
      </c>
    </row>
    <row r="13" spans="1:30" ht="15.75" x14ac:dyDescent="0.25">
      <c r="A13" s="61">
        <v>46174</v>
      </c>
      <c r="B13" s="92">
        <v>0</v>
      </c>
      <c r="C13" s="92">
        <v>0</v>
      </c>
      <c r="D13" s="92">
        <v>0</v>
      </c>
      <c r="E13" s="92">
        <v>0</v>
      </c>
      <c r="F13" s="92">
        <v>0</v>
      </c>
      <c r="G13" s="92">
        <v>0</v>
      </c>
      <c r="H13" s="92">
        <v>0</v>
      </c>
      <c r="I13" s="92">
        <v>0</v>
      </c>
      <c r="J13" s="92">
        <v>0</v>
      </c>
      <c r="K13" s="92">
        <v>0</v>
      </c>
      <c r="L13" s="92">
        <v>0</v>
      </c>
      <c r="M13" s="92">
        <v>0</v>
      </c>
      <c r="N13" s="92">
        <v>0</v>
      </c>
      <c r="O13" s="92">
        <v>0</v>
      </c>
      <c r="P13" s="92">
        <v>0</v>
      </c>
      <c r="Q13" s="92">
        <v>0</v>
      </c>
      <c r="R13" s="92">
        <v>0</v>
      </c>
      <c r="S13" s="92">
        <v>0</v>
      </c>
      <c r="T13" s="92">
        <v>0</v>
      </c>
      <c r="U13" s="92">
        <v>0</v>
      </c>
      <c r="V13" s="92">
        <v>0</v>
      </c>
      <c r="W13" s="92">
        <v>0</v>
      </c>
      <c r="X13" s="92">
        <v>0</v>
      </c>
      <c r="Y13" s="92">
        <v>0</v>
      </c>
      <c r="Z13" s="94">
        <f t="shared" si="0"/>
        <v>0</v>
      </c>
      <c r="AA13" s="64">
        <v>19</v>
      </c>
      <c r="AB13" s="65">
        <f t="shared" si="1"/>
        <v>0</v>
      </c>
      <c r="AD13" s="42" t="s">
        <v>46</v>
      </c>
    </row>
    <row r="14" spans="1:30" ht="15.75" x14ac:dyDescent="0.25">
      <c r="A14" s="61">
        <v>46204</v>
      </c>
      <c r="B14" s="92">
        <v>0</v>
      </c>
      <c r="C14" s="92">
        <v>0</v>
      </c>
      <c r="D14" s="92">
        <v>0</v>
      </c>
      <c r="E14" s="92">
        <v>0</v>
      </c>
      <c r="F14" s="92">
        <v>0</v>
      </c>
      <c r="G14" s="92">
        <v>0</v>
      </c>
      <c r="H14" s="92">
        <v>0</v>
      </c>
      <c r="I14" s="92">
        <v>0</v>
      </c>
      <c r="J14" s="92">
        <v>0</v>
      </c>
      <c r="K14" s="92">
        <v>0</v>
      </c>
      <c r="L14" s="92">
        <v>0</v>
      </c>
      <c r="M14" s="92">
        <v>0</v>
      </c>
      <c r="N14" s="92">
        <v>0</v>
      </c>
      <c r="O14" s="92">
        <v>0</v>
      </c>
      <c r="P14" s="92">
        <v>0</v>
      </c>
      <c r="Q14" s="92">
        <v>0</v>
      </c>
      <c r="R14" s="92">
        <v>0</v>
      </c>
      <c r="S14" s="92">
        <v>0</v>
      </c>
      <c r="T14" s="92">
        <v>0</v>
      </c>
      <c r="U14" s="92">
        <v>0</v>
      </c>
      <c r="V14" s="92">
        <v>0</v>
      </c>
      <c r="W14" s="92">
        <v>0</v>
      </c>
      <c r="X14" s="92">
        <v>0</v>
      </c>
      <c r="Y14" s="92">
        <v>0</v>
      </c>
      <c r="Z14" s="94">
        <f t="shared" si="0"/>
        <v>0</v>
      </c>
      <c r="AA14" s="64">
        <v>22</v>
      </c>
      <c r="AB14" s="65">
        <f t="shared" si="1"/>
        <v>0</v>
      </c>
      <c r="AD14" s="42" t="s">
        <v>46</v>
      </c>
    </row>
    <row r="15" spans="1:30" ht="15.75" x14ac:dyDescent="0.25">
      <c r="A15" s="61">
        <v>46235</v>
      </c>
      <c r="B15" s="92">
        <v>0</v>
      </c>
      <c r="C15" s="92">
        <v>0</v>
      </c>
      <c r="D15" s="92">
        <v>0</v>
      </c>
      <c r="E15" s="92">
        <v>0</v>
      </c>
      <c r="F15" s="92">
        <v>0</v>
      </c>
      <c r="G15" s="92">
        <v>0</v>
      </c>
      <c r="H15" s="92">
        <v>0</v>
      </c>
      <c r="I15" s="92">
        <v>0</v>
      </c>
      <c r="J15" s="92">
        <v>0</v>
      </c>
      <c r="K15" s="92">
        <v>0</v>
      </c>
      <c r="L15" s="92">
        <v>0</v>
      </c>
      <c r="M15" s="92">
        <v>0</v>
      </c>
      <c r="N15" s="92">
        <v>0</v>
      </c>
      <c r="O15" s="92">
        <v>0</v>
      </c>
      <c r="P15" s="92">
        <v>0</v>
      </c>
      <c r="Q15" s="92">
        <v>0</v>
      </c>
      <c r="R15" s="92">
        <v>0</v>
      </c>
      <c r="S15" s="92">
        <v>0</v>
      </c>
      <c r="T15" s="92">
        <v>0</v>
      </c>
      <c r="U15" s="92">
        <v>0</v>
      </c>
      <c r="V15" s="92">
        <v>0</v>
      </c>
      <c r="W15" s="92">
        <v>0</v>
      </c>
      <c r="X15" s="92">
        <v>0</v>
      </c>
      <c r="Y15" s="92">
        <v>0</v>
      </c>
      <c r="Z15" s="94">
        <f t="shared" si="0"/>
        <v>0</v>
      </c>
      <c r="AA15" s="64">
        <v>19</v>
      </c>
      <c r="AB15" s="65">
        <f t="shared" si="1"/>
        <v>0</v>
      </c>
      <c r="AD15" s="42" t="s">
        <v>46</v>
      </c>
    </row>
    <row r="16" spans="1:30" ht="15.75" x14ac:dyDescent="0.25">
      <c r="A16" s="61">
        <v>46266</v>
      </c>
      <c r="B16" s="92">
        <v>0</v>
      </c>
      <c r="C16" s="92">
        <v>0</v>
      </c>
      <c r="D16" s="92">
        <v>0</v>
      </c>
      <c r="E16" s="92">
        <v>0</v>
      </c>
      <c r="F16" s="92">
        <v>0</v>
      </c>
      <c r="G16" s="92">
        <v>0</v>
      </c>
      <c r="H16" s="92">
        <v>0</v>
      </c>
      <c r="I16" s="92">
        <v>0</v>
      </c>
      <c r="J16" s="92">
        <v>0</v>
      </c>
      <c r="K16" s="92">
        <v>0</v>
      </c>
      <c r="L16" s="92">
        <v>0</v>
      </c>
      <c r="M16" s="92">
        <v>0</v>
      </c>
      <c r="N16" s="92">
        <v>0</v>
      </c>
      <c r="O16" s="92">
        <v>0</v>
      </c>
      <c r="P16" s="92">
        <v>0</v>
      </c>
      <c r="Q16" s="92">
        <v>0</v>
      </c>
      <c r="R16" s="92">
        <v>0</v>
      </c>
      <c r="S16" s="92">
        <v>0</v>
      </c>
      <c r="T16" s="92">
        <v>0</v>
      </c>
      <c r="U16" s="92">
        <v>0</v>
      </c>
      <c r="V16" s="92">
        <v>0</v>
      </c>
      <c r="W16" s="92">
        <v>0</v>
      </c>
      <c r="X16" s="92">
        <v>0</v>
      </c>
      <c r="Y16" s="92">
        <v>0</v>
      </c>
      <c r="Z16" s="94">
        <f t="shared" si="0"/>
        <v>0</v>
      </c>
      <c r="AA16" s="64">
        <v>22</v>
      </c>
      <c r="AB16" s="65">
        <f t="shared" si="1"/>
        <v>0</v>
      </c>
      <c r="AD16" s="42" t="s">
        <v>46</v>
      </c>
    </row>
    <row r="17" spans="1:30" ht="15.75" x14ac:dyDescent="0.25">
      <c r="A17" s="61">
        <v>46296</v>
      </c>
      <c r="B17" s="92">
        <v>0</v>
      </c>
      <c r="C17" s="92">
        <v>0</v>
      </c>
      <c r="D17" s="92">
        <v>0</v>
      </c>
      <c r="E17" s="92">
        <v>0</v>
      </c>
      <c r="F17" s="92">
        <v>0</v>
      </c>
      <c r="G17" s="92">
        <v>0</v>
      </c>
      <c r="H17" s="92">
        <v>0</v>
      </c>
      <c r="I17" s="92">
        <v>0</v>
      </c>
      <c r="J17" s="92">
        <v>0</v>
      </c>
      <c r="K17" s="92">
        <v>0</v>
      </c>
      <c r="L17" s="92">
        <v>0</v>
      </c>
      <c r="M17" s="92">
        <v>0</v>
      </c>
      <c r="N17" s="92">
        <v>0</v>
      </c>
      <c r="O17" s="92">
        <v>0</v>
      </c>
      <c r="P17" s="92">
        <v>0</v>
      </c>
      <c r="Q17" s="92">
        <v>0</v>
      </c>
      <c r="R17" s="92">
        <v>0</v>
      </c>
      <c r="S17" s="92">
        <v>0</v>
      </c>
      <c r="T17" s="92">
        <v>0</v>
      </c>
      <c r="U17" s="92">
        <v>0</v>
      </c>
      <c r="V17" s="92">
        <v>0</v>
      </c>
      <c r="W17" s="92">
        <v>0</v>
      </c>
      <c r="X17" s="92">
        <v>0</v>
      </c>
      <c r="Y17" s="92">
        <v>0</v>
      </c>
      <c r="Z17" s="94">
        <f t="shared" si="0"/>
        <v>0</v>
      </c>
      <c r="AA17" s="64">
        <v>21</v>
      </c>
      <c r="AB17" s="65">
        <f t="shared" si="1"/>
        <v>0</v>
      </c>
      <c r="AD17" s="42" t="s">
        <v>46</v>
      </c>
    </row>
    <row r="18" spans="1:30" ht="15.75" x14ac:dyDescent="0.25">
      <c r="A18" s="61">
        <v>46327</v>
      </c>
      <c r="B18" s="92">
        <v>6.6563209988044623</v>
      </c>
      <c r="C18" s="92">
        <v>5.5276423272547621</v>
      </c>
      <c r="D18" s="92">
        <v>4.9181695480582128</v>
      </c>
      <c r="E18" s="92">
        <v>4.7244654232629548</v>
      </c>
      <c r="F18" s="92">
        <v>5.242223439844798</v>
      </c>
      <c r="G18" s="92">
        <v>6.6705820088776164</v>
      </c>
      <c r="H18" s="92">
        <v>9.5123457353411496</v>
      </c>
      <c r="I18" s="92">
        <v>9.2881040430494402</v>
      </c>
      <c r="J18" s="92">
        <v>11.728906833268192</v>
      </c>
      <c r="K18" s="92">
        <v>13.487988684839147</v>
      </c>
      <c r="L18" s="92">
        <v>15.207692342890354</v>
      </c>
      <c r="M18" s="92">
        <v>16.774779292830033</v>
      </c>
      <c r="N18" s="92">
        <v>16.544387292961225</v>
      </c>
      <c r="O18" s="92">
        <v>16.138986379727243</v>
      </c>
      <c r="P18" s="92">
        <v>16.645021438084093</v>
      </c>
      <c r="Q18" s="92">
        <v>16.457031915895655</v>
      </c>
      <c r="R18" s="92">
        <v>16.03406557105048</v>
      </c>
      <c r="S18" s="92">
        <v>19.493213237375066</v>
      </c>
      <c r="T18" s="92">
        <v>20.131366143425023</v>
      </c>
      <c r="U18" s="92">
        <v>19.458552626448888</v>
      </c>
      <c r="V18" s="92">
        <v>18.058238779294857</v>
      </c>
      <c r="W18" s="92">
        <v>15.826935799302111</v>
      </c>
      <c r="X18" s="92">
        <v>12.591048274533453</v>
      </c>
      <c r="Y18" s="92">
        <v>9.529866919846361</v>
      </c>
      <c r="Z18" s="94">
        <f t="shared" si="0"/>
        <v>306.64793505626562</v>
      </c>
      <c r="AA18" s="64">
        <v>19</v>
      </c>
      <c r="AB18" s="65">
        <f t="shared" si="1"/>
        <v>5826.3107660690466</v>
      </c>
      <c r="AD18" s="42" t="s">
        <v>46</v>
      </c>
    </row>
    <row r="19" spans="1:30" ht="16.5" thickBot="1" x14ac:dyDescent="0.3">
      <c r="A19" s="66">
        <v>46357</v>
      </c>
      <c r="B19" s="92">
        <v>3.5210979846128465</v>
      </c>
      <c r="C19" s="92">
        <v>2.1634146225342339</v>
      </c>
      <c r="D19" s="92">
        <v>1.4475567327217722</v>
      </c>
      <c r="E19" s="92">
        <v>1.146015334552787</v>
      </c>
      <c r="F19" s="92">
        <v>1.5179082704734392</v>
      </c>
      <c r="G19" s="92">
        <v>2.6884095529153709</v>
      </c>
      <c r="H19" s="92">
        <v>5.2906807295194884</v>
      </c>
      <c r="I19" s="92">
        <v>5.0999321221472274</v>
      </c>
      <c r="J19" s="92">
        <v>7.7929272391781339</v>
      </c>
      <c r="K19" s="92">
        <v>9.5739618618204698</v>
      </c>
      <c r="L19" s="92">
        <v>11.283668128450634</v>
      </c>
      <c r="M19" s="92">
        <v>12.786984318829694</v>
      </c>
      <c r="N19" s="92">
        <v>12.803267736327282</v>
      </c>
      <c r="O19" s="92">
        <v>12.510539639904367</v>
      </c>
      <c r="P19" s="92">
        <v>12.746428099723008</v>
      </c>
      <c r="Q19" s="92">
        <v>12.55091021479282</v>
      </c>
      <c r="R19" s="92">
        <v>11.957821737825784</v>
      </c>
      <c r="S19" s="92">
        <v>14.759882810146824</v>
      </c>
      <c r="T19" s="92">
        <v>15.893930307255593</v>
      </c>
      <c r="U19" s="92">
        <v>15.810452885837789</v>
      </c>
      <c r="V19" s="92">
        <v>14.460383508757849</v>
      </c>
      <c r="W19" s="92">
        <v>12.581803181028823</v>
      </c>
      <c r="X19" s="92">
        <v>9.7719612135491403</v>
      </c>
      <c r="Y19" s="92">
        <v>6.8032135847441095</v>
      </c>
      <c r="Z19" s="99">
        <f t="shared" si="0"/>
        <v>216.96315181764945</v>
      </c>
      <c r="AA19" s="69">
        <v>21</v>
      </c>
      <c r="AB19" s="70">
        <f t="shared" si="1"/>
        <v>4556.2261881706381</v>
      </c>
      <c r="AD19" s="42" t="s">
        <v>46</v>
      </c>
    </row>
    <row r="20" spans="1:30" ht="16.5" thickBot="1" x14ac:dyDescent="0.3">
      <c r="A20"/>
      <c r="B20" s="95"/>
      <c r="C20" s="90"/>
      <c r="D20" s="90"/>
      <c r="E20" s="90"/>
      <c r="F20" s="90"/>
      <c r="G20" s="90"/>
      <c r="H20" s="90"/>
      <c r="I20" s="90"/>
      <c r="J20" s="90"/>
      <c r="K20" s="90"/>
      <c r="L20" s="90"/>
      <c r="M20" s="90"/>
      <c r="N20" s="90"/>
      <c r="O20" s="90"/>
      <c r="P20" s="90"/>
      <c r="Q20" s="90"/>
      <c r="R20" s="90"/>
      <c r="S20" s="90"/>
      <c r="T20" s="90"/>
      <c r="U20" s="90"/>
      <c r="V20" s="90"/>
      <c r="W20" s="90"/>
      <c r="X20" s="90"/>
      <c r="Y20" s="90"/>
      <c r="Z20" s="89"/>
      <c r="AA20" s="72"/>
      <c r="AB20"/>
    </row>
    <row r="21" spans="1:30" ht="16.5" thickBot="1" x14ac:dyDescent="0.3">
      <c r="A21" s="45" t="s">
        <v>54</v>
      </c>
      <c r="B21" s="90"/>
      <c r="C21" s="90"/>
      <c r="D21" s="90"/>
      <c r="E21" s="96"/>
      <c r="F21" s="90"/>
      <c r="G21" s="90"/>
      <c r="H21" s="90"/>
      <c r="I21" s="90"/>
      <c r="J21" s="90"/>
      <c r="K21" s="90"/>
      <c r="L21" s="90"/>
      <c r="M21" s="90"/>
      <c r="N21" s="90"/>
      <c r="O21" s="90"/>
      <c r="P21" s="90"/>
      <c r="Q21" s="90"/>
      <c r="R21" s="90"/>
      <c r="S21" s="90"/>
      <c r="T21" s="90"/>
      <c r="U21" s="90"/>
      <c r="V21" s="90"/>
      <c r="W21" s="90"/>
      <c r="X21" s="90"/>
      <c r="Y21" s="90"/>
      <c r="Z21" s="89"/>
      <c r="AA21" s="72"/>
      <c r="AB21"/>
    </row>
    <row r="22" spans="1:30" ht="16.5" thickBot="1" x14ac:dyDescent="0.3">
      <c r="A22"/>
      <c r="B22" s="95"/>
      <c r="C22" s="90"/>
      <c r="D22" s="90"/>
      <c r="E22" s="90"/>
      <c r="F22" s="90"/>
      <c r="G22" s="90"/>
      <c r="H22" s="90"/>
      <c r="I22" s="90"/>
      <c r="J22" s="90"/>
      <c r="K22" s="90"/>
      <c r="L22" s="90"/>
      <c r="M22" s="90"/>
      <c r="N22" s="90"/>
      <c r="O22" s="90"/>
      <c r="P22" s="90"/>
      <c r="Q22" s="90"/>
      <c r="R22" s="90"/>
      <c r="S22" s="90"/>
      <c r="T22" s="90"/>
      <c r="U22" s="90"/>
      <c r="V22" s="90"/>
      <c r="W22" s="90"/>
      <c r="X22" s="90"/>
      <c r="Y22" s="90"/>
      <c r="Z22" s="89"/>
      <c r="AA22"/>
      <c r="AB22"/>
    </row>
    <row r="23" spans="1:30" ht="15.75" thickBot="1" x14ac:dyDescent="0.25">
      <c r="A23" s="52" t="s">
        <v>20</v>
      </c>
      <c r="B23" s="53" t="s">
        <v>21</v>
      </c>
      <c r="C23" s="53" t="s">
        <v>22</v>
      </c>
      <c r="D23" s="53" t="s">
        <v>23</v>
      </c>
      <c r="E23" s="53" t="s">
        <v>24</v>
      </c>
      <c r="F23" s="53" t="s">
        <v>25</v>
      </c>
      <c r="G23" s="53" t="s">
        <v>26</v>
      </c>
      <c r="H23" s="53" t="s">
        <v>27</v>
      </c>
      <c r="I23" s="53" t="s">
        <v>28</v>
      </c>
      <c r="J23" s="53" t="s">
        <v>29</v>
      </c>
      <c r="K23" s="53" t="s">
        <v>30</v>
      </c>
      <c r="L23" s="53" t="s">
        <v>31</v>
      </c>
      <c r="M23" s="53" t="s">
        <v>32</v>
      </c>
      <c r="N23" s="53" t="s">
        <v>33</v>
      </c>
      <c r="O23" s="53" t="s">
        <v>34</v>
      </c>
      <c r="P23" s="53" t="s">
        <v>35</v>
      </c>
      <c r="Q23" s="53" t="s">
        <v>36</v>
      </c>
      <c r="R23" s="53" t="s">
        <v>37</v>
      </c>
      <c r="S23" s="53" t="s">
        <v>38</v>
      </c>
      <c r="T23" s="53" t="s">
        <v>39</v>
      </c>
      <c r="U23" s="53" t="s">
        <v>40</v>
      </c>
      <c r="V23" s="53" t="s">
        <v>41</v>
      </c>
      <c r="W23" s="53" t="s">
        <v>42</v>
      </c>
      <c r="X23" s="53" t="s">
        <v>43</v>
      </c>
      <c r="Y23" s="53" t="s">
        <v>44</v>
      </c>
      <c r="Z23" s="53" t="s">
        <v>11</v>
      </c>
      <c r="AA23" s="53" t="s">
        <v>45</v>
      </c>
      <c r="AB23" s="55"/>
    </row>
    <row r="24" spans="1:30" ht="15.75" x14ac:dyDescent="0.25">
      <c r="A24" s="56">
        <f t="shared" ref="A24:A35" si="2">+A8</f>
        <v>46023</v>
      </c>
      <c r="B24" s="92">
        <v>8.4759770209744971</v>
      </c>
      <c r="C24" s="92">
        <v>7.0358860543429618</v>
      </c>
      <c r="D24" s="92">
        <v>6.1877781570331063</v>
      </c>
      <c r="E24" s="92">
        <v>5.7280093440319613</v>
      </c>
      <c r="F24" s="92">
        <v>5.891818365184343</v>
      </c>
      <c r="G24" s="92">
        <v>6.7461214106497138</v>
      </c>
      <c r="H24" s="92">
        <v>8.7855795680233424</v>
      </c>
      <c r="I24" s="92">
        <v>7.7759923625368685</v>
      </c>
      <c r="J24" s="92">
        <v>10.795828234515923</v>
      </c>
      <c r="K24" s="92">
        <v>13.407887201379358</v>
      </c>
      <c r="L24" s="92">
        <v>15.1711794589419</v>
      </c>
      <c r="M24" s="92">
        <v>16.659925627894598</v>
      </c>
      <c r="N24" s="92">
        <v>16.85319788675729</v>
      </c>
      <c r="O24" s="92">
        <v>15.949726506448918</v>
      </c>
      <c r="P24" s="92">
        <v>15.186154112710312</v>
      </c>
      <c r="Q24" s="92">
        <v>14.868080446030049</v>
      </c>
      <c r="R24" s="92">
        <v>14.329756155302835</v>
      </c>
      <c r="S24" s="92">
        <v>18.58036865145791</v>
      </c>
      <c r="T24" s="92">
        <v>19.858116550834975</v>
      </c>
      <c r="U24" s="92">
        <v>20.427411624401916</v>
      </c>
      <c r="V24" s="92">
        <v>18.972314627144922</v>
      </c>
      <c r="W24" s="92">
        <v>16.959274388731043</v>
      </c>
      <c r="X24" s="92">
        <v>14.293955975056887</v>
      </c>
      <c r="Y24" s="92">
        <v>11.55047313065303</v>
      </c>
      <c r="Z24" s="93">
        <f t="shared" ref="Z24:Z35" si="3">SUM(B24:Y24)</f>
        <v>310.49081286103865</v>
      </c>
      <c r="AA24" s="59">
        <v>5</v>
      </c>
      <c r="AB24" s="60">
        <f>+Z24*AA24</f>
        <v>1552.4540643051932</v>
      </c>
      <c r="AD24" s="42" t="s">
        <v>50</v>
      </c>
    </row>
    <row r="25" spans="1:30" ht="15.75" x14ac:dyDescent="0.25">
      <c r="A25" s="61">
        <f t="shared" si="2"/>
        <v>46054</v>
      </c>
      <c r="B25" s="92">
        <v>8.0465204436579807</v>
      </c>
      <c r="C25" s="92">
        <v>6.7429663395486639</v>
      </c>
      <c r="D25" s="92">
        <v>5.9969458818150958</v>
      </c>
      <c r="E25" s="92">
        <v>5.6140092898912188</v>
      </c>
      <c r="F25" s="92">
        <v>5.8270032138299426</v>
      </c>
      <c r="G25" s="92">
        <v>6.9848018084213983</v>
      </c>
      <c r="H25" s="92">
        <v>9.3844352465572669</v>
      </c>
      <c r="I25" s="92">
        <v>8.4603242575793338</v>
      </c>
      <c r="J25" s="92">
        <v>11.39143451437635</v>
      </c>
      <c r="K25" s="92">
        <v>13.555425308569953</v>
      </c>
      <c r="L25" s="92">
        <v>15.292843268084521</v>
      </c>
      <c r="M25" s="92">
        <v>16.385989887748305</v>
      </c>
      <c r="N25" s="92">
        <v>16.356434076241509</v>
      </c>
      <c r="O25" s="92">
        <v>15.744340186265347</v>
      </c>
      <c r="P25" s="92">
        <v>15.225466037358551</v>
      </c>
      <c r="Q25" s="92">
        <v>14.912483420224095</v>
      </c>
      <c r="R25" s="92">
        <v>14.566039085315984</v>
      </c>
      <c r="S25" s="92">
        <v>18.218272184296584</v>
      </c>
      <c r="T25" s="92">
        <v>18.832329479996712</v>
      </c>
      <c r="U25" s="92">
        <v>20.213919129219217</v>
      </c>
      <c r="V25" s="92">
        <v>18.902375151891682</v>
      </c>
      <c r="W25" s="92">
        <v>17.059283347577576</v>
      </c>
      <c r="X25" s="92">
        <v>14.384217277712821</v>
      </c>
      <c r="Y25" s="92">
        <v>11.71291930604302</v>
      </c>
      <c r="Z25" s="94">
        <f t="shared" si="3"/>
        <v>309.81077814222317</v>
      </c>
      <c r="AA25" s="64">
        <v>4</v>
      </c>
      <c r="AB25" s="65">
        <f>+Z25*AA25</f>
        <v>1239.2431125688927</v>
      </c>
      <c r="AD25" s="42" t="s">
        <v>50</v>
      </c>
    </row>
    <row r="26" spans="1:30" ht="15.75" x14ac:dyDescent="0.25">
      <c r="A26" s="61">
        <f t="shared" si="2"/>
        <v>46082</v>
      </c>
      <c r="B26" s="92">
        <v>7.0453248043266647</v>
      </c>
      <c r="C26" s="92">
        <v>5.7755824618822516</v>
      </c>
      <c r="D26" s="92">
        <v>5.0765127849968632</v>
      </c>
      <c r="E26" s="92">
        <v>4.7101857296225065</v>
      </c>
      <c r="F26" s="92">
        <v>5.0241820479950841</v>
      </c>
      <c r="G26" s="92">
        <v>6.0689409438848454</v>
      </c>
      <c r="H26" s="92">
        <v>8.0447721681696205</v>
      </c>
      <c r="I26" s="92">
        <v>7.5558531270922469</v>
      </c>
      <c r="J26" s="92">
        <v>10.426645187027825</v>
      </c>
      <c r="K26" s="92">
        <v>12.331359561527613</v>
      </c>
      <c r="L26" s="92">
        <v>13.91686946525587</v>
      </c>
      <c r="M26" s="92">
        <v>15.365009027962689</v>
      </c>
      <c r="N26" s="92">
        <v>15.307879283041068</v>
      </c>
      <c r="O26" s="92">
        <v>14.337152080879459</v>
      </c>
      <c r="P26" s="92">
        <v>13.672472375098033</v>
      </c>
      <c r="Q26" s="92">
        <v>13.336652382939697</v>
      </c>
      <c r="R26" s="92">
        <v>12.988590563238271</v>
      </c>
      <c r="S26" s="92">
        <v>16.751607064132724</v>
      </c>
      <c r="T26" s="92">
        <v>17.238043770456411</v>
      </c>
      <c r="U26" s="92">
        <v>17.89369983811288</v>
      </c>
      <c r="V26" s="92">
        <v>16.642161885893685</v>
      </c>
      <c r="W26" s="92">
        <v>14.954641752593961</v>
      </c>
      <c r="X26" s="92">
        <v>12.463236037934287</v>
      </c>
      <c r="Y26" s="92">
        <v>9.9768152126616627</v>
      </c>
      <c r="Z26" s="94">
        <f t="shared" si="3"/>
        <v>276.90418955672624</v>
      </c>
      <c r="AA26" s="64">
        <v>4</v>
      </c>
      <c r="AB26" s="65">
        <f t="shared" ref="AB26:AB35" si="4">+Z26*AA26</f>
        <v>1107.6167582269049</v>
      </c>
      <c r="AD26" s="42" t="s">
        <v>50</v>
      </c>
    </row>
    <row r="27" spans="1:30" ht="15.75" x14ac:dyDescent="0.25">
      <c r="A27" s="61">
        <f t="shared" si="2"/>
        <v>46113</v>
      </c>
      <c r="B27" s="92">
        <v>3.415449579997512</v>
      </c>
      <c r="C27" s="92">
        <v>2.0858244641288985</v>
      </c>
      <c r="D27" s="92">
        <v>1.3193903205116222</v>
      </c>
      <c r="E27" s="92">
        <v>0.93086334098036605</v>
      </c>
      <c r="F27" s="92">
        <v>1.1386038611952827</v>
      </c>
      <c r="G27" s="92">
        <v>1.6907591549202772</v>
      </c>
      <c r="H27" s="92">
        <v>3.9716940622599286</v>
      </c>
      <c r="I27" s="92">
        <v>3.6443195042709196</v>
      </c>
      <c r="J27" s="92">
        <v>6.3673934656411149</v>
      </c>
      <c r="K27" s="92">
        <v>8.4901968884241725</v>
      </c>
      <c r="L27" s="92">
        <v>10.084459522489778</v>
      </c>
      <c r="M27" s="92">
        <v>11.35162762855734</v>
      </c>
      <c r="N27" s="92">
        <v>11.433228096333274</v>
      </c>
      <c r="O27" s="92">
        <v>10.420117701236755</v>
      </c>
      <c r="P27" s="92">
        <v>9.8527689639234879</v>
      </c>
      <c r="Q27" s="92">
        <v>9.5411051624605179</v>
      </c>
      <c r="R27" s="92">
        <v>8.9815915771877197</v>
      </c>
      <c r="S27" s="92">
        <v>12.656550677335465</v>
      </c>
      <c r="T27" s="92">
        <v>13.651823655535605</v>
      </c>
      <c r="U27" s="92">
        <v>14.375811949424563</v>
      </c>
      <c r="V27" s="92">
        <v>13.129208630406726</v>
      </c>
      <c r="W27" s="92">
        <v>11.345284230305202</v>
      </c>
      <c r="X27" s="92">
        <v>8.9681614162849144</v>
      </c>
      <c r="Y27" s="92">
        <v>6.5086893939652724</v>
      </c>
      <c r="Z27" s="94">
        <f t="shared" si="3"/>
        <v>185.35492324777672</v>
      </c>
      <c r="AA27" s="64">
        <v>4</v>
      </c>
      <c r="AB27" s="65">
        <f t="shared" si="4"/>
        <v>741.4196929911069</v>
      </c>
      <c r="AD27" s="42" t="s">
        <v>50</v>
      </c>
    </row>
    <row r="28" spans="1:30" ht="15.75" x14ac:dyDescent="0.25">
      <c r="A28" s="61">
        <f t="shared" si="2"/>
        <v>46143</v>
      </c>
      <c r="B28" s="92">
        <v>0</v>
      </c>
      <c r="C28" s="92">
        <v>0</v>
      </c>
      <c r="D28" s="92">
        <v>0</v>
      </c>
      <c r="E28" s="92">
        <v>0</v>
      </c>
      <c r="F28" s="92">
        <v>0</v>
      </c>
      <c r="G28" s="92">
        <v>0</v>
      </c>
      <c r="H28" s="92">
        <v>0</v>
      </c>
      <c r="I28" s="92">
        <v>0</v>
      </c>
      <c r="J28" s="92">
        <v>0</v>
      </c>
      <c r="K28" s="92">
        <v>0</v>
      </c>
      <c r="L28" s="92">
        <v>0</v>
      </c>
      <c r="M28" s="92">
        <v>0</v>
      </c>
      <c r="N28" s="92">
        <v>0</v>
      </c>
      <c r="O28" s="92">
        <v>0</v>
      </c>
      <c r="P28" s="92">
        <v>0</v>
      </c>
      <c r="Q28" s="92">
        <v>0</v>
      </c>
      <c r="R28" s="92">
        <v>0</v>
      </c>
      <c r="S28" s="92">
        <v>0</v>
      </c>
      <c r="T28" s="92">
        <v>0</v>
      </c>
      <c r="U28" s="92">
        <v>0</v>
      </c>
      <c r="V28" s="92">
        <v>0</v>
      </c>
      <c r="W28" s="92">
        <v>0</v>
      </c>
      <c r="X28" s="92">
        <v>0</v>
      </c>
      <c r="Y28" s="92">
        <v>0</v>
      </c>
      <c r="Z28" s="94">
        <f t="shared" si="3"/>
        <v>0</v>
      </c>
      <c r="AA28" s="64">
        <v>5</v>
      </c>
      <c r="AB28" s="65">
        <f t="shared" si="4"/>
        <v>0</v>
      </c>
      <c r="AD28" s="42" t="s">
        <v>50</v>
      </c>
    </row>
    <row r="29" spans="1:30" ht="15.75" x14ac:dyDescent="0.25">
      <c r="A29" s="61">
        <f t="shared" si="2"/>
        <v>46174</v>
      </c>
      <c r="B29" s="92">
        <v>0</v>
      </c>
      <c r="C29" s="92">
        <v>0</v>
      </c>
      <c r="D29" s="92">
        <v>0</v>
      </c>
      <c r="E29" s="92">
        <v>0</v>
      </c>
      <c r="F29" s="92">
        <v>0</v>
      </c>
      <c r="G29" s="92">
        <v>0</v>
      </c>
      <c r="H29" s="92">
        <v>0</v>
      </c>
      <c r="I29" s="92">
        <v>0</v>
      </c>
      <c r="J29" s="92">
        <v>0</v>
      </c>
      <c r="K29" s="92">
        <v>0</v>
      </c>
      <c r="L29" s="92">
        <v>0</v>
      </c>
      <c r="M29" s="92">
        <v>0</v>
      </c>
      <c r="N29" s="92">
        <v>0</v>
      </c>
      <c r="O29" s="92">
        <v>0</v>
      </c>
      <c r="P29" s="92">
        <v>0</v>
      </c>
      <c r="Q29" s="92">
        <v>0</v>
      </c>
      <c r="R29" s="92">
        <v>0</v>
      </c>
      <c r="S29" s="92">
        <v>0</v>
      </c>
      <c r="T29" s="92">
        <v>0</v>
      </c>
      <c r="U29" s="92">
        <v>0</v>
      </c>
      <c r="V29" s="92">
        <v>0</v>
      </c>
      <c r="W29" s="92">
        <v>0</v>
      </c>
      <c r="X29" s="92">
        <v>0</v>
      </c>
      <c r="Y29" s="92">
        <v>0</v>
      </c>
      <c r="Z29" s="94">
        <f t="shared" si="3"/>
        <v>0</v>
      </c>
      <c r="AA29" s="64">
        <v>4</v>
      </c>
      <c r="AB29" s="65">
        <f t="shared" si="4"/>
        <v>0</v>
      </c>
      <c r="AD29" s="42" t="s">
        <v>50</v>
      </c>
    </row>
    <row r="30" spans="1:30" ht="15.75" x14ac:dyDescent="0.25">
      <c r="A30" s="61">
        <f t="shared" si="2"/>
        <v>46204</v>
      </c>
      <c r="B30" s="92">
        <v>0</v>
      </c>
      <c r="C30" s="92">
        <v>0</v>
      </c>
      <c r="D30" s="92">
        <v>0</v>
      </c>
      <c r="E30" s="92">
        <v>0</v>
      </c>
      <c r="F30" s="92">
        <v>0</v>
      </c>
      <c r="G30" s="92">
        <v>0</v>
      </c>
      <c r="H30" s="92">
        <v>0</v>
      </c>
      <c r="I30" s="92">
        <v>0</v>
      </c>
      <c r="J30" s="92">
        <v>0</v>
      </c>
      <c r="K30" s="92">
        <v>0</v>
      </c>
      <c r="L30" s="92">
        <v>0</v>
      </c>
      <c r="M30" s="92">
        <v>0</v>
      </c>
      <c r="N30" s="92">
        <v>0</v>
      </c>
      <c r="O30" s="92">
        <v>0</v>
      </c>
      <c r="P30" s="92">
        <v>0</v>
      </c>
      <c r="Q30" s="92">
        <v>0</v>
      </c>
      <c r="R30" s="92">
        <v>0</v>
      </c>
      <c r="S30" s="92">
        <v>0</v>
      </c>
      <c r="T30" s="92">
        <v>0</v>
      </c>
      <c r="U30" s="92">
        <v>0</v>
      </c>
      <c r="V30" s="92">
        <v>0</v>
      </c>
      <c r="W30" s="92">
        <v>0</v>
      </c>
      <c r="X30" s="92">
        <v>0</v>
      </c>
      <c r="Y30" s="92">
        <v>0</v>
      </c>
      <c r="Z30" s="94">
        <f t="shared" si="3"/>
        <v>0</v>
      </c>
      <c r="AA30" s="64">
        <v>4</v>
      </c>
      <c r="AB30" s="65">
        <f t="shared" si="4"/>
        <v>0</v>
      </c>
      <c r="AD30" s="42" t="s">
        <v>50</v>
      </c>
    </row>
    <row r="31" spans="1:30" ht="15.75" x14ac:dyDescent="0.25">
      <c r="A31" s="61">
        <f t="shared" si="2"/>
        <v>46235</v>
      </c>
      <c r="B31" s="92">
        <v>0</v>
      </c>
      <c r="C31" s="92">
        <v>0</v>
      </c>
      <c r="D31" s="92">
        <v>0</v>
      </c>
      <c r="E31" s="92">
        <v>0</v>
      </c>
      <c r="F31" s="92">
        <v>0</v>
      </c>
      <c r="G31" s="92">
        <v>0</v>
      </c>
      <c r="H31" s="92">
        <v>0</v>
      </c>
      <c r="I31" s="92">
        <v>0</v>
      </c>
      <c r="J31" s="92">
        <v>0</v>
      </c>
      <c r="K31" s="92">
        <v>0</v>
      </c>
      <c r="L31" s="92">
        <v>0</v>
      </c>
      <c r="M31" s="92">
        <v>0</v>
      </c>
      <c r="N31" s="92">
        <v>0</v>
      </c>
      <c r="O31" s="92">
        <v>0</v>
      </c>
      <c r="P31" s="92">
        <v>0</v>
      </c>
      <c r="Q31" s="92">
        <v>0</v>
      </c>
      <c r="R31" s="92">
        <v>0</v>
      </c>
      <c r="S31" s="92">
        <v>0</v>
      </c>
      <c r="T31" s="92">
        <v>0</v>
      </c>
      <c r="U31" s="92">
        <v>0</v>
      </c>
      <c r="V31" s="92">
        <v>0</v>
      </c>
      <c r="W31" s="92">
        <v>0</v>
      </c>
      <c r="X31" s="92">
        <v>0</v>
      </c>
      <c r="Y31" s="92">
        <v>0</v>
      </c>
      <c r="Z31" s="94">
        <f t="shared" si="3"/>
        <v>0</v>
      </c>
      <c r="AA31" s="64">
        <v>5</v>
      </c>
      <c r="AB31" s="65">
        <f t="shared" si="4"/>
        <v>0</v>
      </c>
      <c r="AD31" s="42" t="s">
        <v>50</v>
      </c>
    </row>
    <row r="32" spans="1:30" ht="15.75" x14ac:dyDescent="0.25">
      <c r="A32" s="61">
        <f t="shared" si="2"/>
        <v>46266</v>
      </c>
      <c r="B32" s="92">
        <v>0</v>
      </c>
      <c r="C32" s="92">
        <v>0</v>
      </c>
      <c r="D32" s="92">
        <v>0</v>
      </c>
      <c r="E32" s="92">
        <v>0</v>
      </c>
      <c r="F32" s="92">
        <v>0</v>
      </c>
      <c r="G32" s="92">
        <v>0</v>
      </c>
      <c r="H32" s="92">
        <v>0</v>
      </c>
      <c r="I32" s="92">
        <v>0</v>
      </c>
      <c r="J32" s="92">
        <v>0</v>
      </c>
      <c r="K32" s="92">
        <v>0</v>
      </c>
      <c r="L32" s="92">
        <v>0</v>
      </c>
      <c r="M32" s="92">
        <v>0</v>
      </c>
      <c r="N32" s="92">
        <v>0</v>
      </c>
      <c r="O32" s="92">
        <v>0</v>
      </c>
      <c r="P32" s="92">
        <v>0</v>
      </c>
      <c r="Q32" s="92">
        <v>0</v>
      </c>
      <c r="R32" s="92">
        <v>0</v>
      </c>
      <c r="S32" s="92">
        <v>0</v>
      </c>
      <c r="T32" s="92">
        <v>0</v>
      </c>
      <c r="U32" s="92">
        <v>0</v>
      </c>
      <c r="V32" s="92">
        <v>0</v>
      </c>
      <c r="W32" s="92">
        <v>0</v>
      </c>
      <c r="X32" s="92">
        <v>0</v>
      </c>
      <c r="Y32" s="92">
        <v>0</v>
      </c>
      <c r="Z32" s="94">
        <f t="shared" si="3"/>
        <v>0</v>
      </c>
      <c r="AA32" s="64">
        <v>4</v>
      </c>
      <c r="AB32" s="65">
        <f t="shared" si="4"/>
        <v>0</v>
      </c>
      <c r="AD32" s="42" t="s">
        <v>50</v>
      </c>
    </row>
    <row r="33" spans="1:30" ht="15.75" x14ac:dyDescent="0.25">
      <c r="A33" s="61">
        <f t="shared" si="2"/>
        <v>46296</v>
      </c>
      <c r="B33" s="92">
        <v>0</v>
      </c>
      <c r="C33" s="92">
        <v>0</v>
      </c>
      <c r="D33" s="92">
        <v>0</v>
      </c>
      <c r="E33" s="92">
        <v>0</v>
      </c>
      <c r="F33" s="92">
        <v>0</v>
      </c>
      <c r="G33" s="92">
        <v>0</v>
      </c>
      <c r="H33" s="92">
        <v>0</v>
      </c>
      <c r="I33" s="92">
        <v>0</v>
      </c>
      <c r="J33" s="92">
        <v>0</v>
      </c>
      <c r="K33" s="92">
        <v>0</v>
      </c>
      <c r="L33" s="92">
        <v>0</v>
      </c>
      <c r="M33" s="92">
        <v>0</v>
      </c>
      <c r="N33" s="92">
        <v>0</v>
      </c>
      <c r="O33" s="92">
        <v>0</v>
      </c>
      <c r="P33" s="92">
        <v>0</v>
      </c>
      <c r="Q33" s="92">
        <v>0</v>
      </c>
      <c r="R33" s="92">
        <v>0</v>
      </c>
      <c r="S33" s="92">
        <v>0</v>
      </c>
      <c r="T33" s="92">
        <v>0</v>
      </c>
      <c r="U33" s="92">
        <v>0</v>
      </c>
      <c r="V33" s="92">
        <v>0</v>
      </c>
      <c r="W33" s="92">
        <v>0</v>
      </c>
      <c r="X33" s="92">
        <v>0</v>
      </c>
      <c r="Y33" s="92">
        <v>0</v>
      </c>
      <c r="Z33" s="94">
        <f t="shared" si="3"/>
        <v>0</v>
      </c>
      <c r="AA33" s="64">
        <v>5</v>
      </c>
      <c r="AB33" s="65">
        <f t="shared" si="4"/>
        <v>0</v>
      </c>
      <c r="AD33" s="42" t="s">
        <v>50</v>
      </c>
    </row>
    <row r="34" spans="1:30" ht="15.75" x14ac:dyDescent="0.25">
      <c r="A34" s="61">
        <f t="shared" si="2"/>
        <v>46327</v>
      </c>
      <c r="B34" s="92">
        <v>6.8861273704981434</v>
      </c>
      <c r="C34" s="92">
        <v>5.6527503837833359</v>
      </c>
      <c r="D34" s="92">
        <v>4.9515700654409445</v>
      </c>
      <c r="E34" s="92">
        <v>4.5823022883923406</v>
      </c>
      <c r="F34" s="92">
        <v>4.8359812728981559</v>
      </c>
      <c r="G34" s="92">
        <v>5.2799777898941098</v>
      </c>
      <c r="H34" s="92">
        <v>7.7059396812936685</v>
      </c>
      <c r="I34" s="92">
        <v>7.7293718995976164</v>
      </c>
      <c r="J34" s="92">
        <v>10.458560831344585</v>
      </c>
      <c r="K34" s="92">
        <v>12.436820305337678</v>
      </c>
      <c r="L34" s="92">
        <v>14.062473194561345</v>
      </c>
      <c r="M34" s="92">
        <v>15.454095545445293</v>
      </c>
      <c r="N34" s="92">
        <v>15.371238006517</v>
      </c>
      <c r="O34" s="92">
        <v>14.375117625739454</v>
      </c>
      <c r="P34" s="92">
        <v>13.622993088040136</v>
      </c>
      <c r="Q34" s="92">
        <v>13.296748191592938</v>
      </c>
      <c r="R34" s="92">
        <v>12.879151156738139</v>
      </c>
      <c r="S34" s="92">
        <v>16.463738604298065</v>
      </c>
      <c r="T34" s="92">
        <v>18.195591732456901</v>
      </c>
      <c r="U34" s="92">
        <v>17.822356132040223</v>
      </c>
      <c r="V34" s="92">
        <v>16.367901889380491</v>
      </c>
      <c r="W34" s="92">
        <v>14.774094480815162</v>
      </c>
      <c r="X34" s="92">
        <v>12.321435913850735</v>
      </c>
      <c r="Y34" s="92">
        <v>9.8388508263733101</v>
      </c>
      <c r="Z34" s="94">
        <f t="shared" si="3"/>
        <v>275.36518827632983</v>
      </c>
      <c r="AA34" s="64">
        <v>4</v>
      </c>
      <c r="AB34" s="65">
        <f t="shared" si="4"/>
        <v>1101.4607531053193</v>
      </c>
      <c r="AD34" s="42" t="s">
        <v>50</v>
      </c>
    </row>
    <row r="35" spans="1:30" ht="16.5" thickBot="1" x14ac:dyDescent="0.3">
      <c r="A35" s="66">
        <f t="shared" si="2"/>
        <v>46357</v>
      </c>
      <c r="B35" s="92">
        <v>3.7104186037721156</v>
      </c>
      <c r="C35" s="92">
        <v>2.3242857368180267</v>
      </c>
      <c r="D35" s="92">
        <v>1.5189039248324407</v>
      </c>
      <c r="E35" s="92">
        <v>1.0971686388763846</v>
      </c>
      <c r="F35" s="92">
        <v>1.3399806835986383</v>
      </c>
      <c r="G35" s="92">
        <v>1.9514160673102015</v>
      </c>
      <c r="H35" s="92">
        <v>4.2504220951417446</v>
      </c>
      <c r="I35" s="92">
        <v>4.0537466729834701</v>
      </c>
      <c r="J35" s="92">
        <v>6.9184178526492834</v>
      </c>
      <c r="K35" s="92">
        <v>8.9412899992460009</v>
      </c>
      <c r="L35" s="92">
        <v>10.508285258089163</v>
      </c>
      <c r="M35" s="92">
        <v>11.891288068240232</v>
      </c>
      <c r="N35" s="92">
        <v>11.841083544789086</v>
      </c>
      <c r="O35" s="92">
        <v>10.767384840247106</v>
      </c>
      <c r="P35" s="92">
        <v>9.8178458226097725</v>
      </c>
      <c r="Q35" s="92">
        <v>9.3315748592355376</v>
      </c>
      <c r="R35" s="92">
        <v>9.1122557728423992</v>
      </c>
      <c r="S35" s="92">
        <v>12.943989345262235</v>
      </c>
      <c r="T35" s="92">
        <v>14.411392095266448</v>
      </c>
      <c r="U35" s="92">
        <v>14.225399244496032</v>
      </c>
      <c r="V35" s="92">
        <v>12.827704776008002</v>
      </c>
      <c r="W35" s="92">
        <v>11.063516026353209</v>
      </c>
      <c r="X35" s="92">
        <v>8.6909330888262559</v>
      </c>
      <c r="Y35" s="92">
        <v>6.2750118367888357</v>
      </c>
      <c r="Z35" s="99">
        <f t="shared" si="3"/>
        <v>189.81371485428264</v>
      </c>
      <c r="AA35" s="69">
        <v>4</v>
      </c>
      <c r="AB35" s="70">
        <f t="shared" si="4"/>
        <v>759.25485941713055</v>
      </c>
      <c r="AD35" s="42" t="s">
        <v>50</v>
      </c>
    </row>
    <row r="36" spans="1:30" ht="16.5" thickBot="1" x14ac:dyDescent="0.3">
      <c r="A36"/>
      <c r="B36" s="95"/>
      <c r="C36" s="90"/>
      <c r="D36" s="90"/>
      <c r="E36" s="90"/>
      <c r="F36" s="90"/>
      <c r="G36" s="90"/>
      <c r="H36" s="90"/>
      <c r="I36" s="90"/>
      <c r="J36" s="90"/>
      <c r="K36" s="90"/>
      <c r="L36" s="90"/>
      <c r="M36" s="90"/>
      <c r="N36" s="90"/>
      <c r="O36" s="90"/>
      <c r="P36" s="90"/>
      <c r="Q36" s="90"/>
      <c r="R36" s="90"/>
      <c r="S36" s="90"/>
      <c r="T36" s="90"/>
      <c r="U36" s="90"/>
      <c r="V36" s="90"/>
      <c r="W36" s="90"/>
      <c r="X36" s="90"/>
      <c r="Y36" s="90"/>
      <c r="Z36" s="89"/>
      <c r="AA36" s="72"/>
      <c r="AB36"/>
    </row>
    <row r="37" spans="1:30" ht="16.5" thickBot="1" x14ac:dyDescent="0.3">
      <c r="A37" s="45" t="s">
        <v>55</v>
      </c>
      <c r="B37" s="90"/>
      <c r="C37" s="90"/>
      <c r="D37" s="90"/>
      <c r="E37" s="96"/>
      <c r="F37" s="90"/>
      <c r="G37" s="90"/>
      <c r="H37" s="90"/>
      <c r="I37" s="90"/>
      <c r="J37" s="90"/>
      <c r="K37" s="90"/>
      <c r="L37" s="90"/>
      <c r="M37" s="90"/>
      <c r="N37" s="90"/>
      <c r="O37" s="90"/>
      <c r="P37" s="90"/>
      <c r="Q37" s="90"/>
      <c r="R37" s="90"/>
      <c r="S37" s="90"/>
      <c r="T37" s="90"/>
      <c r="U37" s="90"/>
      <c r="V37" s="90"/>
      <c r="W37" s="90"/>
      <c r="X37" s="90"/>
      <c r="Y37" s="90"/>
      <c r="Z37" s="89"/>
      <c r="AA37" s="72"/>
      <c r="AB37"/>
    </row>
    <row r="38" spans="1:30" ht="16.5" thickBot="1" x14ac:dyDescent="0.3">
      <c r="A38"/>
      <c r="B38" s="95"/>
      <c r="C38" s="90"/>
      <c r="D38" s="90"/>
      <c r="E38" s="90"/>
      <c r="F38" s="90"/>
      <c r="G38" s="90"/>
      <c r="H38" s="90"/>
      <c r="I38" s="90"/>
      <c r="J38" s="90"/>
      <c r="K38" s="90"/>
      <c r="L38" s="90"/>
      <c r="M38" s="90"/>
      <c r="N38" s="90"/>
      <c r="O38" s="90"/>
      <c r="P38" s="90"/>
      <c r="Q38" s="90"/>
      <c r="R38" s="90"/>
      <c r="S38" s="90"/>
      <c r="T38" s="90"/>
      <c r="U38" s="90"/>
      <c r="V38" s="90"/>
      <c r="W38" s="90"/>
      <c r="X38" s="90"/>
      <c r="Y38" s="90"/>
      <c r="Z38" s="89"/>
      <c r="AA38"/>
      <c r="AB38"/>
    </row>
    <row r="39" spans="1:30" ht="15.75" thickBot="1" x14ac:dyDescent="0.25">
      <c r="A39" s="52" t="s">
        <v>20</v>
      </c>
      <c r="B39" s="53" t="s">
        <v>21</v>
      </c>
      <c r="C39" s="53" t="s">
        <v>22</v>
      </c>
      <c r="D39" s="53" t="s">
        <v>23</v>
      </c>
      <c r="E39" s="53" t="s">
        <v>24</v>
      </c>
      <c r="F39" s="53" t="s">
        <v>25</v>
      </c>
      <c r="G39" s="53" t="s">
        <v>26</v>
      </c>
      <c r="H39" s="53" t="s">
        <v>27</v>
      </c>
      <c r="I39" s="53" t="s">
        <v>28</v>
      </c>
      <c r="J39" s="53" t="s">
        <v>29</v>
      </c>
      <c r="K39" s="53" t="s">
        <v>30</v>
      </c>
      <c r="L39" s="53" t="s">
        <v>31</v>
      </c>
      <c r="M39" s="53" t="s">
        <v>32</v>
      </c>
      <c r="N39" s="53" t="s">
        <v>33</v>
      </c>
      <c r="O39" s="53" t="s">
        <v>34</v>
      </c>
      <c r="P39" s="53" t="s">
        <v>35</v>
      </c>
      <c r="Q39" s="53" t="s">
        <v>36</v>
      </c>
      <c r="R39" s="53" t="s">
        <v>37</v>
      </c>
      <c r="S39" s="53" t="s">
        <v>38</v>
      </c>
      <c r="T39" s="53" t="s">
        <v>39</v>
      </c>
      <c r="U39" s="53" t="s">
        <v>40</v>
      </c>
      <c r="V39" s="53" t="s">
        <v>41</v>
      </c>
      <c r="W39" s="53" t="s">
        <v>42</v>
      </c>
      <c r="X39" s="53" t="s">
        <v>43</v>
      </c>
      <c r="Y39" s="53" t="s">
        <v>44</v>
      </c>
      <c r="Z39" s="53" t="s">
        <v>11</v>
      </c>
      <c r="AA39" s="53" t="s">
        <v>45</v>
      </c>
      <c r="AB39" s="55"/>
    </row>
    <row r="40" spans="1:30" ht="15.75" x14ac:dyDescent="0.25">
      <c r="A40" s="56">
        <f t="shared" ref="A40:A51" si="5">+A24</f>
        <v>46023</v>
      </c>
      <c r="B40" s="92">
        <v>8.8293917121195271</v>
      </c>
      <c r="C40" s="92">
        <v>7.4003040026912421</v>
      </c>
      <c r="D40" s="92">
        <v>6.2221306262325013</v>
      </c>
      <c r="E40" s="92">
        <v>5.7546321670235629</v>
      </c>
      <c r="F40" s="92">
        <v>5.4760726409970379</v>
      </c>
      <c r="G40" s="92">
        <v>5.5752462568985939</v>
      </c>
      <c r="H40" s="92">
        <v>6.2974087969556347</v>
      </c>
      <c r="I40" s="92">
        <v>3.5879438872422251</v>
      </c>
      <c r="J40" s="92">
        <v>5.3169643738795855</v>
      </c>
      <c r="K40" s="92">
        <v>7.1806559652258803</v>
      </c>
      <c r="L40" s="92">
        <v>8.7680969157296129</v>
      </c>
      <c r="M40" s="92">
        <v>10.217103388748844</v>
      </c>
      <c r="N40" s="92">
        <v>11.210730153086937</v>
      </c>
      <c r="O40" s="92">
        <v>11.310574088098562</v>
      </c>
      <c r="P40" s="92">
        <v>10.863768947096862</v>
      </c>
      <c r="Q40" s="92">
        <v>10.627386476631363</v>
      </c>
      <c r="R40" s="92">
        <v>10.528423256145368</v>
      </c>
      <c r="S40" s="92">
        <v>14.784947086481697</v>
      </c>
      <c r="T40" s="92">
        <v>16.309042781112069</v>
      </c>
      <c r="U40" s="92">
        <v>17.999908800716018</v>
      </c>
      <c r="V40" s="92">
        <v>17.502928077231832</v>
      </c>
      <c r="W40" s="92">
        <v>15.772976739060731</v>
      </c>
      <c r="X40" s="92">
        <v>13.202472188541011</v>
      </c>
      <c r="Y40" s="92">
        <v>10.613623181116557</v>
      </c>
      <c r="Z40" s="93">
        <f t="shared" ref="Z40:Z51" si="6">SUM(B40:Y40)</f>
        <v>241.35273250906329</v>
      </c>
      <c r="AA40" s="59">
        <v>5</v>
      </c>
      <c r="AB40" s="60">
        <f>+Z40*AA40</f>
        <v>1206.7636625453165</v>
      </c>
      <c r="AD40" s="42" t="s">
        <v>51</v>
      </c>
    </row>
    <row r="41" spans="1:30" ht="15.75" x14ac:dyDescent="0.25">
      <c r="A41" s="61">
        <f t="shared" si="5"/>
        <v>46054</v>
      </c>
      <c r="B41" s="92">
        <v>8.5332033735358923</v>
      </c>
      <c r="C41" s="92">
        <v>7.0864586928825739</v>
      </c>
      <c r="D41" s="92">
        <v>6.0523803273939123</v>
      </c>
      <c r="E41" s="92">
        <v>5.4960992681342979</v>
      </c>
      <c r="F41" s="92">
        <v>5.4160439466876564</v>
      </c>
      <c r="G41" s="92">
        <v>5.8054285068310127</v>
      </c>
      <c r="H41" s="92">
        <v>6.8752684190874573</v>
      </c>
      <c r="I41" s="92">
        <v>4.6864018699368168</v>
      </c>
      <c r="J41" s="92">
        <v>6.7971583757838889</v>
      </c>
      <c r="K41" s="92">
        <v>8.802032085420171</v>
      </c>
      <c r="L41" s="92">
        <v>10.027397224633605</v>
      </c>
      <c r="M41" s="92">
        <v>11.334049762538875</v>
      </c>
      <c r="N41" s="92">
        <v>11.964206774781385</v>
      </c>
      <c r="O41" s="92">
        <v>11.649541022224598</v>
      </c>
      <c r="P41" s="92">
        <v>10.901718157410629</v>
      </c>
      <c r="Q41" s="92">
        <v>10.41353182884286</v>
      </c>
      <c r="R41" s="92">
        <v>10.109730370095763</v>
      </c>
      <c r="S41" s="92">
        <v>14.252078884487316</v>
      </c>
      <c r="T41" s="92">
        <v>15.071941765984025</v>
      </c>
      <c r="U41" s="92">
        <v>17.650553254470665</v>
      </c>
      <c r="V41" s="92">
        <v>17.05815367662435</v>
      </c>
      <c r="W41" s="92">
        <v>15.112302142020454</v>
      </c>
      <c r="X41" s="92">
        <v>12.046179046800171</v>
      </c>
      <c r="Y41" s="92">
        <v>9.0412017376652152</v>
      </c>
      <c r="Z41" s="94">
        <f t="shared" si="6"/>
        <v>242.18306051427362</v>
      </c>
      <c r="AA41" s="64">
        <v>4</v>
      </c>
      <c r="AB41" s="65">
        <f>+Z41*AA41</f>
        <v>968.73224205709448</v>
      </c>
      <c r="AD41" s="42" t="s">
        <v>51</v>
      </c>
    </row>
    <row r="42" spans="1:30" ht="15.75" x14ac:dyDescent="0.25">
      <c r="A42" s="61">
        <f t="shared" si="5"/>
        <v>46082</v>
      </c>
      <c r="B42" s="92">
        <v>7.2541478625886517</v>
      </c>
      <c r="C42" s="92">
        <v>5.9278010218586639</v>
      </c>
      <c r="D42" s="92">
        <v>5.11260188861948</v>
      </c>
      <c r="E42" s="92">
        <v>4.6357429904310408</v>
      </c>
      <c r="F42" s="92">
        <v>4.4870738919087163</v>
      </c>
      <c r="G42" s="92">
        <v>4.8933762049700746</v>
      </c>
      <c r="H42" s="92">
        <v>5.8131445956863974</v>
      </c>
      <c r="I42" s="92">
        <v>3.9967857067248698</v>
      </c>
      <c r="J42" s="92">
        <v>5.7989874058593633</v>
      </c>
      <c r="K42" s="92">
        <v>7.511177664467759</v>
      </c>
      <c r="L42" s="92">
        <v>8.6112475033615112</v>
      </c>
      <c r="M42" s="92">
        <v>9.6519031162443056</v>
      </c>
      <c r="N42" s="92">
        <v>10.452289671755075</v>
      </c>
      <c r="O42" s="92">
        <v>10.398815582706572</v>
      </c>
      <c r="P42" s="92">
        <v>9.6909100875608569</v>
      </c>
      <c r="Q42" s="92">
        <v>9.3642685048291092</v>
      </c>
      <c r="R42" s="92">
        <v>9.3579536424971597</v>
      </c>
      <c r="S42" s="92">
        <v>13.492545865026958</v>
      </c>
      <c r="T42" s="92">
        <v>14.754204616999683</v>
      </c>
      <c r="U42" s="92">
        <v>16.249563691103155</v>
      </c>
      <c r="V42" s="92">
        <v>15.414968608195064</v>
      </c>
      <c r="W42" s="92">
        <v>13.570441270507981</v>
      </c>
      <c r="X42" s="92">
        <v>10.986170376237999</v>
      </c>
      <c r="Y42" s="92">
        <v>8.3069232870612471</v>
      </c>
      <c r="Z42" s="94">
        <f t="shared" si="6"/>
        <v>215.73304505720171</v>
      </c>
      <c r="AA42" s="64">
        <v>5</v>
      </c>
      <c r="AB42" s="65">
        <f t="shared" ref="AB42:AB51" si="7">+Z42*AA42</f>
        <v>1078.6652252860085</v>
      </c>
      <c r="AD42" s="42" t="s">
        <v>51</v>
      </c>
    </row>
    <row r="43" spans="1:30" ht="15.75" x14ac:dyDescent="0.25">
      <c r="A43" s="61">
        <f t="shared" si="5"/>
        <v>46113</v>
      </c>
      <c r="B43" s="92">
        <v>3.197673017389854</v>
      </c>
      <c r="C43" s="92">
        <v>1.8274180766221979</v>
      </c>
      <c r="D43" s="92">
        <v>0.96975748748034674</v>
      </c>
      <c r="E43" s="92">
        <v>0.51601692681951683</v>
      </c>
      <c r="F43" s="92">
        <v>0.50573880416774042</v>
      </c>
      <c r="G43" s="92">
        <v>0.51957181443258016</v>
      </c>
      <c r="H43" s="92">
        <v>1.5666141185696179</v>
      </c>
      <c r="I43" s="92">
        <v>0.14175090523780817</v>
      </c>
      <c r="J43" s="92">
        <v>2.0317642365573336</v>
      </c>
      <c r="K43" s="92">
        <v>3.8446140396736226</v>
      </c>
      <c r="L43" s="92">
        <v>5.2361422449707753</v>
      </c>
      <c r="M43" s="92">
        <v>6.6371058002543721</v>
      </c>
      <c r="N43" s="92">
        <v>7.3115272876400121</v>
      </c>
      <c r="O43" s="92">
        <v>6.9587416495327412</v>
      </c>
      <c r="P43" s="92">
        <v>6.5833363291904901</v>
      </c>
      <c r="Q43" s="92">
        <v>5.7367801794293847</v>
      </c>
      <c r="R43" s="92">
        <v>5.531880776030615</v>
      </c>
      <c r="S43" s="92">
        <v>9.7230442067655094</v>
      </c>
      <c r="T43" s="92">
        <v>10.91146018059041</v>
      </c>
      <c r="U43" s="92">
        <v>11.976698813703653</v>
      </c>
      <c r="V43" s="92">
        <v>11.271205022186122</v>
      </c>
      <c r="W43" s="92">
        <v>9.5885092002251042</v>
      </c>
      <c r="X43" s="92">
        <v>7.085099112329182</v>
      </c>
      <c r="Y43" s="92">
        <v>4.6929222233815526</v>
      </c>
      <c r="Z43" s="94">
        <f t="shared" si="6"/>
        <v>124.36537245318054</v>
      </c>
      <c r="AA43" s="64">
        <v>6</v>
      </c>
      <c r="AB43" s="65">
        <f t="shared" si="7"/>
        <v>746.19223471908322</v>
      </c>
      <c r="AD43" s="42" t="s">
        <v>51</v>
      </c>
    </row>
    <row r="44" spans="1:30" ht="15.75" x14ac:dyDescent="0.25">
      <c r="A44" s="61">
        <f t="shared" si="5"/>
        <v>46143</v>
      </c>
      <c r="B44" s="92">
        <v>0</v>
      </c>
      <c r="C44" s="92">
        <v>0</v>
      </c>
      <c r="D44" s="92">
        <v>0</v>
      </c>
      <c r="E44" s="92">
        <v>0</v>
      </c>
      <c r="F44" s="92">
        <v>0</v>
      </c>
      <c r="G44" s="92">
        <v>0</v>
      </c>
      <c r="H44" s="92">
        <v>0</v>
      </c>
      <c r="I44" s="92">
        <v>0</v>
      </c>
      <c r="J44" s="92">
        <v>0</v>
      </c>
      <c r="K44" s="92">
        <v>0</v>
      </c>
      <c r="L44" s="92">
        <v>0</v>
      </c>
      <c r="M44" s="92">
        <v>0</v>
      </c>
      <c r="N44" s="92">
        <v>0</v>
      </c>
      <c r="O44" s="92">
        <v>0</v>
      </c>
      <c r="P44" s="92">
        <v>0</v>
      </c>
      <c r="Q44" s="92">
        <v>0</v>
      </c>
      <c r="R44" s="92">
        <v>0</v>
      </c>
      <c r="S44" s="92">
        <v>0</v>
      </c>
      <c r="T44" s="92">
        <v>0</v>
      </c>
      <c r="U44" s="92">
        <v>0</v>
      </c>
      <c r="V44" s="92">
        <v>0</v>
      </c>
      <c r="W44" s="92">
        <v>0</v>
      </c>
      <c r="X44" s="92">
        <v>0</v>
      </c>
      <c r="Y44" s="92">
        <v>0</v>
      </c>
      <c r="Z44" s="94">
        <f t="shared" si="6"/>
        <v>0</v>
      </c>
      <c r="AA44" s="64">
        <v>6</v>
      </c>
      <c r="AB44" s="65">
        <f t="shared" si="7"/>
        <v>0</v>
      </c>
      <c r="AD44" s="42" t="s">
        <v>51</v>
      </c>
    </row>
    <row r="45" spans="1:30" ht="15.75" x14ac:dyDescent="0.25">
      <c r="A45" s="61">
        <f t="shared" si="5"/>
        <v>46174</v>
      </c>
      <c r="B45" s="92">
        <v>0</v>
      </c>
      <c r="C45" s="92">
        <v>0</v>
      </c>
      <c r="D45" s="92">
        <v>0</v>
      </c>
      <c r="E45" s="92">
        <v>0</v>
      </c>
      <c r="F45" s="92">
        <v>0</v>
      </c>
      <c r="G45" s="92">
        <v>0</v>
      </c>
      <c r="H45" s="92">
        <v>0</v>
      </c>
      <c r="I45" s="92">
        <v>0</v>
      </c>
      <c r="J45" s="92">
        <v>0</v>
      </c>
      <c r="K45" s="92">
        <v>0</v>
      </c>
      <c r="L45" s="92">
        <v>0</v>
      </c>
      <c r="M45" s="92">
        <v>0</v>
      </c>
      <c r="N45" s="92">
        <v>0</v>
      </c>
      <c r="O45" s="92">
        <v>0</v>
      </c>
      <c r="P45" s="92">
        <v>0</v>
      </c>
      <c r="Q45" s="92">
        <v>0</v>
      </c>
      <c r="R45" s="92">
        <v>0</v>
      </c>
      <c r="S45" s="92">
        <v>0</v>
      </c>
      <c r="T45" s="92">
        <v>0</v>
      </c>
      <c r="U45" s="92">
        <v>0</v>
      </c>
      <c r="V45" s="92">
        <v>0</v>
      </c>
      <c r="W45" s="92">
        <v>0</v>
      </c>
      <c r="X45" s="92">
        <v>0</v>
      </c>
      <c r="Y45" s="92">
        <v>0</v>
      </c>
      <c r="Z45" s="94">
        <f t="shared" si="6"/>
        <v>0</v>
      </c>
      <c r="AA45" s="64">
        <v>4</v>
      </c>
      <c r="AB45" s="65">
        <f t="shared" si="7"/>
        <v>0</v>
      </c>
      <c r="AD45" s="42" t="s">
        <v>51</v>
      </c>
    </row>
    <row r="46" spans="1:30" ht="15.75" x14ac:dyDescent="0.25">
      <c r="A46" s="61">
        <f t="shared" si="5"/>
        <v>46204</v>
      </c>
      <c r="B46" s="92">
        <v>0</v>
      </c>
      <c r="C46" s="92">
        <v>0</v>
      </c>
      <c r="D46" s="92">
        <v>0</v>
      </c>
      <c r="E46" s="92">
        <v>0</v>
      </c>
      <c r="F46" s="92">
        <v>0</v>
      </c>
      <c r="G46" s="92">
        <v>0</v>
      </c>
      <c r="H46" s="92">
        <v>0</v>
      </c>
      <c r="I46" s="92">
        <v>0</v>
      </c>
      <c r="J46" s="92">
        <v>0</v>
      </c>
      <c r="K46" s="92">
        <v>0</v>
      </c>
      <c r="L46" s="92">
        <v>0</v>
      </c>
      <c r="M46" s="92">
        <v>0</v>
      </c>
      <c r="N46" s="92">
        <v>0</v>
      </c>
      <c r="O46" s="92">
        <v>0</v>
      </c>
      <c r="P46" s="92">
        <v>0</v>
      </c>
      <c r="Q46" s="92">
        <v>0</v>
      </c>
      <c r="R46" s="92">
        <v>0</v>
      </c>
      <c r="S46" s="92">
        <v>0</v>
      </c>
      <c r="T46" s="92">
        <v>0</v>
      </c>
      <c r="U46" s="92">
        <v>0</v>
      </c>
      <c r="V46" s="92">
        <v>0</v>
      </c>
      <c r="W46" s="92">
        <v>0</v>
      </c>
      <c r="X46" s="92">
        <v>0</v>
      </c>
      <c r="Y46" s="92">
        <v>0</v>
      </c>
      <c r="Z46" s="94">
        <f t="shared" si="6"/>
        <v>0</v>
      </c>
      <c r="AA46" s="64">
        <v>4</v>
      </c>
      <c r="AB46" s="65">
        <f t="shared" si="7"/>
        <v>0</v>
      </c>
      <c r="AD46" s="42" t="s">
        <v>51</v>
      </c>
    </row>
    <row r="47" spans="1:30" ht="15.75" x14ac:dyDescent="0.25">
      <c r="A47" s="61">
        <f t="shared" si="5"/>
        <v>46235</v>
      </c>
      <c r="B47" s="92">
        <v>0</v>
      </c>
      <c r="C47" s="92">
        <v>0</v>
      </c>
      <c r="D47" s="92">
        <v>0</v>
      </c>
      <c r="E47" s="92">
        <v>0</v>
      </c>
      <c r="F47" s="92">
        <v>0</v>
      </c>
      <c r="G47" s="92">
        <v>0</v>
      </c>
      <c r="H47" s="92">
        <v>0</v>
      </c>
      <c r="I47" s="92">
        <v>0</v>
      </c>
      <c r="J47" s="92">
        <v>0</v>
      </c>
      <c r="K47" s="92">
        <v>0</v>
      </c>
      <c r="L47" s="92">
        <v>0</v>
      </c>
      <c r="M47" s="92">
        <v>0</v>
      </c>
      <c r="N47" s="92">
        <v>0</v>
      </c>
      <c r="O47" s="92">
        <v>0</v>
      </c>
      <c r="P47" s="92">
        <v>0</v>
      </c>
      <c r="Q47" s="92">
        <v>0</v>
      </c>
      <c r="R47" s="92">
        <v>0</v>
      </c>
      <c r="S47" s="92">
        <v>0</v>
      </c>
      <c r="T47" s="92">
        <v>0</v>
      </c>
      <c r="U47" s="92">
        <v>0</v>
      </c>
      <c r="V47" s="92">
        <v>0</v>
      </c>
      <c r="W47" s="92">
        <v>0</v>
      </c>
      <c r="X47" s="92">
        <v>0</v>
      </c>
      <c r="Y47" s="92">
        <v>0</v>
      </c>
      <c r="Z47" s="94">
        <f t="shared" si="6"/>
        <v>0</v>
      </c>
      <c r="AA47" s="64">
        <v>6</v>
      </c>
      <c r="AB47" s="65">
        <f t="shared" si="7"/>
        <v>0</v>
      </c>
      <c r="AD47" s="42" t="s">
        <v>51</v>
      </c>
    </row>
    <row r="48" spans="1:30" ht="15.75" x14ac:dyDescent="0.25">
      <c r="A48" s="61">
        <f t="shared" si="5"/>
        <v>46266</v>
      </c>
      <c r="B48" s="92">
        <v>0</v>
      </c>
      <c r="C48" s="92">
        <v>0</v>
      </c>
      <c r="D48" s="92">
        <v>0</v>
      </c>
      <c r="E48" s="92">
        <v>0</v>
      </c>
      <c r="F48" s="92">
        <v>0</v>
      </c>
      <c r="G48" s="92">
        <v>0</v>
      </c>
      <c r="H48" s="92">
        <v>0</v>
      </c>
      <c r="I48" s="92">
        <v>0</v>
      </c>
      <c r="J48" s="92">
        <v>0</v>
      </c>
      <c r="K48" s="92">
        <v>0</v>
      </c>
      <c r="L48" s="92">
        <v>0</v>
      </c>
      <c r="M48" s="92">
        <v>0</v>
      </c>
      <c r="N48" s="92">
        <v>0</v>
      </c>
      <c r="O48" s="92">
        <v>0</v>
      </c>
      <c r="P48" s="92">
        <v>0</v>
      </c>
      <c r="Q48" s="92">
        <v>0</v>
      </c>
      <c r="R48" s="92">
        <v>0</v>
      </c>
      <c r="S48" s="92">
        <v>0</v>
      </c>
      <c r="T48" s="92">
        <v>0</v>
      </c>
      <c r="U48" s="92">
        <v>0</v>
      </c>
      <c r="V48" s="92">
        <v>0</v>
      </c>
      <c r="W48" s="92">
        <v>0</v>
      </c>
      <c r="X48" s="92">
        <v>0</v>
      </c>
      <c r="Y48" s="92">
        <v>0</v>
      </c>
      <c r="Z48" s="94">
        <f t="shared" si="6"/>
        <v>0</v>
      </c>
      <c r="AA48" s="64">
        <v>4</v>
      </c>
      <c r="AB48" s="65">
        <f t="shared" si="7"/>
        <v>0</v>
      </c>
      <c r="AD48" s="42" t="s">
        <v>51</v>
      </c>
    </row>
    <row r="49" spans="1:30" ht="15.75" x14ac:dyDescent="0.25">
      <c r="A49" s="61">
        <f t="shared" si="5"/>
        <v>46296</v>
      </c>
      <c r="B49" s="92">
        <v>0</v>
      </c>
      <c r="C49" s="92">
        <v>0</v>
      </c>
      <c r="D49" s="92">
        <v>0</v>
      </c>
      <c r="E49" s="92">
        <v>0</v>
      </c>
      <c r="F49" s="92">
        <v>0</v>
      </c>
      <c r="G49" s="92">
        <v>0</v>
      </c>
      <c r="H49" s="92">
        <v>0</v>
      </c>
      <c r="I49" s="92">
        <v>0</v>
      </c>
      <c r="J49" s="92">
        <v>0</v>
      </c>
      <c r="K49" s="92">
        <v>0</v>
      </c>
      <c r="L49" s="92">
        <v>0</v>
      </c>
      <c r="M49" s="92">
        <v>0</v>
      </c>
      <c r="N49" s="92">
        <v>0</v>
      </c>
      <c r="O49" s="92">
        <v>0</v>
      </c>
      <c r="P49" s="92">
        <v>0</v>
      </c>
      <c r="Q49" s="92">
        <v>0</v>
      </c>
      <c r="R49" s="92">
        <v>0</v>
      </c>
      <c r="S49" s="92">
        <v>0</v>
      </c>
      <c r="T49" s="92">
        <v>0</v>
      </c>
      <c r="U49" s="92">
        <v>0</v>
      </c>
      <c r="V49" s="92">
        <v>0</v>
      </c>
      <c r="W49" s="92">
        <v>0</v>
      </c>
      <c r="X49" s="92">
        <v>0</v>
      </c>
      <c r="Y49" s="92">
        <v>0</v>
      </c>
      <c r="Z49" s="94">
        <f t="shared" si="6"/>
        <v>0</v>
      </c>
      <c r="AA49" s="64">
        <v>4</v>
      </c>
      <c r="AB49" s="65">
        <f t="shared" si="7"/>
        <v>0</v>
      </c>
      <c r="AD49" s="42" t="s">
        <v>51</v>
      </c>
    </row>
    <row r="50" spans="1:30" ht="15.75" x14ac:dyDescent="0.25">
      <c r="A50" s="61">
        <f t="shared" si="5"/>
        <v>46327</v>
      </c>
      <c r="B50" s="92">
        <v>6.9708001815291132</v>
      </c>
      <c r="C50" s="92">
        <v>5.738994659862743</v>
      </c>
      <c r="D50" s="92">
        <v>4.8859051430121907</v>
      </c>
      <c r="E50" s="92">
        <v>4.3502494037886139</v>
      </c>
      <c r="F50" s="92">
        <v>4.2674818762888096</v>
      </c>
      <c r="G50" s="92">
        <v>3.9676289506732139</v>
      </c>
      <c r="H50" s="92">
        <v>5.0478360791258092</v>
      </c>
      <c r="I50" s="92">
        <v>3.7304048759962463</v>
      </c>
      <c r="J50" s="92">
        <v>5.7378170319503115</v>
      </c>
      <c r="K50" s="92">
        <v>7.4305800035401193</v>
      </c>
      <c r="L50" s="92">
        <v>8.7643608141487856</v>
      </c>
      <c r="M50" s="92">
        <v>10.218904532885936</v>
      </c>
      <c r="N50" s="92">
        <v>11.022882065402722</v>
      </c>
      <c r="O50" s="92">
        <v>10.804904380445281</v>
      </c>
      <c r="P50" s="92">
        <v>10.195049546712667</v>
      </c>
      <c r="Q50" s="92">
        <v>9.9351758446675298</v>
      </c>
      <c r="R50" s="92">
        <v>9.7149863447213427</v>
      </c>
      <c r="S50" s="92">
        <v>13.603725720361494</v>
      </c>
      <c r="T50" s="92">
        <v>15.514432442183169</v>
      </c>
      <c r="U50" s="92">
        <v>15.579000122809651</v>
      </c>
      <c r="V50" s="92">
        <v>14.847054913854423</v>
      </c>
      <c r="W50" s="92">
        <v>13.224809588868636</v>
      </c>
      <c r="X50" s="92">
        <v>10.799989565052908</v>
      </c>
      <c r="Y50" s="92">
        <v>8.3025140643834465</v>
      </c>
      <c r="Z50" s="94">
        <f t="shared" si="6"/>
        <v>214.65548815226512</v>
      </c>
      <c r="AA50" s="64">
        <v>5</v>
      </c>
      <c r="AB50" s="65">
        <f t="shared" si="7"/>
        <v>1073.2774407613256</v>
      </c>
      <c r="AD50" s="42" t="s">
        <v>51</v>
      </c>
    </row>
    <row r="51" spans="1:30" ht="16.5" thickBot="1" x14ac:dyDescent="0.3">
      <c r="A51" s="66">
        <f t="shared" si="5"/>
        <v>46357</v>
      </c>
      <c r="B51" s="92">
        <v>3.8558022739688167</v>
      </c>
      <c r="C51" s="92">
        <v>2.5209300463821784</v>
      </c>
      <c r="D51" s="92">
        <v>1.6370956286109795</v>
      </c>
      <c r="E51" s="92">
        <v>1.0284042897387335</v>
      </c>
      <c r="F51" s="92">
        <v>0.8337879210405954</v>
      </c>
      <c r="G51" s="92">
        <v>0.85883273900850332</v>
      </c>
      <c r="H51" s="92">
        <v>1.6023284806715163</v>
      </c>
      <c r="I51" s="92">
        <v>0</v>
      </c>
      <c r="J51" s="92">
        <v>1.6174372517899682</v>
      </c>
      <c r="K51" s="92">
        <v>3.565848483437323</v>
      </c>
      <c r="L51" s="92">
        <v>5.1997775023593569</v>
      </c>
      <c r="M51" s="92">
        <v>6.5011364798067151</v>
      </c>
      <c r="N51" s="92">
        <v>7.3428957024633927</v>
      </c>
      <c r="O51" s="92">
        <v>7.3827949447051218</v>
      </c>
      <c r="P51" s="92">
        <v>6.7365346005593745</v>
      </c>
      <c r="Q51" s="92">
        <v>6.2932005725352065</v>
      </c>
      <c r="R51" s="92">
        <v>5.9268712541485877</v>
      </c>
      <c r="S51" s="92">
        <v>9.7007245148483126</v>
      </c>
      <c r="T51" s="92">
        <v>11.605774135178478</v>
      </c>
      <c r="U51" s="92">
        <v>11.740531208545347</v>
      </c>
      <c r="V51" s="92">
        <v>10.988157515905732</v>
      </c>
      <c r="W51" s="92">
        <v>9.6676576658858604</v>
      </c>
      <c r="X51" s="92">
        <v>7.5661272156850972</v>
      </c>
      <c r="Y51" s="92">
        <v>5.1425358298937498</v>
      </c>
      <c r="Z51" s="99">
        <f t="shared" si="6"/>
        <v>129.31518625716893</v>
      </c>
      <c r="AA51" s="69">
        <v>6</v>
      </c>
      <c r="AB51" s="70">
        <f t="shared" si="7"/>
        <v>775.89111754301359</v>
      </c>
      <c r="AD51" s="42" t="s">
        <v>51</v>
      </c>
    </row>
    <row r="52" spans="1:30" ht="16.5" thickBot="1" x14ac:dyDescent="0.3">
      <c r="A52"/>
      <c r="B52" s="95"/>
      <c r="C52" s="90"/>
      <c r="D52" s="90"/>
      <c r="E52" s="90"/>
      <c r="F52" s="90"/>
      <c r="G52" s="90"/>
      <c r="H52" s="90"/>
      <c r="I52" s="90"/>
      <c r="J52" s="90"/>
      <c r="K52" s="90"/>
      <c r="L52" s="90"/>
      <c r="M52" s="90"/>
      <c r="N52" s="90"/>
      <c r="O52" s="90"/>
      <c r="P52" s="90"/>
      <c r="Q52" s="90"/>
      <c r="R52" s="90"/>
      <c r="S52" s="90"/>
      <c r="T52" s="90"/>
      <c r="U52" s="90"/>
      <c r="V52" s="90"/>
      <c r="W52" s="90"/>
      <c r="X52" s="90"/>
      <c r="Y52" s="90"/>
      <c r="Z52" s="89"/>
      <c r="AA52" s="72"/>
      <c r="AB52"/>
    </row>
    <row r="53" spans="1:30" ht="16.5" thickBot="1" x14ac:dyDescent="0.3">
      <c r="A53" s="45" t="s">
        <v>56</v>
      </c>
      <c r="B53" s="90"/>
      <c r="C53" s="90"/>
      <c r="D53" s="90"/>
      <c r="E53" s="96"/>
      <c r="F53" s="90"/>
      <c r="G53" s="90"/>
      <c r="H53" s="90"/>
      <c r="I53" s="90"/>
      <c r="J53" s="90"/>
      <c r="K53" s="90"/>
      <c r="L53" s="90"/>
      <c r="M53" s="90"/>
      <c r="N53" s="90"/>
      <c r="O53" s="90"/>
      <c r="P53" s="90"/>
      <c r="Q53" s="90"/>
      <c r="R53" s="90"/>
      <c r="S53" s="90"/>
      <c r="T53" s="90"/>
      <c r="U53" s="90"/>
      <c r="V53" s="90"/>
      <c r="W53" s="90"/>
      <c r="X53" s="90"/>
      <c r="Y53" s="90"/>
      <c r="Z53" s="89"/>
      <c r="AA53" s="72"/>
      <c r="AB53"/>
    </row>
    <row r="54" spans="1:30" ht="16.5" thickBot="1" x14ac:dyDescent="0.3">
      <c r="A54"/>
      <c r="B54" s="95"/>
      <c r="C54" s="90"/>
      <c r="D54" s="90"/>
      <c r="E54" s="90"/>
      <c r="F54" s="90"/>
      <c r="G54" s="90"/>
      <c r="H54" s="90"/>
      <c r="I54" s="90"/>
      <c r="J54" s="90"/>
      <c r="K54" s="90"/>
      <c r="L54" s="90"/>
      <c r="M54" s="90"/>
      <c r="N54" s="90"/>
      <c r="O54" s="90"/>
      <c r="P54" s="90"/>
      <c r="Q54" s="90"/>
      <c r="R54" s="90"/>
      <c r="S54" s="90"/>
      <c r="T54" s="90"/>
      <c r="U54" s="90"/>
      <c r="V54" s="90"/>
      <c r="W54" s="90"/>
      <c r="X54" s="90"/>
      <c r="Y54" s="90"/>
      <c r="Z54" s="89"/>
      <c r="AA54"/>
      <c r="AB54"/>
    </row>
    <row r="55" spans="1:30" ht="15.75" thickBot="1" x14ac:dyDescent="0.25">
      <c r="A55" s="52" t="s">
        <v>20</v>
      </c>
      <c r="B55" s="53" t="s">
        <v>21</v>
      </c>
      <c r="C55" s="53" t="s">
        <v>22</v>
      </c>
      <c r="D55" s="53" t="s">
        <v>23</v>
      </c>
      <c r="E55" s="53" t="s">
        <v>24</v>
      </c>
      <c r="F55" s="53" t="s">
        <v>25</v>
      </c>
      <c r="G55" s="53" t="s">
        <v>26</v>
      </c>
      <c r="H55" s="53" t="s">
        <v>27</v>
      </c>
      <c r="I55" s="53" t="s">
        <v>28</v>
      </c>
      <c r="J55" s="53" t="s">
        <v>29</v>
      </c>
      <c r="K55" s="53" t="s">
        <v>30</v>
      </c>
      <c r="L55" s="53" t="s">
        <v>31</v>
      </c>
      <c r="M55" s="53" t="s">
        <v>32</v>
      </c>
      <c r="N55" s="53" t="s">
        <v>33</v>
      </c>
      <c r="O55" s="53" t="s">
        <v>34</v>
      </c>
      <c r="P55" s="53" t="s">
        <v>35</v>
      </c>
      <c r="Q55" s="53" t="s">
        <v>36</v>
      </c>
      <c r="R55" s="53" t="s">
        <v>37</v>
      </c>
      <c r="S55" s="53" t="s">
        <v>38</v>
      </c>
      <c r="T55" s="53" t="s">
        <v>39</v>
      </c>
      <c r="U55" s="53" t="s">
        <v>40</v>
      </c>
      <c r="V55" s="53" t="s">
        <v>41</v>
      </c>
      <c r="W55" s="53" t="s">
        <v>42</v>
      </c>
      <c r="X55" s="53" t="s">
        <v>43</v>
      </c>
      <c r="Y55" s="53" t="s">
        <v>44</v>
      </c>
      <c r="Z55" s="53" t="s">
        <v>11</v>
      </c>
      <c r="AA55" s="53" t="s">
        <v>45</v>
      </c>
      <c r="AB55" s="55"/>
    </row>
    <row r="56" spans="1:30" ht="15.75" x14ac:dyDescent="0.25">
      <c r="A56" s="56">
        <f t="shared" ref="A56:A67" si="8">+A40</f>
        <v>46023</v>
      </c>
      <c r="B56" s="92">
        <v>7.5948838375920387</v>
      </c>
      <c r="C56" s="92">
        <v>6.1893175037490584</v>
      </c>
      <c r="D56" s="92">
        <v>5.3045291398112751</v>
      </c>
      <c r="E56" s="92">
        <v>4.7937996203467268</v>
      </c>
      <c r="F56" s="92">
        <v>4.7817484029375041</v>
      </c>
      <c r="G56" s="92">
        <v>5.226015501069698</v>
      </c>
      <c r="H56" s="92">
        <v>6.5238772945040324</v>
      </c>
      <c r="I56" s="92">
        <v>4.0788136914870341</v>
      </c>
      <c r="J56" s="92">
        <v>5.9558048540824382</v>
      </c>
      <c r="K56" s="92">
        <v>8.1343676309466399</v>
      </c>
      <c r="L56" s="92">
        <v>10.165882006142427</v>
      </c>
      <c r="M56" s="92">
        <v>11.759661391983434</v>
      </c>
      <c r="N56" s="92">
        <v>12.571547696807116</v>
      </c>
      <c r="O56" s="92">
        <v>12.03933534525177</v>
      </c>
      <c r="P56" s="92">
        <v>10.749573759052343</v>
      </c>
      <c r="Q56" s="92">
        <v>10.193681322480188</v>
      </c>
      <c r="R56" s="92">
        <v>10.350495236404523</v>
      </c>
      <c r="S56" s="92">
        <v>15.354838332972722</v>
      </c>
      <c r="T56" s="92">
        <v>17.068149121151574</v>
      </c>
      <c r="U56" s="92">
        <v>17.923291876400633</v>
      </c>
      <c r="V56" s="92">
        <v>16.747628453568666</v>
      </c>
      <c r="W56" s="92">
        <v>14.575404439351987</v>
      </c>
      <c r="X56" s="92">
        <v>11.607504794239256</v>
      </c>
      <c r="Y56" s="92">
        <v>8.7301009304623367</v>
      </c>
      <c r="Z56" s="93">
        <f t="shared" ref="Z56:Z67" si="9">SUM(B56:Y56)</f>
        <v>238.42025218279539</v>
      </c>
      <c r="AA56" s="59">
        <v>1</v>
      </c>
      <c r="AB56" s="60">
        <f>+Z56*AA56</f>
        <v>238.42025218279539</v>
      </c>
      <c r="AD56" s="42" t="s">
        <v>52</v>
      </c>
    </row>
    <row r="57" spans="1:30" ht="15.75" x14ac:dyDescent="0.25">
      <c r="A57" s="61">
        <f t="shared" si="8"/>
        <v>46054</v>
      </c>
      <c r="B57" s="92">
        <v>13.26885186001531</v>
      </c>
      <c r="C57" s="92">
        <v>11.28412653356931</v>
      </c>
      <c r="D57" s="92">
        <v>9.9147185017284105</v>
      </c>
      <c r="E57" s="92">
        <v>9.149990901193723</v>
      </c>
      <c r="F57" s="92">
        <v>9.0136581388438248</v>
      </c>
      <c r="G57" s="92">
        <v>9.3670778875517104</v>
      </c>
      <c r="H57" s="92">
        <v>10.19755143394578</v>
      </c>
      <c r="I57" s="92">
        <v>8.2702414003075759</v>
      </c>
      <c r="J57" s="92">
        <v>11.162809489717445</v>
      </c>
      <c r="K57" s="92">
        <v>13.870049938279022</v>
      </c>
      <c r="L57" s="92">
        <v>15.663988537525992</v>
      </c>
      <c r="M57" s="92">
        <v>17.397618853794739</v>
      </c>
      <c r="N57" s="92">
        <v>18.19876335535886</v>
      </c>
      <c r="O57" s="92">
        <v>17.732594043257958</v>
      </c>
      <c r="P57" s="92">
        <v>16.663751894630224</v>
      </c>
      <c r="Q57" s="92">
        <v>15.961859409288103</v>
      </c>
      <c r="R57" s="92">
        <v>15.531385670839867</v>
      </c>
      <c r="S57" s="92">
        <v>20.47695168041189</v>
      </c>
      <c r="T57" s="92">
        <v>22.79840102222882</v>
      </c>
      <c r="U57" s="92">
        <v>26.085581592139338</v>
      </c>
      <c r="V57" s="92">
        <v>25.315442090120204</v>
      </c>
      <c r="W57" s="92">
        <v>22.744851811746376</v>
      </c>
      <c r="X57" s="92">
        <v>18.524887742483866</v>
      </c>
      <c r="Y57" s="92">
        <v>14.355170004242034</v>
      </c>
      <c r="Z57" s="94">
        <f t="shared" si="9"/>
        <v>372.95032379322049</v>
      </c>
      <c r="AA57" s="64">
        <v>0</v>
      </c>
      <c r="AB57" s="65">
        <f>+Z57*AA57</f>
        <v>0</v>
      </c>
      <c r="AD57" s="42" t="s">
        <v>52</v>
      </c>
    </row>
    <row r="58" spans="1:30" ht="15.75" x14ac:dyDescent="0.25">
      <c r="A58" s="61">
        <f t="shared" si="8"/>
        <v>46082</v>
      </c>
      <c r="B58" s="92">
        <v>6.5485993179655484</v>
      </c>
      <c r="C58" s="92">
        <v>5.3393524215656214</v>
      </c>
      <c r="D58" s="92">
        <v>4.5980779111270236</v>
      </c>
      <c r="E58" s="92">
        <v>4.161044832257379</v>
      </c>
      <c r="F58" s="92">
        <v>4.0357364023784319</v>
      </c>
      <c r="G58" s="92">
        <v>4.464003714658662</v>
      </c>
      <c r="H58" s="92">
        <v>5.3244844976944439</v>
      </c>
      <c r="I58" s="92">
        <v>3.9326505483346046</v>
      </c>
      <c r="J58" s="92">
        <v>6.0791132866951809</v>
      </c>
      <c r="K58" s="92">
        <v>7.8315753377263828</v>
      </c>
      <c r="L58" s="92">
        <v>9.3229925990830456</v>
      </c>
      <c r="M58" s="92">
        <v>10.683830438386016</v>
      </c>
      <c r="N58" s="92">
        <v>11.141455605858523</v>
      </c>
      <c r="O58" s="92">
        <v>10.883164501199841</v>
      </c>
      <c r="P58" s="92">
        <v>10.421277114848744</v>
      </c>
      <c r="Q58" s="92">
        <v>10.008038462810152</v>
      </c>
      <c r="R58" s="92">
        <v>9.9906834555341266</v>
      </c>
      <c r="S58" s="92">
        <v>14.082659876627337</v>
      </c>
      <c r="T58" s="92">
        <v>15.158246370773101</v>
      </c>
      <c r="U58" s="92">
        <v>16.552511482331436</v>
      </c>
      <c r="V58" s="92">
        <v>15.888926399058123</v>
      </c>
      <c r="W58" s="92">
        <v>13.989317744663072</v>
      </c>
      <c r="X58" s="92">
        <v>10.790598525317829</v>
      </c>
      <c r="Y58" s="92">
        <v>8.1231602006405517</v>
      </c>
      <c r="Z58" s="94">
        <f t="shared" si="9"/>
        <v>219.35150104753518</v>
      </c>
      <c r="AA58" s="64">
        <v>1</v>
      </c>
      <c r="AB58" s="65">
        <f t="shared" ref="AB58:AB67" si="10">+Z58*AA58</f>
        <v>219.35150104753518</v>
      </c>
      <c r="AD58" s="42" t="s">
        <v>52</v>
      </c>
    </row>
    <row r="59" spans="1:30" ht="15.75" x14ac:dyDescent="0.25">
      <c r="A59" s="61">
        <f t="shared" si="8"/>
        <v>46113</v>
      </c>
      <c r="B59" s="92">
        <v>11.870460172058666</v>
      </c>
      <c r="C59" s="92">
        <v>9.9340513518246585</v>
      </c>
      <c r="D59" s="92">
        <v>8.7248952978402841</v>
      </c>
      <c r="E59" s="92">
        <v>8.051258888394953</v>
      </c>
      <c r="F59" s="92">
        <v>7.9805859114120246</v>
      </c>
      <c r="G59" s="92">
        <v>7.9556202277949595</v>
      </c>
      <c r="H59" s="92">
        <v>8.7459927343482846</v>
      </c>
      <c r="I59" s="92">
        <v>7.5975836954918705</v>
      </c>
      <c r="J59" s="92">
        <v>10.310163792449435</v>
      </c>
      <c r="K59" s="92">
        <v>12.860371428772931</v>
      </c>
      <c r="L59" s="92">
        <v>14.846678196860251</v>
      </c>
      <c r="M59" s="92">
        <v>16.697416330032947</v>
      </c>
      <c r="N59" s="92">
        <v>17.553775346585557</v>
      </c>
      <c r="O59" s="92">
        <v>17.039600634240486</v>
      </c>
      <c r="P59" s="92">
        <v>16.3248752233864</v>
      </c>
      <c r="Q59" s="92">
        <v>15.25723252736088</v>
      </c>
      <c r="R59" s="92">
        <v>14.927501048620986</v>
      </c>
      <c r="S59" s="92">
        <v>19.9615134047685</v>
      </c>
      <c r="T59" s="92">
        <v>22.726856499325194</v>
      </c>
      <c r="U59" s="92">
        <v>24.536227537098551</v>
      </c>
      <c r="V59" s="92">
        <v>23.644223214304933</v>
      </c>
      <c r="W59" s="92">
        <v>21.303066426221353</v>
      </c>
      <c r="X59" s="92">
        <v>17.589549836762316</v>
      </c>
      <c r="Y59" s="92">
        <v>13.972602337555253</v>
      </c>
      <c r="Z59" s="94">
        <f t="shared" si="9"/>
        <v>350.41210206351172</v>
      </c>
      <c r="AA59" s="64">
        <v>0</v>
      </c>
      <c r="AB59" s="65">
        <f t="shared" si="10"/>
        <v>0</v>
      </c>
      <c r="AD59" s="42" t="s">
        <v>52</v>
      </c>
    </row>
    <row r="60" spans="1:30" ht="15.75" x14ac:dyDescent="0.25">
      <c r="A60" s="61">
        <f t="shared" si="8"/>
        <v>46143</v>
      </c>
      <c r="B60" s="92">
        <v>0</v>
      </c>
      <c r="C60" s="92">
        <v>0</v>
      </c>
      <c r="D60" s="92">
        <v>0</v>
      </c>
      <c r="E60" s="92">
        <v>0</v>
      </c>
      <c r="F60" s="92">
        <v>0</v>
      </c>
      <c r="G60" s="92">
        <v>0</v>
      </c>
      <c r="H60" s="92">
        <v>0</v>
      </c>
      <c r="I60" s="92">
        <v>0</v>
      </c>
      <c r="J60" s="92">
        <v>0</v>
      </c>
      <c r="K60" s="92">
        <v>0</v>
      </c>
      <c r="L60" s="92">
        <v>0</v>
      </c>
      <c r="M60" s="92">
        <v>0</v>
      </c>
      <c r="N60" s="92">
        <v>0</v>
      </c>
      <c r="O60" s="92">
        <v>0</v>
      </c>
      <c r="P60" s="92">
        <v>0</v>
      </c>
      <c r="Q60" s="92">
        <v>0</v>
      </c>
      <c r="R60" s="92">
        <v>0</v>
      </c>
      <c r="S60" s="92">
        <v>0</v>
      </c>
      <c r="T60" s="92">
        <v>0</v>
      </c>
      <c r="U60" s="92">
        <v>0</v>
      </c>
      <c r="V60" s="92">
        <v>0</v>
      </c>
      <c r="W60" s="92">
        <v>0</v>
      </c>
      <c r="X60" s="92">
        <v>0</v>
      </c>
      <c r="Y60" s="92">
        <v>0</v>
      </c>
      <c r="Z60" s="94">
        <f t="shared" si="9"/>
        <v>0</v>
      </c>
      <c r="AA60" s="64">
        <v>1</v>
      </c>
      <c r="AB60" s="65">
        <f t="shared" si="10"/>
        <v>0</v>
      </c>
      <c r="AD60" s="42" t="s">
        <v>52</v>
      </c>
    </row>
    <row r="61" spans="1:30" ht="15.75" x14ac:dyDescent="0.25">
      <c r="A61" s="61">
        <f t="shared" si="8"/>
        <v>46174</v>
      </c>
      <c r="B61" s="92">
        <v>0</v>
      </c>
      <c r="C61" s="92">
        <v>0</v>
      </c>
      <c r="D61" s="92">
        <v>0</v>
      </c>
      <c r="E61" s="92">
        <v>0</v>
      </c>
      <c r="F61" s="92">
        <v>0</v>
      </c>
      <c r="G61" s="92">
        <v>0</v>
      </c>
      <c r="H61" s="92">
        <v>0</v>
      </c>
      <c r="I61" s="92">
        <v>0</v>
      </c>
      <c r="J61" s="92">
        <v>0</v>
      </c>
      <c r="K61" s="92">
        <v>0</v>
      </c>
      <c r="L61" s="92">
        <v>0</v>
      </c>
      <c r="M61" s="92">
        <v>0</v>
      </c>
      <c r="N61" s="92">
        <v>0</v>
      </c>
      <c r="O61" s="92">
        <v>0</v>
      </c>
      <c r="P61" s="92">
        <v>0</v>
      </c>
      <c r="Q61" s="92">
        <v>0</v>
      </c>
      <c r="R61" s="92">
        <v>0</v>
      </c>
      <c r="S61" s="92">
        <v>0</v>
      </c>
      <c r="T61" s="92">
        <v>0</v>
      </c>
      <c r="U61" s="92">
        <v>0</v>
      </c>
      <c r="V61" s="92">
        <v>0</v>
      </c>
      <c r="W61" s="92">
        <v>0</v>
      </c>
      <c r="X61" s="92">
        <v>0</v>
      </c>
      <c r="Y61" s="92">
        <v>0</v>
      </c>
      <c r="Z61" s="94">
        <f t="shared" si="9"/>
        <v>0</v>
      </c>
      <c r="AA61" s="64">
        <v>3</v>
      </c>
      <c r="AB61" s="65">
        <f t="shared" si="10"/>
        <v>0</v>
      </c>
      <c r="AD61" s="42" t="s">
        <v>52</v>
      </c>
    </row>
    <row r="62" spans="1:30" ht="15.75" x14ac:dyDescent="0.25">
      <c r="A62" s="61">
        <f t="shared" si="8"/>
        <v>46204</v>
      </c>
      <c r="B62" s="92">
        <v>0</v>
      </c>
      <c r="C62" s="92">
        <v>0</v>
      </c>
      <c r="D62" s="92">
        <v>0</v>
      </c>
      <c r="E62" s="92">
        <v>0</v>
      </c>
      <c r="F62" s="92">
        <v>0</v>
      </c>
      <c r="G62" s="92">
        <v>0</v>
      </c>
      <c r="H62" s="92">
        <v>0</v>
      </c>
      <c r="I62" s="92">
        <v>0</v>
      </c>
      <c r="J62" s="92">
        <v>0</v>
      </c>
      <c r="K62" s="92">
        <v>0</v>
      </c>
      <c r="L62" s="92">
        <v>0</v>
      </c>
      <c r="M62" s="92">
        <v>0</v>
      </c>
      <c r="N62" s="92">
        <v>0</v>
      </c>
      <c r="O62" s="92">
        <v>0</v>
      </c>
      <c r="P62" s="92">
        <v>0</v>
      </c>
      <c r="Q62" s="92">
        <v>0</v>
      </c>
      <c r="R62" s="92">
        <v>0</v>
      </c>
      <c r="S62" s="92">
        <v>0</v>
      </c>
      <c r="T62" s="92">
        <v>0</v>
      </c>
      <c r="U62" s="92">
        <v>0</v>
      </c>
      <c r="V62" s="92">
        <v>0</v>
      </c>
      <c r="W62" s="92">
        <v>0</v>
      </c>
      <c r="X62" s="92">
        <v>0</v>
      </c>
      <c r="Y62" s="92">
        <v>0</v>
      </c>
      <c r="Z62" s="94">
        <f t="shared" si="9"/>
        <v>0</v>
      </c>
      <c r="AA62" s="64">
        <v>1</v>
      </c>
      <c r="AB62" s="65">
        <f t="shared" si="10"/>
        <v>0</v>
      </c>
      <c r="AD62" s="42" t="s">
        <v>52</v>
      </c>
    </row>
    <row r="63" spans="1:30" ht="15.75" x14ac:dyDescent="0.25">
      <c r="A63" s="61">
        <f t="shared" si="8"/>
        <v>46235</v>
      </c>
      <c r="B63" s="92">
        <v>0</v>
      </c>
      <c r="C63" s="92">
        <v>0</v>
      </c>
      <c r="D63" s="92">
        <v>0</v>
      </c>
      <c r="E63" s="92">
        <v>0</v>
      </c>
      <c r="F63" s="92">
        <v>0</v>
      </c>
      <c r="G63" s="92">
        <v>0</v>
      </c>
      <c r="H63" s="92">
        <v>0</v>
      </c>
      <c r="I63" s="92">
        <v>0</v>
      </c>
      <c r="J63" s="92">
        <v>0</v>
      </c>
      <c r="K63" s="92">
        <v>0</v>
      </c>
      <c r="L63" s="92">
        <v>0</v>
      </c>
      <c r="M63" s="92">
        <v>0</v>
      </c>
      <c r="N63" s="92">
        <v>0</v>
      </c>
      <c r="O63" s="92">
        <v>0</v>
      </c>
      <c r="P63" s="92">
        <v>0</v>
      </c>
      <c r="Q63" s="92">
        <v>0</v>
      </c>
      <c r="R63" s="92">
        <v>0</v>
      </c>
      <c r="S63" s="92">
        <v>0</v>
      </c>
      <c r="T63" s="92">
        <v>0</v>
      </c>
      <c r="U63" s="92">
        <v>0</v>
      </c>
      <c r="V63" s="92">
        <v>0</v>
      </c>
      <c r="W63" s="92">
        <v>0</v>
      </c>
      <c r="X63" s="92">
        <v>0</v>
      </c>
      <c r="Y63" s="92">
        <v>0</v>
      </c>
      <c r="Z63" s="94">
        <f t="shared" si="9"/>
        <v>0</v>
      </c>
      <c r="AA63" s="64">
        <v>1</v>
      </c>
      <c r="AB63" s="65">
        <f t="shared" si="10"/>
        <v>0</v>
      </c>
      <c r="AD63" s="42" t="s">
        <v>52</v>
      </c>
    </row>
    <row r="64" spans="1:30" ht="15.75" x14ac:dyDescent="0.25">
      <c r="A64" s="61">
        <f t="shared" si="8"/>
        <v>46266</v>
      </c>
      <c r="B64" s="92">
        <v>0</v>
      </c>
      <c r="C64" s="92">
        <v>0</v>
      </c>
      <c r="D64" s="92">
        <v>0</v>
      </c>
      <c r="E64" s="92">
        <v>0</v>
      </c>
      <c r="F64" s="92">
        <v>0</v>
      </c>
      <c r="G64" s="92">
        <v>0</v>
      </c>
      <c r="H64" s="92">
        <v>0</v>
      </c>
      <c r="I64" s="92">
        <v>0</v>
      </c>
      <c r="J64" s="92">
        <v>0</v>
      </c>
      <c r="K64" s="92">
        <v>0</v>
      </c>
      <c r="L64" s="92">
        <v>0</v>
      </c>
      <c r="M64" s="92">
        <v>0</v>
      </c>
      <c r="N64" s="92">
        <v>0</v>
      </c>
      <c r="O64" s="92">
        <v>0</v>
      </c>
      <c r="P64" s="92">
        <v>0</v>
      </c>
      <c r="Q64" s="92">
        <v>0</v>
      </c>
      <c r="R64" s="92">
        <v>0</v>
      </c>
      <c r="S64" s="92">
        <v>0</v>
      </c>
      <c r="T64" s="92">
        <v>0</v>
      </c>
      <c r="U64" s="92">
        <v>0</v>
      </c>
      <c r="V64" s="92">
        <v>0</v>
      </c>
      <c r="W64" s="92">
        <v>0</v>
      </c>
      <c r="X64" s="92">
        <v>0</v>
      </c>
      <c r="Y64" s="92">
        <v>0</v>
      </c>
      <c r="Z64" s="94">
        <f t="shared" si="9"/>
        <v>0</v>
      </c>
      <c r="AA64" s="64">
        <v>0</v>
      </c>
      <c r="AB64" s="65">
        <f t="shared" si="10"/>
        <v>0</v>
      </c>
      <c r="AD64" s="42" t="s">
        <v>52</v>
      </c>
    </row>
    <row r="65" spans="1:30" ht="15.75" x14ac:dyDescent="0.25">
      <c r="A65" s="61">
        <f t="shared" si="8"/>
        <v>46296</v>
      </c>
      <c r="B65" s="92">
        <v>0</v>
      </c>
      <c r="C65" s="92">
        <v>0</v>
      </c>
      <c r="D65" s="92">
        <v>0</v>
      </c>
      <c r="E65" s="92">
        <v>0</v>
      </c>
      <c r="F65" s="92">
        <v>0</v>
      </c>
      <c r="G65" s="92">
        <v>0</v>
      </c>
      <c r="H65" s="92">
        <v>0</v>
      </c>
      <c r="I65" s="92">
        <v>0</v>
      </c>
      <c r="J65" s="92">
        <v>0</v>
      </c>
      <c r="K65" s="92">
        <v>0</v>
      </c>
      <c r="L65" s="92">
        <v>0</v>
      </c>
      <c r="M65" s="92">
        <v>0</v>
      </c>
      <c r="N65" s="92">
        <v>0</v>
      </c>
      <c r="O65" s="92">
        <v>0</v>
      </c>
      <c r="P65" s="92">
        <v>0</v>
      </c>
      <c r="Q65" s="92">
        <v>0</v>
      </c>
      <c r="R65" s="92">
        <v>0</v>
      </c>
      <c r="S65" s="92">
        <v>0</v>
      </c>
      <c r="T65" s="92">
        <v>0</v>
      </c>
      <c r="U65" s="92">
        <v>0</v>
      </c>
      <c r="V65" s="92">
        <v>0</v>
      </c>
      <c r="W65" s="92">
        <v>0</v>
      </c>
      <c r="X65" s="92">
        <v>0</v>
      </c>
      <c r="Y65" s="92">
        <v>0</v>
      </c>
      <c r="Z65" s="94">
        <f t="shared" si="9"/>
        <v>0</v>
      </c>
      <c r="AA65" s="64">
        <v>1</v>
      </c>
      <c r="AB65" s="65">
        <f t="shared" si="10"/>
        <v>0</v>
      </c>
      <c r="AD65" s="42" t="s">
        <v>52</v>
      </c>
    </row>
    <row r="66" spans="1:30" ht="15.75" x14ac:dyDescent="0.25">
      <c r="A66" s="61">
        <f t="shared" si="8"/>
        <v>46327</v>
      </c>
      <c r="B66" s="92">
        <v>6.0266462810815424</v>
      </c>
      <c r="C66" s="92">
        <v>4.8139211518669107</v>
      </c>
      <c r="D66" s="92">
        <v>4.1943097473413724</v>
      </c>
      <c r="E66" s="92">
        <v>3.8293250945093313</v>
      </c>
      <c r="F66" s="92">
        <v>3.8851287295362273</v>
      </c>
      <c r="G66" s="92">
        <v>3.985500582532397</v>
      </c>
      <c r="H66" s="92">
        <v>5.0794117781747987</v>
      </c>
      <c r="I66" s="92">
        <v>4.0021798991483006</v>
      </c>
      <c r="J66" s="92">
        <v>6.0126889705595898</v>
      </c>
      <c r="K66" s="92">
        <v>7.9432992725279838</v>
      </c>
      <c r="L66" s="92">
        <v>9.62737075844848</v>
      </c>
      <c r="M66" s="92">
        <v>10.717786800866516</v>
      </c>
      <c r="N66" s="92">
        <v>11.568276433420412</v>
      </c>
      <c r="O66" s="92">
        <v>11.289388788573852</v>
      </c>
      <c r="P66" s="92">
        <v>10.529381404844338</v>
      </c>
      <c r="Q66" s="92">
        <v>10.103611252093607</v>
      </c>
      <c r="R66" s="92">
        <v>10.063370793093439</v>
      </c>
      <c r="S66" s="92">
        <v>14.162043272564922</v>
      </c>
      <c r="T66" s="92">
        <v>15.921302204798732</v>
      </c>
      <c r="U66" s="92">
        <v>15.966579338248673</v>
      </c>
      <c r="V66" s="92">
        <v>15.222717782809021</v>
      </c>
      <c r="W66" s="92">
        <v>13.560916376769987</v>
      </c>
      <c r="X66" s="92">
        <v>10.819289154558216</v>
      </c>
      <c r="Y66" s="92">
        <v>7.9564447163805383</v>
      </c>
      <c r="Z66" s="94">
        <f t="shared" si="9"/>
        <v>217.28089058474916</v>
      </c>
      <c r="AA66" s="64">
        <v>2</v>
      </c>
      <c r="AB66" s="65">
        <f t="shared" si="10"/>
        <v>434.56178116949832</v>
      </c>
      <c r="AD66" s="42" t="s">
        <v>52</v>
      </c>
    </row>
    <row r="67" spans="1:30" ht="16.5" thickBot="1" x14ac:dyDescent="0.3">
      <c r="A67" s="66">
        <f t="shared" si="8"/>
        <v>46357</v>
      </c>
      <c r="B67" s="92">
        <v>8.8004738174187231</v>
      </c>
      <c r="C67" s="92">
        <v>7.3091759149293214</v>
      </c>
      <c r="D67" s="92">
        <v>6.3167577525199956</v>
      </c>
      <c r="E67" s="92">
        <v>5.6176121677735136</v>
      </c>
      <c r="F67" s="92">
        <v>5.3566671918519058</v>
      </c>
      <c r="G67" s="92">
        <v>5.33674188305244</v>
      </c>
      <c r="H67" s="92">
        <v>6.133829995574299</v>
      </c>
      <c r="I67" s="92">
        <v>4.5946693339122939</v>
      </c>
      <c r="J67" s="92">
        <v>6.321538850340672</v>
      </c>
      <c r="K67" s="92">
        <v>8.3270220540056545</v>
      </c>
      <c r="L67" s="92">
        <v>9.9797275216884955</v>
      </c>
      <c r="M67" s="92">
        <v>11.289146731599256</v>
      </c>
      <c r="N67" s="92">
        <v>12.167891523034857</v>
      </c>
      <c r="O67" s="92">
        <v>12.229354493806124</v>
      </c>
      <c r="P67" s="92">
        <v>11.585856194973399</v>
      </c>
      <c r="Q67" s="92">
        <v>11.097838893379784</v>
      </c>
      <c r="R67" s="92">
        <v>10.71152655548814</v>
      </c>
      <c r="S67" s="92">
        <v>14.516519602132218</v>
      </c>
      <c r="T67" s="92">
        <v>16.616612310275158</v>
      </c>
      <c r="U67" s="92">
        <v>16.93389012866729</v>
      </c>
      <c r="V67" s="92">
        <v>16.23504933291213</v>
      </c>
      <c r="W67" s="92">
        <v>14.891240509567062</v>
      </c>
      <c r="X67" s="92">
        <v>12.599889515579168</v>
      </c>
      <c r="Y67" s="92">
        <v>9.9878410697707665</v>
      </c>
      <c r="Z67" s="99">
        <f t="shared" si="9"/>
        <v>244.9568733442527</v>
      </c>
      <c r="AA67" s="69">
        <v>0</v>
      </c>
      <c r="AB67" s="70">
        <f t="shared" si="10"/>
        <v>0</v>
      </c>
      <c r="AD67" s="42" t="s">
        <v>52</v>
      </c>
    </row>
    <row r="68" spans="1:30" ht="16.5" thickBot="1" x14ac:dyDescent="0.3">
      <c r="A68"/>
      <c r="B68" s="95"/>
      <c r="C68" s="90"/>
      <c r="D68" s="90"/>
      <c r="E68" s="90"/>
      <c r="F68" s="90"/>
      <c r="G68" s="90"/>
      <c r="H68" s="90"/>
      <c r="I68" s="90"/>
      <c r="J68" s="90"/>
      <c r="K68" s="90"/>
      <c r="L68" s="90"/>
      <c r="M68" s="90"/>
      <c r="N68" s="90"/>
      <c r="O68" s="90"/>
      <c r="P68" s="90"/>
      <c r="Q68" s="90"/>
      <c r="R68" s="90"/>
      <c r="S68" s="90"/>
      <c r="T68" s="90"/>
      <c r="U68" s="90"/>
      <c r="V68" s="90"/>
      <c r="W68" s="90"/>
      <c r="X68" s="90"/>
      <c r="Y68" s="90"/>
      <c r="Z68" s="89"/>
      <c r="AA68" s="72"/>
      <c r="AB68"/>
    </row>
    <row r="69" spans="1:30" ht="16.5" thickBot="1" x14ac:dyDescent="0.3">
      <c r="A69" s="45" t="s">
        <v>47</v>
      </c>
      <c r="B69" s="90"/>
      <c r="C69" s="90"/>
      <c r="D69" s="90"/>
      <c r="E69" s="96"/>
      <c r="F69" s="90"/>
      <c r="G69" s="90"/>
      <c r="H69" s="90"/>
      <c r="I69" s="90"/>
      <c r="J69" s="90"/>
      <c r="K69" s="90"/>
      <c r="L69" s="90"/>
      <c r="M69" s="90"/>
      <c r="N69" s="90"/>
      <c r="O69" s="90"/>
      <c r="P69" s="90"/>
      <c r="Q69" s="90"/>
      <c r="R69" s="90"/>
      <c r="S69" s="90"/>
      <c r="T69" s="90"/>
      <c r="U69" s="90"/>
      <c r="V69" s="90"/>
      <c r="W69" s="90"/>
      <c r="X69" s="90"/>
      <c r="Y69" s="90"/>
      <c r="Z69" s="89"/>
      <c r="AA69" s="72"/>
      <c r="AB69"/>
    </row>
    <row r="70" spans="1:30" ht="16.5" thickBot="1" x14ac:dyDescent="0.3">
      <c r="A70"/>
      <c r="B70" s="95"/>
      <c r="C70" s="90"/>
      <c r="D70" s="90"/>
      <c r="E70" s="90"/>
      <c r="F70" s="90"/>
      <c r="G70" s="90"/>
      <c r="H70" s="90"/>
      <c r="I70" s="90"/>
      <c r="J70" s="90"/>
      <c r="K70" s="90"/>
      <c r="L70" s="90"/>
      <c r="M70" s="90"/>
      <c r="N70" s="90"/>
      <c r="O70" s="90"/>
      <c r="P70" s="90"/>
      <c r="Q70" s="90"/>
      <c r="R70" s="90"/>
      <c r="S70" s="90"/>
      <c r="T70" s="90"/>
      <c r="U70" s="90"/>
      <c r="V70" s="90"/>
      <c r="W70" s="90"/>
      <c r="X70" s="90"/>
      <c r="Y70" s="90"/>
      <c r="Z70" s="89"/>
      <c r="AA70"/>
      <c r="AB70"/>
    </row>
    <row r="71" spans="1:30" ht="15.75" thickBot="1" x14ac:dyDescent="0.25">
      <c r="A71" s="52" t="s">
        <v>20</v>
      </c>
      <c r="B71" s="53" t="s">
        <v>21</v>
      </c>
      <c r="C71" s="53" t="s">
        <v>22</v>
      </c>
      <c r="D71" s="53" t="s">
        <v>23</v>
      </c>
      <c r="E71" s="53" t="s">
        <v>24</v>
      </c>
      <c r="F71" s="53" t="s">
        <v>25</v>
      </c>
      <c r="G71" s="53" t="s">
        <v>26</v>
      </c>
      <c r="H71" s="53" t="s">
        <v>27</v>
      </c>
      <c r="I71" s="53" t="s">
        <v>28</v>
      </c>
      <c r="J71" s="53" t="s">
        <v>29</v>
      </c>
      <c r="K71" s="53" t="s">
        <v>30</v>
      </c>
      <c r="L71" s="53" t="s">
        <v>31</v>
      </c>
      <c r="M71" s="53" t="s">
        <v>32</v>
      </c>
      <c r="N71" s="53" t="s">
        <v>33</v>
      </c>
      <c r="O71" s="53" t="s">
        <v>34</v>
      </c>
      <c r="P71" s="53" t="s">
        <v>35</v>
      </c>
      <c r="Q71" s="53" t="s">
        <v>36</v>
      </c>
      <c r="R71" s="53" t="s">
        <v>37</v>
      </c>
      <c r="S71" s="53" t="s">
        <v>38</v>
      </c>
      <c r="T71" s="53" t="s">
        <v>39</v>
      </c>
      <c r="U71" s="53" t="s">
        <v>40</v>
      </c>
      <c r="V71" s="53" t="s">
        <v>41</v>
      </c>
      <c r="W71" s="53" t="s">
        <v>42</v>
      </c>
      <c r="X71" s="53" t="s">
        <v>43</v>
      </c>
      <c r="Y71" s="53" t="s">
        <v>44</v>
      </c>
      <c r="Z71" s="53" t="s">
        <v>11</v>
      </c>
      <c r="AA71" s="53" t="s">
        <v>45</v>
      </c>
      <c r="AB71" s="55"/>
      <c r="AD71" s="76"/>
    </row>
    <row r="72" spans="1:30" ht="15.75" x14ac:dyDescent="0.25">
      <c r="A72" s="56">
        <f t="shared" ref="A72:A83" si="11">+A56</f>
        <v>46023</v>
      </c>
      <c r="B72" s="97">
        <v>258.36370902596724</v>
      </c>
      <c r="C72" s="97">
        <v>215.58998945650083</v>
      </c>
      <c r="D72" s="97">
        <v>190.05543591715121</v>
      </c>
      <c r="E72" s="97">
        <v>179.61129852908186</v>
      </c>
      <c r="F72" s="97">
        <v>188.22604700819653</v>
      </c>
      <c r="G72" s="97">
        <v>225.57637100043792</v>
      </c>
      <c r="H72" s="97">
        <v>294.88979868698578</v>
      </c>
      <c r="I72" s="97">
        <v>251.84737439849019</v>
      </c>
      <c r="J72" s="97">
        <v>334.50804335067414</v>
      </c>
      <c r="K72" s="97">
        <v>402.32814519216657</v>
      </c>
      <c r="L72" s="97">
        <v>462.76349419306985</v>
      </c>
      <c r="M72" s="97">
        <v>517.48791024781372</v>
      </c>
      <c r="N72" s="97">
        <v>523.74761590192065</v>
      </c>
      <c r="O72" s="97">
        <v>511.42167716241255</v>
      </c>
      <c r="P72" s="97">
        <v>512.09926082645518</v>
      </c>
      <c r="Q72" s="97">
        <v>506.70888318770795</v>
      </c>
      <c r="R72" s="97">
        <v>491.15089599486828</v>
      </c>
      <c r="S72" s="97">
        <v>604.02170039571467</v>
      </c>
      <c r="T72" s="97">
        <v>632.86631283463407</v>
      </c>
      <c r="U72" s="97">
        <v>659.93466850679681</v>
      </c>
      <c r="V72" s="97">
        <v>620.98940331391373</v>
      </c>
      <c r="W72" s="97">
        <v>555.84513551569034</v>
      </c>
      <c r="X72" s="97">
        <v>457.61510293961936</v>
      </c>
      <c r="Y72" s="97">
        <v>350.88645920843493</v>
      </c>
      <c r="Z72" s="93">
        <f t="shared" ref="Z72:Z83" si="12">SUM(B72:Y72)</f>
        <v>9948.5347327947056</v>
      </c>
      <c r="AA72" s="59">
        <f t="shared" ref="AA72:AA83" si="13">AA8+AA24+AA40+AA56</f>
        <v>31</v>
      </c>
      <c r="AB72" s="60">
        <f t="shared" ref="AB72:AB83" si="14">+AB8+AB24+AB40+AB56</f>
        <v>9948.5347327947038</v>
      </c>
      <c r="AD72" s="76"/>
    </row>
    <row r="73" spans="1:30" ht="15.75" x14ac:dyDescent="0.25">
      <c r="A73" s="61">
        <f t="shared" si="11"/>
        <v>46054</v>
      </c>
      <c r="B73" s="100">
        <v>223.95811177045132</v>
      </c>
      <c r="C73" s="100">
        <v>188.63079074623758</v>
      </c>
      <c r="D73" s="100">
        <v>168.26900003541658</v>
      </c>
      <c r="E73" s="100">
        <v>160.72783007362591</v>
      </c>
      <c r="F73" s="100">
        <v>174.80809898016886</v>
      </c>
      <c r="G73" s="100">
        <v>233.60551782467664</v>
      </c>
      <c r="H73" s="100">
        <v>307.63682979609712</v>
      </c>
      <c r="I73" s="100">
        <v>264.65620574189984</v>
      </c>
      <c r="J73" s="100">
        <v>332.74584415469138</v>
      </c>
      <c r="K73" s="100">
        <v>387.47748304777764</v>
      </c>
      <c r="L73" s="100">
        <v>438.3292691404011</v>
      </c>
      <c r="M73" s="100">
        <v>482.49093802290633</v>
      </c>
      <c r="N73" s="100">
        <v>472.29995526900188</v>
      </c>
      <c r="O73" s="100">
        <v>466.63156292068118</v>
      </c>
      <c r="P73" s="100">
        <v>475.18434979956959</v>
      </c>
      <c r="Q73" s="100">
        <v>473.21976357584811</v>
      </c>
      <c r="R73" s="100">
        <v>459.17048521490602</v>
      </c>
      <c r="S73" s="100">
        <v>539.59805446945234</v>
      </c>
      <c r="T73" s="100">
        <v>543.74512094378304</v>
      </c>
      <c r="U73" s="100">
        <v>583.46068513923524</v>
      </c>
      <c r="V73" s="100">
        <v>555.43073447625113</v>
      </c>
      <c r="W73" s="100">
        <v>496.04315280631863</v>
      </c>
      <c r="X73" s="100">
        <v>401.38285715303414</v>
      </c>
      <c r="Y73" s="100">
        <v>303.20001278807069</v>
      </c>
      <c r="Z73" s="94">
        <f t="shared" si="12"/>
        <v>9132.7026538905029</v>
      </c>
      <c r="AA73" s="64">
        <f t="shared" si="13"/>
        <v>28</v>
      </c>
      <c r="AB73" s="65">
        <f t="shared" si="14"/>
        <v>9132.7026538905047</v>
      </c>
      <c r="AD73" s="76"/>
    </row>
    <row r="74" spans="1:30" ht="15.75" x14ac:dyDescent="0.25">
      <c r="A74" s="61">
        <f t="shared" si="11"/>
        <v>46082</v>
      </c>
      <c r="B74" s="100">
        <v>214.83510014460759</v>
      </c>
      <c r="C74" s="100">
        <v>178.16991106659444</v>
      </c>
      <c r="D74" s="100">
        <v>158.80007397835024</v>
      </c>
      <c r="E74" s="100">
        <v>149.95495916244883</v>
      </c>
      <c r="F74" s="100">
        <v>164.23746706428142</v>
      </c>
      <c r="G74" s="100">
        <v>222.44300471937083</v>
      </c>
      <c r="H74" s="100">
        <v>292.09733543828696</v>
      </c>
      <c r="I74" s="100">
        <v>257.6965061800687</v>
      </c>
      <c r="J74" s="100">
        <v>328.14160283364072</v>
      </c>
      <c r="K74" s="100">
        <v>381.03020152544622</v>
      </c>
      <c r="L74" s="100">
        <v>433.46584036340414</v>
      </c>
      <c r="M74" s="100">
        <v>478.35910391858022</v>
      </c>
      <c r="N74" s="100">
        <v>474.31331144934069</v>
      </c>
      <c r="O74" s="100">
        <v>463.57501707433994</v>
      </c>
      <c r="P74" s="100">
        <v>467.84137732614829</v>
      </c>
      <c r="Q74" s="100">
        <v>462.04448843203772</v>
      </c>
      <c r="R74" s="100">
        <v>451.13055944935388</v>
      </c>
      <c r="S74" s="100">
        <v>546.80406685412481</v>
      </c>
      <c r="T74" s="100">
        <v>558.86021356153503</v>
      </c>
      <c r="U74" s="100">
        <v>595.23565309148501</v>
      </c>
      <c r="V74" s="100">
        <v>557.59105978023149</v>
      </c>
      <c r="W74" s="100">
        <v>494.849978807539</v>
      </c>
      <c r="X74" s="100">
        <v>398.35666414461429</v>
      </c>
      <c r="Y74" s="100">
        <v>297.66860342998422</v>
      </c>
      <c r="Z74" s="94">
        <f t="shared" si="12"/>
        <v>9027.5020997958127</v>
      </c>
      <c r="AA74" s="64">
        <f t="shared" si="13"/>
        <v>31</v>
      </c>
      <c r="AB74" s="65">
        <f t="shared" si="14"/>
        <v>9027.5020997958163</v>
      </c>
      <c r="AD74" s="76"/>
    </row>
    <row r="75" spans="1:30" ht="15.75" x14ac:dyDescent="0.25">
      <c r="A75" s="61">
        <f t="shared" si="11"/>
        <v>46113</v>
      </c>
      <c r="B75" s="100">
        <v>94.089202399792896</v>
      </c>
      <c r="C75" s="100">
        <v>57.340639174945572</v>
      </c>
      <c r="D75" s="100">
        <v>37.965109837096875</v>
      </c>
      <c r="E75" s="100">
        <v>29.412093724457055</v>
      </c>
      <c r="F75" s="100">
        <v>43.263534171560323</v>
      </c>
      <c r="G75" s="100">
        <v>88.643779261524585</v>
      </c>
      <c r="H75" s="100">
        <v>158.20052864046676</v>
      </c>
      <c r="I75" s="100">
        <v>132.96067917131433</v>
      </c>
      <c r="J75" s="100">
        <v>196.52360543057907</v>
      </c>
      <c r="K75" s="100">
        <v>259.95704201952674</v>
      </c>
      <c r="L75" s="100">
        <v>308.09055925164773</v>
      </c>
      <c r="M75" s="100">
        <v>351.81426956563359</v>
      </c>
      <c r="N75" s="100">
        <v>348.91517673560918</v>
      </c>
      <c r="O75" s="100">
        <v>331.92268427842646</v>
      </c>
      <c r="P75" s="100">
        <v>326.98191718817759</v>
      </c>
      <c r="Q75" s="100">
        <v>322.25323296970606</v>
      </c>
      <c r="R75" s="100">
        <v>311.18769563040769</v>
      </c>
      <c r="S75" s="100">
        <v>412.11406005446344</v>
      </c>
      <c r="T75" s="100">
        <v>434.39959583575126</v>
      </c>
      <c r="U75" s="100">
        <v>456.90797923418972</v>
      </c>
      <c r="V75" s="100">
        <v>419.93868716763234</v>
      </c>
      <c r="W75" s="100">
        <v>359.44647124004535</v>
      </c>
      <c r="X75" s="100">
        <v>268.91604831509949</v>
      </c>
      <c r="Y75" s="100">
        <v>177.13646985271032</v>
      </c>
      <c r="Z75" s="94">
        <f t="shared" si="12"/>
        <v>5928.3810611507652</v>
      </c>
      <c r="AA75" s="64">
        <f t="shared" si="13"/>
        <v>30</v>
      </c>
      <c r="AB75" s="65">
        <f t="shared" si="14"/>
        <v>5928.3810611507633</v>
      </c>
      <c r="AD75" s="76"/>
    </row>
    <row r="76" spans="1:30" ht="15.75" x14ac:dyDescent="0.25">
      <c r="A76" s="61">
        <f t="shared" si="11"/>
        <v>46143</v>
      </c>
      <c r="B76" s="100">
        <v>0</v>
      </c>
      <c r="C76" s="100">
        <v>0</v>
      </c>
      <c r="D76" s="100">
        <v>0</v>
      </c>
      <c r="E76" s="100">
        <v>0</v>
      </c>
      <c r="F76" s="100">
        <v>0</v>
      </c>
      <c r="G76" s="100">
        <v>0</v>
      </c>
      <c r="H76" s="100">
        <v>0</v>
      </c>
      <c r="I76" s="100">
        <v>0</v>
      </c>
      <c r="J76" s="100">
        <v>0</v>
      </c>
      <c r="K76" s="100">
        <v>0</v>
      </c>
      <c r="L76" s="100">
        <v>0</v>
      </c>
      <c r="M76" s="100">
        <v>0</v>
      </c>
      <c r="N76" s="100">
        <v>0</v>
      </c>
      <c r="O76" s="100">
        <v>0</v>
      </c>
      <c r="P76" s="100">
        <v>0</v>
      </c>
      <c r="Q76" s="100">
        <v>0</v>
      </c>
      <c r="R76" s="100">
        <v>0</v>
      </c>
      <c r="S76" s="100">
        <v>0</v>
      </c>
      <c r="T76" s="100">
        <v>0</v>
      </c>
      <c r="U76" s="100">
        <v>0</v>
      </c>
      <c r="V76" s="100">
        <v>0</v>
      </c>
      <c r="W76" s="100">
        <v>0</v>
      </c>
      <c r="X76" s="100">
        <v>0</v>
      </c>
      <c r="Y76" s="100">
        <v>0</v>
      </c>
      <c r="Z76" s="94">
        <f t="shared" si="12"/>
        <v>0</v>
      </c>
      <c r="AA76" s="64">
        <f t="shared" si="13"/>
        <v>31</v>
      </c>
      <c r="AB76" s="65">
        <f t="shared" si="14"/>
        <v>0</v>
      </c>
      <c r="AD76" s="76"/>
    </row>
    <row r="77" spans="1:30" ht="15.75" x14ac:dyDescent="0.25">
      <c r="A77" s="61">
        <f t="shared" si="11"/>
        <v>46174</v>
      </c>
      <c r="B77" s="100">
        <v>0</v>
      </c>
      <c r="C77" s="100">
        <v>0</v>
      </c>
      <c r="D77" s="100">
        <v>0</v>
      </c>
      <c r="E77" s="100">
        <v>0</v>
      </c>
      <c r="F77" s="100">
        <v>0</v>
      </c>
      <c r="G77" s="100">
        <v>0</v>
      </c>
      <c r="H77" s="100">
        <v>0</v>
      </c>
      <c r="I77" s="100">
        <v>0</v>
      </c>
      <c r="J77" s="100">
        <v>0</v>
      </c>
      <c r="K77" s="100">
        <v>0</v>
      </c>
      <c r="L77" s="100">
        <v>0</v>
      </c>
      <c r="M77" s="100">
        <v>0</v>
      </c>
      <c r="N77" s="100">
        <v>0</v>
      </c>
      <c r="O77" s="100">
        <v>0</v>
      </c>
      <c r="P77" s="100">
        <v>0</v>
      </c>
      <c r="Q77" s="100">
        <v>0</v>
      </c>
      <c r="R77" s="100">
        <v>0</v>
      </c>
      <c r="S77" s="100">
        <v>0</v>
      </c>
      <c r="T77" s="100">
        <v>0</v>
      </c>
      <c r="U77" s="100">
        <v>0</v>
      </c>
      <c r="V77" s="100">
        <v>0</v>
      </c>
      <c r="W77" s="100">
        <v>0</v>
      </c>
      <c r="X77" s="100">
        <v>0</v>
      </c>
      <c r="Y77" s="100">
        <v>0</v>
      </c>
      <c r="Z77" s="94">
        <f t="shared" si="12"/>
        <v>0</v>
      </c>
      <c r="AA77" s="64">
        <f t="shared" si="13"/>
        <v>30</v>
      </c>
      <c r="AB77" s="65">
        <f t="shared" si="14"/>
        <v>0</v>
      </c>
      <c r="AD77" s="76"/>
    </row>
    <row r="78" spans="1:30" ht="15.75" x14ac:dyDescent="0.25">
      <c r="A78" s="61">
        <f t="shared" si="11"/>
        <v>46204</v>
      </c>
      <c r="B78" s="100">
        <v>0</v>
      </c>
      <c r="C78" s="100">
        <v>0</v>
      </c>
      <c r="D78" s="100">
        <v>0</v>
      </c>
      <c r="E78" s="100">
        <v>0</v>
      </c>
      <c r="F78" s="100">
        <v>0</v>
      </c>
      <c r="G78" s="100">
        <v>0</v>
      </c>
      <c r="H78" s="100">
        <v>0</v>
      </c>
      <c r="I78" s="100">
        <v>0</v>
      </c>
      <c r="J78" s="100">
        <v>0</v>
      </c>
      <c r="K78" s="100">
        <v>0</v>
      </c>
      <c r="L78" s="100">
        <v>0</v>
      </c>
      <c r="M78" s="100">
        <v>0</v>
      </c>
      <c r="N78" s="100">
        <v>0</v>
      </c>
      <c r="O78" s="100">
        <v>0</v>
      </c>
      <c r="P78" s="100">
        <v>0</v>
      </c>
      <c r="Q78" s="100">
        <v>0</v>
      </c>
      <c r="R78" s="100">
        <v>0</v>
      </c>
      <c r="S78" s="100">
        <v>0</v>
      </c>
      <c r="T78" s="100">
        <v>0</v>
      </c>
      <c r="U78" s="100">
        <v>0</v>
      </c>
      <c r="V78" s="100">
        <v>0</v>
      </c>
      <c r="W78" s="100">
        <v>0</v>
      </c>
      <c r="X78" s="100">
        <v>0</v>
      </c>
      <c r="Y78" s="100">
        <v>0</v>
      </c>
      <c r="Z78" s="94">
        <f t="shared" si="12"/>
        <v>0</v>
      </c>
      <c r="AA78" s="64">
        <f t="shared" si="13"/>
        <v>31</v>
      </c>
      <c r="AB78" s="65">
        <f t="shared" si="14"/>
        <v>0</v>
      </c>
      <c r="AD78" s="76"/>
    </row>
    <row r="79" spans="1:30" ht="15.75" x14ac:dyDescent="0.25">
      <c r="A79" s="61">
        <f t="shared" si="11"/>
        <v>46235</v>
      </c>
      <c r="B79" s="100">
        <v>0</v>
      </c>
      <c r="C79" s="100">
        <v>0</v>
      </c>
      <c r="D79" s="100">
        <v>0</v>
      </c>
      <c r="E79" s="100">
        <v>0</v>
      </c>
      <c r="F79" s="100">
        <v>0</v>
      </c>
      <c r="G79" s="100">
        <v>0</v>
      </c>
      <c r="H79" s="100">
        <v>0</v>
      </c>
      <c r="I79" s="100">
        <v>0</v>
      </c>
      <c r="J79" s="100">
        <v>0</v>
      </c>
      <c r="K79" s="100">
        <v>0</v>
      </c>
      <c r="L79" s="100">
        <v>0</v>
      </c>
      <c r="M79" s="100">
        <v>0</v>
      </c>
      <c r="N79" s="100">
        <v>0</v>
      </c>
      <c r="O79" s="100">
        <v>0</v>
      </c>
      <c r="P79" s="100">
        <v>0</v>
      </c>
      <c r="Q79" s="100">
        <v>0</v>
      </c>
      <c r="R79" s="100">
        <v>0</v>
      </c>
      <c r="S79" s="100">
        <v>0</v>
      </c>
      <c r="T79" s="100">
        <v>0</v>
      </c>
      <c r="U79" s="100">
        <v>0</v>
      </c>
      <c r="V79" s="100">
        <v>0</v>
      </c>
      <c r="W79" s="100">
        <v>0</v>
      </c>
      <c r="X79" s="100">
        <v>0</v>
      </c>
      <c r="Y79" s="100">
        <v>0</v>
      </c>
      <c r="Z79" s="94">
        <f t="shared" si="12"/>
        <v>0</v>
      </c>
      <c r="AA79" s="64">
        <f t="shared" si="13"/>
        <v>31</v>
      </c>
      <c r="AB79" s="65">
        <f t="shared" si="14"/>
        <v>0</v>
      </c>
      <c r="AD79" s="76"/>
    </row>
    <row r="80" spans="1:30" ht="15.75" x14ac:dyDescent="0.25">
      <c r="A80" s="61">
        <f t="shared" si="11"/>
        <v>46266</v>
      </c>
      <c r="B80" s="100">
        <v>0</v>
      </c>
      <c r="C80" s="100">
        <v>0</v>
      </c>
      <c r="D80" s="100">
        <v>0</v>
      </c>
      <c r="E80" s="100">
        <v>0</v>
      </c>
      <c r="F80" s="100">
        <v>0</v>
      </c>
      <c r="G80" s="100">
        <v>0</v>
      </c>
      <c r="H80" s="100">
        <v>0</v>
      </c>
      <c r="I80" s="100">
        <v>0</v>
      </c>
      <c r="J80" s="100">
        <v>0</v>
      </c>
      <c r="K80" s="100">
        <v>0</v>
      </c>
      <c r="L80" s="100">
        <v>0</v>
      </c>
      <c r="M80" s="100">
        <v>0</v>
      </c>
      <c r="N80" s="100">
        <v>0</v>
      </c>
      <c r="O80" s="100">
        <v>0</v>
      </c>
      <c r="P80" s="100">
        <v>0</v>
      </c>
      <c r="Q80" s="100">
        <v>0</v>
      </c>
      <c r="R80" s="100">
        <v>0</v>
      </c>
      <c r="S80" s="100">
        <v>0</v>
      </c>
      <c r="T80" s="100">
        <v>0</v>
      </c>
      <c r="U80" s="100">
        <v>0</v>
      </c>
      <c r="V80" s="100">
        <v>0</v>
      </c>
      <c r="W80" s="100">
        <v>0</v>
      </c>
      <c r="X80" s="100">
        <v>0</v>
      </c>
      <c r="Y80" s="100">
        <v>0</v>
      </c>
      <c r="Z80" s="94">
        <f t="shared" si="12"/>
        <v>0</v>
      </c>
      <c r="AA80" s="64">
        <f t="shared" si="13"/>
        <v>30</v>
      </c>
      <c r="AB80" s="65">
        <f t="shared" si="14"/>
        <v>0</v>
      </c>
      <c r="AD80" s="76"/>
    </row>
    <row r="81" spans="1:34" ht="15.75" x14ac:dyDescent="0.25">
      <c r="A81" s="61">
        <f t="shared" si="11"/>
        <v>46296</v>
      </c>
      <c r="B81" s="100">
        <v>0</v>
      </c>
      <c r="C81" s="100">
        <v>0</v>
      </c>
      <c r="D81" s="100">
        <v>0</v>
      </c>
      <c r="E81" s="100">
        <v>0</v>
      </c>
      <c r="F81" s="100">
        <v>0</v>
      </c>
      <c r="G81" s="100">
        <v>0</v>
      </c>
      <c r="H81" s="100">
        <v>0</v>
      </c>
      <c r="I81" s="100">
        <v>0</v>
      </c>
      <c r="J81" s="100">
        <v>0</v>
      </c>
      <c r="K81" s="100">
        <v>0</v>
      </c>
      <c r="L81" s="100">
        <v>0</v>
      </c>
      <c r="M81" s="100">
        <v>0</v>
      </c>
      <c r="N81" s="100">
        <v>0</v>
      </c>
      <c r="O81" s="100">
        <v>0</v>
      </c>
      <c r="P81" s="100">
        <v>0</v>
      </c>
      <c r="Q81" s="100">
        <v>0</v>
      </c>
      <c r="R81" s="100">
        <v>0</v>
      </c>
      <c r="S81" s="100">
        <v>0</v>
      </c>
      <c r="T81" s="100">
        <v>0</v>
      </c>
      <c r="U81" s="100">
        <v>0</v>
      </c>
      <c r="V81" s="100">
        <v>0</v>
      </c>
      <c r="W81" s="100">
        <v>0</v>
      </c>
      <c r="X81" s="100">
        <v>0</v>
      </c>
      <c r="Y81" s="100">
        <v>0</v>
      </c>
      <c r="Z81" s="94">
        <f t="shared" si="12"/>
        <v>0</v>
      </c>
      <c r="AA81" s="64">
        <f t="shared" si="13"/>
        <v>31</v>
      </c>
      <c r="AB81" s="65">
        <f t="shared" si="14"/>
        <v>0</v>
      </c>
      <c r="AD81" s="76"/>
    </row>
    <row r="82" spans="1:34" ht="15.75" x14ac:dyDescent="0.25">
      <c r="A82" s="61">
        <f t="shared" si="11"/>
        <v>46327</v>
      </c>
      <c r="B82" s="100">
        <v>200.921901929086</v>
      </c>
      <c r="C82" s="100">
        <v>165.95902135602137</v>
      </c>
      <c r="D82" s="100">
        <v>146.06964688461352</v>
      </c>
      <c r="E82" s="100">
        <v>137.50394940352723</v>
      </c>
      <c r="F82" s="100">
        <v>148.0538372891603</v>
      </c>
      <c r="G82" s="100">
        <v>175.670115246682</v>
      </c>
      <c r="H82" s="100">
        <v>246.95633164863517</v>
      </c>
      <c r="I82" s="100">
        <v>234.04784859460767</v>
      </c>
      <c r="J82" s="100">
        <v>305.39793625834471</v>
      </c>
      <c r="K82" s="100">
        <v>359.05856479605103</v>
      </c>
      <c r="L82" s="100">
        <v>408.27259288080302</v>
      </c>
      <c r="M82" s="100">
        <v>453.06728501171455</v>
      </c>
      <c r="N82" s="100">
        <v>454.07927378618575</v>
      </c>
      <c r="O82" s="100">
        <v>440.74451119714951</v>
      </c>
      <c r="P82" s="100">
        <v>442.78139021901029</v>
      </c>
      <c r="Q82" s="100">
        <v>435.75370089591405</v>
      </c>
      <c r="R82" s="100">
        <v>424.86552378670524</v>
      </c>
      <c r="S82" s="100">
        <v>532.56872107425579</v>
      </c>
      <c r="T82" s="100">
        <v>564.69309027541635</v>
      </c>
      <c r="U82" s="100">
        <v>550.83008372123538</v>
      </c>
      <c r="V82" s="100">
        <v>513.25885449901443</v>
      </c>
      <c r="W82" s="100">
        <v>453.05403880788396</v>
      </c>
      <c r="X82" s="100">
        <v>364.15418700591954</v>
      </c>
      <c r="Y82" s="100">
        <v>277.84833453725241</v>
      </c>
      <c r="Z82" s="94">
        <f t="shared" si="12"/>
        <v>8435.6107411051889</v>
      </c>
      <c r="AA82" s="64">
        <f t="shared" si="13"/>
        <v>30</v>
      </c>
      <c r="AB82" s="65">
        <f t="shared" si="14"/>
        <v>8435.6107411051889</v>
      </c>
      <c r="AD82" s="76"/>
    </row>
    <row r="83" spans="1:34" ht="16.5" thickBot="1" x14ac:dyDescent="0.3">
      <c r="A83" s="66">
        <f t="shared" si="11"/>
        <v>46357</v>
      </c>
      <c r="B83" s="101">
        <v>111.91954573577114</v>
      </c>
      <c r="C83" s="101">
        <v>69.854430298784081</v>
      </c>
      <c r="D83" s="101">
        <v>46.296880858152861</v>
      </c>
      <c r="E83" s="101">
        <v>34.625422319546466</v>
      </c>
      <c r="F83" s="101">
        <v>42.23872394058035</v>
      </c>
      <c r="G83" s="101">
        <v>69.415261314514609</v>
      </c>
      <c r="H83" s="101">
        <v>137.71995458450533</v>
      </c>
      <c r="I83" s="101">
        <v>123.31356125702567</v>
      </c>
      <c r="J83" s="101">
        <v>201.02976694407778</v>
      </c>
      <c r="K83" s="101">
        <v>258.21344999583783</v>
      </c>
      <c r="L83" s="101">
        <v>310.18883674397608</v>
      </c>
      <c r="M83" s="101">
        <v>355.09864184722477</v>
      </c>
      <c r="N83" s="101">
        <v>360.29033085680959</v>
      </c>
      <c r="O83" s="101">
        <v>350.08764146721086</v>
      </c>
      <c r="P83" s="101">
        <v>347.36558098797849</v>
      </c>
      <c r="Q83" s="101">
        <v>338.6546173828026</v>
      </c>
      <c r="R83" s="101">
        <v>323.12450711060256</v>
      </c>
      <c r="S83" s="101">
        <v>419.93784348322214</v>
      </c>
      <c r="T83" s="101">
        <v>461.0527496445041</v>
      </c>
      <c r="U83" s="101">
        <v>459.3642948318498</v>
      </c>
      <c r="V83" s="101">
        <v>420.9078178833812</v>
      </c>
      <c r="W83" s="101">
        <v>366.47787690233326</v>
      </c>
      <c r="X83" s="101">
        <v>285.37168113394756</v>
      </c>
      <c r="Y83" s="101">
        <v>198.82274760614413</v>
      </c>
      <c r="Z83" s="99">
        <f t="shared" si="12"/>
        <v>6091.3721651307833</v>
      </c>
      <c r="AA83" s="69">
        <f t="shared" si="13"/>
        <v>31</v>
      </c>
      <c r="AB83" s="70">
        <f t="shared" si="14"/>
        <v>6091.3721651307824</v>
      </c>
      <c r="AD83" s="76"/>
    </row>
    <row r="84" spans="1:34" x14ac:dyDescent="0.2">
      <c r="Z84" s="102">
        <f>SUM(Z72:Z83)</f>
        <v>48564.103453867763</v>
      </c>
    </row>
    <row r="86" spans="1:34" x14ac:dyDescent="0.2">
      <c r="T86" s="103"/>
      <c r="U86" s="103"/>
      <c r="V86" s="103"/>
      <c r="W86" s="103"/>
      <c r="X86" s="103"/>
      <c r="Y86" s="103"/>
      <c r="Z86" s="104">
        <f>+Z84*1000</f>
        <v>48564103.453867763</v>
      </c>
      <c r="AA86" s="105"/>
      <c r="AB86" s="105"/>
      <c r="AC86" s="105"/>
      <c r="AD86" s="105"/>
      <c r="AE86" s="105"/>
      <c r="AF86" s="105"/>
      <c r="AG86" s="105"/>
      <c r="AH86" s="105"/>
    </row>
    <row r="87" spans="1:34" x14ac:dyDescent="0.2">
      <c r="T87" s="103"/>
      <c r="U87" s="103"/>
      <c r="V87" s="103"/>
      <c r="W87" s="103"/>
      <c r="X87" s="103"/>
      <c r="Y87" s="103"/>
      <c r="Z87" s="106">
        <f>+Z72+Z73+Z74+Z75+Z82+Z83</f>
        <v>48564.103453867763</v>
      </c>
      <c r="AA87" s="105"/>
      <c r="AB87" s="105"/>
      <c r="AC87" s="105"/>
      <c r="AD87" s="105"/>
      <c r="AE87" s="105"/>
      <c r="AF87" s="105"/>
      <c r="AG87" s="105"/>
      <c r="AH87" s="105"/>
    </row>
    <row r="88" spans="1:34" x14ac:dyDescent="0.2">
      <c r="T88" s="103"/>
      <c r="U88" s="103"/>
      <c r="V88" s="103"/>
      <c r="W88" s="103"/>
      <c r="X88" s="103"/>
      <c r="Y88" s="103"/>
      <c r="Z88" s="106">
        <f>Z87-'Oferta Producto No. 2 '!G15-'Oferta Producto No. 3'!G15-'Oferta Producto No. 4'!G15-'Oferta Producto No. 5'!G15-'Oferta Producto No. 6'!G15-'Oferta Producto No. 7'!G15</f>
        <v>0</v>
      </c>
      <c r="AA88" s="105"/>
      <c r="AB88" s="105"/>
      <c r="AC88" s="105"/>
      <c r="AD88" s="105"/>
      <c r="AE88" s="105"/>
      <c r="AF88" s="105"/>
      <c r="AG88" s="105"/>
      <c r="AH88" s="105"/>
    </row>
    <row r="89" spans="1:34" x14ac:dyDescent="0.2">
      <c r="T89" s="103"/>
      <c r="U89" s="103"/>
      <c r="V89" s="103"/>
      <c r="W89" s="103"/>
      <c r="X89" s="103"/>
      <c r="Y89" s="103"/>
      <c r="Z89" s="106"/>
      <c r="AA89" s="105"/>
      <c r="AB89" s="105"/>
      <c r="AC89" s="105"/>
      <c r="AD89" s="105"/>
      <c r="AE89" s="105"/>
      <c r="AF89" s="105"/>
      <c r="AG89" s="105"/>
      <c r="AH89" s="105"/>
    </row>
    <row r="90" spans="1:34" ht="15.75" x14ac:dyDescent="0.25">
      <c r="T90" s="103"/>
      <c r="U90" s="103"/>
      <c r="V90" s="103"/>
      <c r="W90" s="103"/>
      <c r="X90" s="103"/>
      <c r="Y90" s="103"/>
      <c r="Z90" s="107">
        <f>+'Oferta Producto No. 2 '!G15</f>
        <v>9948.5347327947056</v>
      </c>
      <c r="AA90" s="105"/>
      <c r="AB90" s="105"/>
      <c r="AC90" s="105"/>
      <c r="AD90" s="105"/>
      <c r="AE90" s="105"/>
      <c r="AF90" s="105"/>
      <c r="AG90" s="105"/>
      <c r="AH90" s="105"/>
    </row>
    <row r="91" spans="1:34" ht="15.75" x14ac:dyDescent="0.25">
      <c r="T91" s="103"/>
      <c r="U91" s="103"/>
      <c r="V91" s="103"/>
      <c r="W91" s="103"/>
      <c r="X91" s="103"/>
      <c r="Y91" s="103"/>
      <c r="Z91" s="107">
        <f>+'Oferta Producto No. 3'!G15</f>
        <v>9132.7026538905029</v>
      </c>
      <c r="AA91" s="105"/>
      <c r="AB91" s="105"/>
      <c r="AC91" s="105"/>
      <c r="AD91" s="105"/>
      <c r="AE91" s="105"/>
      <c r="AF91" s="105"/>
      <c r="AG91" s="105"/>
      <c r="AH91" s="105"/>
    </row>
    <row r="92" spans="1:34" ht="15.75" x14ac:dyDescent="0.25">
      <c r="T92" s="103"/>
      <c r="U92" s="103"/>
      <c r="V92" s="103"/>
      <c r="W92" s="103"/>
      <c r="X92" s="103"/>
      <c r="Y92" s="103"/>
      <c r="Z92" s="107">
        <f>+'Oferta Producto No. 4'!G15</f>
        <v>9027.5020997958127</v>
      </c>
      <c r="AA92" s="105"/>
      <c r="AB92" s="105"/>
      <c r="AC92" s="105"/>
      <c r="AD92" s="105"/>
      <c r="AE92" s="105"/>
      <c r="AF92" s="105"/>
      <c r="AG92" s="105"/>
      <c r="AH92" s="105"/>
    </row>
    <row r="93" spans="1:34" ht="15.75" x14ac:dyDescent="0.25">
      <c r="T93" s="103"/>
      <c r="U93" s="103"/>
      <c r="V93" s="103"/>
      <c r="W93" s="103"/>
      <c r="X93" s="103"/>
      <c r="Y93" s="103"/>
      <c r="Z93" s="107">
        <f>+'Oferta Producto No. 5'!G15</f>
        <v>5928.3810611507652</v>
      </c>
      <c r="AA93" s="105"/>
      <c r="AB93" s="105"/>
      <c r="AC93" s="105"/>
      <c r="AD93" s="105"/>
      <c r="AE93" s="105"/>
      <c r="AF93" s="105"/>
      <c r="AG93" s="105"/>
      <c r="AH93" s="105"/>
    </row>
    <row r="94" spans="1:34" ht="15.75" x14ac:dyDescent="0.25">
      <c r="T94" s="103"/>
      <c r="U94" s="103"/>
      <c r="V94" s="103"/>
      <c r="W94" s="103"/>
      <c r="X94" s="103"/>
      <c r="Y94" s="103"/>
      <c r="Z94" s="108">
        <f>+'Oferta Producto No. 6'!G15</f>
        <v>8435.6107411051889</v>
      </c>
      <c r="AA94" s="105"/>
      <c r="AB94" s="105"/>
      <c r="AC94" s="105"/>
      <c r="AD94" s="105"/>
      <c r="AE94" s="105"/>
      <c r="AF94" s="105"/>
      <c r="AG94" s="105"/>
      <c r="AH94" s="105"/>
    </row>
    <row r="95" spans="1:34" ht="15.75" x14ac:dyDescent="0.25">
      <c r="T95" s="103"/>
      <c r="U95" s="103"/>
      <c r="V95" s="103"/>
      <c r="W95" s="103"/>
      <c r="X95" s="103"/>
      <c r="Y95" s="103"/>
      <c r="Z95" s="107">
        <f>+'Oferta Producto No. 7'!G15</f>
        <v>6091.3721651307833</v>
      </c>
      <c r="AA95" s="105"/>
      <c r="AB95" s="105"/>
      <c r="AC95" s="105"/>
      <c r="AD95" s="105"/>
      <c r="AE95" s="105"/>
      <c r="AF95" s="105"/>
      <c r="AG95" s="105"/>
      <c r="AH95" s="105"/>
    </row>
    <row r="96" spans="1:34" ht="15.75" x14ac:dyDescent="0.25">
      <c r="T96" s="103"/>
      <c r="U96" s="103"/>
      <c r="V96" s="103"/>
      <c r="W96" s="103"/>
      <c r="X96" s="103"/>
      <c r="Y96" s="103"/>
      <c r="Z96" s="107">
        <f>+Z90+Z91+Z92+Z93+Z94+Z95</f>
        <v>48564.103453867763</v>
      </c>
      <c r="AA96" s="105"/>
      <c r="AB96" s="105"/>
      <c r="AC96" s="105"/>
      <c r="AD96" s="105"/>
      <c r="AE96" s="105"/>
      <c r="AF96" s="105"/>
      <c r="AG96" s="105"/>
      <c r="AH96" s="105"/>
    </row>
    <row r="97" spans="20:34" ht="15.75" x14ac:dyDescent="0.25">
      <c r="T97" s="103"/>
      <c r="U97" s="103"/>
      <c r="V97" s="103"/>
      <c r="W97" s="103"/>
      <c r="X97" s="103"/>
      <c r="Y97" s="103"/>
      <c r="Z97" s="107"/>
      <c r="AA97" s="105"/>
      <c r="AB97" s="105"/>
      <c r="AC97" s="105"/>
      <c r="AD97" s="105"/>
      <c r="AE97" s="105"/>
      <c r="AF97" s="105"/>
      <c r="AG97" s="105"/>
      <c r="AH97" s="105"/>
    </row>
    <row r="98" spans="20:34" x14ac:dyDescent="0.2">
      <c r="T98" s="103"/>
      <c r="U98" s="103"/>
      <c r="V98" s="103"/>
      <c r="W98" s="103"/>
      <c r="X98" s="103"/>
      <c r="Y98" s="103"/>
      <c r="Z98" s="106"/>
      <c r="AA98" s="105"/>
      <c r="AB98" s="105"/>
      <c r="AC98" s="105"/>
      <c r="AD98" s="105"/>
      <c r="AE98" s="105"/>
      <c r="AF98" s="105"/>
      <c r="AG98" s="105"/>
      <c r="AH98" s="105"/>
    </row>
    <row r="99" spans="20:34" x14ac:dyDescent="0.2">
      <c r="T99" s="103"/>
      <c r="U99" s="103"/>
      <c r="V99" s="103"/>
      <c r="W99" s="103"/>
      <c r="X99" s="103"/>
      <c r="Y99" s="103"/>
      <c r="Z99" s="106"/>
      <c r="AA99" s="105"/>
      <c r="AB99" s="105"/>
      <c r="AC99" s="105"/>
      <c r="AD99" s="105"/>
      <c r="AE99" s="105"/>
      <c r="AF99" s="105"/>
      <c r="AG99" s="105"/>
      <c r="AH99" s="105"/>
    </row>
    <row r="100" spans="20:34" x14ac:dyDescent="0.2">
      <c r="T100" s="103"/>
      <c r="U100" s="103"/>
      <c r="V100" s="103"/>
      <c r="W100" s="103"/>
      <c r="X100" s="103"/>
      <c r="Y100" s="103"/>
      <c r="Z100" s="106"/>
      <c r="AA100" s="105"/>
      <c r="AB100" s="105"/>
      <c r="AC100" s="105"/>
      <c r="AD100" s="105"/>
      <c r="AE100" s="105"/>
      <c r="AF100" s="105"/>
      <c r="AG100" s="105"/>
      <c r="AH100" s="105"/>
    </row>
    <row r="101" spans="20:34" x14ac:dyDescent="0.2">
      <c r="T101" s="103"/>
      <c r="U101" s="103"/>
      <c r="V101" s="103"/>
      <c r="W101" s="103"/>
      <c r="X101" s="103"/>
      <c r="Y101" s="103"/>
      <c r="Z101" s="106"/>
      <c r="AA101" s="105"/>
      <c r="AB101" s="105"/>
      <c r="AC101" s="105"/>
      <c r="AD101" s="105"/>
      <c r="AE101" s="105"/>
      <c r="AF101" s="105"/>
      <c r="AG101" s="105"/>
      <c r="AH101" s="105"/>
    </row>
    <row r="102" spans="20:34" x14ac:dyDescent="0.2">
      <c r="T102" s="103"/>
      <c r="U102" s="103"/>
      <c r="V102" s="103"/>
      <c r="W102" s="103"/>
      <c r="X102" s="103"/>
      <c r="Y102" s="103"/>
      <c r="Z102" s="106"/>
      <c r="AA102" s="105"/>
      <c r="AB102" s="105"/>
      <c r="AC102" s="105"/>
      <c r="AD102" s="105"/>
      <c r="AE102" s="105"/>
      <c r="AF102" s="105"/>
      <c r="AG102" s="105"/>
      <c r="AH102" s="105"/>
    </row>
    <row r="103" spans="20:34" x14ac:dyDescent="0.2">
      <c r="T103" s="103"/>
      <c r="U103" s="103"/>
      <c r="V103" s="103"/>
      <c r="W103" s="103"/>
      <c r="X103" s="103"/>
      <c r="Y103" s="103"/>
      <c r="Z103" s="106"/>
      <c r="AA103" s="105"/>
      <c r="AB103" s="105"/>
      <c r="AC103" s="105"/>
      <c r="AD103" s="105"/>
      <c r="AE103" s="105"/>
      <c r="AF103" s="105"/>
      <c r="AG103" s="105"/>
      <c r="AH103" s="105"/>
    </row>
    <row r="104" spans="20:34" x14ac:dyDescent="0.2">
      <c r="T104" s="103"/>
      <c r="U104" s="103"/>
      <c r="V104" s="103"/>
      <c r="W104" s="103"/>
      <c r="X104" s="103"/>
      <c r="Y104" s="103"/>
      <c r="Z104" s="106"/>
      <c r="AA104" s="105"/>
      <c r="AB104" s="105"/>
      <c r="AC104" s="105"/>
      <c r="AD104" s="105"/>
      <c r="AE104" s="105"/>
      <c r="AF104" s="105"/>
      <c r="AG104" s="105"/>
      <c r="AH104" s="105"/>
    </row>
    <row r="105" spans="20:34" x14ac:dyDescent="0.2">
      <c r="T105" s="103"/>
      <c r="U105" s="103"/>
      <c r="V105" s="103"/>
      <c r="W105" s="103"/>
      <c r="X105" s="103"/>
      <c r="Y105" s="103"/>
      <c r="Z105" s="106"/>
      <c r="AA105" s="105"/>
      <c r="AB105" s="105"/>
      <c r="AC105" s="105"/>
      <c r="AD105" s="105"/>
      <c r="AE105" s="105"/>
      <c r="AF105" s="105"/>
      <c r="AG105" s="105"/>
      <c r="AH105" s="105"/>
    </row>
    <row r="106" spans="20:34" x14ac:dyDescent="0.2">
      <c r="T106" s="103"/>
      <c r="U106" s="103"/>
      <c r="V106" s="103"/>
      <c r="W106" s="103"/>
      <c r="X106" s="103"/>
      <c r="Y106" s="103"/>
      <c r="Z106" s="106"/>
      <c r="AA106" s="105"/>
      <c r="AB106" s="105"/>
      <c r="AC106" s="105"/>
      <c r="AD106" s="105"/>
      <c r="AE106" s="105"/>
      <c r="AF106" s="105"/>
      <c r="AG106" s="105"/>
      <c r="AH106" s="105"/>
    </row>
    <row r="107" spans="20:34" x14ac:dyDescent="0.2">
      <c r="T107" s="103"/>
      <c r="U107" s="103"/>
      <c r="V107" s="103"/>
      <c r="W107" s="103"/>
      <c r="X107" s="103"/>
      <c r="Y107" s="103"/>
      <c r="Z107" s="106"/>
      <c r="AA107" s="105"/>
      <c r="AB107" s="105"/>
      <c r="AC107" s="105"/>
      <c r="AD107" s="105"/>
      <c r="AE107" s="105"/>
      <c r="AF107" s="105"/>
      <c r="AG107" s="105"/>
      <c r="AH107" s="105"/>
    </row>
    <row r="108" spans="20:34" x14ac:dyDescent="0.2">
      <c r="T108" s="103"/>
      <c r="U108" s="103"/>
      <c r="V108" s="103"/>
      <c r="W108" s="103"/>
      <c r="X108" s="103"/>
      <c r="Y108" s="103"/>
      <c r="Z108" s="106"/>
      <c r="AA108" s="105"/>
      <c r="AB108" s="105"/>
      <c r="AC108" s="105"/>
      <c r="AD108" s="105"/>
      <c r="AE108" s="105"/>
      <c r="AF108" s="105"/>
      <c r="AG108" s="105"/>
      <c r="AH108" s="105"/>
    </row>
    <row r="109" spans="20:34" x14ac:dyDescent="0.2">
      <c r="T109" s="103"/>
      <c r="U109" s="103"/>
      <c r="V109" s="103"/>
      <c r="W109" s="103"/>
      <c r="X109" s="103"/>
      <c r="Y109" s="103"/>
      <c r="Z109" s="106"/>
      <c r="AA109" s="105"/>
      <c r="AB109" s="105"/>
      <c r="AC109" s="105"/>
      <c r="AD109" s="105"/>
      <c r="AE109" s="105"/>
      <c r="AF109" s="105"/>
      <c r="AG109" s="105"/>
      <c r="AH109" s="105"/>
    </row>
  </sheetData>
  <conditionalFormatting sqref="B1:Y1048576">
    <cfRule type="cellIs" dxfId="20" priority="1" operator="lessThan">
      <formula>0</formula>
    </cfRule>
  </conditionalFormatting>
  <conditionalFormatting sqref="AA8:AA19">
    <cfRule type="cellIs" dxfId="19" priority="6" operator="lessThan">
      <formula>0</formula>
    </cfRule>
  </conditionalFormatting>
  <conditionalFormatting sqref="AA24:AA35">
    <cfRule type="cellIs" dxfId="18" priority="5" operator="lessThan">
      <formula>0</formula>
    </cfRule>
  </conditionalFormatting>
  <conditionalFormatting sqref="AA40:AA51">
    <cfRule type="cellIs" dxfId="17" priority="4" operator="lessThan">
      <formula>0</formula>
    </cfRule>
  </conditionalFormatting>
  <conditionalFormatting sqref="AA56:AA67">
    <cfRule type="cellIs" dxfId="16" priority="3" operator="lessThan">
      <formula>0</formula>
    </cfRule>
  </conditionalFormatting>
  <conditionalFormatting sqref="AA72:AA83">
    <cfRule type="cellIs" dxfId="15" priority="2" operator="lessThan">
      <formula>0</formula>
    </cfRule>
  </conditionalFormatting>
  <pageMargins left="0.75" right="0.75" top="1" bottom="1" header="0" footer="0"/>
  <pageSetup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9822B-28F0-4D40-8F23-B38F6E5AFABA}">
  <sheetPr>
    <tabColor theme="9" tint="0.39997558519241921"/>
  </sheetPr>
  <dimension ref="A1:M27"/>
  <sheetViews>
    <sheetView view="pageBreakPreview" zoomScale="60" zoomScaleNormal="100" zoomScalePageLayoutView="30" workbookViewId="0">
      <selection activeCell="B22" sqref="B22:L22"/>
    </sheetView>
  </sheetViews>
  <sheetFormatPr baseColWidth="10" defaultColWidth="17.85546875" defaultRowHeight="24.75" x14ac:dyDescent="0.3"/>
  <cols>
    <col min="1" max="1" width="11.42578125" style="1" customWidth="1"/>
    <col min="2" max="2" width="16.42578125" style="1" bestFit="1" customWidth="1"/>
    <col min="3" max="3" width="14.85546875" style="1" customWidth="1"/>
    <col min="4" max="4" width="16.42578125" style="1" customWidth="1"/>
    <col min="5" max="5" width="22.7109375" style="1" customWidth="1"/>
    <col min="6" max="6" width="21.140625" style="1" customWidth="1"/>
    <col min="7" max="7" width="23" style="1" customWidth="1"/>
    <col min="8" max="10" width="22.7109375" style="1" customWidth="1"/>
    <col min="11" max="11" width="28.42578125" style="1" customWidth="1"/>
    <col min="12" max="12" width="15.42578125" style="1" customWidth="1"/>
    <col min="13" max="13" width="8.85546875" style="1" bestFit="1" customWidth="1"/>
    <col min="14" max="16384" width="17.85546875" style="1"/>
  </cols>
  <sheetData>
    <row r="1" spans="1:13" ht="171.2" customHeight="1" x14ac:dyDescent="0.3"/>
    <row r="2" spans="1:13" x14ac:dyDescent="0.3">
      <c r="A2" s="2"/>
      <c r="B2" s="2"/>
      <c r="C2" s="2"/>
      <c r="D2" s="114" t="s">
        <v>0</v>
      </c>
      <c r="E2" s="114"/>
      <c r="F2" s="114"/>
      <c r="G2" s="114"/>
      <c r="H2" s="114"/>
      <c r="I2" s="114"/>
      <c r="J2" s="114"/>
      <c r="K2" s="2"/>
      <c r="L2" s="2"/>
      <c r="M2" s="2"/>
    </row>
    <row r="3" spans="1:13" ht="89.25" customHeight="1" x14ac:dyDescent="0.3">
      <c r="A3" s="2"/>
      <c r="B3" s="2"/>
      <c r="C3" s="115" t="s">
        <v>1</v>
      </c>
      <c r="D3" s="115"/>
      <c r="E3" s="115"/>
      <c r="F3" s="115"/>
      <c r="G3" s="115"/>
      <c r="H3" s="115"/>
      <c r="I3" s="115"/>
      <c r="J3" s="115"/>
      <c r="K3" s="115"/>
      <c r="L3" s="2"/>
      <c r="M3" s="2"/>
    </row>
    <row r="4" spans="1:13" x14ac:dyDescent="0.3">
      <c r="A4" s="2"/>
      <c r="B4" s="2"/>
      <c r="C4" s="3"/>
      <c r="D4" s="116" t="s">
        <v>57</v>
      </c>
      <c r="E4" s="116"/>
      <c r="F4" s="116"/>
      <c r="G4" s="116"/>
      <c r="H4" s="116"/>
      <c r="I4" s="116"/>
      <c r="J4" s="116"/>
      <c r="K4" s="3"/>
      <c r="L4" s="2"/>
      <c r="M4" s="2"/>
    </row>
    <row r="5" spans="1:13" ht="19.5" customHeight="1" x14ac:dyDescent="0.3">
      <c r="A5" s="4"/>
      <c r="B5" s="5"/>
      <c r="C5" s="5"/>
      <c r="D5" s="6"/>
      <c r="E5" s="7"/>
      <c r="F5" s="7"/>
      <c r="G5" s="7"/>
      <c r="H5" s="7"/>
      <c r="I5" s="7"/>
      <c r="J5" s="8"/>
      <c r="K5" s="9"/>
      <c r="L5" s="4"/>
      <c r="M5" s="4"/>
    </row>
    <row r="6" spans="1:13" x14ac:dyDescent="0.3">
      <c r="A6" s="4"/>
      <c r="B6" s="5"/>
      <c r="C6" s="10" t="s">
        <v>3</v>
      </c>
      <c r="D6" s="5"/>
      <c r="E6" s="5"/>
      <c r="G6" s="5"/>
      <c r="H6" s="5"/>
      <c r="I6" s="5"/>
      <c r="J6" s="5"/>
      <c r="K6" s="9"/>
      <c r="L6" s="4"/>
      <c r="M6" s="4"/>
    </row>
    <row r="7" spans="1:13" x14ac:dyDescent="0.3">
      <c r="A7" s="4"/>
      <c r="B7" s="5"/>
      <c r="C7" s="10" t="s">
        <v>4</v>
      </c>
      <c r="D7" s="5"/>
      <c r="E7" s="5"/>
      <c r="G7" s="5"/>
      <c r="H7" s="5"/>
      <c r="I7" s="5"/>
      <c r="J7" s="5"/>
      <c r="K7" s="9"/>
      <c r="L7" s="4"/>
      <c r="M7" s="4"/>
    </row>
    <row r="8" spans="1:13" x14ac:dyDescent="0.3">
      <c r="B8" s="11"/>
      <c r="C8" s="10" t="s">
        <v>5</v>
      </c>
      <c r="D8" s="5"/>
      <c r="E8" s="5"/>
      <c r="G8" s="11"/>
      <c r="H8" s="11"/>
      <c r="I8" s="11"/>
      <c r="J8" s="11"/>
      <c r="K8" s="12"/>
    </row>
    <row r="9" spans="1:13" x14ac:dyDescent="0.3">
      <c r="B9" s="11"/>
      <c r="C9" s="13" t="str">
        <f>"PRODUCTO OFERTADO: "&amp;D4</f>
        <v>PRODUCTO OFERTADO: PRODUCTO No. 3</v>
      </c>
      <c r="D9" s="5"/>
      <c r="E9" s="5"/>
      <c r="G9" s="11"/>
      <c r="H9" s="11"/>
      <c r="I9" s="11"/>
      <c r="J9" s="11"/>
      <c r="K9" s="12"/>
    </row>
    <row r="10" spans="1:13" x14ac:dyDescent="0.3">
      <c r="B10" s="11"/>
      <c r="C10" s="13"/>
      <c r="D10" s="5"/>
      <c r="E10" s="5"/>
      <c r="G10" s="11"/>
      <c r="H10" s="11"/>
      <c r="I10" s="11"/>
      <c r="J10" s="11"/>
      <c r="K10" s="12"/>
    </row>
    <row r="11" spans="1:13" x14ac:dyDescent="0.3">
      <c r="B11" s="11"/>
      <c r="C11" s="10" t="s">
        <v>62</v>
      </c>
      <c r="D11" s="14"/>
      <c r="E11" s="14"/>
      <c r="F11" s="15"/>
      <c r="G11" s="11"/>
      <c r="H11" s="11"/>
      <c r="I11" s="11"/>
      <c r="J11" s="11"/>
      <c r="K11" s="12"/>
    </row>
    <row r="12" spans="1:13" x14ac:dyDescent="0.3">
      <c r="B12" s="16"/>
      <c r="C12" s="15"/>
    </row>
    <row r="13" spans="1:13" x14ac:dyDescent="0.3">
      <c r="F13" s="117" t="str">
        <f>"Oferta " &amp; PROPER(D4)</f>
        <v>Oferta Producto No. 3</v>
      </c>
      <c r="G13" s="117"/>
      <c r="H13" s="117"/>
      <c r="I13" s="117"/>
      <c r="J13" s="117"/>
    </row>
    <row r="14" spans="1:13" ht="72.75" customHeight="1" x14ac:dyDescent="0.3">
      <c r="F14" s="17" t="s">
        <v>6</v>
      </c>
      <c r="G14" s="18" t="s">
        <v>7</v>
      </c>
      <c r="H14" s="18" t="s">
        <v>8</v>
      </c>
      <c r="I14" s="18" t="s">
        <v>9</v>
      </c>
      <c r="J14" s="19" t="s">
        <v>10</v>
      </c>
    </row>
    <row r="15" spans="1:13" x14ac:dyDescent="0.3">
      <c r="A15" s="20">
        <v>22.85</v>
      </c>
      <c r="B15" s="20">
        <v>31</v>
      </c>
      <c r="F15" s="21">
        <f>+'Cantidades Producto No. 3'!A16</f>
        <v>46054</v>
      </c>
      <c r="G15" s="22">
        <v>9132.7026538905029</v>
      </c>
      <c r="H15" s="23"/>
      <c r="I15" s="24"/>
      <c r="J15" s="25"/>
      <c r="L15" s="26"/>
      <c r="M15" s="26"/>
    </row>
    <row r="16" spans="1:13" x14ac:dyDescent="0.3">
      <c r="F16" s="30" t="s">
        <v>11</v>
      </c>
      <c r="G16" s="31">
        <v>9132.7026538905029</v>
      </c>
      <c r="H16" s="32"/>
      <c r="I16" s="32"/>
      <c r="J16" s="33"/>
    </row>
    <row r="17" spans="1:12" x14ac:dyDescent="0.3">
      <c r="F17" s="34"/>
      <c r="G17" s="35"/>
    </row>
    <row r="18" spans="1:12" x14ac:dyDescent="0.3">
      <c r="B18" s="36" t="s">
        <v>12</v>
      </c>
      <c r="C18" s="37"/>
      <c r="D18" s="37"/>
      <c r="E18" s="37"/>
      <c r="F18" s="37"/>
      <c r="G18" s="37"/>
      <c r="L18" s="37"/>
    </row>
    <row r="19" spans="1:12" x14ac:dyDescent="0.3">
      <c r="B19" s="36"/>
      <c r="C19" s="37"/>
      <c r="D19" s="37"/>
      <c r="E19" s="37"/>
      <c r="F19" s="37"/>
      <c r="G19" s="37"/>
      <c r="H19" s="37"/>
      <c r="I19" s="37"/>
      <c r="J19" s="37"/>
      <c r="K19" s="37"/>
      <c r="L19" s="37"/>
    </row>
    <row r="20" spans="1:12" ht="24.75" customHeight="1" x14ac:dyDescent="0.3">
      <c r="B20" s="112" t="s">
        <v>13</v>
      </c>
      <c r="C20" s="112"/>
      <c r="D20" s="112"/>
      <c r="E20" s="112"/>
      <c r="F20" s="112"/>
      <c r="G20" s="112"/>
      <c r="H20" s="112"/>
      <c r="I20" s="112"/>
      <c r="J20" s="112"/>
      <c r="K20" s="112"/>
      <c r="L20" s="112"/>
    </row>
    <row r="21" spans="1:12" ht="39" customHeight="1" x14ac:dyDescent="0.3">
      <c r="B21" s="112" t="str">
        <f>"(2) Las cantidades se distribuyen de acuerdo a la curva del Anexo 1. Ofertas y Cantidades "&amp; D4 &amp;" de los Pliegos de Condiciones Definitivos"</f>
        <v>(2) Las cantidades se distribuyen de acuerdo a la curva del Anexo 1. Ofertas y Cantidades PRODUCTO No. 3 de los Pliegos de Condiciones Definitivos</v>
      </c>
      <c r="C21" s="112"/>
      <c r="D21" s="112"/>
      <c r="E21" s="112"/>
      <c r="F21" s="112"/>
      <c r="G21" s="112"/>
      <c r="H21" s="112"/>
      <c r="I21" s="112"/>
      <c r="J21" s="112"/>
      <c r="K21" s="112"/>
      <c r="L21" s="112"/>
    </row>
    <row r="22" spans="1:12" ht="83.25" customHeight="1" x14ac:dyDescent="0.3">
      <c r="B22" s="113" t="s">
        <v>65</v>
      </c>
      <c r="C22" s="113"/>
      <c r="D22" s="113"/>
      <c r="E22" s="113"/>
      <c r="F22" s="113"/>
      <c r="G22" s="113"/>
      <c r="H22" s="113"/>
      <c r="I22" s="113"/>
      <c r="J22" s="113"/>
      <c r="K22" s="113"/>
      <c r="L22" s="113"/>
    </row>
    <row r="23" spans="1:12" ht="43.5" customHeight="1" x14ac:dyDescent="0.3">
      <c r="B23" s="113" t="s">
        <v>14</v>
      </c>
      <c r="C23" s="113"/>
      <c r="D23" s="113"/>
      <c r="E23" s="113"/>
      <c r="F23" s="113"/>
      <c r="G23" s="113"/>
      <c r="H23" s="113"/>
      <c r="I23" s="113"/>
      <c r="J23" s="113"/>
      <c r="K23" s="113"/>
      <c r="L23" s="113"/>
    </row>
    <row r="24" spans="1:12" ht="60" customHeight="1" x14ac:dyDescent="0.3">
      <c r="B24" s="113" t="s">
        <v>15</v>
      </c>
      <c r="C24" s="113"/>
      <c r="D24" s="113"/>
      <c r="E24" s="113"/>
      <c r="F24" s="113"/>
      <c r="G24" s="113"/>
      <c r="H24" s="113"/>
      <c r="I24" s="113"/>
      <c r="J24" s="113"/>
      <c r="K24" s="113"/>
      <c r="L24" s="113"/>
    </row>
    <row r="25" spans="1:12" ht="80.25" customHeight="1" x14ac:dyDescent="0.3">
      <c r="A25" s="15"/>
      <c r="B25" s="113" t="s">
        <v>16</v>
      </c>
      <c r="C25" s="113"/>
      <c r="D25" s="113"/>
      <c r="E25" s="113"/>
      <c r="F25" s="113"/>
      <c r="G25" s="113"/>
      <c r="H25" s="113"/>
      <c r="I25" s="113"/>
      <c r="J25" s="113"/>
      <c r="K25" s="113"/>
      <c r="L25" s="113"/>
    </row>
    <row r="27" spans="1:12" ht="24.75" customHeight="1" x14ac:dyDescent="0.3">
      <c r="B27" s="38"/>
      <c r="C27" s="38"/>
      <c r="D27" s="38"/>
      <c r="E27" s="38"/>
      <c r="F27" s="38"/>
      <c r="G27" s="38"/>
      <c r="H27" s="38"/>
      <c r="I27" s="38"/>
      <c r="J27" s="38"/>
      <c r="K27" s="38"/>
      <c r="L27" s="38"/>
    </row>
  </sheetData>
  <mergeCells count="10">
    <mergeCell ref="B22:L22"/>
    <mergeCell ref="B23:L23"/>
    <mergeCell ref="B24:L24"/>
    <mergeCell ref="B25:L25"/>
    <mergeCell ref="D2:J2"/>
    <mergeCell ref="C3:K3"/>
    <mergeCell ref="D4:J4"/>
    <mergeCell ref="F13:J13"/>
    <mergeCell ref="B20:L20"/>
    <mergeCell ref="B21:L21"/>
  </mergeCells>
  <printOptions horizontalCentered="1" verticalCentered="1"/>
  <pageMargins left="0" right="0.39370078740157483" top="0.19685039370078741" bottom="0.19685039370078741" header="0.39370078740157483" footer="0.39370078740157483"/>
  <pageSetup scale="39" orientation="portrait" r:id="rId1"/>
  <colBreaks count="1" manualBreakCount="1">
    <brk id="14" max="1048575"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EB8FF-4F85-436F-B152-EBA3EDD2695C}">
  <sheetPr>
    <tabColor theme="9" tint="0.39997558519241921"/>
  </sheetPr>
  <dimension ref="A1:AE19"/>
  <sheetViews>
    <sheetView showGridLines="0" zoomScale="55" zoomScaleNormal="55" workbookViewId="0">
      <selection activeCell="A7" sqref="A7"/>
    </sheetView>
  </sheetViews>
  <sheetFormatPr baseColWidth="10" defaultColWidth="14.42578125" defaultRowHeight="15" x14ac:dyDescent="0.2"/>
  <cols>
    <col min="1" max="1" width="93.140625" style="39" bestFit="1" customWidth="1"/>
    <col min="2" max="2" width="8" style="83" bestFit="1" customWidth="1"/>
    <col min="3" max="10" width="8.42578125" style="83" bestFit="1" customWidth="1"/>
    <col min="11" max="11" width="9.42578125" style="83" bestFit="1" customWidth="1"/>
    <col min="12" max="12" width="9" style="83" bestFit="1" customWidth="1"/>
    <col min="13" max="20" width="9.42578125" style="83" bestFit="1" customWidth="1"/>
    <col min="21" max="21" width="10" style="83" bestFit="1" customWidth="1"/>
    <col min="22" max="22" width="9.42578125" style="83" bestFit="1" customWidth="1"/>
    <col min="23" max="25" width="10" style="83" bestFit="1" customWidth="1"/>
    <col min="26" max="26" width="13.85546875" style="84" bestFit="1" customWidth="1"/>
    <col min="27" max="27" width="8.5703125" style="39" bestFit="1" customWidth="1"/>
    <col min="28" max="28" width="9.7109375" style="39" customWidth="1"/>
    <col min="29" max="29" width="5.28515625" style="39" customWidth="1"/>
    <col min="30" max="30" width="31" style="39" bestFit="1" customWidth="1"/>
    <col min="31" max="31" width="14.42578125" style="85"/>
    <col min="32" max="16384" width="14.42578125" style="39"/>
  </cols>
  <sheetData>
    <row r="1" spans="1:31" ht="93" customHeight="1" thickBot="1" x14ac:dyDescent="0.25"/>
    <row r="2" spans="1:31" ht="23.25" x14ac:dyDescent="0.35">
      <c r="A2" s="43" t="s">
        <v>18</v>
      </c>
    </row>
    <row r="3" spans="1:31" ht="21" thickBot="1" x14ac:dyDescent="0.35">
      <c r="A3" s="44" t="s">
        <v>57</v>
      </c>
    </row>
    <row r="4" spans="1:31" ht="15.75" thickBot="1" x14ac:dyDescent="0.25"/>
    <row r="5" spans="1:31" ht="16.5" thickBot="1" x14ac:dyDescent="0.3">
      <c r="A5" s="45"/>
      <c r="B5" s="86"/>
      <c r="C5" s="86"/>
      <c r="D5" s="86"/>
      <c r="E5" s="87"/>
      <c r="F5" s="86"/>
      <c r="G5" s="86"/>
      <c r="H5" s="86"/>
      <c r="I5" s="86"/>
      <c r="J5" s="86"/>
      <c r="K5" s="88"/>
      <c r="L5" s="88"/>
      <c r="M5" s="88"/>
      <c r="N5" s="88"/>
      <c r="O5" s="88"/>
      <c r="P5" s="88"/>
      <c r="Q5" s="88"/>
      <c r="R5" s="88"/>
      <c r="S5" s="88"/>
      <c r="T5" s="88"/>
      <c r="U5" s="88"/>
      <c r="V5" s="88"/>
      <c r="W5" s="88"/>
      <c r="X5" s="88"/>
      <c r="Y5" s="88"/>
      <c r="Z5" s="89"/>
      <c r="AA5"/>
      <c r="AB5" s="50"/>
      <c r="AD5" s="50"/>
    </row>
    <row r="6" spans="1:31" ht="16.5" thickBot="1" x14ac:dyDescent="0.3">
      <c r="A6"/>
      <c r="B6" s="86"/>
      <c r="C6" s="86"/>
      <c r="D6" s="86"/>
      <c r="E6" s="86"/>
      <c r="F6" s="86"/>
      <c r="G6" s="86"/>
      <c r="H6" s="86"/>
      <c r="I6" s="86"/>
      <c r="J6" s="86"/>
      <c r="K6" s="90"/>
      <c r="L6" s="90"/>
      <c r="M6" s="90"/>
      <c r="N6" s="90"/>
      <c r="O6" s="90"/>
      <c r="P6" s="90"/>
      <c r="Q6" s="90"/>
      <c r="R6" s="90"/>
      <c r="S6" s="90"/>
      <c r="T6" s="90"/>
      <c r="U6" s="90"/>
      <c r="V6" s="90"/>
      <c r="W6" s="90"/>
      <c r="X6" s="90"/>
      <c r="Y6" s="90"/>
      <c r="Z6" s="89"/>
      <c r="AA6"/>
      <c r="AB6"/>
      <c r="AD6"/>
      <c r="AE6" s="42"/>
    </row>
    <row r="7" spans="1:31" ht="15.95" customHeight="1" thickBot="1" x14ac:dyDescent="0.25">
      <c r="A7" s="52" t="s">
        <v>20</v>
      </c>
      <c r="B7" s="53" t="s">
        <v>21</v>
      </c>
      <c r="C7" s="53" t="s">
        <v>22</v>
      </c>
      <c r="D7" s="53" t="s">
        <v>23</v>
      </c>
      <c r="E7" s="53" t="s">
        <v>24</v>
      </c>
      <c r="F7" s="53" t="s">
        <v>25</v>
      </c>
      <c r="G7" s="53" t="s">
        <v>26</v>
      </c>
      <c r="H7" s="53" t="s">
        <v>27</v>
      </c>
      <c r="I7" s="53" t="s">
        <v>28</v>
      </c>
      <c r="J7" s="53" t="s">
        <v>29</v>
      </c>
      <c r="K7" s="53" t="s">
        <v>30</v>
      </c>
      <c r="L7" s="53" t="s">
        <v>31</v>
      </c>
      <c r="M7" s="53" t="s">
        <v>32</v>
      </c>
      <c r="N7" s="53" t="s">
        <v>33</v>
      </c>
      <c r="O7" s="53" t="s">
        <v>34</v>
      </c>
      <c r="P7" s="53" t="s">
        <v>35</v>
      </c>
      <c r="Q7" s="53" t="s">
        <v>36</v>
      </c>
      <c r="R7" s="53" t="s">
        <v>37</v>
      </c>
      <c r="S7" s="53" t="s">
        <v>38</v>
      </c>
      <c r="T7" s="53" t="s">
        <v>39</v>
      </c>
      <c r="U7" s="53" t="s">
        <v>40</v>
      </c>
      <c r="V7" s="53" t="s">
        <v>41</v>
      </c>
      <c r="W7" s="53" t="s">
        <v>42</v>
      </c>
      <c r="X7" s="53" t="s">
        <v>43</v>
      </c>
      <c r="Y7" s="53" t="s">
        <v>44</v>
      </c>
      <c r="Z7" s="53" t="s">
        <v>11</v>
      </c>
      <c r="AA7" s="109" t="s">
        <v>45</v>
      </c>
      <c r="AB7" s="55"/>
      <c r="AD7" s="91" t="s">
        <v>49</v>
      </c>
      <c r="AE7" s="42"/>
    </row>
    <row r="8" spans="1:31" ht="15.75" x14ac:dyDescent="0.25">
      <c r="A8" s="56">
        <f>+$A$16</f>
        <v>46054</v>
      </c>
      <c r="B8" s="92">
        <v>7.8819608250837918</v>
      </c>
      <c r="C8" s="92">
        <v>6.6656545308256314</v>
      </c>
      <c r="D8" s="92">
        <v>6.0035847599290282</v>
      </c>
      <c r="E8" s="92">
        <v>5.8143697920761914</v>
      </c>
      <c r="F8" s="92">
        <v>6.491795516904924</v>
      </c>
      <c r="G8" s="92">
        <v>9.1222298281833503</v>
      </c>
      <c r="H8" s="92">
        <v>12.129900756675911</v>
      </c>
      <c r="I8" s="92">
        <v>10.603465061591763</v>
      </c>
      <c r="J8" s="92">
        <v>12.999573629702521</v>
      </c>
      <c r="K8" s="92">
        <v>14.902382673590859</v>
      </c>
      <c r="L8" s="92">
        <v>16.852415358476428</v>
      </c>
      <c r="M8" s="92">
        <v>18.580538971087879</v>
      </c>
      <c r="N8" s="92">
        <v>17.950869593245514</v>
      </c>
      <c r="O8" s="92">
        <v>17.852801904336069</v>
      </c>
      <c r="P8" s="92">
        <v>18.533780651024646</v>
      </c>
      <c r="Q8" s="92">
        <v>18.595785128979013</v>
      </c>
      <c r="R8" s="92">
        <v>18.023370369662953</v>
      </c>
      <c r="S8" s="92">
        <v>20.485832509715838</v>
      </c>
      <c r="T8" s="92">
        <v>20.406401797993006</v>
      </c>
      <c r="U8" s="92">
        <v>21.600139780223785</v>
      </c>
      <c r="V8" s="92">
        <v>20.579430958109349</v>
      </c>
      <c r="W8" s="92">
        <v>18.367840542396326</v>
      </c>
      <c r="X8" s="92">
        <v>14.783063592749109</v>
      </c>
      <c r="Y8" s="92">
        <v>11.009176430661887</v>
      </c>
      <c r="Z8" s="93">
        <f t="shared" ref="Z8:Z11" si="0">SUM(B8:Y8)</f>
        <v>346.23636496322587</v>
      </c>
      <c r="AA8" s="64">
        <f>+SUMIFS('Cantidades Producto Base Curva'!$AA:$AA,'Cantidades Producto Base Curva'!$A:$A,'Cantidades Producto No. 3'!$A8,'Cantidades Producto Base Curva'!$AD:$AD,'Cantidades Producto No. 3'!AD8)</f>
        <v>20</v>
      </c>
      <c r="AB8" s="60">
        <f>+Z8*AA8</f>
        <v>6924.7272992645176</v>
      </c>
      <c r="AD8" s="60" t="s">
        <v>46</v>
      </c>
      <c r="AE8" s="42"/>
    </row>
    <row r="9" spans="1:31" ht="15.75" x14ac:dyDescent="0.25">
      <c r="A9" s="61">
        <f t="shared" ref="A9:A11" si="1">+$A$16</f>
        <v>46054</v>
      </c>
      <c r="B9" s="92">
        <v>8.0465204436579807</v>
      </c>
      <c r="C9" s="92">
        <v>6.7429663395486639</v>
      </c>
      <c r="D9" s="92">
        <v>5.9969458818150958</v>
      </c>
      <c r="E9" s="92">
        <v>5.6140092898912188</v>
      </c>
      <c r="F9" s="92">
        <v>5.8270032138299426</v>
      </c>
      <c r="G9" s="92">
        <v>6.9848018084213983</v>
      </c>
      <c r="H9" s="92">
        <v>9.3844352465572669</v>
      </c>
      <c r="I9" s="92">
        <v>8.4603242575793338</v>
      </c>
      <c r="J9" s="92">
        <v>11.39143451437635</v>
      </c>
      <c r="K9" s="92">
        <v>13.555425308569953</v>
      </c>
      <c r="L9" s="92">
        <v>15.292843268084521</v>
      </c>
      <c r="M9" s="92">
        <v>16.385989887748305</v>
      </c>
      <c r="N9" s="92">
        <v>16.356434076241509</v>
      </c>
      <c r="O9" s="92">
        <v>15.744340186265347</v>
      </c>
      <c r="P9" s="92">
        <v>15.225466037358551</v>
      </c>
      <c r="Q9" s="92">
        <v>14.912483420224095</v>
      </c>
      <c r="R9" s="92">
        <v>14.566039085315984</v>
      </c>
      <c r="S9" s="92">
        <v>18.218272184296584</v>
      </c>
      <c r="T9" s="92">
        <v>18.832329479996712</v>
      </c>
      <c r="U9" s="92">
        <v>20.213919129219217</v>
      </c>
      <c r="V9" s="92">
        <v>18.902375151891682</v>
      </c>
      <c r="W9" s="92">
        <v>17.059283347577576</v>
      </c>
      <c r="X9" s="92">
        <v>14.384217277712821</v>
      </c>
      <c r="Y9" s="92">
        <v>11.71291930604302</v>
      </c>
      <c r="Z9" s="94">
        <f t="shared" si="0"/>
        <v>309.81077814222317</v>
      </c>
      <c r="AA9" s="64">
        <f>+SUMIFS('Cantidades Producto Base Curva'!$AA:$AA,'Cantidades Producto Base Curva'!$A:$A,'Cantidades Producto No. 3'!$A9,'Cantidades Producto Base Curva'!$AD:$AD,'Cantidades Producto No. 3'!AD9)</f>
        <v>4</v>
      </c>
      <c r="AB9" s="65">
        <f>+Z9*AA9</f>
        <v>1239.2431125688927</v>
      </c>
      <c r="AD9" s="65" t="s">
        <v>50</v>
      </c>
      <c r="AE9" s="42"/>
    </row>
    <row r="10" spans="1:31" ht="15.75" x14ac:dyDescent="0.25">
      <c r="A10" s="61">
        <f t="shared" si="1"/>
        <v>46054</v>
      </c>
      <c r="B10" s="92">
        <v>8.5332033735358923</v>
      </c>
      <c r="C10" s="92">
        <v>7.0864586928825739</v>
      </c>
      <c r="D10" s="92">
        <v>6.0523803273939123</v>
      </c>
      <c r="E10" s="92">
        <v>5.4960992681342979</v>
      </c>
      <c r="F10" s="92">
        <v>5.4160439466876564</v>
      </c>
      <c r="G10" s="92">
        <v>5.8054285068310127</v>
      </c>
      <c r="H10" s="92">
        <v>6.8752684190874573</v>
      </c>
      <c r="I10" s="92">
        <v>4.6864018699368168</v>
      </c>
      <c r="J10" s="92">
        <v>6.7971583757838889</v>
      </c>
      <c r="K10" s="92">
        <v>8.802032085420171</v>
      </c>
      <c r="L10" s="92">
        <v>10.027397224633605</v>
      </c>
      <c r="M10" s="92">
        <v>11.334049762538875</v>
      </c>
      <c r="N10" s="92">
        <v>11.964206774781385</v>
      </c>
      <c r="O10" s="92">
        <v>11.649541022224598</v>
      </c>
      <c r="P10" s="92">
        <v>10.901718157410629</v>
      </c>
      <c r="Q10" s="92">
        <v>10.41353182884286</v>
      </c>
      <c r="R10" s="92">
        <v>10.109730370095763</v>
      </c>
      <c r="S10" s="92">
        <v>14.252078884487316</v>
      </c>
      <c r="T10" s="92">
        <v>15.071941765984025</v>
      </c>
      <c r="U10" s="92">
        <v>17.650553254470665</v>
      </c>
      <c r="V10" s="92">
        <v>17.05815367662435</v>
      </c>
      <c r="W10" s="92">
        <v>15.112302142020454</v>
      </c>
      <c r="X10" s="92">
        <v>12.046179046800171</v>
      </c>
      <c r="Y10" s="92">
        <v>9.0412017376652152</v>
      </c>
      <c r="Z10" s="94">
        <f t="shared" si="0"/>
        <v>242.18306051427362</v>
      </c>
      <c r="AA10" s="64">
        <f>+SUMIFS('Cantidades Producto Base Curva'!$AA:$AA,'Cantidades Producto Base Curva'!$A:$A,'Cantidades Producto No. 3'!$A10,'Cantidades Producto Base Curva'!$AD:$AD,'Cantidades Producto No. 3'!AD10)</f>
        <v>4</v>
      </c>
      <c r="AB10" s="65">
        <f t="shared" ref="AB10:AB11" si="2">+Z10*AA10</f>
        <v>968.73224205709448</v>
      </c>
      <c r="AD10" s="65" t="s">
        <v>51</v>
      </c>
      <c r="AE10" s="42"/>
    </row>
    <row r="11" spans="1:31" ht="15.75" x14ac:dyDescent="0.25">
      <c r="A11" s="61">
        <f t="shared" si="1"/>
        <v>46054</v>
      </c>
      <c r="B11" s="92">
        <v>13.26885186001531</v>
      </c>
      <c r="C11" s="92">
        <v>11.28412653356931</v>
      </c>
      <c r="D11" s="92">
        <v>9.9147185017284105</v>
      </c>
      <c r="E11" s="92">
        <v>9.149990901193723</v>
      </c>
      <c r="F11" s="92">
        <v>9.0136581388438248</v>
      </c>
      <c r="G11" s="92">
        <v>9.3670778875517104</v>
      </c>
      <c r="H11" s="92">
        <v>10.19755143394578</v>
      </c>
      <c r="I11" s="92">
        <v>8.2702414003075759</v>
      </c>
      <c r="J11" s="92">
        <v>11.162809489717445</v>
      </c>
      <c r="K11" s="92">
        <v>13.870049938279022</v>
      </c>
      <c r="L11" s="92">
        <v>15.663988537525992</v>
      </c>
      <c r="M11" s="92">
        <v>17.397618853794739</v>
      </c>
      <c r="N11" s="92">
        <v>18.19876335535886</v>
      </c>
      <c r="O11" s="92">
        <v>17.732594043257958</v>
      </c>
      <c r="P11" s="92">
        <v>16.663751894630224</v>
      </c>
      <c r="Q11" s="92">
        <v>15.961859409288103</v>
      </c>
      <c r="R11" s="92">
        <v>15.531385670839867</v>
      </c>
      <c r="S11" s="92">
        <v>20.47695168041189</v>
      </c>
      <c r="T11" s="92">
        <v>22.79840102222882</v>
      </c>
      <c r="U11" s="92">
        <v>26.085581592139338</v>
      </c>
      <c r="V11" s="92">
        <v>25.315442090120204</v>
      </c>
      <c r="W11" s="92">
        <v>22.744851811746376</v>
      </c>
      <c r="X11" s="92">
        <v>18.524887742483866</v>
      </c>
      <c r="Y11" s="92">
        <v>14.355170004242034</v>
      </c>
      <c r="Z11" s="94">
        <f t="shared" si="0"/>
        <v>372.95032379322049</v>
      </c>
      <c r="AA11" s="64">
        <f>+SUMIFS('Cantidades Producto Base Curva'!$AA:$AA,'Cantidades Producto Base Curva'!$A:$A,'Cantidades Producto No. 3'!$A11,'Cantidades Producto Base Curva'!$AD:$AD,'Cantidades Producto No. 3'!AD11)</f>
        <v>0</v>
      </c>
      <c r="AB11" s="65">
        <f t="shared" si="2"/>
        <v>0</v>
      </c>
      <c r="AD11" s="65" t="s">
        <v>52</v>
      </c>
      <c r="AE11" s="42"/>
    </row>
    <row r="12" spans="1:31" s="85" customFormat="1" ht="16.5" thickBot="1" x14ac:dyDescent="0.3">
      <c r="A12"/>
      <c r="B12" s="95"/>
      <c r="C12" s="90"/>
      <c r="D12" s="90"/>
      <c r="E12" s="90"/>
      <c r="F12" s="90"/>
      <c r="G12" s="90"/>
      <c r="H12" s="90"/>
      <c r="I12" s="90"/>
      <c r="J12" s="90"/>
      <c r="K12" s="90"/>
      <c r="L12" s="90"/>
      <c r="M12" s="90"/>
      <c r="N12" s="90"/>
      <c r="O12" s="90"/>
      <c r="P12" s="90"/>
      <c r="Q12" s="90"/>
      <c r="R12" s="90"/>
      <c r="S12" s="90"/>
      <c r="T12" s="90"/>
      <c r="U12" s="90"/>
      <c r="V12" s="90"/>
      <c r="W12" s="90"/>
      <c r="X12" s="90"/>
      <c r="Y12" s="90"/>
      <c r="Z12" s="89"/>
      <c r="AA12" s="72"/>
      <c r="AB12"/>
      <c r="AC12" s="39"/>
      <c r="AD12"/>
    </row>
    <row r="13" spans="1:31" s="85" customFormat="1" ht="16.5" thickBot="1" x14ac:dyDescent="0.3">
      <c r="A13" s="45" t="s">
        <v>47</v>
      </c>
      <c r="B13" s="90"/>
      <c r="C13" s="90"/>
      <c r="D13" s="90"/>
      <c r="E13" s="96"/>
      <c r="F13" s="90"/>
      <c r="G13" s="90"/>
      <c r="H13" s="90"/>
      <c r="I13" s="90"/>
      <c r="J13" s="90"/>
      <c r="K13" s="90"/>
      <c r="L13" s="90"/>
      <c r="M13" s="90"/>
      <c r="N13" s="90"/>
      <c r="O13" s="90"/>
      <c r="P13" s="90"/>
      <c r="Q13" s="90"/>
      <c r="R13" s="90"/>
      <c r="S13" s="90"/>
      <c r="T13" s="90"/>
      <c r="U13" s="90"/>
      <c r="V13" s="90"/>
      <c r="W13" s="90"/>
      <c r="X13" s="90"/>
      <c r="Y13" s="90"/>
      <c r="Z13" s="89"/>
      <c r="AA13" s="72"/>
      <c r="AB13"/>
      <c r="AC13" s="39"/>
      <c r="AD13"/>
    </row>
    <row r="14" spans="1:31" s="85" customFormat="1" ht="16.5" thickBot="1" x14ac:dyDescent="0.3">
      <c r="A14"/>
      <c r="B14" s="95"/>
      <c r="C14" s="90"/>
      <c r="D14" s="90"/>
      <c r="E14" s="90"/>
      <c r="F14" s="90"/>
      <c r="G14" s="90"/>
      <c r="H14" s="90"/>
      <c r="I14" s="90"/>
      <c r="J14" s="90"/>
      <c r="K14" s="90"/>
      <c r="L14" s="90"/>
      <c r="M14" s="90"/>
      <c r="N14" s="90"/>
      <c r="O14" s="90"/>
      <c r="P14" s="90"/>
      <c r="Q14" s="90"/>
      <c r="R14" s="90"/>
      <c r="S14" s="90"/>
      <c r="T14" s="90"/>
      <c r="U14" s="90"/>
      <c r="V14" s="90"/>
      <c r="W14" s="90"/>
      <c r="X14" s="90"/>
      <c r="Y14" s="90"/>
      <c r="Z14" s="89"/>
      <c r="AA14"/>
      <c r="AB14"/>
      <c r="AC14" s="39"/>
      <c r="AD14" s="39"/>
    </row>
    <row r="15" spans="1:31" s="85" customFormat="1" ht="15.75" thickBot="1" x14ac:dyDescent="0.25">
      <c r="A15" s="52" t="s">
        <v>20</v>
      </c>
      <c r="B15" s="53" t="s">
        <v>21</v>
      </c>
      <c r="C15" s="53" t="s">
        <v>22</v>
      </c>
      <c r="D15" s="53" t="s">
        <v>23</v>
      </c>
      <c r="E15" s="53" t="s">
        <v>24</v>
      </c>
      <c r="F15" s="53" t="s">
        <v>25</v>
      </c>
      <c r="G15" s="53" t="s">
        <v>26</v>
      </c>
      <c r="H15" s="53" t="s">
        <v>27</v>
      </c>
      <c r="I15" s="53" t="s">
        <v>28</v>
      </c>
      <c r="J15" s="53" t="s">
        <v>29</v>
      </c>
      <c r="K15" s="53" t="s">
        <v>30</v>
      </c>
      <c r="L15" s="53" t="s">
        <v>31</v>
      </c>
      <c r="M15" s="53" t="s">
        <v>32</v>
      </c>
      <c r="N15" s="53" t="s">
        <v>33</v>
      </c>
      <c r="O15" s="53" t="s">
        <v>34</v>
      </c>
      <c r="P15" s="53" t="s">
        <v>35</v>
      </c>
      <c r="Q15" s="53" t="s">
        <v>36</v>
      </c>
      <c r="R15" s="53" t="s">
        <v>37</v>
      </c>
      <c r="S15" s="53" t="s">
        <v>38</v>
      </c>
      <c r="T15" s="53" t="s">
        <v>39</v>
      </c>
      <c r="U15" s="53" t="s">
        <v>40</v>
      </c>
      <c r="V15" s="53" t="s">
        <v>41</v>
      </c>
      <c r="W15" s="53" t="s">
        <v>42</v>
      </c>
      <c r="X15" s="53" t="s">
        <v>43</v>
      </c>
      <c r="Y15" s="53" t="s">
        <v>44</v>
      </c>
      <c r="Z15" s="53" t="s">
        <v>11</v>
      </c>
      <c r="AA15" s="53" t="s">
        <v>45</v>
      </c>
      <c r="AB15" s="55"/>
      <c r="AC15" s="39"/>
      <c r="AD15" s="39"/>
    </row>
    <row r="16" spans="1:31" s="85" customFormat="1" ht="15.75" x14ac:dyDescent="0.25">
      <c r="A16" s="56">
        <v>46054</v>
      </c>
      <c r="B16" s="97">
        <f>+B8*$AA$8+B9*$AA$9+B10*$AA$10+B11*$AA$11</f>
        <v>223.95811177045132</v>
      </c>
      <c r="C16" s="97">
        <f t="shared" ref="C16:Y16" si="3">+C8*$AA$8+C9*$AA$9+C10*$AA$10+C11*$AA$11</f>
        <v>188.63079074623758</v>
      </c>
      <c r="D16" s="97">
        <f t="shared" si="3"/>
        <v>168.26900003541658</v>
      </c>
      <c r="E16" s="97">
        <f t="shared" si="3"/>
        <v>160.72783007362591</v>
      </c>
      <c r="F16" s="97">
        <f t="shared" si="3"/>
        <v>174.80809898016886</v>
      </c>
      <c r="G16" s="97">
        <f t="shared" si="3"/>
        <v>233.60551782467664</v>
      </c>
      <c r="H16" s="97">
        <f t="shared" si="3"/>
        <v>307.63682979609712</v>
      </c>
      <c r="I16" s="97">
        <f t="shared" si="3"/>
        <v>264.65620574189984</v>
      </c>
      <c r="J16" s="97">
        <f t="shared" si="3"/>
        <v>332.74584415469138</v>
      </c>
      <c r="K16" s="97">
        <f t="shared" si="3"/>
        <v>387.47748304777764</v>
      </c>
      <c r="L16" s="97">
        <f t="shared" si="3"/>
        <v>438.3292691404011</v>
      </c>
      <c r="M16" s="97">
        <f t="shared" si="3"/>
        <v>482.49093802290633</v>
      </c>
      <c r="N16" s="97">
        <f t="shared" si="3"/>
        <v>472.29995526900188</v>
      </c>
      <c r="O16" s="97">
        <f t="shared" si="3"/>
        <v>466.63156292068118</v>
      </c>
      <c r="P16" s="97">
        <f t="shared" si="3"/>
        <v>475.18434979956959</v>
      </c>
      <c r="Q16" s="97">
        <f t="shared" si="3"/>
        <v>473.21976357584811</v>
      </c>
      <c r="R16" s="97">
        <f t="shared" si="3"/>
        <v>459.17048521490602</v>
      </c>
      <c r="S16" s="97">
        <f t="shared" si="3"/>
        <v>539.59805446945234</v>
      </c>
      <c r="T16" s="97">
        <f t="shared" si="3"/>
        <v>543.74512094378304</v>
      </c>
      <c r="U16" s="97">
        <f t="shared" si="3"/>
        <v>583.46068513923524</v>
      </c>
      <c r="V16" s="97">
        <f t="shared" si="3"/>
        <v>555.43073447625113</v>
      </c>
      <c r="W16" s="97">
        <f t="shared" si="3"/>
        <v>496.04315280631863</v>
      </c>
      <c r="X16" s="97">
        <f t="shared" si="3"/>
        <v>401.38285715303414</v>
      </c>
      <c r="Y16" s="97">
        <f t="shared" si="3"/>
        <v>303.20001278807069</v>
      </c>
      <c r="Z16" s="93">
        <f t="shared" ref="Z16" si="4">SUM(B16:Y16)</f>
        <v>9132.7026538905029</v>
      </c>
      <c r="AA16" s="59">
        <f>+AA8+AA9+AA10+AA11</f>
        <v>28</v>
      </c>
      <c r="AB16" s="60">
        <f>+AB8+AB9+AB10+AB11</f>
        <v>9132.7026538905047</v>
      </c>
      <c r="AC16" s="110">
        <f>+AB16-'Oferta Producto No. 3'!G15</f>
        <v>0</v>
      </c>
      <c r="AD16" s="39"/>
    </row>
    <row r="17" spans="1:30" s="85" customFormat="1" x14ac:dyDescent="0.2">
      <c r="A17" s="39"/>
      <c r="B17" s="83"/>
      <c r="C17" s="83"/>
      <c r="D17" s="83"/>
      <c r="E17" s="83"/>
      <c r="F17" s="83"/>
      <c r="G17" s="83"/>
      <c r="H17" s="83"/>
      <c r="I17" s="83"/>
      <c r="J17" s="83"/>
      <c r="K17" s="83"/>
      <c r="L17" s="83"/>
      <c r="M17" s="83"/>
      <c r="N17" s="83"/>
      <c r="O17" s="83"/>
      <c r="P17" s="83"/>
      <c r="Q17" s="83"/>
      <c r="R17" s="83"/>
      <c r="S17" s="83"/>
      <c r="T17" s="83"/>
      <c r="U17" s="83"/>
      <c r="V17" s="83"/>
      <c r="W17" s="83"/>
      <c r="X17" s="83"/>
      <c r="Y17" s="83"/>
      <c r="Z17" s="84"/>
      <c r="AA17" s="39"/>
      <c r="AB17" s="39"/>
      <c r="AC17" s="39"/>
      <c r="AD17" s="39"/>
    </row>
    <row r="19" spans="1:30" s="85" customFormat="1" x14ac:dyDescent="0.2">
      <c r="A19" s="39"/>
      <c r="B19" s="83"/>
      <c r="C19" s="83"/>
      <c r="D19" s="83"/>
      <c r="E19" s="83"/>
      <c r="F19" s="83"/>
      <c r="G19" s="83"/>
      <c r="H19" s="83"/>
      <c r="I19" s="83"/>
      <c r="J19" s="83"/>
      <c r="K19" s="83"/>
      <c r="L19" s="83"/>
      <c r="M19" s="83"/>
      <c r="N19" s="83"/>
      <c r="O19" s="83"/>
      <c r="P19" s="83"/>
      <c r="Q19" s="83"/>
      <c r="R19" s="83"/>
      <c r="S19" s="83"/>
      <c r="T19" s="83"/>
      <c r="U19" s="83"/>
      <c r="V19" s="83"/>
      <c r="W19" s="83"/>
      <c r="X19" s="83"/>
      <c r="Y19" s="83"/>
      <c r="Z19" s="98"/>
      <c r="AA19" s="39"/>
      <c r="AB19" s="39"/>
      <c r="AC19" s="39"/>
      <c r="AD19" s="39"/>
    </row>
  </sheetData>
  <conditionalFormatting sqref="B1:Y1048576">
    <cfRule type="cellIs" dxfId="14" priority="1" operator="lessThan">
      <formula>0</formula>
    </cfRule>
  </conditionalFormatting>
  <conditionalFormatting sqref="AA8:AA11">
    <cfRule type="cellIs" dxfId="13" priority="3" operator="lessThan">
      <formula>0</formula>
    </cfRule>
  </conditionalFormatting>
  <conditionalFormatting sqref="AA16">
    <cfRule type="cellIs" dxfId="12" priority="2" operator="lessThan">
      <formula>0</formula>
    </cfRule>
  </conditionalFormatting>
  <pageMargins left="0.75" right="0.75" top="1" bottom="1" header="0" footer="0"/>
  <pageSetup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CB45C-692F-4B63-87DC-5737377538DA}">
  <sheetPr>
    <tabColor theme="9" tint="0.39997558519241921"/>
  </sheetPr>
  <dimension ref="A1:M27"/>
  <sheetViews>
    <sheetView view="pageBreakPreview" topLeftCell="A4" zoomScale="60" zoomScaleNormal="100" zoomScalePageLayoutView="30" workbookViewId="0">
      <selection activeCell="B22" sqref="B22:L22"/>
    </sheetView>
  </sheetViews>
  <sheetFormatPr baseColWidth="10" defaultColWidth="17.85546875" defaultRowHeight="24.75" x14ac:dyDescent="0.3"/>
  <cols>
    <col min="1" max="1" width="11.42578125" style="1" customWidth="1"/>
    <col min="2" max="2" width="16.42578125" style="1" bestFit="1" customWidth="1"/>
    <col min="3" max="3" width="14.85546875" style="1" customWidth="1"/>
    <col min="4" max="4" width="16.42578125" style="1" customWidth="1"/>
    <col min="5" max="5" width="22.7109375" style="1" customWidth="1"/>
    <col min="6" max="6" width="21.140625" style="1" customWidth="1"/>
    <col min="7" max="7" width="23" style="1" customWidth="1"/>
    <col min="8" max="10" width="22.7109375" style="1" customWidth="1"/>
    <col min="11" max="11" width="28.42578125" style="1" customWidth="1"/>
    <col min="12" max="12" width="15.42578125" style="1" customWidth="1"/>
    <col min="13" max="13" width="8.85546875" style="1" bestFit="1" customWidth="1"/>
    <col min="14" max="16384" width="17.85546875" style="1"/>
  </cols>
  <sheetData>
    <row r="1" spans="1:13" ht="171.2" customHeight="1" x14ac:dyDescent="0.3"/>
    <row r="2" spans="1:13" x14ac:dyDescent="0.3">
      <c r="A2" s="2"/>
      <c r="B2" s="2"/>
      <c r="C2" s="2"/>
      <c r="D2" s="114" t="s">
        <v>0</v>
      </c>
      <c r="E2" s="114"/>
      <c r="F2" s="114"/>
      <c r="G2" s="114"/>
      <c r="H2" s="114"/>
      <c r="I2" s="114"/>
      <c r="J2" s="114"/>
      <c r="K2" s="2"/>
      <c r="L2" s="2"/>
      <c r="M2" s="2"/>
    </row>
    <row r="3" spans="1:13" ht="89.25" customHeight="1" x14ac:dyDescent="0.3">
      <c r="A3" s="2"/>
      <c r="B3" s="2"/>
      <c r="C3" s="115" t="s">
        <v>1</v>
      </c>
      <c r="D3" s="115"/>
      <c r="E3" s="115"/>
      <c r="F3" s="115"/>
      <c r="G3" s="115"/>
      <c r="H3" s="115"/>
      <c r="I3" s="115"/>
      <c r="J3" s="115"/>
      <c r="K3" s="115"/>
      <c r="L3" s="2"/>
      <c r="M3" s="2"/>
    </row>
    <row r="4" spans="1:13" x14ac:dyDescent="0.3">
      <c r="A4" s="2"/>
      <c r="B4" s="2"/>
      <c r="C4" s="3"/>
      <c r="D4" s="116" t="s">
        <v>58</v>
      </c>
      <c r="E4" s="116"/>
      <c r="F4" s="116"/>
      <c r="G4" s="116"/>
      <c r="H4" s="116"/>
      <c r="I4" s="116"/>
      <c r="J4" s="116"/>
      <c r="K4" s="3"/>
      <c r="L4" s="2"/>
      <c r="M4" s="2"/>
    </row>
    <row r="5" spans="1:13" ht="19.5" customHeight="1" x14ac:dyDescent="0.3">
      <c r="A5" s="4"/>
      <c r="B5" s="5"/>
      <c r="C5" s="5"/>
      <c r="D5" s="6"/>
      <c r="E5" s="7"/>
      <c r="F5" s="7"/>
      <c r="G5" s="7"/>
      <c r="H5" s="7"/>
      <c r="I5" s="7"/>
      <c r="J5" s="8"/>
      <c r="K5" s="9"/>
      <c r="L5" s="4"/>
      <c r="M5" s="4"/>
    </row>
    <row r="6" spans="1:13" x14ac:dyDescent="0.3">
      <c r="A6" s="4"/>
      <c r="B6" s="5"/>
      <c r="C6" s="10" t="s">
        <v>3</v>
      </c>
      <c r="D6" s="5"/>
      <c r="E6" s="5"/>
      <c r="G6" s="5"/>
      <c r="H6" s="5"/>
      <c r="I6" s="5"/>
      <c r="J6" s="5"/>
      <c r="K6" s="9"/>
      <c r="L6" s="4"/>
      <c r="M6" s="4"/>
    </row>
    <row r="7" spans="1:13" x14ac:dyDescent="0.3">
      <c r="A7" s="4"/>
      <c r="B7" s="5"/>
      <c r="C7" s="10" t="s">
        <v>4</v>
      </c>
      <c r="D7" s="5"/>
      <c r="E7" s="5"/>
      <c r="G7" s="5"/>
      <c r="H7" s="5"/>
      <c r="I7" s="5"/>
      <c r="J7" s="5"/>
      <c r="K7" s="9"/>
      <c r="L7" s="4"/>
      <c r="M7" s="4"/>
    </row>
    <row r="8" spans="1:13" x14ac:dyDescent="0.3">
      <c r="B8" s="11"/>
      <c r="C8" s="10" t="s">
        <v>5</v>
      </c>
      <c r="D8" s="5"/>
      <c r="E8" s="5"/>
      <c r="G8" s="11"/>
      <c r="H8" s="11"/>
      <c r="I8" s="11"/>
      <c r="J8" s="11"/>
      <c r="K8" s="12"/>
    </row>
    <row r="9" spans="1:13" x14ac:dyDescent="0.3">
      <c r="B9" s="11"/>
      <c r="C9" s="13" t="str">
        <f>"PRODUCTO OFERTADO: "&amp;D4</f>
        <v>PRODUCTO OFERTADO: PRODUCTO No. 4</v>
      </c>
      <c r="D9" s="5"/>
      <c r="E9" s="5"/>
      <c r="G9" s="11"/>
      <c r="H9" s="11"/>
      <c r="I9" s="11"/>
      <c r="J9" s="11"/>
      <c r="K9" s="12"/>
    </row>
    <row r="10" spans="1:13" x14ac:dyDescent="0.3">
      <c r="B10" s="11"/>
      <c r="C10" s="13"/>
      <c r="D10" s="5"/>
      <c r="E10" s="5"/>
      <c r="G10" s="11"/>
      <c r="H10" s="11"/>
      <c r="I10" s="11"/>
      <c r="J10" s="11"/>
      <c r="K10" s="12"/>
    </row>
    <row r="11" spans="1:13" x14ac:dyDescent="0.3">
      <c r="B11" s="11"/>
      <c r="C11" s="10" t="s">
        <v>62</v>
      </c>
      <c r="D11" s="14"/>
      <c r="E11" s="14"/>
      <c r="F11" s="15"/>
      <c r="G11" s="11"/>
      <c r="H11" s="11"/>
      <c r="I11" s="11"/>
      <c r="J11" s="11"/>
      <c r="K11" s="12"/>
    </row>
    <row r="12" spans="1:13" x14ac:dyDescent="0.3">
      <c r="B12" s="16"/>
      <c r="C12" s="15"/>
    </row>
    <row r="13" spans="1:13" x14ac:dyDescent="0.3">
      <c r="F13" s="117" t="str">
        <f>"Oferta " &amp; PROPER(D4)</f>
        <v>Oferta Producto No. 4</v>
      </c>
      <c r="G13" s="117"/>
      <c r="H13" s="117"/>
      <c r="I13" s="117"/>
      <c r="J13" s="117"/>
    </row>
    <row r="14" spans="1:13" ht="72.75" customHeight="1" x14ac:dyDescent="0.3">
      <c r="F14" s="17" t="s">
        <v>6</v>
      </c>
      <c r="G14" s="18" t="s">
        <v>7</v>
      </c>
      <c r="H14" s="18" t="s">
        <v>8</v>
      </c>
      <c r="I14" s="18" t="s">
        <v>9</v>
      </c>
      <c r="J14" s="19" t="s">
        <v>10</v>
      </c>
    </row>
    <row r="15" spans="1:13" x14ac:dyDescent="0.3">
      <c r="A15" s="20">
        <v>22.85</v>
      </c>
      <c r="B15" s="20">
        <v>31</v>
      </c>
      <c r="F15" s="21">
        <f>+'Cantidades Producto No. 4'!A16</f>
        <v>46082</v>
      </c>
      <c r="G15" s="22">
        <v>9027.5020997958127</v>
      </c>
      <c r="H15" s="23"/>
      <c r="I15" s="24"/>
      <c r="J15" s="25"/>
      <c r="L15" s="26"/>
      <c r="M15" s="26"/>
    </row>
    <row r="16" spans="1:13" x14ac:dyDescent="0.3">
      <c r="F16" s="30" t="s">
        <v>11</v>
      </c>
      <c r="G16" s="31">
        <v>9027.5020997958127</v>
      </c>
      <c r="H16" s="32"/>
      <c r="I16" s="32"/>
      <c r="J16" s="33"/>
    </row>
    <row r="17" spans="1:12" x14ac:dyDescent="0.3">
      <c r="F17" s="34"/>
      <c r="G17" s="35"/>
    </row>
    <row r="18" spans="1:12" x14ac:dyDescent="0.3">
      <c r="B18" s="36" t="s">
        <v>12</v>
      </c>
      <c r="C18" s="37"/>
      <c r="D18" s="37"/>
      <c r="E18" s="37"/>
      <c r="F18" s="37"/>
      <c r="G18" s="37"/>
      <c r="L18" s="37"/>
    </row>
    <row r="19" spans="1:12" x14ac:dyDescent="0.3">
      <c r="B19" s="36"/>
      <c r="C19" s="37"/>
      <c r="D19" s="37"/>
      <c r="E19" s="37"/>
      <c r="F19" s="37"/>
      <c r="G19" s="37"/>
      <c r="H19" s="37"/>
      <c r="I19" s="37"/>
      <c r="J19" s="37"/>
      <c r="K19" s="37"/>
      <c r="L19" s="37"/>
    </row>
    <row r="20" spans="1:12" ht="24.75" customHeight="1" x14ac:dyDescent="0.3">
      <c r="B20" s="112" t="s">
        <v>13</v>
      </c>
      <c r="C20" s="112"/>
      <c r="D20" s="112"/>
      <c r="E20" s="112"/>
      <c r="F20" s="112"/>
      <c r="G20" s="112"/>
      <c r="H20" s="112"/>
      <c r="I20" s="112"/>
      <c r="J20" s="112"/>
      <c r="K20" s="112"/>
      <c r="L20" s="112"/>
    </row>
    <row r="21" spans="1:12" ht="39" customHeight="1" x14ac:dyDescent="0.3">
      <c r="B21" s="112" t="str">
        <f>"(2) Las cantidades se distribuyen de acuerdo a la curva del Anexo 1. Ofertas y Cantidades "&amp; D4 &amp;" de los Pliegos de Condiciones Definitivos"</f>
        <v>(2) Las cantidades se distribuyen de acuerdo a la curva del Anexo 1. Ofertas y Cantidades PRODUCTO No. 4 de los Pliegos de Condiciones Definitivos</v>
      </c>
      <c r="C21" s="112"/>
      <c r="D21" s="112"/>
      <c r="E21" s="112"/>
      <c r="F21" s="112"/>
      <c r="G21" s="112"/>
      <c r="H21" s="112"/>
      <c r="I21" s="112"/>
      <c r="J21" s="112"/>
      <c r="K21" s="112"/>
      <c r="L21" s="112"/>
    </row>
    <row r="22" spans="1:12" ht="83.25" customHeight="1" x14ac:dyDescent="0.3">
      <c r="B22" s="113" t="s">
        <v>66</v>
      </c>
      <c r="C22" s="113"/>
      <c r="D22" s="113"/>
      <c r="E22" s="113"/>
      <c r="F22" s="113"/>
      <c r="G22" s="113"/>
      <c r="H22" s="113"/>
      <c r="I22" s="113"/>
      <c r="J22" s="113"/>
      <c r="K22" s="113"/>
      <c r="L22" s="113"/>
    </row>
    <row r="23" spans="1:12" ht="43.5" customHeight="1" x14ac:dyDescent="0.3">
      <c r="B23" s="113" t="s">
        <v>14</v>
      </c>
      <c r="C23" s="113"/>
      <c r="D23" s="113"/>
      <c r="E23" s="113"/>
      <c r="F23" s="113"/>
      <c r="G23" s="113"/>
      <c r="H23" s="113"/>
      <c r="I23" s="113"/>
      <c r="J23" s="113"/>
      <c r="K23" s="113"/>
      <c r="L23" s="113"/>
    </row>
    <row r="24" spans="1:12" ht="60" customHeight="1" x14ac:dyDescent="0.3">
      <c r="B24" s="113" t="s">
        <v>15</v>
      </c>
      <c r="C24" s="113"/>
      <c r="D24" s="113"/>
      <c r="E24" s="113"/>
      <c r="F24" s="113"/>
      <c r="G24" s="113"/>
      <c r="H24" s="113"/>
      <c r="I24" s="113"/>
      <c r="J24" s="113"/>
      <c r="K24" s="113"/>
      <c r="L24" s="113"/>
    </row>
    <row r="25" spans="1:12" ht="80.25" customHeight="1" x14ac:dyDescent="0.3">
      <c r="A25" s="15"/>
      <c r="B25" s="113" t="s">
        <v>16</v>
      </c>
      <c r="C25" s="113"/>
      <c r="D25" s="113"/>
      <c r="E25" s="113"/>
      <c r="F25" s="113"/>
      <c r="G25" s="113"/>
      <c r="H25" s="113"/>
      <c r="I25" s="113"/>
      <c r="J25" s="113"/>
      <c r="K25" s="113"/>
      <c r="L25" s="113"/>
    </row>
    <row r="27" spans="1:12" ht="24.75" customHeight="1" x14ac:dyDescent="0.3">
      <c r="B27" s="38"/>
      <c r="C27" s="38"/>
      <c r="D27" s="38"/>
      <c r="E27" s="38"/>
      <c r="F27" s="38"/>
      <c r="G27" s="38"/>
      <c r="H27" s="38"/>
      <c r="I27" s="38"/>
      <c r="J27" s="38"/>
      <c r="K27" s="38"/>
      <c r="L27" s="38"/>
    </row>
  </sheetData>
  <mergeCells count="10">
    <mergeCell ref="B22:L22"/>
    <mergeCell ref="B23:L23"/>
    <mergeCell ref="B24:L24"/>
    <mergeCell ref="B25:L25"/>
    <mergeCell ref="D2:J2"/>
    <mergeCell ref="C3:K3"/>
    <mergeCell ref="D4:J4"/>
    <mergeCell ref="F13:J13"/>
    <mergeCell ref="B20:L20"/>
    <mergeCell ref="B21:L21"/>
  </mergeCells>
  <printOptions horizontalCentered="1" verticalCentered="1"/>
  <pageMargins left="0" right="0.39370078740157483" top="0.19685039370078741" bottom="0.19685039370078741" header="0.39370078740157483" footer="0.39370078740157483"/>
  <pageSetup scale="39" orientation="portrait" r:id="rId1"/>
  <colBreaks count="1" manualBreakCount="1">
    <brk id="14" max="1048575"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BACE7-4A3F-453E-889A-30DAD83954DE}">
  <sheetPr>
    <tabColor theme="9" tint="0.39997558519241921"/>
  </sheetPr>
  <dimension ref="A1:AE19"/>
  <sheetViews>
    <sheetView showGridLines="0" zoomScale="70" zoomScaleNormal="70" workbookViewId="0">
      <selection activeCell="A7" sqref="A7"/>
    </sheetView>
  </sheetViews>
  <sheetFormatPr baseColWidth="10" defaultColWidth="14.42578125" defaultRowHeight="15" x14ac:dyDescent="0.2"/>
  <cols>
    <col min="1" max="1" width="93.140625" style="39" bestFit="1" customWidth="1"/>
    <col min="2" max="20" width="7.28515625" style="83" bestFit="1" customWidth="1"/>
    <col min="21" max="21" width="7.7109375" style="83" bestFit="1" customWidth="1"/>
    <col min="22" max="25" width="7.28515625" style="83" bestFit="1" customWidth="1"/>
    <col min="26" max="26" width="13.85546875" style="84" bestFit="1" customWidth="1"/>
    <col min="27" max="27" width="8.5703125" style="39" bestFit="1" customWidth="1"/>
    <col min="28" max="28" width="9.7109375" style="39" customWidth="1"/>
    <col min="29" max="29" width="5.28515625" style="39" customWidth="1"/>
    <col min="30" max="30" width="28.7109375" style="39" bestFit="1" customWidth="1"/>
    <col min="31" max="31" width="14.42578125" style="85"/>
    <col min="32" max="16384" width="14.42578125" style="39"/>
  </cols>
  <sheetData>
    <row r="1" spans="1:31" ht="93" customHeight="1" thickBot="1" x14ac:dyDescent="0.25"/>
    <row r="2" spans="1:31" ht="23.25" x14ac:dyDescent="0.35">
      <c r="A2" s="43" t="s">
        <v>18</v>
      </c>
    </row>
    <row r="3" spans="1:31" ht="21" thickBot="1" x14ac:dyDescent="0.35">
      <c r="A3" s="44" t="s">
        <v>58</v>
      </c>
    </row>
    <row r="4" spans="1:31" ht="15.75" thickBot="1" x14ac:dyDescent="0.25"/>
    <row r="5" spans="1:31" ht="16.5" thickBot="1" x14ac:dyDescent="0.3">
      <c r="A5" s="45"/>
      <c r="B5" s="86"/>
      <c r="C5" s="86"/>
      <c r="D5" s="86"/>
      <c r="E5" s="87"/>
      <c r="F5" s="86"/>
      <c r="G5" s="86"/>
      <c r="H5" s="86"/>
      <c r="I5" s="86"/>
      <c r="J5" s="86"/>
      <c r="K5" s="88"/>
      <c r="L5" s="88"/>
      <c r="M5" s="88"/>
      <c r="N5" s="88"/>
      <c r="O5" s="88"/>
      <c r="P5" s="88"/>
      <c r="Q5" s="88"/>
      <c r="R5" s="88"/>
      <c r="S5" s="88"/>
      <c r="T5" s="88"/>
      <c r="U5" s="88"/>
      <c r="V5" s="88"/>
      <c r="W5" s="88"/>
      <c r="X5" s="88"/>
      <c r="Y5" s="88"/>
      <c r="Z5" s="89"/>
      <c r="AA5"/>
      <c r="AB5" s="50"/>
      <c r="AD5" s="50"/>
    </row>
    <row r="6" spans="1:31" ht="16.5" thickBot="1" x14ac:dyDescent="0.3">
      <c r="A6"/>
      <c r="B6" s="86"/>
      <c r="C6" s="86"/>
      <c r="D6" s="86"/>
      <c r="E6" s="86"/>
      <c r="F6" s="86"/>
      <c r="G6" s="86"/>
      <c r="H6" s="86"/>
      <c r="I6" s="86"/>
      <c r="J6" s="86"/>
      <c r="K6" s="90"/>
      <c r="L6" s="90"/>
      <c r="M6" s="90"/>
      <c r="N6" s="90"/>
      <c r="O6" s="90"/>
      <c r="P6" s="90"/>
      <c r="Q6" s="90"/>
      <c r="R6" s="90"/>
      <c r="S6" s="90"/>
      <c r="T6" s="90"/>
      <c r="U6" s="90"/>
      <c r="V6" s="90"/>
      <c r="W6" s="90"/>
      <c r="X6" s="90"/>
      <c r="Y6" s="90"/>
      <c r="Z6" s="89"/>
      <c r="AA6"/>
      <c r="AB6"/>
      <c r="AD6"/>
      <c r="AE6" s="42"/>
    </row>
    <row r="7" spans="1:31" ht="15.95" customHeight="1" thickBot="1" x14ac:dyDescent="0.25">
      <c r="A7" s="52" t="s">
        <v>20</v>
      </c>
      <c r="B7" s="53" t="s">
        <v>21</v>
      </c>
      <c r="C7" s="53" t="s">
        <v>22</v>
      </c>
      <c r="D7" s="53" t="s">
        <v>23</v>
      </c>
      <c r="E7" s="53" t="s">
        <v>24</v>
      </c>
      <c r="F7" s="53" t="s">
        <v>25</v>
      </c>
      <c r="G7" s="53" t="s">
        <v>26</v>
      </c>
      <c r="H7" s="53" t="s">
        <v>27</v>
      </c>
      <c r="I7" s="53" t="s">
        <v>28</v>
      </c>
      <c r="J7" s="53" t="s">
        <v>29</v>
      </c>
      <c r="K7" s="53" t="s">
        <v>30</v>
      </c>
      <c r="L7" s="53" t="s">
        <v>31</v>
      </c>
      <c r="M7" s="53" t="s">
        <v>32</v>
      </c>
      <c r="N7" s="53" t="s">
        <v>33</v>
      </c>
      <c r="O7" s="53" t="s">
        <v>34</v>
      </c>
      <c r="P7" s="53" t="s">
        <v>35</v>
      </c>
      <c r="Q7" s="53" t="s">
        <v>36</v>
      </c>
      <c r="R7" s="53" t="s">
        <v>37</v>
      </c>
      <c r="S7" s="53" t="s">
        <v>38</v>
      </c>
      <c r="T7" s="53" t="s">
        <v>39</v>
      </c>
      <c r="U7" s="53" t="s">
        <v>40</v>
      </c>
      <c r="V7" s="53" t="s">
        <v>41</v>
      </c>
      <c r="W7" s="53" t="s">
        <v>42</v>
      </c>
      <c r="X7" s="53" t="s">
        <v>43</v>
      </c>
      <c r="Y7" s="53" t="s">
        <v>44</v>
      </c>
      <c r="Z7" s="53" t="s">
        <v>11</v>
      </c>
      <c r="AA7" s="54" t="s">
        <v>45</v>
      </c>
      <c r="AB7" s="55"/>
      <c r="AD7" s="91" t="s">
        <v>49</v>
      </c>
      <c r="AE7" s="42"/>
    </row>
    <row r="8" spans="1:31" ht="16.5" thickBot="1" x14ac:dyDescent="0.3">
      <c r="A8" s="56">
        <f>+$A$16</f>
        <v>46082</v>
      </c>
      <c r="B8" s="92">
        <v>6.8492601093520058</v>
      </c>
      <c r="C8" s="92">
        <v>5.7185344613431663</v>
      </c>
      <c r="D8" s="92">
        <v>5.1587112135303981</v>
      </c>
      <c r="E8" s="92">
        <v>4.9416407837879159</v>
      </c>
      <c r="F8" s="92">
        <v>5.6033158576370985</v>
      </c>
      <c r="G8" s="92">
        <v>8.0588741049677335</v>
      </c>
      <c r="H8" s="92">
        <v>10.739430442356285</v>
      </c>
      <c r="I8" s="92">
        <v>9.6931673614162275</v>
      </c>
      <c r="J8" s="92">
        <v>11.969570084263687</v>
      </c>
      <c r="K8" s="92">
        <v>13.634157124727171</v>
      </c>
      <c r="L8" s="92">
        <v>15.496149161261433</v>
      </c>
      <c r="M8" s="92">
        <v>17.045510561291522</v>
      </c>
      <c r="N8" s="92">
        <v>16.65137573107345</v>
      </c>
      <c r="O8" s="92">
        <v>16.349960301718543</v>
      </c>
      <c r="P8" s="92">
        <v>16.870269536814433</v>
      </c>
      <c r="Q8" s="92">
        <v>16.755642757777299</v>
      </c>
      <c r="R8" s="92">
        <v>16.30455931087528</v>
      </c>
      <c r="S8" s="92">
        <v>18.96439282837294</v>
      </c>
      <c r="T8" s="92">
        <v>19.094227096377995</v>
      </c>
      <c r="U8" s="92">
        <v>20.27907256196125</v>
      </c>
      <c r="V8" s="92">
        <v>18.955173466505869</v>
      </c>
      <c r="W8" s="92">
        <v>16.818566080950486</v>
      </c>
      <c r="X8" s="92">
        <v>13.465822361255682</v>
      </c>
      <c r="Y8" s="92">
        <v>9.9096936163519427</v>
      </c>
      <c r="Z8" s="93">
        <f t="shared" ref="Z8:Z11" si="0">SUM(B8:Y8)</f>
        <v>315.32707691596983</v>
      </c>
      <c r="AA8" s="59">
        <f>+SUMIFS('Cantidades Producto Base Curva'!$AA:$AA,'Cantidades Producto Base Curva'!$A:$A,'Cantidades Producto No. 4'!$A8,'Cantidades Producto Base Curva'!$AD:$AD,'Cantidades Producto No. 4'!AD8)</f>
        <v>21</v>
      </c>
      <c r="AB8" s="60">
        <f>+Z8*AA8</f>
        <v>6621.8686152353666</v>
      </c>
      <c r="AD8" s="60" t="s">
        <v>46</v>
      </c>
      <c r="AE8" s="42"/>
    </row>
    <row r="9" spans="1:31" ht="16.5" thickBot="1" x14ac:dyDescent="0.3">
      <c r="A9" s="61">
        <f t="shared" ref="A9:A11" si="1">+$A$16</f>
        <v>46082</v>
      </c>
      <c r="B9" s="92">
        <v>7.0453248043266647</v>
      </c>
      <c r="C9" s="92">
        <v>5.7755824618822516</v>
      </c>
      <c r="D9" s="92">
        <v>5.0765127849968632</v>
      </c>
      <c r="E9" s="92">
        <v>4.7101857296225065</v>
      </c>
      <c r="F9" s="92">
        <v>5.0241820479950841</v>
      </c>
      <c r="G9" s="92">
        <v>6.0689409438848454</v>
      </c>
      <c r="H9" s="92">
        <v>8.0447721681696205</v>
      </c>
      <c r="I9" s="92">
        <v>7.5558531270922469</v>
      </c>
      <c r="J9" s="92">
        <v>10.426645187027825</v>
      </c>
      <c r="K9" s="92">
        <v>12.331359561527613</v>
      </c>
      <c r="L9" s="92">
        <v>13.91686946525587</v>
      </c>
      <c r="M9" s="92">
        <v>15.365009027962689</v>
      </c>
      <c r="N9" s="92">
        <v>15.307879283041068</v>
      </c>
      <c r="O9" s="92">
        <v>14.337152080879459</v>
      </c>
      <c r="P9" s="92">
        <v>13.672472375098033</v>
      </c>
      <c r="Q9" s="92">
        <v>13.336652382939697</v>
      </c>
      <c r="R9" s="92">
        <v>12.988590563238271</v>
      </c>
      <c r="S9" s="92">
        <v>16.751607064132724</v>
      </c>
      <c r="T9" s="92">
        <v>17.238043770456411</v>
      </c>
      <c r="U9" s="92">
        <v>17.89369983811288</v>
      </c>
      <c r="V9" s="92">
        <v>16.642161885893685</v>
      </c>
      <c r="W9" s="92">
        <v>14.954641752593961</v>
      </c>
      <c r="X9" s="92">
        <v>12.463236037934287</v>
      </c>
      <c r="Y9" s="92">
        <v>9.9768152126616627</v>
      </c>
      <c r="Z9" s="94">
        <f t="shared" si="0"/>
        <v>276.90418955672624</v>
      </c>
      <c r="AA9" s="59">
        <f>+SUMIFS('Cantidades Producto Base Curva'!$AA:$AA,'Cantidades Producto Base Curva'!$A:$A,'Cantidades Producto No. 4'!$A9,'Cantidades Producto Base Curva'!$AD:$AD,'Cantidades Producto No. 4'!AD9)</f>
        <v>4</v>
      </c>
      <c r="AB9" s="65">
        <f>+Z9*AA9</f>
        <v>1107.6167582269049</v>
      </c>
      <c r="AD9" s="65" t="s">
        <v>50</v>
      </c>
      <c r="AE9" s="42"/>
    </row>
    <row r="10" spans="1:31" ht="16.5" thickBot="1" x14ac:dyDescent="0.3">
      <c r="A10" s="61">
        <f t="shared" si="1"/>
        <v>46082</v>
      </c>
      <c r="B10" s="92">
        <v>7.2541478625886517</v>
      </c>
      <c r="C10" s="92">
        <v>5.9278010218586639</v>
      </c>
      <c r="D10" s="92">
        <v>5.11260188861948</v>
      </c>
      <c r="E10" s="92">
        <v>4.6357429904310408</v>
      </c>
      <c r="F10" s="92">
        <v>4.4870738919087163</v>
      </c>
      <c r="G10" s="92">
        <v>4.8933762049700746</v>
      </c>
      <c r="H10" s="92">
        <v>5.8131445956863974</v>
      </c>
      <c r="I10" s="92">
        <v>3.9967857067248698</v>
      </c>
      <c r="J10" s="92">
        <v>5.7989874058593633</v>
      </c>
      <c r="K10" s="92">
        <v>7.511177664467759</v>
      </c>
      <c r="L10" s="92">
        <v>8.6112475033615112</v>
      </c>
      <c r="M10" s="92">
        <v>9.6519031162443056</v>
      </c>
      <c r="N10" s="92">
        <v>10.452289671755075</v>
      </c>
      <c r="O10" s="92">
        <v>10.398815582706572</v>
      </c>
      <c r="P10" s="92">
        <v>9.6909100875608569</v>
      </c>
      <c r="Q10" s="92">
        <v>9.3642685048291092</v>
      </c>
      <c r="R10" s="92">
        <v>9.3579536424971597</v>
      </c>
      <c r="S10" s="92">
        <v>13.492545865026958</v>
      </c>
      <c r="T10" s="92">
        <v>14.754204616999683</v>
      </c>
      <c r="U10" s="92">
        <v>16.249563691103155</v>
      </c>
      <c r="V10" s="92">
        <v>15.414968608195064</v>
      </c>
      <c r="W10" s="92">
        <v>13.570441270507981</v>
      </c>
      <c r="X10" s="92">
        <v>10.986170376237999</v>
      </c>
      <c r="Y10" s="92">
        <v>8.3069232870612471</v>
      </c>
      <c r="Z10" s="94">
        <f t="shared" si="0"/>
        <v>215.73304505720171</v>
      </c>
      <c r="AA10" s="59">
        <f>+SUMIFS('Cantidades Producto Base Curva'!$AA:$AA,'Cantidades Producto Base Curva'!$A:$A,'Cantidades Producto No. 4'!$A10,'Cantidades Producto Base Curva'!$AD:$AD,'Cantidades Producto No. 4'!AD10)</f>
        <v>5</v>
      </c>
      <c r="AB10" s="65">
        <f t="shared" ref="AB10:AB11" si="2">+Z10*AA10</f>
        <v>1078.6652252860085</v>
      </c>
      <c r="AD10" s="65" t="s">
        <v>51</v>
      </c>
      <c r="AE10" s="42"/>
    </row>
    <row r="11" spans="1:31" ht="15.75" x14ac:dyDescent="0.25">
      <c r="A11" s="61">
        <f t="shared" si="1"/>
        <v>46082</v>
      </c>
      <c r="B11" s="92">
        <v>6.5485993179655484</v>
      </c>
      <c r="C11" s="92">
        <v>5.3393524215656214</v>
      </c>
      <c r="D11" s="92">
        <v>4.5980779111270236</v>
      </c>
      <c r="E11" s="92">
        <v>4.161044832257379</v>
      </c>
      <c r="F11" s="92">
        <v>4.0357364023784319</v>
      </c>
      <c r="G11" s="92">
        <v>4.464003714658662</v>
      </c>
      <c r="H11" s="92">
        <v>5.3244844976944439</v>
      </c>
      <c r="I11" s="92">
        <v>3.9326505483346046</v>
      </c>
      <c r="J11" s="92">
        <v>6.0791132866951809</v>
      </c>
      <c r="K11" s="92">
        <v>7.8315753377263828</v>
      </c>
      <c r="L11" s="92">
        <v>9.3229925990830456</v>
      </c>
      <c r="M11" s="92">
        <v>10.683830438386016</v>
      </c>
      <c r="N11" s="92">
        <v>11.141455605858523</v>
      </c>
      <c r="O11" s="92">
        <v>10.883164501199841</v>
      </c>
      <c r="P11" s="92">
        <v>10.421277114848744</v>
      </c>
      <c r="Q11" s="92">
        <v>10.008038462810152</v>
      </c>
      <c r="R11" s="92">
        <v>9.9906834555341266</v>
      </c>
      <c r="S11" s="92">
        <v>14.082659876627337</v>
      </c>
      <c r="T11" s="92">
        <v>15.158246370773101</v>
      </c>
      <c r="U11" s="92">
        <v>16.552511482331436</v>
      </c>
      <c r="V11" s="92">
        <v>15.888926399058123</v>
      </c>
      <c r="W11" s="92">
        <v>13.989317744663072</v>
      </c>
      <c r="X11" s="92">
        <v>10.790598525317829</v>
      </c>
      <c r="Y11" s="92">
        <v>8.1231602006405517</v>
      </c>
      <c r="Z11" s="94">
        <f t="shared" si="0"/>
        <v>219.35150104753518</v>
      </c>
      <c r="AA11" s="59">
        <f>+SUMIFS('Cantidades Producto Base Curva'!$AA:$AA,'Cantidades Producto Base Curva'!$A:$A,'Cantidades Producto No. 4'!$A11,'Cantidades Producto Base Curva'!$AD:$AD,'Cantidades Producto No. 4'!AD11)</f>
        <v>1</v>
      </c>
      <c r="AB11" s="65">
        <f t="shared" si="2"/>
        <v>219.35150104753518</v>
      </c>
      <c r="AD11" s="65" t="s">
        <v>52</v>
      </c>
      <c r="AE11" s="42"/>
    </row>
    <row r="12" spans="1:31" s="85" customFormat="1" ht="16.5" thickBot="1" x14ac:dyDescent="0.3">
      <c r="A12"/>
      <c r="B12" s="95"/>
      <c r="C12" s="90"/>
      <c r="D12" s="90"/>
      <c r="E12" s="90"/>
      <c r="F12" s="90"/>
      <c r="G12" s="90"/>
      <c r="H12" s="90"/>
      <c r="I12" s="90"/>
      <c r="J12" s="90"/>
      <c r="K12" s="90"/>
      <c r="L12" s="90"/>
      <c r="M12" s="90"/>
      <c r="N12" s="90"/>
      <c r="O12" s="90"/>
      <c r="P12" s="90"/>
      <c r="Q12" s="90"/>
      <c r="R12" s="90"/>
      <c r="S12" s="90"/>
      <c r="T12" s="90"/>
      <c r="U12" s="90"/>
      <c r="V12" s="90"/>
      <c r="W12" s="90"/>
      <c r="X12" s="90"/>
      <c r="Y12" s="90"/>
      <c r="Z12" s="89"/>
      <c r="AA12" s="72"/>
      <c r="AB12"/>
      <c r="AC12" s="39"/>
      <c r="AD12"/>
    </row>
    <row r="13" spans="1:31" s="85" customFormat="1" ht="16.5" thickBot="1" x14ac:dyDescent="0.3">
      <c r="A13" s="45" t="s">
        <v>47</v>
      </c>
      <c r="B13" s="90"/>
      <c r="C13" s="90"/>
      <c r="D13" s="90"/>
      <c r="E13" s="96"/>
      <c r="F13" s="90"/>
      <c r="G13" s="90"/>
      <c r="H13" s="90"/>
      <c r="I13" s="90"/>
      <c r="J13" s="90"/>
      <c r="K13" s="90"/>
      <c r="L13" s="90"/>
      <c r="M13" s="90"/>
      <c r="N13" s="90"/>
      <c r="O13" s="90"/>
      <c r="P13" s="90"/>
      <c r="Q13" s="90"/>
      <c r="R13" s="90"/>
      <c r="S13" s="90"/>
      <c r="T13" s="90"/>
      <c r="U13" s="90"/>
      <c r="V13" s="90"/>
      <c r="W13" s="90"/>
      <c r="X13" s="90"/>
      <c r="Y13" s="90"/>
      <c r="Z13" s="89"/>
      <c r="AA13" s="72"/>
      <c r="AB13"/>
      <c r="AC13" s="39"/>
      <c r="AD13"/>
    </row>
    <row r="14" spans="1:31" s="85" customFormat="1" ht="16.5" thickBot="1" x14ac:dyDescent="0.3">
      <c r="A14"/>
      <c r="B14" s="95"/>
      <c r="C14" s="90"/>
      <c r="D14" s="90"/>
      <c r="E14" s="90"/>
      <c r="F14" s="90"/>
      <c r="G14" s="90"/>
      <c r="H14" s="90"/>
      <c r="I14" s="90"/>
      <c r="J14" s="90"/>
      <c r="K14" s="90"/>
      <c r="L14" s="90"/>
      <c r="M14" s="90"/>
      <c r="N14" s="90"/>
      <c r="O14" s="90"/>
      <c r="P14" s="90"/>
      <c r="Q14" s="90"/>
      <c r="R14" s="90"/>
      <c r="S14" s="90"/>
      <c r="T14" s="90"/>
      <c r="U14" s="90"/>
      <c r="V14" s="90"/>
      <c r="W14" s="90"/>
      <c r="X14" s="90"/>
      <c r="Y14" s="90"/>
      <c r="Z14" s="89"/>
      <c r="AA14"/>
      <c r="AB14"/>
      <c r="AC14" s="39"/>
      <c r="AD14" s="39"/>
    </row>
    <row r="15" spans="1:31" s="85" customFormat="1" ht="15.75" thickBot="1" x14ac:dyDescent="0.25">
      <c r="A15" s="52" t="s">
        <v>20</v>
      </c>
      <c r="B15" s="53" t="s">
        <v>21</v>
      </c>
      <c r="C15" s="53" t="s">
        <v>22</v>
      </c>
      <c r="D15" s="53" t="s">
        <v>23</v>
      </c>
      <c r="E15" s="53" t="s">
        <v>24</v>
      </c>
      <c r="F15" s="53" t="s">
        <v>25</v>
      </c>
      <c r="G15" s="53" t="s">
        <v>26</v>
      </c>
      <c r="H15" s="53" t="s">
        <v>27</v>
      </c>
      <c r="I15" s="53" t="s">
        <v>28</v>
      </c>
      <c r="J15" s="53" t="s">
        <v>29</v>
      </c>
      <c r="K15" s="53" t="s">
        <v>30</v>
      </c>
      <c r="L15" s="53" t="s">
        <v>31</v>
      </c>
      <c r="M15" s="53" t="s">
        <v>32</v>
      </c>
      <c r="N15" s="53" t="s">
        <v>33</v>
      </c>
      <c r="O15" s="53" t="s">
        <v>34</v>
      </c>
      <c r="P15" s="53" t="s">
        <v>35</v>
      </c>
      <c r="Q15" s="53" t="s">
        <v>36</v>
      </c>
      <c r="R15" s="53" t="s">
        <v>37</v>
      </c>
      <c r="S15" s="53" t="s">
        <v>38</v>
      </c>
      <c r="T15" s="53" t="s">
        <v>39</v>
      </c>
      <c r="U15" s="53" t="s">
        <v>40</v>
      </c>
      <c r="V15" s="53" t="s">
        <v>41</v>
      </c>
      <c r="W15" s="53" t="s">
        <v>42</v>
      </c>
      <c r="X15" s="53" t="s">
        <v>43</v>
      </c>
      <c r="Y15" s="53" t="s">
        <v>44</v>
      </c>
      <c r="Z15" s="53" t="s">
        <v>11</v>
      </c>
      <c r="AA15" s="53" t="s">
        <v>45</v>
      </c>
      <c r="AB15" s="55"/>
      <c r="AC15" s="39"/>
      <c r="AD15" s="39"/>
    </row>
    <row r="16" spans="1:31" s="85" customFormat="1" ht="15.75" x14ac:dyDescent="0.25">
      <c r="A16" s="56">
        <v>46082</v>
      </c>
      <c r="B16" s="97">
        <f>+B8*$AA$8+B9*$AA$9+B10*$AA$10+B11*$AA$11</f>
        <v>214.83510014460759</v>
      </c>
      <c r="C16" s="97">
        <f t="shared" ref="C16:Y16" si="3">+C8*$AA$8+C9*$AA$9+C10*$AA$10+C11*$AA$11</f>
        <v>178.16991106659444</v>
      </c>
      <c r="D16" s="97">
        <f t="shared" si="3"/>
        <v>158.80007397835024</v>
      </c>
      <c r="E16" s="97">
        <f t="shared" si="3"/>
        <v>149.95495916244883</v>
      </c>
      <c r="F16" s="97">
        <f t="shared" si="3"/>
        <v>164.23746706428142</v>
      </c>
      <c r="G16" s="97">
        <f t="shared" si="3"/>
        <v>222.44300471937083</v>
      </c>
      <c r="H16" s="97">
        <f t="shared" si="3"/>
        <v>292.09733543828696</v>
      </c>
      <c r="I16" s="97">
        <f t="shared" si="3"/>
        <v>257.6965061800687</v>
      </c>
      <c r="J16" s="97">
        <f t="shared" si="3"/>
        <v>328.14160283364072</v>
      </c>
      <c r="K16" s="97">
        <f t="shared" si="3"/>
        <v>381.03020152544622</v>
      </c>
      <c r="L16" s="97">
        <f t="shared" si="3"/>
        <v>433.46584036340414</v>
      </c>
      <c r="M16" s="97">
        <f t="shared" si="3"/>
        <v>478.35910391858022</v>
      </c>
      <c r="N16" s="97">
        <f t="shared" si="3"/>
        <v>474.31331144934069</v>
      </c>
      <c r="O16" s="97">
        <f t="shared" si="3"/>
        <v>463.57501707433994</v>
      </c>
      <c r="P16" s="97">
        <f t="shared" si="3"/>
        <v>467.84137732614829</v>
      </c>
      <c r="Q16" s="97">
        <f t="shared" si="3"/>
        <v>462.04448843203772</v>
      </c>
      <c r="R16" s="97">
        <f t="shared" si="3"/>
        <v>451.13055944935388</v>
      </c>
      <c r="S16" s="97">
        <f t="shared" si="3"/>
        <v>546.80406685412481</v>
      </c>
      <c r="T16" s="97">
        <f t="shared" si="3"/>
        <v>558.86021356153503</v>
      </c>
      <c r="U16" s="97">
        <f t="shared" si="3"/>
        <v>595.23565309148501</v>
      </c>
      <c r="V16" s="97">
        <f t="shared" si="3"/>
        <v>557.59105978023149</v>
      </c>
      <c r="W16" s="97">
        <f t="shared" si="3"/>
        <v>494.849978807539</v>
      </c>
      <c r="X16" s="97">
        <f t="shared" si="3"/>
        <v>398.35666414461429</v>
      </c>
      <c r="Y16" s="97">
        <f t="shared" si="3"/>
        <v>297.66860342998422</v>
      </c>
      <c r="Z16" s="93">
        <f t="shared" ref="Z16" si="4">SUM(B16:Y16)</f>
        <v>9027.5020997958127</v>
      </c>
      <c r="AA16" s="59">
        <f>+AA8+AA9+AA10+AA11</f>
        <v>31</v>
      </c>
      <c r="AB16" s="60">
        <f>+AB8+AB9+AB10+AB11</f>
        <v>9027.5020997958163</v>
      </c>
      <c r="AC16" s="110">
        <f>+AB16-'Oferta Producto No. 4'!G15</f>
        <v>0</v>
      </c>
      <c r="AD16" s="39"/>
    </row>
    <row r="17" spans="1:30" s="85" customFormat="1" x14ac:dyDescent="0.2">
      <c r="A17" s="39"/>
      <c r="B17" s="83"/>
      <c r="C17" s="83"/>
      <c r="D17" s="83"/>
      <c r="E17" s="83"/>
      <c r="F17" s="83"/>
      <c r="G17" s="83"/>
      <c r="H17" s="83"/>
      <c r="I17" s="83"/>
      <c r="J17" s="83"/>
      <c r="K17" s="83"/>
      <c r="L17" s="83"/>
      <c r="M17" s="83"/>
      <c r="N17" s="83"/>
      <c r="O17" s="83"/>
      <c r="P17" s="83"/>
      <c r="Q17" s="83"/>
      <c r="R17" s="83"/>
      <c r="S17" s="83"/>
      <c r="T17" s="83"/>
      <c r="U17" s="83"/>
      <c r="V17" s="83"/>
      <c r="W17" s="83"/>
      <c r="X17" s="83"/>
      <c r="Y17" s="83"/>
      <c r="Z17" s="84"/>
      <c r="AA17" s="39"/>
      <c r="AB17" s="39"/>
      <c r="AC17" s="39"/>
      <c r="AD17" s="39"/>
    </row>
    <row r="19" spans="1:30" s="85" customFormat="1" x14ac:dyDescent="0.2">
      <c r="A19" s="39"/>
      <c r="B19" s="83"/>
      <c r="C19" s="83"/>
      <c r="D19" s="83"/>
      <c r="E19" s="83"/>
      <c r="F19" s="83"/>
      <c r="G19" s="83"/>
      <c r="H19" s="83"/>
      <c r="I19" s="83"/>
      <c r="J19" s="83"/>
      <c r="K19" s="83"/>
      <c r="L19" s="83"/>
      <c r="M19" s="83"/>
      <c r="N19" s="83"/>
      <c r="O19" s="83"/>
      <c r="P19" s="83"/>
      <c r="Q19" s="83"/>
      <c r="R19" s="83"/>
      <c r="S19" s="83"/>
      <c r="T19" s="83"/>
      <c r="U19" s="83"/>
      <c r="V19" s="83"/>
      <c r="W19" s="83"/>
      <c r="X19" s="83"/>
      <c r="Y19" s="83"/>
      <c r="Z19" s="98"/>
      <c r="AA19" s="39"/>
      <c r="AB19" s="39"/>
      <c r="AC19" s="39"/>
      <c r="AD19" s="39"/>
    </row>
  </sheetData>
  <conditionalFormatting sqref="B1:Y1048576">
    <cfRule type="cellIs" dxfId="11" priority="1" operator="lessThan">
      <formula>0</formula>
    </cfRule>
  </conditionalFormatting>
  <conditionalFormatting sqref="AA8:AA11">
    <cfRule type="cellIs" dxfId="10" priority="3" operator="lessThan">
      <formula>0</formula>
    </cfRule>
  </conditionalFormatting>
  <conditionalFormatting sqref="AA16">
    <cfRule type="cellIs" dxfId="9" priority="2" operator="lessThan">
      <formula>0</formula>
    </cfRule>
  </conditionalFormatting>
  <pageMargins left="0.75" right="0.75" top="1" bottom="1" header="0" footer="0"/>
  <pageSetup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99DDB-A284-40CD-9000-9CDC7EDE78BA}">
  <sheetPr>
    <tabColor theme="9" tint="0.39997558519241921"/>
  </sheetPr>
  <dimension ref="A1:M27"/>
  <sheetViews>
    <sheetView view="pageBreakPreview" zoomScale="60" zoomScaleNormal="100" zoomScalePageLayoutView="30" workbookViewId="0">
      <selection activeCell="G16" sqref="G16"/>
    </sheetView>
  </sheetViews>
  <sheetFormatPr baseColWidth="10" defaultColWidth="17.85546875" defaultRowHeight="24.75" x14ac:dyDescent="0.3"/>
  <cols>
    <col min="1" max="1" width="11.42578125" style="1" customWidth="1"/>
    <col min="2" max="2" width="16.42578125" style="1" bestFit="1" customWidth="1"/>
    <col min="3" max="3" width="14.85546875" style="1" customWidth="1"/>
    <col min="4" max="4" width="16.42578125" style="1" customWidth="1"/>
    <col min="5" max="5" width="22.7109375" style="1" customWidth="1"/>
    <col min="6" max="6" width="21.140625" style="1" customWidth="1"/>
    <col min="7" max="7" width="23" style="1" customWidth="1"/>
    <col min="8" max="10" width="22.7109375" style="1" customWidth="1"/>
    <col min="11" max="11" width="28.42578125" style="1" customWidth="1"/>
    <col min="12" max="12" width="15.42578125" style="1" customWidth="1"/>
    <col min="13" max="13" width="8.85546875" style="1" bestFit="1" customWidth="1"/>
    <col min="14" max="16384" width="17.85546875" style="1"/>
  </cols>
  <sheetData>
    <row r="1" spans="1:13" ht="171.2" customHeight="1" x14ac:dyDescent="0.3"/>
    <row r="2" spans="1:13" x14ac:dyDescent="0.3">
      <c r="A2" s="2"/>
      <c r="B2" s="2"/>
      <c r="C2" s="2"/>
      <c r="D2" s="114" t="s">
        <v>0</v>
      </c>
      <c r="E2" s="114"/>
      <c r="F2" s="114"/>
      <c r="G2" s="114"/>
      <c r="H2" s="114"/>
      <c r="I2" s="114"/>
      <c r="J2" s="114"/>
      <c r="K2" s="2"/>
      <c r="L2" s="2"/>
      <c r="M2" s="2"/>
    </row>
    <row r="3" spans="1:13" ht="89.25" customHeight="1" x14ac:dyDescent="0.3">
      <c r="A3" s="2"/>
      <c r="B3" s="2"/>
      <c r="C3" s="115" t="s">
        <v>1</v>
      </c>
      <c r="D3" s="115"/>
      <c r="E3" s="115"/>
      <c r="F3" s="115"/>
      <c r="G3" s="115"/>
      <c r="H3" s="115"/>
      <c r="I3" s="115"/>
      <c r="J3" s="115"/>
      <c r="K3" s="115"/>
      <c r="L3" s="2"/>
      <c r="M3" s="2"/>
    </row>
    <row r="4" spans="1:13" x14ac:dyDescent="0.3">
      <c r="A4" s="2"/>
      <c r="B4" s="2"/>
      <c r="C4" s="3"/>
      <c r="D4" s="116" t="s">
        <v>59</v>
      </c>
      <c r="E4" s="116"/>
      <c r="F4" s="116"/>
      <c r="G4" s="116"/>
      <c r="H4" s="116"/>
      <c r="I4" s="116"/>
      <c r="J4" s="116"/>
      <c r="K4" s="3"/>
      <c r="L4" s="2"/>
      <c r="M4" s="2"/>
    </row>
    <row r="5" spans="1:13" ht="19.5" customHeight="1" x14ac:dyDescent="0.3">
      <c r="A5" s="4"/>
      <c r="B5" s="5"/>
      <c r="C5" s="5"/>
      <c r="D5" s="6"/>
      <c r="E5" s="7"/>
      <c r="F5" s="7"/>
      <c r="G5" s="7"/>
      <c r="H5" s="7"/>
      <c r="I5" s="7"/>
      <c r="J5" s="8"/>
      <c r="K5" s="9"/>
      <c r="L5" s="4"/>
      <c r="M5" s="4"/>
    </row>
    <row r="6" spans="1:13" x14ac:dyDescent="0.3">
      <c r="A6" s="4"/>
      <c r="B6" s="5"/>
      <c r="C6" s="10" t="s">
        <v>3</v>
      </c>
      <c r="D6" s="5"/>
      <c r="E6" s="5"/>
      <c r="G6" s="5"/>
      <c r="H6" s="5"/>
      <c r="I6" s="5"/>
      <c r="J6" s="5"/>
      <c r="K6" s="9"/>
      <c r="L6" s="4"/>
      <c r="M6" s="4"/>
    </row>
    <row r="7" spans="1:13" x14ac:dyDescent="0.3">
      <c r="A7" s="4"/>
      <c r="B7" s="5"/>
      <c r="C7" s="10" t="s">
        <v>4</v>
      </c>
      <c r="D7" s="5"/>
      <c r="E7" s="5"/>
      <c r="G7" s="5"/>
      <c r="H7" s="5"/>
      <c r="I7" s="5"/>
      <c r="J7" s="5"/>
      <c r="K7" s="9"/>
      <c r="L7" s="4"/>
      <c r="M7" s="4"/>
    </row>
    <row r="8" spans="1:13" x14ac:dyDescent="0.3">
      <c r="B8" s="11"/>
      <c r="C8" s="10" t="s">
        <v>5</v>
      </c>
      <c r="D8" s="5"/>
      <c r="E8" s="5"/>
      <c r="G8" s="11"/>
      <c r="H8" s="11"/>
      <c r="I8" s="11"/>
      <c r="J8" s="11"/>
      <c r="K8" s="12"/>
    </row>
    <row r="9" spans="1:13" x14ac:dyDescent="0.3">
      <c r="B9" s="11"/>
      <c r="C9" s="13" t="str">
        <f>"PRODUCTO OFERTADO: "&amp;D4</f>
        <v>PRODUCTO OFERTADO: PRODUCTO No. 5</v>
      </c>
      <c r="D9" s="5"/>
      <c r="E9" s="5"/>
      <c r="G9" s="11"/>
      <c r="H9" s="11"/>
      <c r="I9" s="11"/>
      <c r="J9" s="11"/>
      <c r="K9" s="12"/>
    </row>
    <row r="10" spans="1:13" x14ac:dyDescent="0.3">
      <c r="B10" s="11"/>
      <c r="C10" s="13"/>
      <c r="D10" s="5"/>
      <c r="E10" s="5"/>
      <c r="G10" s="11"/>
      <c r="H10" s="11"/>
      <c r="I10" s="11"/>
      <c r="J10" s="11"/>
      <c r="K10" s="12"/>
    </row>
    <row r="11" spans="1:13" x14ac:dyDescent="0.3">
      <c r="B11" s="11"/>
      <c r="C11" s="10" t="s">
        <v>62</v>
      </c>
      <c r="D11" s="14"/>
      <c r="E11" s="14"/>
      <c r="F11" s="15"/>
      <c r="G11" s="11"/>
      <c r="H11" s="11"/>
      <c r="I11" s="11"/>
      <c r="J11" s="11"/>
      <c r="K11" s="12"/>
    </row>
    <row r="12" spans="1:13" x14ac:dyDescent="0.3">
      <c r="B12" s="16"/>
      <c r="C12" s="15"/>
    </row>
    <row r="13" spans="1:13" x14ac:dyDescent="0.3">
      <c r="F13" s="117" t="str">
        <f>"Oferta " &amp; PROPER(D4)</f>
        <v>Oferta Producto No. 5</v>
      </c>
      <c r="G13" s="117"/>
      <c r="H13" s="117"/>
      <c r="I13" s="117"/>
      <c r="J13" s="117"/>
    </row>
    <row r="14" spans="1:13" ht="72.75" customHeight="1" x14ac:dyDescent="0.3">
      <c r="F14" s="17" t="s">
        <v>6</v>
      </c>
      <c r="G14" s="18" t="s">
        <v>7</v>
      </c>
      <c r="H14" s="18" t="s">
        <v>8</v>
      </c>
      <c r="I14" s="18" t="s">
        <v>9</v>
      </c>
      <c r="J14" s="19" t="s">
        <v>10</v>
      </c>
    </row>
    <row r="15" spans="1:13" x14ac:dyDescent="0.3">
      <c r="A15" s="20">
        <v>22.85</v>
      </c>
      <c r="B15" s="20">
        <v>31</v>
      </c>
      <c r="F15" s="21">
        <f>+'Cantidades Producto No. 5'!A16</f>
        <v>46113</v>
      </c>
      <c r="G15" s="22">
        <v>5928.3810611507652</v>
      </c>
      <c r="H15" s="23"/>
      <c r="I15" s="24"/>
      <c r="J15" s="25"/>
      <c r="L15" s="26"/>
      <c r="M15" s="26"/>
    </row>
    <row r="16" spans="1:13" x14ac:dyDescent="0.3">
      <c r="F16" s="30" t="s">
        <v>11</v>
      </c>
      <c r="G16" s="31">
        <v>5928.3810611507652</v>
      </c>
      <c r="H16" s="32"/>
      <c r="I16" s="32"/>
      <c r="J16" s="33"/>
    </row>
    <row r="17" spans="1:12" x14ac:dyDescent="0.3">
      <c r="F17" s="34"/>
      <c r="G17" s="35"/>
    </row>
    <row r="18" spans="1:12" x14ac:dyDescent="0.3">
      <c r="B18" s="36" t="s">
        <v>12</v>
      </c>
      <c r="C18" s="37"/>
      <c r="D18" s="37"/>
      <c r="E18" s="37"/>
      <c r="F18" s="37"/>
      <c r="G18" s="37"/>
      <c r="L18" s="37"/>
    </row>
    <row r="19" spans="1:12" x14ac:dyDescent="0.3">
      <c r="B19" s="36"/>
      <c r="C19" s="37"/>
      <c r="D19" s="37"/>
      <c r="E19" s="37"/>
      <c r="F19" s="37"/>
      <c r="G19" s="37"/>
      <c r="H19" s="37"/>
      <c r="I19" s="37"/>
      <c r="J19" s="37"/>
      <c r="K19" s="37"/>
      <c r="L19" s="37"/>
    </row>
    <row r="20" spans="1:12" ht="24.75" customHeight="1" x14ac:dyDescent="0.3">
      <c r="B20" s="112" t="s">
        <v>13</v>
      </c>
      <c r="C20" s="112"/>
      <c r="D20" s="112"/>
      <c r="E20" s="112"/>
      <c r="F20" s="112"/>
      <c r="G20" s="112"/>
      <c r="H20" s="112"/>
      <c r="I20" s="112"/>
      <c r="J20" s="112"/>
      <c r="K20" s="112"/>
      <c r="L20" s="112"/>
    </row>
    <row r="21" spans="1:12" ht="39" customHeight="1" x14ac:dyDescent="0.3">
      <c r="B21" s="112" t="str">
        <f>"(2) Las cantidades se distribuyen de acuerdo a la curva del Anexo 1. Ofertas y Cantidades "&amp; D4 &amp;" de los Pliegos de Condiciones Definitivos"</f>
        <v>(2) Las cantidades se distribuyen de acuerdo a la curva del Anexo 1. Ofertas y Cantidades PRODUCTO No. 5 de los Pliegos de Condiciones Definitivos</v>
      </c>
      <c r="C21" s="112"/>
      <c r="D21" s="112"/>
      <c r="E21" s="112"/>
      <c r="F21" s="112"/>
      <c r="G21" s="112"/>
      <c r="H21" s="112"/>
      <c r="I21" s="112"/>
      <c r="J21" s="112"/>
      <c r="K21" s="112"/>
      <c r="L21" s="112"/>
    </row>
    <row r="22" spans="1:12" ht="83.25" customHeight="1" x14ac:dyDescent="0.3">
      <c r="B22" s="113" t="s">
        <v>67</v>
      </c>
      <c r="C22" s="113"/>
      <c r="D22" s="113"/>
      <c r="E22" s="113"/>
      <c r="F22" s="113"/>
      <c r="G22" s="113"/>
      <c r="H22" s="113"/>
      <c r="I22" s="113"/>
      <c r="J22" s="113"/>
      <c r="K22" s="113"/>
      <c r="L22" s="113"/>
    </row>
    <row r="23" spans="1:12" ht="43.5" customHeight="1" x14ac:dyDescent="0.3">
      <c r="B23" s="113" t="s">
        <v>14</v>
      </c>
      <c r="C23" s="113"/>
      <c r="D23" s="113"/>
      <c r="E23" s="113"/>
      <c r="F23" s="113"/>
      <c r="G23" s="113"/>
      <c r="H23" s="113"/>
      <c r="I23" s="113"/>
      <c r="J23" s="113"/>
      <c r="K23" s="113"/>
      <c r="L23" s="113"/>
    </row>
    <row r="24" spans="1:12" ht="60" customHeight="1" x14ac:dyDescent="0.3">
      <c r="B24" s="113" t="s">
        <v>15</v>
      </c>
      <c r="C24" s="113"/>
      <c r="D24" s="113"/>
      <c r="E24" s="113"/>
      <c r="F24" s="113"/>
      <c r="G24" s="113"/>
      <c r="H24" s="113"/>
      <c r="I24" s="113"/>
      <c r="J24" s="113"/>
      <c r="K24" s="113"/>
      <c r="L24" s="113"/>
    </row>
    <row r="25" spans="1:12" ht="80.25" customHeight="1" x14ac:dyDescent="0.3">
      <c r="A25" s="15"/>
      <c r="B25" s="113" t="s">
        <v>16</v>
      </c>
      <c r="C25" s="113"/>
      <c r="D25" s="113"/>
      <c r="E25" s="113"/>
      <c r="F25" s="113"/>
      <c r="G25" s="113"/>
      <c r="H25" s="113"/>
      <c r="I25" s="113"/>
      <c r="J25" s="113"/>
      <c r="K25" s="113"/>
      <c r="L25" s="113"/>
    </row>
    <row r="27" spans="1:12" ht="24.75" customHeight="1" x14ac:dyDescent="0.3">
      <c r="B27" s="38"/>
      <c r="C27" s="38"/>
      <c r="D27" s="38"/>
      <c r="E27" s="38"/>
      <c r="F27" s="38"/>
      <c r="G27" s="38"/>
      <c r="H27" s="38"/>
      <c r="I27" s="38"/>
      <c r="J27" s="38"/>
      <c r="K27" s="38"/>
      <c r="L27" s="38"/>
    </row>
  </sheetData>
  <mergeCells count="10">
    <mergeCell ref="B22:L22"/>
    <mergeCell ref="B23:L23"/>
    <mergeCell ref="B24:L24"/>
    <mergeCell ref="B25:L25"/>
    <mergeCell ref="D2:J2"/>
    <mergeCell ref="C3:K3"/>
    <mergeCell ref="D4:J4"/>
    <mergeCell ref="F13:J13"/>
    <mergeCell ref="B20:L20"/>
    <mergeCell ref="B21:L21"/>
  </mergeCells>
  <printOptions horizontalCentered="1" verticalCentered="1"/>
  <pageMargins left="0" right="0.39370078740157483" top="0.19685039370078741" bottom="0.19685039370078741" header="0.39370078740157483" footer="0.39370078740157483"/>
  <pageSetup scale="39" orientation="portrait" r:id="rId1"/>
  <colBreaks count="1" manualBreakCount="1">
    <brk id="14" max="1048575" man="1"/>
  </col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C274E-AD4B-4990-AE25-8CCB55E0062C}">
  <sheetPr>
    <tabColor theme="9" tint="0.39997558519241921"/>
  </sheetPr>
  <dimension ref="A1:AE19"/>
  <sheetViews>
    <sheetView showGridLines="0" zoomScale="70" zoomScaleNormal="70" workbookViewId="0">
      <selection activeCell="A7" sqref="A7"/>
    </sheetView>
  </sheetViews>
  <sheetFormatPr baseColWidth="10" defaultColWidth="14.42578125" defaultRowHeight="15" x14ac:dyDescent="0.2"/>
  <cols>
    <col min="1" max="1" width="93.140625" style="39" bestFit="1" customWidth="1"/>
    <col min="2" max="20" width="7.28515625" style="83" bestFit="1" customWidth="1"/>
    <col min="21" max="21" width="7.7109375" style="83" bestFit="1" customWidth="1"/>
    <col min="22" max="25" width="7.28515625" style="83" bestFit="1" customWidth="1"/>
    <col min="26" max="26" width="13.85546875" style="84" bestFit="1" customWidth="1"/>
    <col min="27" max="27" width="8.5703125" style="39" bestFit="1" customWidth="1"/>
    <col min="28" max="28" width="9.7109375" style="39" customWidth="1"/>
    <col min="29" max="29" width="5.28515625" style="39" customWidth="1"/>
    <col min="30" max="30" width="30.7109375" style="39" bestFit="1" customWidth="1"/>
    <col min="31" max="31" width="14.42578125" style="85"/>
    <col min="32" max="16384" width="14.42578125" style="39"/>
  </cols>
  <sheetData>
    <row r="1" spans="1:31" ht="93" customHeight="1" thickBot="1" x14ac:dyDescent="0.25"/>
    <row r="2" spans="1:31" ht="23.25" x14ac:dyDescent="0.35">
      <c r="A2" s="43" t="s">
        <v>18</v>
      </c>
    </row>
    <row r="3" spans="1:31" ht="21" thickBot="1" x14ac:dyDescent="0.35">
      <c r="A3" s="44" t="s">
        <v>59</v>
      </c>
    </row>
    <row r="4" spans="1:31" ht="15.75" thickBot="1" x14ac:dyDescent="0.25"/>
    <row r="5" spans="1:31" ht="16.5" thickBot="1" x14ac:dyDescent="0.3">
      <c r="A5" s="45"/>
      <c r="B5" s="86"/>
      <c r="C5" s="86"/>
      <c r="D5" s="86"/>
      <c r="E5" s="87"/>
      <c r="F5" s="86"/>
      <c r="G5" s="86"/>
      <c r="H5" s="86"/>
      <c r="I5" s="86"/>
      <c r="J5" s="86"/>
      <c r="K5" s="88"/>
      <c r="L5" s="88"/>
      <c r="M5" s="88"/>
      <c r="N5" s="88"/>
      <c r="O5" s="88"/>
      <c r="P5" s="88"/>
      <c r="Q5" s="88"/>
      <c r="R5" s="88"/>
      <c r="S5" s="88"/>
      <c r="T5" s="88"/>
      <c r="U5" s="88"/>
      <c r="V5" s="88"/>
      <c r="W5" s="88"/>
      <c r="X5" s="88"/>
      <c r="Y5" s="88"/>
      <c r="Z5" s="89"/>
      <c r="AA5"/>
      <c r="AB5" s="50"/>
      <c r="AD5"/>
    </row>
    <row r="6" spans="1:31" ht="16.5" thickBot="1" x14ac:dyDescent="0.3">
      <c r="A6"/>
      <c r="B6" s="86"/>
      <c r="C6" s="86"/>
      <c r="D6" s="86"/>
      <c r="E6" s="86"/>
      <c r="F6" s="86"/>
      <c r="G6" s="86"/>
      <c r="H6" s="86"/>
      <c r="I6" s="86"/>
      <c r="J6" s="86"/>
      <c r="K6" s="90"/>
      <c r="L6" s="90"/>
      <c r="M6" s="90"/>
      <c r="N6" s="90"/>
      <c r="O6" s="90"/>
      <c r="P6" s="90"/>
      <c r="Q6" s="90"/>
      <c r="R6" s="90"/>
      <c r="S6" s="90"/>
      <c r="T6" s="90"/>
      <c r="U6" s="90"/>
      <c r="V6" s="90"/>
      <c r="W6" s="90"/>
      <c r="X6" s="90"/>
      <c r="Y6" s="90"/>
      <c r="Z6" s="89"/>
      <c r="AA6"/>
      <c r="AB6"/>
      <c r="AD6"/>
      <c r="AE6" s="42"/>
    </row>
    <row r="7" spans="1:31" ht="15.95" customHeight="1" thickBot="1" x14ac:dyDescent="0.25">
      <c r="A7" s="52" t="s">
        <v>20</v>
      </c>
      <c r="B7" s="53" t="s">
        <v>21</v>
      </c>
      <c r="C7" s="53" t="s">
        <v>22</v>
      </c>
      <c r="D7" s="53" t="s">
        <v>23</v>
      </c>
      <c r="E7" s="53" t="s">
        <v>24</v>
      </c>
      <c r="F7" s="53" t="s">
        <v>25</v>
      </c>
      <c r="G7" s="53" t="s">
        <v>26</v>
      </c>
      <c r="H7" s="53" t="s">
        <v>27</v>
      </c>
      <c r="I7" s="53" t="s">
        <v>28</v>
      </c>
      <c r="J7" s="53" t="s">
        <v>29</v>
      </c>
      <c r="K7" s="53" t="s">
        <v>30</v>
      </c>
      <c r="L7" s="53" t="s">
        <v>31</v>
      </c>
      <c r="M7" s="53" t="s">
        <v>32</v>
      </c>
      <c r="N7" s="53" t="s">
        <v>33</v>
      </c>
      <c r="O7" s="53" t="s">
        <v>34</v>
      </c>
      <c r="P7" s="53" t="s">
        <v>35</v>
      </c>
      <c r="Q7" s="53" t="s">
        <v>36</v>
      </c>
      <c r="R7" s="53" t="s">
        <v>37</v>
      </c>
      <c r="S7" s="53" t="s">
        <v>38</v>
      </c>
      <c r="T7" s="53" t="s">
        <v>39</v>
      </c>
      <c r="U7" s="53" t="s">
        <v>40</v>
      </c>
      <c r="V7" s="53" t="s">
        <v>41</v>
      </c>
      <c r="W7" s="53" t="s">
        <v>42</v>
      </c>
      <c r="X7" s="53" t="s">
        <v>43</v>
      </c>
      <c r="Y7" s="53" t="s">
        <v>44</v>
      </c>
      <c r="Z7" s="53" t="s">
        <v>11</v>
      </c>
      <c r="AA7" s="54" t="s">
        <v>45</v>
      </c>
      <c r="AB7" s="55"/>
      <c r="AD7" s="91" t="s">
        <v>49</v>
      </c>
      <c r="AE7" s="42"/>
    </row>
    <row r="8" spans="1:31" ht="16.5" thickBot="1" x14ac:dyDescent="0.3">
      <c r="A8" s="56">
        <f>+$A$16</f>
        <v>46113</v>
      </c>
      <c r="B8" s="92">
        <v>3.0620682987731853</v>
      </c>
      <c r="C8" s="92">
        <v>1.9016416429348393</v>
      </c>
      <c r="D8" s="92">
        <v>1.343450181508415</v>
      </c>
      <c r="E8" s="92">
        <v>1.1296269399809244</v>
      </c>
      <c r="F8" s="92">
        <v>1.7837342950886377</v>
      </c>
      <c r="G8" s="92">
        <v>3.9381655877623998</v>
      </c>
      <c r="H8" s="92">
        <v>6.6457033840004662</v>
      </c>
      <c r="I8" s="92">
        <v>5.87664478614019</v>
      </c>
      <c r="J8" s="92">
        <v>7.9431723074335316</v>
      </c>
      <c r="K8" s="92">
        <v>10.146428511389415</v>
      </c>
      <c r="L8" s="92">
        <v>11.816793384593199</v>
      </c>
      <c r="M8" s="92">
        <v>13.329256212493899</v>
      </c>
      <c r="N8" s="92">
        <v>12.965655031221802</v>
      </c>
      <c r="O8" s="92">
        <v>12.424488178814149</v>
      </c>
      <c r="P8" s="92">
        <v>12.403541167867035</v>
      </c>
      <c r="Q8" s="92">
        <v>12.483406562164383</v>
      </c>
      <c r="R8" s="92">
        <v>12.103502233273655</v>
      </c>
      <c r="S8" s="92">
        <v>15.157479605226428</v>
      </c>
      <c r="T8" s="92">
        <v>15.716177006503319</v>
      </c>
      <c r="U8" s="92">
        <v>16.377226927713476</v>
      </c>
      <c r="V8" s="92">
        <v>14.989731125644438</v>
      </c>
      <c r="W8" s="92">
        <v>12.826713955873696</v>
      </c>
      <c r="X8" s="92">
        <v>9.5266403987992376</v>
      </c>
      <c r="Y8" s="92">
        <v>6.1472089468279956</v>
      </c>
      <c r="Z8" s="93">
        <f t="shared" ref="Z8:Z11" si="0">SUM(B8:Y8)</f>
        <v>222.03845667202867</v>
      </c>
      <c r="AA8" s="59">
        <f>+SUMIFS('Cantidades Producto Base Curva'!$AA:$AA,'Cantidades Producto Base Curva'!$A:$A,'Cantidades Producto No. 5'!$A8,'Cantidades Producto Base Curva'!$AD:$AD,'Cantidades Producto No. 5'!AD8)</f>
        <v>20</v>
      </c>
      <c r="AB8" s="60">
        <f>+Z8*AA8</f>
        <v>4440.7691334405736</v>
      </c>
      <c r="AD8" s="60" t="s">
        <v>46</v>
      </c>
      <c r="AE8" s="42"/>
    </row>
    <row r="9" spans="1:31" ht="16.5" thickBot="1" x14ac:dyDescent="0.3">
      <c r="A9" s="61">
        <f t="shared" ref="A9:A11" si="1">+$A$16</f>
        <v>46113</v>
      </c>
      <c r="B9" s="92">
        <v>3.415449579997512</v>
      </c>
      <c r="C9" s="92">
        <v>2.0858244641288985</v>
      </c>
      <c r="D9" s="92">
        <v>1.3193903205116222</v>
      </c>
      <c r="E9" s="92">
        <v>0.93086334098036605</v>
      </c>
      <c r="F9" s="92">
        <v>1.1386038611952827</v>
      </c>
      <c r="G9" s="92">
        <v>1.6907591549202772</v>
      </c>
      <c r="H9" s="92">
        <v>3.9716940622599286</v>
      </c>
      <c r="I9" s="92">
        <v>3.6443195042709196</v>
      </c>
      <c r="J9" s="92">
        <v>6.3673934656411149</v>
      </c>
      <c r="K9" s="92">
        <v>8.4901968884241725</v>
      </c>
      <c r="L9" s="92">
        <v>10.084459522489778</v>
      </c>
      <c r="M9" s="92">
        <v>11.35162762855734</v>
      </c>
      <c r="N9" s="92">
        <v>11.433228096333274</v>
      </c>
      <c r="O9" s="92">
        <v>10.420117701236755</v>
      </c>
      <c r="P9" s="92">
        <v>9.8527689639234879</v>
      </c>
      <c r="Q9" s="92">
        <v>9.5411051624605179</v>
      </c>
      <c r="R9" s="92">
        <v>8.9815915771877197</v>
      </c>
      <c r="S9" s="92">
        <v>12.656550677335465</v>
      </c>
      <c r="T9" s="92">
        <v>13.651823655535605</v>
      </c>
      <c r="U9" s="92">
        <v>14.375811949424563</v>
      </c>
      <c r="V9" s="92">
        <v>13.129208630406726</v>
      </c>
      <c r="W9" s="92">
        <v>11.345284230305202</v>
      </c>
      <c r="X9" s="92">
        <v>8.9681614162849144</v>
      </c>
      <c r="Y9" s="92">
        <v>6.5086893939652724</v>
      </c>
      <c r="Z9" s="94">
        <f t="shared" si="0"/>
        <v>185.35492324777672</v>
      </c>
      <c r="AA9" s="59">
        <f>+SUMIFS('Cantidades Producto Base Curva'!$AA:$AA,'Cantidades Producto Base Curva'!$A:$A,'Cantidades Producto No. 5'!$A9,'Cantidades Producto Base Curva'!$AD:$AD,'Cantidades Producto No. 5'!AD9)</f>
        <v>4</v>
      </c>
      <c r="AB9" s="65">
        <f>+Z9*AA9</f>
        <v>741.4196929911069</v>
      </c>
      <c r="AD9" s="65" t="s">
        <v>50</v>
      </c>
      <c r="AE9" s="42"/>
    </row>
    <row r="10" spans="1:31" ht="16.5" thickBot="1" x14ac:dyDescent="0.3">
      <c r="A10" s="61">
        <f t="shared" si="1"/>
        <v>46113</v>
      </c>
      <c r="B10" s="92">
        <v>3.197673017389854</v>
      </c>
      <c r="C10" s="92">
        <v>1.8274180766221979</v>
      </c>
      <c r="D10" s="92">
        <v>0.96975748748034674</v>
      </c>
      <c r="E10" s="92">
        <v>0.51601692681951683</v>
      </c>
      <c r="F10" s="92">
        <v>0.50573880416774042</v>
      </c>
      <c r="G10" s="92">
        <v>0.51957181443258016</v>
      </c>
      <c r="H10" s="92">
        <v>1.5666141185696179</v>
      </c>
      <c r="I10" s="92">
        <v>0.14175090523780817</v>
      </c>
      <c r="J10" s="92">
        <v>2.0317642365573336</v>
      </c>
      <c r="K10" s="92">
        <v>3.8446140396736226</v>
      </c>
      <c r="L10" s="92">
        <v>5.2361422449707753</v>
      </c>
      <c r="M10" s="92">
        <v>6.6371058002543721</v>
      </c>
      <c r="N10" s="92">
        <v>7.3115272876400121</v>
      </c>
      <c r="O10" s="92">
        <v>6.9587416495327412</v>
      </c>
      <c r="P10" s="92">
        <v>6.5833363291904901</v>
      </c>
      <c r="Q10" s="92">
        <v>5.7367801794293847</v>
      </c>
      <c r="R10" s="92">
        <v>5.531880776030615</v>
      </c>
      <c r="S10" s="92">
        <v>9.7230442067655094</v>
      </c>
      <c r="T10" s="92">
        <v>10.91146018059041</v>
      </c>
      <c r="U10" s="92">
        <v>11.976698813703653</v>
      </c>
      <c r="V10" s="92">
        <v>11.271205022186122</v>
      </c>
      <c r="W10" s="92">
        <v>9.5885092002251042</v>
      </c>
      <c r="X10" s="92">
        <v>7.085099112329182</v>
      </c>
      <c r="Y10" s="92">
        <v>4.6929222233815526</v>
      </c>
      <c r="Z10" s="94">
        <f t="shared" si="0"/>
        <v>124.36537245318054</v>
      </c>
      <c r="AA10" s="59">
        <f>+SUMIFS('Cantidades Producto Base Curva'!$AA:$AA,'Cantidades Producto Base Curva'!$A:$A,'Cantidades Producto No. 5'!$A10,'Cantidades Producto Base Curva'!$AD:$AD,'Cantidades Producto No. 5'!AD10)</f>
        <v>6</v>
      </c>
      <c r="AB10" s="65">
        <f t="shared" ref="AB10:AB11" si="2">+Z10*AA10</f>
        <v>746.19223471908322</v>
      </c>
      <c r="AD10" s="65" t="s">
        <v>51</v>
      </c>
      <c r="AE10" s="42"/>
    </row>
    <row r="11" spans="1:31" ht="15.75" x14ac:dyDescent="0.25">
      <c r="A11" s="61">
        <f t="shared" si="1"/>
        <v>46113</v>
      </c>
      <c r="B11" s="92">
        <v>11.870460172058666</v>
      </c>
      <c r="C11" s="92">
        <v>9.9340513518246585</v>
      </c>
      <c r="D11" s="92">
        <v>8.7248952978402841</v>
      </c>
      <c r="E11" s="92">
        <v>8.051258888394953</v>
      </c>
      <c r="F11" s="92">
        <v>7.9805859114120246</v>
      </c>
      <c r="G11" s="92">
        <v>7.9556202277949595</v>
      </c>
      <c r="H11" s="92">
        <v>8.7459927343482846</v>
      </c>
      <c r="I11" s="92">
        <v>7.5975836954918705</v>
      </c>
      <c r="J11" s="92">
        <v>10.310163792449435</v>
      </c>
      <c r="K11" s="92">
        <v>12.860371428772931</v>
      </c>
      <c r="L11" s="92">
        <v>14.846678196860251</v>
      </c>
      <c r="M11" s="92">
        <v>16.697416330032947</v>
      </c>
      <c r="N11" s="92">
        <v>17.553775346585557</v>
      </c>
      <c r="O11" s="92">
        <v>17.039600634240486</v>
      </c>
      <c r="P11" s="92">
        <v>16.3248752233864</v>
      </c>
      <c r="Q11" s="92">
        <v>15.25723252736088</v>
      </c>
      <c r="R11" s="92">
        <v>14.927501048620986</v>
      </c>
      <c r="S11" s="92">
        <v>19.9615134047685</v>
      </c>
      <c r="T11" s="92">
        <v>22.726856499325194</v>
      </c>
      <c r="U11" s="92">
        <v>24.536227537098551</v>
      </c>
      <c r="V11" s="92">
        <v>23.644223214304933</v>
      </c>
      <c r="W11" s="92">
        <v>21.303066426221353</v>
      </c>
      <c r="X11" s="92">
        <v>17.589549836762316</v>
      </c>
      <c r="Y11" s="92">
        <v>13.972602337555253</v>
      </c>
      <c r="Z11" s="94">
        <f t="shared" si="0"/>
        <v>350.41210206351172</v>
      </c>
      <c r="AA11" s="59">
        <f>+SUMIFS('Cantidades Producto Base Curva'!$AA:$AA,'Cantidades Producto Base Curva'!$A:$A,'Cantidades Producto No. 5'!$A11,'Cantidades Producto Base Curva'!$AD:$AD,'Cantidades Producto No. 5'!AD11)</f>
        <v>0</v>
      </c>
      <c r="AB11" s="65">
        <f t="shared" si="2"/>
        <v>0</v>
      </c>
      <c r="AD11" s="65" t="s">
        <v>52</v>
      </c>
      <c r="AE11" s="42"/>
    </row>
    <row r="12" spans="1:31" s="85" customFormat="1" ht="16.5" thickBot="1" x14ac:dyDescent="0.3">
      <c r="A12"/>
      <c r="B12" s="95"/>
      <c r="C12" s="90"/>
      <c r="D12" s="90"/>
      <c r="E12" s="90"/>
      <c r="F12" s="90"/>
      <c r="G12" s="90"/>
      <c r="H12" s="90"/>
      <c r="I12" s="90"/>
      <c r="J12" s="90"/>
      <c r="K12" s="90"/>
      <c r="L12" s="90"/>
      <c r="M12" s="90"/>
      <c r="N12" s="90"/>
      <c r="O12" s="90"/>
      <c r="P12" s="90"/>
      <c r="Q12" s="90"/>
      <c r="R12" s="90"/>
      <c r="S12" s="90"/>
      <c r="T12" s="90"/>
      <c r="U12" s="90"/>
      <c r="V12" s="90"/>
      <c r="W12" s="90"/>
      <c r="X12" s="90"/>
      <c r="Y12" s="90"/>
      <c r="Z12" s="89"/>
      <c r="AA12" s="72"/>
      <c r="AB12"/>
      <c r="AC12" s="39"/>
      <c r="AD12" s="72"/>
    </row>
    <row r="13" spans="1:31" s="85" customFormat="1" ht="16.5" thickBot="1" x14ac:dyDescent="0.3">
      <c r="A13" s="45" t="s">
        <v>47</v>
      </c>
      <c r="B13" s="90"/>
      <c r="C13" s="90"/>
      <c r="D13" s="90"/>
      <c r="E13" s="96"/>
      <c r="F13" s="90"/>
      <c r="G13" s="90"/>
      <c r="H13" s="90"/>
      <c r="I13" s="90"/>
      <c r="J13" s="90"/>
      <c r="K13" s="90"/>
      <c r="L13" s="90"/>
      <c r="M13" s="90"/>
      <c r="N13" s="90"/>
      <c r="O13" s="90"/>
      <c r="P13" s="90"/>
      <c r="Q13" s="90"/>
      <c r="R13" s="90"/>
      <c r="S13" s="90"/>
      <c r="T13" s="90"/>
      <c r="U13" s="90"/>
      <c r="V13" s="90"/>
      <c r="W13" s="90"/>
      <c r="X13" s="90"/>
      <c r="Y13" s="90"/>
      <c r="Z13" s="89"/>
      <c r="AA13" s="72"/>
      <c r="AB13"/>
      <c r="AC13" s="39"/>
      <c r="AD13" s="72"/>
    </row>
    <row r="14" spans="1:31" s="85" customFormat="1" ht="16.5" thickBot="1" x14ac:dyDescent="0.3">
      <c r="A14"/>
      <c r="B14" s="95"/>
      <c r="C14" s="90"/>
      <c r="D14" s="90"/>
      <c r="E14" s="90"/>
      <c r="F14" s="90"/>
      <c r="G14" s="90"/>
      <c r="H14" s="90"/>
      <c r="I14" s="90"/>
      <c r="J14" s="90"/>
      <c r="K14" s="90"/>
      <c r="L14" s="90"/>
      <c r="M14" s="90"/>
      <c r="N14" s="90"/>
      <c r="O14" s="90"/>
      <c r="P14" s="90"/>
      <c r="Q14" s="90"/>
      <c r="R14" s="90"/>
      <c r="S14" s="90"/>
      <c r="T14" s="90"/>
      <c r="U14" s="90"/>
      <c r="V14" s="90"/>
      <c r="W14" s="90"/>
      <c r="X14" s="90"/>
      <c r="Y14" s="90"/>
      <c r="Z14" s="89"/>
      <c r="AA14"/>
      <c r="AB14"/>
      <c r="AC14" s="39"/>
      <c r="AD14"/>
    </row>
    <row r="15" spans="1:31" s="85" customFormat="1" ht="15.75" thickBot="1" x14ac:dyDescent="0.25">
      <c r="A15" s="52" t="s">
        <v>20</v>
      </c>
      <c r="B15" s="53" t="s">
        <v>21</v>
      </c>
      <c r="C15" s="53" t="s">
        <v>22</v>
      </c>
      <c r="D15" s="53" t="s">
        <v>23</v>
      </c>
      <c r="E15" s="53" t="s">
        <v>24</v>
      </c>
      <c r="F15" s="53" t="s">
        <v>25</v>
      </c>
      <c r="G15" s="53" t="s">
        <v>26</v>
      </c>
      <c r="H15" s="53" t="s">
        <v>27</v>
      </c>
      <c r="I15" s="53" t="s">
        <v>28</v>
      </c>
      <c r="J15" s="53" t="s">
        <v>29</v>
      </c>
      <c r="K15" s="53" t="s">
        <v>30</v>
      </c>
      <c r="L15" s="53" t="s">
        <v>31</v>
      </c>
      <c r="M15" s="53" t="s">
        <v>32</v>
      </c>
      <c r="N15" s="53" t="s">
        <v>33</v>
      </c>
      <c r="O15" s="53" t="s">
        <v>34</v>
      </c>
      <c r="P15" s="53" t="s">
        <v>35</v>
      </c>
      <c r="Q15" s="53" t="s">
        <v>36</v>
      </c>
      <c r="R15" s="53" t="s">
        <v>37</v>
      </c>
      <c r="S15" s="53" t="s">
        <v>38</v>
      </c>
      <c r="T15" s="53" t="s">
        <v>39</v>
      </c>
      <c r="U15" s="53" t="s">
        <v>40</v>
      </c>
      <c r="V15" s="53" t="s">
        <v>41</v>
      </c>
      <c r="W15" s="53" t="s">
        <v>42</v>
      </c>
      <c r="X15" s="53" t="s">
        <v>43</v>
      </c>
      <c r="Y15" s="53" t="s">
        <v>44</v>
      </c>
      <c r="Z15" s="53" t="s">
        <v>11</v>
      </c>
      <c r="AA15" s="53" t="s">
        <v>45</v>
      </c>
      <c r="AB15" s="55"/>
      <c r="AC15" s="39"/>
      <c r="AD15" s="39"/>
    </row>
    <row r="16" spans="1:31" s="85" customFormat="1" ht="15.75" x14ac:dyDescent="0.25">
      <c r="A16" s="56">
        <v>46113</v>
      </c>
      <c r="B16" s="97">
        <f>+B8*$AA$8+B9*$AA$9+B10*$AA$10+B11*$AA$11</f>
        <v>94.089202399792896</v>
      </c>
      <c r="C16" s="97">
        <f t="shared" ref="C16:Y16" si="3">+C8*$AA$8+C9*$AA$9+C10*$AA$10+C11*$AA$11</f>
        <v>57.340639174945572</v>
      </c>
      <c r="D16" s="97">
        <f t="shared" si="3"/>
        <v>37.965109837096875</v>
      </c>
      <c r="E16" s="97">
        <f t="shared" si="3"/>
        <v>29.412093724457055</v>
      </c>
      <c r="F16" s="97">
        <f t="shared" si="3"/>
        <v>43.263534171560323</v>
      </c>
      <c r="G16" s="97">
        <f t="shared" si="3"/>
        <v>88.643779261524585</v>
      </c>
      <c r="H16" s="97">
        <f t="shared" si="3"/>
        <v>158.20052864046676</v>
      </c>
      <c r="I16" s="97">
        <f t="shared" si="3"/>
        <v>132.96067917131433</v>
      </c>
      <c r="J16" s="97">
        <f t="shared" si="3"/>
        <v>196.52360543057907</v>
      </c>
      <c r="K16" s="97">
        <f t="shared" si="3"/>
        <v>259.95704201952674</v>
      </c>
      <c r="L16" s="97">
        <f t="shared" si="3"/>
        <v>308.09055925164773</v>
      </c>
      <c r="M16" s="97">
        <f t="shared" si="3"/>
        <v>351.81426956563359</v>
      </c>
      <c r="N16" s="97">
        <f t="shared" si="3"/>
        <v>348.91517673560918</v>
      </c>
      <c r="O16" s="97">
        <f t="shared" si="3"/>
        <v>331.92268427842646</v>
      </c>
      <c r="P16" s="97">
        <f t="shared" si="3"/>
        <v>326.98191718817759</v>
      </c>
      <c r="Q16" s="97">
        <f t="shared" si="3"/>
        <v>322.25323296970606</v>
      </c>
      <c r="R16" s="97">
        <f t="shared" si="3"/>
        <v>311.18769563040769</v>
      </c>
      <c r="S16" s="97">
        <f t="shared" si="3"/>
        <v>412.11406005446344</v>
      </c>
      <c r="T16" s="97">
        <f t="shared" si="3"/>
        <v>434.39959583575126</v>
      </c>
      <c r="U16" s="97">
        <f t="shared" si="3"/>
        <v>456.90797923418972</v>
      </c>
      <c r="V16" s="97">
        <f t="shared" si="3"/>
        <v>419.93868716763234</v>
      </c>
      <c r="W16" s="97">
        <f t="shared" si="3"/>
        <v>359.44647124004535</v>
      </c>
      <c r="X16" s="97">
        <f t="shared" si="3"/>
        <v>268.91604831509949</v>
      </c>
      <c r="Y16" s="97">
        <f t="shared" si="3"/>
        <v>177.13646985271032</v>
      </c>
      <c r="Z16" s="93">
        <f t="shared" ref="Z16" si="4">SUM(B16:Y16)</f>
        <v>5928.3810611507652</v>
      </c>
      <c r="AA16" s="59">
        <f>+AA8+AA9+AA10+AA11</f>
        <v>30</v>
      </c>
      <c r="AB16" s="60">
        <f>+AB8+AB9+AB10+AB11</f>
        <v>5928.3810611507633</v>
      </c>
      <c r="AC16" s="110">
        <f>+AB16-'Oferta Producto No. 5'!G15</f>
        <v>0</v>
      </c>
      <c r="AD16" s="39"/>
    </row>
    <row r="17" spans="1:30" s="85" customFormat="1" x14ac:dyDescent="0.2">
      <c r="A17" s="39"/>
      <c r="B17" s="83"/>
      <c r="C17" s="83"/>
      <c r="D17" s="83"/>
      <c r="E17" s="83"/>
      <c r="F17" s="83"/>
      <c r="G17" s="83"/>
      <c r="H17" s="83"/>
      <c r="I17" s="83"/>
      <c r="J17" s="83"/>
      <c r="K17" s="83"/>
      <c r="L17" s="83"/>
      <c r="M17" s="83"/>
      <c r="N17" s="83"/>
      <c r="O17" s="83"/>
      <c r="P17" s="83"/>
      <c r="Q17" s="83"/>
      <c r="R17" s="83"/>
      <c r="S17" s="83"/>
      <c r="T17" s="83"/>
      <c r="U17" s="83"/>
      <c r="V17" s="83"/>
      <c r="W17" s="83"/>
      <c r="X17" s="83"/>
      <c r="Y17" s="83"/>
      <c r="Z17" s="84"/>
      <c r="AA17" s="39"/>
      <c r="AB17" s="39"/>
      <c r="AC17" s="39"/>
      <c r="AD17" s="39"/>
    </row>
    <row r="19" spans="1:30" s="85" customFormat="1" x14ac:dyDescent="0.2">
      <c r="A19" s="39"/>
      <c r="B19" s="83"/>
      <c r="C19" s="83"/>
      <c r="D19" s="83"/>
      <c r="E19" s="83"/>
      <c r="F19" s="83"/>
      <c r="G19" s="83"/>
      <c r="H19" s="83"/>
      <c r="I19" s="83"/>
      <c r="J19" s="83"/>
      <c r="K19" s="83"/>
      <c r="L19" s="83"/>
      <c r="M19" s="83"/>
      <c r="N19" s="83"/>
      <c r="O19" s="83"/>
      <c r="P19" s="83"/>
      <c r="Q19" s="83"/>
      <c r="R19" s="83"/>
      <c r="S19" s="83"/>
      <c r="T19" s="83"/>
      <c r="U19" s="83"/>
      <c r="V19" s="83"/>
      <c r="W19" s="83"/>
      <c r="X19" s="83"/>
      <c r="Y19" s="83"/>
      <c r="Z19" s="98"/>
      <c r="AA19" s="39"/>
      <c r="AB19" s="39"/>
      <c r="AC19" s="39"/>
      <c r="AD19" s="39"/>
    </row>
  </sheetData>
  <conditionalFormatting sqref="B1:Y1048576">
    <cfRule type="cellIs" dxfId="8" priority="1" operator="lessThan">
      <formula>0</formula>
    </cfRule>
  </conditionalFormatting>
  <conditionalFormatting sqref="AA8:AA11">
    <cfRule type="cellIs" dxfId="7" priority="3" operator="lessThan">
      <formula>0</formula>
    </cfRule>
  </conditionalFormatting>
  <conditionalFormatting sqref="AA16">
    <cfRule type="cellIs" dxfId="6" priority="2" operator="lessThan">
      <formula>0</formula>
    </cfRule>
  </conditionalFormatting>
  <pageMargins left="0.75" right="0.75" top="1" bottom="1" header="0" footer="0"/>
  <pageSetup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563E-67F5-4E44-972D-507F69420AFE}">
  <sheetPr>
    <tabColor theme="9" tint="0.39997558519241921"/>
  </sheetPr>
  <dimension ref="A1:M27"/>
  <sheetViews>
    <sheetView view="pageBreakPreview" topLeftCell="A3" zoomScale="60" zoomScaleNormal="100" zoomScalePageLayoutView="30" workbookViewId="0">
      <selection activeCell="B22" sqref="B22:L22"/>
    </sheetView>
  </sheetViews>
  <sheetFormatPr baseColWidth="10" defaultColWidth="17.85546875" defaultRowHeight="24.75" x14ac:dyDescent="0.3"/>
  <cols>
    <col min="1" max="1" width="11.42578125" style="1" customWidth="1"/>
    <col min="2" max="2" width="16.42578125" style="1" bestFit="1" customWidth="1"/>
    <col min="3" max="3" width="14.85546875" style="1" customWidth="1"/>
    <col min="4" max="4" width="16.42578125" style="1" customWidth="1"/>
    <col min="5" max="5" width="22.7109375" style="1" customWidth="1"/>
    <col min="6" max="6" width="21.140625" style="1" customWidth="1"/>
    <col min="7" max="7" width="23" style="1" customWidth="1"/>
    <col min="8" max="10" width="22.7109375" style="1" customWidth="1"/>
    <col min="11" max="11" width="28.42578125" style="1" customWidth="1"/>
    <col min="12" max="12" width="15.42578125" style="1" customWidth="1"/>
    <col min="13" max="13" width="8.85546875" style="1" bestFit="1" customWidth="1"/>
    <col min="14" max="16384" width="17.85546875" style="1"/>
  </cols>
  <sheetData>
    <row r="1" spans="1:13" ht="171.2" customHeight="1" x14ac:dyDescent="0.3"/>
    <row r="2" spans="1:13" x14ac:dyDescent="0.3">
      <c r="A2" s="2"/>
      <c r="B2" s="2"/>
      <c r="C2" s="2"/>
      <c r="D2" s="114" t="s">
        <v>0</v>
      </c>
      <c r="E2" s="114"/>
      <c r="F2" s="114"/>
      <c r="G2" s="114"/>
      <c r="H2" s="114"/>
      <c r="I2" s="114"/>
      <c r="J2" s="114"/>
      <c r="K2" s="2"/>
      <c r="L2" s="2"/>
      <c r="M2" s="2"/>
    </row>
    <row r="3" spans="1:13" ht="89.25" customHeight="1" x14ac:dyDescent="0.3">
      <c r="A3" s="2"/>
      <c r="B3" s="2"/>
      <c r="C3" s="115" t="s">
        <v>1</v>
      </c>
      <c r="D3" s="115"/>
      <c r="E3" s="115"/>
      <c r="F3" s="115"/>
      <c r="G3" s="115"/>
      <c r="H3" s="115"/>
      <c r="I3" s="115"/>
      <c r="J3" s="115"/>
      <c r="K3" s="115"/>
      <c r="L3" s="2"/>
      <c r="M3" s="2"/>
    </row>
    <row r="4" spans="1:13" x14ac:dyDescent="0.3">
      <c r="A4" s="2"/>
      <c r="B4" s="2"/>
      <c r="C4" s="3"/>
      <c r="D4" s="116" t="s">
        <v>60</v>
      </c>
      <c r="E4" s="116"/>
      <c r="F4" s="116"/>
      <c r="G4" s="116"/>
      <c r="H4" s="116"/>
      <c r="I4" s="116"/>
      <c r="J4" s="116"/>
      <c r="K4" s="3"/>
      <c r="L4" s="2"/>
      <c r="M4" s="2"/>
    </row>
    <row r="5" spans="1:13" ht="19.5" customHeight="1" x14ac:dyDescent="0.3">
      <c r="A5" s="4"/>
      <c r="B5" s="5"/>
      <c r="C5" s="5"/>
      <c r="D5" s="6"/>
      <c r="E5" s="7"/>
      <c r="F5" s="7"/>
      <c r="G5" s="7"/>
      <c r="H5" s="7"/>
      <c r="I5" s="7"/>
      <c r="J5" s="8"/>
      <c r="K5" s="9"/>
      <c r="L5" s="4"/>
      <c r="M5" s="4"/>
    </row>
    <row r="6" spans="1:13" x14ac:dyDescent="0.3">
      <c r="A6" s="4"/>
      <c r="B6" s="5"/>
      <c r="C6" s="10" t="s">
        <v>3</v>
      </c>
      <c r="D6" s="5"/>
      <c r="E6" s="5"/>
      <c r="G6" s="5"/>
      <c r="H6" s="5"/>
      <c r="I6" s="5"/>
      <c r="J6" s="5"/>
      <c r="K6" s="9"/>
      <c r="L6" s="4"/>
      <c r="M6" s="4"/>
    </row>
    <row r="7" spans="1:13" x14ac:dyDescent="0.3">
      <c r="A7" s="4"/>
      <c r="B7" s="5"/>
      <c r="C7" s="10" t="s">
        <v>4</v>
      </c>
      <c r="D7" s="5"/>
      <c r="E7" s="5"/>
      <c r="G7" s="5"/>
      <c r="H7" s="5"/>
      <c r="I7" s="5"/>
      <c r="J7" s="5"/>
      <c r="K7" s="9"/>
      <c r="L7" s="4"/>
      <c r="M7" s="4"/>
    </row>
    <row r="8" spans="1:13" x14ac:dyDescent="0.3">
      <c r="B8" s="11"/>
      <c r="C8" s="10" t="s">
        <v>5</v>
      </c>
      <c r="D8" s="5"/>
      <c r="E8" s="5"/>
      <c r="G8" s="11"/>
      <c r="H8" s="11"/>
      <c r="I8" s="11"/>
      <c r="J8" s="11"/>
      <c r="K8" s="12"/>
    </row>
    <row r="9" spans="1:13" x14ac:dyDescent="0.3">
      <c r="B9" s="11"/>
      <c r="C9" s="13" t="str">
        <f>"PRODUCTO OFERTADO: "&amp;D4</f>
        <v>PRODUCTO OFERTADO: PRODUCTO No. 6</v>
      </c>
      <c r="D9" s="5"/>
      <c r="E9" s="5"/>
      <c r="G9" s="11"/>
      <c r="H9" s="11"/>
      <c r="I9" s="11"/>
      <c r="J9" s="11"/>
      <c r="K9" s="12"/>
    </row>
    <row r="10" spans="1:13" x14ac:dyDescent="0.3">
      <c r="B10" s="11"/>
      <c r="C10" s="13"/>
      <c r="D10" s="5"/>
      <c r="E10" s="5"/>
      <c r="G10" s="11"/>
      <c r="H10" s="11"/>
      <c r="I10" s="11"/>
      <c r="J10" s="11"/>
      <c r="K10" s="12"/>
    </row>
    <row r="11" spans="1:13" x14ac:dyDescent="0.3">
      <c r="B11" s="11"/>
      <c r="C11" s="10" t="s">
        <v>62</v>
      </c>
      <c r="D11" s="14"/>
      <c r="E11" s="14"/>
      <c r="F11" s="15"/>
      <c r="G11" s="11"/>
      <c r="H11" s="11"/>
      <c r="I11" s="11"/>
      <c r="J11" s="11"/>
      <c r="K11" s="12"/>
    </row>
    <row r="12" spans="1:13" x14ac:dyDescent="0.3">
      <c r="B12" s="16"/>
      <c r="C12" s="15"/>
    </row>
    <row r="13" spans="1:13" x14ac:dyDescent="0.3">
      <c r="F13" s="117" t="str">
        <f>"Oferta " &amp; PROPER(D4)</f>
        <v>Oferta Producto No. 6</v>
      </c>
      <c r="G13" s="117"/>
      <c r="H13" s="117"/>
      <c r="I13" s="117"/>
      <c r="J13" s="117"/>
    </row>
    <row r="14" spans="1:13" ht="72.75" customHeight="1" x14ac:dyDescent="0.3">
      <c r="F14" s="17" t="s">
        <v>6</v>
      </c>
      <c r="G14" s="18" t="s">
        <v>7</v>
      </c>
      <c r="H14" s="18" t="s">
        <v>8</v>
      </c>
      <c r="I14" s="18" t="s">
        <v>9</v>
      </c>
      <c r="J14" s="19" t="s">
        <v>10</v>
      </c>
    </row>
    <row r="15" spans="1:13" x14ac:dyDescent="0.3">
      <c r="A15" s="20">
        <v>22.85</v>
      </c>
      <c r="B15" s="20">
        <v>31</v>
      </c>
      <c r="F15" s="21">
        <f>+'Cantidades Producto No. 6'!A16</f>
        <v>46327</v>
      </c>
      <c r="G15" s="22">
        <f>+_xlfn.XLOOKUP(F15,'[1]Oferta Producto Base Curva'!$F$15:$F$26,'[1]Oferta Producto Base Curva'!$G$15:$G$26)</f>
        <v>8435.6107411051889</v>
      </c>
      <c r="H15" s="23"/>
      <c r="I15" s="24"/>
      <c r="J15" s="25"/>
      <c r="L15" s="26"/>
      <c r="M15" s="26"/>
    </row>
    <row r="16" spans="1:13" x14ac:dyDescent="0.3">
      <c r="F16" s="30" t="s">
        <v>11</v>
      </c>
      <c r="G16" s="31">
        <f>SUM(G15:G15)</f>
        <v>8435.6107411051889</v>
      </c>
      <c r="H16" s="32"/>
      <c r="I16" s="32"/>
      <c r="J16" s="33"/>
    </row>
    <row r="17" spans="1:12" x14ac:dyDescent="0.3">
      <c r="F17" s="34"/>
      <c r="G17" s="35"/>
    </row>
    <row r="18" spans="1:12" x14ac:dyDescent="0.3">
      <c r="B18" s="36" t="s">
        <v>12</v>
      </c>
      <c r="C18" s="37"/>
      <c r="D18" s="37"/>
      <c r="E18" s="37"/>
      <c r="F18" s="37"/>
      <c r="G18" s="37"/>
      <c r="L18" s="37"/>
    </row>
    <row r="19" spans="1:12" x14ac:dyDescent="0.3">
      <c r="B19" s="36"/>
      <c r="C19" s="37"/>
      <c r="D19" s="37"/>
      <c r="E19" s="37"/>
      <c r="F19" s="37"/>
      <c r="G19" s="37"/>
      <c r="H19" s="37"/>
      <c r="I19" s="37"/>
      <c r="J19" s="37"/>
      <c r="K19" s="37"/>
      <c r="L19" s="37"/>
    </row>
    <row r="20" spans="1:12" ht="24.75" customHeight="1" x14ac:dyDescent="0.3">
      <c r="B20" s="112" t="s">
        <v>13</v>
      </c>
      <c r="C20" s="112"/>
      <c r="D20" s="112"/>
      <c r="E20" s="112"/>
      <c r="F20" s="112"/>
      <c r="G20" s="112"/>
      <c r="H20" s="112"/>
      <c r="I20" s="112"/>
      <c r="J20" s="112"/>
      <c r="K20" s="112"/>
      <c r="L20" s="112"/>
    </row>
    <row r="21" spans="1:12" ht="39" customHeight="1" x14ac:dyDescent="0.3">
      <c r="B21" s="112" t="str">
        <f>"(2) Las cantidades se distribuyen de acuerdo a la curva del Anexo 1. Ofertas y Cantidades "&amp; D4 &amp;" de los Pliegos de Condiciones Definitivos"</f>
        <v>(2) Las cantidades se distribuyen de acuerdo a la curva del Anexo 1. Ofertas y Cantidades PRODUCTO No. 6 de los Pliegos de Condiciones Definitivos</v>
      </c>
      <c r="C21" s="112"/>
      <c r="D21" s="112"/>
      <c r="E21" s="112"/>
      <c r="F21" s="112"/>
      <c r="G21" s="112"/>
      <c r="H21" s="112"/>
      <c r="I21" s="112"/>
      <c r="J21" s="112"/>
      <c r="K21" s="112"/>
      <c r="L21" s="112"/>
    </row>
    <row r="22" spans="1:12" ht="83.25" customHeight="1" x14ac:dyDescent="0.3">
      <c r="B22" s="113" t="s">
        <v>68</v>
      </c>
      <c r="C22" s="113"/>
      <c r="D22" s="113"/>
      <c r="E22" s="113"/>
      <c r="F22" s="113"/>
      <c r="G22" s="113"/>
      <c r="H22" s="113"/>
      <c r="I22" s="113"/>
      <c r="J22" s="113"/>
      <c r="K22" s="113"/>
      <c r="L22" s="113"/>
    </row>
    <row r="23" spans="1:12" ht="43.5" customHeight="1" x14ac:dyDescent="0.3">
      <c r="B23" s="113" t="s">
        <v>14</v>
      </c>
      <c r="C23" s="113"/>
      <c r="D23" s="113"/>
      <c r="E23" s="113"/>
      <c r="F23" s="113"/>
      <c r="G23" s="113"/>
      <c r="H23" s="113"/>
      <c r="I23" s="113"/>
      <c r="J23" s="113"/>
      <c r="K23" s="113"/>
      <c r="L23" s="113"/>
    </row>
    <row r="24" spans="1:12" ht="60" customHeight="1" x14ac:dyDescent="0.3">
      <c r="B24" s="113" t="s">
        <v>15</v>
      </c>
      <c r="C24" s="113"/>
      <c r="D24" s="113"/>
      <c r="E24" s="113"/>
      <c r="F24" s="113"/>
      <c r="G24" s="113"/>
      <c r="H24" s="113"/>
      <c r="I24" s="113"/>
      <c r="J24" s="113"/>
      <c r="K24" s="113"/>
      <c r="L24" s="113"/>
    </row>
    <row r="25" spans="1:12" ht="80.25" customHeight="1" x14ac:dyDescent="0.3">
      <c r="A25" s="15"/>
      <c r="B25" s="113" t="s">
        <v>16</v>
      </c>
      <c r="C25" s="113"/>
      <c r="D25" s="113"/>
      <c r="E25" s="113"/>
      <c r="F25" s="113"/>
      <c r="G25" s="113"/>
      <c r="H25" s="113"/>
      <c r="I25" s="113"/>
      <c r="J25" s="113"/>
      <c r="K25" s="113"/>
      <c r="L25" s="113"/>
    </row>
    <row r="27" spans="1:12" ht="24.75" customHeight="1" x14ac:dyDescent="0.3">
      <c r="B27" s="38"/>
      <c r="C27" s="38"/>
      <c r="D27" s="38"/>
      <c r="E27" s="38"/>
      <c r="F27" s="38"/>
      <c r="G27" s="38"/>
      <c r="H27" s="38"/>
      <c r="I27" s="38"/>
      <c r="J27" s="38"/>
      <c r="K27" s="38"/>
      <c r="L27" s="38"/>
    </row>
  </sheetData>
  <mergeCells count="10">
    <mergeCell ref="B22:L22"/>
    <mergeCell ref="B23:L23"/>
    <mergeCell ref="B24:L24"/>
    <mergeCell ref="B25:L25"/>
    <mergeCell ref="D2:J2"/>
    <mergeCell ref="C3:K3"/>
    <mergeCell ref="D4:J4"/>
    <mergeCell ref="F13:J13"/>
    <mergeCell ref="B20:L20"/>
    <mergeCell ref="B21:L21"/>
  </mergeCells>
  <printOptions horizontalCentered="1" verticalCentered="1"/>
  <pageMargins left="0" right="0.39370078740157483" top="0.19685039370078741" bottom="0.19685039370078741" header="0.39370078740157483" footer="0.39370078740157483"/>
  <pageSetup scale="39" orientation="portrait" r:id="rId1"/>
  <colBreaks count="1" manualBreakCount="1">
    <brk id="14" max="1048575"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4D2C3-4D20-4C1D-BA37-A1EE16275A35}">
  <sheetPr>
    <tabColor theme="9" tint="0.39997558519241921"/>
  </sheetPr>
  <dimension ref="A1:AE19"/>
  <sheetViews>
    <sheetView showGridLines="0" zoomScale="70" zoomScaleNormal="70" workbookViewId="0">
      <selection activeCell="A7" sqref="A7"/>
    </sheetView>
  </sheetViews>
  <sheetFormatPr baseColWidth="10" defaultColWidth="14.42578125" defaultRowHeight="15" x14ac:dyDescent="0.2"/>
  <cols>
    <col min="1" max="1" width="93.140625" style="39" bestFit="1" customWidth="1"/>
    <col min="2" max="20" width="7.28515625" style="83" bestFit="1" customWidth="1"/>
    <col min="21" max="21" width="7.7109375" style="83" bestFit="1" customWidth="1"/>
    <col min="22" max="25" width="7.28515625" style="83" bestFit="1" customWidth="1"/>
    <col min="26" max="26" width="13.85546875" style="84" bestFit="1" customWidth="1"/>
    <col min="27" max="27" width="8.5703125" style="39" bestFit="1" customWidth="1"/>
    <col min="28" max="28" width="9.7109375" style="39" customWidth="1"/>
    <col min="29" max="29" width="5.28515625" style="39" customWidth="1"/>
    <col min="30" max="30" width="28.7109375" style="85" bestFit="1" customWidth="1"/>
    <col min="31" max="31" width="14.42578125" style="85"/>
    <col min="32" max="16384" width="14.42578125" style="39"/>
  </cols>
  <sheetData>
    <row r="1" spans="1:31" ht="93" customHeight="1" thickBot="1" x14ac:dyDescent="0.25"/>
    <row r="2" spans="1:31" ht="23.25" x14ac:dyDescent="0.35">
      <c r="A2" s="43" t="s">
        <v>18</v>
      </c>
    </row>
    <row r="3" spans="1:31" ht="21" thickBot="1" x14ac:dyDescent="0.35">
      <c r="A3" s="44" t="s">
        <v>60</v>
      </c>
    </row>
    <row r="4" spans="1:31" ht="15.75" thickBot="1" x14ac:dyDescent="0.25"/>
    <row r="5" spans="1:31" ht="16.5" thickBot="1" x14ac:dyDescent="0.3">
      <c r="A5" s="45"/>
      <c r="B5" s="86"/>
      <c r="C5" s="86"/>
      <c r="D5" s="86"/>
      <c r="E5" s="87"/>
      <c r="F5" s="86"/>
      <c r="G5" s="86"/>
      <c r="H5" s="86"/>
      <c r="I5" s="86"/>
      <c r="J5" s="86"/>
      <c r="K5" s="88"/>
      <c r="L5" s="88"/>
      <c r="M5" s="88"/>
      <c r="N5" s="88"/>
      <c r="O5" s="88"/>
      <c r="P5" s="88"/>
      <c r="Q5" s="88"/>
      <c r="R5" s="88"/>
      <c r="S5" s="88"/>
      <c r="T5" s="88"/>
      <c r="U5" s="88"/>
      <c r="V5" s="88"/>
      <c r="W5" s="88"/>
      <c r="X5" s="88"/>
      <c r="Y5" s="88"/>
      <c r="Z5" s="89"/>
      <c r="AA5"/>
      <c r="AB5" s="50"/>
      <c r="AD5" s="42"/>
    </row>
    <row r="6" spans="1:31" ht="16.5" thickBot="1" x14ac:dyDescent="0.3">
      <c r="A6"/>
      <c r="B6" s="86"/>
      <c r="C6" s="86"/>
      <c r="D6" s="86"/>
      <c r="E6" s="86"/>
      <c r="F6" s="86"/>
      <c r="G6" s="86"/>
      <c r="H6" s="86"/>
      <c r="I6" s="86"/>
      <c r="J6" s="86"/>
      <c r="K6" s="90"/>
      <c r="L6" s="90"/>
      <c r="M6" s="90"/>
      <c r="N6" s="90"/>
      <c r="O6" s="90"/>
      <c r="P6" s="90"/>
      <c r="Q6" s="90"/>
      <c r="R6" s="90"/>
      <c r="S6" s="90"/>
      <c r="T6" s="90"/>
      <c r="U6" s="90"/>
      <c r="V6" s="90"/>
      <c r="W6" s="90"/>
      <c r="X6" s="90"/>
      <c r="Y6" s="90"/>
      <c r="Z6" s="89"/>
      <c r="AA6"/>
      <c r="AB6"/>
      <c r="AD6" s="42"/>
      <c r="AE6" s="42"/>
    </row>
    <row r="7" spans="1:31" ht="15.95" customHeight="1" thickBot="1" x14ac:dyDescent="0.25">
      <c r="A7" s="52" t="s">
        <v>20</v>
      </c>
      <c r="B7" s="53" t="s">
        <v>21</v>
      </c>
      <c r="C7" s="53" t="s">
        <v>22</v>
      </c>
      <c r="D7" s="53" t="s">
        <v>23</v>
      </c>
      <c r="E7" s="53" t="s">
        <v>24</v>
      </c>
      <c r="F7" s="53" t="s">
        <v>25</v>
      </c>
      <c r="G7" s="53" t="s">
        <v>26</v>
      </c>
      <c r="H7" s="53" t="s">
        <v>27</v>
      </c>
      <c r="I7" s="53" t="s">
        <v>28</v>
      </c>
      <c r="J7" s="53" t="s">
        <v>29</v>
      </c>
      <c r="K7" s="53" t="s">
        <v>30</v>
      </c>
      <c r="L7" s="53" t="s">
        <v>31</v>
      </c>
      <c r="M7" s="53" t="s">
        <v>32</v>
      </c>
      <c r="N7" s="53" t="s">
        <v>33</v>
      </c>
      <c r="O7" s="53" t="s">
        <v>34</v>
      </c>
      <c r="P7" s="53" t="s">
        <v>35</v>
      </c>
      <c r="Q7" s="53" t="s">
        <v>36</v>
      </c>
      <c r="R7" s="53" t="s">
        <v>37</v>
      </c>
      <c r="S7" s="53" t="s">
        <v>38</v>
      </c>
      <c r="T7" s="53" t="s">
        <v>39</v>
      </c>
      <c r="U7" s="53" t="s">
        <v>40</v>
      </c>
      <c r="V7" s="53" t="s">
        <v>41</v>
      </c>
      <c r="W7" s="53" t="s">
        <v>42</v>
      </c>
      <c r="X7" s="53" t="s">
        <v>43</v>
      </c>
      <c r="Y7" s="53" t="s">
        <v>44</v>
      </c>
      <c r="Z7" s="53" t="s">
        <v>11</v>
      </c>
      <c r="AA7" s="54" t="s">
        <v>45</v>
      </c>
      <c r="AB7" s="55"/>
      <c r="AC7" s="85"/>
      <c r="AD7" s="91" t="s">
        <v>49</v>
      </c>
      <c r="AE7" s="42"/>
    </row>
    <row r="8" spans="1:31" ht="16.5" thickBot="1" x14ac:dyDescent="0.3">
      <c r="A8" s="56">
        <f>+$A$16</f>
        <v>46327</v>
      </c>
      <c r="B8" s="92">
        <v>6.6563209988044623</v>
      </c>
      <c r="C8" s="92">
        <v>5.5276423272547621</v>
      </c>
      <c r="D8" s="92">
        <v>4.9181695480582128</v>
      </c>
      <c r="E8" s="92">
        <v>4.7244654232629548</v>
      </c>
      <c r="F8" s="92">
        <v>5.242223439844798</v>
      </c>
      <c r="G8" s="92">
        <v>6.6705820088776164</v>
      </c>
      <c r="H8" s="92">
        <v>9.5123457353411496</v>
      </c>
      <c r="I8" s="92">
        <v>9.2881040430494402</v>
      </c>
      <c r="J8" s="92">
        <v>11.728906833268192</v>
      </c>
      <c r="K8" s="92">
        <v>13.487988684839147</v>
      </c>
      <c r="L8" s="92">
        <v>15.207692342890354</v>
      </c>
      <c r="M8" s="92">
        <v>16.774779292830033</v>
      </c>
      <c r="N8" s="92">
        <v>16.544387292961225</v>
      </c>
      <c r="O8" s="92">
        <v>16.138986379727243</v>
      </c>
      <c r="P8" s="92">
        <v>16.645021438084093</v>
      </c>
      <c r="Q8" s="92">
        <v>16.457031915895655</v>
      </c>
      <c r="R8" s="92">
        <v>16.03406557105048</v>
      </c>
      <c r="S8" s="92">
        <v>19.493213237375066</v>
      </c>
      <c r="T8" s="92">
        <v>20.131366143425023</v>
      </c>
      <c r="U8" s="92">
        <v>19.458552626448888</v>
      </c>
      <c r="V8" s="92">
        <v>18.058238779294857</v>
      </c>
      <c r="W8" s="92">
        <v>15.826935799302111</v>
      </c>
      <c r="X8" s="92">
        <v>12.591048274533453</v>
      </c>
      <c r="Y8" s="92">
        <v>9.529866919846361</v>
      </c>
      <c r="Z8" s="93">
        <f t="shared" ref="Z8:Z11" si="0">SUM(B8:Y8)</f>
        <v>306.64793505626562</v>
      </c>
      <c r="AA8" s="59">
        <f>+SUMIFS('Cantidades Producto Base Curva'!$AA:$AA,'Cantidades Producto Base Curva'!$A:$A,'Cantidades Producto No. 6'!$A8,'Cantidades Producto Base Curva'!$AD:$AD,'Cantidades Producto No. 6'!AD8)</f>
        <v>19</v>
      </c>
      <c r="AB8" s="60">
        <f>+Z8*AA8</f>
        <v>5826.3107660690466</v>
      </c>
      <c r="AC8" s="85"/>
      <c r="AD8" s="60" t="s">
        <v>46</v>
      </c>
      <c r="AE8" s="42"/>
    </row>
    <row r="9" spans="1:31" ht="16.5" thickBot="1" x14ac:dyDescent="0.3">
      <c r="A9" s="61">
        <f t="shared" ref="A9:A11" si="1">+$A$16</f>
        <v>46327</v>
      </c>
      <c r="B9" s="92">
        <v>6.8861273704981434</v>
      </c>
      <c r="C9" s="92">
        <v>5.6527503837833359</v>
      </c>
      <c r="D9" s="92">
        <v>4.9515700654409445</v>
      </c>
      <c r="E9" s="92">
        <v>4.5823022883923406</v>
      </c>
      <c r="F9" s="92">
        <v>4.8359812728981559</v>
      </c>
      <c r="G9" s="92">
        <v>5.2799777898941098</v>
      </c>
      <c r="H9" s="92">
        <v>7.7059396812936685</v>
      </c>
      <c r="I9" s="92">
        <v>7.7293718995976164</v>
      </c>
      <c r="J9" s="92">
        <v>10.458560831344585</v>
      </c>
      <c r="K9" s="92">
        <v>12.436820305337678</v>
      </c>
      <c r="L9" s="92">
        <v>14.062473194561345</v>
      </c>
      <c r="M9" s="92">
        <v>15.454095545445293</v>
      </c>
      <c r="N9" s="92">
        <v>15.371238006517</v>
      </c>
      <c r="O9" s="92">
        <v>14.375117625739454</v>
      </c>
      <c r="P9" s="92">
        <v>13.622993088040136</v>
      </c>
      <c r="Q9" s="92">
        <v>13.296748191592938</v>
      </c>
      <c r="R9" s="92">
        <v>12.879151156738139</v>
      </c>
      <c r="S9" s="92">
        <v>16.463738604298065</v>
      </c>
      <c r="T9" s="92">
        <v>18.195591732456901</v>
      </c>
      <c r="U9" s="92">
        <v>17.822356132040223</v>
      </c>
      <c r="V9" s="92">
        <v>16.367901889380491</v>
      </c>
      <c r="W9" s="92">
        <v>14.774094480815162</v>
      </c>
      <c r="X9" s="92">
        <v>12.321435913850735</v>
      </c>
      <c r="Y9" s="92">
        <v>9.8388508263733101</v>
      </c>
      <c r="Z9" s="94">
        <f t="shared" si="0"/>
        <v>275.36518827632983</v>
      </c>
      <c r="AA9" s="59">
        <f>+SUMIFS('Cantidades Producto Base Curva'!$AA:$AA,'Cantidades Producto Base Curva'!$A:$A,'Cantidades Producto No. 6'!$A9,'Cantidades Producto Base Curva'!$AD:$AD,'Cantidades Producto No. 6'!AD9)</f>
        <v>4</v>
      </c>
      <c r="AB9" s="65">
        <f>+Z9*AA9</f>
        <v>1101.4607531053193</v>
      </c>
      <c r="AC9" s="85"/>
      <c r="AD9" s="65" t="s">
        <v>50</v>
      </c>
      <c r="AE9" s="42"/>
    </row>
    <row r="10" spans="1:31" ht="16.5" thickBot="1" x14ac:dyDescent="0.3">
      <c r="A10" s="61">
        <f t="shared" si="1"/>
        <v>46327</v>
      </c>
      <c r="B10" s="92">
        <v>6.9708001815291132</v>
      </c>
      <c r="C10" s="92">
        <v>5.738994659862743</v>
      </c>
      <c r="D10" s="92">
        <v>4.8859051430121907</v>
      </c>
      <c r="E10" s="92">
        <v>4.3502494037886139</v>
      </c>
      <c r="F10" s="92">
        <v>4.2674818762888096</v>
      </c>
      <c r="G10" s="92">
        <v>3.9676289506732139</v>
      </c>
      <c r="H10" s="92">
        <v>5.0478360791258092</v>
      </c>
      <c r="I10" s="92">
        <v>3.7304048759962463</v>
      </c>
      <c r="J10" s="92">
        <v>5.7378170319503115</v>
      </c>
      <c r="K10" s="92">
        <v>7.4305800035401193</v>
      </c>
      <c r="L10" s="92">
        <v>8.7643608141487856</v>
      </c>
      <c r="M10" s="92">
        <v>10.218904532885936</v>
      </c>
      <c r="N10" s="92">
        <v>11.022882065402722</v>
      </c>
      <c r="O10" s="92">
        <v>10.804904380445281</v>
      </c>
      <c r="P10" s="92">
        <v>10.195049546712667</v>
      </c>
      <c r="Q10" s="92">
        <v>9.9351758446675298</v>
      </c>
      <c r="R10" s="92">
        <v>9.7149863447213427</v>
      </c>
      <c r="S10" s="92">
        <v>13.603725720361494</v>
      </c>
      <c r="T10" s="92">
        <v>15.514432442183169</v>
      </c>
      <c r="U10" s="92">
        <v>15.579000122809651</v>
      </c>
      <c r="V10" s="92">
        <v>14.847054913854423</v>
      </c>
      <c r="W10" s="92">
        <v>13.224809588868636</v>
      </c>
      <c r="X10" s="92">
        <v>10.799989565052908</v>
      </c>
      <c r="Y10" s="92">
        <v>8.3025140643834465</v>
      </c>
      <c r="Z10" s="94">
        <f t="shared" si="0"/>
        <v>214.65548815226512</v>
      </c>
      <c r="AA10" s="59">
        <f>+SUMIFS('Cantidades Producto Base Curva'!$AA:$AA,'Cantidades Producto Base Curva'!$A:$A,'Cantidades Producto No. 6'!$A10,'Cantidades Producto Base Curva'!$AD:$AD,'Cantidades Producto No. 6'!AD10)</f>
        <v>5</v>
      </c>
      <c r="AB10" s="65">
        <f t="shared" ref="AB10:AB11" si="2">+Z10*AA10</f>
        <v>1073.2774407613256</v>
      </c>
      <c r="AC10" s="85"/>
      <c r="AD10" s="65" t="s">
        <v>51</v>
      </c>
      <c r="AE10" s="42"/>
    </row>
    <row r="11" spans="1:31" ht="15.75" x14ac:dyDescent="0.25">
      <c r="A11" s="61">
        <f t="shared" si="1"/>
        <v>46327</v>
      </c>
      <c r="B11" s="92">
        <v>6.0266462810815424</v>
      </c>
      <c r="C11" s="92">
        <v>4.8139211518669107</v>
      </c>
      <c r="D11" s="92">
        <v>4.1943097473413724</v>
      </c>
      <c r="E11" s="92">
        <v>3.8293250945093313</v>
      </c>
      <c r="F11" s="92">
        <v>3.8851287295362273</v>
      </c>
      <c r="G11" s="92">
        <v>3.985500582532397</v>
      </c>
      <c r="H11" s="92">
        <v>5.0794117781747987</v>
      </c>
      <c r="I11" s="92">
        <v>4.0021798991483006</v>
      </c>
      <c r="J11" s="92">
        <v>6.0126889705595898</v>
      </c>
      <c r="K11" s="92">
        <v>7.9432992725279838</v>
      </c>
      <c r="L11" s="92">
        <v>9.62737075844848</v>
      </c>
      <c r="M11" s="92">
        <v>10.717786800866516</v>
      </c>
      <c r="N11" s="92">
        <v>11.568276433420412</v>
      </c>
      <c r="O11" s="92">
        <v>11.289388788573852</v>
      </c>
      <c r="P11" s="92">
        <v>10.529381404844338</v>
      </c>
      <c r="Q11" s="92">
        <v>10.103611252093607</v>
      </c>
      <c r="R11" s="92">
        <v>10.063370793093439</v>
      </c>
      <c r="S11" s="92">
        <v>14.162043272564922</v>
      </c>
      <c r="T11" s="92">
        <v>15.921302204798732</v>
      </c>
      <c r="U11" s="92">
        <v>15.966579338248673</v>
      </c>
      <c r="V11" s="92">
        <v>15.222717782809021</v>
      </c>
      <c r="W11" s="92">
        <v>13.560916376769987</v>
      </c>
      <c r="X11" s="92">
        <v>10.819289154558216</v>
      </c>
      <c r="Y11" s="92">
        <v>7.9564447163805383</v>
      </c>
      <c r="Z11" s="94">
        <f t="shared" si="0"/>
        <v>217.28089058474916</v>
      </c>
      <c r="AA11" s="59">
        <f>+SUMIFS('Cantidades Producto Base Curva'!$AA:$AA,'Cantidades Producto Base Curva'!$A:$A,'Cantidades Producto No. 6'!$A11,'Cantidades Producto Base Curva'!$AD:$AD,'Cantidades Producto No. 6'!AD11)</f>
        <v>2</v>
      </c>
      <c r="AB11" s="65">
        <f t="shared" si="2"/>
        <v>434.56178116949832</v>
      </c>
      <c r="AC11" s="85"/>
      <c r="AD11" s="65" t="s">
        <v>52</v>
      </c>
      <c r="AE11" s="42"/>
    </row>
    <row r="12" spans="1:31" s="85" customFormat="1" ht="16.5" thickBot="1" x14ac:dyDescent="0.3">
      <c r="A12"/>
      <c r="B12" s="95"/>
      <c r="C12" s="90"/>
      <c r="D12" s="90"/>
      <c r="E12" s="90"/>
      <c r="F12" s="90"/>
      <c r="G12" s="90"/>
      <c r="H12" s="90"/>
      <c r="I12" s="90"/>
      <c r="J12" s="90"/>
      <c r="K12" s="90"/>
      <c r="L12" s="90"/>
      <c r="M12" s="90"/>
      <c r="N12" s="90"/>
      <c r="O12" s="90"/>
      <c r="P12" s="90"/>
      <c r="Q12" s="90"/>
      <c r="R12" s="90"/>
      <c r="S12" s="90"/>
      <c r="T12" s="90"/>
      <c r="U12" s="90"/>
      <c r="V12" s="90"/>
      <c r="W12" s="90"/>
      <c r="X12" s="90"/>
      <c r="Y12" s="90"/>
      <c r="Z12" s="89"/>
      <c r="AA12" s="72"/>
      <c r="AB12"/>
      <c r="AC12" s="39"/>
      <c r="AD12" s="42"/>
    </row>
    <row r="13" spans="1:31" s="85" customFormat="1" ht="16.5" thickBot="1" x14ac:dyDescent="0.3">
      <c r="A13" s="45" t="s">
        <v>47</v>
      </c>
      <c r="B13" s="90"/>
      <c r="C13" s="90"/>
      <c r="D13" s="90"/>
      <c r="E13" s="96"/>
      <c r="F13" s="90"/>
      <c r="G13" s="90"/>
      <c r="H13" s="90"/>
      <c r="I13" s="90"/>
      <c r="J13" s="90"/>
      <c r="K13" s="90"/>
      <c r="L13" s="90"/>
      <c r="M13" s="90"/>
      <c r="N13" s="90"/>
      <c r="O13" s="90"/>
      <c r="P13" s="90"/>
      <c r="Q13" s="90"/>
      <c r="R13" s="90"/>
      <c r="S13" s="90"/>
      <c r="T13" s="90"/>
      <c r="U13" s="90"/>
      <c r="V13" s="90"/>
      <c r="W13" s="90"/>
      <c r="X13" s="90"/>
      <c r="Y13" s="90"/>
      <c r="Z13" s="89"/>
      <c r="AA13" s="72"/>
      <c r="AB13"/>
      <c r="AC13" s="39"/>
      <c r="AD13" s="42"/>
    </row>
    <row r="14" spans="1:31" s="85" customFormat="1" ht="16.5" thickBot="1" x14ac:dyDescent="0.3">
      <c r="A14"/>
      <c r="B14" s="95"/>
      <c r="C14" s="90"/>
      <c r="D14" s="90"/>
      <c r="E14" s="90"/>
      <c r="F14" s="90"/>
      <c r="G14" s="90"/>
      <c r="H14" s="90"/>
      <c r="I14" s="90"/>
      <c r="J14" s="90"/>
      <c r="K14" s="90"/>
      <c r="L14" s="90"/>
      <c r="M14" s="90"/>
      <c r="N14" s="90"/>
      <c r="O14" s="90"/>
      <c r="P14" s="90"/>
      <c r="Q14" s="90"/>
      <c r="R14" s="90"/>
      <c r="S14" s="90"/>
      <c r="T14" s="90"/>
      <c r="U14" s="90"/>
      <c r="V14" s="90"/>
      <c r="W14" s="90"/>
      <c r="X14" s="90"/>
      <c r="Y14" s="90"/>
      <c r="Z14" s="89"/>
      <c r="AA14"/>
      <c r="AB14"/>
      <c r="AC14" s="39"/>
      <c r="AD14" s="42"/>
    </row>
    <row r="15" spans="1:31" s="85" customFormat="1" ht="15.75" thickBot="1" x14ac:dyDescent="0.25">
      <c r="A15" s="52" t="s">
        <v>20</v>
      </c>
      <c r="B15" s="53" t="s">
        <v>21</v>
      </c>
      <c r="C15" s="53" t="s">
        <v>22</v>
      </c>
      <c r="D15" s="53" t="s">
        <v>23</v>
      </c>
      <c r="E15" s="53" t="s">
        <v>24</v>
      </c>
      <c r="F15" s="53" t="s">
        <v>25</v>
      </c>
      <c r="G15" s="53" t="s">
        <v>26</v>
      </c>
      <c r="H15" s="53" t="s">
        <v>27</v>
      </c>
      <c r="I15" s="53" t="s">
        <v>28</v>
      </c>
      <c r="J15" s="53" t="s">
        <v>29</v>
      </c>
      <c r="K15" s="53" t="s">
        <v>30</v>
      </c>
      <c r="L15" s="53" t="s">
        <v>31</v>
      </c>
      <c r="M15" s="53" t="s">
        <v>32</v>
      </c>
      <c r="N15" s="53" t="s">
        <v>33</v>
      </c>
      <c r="O15" s="53" t="s">
        <v>34</v>
      </c>
      <c r="P15" s="53" t="s">
        <v>35</v>
      </c>
      <c r="Q15" s="53" t="s">
        <v>36</v>
      </c>
      <c r="R15" s="53" t="s">
        <v>37</v>
      </c>
      <c r="S15" s="53" t="s">
        <v>38</v>
      </c>
      <c r="T15" s="53" t="s">
        <v>39</v>
      </c>
      <c r="U15" s="53" t="s">
        <v>40</v>
      </c>
      <c r="V15" s="53" t="s">
        <v>41</v>
      </c>
      <c r="W15" s="53" t="s">
        <v>42</v>
      </c>
      <c r="X15" s="53" t="s">
        <v>43</v>
      </c>
      <c r="Y15" s="53" t="s">
        <v>44</v>
      </c>
      <c r="Z15" s="53" t="s">
        <v>11</v>
      </c>
      <c r="AA15" s="53" t="s">
        <v>45</v>
      </c>
      <c r="AB15" s="55"/>
      <c r="AC15" s="39"/>
      <c r="AD15" s="76"/>
    </row>
    <row r="16" spans="1:31" s="85" customFormat="1" ht="15.75" x14ac:dyDescent="0.25">
      <c r="A16" s="56">
        <v>46327</v>
      </c>
      <c r="B16" s="97">
        <f>+B8*$AA$8+B9*$AA$9+B10*$AA$10+B11*$AA$11</f>
        <v>200.921901929086</v>
      </c>
      <c r="C16" s="97">
        <f t="shared" ref="C16:Y16" si="3">+C8*$AA$8+C9*$AA$9+C10*$AA$10+C11*$AA$11</f>
        <v>165.95902135602137</v>
      </c>
      <c r="D16" s="97">
        <f t="shared" si="3"/>
        <v>146.06964688461352</v>
      </c>
      <c r="E16" s="97">
        <f t="shared" si="3"/>
        <v>137.50394940352723</v>
      </c>
      <c r="F16" s="97">
        <f t="shared" si="3"/>
        <v>148.0538372891603</v>
      </c>
      <c r="G16" s="97">
        <f t="shared" si="3"/>
        <v>175.670115246682</v>
      </c>
      <c r="H16" s="97">
        <f t="shared" si="3"/>
        <v>246.95633164863517</v>
      </c>
      <c r="I16" s="97">
        <f t="shared" si="3"/>
        <v>234.04784859460767</v>
      </c>
      <c r="J16" s="97">
        <f t="shared" si="3"/>
        <v>305.39793625834471</v>
      </c>
      <c r="K16" s="97">
        <f t="shared" si="3"/>
        <v>359.05856479605103</v>
      </c>
      <c r="L16" s="97">
        <f t="shared" si="3"/>
        <v>408.27259288080302</v>
      </c>
      <c r="M16" s="97">
        <f t="shared" si="3"/>
        <v>453.06728501171455</v>
      </c>
      <c r="N16" s="97">
        <f t="shared" si="3"/>
        <v>454.07927378618575</v>
      </c>
      <c r="O16" s="97">
        <f t="shared" si="3"/>
        <v>440.74451119714951</v>
      </c>
      <c r="P16" s="97">
        <f t="shared" si="3"/>
        <v>442.78139021901029</v>
      </c>
      <c r="Q16" s="97">
        <f t="shared" si="3"/>
        <v>435.75370089591405</v>
      </c>
      <c r="R16" s="97">
        <f t="shared" si="3"/>
        <v>424.86552378670524</v>
      </c>
      <c r="S16" s="97">
        <f t="shared" si="3"/>
        <v>532.56872107425579</v>
      </c>
      <c r="T16" s="97">
        <f t="shared" si="3"/>
        <v>564.69309027541635</v>
      </c>
      <c r="U16" s="97">
        <f t="shared" si="3"/>
        <v>550.83008372123538</v>
      </c>
      <c r="V16" s="97">
        <f t="shared" si="3"/>
        <v>513.25885449901443</v>
      </c>
      <c r="W16" s="97">
        <f t="shared" si="3"/>
        <v>453.05403880788396</v>
      </c>
      <c r="X16" s="97">
        <f t="shared" si="3"/>
        <v>364.15418700591954</v>
      </c>
      <c r="Y16" s="97">
        <f t="shared" si="3"/>
        <v>277.84833453725241</v>
      </c>
      <c r="Z16" s="93">
        <f t="shared" ref="Z16" si="4">SUM(B16:Y16)</f>
        <v>8435.6107411051889</v>
      </c>
      <c r="AA16" s="59">
        <f>+AA8+AA9+AA10+AA11</f>
        <v>30</v>
      </c>
      <c r="AB16" s="60">
        <f>+AB8+AB9+AB10+AB11</f>
        <v>8435.6107411051889</v>
      </c>
      <c r="AC16" s="110">
        <f>+AB16-'Oferta Producto No. 6'!G15</f>
        <v>0</v>
      </c>
      <c r="AD16" s="111"/>
    </row>
    <row r="17" spans="1:29" s="85" customFormat="1" x14ac:dyDescent="0.2">
      <c r="A17" s="39"/>
      <c r="B17" s="83"/>
      <c r="C17" s="83"/>
      <c r="D17" s="83"/>
      <c r="E17" s="83"/>
      <c r="F17" s="83"/>
      <c r="G17" s="83"/>
      <c r="H17" s="83"/>
      <c r="I17" s="83"/>
      <c r="J17" s="83"/>
      <c r="K17" s="83"/>
      <c r="L17" s="83"/>
      <c r="M17" s="83"/>
      <c r="N17" s="83"/>
      <c r="O17" s="83"/>
      <c r="P17" s="83"/>
      <c r="Q17" s="83"/>
      <c r="R17" s="83"/>
      <c r="S17" s="83"/>
      <c r="T17" s="83"/>
      <c r="U17" s="83"/>
      <c r="V17" s="83"/>
      <c r="W17" s="83"/>
      <c r="X17" s="83"/>
      <c r="Y17" s="83"/>
      <c r="Z17" s="84"/>
      <c r="AA17" s="39"/>
      <c r="AB17" s="39"/>
      <c r="AC17" s="39"/>
    </row>
    <row r="19" spans="1:29" s="85" customFormat="1" x14ac:dyDescent="0.2">
      <c r="A19" s="39"/>
      <c r="B19" s="83"/>
      <c r="C19" s="83"/>
      <c r="D19" s="83"/>
      <c r="E19" s="83"/>
      <c r="F19" s="83"/>
      <c r="G19" s="83"/>
      <c r="H19" s="83"/>
      <c r="I19" s="83"/>
      <c r="J19" s="83"/>
      <c r="K19" s="83"/>
      <c r="L19" s="83"/>
      <c r="M19" s="83"/>
      <c r="N19" s="83"/>
      <c r="O19" s="83"/>
      <c r="P19" s="83"/>
      <c r="Q19" s="83"/>
      <c r="R19" s="83"/>
      <c r="S19" s="83"/>
      <c r="T19" s="83"/>
      <c r="U19" s="83"/>
      <c r="V19" s="83"/>
      <c r="W19" s="83"/>
      <c r="X19" s="83"/>
      <c r="Y19" s="83"/>
      <c r="Z19" s="98"/>
      <c r="AA19" s="39"/>
      <c r="AB19" s="39"/>
      <c r="AC19" s="39"/>
    </row>
  </sheetData>
  <conditionalFormatting sqref="B1:Y1048576">
    <cfRule type="cellIs" dxfId="5" priority="1" operator="lessThan">
      <formula>0</formula>
    </cfRule>
  </conditionalFormatting>
  <conditionalFormatting sqref="AA8:AA11">
    <cfRule type="cellIs" dxfId="4" priority="3" operator="lessThan">
      <formula>0</formula>
    </cfRule>
  </conditionalFormatting>
  <conditionalFormatting sqref="AA16">
    <cfRule type="cellIs" dxfId="3" priority="2" operator="lessThan">
      <formula>0</formula>
    </cfRule>
  </conditionalFormatting>
  <pageMargins left="0.75" right="0.75" top="1" bottom="1" header="0" footer="0"/>
  <pageSetup orientation="portrait"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4E86-D5C1-46FC-B48B-7E6325FDCEB3}">
  <sheetPr>
    <tabColor theme="9" tint="0.39997558519241921"/>
  </sheetPr>
  <dimension ref="A1:M27"/>
  <sheetViews>
    <sheetView view="pageBreakPreview" zoomScale="60" zoomScaleNormal="100" zoomScalePageLayoutView="30" workbookViewId="0">
      <selection activeCell="B22" sqref="B22:L22"/>
    </sheetView>
  </sheetViews>
  <sheetFormatPr baseColWidth="10" defaultColWidth="17.85546875" defaultRowHeight="24.75" x14ac:dyDescent="0.3"/>
  <cols>
    <col min="1" max="1" width="11.42578125" style="1" customWidth="1"/>
    <col min="2" max="2" width="16.42578125" style="1" bestFit="1" customWidth="1"/>
    <col min="3" max="3" width="14.85546875" style="1" customWidth="1"/>
    <col min="4" max="4" width="16.42578125" style="1" customWidth="1"/>
    <col min="5" max="5" width="22.7109375" style="1" customWidth="1"/>
    <col min="6" max="6" width="21.140625" style="1" customWidth="1"/>
    <col min="7" max="7" width="23" style="1" customWidth="1"/>
    <col min="8" max="10" width="22.7109375" style="1" customWidth="1"/>
    <col min="11" max="11" width="28.42578125" style="1" customWidth="1"/>
    <col min="12" max="12" width="15.42578125" style="1" customWidth="1"/>
    <col min="13" max="13" width="8.85546875" style="1" bestFit="1" customWidth="1"/>
    <col min="14" max="16384" width="17.85546875" style="1"/>
  </cols>
  <sheetData>
    <row r="1" spans="1:13" ht="171.2" customHeight="1" x14ac:dyDescent="0.3"/>
    <row r="2" spans="1:13" x14ac:dyDescent="0.3">
      <c r="A2" s="2"/>
      <c r="B2" s="2"/>
      <c r="C2" s="2"/>
      <c r="D2" s="114" t="s">
        <v>0</v>
      </c>
      <c r="E2" s="114"/>
      <c r="F2" s="114"/>
      <c r="G2" s="114"/>
      <c r="H2" s="114"/>
      <c r="I2" s="114"/>
      <c r="J2" s="114"/>
      <c r="K2" s="2"/>
      <c r="L2" s="2"/>
      <c r="M2" s="2"/>
    </row>
    <row r="3" spans="1:13" ht="89.25" customHeight="1" x14ac:dyDescent="0.3">
      <c r="A3" s="2"/>
      <c r="B3" s="2"/>
      <c r="C3" s="115" t="s">
        <v>1</v>
      </c>
      <c r="D3" s="115"/>
      <c r="E3" s="115"/>
      <c r="F3" s="115"/>
      <c r="G3" s="115"/>
      <c r="H3" s="115"/>
      <c r="I3" s="115"/>
      <c r="J3" s="115"/>
      <c r="K3" s="115"/>
      <c r="L3" s="2"/>
      <c r="M3" s="2"/>
    </row>
    <row r="4" spans="1:13" x14ac:dyDescent="0.3">
      <c r="A4" s="2"/>
      <c r="B4" s="2"/>
      <c r="C4" s="3"/>
      <c r="D4" s="116" t="s">
        <v>61</v>
      </c>
      <c r="E4" s="116"/>
      <c r="F4" s="116"/>
      <c r="G4" s="116"/>
      <c r="H4" s="116"/>
      <c r="I4" s="116"/>
      <c r="J4" s="116"/>
      <c r="K4" s="3"/>
      <c r="L4" s="2"/>
      <c r="M4" s="2"/>
    </row>
    <row r="5" spans="1:13" ht="19.5" customHeight="1" x14ac:dyDescent="0.3">
      <c r="A5" s="4"/>
      <c r="B5" s="5"/>
      <c r="C5" s="5"/>
      <c r="D5" s="6"/>
      <c r="E5" s="7"/>
      <c r="F5" s="7"/>
      <c r="G5" s="7"/>
      <c r="H5" s="7"/>
      <c r="I5" s="7"/>
      <c r="J5" s="8"/>
      <c r="K5" s="9"/>
      <c r="L5" s="4"/>
      <c r="M5" s="4"/>
    </row>
    <row r="6" spans="1:13" x14ac:dyDescent="0.3">
      <c r="A6" s="4"/>
      <c r="B6" s="5"/>
      <c r="C6" s="10" t="s">
        <v>3</v>
      </c>
      <c r="D6" s="5"/>
      <c r="E6" s="5"/>
      <c r="G6" s="5"/>
      <c r="H6" s="5"/>
      <c r="I6" s="5"/>
      <c r="J6" s="5"/>
      <c r="K6" s="9"/>
      <c r="L6" s="4"/>
      <c r="M6" s="4"/>
    </row>
    <row r="7" spans="1:13" x14ac:dyDescent="0.3">
      <c r="A7" s="4"/>
      <c r="B7" s="5"/>
      <c r="C7" s="10" t="s">
        <v>4</v>
      </c>
      <c r="D7" s="5"/>
      <c r="E7" s="5"/>
      <c r="G7" s="5"/>
      <c r="H7" s="5"/>
      <c r="I7" s="5"/>
      <c r="J7" s="5"/>
      <c r="K7" s="9"/>
      <c r="L7" s="4"/>
      <c r="M7" s="4"/>
    </row>
    <row r="8" spans="1:13" x14ac:dyDescent="0.3">
      <c r="B8" s="11"/>
      <c r="C8" s="10" t="s">
        <v>5</v>
      </c>
      <c r="D8" s="5"/>
      <c r="E8" s="5"/>
      <c r="G8" s="11"/>
      <c r="H8" s="11"/>
      <c r="I8" s="11"/>
      <c r="J8" s="11"/>
      <c r="K8" s="12"/>
    </row>
    <row r="9" spans="1:13" x14ac:dyDescent="0.3">
      <c r="B9" s="11"/>
      <c r="C9" s="13" t="str">
        <f>"PRODUCTO OFERTADO: "&amp;D4</f>
        <v>PRODUCTO OFERTADO: PRODUCTO No. 7</v>
      </c>
      <c r="D9" s="5"/>
      <c r="E9" s="5"/>
      <c r="G9" s="11"/>
      <c r="H9" s="11"/>
      <c r="I9" s="11"/>
      <c r="J9" s="11"/>
      <c r="K9" s="12"/>
    </row>
    <row r="10" spans="1:13" x14ac:dyDescent="0.3">
      <c r="B10" s="11"/>
      <c r="C10" s="13"/>
      <c r="D10" s="5"/>
      <c r="E10" s="5"/>
      <c r="G10" s="11"/>
      <c r="H10" s="11"/>
      <c r="I10" s="11"/>
      <c r="J10" s="11"/>
      <c r="K10" s="12"/>
    </row>
    <row r="11" spans="1:13" x14ac:dyDescent="0.3">
      <c r="B11" s="11"/>
      <c r="C11" s="10" t="s">
        <v>62</v>
      </c>
      <c r="D11" s="14"/>
      <c r="E11" s="14"/>
      <c r="F11" s="15"/>
      <c r="G11" s="11"/>
      <c r="H11" s="11"/>
      <c r="I11" s="11"/>
      <c r="J11" s="11"/>
      <c r="K11" s="12"/>
    </row>
    <row r="12" spans="1:13" x14ac:dyDescent="0.3">
      <c r="B12" s="16"/>
      <c r="C12" s="15"/>
    </row>
    <row r="13" spans="1:13" x14ac:dyDescent="0.3">
      <c r="F13" s="117" t="str">
        <f>"Oferta " &amp; PROPER(D4)</f>
        <v>Oferta Producto No. 7</v>
      </c>
      <c r="G13" s="117"/>
      <c r="H13" s="117"/>
      <c r="I13" s="117"/>
      <c r="J13" s="117"/>
    </row>
    <row r="14" spans="1:13" ht="72.75" customHeight="1" x14ac:dyDescent="0.3">
      <c r="F14" s="17" t="s">
        <v>6</v>
      </c>
      <c r="G14" s="18" t="s">
        <v>7</v>
      </c>
      <c r="H14" s="18" t="s">
        <v>8</v>
      </c>
      <c r="I14" s="18" t="s">
        <v>9</v>
      </c>
      <c r="J14" s="19" t="s">
        <v>10</v>
      </c>
    </row>
    <row r="15" spans="1:13" x14ac:dyDescent="0.3">
      <c r="A15" s="20">
        <v>22.85</v>
      </c>
      <c r="B15" s="20">
        <v>31</v>
      </c>
      <c r="F15" s="21">
        <f>+'Cantidades Producto No. 7'!A16</f>
        <v>46357</v>
      </c>
      <c r="G15" s="22">
        <f>+_xlfn.XLOOKUP(F15,'[1]Oferta Producto Base Curva'!$F$15:$F$26,'[1]Oferta Producto Base Curva'!$G$15:$G$26)</f>
        <v>6091.3721651307833</v>
      </c>
      <c r="H15" s="23"/>
      <c r="I15" s="24"/>
      <c r="J15" s="25"/>
      <c r="L15" s="26"/>
      <c r="M15" s="26"/>
    </row>
    <row r="16" spans="1:13" x14ac:dyDescent="0.3">
      <c r="F16" s="30" t="s">
        <v>11</v>
      </c>
      <c r="G16" s="31">
        <f>SUM(G15:G15)</f>
        <v>6091.3721651307833</v>
      </c>
      <c r="H16" s="32"/>
      <c r="I16" s="32"/>
      <c r="J16" s="33"/>
    </row>
    <row r="17" spans="1:12" x14ac:dyDescent="0.3">
      <c r="F17" s="34"/>
      <c r="G17" s="35"/>
    </row>
    <row r="18" spans="1:12" x14ac:dyDescent="0.3">
      <c r="B18" s="36" t="s">
        <v>12</v>
      </c>
      <c r="C18" s="37"/>
      <c r="D18" s="37"/>
      <c r="E18" s="37"/>
      <c r="F18" s="37"/>
      <c r="G18" s="37"/>
      <c r="L18" s="37"/>
    </row>
    <row r="19" spans="1:12" x14ac:dyDescent="0.3">
      <c r="B19" s="36"/>
      <c r="C19" s="37"/>
      <c r="D19" s="37"/>
      <c r="E19" s="37"/>
      <c r="F19" s="37"/>
      <c r="G19" s="37"/>
      <c r="H19" s="37"/>
      <c r="I19" s="37"/>
      <c r="J19" s="37"/>
      <c r="K19" s="37"/>
      <c r="L19" s="37"/>
    </row>
    <row r="20" spans="1:12" ht="24.75" customHeight="1" x14ac:dyDescent="0.3">
      <c r="B20" s="112" t="s">
        <v>13</v>
      </c>
      <c r="C20" s="112"/>
      <c r="D20" s="112"/>
      <c r="E20" s="112"/>
      <c r="F20" s="112"/>
      <c r="G20" s="112"/>
      <c r="H20" s="112"/>
      <c r="I20" s="112"/>
      <c r="J20" s="112"/>
      <c r="K20" s="112"/>
      <c r="L20" s="112"/>
    </row>
    <row r="21" spans="1:12" ht="39" customHeight="1" x14ac:dyDescent="0.3">
      <c r="B21" s="112" t="str">
        <f>"(2) Las cantidades se distribuyen de acuerdo a la curva del Anexo 1. Ofertas y Cantidades "&amp; D4 &amp;" de los Pliegos de Condiciones Definitivos"</f>
        <v>(2) Las cantidades se distribuyen de acuerdo a la curva del Anexo 1. Ofertas y Cantidades PRODUCTO No. 7 de los Pliegos de Condiciones Definitivos</v>
      </c>
      <c r="C21" s="112"/>
      <c r="D21" s="112"/>
      <c r="E21" s="112"/>
      <c r="F21" s="112"/>
      <c r="G21" s="112"/>
      <c r="H21" s="112"/>
      <c r="I21" s="112"/>
      <c r="J21" s="112"/>
      <c r="K21" s="112"/>
      <c r="L21" s="112"/>
    </row>
    <row r="22" spans="1:12" ht="83.25" customHeight="1" x14ac:dyDescent="0.3">
      <c r="B22" s="113" t="s">
        <v>69</v>
      </c>
      <c r="C22" s="113"/>
      <c r="D22" s="113"/>
      <c r="E22" s="113"/>
      <c r="F22" s="113"/>
      <c r="G22" s="113"/>
      <c r="H22" s="113"/>
      <c r="I22" s="113"/>
      <c r="J22" s="113"/>
      <c r="K22" s="113"/>
      <c r="L22" s="113"/>
    </row>
    <row r="23" spans="1:12" ht="43.5" customHeight="1" x14ac:dyDescent="0.3">
      <c r="B23" s="113" t="s">
        <v>14</v>
      </c>
      <c r="C23" s="113"/>
      <c r="D23" s="113"/>
      <c r="E23" s="113"/>
      <c r="F23" s="113"/>
      <c r="G23" s="113"/>
      <c r="H23" s="113"/>
      <c r="I23" s="113"/>
      <c r="J23" s="113"/>
      <c r="K23" s="113"/>
      <c r="L23" s="113"/>
    </row>
    <row r="24" spans="1:12" ht="60" customHeight="1" x14ac:dyDescent="0.3">
      <c r="B24" s="113" t="s">
        <v>15</v>
      </c>
      <c r="C24" s="113"/>
      <c r="D24" s="113"/>
      <c r="E24" s="113"/>
      <c r="F24" s="113"/>
      <c r="G24" s="113"/>
      <c r="H24" s="113"/>
      <c r="I24" s="113"/>
      <c r="J24" s="113"/>
      <c r="K24" s="113"/>
      <c r="L24" s="113"/>
    </row>
    <row r="25" spans="1:12" ht="80.25" customHeight="1" x14ac:dyDescent="0.3">
      <c r="A25" s="15"/>
      <c r="B25" s="113" t="s">
        <v>16</v>
      </c>
      <c r="C25" s="113"/>
      <c r="D25" s="113"/>
      <c r="E25" s="113"/>
      <c r="F25" s="113"/>
      <c r="G25" s="113"/>
      <c r="H25" s="113"/>
      <c r="I25" s="113"/>
      <c r="J25" s="113"/>
      <c r="K25" s="113"/>
      <c r="L25" s="113"/>
    </row>
    <row r="27" spans="1:12" ht="24.75" customHeight="1" x14ac:dyDescent="0.3">
      <c r="B27" s="38"/>
      <c r="C27" s="38"/>
      <c r="D27" s="38"/>
      <c r="E27" s="38"/>
      <c r="F27" s="38"/>
      <c r="G27" s="38"/>
      <c r="H27" s="38"/>
      <c r="I27" s="38"/>
      <c r="J27" s="38"/>
      <c r="K27" s="38"/>
      <c r="L27" s="38"/>
    </row>
  </sheetData>
  <mergeCells count="10">
    <mergeCell ref="B22:L22"/>
    <mergeCell ref="B23:L23"/>
    <mergeCell ref="B24:L24"/>
    <mergeCell ref="B25:L25"/>
    <mergeCell ref="D2:J2"/>
    <mergeCell ref="C3:K3"/>
    <mergeCell ref="D4:J4"/>
    <mergeCell ref="F13:J13"/>
    <mergeCell ref="B20:L20"/>
    <mergeCell ref="B21:L21"/>
  </mergeCells>
  <printOptions horizontalCentered="1" verticalCentered="1"/>
  <pageMargins left="0" right="0.39370078740157483" top="0.19685039370078741" bottom="0.19685039370078741" header="0.39370078740157483" footer="0.39370078740157483"/>
  <pageSetup scale="39" orientation="portrait" r:id="rId1"/>
  <colBreaks count="1" manualBreakCount="1">
    <brk id="14" max="1048575" man="1"/>
  </col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5AA7E-F7EA-4BC8-BCEE-3109D42A1EFE}">
  <sheetPr>
    <tabColor theme="9" tint="0.39997558519241921"/>
  </sheetPr>
  <dimension ref="A1:AE19"/>
  <sheetViews>
    <sheetView showGridLines="0" zoomScale="55" zoomScaleNormal="55" workbookViewId="0">
      <selection activeCell="AA16" sqref="AA16"/>
    </sheetView>
  </sheetViews>
  <sheetFormatPr baseColWidth="10" defaultColWidth="14.42578125" defaultRowHeight="15" x14ac:dyDescent="0.2"/>
  <cols>
    <col min="1" max="1" width="93.140625" style="39" bestFit="1" customWidth="1"/>
    <col min="2" max="20" width="7.28515625" style="83" bestFit="1" customWidth="1"/>
    <col min="21" max="21" width="7.7109375" style="83" bestFit="1" customWidth="1"/>
    <col min="22" max="25" width="7.28515625" style="83" bestFit="1" customWidth="1"/>
    <col min="26" max="26" width="13.85546875" style="84" bestFit="1" customWidth="1"/>
    <col min="27" max="27" width="8.5703125" style="39" bestFit="1" customWidth="1"/>
    <col min="28" max="28" width="9.7109375" style="39" customWidth="1"/>
    <col min="29" max="29" width="5.28515625" style="39" customWidth="1"/>
    <col min="30" max="30" width="28.7109375" style="85" bestFit="1" customWidth="1"/>
    <col min="31" max="31" width="14.42578125" style="85"/>
    <col min="32" max="16384" width="14.42578125" style="39"/>
  </cols>
  <sheetData>
    <row r="1" spans="1:31" ht="93" customHeight="1" thickBot="1" x14ac:dyDescent="0.25"/>
    <row r="2" spans="1:31" ht="23.25" x14ac:dyDescent="0.35">
      <c r="A2" s="43" t="s">
        <v>18</v>
      </c>
    </row>
    <row r="3" spans="1:31" ht="21" thickBot="1" x14ac:dyDescent="0.35">
      <c r="A3" s="44" t="s">
        <v>61</v>
      </c>
    </row>
    <row r="4" spans="1:31" ht="15.75" thickBot="1" x14ac:dyDescent="0.25"/>
    <row r="5" spans="1:31" ht="16.5" thickBot="1" x14ac:dyDescent="0.3">
      <c r="A5" s="45"/>
      <c r="B5" s="86"/>
      <c r="C5" s="86"/>
      <c r="D5" s="86"/>
      <c r="E5" s="87"/>
      <c r="F5" s="86"/>
      <c r="G5" s="86"/>
      <c r="H5" s="86"/>
      <c r="I5" s="86"/>
      <c r="J5" s="86"/>
      <c r="K5" s="88"/>
      <c r="L5" s="88"/>
      <c r="M5" s="88"/>
      <c r="N5" s="88"/>
      <c r="O5" s="88"/>
      <c r="P5" s="88"/>
      <c r="Q5" s="88"/>
      <c r="R5" s="88"/>
      <c r="S5" s="88"/>
      <c r="T5" s="88"/>
      <c r="U5" s="88"/>
      <c r="V5" s="88"/>
      <c r="W5" s="88"/>
      <c r="X5" s="88"/>
      <c r="Y5" s="88"/>
      <c r="Z5" s="89"/>
      <c r="AA5"/>
      <c r="AB5" s="50"/>
      <c r="AD5" s="42"/>
    </row>
    <row r="6" spans="1:31" ht="16.5" thickBot="1" x14ac:dyDescent="0.3">
      <c r="A6"/>
      <c r="B6" s="86"/>
      <c r="C6" s="86"/>
      <c r="D6" s="86"/>
      <c r="E6" s="86"/>
      <c r="F6" s="86"/>
      <c r="G6" s="86"/>
      <c r="H6" s="86"/>
      <c r="I6" s="86"/>
      <c r="J6" s="86"/>
      <c r="K6" s="90"/>
      <c r="L6" s="90"/>
      <c r="M6" s="90"/>
      <c r="N6" s="90"/>
      <c r="O6" s="90"/>
      <c r="P6" s="90"/>
      <c r="Q6" s="90"/>
      <c r="R6" s="90"/>
      <c r="S6" s="90"/>
      <c r="T6" s="90"/>
      <c r="U6" s="90"/>
      <c r="V6" s="90"/>
      <c r="W6" s="90"/>
      <c r="X6" s="90"/>
      <c r="Y6" s="90"/>
      <c r="Z6" s="89"/>
      <c r="AA6"/>
      <c r="AB6"/>
      <c r="AD6" s="42"/>
      <c r="AE6" s="42"/>
    </row>
    <row r="7" spans="1:31" ht="15.95" customHeight="1" thickBot="1" x14ac:dyDescent="0.25">
      <c r="A7" s="52" t="s">
        <v>20</v>
      </c>
      <c r="B7" s="53" t="s">
        <v>21</v>
      </c>
      <c r="C7" s="53" t="s">
        <v>22</v>
      </c>
      <c r="D7" s="53" t="s">
        <v>23</v>
      </c>
      <c r="E7" s="53" t="s">
        <v>24</v>
      </c>
      <c r="F7" s="53" t="s">
        <v>25</v>
      </c>
      <c r="G7" s="53" t="s">
        <v>26</v>
      </c>
      <c r="H7" s="53" t="s">
        <v>27</v>
      </c>
      <c r="I7" s="53" t="s">
        <v>28</v>
      </c>
      <c r="J7" s="53" t="s">
        <v>29</v>
      </c>
      <c r="K7" s="53" t="s">
        <v>30</v>
      </c>
      <c r="L7" s="53" t="s">
        <v>31</v>
      </c>
      <c r="M7" s="53" t="s">
        <v>32</v>
      </c>
      <c r="N7" s="53" t="s">
        <v>33</v>
      </c>
      <c r="O7" s="53" t="s">
        <v>34</v>
      </c>
      <c r="P7" s="53" t="s">
        <v>35</v>
      </c>
      <c r="Q7" s="53" t="s">
        <v>36</v>
      </c>
      <c r="R7" s="53" t="s">
        <v>37</v>
      </c>
      <c r="S7" s="53" t="s">
        <v>38</v>
      </c>
      <c r="T7" s="53" t="s">
        <v>39</v>
      </c>
      <c r="U7" s="53" t="s">
        <v>40</v>
      </c>
      <c r="V7" s="53" t="s">
        <v>41</v>
      </c>
      <c r="W7" s="53" t="s">
        <v>42</v>
      </c>
      <c r="X7" s="53" t="s">
        <v>43</v>
      </c>
      <c r="Y7" s="53" t="s">
        <v>44</v>
      </c>
      <c r="Z7" s="53" t="s">
        <v>11</v>
      </c>
      <c r="AA7" s="54" t="s">
        <v>45</v>
      </c>
      <c r="AB7" s="55"/>
      <c r="AC7" s="85"/>
      <c r="AD7" s="91" t="s">
        <v>49</v>
      </c>
      <c r="AE7" s="42"/>
    </row>
    <row r="8" spans="1:31" ht="16.5" thickBot="1" x14ac:dyDescent="0.3">
      <c r="A8" s="56">
        <f>+$A$16</f>
        <v>46357</v>
      </c>
      <c r="B8" s="92">
        <v>3.5210979846128465</v>
      </c>
      <c r="C8" s="92">
        <v>2.1634146225342339</v>
      </c>
      <c r="D8" s="92">
        <v>1.4475567327217722</v>
      </c>
      <c r="E8" s="92">
        <v>1.146015334552787</v>
      </c>
      <c r="F8" s="92">
        <v>1.5179082704734392</v>
      </c>
      <c r="G8" s="92">
        <v>2.6884095529153709</v>
      </c>
      <c r="H8" s="92">
        <v>5.2906807295194884</v>
      </c>
      <c r="I8" s="92">
        <v>5.0999321221472274</v>
      </c>
      <c r="J8" s="92">
        <v>7.7929272391781339</v>
      </c>
      <c r="K8" s="92">
        <v>9.5739618618204698</v>
      </c>
      <c r="L8" s="92">
        <v>11.283668128450634</v>
      </c>
      <c r="M8" s="92">
        <v>12.786984318829694</v>
      </c>
      <c r="N8" s="92">
        <v>12.803267736327282</v>
      </c>
      <c r="O8" s="92">
        <v>12.510539639904367</v>
      </c>
      <c r="P8" s="92">
        <v>12.746428099723008</v>
      </c>
      <c r="Q8" s="92">
        <v>12.55091021479282</v>
      </c>
      <c r="R8" s="92">
        <v>11.957821737825784</v>
      </c>
      <c r="S8" s="92">
        <v>14.759882810146824</v>
      </c>
      <c r="T8" s="92">
        <v>15.893930307255593</v>
      </c>
      <c r="U8" s="92">
        <v>15.810452885837789</v>
      </c>
      <c r="V8" s="92">
        <v>14.460383508757849</v>
      </c>
      <c r="W8" s="92">
        <v>12.581803181028823</v>
      </c>
      <c r="X8" s="92">
        <v>9.7719612135491403</v>
      </c>
      <c r="Y8" s="92">
        <v>6.8032135847441095</v>
      </c>
      <c r="Z8" s="93">
        <f t="shared" ref="Z8:Z11" si="0">SUM(B8:Y8)</f>
        <v>216.96315181764945</v>
      </c>
      <c r="AA8" s="59">
        <f>+SUMIFS('Cantidades Producto Base Curva'!$AA:$AA,'Cantidades Producto Base Curva'!$A:$A,'Cantidades Producto No. 7'!$A8,'Cantidades Producto Base Curva'!$AD:$AD,'Cantidades Producto No. 7'!AD8)</f>
        <v>21</v>
      </c>
      <c r="AB8" s="60">
        <f>+Z8*AA8</f>
        <v>4556.2261881706381</v>
      </c>
      <c r="AC8" s="85"/>
      <c r="AD8" s="60" t="s">
        <v>46</v>
      </c>
      <c r="AE8" s="42"/>
    </row>
    <row r="9" spans="1:31" ht="16.5" thickBot="1" x14ac:dyDescent="0.3">
      <c r="A9" s="61">
        <f t="shared" ref="A9:A11" si="1">+$A$16</f>
        <v>46357</v>
      </c>
      <c r="B9" s="92">
        <v>3.7104186037721156</v>
      </c>
      <c r="C9" s="92">
        <v>2.3242857368180267</v>
      </c>
      <c r="D9" s="92">
        <v>1.5189039248324407</v>
      </c>
      <c r="E9" s="92">
        <v>1.0971686388763846</v>
      </c>
      <c r="F9" s="92">
        <v>1.3399806835986383</v>
      </c>
      <c r="G9" s="92">
        <v>1.9514160673102015</v>
      </c>
      <c r="H9" s="92">
        <v>4.2504220951417446</v>
      </c>
      <c r="I9" s="92">
        <v>4.0537466729834701</v>
      </c>
      <c r="J9" s="92">
        <v>6.9184178526492834</v>
      </c>
      <c r="K9" s="92">
        <v>8.9412899992460009</v>
      </c>
      <c r="L9" s="92">
        <v>10.508285258089163</v>
      </c>
      <c r="M9" s="92">
        <v>11.891288068240232</v>
      </c>
      <c r="N9" s="92">
        <v>11.841083544789086</v>
      </c>
      <c r="O9" s="92">
        <v>10.767384840247106</v>
      </c>
      <c r="P9" s="92">
        <v>9.8178458226097725</v>
      </c>
      <c r="Q9" s="92">
        <v>9.3315748592355376</v>
      </c>
      <c r="R9" s="92">
        <v>9.1122557728423992</v>
      </c>
      <c r="S9" s="92">
        <v>12.943989345262235</v>
      </c>
      <c r="T9" s="92">
        <v>14.411392095266448</v>
      </c>
      <c r="U9" s="92">
        <v>14.225399244496032</v>
      </c>
      <c r="V9" s="92">
        <v>12.827704776008002</v>
      </c>
      <c r="W9" s="92">
        <v>11.063516026353209</v>
      </c>
      <c r="X9" s="92">
        <v>8.6909330888262559</v>
      </c>
      <c r="Y9" s="92">
        <v>6.2750118367888357</v>
      </c>
      <c r="Z9" s="94">
        <f t="shared" si="0"/>
        <v>189.81371485428264</v>
      </c>
      <c r="AA9" s="59">
        <f>+SUMIFS('Cantidades Producto Base Curva'!$AA:$AA,'Cantidades Producto Base Curva'!$A:$A,'Cantidades Producto No. 7'!$A9,'Cantidades Producto Base Curva'!$AD:$AD,'Cantidades Producto No. 7'!AD9)</f>
        <v>4</v>
      </c>
      <c r="AB9" s="65">
        <f>+Z9*AA9</f>
        <v>759.25485941713055</v>
      </c>
      <c r="AC9" s="85"/>
      <c r="AD9" s="65" t="s">
        <v>50</v>
      </c>
      <c r="AE9" s="42"/>
    </row>
    <row r="10" spans="1:31" ht="16.5" thickBot="1" x14ac:dyDescent="0.3">
      <c r="A10" s="61">
        <f t="shared" si="1"/>
        <v>46357</v>
      </c>
      <c r="B10" s="92">
        <v>3.8558022739688167</v>
      </c>
      <c r="C10" s="92">
        <v>2.5209300463821784</v>
      </c>
      <c r="D10" s="92">
        <v>1.6370956286109795</v>
      </c>
      <c r="E10" s="92">
        <v>1.0284042897387335</v>
      </c>
      <c r="F10" s="92">
        <v>0.8337879210405954</v>
      </c>
      <c r="G10" s="92">
        <v>0.85883273900850332</v>
      </c>
      <c r="H10" s="92">
        <v>1.6023284806715163</v>
      </c>
      <c r="I10" s="92">
        <v>0</v>
      </c>
      <c r="J10" s="92">
        <v>1.6174372517899682</v>
      </c>
      <c r="K10" s="92">
        <v>3.565848483437323</v>
      </c>
      <c r="L10" s="92">
        <v>5.1997775023593569</v>
      </c>
      <c r="M10" s="92">
        <v>6.5011364798067151</v>
      </c>
      <c r="N10" s="92">
        <v>7.3428957024633927</v>
      </c>
      <c r="O10" s="92">
        <v>7.3827949447051218</v>
      </c>
      <c r="P10" s="92">
        <v>6.7365346005593745</v>
      </c>
      <c r="Q10" s="92">
        <v>6.2932005725352065</v>
      </c>
      <c r="R10" s="92">
        <v>5.9268712541485877</v>
      </c>
      <c r="S10" s="92">
        <v>9.7007245148483126</v>
      </c>
      <c r="T10" s="92">
        <v>11.605774135178478</v>
      </c>
      <c r="U10" s="92">
        <v>11.740531208545347</v>
      </c>
      <c r="V10" s="92">
        <v>10.988157515905732</v>
      </c>
      <c r="W10" s="92">
        <v>9.6676576658858604</v>
      </c>
      <c r="X10" s="92">
        <v>7.5661272156850972</v>
      </c>
      <c r="Y10" s="92">
        <v>5.1425358298937498</v>
      </c>
      <c r="Z10" s="94">
        <f t="shared" si="0"/>
        <v>129.31518625716893</v>
      </c>
      <c r="AA10" s="59">
        <f>+SUMIFS('Cantidades Producto Base Curva'!$AA:$AA,'Cantidades Producto Base Curva'!$A:$A,'Cantidades Producto No. 7'!$A10,'Cantidades Producto Base Curva'!$AD:$AD,'Cantidades Producto No. 7'!AD10)</f>
        <v>6</v>
      </c>
      <c r="AB10" s="65">
        <f t="shared" ref="AB10:AB11" si="2">+Z10*AA10</f>
        <v>775.89111754301359</v>
      </c>
      <c r="AC10" s="85"/>
      <c r="AD10" s="65" t="s">
        <v>51</v>
      </c>
      <c r="AE10" s="42"/>
    </row>
    <row r="11" spans="1:31" ht="15.75" x14ac:dyDescent="0.25">
      <c r="A11" s="61">
        <f t="shared" si="1"/>
        <v>46357</v>
      </c>
      <c r="B11" s="92">
        <v>8.8004738174187231</v>
      </c>
      <c r="C11" s="92">
        <v>7.3091759149293214</v>
      </c>
      <c r="D11" s="92">
        <v>6.3167577525199956</v>
      </c>
      <c r="E11" s="92">
        <v>5.6176121677735136</v>
      </c>
      <c r="F11" s="92">
        <v>5.3566671918519058</v>
      </c>
      <c r="G11" s="92">
        <v>5.33674188305244</v>
      </c>
      <c r="H11" s="92">
        <v>6.133829995574299</v>
      </c>
      <c r="I11" s="92">
        <v>4.5946693339122939</v>
      </c>
      <c r="J11" s="92">
        <v>6.321538850340672</v>
      </c>
      <c r="K11" s="92">
        <v>8.3270220540056545</v>
      </c>
      <c r="L11" s="92">
        <v>9.9797275216884955</v>
      </c>
      <c r="M11" s="92">
        <v>11.289146731599256</v>
      </c>
      <c r="N11" s="92">
        <v>12.167891523034857</v>
      </c>
      <c r="O11" s="92">
        <v>12.229354493806124</v>
      </c>
      <c r="P11" s="92">
        <v>11.585856194973399</v>
      </c>
      <c r="Q11" s="92">
        <v>11.097838893379784</v>
      </c>
      <c r="R11" s="92">
        <v>10.71152655548814</v>
      </c>
      <c r="S11" s="92">
        <v>14.516519602132218</v>
      </c>
      <c r="T11" s="92">
        <v>16.616612310275158</v>
      </c>
      <c r="U11" s="92">
        <v>16.93389012866729</v>
      </c>
      <c r="V11" s="92">
        <v>16.23504933291213</v>
      </c>
      <c r="W11" s="92">
        <v>14.891240509567062</v>
      </c>
      <c r="X11" s="92">
        <v>12.599889515579168</v>
      </c>
      <c r="Y11" s="92">
        <v>9.9878410697707665</v>
      </c>
      <c r="Z11" s="94">
        <f t="shared" si="0"/>
        <v>244.9568733442527</v>
      </c>
      <c r="AA11" s="59">
        <f>+SUMIFS('Cantidades Producto Base Curva'!$AA:$AA,'Cantidades Producto Base Curva'!$A:$A,'Cantidades Producto No. 7'!$A11,'Cantidades Producto Base Curva'!$AD:$AD,'Cantidades Producto No. 7'!AD11)</f>
        <v>0</v>
      </c>
      <c r="AB11" s="65">
        <f t="shared" si="2"/>
        <v>0</v>
      </c>
      <c r="AC11" s="85"/>
      <c r="AD11" s="65" t="s">
        <v>52</v>
      </c>
      <c r="AE11" s="42"/>
    </row>
    <row r="12" spans="1:31" s="85" customFormat="1" ht="16.5" thickBot="1" x14ac:dyDescent="0.3">
      <c r="A12"/>
      <c r="B12" s="95"/>
      <c r="C12" s="90"/>
      <c r="D12" s="90"/>
      <c r="E12" s="90"/>
      <c r="F12" s="90"/>
      <c r="G12" s="90"/>
      <c r="H12" s="90"/>
      <c r="I12" s="90"/>
      <c r="J12" s="90"/>
      <c r="K12" s="90"/>
      <c r="L12" s="90"/>
      <c r="M12" s="90"/>
      <c r="N12" s="90"/>
      <c r="O12" s="90"/>
      <c r="P12" s="90"/>
      <c r="Q12" s="90"/>
      <c r="R12" s="90"/>
      <c r="S12" s="90"/>
      <c r="T12" s="90"/>
      <c r="U12" s="90"/>
      <c r="V12" s="90"/>
      <c r="W12" s="90"/>
      <c r="X12" s="90"/>
      <c r="Y12" s="90"/>
      <c r="Z12" s="89"/>
      <c r="AA12" s="72"/>
      <c r="AB12"/>
      <c r="AC12" s="39"/>
      <c r="AD12" s="42"/>
    </row>
    <row r="13" spans="1:31" s="85" customFormat="1" ht="16.5" thickBot="1" x14ac:dyDescent="0.3">
      <c r="A13" s="45" t="s">
        <v>47</v>
      </c>
      <c r="B13" s="90"/>
      <c r="C13" s="90"/>
      <c r="D13" s="90"/>
      <c r="E13" s="96"/>
      <c r="F13" s="90"/>
      <c r="G13" s="90"/>
      <c r="H13" s="90"/>
      <c r="I13" s="90"/>
      <c r="J13" s="90"/>
      <c r="K13" s="90"/>
      <c r="L13" s="90"/>
      <c r="M13" s="90"/>
      <c r="N13" s="90"/>
      <c r="O13" s="90"/>
      <c r="P13" s="90"/>
      <c r="Q13" s="90"/>
      <c r="R13" s="90"/>
      <c r="S13" s="90"/>
      <c r="T13" s="90"/>
      <c r="U13" s="90"/>
      <c r="V13" s="90"/>
      <c r="W13" s="90"/>
      <c r="X13" s="90"/>
      <c r="Y13" s="90"/>
      <c r="Z13" s="89"/>
      <c r="AA13" s="72"/>
      <c r="AB13"/>
      <c r="AC13" s="39"/>
      <c r="AD13" s="42"/>
    </row>
    <row r="14" spans="1:31" s="85" customFormat="1" ht="16.5" thickBot="1" x14ac:dyDescent="0.3">
      <c r="A14"/>
      <c r="B14" s="95"/>
      <c r="C14" s="90"/>
      <c r="D14" s="90"/>
      <c r="E14" s="90"/>
      <c r="F14" s="90"/>
      <c r="G14" s="90"/>
      <c r="H14" s="90"/>
      <c r="I14" s="90"/>
      <c r="J14" s="90"/>
      <c r="K14" s="90"/>
      <c r="L14" s="90"/>
      <c r="M14" s="90"/>
      <c r="N14" s="90"/>
      <c r="O14" s="90"/>
      <c r="P14" s="90"/>
      <c r="Q14" s="90"/>
      <c r="R14" s="90"/>
      <c r="S14" s="90"/>
      <c r="T14" s="90"/>
      <c r="U14" s="90"/>
      <c r="V14" s="90"/>
      <c r="W14" s="90"/>
      <c r="X14" s="90"/>
      <c r="Y14" s="90"/>
      <c r="Z14" s="89"/>
      <c r="AA14"/>
      <c r="AB14"/>
      <c r="AC14" s="39"/>
      <c r="AD14" s="42"/>
    </row>
    <row r="15" spans="1:31" s="85" customFormat="1" ht="15.75" thickBot="1" x14ac:dyDescent="0.25">
      <c r="A15" s="52" t="s">
        <v>20</v>
      </c>
      <c r="B15" s="53" t="s">
        <v>21</v>
      </c>
      <c r="C15" s="53" t="s">
        <v>22</v>
      </c>
      <c r="D15" s="53" t="s">
        <v>23</v>
      </c>
      <c r="E15" s="53" t="s">
        <v>24</v>
      </c>
      <c r="F15" s="53" t="s">
        <v>25</v>
      </c>
      <c r="G15" s="53" t="s">
        <v>26</v>
      </c>
      <c r="H15" s="53" t="s">
        <v>27</v>
      </c>
      <c r="I15" s="53" t="s">
        <v>28</v>
      </c>
      <c r="J15" s="53" t="s">
        <v>29</v>
      </c>
      <c r="K15" s="53" t="s">
        <v>30</v>
      </c>
      <c r="L15" s="53" t="s">
        <v>31</v>
      </c>
      <c r="M15" s="53" t="s">
        <v>32</v>
      </c>
      <c r="N15" s="53" t="s">
        <v>33</v>
      </c>
      <c r="O15" s="53" t="s">
        <v>34</v>
      </c>
      <c r="P15" s="53" t="s">
        <v>35</v>
      </c>
      <c r="Q15" s="53" t="s">
        <v>36</v>
      </c>
      <c r="R15" s="53" t="s">
        <v>37</v>
      </c>
      <c r="S15" s="53" t="s">
        <v>38</v>
      </c>
      <c r="T15" s="53" t="s">
        <v>39</v>
      </c>
      <c r="U15" s="53" t="s">
        <v>40</v>
      </c>
      <c r="V15" s="53" t="s">
        <v>41</v>
      </c>
      <c r="W15" s="53" t="s">
        <v>42</v>
      </c>
      <c r="X15" s="53" t="s">
        <v>43</v>
      </c>
      <c r="Y15" s="53" t="s">
        <v>44</v>
      </c>
      <c r="Z15" s="53" t="s">
        <v>11</v>
      </c>
      <c r="AA15" s="53" t="s">
        <v>45</v>
      </c>
      <c r="AB15" s="55"/>
      <c r="AC15" s="39"/>
      <c r="AD15" s="76"/>
    </row>
    <row r="16" spans="1:31" s="85" customFormat="1" ht="15.75" x14ac:dyDescent="0.25">
      <c r="A16" s="56">
        <v>46357</v>
      </c>
      <c r="B16" s="97">
        <f>+B8*$AA$8+B9*$AA$9+B10*$AA$10+B11*$AA$11</f>
        <v>111.91954573577114</v>
      </c>
      <c r="C16" s="97">
        <f t="shared" ref="C16:Y16" si="3">+C8*$AA$8+C9*$AA$9+C10*$AA$10+C11*$AA$11</f>
        <v>69.854430298784081</v>
      </c>
      <c r="D16" s="97">
        <f t="shared" si="3"/>
        <v>46.296880858152861</v>
      </c>
      <c r="E16" s="97">
        <f t="shared" si="3"/>
        <v>34.625422319546466</v>
      </c>
      <c r="F16" s="97">
        <f t="shared" si="3"/>
        <v>42.23872394058035</v>
      </c>
      <c r="G16" s="97">
        <f t="shared" si="3"/>
        <v>69.415261314514609</v>
      </c>
      <c r="H16" s="97">
        <f t="shared" si="3"/>
        <v>137.71995458450533</v>
      </c>
      <c r="I16" s="97">
        <f t="shared" si="3"/>
        <v>123.31356125702567</v>
      </c>
      <c r="J16" s="97">
        <f t="shared" si="3"/>
        <v>201.02976694407778</v>
      </c>
      <c r="K16" s="97">
        <f t="shared" si="3"/>
        <v>258.21344999583783</v>
      </c>
      <c r="L16" s="97">
        <f t="shared" si="3"/>
        <v>310.18883674397608</v>
      </c>
      <c r="M16" s="97">
        <f t="shared" si="3"/>
        <v>355.09864184722477</v>
      </c>
      <c r="N16" s="97">
        <f t="shared" si="3"/>
        <v>360.29033085680959</v>
      </c>
      <c r="O16" s="97">
        <f t="shared" si="3"/>
        <v>350.08764146721086</v>
      </c>
      <c r="P16" s="97">
        <f t="shared" si="3"/>
        <v>347.36558098797849</v>
      </c>
      <c r="Q16" s="97">
        <f t="shared" si="3"/>
        <v>338.6546173828026</v>
      </c>
      <c r="R16" s="97">
        <f t="shared" si="3"/>
        <v>323.12450711060256</v>
      </c>
      <c r="S16" s="97">
        <f t="shared" si="3"/>
        <v>419.93784348322214</v>
      </c>
      <c r="T16" s="97">
        <f t="shared" si="3"/>
        <v>461.0527496445041</v>
      </c>
      <c r="U16" s="97">
        <f t="shared" si="3"/>
        <v>459.3642948318498</v>
      </c>
      <c r="V16" s="97">
        <f t="shared" si="3"/>
        <v>420.9078178833812</v>
      </c>
      <c r="W16" s="97">
        <f t="shared" si="3"/>
        <v>366.47787690233326</v>
      </c>
      <c r="X16" s="97">
        <f t="shared" si="3"/>
        <v>285.37168113394756</v>
      </c>
      <c r="Y16" s="97">
        <f t="shared" si="3"/>
        <v>198.82274760614413</v>
      </c>
      <c r="Z16" s="93">
        <f t="shared" ref="Z16" si="4">SUM(B16:Y16)</f>
        <v>6091.3721651307833</v>
      </c>
      <c r="AA16" s="59">
        <f>+AA8+AA9+AA10+AA11</f>
        <v>31</v>
      </c>
      <c r="AB16" s="60">
        <f>+AB8+AB9+AB10+AB11</f>
        <v>6091.3721651307824</v>
      </c>
      <c r="AC16" s="110">
        <f>+AB16-'Oferta Producto No. 7'!G15</f>
        <v>0</v>
      </c>
      <c r="AD16" s="111"/>
    </row>
    <row r="17" spans="1:29" s="85" customFormat="1" x14ac:dyDescent="0.2">
      <c r="A17" s="39"/>
      <c r="B17" s="83"/>
      <c r="C17" s="83"/>
      <c r="D17" s="83"/>
      <c r="E17" s="83"/>
      <c r="F17" s="83"/>
      <c r="G17" s="83"/>
      <c r="H17" s="83"/>
      <c r="I17" s="83"/>
      <c r="J17" s="83"/>
      <c r="K17" s="83"/>
      <c r="L17" s="83"/>
      <c r="M17" s="83"/>
      <c r="N17" s="83"/>
      <c r="O17" s="83"/>
      <c r="P17" s="83"/>
      <c r="Q17" s="83"/>
      <c r="R17" s="83"/>
      <c r="S17" s="83"/>
      <c r="T17" s="83"/>
      <c r="U17" s="83"/>
      <c r="V17" s="83"/>
      <c r="W17" s="83"/>
      <c r="X17" s="83"/>
      <c r="Y17" s="83"/>
      <c r="Z17" s="84"/>
      <c r="AA17" s="39"/>
      <c r="AB17" s="39"/>
      <c r="AC17" s="39"/>
    </row>
    <row r="19" spans="1:29" s="85" customFormat="1" x14ac:dyDescent="0.2">
      <c r="A19" s="39"/>
      <c r="B19" s="83"/>
      <c r="C19" s="83"/>
      <c r="D19" s="83"/>
      <c r="E19" s="83"/>
      <c r="F19" s="83"/>
      <c r="G19" s="83"/>
      <c r="H19" s="83"/>
      <c r="I19" s="83"/>
      <c r="J19" s="83"/>
      <c r="K19" s="83"/>
      <c r="L19" s="83"/>
      <c r="M19" s="83"/>
      <c r="N19" s="83"/>
      <c r="O19" s="83"/>
      <c r="P19" s="83"/>
      <c r="Q19" s="83"/>
      <c r="R19" s="83"/>
      <c r="S19" s="83"/>
      <c r="T19" s="83"/>
      <c r="U19" s="83"/>
      <c r="V19" s="83"/>
      <c r="W19" s="83"/>
      <c r="X19" s="83"/>
      <c r="Y19" s="83"/>
      <c r="Z19" s="98"/>
      <c r="AA19" s="39"/>
      <c r="AB19" s="39"/>
      <c r="AC19" s="39"/>
    </row>
  </sheetData>
  <conditionalFormatting sqref="B1:Y1048576">
    <cfRule type="cellIs" dxfId="2" priority="1" operator="lessThan">
      <formula>0</formula>
    </cfRule>
  </conditionalFormatting>
  <conditionalFormatting sqref="AA8:AA11">
    <cfRule type="cellIs" dxfId="1" priority="3" operator="lessThan">
      <formula>0</formula>
    </cfRule>
  </conditionalFormatting>
  <conditionalFormatting sqref="AA16">
    <cfRule type="cellIs" dxfId="0" priority="2" operator="lessThan">
      <formula>0</formula>
    </cfRule>
  </conditionalFormatting>
  <pageMargins left="0.75" right="0.75" top="1" bottom="1" header="0" footer="0"/>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7</vt:i4>
      </vt:variant>
    </vt:vector>
  </HeadingPairs>
  <TitlesOfParts>
    <vt:vector size="22" baseType="lpstr">
      <vt:lpstr>Oferta Producto No. 1</vt:lpstr>
      <vt:lpstr>Cantidades Producto No. 1</vt:lpstr>
      <vt:lpstr>Oferta Producto No. 2 </vt:lpstr>
      <vt:lpstr>Cantidades Producto No. 2</vt:lpstr>
      <vt:lpstr>Cantidades Producto Base Curva</vt:lpstr>
      <vt:lpstr>Oferta Producto No. 3</vt:lpstr>
      <vt:lpstr>Cantidades Producto No. 3</vt:lpstr>
      <vt:lpstr>Oferta Producto No. 4</vt:lpstr>
      <vt:lpstr>Cantidades Producto No. 4</vt:lpstr>
      <vt:lpstr>Oferta Producto No. 5</vt:lpstr>
      <vt:lpstr>Cantidades Producto No. 5</vt:lpstr>
      <vt:lpstr>Oferta Producto No. 6</vt:lpstr>
      <vt:lpstr>Cantidades Producto No. 6</vt:lpstr>
      <vt:lpstr>Oferta Producto No. 7</vt:lpstr>
      <vt:lpstr>Cantidades Producto No. 7</vt:lpstr>
      <vt:lpstr>'Oferta Producto No. 1'!Área_de_impresión</vt:lpstr>
      <vt:lpstr>'Oferta Producto No. 2 '!Área_de_impresión</vt:lpstr>
      <vt:lpstr>'Oferta Producto No. 3'!Área_de_impresión</vt:lpstr>
      <vt:lpstr>'Oferta Producto No. 4'!Área_de_impresión</vt:lpstr>
      <vt:lpstr>'Oferta Producto No. 5'!Área_de_impresión</vt:lpstr>
      <vt:lpstr>'Oferta Producto No. 6'!Área_de_impresión</vt:lpstr>
      <vt:lpstr>'Oferta Producto No. 7'!Área_de_impresión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 Arias Castano</dc:creator>
  <cp:lastModifiedBy>John Alexander Perilla Rincon</cp:lastModifiedBy>
  <dcterms:created xsi:type="dcterms:W3CDTF">2025-10-16T14:19:16Z</dcterms:created>
  <dcterms:modified xsi:type="dcterms:W3CDTF">2025-10-28T02:36:59Z</dcterms:modified>
</cp:coreProperties>
</file>