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elsia.sharepoint.com/sites/VP_TYD_TE/MITRHA/15_Compras_Energia/CELSIA COLOMBIA/Licitaciones/2026/CP-EPSC2026-001/Pliegos Definitivos/"/>
    </mc:Choice>
  </mc:AlternateContent>
  <xr:revisionPtr revIDLastSave="308" documentId="8_{FFCDC07D-3E81-4B66-8782-D9AE71B5DE20}" xr6:coauthVersionLast="47" xr6:coauthVersionMax="47" xr10:uidLastSave="{F6014DE3-AF69-4E8F-9C85-0ADE489E90C5}"/>
  <bookViews>
    <workbookView xWindow="20370" yWindow="-120" windowWidth="29040" windowHeight="15720" tabRatio="602" xr2:uid="{AE04A264-B901-4B34-A8A6-2C5B58A0F334}"/>
  </bookViews>
  <sheets>
    <sheet name="Anexo1" sheetId="13" r:id="rId1"/>
    <sheet name="Anexo 1A" sheetId="35" r:id="rId2"/>
    <sheet name="Anexo 5" sheetId="14" r:id="rId3"/>
    <sheet name="Cantidades Ofertadas Prod1" sheetId="19" r:id="rId4"/>
    <sheet name="Anexo 2" sheetId="20" r:id="rId5"/>
    <sheet name="Anexo 2A" sheetId="31" r:id="rId6"/>
    <sheet name="Anexo 6" sheetId="21" r:id="rId7"/>
    <sheet name="Cantidades Ofertadas Prod 2" sheetId="22" r:id="rId8"/>
    <sheet name="Anexo 3" sheetId="24" r:id="rId9"/>
    <sheet name="Anexo 3A" sheetId="36" r:id="rId10"/>
    <sheet name="Anexo 7" sheetId="25" r:id="rId11"/>
    <sheet name="Cantidades Ofertadas Prod 3" sheetId="28" r:id="rId12"/>
    <sheet name="Anexo 4" sheetId="11" r:id="rId13"/>
    <sheet name="Anexo 4A" sheetId="32" r:id="rId14"/>
    <sheet name="Anexo 8" sheetId="12" r:id="rId15"/>
    <sheet name="Cantidades Ofertadas Prod 4" sheetId="1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2" i="36" l="1"/>
  <c r="E21" i="36"/>
  <c r="C21" i="36"/>
  <c r="E20" i="36"/>
  <c r="C20" i="36"/>
  <c r="E19" i="36"/>
  <c r="C19" i="36"/>
  <c r="E18" i="36"/>
  <c r="C18" i="36"/>
  <c r="E17" i="36"/>
  <c r="C17" i="36"/>
  <c r="E16" i="36"/>
  <c r="C16" i="36"/>
  <c r="E15" i="36"/>
  <c r="C15" i="36"/>
  <c r="E14" i="36"/>
  <c r="C14" i="36"/>
  <c r="E13" i="36"/>
  <c r="C13" i="36"/>
  <c r="E12" i="36"/>
  <c r="C12" i="36"/>
  <c r="E11" i="36"/>
  <c r="C11" i="36"/>
  <c r="E10" i="36"/>
  <c r="E22" i="36" s="1"/>
  <c r="C10" i="36"/>
  <c r="C22" i="36" s="1"/>
  <c r="E11" i="35"/>
  <c r="E12" i="35"/>
  <c r="E13" i="35"/>
  <c r="E14" i="35"/>
  <c r="E15" i="35"/>
  <c r="E16" i="35"/>
  <c r="E17" i="35"/>
  <c r="E18" i="35"/>
  <c r="E19" i="35"/>
  <c r="E20" i="35"/>
  <c r="E21" i="35"/>
  <c r="E10" i="35"/>
  <c r="C11" i="35"/>
  <c r="C12" i="35"/>
  <c r="C13" i="35"/>
  <c r="C14" i="35"/>
  <c r="C15" i="35"/>
  <c r="C16" i="35"/>
  <c r="C17" i="35"/>
  <c r="C18" i="35"/>
  <c r="C19" i="35"/>
  <c r="C20" i="35"/>
  <c r="C21" i="35"/>
  <c r="C10" i="35"/>
  <c r="D6" i="19" l="1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V30" i="19"/>
  <c r="W30" i="19"/>
  <c r="X30" i="19"/>
  <c r="Y30" i="19"/>
  <c r="Z30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Y31" i="19"/>
  <c r="Z31" i="19"/>
  <c r="D32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W32" i="19"/>
  <c r="X32" i="19"/>
  <c r="Y32" i="19"/>
  <c r="Z32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D34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V34" i="19"/>
  <c r="W34" i="19"/>
  <c r="X34" i="19"/>
  <c r="Y34" i="19"/>
  <c r="Z34" i="19"/>
  <c r="D35" i="19"/>
  <c r="E35" i="19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Y35" i="19"/>
  <c r="Z35" i="19"/>
  <c r="D36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Q36" i="19"/>
  <c r="R36" i="19"/>
  <c r="S36" i="19"/>
  <c r="T36" i="19"/>
  <c r="U36" i="19"/>
  <c r="V36" i="19"/>
  <c r="W36" i="19"/>
  <c r="X36" i="19"/>
  <c r="Y36" i="19"/>
  <c r="Z36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Z37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V38" i="19"/>
  <c r="W38" i="19"/>
  <c r="X38" i="19"/>
  <c r="Y38" i="19"/>
  <c r="Z38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D40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V40" i="19"/>
  <c r="W40" i="19"/>
  <c r="X40" i="19"/>
  <c r="Y40" i="19"/>
  <c r="Z40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Y41" i="19"/>
  <c r="Z41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6" i="19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6" i="21"/>
  <c r="C21" i="32" l="1"/>
  <c r="C20" i="32"/>
  <c r="C19" i="32"/>
  <c r="C18" i="32"/>
  <c r="C17" i="32"/>
  <c r="C16" i="32"/>
  <c r="C15" i="32"/>
  <c r="C14" i="32"/>
  <c r="C13" i="32"/>
  <c r="C12" i="32"/>
  <c r="C11" i="32"/>
  <c r="C10" i="32"/>
  <c r="C21" i="31"/>
  <c r="C20" i="31"/>
  <c r="C19" i="31"/>
  <c r="C18" i="31"/>
  <c r="C17" i="31"/>
  <c r="C16" i="31"/>
  <c r="C15" i="31"/>
  <c r="C14" i="31"/>
  <c r="C13" i="31"/>
  <c r="C12" i="31"/>
  <c r="C11" i="31"/>
  <c r="C10" i="31"/>
  <c r="F22" i="35"/>
  <c r="E21" i="32"/>
  <c r="E20" i="32"/>
  <c r="E19" i="32"/>
  <c r="E18" i="32"/>
  <c r="E17" i="32"/>
  <c r="E16" i="32"/>
  <c r="E15" i="32"/>
  <c r="E14" i="32"/>
  <c r="E13" i="32"/>
  <c r="E12" i="32"/>
  <c r="E11" i="32"/>
  <c r="E10" i="32"/>
  <c r="C22" i="35" l="1"/>
  <c r="E22" i="35"/>
  <c r="H34" i="32"/>
  <c r="H33" i="32"/>
  <c r="F22" i="32"/>
  <c r="C22" i="32" l="1"/>
  <c r="E11" i="31"/>
  <c r="E12" i="31"/>
  <c r="E13" i="31"/>
  <c r="E14" i="31"/>
  <c r="E15" i="31"/>
  <c r="E16" i="31"/>
  <c r="E17" i="31"/>
  <c r="E18" i="31"/>
  <c r="E19" i="31"/>
  <c r="E20" i="31"/>
  <c r="E21" i="31"/>
  <c r="E10" i="31"/>
  <c r="F22" i="31"/>
  <c r="C22" i="31" l="1"/>
  <c r="E22" i="31"/>
  <c r="D20" i="18" l="1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C19" i="18"/>
  <c r="C20" i="18"/>
  <c r="C18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C16" i="18"/>
  <c r="C17" i="18"/>
  <c r="C15" i="18"/>
  <c r="C12" i="18"/>
  <c r="D12" i="18"/>
  <c r="E12" i="18"/>
  <c r="F12" i="18"/>
  <c r="G12" i="18"/>
  <c r="H12" i="18"/>
  <c r="I12" i="18"/>
  <c r="J12" i="18"/>
  <c r="K12" i="18"/>
  <c r="L12" i="18"/>
  <c r="M12" i="18"/>
  <c r="C13" i="18"/>
  <c r="D13" i="18"/>
  <c r="E13" i="18"/>
  <c r="F13" i="18"/>
  <c r="G13" i="18"/>
  <c r="H13" i="18"/>
  <c r="I13" i="18"/>
  <c r="J13" i="18"/>
  <c r="K13" i="18"/>
  <c r="L13" i="18"/>
  <c r="M13" i="18"/>
  <c r="C14" i="18"/>
  <c r="D14" i="18"/>
  <c r="E14" i="18"/>
  <c r="F14" i="18"/>
  <c r="G14" i="18"/>
  <c r="H14" i="18"/>
  <c r="I14" i="18"/>
  <c r="J14" i="18"/>
  <c r="K14" i="18"/>
  <c r="L14" i="18"/>
  <c r="M14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N13" i="18"/>
  <c r="N14" i="18"/>
  <c r="N12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C10" i="18"/>
  <c r="C11" i="18"/>
  <c r="C9" i="18"/>
  <c r="F22" i="11"/>
  <c r="F22" i="13"/>
  <c r="F22" i="24"/>
  <c r="F22" i="20"/>
  <c r="Z41" i="28" l="1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Z37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Z26" i="28"/>
  <c r="Y26" i="28"/>
  <c r="X26" i="28"/>
  <c r="W26" i="28"/>
  <c r="V26" i="28"/>
  <c r="U26" i="28"/>
  <c r="T26" i="28"/>
  <c r="S26" i="28"/>
  <c r="R26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Z24" i="28"/>
  <c r="Y24" i="28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Z14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Z11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Z7" i="28"/>
  <c r="Y7" i="28"/>
  <c r="X7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G7" i="28"/>
  <c r="F7" i="28"/>
  <c r="E7" i="28"/>
  <c r="D7" i="28"/>
  <c r="C7" i="28"/>
  <c r="Z6" i="28"/>
  <c r="Y6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E6" i="28"/>
  <c r="D6" i="28"/>
  <c r="C6" i="28"/>
  <c r="AB42" i="28"/>
  <c r="AB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25" i="25"/>
  <c r="AA24" i="25"/>
  <c r="AA23" i="25"/>
  <c r="AA22" i="25"/>
  <c r="AA21" i="25"/>
  <c r="AA20" i="25"/>
  <c r="AA19" i="25"/>
  <c r="AA18" i="25"/>
  <c r="AA17" i="25"/>
  <c r="AA16" i="25"/>
  <c r="AA15" i="25"/>
  <c r="AA14" i="25"/>
  <c r="AA13" i="25"/>
  <c r="AA12" i="25"/>
  <c r="AA11" i="25"/>
  <c r="AA10" i="25"/>
  <c r="AA9" i="25"/>
  <c r="AA8" i="25"/>
  <c r="AA7" i="25"/>
  <c r="AA6" i="25"/>
  <c r="H37" i="24"/>
  <c r="H36" i="24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W28" i="22"/>
  <c r="X28" i="22"/>
  <c r="Y28" i="22"/>
  <c r="Z28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S30" i="22"/>
  <c r="T30" i="22"/>
  <c r="U30" i="22"/>
  <c r="V30" i="22"/>
  <c r="W30" i="22"/>
  <c r="X30" i="22"/>
  <c r="Y30" i="22"/>
  <c r="Z30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V31" i="22"/>
  <c r="W31" i="22"/>
  <c r="X31" i="22"/>
  <c r="Y31" i="22"/>
  <c r="Z31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S32" i="22"/>
  <c r="T32" i="22"/>
  <c r="U32" i="22"/>
  <c r="V32" i="22"/>
  <c r="W32" i="22"/>
  <c r="X32" i="22"/>
  <c r="Y32" i="22"/>
  <c r="Z32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U33" i="22"/>
  <c r="V33" i="22"/>
  <c r="W33" i="22"/>
  <c r="X33" i="22"/>
  <c r="Y33" i="22"/>
  <c r="Z33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Q34" i="22"/>
  <c r="R34" i="22"/>
  <c r="S34" i="22"/>
  <c r="T34" i="22"/>
  <c r="U34" i="22"/>
  <c r="V34" i="22"/>
  <c r="W34" i="22"/>
  <c r="X34" i="22"/>
  <c r="Y34" i="22"/>
  <c r="Z34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Q36" i="22"/>
  <c r="R36" i="22"/>
  <c r="S36" i="22"/>
  <c r="T36" i="22"/>
  <c r="U36" i="22"/>
  <c r="V36" i="22"/>
  <c r="W36" i="22"/>
  <c r="X36" i="22"/>
  <c r="Y36" i="22"/>
  <c r="Z36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P37" i="22"/>
  <c r="Q37" i="22"/>
  <c r="R37" i="22"/>
  <c r="S37" i="22"/>
  <c r="T37" i="22"/>
  <c r="U37" i="22"/>
  <c r="V37" i="22"/>
  <c r="W37" i="22"/>
  <c r="X37" i="22"/>
  <c r="Y37" i="22"/>
  <c r="Z37" i="22"/>
  <c r="D38" i="22"/>
  <c r="E38" i="22"/>
  <c r="F38" i="22"/>
  <c r="G38" i="22"/>
  <c r="H38" i="22"/>
  <c r="I38" i="22"/>
  <c r="J38" i="22"/>
  <c r="K38" i="22"/>
  <c r="L38" i="22"/>
  <c r="M38" i="22"/>
  <c r="N38" i="22"/>
  <c r="O38" i="22"/>
  <c r="P38" i="22"/>
  <c r="Q38" i="22"/>
  <c r="R38" i="22"/>
  <c r="S38" i="22"/>
  <c r="T38" i="22"/>
  <c r="U38" i="22"/>
  <c r="V38" i="22"/>
  <c r="W38" i="22"/>
  <c r="X38" i="22"/>
  <c r="Y38" i="22"/>
  <c r="Z38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U39" i="22"/>
  <c r="V39" i="22"/>
  <c r="W39" i="22"/>
  <c r="X39" i="22"/>
  <c r="Y39" i="22"/>
  <c r="Z39" i="22"/>
  <c r="D40" i="22"/>
  <c r="E40" i="22"/>
  <c r="F40" i="22"/>
  <c r="G40" i="22"/>
  <c r="H40" i="22"/>
  <c r="I40" i="22"/>
  <c r="J40" i="22"/>
  <c r="K40" i="22"/>
  <c r="L40" i="22"/>
  <c r="M40" i="22"/>
  <c r="N40" i="22"/>
  <c r="O40" i="22"/>
  <c r="P40" i="22"/>
  <c r="Q40" i="22"/>
  <c r="R40" i="22"/>
  <c r="S40" i="22"/>
  <c r="T40" i="22"/>
  <c r="U40" i="22"/>
  <c r="V40" i="22"/>
  <c r="W40" i="22"/>
  <c r="X40" i="22"/>
  <c r="Y40" i="22"/>
  <c r="Z40" i="22"/>
  <c r="D41" i="22"/>
  <c r="E41" i="22"/>
  <c r="F41" i="22"/>
  <c r="G41" i="22"/>
  <c r="H41" i="22"/>
  <c r="I41" i="22"/>
  <c r="J41" i="22"/>
  <c r="K41" i="22"/>
  <c r="L41" i="22"/>
  <c r="M41" i="22"/>
  <c r="N41" i="22"/>
  <c r="O41" i="22"/>
  <c r="P41" i="22"/>
  <c r="Q41" i="22"/>
  <c r="R41" i="22"/>
  <c r="S41" i="22"/>
  <c r="T41" i="22"/>
  <c r="U41" i="22"/>
  <c r="V41" i="22"/>
  <c r="W41" i="22"/>
  <c r="X41" i="22"/>
  <c r="Y41" i="22"/>
  <c r="Z41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6" i="22"/>
  <c r="AC9" i="25" l="1"/>
  <c r="C11" i="24" s="1"/>
  <c r="AC24" i="25"/>
  <c r="C16" i="24" s="1"/>
  <c r="AC15" i="25"/>
  <c r="C13" i="24" s="1"/>
  <c r="AC39" i="25"/>
  <c r="C21" i="24" s="1"/>
  <c r="AC12" i="25"/>
  <c r="C12" i="24" s="1"/>
  <c r="AC6" i="25"/>
  <c r="C10" i="24" s="1"/>
  <c r="AC30" i="25"/>
  <c r="C18" i="24" s="1"/>
  <c r="AC33" i="25"/>
  <c r="C19" i="24" s="1"/>
  <c r="AC18" i="25"/>
  <c r="C14" i="24" s="1"/>
  <c r="AC36" i="25"/>
  <c r="C20" i="24" s="1"/>
  <c r="AC27" i="25"/>
  <c r="C17" i="24" s="1"/>
  <c r="AC21" i="25"/>
  <c r="C15" i="24" s="1"/>
  <c r="AA7" i="28"/>
  <c r="AA8" i="28"/>
  <c r="AA9" i="28"/>
  <c r="AA10" i="28"/>
  <c r="AA11" i="28"/>
  <c r="AA12" i="28"/>
  <c r="AA13" i="28"/>
  <c r="AA15" i="28"/>
  <c r="AA16" i="28"/>
  <c r="AA17" i="28"/>
  <c r="AA18" i="28"/>
  <c r="AA19" i="28"/>
  <c r="AA20" i="28"/>
  <c r="AA21" i="28"/>
  <c r="AA22" i="28"/>
  <c r="AA23" i="28"/>
  <c r="AA24" i="28"/>
  <c r="AA26" i="28"/>
  <c r="AA27" i="28"/>
  <c r="AA28" i="28"/>
  <c r="AA29" i="28"/>
  <c r="AA30" i="28"/>
  <c r="AA31" i="28"/>
  <c r="AA32" i="28"/>
  <c r="AA33" i="28"/>
  <c r="AA34" i="28"/>
  <c r="AA35" i="28"/>
  <c r="AA36" i="28"/>
  <c r="AA37" i="28"/>
  <c r="AA38" i="28"/>
  <c r="AA39" i="28"/>
  <c r="AA40" i="28"/>
  <c r="AA41" i="28"/>
  <c r="AA14" i="28"/>
  <c r="AA6" i="28"/>
  <c r="AA25" i="28"/>
  <c r="AA42" i="25"/>
  <c r="AB42" i="22"/>
  <c r="AA41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25" i="22"/>
  <c r="AA24" i="22"/>
  <c r="AA23" i="22"/>
  <c r="AA22" i="22"/>
  <c r="AA21" i="22"/>
  <c r="AA20" i="22"/>
  <c r="AA19" i="22"/>
  <c r="AA18" i="22"/>
  <c r="AA17" i="22"/>
  <c r="AA16" i="22"/>
  <c r="AA15" i="22"/>
  <c r="AA14" i="22"/>
  <c r="AA13" i="22"/>
  <c r="AA12" i="22"/>
  <c r="AA11" i="22"/>
  <c r="AA10" i="22"/>
  <c r="AA9" i="22"/>
  <c r="AA8" i="22"/>
  <c r="AA7" i="22"/>
  <c r="AB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AC42" i="25" l="1"/>
  <c r="AC6" i="28"/>
  <c r="AC18" i="28"/>
  <c r="AC9" i="28"/>
  <c r="AC27" i="28"/>
  <c r="AC33" i="28"/>
  <c r="AC39" i="28"/>
  <c r="AC30" i="28"/>
  <c r="K42" i="22"/>
  <c r="K42" i="28"/>
  <c r="L42" i="22"/>
  <c r="L42" i="28"/>
  <c r="T42" i="22"/>
  <c r="T42" i="28"/>
  <c r="E42" i="22"/>
  <c r="E42" i="28"/>
  <c r="M42" i="22"/>
  <c r="M42" i="28"/>
  <c r="U42" i="22"/>
  <c r="U42" i="28"/>
  <c r="V42" i="22"/>
  <c r="V42" i="28"/>
  <c r="G42" i="22"/>
  <c r="G42" i="28"/>
  <c r="O42" i="22"/>
  <c r="O42" i="28"/>
  <c r="W42" i="22"/>
  <c r="W42" i="28"/>
  <c r="H42" i="22"/>
  <c r="H42" i="28"/>
  <c r="P42" i="22"/>
  <c r="P42" i="28"/>
  <c r="X42" i="22"/>
  <c r="X42" i="28"/>
  <c r="S42" i="22"/>
  <c r="S42" i="28"/>
  <c r="I42" i="22"/>
  <c r="I42" i="28"/>
  <c r="Q42" i="22"/>
  <c r="Q42" i="28"/>
  <c r="Y42" i="22"/>
  <c r="Y42" i="28"/>
  <c r="C42" i="22"/>
  <c r="C42" i="28"/>
  <c r="D42" i="22"/>
  <c r="D42" i="28"/>
  <c r="F42" i="22"/>
  <c r="F42" i="28"/>
  <c r="N42" i="22"/>
  <c r="N42" i="28"/>
  <c r="J42" i="22"/>
  <c r="J42" i="28"/>
  <c r="R42" i="22"/>
  <c r="R42" i="28"/>
  <c r="Z42" i="22"/>
  <c r="Z42" i="28"/>
  <c r="AC12" i="28"/>
  <c r="AC24" i="28"/>
  <c r="AA42" i="28"/>
  <c r="AC21" i="28"/>
  <c r="AC15" i="28"/>
  <c r="AC36" i="28"/>
  <c r="AC12" i="21"/>
  <c r="AC27" i="21"/>
  <c r="AC39" i="21"/>
  <c r="AC24" i="21"/>
  <c r="AC33" i="22"/>
  <c r="AC36" i="21"/>
  <c r="AC30" i="22"/>
  <c r="AC18" i="21"/>
  <c r="AC21" i="21"/>
  <c r="AA42" i="21"/>
  <c r="AC15" i="21"/>
  <c r="AC6" i="21"/>
  <c r="AC30" i="21"/>
  <c r="AC9" i="21"/>
  <c r="AC33" i="21"/>
  <c r="AC39" i="22"/>
  <c r="AC24" i="22"/>
  <c r="AC9" i="22"/>
  <c r="AC18" i="22"/>
  <c r="AC27" i="22"/>
  <c r="AC36" i="22"/>
  <c r="AC21" i="22"/>
  <c r="AC15" i="22"/>
  <c r="AC12" i="22"/>
  <c r="AA6" i="22"/>
  <c r="E20" i="24" l="1"/>
  <c r="E18" i="24"/>
  <c r="E15" i="24"/>
  <c r="E17" i="24"/>
  <c r="E21" i="24"/>
  <c r="E11" i="24"/>
  <c r="E12" i="24"/>
  <c r="E10" i="24"/>
  <c r="E13" i="24"/>
  <c r="E19" i="24"/>
  <c r="E16" i="24"/>
  <c r="E14" i="24"/>
  <c r="AC42" i="28"/>
  <c r="C19" i="20"/>
  <c r="C14" i="20"/>
  <c r="C16" i="20"/>
  <c r="C20" i="20"/>
  <c r="C13" i="20"/>
  <c r="C21" i="20"/>
  <c r="C11" i="20"/>
  <c r="C22" i="24"/>
  <c r="C18" i="20"/>
  <c r="C17" i="20"/>
  <c r="C15" i="20"/>
  <c r="C12" i="20"/>
  <c r="E21" i="20"/>
  <c r="E11" i="20"/>
  <c r="E16" i="20"/>
  <c r="E13" i="20"/>
  <c r="E20" i="20"/>
  <c r="E18" i="20"/>
  <c r="E17" i="20"/>
  <c r="E12" i="20"/>
  <c r="E15" i="20"/>
  <c r="E19" i="20"/>
  <c r="E14" i="20"/>
  <c r="AC42" i="21"/>
  <c r="C10" i="20"/>
  <c r="AC6" i="22"/>
  <c r="AA42" i="22"/>
  <c r="E22" i="32" l="1"/>
  <c r="E22" i="24"/>
  <c r="AC42" i="22"/>
  <c r="E10" i="20"/>
  <c r="V42" i="19"/>
  <c r="Q42" i="19"/>
  <c r="O42" i="19"/>
  <c r="N42" i="19"/>
  <c r="H42" i="19"/>
  <c r="F42" i="19"/>
  <c r="D42" i="19"/>
  <c r="AB42" i="19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AB42" i="18"/>
  <c r="T42" i="19" l="1"/>
  <c r="W42" i="19"/>
  <c r="K42" i="19"/>
  <c r="P42" i="19"/>
  <c r="I42" i="19"/>
  <c r="G42" i="19"/>
  <c r="U42" i="19"/>
  <c r="J42" i="19"/>
  <c r="L42" i="19"/>
  <c r="Z42" i="19"/>
  <c r="X42" i="19"/>
  <c r="Y42" i="19"/>
  <c r="E42" i="19"/>
  <c r="AA38" i="19"/>
  <c r="AA10" i="19"/>
  <c r="AA11" i="19"/>
  <c r="AA12" i="19"/>
  <c r="AA14" i="19"/>
  <c r="AA17" i="19"/>
  <c r="AA19" i="19"/>
  <c r="AA22" i="19"/>
  <c r="AA23" i="19"/>
  <c r="AA26" i="19"/>
  <c r="AA32" i="19"/>
  <c r="AA34" i="19"/>
  <c r="AA16" i="19"/>
  <c r="AA27" i="19"/>
  <c r="AA29" i="19"/>
  <c r="R42" i="19"/>
  <c r="AA9" i="19"/>
  <c r="AA13" i="19"/>
  <c r="AA15" i="19"/>
  <c r="AA18" i="19"/>
  <c r="AA20" i="19"/>
  <c r="AA21" i="19"/>
  <c r="AA24" i="19"/>
  <c r="AA30" i="19"/>
  <c r="AA31" i="19"/>
  <c r="AA36" i="19"/>
  <c r="AA37" i="19"/>
  <c r="AA39" i="19"/>
  <c r="AA40" i="19"/>
  <c r="AA41" i="19"/>
  <c r="AA8" i="19"/>
  <c r="AA25" i="19"/>
  <c r="AA35" i="19"/>
  <c r="M42" i="19"/>
  <c r="AA28" i="19"/>
  <c r="AA33" i="19"/>
  <c r="S42" i="19"/>
  <c r="C42" i="19"/>
  <c r="AA7" i="19"/>
  <c r="AA6" i="19"/>
  <c r="O42" i="18"/>
  <c r="W42" i="18"/>
  <c r="S42" i="18"/>
  <c r="G42" i="18"/>
  <c r="K42" i="18"/>
  <c r="E42" i="18"/>
  <c r="U42" i="18"/>
  <c r="C42" i="18"/>
  <c r="AA7" i="18"/>
  <c r="AA8" i="18"/>
  <c r="AA9" i="18"/>
  <c r="AA10" i="18"/>
  <c r="AA11" i="18"/>
  <c r="AA13" i="18"/>
  <c r="AA12" i="18"/>
  <c r="M42" i="18"/>
  <c r="AA6" i="18"/>
  <c r="AB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AA41" i="14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25" i="14"/>
  <c r="AA24" i="14"/>
  <c r="AA23" i="14"/>
  <c r="AA22" i="14"/>
  <c r="AA21" i="14"/>
  <c r="AA20" i="14"/>
  <c r="AA19" i="14"/>
  <c r="AA18" i="14"/>
  <c r="AA17" i="14"/>
  <c r="AA16" i="14"/>
  <c r="AA15" i="14"/>
  <c r="AA14" i="14"/>
  <c r="AA13" i="14"/>
  <c r="AA12" i="14"/>
  <c r="AA11" i="14"/>
  <c r="AA10" i="14"/>
  <c r="AA9" i="14"/>
  <c r="AA8" i="14"/>
  <c r="AA7" i="14"/>
  <c r="AA6" i="14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B42" i="12"/>
  <c r="AA41" i="12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25" i="12"/>
  <c r="AA24" i="12"/>
  <c r="AA23" i="12"/>
  <c r="AA22" i="12"/>
  <c r="AA21" i="12"/>
  <c r="AA20" i="12"/>
  <c r="AA19" i="12"/>
  <c r="AA18" i="12"/>
  <c r="AA17" i="12"/>
  <c r="AA16" i="12"/>
  <c r="AA15" i="12"/>
  <c r="AA14" i="12"/>
  <c r="AA13" i="12"/>
  <c r="AA12" i="12"/>
  <c r="AA11" i="12"/>
  <c r="AA10" i="12"/>
  <c r="AA9" i="12"/>
  <c r="AA8" i="12"/>
  <c r="AA7" i="12"/>
  <c r="AA6" i="12"/>
  <c r="H32" i="11"/>
  <c r="H31" i="11"/>
  <c r="H30" i="11"/>
  <c r="AC27" i="12" l="1"/>
  <c r="C17" i="11" s="1"/>
  <c r="AC24" i="12"/>
  <c r="C16" i="11" s="1"/>
  <c r="AC21" i="14"/>
  <c r="AC6" i="18"/>
  <c r="C15" i="13"/>
  <c r="AC24" i="19"/>
  <c r="AC36" i="19"/>
  <c r="AC15" i="19"/>
  <c r="AC39" i="19"/>
  <c r="AC27" i="19"/>
  <c r="AC9" i="19"/>
  <c r="AC30" i="19"/>
  <c r="AC21" i="19"/>
  <c r="AC18" i="19"/>
  <c r="AC12" i="19"/>
  <c r="AC33" i="19"/>
  <c r="AA42" i="19"/>
  <c r="AC6" i="19"/>
  <c r="AA41" i="18"/>
  <c r="AA18" i="18"/>
  <c r="AC9" i="18"/>
  <c r="AA34" i="18"/>
  <c r="H42" i="18"/>
  <c r="AA38" i="18"/>
  <c r="AA30" i="18"/>
  <c r="AA22" i="18"/>
  <c r="X42" i="18"/>
  <c r="AA35" i="18"/>
  <c r="AA27" i="18"/>
  <c r="AA19" i="18"/>
  <c r="R42" i="18"/>
  <c r="AA32" i="18"/>
  <c r="AA29" i="18"/>
  <c r="N42" i="18"/>
  <c r="Z42" i="18"/>
  <c r="AA26" i="18"/>
  <c r="L42" i="18"/>
  <c r="AA24" i="18"/>
  <c r="AA16" i="18"/>
  <c r="I42" i="18"/>
  <c r="AA39" i="18"/>
  <c r="AA31" i="18"/>
  <c r="AA23" i="18"/>
  <c r="AA15" i="18"/>
  <c r="P42" i="18"/>
  <c r="AA40" i="18"/>
  <c r="J42" i="18"/>
  <c r="AA37" i="18"/>
  <c r="AA36" i="18"/>
  <c r="AA28" i="18"/>
  <c r="AA20" i="18"/>
  <c r="AA14" i="18"/>
  <c r="AC12" i="18" s="1"/>
  <c r="AA21" i="18"/>
  <c r="AA33" i="18"/>
  <c r="AA25" i="18"/>
  <c r="AA17" i="18"/>
  <c r="T42" i="18"/>
  <c r="F42" i="18"/>
  <c r="D42" i="18"/>
  <c r="Q42" i="18"/>
  <c r="V42" i="18"/>
  <c r="Y42" i="18"/>
  <c r="AC39" i="14"/>
  <c r="AC30" i="12"/>
  <c r="C18" i="11" s="1"/>
  <c r="AC6" i="12"/>
  <c r="C10" i="11" s="1"/>
  <c r="AC6" i="14"/>
  <c r="AC30" i="14"/>
  <c r="AC12" i="12"/>
  <c r="C12" i="11" s="1"/>
  <c r="AC21" i="12"/>
  <c r="C15" i="11" s="1"/>
  <c r="AC15" i="12"/>
  <c r="C13" i="11" s="1"/>
  <c r="AC9" i="12"/>
  <c r="C11" i="11" s="1"/>
  <c r="AC18" i="12"/>
  <c r="C14" i="11" s="1"/>
  <c r="AC27" i="14"/>
  <c r="AC12" i="14"/>
  <c r="AC36" i="14"/>
  <c r="AC15" i="14"/>
  <c r="AC24" i="14"/>
  <c r="AC9" i="14"/>
  <c r="AC33" i="14"/>
  <c r="AC18" i="14"/>
  <c r="AA42" i="14"/>
  <c r="AC33" i="12"/>
  <c r="C19" i="11" s="1"/>
  <c r="AC39" i="12"/>
  <c r="C21" i="11" s="1"/>
  <c r="AC36" i="12"/>
  <c r="C20" i="11" s="1"/>
  <c r="AA42" i="12"/>
  <c r="E11" i="11" l="1"/>
  <c r="E12" i="11"/>
  <c r="E10" i="11"/>
  <c r="E18" i="13"/>
  <c r="E10" i="13"/>
  <c r="E17" i="13"/>
  <c r="E13" i="13"/>
  <c r="E21" i="13"/>
  <c r="E19" i="13"/>
  <c r="E12" i="13"/>
  <c r="E20" i="13"/>
  <c r="E11" i="13"/>
  <c r="E14" i="13"/>
  <c r="E16" i="13"/>
  <c r="E15" i="13"/>
  <c r="C17" i="13"/>
  <c r="C14" i="13"/>
  <c r="C20" i="13"/>
  <c r="C19" i="13"/>
  <c r="C11" i="13"/>
  <c r="C16" i="13"/>
  <c r="C18" i="13"/>
  <c r="C13" i="13"/>
  <c r="C12" i="13"/>
  <c r="C10" i="13"/>
  <c r="C21" i="13"/>
  <c r="AC33" i="18"/>
  <c r="AC42" i="19"/>
  <c r="AC36" i="18"/>
  <c r="AC27" i="18"/>
  <c r="AC18" i="18"/>
  <c r="AC30" i="18"/>
  <c r="AC39" i="18"/>
  <c r="AC24" i="18"/>
  <c r="AC21" i="18"/>
  <c r="AA42" i="18"/>
  <c r="AC15" i="18"/>
  <c r="AC42" i="12"/>
  <c r="AC42" i="14"/>
  <c r="E17" i="11" l="1"/>
  <c r="E13" i="11"/>
  <c r="E20" i="11"/>
  <c r="E19" i="11"/>
  <c r="E18" i="11"/>
  <c r="E14" i="11"/>
  <c r="E15" i="11"/>
  <c r="E16" i="11"/>
  <c r="E21" i="11"/>
  <c r="C22" i="11"/>
  <c r="C22" i="13"/>
  <c r="E22" i="13"/>
  <c r="E22" i="20"/>
  <c r="E30" i="20" s="1"/>
  <c r="C22" i="20"/>
  <c r="AC42" i="18"/>
  <c r="E22" i="11" l="1"/>
</calcChain>
</file>

<file path=xl/sharedStrings.xml><?xml version="1.0" encoding="utf-8"?>
<sst xmlns="http://schemas.openxmlformats.org/spreadsheetml/2006/main" count="680" uniqueCount="86">
  <si>
    <t>TOTAL</t>
  </si>
  <si>
    <t>MES</t>
  </si>
  <si>
    <t>TOTAL AÑO</t>
  </si>
  <si>
    <t>F</t>
  </si>
  <si>
    <t>S</t>
  </si>
  <si>
    <t>O</t>
  </si>
  <si>
    <t>mes</t>
  </si>
  <si>
    <t>TOTAL MES</t>
  </si>
  <si>
    <t>Días/</t>
  </si>
  <si>
    <t>TOTAL DÍA</t>
  </si>
  <si>
    <t>H24</t>
  </si>
  <si>
    <t>H23</t>
  </si>
  <si>
    <t>H22</t>
  </si>
  <si>
    <t>H21</t>
  </si>
  <si>
    <t>H20</t>
  </si>
  <si>
    <t>H19</t>
  </si>
  <si>
    <t>H18</t>
  </si>
  <si>
    <t>H17</t>
  </si>
  <si>
    <t>H16</t>
  </si>
  <si>
    <t>H15</t>
  </si>
  <si>
    <t>H14</t>
  </si>
  <si>
    <t>H13</t>
  </si>
  <si>
    <t>H12</t>
  </si>
  <si>
    <t>H11</t>
  </si>
  <si>
    <t>H10</t>
  </si>
  <si>
    <t>H09</t>
  </si>
  <si>
    <t>H08</t>
  </si>
  <si>
    <t>H07</t>
  </si>
  <si>
    <t>H06</t>
  </si>
  <si>
    <t>H05</t>
  </si>
  <si>
    <t>H04</t>
  </si>
  <si>
    <t>H03</t>
  </si>
  <si>
    <t>H02</t>
  </si>
  <si>
    <t>H01</t>
  </si>
  <si>
    <t>Tipo de día</t>
  </si>
  <si>
    <t>Periodo</t>
  </si>
  <si>
    <t>ENERGIA SOLICITADA kWh/MES</t>
  </si>
  <si>
    <t>ENERGIA OFERTADA kWh/MES</t>
  </si>
  <si>
    <t>PAGUE LO CONTRATADO AÑO 2027</t>
  </si>
  <si>
    <t>% OFERTADO ANUAL</t>
  </si>
  <si>
    <t>PAGUE LO CONTRATADO AÑO 2028</t>
  </si>
  <si>
    <t>PRECIO OFERTADO ANUAL $/kWh</t>
  </si>
  <si>
    <t>* Se debe ofertar un unico precio por producto.</t>
  </si>
  <si>
    <t>PAGUE LO CONTRATADO AÑO 2029</t>
  </si>
  <si>
    <t>* Se  debe ofertar un unico  %  para todos los meses del año.</t>
  </si>
  <si>
    <t>____________________________________________</t>
  </si>
  <si>
    <t xml:space="preserve">Firma del Representante Legal </t>
  </si>
  <si>
    <t>o Apoderado General (Responsable del negocio)</t>
  </si>
  <si>
    <t>ENERGIA MAXIMA A OFERTAR kWh/MES</t>
  </si>
  <si>
    <t>*Solo se debe ingresar valores en las celdas en color Naranja</t>
  </si>
  <si>
    <t>CURVAS REQUERIDAS PRODUCTO 3 AÑO 2028 MODALIDAD PAGUE LO CONTRATADO - kWh</t>
  </si>
  <si>
    <t>PAGUE LO CONTRATADO AÑO 2030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</si>
  <si>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Prod2</t>
    </r>
    <r>
      <rPr>
        <sz val="9"/>
        <color theme="1"/>
        <rFont val="Calibri"/>
        <family val="2"/>
        <scheme val="minor"/>
      </rPr>
      <t>"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</si>
  <si>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Prod3</t>
    </r>
    <r>
      <rPr>
        <sz val="9"/>
        <color theme="1"/>
        <rFont val="Calibri"/>
        <family val="2"/>
        <scheme val="minor"/>
      </rPr>
      <t>"</t>
    </r>
  </si>
  <si>
    <t>kWh OFERTADO</t>
  </si>
  <si>
    <t>* A las ofertas planas al momento de la evaluación se le adicionarán 5 $/kWh al precio ofertado; con el fin de hacerlas comparables con las Ofertas que siguen la curva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</si>
  <si>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Prod4</t>
    </r>
    <r>
      <rPr>
        <sz val="9"/>
        <color theme="1"/>
        <rFont val="Calibri"/>
        <family val="2"/>
        <scheme val="minor"/>
      </rPr>
      <t>"</t>
    </r>
  </si>
  <si>
    <t>ANEXO No  3A - PRODUCTO No. 3 - OFERTA PLANA</t>
  </si>
  <si>
    <t>ANEXO No 4A - PRODUCTO No. 4 - OFERTA PLANA</t>
  </si>
  <si>
    <t>* Se debe oferta un valor de kWh el cual se aplica para todas las horas del año, con un tope horario de 20.000 kWh</t>
  </si>
  <si>
    <t xml:space="preserve">ANEXO No 1 - PRODUCTO No. 1 - CURVA </t>
  </si>
  <si>
    <t>ANEXO No  2A - PRODUCTO No. 1 - OFERTA PLANA BLOQUE 2</t>
  </si>
  <si>
    <t>* Se debe oferta un valor de kWh el cual se aplica para todas las horas del año (B2 periodo 8-17), con un tope horario de 25.000 kWh</t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</si>
  <si>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5</t>
    </r>
    <r>
      <rPr>
        <sz val="9"/>
        <color theme="1"/>
        <rFont val="Calibri"/>
        <family val="2"/>
        <scheme val="minor"/>
      </rPr>
      <t>".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</si>
  <si>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Prod1</t>
    </r>
    <r>
      <rPr>
        <sz val="9"/>
        <color theme="1"/>
        <rFont val="Calibri"/>
        <family val="2"/>
        <scheme val="minor"/>
      </rPr>
      <t>"</t>
    </r>
  </si>
  <si>
    <t>* Para oferta plana Bloque 2 (Periodo 8-17) se debe diligenciar el anexo 1A, con un tope horario de 25.000 kWh</t>
  </si>
  <si>
    <t>ANEXO No  2 - PRODUCTO No. 2 - CURVA</t>
  </si>
  <si>
    <t>CURVAS REQUERIDAS PRODUCTO 1 AÑO 2027 MODALIDAD PAGUE LO CONTRATADO - kWh</t>
  </si>
  <si>
    <t>ANEXO No  2A - PRODUCTO No. 2 - OFERTA PLANA</t>
  </si>
  <si>
    <t>* Se debe oferta un valor de kWh el cual se aplica para todas las horas del año, con un tope horario de 10.000 kWh</t>
  </si>
  <si>
    <t>* Para ofertas planas se debe diligenciar el anexo 2A, con un tope horario de 10.000 kWh</t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</si>
  <si>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6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</si>
  <si>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7</t>
    </r>
    <r>
      <rPr>
        <sz val="9"/>
        <color theme="1"/>
        <rFont val="Calibri"/>
        <family val="2"/>
        <scheme val="minor"/>
      </rPr>
      <t>".</t>
    </r>
  </si>
  <si>
    <t xml:space="preserve">ANEXO No 3 - PRODUCTO No. 3 - CURVA </t>
  </si>
  <si>
    <t>* Se debe oferta un valor de kWh el cual se aplica para todas las horas del año, con un tope horario de 15.000 kWh</t>
  </si>
  <si>
    <t>* Para ofertas planas se debe diligenciar el anexo 3A, con un tope horario de 15.000 kWh</t>
  </si>
  <si>
    <t>CURVAS REQUERIDAS PRODUCTO 3 AÑO 2029 MODALIDAD PAGUE LO CONTRATADO - kWh</t>
  </si>
  <si>
    <t>CANTIDADES OFERTADAS PRODUCTO 3 AÑO 2029 MODALIDAD PAGUE LO CONTRATADO - kWh</t>
  </si>
  <si>
    <t>CANTIDADES OFERTADAS PRODUCTO 1 AÑO 2027 MODALIDAD PAGUE LO CONTRATADO - kWh</t>
  </si>
  <si>
    <t>CANTIDADES OFERTADAS PRODUCTO 2 AÑO 2028 MODALIDAD PAGUE LO CONTRATADO - kWh</t>
  </si>
  <si>
    <t>ANEXO No 4 - PRODUCTO No. 4 CURVA</t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</si>
  <si>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8</t>
    </r>
    <r>
      <rPr>
        <sz val="9"/>
        <color theme="1"/>
        <rFont val="Calibri"/>
        <family val="2"/>
        <scheme val="minor"/>
      </rPr>
      <t>".</t>
    </r>
  </si>
  <si>
    <t>* Para ofertas planas se debe diligenciar el anexo 4A, con un tope horario de 20.000 kWh</t>
  </si>
  <si>
    <t>CURVAS REQUERIDAS PRODUCTO 4 AÑO 2030 MODALIDAD PAGUE LO CONTRATADO - kWh</t>
  </si>
  <si>
    <t>CANTIDADES OFERTADAS PRODUCTO 4 AÑO 2030 MODALIDAD PAGUE LO CONTRATADO - kWh</t>
  </si>
  <si>
    <t>PRECIO OFERTADO EN $ / kWh DE DICIEMBRE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</si>
</sst>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_ ;_ * \-#,##0_ ;_ * &quot;-&quot;??_ ;_ @_ "/>
    <numFmt numFmtId="165" formatCode="_ * #,##0.00_ ;_ * \-#,##0.00_ ;_ * &quot;-&quot;??_ ;_ @_ "/>
    <numFmt numFmtId="166" formatCode="_-* #,##0_-;\-* #,##0_-;_-* &quot;-&quot;??_-;_-@_-"/>
    <numFmt numFmtId="167" formatCode="_-* #,##0.0_-;\-* #,##0.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Segoe UI Light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Segoe UI Light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8E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FBFBF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BFBFBF"/>
      </bottom>
      <diagonal/>
    </border>
    <border>
      <left/>
      <right/>
      <top style="thin">
        <color indexed="64"/>
      </top>
      <bottom style="medium">
        <color rgb="FFBFBFBF"/>
      </bottom>
      <diagonal/>
    </border>
    <border>
      <left/>
      <right style="medium">
        <color rgb="FFBFBFBF"/>
      </right>
      <top style="thin">
        <color indexed="64"/>
      </top>
      <bottom style="medium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BFBFBF"/>
      </right>
      <top/>
      <bottom style="thin">
        <color indexed="64"/>
      </bottom>
      <diagonal/>
    </border>
    <border>
      <left style="thin">
        <color indexed="64"/>
      </left>
      <right style="medium">
        <color rgb="FFBFBFBF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17" fontId="7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3" fillId="0" borderId="0" xfId="0" applyFont="1"/>
    <xf numFmtId="0" fontId="7" fillId="0" borderId="0" xfId="0" applyFont="1"/>
    <xf numFmtId="0" fontId="10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" fontId="10" fillId="0" borderId="14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vertical="center"/>
    </xf>
    <xf numFmtId="17" fontId="10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vertical="center"/>
    </xf>
    <xf numFmtId="17" fontId="10" fillId="0" borderId="4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4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6" fontId="8" fillId="0" borderId="0" xfId="2" applyNumberFormat="1" applyFont="1" applyBorder="1" applyAlignment="1">
      <alignment vertical="center"/>
    </xf>
    <xf numFmtId="166" fontId="10" fillId="0" borderId="4" xfId="2" applyNumberFormat="1" applyFont="1" applyBorder="1" applyAlignment="1">
      <alignment horizontal="center" vertical="center"/>
    </xf>
    <xf numFmtId="166" fontId="7" fillId="0" borderId="0" xfId="2" applyNumberFormat="1" applyFont="1" applyFill="1" applyBorder="1" applyAlignment="1">
      <alignment vertical="center"/>
    </xf>
    <xf numFmtId="166" fontId="11" fillId="0" borderId="16" xfId="2" applyNumberFormat="1" applyFont="1" applyBorder="1" applyAlignment="1">
      <alignment horizontal="center" vertical="center"/>
    </xf>
    <xf numFmtId="166" fontId="11" fillId="0" borderId="15" xfId="2" applyNumberFormat="1" applyFont="1" applyBorder="1" applyAlignment="1">
      <alignment horizontal="center" vertical="center"/>
    </xf>
    <xf numFmtId="166" fontId="11" fillId="0" borderId="14" xfId="2" applyNumberFormat="1" applyFont="1" applyBorder="1" applyAlignment="1">
      <alignment horizontal="center" vertical="center"/>
    </xf>
    <xf numFmtId="166" fontId="11" fillId="0" borderId="12" xfId="2" applyNumberFormat="1" applyFont="1" applyBorder="1" applyAlignment="1">
      <alignment horizontal="center" vertical="center"/>
    </xf>
    <xf numFmtId="166" fontId="11" fillId="0" borderId="11" xfId="2" applyNumberFormat="1" applyFont="1" applyBorder="1" applyAlignment="1">
      <alignment horizontal="center" vertical="center"/>
    </xf>
    <xf numFmtId="166" fontId="11" fillId="0" borderId="3" xfId="2" applyNumberFormat="1" applyFont="1" applyBorder="1" applyAlignment="1">
      <alignment horizontal="center" vertical="center"/>
    </xf>
    <xf numFmtId="166" fontId="11" fillId="0" borderId="8" xfId="2" applyNumberFormat="1" applyFont="1" applyBorder="1" applyAlignment="1">
      <alignment horizontal="center" vertical="center"/>
    </xf>
    <xf numFmtId="166" fontId="11" fillId="0" borderId="7" xfId="2" applyNumberFormat="1" applyFont="1" applyBorder="1" applyAlignment="1">
      <alignment horizontal="center" vertical="center"/>
    </xf>
    <xf numFmtId="166" fontId="11" fillId="0" borderId="4" xfId="2" applyNumberFormat="1" applyFont="1" applyBorder="1" applyAlignment="1">
      <alignment horizontal="center" vertical="center"/>
    </xf>
    <xf numFmtId="43" fontId="0" fillId="0" borderId="0" xfId="2" applyFont="1"/>
    <xf numFmtId="3" fontId="7" fillId="0" borderId="3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66" fontId="0" fillId="0" borderId="0" xfId="2" applyNumberFormat="1" applyFont="1"/>
    <xf numFmtId="3" fontId="10" fillId="0" borderId="6" xfId="2" applyNumberFormat="1" applyFont="1" applyBorder="1" applyAlignment="1">
      <alignment horizontal="center" vertical="center"/>
    </xf>
    <xf numFmtId="166" fontId="11" fillId="0" borderId="0" xfId="2" applyNumberFormat="1" applyFont="1" applyFill="1" applyBorder="1" applyAlignment="1">
      <alignment horizontal="center" vertical="center"/>
    </xf>
    <xf numFmtId="3" fontId="0" fillId="0" borderId="0" xfId="0" applyNumberFormat="1"/>
    <xf numFmtId="166" fontId="0" fillId="0" borderId="0" xfId="0" applyNumberFormat="1"/>
    <xf numFmtId="166" fontId="8" fillId="0" borderId="0" xfId="2" applyNumberFormat="1" applyFont="1" applyFill="1" applyBorder="1" applyAlignment="1">
      <alignment vertical="center"/>
    </xf>
    <xf numFmtId="10" fontId="0" fillId="0" borderId="0" xfId="1" applyNumberFormat="1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43" fontId="8" fillId="0" borderId="1" xfId="2" applyFont="1" applyBorder="1" applyAlignment="1">
      <alignment vertical="center"/>
    </xf>
    <xf numFmtId="166" fontId="8" fillId="0" borderId="1" xfId="2" applyNumberFormat="1" applyFont="1" applyBorder="1" applyAlignment="1">
      <alignment horizontal="center" vertical="center"/>
    </xf>
    <xf numFmtId="166" fontId="7" fillId="0" borderId="3" xfId="2" applyNumberFormat="1" applyFont="1" applyBorder="1" applyAlignment="1">
      <alignment horizontal="center" vertical="center"/>
    </xf>
    <xf numFmtId="166" fontId="7" fillId="0" borderId="2" xfId="2" applyNumberFormat="1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6" fontId="8" fillId="0" borderId="1" xfId="2" applyNumberFormat="1" applyFont="1" applyBorder="1" applyAlignment="1">
      <alignment vertical="center"/>
    </xf>
    <xf numFmtId="0" fontId="15" fillId="0" borderId="0" xfId="0" applyFont="1"/>
    <xf numFmtId="0" fontId="16" fillId="0" borderId="0" xfId="0" applyFont="1"/>
    <xf numFmtId="166" fontId="8" fillId="0" borderId="0" xfId="2" applyNumberFormat="1" applyFont="1" applyAlignment="1">
      <alignment horizontal="center" vertical="center"/>
    </xf>
    <xf numFmtId="167" fontId="0" fillId="0" borderId="0" xfId="2" applyNumberFormat="1" applyFont="1"/>
    <xf numFmtId="0" fontId="5" fillId="0" borderId="0" xfId="0" applyFont="1" applyAlignment="1">
      <alignment horizontal="left" wrapText="1"/>
    </xf>
    <xf numFmtId="0" fontId="7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0" fontId="7" fillId="2" borderId="5" xfId="1" applyNumberFormat="1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6" fontId="7" fillId="2" borderId="5" xfId="2" applyNumberFormat="1" applyFont="1" applyFill="1" applyBorder="1" applyAlignment="1">
      <alignment horizontal="center" vertical="center"/>
    </xf>
    <xf numFmtId="166" fontId="7" fillId="2" borderId="2" xfId="2" applyNumberFormat="1" applyFont="1" applyFill="1" applyBorder="1" applyAlignment="1">
      <alignment horizontal="center" vertical="center"/>
    </xf>
    <xf numFmtId="166" fontId="7" fillId="2" borderId="4" xfId="2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" fontId="12" fillId="0" borderId="1" xfId="0" applyNumberFormat="1" applyFont="1" applyBorder="1" applyAlignment="1">
      <alignment horizontal="center" vertical="center"/>
    </xf>
    <xf numFmtId="3" fontId="11" fillId="0" borderId="13" xfId="2" applyNumberFormat="1" applyFont="1" applyBorder="1" applyAlignment="1">
      <alignment horizontal="center" vertical="center"/>
    </xf>
    <xf numFmtId="3" fontId="11" fillId="0" borderId="10" xfId="2" applyNumberFormat="1" applyFont="1" applyBorder="1" applyAlignment="1">
      <alignment horizontal="center" vertical="center"/>
    </xf>
    <xf numFmtId="3" fontId="11" fillId="0" borderId="6" xfId="2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3" fontId="7" fillId="2" borderId="5" xfId="2" applyFont="1" applyFill="1" applyBorder="1" applyAlignment="1">
      <alignment horizontal="center" vertical="center"/>
    </xf>
    <xf numFmtId="43" fontId="7" fillId="2" borderId="2" xfId="2" applyFont="1" applyFill="1" applyBorder="1" applyAlignment="1">
      <alignment horizontal="center" vertical="center"/>
    </xf>
    <xf numFmtId="43" fontId="7" fillId="2" borderId="4" xfId="2" applyFont="1" applyFill="1" applyBorder="1" applyAlignment="1">
      <alignment horizontal="center" vertical="center"/>
    </xf>
  </cellXfs>
  <cellStyles count="5">
    <cellStyle name="Millares" xfId="2" builtinId="3"/>
    <cellStyle name="Millares 2" xfId="3" xr:uid="{49CB2514-9935-4DA5-AB0D-8763E7E254B0}"/>
    <cellStyle name="Millares 2 4" xfId="4" xr:uid="{82E7BE6C-3E21-4944-8A70-73D5C9EF3D48}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8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2041-3788-4A3C-A99E-DCBB976FEC64}">
  <sheetPr codeName="Hoja2">
    <tabColor rgb="FFFFFF00"/>
  </sheetPr>
  <dimension ref="A1:H37"/>
  <sheetViews>
    <sheetView showGridLines="0" tabSelected="1" topLeftCell="A9" zoomScaleNormal="100" zoomScaleSheetLayoutView="140" workbookViewId="0">
      <selection activeCell="C30" sqref="C30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2:8" x14ac:dyDescent="0.25"/>
    <row r="2" spans="2:8" x14ac:dyDescent="0.25"/>
    <row r="3" spans="2:8" x14ac:dyDescent="0.25">
      <c r="B3" s="71" t="s">
        <v>60</v>
      </c>
      <c r="C3" s="71"/>
      <c r="D3" s="71"/>
      <c r="E3" s="71"/>
      <c r="F3" s="71"/>
      <c r="G3" s="27"/>
    </row>
    <row r="4" spans="2:8" x14ac:dyDescent="0.25">
      <c r="B4" s="71" t="s">
        <v>38</v>
      </c>
      <c r="C4" s="71"/>
      <c r="D4" s="71"/>
      <c r="E4" s="71"/>
      <c r="F4" s="71"/>
      <c r="G4" s="27"/>
    </row>
    <row r="5" spans="2:8" x14ac:dyDescent="0.25">
      <c r="B5" s="71" t="s">
        <v>85</v>
      </c>
      <c r="C5" s="71"/>
      <c r="D5" s="71"/>
      <c r="E5" s="71"/>
      <c r="F5" s="71"/>
      <c r="G5" s="27"/>
    </row>
    <row r="6" spans="2:8" x14ac:dyDescent="0.25">
      <c r="B6" s="3"/>
      <c r="C6" s="3"/>
      <c r="D6" s="3"/>
      <c r="E6" s="3"/>
      <c r="F6" s="3"/>
      <c r="G6" s="3"/>
    </row>
    <row r="7" spans="2:8" x14ac:dyDescent="0.25"/>
    <row r="8" spans="2:8" ht="15" customHeight="1" x14ac:dyDescent="0.25">
      <c r="B8" s="72" t="s">
        <v>1</v>
      </c>
      <c r="C8" s="72" t="s">
        <v>36</v>
      </c>
      <c r="D8" s="72" t="s">
        <v>39</v>
      </c>
      <c r="E8" s="72" t="s">
        <v>37</v>
      </c>
      <c r="F8" s="72" t="s">
        <v>41</v>
      </c>
      <c r="G8" s="26"/>
    </row>
    <row r="9" spans="2:8" ht="23.25" customHeight="1" x14ac:dyDescent="0.25">
      <c r="B9" s="73"/>
      <c r="C9" s="73"/>
      <c r="D9" s="73"/>
      <c r="E9" s="73"/>
      <c r="F9" s="73"/>
      <c r="G9" s="26"/>
    </row>
    <row r="10" spans="2:8" ht="15.75" thickBot="1" x14ac:dyDescent="0.3">
      <c r="B10" s="6">
        <v>46388</v>
      </c>
      <c r="C10" s="41">
        <f>+'Anexo 5'!AC6</f>
        <v>20689603</v>
      </c>
      <c r="D10" s="68"/>
      <c r="E10" s="54">
        <f>+'Cantidades Ofertadas Prod1'!AC6</f>
        <v>0</v>
      </c>
      <c r="F10" s="65"/>
      <c r="G10" s="30"/>
      <c r="H10" s="49"/>
    </row>
    <row r="11" spans="2:8" ht="15.75" thickBot="1" x14ac:dyDescent="0.3">
      <c r="B11" s="6">
        <v>46419</v>
      </c>
      <c r="C11" s="41">
        <f>+'Anexo 5'!AC9</f>
        <v>19115092</v>
      </c>
      <c r="D11" s="69"/>
      <c r="E11" s="54">
        <f>+'Cantidades Ofertadas Prod1'!AC9</f>
        <v>0</v>
      </c>
      <c r="F11" s="66"/>
      <c r="G11" s="30"/>
      <c r="H11" s="49"/>
    </row>
    <row r="12" spans="2:8" ht="15.75" thickBot="1" x14ac:dyDescent="0.3">
      <c r="B12" s="6">
        <v>46447</v>
      </c>
      <c r="C12" s="41">
        <f>+'Anexo 5'!AC12</f>
        <v>20540152</v>
      </c>
      <c r="D12" s="69"/>
      <c r="E12" s="54">
        <f>+'Cantidades Ofertadas Prod1'!AC12</f>
        <v>0</v>
      </c>
      <c r="F12" s="66"/>
      <c r="G12" s="30"/>
      <c r="H12" s="49"/>
    </row>
    <row r="13" spans="2:8" ht="15.75" thickBot="1" x14ac:dyDescent="0.3">
      <c r="B13" s="6">
        <v>46478</v>
      </c>
      <c r="C13" s="41">
        <f>+'Anexo 5'!AC15</f>
        <v>19561496</v>
      </c>
      <c r="D13" s="69"/>
      <c r="E13" s="54">
        <f>+'Cantidades Ofertadas Prod1'!AC15</f>
        <v>0</v>
      </c>
      <c r="F13" s="66"/>
      <c r="G13" s="30"/>
      <c r="H13" s="49"/>
    </row>
    <row r="14" spans="2:8" ht="15.75" thickBot="1" x14ac:dyDescent="0.3">
      <c r="B14" s="6">
        <v>46508</v>
      </c>
      <c r="C14" s="41">
        <f>+'Anexo 5'!AC18</f>
        <v>20181434</v>
      </c>
      <c r="D14" s="69"/>
      <c r="E14" s="54">
        <f>+'Cantidades Ofertadas Prod1'!AC18</f>
        <v>0</v>
      </c>
      <c r="F14" s="66"/>
      <c r="G14" s="30"/>
      <c r="H14" s="49"/>
    </row>
    <row r="15" spans="2:8" ht="15.75" thickBot="1" x14ac:dyDescent="0.3">
      <c r="B15" s="6">
        <v>46539</v>
      </c>
      <c r="C15" s="41">
        <f>+'Anexo 5'!AC21</f>
        <v>19613874</v>
      </c>
      <c r="D15" s="69"/>
      <c r="E15" s="54">
        <f>+'Cantidades Ofertadas Prod1'!AC21</f>
        <v>0</v>
      </c>
      <c r="F15" s="66"/>
      <c r="G15" s="30"/>
      <c r="H15" s="49"/>
    </row>
    <row r="16" spans="2:8" ht="15.75" thickBot="1" x14ac:dyDescent="0.3">
      <c r="B16" s="6">
        <v>46569</v>
      </c>
      <c r="C16" s="41">
        <f>+'Anexo 5'!AC24</f>
        <v>20722505</v>
      </c>
      <c r="D16" s="69"/>
      <c r="E16" s="54">
        <f>+'Cantidades Ofertadas Prod1'!AC24</f>
        <v>0</v>
      </c>
      <c r="F16" s="66"/>
      <c r="G16" s="30"/>
      <c r="H16" s="49"/>
    </row>
    <row r="17" spans="2:8" ht="15.75" thickBot="1" x14ac:dyDescent="0.3">
      <c r="B17" s="6">
        <v>46600</v>
      </c>
      <c r="C17" s="41">
        <f>+'Anexo 5'!AC27</f>
        <v>21089194</v>
      </c>
      <c r="D17" s="69"/>
      <c r="E17" s="54">
        <f>+'Cantidades Ofertadas Prod1'!AC27</f>
        <v>0</v>
      </c>
      <c r="F17" s="66"/>
      <c r="G17" s="30"/>
      <c r="H17" s="49"/>
    </row>
    <row r="18" spans="2:8" ht="15.75" thickBot="1" x14ac:dyDescent="0.3">
      <c r="B18" s="6">
        <v>46631</v>
      </c>
      <c r="C18" s="41">
        <f>+'Anexo 5'!AC30</f>
        <v>20775688</v>
      </c>
      <c r="D18" s="69"/>
      <c r="E18" s="54">
        <f>+'Cantidades Ofertadas Prod1'!AC30</f>
        <v>0</v>
      </c>
      <c r="F18" s="66"/>
      <c r="G18" s="30"/>
      <c r="H18" s="49"/>
    </row>
    <row r="19" spans="2:8" ht="15.75" thickBot="1" x14ac:dyDescent="0.3">
      <c r="B19" s="6">
        <v>46661</v>
      </c>
      <c r="C19" s="41">
        <f>+'Anexo 5'!AC33</f>
        <v>20516167</v>
      </c>
      <c r="D19" s="69"/>
      <c r="E19" s="54">
        <f>+'Cantidades Ofertadas Prod1'!AC33</f>
        <v>0</v>
      </c>
      <c r="F19" s="66"/>
      <c r="G19" s="30"/>
      <c r="H19" s="49"/>
    </row>
    <row r="20" spans="2:8" ht="15.75" thickBot="1" x14ac:dyDescent="0.3">
      <c r="B20" s="6">
        <v>46692</v>
      </c>
      <c r="C20" s="41">
        <f>+'Anexo 5'!AC36</f>
        <v>19530432</v>
      </c>
      <c r="D20" s="69"/>
      <c r="E20" s="54">
        <f>+'Cantidades Ofertadas Prod1'!AC36</f>
        <v>0</v>
      </c>
      <c r="F20" s="66"/>
      <c r="G20" s="30"/>
      <c r="H20" s="49"/>
    </row>
    <row r="21" spans="2:8" ht="15.75" thickBot="1" x14ac:dyDescent="0.3">
      <c r="B21" s="6">
        <v>46722</v>
      </c>
      <c r="C21" s="42">
        <f>+'Anexo 5'!AC39</f>
        <v>20980309</v>
      </c>
      <c r="D21" s="70"/>
      <c r="E21" s="55">
        <f>+'Cantidades Ofertadas Prod1'!AC39</f>
        <v>0</v>
      </c>
      <c r="F21" s="67"/>
      <c r="G21" s="30"/>
      <c r="H21" s="49"/>
    </row>
    <row r="22" spans="2:8" ht="28.5" customHeight="1" x14ac:dyDescent="0.25">
      <c r="B22" s="7" t="s">
        <v>0</v>
      </c>
      <c r="C22" s="8">
        <f>+SUM(C10:C21)</f>
        <v>243315946</v>
      </c>
      <c r="D22" s="59"/>
      <c r="E22" s="53">
        <f>SUM(E10:E21)</f>
        <v>0</v>
      </c>
      <c r="F22" s="52">
        <f>+F10</f>
        <v>0</v>
      </c>
      <c r="G22" s="48"/>
      <c r="H22" s="40"/>
    </row>
    <row r="23" spans="2:8" ht="19.5" customHeight="1" x14ac:dyDescent="0.25">
      <c r="B23" s="5" t="s">
        <v>49</v>
      </c>
      <c r="C23" s="23"/>
      <c r="D23" s="28"/>
      <c r="E23" s="23"/>
      <c r="F23" s="24"/>
      <c r="G23" s="24"/>
      <c r="H23" s="40"/>
    </row>
    <row r="24" spans="2:8" x14ac:dyDescent="0.25">
      <c r="B24" s="64" t="s">
        <v>44</v>
      </c>
      <c r="C24" s="64"/>
      <c r="D24" s="64"/>
      <c r="E24" s="64"/>
      <c r="F24" s="64"/>
      <c r="G24" s="64"/>
      <c r="H24" s="51"/>
    </row>
    <row r="25" spans="2:8" x14ac:dyDescent="0.25">
      <c r="B25" s="5" t="s">
        <v>63</v>
      </c>
      <c r="C25" s="50"/>
      <c r="D25" s="50"/>
      <c r="E25" s="50"/>
      <c r="F25" s="50"/>
      <c r="G25" s="50"/>
      <c r="H25" s="40"/>
    </row>
    <row r="26" spans="2:8" x14ac:dyDescent="0.25">
      <c r="B26" s="5" t="s">
        <v>64</v>
      </c>
      <c r="C26" s="50"/>
      <c r="D26" s="50"/>
      <c r="E26" s="50"/>
      <c r="F26" s="50"/>
      <c r="G26" s="50"/>
      <c r="H26" s="40"/>
    </row>
    <row r="27" spans="2:8" x14ac:dyDescent="0.25">
      <c r="B27" s="5" t="s">
        <v>42</v>
      </c>
    </row>
    <row r="28" spans="2:8" x14ac:dyDescent="0.25">
      <c r="B28" s="5" t="s">
        <v>65</v>
      </c>
    </row>
    <row r="29" spans="2:8" x14ac:dyDescent="0.25">
      <c r="B29" s="5"/>
      <c r="C29" s="43"/>
      <c r="E29" s="43"/>
    </row>
    <row r="30" spans="2:8" x14ac:dyDescent="0.25">
      <c r="B30" s="5"/>
      <c r="C30" s="43"/>
    </row>
    <row r="31" spans="2:8" x14ac:dyDescent="0.25">
      <c r="B31" s="5"/>
    </row>
    <row r="32" spans="2:8" x14ac:dyDescent="0.25">
      <c r="B32" s="57" t="s">
        <v>45</v>
      </c>
      <c r="C32" s="43"/>
      <c r="D32" s="57"/>
      <c r="E32" s="57"/>
    </row>
    <row r="33" spans="2:5" x14ac:dyDescent="0.25">
      <c r="B33" s="58" t="s">
        <v>46</v>
      </c>
      <c r="C33" s="58"/>
      <c r="D33" s="58"/>
      <c r="E33" s="58"/>
    </row>
    <row r="34" spans="2:5" x14ac:dyDescent="0.25">
      <c r="B34" s="58" t="s">
        <v>47</v>
      </c>
    </row>
    <row r="35" spans="2:5" x14ac:dyDescent="0.25"/>
    <row r="36" spans="2:5" x14ac:dyDescent="0.25"/>
    <row r="37" spans="2:5" x14ac:dyDescent="0.25"/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AF594D90-A320-4C55-ADB7-FC06DEF3D4CA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EF76-D27D-4865-8E2C-F1BF53E15655}">
  <sheetPr codeName="Hoja10">
    <tabColor rgb="FFFFFF00"/>
  </sheetPr>
  <dimension ref="A1:H33"/>
  <sheetViews>
    <sheetView showGridLines="0" zoomScaleNormal="100" zoomScaleSheetLayoutView="140" workbookViewId="0">
      <selection activeCell="B5" sqref="B5:F5"/>
    </sheetView>
  </sheetViews>
  <sheetFormatPr baseColWidth="10" defaultColWidth="0" defaultRowHeight="15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1" t="s">
        <v>61</v>
      </c>
      <c r="C3" s="71"/>
      <c r="D3" s="71"/>
      <c r="E3" s="71"/>
      <c r="F3" s="71"/>
      <c r="G3" s="27"/>
    </row>
    <row r="4" spans="1:8" x14ac:dyDescent="0.25">
      <c r="B4" s="71" t="s">
        <v>38</v>
      </c>
      <c r="C4" s="71"/>
      <c r="D4" s="71"/>
      <c r="E4" s="71"/>
      <c r="F4" s="71"/>
      <c r="G4" s="27"/>
    </row>
    <row r="5" spans="1:8" x14ac:dyDescent="0.25">
      <c r="B5" s="71" t="s">
        <v>85</v>
      </c>
      <c r="C5" s="71"/>
      <c r="D5" s="71"/>
      <c r="E5" s="71"/>
      <c r="F5" s="71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2" t="s">
        <v>1</v>
      </c>
      <c r="C8" s="72" t="s">
        <v>48</v>
      </c>
      <c r="D8" s="72" t="s">
        <v>54</v>
      </c>
      <c r="E8" s="72" t="s">
        <v>37</v>
      </c>
      <c r="F8" s="72" t="s">
        <v>41</v>
      </c>
      <c r="G8" s="26"/>
    </row>
    <row r="9" spans="1:8" ht="23.25" customHeight="1" x14ac:dyDescent="0.25">
      <c r="A9" s="60">
        <v>25000</v>
      </c>
      <c r="B9" s="73"/>
      <c r="C9" s="73"/>
      <c r="D9" s="73"/>
      <c r="E9" s="73"/>
      <c r="F9" s="73"/>
      <c r="G9" s="26"/>
    </row>
    <row r="10" spans="1:8" ht="15.75" thickBot="1" x14ac:dyDescent="0.3">
      <c r="A10" s="56">
        <v>31</v>
      </c>
      <c r="B10" s="6">
        <v>46388</v>
      </c>
      <c r="C10" s="41">
        <f>+$A$9*A10*10</f>
        <v>7750000</v>
      </c>
      <c r="D10" s="74"/>
      <c r="E10" s="54">
        <f>+$D$10*A10*10</f>
        <v>0</v>
      </c>
      <c r="F10" s="65"/>
      <c r="G10" s="30"/>
      <c r="H10" s="49"/>
    </row>
    <row r="11" spans="1:8" ht="15.75" thickBot="1" x14ac:dyDescent="0.3">
      <c r="A11" s="56">
        <v>28</v>
      </c>
      <c r="B11" s="6">
        <v>46419</v>
      </c>
      <c r="C11" s="41">
        <f t="shared" ref="C11:C21" si="0">+$A$9*A11*10</f>
        <v>7000000</v>
      </c>
      <c r="D11" s="75"/>
      <c r="E11" s="54">
        <f t="shared" ref="E11:E21" si="1">+$D$10*A11*10</f>
        <v>0</v>
      </c>
      <c r="F11" s="66"/>
      <c r="G11" s="30"/>
      <c r="H11" s="49"/>
    </row>
    <row r="12" spans="1:8" ht="15.75" thickBot="1" x14ac:dyDescent="0.3">
      <c r="A12" s="56">
        <v>31</v>
      </c>
      <c r="B12" s="6">
        <v>46447</v>
      </c>
      <c r="C12" s="41">
        <f t="shared" si="0"/>
        <v>7750000</v>
      </c>
      <c r="D12" s="75"/>
      <c r="E12" s="54">
        <f t="shared" si="1"/>
        <v>0</v>
      </c>
      <c r="F12" s="66"/>
      <c r="G12" s="30"/>
      <c r="H12" s="49"/>
    </row>
    <row r="13" spans="1:8" ht="15.75" thickBot="1" x14ac:dyDescent="0.3">
      <c r="A13" s="56">
        <v>30</v>
      </c>
      <c r="B13" s="6">
        <v>46478</v>
      </c>
      <c r="C13" s="41">
        <f t="shared" si="0"/>
        <v>7500000</v>
      </c>
      <c r="D13" s="75"/>
      <c r="E13" s="54">
        <f t="shared" si="1"/>
        <v>0</v>
      </c>
      <c r="F13" s="66"/>
      <c r="G13" s="30"/>
      <c r="H13" s="49"/>
    </row>
    <row r="14" spans="1:8" ht="15.75" thickBot="1" x14ac:dyDescent="0.3">
      <c r="A14" s="56">
        <v>31</v>
      </c>
      <c r="B14" s="6">
        <v>46508</v>
      </c>
      <c r="C14" s="41">
        <f t="shared" si="0"/>
        <v>7750000</v>
      </c>
      <c r="D14" s="75"/>
      <c r="E14" s="54">
        <f t="shared" si="1"/>
        <v>0</v>
      </c>
      <c r="F14" s="66"/>
      <c r="G14" s="30"/>
      <c r="H14" s="49"/>
    </row>
    <row r="15" spans="1:8" ht="15.75" thickBot="1" x14ac:dyDescent="0.3">
      <c r="A15" s="56">
        <v>30</v>
      </c>
      <c r="B15" s="6">
        <v>46539</v>
      </c>
      <c r="C15" s="41">
        <f t="shared" si="0"/>
        <v>7500000</v>
      </c>
      <c r="D15" s="75"/>
      <c r="E15" s="54">
        <f t="shared" si="1"/>
        <v>0</v>
      </c>
      <c r="F15" s="66"/>
      <c r="G15" s="30"/>
      <c r="H15" s="49"/>
    </row>
    <row r="16" spans="1:8" ht="15.75" thickBot="1" x14ac:dyDescent="0.3">
      <c r="A16" s="56">
        <v>31</v>
      </c>
      <c r="B16" s="6">
        <v>46569</v>
      </c>
      <c r="C16" s="41">
        <f t="shared" si="0"/>
        <v>7750000</v>
      </c>
      <c r="D16" s="75"/>
      <c r="E16" s="54">
        <f t="shared" si="1"/>
        <v>0</v>
      </c>
      <c r="F16" s="66"/>
      <c r="G16" s="30"/>
      <c r="H16" s="49"/>
    </row>
    <row r="17" spans="1:8" ht="15.75" thickBot="1" x14ac:dyDescent="0.3">
      <c r="A17" s="56">
        <v>31</v>
      </c>
      <c r="B17" s="6">
        <v>46600</v>
      </c>
      <c r="C17" s="41">
        <f t="shared" si="0"/>
        <v>7750000</v>
      </c>
      <c r="D17" s="75"/>
      <c r="E17" s="54">
        <f t="shared" si="1"/>
        <v>0</v>
      </c>
      <c r="F17" s="66"/>
      <c r="G17" s="30"/>
      <c r="H17" s="49"/>
    </row>
    <row r="18" spans="1:8" ht="15.75" thickBot="1" x14ac:dyDescent="0.3">
      <c r="A18" s="56">
        <v>30</v>
      </c>
      <c r="B18" s="6">
        <v>46631</v>
      </c>
      <c r="C18" s="41">
        <f t="shared" si="0"/>
        <v>7500000</v>
      </c>
      <c r="D18" s="75"/>
      <c r="E18" s="54">
        <f t="shared" si="1"/>
        <v>0</v>
      </c>
      <c r="F18" s="66"/>
      <c r="G18" s="30"/>
      <c r="H18" s="49"/>
    </row>
    <row r="19" spans="1:8" ht="15.75" thickBot="1" x14ac:dyDescent="0.3">
      <c r="A19" s="56">
        <v>31</v>
      </c>
      <c r="B19" s="6">
        <v>46661</v>
      </c>
      <c r="C19" s="41">
        <f t="shared" si="0"/>
        <v>7750000</v>
      </c>
      <c r="D19" s="75"/>
      <c r="E19" s="54">
        <f t="shared" si="1"/>
        <v>0</v>
      </c>
      <c r="F19" s="66"/>
      <c r="G19" s="30"/>
      <c r="H19" s="49"/>
    </row>
    <row r="20" spans="1:8" ht="15.75" thickBot="1" x14ac:dyDescent="0.3">
      <c r="A20" s="56">
        <v>30</v>
      </c>
      <c r="B20" s="6">
        <v>46692</v>
      </c>
      <c r="C20" s="41">
        <f t="shared" si="0"/>
        <v>7500000</v>
      </c>
      <c r="D20" s="75"/>
      <c r="E20" s="54">
        <f t="shared" si="1"/>
        <v>0</v>
      </c>
      <c r="F20" s="66"/>
      <c r="G20" s="30"/>
      <c r="H20" s="49"/>
    </row>
    <row r="21" spans="1:8" ht="15.75" thickBot="1" x14ac:dyDescent="0.3">
      <c r="A21" s="56">
        <v>31</v>
      </c>
      <c r="B21" s="6">
        <v>46722</v>
      </c>
      <c r="C21" s="41">
        <f t="shared" si="0"/>
        <v>7750000</v>
      </c>
      <c r="D21" s="76"/>
      <c r="E21" s="54">
        <f t="shared" si="1"/>
        <v>0</v>
      </c>
      <c r="F21" s="67"/>
      <c r="G21" s="30"/>
      <c r="H21" s="49"/>
    </row>
    <row r="22" spans="1:8" ht="28.5" customHeight="1" x14ac:dyDescent="0.25">
      <c r="B22" s="7" t="s">
        <v>0</v>
      </c>
      <c r="C22" s="8">
        <f>+SUM(C10:C21)</f>
        <v>91250000</v>
      </c>
      <c r="D22" s="9"/>
      <c r="E22" s="53">
        <f>SUM(E10:E21)</f>
        <v>0</v>
      </c>
      <c r="F22" s="52">
        <f>+F10</f>
        <v>0</v>
      </c>
      <c r="G22" s="48"/>
      <c r="H22" s="40"/>
    </row>
    <row r="23" spans="1:8" ht="19.5" customHeight="1" x14ac:dyDescent="0.25">
      <c r="B23" s="5" t="s">
        <v>49</v>
      </c>
      <c r="C23" s="23"/>
      <c r="D23" s="28"/>
      <c r="E23" s="23"/>
      <c r="F23" s="24"/>
      <c r="G23" s="24"/>
      <c r="H23" s="40"/>
    </row>
    <row r="24" spans="1:8" x14ac:dyDescent="0.25">
      <c r="B24" s="5" t="s">
        <v>62</v>
      </c>
      <c r="C24" s="5"/>
      <c r="D24" s="5"/>
      <c r="E24" s="5"/>
      <c r="F24" s="5"/>
      <c r="G24" s="5"/>
      <c r="H24" s="40"/>
    </row>
    <row r="25" spans="1:8" ht="15" customHeight="1" x14ac:dyDescent="0.25">
      <c r="B25" s="5" t="s">
        <v>42</v>
      </c>
      <c r="H25" s="40"/>
    </row>
    <row r="26" spans="1:8" ht="27.75" customHeight="1" x14ac:dyDescent="0.25">
      <c r="A26" s="1"/>
      <c r="B26" s="64" t="s">
        <v>55</v>
      </c>
      <c r="C26" s="64"/>
      <c r="D26" s="64"/>
      <c r="E26" s="64"/>
      <c r="F26" s="64"/>
      <c r="G26" s="64"/>
      <c r="H26" s="40"/>
    </row>
    <row r="27" spans="1:8" ht="15" customHeight="1" x14ac:dyDescent="0.25">
      <c r="A27" s="1"/>
      <c r="H27" s="40"/>
    </row>
    <row r="28" spans="1:8" x14ac:dyDescent="0.25"/>
    <row r="29" spans="1:8" x14ac:dyDescent="0.25">
      <c r="B29" s="57" t="s">
        <v>45</v>
      </c>
      <c r="C29" s="57"/>
      <c r="D29" s="57"/>
      <c r="E29" s="57"/>
    </row>
    <row r="30" spans="1:8" x14ac:dyDescent="0.25">
      <c r="B30" s="58" t="s">
        <v>46</v>
      </c>
      <c r="C30" s="58"/>
      <c r="D30" s="58"/>
      <c r="E30" s="58"/>
    </row>
    <row r="31" spans="1:8" x14ac:dyDescent="0.25">
      <c r="B31" s="58" t="s">
        <v>47</v>
      </c>
    </row>
    <row r="32" spans="1:8" x14ac:dyDescent="0.25"/>
    <row r="33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25.000" prompt="Se debe ofertar maximo 25.000 kWh" sqref="D10:D21" xr:uid="{BC281EFD-F552-48B2-B873-45F45374C9EC}">
      <formula1>0</formula1>
      <formula2>25000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4653-9B93-43DC-B84B-031CB9C59D6A}">
  <sheetPr codeName="Hoja5">
    <tabColor rgb="FFFFFF00"/>
  </sheetPr>
  <dimension ref="A1:AD46"/>
  <sheetViews>
    <sheetView showGridLines="0" zoomScale="85" zoomScaleNormal="85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customHeight="1" zeroHeight="1" x14ac:dyDescent="0.25"/>
  <cols>
    <col min="1" max="1" width="7" bestFit="1" customWidth="1"/>
    <col min="2" max="2" width="9" bestFit="1" customWidth="1"/>
    <col min="3" max="3" width="10.85546875" bestFit="1" customWidth="1"/>
    <col min="4" max="4" width="10.7109375" bestFit="1" customWidth="1"/>
    <col min="5" max="5" width="10.85546875" bestFit="1" customWidth="1"/>
    <col min="6" max="6" width="10.42578125" bestFit="1" customWidth="1"/>
    <col min="7" max="7" width="9.7109375" bestFit="1" customWidth="1"/>
    <col min="8" max="10" width="10.7109375" bestFit="1" customWidth="1"/>
    <col min="11" max="12" width="10.42578125" bestFit="1" customWidth="1"/>
    <col min="13" max="14" width="10.5703125" bestFit="1" customWidth="1"/>
    <col min="15" max="15" width="10" bestFit="1" customWidth="1"/>
    <col min="16" max="16" width="10.42578125" bestFit="1" customWidth="1"/>
    <col min="17" max="17" width="10.28515625" bestFit="1" customWidth="1"/>
    <col min="18" max="18" width="10.42578125" bestFit="1" customWidth="1"/>
    <col min="19" max="19" width="10.5703125" bestFit="1" customWidth="1"/>
    <col min="20" max="20" width="10.42578125" bestFit="1" customWidth="1"/>
    <col min="21" max="21" width="10" bestFit="1" customWidth="1"/>
    <col min="22" max="22" width="10.42578125" bestFit="1" customWidth="1"/>
    <col min="23" max="23" width="10.85546875" bestFit="1" customWidth="1"/>
    <col min="24" max="26" width="10.7109375" bestFit="1" customWidth="1"/>
    <col min="27" max="27" width="11.7109375" bestFit="1" customWidth="1"/>
    <col min="28" max="28" width="5.7109375" bestFit="1" customWidth="1"/>
    <col min="29" max="29" width="11" bestFit="1" customWidth="1"/>
    <col min="30" max="30" width="8.42578125" bestFit="1" customWidth="1"/>
    <col min="31" max="16384" width="9.140625" hidden="1"/>
  </cols>
  <sheetData>
    <row r="1" spans="1:30" x14ac:dyDescent="0.25">
      <c r="A1" s="87" t="s">
        <v>67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</row>
    <row r="2" spans="1:30" x14ac:dyDescent="0.25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</row>
    <row r="3" spans="1:3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x14ac:dyDescent="0.25">
      <c r="A4" s="93" t="s">
        <v>35</v>
      </c>
      <c r="B4" s="93" t="s">
        <v>34</v>
      </c>
      <c r="C4" s="85" t="s">
        <v>33</v>
      </c>
      <c r="D4" s="85" t="s">
        <v>32</v>
      </c>
      <c r="E4" s="85" t="s">
        <v>31</v>
      </c>
      <c r="F4" s="85" t="s">
        <v>30</v>
      </c>
      <c r="G4" s="85" t="s">
        <v>29</v>
      </c>
      <c r="H4" s="85" t="s">
        <v>28</v>
      </c>
      <c r="I4" s="85" t="s">
        <v>27</v>
      </c>
      <c r="J4" s="85" t="s">
        <v>26</v>
      </c>
      <c r="K4" s="85" t="s">
        <v>25</v>
      </c>
      <c r="L4" s="85" t="s">
        <v>24</v>
      </c>
      <c r="M4" s="85" t="s">
        <v>23</v>
      </c>
      <c r="N4" s="85" t="s">
        <v>22</v>
      </c>
      <c r="O4" s="85" t="s">
        <v>21</v>
      </c>
      <c r="P4" s="85" t="s">
        <v>20</v>
      </c>
      <c r="Q4" s="85" t="s">
        <v>19</v>
      </c>
      <c r="R4" s="85" t="s">
        <v>18</v>
      </c>
      <c r="S4" s="85" t="s">
        <v>17</v>
      </c>
      <c r="T4" s="85" t="s">
        <v>16</v>
      </c>
      <c r="U4" s="85" t="s">
        <v>15</v>
      </c>
      <c r="V4" s="85" t="s">
        <v>14</v>
      </c>
      <c r="W4" s="85" t="s">
        <v>13</v>
      </c>
      <c r="X4" s="85" t="s">
        <v>12</v>
      </c>
      <c r="Y4" s="85" t="s">
        <v>11</v>
      </c>
      <c r="Z4" s="85" t="s">
        <v>10</v>
      </c>
      <c r="AA4" s="12" t="s">
        <v>9</v>
      </c>
      <c r="AB4" s="13" t="s">
        <v>8</v>
      </c>
      <c r="AC4" s="83" t="s">
        <v>7</v>
      </c>
    </row>
    <row r="5" spans="1:30" x14ac:dyDescent="0.25">
      <c r="A5" s="93"/>
      <c r="B5" s="93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14"/>
      <c r="AB5" s="15" t="s">
        <v>6</v>
      </c>
      <c r="AC5" s="84"/>
    </row>
    <row r="6" spans="1:30" ht="15.75" thickBot="1" x14ac:dyDescent="0.3">
      <c r="A6" s="79">
        <v>46388</v>
      </c>
      <c r="B6" s="16" t="s">
        <v>5</v>
      </c>
      <c r="C6" s="31">
        <v>22539</v>
      </c>
      <c r="D6" s="31">
        <v>21236</v>
      </c>
      <c r="E6" s="31">
        <v>20452</v>
      </c>
      <c r="F6" s="31">
        <v>20047</v>
      </c>
      <c r="G6" s="31">
        <v>20327</v>
      </c>
      <c r="H6" s="31">
        <v>21538</v>
      </c>
      <c r="I6" s="31">
        <v>22689</v>
      </c>
      <c r="J6" s="31">
        <v>24844</v>
      </c>
      <c r="K6" s="31">
        <v>27268</v>
      </c>
      <c r="L6" s="31">
        <v>29105</v>
      </c>
      <c r="M6" s="31">
        <v>30975</v>
      </c>
      <c r="N6" s="31">
        <v>32738</v>
      </c>
      <c r="O6" s="31">
        <v>32439</v>
      </c>
      <c r="P6" s="31">
        <v>32478</v>
      </c>
      <c r="Q6" s="31">
        <v>33019</v>
      </c>
      <c r="R6" s="31">
        <v>33122</v>
      </c>
      <c r="S6" s="31">
        <v>32743</v>
      </c>
      <c r="T6" s="31">
        <v>32034</v>
      </c>
      <c r="U6" s="31">
        <v>34388</v>
      </c>
      <c r="V6" s="31">
        <v>36349</v>
      </c>
      <c r="W6" s="31">
        <v>35031</v>
      </c>
      <c r="X6" s="31">
        <v>32719</v>
      </c>
      <c r="Y6" s="31">
        <v>29004</v>
      </c>
      <c r="Z6" s="32">
        <v>25251</v>
      </c>
      <c r="AA6" s="33">
        <f>SUM(C6:Z6)</f>
        <v>682335</v>
      </c>
      <c r="AB6" s="17">
        <v>19</v>
      </c>
      <c r="AC6" s="80">
        <f>+AA6*AB6+AA7*AB7+AA8*AB8</f>
        <v>20689603</v>
      </c>
      <c r="AD6" s="47"/>
    </row>
    <row r="7" spans="1:30" ht="15.75" thickBot="1" x14ac:dyDescent="0.3">
      <c r="A7" s="79"/>
      <c r="B7" s="18" t="s">
        <v>4</v>
      </c>
      <c r="C7" s="34">
        <v>23083</v>
      </c>
      <c r="D7" s="34">
        <v>21611</v>
      </c>
      <c r="E7" s="34">
        <v>20714</v>
      </c>
      <c r="F7" s="34">
        <v>20148</v>
      </c>
      <c r="G7" s="34">
        <v>20166</v>
      </c>
      <c r="H7" s="34">
        <v>20843</v>
      </c>
      <c r="I7" s="34">
        <v>21633</v>
      </c>
      <c r="J7" s="34">
        <v>23824</v>
      </c>
      <c r="K7" s="34">
        <v>26533</v>
      </c>
      <c r="L7" s="34">
        <v>28578</v>
      </c>
      <c r="M7" s="34">
        <v>30111</v>
      </c>
      <c r="N7" s="34">
        <v>31626</v>
      </c>
      <c r="O7" s="34">
        <v>31790</v>
      </c>
      <c r="P7" s="34">
        <v>31478</v>
      </c>
      <c r="Q7" s="34">
        <v>31136</v>
      </c>
      <c r="R7" s="34">
        <v>30969</v>
      </c>
      <c r="S7" s="34">
        <v>30735</v>
      </c>
      <c r="T7" s="34">
        <v>30706</v>
      </c>
      <c r="U7" s="34">
        <v>33657</v>
      </c>
      <c r="V7" s="34">
        <v>35759</v>
      </c>
      <c r="W7" s="34">
        <v>34322</v>
      </c>
      <c r="X7" s="34">
        <v>32179</v>
      </c>
      <c r="Y7" s="34">
        <v>29138</v>
      </c>
      <c r="Z7" s="35">
        <v>26090</v>
      </c>
      <c r="AA7" s="36">
        <f t="shared" ref="AA7:AA41" si="0">SUM(C7:Z7)</f>
        <v>666829</v>
      </c>
      <c r="AB7" s="19">
        <v>5</v>
      </c>
      <c r="AC7" s="81"/>
      <c r="AD7" s="47"/>
    </row>
    <row r="8" spans="1:30" x14ac:dyDescent="0.25">
      <c r="A8" s="79"/>
      <c r="B8" s="20" t="s">
        <v>3</v>
      </c>
      <c r="C8" s="37">
        <v>24198</v>
      </c>
      <c r="D8" s="37">
        <v>22608</v>
      </c>
      <c r="E8" s="37">
        <v>21554</v>
      </c>
      <c r="F8" s="37">
        <v>20810</v>
      </c>
      <c r="G8" s="37">
        <v>20447</v>
      </c>
      <c r="H8" s="37">
        <v>20590</v>
      </c>
      <c r="I8" s="37">
        <v>20388</v>
      </c>
      <c r="J8" s="37">
        <v>21592</v>
      </c>
      <c r="K8" s="37">
        <v>23653</v>
      </c>
      <c r="L8" s="37">
        <v>25470</v>
      </c>
      <c r="M8" s="37">
        <v>26811</v>
      </c>
      <c r="N8" s="37">
        <v>28206</v>
      </c>
      <c r="O8" s="37">
        <v>29033</v>
      </c>
      <c r="P8" s="37">
        <v>28935</v>
      </c>
      <c r="Q8" s="37">
        <v>28409</v>
      </c>
      <c r="R8" s="37">
        <v>28106</v>
      </c>
      <c r="S8" s="37">
        <v>27954</v>
      </c>
      <c r="T8" s="37">
        <v>28106</v>
      </c>
      <c r="U8" s="37">
        <v>31325</v>
      </c>
      <c r="V8" s="37">
        <v>33624</v>
      </c>
      <c r="W8" s="37">
        <v>32687</v>
      </c>
      <c r="X8" s="37">
        <v>30682</v>
      </c>
      <c r="Y8" s="37">
        <v>27592</v>
      </c>
      <c r="Z8" s="38">
        <v>24519</v>
      </c>
      <c r="AA8" s="39">
        <f t="shared" si="0"/>
        <v>627299</v>
      </c>
      <c r="AB8" s="21">
        <v>7</v>
      </c>
      <c r="AC8" s="82"/>
      <c r="AD8" s="47"/>
    </row>
    <row r="9" spans="1:30" ht="15.75" thickBot="1" x14ac:dyDescent="0.3">
      <c r="A9" s="79">
        <v>46419</v>
      </c>
      <c r="B9" s="16" t="s">
        <v>5</v>
      </c>
      <c r="C9" s="31">
        <v>22671</v>
      </c>
      <c r="D9" s="31">
        <v>21417</v>
      </c>
      <c r="E9" s="31">
        <v>20696</v>
      </c>
      <c r="F9" s="31">
        <v>20342</v>
      </c>
      <c r="G9" s="31">
        <v>20752</v>
      </c>
      <c r="H9" s="31">
        <v>22631</v>
      </c>
      <c r="I9" s="31">
        <v>24128</v>
      </c>
      <c r="J9" s="31">
        <v>25754</v>
      </c>
      <c r="K9" s="31">
        <v>27911</v>
      </c>
      <c r="L9" s="31">
        <v>29527</v>
      </c>
      <c r="M9" s="31">
        <v>31292</v>
      </c>
      <c r="N9" s="31">
        <v>32929</v>
      </c>
      <c r="O9" s="31">
        <v>32271</v>
      </c>
      <c r="P9" s="31">
        <v>32521</v>
      </c>
      <c r="Q9" s="31">
        <v>33281</v>
      </c>
      <c r="R9" s="31">
        <v>33418</v>
      </c>
      <c r="S9" s="31">
        <v>33045</v>
      </c>
      <c r="T9" s="31">
        <v>32183</v>
      </c>
      <c r="U9" s="31">
        <v>33979</v>
      </c>
      <c r="V9" s="31">
        <v>36552</v>
      </c>
      <c r="W9" s="31">
        <v>35285</v>
      </c>
      <c r="X9" s="31">
        <v>32864</v>
      </c>
      <c r="Y9" s="31">
        <v>29045</v>
      </c>
      <c r="Z9" s="32">
        <v>25246</v>
      </c>
      <c r="AA9" s="33">
        <f t="shared" si="0"/>
        <v>689740</v>
      </c>
      <c r="AB9" s="17">
        <v>20</v>
      </c>
      <c r="AC9" s="80">
        <f>+AA9*AB9+AA10*AB10+AA11*AB11</f>
        <v>19115092</v>
      </c>
      <c r="AD9" s="47"/>
    </row>
    <row r="10" spans="1:30" ht="15.75" thickBot="1" x14ac:dyDescent="0.3">
      <c r="A10" s="79"/>
      <c r="B10" s="18" t="s">
        <v>4</v>
      </c>
      <c r="C10" s="34">
        <v>23510</v>
      </c>
      <c r="D10" s="34">
        <v>22120</v>
      </c>
      <c r="E10" s="34">
        <v>21226</v>
      </c>
      <c r="F10" s="34">
        <v>20713</v>
      </c>
      <c r="G10" s="34">
        <v>20774</v>
      </c>
      <c r="H10" s="34">
        <v>21502</v>
      </c>
      <c r="I10" s="34">
        <v>22668</v>
      </c>
      <c r="J10" s="34">
        <v>24858</v>
      </c>
      <c r="K10" s="34">
        <v>27672</v>
      </c>
      <c r="L10" s="34">
        <v>29632</v>
      </c>
      <c r="M10" s="34">
        <v>31190</v>
      </c>
      <c r="N10" s="34">
        <v>32703</v>
      </c>
      <c r="O10" s="34">
        <v>32745</v>
      </c>
      <c r="P10" s="34">
        <v>32325</v>
      </c>
      <c r="Q10" s="34">
        <v>31966</v>
      </c>
      <c r="R10" s="34">
        <v>31769</v>
      </c>
      <c r="S10" s="34">
        <v>31499</v>
      </c>
      <c r="T10" s="34">
        <v>31400</v>
      </c>
      <c r="U10" s="34">
        <v>33788</v>
      </c>
      <c r="V10" s="34">
        <v>36375</v>
      </c>
      <c r="W10" s="34">
        <v>34951</v>
      </c>
      <c r="X10" s="34">
        <v>32926</v>
      </c>
      <c r="Y10" s="34">
        <v>30033</v>
      </c>
      <c r="Z10" s="35">
        <v>26817</v>
      </c>
      <c r="AA10" s="36">
        <f t="shared" si="0"/>
        <v>685162</v>
      </c>
      <c r="AB10" s="19">
        <v>4</v>
      </c>
      <c r="AC10" s="81"/>
      <c r="AD10" s="47"/>
    </row>
    <row r="11" spans="1:30" x14ac:dyDescent="0.25">
      <c r="A11" s="79"/>
      <c r="B11" s="20" t="s">
        <v>3</v>
      </c>
      <c r="C11" s="37">
        <v>24418</v>
      </c>
      <c r="D11" s="37">
        <v>22840</v>
      </c>
      <c r="E11" s="37">
        <v>21879</v>
      </c>
      <c r="F11" s="37">
        <v>21157</v>
      </c>
      <c r="G11" s="37">
        <v>20926</v>
      </c>
      <c r="H11" s="37">
        <v>21143</v>
      </c>
      <c r="I11" s="37">
        <v>21316</v>
      </c>
      <c r="J11" s="37">
        <v>22728</v>
      </c>
      <c r="K11" s="37">
        <v>24989</v>
      </c>
      <c r="L11" s="37">
        <v>26840</v>
      </c>
      <c r="M11" s="37">
        <v>28066</v>
      </c>
      <c r="N11" s="37">
        <v>29392</v>
      </c>
      <c r="O11" s="37">
        <v>30135</v>
      </c>
      <c r="P11" s="37">
        <v>29893</v>
      </c>
      <c r="Q11" s="37">
        <v>29301</v>
      </c>
      <c r="R11" s="37">
        <v>28942</v>
      </c>
      <c r="S11" s="37">
        <v>28761</v>
      </c>
      <c r="T11" s="37">
        <v>28913</v>
      </c>
      <c r="U11" s="37">
        <v>31481</v>
      </c>
      <c r="V11" s="37">
        <v>34338</v>
      </c>
      <c r="W11" s="37">
        <v>33466</v>
      </c>
      <c r="X11" s="37">
        <v>31390</v>
      </c>
      <c r="Y11" s="37">
        <v>27980</v>
      </c>
      <c r="Z11" s="38">
        <v>24617</v>
      </c>
      <c r="AA11" s="39">
        <f t="shared" si="0"/>
        <v>644911</v>
      </c>
      <c r="AB11" s="21">
        <v>4</v>
      </c>
      <c r="AC11" s="82"/>
      <c r="AD11" s="47"/>
    </row>
    <row r="12" spans="1:30" ht="15.75" thickBot="1" x14ac:dyDescent="0.3">
      <c r="A12" s="79">
        <v>46447</v>
      </c>
      <c r="B12" s="16" t="s">
        <v>5</v>
      </c>
      <c r="C12" s="31">
        <v>22189</v>
      </c>
      <c r="D12" s="31">
        <v>20989</v>
      </c>
      <c r="E12" s="31">
        <v>20324</v>
      </c>
      <c r="F12" s="31">
        <v>19991</v>
      </c>
      <c r="G12" s="31">
        <v>20433</v>
      </c>
      <c r="H12" s="31">
        <v>22276</v>
      </c>
      <c r="I12" s="31">
        <v>23567</v>
      </c>
      <c r="J12" s="31">
        <v>25365</v>
      </c>
      <c r="K12" s="31">
        <v>27436</v>
      </c>
      <c r="L12" s="31">
        <v>28988</v>
      </c>
      <c r="M12" s="31">
        <v>30641</v>
      </c>
      <c r="N12" s="31">
        <v>32132</v>
      </c>
      <c r="O12" s="31">
        <v>31538</v>
      </c>
      <c r="P12" s="31">
        <v>31670</v>
      </c>
      <c r="Q12" s="31">
        <v>32323</v>
      </c>
      <c r="R12" s="31">
        <v>32430</v>
      </c>
      <c r="S12" s="31">
        <v>32146</v>
      </c>
      <c r="T12" s="31">
        <v>31538</v>
      </c>
      <c r="U12" s="31">
        <v>33781</v>
      </c>
      <c r="V12" s="31">
        <v>35976</v>
      </c>
      <c r="W12" s="31">
        <v>34669</v>
      </c>
      <c r="X12" s="31">
        <v>32207</v>
      </c>
      <c r="Y12" s="31">
        <v>28465</v>
      </c>
      <c r="Z12" s="32">
        <v>24770</v>
      </c>
      <c r="AA12" s="33">
        <f t="shared" si="0"/>
        <v>675844</v>
      </c>
      <c r="AB12" s="17">
        <v>20</v>
      </c>
      <c r="AC12" s="80">
        <f>+AA12*AB12+AA13*AB13+AA14*AB14</f>
        <v>20540152</v>
      </c>
      <c r="AD12" s="47"/>
    </row>
    <row r="13" spans="1:30" ht="15.75" thickBot="1" x14ac:dyDescent="0.3">
      <c r="A13" s="79"/>
      <c r="B13" s="18" t="s">
        <v>4</v>
      </c>
      <c r="C13" s="34">
        <v>22888</v>
      </c>
      <c r="D13" s="34">
        <v>21502</v>
      </c>
      <c r="E13" s="34">
        <v>20765</v>
      </c>
      <c r="F13" s="34">
        <v>20344</v>
      </c>
      <c r="G13" s="34">
        <v>20369</v>
      </c>
      <c r="H13" s="34">
        <v>21142</v>
      </c>
      <c r="I13" s="34">
        <v>21817</v>
      </c>
      <c r="J13" s="34">
        <v>24219</v>
      </c>
      <c r="K13" s="34">
        <v>26830</v>
      </c>
      <c r="L13" s="34">
        <v>28723</v>
      </c>
      <c r="M13" s="34">
        <v>30226</v>
      </c>
      <c r="N13" s="34">
        <v>31479</v>
      </c>
      <c r="O13" s="34">
        <v>31454</v>
      </c>
      <c r="P13" s="34">
        <v>31008</v>
      </c>
      <c r="Q13" s="34">
        <v>30673</v>
      </c>
      <c r="R13" s="34">
        <v>30422</v>
      </c>
      <c r="S13" s="34">
        <v>30095</v>
      </c>
      <c r="T13" s="34">
        <v>30118</v>
      </c>
      <c r="U13" s="34">
        <v>32842</v>
      </c>
      <c r="V13" s="34">
        <v>34912</v>
      </c>
      <c r="W13" s="34">
        <v>33559</v>
      </c>
      <c r="X13" s="34">
        <v>31624</v>
      </c>
      <c r="Y13" s="34">
        <v>28745</v>
      </c>
      <c r="Z13" s="35">
        <v>25836</v>
      </c>
      <c r="AA13" s="36">
        <f t="shared" si="0"/>
        <v>661592</v>
      </c>
      <c r="AB13" s="19">
        <v>4</v>
      </c>
      <c r="AC13" s="81"/>
      <c r="AD13" s="47"/>
    </row>
    <row r="14" spans="1:30" x14ac:dyDescent="0.25">
      <c r="A14" s="79"/>
      <c r="B14" s="20" t="s">
        <v>3</v>
      </c>
      <c r="C14" s="37">
        <v>23588</v>
      </c>
      <c r="D14" s="37">
        <v>22062</v>
      </c>
      <c r="E14" s="37">
        <v>21165</v>
      </c>
      <c r="F14" s="37">
        <v>20557</v>
      </c>
      <c r="G14" s="37">
        <v>20304</v>
      </c>
      <c r="H14" s="37">
        <v>20604</v>
      </c>
      <c r="I14" s="37">
        <v>20529</v>
      </c>
      <c r="J14" s="37">
        <v>22054</v>
      </c>
      <c r="K14" s="37">
        <v>24132</v>
      </c>
      <c r="L14" s="37">
        <v>25807</v>
      </c>
      <c r="M14" s="37">
        <v>26975</v>
      </c>
      <c r="N14" s="37">
        <v>28303</v>
      </c>
      <c r="O14" s="37">
        <v>29093</v>
      </c>
      <c r="P14" s="37">
        <v>28873</v>
      </c>
      <c r="Q14" s="37">
        <v>28266</v>
      </c>
      <c r="R14" s="37">
        <v>27995</v>
      </c>
      <c r="S14" s="37">
        <v>27819</v>
      </c>
      <c r="T14" s="37">
        <v>28036</v>
      </c>
      <c r="U14" s="37">
        <v>30978</v>
      </c>
      <c r="V14" s="37">
        <v>33417</v>
      </c>
      <c r="W14" s="37">
        <v>32477</v>
      </c>
      <c r="X14" s="37">
        <v>30530</v>
      </c>
      <c r="Y14" s="37">
        <v>27363</v>
      </c>
      <c r="Z14" s="38">
        <v>24345</v>
      </c>
      <c r="AA14" s="39">
        <f t="shared" si="0"/>
        <v>625272</v>
      </c>
      <c r="AB14" s="21">
        <v>7</v>
      </c>
      <c r="AC14" s="82"/>
      <c r="AD14" s="47"/>
    </row>
    <row r="15" spans="1:30" ht="15.75" thickBot="1" x14ac:dyDescent="0.3">
      <c r="A15" s="79">
        <v>46478</v>
      </c>
      <c r="B15" s="16" t="s">
        <v>5</v>
      </c>
      <c r="C15" s="31">
        <v>21677</v>
      </c>
      <c r="D15" s="31">
        <v>20528</v>
      </c>
      <c r="E15" s="31">
        <v>19837</v>
      </c>
      <c r="F15" s="31">
        <v>19516</v>
      </c>
      <c r="G15" s="31">
        <v>19922</v>
      </c>
      <c r="H15" s="31">
        <v>21408</v>
      </c>
      <c r="I15" s="31">
        <v>22502</v>
      </c>
      <c r="J15" s="31">
        <v>24484</v>
      </c>
      <c r="K15" s="31">
        <v>26555</v>
      </c>
      <c r="L15" s="31">
        <v>28177</v>
      </c>
      <c r="M15" s="31">
        <v>29889</v>
      </c>
      <c r="N15" s="31">
        <v>31441</v>
      </c>
      <c r="O15" s="31">
        <v>30887</v>
      </c>
      <c r="P15" s="31">
        <v>31029</v>
      </c>
      <c r="Q15" s="31">
        <v>31642</v>
      </c>
      <c r="R15" s="31">
        <v>31705</v>
      </c>
      <c r="S15" s="31">
        <v>31386</v>
      </c>
      <c r="T15" s="31">
        <v>30922</v>
      </c>
      <c r="U15" s="31">
        <v>33622</v>
      </c>
      <c r="V15" s="31">
        <v>35227</v>
      </c>
      <c r="W15" s="31">
        <v>33988</v>
      </c>
      <c r="X15" s="31">
        <v>31503</v>
      </c>
      <c r="Y15" s="31">
        <v>27742</v>
      </c>
      <c r="Z15" s="32">
        <v>24145</v>
      </c>
      <c r="AA15" s="33">
        <f t="shared" si="0"/>
        <v>659734</v>
      </c>
      <c r="AB15" s="17">
        <v>22</v>
      </c>
      <c r="AC15" s="80">
        <f>+AA15*AB15+AA16*AB16+AA17*AB17</f>
        <v>19561496</v>
      </c>
      <c r="AD15" s="47"/>
    </row>
    <row r="16" spans="1:30" ht="15.75" thickBot="1" x14ac:dyDescent="0.3">
      <c r="A16" s="79"/>
      <c r="B16" s="18" t="s">
        <v>4</v>
      </c>
      <c r="C16" s="34">
        <v>22140</v>
      </c>
      <c r="D16" s="34">
        <v>20828</v>
      </c>
      <c r="E16" s="34">
        <v>19985</v>
      </c>
      <c r="F16" s="34">
        <v>19487</v>
      </c>
      <c r="G16" s="34">
        <v>19579</v>
      </c>
      <c r="H16" s="34">
        <v>20141</v>
      </c>
      <c r="I16" s="34">
        <v>20848</v>
      </c>
      <c r="J16" s="34">
        <v>23355</v>
      </c>
      <c r="K16" s="34">
        <v>25927</v>
      </c>
      <c r="L16" s="34">
        <v>27878</v>
      </c>
      <c r="M16" s="34">
        <v>29288</v>
      </c>
      <c r="N16" s="34">
        <v>30888</v>
      </c>
      <c r="O16" s="34">
        <v>30986</v>
      </c>
      <c r="P16" s="34">
        <v>30613</v>
      </c>
      <c r="Q16" s="34">
        <v>30274</v>
      </c>
      <c r="R16" s="34">
        <v>30040</v>
      </c>
      <c r="S16" s="34">
        <v>29955</v>
      </c>
      <c r="T16" s="34">
        <v>30099</v>
      </c>
      <c r="U16" s="34">
        <v>33169</v>
      </c>
      <c r="V16" s="34">
        <v>34867</v>
      </c>
      <c r="W16" s="34">
        <v>33440</v>
      </c>
      <c r="X16" s="34">
        <v>31369</v>
      </c>
      <c r="Y16" s="34">
        <v>28453</v>
      </c>
      <c r="Z16" s="35">
        <v>25476</v>
      </c>
      <c r="AA16" s="36">
        <f t="shared" si="0"/>
        <v>649085</v>
      </c>
      <c r="AB16" s="19">
        <v>4</v>
      </c>
      <c r="AC16" s="81"/>
      <c r="AD16" s="47"/>
    </row>
    <row r="17" spans="1:30" x14ac:dyDescent="0.25">
      <c r="A17" s="79"/>
      <c r="B17" s="20" t="s">
        <v>3</v>
      </c>
      <c r="C17" s="37">
        <v>23072</v>
      </c>
      <c r="D17" s="37">
        <v>21600</v>
      </c>
      <c r="E17" s="37">
        <v>20648</v>
      </c>
      <c r="F17" s="37">
        <v>20001</v>
      </c>
      <c r="G17" s="37">
        <v>19750</v>
      </c>
      <c r="H17" s="37">
        <v>19716</v>
      </c>
      <c r="I17" s="37">
        <v>19870</v>
      </c>
      <c r="J17" s="37">
        <v>21591</v>
      </c>
      <c r="K17" s="37">
        <v>23605</v>
      </c>
      <c r="L17" s="37">
        <v>25373</v>
      </c>
      <c r="M17" s="37">
        <v>26631</v>
      </c>
      <c r="N17" s="37">
        <v>27913</v>
      </c>
      <c r="O17" s="37">
        <v>28659</v>
      </c>
      <c r="P17" s="37">
        <v>28453</v>
      </c>
      <c r="Q17" s="37">
        <v>27809</v>
      </c>
      <c r="R17" s="37">
        <v>27506</v>
      </c>
      <c r="S17" s="37">
        <v>27332</v>
      </c>
      <c r="T17" s="37">
        <v>27579</v>
      </c>
      <c r="U17" s="37">
        <v>30857</v>
      </c>
      <c r="V17" s="37">
        <v>32820</v>
      </c>
      <c r="W17" s="37">
        <v>31792</v>
      </c>
      <c r="X17" s="37">
        <v>29789</v>
      </c>
      <c r="Y17" s="37">
        <v>26722</v>
      </c>
      <c r="Z17" s="38">
        <v>23664</v>
      </c>
      <c r="AA17" s="39">
        <f t="shared" si="0"/>
        <v>612752</v>
      </c>
      <c r="AB17" s="21">
        <v>4</v>
      </c>
      <c r="AC17" s="82"/>
      <c r="AD17" s="47"/>
    </row>
    <row r="18" spans="1:30" ht="15.75" thickBot="1" x14ac:dyDescent="0.3">
      <c r="A18" s="79">
        <v>46508</v>
      </c>
      <c r="B18" s="16" t="s">
        <v>5</v>
      </c>
      <c r="C18" s="31">
        <v>21709</v>
      </c>
      <c r="D18" s="31">
        <v>20521</v>
      </c>
      <c r="E18" s="31">
        <v>19860</v>
      </c>
      <c r="F18" s="31">
        <v>19528</v>
      </c>
      <c r="G18" s="31">
        <v>19920</v>
      </c>
      <c r="H18" s="31">
        <v>21194</v>
      </c>
      <c r="I18" s="31">
        <v>22526</v>
      </c>
      <c r="J18" s="31">
        <v>24608</v>
      </c>
      <c r="K18" s="31">
        <v>26735</v>
      </c>
      <c r="L18" s="31">
        <v>28406</v>
      </c>
      <c r="M18" s="31">
        <v>30086</v>
      </c>
      <c r="N18" s="31">
        <v>31681</v>
      </c>
      <c r="O18" s="31">
        <v>31199</v>
      </c>
      <c r="P18" s="31">
        <v>31193</v>
      </c>
      <c r="Q18" s="31">
        <v>31674</v>
      </c>
      <c r="R18" s="31">
        <v>31730</v>
      </c>
      <c r="S18" s="31">
        <v>31406</v>
      </c>
      <c r="T18" s="31">
        <v>31027</v>
      </c>
      <c r="U18" s="31">
        <v>33845</v>
      </c>
      <c r="V18" s="31">
        <v>35443</v>
      </c>
      <c r="W18" s="31">
        <v>34057</v>
      </c>
      <c r="X18" s="31">
        <v>31565</v>
      </c>
      <c r="Y18" s="31">
        <v>27744</v>
      </c>
      <c r="Z18" s="32">
        <v>24205</v>
      </c>
      <c r="AA18" s="33">
        <f t="shared" si="0"/>
        <v>661862</v>
      </c>
      <c r="AB18" s="17">
        <v>19</v>
      </c>
      <c r="AC18" s="80">
        <f>+AA18*AB18+AA19*AB19+AA20*AB20</f>
        <v>20181434</v>
      </c>
      <c r="AD18" s="47"/>
    </row>
    <row r="19" spans="1:30" ht="15.75" thickBot="1" x14ac:dyDescent="0.3">
      <c r="A19" s="79"/>
      <c r="B19" s="18" t="s">
        <v>4</v>
      </c>
      <c r="C19" s="34">
        <v>22513</v>
      </c>
      <c r="D19" s="34">
        <v>21211</v>
      </c>
      <c r="E19" s="34">
        <v>20425</v>
      </c>
      <c r="F19" s="34">
        <v>19962</v>
      </c>
      <c r="G19" s="34">
        <v>20042</v>
      </c>
      <c r="H19" s="34">
        <v>20370</v>
      </c>
      <c r="I19" s="34">
        <v>21437</v>
      </c>
      <c r="J19" s="34">
        <v>23958</v>
      </c>
      <c r="K19" s="34">
        <v>26588</v>
      </c>
      <c r="L19" s="34">
        <v>28620</v>
      </c>
      <c r="M19" s="34">
        <v>30013</v>
      </c>
      <c r="N19" s="34">
        <v>31284</v>
      </c>
      <c r="O19" s="34">
        <v>31288</v>
      </c>
      <c r="P19" s="34">
        <v>30790</v>
      </c>
      <c r="Q19" s="34">
        <v>30283</v>
      </c>
      <c r="R19" s="34">
        <v>29977</v>
      </c>
      <c r="S19" s="34">
        <v>29755</v>
      </c>
      <c r="T19" s="34">
        <v>30029</v>
      </c>
      <c r="U19" s="34">
        <v>33366</v>
      </c>
      <c r="V19" s="34">
        <v>34720</v>
      </c>
      <c r="W19" s="34">
        <v>33343</v>
      </c>
      <c r="X19" s="34">
        <v>31234</v>
      </c>
      <c r="Y19" s="34">
        <v>28300</v>
      </c>
      <c r="Z19" s="35">
        <v>25374</v>
      </c>
      <c r="AA19" s="36">
        <f t="shared" si="0"/>
        <v>654882</v>
      </c>
      <c r="AB19" s="19">
        <v>4</v>
      </c>
      <c r="AC19" s="81"/>
      <c r="AD19" s="47"/>
    </row>
    <row r="20" spans="1:30" x14ac:dyDescent="0.25">
      <c r="A20" s="79"/>
      <c r="B20" s="20" t="s">
        <v>3</v>
      </c>
      <c r="C20" s="37">
        <v>22907</v>
      </c>
      <c r="D20" s="37">
        <v>21483</v>
      </c>
      <c r="E20" s="37">
        <v>20600</v>
      </c>
      <c r="F20" s="37">
        <v>20012</v>
      </c>
      <c r="G20" s="37">
        <v>19831</v>
      </c>
      <c r="H20" s="37">
        <v>19607</v>
      </c>
      <c r="I20" s="37">
        <v>20010</v>
      </c>
      <c r="J20" s="37">
        <v>21927</v>
      </c>
      <c r="K20" s="37">
        <v>24060</v>
      </c>
      <c r="L20" s="37">
        <v>25954</v>
      </c>
      <c r="M20" s="37">
        <v>27248</v>
      </c>
      <c r="N20" s="37">
        <v>28601</v>
      </c>
      <c r="O20" s="37">
        <v>29194</v>
      </c>
      <c r="P20" s="37">
        <v>29075</v>
      </c>
      <c r="Q20" s="37">
        <v>28371</v>
      </c>
      <c r="R20" s="37">
        <v>29162</v>
      </c>
      <c r="S20" s="37">
        <v>27874</v>
      </c>
      <c r="T20" s="37">
        <v>28181</v>
      </c>
      <c r="U20" s="37">
        <v>31570</v>
      </c>
      <c r="V20" s="37">
        <v>33539</v>
      </c>
      <c r="W20" s="37">
        <v>32481</v>
      </c>
      <c r="X20" s="37">
        <v>30352</v>
      </c>
      <c r="Y20" s="37">
        <v>27198</v>
      </c>
      <c r="Z20" s="38">
        <v>24079</v>
      </c>
      <c r="AA20" s="39">
        <f t="shared" si="0"/>
        <v>623316</v>
      </c>
      <c r="AB20" s="21">
        <v>8</v>
      </c>
      <c r="AC20" s="82"/>
      <c r="AD20" s="47"/>
    </row>
    <row r="21" spans="1:30" ht="15.75" thickBot="1" x14ac:dyDescent="0.3">
      <c r="A21" s="79">
        <v>46539</v>
      </c>
      <c r="B21" s="16" t="s">
        <v>5</v>
      </c>
      <c r="C21" s="31">
        <v>21454</v>
      </c>
      <c r="D21" s="31">
        <v>20240</v>
      </c>
      <c r="E21" s="31">
        <v>19634</v>
      </c>
      <c r="F21" s="31">
        <v>19308</v>
      </c>
      <c r="G21" s="31">
        <v>19668</v>
      </c>
      <c r="H21" s="31">
        <v>20761</v>
      </c>
      <c r="I21" s="31">
        <v>22204</v>
      </c>
      <c r="J21" s="31">
        <v>24401</v>
      </c>
      <c r="K21" s="31">
        <v>26620</v>
      </c>
      <c r="L21" s="31">
        <v>28275</v>
      </c>
      <c r="M21" s="31">
        <v>30004</v>
      </c>
      <c r="N21" s="31">
        <v>31618</v>
      </c>
      <c r="O21" s="31">
        <v>31098</v>
      </c>
      <c r="P21" s="31">
        <v>31062</v>
      </c>
      <c r="Q21" s="31">
        <v>31656</v>
      </c>
      <c r="R21" s="31">
        <v>31689</v>
      </c>
      <c r="S21" s="31">
        <v>31366</v>
      </c>
      <c r="T21" s="31">
        <v>30881</v>
      </c>
      <c r="U21" s="31">
        <v>33128</v>
      </c>
      <c r="V21" s="31">
        <v>35225</v>
      </c>
      <c r="W21" s="31">
        <v>33911</v>
      </c>
      <c r="X21" s="31">
        <v>31441</v>
      </c>
      <c r="Y21" s="31">
        <v>27565</v>
      </c>
      <c r="Z21" s="32">
        <v>23972</v>
      </c>
      <c r="AA21" s="33">
        <f t="shared" si="0"/>
        <v>657181</v>
      </c>
      <c r="AB21" s="17">
        <v>21</v>
      </c>
      <c r="AC21" s="80">
        <f>+AA21*AB21+AA22*AB22+AA23*AB23</f>
        <v>19613874</v>
      </c>
      <c r="AD21" s="47"/>
    </row>
    <row r="22" spans="1:30" ht="15.75" thickBot="1" x14ac:dyDescent="0.3">
      <c r="A22" s="79"/>
      <c r="B22" s="18" t="s">
        <v>4</v>
      </c>
      <c r="C22" s="34">
        <v>22491</v>
      </c>
      <c r="D22" s="34">
        <v>21090</v>
      </c>
      <c r="E22" s="34">
        <v>20288</v>
      </c>
      <c r="F22" s="34">
        <v>19834</v>
      </c>
      <c r="G22" s="34">
        <v>19875</v>
      </c>
      <c r="H22" s="34">
        <v>20197</v>
      </c>
      <c r="I22" s="34">
        <v>21252</v>
      </c>
      <c r="J22" s="34">
        <v>23744</v>
      </c>
      <c r="K22" s="34">
        <v>26557</v>
      </c>
      <c r="L22" s="34">
        <v>28488</v>
      </c>
      <c r="M22" s="34">
        <v>29996</v>
      </c>
      <c r="N22" s="34">
        <v>31303</v>
      </c>
      <c r="O22" s="34">
        <v>31388</v>
      </c>
      <c r="P22" s="34">
        <v>31067</v>
      </c>
      <c r="Q22" s="34">
        <v>30736</v>
      </c>
      <c r="R22" s="34">
        <v>30678</v>
      </c>
      <c r="S22" s="34">
        <v>30449</v>
      </c>
      <c r="T22" s="34">
        <v>30677</v>
      </c>
      <c r="U22" s="34">
        <v>33541</v>
      </c>
      <c r="V22" s="34">
        <v>35379</v>
      </c>
      <c r="W22" s="34">
        <v>33928</v>
      </c>
      <c r="X22" s="34">
        <v>31857</v>
      </c>
      <c r="Y22" s="34">
        <v>28789</v>
      </c>
      <c r="Z22" s="35">
        <v>25668</v>
      </c>
      <c r="AA22" s="36">
        <f t="shared" si="0"/>
        <v>659272</v>
      </c>
      <c r="AB22" s="19">
        <v>4</v>
      </c>
      <c r="AC22" s="81"/>
      <c r="AD22" s="47"/>
    </row>
    <row r="23" spans="1:30" x14ac:dyDescent="0.25">
      <c r="A23" s="79"/>
      <c r="B23" s="20" t="s">
        <v>3</v>
      </c>
      <c r="C23" s="37">
        <v>23406</v>
      </c>
      <c r="D23" s="37">
        <v>21915</v>
      </c>
      <c r="E23" s="37">
        <v>21048</v>
      </c>
      <c r="F23" s="37">
        <v>20457</v>
      </c>
      <c r="G23" s="37">
        <v>20318</v>
      </c>
      <c r="H23" s="37">
        <v>20294</v>
      </c>
      <c r="I23" s="37">
        <v>20565</v>
      </c>
      <c r="J23" s="37">
        <v>22563</v>
      </c>
      <c r="K23" s="37">
        <v>24784</v>
      </c>
      <c r="L23" s="37">
        <v>26499</v>
      </c>
      <c r="M23" s="37">
        <v>27909</v>
      </c>
      <c r="N23" s="37">
        <v>29273</v>
      </c>
      <c r="O23" s="37">
        <v>29760</v>
      </c>
      <c r="P23" s="37">
        <v>29554</v>
      </c>
      <c r="Q23" s="37">
        <v>28982</v>
      </c>
      <c r="R23" s="37">
        <v>28713</v>
      </c>
      <c r="S23" s="37">
        <v>28566</v>
      </c>
      <c r="T23" s="37">
        <v>28800</v>
      </c>
      <c r="U23" s="37">
        <v>31704</v>
      </c>
      <c r="V23" s="37">
        <v>34036</v>
      </c>
      <c r="W23" s="37">
        <v>33033</v>
      </c>
      <c r="X23" s="37">
        <v>30877</v>
      </c>
      <c r="Y23" s="37">
        <v>27638</v>
      </c>
      <c r="Z23" s="38">
        <v>24503</v>
      </c>
      <c r="AA23" s="39">
        <f t="shared" si="0"/>
        <v>635197</v>
      </c>
      <c r="AB23" s="21">
        <v>5</v>
      </c>
      <c r="AC23" s="82"/>
      <c r="AD23" s="47"/>
    </row>
    <row r="24" spans="1:30" ht="15.75" thickBot="1" x14ac:dyDescent="0.3">
      <c r="A24" s="79">
        <v>46569</v>
      </c>
      <c r="B24" s="16" t="s">
        <v>5</v>
      </c>
      <c r="C24" s="31">
        <v>22462</v>
      </c>
      <c r="D24" s="31">
        <v>21184</v>
      </c>
      <c r="E24" s="31">
        <v>20447</v>
      </c>
      <c r="F24" s="31">
        <v>20045</v>
      </c>
      <c r="G24" s="31">
        <v>20387</v>
      </c>
      <c r="H24" s="31">
        <v>21476</v>
      </c>
      <c r="I24" s="31">
        <v>22648</v>
      </c>
      <c r="J24" s="31">
        <v>25100</v>
      </c>
      <c r="K24" s="31">
        <v>27483</v>
      </c>
      <c r="L24" s="31">
        <v>29351</v>
      </c>
      <c r="M24" s="31">
        <v>31159</v>
      </c>
      <c r="N24" s="31">
        <v>32763</v>
      </c>
      <c r="O24" s="31">
        <v>32195</v>
      </c>
      <c r="P24" s="31">
        <v>32265</v>
      </c>
      <c r="Q24" s="31">
        <v>32856</v>
      </c>
      <c r="R24" s="31">
        <v>32922</v>
      </c>
      <c r="S24" s="31">
        <v>32456</v>
      </c>
      <c r="T24" s="31">
        <v>31645</v>
      </c>
      <c r="U24" s="31">
        <v>33502</v>
      </c>
      <c r="V24" s="31">
        <v>35995</v>
      </c>
      <c r="W24" s="31">
        <v>34830</v>
      </c>
      <c r="X24" s="31">
        <v>32483</v>
      </c>
      <c r="Y24" s="31">
        <v>28610</v>
      </c>
      <c r="Z24" s="32">
        <v>25046</v>
      </c>
      <c r="AA24" s="33">
        <f t="shared" si="0"/>
        <v>679310</v>
      </c>
      <c r="AB24" s="17">
        <v>20</v>
      </c>
      <c r="AC24" s="80">
        <f>+AA24*AB24+AA25*AB25+AA26*AB26</f>
        <v>20722505</v>
      </c>
      <c r="AD24" s="47"/>
    </row>
    <row r="25" spans="1:30" ht="15.75" thickBot="1" x14ac:dyDescent="0.3">
      <c r="A25" s="79"/>
      <c r="B25" s="18" t="s">
        <v>4</v>
      </c>
      <c r="C25" s="34">
        <v>22512</v>
      </c>
      <c r="D25" s="34">
        <v>21045</v>
      </c>
      <c r="E25" s="34">
        <v>20298</v>
      </c>
      <c r="F25" s="34">
        <v>19798</v>
      </c>
      <c r="G25" s="34">
        <v>19846</v>
      </c>
      <c r="H25" s="34">
        <v>20263</v>
      </c>
      <c r="I25" s="34">
        <v>21271</v>
      </c>
      <c r="J25" s="34">
        <v>24239</v>
      </c>
      <c r="K25" s="34">
        <v>27066</v>
      </c>
      <c r="L25" s="34">
        <v>29000</v>
      </c>
      <c r="M25" s="34">
        <v>30521</v>
      </c>
      <c r="N25" s="34">
        <v>31807</v>
      </c>
      <c r="O25" s="34">
        <v>31748</v>
      </c>
      <c r="P25" s="34">
        <v>31251</v>
      </c>
      <c r="Q25" s="34">
        <v>30798</v>
      </c>
      <c r="R25" s="34">
        <v>30563</v>
      </c>
      <c r="S25" s="34">
        <v>30292</v>
      </c>
      <c r="T25" s="34">
        <v>30383</v>
      </c>
      <c r="U25" s="34">
        <v>32652</v>
      </c>
      <c r="V25" s="34">
        <v>35052</v>
      </c>
      <c r="W25" s="34">
        <v>33713</v>
      </c>
      <c r="X25" s="34">
        <v>31798</v>
      </c>
      <c r="Y25" s="34">
        <v>28798</v>
      </c>
      <c r="Z25" s="35">
        <v>25831</v>
      </c>
      <c r="AA25" s="36">
        <f t="shared" si="0"/>
        <v>660545</v>
      </c>
      <c r="AB25" s="19">
        <v>5</v>
      </c>
      <c r="AC25" s="81"/>
      <c r="AD25" s="47"/>
    </row>
    <row r="26" spans="1:30" x14ac:dyDescent="0.25">
      <c r="A26" s="79"/>
      <c r="B26" s="20" t="s">
        <v>3</v>
      </c>
      <c r="C26" s="37">
        <v>23890</v>
      </c>
      <c r="D26" s="37">
        <v>22423</v>
      </c>
      <c r="E26" s="37">
        <v>21454</v>
      </c>
      <c r="F26" s="37">
        <v>20822</v>
      </c>
      <c r="G26" s="37">
        <v>20624</v>
      </c>
      <c r="H26" s="37">
        <v>20631</v>
      </c>
      <c r="I26" s="37">
        <v>20766</v>
      </c>
      <c r="J26" s="37">
        <v>22654</v>
      </c>
      <c r="K26" s="37">
        <v>24919</v>
      </c>
      <c r="L26" s="37">
        <v>26798</v>
      </c>
      <c r="M26" s="37">
        <v>28165</v>
      </c>
      <c r="N26" s="37">
        <v>29432</v>
      </c>
      <c r="O26" s="37">
        <v>30061</v>
      </c>
      <c r="P26" s="37">
        <v>29730</v>
      </c>
      <c r="Q26" s="37">
        <v>29073</v>
      </c>
      <c r="R26" s="37">
        <v>28725</v>
      </c>
      <c r="S26" s="37">
        <v>28455</v>
      </c>
      <c r="T26" s="37">
        <v>28579</v>
      </c>
      <c r="U26" s="37">
        <v>30985</v>
      </c>
      <c r="V26" s="37">
        <v>33943</v>
      </c>
      <c r="W26" s="37">
        <v>33078</v>
      </c>
      <c r="X26" s="37">
        <v>31088</v>
      </c>
      <c r="Y26" s="37">
        <v>27852</v>
      </c>
      <c r="Z26" s="38">
        <v>24783</v>
      </c>
      <c r="AA26" s="39">
        <f t="shared" si="0"/>
        <v>638930</v>
      </c>
      <c r="AB26" s="21">
        <v>6</v>
      </c>
      <c r="AC26" s="82"/>
      <c r="AD26" s="47"/>
    </row>
    <row r="27" spans="1:30" ht="15.75" thickBot="1" x14ac:dyDescent="0.3">
      <c r="A27" s="79">
        <v>46600</v>
      </c>
      <c r="B27" s="16" t="s">
        <v>5</v>
      </c>
      <c r="C27" s="31">
        <v>22726</v>
      </c>
      <c r="D27" s="31">
        <v>21515</v>
      </c>
      <c r="E27" s="31">
        <v>20847</v>
      </c>
      <c r="F27" s="31">
        <v>20450</v>
      </c>
      <c r="G27" s="31">
        <v>20809</v>
      </c>
      <c r="H27" s="31">
        <v>22252</v>
      </c>
      <c r="I27" s="31">
        <v>23537</v>
      </c>
      <c r="J27" s="31">
        <v>25720</v>
      </c>
      <c r="K27" s="31">
        <v>28004</v>
      </c>
      <c r="L27" s="31">
        <v>29753</v>
      </c>
      <c r="M27" s="31">
        <v>31606</v>
      </c>
      <c r="N27" s="31">
        <v>33229</v>
      </c>
      <c r="O27" s="31">
        <v>32658</v>
      </c>
      <c r="P27" s="31">
        <v>32917</v>
      </c>
      <c r="Q27" s="31">
        <v>33585</v>
      </c>
      <c r="R27" s="31">
        <v>33638</v>
      </c>
      <c r="S27" s="31">
        <v>33154</v>
      </c>
      <c r="T27" s="31">
        <v>32315</v>
      </c>
      <c r="U27" s="31">
        <v>34577</v>
      </c>
      <c r="V27" s="31">
        <v>36671</v>
      </c>
      <c r="W27" s="31">
        <v>35391</v>
      </c>
      <c r="X27" s="31">
        <v>32917</v>
      </c>
      <c r="Y27" s="31">
        <v>28996</v>
      </c>
      <c r="Z27" s="32">
        <v>25456</v>
      </c>
      <c r="AA27" s="33">
        <f t="shared" si="0"/>
        <v>692723</v>
      </c>
      <c r="AB27" s="17">
        <v>21</v>
      </c>
      <c r="AC27" s="80">
        <f>+AA27*AB27+AA28*AB28+AA29*AB29</f>
        <v>21089194</v>
      </c>
      <c r="AD27" s="47"/>
    </row>
    <row r="28" spans="1:30" ht="15.75" thickBot="1" x14ac:dyDescent="0.3">
      <c r="A28" s="79"/>
      <c r="B28" s="18" t="s">
        <v>4</v>
      </c>
      <c r="C28" s="34">
        <v>23655</v>
      </c>
      <c r="D28" s="34">
        <v>22342</v>
      </c>
      <c r="E28" s="34">
        <v>21520</v>
      </c>
      <c r="F28" s="34">
        <v>20904</v>
      </c>
      <c r="G28" s="34">
        <v>20859</v>
      </c>
      <c r="H28" s="34">
        <v>21438</v>
      </c>
      <c r="I28" s="34">
        <v>22125</v>
      </c>
      <c r="J28" s="34">
        <v>24925</v>
      </c>
      <c r="K28" s="34">
        <v>27757</v>
      </c>
      <c r="L28" s="34">
        <v>29698</v>
      </c>
      <c r="M28" s="34">
        <v>31399</v>
      </c>
      <c r="N28" s="34">
        <v>32686</v>
      </c>
      <c r="O28" s="34">
        <v>32695</v>
      </c>
      <c r="P28" s="34">
        <v>32344</v>
      </c>
      <c r="Q28" s="34">
        <v>32006</v>
      </c>
      <c r="R28" s="34">
        <v>31811</v>
      </c>
      <c r="S28" s="34">
        <v>31384</v>
      </c>
      <c r="T28" s="34">
        <v>31326</v>
      </c>
      <c r="U28" s="34">
        <v>34126</v>
      </c>
      <c r="V28" s="34">
        <v>35975</v>
      </c>
      <c r="W28" s="34">
        <v>34614</v>
      </c>
      <c r="X28" s="34">
        <v>32637</v>
      </c>
      <c r="Y28" s="34">
        <v>29757</v>
      </c>
      <c r="Z28" s="35">
        <v>26659</v>
      </c>
      <c r="AA28" s="36">
        <f t="shared" si="0"/>
        <v>684642</v>
      </c>
      <c r="AB28" s="19">
        <v>3</v>
      </c>
      <c r="AC28" s="81"/>
      <c r="AD28" s="47"/>
    </row>
    <row r="29" spans="1:30" x14ac:dyDescent="0.25">
      <c r="A29" s="79"/>
      <c r="B29" s="20" t="s">
        <v>3</v>
      </c>
      <c r="C29" s="37">
        <v>24097</v>
      </c>
      <c r="D29" s="37">
        <v>22602</v>
      </c>
      <c r="E29" s="37">
        <v>21617</v>
      </c>
      <c r="F29" s="37">
        <v>20990</v>
      </c>
      <c r="G29" s="37">
        <v>20786</v>
      </c>
      <c r="H29" s="37">
        <v>20855</v>
      </c>
      <c r="I29" s="37">
        <v>20852</v>
      </c>
      <c r="J29" s="37">
        <v>22817</v>
      </c>
      <c r="K29" s="37">
        <v>25035</v>
      </c>
      <c r="L29" s="37">
        <v>26864</v>
      </c>
      <c r="M29" s="37">
        <v>28159</v>
      </c>
      <c r="N29" s="37">
        <v>29501</v>
      </c>
      <c r="O29" s="37">
        <v>30194</v>
      </c>
      <c r="P29" s="37">
        <v>29923</v>
      </c>
      <c r="Q29" s="37">
        <v>29189</v>
      </c>
      <c r="R29" s="37">
        <v>28697</v>
      </c>
      <c r="S29" s="37">
        <v>28511</v>
      </c>
      <c r="T29" s="37">
        <v>28590</v>
      </c>
      <c r="U29" s="37">
        <v>31495</v>
      </c>
      <c r="V29" s="37">
        <v>34018</v>
      </c>
      <c r="W29" s="37">
        <v>33009</v>
      </c>
      <c r="X29" s="37">
        <v>30937</v>
      </c>
      <c r="Y29" s="37">
        <v>27779</v>
      </c>
      <c r="Z29" s="38">
        <v>24638</v>
      </c>
      <c r="AA29" s="39">
        <f t="shared" si="0"/>
        <v>641155</v>
      </c>
      <c r="AB29" s="21">
        <v>7</v>
      </c>
      <c r="AC29" s="82"/>
      <c r="AD29" s="47"/>
    </row>
    <row r="30" spans="1:30" ht="15.75" thickBot="1" x14ac:dyDescent="0.3">
      <c r="A30" s="79">
        <v>46631</v>
      </c>
      <c r="B30" s="16" t="s">
        <v>5</v>
      </c>
      <c r="C30" s="31">
        <v>23132</v>
      </c>
      <c r="D30" s="31">
        <v>21858</v>
      </c>
      <c r="E30" s="31">
        <v>21062</v>
      </c>
      <c r="F30" s="31">
        <v>20714</v>
      </c>
      <c r="G30" s="31">
        <v>21050</v>
      </c>
      <c r="H30" s="31">
        <v>22430</v>
      </c>
      <c r="I30" s="31">
        <v>23759</v>
      </c>
      <c r="J30" s="31">
        <v>26012</v>
      </c>
      <c r="K30" s="31">
        <v>28276</v>
      </c>
      <c r="L30" s="31">
        <v>30158</v>
      </c>
      <c r="M30" s="31">
        <v>32026</v>
      </c>
      <c r="N30" s="31">
        <v>33738</v>
      </c>
      <c r="O30" s="31">
        <v>33150</v>
      </c>
      <c r="P30" s="31">
        <v>33390</v>
      </c>
      <c r="Q30" s="31">
        <v>34171</v>
      </c>
      <c r="R30" s="31">
        <v>34366</v>
      </c>
      <c r="S30" s="31">
        <v>33872</v>
      </c>
      <c r="T30" s="31">
        <v>33177</v>
      </c>
      <c r="U30" s="31">
        <v>36282</v>
      </c>
      <c r="V30" s="31">
        <v>37121</v>
      </c>
      <c r="W30" s="31">
        <v>35726</v>
      </c>
      <c r="X30" s="31">
        <v>33208</v>
      </c>
      <c r="Y30" s="31">
        <v>29205</v>
      </c>
      <c r="Z30" s="32">
        <v>25675</v>
      </c>
      <c r="AA30" s="33">
        <f t="shared" si="0"/>
        <v>703558</v>
      </c>
      <c r="AB30" s="17">
        <v>22</v>
      </c>
      <c r="AC30" s="80">
        <f>+AA30*AB30+AA31*AB31+AA32*AB32</f>
        <v>20775688</v>
      </c>
      <c r="AD30" s="47"/>
    </row>
    <row r="31" spans="1:30" ht="15.75" thickBot="1" x14ac:dyDescent="0.3">
      <c r="A31" s="79"/>
      <c r="B31" s="18" t="s">
        <v>4</v>
      </c>
      <c r="C31" s="34">
        <v>23750</v>
      </c>
      <c r="D31" s="34">
        <v>22234</v>
      </c>
      <c r="E31" s="34">
        <v>21413</v>
      </c>
      <c r="F31" s="34">
        <v>20964</v>
      </c>
      <c r="G31" s="34">
        <v>20982</v>
      </c>
      <c r="H31" s="34">
        <v>21176</v>
      </c>
      <c r="I31" s="34">
        <v>22238</v>
      </c>
      <c r="J31" s="34">
        <v>25255</v>
      </c>
      <c r="K31" s="34">
        <v>28132</v>
      </c>
      <c r="L31" s="34">
        <v>30186</v>
      </c>
      <c r="M31" s="34">
        <v>31810</v>
      </c>
      <c r="N31" s="34">
        <v>33111</v>
      </c>
      <c r="O31" s="34">
        <v>33030</v>
      </c>
      <c r="P31" s="34">
        <v>32608</v>
      </c>
      <c r="Q31" s="34">
        <v>32216</v>
      </c>
      <c r="R31" s="34">
        <v>31933</v>
      </c>
      <c r="S31" s="34">
        <v>31659</v>
      </c>
      <c r="T31" s="34">
        <v>31894</v>
      </c>
      <c r="U31" s="34">
        <v>35300</v>
      </c>
      <c r="V31" s="34">
        <v>36061</v>
      </c>
      <c r="W31" s="34">
        <v>34479</v>
      </c>
      <c r="X31" s="34">
        <v>32456</v>
      </c>
      <c r="Y31" s="34">
        <v>29502</v>
      </c>
      <c r="Z31" s="35">
        <v>26484</v>
      </c>
      <c r="AA31" s="36">
        <f t="shared" si="0"/>
        <v>688873</v>
      </c>
      <c r="AB31" s="19">
        <v>4</v>
      </c>
      <c r="AC31" s="81"/>
      <c r="AD31" s="47"/>
    </row>
    <row r="32" spans="1:30" x14ac:dyDescent="0.25">
      <c r="A32" s="79"/>
      <c r="B32" s="20" t="s">
        <v>3</v>
      </c>
      <c r="C32" s="37">
        <v>24181</v>
      </c>
      <c r="D32" s="37">
        <v>22730</v>
      </c>
      <c r="E32" s="37">
        <v>21777</v>
      </c>
      <c r="F32" s="37">
        <v>21039</v>
      </c>
      <c r="G32" s="37">
        <v>20705</v>
      </c>
      <c r="H32" s="37">
        <v>20452</v>
      </c>
      <c r="I32" s="37">
        <v>20608</v>
      </c>
      <c r="J32" s="37">
        <v>22536</v>
      </c>
      <c r="K32" s="37">
        <v>24711</v>
      </c>
      <c r="L32" s="37">
        <v>26494</v>
      </c>
      <c r="M32" s="37">
        <v>27738</v>
      </c>
      <c r="N32" s="37">
        <v>28925</v>
      </c>
      <c r="O32" s="37">
        <v>29612</v>
      </c>
      <c r="P32" s="37">
        <v>29402</v>
      </c>
      <c r="Q32" s="37">
        <v>28781</v>
      </c>
      <c r="R32" s="37">
        <v>28480</v>
      </c>
      <c r="S32" s="37">
        <v>28284</v>
      </c>
      <c r="T32" s="37">
        <v>28511</v>
      </c>
      <c r="U32" s="37">
        <v>32227</v>
      </c>
      <c r="V32" s="37">
        <v>33493</v>
      </c>
      <c r="W32" s="37">
        <v>32566</v>
      </c>
      <c r="X32" s="37">
        <v>30536</v>
      </c>
      <c r="Y32" s="37">
        <v>27366</v>
      </c>
      <c r="Z32" s="38">
        <v>24326</v>
      </c>
      <c r="AA32" s="39">
        <f t="shared" si="0"/>
        <v>635480</v>
      </c>
      <c r="AB32" s="21">
        <v>4</v>
      </c>
      <c r="AC32" s="82"/>
      <c r="AD32" s="47"/>
    </row>
    <row r="33" spans="1:30" ht="15.75" thickBot="1" x14ac:dyDescent="0.3">
      <c r="A33" s="79">
        <v>46661</v>
      </c>
      <c r="B33" s="16" t="s">
        <v>5</v>
      </c>
      <c r="C33" s="31">
        <v>21921</v>
      </c>
      <c r="D33" s="31">
        <v>20746</v>
      </c>
      <c r="E33" s="31">
        <v>20093</v>
      </c>
      <c r="F33" s="31">
        <v>19743</v>
      </c>
      <c r="G33" s="31">
        <v>20130</v>
      </c>
      <c r="H33" s="31">
        <v>21242</v>
      </c>
      <c r="I33" s="31">
        <v>22657</v>
      </c>
      <c r="J33" s="31">
        <v>24779</v>
      </c>
      <c r="K33" s="31">
        <v>26909</v>
      </c>
      <c r="L33" s="31">
        <v>28589</v>
      </c>
      <c r="M33" s="31">
        <v>30330</v>
      </c>
      <c r="N33" s="31">
        <v>31944</v>
      </c>
      <c r="O33" s="31">
        <v>31383</v>
      </c>
      <c r="P33" s="31">
        <v>31556</v>
      </c>
      <c r="Q33" s="31">
        <v>32279</v>
      </c>
      <c r="R33" s="31">
        <v>32434</v>
      </c>
      <c r="S33" s="31">
        <v>32075</v>
      </c>
      <c r="T33" s="31">
        <v>32169</v>
      </c>
      <c r="U33" s="31">
        <v>35726</v>
      </c>
      <c r="V33" s="31">
        <v>35544</v>
      </c>
      <c r="W33" s="31">
        <v>33983</v>
      </c>
      <c r="X33" s="31">
        <v>31436</v>
      </c>
      <c r="Y33" s="31">
        <v>27695</v>
      </c>
      <c r="Z33" s="32">
        <v>24369</v>
      </c>
      <c r="AA33" s="33">
        <f t="shared" si="0"/>
        <v>669732</v>
      </c>
      <c r="AB33" s="17">
        <v>20</v>
      </c>
      <c r="AC33" s="80">
        <f>+AA33*AB33+AA34*AB34+AA35*AB35</f>
        <v>20516167</v>
      </c>
      <c r="AD33" s="47"/>
    </row>
    <row r="34" spans="1:30" ht="15.75" thickBot="1" x14ac:dyDescent="0.3">
      <c r="A34" s="79"/>
      <c r="B34" s="18" t="s">
        <v>4</v>
      </c>
      <c r="C34" s="34">
        <v>23077</v>
      </c>
      <c r="D34" s="34">
        <v>21761</v>
      </c>
      <c r="E34" s="34">
        <v>20963</v>
      </c>
      <c r="F34" s="34">
        <v>20433</v>
      </c>
      <c r="G34" s="34">
        <v>20539</v>
      </c>
      <c r="H34" s="34">
        <v>20858</v>
      </c>
      <c r="I34" s="34">
        <v>22037</v>
      </c>
      <c r="J34" s="34">
        <v>24750</v>
      </c>
      <c r="K34" s="34">
        <v>27454</v>
      </c>
      <c r="L34" s="34">
        <v>29332</v>
      </c>
      <c r="M34" s="34">
        <v>30931</v>
      </c>
      <c r="N34" s="34">
        <v>32271</v>
      </c>
      <c r="O34" s="34">
        <v>32323</v>
      </c>
      <c r="P34" s="34">
        <v>31958</v>
      </c>
      <c r="Q34" s="34">
        <v>31570</v>
      </c>
      <c r="R34" s="34">
        <v>31329</v>
      </c>
      <c r="S34" s="34">
        <v>31047</v>
      </c>
      <c r="T34" s="34">
        <v>32025</v>
      </c>
      <c r="U34" s="34">
        <v>36090</v>
      </c>
      <c r="V34" s="34">
        <v>36026</v>
      </c>
      <c r="W34" s="34">
        <v>34500</v>
      </c>
      <c r="X34" s="34">
        <v>32190</v>
      </c>
      <c r="Y34" s="34">
        <v>29341</v>
      </c>
      <c r="Z34" s="35">
        <v>26244</v>
      </c>
      <c r="AA34" s="36">
        <f t="shared" si="0"/>
        <v>679049</v>
      </c>
      <c r="AB34" s="19">
        <v>5</v>
      </c>
      <c r="AC34" s="81"/>
      <c r="AD34" s="47"/>
    </row>
    <row r="35" spans="1:30" x14ac:dyDescent="0.25">
      <c r="A35" s="79"/>
      <c r="B35" s="20" t="s">
        <v>3</v>
      </c>
      <c r="C35" s="37">
        <v>23155</v>
      </c>
      <c r="D35" s="37">
        <v>21753</v>
      </c>
      <c r="E35" s="37">
        <v>20786</v>
      </c>
      <c r="F35" s="37">
        <v>20110</v>
      </c>
      <c r="G35" s="37">
        <v>19895</v>
      </c>
      <c r="H35" s="37">
        <v>19615</v>
      </c>
      <c r="I35" s="37">
        <v>19990</v>
      </c>
      <c r="J35" s="37">
        <v>21826</v>
      </c>
      <c r="K35" s="37">
        <v>23907</v>
      </c>
      <c r="L35" s="37">
        <v>25735</v>
      </c>
      <c r="M35" s="37">
        <v>27032</v>
      </c>
      <c r="N35" s="37">
        <v>28307</v>
      </c>
      <c r="O35" s="37">
        <v>29022</v>
      </c>
      <c r="P35" s="37">
        <v>28784</v>
      </c>
      <c r="Q35" s="37">
        <v>28237</v>
      </c>
      <c r="R35" s="37">
        <v>27960</v>
      </c>
      <c r="S35" s="37">
        <v>27800</v>
      </c>
      <c r="T35" s="37">
        <v>28658</v>
      </c>
      <c r="U35" s="37">
        <v>32752</v>
      </c>
      <c r="V35" s="37">
        <v>33088</v>
      </c>
      <c r="W35" s="37">
        <v>32027</v>
      </c>
      <c r="X35" s="37">
        <v>29935</v>
      </c>
      <c r="Y35" s="37">
        <v>26830</v>
      </c>
      <c r="Z35" s="38">
        <v>23843</v>
      </c>
      <c r="AA35" s="39">
        <f t="shared" si="0"/>
        <v>621047</v>
      </c>
      <c r="AB35" s="21">
        <v>6</v>
      </c>
      <c r="AC35" s="82"/>
      <c r="AD35" s="47"/>
    </row>
    <row r="36" spans="1:30" ht="15.75" thickBot="1" x14ac:dyDescent="0.3">
      <c r="A36" s="79">
        <v>46692</v>
      </c>
      <c r="B36" s="16" t="s">
        <v>5</v>
      </c>
      <c r="C36" s="31">
        <v>21516</v>
      </c>
      <c r="D36" s="31">
        <v>20343</v>
      </c>
      <c r="E36" s="31">
        <v>19693</v>
      </c>
      <c r="F36" s="31">
        <v>19389</v>
      </c>
      <c r="G36" s="31">
        <v>19840</v>
      </c>
      <c r="H36" s="31">
        <v>21107</v>
      </c>
      <c r="I36" s="31">
        <v>22613</v>
      </c>
      <c r="J36" s="31">
        <v>24768</v>
      </c>
      <c r="K36" s="31">
        <v>26859</v>
      </c>
      <c r="L36" s="31">
        <v>28477</v>
      </c>
      <c r="M36" s="31">
        <v>30209</v>
      </c>
      <c r="N36" s="31">
        <v>31869</v>
      </c>
      <c r="O36" s="31">
        <v>31218</v>
      </c>
      <c r="P36" s="31">
        <v>31236</v>
      </c>
      <c r="Q36" s="31">
        <v>31943</v>
      </c>
      <c r="R36" s="31">
        <v>31912</v>
      </c>
      <c r="S36" s="31">
        <v>31650</v>
      </c>
      <c r="T36" s="31">
        <v>32081</v>
      </c>
      <c r="U36" s="31">
        <v>35796</v>
      </c>
      <c r="V36" s="31">
        <v>35598</v>
      </c>
      <c r="W36" s="31">
        <v>34015</v>
      </c>
      <c r="X36" s="31">
        <v>31333</v>
      </c>
      <c r="Y36" s="31">
        <v>27481</v>
      </c>
      <c r="Z36" s="32">
        <v>24036</v>
      </c>
      <c r="AA36" s="33">
        <f t="shared" si="0"/>
        <v>664982</v>
      </c>
      <c r="AB36" s="17">
        <v>20</v>
      </c>
      <c r="AC36" s="80">
        <f>+AA36*AB36+AA37*AB37+AA38*AB38</f>
        <v>19530432</v>
      </c>
      <c r="AD36" s="47"/>
    </row>
    <row r="37" spans="1:30" ht="15.75" thickBot="1" x14ac:dyDescent="0.3">
      <c r="A37" s="79"/>
      <c r="B37" s="18" t="s">
        <v>4</v>
      </c>
      <c r="C37" s="34">
        <v>22094</v>
      </c>
      <c r="D37" s="34">
        <v>20848</v>
      </c>
      <c r="E37" s="34">
        <v>20087</v>
      </c>
      <c r="F37" s="34">
        <v>19601</v>
      </c>
      <c r="G37" s="34">
        <v>19686</v>
      </c>
      <c r="H37" s="34">
        <v>19932</v>
      </c>
      <c r="I37" s="34">
        <v>21018</v>
      </c>
      <c r="J37" s="34">
        <v>23517</v>
      </c>
      <c r="K37" s="34">
        <v>26161</v>
      </c>
      <c r="L37" s="34">
        <v>28004</v>
      </c>
      <c r="M37" s="34">
        <v>29477</v>
      </c>
      <c r="N37" s="34">
        <v>30832</v>
      </c>
      <c r="O37" s="34">
        <v>30706</v>
      </c>
      <c r="P37" s="34">
        <v>30134</v>
      </c>
      <c r="Q37" s="34">
        <v>29966</v>
      </c>
      <c r="R37" s="34">
        <v>29870</v>
      </c>
      <c r="S37" s="34">
        <v>29695</v>
      </c>
      <c r="T37" s="34">
        <v>30759</v>
      </c>
      <c r="U37" s="34">
        <v>34895</v>
      </c>
      <c r="V37" s="34">
        <v>34790</v>
      </c>
      <c r="W37" s="34">
        <v>33196</v>
      </c>
      <c r="X37" s="34">
        <v>31159</v>
      </c>
      <c r="Y37" s="34">
        <v>28143</v>
      </c>
      <c r="Z37" s="35">
        <v>25112</v>
      </c>
      <c r="AA37" s="36">
        <f t="shared" si="0"/>
        <v>649682</v>
      </c>
      <c r="AB37" s="19">
        <v>4</v>
      </c>
      <c r="AC37" s="81"/>
      <c r="AD37" s="47"/>
    </row>
    <row r="38" spans="1:30" x14ac:dyDescent="0.25">
      <c r="A38" s="79"/>
      <c r="B38" s="20" t="s">
        <v>3</v>
      </c>
      <c r="C38" s="37">
        <v>22184</v>
      </c>
      <c r="D38" s="37">
        <v>20848</v>
      </c>
      <c r="E38" s="37">
        <v>19944</v>
      </c>
      <c r="F38" s="37">
        <v>19281</v>
      </c>
      <c r="G38" s="37">
        <v>19192</v>
      </c>
      <c r="H38" s="37">
        <v>18955</v>
      </c>
      <c r="I38" s="37">
        <v>19406</v>
      </c>
      <c r="J38" s="37">
        <v>21318</v>
      </c>
      <c r="K38" s="37">
        <v>23404</v>
      </c>
      <c r="L38" s="37">
        <v>25196</v>
      </c>
      <c r="M38" s="37">
        <v>26499</v>
      </c>
      <c r="N38" s="37">
        <v>27823</v>
      </c>
      <c r="O38" s="37">
        <v>28478</v>
      </c>
      <c r="P38" s="37">
        <v>28219</v>
      </c>
      <c r="Q38" s="37">
        <v>27592</v>
      </c>
      <c r="R38" s="37">
        <v>27149</v>
      </c>
      <c r="S38" s="37">
        <v>27022</v>
      </c>
      <c r="T38" s="37">
        <v>27986</v>
      </c>
      <c r="U38" s="37">
        <v>32155</v>
      </c>
      <c r="V38" s="37">
        <v>32542</v>
      </c>
      <c r="W38" s="37">
        <v>31471</v>
      </c>
      <c r="X38" s="37">
        <v>29347</v>
      </c>
      <c r="Y38" s="37">
        <v>26170</v>
      </c>
      <c r="Z38" s="38">
        <v>23163</v>
      </c>
      <c r="AA38" s="39">
        <f t="shared" si="0"/>
        <v>605344</v>
      </c>
      <c r="AB38" s="21">
        <v>6</v>
      </c>
      <c r="AC38" s="82"/>
      <c r="AD38" s="47"/>
    </row>
    <row r="39" spans="1:30" ht="15.75" thickBot="1" x14ac:dyDescent="0.3">
      <c r="A39" s="79">
        <v>46722</v>
      </c>
      <c r="B39" s="16" t="s">
        <v>5</v>
      </c>
      <c r="C39" s="31">
        <v>23051</v>
      </c>
      <c r="D39" s="31">
        <v>21657</v>
      </c>
      <c r="E39" s="31">
        <v>20851</v>
      </c>
      <c r="F39" s="31">
        <v>20437</v>
      </c>
      <c r="G39" s="31">
        <v>20722</v>
      </c>
      <c r="H39" s="31">
        <v>21630</v>
      </c>
      <c r="I39" s="31">
        <v>22642</v>
      </c>
      <c r="J39" s="31">
        <v>25306</v>
      </c>
      <c r="K39" s="31">
        <v>27794</v>
      </c>
      <c r="L39" s="31">
        <v>29634</v>
      </c>
      <c r="M39" s="31">
        <v>31312</v>
      </c>
      <c r="N39" s="31">
        <v>33013</v>
      </c>
      <c r="O39" s="31">
        <v>32688</v>
      </c>
      <c r="P39" s="31">
        <v>32662</v>
      </c>
      <c r="Q39" s="31">
        <v>33144</v>
      </c>
      <c r="R39" s="31">
        <v>33103</v>
      </c>
      <c r="S39" s="31">
        <v>32626</v>
      </c>
      <c r="T39" s="31">
        <v>32408</v>
      </c>
      <c r="U39" s="31">
        <v>36023</v>
      </c>
      <c r="V39" s="31">
        <v>36581</v>
      </c>
      <c r="W39" s="31">
        <v>35162</v>
      </c>
      <c r="X39" s="31">
        <v>32893</v>
      </c>
      <c r="Y39" s="31">
        <v>29413</v>
      </c>
      <c r="Z39" s="32">
        <v>26080</v>
      </c>
      <c r="AA39" s="33">
        <f t="shared" si="0"/>
        <v>690832</v>
      </c>
      <c r="AB39" s="17">
        <v>22</v>
      </c>
      <c r="AC39" s="80">
        <f>+AA39*AB39+AA40*AB40+AA41*AB41</f>
        <v>20980309</v>
      </c>
      <c r="AD39" s="47"/>
    </row>
    <row r="40" spans="1:30" ht="15.75" thickBot="1" x14ac:dyDescent="0.3">
      <c r="A40" s="79"/>
      <c r="B40" s="18" t="s">
        <v>4</v>
      </c>
      <c r="C40" s="34">
        <v>23272</v>
      </c>
      <c r="D40" s="34">
        <v>21866</v>
      </c>
      <c r="E40" s="34">
        <v>21062</v>
      </c>
      <c r="F40" s="34">
        <v>20531</v>
      </c>
      <c r="G40" s="34">
        <v>20560</v>
      </c>
      <c r="H40" s="34">
        <v>21072</v>
      </c>
      <c r="I40" s="34">
        <v>21692</v>
      </c>
      <c r="J40" s="34">
        <v>24183</v>
      </c>
      <c r="K40" s="34">
        <v>26724</v>
      </c>
      <c r="L40" s="34">
        <v>28495</v>
      </c>
      <c r="M40" s="34">
        <v>29919</v>
      </c>
      <c r="N40" s="34">
        <v>31105</v>
      </c>
      <c r="O40" s="34">
        <v>31104</v>
      </c>
      <c r="P40" s="34">
        <v>30660</v>
      </c>
      <c r="Q40" s="34">
        <v>30374</v>
      </c>
      <c r="R40" s="34">
        <v>30057</v>
      </c>
      <c r="S40" s="34">
        <v>29832</v>
      </c>
      <c r="T40" s="34">
        <v>30366</v>
      </c>
      <c r="U40" s="34">
        <v>34402</v>
      </c>
      <c r="V40" s="34">
        <v>34876</v>
      </c>
      <c r="W40" s="34">
        <v>33480</v>
      </c>
      <c r="X40" s="34">
        <v>31485</v>
      </c>
      <c r="Y40" s="34">
        <v>28638</v>
      </c>
      <c r="Z40" s="35">
        <v>25888</v>
      </c>
      <c r="AA40" s="36">
        <f t="shared" si="0"/>
        <v>661643</v>
      </c>
      <c r="AB40" s="19">
        <v>3</v>
      </c>
      <c r="AC40" s="81"/>
      <c r="AD40" s="47"/>
    </row>
    <row r="41" spans="1:30" x14ac:dyDescent="0.25">
      <c r="A41" s="79"/>
      <c r="B41" s="20" t="s">
        <v>3</v>
      </c>
      <c r="C41" s="37">
        <v>24042</v>
      </c>
      <c r="D41" s="37">
        <v>22577</v>
      </c>
      <c r="E41" s="37">
        <v>21554</v>
      </c>
      <c r="F41" s="37">
        <v>20828</v>
      </c>
      <c r="G41" s="37">
        <v>20543</v>
      </c>
      <c r="H41" s="37">
        <v>20440</v>
      </c>
      <c r="I41" s="37">
        <v>20407</v>
      </c>
      <c r="J41" s="37">
        <v>22059</v>
      </c>
      <c r="K41" s="37">
        <v>24112</v>
      </c>
      <c r="L41" s="37">
        <v>25917</v>
      </c>
      <c r="M41" s="37">
        <v>27267</v>
      </c>
      <c r="N41" s="37">
        <v>28536</v>
      </c>
      <c r="O41" s="37">
        <v>29220</v>
      </c>
      <c r="P41" s="37">
        <v>29184</v>
      </c>
      <c r="Q41" s="37">
        <v>28722</v>
      </c>
      <c r="R41" s="37">
        <v>28430</v>
      </c>
      <c r="S41" s="37">
        <v>28261</v>
      </c>
      <c r="T41" s="37">
        <v>28797</v>
      </c>
      <c r="U41" s="37">
        <v>32829</v>
      </c>
      <c r="V41" s="37">
        <v>33648</v>
      </c>
      <c r="W41" s="37">
        <v>32498</v>
      </c>
      <c r="X41" s="37">
        <v>30533</v>
      </c>
      <c r="Y41" s="37">
        <v>27660</v>
      </c>
      <c r="Z41" s="38">
        <v>24782</v>
      </c>
      <c r="AA41" s="39">
        <f t="shared" si="0"/>
        <v>632846</v>
      </c>
      <c r="AB41" s="21">
        <v>6</v>
      </c>
      <c r="AC41" s="82"/>
      <c r="AD41" s="47"/>
    </row>
    <row r="42" spans="1:30" x14ac:dyDescent="0.25">
      <c r="A42" s="77" t="s">
        <v>2</v>
      </c>
      <c r="B42" s="78"/>
      <c r="C42" s="29">
        <f t="shared" ref="C42:AC42" si="1">+SUM(C6:C41)</f>
        <v>825170</v>
      </c>
      <c r="D42" s="29">
        <f t="shared" si="1"/>
        <v>776133</v>
      </c>
      <c r="E42" s="29">
        <f t="shared" si="1"/>
        <v>746568</v>
      </c>
      <c r="F42" s="29">
        <f t="shared" si="1"/>
        <v>728293</v>
      </c>
      <c r="G42" s="29">
        <f t="shared" si="1"/>
        <v>730558</v>
      </c>
      <c r="H42" s="29">
        <f t="shared" si="1"/>
        <v>751781</v>
      </c>
      <c r="I42" s="29">
        <f t="shared" si="1"/>
        <v>780215</v>
      </c>
      <c r="J42" s="29">
        <f t="shared" si="1"/>
        <v>857633</v>
      </c>
      <c r="K42" s="29">
        <f t="shared" si="1"/>
        <v>942562</v>
      </c>
      <c r="L42" s="29">
        <f t="shared" si="1"/>
        <v>1008021</v>
      </c>
      <c r="M42" s="29">
        <f t="shared" si="1"/>
        <v>1062910</v>
      </c>
      <c r="N42" s="29">
        <f t="shared" si="1"/>
        <v>1114402</v>
      </c>
      <c r="O42" s="29">
        <f t="shared" si="1"/>
        <v>1116442</v>
      </c>
      <c r="P42" s="29">
        <f t="shared" si="1"/>
        <v>1110240</v>
      </c>
      <c r="Q42" s="29">
        <f t="shared" si="1"/>
        <v>1106303</v>
      </c>
      <c r="R42" s="29">
        <f t="shared" si="1"/>
        <v>1101752</v>
      </c>
      <c r="S42" s="29">
        <f t="shared" si="1"/>
        <v>1090961</v>
      </c>
      <c r="T42" s="29">
        <f t="shared" si="1"/>
        <v>1092898</v>
      </c>
      <c r="U42" s="29">
        <f t="shared" si="1"/>
        <v>1202835</v>
      </c>
      <c r="V42" s="29">
        <f t="shared" si="1"/>
        <v>1259580</v>
      </c>
      <c r="W42" s="29">
        <f t="shared" si="1"/>
        <v>1214158</v>
      </c>
      <c r="X42" s="29">
        <f t="shared" si="1"/>
        <v>1135479</v>
      </c>
      <c r="Y42" s="29">
        <f t="shared" si="1"/>
        <v>1016752</v>
      </c>
      <c r="Z42" s="29">
        <f t="shared" si="1"/>
        <v>900992</v>
      </c>
      <c r="AA42" s="29">
        <f t="shared" si="1"/>
        <v>23672638</v>
      </c>
      <c r="AB42" s="29">
        <f t="shared" si="1"/>
        <v>365</v>
      </c>
      <c r="AC42" s="44">
        <f t="shared" si="1"/>
        <v>243315946</v>
      </c>
      <c r="AD42" s="47"/>
    </row>
    <row r="43" spans="1:30" x14ac:dyDescent="0.25">
      <c r="AB43" s="4"/>
      <c r="AC43" s="4"/>
    </row>
    <row r="44" spans="1:30" x14ac:dyDescent="0.25">
      <c r="AA44" s="46"/>
    </row>
    <row r="45" spans="1:30" x14ac:dyDescent="0.25"/>
    <row r="46" spans="1:30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106C-0485-4FC0-B06D-9F64D564DA9C}">
  <sheetPr codeName="Hoja8">
    <tabColor rgb="FFFFFF00"/>
  </sheetPr>
  <dimension ref="A1:AD46"/>
  <sheetViews>
    <sheetView showGridLines="0" zoomScale="115" zoomScaleNormal="115" zoomScaleSheetLayoutView="110" workbookViewId="0">
      <selection activeCell="A3" sqref="A3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7" t="s">
        <v>78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</row>
    <row r="2" spans="1:30" ht="15" x14ac:dyDescent="0.25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</row>
    <row r="3" spans="1:30" ht="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ht="15" x14ac:dyDescent="0.25">
      <c r="A4" s="93" t="s">
        <v>35</v>
      </c>
      <c r="B4" s="93" t="s">
        <v>34</v>
      </c>
      <c r="C4" s="85" t="s">
        <v>33</v>
      </c>
      <c r="D4" s="85" t="s">
        <v>32</v>
      </c>
      <c r="E4" s="85" t="s">
        <v>31</v>
      </c>
      <c r="F4" s="85" t="s">
        <v>30</v>
      </c>
      <c r="G4" s="85" t="s">
        <v>29</v>
      </c>
      <c r="H4" s="85" t="s">
        <v>28</v>
      </c>
      <c r="I4" s="85" t="s">
        <v>27</v>
      </c>
      <c r="J4" s="85" t="s">
        <v>26</v>
      </c>
      <c r="K4" s="85" t="s">
        <v>25</v>
      </c>
      <c r="L4" s="85" t="s">
        <v>24</v>
      </c>
      <c r="M4" s="85" t="s">
        <v>23</v>
      </c>
      <c r="N4" s="85" t="s">
        <v>22</v>
      </c>
      <c r="O4" s="85" t="s">
        <v>21</v>
      </c>
      <c r="P4" s="85" t="s">
        <v>20</v>
      </c>
      <c r="Q4" s="85" t="s">
        <v>19</v>
      </c>
      <c r="R4" s="85" t="s">
        <v>18</v>
      </c>
      <c r="S4" s="85" t="s">
        <v>17</v>
      </c>
      <c r="T4" s="85" t="s">
        <v>16</v>
      </c>
      <c r="U4" s="85" t="s">
        <v>15</v>
      </c>
      <c r="V4" s="85" t="s">
        <v>14</v>
      </c>
      <c r="W4" s="85" t="s">
        <v>13</v>
      </c>
      <c r="X4" s="85" t="s">
        <v>12</v>
      </c>
      <c r="Y4" s="85" t="s">
        <v>11</v>
      </c>
      <c r="Z4" s="85" t="s">
        <v>10</v>
      </c>
      <c r="AA4" s="12" t="s">
        <v>9</v>
      </c>
      <c r="AB4" s="13" t="s">
        <v>8</v>
      </c>
      <c r="AC4" s="83" t="s">
        <v>7</v>
      </c>
    </row>
    <row r="5" spans="1:30" ht="15" x14ac:dyDescent="0.25">
      <c r="A5" s="93"/>
      <c r="B5" s="93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14"/>
      <c r="AB5" s="15" t="s">
        <v>6</v>
      </c>
      <c r="AC5" s="84"/>
    </row>
    <row r="6" spans="1:30" ht="15.75" thickBot="1" x14ac:dyDescent="0.3">
      <c r="A6" s="79">
        <v>46388</v>
      </c>
      <c r="B6" s="16" t="s">
        <v>5</v>
      </c>
      <c r="C6" s="31">
        <f>ROUND('Anexo 5'!C6*Anexo1!$D$10,0)</f>
        <v>0</v>
      </c>
      <c r="D6" s="31">
        <f>ROUND('Anexo 5'!D6*Anexo1!$D$10,0)</f>
        <v>0</v>
      </c>
      <c r="E6" s="31">
        <f>ROUND('Anexo 5'!E6*Anexo1!$D$10,0)</f>
        <v>0</v>
      </c>
      <c r="F6" s="31">
        <f>ROUND('Anexo 5'!F6*Anexo1!$D$10,0)</f>
        <v>0</v>
      </c>
      <c r="G6" s="31">
        <f>ROUND('Anexo 5'!G6*Anexo1!$D$10,0)</f>
        <v>0</v>
      </c>
      <c r="H6" s="31">
        <f>ROUND('Anexo 5'!H6*Anexo1!$D$10,0)</f>
        <v>0</v>
      </c>
      <c r="I6" s="31">
        <f>ROUND('Anexo 5'!I6*Anexo1!$D$10,0)</f>
        <v>0</v>
      </c>
      <c r="J6" s="31">
        <f>ROUND('Anexo 5'!J6*Anexo1!$D$10,0)</f>
        <v>0</v>
      </c>
      <c r="K6" s="31">
        <f>ROUND('Anexo 5'!K6*Anexo1!$D$10,0)</f>
        <v>0</v>
      </c>
      <c r="L6" s="31">
        <f>ROUND('Anexo 5'!L6*Anexo1!$D$10,0)</f>
        <v>0</v>
      </c>
      <c r="M6" s="31">
        <f>ROUND('Anexo 5'!M6*Anexo1!$D$10,0)</f>
        <v>0</v>
      </c>
      <c r="N6" s="31">
        <f>ROUND('Anexo 5'!N6*Anexo1!$D$10,0)</f>
        <v>0</v>
      </c>
      <c r="O6" s="31">
        <f>ROUND('Anexo 5'!O6*Anexo1!$D$10,0)</f>
        <v>0</v>
      </c>
      <c r="P6" s="31">
        <f>ROUND('Anexo 5'!P6*Anexo1!$D$10,0)</f>
        <v>0</v>
      </c>
      <c r="Q6" s="31">
        <f>ROUND('Anexo 5'!Q6*Anexo1!$D$10,0)</f>
        <v>0</v>
      </c>
      <c r="R6" s="31">
        <f>ROUND('Anexo 5'!R6*Anexo1!$D$10,0)</f>
        <v>0</v>
      </c>
      <c r="S6" s="31">
        <f>ROUND('Anexo 5'!S6*Anexo1!$D$10,0)</f>
        <v>0</v>
      </c>
      <c r="T6" s="31">
        <f>ROUND('Anexo 5'!T6*Anexo1!$D$10,0)</f>
        <v>0</v>
      </c>
      <c r="U6" s="31">
        <f>ROUND('Anexo 5'!U6*Anexo1!$D$10,0)</f>
        <v>0</v>
      </c>
      <c r="V6" s="31">
        <f>ROUND('Anexo 5'!V6*Anexo1!$D$10,0)</f>
        <v>0</v>
      </c>
      <c r="W6" s="31">
        <f>ROUND('Anexo 5'!W6*Anexo1!$D$10,0)</f>
        <v>0</v>
      </c>
      <c r="X6" s="31">
        <f>ROUND('Anexo 5'!X6*Anexo1!$D$10,0)</f>
        <v>0</v>
      </c>
      <c r="Y6" s="31">
        <f>ROUND('Anexo 5'!Y6*Anexo1!$D$10,0)</f>
        <v>0</v>
      </c>
      <c r="Z6" s="31">
        <f>ROUND('Anexo 5'!Z6*Anexo1!$D$10,0)</f>
        <v>0</v>
      </c>
      <c r="AA6" s="33">
        <f>SUM(C6:Z6)</f>
        <v>0</v>
      </c>
      <c r="AB6" s="17">
        <v>19</v>
      </c>
      <c r="AC6" s="80">
        <f>+AA6*AB6+AA7*AB7+AA8*AB8</f>
        <v>0</v>
      </c>
    </row>
    <row r="7" spans="1:30" ht="15.75" thickBot="1" x14ac:dyDescent="0.3">
      <c r="A7" s="79"/>
      <c r="B7" s="18" t="s">
        <v>4</v>
      </c>
      <c r="C7" s="31">
        <f>ROUND('Anexo 5'!C7*Anexo1!$D$10,0)</f>
        <v>0</v>
      </c>
      <c r="D7" s="31">
        <f>ROUND('Anexo 5'!D7*Anexo1!$D$10,0)</f>
        <v>0</v>
      </c>
      <c r="E7" s="31">
        <f>ROUND('Anexo 5'!E7*Anexo1!$D$10,0)</f>
        <v>0</v>
      </c>
      <c r="F7" s="31">
        <f>ROUND('Anexo 5'!F7*Anexo1!$D$10,0)</f>
        <v>0</v>
      </c>
      <c r="G7" s="31">
        <f>ROUND('Anexo 5'!G7*Anexo1!$D$10,0)</f>
        <v>0</v>
      </c>
      <c r="H7" s="31">
        <f>ROUND('Anexo 5'!H7*Anexo1!$D$10,0)</f>
        <v>0</v>
      </c>
      <c r="I7" s="31">
        <f>ROUND('Anexo 5'!I7*Anexo1!$D$10,0)</f>
        <v>0</v>
      </c>
      <c r="J7" s="31">
        <f>ROUND('Anexo 5'!J7*Anexo1!$D$10,0)</f>
        <v>0</v>
      </c>
      <c r="K7" s="31">
        <f>ROUND('Anexo 5'!K7*Anexo1!$D$10,0)</f>
        <v>0</v>
      </c>
      <c r="L7" s="31">
        <f>ROUND('Anexo 5'!L7*Anexo1!$D$10,0)</f>
        <v>0</v>
      </c>
      <c r="M7" s="31">
        <f>ROUND('Anexo 5'!M7*Anexo1!$D$10,0)</f>
        <v>0</v>
      </c>
      <c r="N7" s="31">
        <f>ROUND('Anexo 5'!N7*Anexo1!$D$10,0)</f>
        <v>0</v>
      </c>
      <c r="O7" s="31">
        <f>ROUND('Anexo 5'!O7*Anexo1!$D$10,0)</f>
        <v>0</v>
      </c>
      <c r="P7" s="31">
        <f>ROUND('Anexo 5'!P7*Anexo1!$D$10,0)</f>
        <v>0</v>
      </c>
      <c r="Q7" s="31">
        <f>ROUND('Anexo 5'!Q7*Anexo1!$D$10,0)</f>
        <v>0</v>
      </c>
      <c r="R7" s="31">
        <f>ROUND('Anexo 5'!R7*Anexo1!$D$10,0)</f>
        <v>0</v>
      </c>
      <c r="S7" s="31">
        <f>ROUND('Anexo 5'!S7*Anexo1!$D$10,0)</f>
        <v>0</v>
      </c>
      <c r="T7" s="31">
        <f>ROUND('Anexo 5'!T7*Anexo1!$D$10,0)</f>
        <v>0</v>
      </c>
      <c r="U7" s="31">
        <f>ROUND('Anexo 5'!U7*Anexo1!$D$10,0)</f>
        <v>0</v>
      </c>
      <c r="V7" s="31">
        <f>ROUND('Anexo 5'!V7*Anexo1!$D$10,0)</f>
        <v>0</v>
      </c>
      <c r="W7" s="31">
        <f>ROUND('Anexo 5'!W7*Anexo1!$D$10,0)</f>
        <v>0</v>
      </c>
      <c r="X7" s="31">
        <f>ROUND('Anexo 5'!X7*Anexo1!$D$10,0)</f>
        <v>0</v>
      </c>
      <c r="Y7" s="31">
        <f>ROUND('Anexo 5'!Y7*Anexo1!$D$10,0)</f>
        <v>0</v>
      </c>
      <c r="Z7" s="31">
        <f>ROUND('Anexo 5'!Z7*Anexo1!$D$10,0)</f>
        <v>0</v>
      </c>
      <c r="AA7" s="36">
        <f t="shared" ref="AA7:AA41" si="0">SUM(C7:Z7)</f>
        <v>0</v>
      </c>
      <c r="AB7" s="19">
        <v>5</v>
      </c>
      <c r="AC7" s="81"/>
      <c r="AD7" s="45"/>
    </row>
    <row r="8" spans="1:30" ht="15.75" thickBot="1" x14ac:dyDescent="0.3">
      <c r="A8" s="79"/>
      <c r="B8" s="20" t="s">
        <v>3</v>
      </c>
      <c r="C8" s="31">
        <f>ROUND('Anexo 5'!C8*Anexo1!$D$10,0)</f>
        <v>0</v>
      </c>
      <c r="D8" s="31">
        <f>ROUND('Anexo 5'!D8*Anexo1!$D$10,0)</f>
        <v>0</v>
      </c>
      <c r="E8" s="31">
        <f>ROUND('Anexo 5'!E8*Anexo1!$D$10,0)</f>
        <v>0</v>
      </c>
      <c r="F8" s="31">
        <f>ROUND('Anexo 5'!F8*Anexo1!$D$10,0)</f>
        <v>0</v>
      </c>
      <c r="G8" s="31">
        <f>ROUND('Anexo 5'!G8*Anexo1!$D$10,0)</f>
        <v>0</v>
      </c>
      <c r="H8" s="31">
        <f>ROUND('Anexo 5'!H8*Anexo1!$D$10,0)</f>
        <v>0</v>
      </c>
      <c r="I8" s="31">
        <f>ROUND('Anexo 5'!I8*Anexo1!$D$10,0)</f>
        <v>0</v>
      </c>
      <c r="J8" s="31">
        <f>ROUND('Anexo 5'!J8*Anexo1!$D$10,0)</f>
        <v>0</v>
      </c>
      <c r="K8" s="31">
        <f>ROUND('Anexo 5'!K8*Anexo1!$D$10,0)</f>
        <v>0</v>
      </c>
      <c r="L8" s="31">
        <f>ROUND('Anexo 5'!L8*Anexo1!$D$10,0)</f>
        <v>0</v>
      </c>
      <c r="M8" s="31">
        <f>ROUND('Anexo 5'!M8*Anexo1!$D$10,0)</f>
        <v>0</v>
      </c>
      <c r="N8" s="31">
        <f>ROUND('Anexo 5'!N8*Anexo1!$D$10,0)</f>
        <v>0</v>
      </c>
      <c r="O8" s="31">
        <f>ROUND('Anexo 5'!O8*Anexo1!$D$10,0)</f>
        <v>0</v>
      </c>
      <c r="P8" s="31">
        <f>ROUND('Anexo 5'!P8*Anexo1!$D$10,0)</f>
        <v>0</v>
      </c>
      <c r="Q8" s="31">
        <f>ROUND('Anexo 5'!Q8*Anexo1!$D$10,0)</f>
        <v>0</v>
      </c>
      <c r="R8" s="31">
        <f>ROUND('Anexo 5'!R8*Anexo1!$D$10,0)</f>
        <v>0</v>
      </c>
      <c r="S8" s="31">
        <f>ROUND('Anexo 5'!S8*Anexo1!$D$10,0)</f>
        <v>0</v>
      </c>
      <c r="T8" s="31">
        <f>ROUND('Anexo 5'!T8*Anexo1!$D$10,0)</f>
        <v>0</v>
      </c>
      <c r="U8" s="31">
        <f>ROUND('Anexo 5'!U8*Anexo1!$D$10,0)</f>
        <v>0</v>
      </c>
      <c r="V8" s="31">
        <f>ROUND('Anexo 5'!V8*Anexo1!$D$10,0)</f>
        <v>0</v>
      </c>
      <c r="W8" s="31">
        <f>ROUND('Anexo 5'!W8*Anexo1!$D$10,0)</f>
        <v>0</v>
      </c>
      <c r="X8" s="31">
        <f>ROUND('Anexo 5'!X8*Anexo1!$D$10,0)</f>
        <v>0</v>
      </c>
      <c r="Y8" s="31">
        <f>ROUND('Anexo 5'!Y8*Anexo1!$D$10,0)</f>
        <v>0</v>
      </c>
      <c r="Z8" s="31">
        <f>ROUND('Anexo 5'!Z8*Anexo1!$D$10,0)</f>
        <v>0</v>
      </c>
      <c r="AA8" s="39">
        <f t="shared" si="0"/>
        <v>0</v>
      </c>
      <c r="AB8" s="21">
        <v>7</v>
      </c>
      <c r="AC8" s="82"/>
      <c r="AD8" s="46"/>
    </row>
    <row r="9" spans="1:30" ht="15.75" thickBot="1" x14ac:dyDescent="0.3">
      <c r="A9" s="79">
        <v>46419</v>
      </c>
      <c r="B9" s="16" t="s">
        <v>5</v>
      </c>
      <c r="C9" s="31">
        <f>ROUND('Anexo 5'!C9*Anexo1!$D$10,0)</f>
        <v>0</v>
      </c>
      <c r="D9" s="31">
        <f>ROUND('Anexo 5'!D9*Anexo1!$D$10,0)</f>
        <v>0</v>
      </c>
      <c r="E9" s="31">
        <f>ROUND('Anexo 5'!E9*Anexo1!$D$10,0)</f>
        <v>0</v>
      </c>
      <c r="F9" s="31">
        <f>ROUND('Anexo 5'!F9*Anexo1!$D$10,0)</f>
        <v>0</v>
      </c>
      <c r="G9" s="31">
        <f>ROUND('Anexo 5'!G9*Anexo1!$D$10,0)</f>
        <v>0</v>
      </c>
      <c r="H9" s="31">
        <f>ROUND('Anexo 5'!H9*Anexo1!$D$10,0)</f>
        <v>0</v>
      </c>
      <c r="I9" s="31">
        <f>ROUND('Anexo 5'!I9*Anexo1!$D$10,0)</f>
        <v>0</v>
      </c>
      <c r="J9" s="31">
        <f>ROUND('Anexo 5'!J9*Anexo1!$D$10,0)</f>
        <v>0</v>
      </c>
      <c r="K9" s="31">
        <f>ROUND('Anexo 5'!K9*Anexo1!$D$10,0)</f>
        <v>0</v>
      </c>
      <c r="L9" s="31">
        <f>ROUND('Anexo 5'!L9*Anexo1!$D$10,0)</f>
        <v>0</v>
      </c>
      <c r="M9" s="31">
        <f>ROUND('Anexo 5'!M9*Anexo1!$D$10,0)</f>
        <v>0</v>
      </c>
      <c r="N9" s="31">
        <f>ROUND('Anexo 5'!N9*Anexo1!$D$10,0)</f>
        <v>0</v>
      </c>
      <c r="O9" s="31">
        <f>ROUND('Anexo 5'!O9*Anexo1!$D$10,0)</f>
        <v>0</v>
      </c>
      <c r="P9" s="31">
        <f>ROUND('Anexo 5'!P9*Anexo1!$D$10,0)</f>
        <v>0</v>
      </c>
      <c r="Q9" s="31">
        <f>ROUND('Anexo 5'!Q9*Anexo1!$D$10,0)</f>
        <v>0</v>
      </c>
      <c r="R9" s="31">
        <f>ROUND('Anexo 5'!R9*Anexo1!$D$10,0)</f>
        <v>0</v>
      </c>
      <c r="S9" s="31">
        <f>ROUND('Anexo 5'!S9*Anexo1!$D$10,0)</f>
        <v>0</v>
      </c>
      <c r="T9" s="31">
        <f>ROUND('Anexo 5'!T9*Anexo1!$D$10,0)</f>
        <v>0</v>
      </c>
      <c r="U9" s="31">
        <f>ROUND('Anexo 5'!U9*Anexo1!$D$10,0)</f>
        <v>0</v>
      </c>
      <c r="V9" s="31">
        <f>ROUND('Anexo 5'!V9*Anexo1!$D$10,0)</f>
        <v>0</v>
      </c>
      <c r="W9" s="31">
        <f>ROUND('Anexo 5'!W9*Anexo1!$D$10,0)</f>
        <v>0</v>
      </c>
      <c r="X9" s="31">
        <f>ROUND('Anexo 5'!X9*Anexo1!$D$10,0)</f>
        <v>0</v>
      </c>
      <c r="Y9" s="31">
        <f>ROUND('Anexo 5'!Y9*Anexo1!$D$10,0)</f>
        <v>0</v>
      </c>
      <c r="Z9" s="31">
        <f>ROUND('Anexo 5'!Z9*Anexo1!$D$10,0)</f>
        <v>0</v>
      </c>
      <c r="AA9" s="33">
        <f t="shared" si="0"/>
        <v>0</v>
      </c>
      <c r="AB9" s="17">
        <v>20</v>
      </c>
      <c r="AC9" s="80">
        <f>+AA9*AB9+AA10*AB10+AA11*AB11</f>
        <v>0</v>
      </c>
    </row>
    <row r="10" spans="1:30" ht="15.75" thickBot="1" x14ac:dyDescent="0.3">
      <c r="A10" s="79"/>
      <c r="B10" s="18" t="s">
        <v>4</v>
      </c>
      <c r="C10" s="31">
        <f>ROUND('Anexo 5'!C10*Anexo1!$D$10,0)</f>
        <v>0</v>
      </c>
      <c r="D10" s="31">
        <f>ROUND('Anexo 5'!D10*Anexo1!$D$10,0)</f>
        <v>0</v>
      </c>
      <c r="E10" s="31">
        <f>ROUND('Anexo 5'!E10*Anexo1!$D$10,0)</f>
        <v>0</v>
      </c>
      <c r="F10" s="31">
        <f>ROUND('Anexo 5'!F10*Anexo1!$D$10,0)</f>
        <v>0</v>
      </c>
      <c r="G10" s="31">
        <f>ROUND('Anexo 5'!G10*Anexo1!$D$10,0)</f>
        <v>0</v>
      </c>
      <c r="H10" s="31">
        <f>ROUND('Anexo 5'!H10*Anexo1!$D$10,0)</f>
        <v>0</v>
      </c>
      <c r="I10" s="31">
        <f>ROUND('Anexo 5'!I10*Anexo1!$D$10,0)</f>
        <v>0</v>
      </c>
      <c r="J10" s="31">
        <f>ROUND('Anexo 5'!J10*Anexo1!$D$10,0)</f>
        <v>0</v>
      </c>
      <c r="K10" s="31">
        <f>ROUND('Anexo 5'!K10*Anexo1!$D$10,0)</f>
        <v>0</v>
      </c>
      <c r="L10" s="31">
        <f>ROUND('Anexo 5'!L10*Anexo1!$D$10,0)</f>
        <v>0</v>
      </c>
      <c r="M10" s="31">
        <f>ROUND('Anexo 5'!M10*Anexo1!$D$10,0)</f>
        <v>0</v>
      </c>
      <c r="N10" s="31">
        <f>ROUND('Anexo 5'!N10*Anexo1!$D$10,0)</f>
        <v>0</v>
      </c>
      <c r="O10" s="31">
        <f>ROUND('Anexo 5'!O10*Anexo1!$D$10,0)</f>
        <v>0</v>
      </c>
      <c r="P10" s="31">
        <f>ROUND('Anexo 5'!P10*Anexo1!$D$10,0)</f>
        <v>0</v>
      </c>
      <c r="Q10" s="31">
        <f>ROUND('Anexo 5'!Q10*Anexo1!$D$10,0)</f>
        <v>0</v>
      </c>
      <c r="R10" s="31">
        <f>ROUND('Anexo 5'!R10*Anexo1!$D$10,0)</f>
        <v>0</v>
      </c>
      <c r="S10" s="31">
        <f>ROUND('Anexo 5'!S10*Anexo1!$D$10,0)</f>
        <v>0</v>
      </c>
      <c r="T10" s="31">
        <f>ROUND('Anexo 5'!T10*Anexo1!$D$10,0)</f>
        <v>0</v>
      </c>
      <c r="U10" s="31">
        <f>ROUND('Anexo 5'!U10*Anexo1!$D$10,0)</f>
        <v>0</v>
      </c>
      <c r="V10" s="31">
        <f>ROUND('Anexo 5'!V10*Anexo1!$D$10,0)</f>
        <v>0</v>
      </c>
      <c r="W10" s="31">
        <f>ROUND('Anexo 5'!W10*Anexo1!$D$10,0)</f>
        <v>0</v>
      </c>
      <c r="X10" s="31">
        <f>ROUND('Anexo 5'!X10*Anexo1!$D$10,0)</f>
        <v>0</v>
      </c>
      <c r="Y10" s="31">
        <f>ROUND('Anexo 5'!Y10*Anexo1!$D$10,0)</f>
        <v>0</v>
      </c>
      <c r="Z10" s="31">
        <f>ROUND('Anexo 5'!Z10*Anexo1!$D$10,0)</f>
        <v>0</v>
      </c>
      <c r="AA10" s="36">
        <f t="shared" si="0"/>
        <v>0</v>
      </c>
      <c r="AB10" s="19">
        <v>4</v>
      </c>
      <c r="AC10" s="81"/>
      <c r="AD10" s="45"/>
    </row>
    <row r="11" spans="1:30" ht="15.75" thickBot="1" x14ac:dyDescent="0.3">
      <c r="A11" s="79"/>
      <c r="B11" s="20" t="s">
        <v>3</v>
      </c>
      <c r="C11" s="31">
        <f>ROUND('Anexo 5'!C11*Anexo1!$D$10,0)</f>
        <v>0</v>
      </c>
      <c r="D11" s="31">
        <f>ROUND('Anexo 5'!D11*Anexo1!$D$10,0)</f>
        <v>0</v>
      </c>
      <c r="E11" s="31">
        <f>ROUND('Anexo 5'!E11*Anexo1!$D$10,0)</f>
        <v>0</v>
      </c>
      <c r="F11" s="31">
        <f>ROUND('Anexo 5'!F11*Anexo1!$D$10,0)</f>
        <v>0</v>
      </c>
      <c r="G11" s="31">
        <f>ROUND('Anexo 5'!G11*Anexo1!$D$10,0)</f>
        <v>0</v>
      </c>
      <c r="H11" s="31">
        <f>ROUND('Anexo 5'!H11*Anexo1!$D$10,0)</f>
        <v>0</v>
      </c>
      <c r="I11" s="31">
        <f>ROUND('Anexo 5'!I11*Anexo1!$D$10,0)</f>
        <v>0</v>
      </c>
      <c r="J11" s="31">
        <f>ROUND('Anexo 5'!J11*Anexo1!$D$10,0)</f>
        <v>0</v>
      </c>
      <c r="K11" s="31">
        <f>ROUND('Anexo 5'!K11*Anexo1!$D$10,0)</f>
        <v>0</v>
      </c>
      <c r="L11" s="31">
        <f>ROUND('Anexo 5'!L11*Anexo1!$D$10,0)</f>
        <v>0</v>
      </c>
      <c r="M11" s="31">
        <f>ROUND('Anexo 5'!M11*Anexo1!$D$10,0)</f>
        <v>0</v>
      </c>
      <c r="N11" s="31">
        <f>ROUND('Anexo 5'!N11*Anexo1!$D$10,0)</f>
        <v>0</v>
      </c>
      <c r="O11" s="31">
        <f>ROUND('Anexo 5'!O11*Anexo1!$D$10,0)</f>
        <v>0</v>
      </c>
      <c r="P11" s="31">
        <f>ROUND('Anexo 5'!P11*Anexo1!$D$10,0)</f>
        <v>0</v>
      </c>
      <c r="Q11" s="31">
        <f>ROUND('Anexo 5'!Q11*Anexo1!$D$10,0)</f>
        <v>0</v>
      </c>
      <c r="R11" s="31">
        <f>ROUND('Anexo 5'!R11*Anexo1!$D$10,0)</f>
        <v>0</v>
      </c>
      <c r="S11" s="31">
        <f>ROUND('Anexo 5'!S11*Anexo1!$D$10,0)</f>
        <v>0</v>
      </c>
      <c r="T11" s="31">
        <f>ROUND('Anexo 5'!T11*Anexo1!$D$10,0)</f>
        <v>0</v>
      </c>
      <c r="U11" s="31">
        <f>ROUND('Anexo 5'!U11*Anexo1!$D$10,0)</f>
        <v>0</v>
      </c>
      <c r="V11" s="31">
        <f>ROUND('Anexo 5'!V11*Anexo1!$D$10,0)</f>
        <v>0</v>
      </c>
      <c r="W11" s="31">
        <f>ROUND('Anexo 5'!W11*Anexo1!$D$10,0)</f>
        <v>0</v>
      </c>
      <c r="X11" s="31">
        <f>ROUND('Anexo 5'!X11*Anexo1!$D$10,0)</f>
        <v>0</v>
      </c>
      <c r="Y11" s="31">
        <f>ROUND('Anexo 5'!Y11*Anexo1!$D$10,0)</f>
        <v>0</v>
      </c>
      <c r="Z11" s="31">
        <f>ROUND('Anexo 5'!Z11*Anexo1!$D$10,0)</f>
        <v>0</v>
      </c>
      <c r="AA11" s="39">
        <f t="shared" si="0"/>
        <v>0</v>
      </c>
      <c r="AB11" s="21">
        <v>4</v>
      </c>
      <c r="AC11" s="82"/>
      <c r="AD11" s="46"/>
    </row>
    <row r="12" spans="1:30" ht="15.75" thickBot="1" x14ac:dyDescent="0.3">
      <c r="A12" s="79">
        <v>46447</v>
      </c>
      <c r="B12" s="16" t="s">
        <v>5</v>
      </c>
      <c r="C12" s="31">
        <f>ROUND('Anexo 5'!C12*Anexo1!$D$10,0)</f>
        <v>0</v>
      </c>
      <c r="D12" s="31">
        <f>ROUND('Anexo 5'!D12*Anexo1!$D$10,0)</f>
        <v>0</v>
      </c>
      <c r="E12" s="31">
        <f>ROUND('Anexo 5'!E12*Anexo1!$D$10,0)</f>
        <v>0</v>
      </c>
      <c r="F12" s="31">
        <f>ROUND('Anexo 5'!F12*Anexo1!$D$10,0)</f>
        <v>0</v>
      </c>
      <c r="G12" s="31">
        <f>ROUND('Anexo 5'!G12*Anexo1!$D$10,0)</f>
        <v>0</v>
      </c>
      <c r="H12" s="31">
        <f>ROUND('Anexo 5'!H12*Anexo1!$D$10,0)</f>
        <v>0</v>
      </c>
      <c r="I12" s="31">
        <f>ROUND('Anexo 5'!I12*Anexo1!$D$10,0)</f>
        <v>0</v>
      </c>
      <c r="J12" s="31">
        <f>ROUND('Anexo 5'!J12*Anexo1!$D$10,0)</f>
        <v>0</v>
      </c>
      <c r="K12" s="31">
        <f>ROUND('Anexo 5'!K12*Anexo1!$D$10,0)</f>
        <v>0</v>
      </c>
      <c r="L12" s="31">
        <f>ROUND('Anexo 5'!L12*Anexo1!$D$10,0)</f>
        <v>0</v>
      </c>
      <c r="M12" s="31">
        <f>ROUND('Anexo 5'!M12*Anexo1!$D$10,0)</f>
        <v>0</v>
      </c>
      <c r="N12" s="31">
        <f>ROUND('Anexo 5'!N12*Anexo1!$D$10,0)</f>
        <v>0</v>
      </c>
      <c r="O12" s="31">
        <f>ROUND('Anexo 5'!O12*Anexo1!$D$10,0)</f>
        <v>0</v>
      </c>
      <c r="P12" s="31">
        <f>ROUND('Anexo 5'!P12*Anexo1!$D$10,0)</f>
        <v>0</v>
      </c>
      <c r="Q12" s="31">
        <f>ROUND('Anexo 5'!Q12*Anexo1!$D$10,0)</f>
        <v>0</v>
      </c>
      <c r="R12" s="31">
        <f>ROUND('Anexo 5'!R12*Anexo1!$D$10,0)</f>
        <v>0</v>
      </c>
      <c r="S12" s="31">
        <f>ROUND('Anexo 5'!S12*Anexo1!$D$10,0)</f>
        <v>0</v>
      </c>
      <c r="T12" s="31">
        <f>ROUND('Anexo 5'!T12*Anexo1!$D$10,0)</f>
        <v>0</v>
      </c>
      <c r="U12" s="31">
        <f>ROUND('Anexo 5'!U12*Anexo1!$D$10,0)</f>
        <v>0</v>
      </c>
      <c r="V12" s="31">
        <f>ROUND('Anexo 5'!V12*Anexo1!$D$10,0)</f>
        <v>0</v>
      </c>
      <c r="W12" s="31">
        <f>ROUND('Anexo 5'!W12*Anexo1!$D$10,0)</f>
        <v>0</v>
      </c>
      <c r="X12" s="31">
        <f>ROUND('Anexo 5'!X12*Anexo1!$D$10,0)</f>
        <v>0</v>
      </c>
      <c r="Y12" s="31">
        <f>ROUND('Anexo 5'!Y12*Anexo1!$D$10,0)</f>
        <v>0</v>
      </c>
      <c r="Z12" s="31">
        <f>ROUND('Anexo 5'!Z12*Anexo1!$D$10,0)</f>
        <v>0</v>
      </c>
      <c r="AA12" s="33">
        <f t="shared" si="0"/>
        <v>0</v>
      </c>
      <c r="AB12" s="17">
        <v>20</v>
      </c>
      <c r="AC12" s="80">
        <f>+AA12*AB12+AA13*AB13+AA14*AB14</f>
        <v>0</v>
      </c>
    </row>
    <row r="13" spans="1:30" ht="15.75" thickBot="1" x14ac:dyDescent="0.3">
      <c r="A13" s="79"/>
      <c r="B13" s="18" t="s">
        <v>4</v>
      </c>
      <c r="C13" s="31">
        <f>ROUND('Anexo 5'!C13*Anexo1!$D$10,0)</f>
        <v>0</v>
      </c>
      <c r="D13" s="31">
        <f>ROUND('Anexo 5'!D13*Anexo1!$D$10,0)</f>
        <v>0</v>
      </c>
      <c r="E13" s="31">
        <f>ROUND('Anexo 5'!E13*Anexo1!$D$10,0)</f>
        <v>0</v>
      </c>
      <c r="F13" s="31">
        <f>ROUND('Anexo 5'!F13*Anexo1!$D$10,0)</f>
        <v>0</v>
      </c>
      <c r="G13" s="31">
        <f>ROUND('Anexo 5'!G13*Anexo1!$D$10,0)</f>
        <v>0</v>
      </c>
      <c r="H13" s="31">
        <f>ROUND('Anexo 5'!H13*Anexo1!$D$10,0)</f>
        <v>0</v>
      </c>
      <c r="I13" s="31">
        <f>ROUND('Anexo 5'!I13*Anexo1!$D$10,0)</f>
        <v>0</v>
      </c>
      <c r="J13" s="31">
        <f>ROUND('Anexo 5'!J13*Anexo1!$D$10,0)</f>
        <v>0</v>
      </c>
      <c r="K13" s="31">
        <f>ROUND('Anexo 5'!K13*Anexo1!$D$10,0)</f>
        <v>0</v>
      </c>
      <c r="L13" s="31">
        <f>ROUND('Anexo 5'!L13*Anexo1!$D$10,0)</f>
        <v>0</v>
      </c>
      <c r="M13" s="31">
        <f>ROUND('Anexo 5'!M13*Anexo1!$D$10,0)</f>
        <v>0</v>
      </c>
      <c r="N13" s="31">
        <f>ROUND('Anexo 5'!N13*Anexo1!$D$10,0)</f>
        <v>0</v>
      </c>
      <c r="O13" s="31">
        <f>ROUND('Anexo 5'!O13*Anexo1!$D$10,0)</f>
        <v>0</v>
      </c>
      <c r="P13" s="31">
        <f>ROUND('Anexo 5'!P13*Anexo1!$D$10,0)</f>
        <v>0</v>
      </c>
      <c r="Q13" s="31">
        <f>ROUND('Anexo 5'!Q13*Anexo1!$D$10,0)</f>
        <v>0</v>
      </c>
      <c r="R13" s="31">
        <f>ROUND('Anexo 5'!R13*Anexo1!$D$10,0)</f>
        <v>0</v>
      </c>
      <c r="S13" s="31">
        <f>ROUND('Anexo 5'!S13*Anexo1!$D$10,0)</f>
        <v>0</v>
      </c>
      <c r="T13" s="31">
        <f>ROUND('Anexo 5'!T13*Anexo1!$D$10,0)</f>
        <v>0</v>
      </c>
      <c r="U13" s="31">
        <f>ROUND('Anexo 5'!U13*Anexo1!$D$10,0)</f>
        <v>0</v>
      </c>
      <c r="V13" s="31">
        <f>ROUND('Anexo 5'!V13*Anexo1!$D$10,0)</f>
        <v>0</v>
      </c>
      <c r="W13" s="31">
        <f>ROUND('Anexo 5'!W13*Anexo1!$D$10,0)</f>
        <v>0</v>
      </c>
      <c r="X13" s="31">
        <f>ROUND('Anexo 5'!X13*Anexo1!$D$10,0)</f>
        <v>0</v>
      </c>
      <c r="Y13" s="31">
        <f>ROUND('Anexo 5'!Y13*Anexo1!$D$10,0)</f>
        <v>0</v>
      </c>
      <c r="Z13" s="31">
        <f>ROUND('Anexo 5'!Z13*Anexo1!$D$10,0)</f>
        <v>0</v>
      </c>
      <c r="AA13" s="36">
        <f t="shared" si="0"/>
        <v>0</v>
      </c>
      <c r="AB13" s="19">
        <v>4</v>
      </c>
      <c r="AC13" s="81"/>
      <c r="AD13" s="45"/>
    </row>
    <row r="14" spans="1:30" ht="15.75" thickBot="1" x14ac:dyDescent="0.3">
      <c r="A14" s="79"/>
      <c r="B14" s="20" t="s">
        <v>3</v>
      </c>
      <c r="C14" s="31">
        <f>ROUND('Anexo 5'!C14*Anexo1!$D$10,0)</f>
        <v>0</v>
      </c>
      <c r="D14" s="31">
        <f>ROUND('Anexo 5'!D14*Anexo1!$D$10,0)</f>
        <v>0</v>
      </c>
      <c r="E14" s="31">
        <f>ROUND('Anexo 5'!E14*Anexo1!$D$10,0)</f>
        <v>0</v>
      </c>
      <c r="F14" s="31">
        <f>ROUND('Anexo 5'!F14*Anexo1!$D$10,0)</f>
        <v>0</v>
      </c>
      <c r="G14" s="31">
        <f>ROUND('Anexo 5'!G14*Anexo1!$D$10,0)</f>
        <v>0</v>
      </c>
      <c r="H14" s="31">
        <f>ROUND('Anexo 5'!H14*Anexo1!$D$10,0)</f>
        <v>0</v>
      </c>
      <c r="I14" s="31">
        <f>ROUND('Anexo 5'!I14*Anexo1!$D$10,0)</f>
        <v>0</v>
      </c>
      <c r="J14" s="31">
        <f>ROUND('Anexo 5'!J14*Anexo1!$D$10,0)</f>
        <v>0</v>
      </c>
      <c r="K14" s="31">
        <f>ROUND('Anexo 5'!K14*Anexo1!$D$10,0)</f>
        <v>0</v>
      </c>
      <c r="L14" s="31">
        <f>ROUND('Anexo 5'!L14*Anexo1!$D$10,0)</f>
        <v>0</v>
      </c>
      <c r="M14" s="31">
        <f>ROUND('Anexo 5'!M14*Anexo1!$D$10,0)</f>
        <v>0</v>
      </c>
      <c r="N14" s="31">
        <f>ROUND('Anexo 5'!N14*Anexo1!$D$10,0)</f>
        <v>0</v>
      </c>
      <c r="O14" s="31">
        <f>ROUND('Anexo 5'!O14*Anexo1!$D$10,0)</f>
        <v>0</v>
      </c>
      <c r="P14" s="31">
        <f>ROUND('Anexo 5'!P14*Anexo1!$D$10,0)</f>
        <v>0</v>
      </c>
      <c r="Q14" s="31">
        <f>ROUND('Anexo 5'!Q14*Anexo1!$D$10,0)</f>
        <v>0</v>
      </c>
      <c r="R14" s="31">
        <f>ROUND('Anexo 5'!R14*Anexo1!$D$10,0)</f>
        <v>0</v>
      </c>
      <c r="S14" s="31">
        <f>ROUND('Anexo 5'!S14*Anexo1!$D$10,0)</f>
        <v>0</v>
      </c>
      <c r="T14" s="31">
        <f>ROUND('Anexo 5'!T14*Anexo1!$D$10,0)</f>
        <v>0</v>
      </c>
      <c r="U14" s="31">
        <f>ROUND('Anexo 5'!U14*Anexo1!$D$10,0)</f>
        <v>0</v>
      </c>
      <c r="V14" s="31">
        <f>ROUND('Anexo 5'!V14*Anexo1!$D$10,0)</f>
        <v>0</v>
      </c>
      <c r="W14" s="31">
        <f>ROUND('Anexo 5'!W14*Anexo1!$D$10,0)</f>
        <v>0</v>
      </c>
      <c r="X14" s="31">
        <f>ROUND('Anexo 5'!X14*Anexo1!$D$10,0)</f>
        <v>0</v>
      </c>
      <c r="Y14" s="31">
        <f>ROUND('Anexo 5'!Y14*Anexo1!$D$10,0)</f>
        <v>0</v>
      </c>
      <c r="Z14" s="31">
        <f>ROUND('Anexo 5'!Z14*Anexo1!$D$10,0)</f>
        <v>0</v>
      </c>
      <c r="AA14" s="39">
        <f t="shared" si="0"/>
        <v>0</v>
      </c>
      <c r="AB14" s="21">
        <v>7</v>
      </c>
      <c r="AC14" s="82"/>
      <c r="AD14" s="43"/>
    </row>
    <row r="15" spans="1:30" ht="15.75" thickBot="1" x14ac:dyDescent="0.3">
      <c r="A15" s="79">
        <v>46478</v>
      </c>
      <c r="B15" s="16" t="s">
        <v>5</v>
      </c>
      <c r="C15" s="31">
        <f>ROUND('Anexo 5'!C15*Anexo1!$D$10,0)</f>
        <v>0</v>
      </c>
      <c r="D15" s="31">
        <f>ROUND('Anexo 5'!D15*Anexo1!$D$10,0)</f>
        <v>0</v>
      </c>
      <c r="E15" s="31">
        <f>ROUND('Anexo 5'!E15*Anexo1!$D$10,0)</f>
        <v>0</v>
      </c>
      <c r="F15" s="31">
        <f>ROUND('Anexo 5'!F15*Anexo1!$D$10,0)</f>
        <v>0</v>
      </c>
      <c r="G15" s="31">
        <f>ROUND('Anexo 5'!G15*Anexo1!$D$10,0)</f>
        <v>0</v>
      </c>
      <c r="H15" s="31">
        <f>ROUND('Anexo 5'!H15*Anexo1!$D$10,0)</f>
        <v>0</v>
      </c>
      <c r="I15" s="31">
        <f>ROUND('Anexo 5'!I15*Anexo1!$D$10,0)</f>
        <v>0</v>
      </c>
      <c r="J15" s="31">
        <f>ROUND('Anexo 5'!J15*Anexo1!$D$10,0)</f>
        <v>0</v>
      </c>
      <c r="K15" s="31">
        <f>ROUND('Anexo 5'!K15*Anexo1!$D$10,0)</f>
        <v>0</v>
      </c>
      <c r="L15" s="31">
        <f>ROUND('Anexo 5'!L15*Anexo1!$D$10,0)</f>
        <v>0</v>
      </c>
      <c r="M15" s="31">
        <f>ROUND('Anexo 5'!M15*Anexo1!$D$10,0)</f>
        <v>0</v>
      </c>
      <c r="N15" s="31">
        <f>ROUND('Anexo 5'!N15*Anexo1!$D$10,0)</f>
        <v>0</v>
      </c>
      <c r="O15" s="31">
        <f>ROUND('Anexo 5'!O15*Anexo1!$D$10,0)</f>
        <v>0</v>
      </c>
      <c r="P15" s="31">
        <f>ROUND('Anexo 5'!P15*Anexo1!$D$10,0)</f>
        <v>0</v>
      </c>
      <c r="Q15" s="31">
        <f>ROUND('Anexo 5'!Q15*Anexo1!$D$10,0)</f>
        <v>0</v>
      </c>
      <c r="R15" s="31">
        <f>ROUND('Anexo 5'!R15*Anexo1!$D$10,0)</f>
        <v>0</v>
      </c>
      <c r="S15" s="31">
        <f>ROUND('Anexo 5'!S15*Anexo1!$D$10,0)</f>
        <v>0</v>
      </c>
      <c r="T15" s="31">
        <f>ROUND('Anexo 5'!T15*Anexo1!$D$10,0)</f>
        <v>0</v>
      </c>
      <c r="U15" s="31">
        <f>ROUND('Anexo 5'!U15*Anexo1!$D$10,0)</f>
        <v>0</v>
      </c>
      <c r="V15" s="31">
        <f>ROUND('Anexo 5'!V15*Anexo1!$D$10,0)</f>
        <v>0</v>
      </c>
      <c r="W15" s="31">
        <f>ROUND('Anexo 5'!W15*Anexo1!$D$10,0)</f>
        <v>0</v>
      </c>
      <c r="X15" s="31">
        <f>ROUND('Anexo 5'!X15*Anexo1!$D$10,0)</f>
        <v>0</v>
      </c>
      <c r="Y15" s="31">
        <f>ROUND('Anexo 5'!Y15*Anexo1!$D$10,0)</f>
        <v>0</v>
      </c>
      <c r="Z15" s="31">
        <f>ROUND('Anexo 5'!Z15*Anexo1!$D$10,0)</f>
        <v>0</v>
      </c>
      <c r="AA15" s="33">
        <f t="shared" si="0"/>
        <v>0</v>
      </c>
      <c r="AB15" s="17">
        <v>22</v>
      </c>
      <c r="AC15" s="80">
        <f>+AA15*AB15+AA16*AB16+AA17*AB17</f>
        <v>0</v>
      </c>
    </row>
    <row r="16" spans="1:30" ht="15.75" thickBot="1" x14ac:dyDescent="0.3">
      <c r="A16" s="79"/>
      <c r="B16" s="18" t="s">
        <v>4</v>
      </c>
      <c r="C16" s="31">
        <f>ROUND('Anexo 5'!C16*Anexo1!$D$10,0)</f>
        <v>0</v>
      </c>
      <c r="D16" s="31">
        <f>ROUND('Anexo 5'!D16*Anexo1!$D$10,0)</f>
        <v>0</v>
      </c>
      <c r="E16" s="31">
        <f>ROUND('Anexo 5'!E16*Anexo1!$D$10,0)</f>
        <v>0</v>
      </c>
      <c r="F16" s="31">
        <f>ROUND('Anexo 5'!F16*Anexo1!$D$10,0)</f>
        <v>0</v>
      </c>
      <c r="G16" s="31">
        <f>ROUND('Anexo 5'!G16*Anexo1!$D$10,0)</f>
        <v>0</v>
      </c>
      <c r="H16" s="31">
        <f>ROUND('Anexo 5'!H16*Anexo1!$D$10,0)</f>
        <v>0</v>
      </c>
      <c r="I16" s="31">
        <f>ROUND('Anexo 5'!I16*Anexo1!$D$10,0)</f>
        <v>0</v>
      </c>
      <c r="J16" s="31">
        <f>ROUND('Anexo 5'!J16*Anexo1!$D$10,0)</f>
        <v>0</v>
      </c>
      <c r="K16" s="31">
        <f>ROUND('Anexo 5'!K16*Anexo1!$D$10,0)</f>
        <v>0</v>
      </c>
      <c r="L16" s="31">
        <f>ROUND('Anexo 5'!L16*Anexo1!$D$10,0)</f>
        <v>0</v>
      </c>
      <c r="M16" s="31">
        <f>ROUND('Anexo 5'!M16*Anexo1!$D$10,0)</f>
        <v>0</v>
      </c>
      <c r="N16" s="31">
        <f>ROUND('Anexo 5'!N16*Anexo1!$D$10,0)</f>
        <v>0</v>
      </c>
      <c r="O16" s="31">
        <f>ROUND('Anexo 5'!O16*Anexo1!$D$10,0)</f>
        <v>0</v>
      </c>
      <c r="P16" s="31">
        <f>ROUND('Anexo 5'!P16*Anexo1!$D$10,0)</f>
        <v>0</v>
      </c>
      <c r="Q16" s="31">
        <f>ROUND('Anexo 5'!Q16*Anexo1!$D$10,0)</f>
        <v>0</v>
      </c>
      <c r="R16" s="31">
        <f>ROUND('Anexo 5'!R16*Anexo1!$D$10,0)</f>
        <v>0</v>
      </c>
      <c r="S16" s="31">
        <f>ROUND('Anexo 5'!S16*Anexo1!$D$10,0)</f>
        <v>0</v>
      </c>
      <c r="T16" s="31">
        <f>ROUND('Anexo 5'!T16*Anexo1!$D$10,0)</f>
        <v>0</v>
      </c>
      <c r="U16" s="31">
        <f>ROUND('Anexo 5'!U16*Anexo1!$D$10,0)</f>
        <v>0</v>
      </c>
      <c r="V16" s="31">
        <f>ROUND('Anexo 5'!V16*Anexo1!$D$10,0)</f>
        <v>0</v>
      </c>
      <c r="W16" s="31">
        <f>ROUND('Anexo 5'!W16*Anexo1!$D$10,0)</f>
        <v>0</v>
      </c>
      <c r="X16" s="31">
        <f>ROUND('Anexo 5'!X16*Anexo1!$D$10,0)</f>
        <v>0</v>
      </c>
      <c r="Y16" s="31">
        <f>ROUND('Anexo 5'!Y16*Anexo1!$D$10,0)</f>
        <v>0</v>
      </c>
      <c r="Z16" s="31">
        <f>ROUND('Anexo 5'!Z16*Anexo1!$D$10,0)</f>
        <v>0</v>
      </c>
      <c r="AA16" s="36">
        <f t="shared" si="0"/>
        <v>0</v>
      </c>
      <c r="AB16" s="19">
        <v>4</v>
      </c>
      <c r="AC16" s="81"/>
      <c r="AD16" s="45"/>
    </row>
    <row r="17" spans="1:30" ht="15.75" thickBot="1" x14ac:dyDescent="0.3">
      <c r="A17" s="79"/>
      <c r="B17" s="20" t="s">
        <v>3</v>
      </c>
      <c r="C17" s="31">
        <f>ROUND('Anexo 5'!C17*Anexo1!$D$10,0)</f>
        <v>0</v>
      </c>
      <c r="D17" s="31">
        <f>ROUND('Anexo 5'!D17*Anexo1!$D$10,0)</f>
        <v>0</v>
      </c>
      <c r="E17" s="31">
        <f>ROUND('Anexo 5'!E17*Anexo1!$D$10,0)</f>
        <v>0</v>
      </c>
      <c r="F17" s="31">
        <f>ROUND('Anexo 5'!F17*Anexo1!$D$10,0)</f>
        <v>0</v>
      </c>
      <c r="G17" s="31">
        <f>ROUND('Anexo 5'!G17*Anexo1!$D$10,0)</f>
        <v>0</v>
      </c>
      <c r="H17" s="31">
        <f>ROUND('Anexo 5'!H17*Anexo1!$D$10,0)</f>
        <v>0</v>
      </c>
      <c r="I17" s="31">
        <f>ROUND('Anexo 5'!I17*Anexo1!$D$10,0)</f>
        <v>0</v>
      </c>
      <c r="J17" s="31">
        <f>ROUND('Anexo 5'!J17*Anexo1!$D$10,0)</f>
        <v>0</v>
      </c>
      <c r="K17" s="31">
        <f>ROUND('Anexo 5'!K17*Anexo1!$D$10,0)</f>
        <v>0</v>
      </c>
      <c r="L17" s="31">
        <f>ROUND('Anexo 5'!L17*Anexo1!$D$10,0)</f>
        <v>0</v>
      </c>
      <c r="M17" s="31">
        <f>ROUND('Anexo 5'!M17*Anexo1!$D$10,0)</f>
        <v>0</v>
      </c>
      <c r="N17" s="31">
        <f>ROUND('Anexo 5'!N17*Anexo1!$D$10,0)</f>
        <v>0</v>
      </c>
      <c r="O17" s="31">
        <f>ROUND('Anexo 5'!O17*Anexo1!$D$10,0)</f>
        <v>0</v>
      </c>
      <c r="P17" s="31">
        <f>ROUND('Anexo 5'!P17*Anexo1!$D$10,0)</f>
        <v>0</v>
      </c>
      <c r="Q17" s="31">
        <f>ROUND('Anexo 5'!Q17*Anexo1!$D$10,0)</f>
        <v>0</v>
      </c>
      <c r="R17" s="31">
        <f>ROUND('Anexo 5'!R17*Anexo1!$D$10,0)</f>
        <v>0</v>
      </c>
      <c r="S17" s="31">
        <f>ROUND('Anexo 5'!S17*Anexo1!$D$10,0)</f>
        <v>0</v>
      </c>
      <c r="T17" s="31">
        <f>ROUND('Anexo 5'!T17*Anexo1!$D$10,0)</f>
        <v>0</v>
      </c>
      <c r="U17" s="31">
        <f>ROUND('Anexo 5'!U17*Anexo1!$D$10,0)</f>
        <v>0</v>
      </c>
      <c r="V17" s="31">
        <f>ROUND('Anexo 5'!V17*Anexo1!$D$10,0)</f>
        <v>0</v>
      </c>
      <c r="W17" s="31">
        <f>ROUND('Anexo 5'!W17*Anexo1!$D$10,0)</f>
        <v>0</v>
      </c>
      <c r="X17" s="31">
        <f>ROUND('Anexo 5'!X17*Anexo1!$D$10,0)</f>
        <v>0</v>
      </c>
      <c r="Y17" s="31">
        <f>ROUND('Anexo 5'!Y17*Anexo1!$D$10,0)</f>
        <v>0</v>
      </c>
      <c r="Z17" s="31">
        <f>ROUND('Anexo 5'!Z17*Anexo1!$D$10,0)</f>
        <v>0</v>
      </c>
      <c r="AA17" s="39">
        <f t="shared" si="0"/>
        <v>0</v>
      </c>
      <c r="AB17" s="21">
        <v>4</v>
      </c>
      <c r="AC17" s="82"/>
      <c r="AD17" s="46"/>
    </row>
    <row r="18" spans="1:30" ht="15.75" thickBot="1" x14ac:dyDescent="0.3">
      <c r="A18" s="79">
        <v>46508</v>
      </c>
      <c r="B18" s="16" t="s">
        <v>5</v>
      </c>
      <c r="C18" s="31">
        <f>ROUND('Anexo 5'!C18*Anexo1!$D$10,0)</f>
        <v>0</v>
      </c>
      <c r="D18" s="31">
        <f>ROUND('Anexo 5'!D18*Anexo1!$D$10,0)</f>
        <v>0</v>
      </c>
      <c r="E18" s="31">
        <f>ROUND('Anexo 5'!E18*Anexo1!$D$10,0)</f>
        <v>0</v>
      </c>
      <c r="F18" s="31">
        <f>ROUND('Anexo 5'!F18*Anexo1!$D$10,0)</f>
        <v>0</v>
      </c>
      <c r="G18" s="31">
        <f>ROUND('Anexo 5'!G18*Anexo1!$D$10,0)</f>
        <v>0</v>
      </c>
      <c r="H18" s="31">
        <f>ROUND('Anexo 5'!H18*Anexo1!$D$10,0)</f>
        <v>0</v>
      </c>
      <c r="I18" s="31">
        <f>ROUND('Anexo 5'!I18*Anexo1!$D$10,0)</f>
        <v>0</v>
      </c>
      <c r="J18" s="31">
        <f>ROUND('Anexo 5'!J18*Anexo1!$D$10,0)</f>
        <v>0</v>
      </c>
      <c r="K18" s="31">
        <f>ROUND('Anexo 5'!K18*Anexo1!$D$10,0)</f>
        <v>0</v>
      </c>
      <c r="L18" s="31">
        <f>ROUND('Anexo 5'!L18*Anexo1!$D$10,0)</f>
        <v>0</v>
      </c>
      <c r="M18" s="31">
        <f>ROUND('Anexo 5'!M18*Anexo1!$D$10,0)</f>
        <v>0</v>
      </c>
      <c r="N18" s="31">
        <f>ROUND('Anexo 5'!N18*Anexo1!$D$10,0)</f>
        <v>0</v>
      </c>
      <c r="O18" s="31">
        <f>ROUND('Anexo 5'!O18*Anexo1!$D$10,0)</f>
        <v>0</v>
      </c>
      <c r="P18" s="31">
        <f>ROUND('Anexo 5'!P18*Anexo1!$D$10,0)</f>
        <v>0</v>
      </c>
      <c r="Q18" s="31">
        <f>ROUND('Anexo 5'!Q18*Anexo1!$D$10,0)</f>
        <v>0</v>
      </c>
      <c r="R18" s="31">
        <f>ROUND('Anexo 5'!R18*Anexo1!$D$10,0)</f>
        <v>0</v>
      </c>
      <c r="S18" s="31">
        <f>ROUND('Anexo 5'!S18*Anexo1!$D$10,0)</f>
        <v>0</v>
      </c>
      <c r="T18" s="31">
        <f>ROUND('Anexo 5'!T18*Anexo1!$D$10,0)</f>
        <v>0</v>
      </c>
      <c r="U18" s="31">
        <f>ROUND('Anexo 5'!U18*Anexo1!$D$10,0)</f>
        <v>0</v>
      </c>
      <c r="V18" s="31">
        <f>ROUND('Anexo 5'!V18*Anexo1!$D$10,0)</f>
        <v>0</v>
      </c>
      <c r="W18" s="31">
        <f>ROUND('Anexo 5'!W18*Anexo1!$D$10,0)</f>
        <v>0</v>
      </c>
      <c r="X18" s="31">
        <f>ROUND('Anexo 5'!X18*Anexo1!$D$10,0)</f>
        <v>0</v>
      </c>
      <c r="Y18" s="31">
        <f>ROUND('Anexo 5'!Y18*Anexo1!$D$10,0)</f>
        <v>0</v>
      </c>
      <c r="Z18" s="31">
        <f>ROUND('Anexo 5'!Z18*Anexo1!$D$10,0)</f>
        <v>0</v>
      </c>
      <c r="AA18" s="33">
        <f t="shared" si="0"/>
        <v>0</v>
      </c>
      <c r="AB18" s="17">
        <v>19</v>
      </c>
      <c r="AC18" s="80">
        <f>+AA18*AB18+AA19*AB19+AA20*AB20</f>
        <v>0</v>
      </c>
    </row>
    <row r="19" spans="1:30" ht="15.75" thickBot="1" x14ac:dyDescent="0.3">
      <c r="A19" s="79"/>
      <c r="B19" s="18" t="s">
        <v>4</v>
      </c>
      <c r="C19" s="31">
        <f>ROUND('Anexo 5'!C19*Anexo1!$D$10,0)</f>
        <v>0</v>
      </c>
      <c r="D19" s="31">
        <f>ROUND('Anexo 5'!D19*Anexo1!$D$10,0)</f>
        <v>0</v>
      </c>
      <c r="E19" s="31">
        <f>ROUND('Anexo 5'!E19*Anexo1!$D$10,0)</f>
        <v>0</v>
      </c>
      <c r="F19" s="31">
        <f>ROUND('Anexo 5'!F19*Anexo1!$D$10,0)</f>
        <v>0</v>
      </c>
      <c r="G19" s="31">
        <f>ROUND('Anexo 5'!G19*Anexo1!$D$10,0)</f>
        <v>0</v>
      </c>
      <c r="H19" s="31">
        <f>ROUND('Anexo 5'!H19*Anexo1!$D$10,0)</f>
        <v>0</v>
      </c>
      <c r="I19" s="31">
        <f>ROUND('Anexo 5'!I19*Anexo1!$D$10,0)</f>
        <v>0</v>
      </c>
      <c r="J19" s="31">
        <f>ROUND('Anexo 5'!J19*Anexo1!$D$10,0)</f>
        <v>0</v>
      </c>
      <c r="K19" s="31">
        <f>ROUND('Anexo 5'!K19*Anexo1!$D$10,0)</f>
        <v>0</v>
      </c>
      <c r="L19" s="31">
        <f>ROUND('Anexo 5'!L19*Anexo1!$D$10,0)</f>
        <v>0</v>
      </c>
      <c r="M19" s="31">
        <f>ROUND('Anexo 5'!M19*Anexo1!$D$10,0)</f>
        <v>0</v>
      </c>
      <c r="N19" s="31">
        <f>ROUND('Anexo 5'!N19*Anexo1!$D$10,0)</f>
        <v>0</v>
      </c>
      <c r="O19" s="31">
        <f>ROUND('Anexo 5'!O19*Anexo1!$D$10,0)</f>
        <v>0</v>
      </c>
      <c r="P19" s="31">
        <f>ROUND('Anexo 5'!P19*Anexo1!$D$10,0)</f>
        <v>0</v>
      </c>
      <c r="Q19" s="31">
        <f>ROUND('Anexo 5'!Q19*Anexo1!$D$10,0)</f>
        <v>0</v>
      </c>
      <c r="R19" s="31">
        <f>ROUND('Anexo 5'!R19*Anexo1!$D$10,0)</f>
        <v>0</v>
      </c>
      <c r="S19" s="31">
        <f>ROUND('Anexo 5'!S19*Anexo1!$D$10,0)</f>
        <v>0</v>
      </c>
      <c r="T19" s="31">
        <f>ROUND('Anexo 5'!T19*Anexo1!$D$10,0)</f>
        <v>0</v>
      </c>
      <c r="U19" s="31">
        <f>ROUND('Anexo 5'!U19*Anexo1!$D$10,0)</f>
        <v>0</v>
      </c>
      <c r="V19" s="31">
        <f>ROUND('Anexo 5'!V19*Anexo1!$D$10,0)</f>
        <v>0</v>
      </c>
      <c r="W19" s="31">
        <f>ROUND('Anexo 5'!W19*Anexo1!$D$10,0)</f>
        <v>0</v>
      </c>
      <c r="X19" s="31">
        <f>ROUND('Anexo 5'!X19*Anexo1!$D$10,0)</f>
        <v>0</v>
      </c>
      <c r="Y19" s="31">
        <f>ROUND('Anexo 5'!Y19*Anexo1!$D$10,0)</f>
        <v>0</v>
      </c>
      <c r="Z19" s="31">
        <f>ROUND('Anexo 5'!Z19*Anexo1!$D$10,0)</f>
        <v>0</v>
      </c>
      <c r="AA19" s="36">
        <f t="shared" si="0"/>
        <v>0</v>
      </c>
      <c r="AB19" s="19">
        <v>4</v>
      </c>
      <c r="AC19" s="81"/>
      <c r="AD19" s="45"/>
    </row>
    <row r="20" spans="1:30" ht="15.75" thickBot="1" x14ac:dyDescent="0.3">
      <c r="A20" s="79"/>
      <c r="B20" s="20" t="s">
        <v>3</v>
      </c>
      <c r="C20" s="31">
        <f>ROUND('Anexo 5'!C20*Anexo1!$D$10,0)</f>
        <v>0</v>
      </c>
      <c r="D20" s="31">
        <f>ROUND('Anexo 5'!D20*Anexo1!$D$10,0)</f>
        <v>0</v>
      </c>
      <c r="E20" s="31">
        <f>ROUND('Anexo 5'!E20*Anexo1!$D$10,0)</f>
        <v>0</v>
      </c>
      <c r="F20" s="31">
        <f>ROUND('Anexo 5'!F20*Anexo1!$D$10,0)</f>
        <v>0</v>
      </c>
      <c r="G20" s="31">
        <f>ROUND('Anexo 5'!G20*Anexo1!$D$10,0)</f>
        <v>0</v>
      </c>
      <c r="H20" s="31">
        <f>ROUND('Anexo 5'!H20*Anexo1!$D$10,0)</f>
        <v>0</v>
      </c>
      <c r="I20" s="31">
        <f>ROUND('Anexo 5'!I20*Anexo1!$D$10,0)</f>
        <v>0</v>
      </c>
      <c r="J20" s="31">
        <f>ROUND('Anexo 5'!J20*Anexo1!$D$10,0)</f>
        <v>0</v>
      </c>
      <c r="K20" s="31">
        <f>ROUND('Anexo 5'!K20*Anexo1!$D$10,0)</f>
        <v>0</v>
      </c>
      <c r="L20" s="31">
        <f>ROUND('Anexo 5'!L20*Anexo1!$D$10,0)</f>
        <v>0</v>
      </c>
      <c r="M20" s="31">
        <f>ROUND('Anexo 5'!M20*Anexo1!$D$10,0)</f>
        <v>0</v>
      </c>
      <c r="N20" s="31">
        <f>ROUND('Anexo 5'!N20*Anexo1!$D$10,0)</f>
        <v>0</v>
      </c>
      <c r="O20" s="31">
        <f>ROUND('Anexo 5'!O20*Anexo1!$D$10,0)</f>
        <v>0</v>
      </c>
      <c r="P20" s="31">
        <f>ROUND('Anexo 5'!P20*Anexo1!$D$10,0)</f>
        <v>0</v>
      </c>
      <c r="Q20" s="31">
        <f>ROUND('Anexo 5'!Q20*Anexo1!$D$10,0)</f>
        <v>0</v>
      </c>
      <c r="R20" s="31">
        <f>ROUND('Anexo 5'!R20*Anexo1!$D$10,0)</f>
        <v>0</v>
      </c>
      <c r="S20" s="31">
        <f>ROUND('Anexo 5'!S20*Anexo1!$D$10,0)</f>
        <v>0</v>
      </c>
      <c r="T20" s="31">
        <f>ROUND('Anexo 5'!T20*Anexo1!$D$10,0)</f>
        <v>0</v>
      </c>
      <c r="U20" s="31">
        <f>ROUND('Anexo 5'!U20*Anexo1!$D$10,0)</f>
        <v>0</v>
      </c>
      <c r="V20" s="31">
        <f>ROUND('Anexo 5'!V20*Anexo1!$D$10,0)</f>
        <v>0</v>
      </c>
      <c r="W20" s="31">
        <f>ROUND('Anexo 5'!W20*Anexo1!$D$10,0)</f>
        <v>0</v>
      </c>
      <c r="X20" s="31">
        <f>ROUND('Anexo 5'!X20*Anexo1!$D$10,0)</f>
        <v>0</v>
      </c>
      <c r="Y20" s="31">
        <f>ROUND('Anexo 5'!Y20*Anexo1!$D$10,0)</f>
        <v>0</v>
      </c>
      <c r="Z20" s="31">
        <f>ROUND('Anexo 5'!Z20*Anexo1!$D$10,0)</f>
        <v>0</v>
      </c>
      <c r="AA20" s="39">
        <f t="shared" si="0"/>
        <v>0</v>
      </c>
      <c r="AB20" s="21">
        <v>8</v>
      </c>
      <c r="AC20" s="82"/>
      <c r="AD20" s="46"/>
    </row>
    <row r="21" spans="1:30" ht="15.75" thickBot="1" x14ac:dyDescent="0.3">
      <c r="A21" s="79">
        <v>46539</v>
      </c>
      <c r="B21" s="16" t="s">
        <v>5</v>
      </c>
      <c r="C21" s="31">
        <f>ROUND('Anexo 5'!C21*Anexo1!$D$10,0)</f>
        <v>0</v>
      </c>
      <c r="D21" s="31">
        <f>ROUND('Anexo 5'!D21*Anexo1!$D$10,0)</f>
        <v>0</v>
      </c>
      <c r="E21" s="31">
        <f>ROUND('Anexo 5'!E21*Anexo1!$D$10,0)</f>
        <v>0</v>
      </c>
      <c r="F21" s="31">
        <f>ROUND('Anexo 5'!F21*Anexo1!$D$10,0)</f>
        <v>0</v>
      </c>
      <c r="G21" s="31">
        <f>ROUND('Anexo 5'!G21*Anexo1!$D$10,0)</f>
        <v>0</v>
      </c>
      <c r="H21" s="31">
        <f>ROUND('Anexo 5'!H21*Anexo1!$D$10,0)</f>
        <v>0</v>
      </c>
      <c r="I21" s="31">
        <f>ROUND('Anexo 5'!I21*Anexo1!$D$10,0)</f>
        <v>0</v>
      </c>
      <c r="J21" s="31">
        <f>ROUND('Anexo 5'!J21*Anexo1!$D$10,0)</f>
        <v>0</v>
      </c>
      <c r="K21" s="31">
        <f>ROUND('Anexo 5'!K21*Anexo1!$D$10,0)</f>
        <v>0</v>
      </c>
      <c r="L21" s="31">
        <f>ROUND('Anexo 5'!L21*Anexo1!$D$10,0)</f>
        <v>0</v>
      </c>
      <c r="M21" s="31">
        <f>ROUND('Anexo 5'!M21*Anexo1!$D$10,0)</f>
        <v>0</v>
      </c>
      <c r="N21" s="31">
        <f>ROUND('Anexo 5'!N21*Anexo1!$D$10,0)</f>
        <v>0</v>
      </c>
      <c r="O21" s="31">
        <f>ROUND('Anexo 5'!O21*Anexo1!$D$10,0)</f>
        <v>0</v>
      </c>
      <c r="P21" s="31">
        <f>ROUND('Anexo 5'!P21*Anexo1!$D$10,0)</f>
        <v>0</v>
      </c>
      <c r="Q21" s="31">
        <f>ROUND('Anexo 5'!Q21*Anexo1!$D$10,0)</f>
        <v>0</v>
      </c>
      <c r="R21" s="31">
        <f>ROUND('Anexo 5'!R21*Anexo1!$D$10,0)</f>
        <v>0</v>
      </c>
      <c r="S21" s="31">
        <f>ROUND('Anexo 5'!S21*Anexo1!$D$10,0)</f>
        <v>0</v>
      </c>
      <c r="T21" s="31">
        <f>ROUND('Anexo 5'!T21*Anexo1!$D$10,0)</f>
        <v>0</v>
      </c>
      <c r="U21" s="31">
        <f>ROUND('Anexo 5'!U21*Anexo1!$D$10,0)</f>
        <v>0</v>
      </c>
      <c r="V21" s="31">
        <f>ROUND('Anexo 5'!V21*Anexo1!$D$10,0)</f>
        <v>0</v>
      </c>
      <c r="W21" s="31">
        <f>ROUND('Anexo 5'!W21*Anexo1!$D$10,0)</f>
        <v>0</v>
      </c>
      <c r="X21" s="31">
        <f>ROUND('Anexo 5'!X21*Anexo1!$D$10,0)</f>
        <v>0</v>
      </c>
      <c r="Y21" s="31">
        <f>ROUND('Anexo 5'!Y21*Anexo1!$D$10,0)</f>
        <v>0</v>
      </c>
      <c r="Z21" s="31">
        <f>ROUND('Anexo 5'!Z21*Anexo1!$D$10,0)</f>
        <v>0</v>
      </c>
      <c r="AA21" s="33">
        <f t="shared" si="0"/>
        <v>0</v>
      </c>
      <c r="AB21" s="17">
        <v>21</v>
      </c>
      <c r="AC21" s="80">
        <f>+AA21*AB21+AA22*AB22+AA23*AB23</f>
        <v>0</v>
      </c>
    </row>
    <row r="22" spans="1:30" ht="15.75" thickBot="1" x14ac:dyDescent="0.3">
      <c r="A22" s="79"/>
      <c r="B22" s="18" t="s">
        <v>4</v>
      </c>
      <c r="C22" s="31">
        <f>ROUND('Anexo 5'!C22*Anexo1!$D$10,0)</f>
        <v>0</v>
      </c>
      <c r="D22" s="31">
        <f>ROUND('Anexo 5'!D22*Anexo1!$D$10,0)</f>
        <v>0</v>
      </c>
      <c r="E22" s="31">
        <f>ROUND('Anexo 5'!E22*Anexo1!$D$10,0)</f>
        <v>0</v>
      </c>
      <c r="F22" s="31">
        <f>ROUND('Anexo 5'!F22*Anexo1!$D$10,0)</f>
        <v>0</v>
      </c>
      <c r="G22" s="31">
        <f>ROUND('Anexo 5'!G22*Anexo1!$D$10,0)</f>
        <v>0</v>
      </c>
      <c r="H22" s="31">
        <f>ROUND('Anexo 5'!H22*Anexo1!$D$10,0)</f>
        <v>0</v>
      </c>
      <c r="I22" s="31">
        <f>ROUND('Anexo 5'!I22*Anexo1!$D$10,0)</f>
        <v>0</v>
      </c>
      <c r="J22" s="31">
        <f>ROUND('Anexo 5'!J22*Anexo1!$D$10,0)</f>
        <v>0</v>
      </c>
      <c r="K22" s="31">
        <f>ROUND('Anexo 5'!K22*Anexo1!$D$10,0)</f>
        <v>0</v>
      </c>
      <c r="L22" s="31">
        <f>ROUND('Anexo 5'!L22*Anexo1!$D$10,0)</f>
        <v>0</v>
      </c>
      <c r="M22" s="31">
        <f>ROUND('Anexo 5'!M22*Anexo1!$D$10,0)</f>
        <v>0</v>
      </c>
      <c r="N22" s="31">
        <f>ROUND('Anexo 5'!N22*Anexo1!$D$10,0)</f>
        <v>0</v>
      </c>
      <c r="O22" s="31">
        <f>ROUND('Anexo 5'!O22*Anexo1!$D$10,0)</f>
        <v>0</v>
      </c>
      <c r="P22" s="31">
        <f>ROUND('Anexo 5'!P22*Anexo1!$D$10,0)</f>
        <v>0</v>
      </c>
      <c r="Q22" s="31">
        <f>ROUND('Anexo 5'!Q22*Anexo1!$D$10,0)</f>
        <v>0</v>
      </c>
      <c r="R22" s="31">
        <f>ROUND('Anexo 5'!R22*Anexo1!$D$10,0)</f>
        <v>0</v>
      </c>
      <c r="S22" s="31">
        <f>ROUND('Anexo 5'!S22*Anexo1!$D$10,0)</f>
        <v>0</v>
      </c>
      <c r="T22" s="31">
        <f>ROUND('Anexo 5'!T22*Anexo1!$D$10,0)</f>
        <v>0</v>
      </c>
      <c r="U22" s="31">
        <f>ROUND('Anexo 5'!U22*Anexo1!$D$10,0)</f>
        <v>0</v>
      </c>
      <c r="V22" s="31">
        <f>ROUND('Anexo 5'!V22*Anexo1!$D$10,0)</f>
        <v>0</v>
      </c>
      <c r="W22" s="31">
        <f>ROUND('Anexo 5'!W22*Anexo1!$D$10,0)</f>
        <v>0</v>
      </c>
      <c r="X22" s="31">
        <f>ROUND('Anexo 5'!X22*Anexo1!$D$10,0)</f>
        <v>0</v>
      </c>
      <c r="Y22" s="31">
        <f>ROUND('Anexo 5'!Y22*Anexo1!$D$10,0)</f>
        <v>0</v>
      </c>
      <c r="Z22" s="31">
        <f>ROUND('Anexo 5'!Z22*Anexo1!$D$10,0)</f>
        <v>0</v>
      </c>
      <c r="AA22" s="36">
        <f t="shared" si="0"/>
        <v>0</v>
      </c>
      <c r="AB22" s="19">
        <v>4</v>
      </c>
      <c r="AC22" s="81"/>
      <c r="AD22" s="45"/>
    </row>
    <row r="23" spans="1:30" ht="15.75" thickBot="1" x14ac:dyDescent="0.3">
      <c r="A23" s="79"/>
      <c r="B23" s="20" t="s">
        <v>3</v>
      </c>
      <c r="C23" s="31">
        <f>ROUND('Anexo 5'!C23*Anexo1!$D$10,0)</f>
        <v>0</v>
      </c>
      <c r="D23" s="31">
        <f>ROUND('Anexo 5'!D23*Anexo1!$D$10,0)</f>
        <v>0</v>
      </c>
      <c r="E23" s="31">
        <f>ROUND('Anexo 5'!E23*Anexo1!$D$10,0)</f>
        <v>0</v>
      </c>
      <c r="F23" s="31">
        <f>ROUND('Anexo 5'!F23*Anexo1!$D$10,0)</f>
        <v>0</v>
      </c>
      <c r="G23" s="31">
        <f>ROUND('Anexo 5'!G23*Anexo1!$D$10,0)</f>
        <v>0</v>
      </c>
      <c r="H23" s="31">
        <f>ROUND('Anexo 5'!H23*Anexo1!$D$10,0)</f>
        <v>0</v>
      </c>
      <c r="I23" s="31">
        <f>ROUND('Anexo 5'!I23*Anexo1!$D$10,0)</f>
        <v>0</v>
      </c>
      <c r="J23" s="31">
        <f>ROUND('Anexo 5'!J23*Anexo1!$D$10,0)</f>
        <v>0</v>
      </c>
      <c r="K23" s="31">
        <f>ROUND('Anexo 5'!K23*Anexo1!$D$10,0)</f>
        <v>0</v>
      </c>
      <c r="L23" s="31">
        <f>ROUND('Anexo 5'!L23*Anexo1!$D$10,0)</f>
        <v>0</v>
      </c>
      <c r="M23" s="31">
        <f>ROUND('Anexo 5'!M23*Anexo1!$D$10,0)</f>
        <v>0</v>
      </c>
      <c r="N23" s="31">
        <f>ROUND('Anexo 5'!N23*Anexo1!$D$10,0)</f>
        <v>0</v>
      </c>
      <c r="O23" s="31">
        <f>ROUND('Anexo 5'!O23*Anexo1!$D$10,0)</f>
        <v>0</v>
      </c>
      <c r="P23" s="31">
        <f>ROUND('Anexo 5'!P23*Anexo1!$D$10,0)</f>
        <v>0</v>
      </c>
      <c r="Q23" s="31">
        <f>ROUND('Anexo 5'!Q23*Anexo1!$D$10,0)</f>
        <v>0</v>
      </c>
      <c r="R23" s="31">
        <f>ROUND('Anexo 5'!R23*Anexo1!$D$10,0)</f>
        <v>0</v>
      </c>
      <c r="S23" s="31">
        <f>ROUND('Anexo 5'!S23*Anexo1!$D$10,0)</f>
        <v>0</v>
      </c>
      <c r="T23" s="31">
        <f>ROUND('Anexo 5'!T23*Anexo1!$D$10,0)</f>
        <v>0</v>
      </c>
      <c r="U23" s="31">
        <f>ROUND('Anexo 5'!U23*Anexo1!$D$10,0)</f>
        <v>0</v>
      </c>
      <c r="V23" s="31">
        <f>ROUND('Anexo 5'!V23*Anexo1!$D$10,0)</f>
        <v>0</v>
      </c>
      <c r="W23" s="31">
        <f>ROUND('Anexo 5'!W23*Anexo1!$D$10,0)</f>
        <v>0</v>
      </c>
      <c r="X23" s="31">
        <f>ROUND('Anexo 5'!X23*Anexo1!$D$10,0)</f>
        <v>0</v>
      </c>
      <c r="Y23" s="31">
        <f>ROUND('Anexo 5'!Y23*Anexo1!$D$10,0)</f>
        <v>0</v>
      </c>
      <c r="Z23" s="31">
        <f>ROUND('Anexo 5'!Z23*Anexo1!$D$10,0)</f>
        <v>0</v>
      </c>
      <c r="AA23" s="39">
        <f t="shared" si="0"/>
        <v>0</v>
      </c>
      <c r="AB23" s="21">
        <v>5</v>
      </c>
      <c r="AC23" s="82"/>
      <c r="AD23" s="46"/>
    </row>
    <row r="24" spans="1:30" ht="15.75" thickBot="1" x14ac:dyDescent="0.3">
      <c r="A24" s="79">
        <v>46569</v>
      </c>
      <c r="B24" s="16" t="s">
        <v>5</v>
      </c>
      <c r="C24" s="31">
        <f>ROUND('Anexo 5'!C24*Anexo1!$D$10,0)</f>
        <v>0</v>
      </c>
      <c r="D24" s="31">
        <f>ROUND('Anexo 5'!D24*Anexo1!$D$10,0)</f>
        <v>0</v>
      </c>
      <c r="E24" s="31">
        <f>ROUND('Anexo 5'!E24*Anexo1!$D$10,0)</f>
        <v>0</v>
      </c>
      <c r="F24" s="31">
        <f>ROUND('Anexo 5'!F24*Anexo1!$D$10,0)</f>
        <v>0</v>
      </c>
      <c r="G24" s="31">
        <f>ROUND('Anexo 5'!G24*Anexo1!$D$10,0)</f>
        <v>0</v>
      </c>
      <c r="H24" s="31">
        <f>ROUND('Anexo 5'!H24*Anexo1!$D$10,0)</f>
        <v>0</v>
      </c>
      <c r="I24" s="31">
        <f>ROUND('Anexo 5'!I24*Anexo1!$D$10,0)</f>
        <v>0</v>
      </c>
      <c r="J24" s="31">
        <f>ROUND('Anexo 5'!J24*Anexo1!$D$10,0)</f>
        <v>0</v>
      </c>
      <c r="K24" s="31">
        <f>ROUND('Anexo 5'!K24*Anexo1!$D$10,0)</f>
        <v>0</v>
      </c>
      <c r="L24" s="31">
        <f>ROUND('Anexo 5'!L24*Anexo1!$D$10,0)</f>
        <v>0</v>
      </c>
      <c r="M24" s="31">
        <f>ROUND('Anexo 5'!M24*Anexo1!$D$10,0)</f>
        <v>0</v>
      </c>
      <c r="N24" s="31">
        <f>ROUND('Anexo 5'!N24*Anexo1!$D$10,0)</f>
        <v>0</v>
      </c>
      <c r="O24" s="31">
        <f>ROUND('Anexo 5'!O24*Anexo1!$D$10,0)</f>
        <v>0</v>
      </c>
      <c r="P24" s="31">
        <f>ROUND('Anexo 5'!P24*Anexo1!$D$10,0)</f>
        <v>0</v>
      </c>
      <c r="Q24" s="31">
        <f>ROUND('Anexo 5'!Q24*Anexo1!$D$10,0)</f>
        <v>0</v>
      </c>
      <c r="R24" s="31">
        <f>ROUND('Anexo 5'!R24*Anexo1!$D$10,0)</f>
        <v>0</v>
      </c>
      <c r="S24" s="31">
        <f>ROUND('Anexo 5'!S24*Anexo1!$D$10,0)</f>
        <v>0</v>
      </c>
      <c r="T24" s="31">
        <f>ROUND('Anexo 5'!T24*Anexo1!$D$10,0)</f>
        <v>0</v>
      </c>
      <c r="U24" s="31">
        <f>ROUND('Anexo 5'!U24*Anexo1!$D$10,0)</f>
        <v>0</v>
      </c>
      <c r="V24" s="31">
        <f>ROUND('Anexo 5'!V24*Anexo1!$D$10,0)</f>
        <v>0</v>
      </c>
      <c r="W24" s="31">
        <f>ROUND('Anexo 5'!W24*Anexo1!$D$10,0)</f>
        <v>0</v>
      </c>
      <c r="X24" s="31">
        <f>ROUND('Anexo 5'!X24*Anexo1!$D$10,0)</f>
        <v>0</v>
      </c>
      <c r="Y24" s="31">
        <f>ROUND('Anexo 5'!Y24*Anexo1!$D$10,0)</f>
        <v>0</v>
      </c>
      <c r="Z24" s="31">
        <f>ROUND('Anexo 5'!Z24*Anexo1!$D$10,0)</f>
        <v>0</v>
      </c>
      <c r="AA24" s="33">
        <f t="shared" si="0"/>
        <v>0</v>
      </c>
      <c r="AB24" s="17">
        <v>20</v>
      </c>
      <c r="AC24" s="80">
        <f>+AA24*AB24+AA25*AB25+AA26*AB26</f>
        <v>0</v>
      </c>
    </row>
    <row r="25" spans="1:30" ht="15.75" thickBot="1" x14ac:dyDescent="0.3">
      <c r="A25" s="79"/>
      <c r="B25" s="18" t="s">
        <v>4</v>
      </c>
      <c r="C25" s="31">
        <f>ROUND('Anexo 5'!C25*Anexo1!$D$10,0)</f>
        <v>0</v>
      </c>
      <c r="D25" s="31">
        <f>ROUND('Anexo 5'!D25*Anexo1!$D$10,0)</f>
        <v>0</v>
      </c>
      <c r="E25" s="31">
        <f>ROUND('Anexo 5'!E25*Anexo1!$D$10,0)</f>
        <v>0</v>
      </c>
      <c r="F25" s="31">
        <f>ROUND('Anexo 5'!F25*Anexo1!$D$10,0)</f>
        <v>0</v>
      </c>
      <c r="G25" s="31">
        <f>ROUND('Anexo 5'!G25*Anexo1!$D$10,0)</f>
        <v>0</v>
      </c>
      <c r="H25" s="31">
        <f>ROUND('Anexo 5'!H25*Anexo1!$D$10,0)</f>
        <v>0</v>
      </c>
      <c r="I25" s="31">
        <f>ROUND('Anexo 5'!I25*Anexo1!$D$10,0)</f>
        <v>0</v>
      </c>
      <c r="J25" s="31">
        <f>ROUND('Anexo 5'!J25*Anexo1!$D$10,0)</f>
        <v>0</v>
      </c>
      <c r="K25" s="31">
        <f>ROUND('Anexo 5'!K25*Anexo1!$D$10,0)</f>
        <v>0</v>
      </c>
      <c r="L25" s="31">
        <f>ROUND('Anexo 5'!L25*Anexo1!$D$10,0)</f>
        <v>0</v>
      </c>
      <c r="M25" s="31">
        <f>ROUND('Anexo 5'!M25*Anexo1!$D$10,0)</f>
        <v>0</v>
      </c>
      <c r="N25" s="31">
        <f>ROUND('Anexo 5'!N25*Anexo1!$D$10,0)</f>
        <v>0</v>
      </c>
      <c r="O25" s="31">
        <f>ROUND('Anexo 5'!O25*Anexo1!$D$10,0)</f>
        <v>0</v>
      </c>
      <c r="P25" s="31">
        <f>ROUND('Anexo 5'!P25*Anexo1!$D$10,0)</f>
        <v>0</v>
      </c>
      <c r="Q25" s="31">
        <f>ROUND('Anexo 5'!Q25*Anexo1!$D$10,0)</f>
        <v>0</v>
      </c>
      <c r="R25" s="31">
        <f>ROUND('Anexo 5'!R25*Anexo1!$D$10,0)</f>
        <v>0</v>
      </c>
      <c r="S25" s="31">
        <f>ROUND('Anexo 5'!S25*Anexo1!$D$10,0)</f>
        <v>0</v>
      </c>
      <c r="T25" s="31">
        <f>ROUND('Anexo 5'!T25*Anexo1!$D$10,0)</f>
        <v>0</v>
      </c>
      <c r="U25" s="31">
        <f>ROUND('Anexo 5'!U25*Anexo1!$D$10,0)</f>
        <v>0</v>
      </c>
      <c r="V25" s="31">
        <f>ROUND('Anexo 5'!V25*Anexo1!$D$10,0)</f>
        <v>0</v>
      </c>
      <c r="W25" s="31">
        <f>ROUND('Anexo 5'!W25*Anexo1!$D$10,0)</f>
        <v>0</v>
      </c>
      <c r="X25" s="31">
        <f>ROUND('Anexo 5'!X25*Anexo1!$D$10,0)</f>
        <v>0</v>
      </c>
      <c r="Y25" s="31">
        <f>ROUND('Anexo 5'!Y25*Anexo1!$D$10,0)</f>
        <v>0</v>
      </c>
      <c r="Z25" s="31">
        <f>ROUND('Anexo 5'!Z25*Anexo1!$D$10,0)</f>
        <v>0</v>
      </c>
      <c r="AA25" s="36">
        <f t="shared" si="0"/>
        <v>0</v>
      </c>
      <c r="AB25" s="19">
        <v>5</v>
      </c>
      <c r="AC25" s="81"/>
      <c r="AD25" s="45"/>
    </row>
    <row r="26" spans="1:30" ht="15.75" thickBot="1" x14ac:dyDescent="0.3">
      <c r="A26" s="79"/>
      <c r="B26" s="20" t="s">
        <v>3</v>
      </c>
      <c r="C26" s="31">
        <f>ROUND('Anexo 5'!C26*Anexo1!$D$10,0)</f>
        <v>0</v>
      </c>
      <c r="D26" s="31">
        <f>ROUND('Anexo 5'!D26*Anexo1!$D$10,0)</f>
        <v>0</v>
      </c>
      <c r="E26" s="31">
        <f>ROUND('Anexo 5'!E26*Anexo1!$D$10,0)</f>
        <v>0</v>
      </c>
      <c r="F26" s="31">
        <f>ROUND('Anexo 5'!F26*Anexo1!$D$10,0)</f>
        <v>0</v>
      </c>
      <c r="G26" s="31">
        <f>ROUND('Anexo 5'!G26*Anexo1!$D$10,0)</f>
        <v>0</v>
      </c>
      <c r="H26" s="31">
        <f>ROUND('Anexo 5'!H26*Anexo1!$D$10,0)</f>
        <v>0</v>
      </c>
      <c r="I26" s="31">
        <f>ROUND('Anexo 5'!I26*Anexo1!$D$10,0)</f>
        <v>0</v>
      </c>
      <c r="J26" s="31">
        <f>ROUND('Anexo 5'!J26*Anexo1!$D$10,0)</f>
        <v>0</v>
      </c>
      <c r="K26" s="31">
        <f>ROUND('Anexo 5'!K26*Anexo1!$D$10,0)</f>
        <v>0</v>
      </c>
      <c r="L26" s="31">
        <f>ROUND('Anexo 5'!L26*Anexo1!$D$10,0)</f>
        <v>0</v>
      </c>
      <c r="M26" s="31">
        <f>ROUND('Anexo 5'!M26*Anexo1!$D$10,0)</f>
        <v>0</v>
      </c>
      <c r="N26" s="31">
        <f>ROUND('Anexo 5'!N26*Anexo1!$D$10,0)</f>
        <v>0</v>
      </c>
      <c r="O26" s="31">
        <f>ROUND('Anexo 5'!O26*Anexo1!$D$10,0)</f>
        <v>0</v>
      </c>
      <c r="P26" s="31">
        <f>ROUND('Anexo 5'!P26*Anexo1!$D$10,0)</f>
        <v>0</v>
      </c>
      <c r="Q26" s="31">
        <f>ROUND('Anexo 5'!Q26*Anexo1!$D$10,0)</f>
        <v>0</v>
      </c>
      <c r="R26" s="31">
        <f>ROUND('Anexo 5'!R26*Anexo1!$D$10,0)</f>
        <v>0</v>
      </c>
      <c r="S26" s="31">
        <f>ROUND('Anexo 5'!S26*Anexo1!$D$10,0)</f>
        <v>0</v>
      </c>
      <c r="T26" s="31">
        <f>ROUND('Anexo 5'!T26*Anexo1!$D$10,0)</f>
        <v>0</v>
      </c>
      <c r="U26" s="31">
        <f>ROUND('Anexo 5'!U26*Anexo1!$D$10,0)</f>
        <v>0</v>
      </c>
      <c r="V26" s="31">
        <f>ROUND('Anexo 5'!V26*Anexo1!$D$10,0)</f>
        <v>0</v>
      </c>
      <c r="W26" s="31">
        <f>ROUND('Anexo 5'!W26*Anexo1!$D$10,0)</f>
        <v>0</v>
      </c>
      <c r="X26" s="31">
        <f>ROUND('Anexo 5'!X26*Anexo1!$D$10,0)</f>
        <v>0</v>
      </c>
      <c r="Y26" s="31">
        <f>ROUND('Anexo 5'!Y26*Anexo1!$D$10,0)</f>
        <v>0</v>
      </c>
      <c r="Z26" s="31">
        <f>ROUND('Anexo 5'!Z26*Anexo1!$D$10,0)</f>
        <v>0</v>
      </c>
      <c r="AA26" s="39">
        <f t="shared" si="0"/>
        <v>0</v>
      </c>
      <c r="AB26" s="21">
        <v>6</v>
      </c>
      <c r="AC26" s="82"/>
      <c r="AD26" s="46"/>
    </row>
    <row r="27" spans="1:30" ht="15.75" thickBot="1" x14ac:dyDescent="0.3">
      <c r="A27" s="79">
        <v>46600</v>
      </c>
      <c r="B27" s="16" t="s">
        <v>5</v>
      </c>
      <c r="C27" s="31">
        <f>ROUND('Anexo 5'!C27*Anexo1!$D$10,0)</f>
        <v>0</v>
      </c>
      <c r="D27" s="31">
        <f>ROUND('Anexo 5'!D27*Anexo1!$D$10,0)</f>
        <v>0</v>
      </c>
      <c r="E27" s="31">
        <f>ROUND('Anexo 5'!E27*Anexo1!$D$10,0)</f>
        <v>0</v>
      </c>
      <c r="F27" s="31">
        <f>ROUND('Anexo 5'!F27*Anexo1!$D$10,0)</f>
        <v>0</v>
      </c>
      <c r="G27" s="31">
        <f>ROUND('Anexo 5'!G27*Anexo1!$D$10,0)</f>
        <v>0</v>
      </c>
      <c r="H27" s="31">
        <f>ROUND('Anexo 5'!H27*Anexo1!$D$10,0)</f>
        <v>0</v>
      </c>
      <c r="I27" s="31">
        <f>ROUND('Anexo 5'!I27*Anexo1!$D$10,0)</f>
        <v>0</v>
      </c>
      <c r="J27" s="31">
        <f>ROUND('Anexo 5'!J27*Anexo1!$D$10,0)</f>
        <v>0</v>
      </c>
      <c r="K27" s="31">
        <f>ROUND('Anexo 5'!K27*Anexo1!$D$10,0)</f>
        <v>0</v>
      </c>
      <c r="L27" s="31">
        <f>ROUND('Anexo 5'!L27*Anexo1!$D$10,0)</f>
        <v>0</v>
      </c>
      <c r="M27" s="31">
        <f>ROUND('Anexo 5'!M27*Anexo1!$D$10,0)</f>
        <v>0</v>
      </c>
      <c r="N27" s="31">
        <f>ROUND('Anexo 5'!N27*Anexo1!$D$10,0)</f>
        <v>0</v>
      </c>
      <c r="O27" s="31">
        <f>ROUND('Anexo 5'!O27*Anexo1!$D$10,0)</f>
        <v>0</v>
      </c>
      <c r="P27" s="31">
        <f>ROUND('Anexo 5'!P27*Anexo1!$D$10,0)</f>
        <v>0</v>
      </c>
      <c r="Q27" s="31">
        <f>ROUND('Anexo 5'!Q27*Anexo1!$D$10,0)</f>
        <v>0</v>
      </c>
      <c r="R27" s="31">
        <f>ROUND('Anexo 5'!R27*Anexo1!$D$10,0)</f>
        <v>0</v>
      </c>
      <c r="S27" s="31">
        <f>ROUND('Anexo 5'!S27*Anexo1!$D$10,0)</f>
        <v>0</v>
      </c>
      <c r="T27" s="31">
        <f>ROUND('Anexo 5'!T27*Anexo1!$D$10,0)</f>
        <v>0</v>
      </c>
      <c r="U27" s="31">
        <f>ROUND('Anexo 5'!U27*Anexo1!$D$10,0)</f>
        <v>0</v>
      </c>
      <c r="V27" s="31">
        <f>ROUND('Anexo 5'!V27*Anexo1!$D$10,0)</f>
        <v>0</v>
      </c>
      <c r="W27" s="31">
        <f>ROUND('Anexo 5'!W27*Anexo1!$D$10,0)</f>
        <v>0</v>
      </c>
      <c r="X27" s="31">
        <f>ROUND('Anexo 5'!X27*Anexo1!$D$10,0)</f>
        <v>0</v>
      </c>
      <c r="Y27" s="31">
        <f>ROUND('Anexo 5'!Y27*Anexo1!$D$10,0)</f>
        <v>0</v>
      </c>
      <c r="Z27" s="31">
        <f>ROUND('Anexo 5'!Z27*Anexo1!$D$10,0)</f>
        <v>0</v>
      </c>
      <c r="AA27" s="33">
        <f t="shared" si="0"/>
        <v>0</v>
      </c>
      <c r="AB27" s="17">
        <v>21</v>
      </c>
      <c r="AC27" s="80">
        <f>+AA27*AB27+AA28*AB28+AA29*AB29</f>
        <v>0</v>
      </c>
    </row>
    <row r="28" spans="1:30" ht="15.75" thickBot="1" x14ac:dyDescent="0.3">
      <c r="A28" s="79"/>
      <c r="B28" s="18" t="s">
        <v>4</v>
      </c>
      <c r="C28" s="31">
        <f>ROUND('Anexo 5'!C28*Anexo1!$D$10,0)</f>
        <v>0</v>
      </c>
      <c r="D28" s="31">
        <f>ROUND('Anexo 5'!D28*Anexo1!$D$10,0)</f>
        <v>0</v>
      </c>
      <c r="E28" s="31">
        <f>ROUND('Anexo 5'!E28*Anexo1!$D$10,0)</f>
        <v>0</v>
      </c>
      <c r="F28" s="31">
        <f>ROUND('Anexo 5'!F28*Anexo1!$D$10,0)</f>
        <v>0</v>
      </c>
      <c r="G28" s="31">
        <f>ROUND('Anexo 5'!G28*Anexo1!$D$10,0)</f>
        <v>0</v>
      </c>
      <c r="H28" s="31">
        <f>ROUND('Anexo 5'!H28*Anexo1!$D$10,0)</f>
        <v>0</v>
      </c>
      <c r="I28" s="31">
        <f>ROUND('Anexo 5'!I28*Anexo1!$D$10,0)</f>
        <v>0</v>
      </c>
      <c r="J28" s="31">
        <f>ROUND('Anexo 5'!J28*Anexo1!$D$10,0)</f>
        <v>0</v>
      </c>
      <c r="K28" s="31">
        <f>ROUND('Anexo 5'!K28*Anexo1!$D$10,0)</f>
        <v>0</v>
      </c>
      <c r="L28" s="31">
        <f>ROUND('Anexo 5'!L28*Anexo1!$D$10,0)</f>
        <v>0</v>
      </c>
      <c r="M28" s="31">
        <f>ROUND('Anexo 5'!M28*Anexo1!$D$10,0)</f>
        <v>0</v>
      </c>
      <c r="N28" s="31">
        <f>ROUND('Anexo 5'!N28*Anexo1!$D$10,0)</f>
        <v>0</v>
      </c>
      <c r="O28" s="31">
        <f>ROUND('Anexo 5'!O28*Anexo1!$D$10,0)</f>
        <v>0</v>
      </c>
      <c r="P28" s="31">
        <f>ROUND('Anexo 5'!P28*Anexo1!$D$10,0)</f>
        <v>0</v>
      </c>
      <c r="Q28" s="31">
        <f>ROUND('Anexo 5'!Q28*Anexo1!$D$10,0)</f>
        <v>0</v>
      </c>
      <c r="R28" s="31">
        <f>ROUND('Anexo 5'!R28*Anexo1!$D$10,0)</f>
        <v>0</v>
      </c>
      <c r="S28" s="31">
        <f>ROUND('Anexo 5'!S28*Anexo1!$D$10,0)</f>
        <v>0</v>
      </c>
      <c r="T28" s="31">
        <f>ROUND('Anexo 5'!T28*Anexo1!$D$10,0)</f>
        <v>0</v>
      </c>
      <c r="U28" s="31">
        <f>ROUND('Anexo 5'!U28*Anexo1!$D$10,0)</f>
        <v>0</v>
      </c>
      <c r="V28" s="31">
        <f>ROUND('Anexo 5'!V28*Anexo1!$D$10,0)</f>
        <v>0</v>
      </c>
      <c r="W28" s="31">
        <f>ROUND('Anexo 5'!W28*Anexo1!$D$10,0)</f>
        <v>0</v>
      </c>
      <c r="X28" s="31">
        <f>ROUND('Anexo 5'!X28*Anexo1!$D$10,0)</f>
        <v>0</v>
      </c>
      <c r="Y28" s="31">
        <f>ROUND('Anexo 5'!Y28*Anexo1!$D$10,0)</f>
        <v>0</v>
      </c>
      <c r="Z28" s="31">
        <f>ROUND('Anexo 5'!Z28*Anexo1!$D$10,0)</f>
        <v>0</v>
      </c>
      <c r="AA28" s="36">
        <f t="shared" si="0"/>
        <v>0</v>
      </c>
      <c r="AB28" s="19">
        <v>3</v>
      </c>
      <c r="AC28" s="81"/>
      <c r="AD28" s="45"/>
    </row>
    <row r="29" spans="1:30" ht="15.75" thickBot="1" x14ac:dyDescent="0.3">
      <c r="A29" s="79"/>
      <c r="B29" s="20" t="s">
        <v>3</v>
      </c>
      <c r="C29" s="31">
        <f>ROUND('Anexo 5'!C29*Anexo1!$D$10,0)</f>
        <v>0</v>
      </c>
      <c r="D29" s="31">
        <f>ROUND('Anexo 5'!D29*Anexo1!$D$10,0)</f>
        <v>0</v>
      </c>
      <c r="E29" s="31">
        <f>ROUND('Anexo 5'!E29*Anexo1!$D$10,0)</f>
        <v>0</v>
      </c>
      <c r="F29" s="31">
        <f>ROUND('Anexo 5'!F29*Anexo1!$D$10,0)</f>
        <v>0</v>
      </c>
      <c r="G29" s="31">
        <f>ROUND('Anexo 5'!G29*Anexo1!$D$10,0)</f>
        <v>0</v>
      </c>
      <c r="H29" s="31">
        <f>ROUND('Anexo 5'!H29*Anexo1!$D$10,0)</f>
        <v>0</v>
      </c>
      <c r="I29" s="31">
        <f>ROUND('Anexo 5'!I29*Anexo1!$D$10,0)</f>
        <v>0</v>
      </c>
      <c r="J29" s="31">
        <f>ROUND('Anexo 5'!J29*Anexo1!$D$10,0)</f>
        <v>0</v>
      </c>
      <c r="K29" s="31">
        <f>ROUND('Anexo 5'!K29*Anexo1!$D$10,0)</f>
        <v>0</v>
      </c>
      <c r="L29" s="31">
        <f>ROUND('Anexo 5'!L29*Anexo1!$D$10,0)</f>
        <v>0</v>
      </c>
      <c r="M29" s="31">
        <f>ROUND('Anexo 5'!M29*Anexo1!$D$10,0)</f>
        <v>0</v>
      </c>
      <c r="N29" s="31">
        <f>ROUND('Anexo 5'!N29*Anexo1!$D$10,0)</f>
        <v>0</v>
      </c>
      <c r="O29" s="31">
        <f>ROUND('Anexo 5'!O29*Anexo1!$D$10,0)</f>
        <v>0</v>
      </c>
      <c r="P29" s="31">
        <f>ROUND('Anexo 5'!P29*Anexo1!$D$10,0)</f>
        <v>0</v>
      </c>
      <c r="Q29" s="31">
        <f>ROUND('Anexo 5'!Q29*Anexo1!$D$10,0)</f>
        <v>0</v>
      </c>
      <c r="R29" s="31">
        <f>ROUND('Anexo 5'!R29*Anexo1!$D$10,0)</f>
        <v>0</v>
      </c>
      <c r="S29" s="31">
        <f>ROUND('Anexo 5'!S29*Anexo1!$D$10,0)</f>
        <v>0</v>
      </c>
      <c r="T29" s="31">
        <f>ROUND('Anexo 5'!T29*Anexo1!$D$10,0)</f>
        <v>0</v>
      </c>
      <c r="U29" s="31">
        <f>ROUND('Anexo 5'!U29*Anexo1!$D$10,0)</f>
        <v>0</v>
      </c>
      <c r="V29" s="31">
        <f>ROUND('Anexo 5'!V29*Anexo1!$D$10,0)</f>
        <v>0</v>
      </c>
      <c r="W29" s="31">
        <f>ROUND('Anexo 5'!W29*Anexo1!$D$10,0)</f>
        <v>0</v>
      </c>
      <c r="X29" s="31">
        <f>ROUND('Anexo 5'!X29*Anexo1!$D$10,0)</f>
        <v>0</v>
      </c>
      <c r="Y29" s="31">
        <f>ROUND('Anexo 5'!Y29*Anexo1!$D$10,0)</f>
        <v>0</v>
      </c>
      <c r="Z29" s="31">
        <f>ROUND('Anexo 5'!Z29*Anexo1!$D$10,0)</f>
        <v>0</v>
      </c>
      <c r="AA29" s="39">
        <f t="shared" si="0"/>
        <v>0</v>
      </c>
      <c r="AB29" s="21">
        <v>7</v>
      </c>
      <c r="AC29" s="82"/>
      <c r="AD29" s="47"/>
    </row>
    <row r="30" spans="1:30" ht="15.75" thickBot="1" x14ac:dyDescent="0.3">
      <c r="A30" s="79">
        <v>46631</v>
      </c>
      <c r="B30" s="16" t="s">
        <v>5</v>
      </c>
      <c r="C30" s="31">
        <f>ROUND('Anexo 5'!C30*Anexo1!$D$10,0)</f>
        <v>0</v>
      </c>
      <c r="D30" s="31">
        <f>ROUND('Anexo 5'!D30*Anexo1!$D$10,0)</f>
        <v>0</v>
      </c>
      <c r="E30" s="31">
        <f>ROUND('Anexo 5'!E30*Anexo1!$D$10,0)</f>
        <v>0</v>
      </c>
      <c r="F30" s="31">
        <f>ROUND('Anexo 5'!F30*Anexo1!$D$10,0)</f>
        <v>0</v>
      </c>
      <c r="G30" s="31">
        <f>ROUND('Anexo 5'!G30*Anexo1!$D$10,0)</f>
        <v>0</v>
      </c>
      <c r="H30" s="31">
        <f>ROUND('Anexo 5'!H30*Anexo1!$D$10,0)</f>
        <v>0</v>
      </c>
      <c r="I30" s="31">
        <f>ROUND('Anexo 5'!I30*Anexo1!$D$10,0)</f>
        <v>0</v>
      </c>
      <c r="J30" s="31">
        <f>ROUND('Anexo 5'!J30*Anexo1!$D$10,0)</f>
        <v>0</v>
      </c>
      <c r="K30" s="31">
        <f>ROUND('Anexo 5'!K30*Anexo1!$D$10,0)</f>
        <v>0</v>
      </c>
      <c r="L30" s="31">
        <f>ROUND('Anexo 5'!L30*Anexo1!$D$10,0)</f>
        <v>0</v>
      </c>
      <c r="M30" s="31">
        <f>ROUND('Anexo 5'!M30*Anexo1!$D$10,0)</f>
        <v>0</v>
      </c>
      <c r="N30" s="31">
        <f>ROUND('Anexo 5'!N30*Anexo1!$D$10,0)</f>
        <v>0</v>
      </c>
      <c r="O30" s="31">
        <f>ROUND('Anexo 5'!O30*Anexo1!$D$10,0)</f>
        <v>0</v>
      </c>
      <c r="P30" s="31">
        <f>ROUND('Anexo 5'!P30*Anexo1!$D$10,0)</f>
        <v>0</v>
      </c>
      <c r="Q30" s="31">
        <f>ROUND('Anexo 5'!Q30*Anexo1!$D$10,0)</f>
        <v>0</v>
      </c>
      <c r="R30" s="31">
        <f>ROUND('Anexo 5'!R30*Anexo1!$D$10,0)</f>
        <v>0</v>
      </c>
      <c r="S30" s="31">
        <f>ROUND('Anexo 5'!S30*Anexo1!$D$10,0)</f>
        <v>0</v>
      </c>
      <c r="T30" s="31">
        <f>ROUND('Anexo 5'!T30*Anexo1!$D$10,0)</f>
        <v>0</v>
      </c>
      <c r="U30" s="31">
        <f>ROUND('Anexo 5'!U30*Anexo1!$D$10,0)</f>
        <v>0</v>
      </c>
      <c r="V30" s="31">
        <f>ROUND('Anexo 5'!V30*Anexo1!$D$10,0)</f>
        <v>0</v>
      </c>
      <c r="W30" s="31">
        <f>ROUND('Anexo 5'!W30*Anexo1!$D$10,0)</f>
        <v>0</v>
      </c>
      <c r="X30" s="31">
        <f>ROUND('Anexo 5'!X30*Anexo1!$D$10,0)</f>
        <v>0</v>
      </c>
      <c r="Y30" s="31">
        <f>ROUND('Anexo 5'!Y30*Anexo1!$D$10,0)</f>
        <v>0</v>
      </c>
      <c r="Z30" s="31">
        <f>ROUND('Anexo 5'!Z30*Anexo1!$D$10,0)</f>
        <v>0</v>
      </c>
      <c r="AA30" s="33">
        <f t="shared" si="0"/>
        <v>0</v>
      </c>
      <c r="AB30" s="17">
        <v>22</v>
      </c>
      <c r="AC30" s="80">
        <f>+AA30*AB30+AA31*AB31+AA32*AB32</f>
        <v>0</v>
      </c>
    </row>
    <row r="31" spans="1:30" ht="15.75" thickBot="1" x14ac:dyDescent="0.3">
      <c r="A31" s="79"/>
      <c r="B31" s="18" t="s">
        <v>4</v>
      </c>
      <c r="C31" s="31">
        <f>ROUND('Anexo 5'!C31*Anexo1!$D$10,0)</f>
        <v>0</v>
      </c>
      <c r="D31" s="31">
        <f>ROUND('Anexo 5'!D31*Anexo1!$D$10,0)</f>
        <v>0</v>
      </c>
      <c r="E31" s="31">
        <f>ROUND('Anexo 5'!E31*Anexo1!$D$10,0)</f>
        <v>0</v>
      </c>
      <c r="F31" s="31">
        <f>ROUND('Anexo 5'!F31*Anexo1!$D$10,0)</f>
        <v>0</v>
      </c>
      <c r="G31" s="31">
        <f>ROUND('Anexo 5'!G31*Anexo1!$D$10,0)</f>
        <v>0</v>
      </c>
      <c r="H31" s="31">
        <f>ROUND('Anexo 5'!H31*Anexo1!$D$10,0)</f>
        <v>0</v>
      </c>
      <c r="I31" s="31">
        <f>ROUND('Anexo 5'!I31*Anexo1!$D$10,0)</f>
        <v>0</v>
      </c>
      <c r="J31" s="31">
        <f>ROUND('Anexo 5'!J31*Anexo1!$D$10,0)</f>
        <v>0</v>
      </c>
      <c r="K31" s="31">
        <f>ROUND('Anexo 5'!K31*Anexo1!$D$10,0)</f>
        <v>0</v>
      </c>
      <c r="L31" s="31">
        <f>ROUND('Anexo 5'!L31*Anexo1!$D$10,0)</f>
        <v>0</v>
      </c>
      <c r="M31" s="31">
        <f>ROUND('Anexo 5'!M31*Anexo1!$D$10,0)</f>
        <v>0</v>
      </c>
      <c r="N31" s="31">
        <f>ROUND('Anexo 5'!N31*Anexo1!$D$10,0)</f>
        <v>0</v>
      </c>
      <c r="O31" s="31">
        <f>ROUND('Anexo 5'!O31*Anexo1!$D$10,0)</f>
        <v>0</v>
      </c>
      <c r="P31" s="31">
        <f>ROUND('Anexo 5'!P31*Anexo1!$D$10,0)</f>
        <v>0</v>
      </c>
      <c r="Q31" s="31">
        <f>ROUND('Anexo 5'!Q31*Anexo1!$D$10,0)</f>
        <v>0</v>
      </c>
      <c r="R31" s="31">
        <f>ROUND('Anexo 5'!R31*Anexo1!$D$10,0)</f>
        <v>0</v>
      </c>
      <c r="S31" s="31">
        <f>ROUND('Anexo 5'!S31*Anexo1!$D$10,0)</f>
        <v>0</v>
      </c>
      <c r="T31" s="31">
        <f>ROUND('Anexo 5'!T31*Anexo1!$D$10,0)</f>
        <v>0</v>
      </c>
      <c r="U31" s="31">
        <f>ROUND('Anexo 5'!U31*Anexo1!$D$10,0)</f>
        <v>0</v>
      </c>
      <c r="V31" s="31">
        <f>ROUND('Anexo 5'!V31*Anexo1!$D$10,0)</f>
        <v>0</v>
      </c>
      <c r="W31" s="31">
        <f>ROUND('Anexo 5'!W31*Anexo1!$D$10,0)</f>
        <v>0</v>
      </c>
      <c r="X31" s="31">
        <f>ROUND('Anexo 5'!X31*Anexo1!$D$10,0)</f>
        <v>0</v>
      </c>
      <c r="Y31" s="31">
        <f>ROUND('Anexo 5'!Y31*Anexo1!$D$10,0)</f>
        <v>0</v>
      </c>
      <c r="Z31" s="31">
        <f>ROUND('Anexo 5'!Z31*Anexo1!$D$10,0)</f>
        <v>0</v>
      </c>
      <c r="AA31" s="36">
        <f t="shared" si="0"/>
        <v>0</v>
      </c>
      <c r="AB31" s="19">
        <v>4</v>
      </c>
      <c r="AC31" s="81"/>
      <c r="AD31" s="45"/>
    </row>
    <row r="32" spans="1:30" ht="15.75" thickBot="1" x14ac:dyDescent="0.3">
      <c r="A32" s="79"/>
      <c r="B32" s="20" t="s">
        <v>3</v>
      </c>
      <c r="C32" s="31">
        <f>ROUND('Anexo 5'!C32*Anexo1!$D$10,0)</f>
        <v>0</v>
      </c>
      <c r="D32" s="31">
        <f>ROUND('Anexo 5'!D32*Anexo1!$D$10,0)</f>
        <v>0</v>
      </c>
      <c r="E32" s="31">
        <f>ROUND('Anexo 5'!E32*Anexo1!$D$10,0)</f>
        <v>0</v>
      </c>
      <c r="F32" s="31">
        <f>ROUND('Anexo 5'!F32*Anexo1!$D$10,0)</f>
        <v>0</v>
      </c>
      <c r="G32" s="31">
        <f>ROUND('Anexo 5'!G32*Anexo1!$D$10,0)</f>
        <v>0</v>
      </c>
      <c r="H32" s="31">
        <f>ROUND('Anexo 5'!H32*Anexo1!$D$10,0)</f>
        <v>0</v>
      </c>
      <c r="I32" s="31">
        <f>ROUND('Anexo 5'!I32*Anexo1!$D$10,0)</f>
        <v>0</v>
      </c>
      <c r="J32" s="31">
        <f>ROUND('Anexo 5'!J32*Anexo1!$D$10,0)</f>
        <v>0</v>
      </c>
      <c r="K32" s="31">
        <f>ROUND('Anexo 5'!K32*Anexo1!$D$10,0)</f>
        <v>0</v>
      </c>
      <c r="L32" s="31">
        <f>ROUND('Anexo 5'!L32*Anexo1!$D$10,0)</f>
        <v>0</v>
      </c>
      <c r="M32" s="31">
        <f>ROUND('Anexo 5'!M32*Anexo1!$D$10,0)</f>
        <v>0</v>
      </c>
      <c r="N32" s="31">
        <f>ROUND('Anexo 5'!N32*Anexo1!$D$10,0)</f>
        <v>0</v>
      </c>
      <c r="O32" s="31">
        <f>ROUND('Anexo 5'!O32*Anexo1!$D$10,0)</f>
        <v>0</v>
      </c>
      <c r="P32" s="31">
        <f>ROUND('Anexo 5'!P32*Anexo1!$D$10,0)</f>
        <v>0</v>
      </c>
      <c r="Q32" s="31">
        <f>ROUND('Anexo 5'!Q32*Anexo1!$D$10,0)</f>
        <v>0</v>
      </c>
      <c r="R32" s="31">
        <f>ROUND('Anexo 5'!R32*Anexo1!$D$10,0)</f>
        <v>0</v>
      </c>
      <c r="S32" s="31">
        <f>ROUND('Anexo 5'!S32*Anexo1!$D$10,0)</f>
        <v>0</v>
      </c>
      <c r="T32" s="31">
        <f>ROUND('Anexo 5'!T32*Anexo1!$D$10,0)</f>
        <v>0</v>
      </c>
      <c r="U32" s="31">
        <f>ROUND('Anexo 5'!U32*Anexo1!$D$10,0)</f>
        <v>0</v>
      </c>
      <c r="V32" s="31">
        <f>ROUND('Anexo 5'!V32*Anexo1!$D$10,0)</f>
        <v>0</v>
      </c>
      <c r="W32" s="31">
        <f>ROUND('Anexo 5'!W32*Anexo1!$D$10,0)</f>
        <v>0</v>
      </c>
      <c r="X32" s="31">
        <f>ROUND('Anexo 5'!X32*Anexo1!$D$10,0)</f>
        <v>0</v>
      </c>
      <c r="Y32" s="31">
        <f>ROUND('Anexo 5'!Y32*Anexo1!$D$10,0)</f>
        <v>0</v>
      </c>
      <c r="Z32" s="31">
        <f>ROUND('Anexo 5'!Z32*Anexo1!$D$10,0)</f>
        <v>0</v>
      </c>
      <c r="AA32" s="39">
        <f t="shared" si="0"/>
        <v>0</v>
      </c>
      <c r="AB32" s="21">
        <v>4</v>
      </c>
      <c r="AC32" s="82"/>
      <c r="AD32" s="46"/>
    </row>
    <row r="33" spans="1:30" ht="15.75" thickBot="1" x14ac:dyDescent="0.3">
      <c r="A33" s="79">
        <v>46661</v>
      </c>
      <c r="B33" s="16" t="s">
        <v>5</v>
      </c>
      <c r="C33" s="31">
        <f>ROUND('Anexo 5'!C33*Anexo1!$D$10,0)</f>
        <v>0</v>
      </c>
      <c r="D33" s="31">
        <f>ROUND('Anexo 5'!D33*Anexo1!$D$10,0)</f>
        <v>0</v>
      </c>
      <c r="E33" s="31">
        <f>ROUND('Anexo 5'!E33*Anexo1!$D$10,0)</f>
        <v>0</v>
      </c>
      <c r="F33" s="31">
        <f>ROUND('Anexo 5'!F33*Anexo1!$D$10,0)</f>
        <v>0</v>
      </c>
      <c r="G33" s="31">
        <f>ROUND('Anexo 5'!G33*Anexo1!$D$10,0)</f>
        <v>0</v>
      </c>
      <c r="H33" s="31">
        <f>ROUND('Anexo 5'!H33*Anexo1!$D$10,0)</f>
        <v>0</v>
      </c>
      <c r="I33" s="31">
        <f>ROUND('Anexo 5'!I33*Anexo1!$D$10,0)</f>
        <v>0</v>
      </c>
      <c r="J33" s="31">
        <f>ROUND('Anexo 5'!J33*Anexo1!$D$10,0)</f>
        <v>0</v>
      </c>
      <c r="K33" s="31">
        <f>ROUND('Anexo 5'!K33*Anexo1!$D$10,0)</f>
        <v>0</v>
      </c>
      <c r="L33" s="31">
        <f>ROUND('Anexo 5'!L33*Anexo1!$D$10,0)</f>
        <v>0</v>
      </c>
      <c r="M33" s="31">
        <f>ROUND('Anexo 5'!M33*Anexo1!$D$10,0)</f>
        <v>0</v>
      </c>
      <c r="N33" s="31">
        <f>ROUND('Anexo 5'!N33*Anexo1!$D$10,0)</f>
        <v>0</v>
      </c>
      <c r="O33" s="31">
        <f>ROUND('Anexo 5'!O33*Anexo1!$D$10,0)</f>
        <v>0</v>
      </c>
      <c r="P33" s="31">
        <f>ROUND('Anexo 5'!P33*Anexo1!$D$10,0)</f>
        <v>0</v>
      </c>
      <c r="Q33" s="31">
        <f>ROUND('Anexo 5'!Q33*Anexo1!$D$10,0)</f>
        <v>0</v>
      </c>
      <c r="R33" s="31">
        <f>ROUND('Anexo 5'!R33*Anexo1!$D$10,0)</f>
        <v>0</v>
      </c>
      <c r="S33" s="31">
        <f>ROUND('Anexo 5'!S33*Anexo1!$D$10,0)</f>
        <v>0</v>
      </c>
      <c r="T33" s="31">
        <f>ROUND('Anexo 5'!T33*Anexo1!$D$10,0)</f>
        <v>0</v>
      </c>
      <c r="U33" s="31">
        <f>ROUND('Anexo 5'!U33*Anexo1!$D$10,0)</f>
        <v>0</v>
      </c>
      <c r="V33" s="31">
        <f>ROUND('Anexo 5'!V33*Anexo1!$D$10,0)</f>
        <v>0</v>
      </c>
      <c r="W33" s="31">
        <f>ROUND('Anexo 5'!W33*Anexo1!$D$10,0)</f>
        <v>0</v>
      </c>
      <c r="X33" s="31">
        <f>ROUND('Anexo 5'!X33*Anexo1!$D$10,0)</f>
        <v>0</v>
      </c>
      <c r="Y33" s="31">
        <f>ROUND('Anexo 5'!Y33*Anexo1!$D$10,0)</f>
        <v>0</v>
      </c>
      <c r="Z33" s="31">
        <f>ROUND('Anexo 5'!Z33*Anexo1!$D$10,0)</f>
        <v>0</v>
      </c>
      <c r="AA33" s="33">
        <f t="shared" si="0"/>
        <v>0</v>
      </c>
      <c r="AB33" s="17">
        <v>20</v>
      </c>
      <c r="AC33" s="80">
        <f>+AA33*AB33+AA34*AB34+AA35*AB35</f>
        <v>0</v>
      </c>
    </row>
    <row r="34" spans="1:30" ht="15.75" thickBot="1" x14ac:dyDescent="0.3">
      <c r="A34" s="79"/>
      <c r="B34" s="18" t="s">
        <v>4</v>
      </c>
      <c r="C34" s="31">
        <f>ROUND('Anexo 5'!C34*Anexo1!$D$10,0)</f>
        <v>0</v>
      </c>
      <c r="D34" s="31">
        <f>ROUND('Anexo 5'!D34*Anexo1!$D$10,0)</f>
        <v>0</v>
      </c>
      <c r="E34" s="31">
        <f>ROUND('Anexo 5'!E34*Anexo1!$D$10,0)</f>
        <v>0</v>
      </c>
      <c r="F34" s="31">
        <f>ROUND('Anexo 5'!F34*Anexo1!$D$10,0)</f>
        <v>0</v>
      </c>
      <c r="G34" s="31">
        <f>ROUND('Anexo 5'!G34*Anexo1!$D$10,0)</f>
        <v>0</v>
      </c>
      <c r="H34" s="31">
        <f>ROUND('Anexo 5'!H34*Anexo1!$D$10,0)</f>
        <v>0</v>
      </c>
      <c r="I34" s="31">
        <f>ROUND('Anexo 5'!I34*Anexo1!$D$10,0)</f>
        <v>0</v>
      </c>
      <c r="J34" s="31">
        <f>ROUND('Anexo 5'!J34*Anexo1!$D$10,0)</f>
        <v>0</v>
      </c>
      <c r="K34" s="31">
        <f>ROUND('Anexo 5'!K34*Anexo1!$D$10,0)</f>
        <v>0</v>
      </c>
      <c r="L34" s="31">
        <f>ROUND('Anexo 5'!L34*Anexo1!$D$10,0)</f>
        <v>0</v>
      </c>
      <c r="M34" s="31">
        <f>ROUND('Anexo 5'!M34*Anexo1!$D$10,0)</f>
        <v>0</v>
      </c>
      <c r="N34" s="31">
        <f>ROUND('Anexo 5'!N34*Anexo1!$D$10,0)</f>
        <v>0</v>
      </c>
      <c r="O34" s="31">
        <f>ROUND('Anexo 5'!O34*Anexo1!$D$10,0)</f>
        <v>0</v>
      </c>
      <c r="P34" s="31">
        <f>ROUND('Anexo 5'!P34*Anexo1!$D$10,0)</f>
        <v>0</v>
      </c>
      <c r="Q34" s="31">
        <f>ROUND('Anexo 5'!Q34*Anexo1!$D$10,0)</f>
        <v>0</v>
      </c>
      <c r="R34" s="31">
        <f>ROUND('Anexo 5'!R34*Anexo1!$D$10,0)</f>
        <v>0</v>
      </c>
      <c r="S34" s="31">
        <f>ROUND('Anexo 5'!S34*Anexo1!$D$10,0)</f>
        <v>0</v>
      </c>
      <c r="T34" s="31">
        <f>ROUND('Anexo 5'!T34*Anexo1!$D$10,0)</f>
        <v>0</v>
      </c>
      <c r="U34" s="31">
        <f>ROUND('Anexo 5'!U34*Anexo1!$D$10,0)</f>
        <v>0</v>
      </c>
      <c r="V34" s="31">
        <f>ROUND('Anexo 5'!V34*Anexo1!$D$10,0)</f>
        <v>0</v>
      </c>
      <c r="W34" s="31">
        <f>ROUND('Anexo 5'!W34*Anexo1!$D$10,0)</f>
        <v>0</v>
      </c>
      <c r="X34" s="31">
        <f>ROUND('Anexo 5'!X34*Anexo1!$D$10,0)</f>
        <v>0</v>
      </c>
      <c r="Y34" s="31">
        <f>ROUND('Anexo 5'!Y34*Anexo1!$D$10,0)</f>
        <v>0</v>
      </c>
      <c r="Z34" s="31">
        <f>ROUND('Anexo 5'!Z34*Anexo1!$D$10,0)</f>
        <v>0</v>
      </c>
      <c r="AA34" s="36">
        <f t="shared" si="0"/>
        <v>0</v>
      </c>
      <c r="AB34" s="19">
        <v>5</v>
      </c>
      <c r="AC34" s="81"/>
      <c r="AD34" s="45"/>
    </row>
    <row r="35" spans="1:30" ht="15.75" thickBot="1" x14ac:dyDescent="0.3">
      <c r="A35" s="79"/>
      <c r="B35" s="20" t="s">
        <v>3</v>
      </c>
      <c r="C35" s="31">
        <f>ROUND('Anexo 5'!C35*Anexo1!$D$10,0)</f>
        <v>0</v>
      </c>
      <c r="D35" s="31">
        <f>ROUND('Anexo 5'!D35*Anexo1!$D$10,0)</f>
        <v>0</v>
      </c>
      <c r="E35" s="31">
        <f>ROUND('Anexo 5'!E35*Anexo1!$D$10,0)</f>
        <v>0</v>
      </c>
      <c r="F35" s="31">
        <f>ROUND('Anexo 5'!F35*Anexo1!$D$10,0)</f>
        <v>0</v>
      </c>
      <c r="G35" s="31">
        <f>ROUND('Anexo 5'!G35*Anexo1!$D$10,0)</f>
        <v>0</v>
      </c>
      <c r="H35" s="31">
        <f>ROUND('Anexo 5'!H35*Anexo1!$D$10,0)</f>
        <v>0</v>
      </c>
      <c r="I35" s="31">
        <f>ROUND('Anexo 5'!I35*Anexo1!$D$10,0)</f>
        <v>0</v>
      </c>
      <c r="J35" s="31">
        <f>ROUND('Anexo 5'!J35*Anexo1!$D$10,0)</f>
        <v>0</v>
      </c>
      <c r="K35" s="31">
        <f>ROUND('Anexo 5'!K35*Anexo1!$D$10,0)</f>
        <v>0</v>
      </c>
      <c r="L35" s="31">
        <f>ROUND('Anexo 5'!L35*Anexo1!$D$10,0)</f>
        <v>0</v>
      </c>
      <c r="M35" s="31">
        <f>ROUND('Anexo 5'!M35*Anexo1!$D$10,0)</f>
        <v>0</v>
      </c>
      <c r="N35" s="31">
        <f>ROUND('Anexo 5'!N35*Anexo1!$D$10,0)</f>
        <v>0</v>
      </c>
      <c r="O35" s="31">
        <f>ROUND('Anexo 5'!O35*Anexo1!$D$10,0)</f>
        <v>0</v>
      </c>
      <c r="P35" s="31">
        <f>ROUND('Anexo 5'!P35*Anexo1!$D$10,0)</f>
        <v>0</v>
      </c>
      <c r="Q35" s="31">
        <f>ROUND('Anexo 5'!Q35*Anexo1!$D$10,0)</f>
        <v>0</v>
      </c>
      <c r="R35" s="31">
        <f>ROUND('Anexo 5'!R35*Anexo1!$D$10,0)</f>
        <v>0</v>
      </c>
      <c r="S35" s="31">
        <f>ROUND('Anexo 5'!S35*Anexo1!$D$10,0)</f>
        <v>0</v>
      </c>
      <c r="T35" s="31">
        <f>ROUND('Anexo 5'!T35*Anexo1!$D$10,0)</f>
        <v>0</v>
      </c>
      <c r="U35" s="31">
        <f>ROUND('Anexo 5'!U35*Anexo1!$D$10,0)</f>
        <v>0</v>
      </c>
      <c r="V35" s="31">
        <f>ROUND('Anexo 5'!V35*Anexo1!$D$10,0)</f>
        <v>0</v>
      </c>
      <c r="W35" s="31">
        <f>ROUND('Anexo 5'!W35*Anexo1!$D$10,0)</f>
        <v>0</v>
      </c>
      <c r="X35" s="31">
        <f>ROUND('Anexo 5'!X35*Anexo1!$D$10,0)</f>
        <v>0</v>
      </c>
      <c r="Y35" s="31">
        <f>ROUND('Anexo 5'!Y35*Anexo1!$D$10,0)</f>
        <v>0</v>
      </c>
      <c r="Z35" s="31">
        <f>ROUND('Anexo 5'!Z35*Anexo1!$D$10,0)</f>
        <v>0</v>
      </c>
      <c r="AA35" s="39">
        <f t="shared" si="0"/>
        <v>0</v>
      </c>
      <c r="AB35" s="21">
        <v>6</v>
      </c>
      <c r="AC35" s="82"/>
      <c r="AD35" s="46"/>
    </row>
    <row r="36" spans="1:30" ht="15.75" thickBot="1" x14ac:dyDescent="0.3">
      <c r="A36" s="79">
        <v>46692</v>
      </c>
      <c r="B36" s="16" t="s">
        <v>5</v>
      </c>
      <c r="C36" s="31">
        <f>ROUND('Anexo 5'!C36*Anexo1!$D$10,0)</f>
        <v>0</v>
      </c>
      <c r="D36" s="31">
        <f>ROUND('Anexo 5'!D36*Anexo1!$D$10,0)</f>
        <v>0</v>
      </c>
      <c r="E36" s="31">
        <f>ROUND('Anexo 5'!E36*Anexo1!$D$10,0)</f>
        <v>0</v>
      </c>
      <c r="F36" s="31">
        <f>ROUND('Anexo 5'!F36*Anexo1!$D$10,0)</f>
        <v>0</v>
      </c>
      <c r="G36" s="31">
        <f>ROUND('Anexo 5'!G36*Anexo1!$D$10,0)</f>
        <v>0</v>
      </c>
      <c r="H36" s="31">
        <f>ROUND('Anexo 5'!H36*Anexo1!$D$10,0)</f>
        <v>0</v>
      </c>
      <c r="I36" s="31">
        <f>ROUND('Anexo 5'!I36*Anexo1!$D$10,0)</f>
        <v>0</v>
      </c>
      <c r="J36" s="31">
        <f>ROUND('Anexo 5'!J36*Anexo1!$D$10,0)</f>
        <v>0</v>
      </c>
      <c r="K36" s="31">
        <f>ROUND('Anexo 5'!K36*Anexo1!$D$10,0)</f>
        <v>0</v>
      </c>
      <c r="L36" s="31">
        <f>ROUND('Anexo 5'!L36*Anexo1!$D$10,0)</f>
        <v>0</v>
      </c>
      <c r="M36" s="31">
        <f>ROUND('Anexo 5'!M36*Anexo1!$D$10,0)</f>
        <v>0</v>
      </c>
      <c r="N36" s="31">
        <f>ROUND('Anexo 5'!N36*Anexo1!$D$10,0)</f>
        <v>0</v>
      </c>
      <c r="O36" s="31">
        <f>ROUND('Anexo 5'!O36*Anexo1!$D$10,0)</f>
        <v>0</v>
      </c>
      <c r="P36" s="31">
        <f>ROUND('Anexo 5'!P36*Anexo1!$D$10,0)</f>
        <v>0</v>
      </c>
      <c r="Q36" s="31">
        <f>ROUND('Anexo 5'!Q36*Anexo1!$D$10,0)</f>
        <v>0</v>
      </c>
      <c r="R36" s="31">
        <f>ROUND('Anexo 5'!R36*Anexo1!$D$10,0)</f>
        <v>0</v>
      </c>
      <c r="S36" s="31">
        <f>ROUND('Anexo 5'!S36*Anexo1!$D$10,0)</f>
        <v>0</v>
      </c>
      <c r="T36" s="31">
        <f>ROUND('Anexo 5'!T36*Anexo1!$D$10,0)</f>
        <v>0</v>
      </c>
      <c r="U36" s="31">
        <f>ROUND('Anexo 5'!U36*Anexo1!$D$10,0)</f>
        <v>0</v>
      </c>
      <c r="V36" s="31">
        <f>ROUND('Anexo 5'!V36*Anexo1!$D$10,0)</f>
        <v>0</v>
      </c>
      <c r="W36" s="31">
        <f>ROUND('Anexo 5'!W36*Anexo1!$D$10,0)</f>
        <v>0</v>
      </c>
      <c r="X36" s="31">
        <f>ROUND('Anexo 5'!X36*Anexo1!$D$10,0)</f>
        <v>0</v>
      </c>
      <c r="Y36" s="31">
        <f>ROUND('Anexo 5'!Y36*Anexo1!$D$10,0)</f>
        <v>0</v>
      </c>
      <c r="Z36" s="31">
        <f>ROUND('Anexo 5'!Z36*Anexo1!$D$10,0)</f>
        <v>0</v>
      </c>
      <c r="AA36" s="33">
        <f t="shared" si="0"/>
        <v>0</v>
      </c>
      <c r="AB36" s="17">
        <v>20</v>
      </c>
      <c r="AC36" s="80">
        <f>+AA36*AB36+AA37*AB37+AA38*AB38</f>
        <v>0</v>
      </c>
    </row>
    <row r="37" spans="1:30" ht="15.75" thickBot="1" x14ac:dyDescent="0.3">
      <c r="A37" s="79"/>
      <c r="B37" s="18" t="s">
        <v>4</v>
      </c>
      <c r="C37" s="31">
        <f>ROUND('Anexo 5'!C37*Anexo1!$D$10,0)</f>
        <v>0</v>
      </c>
      <c r="D37" s="31">
        <f>ROUND('Anexo 5'!D37*Anexo1!$D$10,0)</f>
        <v>0</v>
      </c>
      <c r="E37" s="31">
        <f>ROUND('Anexo 5'!E37*Anexo1!$D$10,0)</f>
        <v>0</v>
      </c>
      <c r="F37" s="31">
        <f>ROUND('Anexo 5'!F37*Anexo1!$D$10,0)</f>
        <v>0</v>
      </c>
      <c r="G37" s="31">
        <f>ROUND('Anexo 5'!G37*Anexo1!$D$10,0)</f>
        <v>0</v>
      </c>
      <c r="H37" s="31">
        <f>ROUND('Anexo 5'!H37*Anexo1!$D$10,0)</f>
        <v>0</v>
      </c>
      <c r="I37" s="31">
        <f>ROUND('Anexo 5'!I37*Anexo1!$D$10,0)</f>
        <v>0</v>
      </c>
      <c r="J37" s="31">
        <f>ROUND('Anexo 5'!J37*Anexo1!$D$10,0)</f>
        <v>0</v>
      </c>
      <c r="K37" s="31">
        <f>ROUND('Anexo 5'!K37*Anexo1!$D$10,0)</f>
        <v>0</v>
      </c>
      <c r="L37" s="31">
        <f>ROUND('Anexo 5'!L37*Anexo1!$D$10,0)</f>
        <v>0</v>
      </c>
      <c r="M37" s="31">
        <f>ROUND('Anexo 5'!M37*Anexo1!$D$10,0)</f>
        <v>0</v>
      </c>
      <c r="N37" s="31">
        <f>ROUND('Anexo 5'!N37*Anexo1!$D$10,0)</f>
        <v>0</v>
      </c>
      <c r="O37" s="31">
        <f>ROUND('Anexo 5'!O37*Anexo1!$D$10,0)</f>
        <v>0</v>
      </c>
      <c r="P37" s="31">
        <f>ROUND('Anexo 5'!P37*Anexo1!$D$10,0)</f>
        <v>0</v>
      </c>
      <c r="Q37" s="31">
        <f>ROUND('Anexo 5'!Q37*Anexo1!$D$10,0)</f>
        <v>0</v>
      </c>
      <c r="R37" s="31">
        <f>ROUND('Anexo 5'!R37*Anexo1!$D$10,0)</f>
        <v>0</v>
      </c>
      <c r="S37" s="31">
        <f>ROUND('Anexo 5'!S37*Anexo1!$D$10,0)</f>
        <v>0</v>
      </c>
      <c r="T37" s="31">
        <f>ROUND('Anexo 5'!T37*Anexo1!$D$10,0)</f>
        <v>0</v>
      </c>
      <c r="U37" s="31">
        <f>ROUND('Anexo 5'!U37*Anexo1!$D$10,0)</f>
        <v>0</v>
      </c>
      <c r="V37" s="31">
        <f>ROUND('Anexo 5'!V37*Anexo1!$D$10,0)</f>
        <v>0</v>
      </c>
      <c r="W37" s="31">
        <f>ROUND('Anexo 5'!W37*Anexo1!$D$10,0)</f>
        <v>0</v>
      </c>
      <c r="X37" s="31">
        <f>ROUND('Anexo 5'!X37*Anexo1!$D$10,0)</f>
        <v>0</v>
      </c>
      <c r="Y37" s="31">
        <f>ROUND('Anexo 5'!Y37*Anexo1!$D$10,0)</f>
        <v>0</v>
      </c>
      <c r="Z37" s="31">
        <f>ROUND('Anexo 5'!Z37*Anexo1!$D$10,0)</f>
        <v>0</v>
      </c>
      <c r="AA37" s="36">
        <f t="shared" si="0"/>
        <v>0</v>
      </c>
      <c r="AB37" s="19">
        <v>4</v>
      </c>
      <c r="AC37" s="81"/>
      <c r="AD37" s="45"/>
    </row>
    <row r="38" spans="1:30" ht="15.75" thickBot="1" x14ac:dyDescent="0.3">
      <c r="A38" s="79"/>
      <c r="B38" s="20" t="s">
        <v>3</v>
      </c>
      <c r="C38" s="31">
        <f>ROUND('Anexo 5'!C38*Anexo1!$D$10,0)</f>
        <v>0</v>
      </c>
      <c r="D38" s="31">
        <f>ROUND('Anexo 5'!D38*Anexo1!$D$10,0)</f>
        <v>0</v>
      </c>
      <c r="E38" s="31">
        <f>ROUND('Anexo 5'!E38*Anexo1!$D$10,0)</f>
        <v>0</v>
      </c>
      <c r="F38" s="31">
        <f>ROUND('Anexo 5'!F38*Anexo1!$D$10,0)</f>
        <v>0</v>
      </c>
      <c r="G38" s="31">
        <f>ROUND('Anexo 5'!G38*Anexo1!$D$10,0)</f>
        <v>0</v>
      </c>
      <c r="H38" s="31">
        <f>ROUND('Anexo 5'!H38*Anexo1!$D$10,0)</f>
        <v>0</v>
      </c>
      <c r="I38" s="31">
        <f>ROUND('Anexo 5'!I38*Anexo1!$D$10,0)</f>
        <v>0</v>
      </c>
      <c r="J38" s="31">
        <f>ROUND('Anexo 5'!J38*Anexo1!$D$10,0)</f>
        <v>0</v>
      </c>
      <c r="K38" s="31">
        <f>ROUND('Anexo 5'!K38*Anexo1!$D$10,0)</f>
        <v>0</v>
      </c>
      <c r="L38" s="31">
        <f>ROUND('Anexo 5'!L38*Anexo1!$D$10,0)</f>
        <v>0</v>
      </c>
      <c r="M38" s="31">
        <f>ROUND('Anexo 5'!M38*Anexo1!$D$10,0)</f>
        <v>0</v>
      </c>
      <c r="N38" s="31">
        <f>ROUND('Anexo 5'!N38*Anexo1!$D$10,0)</f>
        <v>0</v>
      </c>
      <c r="O38" s="31">
        <f>ROUND('Anexo 5'!O38*Anexo1!$D$10,0)</f>
        <v>0</v>
      </c>
      <c r="P38" s="31">
        <f>ROUND('Anexo 5'!P38*Anexo1!$D$10,0)</f>
        <v>0</v>
      </c>
      <c r="Q38" s="31">
        <f>ROUND('Anexo 5'!Q38*Anexo1!$D$10,0)</f>
        <v>0</v>
      </c>
      <c r="R38" s="31">
        <f>ROUND('Anexo 5'!R38*Anexo1!$D$10,0)</f>
        <v>0</v>
      </c>
      <c r="S38" s="31">
        <f>ROUND('Anexo 5'!S38*Anexo1!$D$10,0)</f>
        <v>0</v>
      </c>
      <c r="T38" s="31">
        <f>ROUND('Anexo 5'!T38*Anexo1!$D$10,0)</f>
        <v>0</v>
      </c>
      <c r="U38" s="31">
        <f>ROUND('Anexo 5'!U38*Anexo1!$D$10,0)</f>
        <v>0</v>
      </c>
      <c r="V38" s="31">
        <f>ROUND('Anexo 5'!V38*Anexo1!$D$10,0)</f>
        <v>0</v>
      </c>
      <c r="W38" s="31">
        <f>ROUND('Anexo 5'!W38*Anexo1!$D$10,0)</f>
        <v>0</v>
      </c>
      <c r="X38" s="31">
        <f>ROUND('Anexo 5'!X38*Anexo1!$D$10,0)</f>
        <v>0</v>
      </c>
      <c r="Y38" s="31">
        <f>ROUND('Anexo 5'!Y38*Anexo1!$D$10,0)</f>
        <v>0</v>
      </c>
      <c r="Z38" s="31">
        <f>ROUND('Anexo 5'!Z38*Anexo1!$D$10,0)</f>
        <v>0</v>
      </c>
      <c r="AA38" s="39">
        <f t="shared" si="0"/>
        <v>0</v>
      </c>
      <c r="AB38" s="21">
        <v>6</v>
      </c>
      <c r="AC38" s="82"/>
      <c r="AD38" s="47"/>
    </row>
    <row r="39" spans="1:30" ht="15.75" thickBot="1" x14ac:dyDescent="0.3">
      <c r="A39" s="79">
        <v>46722</v>
      </c>
      <c r="B39" s="16" t="s">
        <v>5</v>
      </c>
      <c r="C39" s="31">
        <f>ROUND('Anexo 5'!C39*Anexo1!$D$10,0)</f>
        <v>0</v>
      </c>
      <c r="D39" s="31">
        <f>ROUND('Anexo 5'!D39*Anexo1!$D$10,0)</f>
        <v>0</v>
      </c>
      <c r="E39" s="31">
        <f>ROUND('Anexo 5'!E39*Anexo1!$D$10,0)</f>
        <v>0</v>
      </c>
      <c r="F39" s="31">
        <f>ROUND('Anexo 5'!F39*Anexo1!$D$10,0)</f>
        <v>0</v>
      </c>
      <c r="G39" s="31">
        <f>ROUND('Anexo 5'!G39*Anexo1!$D$10,0)</f>
        <v>0</v>
      </c>
      <c r="H39" s="31">
        <f>ROUND('Anexo 5'!H39*Anexo1!$D$10,0)</f>
        <v>0</v>
      </c>
      <c r="I39" s="31">
        <f>ROUND('Anexo 5'!I39*Anexo1!$D$10,0)</f>
        <v>0</v>
      </c>
      <c r="J39" s="31">
        <f>ROUND('Anexo 5'!J39*Anexo1!$D$10,0)</f>
        <v>0</v>
      </c>
      <c r="K39" s="31">
        <f>ROUND('Anexo 5'!K39*Anexo1!$D$10,0)</f>
        <v>0</v>
      </c>
      <c r="L39" s="31">
        <f>ROUND('Anexo 5'!L39*Anexo1!$D$10,0)</f>
        <v>0</v>
      </c>
      <c r="M39" s="31">
        <f>ROUND('Anexo 5'!M39*Anexo1!$D$10,0)</f>
        <v>0</v>
      </c>
      <c r="N39" s="31">
        <f>ROUND('Anexo 5'!N39*Anexo1!$D$10,0)</f>
        <v>0</v>
      </c>
      <c r="O39" s="31">
        <f>ROUND('Anexo 5'!O39*Anexo1!$D$10,0)</f>
        <v>0</v>
      </c>
      <c r="P39" s="31">
        <f>ROUND('Anexo 5'!P39*Anexo1!$D$10,0)</f>
        <v>0</v>
      </c>
      <c r="Q39" s="31">
        <f>ROUND('Anexo 5'!Q39*Anexo1!$D$10,0)</f>
        <v>0</v>
      </c>
      <c r="R39" s="31">
        <f>ROUND('Anexo 5'!R39*Anexo1!$D$10,0)</f>
        <v>0</v>
      </c>
      <c r="S39" s="31">
        <f>ROUND('Anexo 5'!S39*Anexo1!$D$10,0)</f>
        <v>0</v>
      </c>
      <c r="T39" s="31">
        <f>ROUND('Anexo 5'!T39*Anexo1!$D$10,0)</f>
        <v>0</v>
      </c>
      <c r="U39" s="31">
        <f>ROUND('Anexo 5'!U39*Anexo1!$D$10,0)</f>
        <v>0</v>
      </c>
      <c r="V39" s="31">
        <f>ROUND('Anexo 5'!V39*Anexo1!$D$10,0)</f>
        <v>0</v>
      </c>
      <c r="W39" s="31">
        <f>ROUND('Anexo 5'!W39*Anexo1!$D$10,0)</f>
        <v>0</v>
      </c>
      <c r="X39" s="31">
        <f>ROUND('Anexo 5'!X39*Anexo1!$D$10,0)</f>
        <v>0</v>
      </c>
      <c r="Y39" s="31">
        <f>ROUND('Anexo 5'!Y39*Anexo1!$D$10,0)</f>
        <v>0</v>
      </c>
      <c r="Z39" s="31">
        <f>ROUND('Anexo 5'!Z39*Anexo1!$D$10,0)</f>
        <v>0</v>
      </c>
      <c r="AA39" s="33">
        <f t="shared" si="0"/>
        <v>0</v>
      </c>
      <c r="AB39" s="17">
        <v>22</v>
      </c>
      <c r="AC39" s="80">
        <f>+AA39*AB39+AA40*AB40+AA41*AB41</f>
        <v>0</v>
      </c>
    </row>
    <row r="40" spans="1:30" ht="15.75" thickBot="1" x14ac:dyDescent="0.3">
      <c r="A40" s="79"/>
      <c r="B40" s="18" t="s">
        <v>4</v>
      </c>
      <c r="C40" s="31">
        <f>ROUND('Anexo 5'!C40*Anexo1!$D$10,0)</f>
        <v>0</v>
      </c>
      <c r="D40" s="31">
        <f>ROUND('Anexo 5'!D40*Anexo1!$D$10,0)</f>
        <v>0</v>
      </c>
      <c r="E40" s="31">
        <f>ROUND('Anexo 5'!E40*Anexo1!$D$10,0)</f>
        <v>0</v>
      </c>
      <c r="F40" s="31">
        <f>ROUND('Anexo 5'!F40*Anexo1!$D$10,0)</f>
        <v>0</v>
      </c>
      <c r="G40" s="31">
        <f>ROUND('Anexo 5'!G40*Anexo1!$D$10,0)</f>
        <v>0</v>
      </c>
      <c r="H40" s="31">
        <f>ROUND('Anexo 5'!H40*Anexo1!$D$10,0)</f>
        <v>0</v>
      </c>
      <c r="I40" s="31">
        <f>ROUND('Anexo 5'!I40*Anexo1!$D$10,0)</f>
        <v>0</v>
      </c>
      <c r="J40" s="31">
        <f>ROUND('Anexo 5'!J40*Anexo1!$D$10,0)</f>
        <v>0</v>
      </c>
      <c r="K40" s="31">
        <f>ROUND('Anexo 5'!K40*Anexo1!$D$10,0)</f>
        <v>0</v>
      </c>
      <c r="L40" s="31">
        <f>ROUND('Anexo 5'!L40*Anexo1!$D$10,0)</f>
        <v>0</v>
      </c>
      <c r="M40" s="31">
        <f>ROUND('Anexo 5'!M40*Anexo1!$D$10,0)</f>
        <v>0</v>
      </c>
      <c r="N40" s="31">
        <f>ROUND('Anexo 5'!N40*Anexo1!$D$10,0)</f>
        <v>0</v>
      </c>
      <c r="O40" s="31">
        <f>ROUND('Anexo 5'!O40*Anexo1!$D$10,0)</f>
        <v>0</v>
      </c>
      <c r="P40" s="31">
        <f>ROUND('Anexo 5'!P40*Anexo1!$D$10,0)</f>
        <v>0</v>
      </c>
      <c r="Q40" s="31">
        <f>ROUND('Anexo 5'!Q40*Anexo1!$D$10,0)</f>
        <v>0</v>
      </c>
      <c r="R40" s="31">
        <f>ROUND('Anexo 5'!R40*Anexo1!$D$10,0)</f>
        <v>0</v>
      </c>
      <c r="S40" s="31">
        <f>ROUND('Anexo 5'!S40*Anexo1!$D$10,0)</f>
        <v>0</v>
      </c>
      <c r="T40" s="31">
        <f>ROUND('Anexo 5'!T40*Anexo1!$D$10,0)</f>
        <v>0</v>
      </c>
      <c r="U40" s="31">
        <f>ROUND('Anexo 5'!U40*Anexo1!$D$10,0)</f>
        <v>0</v>
      </c>
      <c r="V40" s="31">
        <f>ROUND('Anexo 5'!V40*Anexo1!$D$10,0)</f>
        <v>0</v>
      </c>
      <c r="W40" s="31">
        <f>ROUND('Anexo 5'!W40*Anexo1!$D$10,0)</f>
        <v>0</v>
      </c>
      <c r="X40" s="31">
        <f>ROUND('Anexo 5'!X40*Anexo1!$D$10,0)</f>
        <v>0</v>
      </c>
      <c r="Y40" s="31">
        <f>ROUND('Anexo 5'!Y40*Anexo1!$D$10,0)</f>
        <v>0</v>
      </c>
      <c r="Z40" s="31">
        <f>ROUND('Anexo 5'!Z40*Anexo1!$D$10,0)</f>
        <v>0</v>
      </c>
      <c r="AA40" s="36">
        <f t="shared" si="0"/>
        <v>0</v>
      </c>
      <c r="AB40" s="19">
        <v>3</v>
      </c>
      <c r="AC40" s="81"/>
      <c r="AD40" s="45"/>
    </row>
    <row r="41" spans="1:30" ht="15.75" thickBot="1" x14ac:dyDescent="0.3">
      <c r="A41" s="79"/>
      <c r="B41" s="20" t="s">
        <v>3</v>
      </c>
      <c r="C41" s="31">
        <f>ROUND('Anexo 5'!C41*Anexo1!$D$10,0)</f>
        <v>0</v>
      </c>
      <c r="D41" s="31">
        <f>ROUND('Anexo 5'!D41*Anexo1!$D$10,0)</f>
        <v>0</v>
      </c>
      <c r="E41" s="31">
        <f>ROUND('Anexo 5'!E41*Anexo1!$D$10,0)</f>
        <v>0</v>
      </c>
      <c r="F41" s="31">
        <f>ROUND('Anexo 5'!F41*Anexo1!$D$10,0)</f>
        <v>0</v>
      </c>
      <c r="G41" s="31">
        <f>ROUND('Anexo 5'!G41*Anexo1!$D$10,0)</f>
        <v>0</v>
      </c>
      <c r="H41" s="31">
        <f>ROUND('Anexo 5'!H41*Anexo1!$D$10,0)</f>
        <v>0</v>
      </c>
      <c r="I41" s="31">
        <f>ROUND('Anexo 5'!I41*Anexo1!$D$10,0)</f>
        <v>0</v>
      </c>
      <c r="J41" s="31">
        <f>ROUND('Anexo 5'!J41*Anexo1!$D$10,0)</f>
        <v>0</v>
      </c>
      <c r="K41" s="31">
        <f>ROUND('Anexo 5'!K41*Anexo1!$D$10,0)</f>
        <v>0</v>
      </c>
      <c r="L41" s="31">
        <f>ROUND('Anexo 5'!L41*Anexo1!$D$10,0)</f>
        <v>0</v>
      </c>
      <c r="M41" s="31">
        <f>ROUND('Anexo 5'!M41*Anexo1!$D$10,0)</f>
        <v>0</v>
      </c>
      <c r="N41" s="31">
        <f>ROUND('Anexo 5'!N41*Anexo1!$D$10,0)</f>
        <v>0</v>
      </c>
      <c r="O41" s="31">
        <f>ROUND('Anexo 5'!O41*Anexo1!$D$10,0)</f>
        <v>0</v>
      </c>
      <c r="P41" s="31">
        <f>ROUND('Anexo 5'!P41*Anexo1!$D$10,0)</f>
        <v>0</v>
      </c>
      <c r="Q41" s="31">
        <f>ROUND('Anexo 5'!Q41*Anexo1!$D$10,0)</f>
        <v>0</v>
      </c>
      <c r="R41" s="31">
        <f>ROUND('Anexo 5'!R41*Anexo1!$D$10,0)</f>
        <v>0</v>
      </c>
      <c r="S41" s="31">
        <f>ROUND('Anexo 5'!S41*Anexo1!$D$10,0)</f>
        <v>0</v>
      </c>
      <c r="T41" s="31">
        <f>ROUND('Anexo 5'!T41*Anexo1!$D$10,0)</f>
        <v>0</v>
      </c>
      <c r="U41" s="31">
        <f>ROUND('Anexo 5'!U41*Anexo1!$D$10,0)</f>
        <v>0</v>
      </c>
      <c r="V41" s="31">
        <f>ROUND('Anexo 5'!V41*Anexo1!$D$10,0)</f>
        <v>0</v>
      </c>
      <c r="W41" s="31">
        <f>ROUND('Anexo 5'!W41*Anexo1!$D$10,0)</f>
        <v>0</v>
      </c>
      <c r="X41" s="31">
        <f>ROUND('Anexo 5'!X41*Anexo1!$D$10,0)</f>
        <v>0</v>
      </c>
      <c r="Y41" s="31">
        <f>ROUND('Anexo 5'!Y41*Anexo1!$D$10,0)</f>
        <v>0</v>
      </c>
      <c r="Z41" s="31">
        <f>ROUND('Anexo 5'!Z41*Anexo1!$D$10,0)</f>
        <v>0</v>
      </c>
      <c r="AA41" s="39">
        <f t="shared" si="0"/>
        <v>0</v>
      </c>
      <c r="AB41" s="21">
        <v>6</v>
      </c>
      <c r="AC41" s="82"/>
      <c r="AD41" s="40"/>
    </row>
    <row r="42" spans="1:30" ht="15" x14ac:dyDescent="0.25">
      <c r="A42" s="77" t="s">
        <v>2</v>
      </c>
      <c r="B42" s="78"/>
      <c r="C42" s="29">
        <f t="shared" ref="C42:AC42" si="1">+SUM(C6:C41)</f>
        <v>0</v>
      </c>
      <c r="D42" s="29">
        <f t="shared" si="1"/>
        <v>0</v>
      </c>
      <c r="E42" s="29">
        <f t="shared" si="1"/>
        <v>0</v>
      </c>
      <c r="F42" s="29">
        <f t="shared" si="1"/>
        <v>0</v>
      </c>
      <c r="G42" s="29">
        <f t="shared" si="1"/>
        <v>0</v>
      </c>
      <c r="H42" s="29">
        <f t="shared" si="1"/>
        <v>0</v>
      </c>
      <c r="I42" s="29">
        <f t="shared" si="1"/>
        <v>0</v>
      </c>
      <c r="J42" s="29">
        <f t="shared" si="1"/>
        <v>0</v>
      </c>
      <c r="K42" s="29">
        <f t="shared" si="1"/>
        <v>0</v>
      </c>
      <c r="L42" s="29">
        <f t="shared" si="1"/>
        <v>0</v>
      </c>
      <c r="M42" s="29">
        <f t="shared" si="1"/>
        <v>0</v>
      </c>
      <c r="N42" s="29">
        <f t="shared" si="1"/>
        <v>0</v>
      </c>
      <c r="O42" s="29">
        <f t="shared" si="1"/>
        <v>0</v>
      </c>
      <c r="P42" s="29">
        <f t="shared" si="1"/>
        <v>0</v>
      </c>
      <c r="Q42" s="29">
        <f t="shared" si="1"/>
        <v>0</v>
      </c>
      <c r="R42" s="29">
        <f t="shared" si="1"/>
        <v>0</v>
      </c>
      <c r="S42" s="29">
        <f t="shared" si="1"/>
        <v>0</v>
      </c>
      <c r="T42" s="29">
        <f t="shared" si="1"/>
        <v>0</v>
      </c>
      <c r="U42" s="29">
        <f t="shared" si="1"/>
        <v>0</v>
      </c>
      <c r="V42" s="29">
        <f t="shared" si="1"/>
        <v>0</v>
      </c>
      <c r="W42" s="29">
        <f t="shared" si="1"/>
        <v>0</v>
      </c>
      <c r="X42" s="29">
        <f t="shared" si="1"/>
        <v>0</v>
      </c>
      <c r="Y42" s="29">
        <f t="shared" si="1"/>
        <v>0</v>
      </c>
      <c r="Z42" s="29">
        <f t="shared" si="1"/>
        <v>0</v>
      </c>
      <c r="AA42" s="29">
        <f t="shared" si="1"/>
        <v>0</v>
      </c>
      <c r="AB42" s="29">
        <f t="shared" si="1"/>
        <v>365</v>
      </c>
      <c r="AC42" s="44">
        <f t="shared" si="1"/>
        <v>0</v>
      </c>
    </row>
    <row r="43" spans="1:30" ht="15" x14ac:dyDescent="0.25">
      <c r="AB43" s="4"/>
      <c r="AC43" s="4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D221-E7EF-4226-B08A-510586E9FFC9}">
  <sheetPr codeName="Hoja3">
    <tabColor theme="4" tint="-0.249977111117893"/>
  </sheetPr>
  <dimension ref="A1:H35"/>
  <sheetViews>
    <sheetView showGridLines="0" zoomScaleNormal="100" zoomScaleSheetLayoutView="140" workbookViewId="0">
      <selection activeCell="C29" sqref="C29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1" t="s">
        <v>66</v>
      </c>
      <c r="C3" s="71"/>
      <c r="D3" s="71"/>
      <c r="E3" s="71"/>
      <c r="F3" s="71"/>
      <c r="G3" s="27"/>
    </row>
    <row r="4" spans="1:8" x14ac:dyDescent="0.25">
      <c r="B4" s="71" t="s">
        <v>40</v>
      </c>
      <c r="C4" s="71"/>
      <c r="D4" s="71"/>
      <c r="E4" s="71"/>
      <c r="F4" s="71"/>
      <c r="G4" s="27"/>
    </row>
    <row r="5" spans="1:8" x14ac:dyDescent="0.25">
      <c r="B5" s="71" t="s">
        <v>85</v>
      </c>
      <c r="C5" s="71"/>
      <c r="D5" s="71"/>
      <c r="E5" s="71"/>
      <c r="F5" s="71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2" t="s">
        <v>1</v>
      </c>
      <c r="C8" s="72" t="s">
        <v>36</v>
      </c>
      <c r="D8" s="72" t="s">
        <v>39</v>
      </c>
      <c r="E8" s="72" t="s">
        <v>37</v>
      </c>
      <c r="F8" s="72" t="s">
        <v>41</v>
      </c>
      <c r="G8" s="26"/>
    </row>
    <row r="9" spans="1:8" ht="23.25" customHeight="1" x14ac:dyDescent="0.25">
      <c r="B9" s="73"/>
      <c r="C9" s="73"/>
      <c r="D9" s="73"/>
      <c r="E9" s="73"/>
      <c r="F9" s="73"/>
      <c r="G9" s="26"/>
    </row>
    <row r="10" spans="1:8" ht="15.75" thickBot="1" x14ac:dyDescent="0.3">
      <c r="A10" s="61"/>
      <c r="B10" s="6">
        <v>46753</v>
      </c>
      <c r="C10" s="41">
        <f>+'Anexo 6'!AC6</f>
        <v>15935519</v>
      </c>
      <c r="D10" s="68"/>
      <c r="E10" s="54">
        <f>+'Cantidades Ofertadas Prod 2'!AC6</f>
        <v>0</v>
      </c>
      <c r="F10" s="65"/>
      <c r="G10" s="30"/>
      <c r="H10" s="49"/>
    </row>
    <row r="11" spans="1:8" ht="15.75" thickBot="1" x14ac:dyDescent="0.3">
      <c r="A11" s="61"/>
      <c r="B11" s="6">
        <v>46784</v>
      </c>
      <c r="C11" s="41">
        <f>+'Anexo 6'!AC9</f>
        <v>15242588</v>
      </c>
      <c r="D11" s="69"/>
      <c r="E11" s="54">
        <f>+'Cantidades Ofertadas Prod 2'!AC9</f>
        <v>0</v>
      </c>
      <c r="F11" s="66"/>
      <c r="G11" s="30"/>
      <c r="H11" s="49"/>
    </row>
    <row r="12" spans="1:8" ht="15.75" thickBot="1" x14ac:dyDescent="0.3">
      <c r="A12" s="61"/>
      <c r="B12" s="6">
        <v>46813</v>
      </c>
      <c r="C12" s="41">
        <f>+'Anexo 6'!AC12</f>
        <v>15886355</v>
      </c>
      <c r="D12" s="69"/>
      <c r="E12" s="54">
        <f>+'Cantidades Ofertadas Prod 2'!AC12</f>
        <v>0</v>
      </c>
      <c r="F12" s="66"/>
      <c r="G12" s="30"/>
      <c r="H12" s="49"/>
    </row>
    <row r="13" spans="1:8" ht="15.75" thickBot="1" x14ac:dyDescent="0.3">
      <c r="A13" s="61"/>
      <c r="B13" s="6">
        <v>46844</v>
      </c>
      <c r="C13" s="41">
        <f>+'Anexo 6'!AC15</f>
        <v>14938600</v>
      </c>
      <c r="D13" s="69"/>
      <c r="E13" s="54">
        <f>+'Cantidades Ofertadas Prod 2'!AC15</f>
        <v>0</v>
      </c>
      <c r="F13" s="66"/>
      <c r="G13" s="30"/>
      <c r="H13" s="49"/>
    </row>
    <row r="14" spans="1:8" ht="15.75" thickBot="1" x14ac:dyDescent="0.3">
      <c r="A14" s="61"/>
      <c r="B14" s="6">
        <v>46874</v>
      </c>
      <c r="C14" s="41">
        <f>+'Anexo 6'!AC18</f>
        <v>15591676</v>
      </c>
      <c r="D14" s="69"/>
      <c r="E14" s="54">
        <f>+'Cantidades Ofertadas Prod 2'!AC18</f>
        <v>0</v>
      </c>
      <c r="F14" s="66"/>
      <c r="G14" s="30"/>
      <c r="H14" s="49"/>
    </row>
    <row r="15" spans="1:8" ht="15.75" thickBot="1" x14ac:dyDescent="0.3">
      <c r="A15" s="61"/>
      <c r="B15" s="6">
        <v>46905</v>
      </c>
      <c r="C15" s="41">
        <f>+'Anexo 6'!AC21</f>
        <v>15078738</v>
      </c>
      <c r="D15" s="69"/>
      <c r="E15" s="54">
        <f>+'Cantidades Ofertadas Prod 2'!AC21</f>
        <v>0</v>
      </c>
      <c r="F15" s="66"/>
      <c r="G15" s="30"/>
      <c r="H15" s="49"/>
    </row>
    <row r="16" spans="1:8" ht="15.75" thickBot="1" x14ac:dyDescent="0.3">
      <c r="A16" s="61"/>
      <c r="B16" s="6">
        <v>46935</v>
      </c>
      <c r="C16" s="41">
        <f>+'Anexo 6'!AC24</f>
        <v>15917816</v>
      </c>
      <c r="D16" s="69"/>
      <c r="E16" s="54">
        <f>+'Cantidades Ofertadas Prod 2'!AC24</f>
        <v>0</v>
      </c>
      <c r="F16" s="66"/>
      <c r="G16" s="30"/>
      <c r="H16" s="49"/>
    </row>
    <row r="17" spans="1:8" ht="15.75" thickBot="1" x14ac:dyDescent="0.3">
      <c r="A17" s="61"/>
      <c r="B17" s="6">
        <v>46966</v>
      </c>
      <c r="C17" s="41">
        <f>+'Anexo 6'!AC27</f>
        <v>16264576</v>
      </c>
      <c r="D17" s="69"/>
      <c r="E17" s="54">
        <f>+'Cantidades Ofertadas Prod 2'!AC27</f>
        <v>0</v>
      </c>
      <c r="F17" s="66"/>
      <c r="G17" s="30"/>
      <c r="H17" s="49"/>
    </row>
    <row r="18" spans="1:8" ht="15.75" thickBot="1" x14ac:dyDescent="0.3">
      <c r="A18" s="61"/>
      <c r="B18" s="6">
        <v>46997</v>
      </c>
      <c r="C18" s="41">
        <f>+'Anexo 6'!AC30</f>
        <v>15978440</v>
      </c>
      <c r="D18" s="69"/>
      <c r="E18" s="54">
        <f>+'Cantidades Ofertadas Prod 2'!AC30</f>
        <v>0</v>
      </c>
      <c r="F18" s="66"/>
      <c r="G18" s="30"/>
      <c r="H18" s="49"/>
    </row>
    <row r="19" spans="1:8" ht="15.75" thickBot="1" x14ac:dyDescent="0.3">
      <c r="A19" s="61"/>
      <c r="B19" s="6">
        <v>47027</v>
      </c>
      <c r="C19" s="41">
        <f>+'Anexo 6'!AC33</f>
        <v>15782815</v>
      </c>
      <c r="D19" s="69"/>
      <c r="E19" s="54">
        <f>+'Cantidades Ofertadas Prod 2'!AC33</f>
        <v>0</v>
      </c>
      <c r="F19" s="66"/>
      <c r="G19" s="30"/>
      <c r="H19" s="49"/>
    </row>
    <row r="20" spans="1:8" ht="15.75" thickBot="1" x14ac:dyDescent="0.3">
      <c r="A20" s="61"/>
      <c r="B20" s="6">
        <v>47058</v>
      </c>
      <c r="C20" s="41">
        <f>+'Anexo 6'!AC36</f>
        <v>15031440</v>
      </c>
      <c r="D20" s="69"/>
      <c r="E20" s="54">
        <f>+'Cantidades Ofertadas Prod 2'!AC36</f>
        <v>0</v>
      </c>
      <c r="F20" s="66"/>
      <c r="G20" s="30"/>
      <c r="H20" s="49"/>
    </row>
    <row r="21" spans="1:8" ht="15.75" thickBot="1" x14ac:dyDescent="0.3">
      <c r="A21" s="61"/>
      <c r="B21" s="6">
        <v>47088</v>
      </c>
      <c r="C21" s="42">
        <f>+'Anexo 6'!AC39</f>
        <v>16057734</v>
      </c>
      <c r="D21" s="70"/>
      <c r="E21" s="55">
        <f>+'Cantidades Ofertadas Prod 2'!AC39</f>
        <v>0</v>
      </c>
      <c r="F21" s="67"/>
      <c r="G21" s="30"/>
      <c r="H21" s="49"/>
    </row>
    <row r="22" spans="1:8" ht="28.5" customHeight="1" x14ac:dyDescent="0.25">
      <c r="A22" s="61"/>
      <c r="B22" s="7" t="s">
        <v>0</v>
      </c>
      <c r="C22" s="8">
        <f>+SUM(C10:C21)</f>
        <v>187706297</v>
      </c>
      <c r="D22" s="59"/>
      <c r="E22" s="53">
        <f>SUM(E10:E21)</f>
        <v>0</v>
      </c>
      <c r="F22" s="52">
        <f>+F10</f>
        <v>0</v>
      </c>
      <c r="G22" s="48"/>
      <c r="H22" s="40"/>
    </row>
    <row r="23" spans="1:8" ht="19.5" customHeight="1" x14ac:dyDescent="0.25">
      <c r="B23" s="5" t="s">
        <v>49</v>
      </c>
      <c r="C23" s="23"/>
      <c r="D23" s="28"/>
      <c r="E23" s="23"/>
      <c r="F23" s="24"/>
      <c r="G23" s="24"/>
      <c r="H23" s="40"/>
    </row>
    <row r="24" spans="1:8" ht="15" customHeight="1" x14ac:dyDescent="0.25">
      <c r="B24" s="64" t="s">
        <v>44</v>
      </c>
      <c r="C24" s="64"/>
      <c r="D24" s="64"/>
      <c r="E24" s="64"/>
      <c r="F24" s="64"/>
      <c r="G24" s="64"/>
      <c r="H24" s="40"/>
    </row>
    <row r="25" spans="1:8" x14ac:dyDescent="0.25">
      <c r="B25" s="5" t="s">
        <v>71</v>
      </c>
      <c r="C25" s="50"/>
      <c r="D25" s="50"/>
      <c r="E25" s="50"/>
      <c r="F25" s="50"/>
      <c r="G25" s="50"/>
      <c r="H25" s="40"/>
    </row>
    <row r="26" spans="1:8" x14ac:dyDescent="0.25">
      <c r="B26" s="5" t="s">
        <v>52</v>
      </c>
      <c r="C26" s="50"/>
      <c r="D26" s="50"/>
      <c r="E26" s="50"/>
      <c r="F26" s="50"/>
      <c r="G26" s="50"/>
      <c r="H26" s="40"/>
    </row>
    <row r="27" spans="1:8" x14ac:dyDescent="0.25">
      <c r="B27" s="5" t="s">
        <v>42</v>
      </c>
      <c r="H27" s="40"/>
    </row>
    <row r="28" spans="1:8" x14ac:dyDescent="0.25">
      <c r="B28" s="5" t="s">
        <v>70</v>
      </c>
    </row>
    <row r="29" spans="1:8" x14ac:dyDescent="0.25">
      <c r="C29" s="43"/>
    </row>
    <row r="30" spans="1:8" x14ac:dyDescent="0.25">
      <c r="C30" s="43"/>
      <c r="E30" s="43">
        <f>+E22/1000</f>
        <v>0</v>
      </c>
    </row>
    <row r="31" spans="1:8" x14ac:dyDescent="0.25">
      <c r="C31" s="43"/>
    </row>
    <row r="32" spans="1:8" x14ac:dyDescent="0.25">
      <c r="B32" s="57" t="s">
        <v>45</v>
      </c>
      <c r="C32" s="58"/>
      <c r="D32" s="58"/>
      <c r="E32" s="58"/>
    </row>
    <row r="33" spans="2:2" x14ac:dyDescent="0.25">
      <c r="B33" s="58" t="s">
        <v>46</v>
      </c>
    </row>
    <row r="34" spans="2:2" x14ac:dyDescent="0.25">
      <c r="B34" s="58" t="s">
        <v>47</v>
      </c>
    </row>
    <row r="35" spans="2:2" x14ac:dyDescent="0.25"/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61A73EBC-7E67-4E7E-9186-D24A1959D440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EF5B-5739-4CD0-8A57-1546109D0DC4}">
  <sheetPr codeName="Hoja11">
    <tabColor theme="4" tint="-0.249977111117893"/>
  </sheetPr>
  <dimension ref="A1:H33"/>
  <sheetViews>
    <sheetView showGridLines="0" zoomScaleNormal="100" zoomScaleSheetLayoutView="140" workbookViewId="0">
      <selection activeCell="B5" sqref="B5:F5"/>
    </sheetView>
  </sheetViews>
  <sheetFormatPr baseColWidth="10" defaultColWidth="0" defaultRowHeight="15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1" t="s">
        <v>68</v>
      </c>
      <c r="C3" s="71"/>
      <c r="D3" s="71"/>
      <c r="E3" s="71"/>
      <c r="F3" s="71"/>
      <c r="G3" s="27"/>
    </row>
    <row r="4" spans="1:8" x14ac:dyDescent="0.25">
      <c r="B4" s="71" t="s">
        <v>40</v>
      </c>
      <c r="C4" s="71"/>
      <c r="D4" s="71"/>
      <c r="E4" s="71"/>
      <c r="F4" s="71"/>
      <c r="G4" s="27"/>
    </row>
    <row r="5" spans="1:8" x14ac:dyDescent="0.25">
      <c r="B5" s="71" t="s">
        <v>85</v>
      </c>
      <c r="C5" s="71"/>
      <c r="D5" s="71"/>
      <c r="E5" s="71"/>
      <c r="F5" s="71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2" t="s">
        <v>1</v>
      </c>
      <c r="C8" s="72" t="s">
        <v>48</v>
      </c>
      <c r="D8" s="72" t="s">
        <v>54</v>
      </c>
      <c r="E8" s="72" t="s">
        <v>37</v>
      </c>
      <c r="F8" s="72" t="s">
        <v>41</v>
      </c>
      <c r="G8" s="26"/>
    </row>
    <row r="9" spans="1:8" ht="23.25" customHeight="1" x14ac:dyDescent="0.25">
      <c r="A9" s="60">
        <v>10000</v>
      </c>
      <c r="B9" s="73"/>
      <c r="C9" s="73"/>
      <c r="D9" s="73"/>
      <c r="E9" s="73"/>
      <c r="F9" s="73"/>
      <c r="G9" s="26"/>
    </row>
    <row r="10" spans="1:8" ht="15.75" thickBot="1" x14ac:dyDescent="0.3">
      <c r="A10" s="56">
        <v>31</v>
      </c>
      <c r="B10" s="6">
        <v>46753</v>
      </c>
      <c r="C10" s="41">
        <f>+$A$9*A10*24</f>
        <v>7440000</v>
      </c>
      <c r="D10" s="74"/>
      <c r="E10" s="54">
        <f>+$D$10*A10*24</f>
        <v>0</v>
      </c>
      <c r="F10" s="65"/>
      <c r="G10" s="30"/>
      <c r="H10" s="49"/>
    </row>
    <row r="11" spans="1:8" ht="15.75" thickBot="1" x14ac:dyDescent="0.3">
      <c r="A11" s="56">
        <v>29</v>
      </c>
      <c r="B11" s="6">
        <v>46784</v>
      </c>
      <c r="C11" s="41">
        <f t="shared" ref="C11:C21" si="0">+$A$9*A11*24</f>
        <v>6960000</v>
      </c>
      <c r="D11" s="75"/>
      <c r="E11" s="54">
        <f t="shared" ref="E11:E21" si="1">+$D$10*A11*24</f>
        <v>0</v>
      </c>
      <c r="F11" s="66"/>
      <c r="G11" s="30"/>
      <c r="H11" s="49"/>
    </row>
    <row r="12" spans="1:8" ht="15.75" thickBot="1" x14ac:dyDescent="0.3">
      <c r="A12" s="56">
        <v>31</v>
      </c>
      <c r="B12" s="6">
        <v>46813</v>
      </c>
      <c r="C12" s="41">
        <f t="shared" si="0"/>
        <v>7440000</v>
      </c>
      <c r="D12" s="75"/>
      <c r="E12" s="54">
        <f t="shared" si="1"/>
        <v>0</v>
      </c>
      <c r="F12" s="66"/>
      <c r="G12" s="30"/>
      <c r="H12" s="49"/>
    </row>
    <row r="13" spans="1:8" ht="15.75" thickBot="1" x14ac:dyDescent="0.3">
      <c r="A13" s="56">
        <v>30</v>
      </c>
      <c r="B13" s="6">
        <v>46844</v>
      </c>
      <c r="C13" s="41">
        <f t="shared" si="0"/>
        <v>7200000</v>
      </c>
      <c r="D13" s="75"/>
      <c r="E13" s="54">
        <f t="shared" si="1"/>
        <v>0</v>
      </c>
      <c r="F13" s="66"/>
      <c r="G13" s="30"/>
      <c r="H13" s="49"/>
    </row>
    <row r="14" spans="1:8" ht="15.75" thickBot="1" x14ac:dyDescent="0.3">
      <c r="A14" s="56">
        <v>31</v>
      </c>
      <c r="B14" s="6">
        <v>46874</v>
      </c>
      <c r="C14" s="41">
        <f t="shared" si="0"/>
        <v>7440000</v>
      </c>
      <c r="D14" s="75"/>
      <c r="E14" s="54">
        <f t="shared" si="1"/>
        <v>0</v>
      </c>
      <c r="F14" s="66"/>
      <c r="G14" s="30"/>
      <c r="H14" s="49"/>
    </row>
    <row r="15" spans="1:8" ht="15.75" thickBot="1" x14ac:dyDescent="0.3">
      <c r="A15" s="56">
        <v>30</v>
      </c>
      <c r="B15" s="6">
        <v>46905</v>
      </c>
      <c r="C15" s="41">
        <f t="shared" si="0"/>
        <v>7200000</v>
      </c>
      <c r="D15" s="75"/>
      <c r="E15" s="54">
        <f t="shared" si="1"/>
        <v>0</v>
      </c>
      <c r="F15" s="66"/>
      <c r="G15" s="30"/>
      <c r="H15" s="49"/>
    </row>
    <row r="16" spans="1:8" ht="15.75" thickBot="1" x14ac:dyDescent="0.3">
      <c r="A16" s="56">
        <v>31</v>
      </c>
      <c r="B16" s="6">
        <v>46935</v>
      </c>
      <c r="C16" s="41">
        <f t="shared" si="0"/>
        <v>7440000</v>
      </c>
      <c r="D16" s="75"/>
      <c r="E16" s="54">
        <f t="shared" si="1"/>
        <v>0</v>
      </c>
      <c r="F16" s="66"/>
      <c r="G16" s="30"/>
      <c r="H16" s="49"/>
    </row>
    <row r="17" spans="1:8" ht="15.75" thickBot="1" x14ac:dyDescent="0.3">
      <c r="A17" s="56">
        <v>31</v>
      </c>
      <c r="B17" s="6">
        <v>46966</v>
      </c>
      <c r="C17" s="41">
        <f t="shared" si="0"/>
        <v>7440000</v>
      </c>
      <c r="D17" s="75"/>
      <c r="E17" s="54">
        <f t="shared" si="1"/>
        <v>0</v>
      </c>
      <c r="F17" s="66"/>
      <c r="G17" s="30"/>
      <c r="H17" s="49"/>
    </row>
    <row r="18" spans="1:8" ht="15.75" thickBot="1" x14ac:dyDescent="0.3">
      <c r="A18" s="56">
        <v>30</v>
      </c>
      <c r="B18" s="6">
        <v>46997</v>
      </c>
      <c r="C18" s="41">
        <f t="shared" si="0"/>
        <v>7200000</v>
      </c>
      <c r="D18" s="75"/>
      <c r="E18" s="54">
        <f t="shared" si="1"/>
        <v>0</v>
      </c>
      <c r="F18" s="66"/>
      <c r="G18" s="30"/>
      <c r="H18" s="49"/>
    </row>
    <row r="19" spans="1:8" ht="15.75" thickBot="1" x14ac:dyDescent="0.3">
      <c r="A19" s="56">
        <v>31</v>
      </c>
      <c r="B19" s="6">
        <v>47027</v>
      </c>
      <c r="C19" s="41">
        <f t="shared" si="0"/>
        <v>7440000</v>
      </c>
      <c r="D19" s="75"/>
      <c r="E19" s="54">
        <f t="shared" si="1"/>
        <v>0</v>
      </c>
      <c r="F19" s="66"/>
      <c r="G19" s="30"/>
      <c r="H19" s="49"/>
    </row>
    <row r="20" spans="1:8" ht="15.75" thickBot="1" x14ac:dyDescent="0.3">
      <c r="A20" s="56">
        <v>30</v>
      </c>
      <c r="B20" s="6">
        <v>47058</v>
      </c>
      <c r="C20" s="41">
        <f t="shared" si="0"/>
        <v>7200000</v>
      </c>
      <c r="D20" s="75"/>
      <c r="E20" s="54">
        <f t="shared" si="1"/>
        <v>0</v>
      </c>
      <c r="F20" s="66"/>
      <c r="G20" s="30"/>
      <c r="H20" s="43"/>
    </row>
    <row r="21" spans="1:8" ht="15.75" thickBot="1" x14ac:dyDescent="0.3">
      <c r="A21" s="56">
        <v>31</v>
      </c>
      <c r="B21" s="6">
        <v>47088</v>
      </c>
      <c r="C21" s="41">
        <f t="shared" si="0"/>
        <v>7440000</v>
      </c>
      <c r="D21" s="76"/>
      <c r="E21" s="54">
        <f t="shared" si="1"/>
        <v>0</v>
      </c>
      <c r="F21" s="67"/>
      <c r="G21" s="30"/>
      <c r="H21" s="63"/>
    </row>
    <row r="22" spans="1:8" ht="28.5" customHeight="1" x14ac:dyDescent="0.25">
      <c r="B22" s="7" t="s">
        <v>0</v>
      </c>
      <c r="C22" s="8">
        <f>+SUM(C10:C21)</f>
        <v>87840000</v>
      </c>
      <c r="D22" s="9"/>
      <c r="E22" s="53">
        <f>SUM(E10:E21)</f>
        <v>0</v>
      </c>
      <c r="F22" s="52">
        <f>+F10</f>
        <v>0</v>
      </c>
      <c r="G22" s="48"/>
      <c r="H22" s="40"/>
    </row>
    <row r="23" spans="1:8" ht="19.5" customHeight="1" x14ac:dyDescent="0.25">
      <c r="B23" s="5" t="s">
        <v>49</v>
      </c>
      <c r="C23" s="23"/>
      <c r="D23" s="28"/>
      <c r="E23" s="23"/>
      <c r="F23" s="24"/>
      <c r="G23" s="24"/>
      <c r="H23" s="40"/>
    </row>
    <row r="24" spans="1:8" x14ac:dyDescent="0.25">
      <c r="B24" s="5" t="s">
        <v>69</v>
      </c>
      <c r="C24" s="5"/>
      <c r="D24" s="5"/>
      <c r="E24" s="5"/>
      <c r="F24" s="5"/>
      <c r="G24" s="5"/>
      <c r="H24" s="40"/>
    </row>
    <row r="25" spans="1:8" ht="15" customHeight="1" x14ac:dyDescent="0.25">
      <c r="B25" s="5" t="s">
        <v>42</v>
      </c>
      <c r="H25" s="40"/>
    </row>
    <row r="26" spans="1:8" ht="27.75" customHeight="1" x14ac:dyDescent="0.25">
      <c r="A26" s="1"/>
      <c r="B26" s="64" t="s">
        <v>55</v>
      </c>
      <c r="C26" s="64"/>
      <c r="D26" s="64"/>
      <c r="E26" s="64"/>
      <c r="F26" s="64"/>
      <c r="G26" s="64"/>
      <c r="H26" s="40"/>
    </row>
    <row r="27" spans="1:8" ht="15" customHeight="1" x14ac:dyDescent="0.25">
      <c r="A27" s="1"/>
      <c r="H27" s="40"/>
    </row>
    <row r="28" spans="1:8" x14ac:dyDescent="0.25"/>
    <row r="29" spans="1:8" x14ac:dyDescent="0.25">
      <c r="B29" s="57" t="s">
        <v>45</v>
      </c>
      <c r="C29" s="57"/>
      <c r="D29" s="57"/>
      <c r="E29" s="57"/>
    </row>
    <row r="30" spans="1:8" x14ac:dyDescent="0.25">
      <c r="B30" s="58" t="s">
        <v>46</v>
      </c>
      <c r="C30" s="58"/>
      <c r="D30" s="58"/>
      <c r="E30" s="58"/>
    </row>
    <row r="31" spans="1:8" x14ac:dyDescent="0.25">
      <c r="B31" s="58" t="s">
        <v>47</v>
      </c>
    </row>
    <row r="32" spans="1:8" x14ac:dyDescent="0.25"/>
    <row r="33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disablePrompts="1" count="1">
    <dataValidation type="whole" errorStyle="warning" allowBlank="1" showInputMessage="1" showErrorMessage="1" errorTitle="Dato no valido" error="Debe ingresar un valor entre 0 y 10.000" prompt="Se debe ofertar maximo 10.000 kWh" sqref="D10:D21" xr:uid="{50F519AD-045B-420C-8305-B51F2D35ACDF}">
      <formula1>0</formula1>
      <formula2>10000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EA43-20F0-4D82-8C03-DE937EA6488F}">
  <sheetPr codeName="Hoja6">
    <tabColor rgb="FF0070C0"/>
  </sheetPr>
  <dimension ref="A1:AD46"/>
  <sheetViews>
    <sheetView showGridLines="0" zoomScale="115" zoomScaleNormal="115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customHeight="1" zeroHeight="1" x14ac:dyDescent="0.25"/>
  <cols>
    <col min="1" max="1" width="6.42578125" bestFit="1" customWidth="1"/>
    <col min="2" max="2" width="8.7109375" bestFit="1" customWidth="1"/>
    <col min="3" max="3" width="9.28515625" bestFit="1" customWidth="1"/>
    <col min="4" max="5" width="9" bestFit="1" customWidth="1"/>
    <col min="6" max="7" width="8.7109375" bestFit="1" customWidth="1"/>
    <col min="8" max="8" width="9.28515625" bestFit="1" customWidth="1"/>
    <col min="9" max="9" width="9" bestFit="1" customWidth="1"/>
    <col min="10" max="10" width="9.28515625" bestFit="1" customWidth="1"/>
    <col min="11" max="13" width="9" bestFit="1" customWidth="1"/>
    <col min="14" max="18" width="9.28515625" bestFit="1" customWidth="1"/>
    <col min="19" max="21" width="9" bestFit="1" customWidth="1"/>
    <col min="22" max="23" width="9.28515625" bestFit="1" customWidth="1"/>
    <col min="24" max="25" width="8.7109375" bestFit="1" customWidth="1"/>
    <col min="26" max="26" width="9" bestFit="1" customWidth="1"/>
    <col min="27" max="27" width="9.85546875" bestFit="1" customWidth="1"/>
    <col min="28" max="28" width="5" bestFit="1" customWidth="1"/>
    <col min="29" max="29" width="10.28515625" bestFit="1" customWidth="1"/>
    <col min="30" max="30" width="8.42578125" bestFit="1" customWidth="1"/>
    <col min="31" max="16384" width="9.140625" hidden="1"/>
  </cols>
  <sheetData>
    <row r="1" spans="1:30" x14ac:dyDescent="0.25">
      <c r="A1" s="87" t="s">
        <v>50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</row>
    <row r="2" spans="1:30" x14ac:dyDescent="0.25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</row>
    <row r="3" spans="1:3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x14ac:dyDescent="0.25">
      <c r="A4" s="93" t="s">
        <v>35</v>
      </c>
      <c r="B4" s="93" t="s">
        <v>34</v>
      </c>
      <c r="C4" s="85" t="s">
        <v>33</v>
      </c>
      <c r="D4" s="85" t="s">
        <v>32</v>
      </c>
      <c r="E4" s="85" t="s">
        <v>31</v>
      </c>
      <c r="F4" s="85" t="s">
        <v>30</v>
      </c>
      <c r="G4" s="85" t="s">
        <v>29</v>
      </c>
      <c r="H4" s="85" t="s">
        <v>28</v>
      </c>
      <c r="I4" s="85" t="s">
        <v>27</v>
      </c>
      <c r="J4" s="85" t="s">
        <v>26</v>
      </c>
      <c r="K4" s="85" t="s">
        <v>25</v>
      </c>
      <c r="L4" s="85" t="s">
        <v>24</v>
      </c>
      <c r="M4" s="85" t="s">
        <v>23</v>
      </c>
      <c r="N4" s="85" t="s">
        <v>22</v>
      </c>
      <c r="O4" s="85" t="s">
        <v>21</v>
      </c>
      <c r="P4" s="85" t="s">
        <v>20</v>
      </c>
      <c r="Q4" s="85" t="s">
        <v>19</v>
      </c>
      <c r="R4" s="85" t="s">
        <v>18</v>
      </c>
      <c r="S4" s="85" t="s">
        <v>17</v>
      </c>
      <c r="T4" s="85" t="s">
        <v>16</v>
      </c>
      <c r="U4" s="85" t="s">
        <v>15</v>
      </c>
      <c r="V4" s="85" t="s">
        <v>14</v>
      </c>
      <c r="W4" s="85" t="s">
        <v>13</v>
      </c>
      <c r="X4" s="85" t="s">
        <v>12</v>
      </c>
      <c r="Y4" s="85" t="s">
        <v>11</v>
      </c>
      <c r="Z4" s="85" t="s">
        <v>10</v>
      </c>
      <c r="AA4" s="12" t="s">
        <v>9</v>
      </c>
      <c r="AB4" s="13" t="s">
        <v>8</v>
      </c>
      <c r="AC4" s="83" t="s">
        <v>7</v>
      </c>
    </row>
    <row r="5" spans="1:30" x14ac:dyDescent="0.25">
      <c r="A5" s="93"/>
      <c r="B5" s="93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14"/>
      <c r="AB5" s="15" t="s">
        <v>6</v>
      </c>
      <c r="AC5" s="84"/>
    </row>
    <row r="6" spans="1:30" ht="15.75" thickBot="1" x14ac:dyDescent="0.3">
      <c r="A6" s="79">
        <v>46753</v>
      </c>
      <c r="B6" s="16" t="s">
        <v>5</v>
      </c>
      <c r="C6" s="31">
        <v>17347</v>
      </c>
      <c r="D6" s="31">
        <v>16344</v>
      </c>
      <c r="E6" s="31">
        <v>15741</v>
      </c>
      <c r="F6" s="31">
        <v>15429</v>
      </c>
      <c r="G6" s="31">
        <v>15645</v>
      </c>
      <c r="H6" s="31">
        <v>16577</v>
      </c>
      <c r="I6" s="31">
        <v>17463</v>
      </c>
      <c r="J6" s="31">
        <v>19121</v>
      </c>
      <c r="K6" s="31">
        <v>20987</v>
      </c>
      <c r="L6" s="31">
        <v>22400</v>
      </c>
      <c r="M6" s="31">
        <v>23839</v>
      </c>
      <c r="N6" s="31">
        <v>25197</v>
      </c>
      <c r="O6" s="31">
        <v>24966</v>
      </c>
      <c r="P6" s="31">
        <v>24996</v>
      </c>
      <c r="Q6" s="31">
        <v>25413</v>
      </c>
      <c r="R6" s="31">
        <v>25492</v>
      </c>
      <c r="S6" s="31">
        <v>25200</v>
      </c>
      <c r="T6" s="31">
        <v>24655</v>
      </c>
      <c r="U6" s="31">
        <v>26467</v>
      </c>
      <c r="V6" s="31">
        <v>27976</v>
      </c>
      <c r="W6" s="31">
        <v>26961</v>
      </c>
      <c r="X6" s="31">
        <v>25182</v>
      </c>
      <c r="Y6" s="31">
        <v>22322</v>
      </c>
      <c r="Z6" s="32">
        <v>19434</v>
      </c>
      <c r="AA6" s="33">
        <f>SUM(C6:Z6)</f>
        <v>525154</v>
      </c>
      <c r="AB6" s="17">
        <v>20</v>
      </c>
      <c r="AC6" s="80">
        <f>+AA6*AB6+AA7*AB7+AA8*AB8</f>
        <v>15935519</v>
      </c>
      <c r="AD6" s="47"/>
    </row>
    <row r="7" spans="1:30" ht="15.75" thickBot="1" x14ac:dyDescent="0.3">
      <c r="A7" s="79"/>
      <c r="B7" s="18" t="s">
        <v>4</v>
      </c>
      <c r="C7" s="34">
        <v>17765</v>
      </c>
      <c r="D7" s="34">
        <v>16633</v>
      </c>
      <c r="E7" s="34">
        <v>15942</v>
      </c>
      <c r="F7" s="34">
        <v>15506</v>
      </c>
      <c r="G7" s="34">
        <v>15520</v>
      </c>
      <c r="H7" s="34">
        <v>16042</v>
      </c>
      <c r="I7" s="34">
        <v>16649</v>
      </c>
      <c r="J7" s="34">
        <v>18336</v>
      </c>
      <c r="K7" s="34">
        <v>20421</v>
      </c>
      <c r="L7" s="34">
        <v>21995</v>
      </c>
      <c r="M7" s="34">
        <v>23174</v>
      </c>
      <c r="N7" s="34">
        <v>24341</v>
      </c>
      <c r="O7" s="34">
        <v>24467</v>
      </c>
      <c r="P7" s="34">
        <v>24227</v>
      </c>
      <c r="Q7" s="34">
        <v>23963</v>
      </c>
      <c r="R7" s="34">
        <v>23835</v>
      </c>
      <c r="S7" s="34">
        <v>23655</v>
      </c>
      <c r="T7" s="34">
        <v>23632</v>
      </c>
      <c r="U7" s="34">
        <v>25904</v>
      </c>
      <c r="V7" s="34">
        <v>27522</v>
      </c>
      <c r="W7" s="34">
        <v>26415</v>
      </c>
      <c r="X7" s="34">
        <v>24766</v>
      </c>
      <c r="Y7" s="34">
        <v>22425</v>
      </c>
      <c r="Z7" s="35">
        <v>20080</v>
      </c>
      <c r="AA7" s="33">
        <f t="shared" ref="AA7:AA41" si="0">SUM(C7:Z7)</f>
        <v>513215</v>
      </c>
      <c r="AB7" s="19">
        <v>4</v>
      </c>
      <c r="AC7" s="81"/>
      <c r="AD7" s="47"/>
    </row>
    <row r="8" spans="1:30" ht="15.75" thickBot="1" x14ac:dyDescent="0.3">
      <c r="A8" s="79"/>
      <c r="B8" s="20" t="s">
        <v>3</v>
      </c>
      <c r="C8" s="37">
        <v>18623</v>
      </c>
      <c r="D8" s="37">
        <v>17400</v>
      </c>
      <c r="E8" s="37">
        <v>16589</v>
      </c>
      <c r="F8" s="37">
        <v>16016</v>
      </c>
      <c r="G8" s="37">
        <v>15737</v>
      </c>
      <c r="H8" s="37">
        <v>15847</v>
      </c>
      <c r="I8" s="37">
        <v>15691</v>
      </c>
      <c r="J8" s="37">
        <v>16618</v>
      </c>
      <c r="K8" s="37">
        <v>18205</v>
      </c>
      <c r="L8" s="37">
        <v>19603</v>
      </c>
      <c r="M8" s="37">
        <v>20635</v>
      </c>
      <c r="N8" s="37">
        <v>21709</v>
      </c>
      <c r="O8" s="37">
        <v>22345</v>
      </c>
      <c r="P8" s="37">
        <v>22269</v>
      </c>
      <c r="Q8" s="37">
        <v>21865</v>
      </c>
      <c r="R8" s="37">
        <v>21632</v>
      </c>
      <c r="S8" s="37">
        <v>21515</v>
      </c>
      <c r="T8" s="37">
        <v>21632</v>
      </c>
      <c r="U8" s="37">
        <v>24109</v>
      </c>
      <c r="V8" s="37">
        <v>25879</v>
      </c>
      <c r="W8" s="37">
        <v>25157</v>
      </c>
      <c r="X8" s="37">
        <v>23614</v>
      </c>
      <c r="Y8" s="37">
        <v>21236</v>
      </c>
      <c r="Z8" s="38">
        <v>18871</v>
      </c>
      <c r="AA8" s="33">
        <f t="shared" si="0"/>
        <v>482797</v>
      </c>
      <c r="AB8" s="21">
        <v>7</v>
      </c>
      <c r="AC8" s="82"/>
      <c r="AD8" s="47"/>
    </row>
    <row r="9" spans="1:30" ht="15.75" thickBot="1" x14ac:dyDescent="0.3">
      <c r="A9" s="79">
        <v>46784</v>
      </c>
      <c r="B9" s="16" t="s">
        <v>5</v>
      </c>
      <c r="C9" s="31">
        <v>17448</v>
      </c>
      <c r="D9" s="31">
        <v>16483</v>
      </c>
      <c r="E9" s="31">
        <v>15929</v>
      </c>
      <c r="F9" s="31">
        <v>15656</v>
      </c>
      <c r="G9" s="31">
        <v>15972</v>
      </c>
      <c r="H9" s="31">
        <v>17418</v>
      </c>
      <c r="I9" s="31">
        <v>18570</v>
      </c>
      <c r="J9" s="31">
        <v>19821</v>
      </c>
      <c r="K9" s="31">
        <v>21481</v>
      </c>
      <c r="L9" s="31">
        <v>22725</v>
      </c>
      <c r="M9" s="31">
        <v>24084</v>
      </c>
      <c r="N9" s="31">
        <v>25343</v>
      </c>
      <c r="O9" s="31">
        <v>24837</v>
      </c>
      <c r="P9" s="31">
        <v>25030</v>
      </c>
      <c r="Q9" s="31">
        <v>25615</v>
      </c>
      <c r="R9" s="31">
        <v>25720</v>
      </c>
      <c r="S9" s="31">
        <v>25433</v>
      </c>
      <c r="T9" s="31">
        <v>24769</v>
      </c>
      <c r="U9" s="31">
        <v>26152</v>
      </c>
      <c r="V9" s="31">
        <v>28132</v>
      </c>
      <c r="W9" s="31">
        <v>27156</v>
      </c>
      <c r="X9" s="31">
        <v>25294</v>
      </c>
      <c r="Y9" s="31">
        <v>22354</v>
      </c>
      <c r="Z9" s="32">
        <v>19430</v>
      </c>
      <c r="AA9" s="33">
        <f t="shared" si="0"/>
        <v>530852</v>
      </c>
      <c r="AB9" s="17">
        <v>21</v>
      </c>
      <c r="AC9" s="80">
        <f>+AA9*AB9+AA10*AB10+AA11*AB11</f>
        <v>15242588</v>
      </c>
      <c r="AD9" s="47"/>
    </row>
    <row r="10" spans="1:30" ht="15.75" thickBot="1" x14ac:dyDescent="0.3">
      <c r="A10" s="79"/>
      <c r="B10" s="18" t="s">
        <v>4</v>
      </c>
      <c r="C10" s="34">
        <v>18094</v>
      </c>
      <c r="D10" s="34">
        <v>17024</v>
      </c>
      <c r="E10" s="34">
        <v>16336</v>
      </c>
      <c r="F10" s="34">
        <v>15941</v>
      </c>
      <c r="G10" s="34">
        <v>15988</v>
      </c>
      <c r="H10" s="34">
        <v>16549</v>
      </c>
      <c r="I10" s="34">
        <v>17446</v>
      </c>
      <c r="J10" s="34">
        <v>19131</v>
      </c>
      <c r="K10" s="34">
        <v>21298</v>
      </c>
      <c r="L10" s="34">
        <v>22806</v>
      </c>
      <c r="M10" s="34">
        <v>24005</v>
      </c>
      <c r="N10" s="34">
        <v>25170</v>
      </c>
      <c r="O10" s="34">
        <v>25202</v>
      </c>
      <c r="P10" s="34">
        <v>24879</v>
      </c>
      <c r="Q10" s="34">
        <v>24602</v>
      </c>
      <c r="R10" s="34">
        <v>24451</v>
      </c>
      <c r="S10" s="34">
        <v>24243</v>
      </c>
      <c r="T10" s="34">
        <v>24167</v>
      </c>
      <c r="U10" s="34">
        <v>26004</v>
      </c>
      <c r="V10" s="34">
        <v>27996</v>
      </c>
      <c r="W10" s="34">
        <v>26899</v>
      </c>
      <c r="X10" s="34">
        <v>25341</v>
      </c>
      <c r="Y10" s="34">
        <v>23114</v>
      </c>
      <c r="Z10" s="35">
        <v>20640</v>
      </c>
      <c r="AA10" s="33">
        <f t="shared" si="0"/>
        <v>527326</v>
      </c>
      <c r="AB10" s="19">
        <v>4</v>
      </c>
      <c r="AC10" s="81"/>
      <c r="AD10" s="47"/>
    </row>
    <row r="11" spans="1:30" ht="15.75" thickBot="1" x14ac:dyDescent="0.3">
      <c r="A11" s="79"/>
      <c r="B11" s="20" t="s">
        <v>3</v>
      </c>
      <c r="C11" s="37">
        <v>18793</v>
      </c>
      <c r="D11" s="37">
        <v>17579</v>
      </c>
      <c r="E11" s="37">
        <v>16839</v>
      </c>
      <c r="F11" s="37">
        <v>16283</v>
      </c>
      <c r="G11" s="37">
        <v>16106</v>
      </c>
      <c r="H11" s="37">
        <v>16272</v>
      </c>
      <c r="I11" s="37">
        <v>16405</v>
      </c>
      <c r="J11" s="37">
        <v>17492</v>
      </c>
      <c r="K11" s="37">
        <v>19232</v>
      </c>
      <c r="L11" s="37">
        <v>20657</v>
      </c>
      <c r="M11" s="37">
        <v>21601</v>
      </c>
      <c r="N11" s="37">
        <v>22621</v>
      </c>
      <c r="O11" s="37">
        <v>23193</v>
      </c>
      <c r="P11" s="37">
        <v>23007</v>
      </c>
      <c r="Q11" s="37">
        <v>22551</v>
      </c>
      <c r="R11" s="37">
        <v>22275</v>
      </c>
      <c r="S11" s="37">
        <v>22136</v>
      </c>
      <c r="T11" s="37">
        <v>22253</v>
      </c>
      <c r="U11" s="37">
        <v>24229</v>
      </c>
      <c r="V11" s="37">
        <v>26428</v>
      </c>
      <c r="W11" s="37">
        <v>25757</v>
      </c>
      <c r="X11" s="37">
        <v>24159</v>
      </c>
      <c r="Y11" s="37">
        <v>21534</v>
      </c>
      <c r="Z11" s="38">
        <v>18946</v>
      </c>
      <c r="AA11" s="33">
        <f t="shared" si="0"/>
        <v>496348</v>
      </c>
      <c r="AB11" s="21">
        <v>4</v>
      </c>
      <c r="AC11" s="82"/>
      <c r="AD11" s="47"/>
    </row>
    <row r="12" spans="1:30" ht="15.75" thickBot="1" x14ac:dyDescent="0.3">
      <c r="A12" s="79">
        <v>46813</v>
      </c>
      <c r="B12" s="16" t="s">
        <v>5</v>
      </c>
      <c r="C12" s="31">
        <v>17078</v>
      </c>
      <c r="D12" s="31">
        <v>16154</v>
      </c>
      <c r="E12" s="31">
        <v>15642</v>
      </c>
      <c r="F12" s="31">
        <v>15386</v>
      </c>
      <c r="G12" s="31">
        <v>15726</v>
      </c>
      <c r="H12" s="31">
        <v>17144</v>
      </c>
      <c r="I12" s="31">
        <v>18138</v>
      </c>
      <c r="J12" s="31">
        <v>19522</v>
      </c>
      <c r="K12" s="31">
        <v>21116</v>
      </c>
      <c r="L12" s="31">
        <v>22310</v>
      </c>
      <c r="M12" s="31">
        <v>23583</v>
      </c>
      <c r="N12" s="31">
        <v>24730</v>
      </c>
      <c r="O12" s="31">
        <v>24273</v>
      </c>
      <c r="P12" s="31">
        <v>24374</v>
      </c>
      <c r="Q12" s="31">
        <v>24877</v>
      </c>
      <c r="R12" s="31">
        <v>24959</v>
      </c>
      <c r="S12" s="31">
        <v>24741</v>
      </c>
      <c r="T12" s="31">
        <v>24273</v>
      </c>
      <c r="U12" s="31">
        <v>25999</v>
      </c>
      <c r="V12" s="31">
        <v>27688</v>
      </c>
      <c r="W12" s="31">
        <v>26682</v>
      </c>
      <c r="X12" s="31">
        <v>24788</v>
      </c>
      <c r="Y12" s="31">
        <v>21908</v>
      </c>
      <c r="Z12" s="32">
        <v>19064</v>
      </c>
      <c r="AA12" s="33">
        <f t="shared" si="0"/>
        <v>520155</v>
      </c>
      <c r="AB12" s="17">
        <v>22</v>
      </c>
      <c r="AC12" s="80">
        <f>+AA12*AB12+AA13*AB13+AA14*AB14</f>
        <v>15886355</v>
      </c>
      <c r="AD12" s="47"/>
    </row>
    <row r="13" spans="1:30" ht="15.75" thickBot="1" x14ac:dyDescent="0.3">
      <c r="A13" s="79"/>
      <c r="B13" s="18" t="s">
        <v>4</v>
      </c>
      <c r="C13" s="34">
        <v>17616</v>
      </c>
      <c r="D13" s="34">
        <v>16549</v>
      </c>
      <c r="E13" s="34">
        <v>15982</v>
      </c>
      <c r="F13" s="34">
        <v>15657</v>
      </c>
      <c r="G13" s="34">
        <v>15677</v>
      </c>
      <c r="H13" s="34">
        <v>16272</v>
      </c>
      <c r="I13" s="34">
        <v>16791</v>
      </c>
      <c r="J13" s="34">
        <v>18640</v>
      </c>
      <c r="K13" s="34">
        <v>20650</v>
      </c>
      <c r="L13" s="34">
        <v>22106</v>
      </c>
      <c r="M13" s="34">
        <v>23263</v>
      </c>
      <c r="N13" s="34">
        <v>24228</v>
      </c>
      <c r="O13" s="34">
        <v>24208</v>
      </c>
      <c r="P13" s="34">
        <v>23865</v>
      </c>
      <c r="Q13" s="34">
        <v>23607</v>
      </c>
      <c r="R13" s="34">
        <v>23414</v>
      </c>
      <c r="S13" s="34">
        <v>23163</v>
      </c>
      <c r="T13" s="34">
        <v>23180</v>
      </c>
      <c r="U13" s="34">
        <v>25277</v>
      </c>
      <c r="V13" s="34">
        <v>26870</v>
      </c>
      <c r="W13" s="34">
        <v>25829</v>
      </c>
      <c r="X13" s="34">
        <v>24339</v>
      </c>
      <c r="Y13" s="34">
        <v>22123</v>
      </c>
      <c r="Z13" s="35">
        <v>19884</v>
      </c>
      <c r="AA13" s="33">
        <f t="shared" si="0"/>
        <v>509190</v>
      </c>
      <c r="AB13" s="19">
        <v>4</v>
      </c>
      <c r="AC13" s="81"/>
      <c r="AD13" s="47"/>
    </row>
    <row r="14" spans="1:30" ht="15.75" thickBot="1" x14ac:dyDescent="0.3">
      <c r="A14" s="79"/>
      <c r="B14" s="20" t="s">
        <v>3</v>
      </c>
      <c r="C14" s="37">
        <v>18154</v>
      </c>
      <c r="D14" s="37">
        <v>16980</v>
      </c>
      <c r="E14" s="37">
        <v>16290</v>
      </c>
      <c r="F14" s="37">
        <v>15821</v>
      </c>
      <c r="G14" s="37">
        <v>15627</v>
      </c>
      <c r="H14" s="37">
        <v>15857</v>
      </c>
      <c r="I14" s="37">
        <v>15800</v>
      </c>
      <c r="J14" s="37">
        <v>16974</v>
      </c>
      <c r="K14" s="37">
        <v>18573</v>
      </c>
      <c r="L14" s="37">
        <v>19862</v>
      </c>
      <c r="M14" s="37">
        <v>20761</v>
      </c>
      <c r="N14" s="37">
        <v>21783</v>
      </c>
      <c r="O14" s="37">
        <v>22392</v>
      </c>
      <c r="P14" s="37">
        <v>22222</v>
      </c>
      <c r="Q14" s="37">
        <v>21755</v>
      </c>
      <c r="R14" s="37">
        <v>21546</v>
      </c>
      <c r="S14" s="37">
        <v>21411</v>
      </c>
      <c r="T14" s="37">
        <v>21578</v>
      </c>
      <c r="U14" s="37">
        <v>23842</v>
      </c>
      <c r="V14" s="37">
        <v>25719</v>
      </c>
      <c r="W14" s="37">
        <v>24996</v>
      </c>
      <c r="X14" s="37">
        <v>23497</v>
      </c>
      <c r="Y14" s="37">
        <v>21060</v>
      </c>
      <c r="Z14" s="38">
        <v>18737</v>
      </c>
      <c r="AA14" s="33">
        <f t="shared" si="0"/>
        <v>481237</v>
      </c>
      <c r="AB14" s="21">
        <v>5</v>
      </c>
      <c r="AC14" s="82"/>
      <c r="AD14" s="47"/>
    </row>
    <row r="15" spans="1:30" ht="15.75" thickBot="1" x14ac:dyDescent="0.3">
      <c r="A15" s="79">
        <v>46844</v>
      </c>
      <c r="B15" s="16" t="s">
        <v>5</v>
      </c>
      <c r="C15" s="31">
        <v>16684</v>
      </c>
      <c r="D15" s="31">
        <v>15799</v>
      </c>
      <c r="E15" s="31">
        <v>15267</v>
      </c>
      <c r="F15" s="31">
        <v>15020</v>
      </c>
      <c r="G15" s="31">
        <v>15333</v>
      </c>
      <c r="H15" s="31">
        <v>16477</v>
      </c>
      <c r="I15" s="31">
        <v>17318</v>
      </c>
      <c r="J15" s="31">
        <v>18844</v>
      </c>
      <c r="K15" s="31">
        <v>20438</v>
      </c>
      <c r="L15" s="31">
        <v>21686</v>
      </c>
      <c r="M15" s="31">
        <v>23004</v>
      </c>
      <c r="N15" s="31">
        <v>24198</v>
      </c>
      <c r="O15" s="31">
        <v>23771</v>
      </c>
      <c r="P15" s="31">
        <v>23881</v>
      </c>
      <c r="Q15" s="31">
        <v>24353</v>
      </c>
      <c r="R15" s="31">
        <v>24402</v>
      </c>
      <c r="S15" s="31">
        <v>24156</v>
      </c>
      <c r="T15" s="31">
        <v>23799</v>
      </c>
      <c r="U15" s="31">
        <v>25877</v>
      </c>
      <c r="V15" s="31">
        <v>27112</v>
      </c>
      <c r="W15" s="31">
        <v>26158</v>
      </c>
      <c r="X15" s="31">
        <v>24246</v>
      </c>
      <c r="Y15" s="31">
        <v>21351</v>
      </c>
      <c r="Z15" s="32">
        <v>18583</v>
      </c>
      <c r="AA15" s="33">
        <f t="shared" si="0"/>
        <v>507757</v>
      </c>
      <c r="AB15" s="17">
        <v>18</v>
      </c>
      <c r="AC15" s="80">
        <f>+AA15*AB15+AA16*AB16+AA17*AB17</f>
        <v>14938600</v>
      </c>
      <c r="AD15" s="47"/>
    </row>
    <row r="16" spans="1:30" ht="15.75" thickBot="1" x14ac:dyDescent="0.3">
      <c r="A16" s="79"/>
      <c r="B16" s="18" t="s">
        <v>4</v>
      </c>
      <c r="C16" s="34">
        <v>17039</v>
      </c>
      <c r="D16" s="34">
        <v>16030</v>
      </c>
      <c r="E16" s="34">
        <v>15381</v>
      </c>
      <c r="F16" s="34">
        <v>14998</v>
      </c>
      <c r="G16" s="34">
        <v>15068</v>
      </c>
      <c r="H16" s="34">
        <v>15501</v>
      </c>
      <c r="I16" s="34">
        <v>16046</v>
      </c>
      <c r="J16" s="34">
        <v>17975</v>
      </c>
      <c r="K16" s="34">
        <v>19954</v>
      </c>
      <c r="L16" s="34">
        <v>21456</v>
      </c>
      <c r="M16" s="34">
        <v>22541</v>
      </c>
      <c r="N16" s="34">
        <v>23772</v>
      </c>
      <c r="O16" s="34">
        <v>23848</v>
      </c>
      <c r="P16" s="34">
        <v>23561</v>
      </c>
      <c r="Q16" s="34">
        <v>23300</v>
      </c>
      <c r="R16" s="34">
        <v>23120</v>
      </c>
      <c r="S16" s="34">
        <v>23055</v>
      </c>
      <c r="T16" s="34">
        <v>23165</v>
      </c>
      <c r="U16" s="34">
        <v>25528</v>
      </c>
      <c r="V16" s="34">
        <v>26835</v>
      </c>
      <c r="W16" s="34">
        <v>25737</v>
      </c>
      <c r="X16" s="34">
        <v>24143</v>
      </c>
      <c r="Y16" s="34">
        <v>21898</v>
      </c>
      <c r="Z16" s="35">
        <v>19608</v>
      </c>
      <c r="AA16" s="33">
        <f t="shared" si="0"/>
        <v>499559</v>
      </c>
      <c r="AB16" s="19">
        <v>5</v>
      </c>
      <c r="AC16" s="81"/>
      <c r="AD16" s="47"/>
    </row>
    <row r="17" spans="1:30" ht="15.75" thickBot="1" x14ac:dyDescent="0.3">
      <c r="A17" s="79"/>
      <c r="B17" s="20" t="s">
        <v>3</v>
      </c>
      <c r="C17" s="37">
        <v>17757</v>
      </c>
      <c r="D17" s="37">
        <v>16624</v>
      </c>
      <c r="E17" s="37">
        <v>15892</v>
      </c>
      <c r="F17" s="37">
        <v>15393</v>
      </c>
      <c r="G17" s="37">
        <v>15200</v>
      </c>
      <c r="H17" s="37">
        <v>15174</v>
      </c>
      <c r="I17" s="37">
        <v>15293</v>
      </c>
      <c r="J17" s="37">
        <v>16617</v>
      </c>
      <c r="K17" s="37">
        <v>18168</v>
      </c>
      <c r="L17" s="37">
        <v>19528</v>
      </c>
      <c r="M17" s="37">
        <v>20496</v>
      </c>
      <c r="N17" s="37">
        <v>21483</v>
      </c>
      <c r="O17" s="37">
        <v>22057</v>
      </c>
      <c r="P17" s="37">
        <v>21899</v>
      </c>
      <c r="Q17" s="37">
        <v>21403</v>
      </c>
      <c r="R17" s="37">
        <v>21169</v>
      </c>
      <c r="S17" s="37">
        <v>21035</v>
      </c>
      <c r="T17" s="37">
        <v>21226</v>
      </c>
      <c r="U17" s="37">
        <v>23749</v>
      </c>
      <c r="V17" s="37">
        <v>25259</v>
      </c>
      <c r="W17" s="37">
        <v>24469</v>
      </c>
      <c r="X17" s="37">
        <v>22927</v>
      </c>
      <c r="Y17" s="37">
        <v>20566</v>
      </c>
      <c r="Z17" s="38">
        <v>18213</v>
      </c>
      <c r="AA17" s="33">
        <f t="shared" si="0"/>
        <v>471597</v>
      </c>
      <c r="AB17" s="21">
        <v>7</v>
      </c>
      <c r="AC17" s="82"/>
      <c r="AD17" s="47"/>
    </row>
    <row r="18" spans="1:30" ht="15.75" thickBot="1" x14ac:dyDescent="0.3">
      <c r="A18" s="79">
        <v>46874</v>
      </c>
      <c r="B18" s="16" t="s">
        <v>5</v>
      </c>
      <c r="C18" s="31">
        <v>16708</v>
      </c>
      <c r="D18" s="31">
        <v>15794</v>
      </c>
      <c r="E18" s="31">
        <v>15285</v>
      </c>
      <c r="F18" s="31">
        <v>15030</v>
      </c>
      <c r="G18" s="31">
        <v>15331</v>
      </c>
      <c r="H18" s="31">
        <v>16312</v>
      </c>
      <c r="I18" s="31">
        <v>17337</v>
      </c>
      <c r="J18" s="31">
        <v>18939</v>
      </c>
      <c r="K18" s="31">
        <v>20576</v>
      </c>
      <c r="L18" s="31">
        <v>21862</v>
      </c>
      <c r="M18" s="31">
        <v>23155</v>
      </c>
      <c r="N18" s="31">
        <v>24383</v>
      </c>
      <c r="O18" s="31">
        <v>24012</v>
      </c>
      <c r="P18" s="31">
        <v>24007</v>
      </c>
      <c r="Q18" s="31">
        <v>24377</v>
      </c>
      <c r="R18" s="31">
        <v>24421</v>
      </c>
      <c r="S18" s="31">
        <v>24171</v>
      </c>
      <c r="T18" s="31">
        <v>23879</v>
      </c>
      <c r="U18" s="31">
        <v>26049</v>
      </c>
      <c r="V18" s="31">
        <v>27278</v>
      </c>
      <c r="W18" s="31">
        <v>26211</v>
      </c>
      <c r="X18" s="31">
        <v>24293</v>
      </c>
      <c r="Y18" s="31">
        <v>21353</v>
      </c>
      <c r="Z18" s="32">
        <v>18629</v>
      </c>
      <c r="AA18" s="33">
        <f t="shared" si="0"/>
        <v>509392</v>
      </c>
      <c r="AB18" s="17">
        <v>21</v>
      </c>
      <c r="AC18" s="80">
        <f>+AA18*AB18+AA19*AB19+AA20*AB20</f>
        <v>15591676</v>
      </c>
      <c r="AD18" s="47"/>
    </row>
    <row r="19" spans="1:30" ht="15.75" thickBot="1" x14ac:dyDescent="0.3">
      <c r="A19" s="79"/>
      <c r="B19" s="18" t="s">
        <v>4</v>
      </c>
      <c r="C19" s="34">
        <v>17327</v>
      </c>
      <c r="D19" s="34">
        <v>16325</v>
      </c>
      <c r="E19" s="34">
        <v>15720</v>
      </c>
      <c r="F19" s="34">
        <v>15363</v>
      </c>
      <c r="G19" s="34">
        <v>15425</v>
      </c>
      <c r="H19" s="34">
        <v>15677</v>
      </c>
      <c r="I19" s="34">
        <v>16499</v>
      </c>
      <c r="J19" s="34">
        <v>18439</v>
      </c>
      <c r="K19" s="34">
        <v>20463</v>
      </c>
      <c r="L19" s="34">
        <v>22027</v>
      </c>
      <c r="M19" s="34">
        <v>23099</v>
      </c>
      <c r="N19" s="34">
        <v>24077</v>
      </c>
      <c r="O19" s="34">
        <v>24080</v>
      </c>
      <c r="P19" s="34">
        <v>23697</v>
      </c>
      <c r="Q19" s="34">
        <v>23307</v>
      </c>
      <c r="R19" s="34">
        <v>23072</v>
      </c>
      <c r="S19" s="34">
        <v>22901</v>
      </c>
      <c r="T19" s="34">
        <v>23112</v>
      </c>
      <c r="U19" s="34">
        <v>25680</v>
      </c>
      <c r="V19" s="34">
        <v>26722</v>
      </c>
      <c r="W19" s="34">
        <v>25662</v>
      </c>
      <c r="X19" s="34">
        <v>24039</v>
      </c>
      <c r="Y19" s="34">
        <v>21780</v>
      </c>
      <c r="Z19" s="35">
        <v>19529</v>
      </c>
      <c r="AA19" s="33">
        <f t="shared" si="0"/>
        <v>504022</v>
      </c>
      <c r="AB19" s="19">
        <v>4</v>
      </c>
      <c r="AC19" s="81"/>
      <c r="AD19" s="47"/>
    </row>
    <row r="20" spans="1:30" ht="15.75" thickBot="1" x14ac:dyDescent="0.3">
      <c r="A20" s="79"/>
      <c r="B20" s="20" t="s">
        <v>3</v>
      </c>
      <c r="C20" s="37">
        <v>17630</v>
      </c>
      <c r="D20" s="37">
        <v>16534</v>
      </c>
      <c r="E20" s="37">
        <v>15854</v>
      </c>
      <c r="F20" s="37">
        <v>15402</v>
      </c>
      <c r="G20" s="37">
        <v>15263</v>
      </c>
      <c r="H20" s="37">
        <v>15090</v>
      </c>
      <c r="I20" s="37">
        <v>15400</v>
      </c>
      <c r="J20" s="37">
        <v>16876</v>
      </c>
      <c r="K20" s="37">
        <v>18517</v>
      </c>
      <c r="L20" s="37">
        <v>19975</v>
      </c>
      <c r="M20" s="37">
        <v>20971</v>
      </c>
      <c r="N20" s="37">
        <v>22012</v>
      </c>
      <c r="O20" s="37">
        <v>22469</v>
      </c>
      <c r="P20" s="37">
        <v>22377</v>
      </c>
      <c r="Q20" s="37">
        <v>21835</v>
      </c>
      <c r="R20" s="37">
        <v>22444</v>
      </c>
      <c r="S20" s="37">
        <v>21453</v>
      </c>
      <c r="T20" s="37">
        <v>21689</v>
      </c>
      <c r="U20" s="37">
        <v>24298</v>
      </c>
      <c r="V20" s="37">
        <v>25813</v>
      </c>
      <c r="W20" s="37">
        <v>24999</v>
      </c>
      <c r="X20" s="37">
        <v>23360</v>
      </c>
      <c r="Y20" s="37">
        <v>20933</v>
      </c>
      <c r="Z20" s="38">
        <v>18532</v>
      </c>
      <c r="AA20" s="33">
        <f t="shared" si="0"/>
        <v>479726</v>
      </c>
      <c r="AB20" s="21">
        <v>6</v>
      </c>
      <c r="AC20" s="82"/>
      <c r="AD20" s="47"/>
    </row>
    <row r="21" spans="1:30" ht="15.75" thickBot="1" x14ac:dyDescent="0.3">
      <c r="A21" s="79">
        <v>46905</v>
      </c>
      <c r="B21" s="16" t="s">
        <v>5</v>
      </c>
      <c r="C21" s="31">
        <v>16512</v>
      </c>
      <c r="D21" s="31">
        <v>15578</v>
      </c>
      <c r="E21" s="31">
        <v>15111</v>
      </c>
      <c r="F21" s="31">
        <v>14860</v>
      </c>
      <c r="G21" s="31">
        <v>15137</v>
      </c>
      <c r="H21" s="31">
        <v>15979</v>
      </c>
      <c r="I21" s="31">
        <v>17089</v>
      </c>
      <c r="J21" s="31">
        <v>18780</v>
      </c>
      <c r="K21" s="31">
        <v>20488</v>
      </c>
      <c r="L21" s="31">
        <v>21761</v>
      </c>
      <c r="M21" s="31">
        <v>23092</v>
      </c>
      <c r="N21" s="31">
        <v>24335</v>
      </c>
      <c r="O21" s="31">
        <v>23934</v>
      </c>
      <c r="P21" s="31">
        <v>23907</v>
      </c>
      <c r="Q21" s="31">
        <v>24364</v>
      </c>
      <c r="R21" s="31">
        <v>24389</v>
      </c>
      <c r="S21" s="31">
        <v>24141</v>
      </c>
      <c r="T21" s="31">
        <v>23767</v>
      </c>
      <c r="U21" s="31">
        <v>25497</v>
      </c>
      <c r="V21" s="31">
        <v>27111</v>
      </c>
      <c r="W21" s="31">
        <v>26099</v>
      </c>
      <c r="X21" s="31">
        <v>24199</v>
      </c>
      <c r="Y21" s="31">
        <v>21215</v>
      </c>
      <c r="Z21" s="32">
        <v>18450</v>
      </c>
      <c r="AA21" s="33">
        <f t="shared" si="0"/>
        <v>505795</v>
      </c>
      <c r="AB21" s="17">
        <v>20</v>
      </c>
      <c r="AC21" s="80">
        <f>+AA21*AB21+AA22*AB22+AA23*AB23</f>
        <v>15078738</v>
      </c>
      <c r="AD21" s="47"/>
    </row>
    <row r="22" spans="1:30" ht="15.75" thickBot="1" x14ac:dyDescent="0.3">
      <c r="A22" s="79"/>
      <c r="B22" s="18" t="s">
        <v>4</v>
      </c>
      <c r="C22" s="34">
        <v>17310</v>
      </c>
      <c r="D22" s="34">
        <v>16232</v>
      </c>
      <c r="E22" s="34">
        <v>15614</v>
      </c>
      <c r="F22" s="34">
        <v>15265</v>
      </c>
      <c r="G22" s="34">
        <v>15296</v>
      </c>
      <c r="H22" s="34">
        <v>15544</v>
      </c>
      <c r="I22" s="34">
        <v>16356</v>
      </c>
      <c r="J22" s="34">
        <v>18275</v>
      </c>
      <c r="K22" s="34">
        <v>20440</v>
      </c>
      <c r="L22" s="34">
        <v>21926</v>
      </c>
      <c r="M22" s="34">
        <v>23086</v>
      </c>
      <c r="N22" s="34">
        <v>24092</v>
      </c>
      <c r="O22" s="34">
        <v>24158</v>
      </c>
      <c r="P22" s="34">
        <v>23911</v>
      </c>
      <c r="Q22" s="34">
        <v>23655</v>
      </c>
      <c r="R22" s="34">
        <v>23611</v>
      </c>
      <c r="S22" s="34">
        <v>23435</v>
      </c>
      <c r="T22" s="34">
        <v>23610</v>
      </c>
      <c r="U22" s="34">
        <v>25815</v>
      </c>
      <c r="V22" s="34">
        <v>27229</v>
      </c>
      <c r="W22" s="34">
        <v>26113</v>
      </c>
      <c r="X22" s="34">
        <v>24518</v>
      </c>
      <c r="Y22" s="34">
        <v>22157</v>
      </c>
      <c r="Z22" s="35">
        <v>19755</v>
      </c>
      <c r="AA22" s="33">
        <f t="shared" si="0"/>
        <v>507403</v>
      </c>
      <c r="AB22" s="19">
        <v>4</v>
      </c>
      <c r="AC22" s="81"/>
      <c r="AD22" s="47"/>
    </row>
    <row r="23" spans="1:30" ht="15.75" thickBot="1" x14ac:dyDescent="0.3">
      <c r="A23" s="79"/>
      <c r="B23" s="20" t="s">
        <v>3</v>
      </c>
      <c r="C23" s="37">
        <v>18014</v>
      </c>
      <c r="D23" s="37">
        <v>16866</v>
      </c>
      <c r="E23" s="37">
        <v>16199</v>
      </c>
      <c r="F23" s="37">
        <v>15745</v>
      </c>
      <c r="G23" s="37">
        <v>15637</v>
      </c>
      <c r="H23" s="37">
        <v>15619</v>
      </c>
      <c r="I23" s="37">
        <v>15827</v>
      </c>
      <c r="J23" s="37">
        <v>17365</v>
      </c>
      <c r="K23" s="37">
        <v>19075</v>
      </c>
      <c r="L23" s="37">
        <v>20394</v>
      </c>
      <c r="M23" s="37">
        <v>21480</v>
      </c>
      <c r="N23" s="37">
        <v>22530</v>
      </c>
      <c r="O23" s="37">
        <v>22904</v>
      </c>
      <c r="P23" s="37">
        <v>22746</v>
      </c>
      <c r="Q23" s="37">
        <v>22306</v>
      </c>
      <c r="R23" s="37">
        <v>22099</v>
      </c>
      <c r="S23" s="37">
        <v>21986</v>
      </c>
      <c r="T23" s="37">
        <v>22166</v>
      </c>
      <c r="U23" s="37">
        <v>24401</v>
      </c>
      <c r="V23" s="37">
        <v>26195</v>
      </c>
      <c r="W23" s="37">
        <v>25423</v>
      </c>
      <c r="X23" s="37">
        <v>23764</v>
      </c>
      <c r="Y23" s="37">
        <v>21271</v>
      </c>
      <c r="Z23" s="38">
        <v>18859</v>
      </c>
      <c r="AA23" s="33">
        <f t="shared" si="0"/>
        <v>488871</v>
      </c>
      <c r="AB23" s="21">
        <v>6</v>
      </c>
      <c r="AC23" s="82"/>
      <c r="AD23" s="47"/>
    </row>
    <row r="24" spans="1:30" ht="15.75" thickBot="1" x14ac:dyDescent="0.3">
      <c r="A24" s="79">
        <v>46935</v>
      </c>
      <c r="B24" s="16" t="s">
        <v>5</v>
      </c>
      <c r="C24" s="31">
        <v>17288</v>
      </c>
      <c r="D24" s="31">
        <v>16304</v>
      </c>
      <c r="E24" s="31">
        <v>15737</v>
      </c>
      <c r="F24" s="31">
        <v>15428</v>
      </c>
      <c r="G24" s="31">
        <v>15691</v>
      </c>
      <c r="H24" s="31">
        <v>16529</v>
      </c>
      <c r="I24" s="31">
        <v>17431</v>
      </c>
      <c r="J24" s="31">
        <v>19318</v>
      </c>
      <c r="K24" s="31">
        <v>21152</v>
      </c>
      <c r="L24" s="31">
        <v>22590</v>
      </c>
      <c r="M24" s="31">
        <v>23981</v>
      </c>
      <c r="N24" s="31">
        <v>25216</v>
      </c>
      <c r="O24" s="31">
        <v>24779</v>
      </c>
      <c r="P24" s="31">
        <v>24832</v>
      </c>
      <c r="Q24" s="31">
        <v>25287</v>
      </c>
      <c r="R24" s="31">
        <v>25338</v>
      </c>
      <c r="S24" s="31">
        <v>24980</v>
      </c>
      <c r="T24" s="31">
        <v>24355</v>
      </c>
      <c r="U24" s="31">
        <v>25785</v>
      </c>
      <c r="V24" s="31">
        <v>27703</v>
      </c>
      <c r="W24" s="31">
        <v>26806</v>
      </c>
      <c r="X24" s="31">
        <v>25000</v>
      </c>
      <c r="Y24" s="31">
        <v>22019</v>
      </c>
      <c r="Z24" s="32">
        <v>19276</v>
      </c>
      <c r="AA24" s="33">
        <f t="shared" si="0"/>
        <v>522825</v>
      </c>
      <c r="AB24" s="17">
        <v>19</v>
      </c>
      <c r="AC24" s="80">
        <f>+AA24*AB24+AA25*AB25+AA26*AB26</f>
        <v>15917816</v>
      </c>
      <c r="AD24" s="47"/>
    </row>
    <row r="25" spans="1:30" ht="15.75" thickBot="1" x14ac:dyDescent="0.3">
      <c r="A25" s="79"/>
      <c r="B25" s="18" t="s">
        <v>4</v>
      </c>
      <c r="C25" s="34">
        <v>17326</v>
      </c>
      <c r="D25" s="34">
        <v>16197</v>
      </c>
      <c r="E25" s="34">
        <v>15622</v>
      </c>
      <c r="F25" s="34">
        <v>15237</v>
      </c>
      <c r="G25" s="34">
        <v>15274</v>
      </c>
      <c r="H25" s="34">
        <v>15595</v>
      </c>
      <c r="I25" s="34">
        <v>16371</v>
      </c>
      <c r="J25" s="34">
        <v>18656</v>
      </c>
      <c r="K25" s="34">
        <v>20831</v>
      </c>
      <c r="L25" s="34">
        <v>22320</v>
      </c>
      <c r="M25" s="34">
        <v>23490</v>
      </c>
      <c r="N25" s="34">
        <v>24480</v>
      </c>
      <c r="O25" s="34">
        <v>24434</v>
      </c>
      <c r="P25" s="34">
        <v>24052</v>
      </c>
      <c r="Q25" s="34">
        <v>23703</v>
      </c>
      <c r="R25" s="34">
        <v>23523</v>
      </c>
      <c r="S25" s="34">
        <v>23314</v>
      </c>
      <c r="T25" s="34">
        <v>23384</v>
      </c>
      <c r="U25" s="34">
        <v>25130</v>
      </c>
      <c r="V25" s="34">
        <v>26978</v>
      </c>
      <c r="W25" s="34">
        <v>25947</v>
      </c>
      <c r="X25" s="34">
        <v>24473</v>
      </c>
      <c r="Y25" s="34">
        <v>22164</v>
      </c>
      <c r="Z25" s="35">
        <v>19880</v>
      </c>
      <c r="AA25" s="33">
        <f t="shared" si="0"/>
        <v>508381</v>
      </c>
      <c r="AB25" s="19">
        <v>5</v>
      </c>
      <c r="AC25" s="81"/>
      <c r="AD25" s="47"/>
    </row>
    <row r="26" spans="1:30" ht="15.75" thickBot="1" x14ac:dyDescent="0.3">
      <c r="A26" s="79"/>
      <c r="B26" s="20" t="s">
        <v>3</v>
      </c>
      <c r="C26" s="37">
        <v>18387</v>
      </c>
      <c r="D26" s="37">
        <v>17258</v>
      </c>
      <c r="E26" s="37">
        <v>16512</v>
      </c>
      <c r="F26" s="37">
        <v>16025</v>
      </c>
      <c r="G26" s="37">
        <v>15873</v>
      </c>
      <c r="H26" s="37">
        <v>15879</v>
      </c>
      <c r="I26" s="37">
        <v>15983</v>
      </c>
      <c r="J26" s="37">
        <v>17436</v>
      </c>
      <c r="K26" s="37">
        <v>19178</v>
      </c>
      <c r="L26" s="37">
        <v>20624</v>
      </c>
      <c r="M26" s="37">
        <v>21677</v>
      </c>
      <c r="N26" s="37">
        <v>22652</v>
      </c>
      <c r="O26" s="37">
        <v>23136</v>
      </c>
      <c r="P26" s="37">
        <v>22882</v>
      </c>
      <c r="Q26" s="37">
        <v>22376</v>
      </c>
      <c r="R26" s="37">
        <v>22108</v>
      </c>
      <c r="S26" s="37">
        <v>21900</v>
      </c>
      <c r="T26" s="37">
        <v>21996</v>
      </c>
      <c r="U26" s="37">
        <v>23847</v>
      </c>
      <c r="V26" s="37">
        <v>26124</v>
      </c>
      <c r="W26" s="37">
        <v>25459</v>
      </c>
      <c r="X26" s="37">
        <v>23926</v>
      </c>
      <c r="Y26" s="37">
        <v>21436</v>
      </c>
      <c r="Z26" s="38">
        <v>19074</v>
      </c>
      <c r="AA26" s="33">
        <f t="shared" si="0"/>
        <v>491748</v>
      </c>
      <c r="AB26" s="21">
        <v>7</v>
      </c>
      <c r="AC26" s="82"/>
      <c r="AD26" s="47"/>
    </row>
    <row r="27" spans="1:30" ht="15.75" thickBot="1" x14ac:dyDescent="0.3">
      <c r="A27" s="79">
        <v>46966</v>
      </c>
      <c r="B27" s="16" t="s">
        <v>5</v>
      </c>
      <c r="C27" s="31">
        <v>17491</v>
      </c>
      <c r="D27" s="31">
        <v>16559</v>
      </c>
      <c r="E27" s="31">
        <v>16044</v>
      </c>
      <c r="F27" s="31">
        <v>15740</v>
      </c>
      <c r="G27" s="31">
        <v>16015</v>
      </c>
      <c r="H27" s="31">
        <v>17126</v>
      </c>
      <c r="I27" s="31">
        <v>18115</v>
      </c>
      <c r="J27" s="31">
        <v>19795</v>
      </c>
      <c r="K27" s="31">
        <v>21553</v>
      </c>
      <c r="L27" s="31">
        <v>22899</v>
      </c>
      <c r="M27" s="31">
        <v>24325</v>
      </c>
      <c r="N27" s="31">
        <v>25575</v>
      </c>
      <c r="O27" s="31">
        <v>25135</v>
      </c>
      <c r="P27" s="31">
        <v>25334</v>
      </c>
      <c r="Q27" s="31">
        <v>25848</v>
      </c>
      <c r="R27" s="31">
        <v>25889</v>
      </c>
      <c r="S27" s="31">
        <v>25517</v>
      </c>
      <c r="T27" s="31">
        <v>24871</v>
      </c>
      <c r="U27" s="31">
        <v>26612</v>
      </c>
      <c r="V27" s="31">
        <v>28224</v>
      </c>
      <c r="W27" s="31">
        <v>27239</v>
      </c>
      <c r="X27" s="31">
        <v>25334</v>
      </c>
      <c r="Y27" s="31">
        <v>22316</v>
      </c>
      <c r="Z27" s="32">
        <v>19592</v>
      </c>
      <c r="AA27" s="33">
        <f t="shared" si="0"/>
        <v>533148</v>
      </c>
      <c r="AB27" s="17">
        <v>21</v>
      </c>
      <c r="AC27" s="80">
        <f>+AA27*AB27+AA28*AB28+AA29*AB29</f>
        <v>16264576</v>
      </c>
      <c r="AD27" s="47"/>
    </row>
    <row r="28" spans="1:30" ht="15.75" thickBot="1" x14ac:dyDescent="0.3">
      <c r="A28" s="79"/>
      <c r="B28" s="18" t="s">
        <v>4</v>
      </c>
      <c r="C28" s="34">
        <v>18206</v>
      </c>
      <c r="D28" s="34">
        <v>17195</v>
      </c>
      <c r="E28" s="34">
        <v>16563</v>
      </c>
      <c r="F28" s="34">
        <v>16089</v>
      </c>
      <c r="G28" s="34">
        <v>16054</v>
      </c>
      <c r="H28" s="34">
        <v>16499</v>
      </c>
      <c r="I28" s="34">
        <v>17028</v>
      </c>
      <c r="J28" s="34">
        <v>19183</v>
      </c>
      <c r="K28" s="34">
        <v>21363</v>
      </c>
      <c r="L28" s="34">
        <v>22857</v>
      </c>
      <c r="M28" s="34">
        <v>24166</v>
      </c>
      <c r="N28" s="34">
        <v>25156</v>
      </c>
      <c r="O28" s="34">
        <v>25164</v>
      </c>
      <c r="P28" s="34">
        <v>24893</v>
      </c>
      <c r="Q28" s="34">
        <v>24633</v>
      </c>
      <c r="R28" s="34">
        <v>24483</v>
      </c>
      <c r="S28" s="34">
        <v>24155</v>
      </c>
      <c r="T28" s="34">
        <v>24109</v>
      </c>
      <c r="U28" s="34">
        <v>26265</v>
      </c>
      <c r="V28" s="34">
        <v>27688</v>
      </c>
      <c r="W28" s="34">
        <v>26640</v>
      </c>
      <c r="X28" s="34">
        <v>25118</v>
      </c>
      <c r="Y28" s="34">
        <v>22902</v>
      </c>
      <c r="Z28" s="35">
        <v>20518</v>
      </c>
      <c r="AA28" s="33">
        <f t="shared" si="0"/>
        <v>526927</v>
      </c>
      <c r="AB28" s="19">
        <v>4</v>
      </c>
      <c r="AC28" s="81"/>
      <c r="AD28" s="47"/>
    </row>
    <row r="29" spans="1:30" ht="15.75" thickBot="1" x14ac:dyDescent="0.3">
      <c r="A29" s="79"/>
      <c r="B29" s="20" t="s">
        <v>3</v>
      </c>
      <c r="C29" s="37">
        <v>18546</v>
      </c>
      <c r="D29" s="37">
        <v>17396</v>
      </c>
      <c r="E29" s="37">
        <v>16638</v>
      </c>
      <c r="F29" s="37">
        <v>16155</v>
      </c>
      <c r="G29" s="37">
        <v>15998</v>
      </c>
      <c r="H29" s="37">
        <v>16051</v>
      </c>
      <c r="I29" s="37">
        <v>16049</v>
      </c>
      <c r="J29" s="37">
        <v>17561</v>
      </c>
      <c r="K29" s="37">
        <v>19268</v>
      </c>
      <c r="L29" s="37">
        <v>20676</v>
      </c>
      <c r="M29" s="37">
        <v>21672</v>
      </c>
      <c r="N29" s="37">
        <v>22705</v>
      </c>
      <c r="O29" s="37">
        <v>23238</v>
      </c>
      <c r="P29" s="37">
        <v>23030</v>
      </c>
      <c r="Q29" s="37">
        <v>22465</v>
      </c>
      <c r="R29" s="37">
        <v>22086</v>
      </c>
      <c r="S29" s="37">
        <v>21943</v>
      </c>
      <c r="T29" s="37">
        <v>22004</v>
      </c>
      <c r="U29" s="37">
        <v>24240</v>
      </c>
      <c r="V29" s="37">
        <v>26182</v>
      </c>
      <c r="W29" s="37">
        <v>25405</v>
      </c>
      <c r="X29" s="37">
        <v>23810</v>
      </c>
      <c r="Y29" s="37">
        <v>21380</v>
      </c>
      <c r="Z29" s="38">
        <v>18962</v>
      </c>
      <c r="AA29" s="33">
        <f t="shared" si="0"/>
        <v>493460</v>
      </c>
      <c r="AB29" s="21">
        <v>6</v>
      </c>
      <c r="AC29" s="82"/>
      <c r="AD29" s="47"/>
    </row>
    <row r="30" spans="1:30" ht="15.75" thickBot="1" x14ac:dyDescent="0.3">
      <c r="A30" s="79">
        <v>46997</v>
      </c>
      <c r="B30" s="16" t="s">
        <v>5</v>
      </c>
      <c r="C30" s="31">
        <v>17804</v>
      </c>
      <c r="D30" s="31">
        <v>16823</v>
      </c>
      <c r="E30" s="31">
        <v>16210</v>
      </c>
      <c r="F30" s="31">
        <v>15942</v>
      </c>
      <c r="G30" s="31">
        <v>16201</v>
      </c>
      <c r="H30" s="31">
        <v>17263</v>
      </c>
      <c r="I30" s="31">
        <v>18286</v>
      </c>
      <c r="J30" s="31">
        <v>20020</v>
      </c>
      <c r="K30" s="31">
        <v>21762</v>
      </c>
      <c r="L30" s="31">
        <v>23210</v>
      </c>
      <c r="M30" s="31">
        <v>24648</v>
      </c>
      <c r="N30" s="31">
        <v>25966</v>
      </c>
      <c r="O30" s="31">
        <v>25514</v>
      </c>
      <c r="P30" s="31">
        <v>25698</v>
      </c>
      <c r="Q30" s="31">
        <v>26299</v>
      </c>
      <c r="R30" s="31">
        <v>26449</v>
      </c>
      <c r="S30" s="31">
        <v>26069</v>
      </c>
      <c r="T30" s="31">
        <v>25535</v>
      </c>
      <c r="U30" s="31">
        <v>27924</v>
      </c>
      <c r="V30" s="31">
        <v>28569</v>
      </c>
      <c r="W30" s="31">
        <v>27496</v>
      </c>
      <c r="X30" s="31">
        <v>25558</v>
      </c>
      <c r="Y30" s="31">
        <v>22478</v>
      </c>
      <c r="Z30" s="32">
        <v>19760</v>
      </c>
      <c r="AA30" s="33">
        <f t="shared" si="0"/>
        <v>541484</v>
      </c>
      <c r="AB30" s="17">
        <v>21</v>
      </c>
      <c r="AC30" s="80">
        <f>+AA30*AB30+AA31*AB31+AA32*AB32</f>
        <v>15978440</v>
      </c>
      <c r="AD30" s="47"/>
    </row>
    <row r="31" spans="1:30" ht="15.75" thickBot="1" x14ac:dyDescent="0.3">
      <c r="A31" s="79"/>
      <c r="B31" s="18" t="s">
        <v>4</v>
      </c>
      <c r="C31" s="34">
        <v>18279</v>
      </c>
      <c r="D31" s="34">
        <v>17112</v>
      </c>
      <c r="E31" s="34">
        <v>16481</v>
      </c>
      <c r="F31" s="34">
        <v>16134</v>
      </c>
      <c r="G31" s="34">
        <v>16149</v>
      </c>
      <c r="H31" s="34">
        <v>16298</v>
      </c>
      <c r="I31" s="34">
        <v>17115</v>
      </c>
      <c r="J31" s="34">
        <v>19438</v>
      </c>
      <c r="K31" s="34">
        <v>21652</v>
      </c>
      <c r="L31" s="34">
        <v>23232</v>
      </c>
      <c r="M31" s="34">
        <v>24482</v>
      </c>
      <c r="N31" s="34">
        <v>25484</v>
      </c>
      <c r="O31" s="34">
        <v>25421</v>
      </c>
      <c r="P31" s="34">
        <v>25096</v>
      </c>
      <c r="Q31" s="34">
        <v>24795</v>
      </c>
      <c r="R31" s="34">
        <v>24577</v>
      </c>
      <c r="S31" s="34">
        <v>24366</v>
      </c>
      <c r="T31" s="34">
        <v>24547</v>
      </c>
      <c r="U31" s="34">
        <v>27168</v>
      </c>
      <c r="V31" s="34">
        <v>27754</v>
      </c>
      <c r="W31" s="34">
        <v>26536</v>
      </c>
      <c r="X31" s="34">
        <v>24979</v>
      </c>
      <c r="Y31" s="34">
        <v>22706</v>
      </c>
      <c r="Z31" s="35">
        <v>20383</v>
      </c>
      <c r="AA31" s="33">
        <f t="shared" si="0"/>
        <v>530184</v>
      </c>
      <c r="AB31" s="19">
        <v>5</v>
      </c>
      <c r="AC31" s="81"/>
      <c r="AD31" s="47"/>
    </row>
    <row r="32" spans="1:30" ht="15.75" thickBot="1" x14ac:dyDescent="0.3">
      <c r="A32" s="79"/>
      <c r="B32" s="20" t="s">
        <v>3</v>
      </c>
      <c r="C32" s="37">
        <v>18611</v>
      </c>
      <c r="D32" s="37">
        <v>17494</v>
      </c>
      <c r="E32" s="37">
        <v>16760</v>
      </c>
      <c r="F32" s="37">
        <v>16192</v>
      </c>
      <c r="G32" s="37">
        <v>15935</v>
      </c>
      <c r="H32" s="37">
        <v>15741</v>
      </c>
      <c r="I32" s="37">
        <v>15861</v>
      </c>
      <c r="J32" s="37">
        <v>17345</v>
      </c>
      <c r="K32" s="37">
        <v>19018</v>
      </c>
      <c r="L32" s="37">
        <v>20391</v>
      </c>
      <c r="M32" s="37">
        <v>21348</v>
      </c>
      <c r="N32" s="37">
        <v>22262</v>
      </c>
      <c r="O32" s="37">
        <v>22790</v>
      </c>
      <c r="P32" s="37">
        <v>22629</v>
      </c>
      <c r="Q32" s="37">
        <v>22151</v>
      </c>
      <c r="R32" s="37">
        <v>21919</v>
      </c>
      <c r="S32" s="37">
        <v>21769</v>
      </c>
      <c r="T32" s="37">
        <v>21943</v>
      </c>
      <c r="U32" s="37">
        <v>24803</v>
      </c>
      <c r="V32" s="37">
        <v>25777</v>
      </c>
      <c r="W32" s="37">
        <v>25064</v>
      </c>
      <c r="X32" s="37">
        <v>23502</v>
      </c>
      <c r="Y32" s="37">
        <v>21062</v>
      </c>
      <c r="Z32" s="38">
        <v>18722</v>
      </c>
      <c r="AA32" s="33">
        <f t="shared" si="0"/>
        <v>489089</v>
      </c>
      <c r="AB32" s="21">
        <v>4</v>
      </c>
      <c r="AC32" s="82"/>
      <c r="AD32" s="47"/>
    </row>
    <row r="33" spans="1:30" ht="15.75" thickBot="1" x14ac:dyDescent="0.3">
      <c r="A33" s="79">
        <v>47027</v>
      </c>
      <c r="B33" s="16" t="s">
        <v>5</v>
      </c>
      <c r="C33" s="31">
        <v>16871</v>
      </c>
      <c r="D33" s="31">
        <v>15967</v>
      </c>
      <c r="E33" s="31">
        <v>15464</v>
      </c>
      <c r="F33" s="31">
        <v>15195</v>
      </c>
      <c r="G33" s="31">
        <v>15493</v>
      </c>
      <c r="H33" s="31">
        <v>16348</v>
      </c>
      <c r="I33" s="31">
        <v>17438</v>
      </c>
      <c r="J33" s="31">
        <v>19071</v>
      </c>
      <c r="K33" s="31">
        <v>20710</v>
      </c>
      <c r="L33" s="31">
        <v>22003</v>
      </c>
      <c r="M33" s="31">
        <v>23343</v>
      </c>
      <c r="N33" s="31">
        <v>24585</v>
      </c>
      <c r="O33" s="31">
        <v>24154</v>
      </c>
      <c r="P33" s="31">
        <v>24286</v>
      </c>
      <c r="Q33" s="31">
        <v>24843</v>
      </c>
      <c r="R33" s="31">
        <v>24962</v>
      </c>
      <c r="S33" s="31">
        <v>24686</v>
      </c>
      <c r="T33" s="31">
        <v>24758</v>
      </c>
      <c r="U33" s="31">
        <v>27496</v>
      </c>
      <c r="V33" s="31">
        <v>27356</v>
      </c>
      <c r="W33" s="31">
        <v>26155</v>
      </c>
      <c r="X33" s="31">
        <v>24194</v>
      </c>
      <c r="Y33" s="31">
        <v>21316</v>
      </c>
      <c r="Z33" s="32">
        <v>18755</v>
      </c>
      <c r="AA33" s="33">
        <f t="shared" si="0"/>
        <v>515449</v>
      </c>
      <c r="AB33" s="17">
        <v>21</v>
      </c>
      <c r="AC33" s="80">
        <f>+AA33*AB33+AA34*AB34+AA35*AB35</f>
        <v>15782815</v>
      </c>
      <c r="AD33" s="47"/>
    </row>
    <row r="34" spans="1:30" ht="15.75" thickBot="1" x14ac:dyDescent="0.3">
      <c r="A34" s="79"/>
      <c r="B34" s="18" t="s">
        <v>4</v>
      </c>
      <c r="C34" s="34">
        <v>17761</v>
      </c>
      <c r="D34" s="34">
        <v>16748</v>
      </c>
      <c r="E34" s="34">
        <v>16134</v>
      </c>
      <c r="F34" s="34">
        <v>15726</v>
      </c>
      <c r="G34" s="34">
        <v>15808</v>
      </c>
      <c r="H34" s="34">
        <v>16053</v>
      </c>
      <c r="I34" s="34">
        <v>16960</v>
      </c>
      <c r="J34" s="34">
        <v>19049</v>
      </c>
      <c r="K34" s="34">
        <v>21130</v>
      </c>
      <c r="L34" s="34">
        <v>22575</v>
      </c>
      <c r="M34" s="34">
        <v>23805</v>
      </c>
      <c r="N34" s="34">
        <v>24837</v>
      </c>
      <c r="O34" s="34">
        <v>24877</v>
      </c>
      <c r="P34" s="34">
        <v>24596</v>
      </c>
      <c r="Q34" s="34">
        <v>24297</v>
      </c>
      <c r="R34" s="34">
        <v>24112</v>
      </c>
      <c r="S34" s="34">
        <v>23895</v>
      </c>
      <c r="T34" s="34">
        <v>24648</v>
      </c>
      <c r="U34" s="34">
        <v>27776</v>
      </c>
      <c r="V34" s="34">
        <v>27727</v>
      </c>
      <c r="W34" s="34">
        <v>26553</v>
      </c>
      <c r="X34" s="34">
        <v>24774</v>
      </c>
      <c r="Y34" s="34">
        <v>22582</v>
      </c>
      <c r="Z34" s="35">
        <v>20199</v>
      </c>
      <c r="AA34" s="33">
        <f t="shared" si="0"/>
        <v>522622</v>
      </c>
      <c r="AB34" s="19">
        <v>4</v>
      </c>
      <c r="AC34" s="81"/>
      <c r="AD34" s="47"/>
    </row>
    <row r="35" spans="1:30" ht="15.75" thickBot="1" x14ac:dyDescent="0.3">
      <c r="A35" s="79"/>
      <c r="B35" s="20" t="s">
        <v>3</v>
      </c>
      <c r="C35" s="37">
        <v>17821</v>
      </c>
      <c r="D35" s="37">
        <v>16742</v>
      </c>
      <c r="E35" s="37">
        <v>15998</v>
      </c>
      <c r="F35" s="37">
        <v>15478</v>
      </c>
      <c r="G35" s="37">
        <v>15312</v>
      </c>
      <c r="H35" s="37">
        <v>15097</v>
      </c>
      <c r="I35" s="37">
        <v>15385</v>
      </c>
      <c r="J35" s="37">
        <v>16798</v>
      </c>
      <c r="K35" s="37">
        <v>18400</v>
      </c>
      <c r="L35" s="37">
        <v>19807</v>
      </c>
      <c r="M35" s="37">
        <v>20805</v>
      </c>
      <c r="N35" s="37">
        <v>21786</v>
      </c>
      <c r="O35" s="37">
        <v>22337</v>
      </c>
      <c r="P35" s="37">
        <v>22153</v>
      </c>
      <c r="Q35" s="37">
        <v>21732</v>
      </c>
      <c r="R35" s="37">
        <v>21519</v>
      </c>
      <c r="S35" s="37">
        <v>21396</v>
      </c>
      <c r="T35" s="37">
        <v>22056</v>
      </c>
      <c r="U35" s="37">
        <v>25207</v>
      </c>
      <c r="V35" s="37">
        <v>25466</v>
      </c>
      <c r="W35" s="37">
        <v>24649</v>
      </c>
      <c r="X35" s="37">
        <v>23039</v>
      </c>
      <c r="Y35" s="37">
        <v>20649</v>
      </c>
      <c r="Z35" s="38">
        <v>18351</v>
      </c>
      <c r="AA35" s="33">
        <f t="shared" si="0"/>
        <v>477983</v>
      </c>
      <c r="AB35" s="21">
        <v>6</v>
      </c>
      <c r="AC35" s="82"/>
      <c r="AD35" s="47"/>
    </row>
    <row r="36" spans="1:30" ht="15.75" thickBot="1" x14ac:dyDescent="0.3">
      <c r="A36" s="79">
        <v>47058</v>
      </c>
      <c r="B36" s="16" t="s">
        <v>5</v>
      </c>
      <c r="C36" s="31">
        <v>16560</v>
      </c>
      <c r="D36" s="31">
        <v>15657</v>
      </c>
      <c r="E36" s="31">
        <v>15157</v>
      </c>
      <c r="F36" s="31">
        <v>14922</v>
      </c>
      <c r="G36" s="31">
        <v>15269</v>
      </c>
      <c r="H36" s="31">
        <v>16245</v>
      </c>
      <c r="I36" s="31">
        <v>17404</v>
      </c>
      <c r="J36" s="31">
        <v>19062</v>
      </c>
      <c r="K36" s="31">
        <v>20672</v>
      </c>
      <c r="L36" s="31">
        <v>21917</v>
      </c>
      <c r="M36" s="31">
        <v>23250</v>
      </c>
      <c r="N36" s="31">
        <v>24528</v>
      </c>
      <c r="O36" s="31">
        <v>24027</v>
      </c>
      <c r="P36" s="31">
        <v>24041</v>
      </c>
      <c r="Q36" s="31">
        <v>24585</v>
      </c>
      <c r="R36" s="31">
        <v>24560</v>
      </c>
      <c r="S36" s="31">
        <v>24359</v>
      </c>
      <c r="T36" s="31">
        <v>24691</v>
      </c>
      <c r="U36" s="31">
        <v>27550</v>
      </c>
      <c r="V36" s="31">
        <v>27398</v>
      </c>
      <c r="W36" s="31">
        <v>26180</v>
      </c>
      <c r="X36" s="31">
        <v>24115</v>
      </c>
      <c r="Y36" s="31">
        <v>21151</v>
      </c>
      <c r="Z36" s="32">
        <v>18499</v>
      </c>
      <c r="AA36" s="33">
        <f t="shared" si="0"/>
        <v>511799</v>
      </c>
      <c r="AB36" s="17">
        <v>20</v>
      </c>
      <c r="AC36" s="80">
        <f>+AA36*AB36+AA37*AB37+AA38*AB38</f>
        <v>15031440</v>
      </c>
      <c r="AD36" s="47"/>
    </row>
    <row r="37" spans="1:30" ht="15.75" thickBot="1" x14ac:dyDescent="0.3">
      <c r="A37" s="79"/>
      <c r="B37" s="18" t="s">
        <v>4</v>
      </c>
      <c r="C37" s="34">
        <v>17004</v>
      </c>
      <c r="D37" s="34">
        <v>16045</v>
      </c>
      <c r="E37" s="34">
        <v>15460</v>
      </c>
      <c r="F37" s="34">
        <v>15085</v>
      </c>
      <c r="G37" s="34">
        <v>15151</v>
      </c>
      <c r="H37" s="34">
        <v>15340</v>
      </c>
      <c r="I37" s="34">
        <v>16176</v>
      </c>
      <c r="J37" s="34">
        <v>18100</v>
      </c>
      <c r="K37" s="34">
        <v>20134</v>
      </c>
      <c r="L37" s="34">
        <v>21553</v>
      </c>
      <c r="M37" s="34">
        <v>22686</v>
      </c>
      <c r="N37" s="34">
        <v>23729</v>
      </c>
      <c r="O37" s="34">
        <v>23632</v>
      </c>
      <c r="P37" s="34">
        <v>23192</v>
      </c>
      <c r="Q37" s="34">
        <v>23063</v>
      </c>
      <c r="R37" s="34">
        <v>22989</v>
      </c>
      <c r="S37" s="34">
        <v>22854</v>
      </c>
      <c r="T37" s="34">
        <v>23673</v>
      </c>
      <c r="U37" s="34">
        <v>26856</v>
      </c>
      <c r="V37" s="34">
        <v>26776</v>
      </c>
      <c r="W37" s="34">
        <v>25549</v>
      </c>
      <c r="X37" s="34">
        <v>23981</v>
      </c>
      <c r="Y37" s="34">
        <v>21660</v>
      </c>
      <c r="Z37" s="35">
        <v>19327</v>
      </c>
      <c r="AA37" s="33">
        <f t="shared" si="0"/>
        <v>500015</v>
      </c>
      <c r="AB37" s="19">
        <v>4</v>
      </c>
      <c r="AC37" s="81"/>
      <c r="AD37" s="47"/>
    </row>
    <row r="38" spans="1:30" ht="15.75" thickBot="1" x14ac:dyDescent="0.3">
      <c r="A38" s="79"/>
      <c r="B38" s="20" t="s">
        <v>3</v>
      </c>
      <c r="C38" s="37">
        <v>17074</v>
      </c>
      <c r="D38" s="37">
        <v>16046</v>
      </c>
      <c r="E38" s="37">
        <v>15350</v>
      </c>
      <c r="F38" s="37">
        <v>14840</v>
      </c>
      <c r="G38" s="37">
        <v>14771</v>
      </c>
      <c r="H38" s="37">
        <v>14589</v>
      </c>
      <c r="I38" s="37">
        <v>14936</v>
      </c>
      <c r="J38" s="37">
        <v>16408</v>
      </c>
      <c r="K38" s="37">
        <v>18013</v>
      </c>
      <c r="L38" s="37">
        <v>19392</v>
      </c>
      <c r="M38" s="37">
        <v>20394</v>
      </c>
      <c r="N38" s="37">
        <v>21413</v>
      </c>
      <c r="O38" s="37">
        <v>21918</v>
      </c>
      <c r="P38" s="37">
        <v>21718</v>
      </c>
      <c r="Q38" s="37">
        <v>21236</v>
      </c>
      <c r="R38" s="37">
        <v>20895</v>
      </c>
      <c r="S38" s="37">
        <v>20797</v>
      </c>
      <c r="T38" s="37">
        <v>21539</v>
      </c>
      <c r="U38" s="37">
        <v>24748</v>
      </c>
      <c r="V38" s="37">
        <v>25046</v>
      </c>
      <c r="W38" s="37">
        <v>24221</v>
      </c>
      <c r="X38" s="37">
        <v>22587</v>
      </c>
      <c r="Y38" s="37">
        <v>20142</v>
      </c>
      <c r="Z38" s="38">
        <v>17827</v>
      </c>
      <c r="AA38" s="33">
        <f t="shared" si="0"/>
        <v>465900</v>
      </c>
      <c r="AB38" s="21">
        <v>6</v>
      </c>
      <c r="AC38" s="82"/>
      <c r="AD38" s="47"/>
    </row>
    <row r="39" spans="1:30" ht="15.75" thickBot="1" x14ac:dyDescent="0.3">
      <c r="A39" s="79">
        <v>47088</v>
      </c>
      <c r="B39" s="16" t="s">
        <v>5</v>
      </c>
      <c r="C39" s="31">
        <v>17741</v>
      </c>
      <c r="D39" s="31">
        <v>16668</v>
      </c>
      <c r="E39" s="31">
        <v>16048</v>
      </c>
      <c r="F39" s="31">
        <v>15729</v>
      </c>
      <c r="G39" s="31">
        <v>15948</v>
      </c>
      <c r="H39" s="31">
        <v>16648</v>
      </c>
      <c r="I39" s="31">
        <v>17426</v>
      </c>
      <c r="J39" s="31">
        <v>19477</v>
      </c>
      <c r="K39" s="31">
        <v>21392</v>
      </c>
      <c r="L39" s="31">
        <v>22807</v>
      </c>
      <c r="M39" s="31">
        <v>24099</v>
      </c>
      <c r="N39" s="31">
        <v>25408</v>
      </c>
      <c r="O39" s="31">
        <v>25158</v>
      </c>
      <c r="P39" s="31">
        <v>25138</v>
      </c>
      <c r="Q39" s="31">
        <v>25509</v>
      </c>
      <c r="R39" s="31">
        <v>25477</v>
      </c>
      <c r="S39" s="31">
        <v>25110</v>
      </c>
      <c r="T39" s="31">
        <v>24943</v>
      </c>
      <c r="U39" s="31">
        <v>27725</v>
      </c>
      <c r="V39" s="31">
        <v>28154</v>
      </c>
      <c r="W39" s="31">
        <v>27062</v>
      </c>
      <c r="X39" s="31">
        <v>25316</v>
      </c>
      <c r="Y39" s="31">
        <v>22637</v>
      </c>
      <c r="Z39" s="32">
        <v>20072</v>
      </c>
      <c r="AA39" s="33">
        <f t="shared" si="0"/>
        <v>531692</v>
      </c>
      <c r="AB39" s="17">
        <v>19</v>
      </c>
      <c r="AC39" s="80">
        <f>+AA39*AB39+AA40*AB40+AA41*AB41</f>
        <v>16057734</v>
      </c>
      <c r="AD39" s="47"/>
    </row>
    <row r="40" spans="1:30" ht="15.75" thickBot="1" x14ac:dyDescent="0.3">
      <c r="A40" s="79"/>
      <c r="B40" s="18" t="s">
        <v>4</v>
      </c>
      <c r="C40" s="34">
        <v>17911</v>
      </c>
      <c r="D40" s="34">
        <v>16829</v>
      </c>
      <c r="E40" s="34">
        <v>16211</v>
      </c>
      <c r="F40" s="34">
        <v>15802</v>
      </c>
      <c r="G40" s="34">
        <v>15824</v>
      </c>
      <c r="H40" s="34">
        <v>16218</v>
      </c>
      <c r="I40" s="34">
        <v>16695</v>
      </c>
      <c r="J40" s="34">
        <v>18612</v>
      </c>
      <c r="K40" s="34">
        <v>20568</v>
      </c>
      <c r="L40" s="34">
        <v>21931</v>
      </c>
      <c r="M40" s="34">
        <v>23026</v>
      </c>
      <c r="N40" s="34">
        <v>23940</v>
      </c>
      <c r="O40" s="34">
        <v>23939</v>
      </c>
      <c r="P40" s="34">
        <v>23597</v>
      </c>
      <c r="Q40" s="34">
        <v>23377</v>
      </c>
      <c r="R40" s="34">
        <v>23133</v>
      </c>
      <c r="S40" s="34">
        <v>22960</v>
      </c>
      <c r="T40" s="34">
        <v>23371</v>
      </c>
      <c r="U40" s="34">
        <v>26478</v>
      </c>
      <c r="V40" s="34">
        <v>26842</v>
      </c>
      <c r="W40" s="34">
        <v>25768</v>
      </c>
      <c r="X40" s="34">
        <v>24232</v>
      </c>
      <c r="Y40" s="34">
        <v>22041</v>
      </c>
      <c r="Z40" s="35">
        <v>19924</v>
      </c>
      <c r="AA40" s="33">
        <f t="shared" si="0"/>
        <v>509229</v>
      </c>
      <c r="AB40" s="19">
        <v>5</v>
      </c>
      <c r="AC40" s="81"/>
      <c r="AD40" s="47"/>
    </row>
    <row r="41" spans="1:30" ht="15.75" thickBot="1" x14ac:dyDescent="0.3">
      <c r="A41" s="79"/>
      <c r="B41" s="20" t="s">
        <v>3</v>
      </c>
      <c r="C41" s="37">
        <v>18504</v>
      </c>
      <c r="D41" s="37">
        <v>17376</v>
      </c>
      <c r="E41" s="37">
        <v>16589</v>
      </c>
      <c r="F41" s="37">
        <v>16030</v>
      </c>
      <c r="G41" s="37">
        <v>15811</v>
      </c>
      <c r="H41" s="37">
        <v>15731</v>
      </c>
      <c r="I41" s="37">
        <v>15706</v>
      </c>
      <c r="J41" s="37">
        <v>16977</v>
      </c>
      <c r="K41" s="37">
        <v>18558</v>
      </c>
      <c r="L41" s="37">
        <v>19946</v>
      </c>
      <c r="M41" s="37">
        <v>20986</v>
      </c>
      <c r="N41" s="37">
        <v>21963</v>
      </c>
      <c r="O41" s="37">
        <v>22489</v>
      </c>
      <c r="P41" s="37">
        <v>22461</v>
      </c>
      <c r="Q41" s="37">
        <v>22105</v>
      </c>
      <c r="R41" s="37">
        <v>21881</v>
      </c>
      <c r="S41" s="37">
        <v>21751</v>
      </c>
      <c r="T41" s="37">
        <v>22163</v>
      </c>
      <c r="U41" s="37">
        <v>25267</v>
      </c>
      <c r="V41" s="37">
        <v>25897</v>
      </c>
      <c r="W41" s="37">
        <v>25012</v>
      </c>
      <c r="X41" s="37">
        <v>23499</v>
      </c>
      <c r="Y41" s="37">
        <v>21288</v>
      </c>
      <c r="Z41" s="38">
        <v>19073</v>
      </c>
      <c r="AA41" s="33">
        <f t="shared" si="0"/>
        <v>487063</v>
      </c>
      <c r="AB41" s="21">
        <v>7</v>
      </c>
      <c r="AC41" s="82"/>
      <c r="AD41" s="47"/>
    </row>
    <row r="42" spans="1:30" x14ac:dyDescent="0.25">
      <c r="A42" s="77" t="s">
        <v>2</v>
      </c>
      <c r="B42" s="78"/>
      <c r="C42" s="29">
        <f t="shared" ref="C42:AC42" si="1">+SUM(C6:C41)</f>
        <v>635084</v>
      </c>
      <c r="D42" s="29">
        <f t="shared" si="1"/>
        <v>597344</v>
      </c>
      <c r="E42" s="29">
        <f t="shared" si="1"/>
        <v>574591</v>
      </c>
      <c r="F42" s="29">
        <f t="shared" si="1"/>
        <v>560520</v>
      </c>
      <c r="G42" s="29">
        <f t="shared" si="1"/>
        <v>562265</v>
      </c>
      <c r="H42" s="29">
        <f t="shared" si="1"/>
        <v>578601</v>
      </c>
      <c r="I42" s="29">
        <f t="shared" si="1"/>
        <v>600483</v>
      </c>
      <c r="J42" s="29">
        <f t="shared" si="1"/>
        <v>660071</v>
      </c>
      <c r="K42" s="29">
        <f t="shared" si="1"/>
        <v>725436</v>
      </c>
      <c r="L42" s="29">
        <f t="shared" si="1"/>
        <v>775809</v>
      </c>
      <c r="M42" s="29">
        <f t="shared" si="1"/>
        <v>818052</v>
      </c>
      <c r="N42" s="29">
        <f t="shared" si="1"/>
        <v>857689</v>
      </c>
      <c r="O42" s="29">
        <f t="shared" si="1"/>
        <v>859258</v>
      </c>
      <c r="P42" s="29">
        <f t="shared" si="1"/>
        <v>854483</v>
      </c>
      <c r="Q42" s="29">
        <f t="shared" si="1"/>
        <v>851452</v>
      </c>
      <c r="R42" s="29">
        <f t="shared" si="1"/>
        <v>847951</v>
      </c>
      <c r="S42" s="29">
        <f t="shared" si="1"/>
        <v>839651</v>
      </c>
      <c r="T42" s="29">
        <f t="shared" si="1"/>
        <v>841138</v>
      </c>
      <c r="U42" s="29">
        <f t="shared" si="1"/>
        <v>925754</v>
      </c>
      <c r="V42" s="29">
        <f t="shared" si="1"/>
        <v>969425</v>
      </c>
      <c r="W42" s="29">
        <f t="shared" si="1"/>
        <v>934464</v>
      </c>
      <c r="X42" s="29">
        <f t="shared" si="1"/>
        <v>873906</v>
      </c>
      <c r="Y42" s="29">
        <f t="shared" si="1"/>
        <v>782529</v>
      </c>
      <c r="Z42" s="29">
        <f t="shared" si="1"/>
        <v>693438</v>
      </c>
      <c r="AA42" s="29">
        <f t="shared" si="1"/>
        <v>18219394</v>
      </c>
      <c r="AB42" s="29">
        <f t="shared" si="1"/>
        <v>366</v>
      </c>
      <c r="AC42" s="44">
        <f t="shared" si="1"/>
        <v>187706297</v>
      </c>
      <c r="AD42" s="47"/>
    </row>
    <row r="43" spans="1:30" x14ac:dyDescent="0.25">
      <c r="AB43" s="4"/>
      <c r="AC43" s="4"/>
    </row>
    <row r="44" spans="1:30" x14ac:dyDescent="0.25">
      <c r="AA44" s="43"/>
      <c r="AC44" s="43"/>
    </row>
    <row r="45" spans="1:30" x14ac:dyDescent="0.25"/>
    <row r="46" spans="1:30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E9E6-CC4E-448E-9416-BCFB75F5E663}">
  <sheetPr codeName="Hoja9">
    <tabColor rgb="FF0070C0"/>
  </sheetPr>
  <dimension ref="A1:AD46"/>
  <sheetViews>
    <sheetView showGridLines="0" zoomScale="115" zoomScaleNormal="115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7" t="s">
        <v>79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</row>
    <row r="2" spans="1:30" ht="15" x14ac:dyDescent="0.25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</row>
    <row r="3" spans="1:30" ht="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ht="15" x14ac:dyDescent="0.25">
      <c r="A4" s="93" t="s">
        <v>35</v>
      </c>
      <c r="B4" s="93" t="s">
        <v>34</v>
      </c>
      <c r="C4" s="85" t="s">
        <v>33</v>
      </c>
      <c r="D4" s="85" t="s">
        <v>32</v>
      </c>
      <c r="E4" s="85" t="s">
        <v>31</v>
      </c>
      <c r="F4" s="85" t="s">
        <v>30</v>
      </c>
      <c r="G4" s="85" t="s">
        <v>29</v>
      </c>
      <c r="H4" s="85" t="s">
        <v>28</v>
      </c>
      <c r="I4" s="85" t="s">
        <v>27</v>
      </c>
      <c r="J4" s="85" t="s">
        <v>26</v>
      </c>
      <c r="K4" s="85" t="s">
        <v>25</v>
      </c>
      <c r="L4" s="85" t="s">
        <v>24</v>
      </c>
      <c r="M4" s="85" t="s">
        <v>23</v>
      </c>
      <c r="N4" s="85" t="s">
        <v>22</v>
      </c>
      <c r="O4" s="85" t="s">
        <v>21</v>
      </c>
      <c r="P4" s="85" t="s">
        <v>20</v>
      </c>
      <c r="Q4" s="85" t="s">
        <v>19</v>
      </c>
      <c r="R4" s="85" t="s">
        <v>18</v>
      </c>
      <c r="S4" s="85" t="s">
        <v>17</v>
      </c>
      <c r="T4" s="85" t="s">
        <v>16</v>
      </c>
      <c r="U4" s="85" t="s">
        <v>15</v>
      </c>
      <c r="V4" s="85" t="s">
        <v>14</v>
      </c>
      <c r="W4" s="85" t="s">
        <v>13</v>
      </c>
      <c r="X4" s="85" t="s">
        <v>12</v>
      </c>
      <c r="Y4" s="85" t="s">
        <v>11</v>
      </c>
      <c r="Z4" s="85" t="s">
        <v>10</v>
      </c>
      <c r="AA4" s="12" t="s">
        <v>9</v>
      </c>
      <c r="AB4" s="13" t="s">
        <v>8</v>
      </c>
      <c r="AC4" s="83" t="s">
        <v>7</v>
      </c>
    </row>
    <row r="5" spans="1:30" ht="15" x14ac:dyDescent="0.25">
      <c r="A5" s="93"/>
      <c r="B5" s="93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14"/>
      <c r="AB5" s="15" t="s">
        <v>6</v>
      </c>
      <c r="AC5" s="84"/>
    </row>
    <row r="6" spans="1:30" ht="15.75" thickBot="1" x14ac:dyDescent="0.3">
      <c r="A6" s="79">
        <v>46753</v>
      </c>
      <c r="B6" s="16" t="s">
        <v>5</v>
      </c>
      <c r="C6" s="31">
        <f>ROUND('Anexo 6'!C6*'Anexo 2'!$D$10,0)</f>
        <v>0</v>
      </c>
      <c r="D6" s="31">
        <f>ROUND('Anexo 6'!D6*'Anexo 2'!$D$10,0)</f>
        <v>0</v>
      </c>
      <c r="E6" s="31">
        <f>ROUND('Anexo 6'!E6*'Anexo 2'!$D$10,0)</f>
        <v>0</v>
      </c>
      <c r="F6" s="31">
        <f>ROUND('Anexo 6'!F6*'Anexo 2'!$D$10,0)</f>
        <v>0</v>
      </c>
      <c r="G6" s="31">
        <f>ROUND('Anexo 6'!G6*'Anexo 2'!$D$10,0)</f>
        <v>0</v>
      </c>
      <c r="H6" s="31">
        <f>ROUND('Anexo 6'!H6*'Anexo 2'!$D$10,0)</f>
        <v>0</v>
      </c>
      <c r="I6" s="31">
        <f>ROUND('Anexo 6'!I6*'Anexo 2'!$D$10,0)</f>
        <v>0</v>
      </c>
      <c r="J6" s="31">
        <f>ROUND('Anexo 6'!J6*'Anexo 2'!$D$10,0)</f>
        <v>0</v>
      </c>
      <c r="K6" s="31">
        <f>ROUND('Anexo 6'!K6*'Anexo 2'!$D$10,0)</f>
        <v>0</v>
      </c>
      <c r="L6" s="31">
        <f>ROUND('Anexo 6'!L6*'Anexo 2'!$D$10,0)</f>
        <v>0</v>
      </c>
      <c r="M6" s="31">
        <f>ROUND('Anexo 6'!M6*'Anexo 2'!$D$10,0)</f>
        <v>0</v>
      </c>
      <c r="N6" s="31">
        <f>ROUND('Anexo 6'!N6*'Anexo 2'!$D$10,0)</f>
        <v>0</v>
      </c>
      <c r="O6" s="31">
        <f>ROUND('Anexo 6'!O6*'Anexo 2'!$D$10,0)</f>
        <v>0</v>
      </c>
      <c r="P6" s="31">
        <f>ROUND('Anexo 6'!P6*'Anexo 2'!$D$10,0)</f>
        <v>0</v>
      </c>
      <c r="Q6" s="31">
        <f>ROUND('Anexo 6'!Q6*'Anexo 2'!$D$10,0)</f>
        <v>0</v>
      </c>
      <c r="R6" s="31">
        <f>ROUND('Anexo 6'!R6*'Anexo 2'!$D$10,0)</f>
        <v>0</v>
      </c>
      <c r="S6" s="31">
        <f>ROUND('Anexo 6'!S6*'Anexo 2'!$D$10,0)</f>
        <v>0</v>
      </c>
      <c r="T6" s="31">
        <f>ROUND('Anexo 6'!T6*'Anexo 2'!$D$10,0)</f>
        <v>0</v>
      </c>
      <c r="U6" s="31">
        <f>ROUND('Anexo 6'!U6*'Anexo 2'!$D$10,0)</f>
        <v>0</v>
      </c>
      <c r="V6" s="31">
        <f>ROUND('Anexo 6'!V6*'Anexo 2'!$D$10,0)</f>
        <v>0</v>
      </c>
      <c r="W6" s="31">
        <f>ROUND('Anexo 6'!W6*'Anexo 2'!$D$10,0)</f>
        <v>0</v>
      </c>
      <c r="X6" s="31">
        <f>ROUND('Anexo 6'!X6*'Anexo 2'!$D$10,0)</f>
        <v>0</v>
      </c>
      <c r="Y6" s="31">
        <f>ROUND('Anexo 6'!Y6*'Anexo 2'!$D$10,0)</f>
        <v>0</v>
      </c>
      <c r="Z6" s="31">
        <f>ROUND('Anexo 6'!Z6*'Anexo 2'!$D$10,0)</f>
        <v>0</v>
      </c>
      <c r="AA6" s="33">
        <f>SUM(C6:Z6)</f>
        <v>0</v>
      </c>
      <c r="AB6" s="17">
        <v>20</v>
      </c>
      <c r="AC6" s="80">
        <f>+AA6*AB6+AA7*AB7+AA8*AB8</f>
        <v>0</v>
      </c>
    </row>
    <row r="7" spans="1:30" ht="15.75" thickBot="1" x14ac:dyDescent="0.3">
      <c r="A7" s="79"/>
      <c r="B7" s="18" t="s">
        <v>4</v>
      </c>
      <c r="C7" s="31">
        <f>ROUND('Anexo 6'!C7*'Anexo 2'!$D$10,0)</f>
        <v>0</v>
      </c>
      <c r="D7" s="31">
        <f>ROUND('Anexo 6'!D7*'Anexo 2'!$D$10,0)</f>
        <v>0</v>
      </c>
      <c r="E7" s="31">
        <f>ROUND('Anexo 6'!E7*'Anexo 2'!$D$10,0)</f>
        <v>0</v>
      </c>
      <c r="F7" s="31">
        <f>ROUND('Anexo 6'!F7*'Anexo 2'!$D$10,0)</f>
        <v>0</v>
      </c>
      <c r="G7" s="31">
        <f>ROUND('Anexo 6'!G7*'Anexo 2'!$D$10,0)</f>
        <v>0</v>
      </c>
      <c r="H7" s="31">
        <f>ROUND('Anexo 6'!H7*'Anexo 2'!$D$10,0)</f>
        <v>0</v>
      </c>
      <c r="I7" s="31">
        <f>ROUND('Anexo 6'!I7*'Anexo 2'!$D$10,0)</f>
        <v>0</v>
      </c>
      <c r="J7" s="31">
        <f>ROUND('Anexo 6'!J7*'Anexo 2'!$D$10,0)</f>
        <v>0</v>
      </c>
      <c r="K7" s="31">
        <f>ROUND('Anexo 6'!K7*'Anexo 2'!$D$10,0)</f>
        <v>0</v>
      </c>
      <c r="L7" s="31">
        <f>ROUND('Anexo 6'!L7*'Anexo 2'!$D$10,0)</f>
        <v>0</v>
      </c>
      <c r="M7" s="31">
        <f>ROUND('Anexo 6'!M7*'Anexo 2'!$D$10,0)</f>
        <v>0</v>
      </c>
      <c r="N7" s="31">
        <f>ROUND('Anexo 6'!N7*'Anexo 2'!$D$10,0)</f>
        <v>0</v>
      </c>
      <c r="O7" s="31">
        <f>ROUND('Anexo 6'!O7*'Anexo 2'!$D$10,0)</f>
        <v>0</v>
      </c>
      <c r="P7" s="31">
        <f>ROUND('Anexo 6'!P7*'Anexo 2'!$D$10,0)</f>
        <v>0</v>
      </c>
      <c r="Q7" s="31">
        <f>ROUND('Anexo 6'!Q7*'Anexo 2'!$D$10,0)</f>
        <v>0</v>
      </c>
      <c r="R7" s="31">
        <f>ROUND('Anexo 6'!R7*'Anexo 2'!$D$10,0)</f>
        <v>0</v>
      </c>
      <c r="S7" s="31">
        <f>ROUND('Anexo 6'!S7*'Anexo 2'!$D$10,0)</f>
        <v>0</v>
      </c>
      <c r="T7" s="31">
        <f>ROUND('Anexo 6'!T7*'Anexo 2'!$D$10,0)</f>
        <v>0</v>
      </c>
      <c r="U7" s="31">
        <f>ROUND('Anexo 6'!U7*'Anexo 2'!$D$10,0)</f>
        <v>0</v>
      </c>
      <c r="V7" s="31">
        <f>ROUND('Anexo 6'!V7*'Anexo 2'!$D$10,0)</f>
        <v>0</v>
      </c>
      <c r="W7" s="31">
        <f>ROUND('Anexo 6'!W7*'Anexo 2'!$D$10,0)</f>
        <v>0</v>
      </c>
      <c r="X7" s="31">
        <f>ROUND('Anexo 6'!X7*'Anexo 2'!$D$10,0)</f>
        <v>0</v>
      </c>
      <c r="Y7" s="31">
        <f>ROUND('Anexo 6'!Y7*'Anexo 2'!$D$10,0)</f>
        <v>0</v>
      </c>
      <c r="Z7" s="31">
        <f>ROUND('Anexo 6'!Z7*'Anexo 2'!$D$10,0)</f>
        <v>0</v>
      </c>
      <c r="AA7" s="36">
        <f t="shared" ref="AA7:AA41" si="0">SUM(C7:Z7)</f>
        <v>0</v>
      </c>
      <c r="AB7" s="19">
        <v>4</v>
      </c>
      <c r="AC7" s="81"/>
      <c r="AD7" s="45"/>
    </row>
    <row r="8" spans="1:30" ht="15.75" thickBot="1" x14ac:dyDescent="0.3">
      <c r="A8" s="79"/>
      <c r="B8" s="20" t="s">
        <v>3</v>
      </c>
      <c r="C8" s="31">
        <f>ROUND('Anexo 6'!C8*'Anexo 2'!$D$10,0)</f>
        <v>0</v>
      </c>
      <c r="D8" s="31">
        <f>ROUND('Anexo 6'!D8*'Anexo 2'!$D$10,0)</f>
        <v>0</v>
      </c>
      <c r="E8" s="31">
        <f>ROUND('Anexo 6'!E8*'Anexo 2'!$D$10,0)</f>
        <v>0</v>
      </c>
      <c r="F8" s="31">
        <f>ROUND('Anexo 6'!F8*'Anexo 2'!$D$10,0)</f>
        <v>0</v>
      </c>
      <c r="G8" s="31">
        <f>ROUND('Anexo 6'!G8*'Anexo 2'!$D$10,0)</f>
        <v>0</v>
      </c>
      <c r="H8" s="31">
        <f>ROUND('Anexo 6'!H8*'Anexo 2'!$D$10,0)</f>
        <v>0</v>
      </c>
      <c r="I8" s="31">
        <f>ROUND('Anexo 6'!I8*'Anexo 2'!$D$10,0)</f>
        <v>0</v>
      </c>
      <c r="J8" s="31">
        <f>ROUND('Anexo 6'!J8*'Anexo 2'!$D$10,0)</f>
        <v>0</v>
      </c>
      <c r="K8" s="31">
        <f>ROUND('Anexo 6'!K8*'Anexo 2'!$D$10,0)</f>
        <v>0</v>
      </c>
      <c r="L8" s="31">
        <f>ROUND('Anexo 6'!L8*'Anexo 2'!$D$10,0)</f>
        <v>0</v>
      </c>
      <c r="M8" s="31">
        <f>ROUND('Anexo 6'!M8*'Anexo 2'!$D$10,0)</f>
        <v>0</v>
      </c>
      <c r="N8" s="31">
        <f>ROUND('Anexo 6'!N8*'Anexo 2'!$D$10,0)</f>
        <v>0</v>
      </c>
      <c r="O8" s="31">
        <f>ROUND('Anexo 6'!O8*'Anexo 2'!$D$10,0)</f>
        <v>0</v>
      </c>
      <c r="P8" s="31">
        <f>ROUND('Anexo 6'!P8*'Anexo 2'!$D$10,0)</f>
        <v>0</v>
      </c>
      <c r="Q8" s="31">
        <f>ROUND('Anexo 6'!Q8*'Anexo 2'!$D$10,0)</f>
        <v>0</v>
      </c>
      <c r="R8" s="31">
        <f>ROUND('Anexo 6'!R8*'Anexo 2'!$D$10,0)</f>
        <v>0</v>
      </c>
      <c r="S8" s="31">
        <f>ROUND('Anexo 6'!S8*'Anexo 2'!$D$10,0)</f>
        <v>0</v>
      </c>
      <c r="T8" s="31">
        <f>ROUND('Anexo 6'!T8*'Anexo 2'!$D$10,0)</f>
        <v>0</v>
      </c>
      <c r="U8" s="31">
        <f>ROUND('Anexo 6'!U8*'Anexo 2'!$D$10,0)</f>
        <v>0</v>
      </c>
      <c r="V8" s="31">
        <f>ROUND('Anexo 6'!V8*'Anexo 2'!$D$10,0)</f>
        <v>0</v>
      </c>
      <c r="W8" s="31">
        <f>ROUND('Anexo 6'!W8*'Anexo 2'!$D$10,0)</f>
        <v>0</v>
      </c>
      <c r="X8" s="31">
        <f>ROUND('Anexo 6'!X8*'Anexo 2'!$D$10,0)</f>
        <v>0</v>
      </c>
      <c r="Y8" s="31">
        <f>ROUND('Anexo 6'!Y8*'Anexo 2'!$D$10,0)</f>
        <v>0</v>
      </c>
      <c r="Z8" s="31">
        <f>ROUND('Anexo 6'!Z8*'Anexo 2'!$D$10,0)</f>
        <v>0</v>
      </c>
      <c r="AA8" s="39">
        <f t="shared" si="0"/>
        <v>0</v>
      </c>
      <c r="AB8" s="21">
        <v>7</v>
      </c>
      <c r="AC8" s="82"/>
      <c r="AD8" s="46"/>
    </row>
    <row r="9" spans="1:30" ht="15.75" thickBot="1" x14ac:dyDescent="0.3">
      <c r="A9" s="79">
        <v>46784</v>
      </c>
      <c r="B9" s="16" t="s">
        <v>5</v>
      </c>
      <c r="C9" s="31">
        <f>ROUND('Anexo 6'!C9*'Anexo 2'!$D$10,0)</f>
        <v>0</v>
      </c>
      <c r="D9" s="31">
        <f>ROUND('Anexo 6'!D9*'Anexo 2'!$D$10,0)</f>
        <v>0</v>
      </c>
      <c r="E9" s="31">
        <f>ROUND('Anexo 6'!E9*'Anexo 2'!$D$10,0)</f>
        <v>0</v>
      </c>
      <c r="F9" s="31">
        <f>ROUND('Anexo 6'!F9*'Anexo 2'!$D$10,0)</f>
        <v>0</v>
      </c>
      <c r="G9" s="31">
        <f>ROUND('Anexo 6'!G9*'Anexo 2'!$D$10,0)</f>
        <v>0</v>
      </c>
      <c r="H9" s="31">
        <f>ROUND('Anexo 6'!H9*'Anexo 2'!$D$10,0)</f>
        <v>0</v>
      </c>
      <c r="I9" s="31">
        <f>ROUND('Anexo 6'!I9*'Anexo 2'!$D$10,0)</f>
        <v>0</v>
      </c>
      <c r="J9" s="31">
        <f>ROUND('Anexo 6'!J9*'Anexo 2'!$D$10,0)</f>
        <v>0</v>
      </c>
      <c r="K9" s="31">
        <f>ROUND('Anexo 6'!K9*'Anexo 2'!$D$10,0)</f>
        <v>0</v>
      </c>
      <c r="L9" s="31">
        <f>ROUND('Anexo 6'!L9*'Anexo 2'!$D$10,0)</f>
        <v>0</v>
      </c>
      <c r="M9" s="31">
        <f>ROUND('Anexo 6'!M9*'Anexo 2'!$D$10,0)</f>
        <v>0</v>
      </c>
      <c r="N9" s="31">
        <f>ROUND('Anexo 6'!N9*'Anexo 2'!$D$10,0)</f>
        <v>0</v>
      </c>
      <c r="O9" s="31">
        <f>ROUND('Anexo 6'!O9*'Anexo 2'!$D$10,0)</f>
        <v>0</v>
      </c>
      <c r="P9" s="31">
        <f>ROUND('Anexo 6'!P9*'Anexo 2'!$D$10,0)</f>
        <v>0</v>
      </c>
      <c r="Q9" s="31">
        <f>ROUND('Anexo 6'!Q9*'Anexo 2'!$D$10,0)</f>
        <v>0</v>
      </c>
      <c r="R9" s="31">
        <f>ROUND('Anexo 6'!R9*'Anexo 2'!$D$10,0)</f>
        <v>0</v>
      </c>
      <c r="S9" s="31">
        <f>ROUND('Anexo 6'!S9*'Anexo 2'!$D$10,0)</f>
        <v>0</v>
      </c>
      <c r="T9" s="31">
        <f>ROUND('Anexo 6'!T9*'Anexo 2'!$D$10,0)</f>
        <v>0</v>
      </c>
      <c r="U9" s="31">
        <f>ROUND('Anexo 6'!U9*'Anexo 2'!$D$10,0)</f>
        <v>0</v>
      </c>
      <c r="V9" s="31">
        <f>ROUND('Anexo 6'!V9*'Anexo 2'!$D$10,0)</f>
        <v>0</v>
      </c>
      <c r="W9" s="31">
        <f>ROUND('Anexo 6'!W9*'Anexo 2'!$D$10,0)</f>
        <v>0</v>
      </c>
      <c r="X9" s="31">
        <f>ROUND('Anexo 6'!X9*'Anexo 2'!$D$10,0)</f>
        <v>0</v>
      </c>
      <c r="Y9" s="31">
        <f>ROUND('Anexo 6'!Y9*'Anexo 2'!$D$10,0)</f>
        <v>0</v>
      </c>
      <c r="Z9" s="31">
        <f>ROUND('Anexo 6'!Z9*'Anexo 2'!$D$10,0)</f>
        <v>0</v>
      </c>
      <c r="AA9" s="33">
        <f t="shared" si="0"/>
        <v>0</v>
      </c>
      <c r="AB9" s="17">
        <v>21</v>
      </c>
      <c r="AC9" s="80">
        <f>+AA9*AB9+AA10*AB10+AA11*AB11</f>
        <v>0</v>
      </c>
    </row>
    <row r="10" spans="1:30" ht="15.75" thickBot="1" x14ac:dyDescent="0.3">
      <c r="A10" s="79"/>
      <c r="B10" s="18" t="s">
        <v>4</v>
      </c>
      <c r="C10" s="31">
        <f>ROUND('Anexo 6'!C10*'Anexo 2'!$D$10,0)</f>
        <v>0</v>
      </c>
      <c r="D10" s="31">
        <f>ROUND('Anexo 6'!D10*'Anexo 2'!$D$10,0)</f>
        <v>0</v>
      </c>
      <c r="E10" s="31">
        <f>ROUND('Anexo 6'!E10*'Anexo 2'!$D$10,0)</f>
        <v>0</v>
      </c>
      <c r="F10" s="31">
        <f>ROUND('Anexo 6'!F10*'Anexo 2'!$D$10,0)</f>
        <v>0</v>
      </c>
      <c r="G10" s="31">
        <f>ROUND('Anexo 6'!G10*'Anexo 2'!$D$10,0)</f>
        <v>0</v>
      </c>
      <c r="H10" s="31">
        <f>ROUND('Anexo 6'!H10*'Anexo 2'!$D$10,0)</f>
        <v>0</v>
      </c>
      <c r="I10" s="31">
        <f>ROUND('Anexo 6'!I10*'Anexo 2'!$D$10,0)</f>
        <v>0</v>
      </c>
      <c r="J10" s="31">
        <f>ROUND('Anexo 6'!J10*'Anexo 2'!$D$10,0)</f>
        <v>0</v>
      </c>
      <c r="K10" s="31">
        <f>ROUND('Anexo 6'!K10*'Anexo 2'!$D$10,0)</f>
        <v>0</v>
      </c>
      <c r="L10" s="31">
        <f>ROUND('Anexo 6'!L10*'Anexo 2'!$D$10,0)</f>
        <v>0</v>
      </c>
      <c r="M10" s="31">
        <f>ROUND('Anexo 6'!M10*'Anexo 2'!$D$10,0)</f>
        <v>0</v>
      </c>
      <c r="N10" s="31">
        <f>ROUND('Anexo 6'!N10*'Anexo 2'!$D$10,0)</f>
        <v>0</v>
      </c>
      <c r="O10" s="31">
        <f>ROUND('Anexo 6'!O10*'Anexo 2'!$D$10,0)</f>
        <v>0</v>
      </c>
      <c r="P10" s="31">
        <f>ROUND('Anexo 6'!P10*'Anexo 2'!$D$10,0)</f>
        <v>0</v>
      </c>
      <c r="Q10" s="31">
        <f>ROUND('Anexo 6'!Q10*'Anexo 2'!$D$10,0)</f>
        <v>0</v>
      </c>
      <c r="R10" s="31">
        <f>ROUND('Anexo 6'!R10*'Anexo 2'!$D$10,0)</f>
        <v>0</v>
      </c>
      <c r="S10" s="31">
        <f>ROUND('Anexo 6'!S10*'Anexo 2'!$D$10,0)</f>
        <v>0</v>
      </c>
      <c r="T10" s="31">
        <f>ROUND('Anexo 6'!T10*'Anexo 2'!$D$10,0)</f>
        <v>0</v>
      </c>
      <c r="U10" s="31">
        <f>ROUND('Anexo 6'!U10*'Anexo 2'!$D$10,0)</f>
        <v>0</v>
      </c>
      <c r="V10" s="31">
        <f>ROUND('Anexo 6'!V10*'Anexo 2'!$D$10,0)</f>
        <v>0</v>
      </c>
      <c r="W10" s="31">
        <f>ROUND('Anexo 6'!W10*'Anexo 2'!$D$10,0)</f>
        <v>0</v>
      </c>
      <c r="X10" s="31">
        <f>ROUND('Anexo 6'!X10*'Anexo 2'!$D$10,0)</f>
        <v>0</v>
      </c>
      <c r="Y10" s="31">
        <f>ROUND('Anexo 6'!Y10*'Anexo 2'!$D$10,0)</f>
        <v>0</v>
      </c>
      <c r="Z10" s="31">
        <f>ROUND('Anexo 6'!Z10*'Anexo 2'!$D$10,0)</f>
        <v>0</v>
      </c>
      <c r="AA10" s="36">
        <f t="shared" si="0"/>
        <v>0</v>
      </c>
      <c r="AB10" s="19">
        <v>4</v>
      </c>
      <c r="AC10" s="81"/>
      <c r="AD10" s="45"/>
    </row>
    <row r="11" spans="1:30" ht="15.75" thickBot="1" x14ac:dyDescent="0.3">
      <c r="A11" s="79"/>
      <c r="B11" s="20" t="s">
        <v>3</v>
      </c>
      <c r="C11" s="31">
        <f>ROUND('Anexo 6'!C11*'Anexo 2'!$D$10,0)</f>
        <v>0</v>
      </c>
      <c r="D11" s="31">
        <f>ROUND('Anexo 6'!D11*'Anexo 2'!$D$10,0)</f>
        <v>0</v>
      </c>
      <c r="E11" s="31">
        <f>ROUND('Anexo 6'!E11*'Anexo 2'!$D$10,0)</f>
        <v>0</v>
      </c>
      <c r="F11" s="31">
        <f>ROUND('Anexo 6'!F11*'Anexo 2'!$D$10,0)</f>
        <v>0</v>
      </c>
      <c r="G11" s="31">
        <f>ROUND('Anexo 6'!G11*'Anexo 2'!$D$10,0)</f>
        <v>0</v>
      </c>
      <c r="H11" s="31">
        <f>ROUND('Anexo 6'!H11*'Anexo 2'!$D$10,0)</f>
        <v>0</v>
      </c>
      <c r="I11" s="31">
        <f>ROUND('Anexo 6'!I11*'Anexo 2'!$D$10,0)</f>
        <v>0</v>
      </c>
      <c r="J11" s="31">
        <f>ROUND('Anexo 6'!J11*'Anexo 2'!$D$10,0)</f>
        <v>0</v>
      </c>
      <c r="K11" s="31">
        <f>ROUND('Anexo 6'!K11*'Anexo 2'!$D$10,0)</f>
        <v>0</v>
      </c>
      <c r="L11" s="31">
        <f>ROUND('Anexo 6'!L11*'Anexo 2'!$D$10,0)</f>
        <v>0</v>
      </c>
      <c r="M11" s="31">
        <f>ROUND('Anexo 6'!M11*'Anexo 2'!$D$10,0)</f>
        <v>0</v>
      </c>
      <c r="N11" s="31">
        <f>ROUND('Anexo 6'!N11*'Anexo 2'!$D$10,0)</f>
        <v>0</v>
      </c>
      <c r="O11" s="31">
        <f>ROUND('Anexo 6'!O11*'Anexo 2'!$D$10,0)</f>
        <v>0</v>
      </c>
      <c r="P11" s="31">
        <f>ROUND('Anexo 6'!P11*'Anexo 2'!$D$10,0)</f>
        <v>0</v>
      </c>
      <c r="Q11" s="31">
        <f>ROUND('Anexo 6'!Q11*'Anexo 2'!$D$10,0)</f>
        <v>0</v>
      </c>
      <c r="R11" s="31">
        <f>ROUND('Anexo 6'!R11*'Anexo 2'!$D$10,0)</f>
        <v>0</v>
      </c>
      <c r="S11" s="31">
        <f>ROUND('Anexo 6'!S11*'Anexo 2'!$D$10,0)</f>
        <v>0</v>
      </c>
      <c r="T11" s="31">
        <f>ROUND('Anexo 6'!T11*'Anexo 2'!$D$10,0)</f>
        <v>0</v>
      </c>
      <c r="U11" s="31">
        <f>ROUND('Anexo 6'!U11*'Anexo 2'!$D$10,0)</f>
        <v>0</v>
      </c>
      <c r="V11" s="31">
        <f>ROUND('Anexo 6'!V11*'Anexo 2'!$D$10,0)</f>
        <v>0</v>
      </c>
      <c r="W11" s="31">
        <f>ROUND('Anexo 6'!W11*'Anexo 2'!$D$10,0)</f>
        <v>0</v>
      </c>
      <c r="X11" s="31">
        <f>ROUND('Anexo 6'!X11*'Anexo 2'!$D$10,0)</f>
        <v>0</v>
      </c>
      <c r="Y11" s="31">
        <f>ROUND('Anexo 6'!Y11*'Anexo 2'!$D$10,0)</f>
        <v>0</v>
      </c>
      <c r="Z11" s="31">
        <f>ROUND('Anexo 6'!Z11*'Anexo 2'!$D$10,0)</f>
        <v>0</v>
      </c>
      <c r="AA11" s="39">
        <f t="shared" si="0"/>
        <v>0</v>
      </c>
      <c r="AB11" s="21">
        <v>4</v>
      </c>
      <c r="AC11" s="82"/>
      <c r="AD11" s="46"/>
    </row>
    <row r="12" spans="1:30" ht="15.75" thickBot="1" x14ac:dyDescent="0.3">
      <c r="A12" s="79">
        <v>46813</v>
      </c>
      <c r="B12" s="16" t="s">
        <v>5</v>
      </c>
      <c r="C12" s="31">
        <f>ROUND('Anexo 6'!C12*'Anexo 2'!$D$10,0)</f>
        <v>0</v>
      </c>
      <c r="D12" s="31">
        <f>ROUND('Anexo 6'!D12*'Anexo 2'!$D$10,0)</f>
        <v>0</v>
      </c>
      <c r="E12" s="31">
        <f>ROUND('Anexo 6'!E12*'Anexo 2'!$D$10,0)</f>
        <v>0</v>
      </c>
      <c r="F12" s="31">
        <f>ROUND('Anexo 6'!F12*'Anexo 2'!$D$10,0)</f>
        <v>0</v>
      </c>
      <c r="G12" s="31">
        <f>ROUND('Anexo 6'!G12*'Anexo 2'!$D$10,0)</f>
        <v>0</v>
      </c>
      <c r="H12" s="31">
        <f>ROUND('Anexo 6'!H12*'Anexo 2'!$D$10,0)</f>
        <v>0</v>
      </c>
      <c r="I12" s="31">
        <f>ROUND('Anexo 6'!I12*'Anexo 2'!$D$10,0)</f>
        <v>0</v>
      </c>
      <c r="J12" s="31">
        <f>ROUND('Anexo 6'!J12*'Anexo 2'!$D$10,0)</f>
        <v>0</v>
      </c>
      <c r="K12" s="31">
        <f>ROUND('Anexo 6'!K12*'Anexo 2'!$D$10,0)</f>
        <v>0</v>
      </c>
      <c r="L12" s="31">
        <f>ROUND('Anexo 6'!L12*'Anexo 2'!$D$10,0)</f>
        <v>0</v>
      </c>
      <c r="M12" s="31">
        <f>ROUND('Anexo 6'!M12*'Anexo 2'!$D$10,0)</f>
        <v>0</v>
      </c>
      <c r="N12" s="31">
        <f>ROUND('Anexo 6'!N12*'Anexo 2'!$D$10,0)</f>
        <v>0</v>
      </c>
      <c r="O12" s="31">
        <f>ROUND('Anexo 6'!O12*'Anexo 2'!$D$10,0)</f>
        <v>0</v>
      </c>
      <c r="P12" s="31">
        <f>ROUND('Anexo 6'!P12*'Anexo 2'!$D$10,0)</f>
        <v>0</v>
      </c>
      <c r="Q12" s="31">
        <f>ROUND('Anexo 6'!Q12*'Anexo 2'!$D$10,0)</f>
        <v>0</v>
      </c>
      <c r="R12" s="31">
        <f>ROUND('Anexo 6'!R12*'Anexo 2'!$D$10,0)</f>
        <v>0</v>
      </c>
      <c r="S12" s="31">
        <f>ROUND('Anexo 6'!S12*'Anexo 2'!$D$10,0)</f>
        <v>0</v>
      </c>
      <c r="T12" s="31">
        <f>ROUND('Anexo 6'!T12*'Anexo 2'!$D$10,0)</f>
        <v>0</v>
      </c>
      <c r="U12" s="31">
        <f>ROUND('Anexo 6'!U12*'Anexo 2'!$D$10,0)</f>
        <v>0</v>
      </c>
      <c r="V12" s="31">
        <f>ROUND('Anexo 6'!V12*'Anexo 2'!$D$10,0)</f>
        <v>0</v>
      </c>
      <c r="W12" s="31">
        <f>ROUND('Anexo 6'!W12*'Anexo 2'!$D$10,0)</f>
        <v>0</v>
      </c>
      <c r="X12" s="31">
        <f>ROUND('Anexo 6'!X12*'Anexo 2'!$D$10,0)</f>
        <v>0</v>
      </c>
      <c r="Y12" s="31">
        <f>ROUND('Anexo 6'!Y12*'Anexo 2'!$D$10,0)</f>
        <v>0</v>
      </c>
      <c r="Z12" s="31">
        <f>ROUND('Anexo 6'!Z12*'Anexo 2'!$D$10,0)</f>
        <v>0</v>
      </c>
      <c r="AA12" s="33">
        <f t="shared" si="0"/>
        <v>0</v>
      </c>
      <c r="AB12" s="17">
        <v>22</v>
      </c>
      <c r="AC12" s="80">
        <f>+AA12*AB12+AA13*AB13+AA14*AB14</f>
        <v>0</v>
      </c>
    </row>
    <row r="13" spans="1:30" ht="15.75" thickBot="1" x14ac:dyDescent="0.3">
      <c r="A13" s="79"/>
      <c r="B13" s="18" t="s">
        <v>4</v>
      </c>
      <c r="C13" s="31">
        <f>ROUND('Anexo 6'!C13*'Anexo 2'!$D$10,0)</f>
        <v>0</v>
      </c>
      <c r="D13" s="31">
        <f>ROUND('Anexo 6'!D13*'Anexo 2'!$D$10,0)</f>
        <v>0</v>
      </c>
      <c r="E13" s="31">
        <f>ROUND('Anexo 6'!E13*'Anexo 2'!$D$10,0)</f>
        <v>0</v>
      </c>
      <c r="F13" s="31">
        <f>ROUND('Anexo 6'!F13*'Anexo 2'!$D$10,0)</f>
        <v>0</v>
      </c>
      <c r="G13" s="31">
        <f>ROUND('Anexo 6'!G13*'Anexo 2'!$D$10,0)</f>
        <v>0</v>
      </c>
      <c r="H13" s="31">
        <f>ROUND('Anexo 6'!H13*'Anexo 2'!$D$10,0)</f>
        <v>0</v>
      </c>
      <c r="I13" s="31">
        <f>ROUND('Anexo 6'!I13*'Anexo 2'!$D$10,0)</f>
        <v>0</v>
      </c>
      <c r="J13" s="31">
        <f>ROUND('Anexo 6'!J13*'Anexo 2'!$D$10,0)</f>
        <v>0</v>
      </c>
      <c r="K13" s="31">
        <f>ROUND('Anexo 6'!K13*'Anexo 2'!$D$10,0)</f>
        <v>0</v>
      </c>
      <c r="L13" s="31">
        <f>ROUND('Anexo 6'!L13*'Anexo 2'!$D$10,0)</f>
        <v>0</v>
      </c>
      <c r="M13" s="31">
        <f>ROUND('Anexo 6'!M13*'Anexo 2'!$D$10,0)</f>
        <v>0</v>
      </c>
      <c r="N13" s="31">
        <f>ROUND('Anexo 6'!N13*'Anexo 2'!$D$10,0)</f>
        <v>0</v>
      </c>
      <c r="O13" s="31">
        <f>ROUND('Anexo 6'!O13*'Anexo 2'!$D$10,0)</f>
        <v>0</v>
      </c>
      <c r="P13" s="31">
        <f>ROUND('Anexo 6'!P13*'Anexo 2'!$D$10,0)</f>
        <v>0</v>
      </c>
      <c r="Q13" s="31">
        <f>ROUND('Anexo 6'!Q13*'Anexo 2'!$D$10,0)</f>
        <v>0</v>
      </c>
      <c r="R13" s="31">
        <f>ROUND('Anexo 6'!R13*'Anexo 2'!$D$10,0)</f>
        <v>0</v>
      </c>
      <c r="S13" s="31">
        <f>ROUND('Anexo 6'!S13*'Anexo 2'!$D$10,0)</f>
        <v>0</v>
      </c>
      <c r="T13" s="31">
        <f>ROUND('Anexo 6'!T13*'Anexo 2'!$D$10,0)</f>
        <v>0</v>
      </c>
      <c r="U13" s="31">
        <f>ROUND('Anexo 6'!U13*'Anexo 2'!$D$10,0)</f>
        <v>0</v>
      </c>
      <c r="V13" s="31">
        <f>ROUND('Anexo 6'!V13*'Anexo 2'!$D$10,0)</f>
        <v>0</v>
      </c>
      <c r="W13" s="31">
        <f>ROUND('Anexo 6'!W13*'Anexo 2'!$D$10,0)</f>
        <v>0</v>
      </c>
      <c r="X13" s="31">
        <f>ROUND('Anexo 6'!X13*'Anexo 2'!$D$10,0)</f>
        <v>0</v>
      </c>
      <c r="Y13" s="31">
        <f>ROUND('Anexo 6'!Y13*'Anexo 2'!$D$10,0)</f>
        <v>0</v>
      </c>
      <c r="Z13" s="31">
        <f>ROUND('Anexo 6'!Z13*'Anexo 2'!$D$10,0)</f>
        <v>0</v>
      </c>
      <c r="AA13" s="36">
        <f t="shared" si="0"/>
        <v>0</v>
      </c>
      <c r="AB13" s="19">
        <v>4</v>
      </c>
      <c r="AC13" s="81"/>
      <c r="AD13" s="45"/>
    </row>
    <row r="14" spans="1:30" ht="15.75" thickBot="1" x14ac:dyDescent="0.3">
      <c r="A14" s="79"/>
      <c r="B14" s="20" t="s">
        <v>3</v>
      </c>
      <c r="C14" s="31">
        <f>ROUND('Anexo 6'!C14*'Anexo 2'!$D$10,0)</f>
        <v>0</v>
      </c>
      <c r="D14" s="31">
        <f>ROUND('Anexo 6'!D14*'Anexo 2'!$D$10,0)</f>
        <v>0</v>
      </c>
      <c r="E14" s="31">
        <f>ROUND('Anexo 6'!E14*'Anexo 2'!$D$10,0)</f>
        <v>0</v>
      </c>
      <c r="F14" s="31">
        <f>ROUND('Anexo 6'!F14*'Anexo 2'!$D$10,0)</f>
        <v>0</v>
      </c>
      <c r="G14" s="31">
        <f>ROUND('Anexo 6'!G14*'Anexo 2'!$D$10,0)</f>
        <v>0</v>
      </c>
      <c r="H14" s="31">
        <f>ROUND('Anexo 6'!H14*'Anexo 2'!$D$10,0)</f>
        <v>0</v>
      </c>
      <c r="I14" s="31">
        <f>ROUND('Anexo 6'!I14*'Anexo 2'!$D$10,0)</f>
        <v>0</v>
      </c>
      <c r="J14" s="31">
        <f>ROUND('Anexo 6'!J14*'Anexo 2'!$D$10,0)</f>
        <v>0</v>
      </c>
      <c r="K14" s="31">
        <f>ROUND('Anexo 6'!K14*'Anexo 2'!$D$10,0)</f>
        <v>0</v>
      </c>
      <c r="L14" s="31">
        <f>ROUND('Anexo 6'!L14*'Anexo 2'!$D$10,0)</f>
        <v>0</v>
      </c>
      <c r="M14" s="31">
        <f>ROUND('Anexo 6'!M14*'Anexo 2'!$D$10,0)</f>
        <v>0</v>
      </c>
      <c r="N14" s="31">
        <f>ROUND('Anexo 6'!N14*'Anexo 2'!$D$10,0)</f>
        <v>0</v>
      </c>
      <c r="O14" s="31">
        <f>ROUND('Anexo 6'!O14*'Anexo 2'!$D$10,0)</f>
        <v>0</v>
      </c>
      <c r="P14" s="31">
        <f>ROUND('Anexo 6'!P14*'Anexo 2'!$D$10,0)</f>
        <v>0</v>
      </c>
      <c r="Q14" s="31">
        <f>ROUND('Anexo 6'!Q14*'Anexo 2'!$D$10,0)</f>
        <v>0</v>
      </c>
      <c r="R14" s="31">
        <f>ROUND('Anexo 6'!R14*'Anexo 2'!$D$10,0)</f>
        <v>0</v>
      </c>
      <c r="S14" s="31">
        <f>ROUND('Anexo 6'!S14*'Anexo 2'!$D$10,0)</f>
        <v>0</v>
      </c>
      <c r="T14" s="31">
        <f>ROUND('Anexo 6'!T14*'Anexo 2'!$D$10,0)</f>
        <v>0</v>
      </c>
      <c r="U14" s="31">
        <f>ROUND('Anexo 6'!U14*'Anexo 2'!$D$10,0)</f>
        <v>0</v>
      </c>
      <c r="V14" s="31">
        <f>ROUND('Anexo 6'!V14*'Anexo 2'!$D$10,0)</f>
        <v>0</v>
      </c>
      <c r="W14" s="31">
        <f>ROUND('Anexo 6'!W14*'Anexo 2'!$D$10,0)</f>
        <v>0</v>
      </c>
      <c r="X14" s="31">
        <f>ROUND('Anexo 6'!X14*'Anexo 2'!$D$10,0)</f>
        <v>0</v>
      </c>
      <c r="Y14" s="31">
        <f>ROUND('Anexo 6'!Y14*'Anexo 2'!$D$10,0)</f>
        <v>0</v>
      </c>
      <c r="Z14" s="31">
        <f>ROUND('Anexo 6'!Z14*'Anexo 2'!$D$10,0)</f>
        <v>0</v>
      </c>
      <c r="AA14" s="39">
        <f t="shared" si="0"/>
        <v>0</v>
      </c>
      <c r="AB14" s="21">
        <v>5</v>
      </c>
      <c r="AC14" s="82"/>
      <c r="AD14" s="43"/>
    </row>
    <row r="15" spans="1:30" ht="15.75" thickBot="1" x14ac:dyDescent="0.3">
      <c r="A15" s="79">
        <v>46844</v>
      </c>
      <c r="B15" s="16" t="s">
        <v>5</v>
      </c>
      <c r="C15" s="31">
        <f>ROUND('Anexo 6'!C15*'Anexo 2'!$D$10,0)</f>
        <v>0</v>
      </c>
      <c r="D15" s="31">
        <f>ROUND('Anexo 6'!D15*'Anexo 2'!$D$10,0)</f>
        <v>0</v>
      </c>
      <c r="E15" s="31">
        <f>ROUND('Anexo 6'!E15*'Anexo 2'!$D$10,0)</f>
        <v>0</v>
      </c>
      <c r="F15" s="31">
        <f>ROUND('Anexo 6'!F15*'Anexo 2'!$D$10,0)</f>
        <v>0</v>
      </c>
      <c r="G15" s="31">
        <f>ROUND('Anexo 6'!G15*'Anexo 2'!$D$10,0)</f>
        <v>0</v>
      </c>
      <c r="H15" s="31">
        <f>ROUND('Anexo 6'!H15*'Anexo 2'!$D$10,0)</f>
        <v>0</v>
      </c>
      <c r="I15" s="31">
        <f>ROUND('Anexo 6'!I15*'Anexo 2'!$D$10,0)</f>
        <v>0</v>
      </c>
      <c r="J15" s="31">
        <f>ROUND('Anexo 6'!J15*'Anexo 2'!$D$10,0)</f>
        <v>0</v>
      </c>
      <c r="K15" s="31">
        <f>ROUND('Anexo 6'!K15*'Anexo 2'!$D$10,0)</f>
        <v>0</v>
      </c>
      <c r="L15" s="31">
        <f>ROUND('Anexo 6'!L15*'Anexo 2'!$D$10,0)</f>
        <v>0</v>
      </c>
      <c r="M15" s="31">
        <f>ROUND('Anexo 6'!M15*'Anexo 2'!$D$10,0)</f>
        <v>0</v>
      </c>
      <c r="N15" s="31">
        <f>ROUND('Anexo 6'!N15*'Anexo 2'!$D$10,0)</f>
        <v>0</v>
      </c>
      <c r="O15" s="31">
        <f>ROUND('Anexo 6'!O15*'Anexo 2'!$D$10,0)</f>
        <v>0</v>
      </c>
      <c r="P15" s="31">
        <f>ROUND('Anexo 6'!P15*'Anexo 2'!$D$10,0)</f>
        <v>0</v>
      </c>
      <c r="Q15" s="31">
        <f>ROUND('Anexo 6'!Q15*'Anexo 2'!$D$10,0)</f>
        <v>0</v>
      </c>
      <c r="R15" s="31">
        <f>ROUND('Anexo 6'!R15*'Anexo 2'!$D$10,0)</f>
        <v>0</v>
      </c>
      <c r="S15" s="31">
        <f>ROUND('Anexo 6'!S15*'Anexo 2'!$D$10,0)</f>
        <v>0</v>
      </c>
      <c r="T15" s="31">
        <f>ROUND('Anexo 6'!T15*'Anexo 2'!$D$10,0)</f>
        <v>0</v>
      </c>
      <c r="U15" s="31">
        <f>ROUND('Anexo 6'!U15*'Anexo 2'!$D$10,0)</f>
        <v>0</v>
      </c>
      <c r="V15" s="31">
        <f>ROUND('Anexo 6'!V15*'Anexo 2'!$D$10,0)</f>
        <v>0</v>
      </c>
      <c r="W15" s="31">
        <f>ROUND('Anexo 6'!W15*'Anexo 2'!$D$10,0)</f>
        <v>0</v>
      </c>
      <c r="X15" s="31">
        <f>ROUND('Anexo 6'!X15*'Anexo 2'!$D$10,0)</f>
        <v>0</v>
      </c>
      <c r="Y15" s="31">
        <f>ROUND('Anexo 6'!Y15*'Anexo 2'!$D$10,0)</f>
        <v>0</v>
      </c>
      <c r="Z15" s="31">
        <f>ROUND('Anexo 6'!Z15*'Anexo 2'!$D$10,0)</f>
        <v>0</v>
      </c>
      <c r="AA15" s="33">
        <f t="shared" si="0"/>
        <v>0</v>
      </c>
      <c r="AB15" s="17">
        <v>18</v>
      </c>
      <c r="AC15" s="80">
        <f>+AA15*AB15+AA16*AB16+AA17*AB17</f>
        <v>0</v>
      </c>
    </row>
    <row r="16" spans="1:30" ht="15.75" thickBot="1" x14ac:dyDescent="0.3">
      <c r="A16" s="79"/>
      <c r="B16" s="18" t="s">
        <v>4</v>
      </c>
      <c r="C16" s="31">
        <f>ROUND('Anexo 6'!C16*'Anexo 2'!$D$10,0)</f>
        <v>0</v>
      </c>
      <c r="D16" s="31">
        <f>ROUND('Anexo 6'!D16*'Anexo 2'!$D$10,0)</f>
        <v>0</v>
      </c>
      <c r="E16" s="31">
        <f>ROUND('Anexo 6'!E16*'Anexo 2'!$D$10,0)</f>
        <v>0</v>
      </c>
      <c r="F16" s="31">
        <f>ROUND('Anexo 6'!F16*'Anexo 2'!$D$10,0)</f>
        <v>0</v>
      </c>
      <c r="G16" s="31">
        <f>ROUND('Anexo 6'!G16*'Anexo 2'!$D$10,0)</f>
        <v>0</v>
      </c>
      <c r="H16" s="31">
        <f>ROUND('Anexo 6'!H16*'Anexo 2'!$D$10,0)</f>
        <v>0</v>
      </c>
      <c r="I16" s="31">
        <f>ROUND('Anexo 6'!I16*'Anexo 2'!$D$10,0)</f>
        <v>0</v>
      </c>
      <c r="J16" s="31">
        <f>ROUND('Anexo 6'!J16*'Anexo 2'!$D$10,0)</f>
        <v>0</v>
      </c>
      <c r="K16" s="31">
        <f>ROUND('Anexo 6'!K16*'Anexo 2'!$D$10,0)</f>
        <v>0</v>
      </c>
      <c r="L16" s="31">
        <f>ROUND('Anexo 6'!L16*'Anexo 2'!$D$10,0)</f>
        <v>0</v>
      </c>
      <c r="M16" s="31">
        <f>ROUND('Anexo 6'!M16*'Anexo 2'!$D$10,0)</f>
        <v>0</v>
      </c>
      <c r="N16" s="31">
        <f>ROUND('Anexo 6'!N16*'Anexo 2'!$D$10,0)</f>
        <v>0</v>
      </c>
      <c r="O16" s="31">
        <f>ROUND('Anexo 6'!O16*'Anexo 2'!$D$10,0)</f>
        <v>0</v>
      </c>
      <c r="P16" s="31">
        <f>ROUND('Anexo 6'!P16*'Anexo 2'!$D$10,0)</f>
        <v>0</v>
      </c>
      <c r="Q16" s="31">
        <f>ROUND('Anexo 6'!Q16*'Anexo 2'!$D$10,0)</f>
        <v>0</v>
      </c>
      <c r="R16" s="31">
        <f>ROUND('Anexo 6'!R16*'Anexo 2'!$D$10,0)</f>
        <v>0</v>
      </c>
      <c r="S16" s="31">
        <f>ROUND('Anexo 6'!S16*'Anexo 2'!$D$10,0)</f>
        <v>0</v>
      </c>
      <c r="T16" s="31">
        <f>ROUND('Anexo 6'!T16*'Anexo 2'!$D$10,0)</f>
        <v>0</v>
      </c>
      <c r="U16" s="31">
        <f>ROUND('Anexo 6'!U16*'Anexo 2'!$D$10,0)</f>
        <v>0</v>
      </c>
      <c r="V16" s="31">
        <f>ROUND('Anexo 6'!V16*'Anexo 2'!$D$10,0)</f>
        <v>0</v>
      </c>
      <c r="W16" s="31">
        <f>ROUND('Anexo 6'!W16*'Anexo 2'!$D$10,0)</f>
        <v>0</v>
      </c>
      <c r="X16" s="31">
        <f>ROUND('Anexo 6'!X16*'Anexo 2'!$D$10,0)</f>
        <v>0</v>
      </c>
      <c r="Y16" s="31">
        <f>ROUND('Anexo 6'!Y16*'Anexo 2'!$D$10,0)</f>
        <v>0</v>
      </c>
      <c r="Z16" s="31">
        <f>ROUND('Anexo 6'!Z16*'Anexo 2'!$D$10,0)</f>
        <v>0</v>
      </c>
      <c r="AA16" s="36">
        <f t="shared" si="0"/>
        <v>0</v>
      </c>
      <c r="AB16" s="19">
        <v>5</v>
      </c>
      <c r="AC16" s="81"/>
      <c r="AD16" s="45"/>
    </row>
    <row r="17" spans="1:30" ht="15.75" thickBot="1" x14ac:dyDescent="0.3">
      <c r="A17" s="79"/>
      <c r="B17" s="20" t="s">
        <v>3</v>
      </c>
      <c r="C17" s="31">
        <f>ROUND('Anexo 6'!C17*'Anexo 2'!$D$10,0)</f>
        <v>0</v>
      </c>
      <c r="D17" s="31">
        <f>ROUND('Anexo 6'!D17*'Anexo 2'!$D$10,0)</f>
        <v>0</v>
      </c>
      <c r="E17" s="31">
        <f>ROUND('Anexo 6'!E17*'Anexo 2'!$D$10,0)</f>
        <v>0</v>
      </c>
      <c r="F17" s="31">
        <f>ROUND('Anexo 6'!F17*'Anexo 2'!$D$10,0)</f>
        <v>0</v>
      </c>
      <c r="G17" s="31">
        <f>ROUND('Anexo 6'!G17*'Anexo 2'!$D$10,0)</f>
        <v>0</v>
      </c>
      <c r="H17" s="31">
        <f>ROUND('Anexo 6'!H17*'Anexo 2'!$D$10,0)</f>
        <v>0</v>
      </c>
      <c r="I17" s="31">
        <f>ROUND('Anexo 6'!I17*'Anexo 2'!$D$10,0)</f>
        <v>0</v>
      </c>
      <c r="J17" s="31">
        <f>ROUND('Anexo 6'!J17*'Anexo 2'!$D$10,0)</f>
        <v>0</v>
      </c>
      <c r="K17" s="31">
        <f>ROUND('Anexo 6'!K17*'Anexo 2'!$D$10,0)</f>
        <v>0</v>
      </c>
      <c r="L17" s="31">
        <f>ROUND('Anexo 6'!L17*'Anexo 2'!$D$10,0)</f>
        <v>0</v>
      </c>
      <c r="M17" s="31">
        <f>ROUND('Anexo 6'!M17*'Anexo 2'!$D$10,0)</f>
        <v>0</v>
      </c>
      <c r="N17" s="31">
        <f>ROUND('Anexo 6'!N17*'Anexo 2'!$D$10,0)</f>
        <v>0</v>
      </c>
      <c r="O17" s="31">
        <f>ROUND('Anexo 6'!O17*'Anexo 2'!$D$10,0)</f>
        <v>0</v>
      </c>
      <c r="P17" s="31">
        <f>ROUND('Anexo 6'!P17*'Anexo 2'!$D$10,0)</f>
        <v>0</v>
      </c>
      <c r="Q17" s="31">
        <f>ROUND('Anexo 6'!Q17*'Anexo 2'!$D$10,0)</f>
        <v>0</v>
      </c>
      <c r="R17" s="31">
        <f>ROUND('Anexo 6'!R17*'Anexo 2'!$D$10,0)</f>
        <v>0</v>
      </c>
      <c r="S17" s="31">
        <f>ROUND('Anexo 6'!S17*'Anexo 2'!$D$10,0)</f>
        <v>0</v>
      </c>
      <c r="T17" s="31">
        <f>ROUND('Anexo 6'!T17*'Anexo 2'!$D$10,0)</f>
        <v>0</v>
      </c>
      <c r="U17" s="31">
        <f>ROUND('Anexo 6'!U17*'Anexo 2'!$D$10,0)</f>
        <v>0</v>
      </c>
      <c r="V17" s="31">
        <f>ROUND('Anexo 6'!V17*'Anexo 2'!$D$10,0)</f>
        <v>0</v>
      </c>
      <c r="W17" s="31">
        <f>ROUND('Anexo 6'!W17*'Anexo 2'!$D$10,0)</f>
        <v>0</v>
      </c>
      <c r="X17" s="31">
        <f>ROUND('Anexo 6'!X17*'Anexo 2'!$D$10,0)</f>
        <v>0</v>
      </c>
      <c r="Y17" s="31">
        <f>ROUND('Anexo 6'!Y17*'Anexo 2'!$D$10,0)</f>
        <v>0</v>
      </c>
      <c r="Z17" s="31">
        <f>ROUND('Anexo 6'!Z17*'Anexo 2'!$D$10,0)</f>
        <v>0</v>
      </c>
      <c r="AA17" s="39">
        <f t="shared" si="0"/>
        <v>0</v>
      </c>
      <c r="AB17" s="21">
        <v>7</v>
      </c>
      <c r="AC17" s="82"/>
      <c r="AD17" s="46"/>
    </row>
    <row r="18" spans="1:30" ht="15.75" thickBot="1" x14ac:dyDescent="0.3">
      <c r="A18" s="79">
        <v>46874</v>
      </c>
      <c r="B18" s="16" t="s">
        <v>5</v>
      </c>
      <c r="C18" s="31">
        <f>ROUND('Anexo 6'!C18*'Anexo 2'!$D$10,0)</f>
        <v>0</v>
      </c>
      <c r="D18" s="31">
        <f>ROUND('Anexo 6'!D18*'Anexo 2'!$D$10,0)</f>
        <v>0</v>
      </c>
      <c r="E18" s="31">
        <f>ROUND('Anexo 6'!E18*'Anexo 2'!$D$10,0)</f>
        <v>0</v>
      </c>
      <c r="F18" s="31">
        <f>ROUND('Anexo 6'!F18*'Anexo 2'!$D$10,0)</f>
        <v>0</v>
      </c>
      <c r="G18" s="31">
        <f>ROUND('Anexo 6'!G18*'Anexo 2'!$D$10,0)</f>
        <v>0</v>
      </c>
      <c r="H18" s="31">
        <f>ROUND('Anexo 6'!H18*'Anexo 2'!$D$10,0)</f>
        <v>0</v>
      </c>
      <c r="I18" s="31">
        <f>ROUND('Anexo 6'!I18*'Anexo 2'!$D$10,0)</f>
        <v>0</v>
      </c>
      <c r="J18" s="31">
        <f>ROUND('Anexo 6'!J18*'Anexo 2'!$D$10,0)</f>
        <v>0</v>
      </c>
      <c r="K18" s="31">
        <f>ROUND('Anexo 6'!K18*'Anexo 2'!$D$10,0)</f>
        <v>0</v>
      </c>
      <c r="L18" s="31">
        <f>ROUND('Anexo 6'!L18*'Anexo 2'!$D$10,0)</f>
        <v>0</v>
      </c>
      <c r="M18" s="31">
        <f>ROUND('Anexo 6'!M18*'Anexo 2'!$D$10,0)</f>
        <v>0</v>
      </c>
      <c r="N18" s="31">
        <f>ROUND('Anexo 6'!N18*'Anexo 2'!$D$10,0)</f>
        <v>0</v>
      </c>
      <c r="O18" s="31">
        <f>ROUND('Anexo 6'!O18*'Anexo 2'!$D$10,0)</f>
        <v>0</v>
      </c>
      <c r="P18" s="31">
        <f>ROUND('Anexo 6'!P18*'Anexo 2'!$D$10,0)</f>
        <v>0</v>
      </c>
      <c r="Q18" s="31">
        <f>ROUND('Anexo 6'!Q18*'Anexo 2'!$D$10,0)</f>
        <v>0</v>
      </c>
      <c r="R18" s="31">
        <f>ROUND('Anexo 6'!R18*'Anexo 2'!$D$10,0)</f>
        <v>0</v>
      </c>
      <c r="S18" s="31">
        <f>ROUND('Anexo 6'!S18*'Anexo 2'!$D$10,0)</f>
        <v>0</v>
      </c>
      <c r="T18" s="31">
        <f>ROUND('Anexo 6'!T18*'Anexo 2'!$D$10,0)</f>
        <v>0</v>
      </c>
      <c r="U18" s="31">
        <f>ROUND('Anexo 6'!U18*'Anexo 2'!$D$10,0)</f>
        <v>0</v>
      </c>
      <c r="V18" s="31">
        <f>ROUND('Anexo 6'!V18*'Anexo 2'!$D$10,0)</f>
        <v>0</v>
      </c>
      <c r="W18" s="31">
        <f>ROUND('Anexo 6'!W18*'Anexo 2'!$D$10,0)</f>
        <v>0</v>
      </c>
      <c r="X18" s="31">
        <f>ROUND('Anexo 6'!X18*'Anexo 2'!$D$10,0)</f>
        <v>0</v>
      </c>
      <c r="Y18" s="31">
        <f>ROUND('Anexo 6'!Y18*'Anexo 2'!$D$10,0)</f>
        <v>0</v>
      </c>
      <c r="Z18" s="31">
        <f>ROUND('Anexo 6'!Z18*'Anexo 2'!$D$10,0)</f>
        <v>0</v>
      </c>
      <c r="AA18" s="33">
        <f t="shared" si="0"/>
        <v>0</v>
      </c>
      <c r="AB18" s="17">
        <v>21</v>
      </c>
      <c r="AC18" s="80">
        <f>+AA18*AB18+AA19*AB19+AA20*AB20</f>
        <v>0</v>
      </c>
    </row>
    <row r="19" spans="1:30" ht="15.75" thickBot="1" x14ac:dyDescent="0.3">
      <c r="A19" s="79"/>
      <c r="B19" s="18" t="s">
        <v>4</v>
      </c>
      <c r="C19" s="31">
        <f>ROUND('Anexo 6'!C19*'Anexo 2'!$D$10,0)</f>
        <v>0</v>
      </c>
      <c r="D19" s="31">
        <f>ROUND('Anexo 6'!D19*'Anexo 2'!$D$10,0)</f>
        <v>0</v>
      </c>
      <c r="E19" s="31">
        <f>ROUND('Anexo 6'!E19*'Anexo 2'!$D$10,0)</f>
        <v>0</v>
      </c>
      <c r="F19" s="31">
        <f>ROUND('Anexo 6'!F19*'Anexo 2'!$D$10,0)</f>
        <v>0</v>
      </c>
      <c r="G19" s="31">
        <f>ROUND('Anexo 6'!G19*'Anexo 2'!$D$10,0)</f>
        <v>0</v>
      </c>
      <c r="H19" s="31">
        <f>ROUND('Anexo 6'!H19*'Anexo 2'!$D$10,0)</f>
        <v>0</v>
      </c>
      <c r="I19" s="31">
        <f>ROUND('Anexo 6'!I19*'Anexo 2'!$D$10,0)</f>
        <v>0</v>
      </c>
      <c r="J19" s="31">
        <f>ROUND('Anexo 6'!J19*'Anexo 2'!$D$10,0)</f>
        <v>0</v>
      </c>
      <c r="K19" s="31">
        <f>ROUND('Anexo 6'!K19*'Anexo 2'!$D$10,0)</f>
        <v>0</v>
      </c>
      <c r="L19" s="31">
        <f>ROUND('Anexo 6'!L19*'Anexo 2'!$D$10,0)</f>
        <v>0</v>
      </c>
      <c r="M19" s="31">
        <f>ROUND('Anexo 6'!M19*'Anexo 2'!$D$10,0)</f>
        <v>0</v>
      </c>
      <c r="N19" s="31">
        <f>ROUND('Anexo 6'!N19*'Anexo 2'!$D$10,0)</f>
        <v>0</v>
      </c>
      <c r="O19" s="31">
        <f>ROUND('Anexo 6'!O19*'Anexo 2'!$D$10,0)</f>
        <v>0</v>
      </c>
      <c r="P19" s="31">
        <f>ROUND('Anexo 6'!P19*'Anexo 2'!$D$10,0)</f>
        <v>0</v>
      </c>
      <c r="Q19" s="31">
        <f>ROUND('Anexo 6'!Q19*'Anexo 2'!$D$10,0)</f>
        <v>0</v>
      </c>
      <c r="R19" s="31">
        <f>ROUND('Anexo 6'!R19*'Anexo 2'!$D$10,0)</f>
        <v>0</v>
      </c>
      <c r="S19" s="31">
        <f>ROUND('Anexo 6'!S19*'Anexo 2'!$D$10,0)</f>
        <v>0</v>
      </c>
      <c r="T19" s="31">
        <f>ROUND('Anexo 6'!T19*'Anexo 2'!$D$10,0)</f>
        <v>0</v>
      </c>
      <c r="U19" s="31">
        <f>ROUND('Anexo 6'!U19*'Anexo 2'!$D$10,0)</f>
        <v>0</v>
      </c>
      <c r="V19" s="31">
        <f>ROUND('Anexo 6'!V19*'Anexo 2'!$D$10,0)</f>
        <v>0</v>
      </c>
      <c r="W19" s="31">
        <f>ROUND('Anexo 6'!W19*'Anexo 2'!$D$10,0)</f>
        <v>0</v>
      </c>
      <c r="X19" s="31">
        <f>ROUND('Anexo 6'!X19*'Anexo 2'!$D$10,0)</f>
        <v>0</v>
      </c>
      <c r="Y19" s="31">
        <f>ROUND('Anexo 6'!Y19*'Anexo 2'!$D$10,0)</f>
        <v>0</v>
      </c>
      <c r="Z19" s="31">
        <f>ROUND('Anexo 6'!Z19*'Anexo 2'!$D$10,0)</f>
        <v>0</v>
      </c>
      <c r="AA19" s="36">
        <f t="shared" si="0"/>
        <v>0</v>
      </c>
      <c r="AB19" s="19">
        <v>4</v>
      </c>
      <c r="AC19" s="81"/>
      <c r="AD19" s="45"/>
    </row>
    <row r="20" spans="1:30" ht="15.75" thickBot="1" x14ac:dyDescent="0.3">
      <c r="A20" s="79"/>
      <c r="B20" s="20" t="s">
        <v>3</v>
      </c>
      <c r="C20" s="31">
        <f>ROUND('Anexo 6'!C20*'Anexo 2'!$D$10,0)</f>
        <v>0</v>
      </c>
      <c r="D20" s="31">
        <f>ROUND('Anexo 6'!D20*'Anexo 2'!$D$10,0)</f>
        <v>0</v>
      </c>
      <c r="E20" s="31">
        <f>ROUND('Anexo 6'!E20*'Anexo 2'!$D$10,0)</f>
        <v>0</v>
      </c>
      <c r="F20" s="31">
        <f>ROUND('Anexo 6'!F20*'Anexo 2'!$D$10,0)</f>
        <v>0</v>
      </c>
      <c r="G20" s="31">
        <f>ROUND('Anexo 6'!G20*'Anexo 2'!$D$10,0)</f>
        <v>0</v>
      </c>
      <c r="H20" s="31">
        <f>ROUND('Anexo 6'!H20*'Anexo 2'!$D$10,0)</f>
        <v>0</v>
      </c>
      <c r="I20" s="31">
        <f>ROUND('Anexo 6'!I20*'Anexo 2'!$D$10,0)</f>
        <v>0</v>
      </c>
      <c r="J20" s="31">
        <f>ROUND('Anexo 6'!J20*'Anexo 2'!$D$10,0)</f>
        <v>0</v>
      </c>
      <c r="K20" s="31">
        <f>ROUND('Anexo 6'!K20*'Anexo 2'!$D$10,0)</f>
        <v>0</v>
      </c>
      <c r="L20" s="31">
        <f>ROUND('Anexo 6'!L20*'Anexo 2'!$D$10,0)</f>
        <v>0</v>
      </c>
      <c r="M20" s="31">
        <f>ROUND('Anexo 6'!M20*'Anexo 2'!$D$10,0)</f>
        <v>0</v>
      </c>
      <c r="N20" s="31">
        <f>ROUND('Anexo 6'!N20*'Anexo 2'!$D$10,0)</f>
        <v>0</v>
      </c>
      <c r="O20" s="31">
        <f>ROUND('Anexo 6'!O20*'Anexo 2'!$D$10,0)</f>
        <v>0</v>
      </c>
      <c r="P20" s="31">
        <f>ROUND('Anexo 6'!P20*'Anexo 2'!$D$10,0)</f>
        <v>0</v>
      </c>
      <c r="Q20" s="31">
        <f>ROUND('Anexo 6'!Q20*'Anexo 2'!$D$10,0)</f>
        <v>0</v>
      </c>
      <c r="R20" s="31">
        <f>ROUND('Anexo 6'!R20*'Anexo 2'!$D$10,0)</f>
        <v>0</v>
      </c>
      <c r="S20" s="31">
        <f>ROUND('Anexo 6'!S20*'Anexo 2'!$D$10,0)</f>
        <v>0</v>
      </c>
      <c r="T20" s="31">
        <f>ROUND('Anexo 6'!T20*'Anexo 2'!$D$10,0)</f>
        <v>0</v>
      </c>
      <c r="U20" s="31">
        <f>ROUND('Anexo 6'!U20*'Anexo 2'!$D$10,0)</f>
        <v>0</v>
      </c>
      <c r="V20" s="31">
        <f>ROUND('Anexo 6'!V20*'Anexo 2'!$D$10,0)</f>
        <v>0</v>
      </c>
      <c r="W20" s="31">
        <f>ROUND('Anexo 6'!W20*'Anexo 2'!$D$10,0)</f>
        <v>0</v>
      </c>
      <c r="X20" s="31">
        <f>ROUND('Anexo 6'!X20*'Anexo 2'!$D$10,0)</f>
        <v>0</v>
      </c>
      <c r="Y20" s="31">
        <f>ROUND('Anexo 6'!Y20*'Anexo 2'!$D$10,0)</f>
        <v>0</v>
      </c>
      <c r="Z20" s="31">
        <f>ROUND('Anexo 6'!Z20*'Anexo 2'!$D$10,0)</f>
        <v>0</v>
      </c>
      <c r="AA20" s="39">
        <f t="shared" si="0"/>
        <v>0</v>
      </c>
      <c r="AB20" s="21">
        <v>6</v>
      </c>
      <c r="AC20" s="82"/>
      <c r="AD20" s="46"/>
    </row>
    <row r="21" spans="1:30" ht="15.75" thickBot="1" x14ac:dyDescent="0.3">
      <c r="A21" s="79">
        <v>46905</v>
      </c>
      <c r="B21" s="16" t="s">
        <v>5</v>
      </c>
      <c r="C21" s="31">
        <f>ROUND('Anexo 6'!C21*'Anexo 2'!$D$10,0)</f>
        <v>0</v>
      </c>
      <c r="D21" s="31">
        <f>ROUND('Anexo 6'!D21*'Anexo 2'!$D$10,0)</f>
        <v>0</v>
      </c>
      <c r="E21" s="31">
        <f>ROUND('Anexo 6'!E21*'Anexo 2'!$D$10,0)</f>
        <v>0</v>
      </c>
      <c r="F21" s="31">
        <f>ROUND('Anexo 6'!F21*'Anexo 2'!$D$10,0)</f>
        <v>0</v>
      </c>
      <c r="G21" s="31">
        <f>ROUND('Anexo 6'!G21*'Anexo 2'!$D$10,0)</f>
        <v>0</v>
      </c>
      <c r="H21" s="31">
        <f>ROUND('Anexo 6'!H21*'Anexo 2'!$D$10,0)</f>
        <v>0</v>
      </c>
      <c r="I21" s="31">
        <f>ROUND('Anexo 6'!I21*'Anexo 2'!$D$10,0)</f>
        <v>0</v>
      </c>
      <c r="J21" s="31">
        <f>ROUND('Anexo 6'!J21*'Anexo 2'!$D$10,0)</f>
        <v>0</v>
      </c>
      <c r="K21" s="31">
        <f>ROUND('Anexo 6'!K21*'Anexo 2'!$D$10,0)</f>
        <v>0</v>
      </c>
      <c r="L21" s="31">
        <f>ROUND('Anexo 6'!L21*'Anexo 2'!$D$10,0)</f>
        <v>0</v>
      </c>
      <c r="M21" s="31">
        <f>ROUND('Anexo 6'!M21*'Anexo 2'!$D$10,0)</f>
        <v>0</v>
      </c>
      <c r="N21" s="31">
        <f>ROUND('Anexo 6'!N21*'Anexo 2'!$D$10,0)</f>
        <v>0</v>
      </c>
      <c r="O21" s="31">
        <f>ROUND('Anexo 6'!O21*'Anexo 2'!$D$10,0)</f>
        <v>0</v>
      </c>
      <c r="P21" s="31">
        <f>ROUND('Anexo 6'!P21*'Anexo 2'!$D$10,0)</f>
        <v>0</v>
      </c>
      <c r="Q21" s="31">
        <f>ROUND('Anexo 6'!Q21*'Anexo 2'!$D$10,0)</f>
        <v>0</v>
      </c>
      <c r="R21" s="31">
        <f>ROUND('Anexo 6'!R21*'Anexo 2'!$D$10,0)</f>
        <v>0</v>
      </c>
      <c r="S21" s="31">
        <f>ROUND('Anexo 6'!S21*'Anexo 2'!$D$10,0)</f>
        <v>0</v>
      </c>
      <c r="T21" s="31">
        <f>ROUND('Anexo 6'!T21*'Anexo 2'!$D$10,0)</f>
        <v>0</v>
      </c>
      <c r="U21" s="31">
        <f>ROUND('Anexo 6'!U21*'Anexo 2'!$D$10,0)</f>
        <v>0</v>
      </c>
      <c r="V21" s="31">
        <f>ROUND('Anexo 6'!V21*'Anexo 2'!$D$10,0)</f>
        <v>0</v>
      </c>
      <c r="W21" s="31">
        <f>ROUND('Anexo 6'!W21*'Anexo 2'!$D$10,0)</f>
        <v>0</v>
      </c>
      <c r="X21" s="31">
        <f>ROUND('Anexo 6'!X21*'Anexo 2'!$D$10,0)</f>
        <v>0</v>
      </c>
      <c r="Y21" s="31">
        <f>ROUND('Anexo 6'!Y21*'Anexo 2'!$D$10,0)</f>
        <v>0</v>
      </c>
      <c r="Z21" s="31">
        <f>ROUND('Anexo 6'!Z21*'Anexo 2'!$D$10,0)</f>
        <v>0</v>
      </c>
      <c r="AA21" s="33">
        <f t="shared" si="0"/>
        <v>0</v>
      </c>
      <c r="AB21" s="17">
        <v>20</v>
      </c>
      <c r="AC21" s="80">
        <f>+AA21*AB21+AA22*AB22+AA23*AB23</f>
        <v>0</v>
      </c>
    </row>
    <row r="22" spans="1:30" ht="15.75" thickBot="1" x14ac:dyDescent="0.3">
      <c r="A22" s="79"/>
      <c r="B22" s="18" t="s">
        <v>4</v>
      </c>
      <c r="C22" s="31">
        <f>ROUND('Anexo 6'!C22*'Anexo 2'!$D$10,0)</f>
        <v>0</v>
      </c>
      <c r="D22" s="31">
        <f>ROUND('Anexo 6'!D22*'Anexo 2'!$D$10,0)</f>
        <v>0</v>
      </c>
      <c r="E22" s="31">
        <f>ROUND('Anexo 6'!E22*'Anexo 2'!$D$10,0)</f>
        <v>0</v>
      </c>
      <c r="F22" s="31">
        <f>ROUND('Anexo 6'!F22*'Anexo 2'!$D$10,0)</f>
        <v>0</v>
      </c>
      <c r="G22" s="31">
        <f>ROUND('Anexo 6'!G22*'Anexo 2'!$D$10,0)</f>
        <v>0</v>
      </c>
      <c r="H22" s="31">
        <f>ROUND('Anexo 6'!H22*'Anexo 2'!$D$10,0)</f>
        <v>0</v>
      </c>
      <c r="I22" s="31">
        <f>ROUND('Anexo 6'!I22*'Anexo 2'!$D$10,0)</f>
        <v>0</v>
      </c>
      <c r="J22" s="31">
        <f>ROUND('Anexo 6'!J22*'Anexo 2'!$D$10,0)</f>
        <v>0</v>
      </c>
      <c r="K22" s="31">
        <f>ROUND('Anexo 6'!K22*'Anexo 2'!$D$10,0)</f>
        <v>0</v>
      </c>
      <c r="L22" s="31">
        <f>ROUND('Anexo 6'!L22*'Anexo 2'!$D$10,0)</f>
        <v>0</v>
      </c>
      <c r="M22" s="31">
        <f>ROUND('Anexo 6'!M22*'Anexo 2'!$D$10,0)</f>
        <v>0</v>
      </c>
      <c r="N22" s="31">
        <f>ROUND('Anexo 6'!N22*'Anexo 2'!$D$10,0)</f>
        <v>0</v>
      </c>
      <c r="O22" s="31">
        <f>ROUND('Anexo 6'!O22*'Anexo 2'!$D$10,0)</f>
        <v>0</v>
      </c>
      <c r="P22" s="31">
        <f>ROUND('Anexo 6'!P22*'Anexo 2'!$D$10,0)</f>
        <v>0</v>
      </c>
      <c r="Q22" s="31">
        <f>ROUND('Anexo 6'!Q22*'Anexo 2'!$D$10,0)</f>
        <v>0</v>
      </c>
      <c r="R22" s="31">
        <f>ROUND('Anexo 6'!R22*'Anexo 2'!$D$10,0)</f>
        <v>0</v>
      </c>
      <c r="S22" s="31">
        <f>ROUND('Anexo 6'!S22*'Anexo 2'!$D$10,0)</f>
        <v>0</v>
      </c>
      <c r="T22" s="31">
        <f>ROUND('Anexo 6'!T22*'Anexo 2'!$D$10,0)</f>
        <v>0</v>
      </c>
      <c r="U22" s="31">
        <f>ROUND('Anexo 6'!U22*'Anexo 2'!$D$10,0)</f>
        <v>0</v>
      </c>
      <c r="V22" s="31">
        <f>ROUND('Anexo 6'!V22*'Anexo 2'!$D$10,0)</f>
        <v>0</v>
      </c>
      <c r="W22" s="31">
        <f>ROUND('Anexo 6'!W22*'Anexo 2'!$D$10,0)</f>
        <v>0</v>
      </c>
      <c r="X22" s="31">
        <f>ROUND('Anexo 6'!X22*'Anexo 2'!$D$10,0)</f>
        <v>0</v>
      </c>
      <c r="Y22" s="31">
        <f>ROUND('Anexo 6'!Y22*'Anexo 2'!$D$10,0)</f>
        <v>0</v>
      </c>
      <c r="Z22" s="31">
        <f>ROUND('Anexo 6'!Z22*'Anexo 2'!$D$10,0)</f>
        <v>0</v>
      </c>
      <c r="AA22" s="36">
        <f t="shared" si="0"/>
        <v>0</v>
      </c>
      <c r="AB22" s="19">
        <v>4</v>
      </c>
      <c r="AC22" s="81"/>
      <c r="AD22" s="45"/>
    </row>
    <row r="23" spans="1:30" ht="15.75" thickBot="1" x14ac:dyDescent="0.3">
      <c r="A23" s="79"/>
      <c r="B23" s="20" t="s">
        <v>3</v>
      </c>
      <c r="C23" s="31">
        <f>ROUND('Anexo 6'!C23*'Anexo 2'!$D$10,0)</f>
        <v>0</v>
      </c>
      <c r="D23" s="31">
        <f>ROUND('Anexo 6'!D23*'Anexo 2'!$D$10,0)</f>
        <v>0</v>
      </c>
      <c r="E23" s="31">
        <f>ROUND('Anexo 6'!E23*'Anexo 2'!$D$10,0)</f>
        <v>0</v>
      </c>
      <c r="F23" s="31">
        <f>ROUND('Anexo 6'!F23*'Anexo 2'!$D$10,0)</f>
        <v>0</v>
      </c>
      <c r="G23" s="31">
        <f>ROUND('Anexo 6'!G23*'Anexo 2'!$D$10,0)</f>
        <v>0</v>
      </c>
      <c r="H23" s="31">
        <f>ROUND('Anexo 6'!H23*'Anexo 2'!$D$10,0)</f>
        <v>0</v>
      </c>
      <c r="I23" s="31">
        <f>ROUND('Anexo 6'!I23*'Anexo 2'!$D$10,0)</f>
        <v>0</v>
      </c>
      <c r="J23" s="31">
        <f>ROUND('Anexo 6'!J23*'Anexo 2'!$D$10,0)</f>
        <v>0</v>
      </c>
      <c r="K23" s="31">
        <f>ROUND('Anexo 6'!K23*'Anexo 2'!$D$10,0)</f>
        <v>0</v>
      </c>
      <c r="L23" s="31">
        <f>ROUND('Anexo 6'!L23*'Anexo 2'!$D$10,0)</f>
        <v>0</v>
      </c>
      <c r="M23" s="31">
        <f>ROUND('Anexo 6'!M23*'Anexo 2'!$D$10,0)</f>
        <v>0</v>
      </c>
      <c r="N23" s="31">
        <f>ROUND('Anexo 6'!N23*'Anexo 2'!$D$10,0)</f>
        <v>0</v>
      </c>
      <c r="O23" s="31">
        <f>ROUND('Anexo 6'!O23*'Anexo 2'!$D$10,0)</f>
        <v>0</v>
      </c>
      <c r="P23" s="31">
        <f>ROUND('Anexo 6'!P23*'Anexo 2'!$D$10,0)</f>
        <v>0</v>
      </c>
      <c r="Q23" s="31">
        <f>ROUND('Anexo 6'!Q23*'Anexo 2'!$D$10,0)</f>
        <v>0</v>
      </c>
      <c r="R23" s="31">
        <f>ROUND('Anexo 6'!R23*'Anexo 2'!$D$10,0)</f>
        <v>0</v>
      </c>
      <c r="S23" s="31">
        <f>ROUND('Anexo 6'!S23*'Anexo 2'!$D$10,0)</f>
        <v>0</v>
      </c>
      <c r="T23" s="31">
        <f>ROUND('Anexo 6'!T23*'Anexo 2'!$D$10,0)</f>
        <v>0</v>
      </c>
      <c r="U23" s="31">
        <f>ROUND('Anexo 6'!U23*'Anexo 2'!$D$10,0)</f>
        <v>0</v>
      </c>
      <c r="V23" s="31">
        <f>ROUND('Anexo 6'!V23*'Anexo 2'!$D$10,0)</f>
        <v>0</v>
      </c>
      <c r="W23" s="31">
        <f>ROUND('Anexo 6'!W23*'Anexo 2'!$D$10,0)</f>
        <v>0</v>
      </c>
      <c r="X23" s="31">
        <f>ROUND('Anexo 6'!X23*'Anexo 2'!$D$10,0)</f>
        <v>0</v>
      </c>
      <c r="Y23" s="31">
        <f>ROUND('Anexo 6'!Y23*'Anexo 2'!$D$10,0)</f>
        <v>0</v>
      </c>
      <c r="Z23" s="31">
        <f>ROUND('Anexo 6'!Z23*'Anexo 2'!$D$10,0)</f>
        <v>0</v>
      </c>
      <c r="AA23" s="39">
        <f t="shared" si="0"/>
        <v>0</v>
      </c>
      <c r="AB23" s="21">
        <v>6</v>
      </c>
      <c r="AC23" s="82"/>
      <c r="AD23" s="46"/>
    </row>
    <row r="24" spans="1:30" ht="15.75" thickBot="1" x14ac:dyDescent="0.3">
      <c r="A24" s="79">
        <v>46935</v>
      </c>
      <c r="B24" s="16" t="s">
        <v>5</v>
      </c>
      <c r="C24" s="31">
        <f>ROUND('Anexo 6'!C24*'Anexo 2'!$D$10,0)</f>
        <v>0</v>
      </c>
      <c r="D24" s="31">
        <f>ROUND('Anexo 6'!D24*'Anexo 2'!$D$10,0)</f>
        <v>0</v>
      </c>
      <c r="E24" s="31">
        <f>ROUND('Anexo 6'!E24*'Anexo 2'!$D$10,0)</f>
        <v>0</v>
      </c>
      <c r="F24" s="31">
        <f>ROUND('Anexo 6'!F24*'Anexo 2'!$D$10,0)</f>
        <v>0</v>
      </c>
      <c r="G24" s="31">
        <f>ROUND('Anexo 6'!G24*'Anexo 2'!$D$10,0)</f>
        <v>0</v>
      </c>
      <c r="H24" s="31">
        <f>ROUND('Anexo 6'!H24*'Anexo 2'!$D$10,0)</f>
        <v>0</v>
      </c>
      <c r="I24" s="31">
        <f>ROUND('Anexo 6'!I24*'Anexo 2'!$D$10,0)</f>
        <v>0</v>
      </c>
      <c r="J24" s="31">
        <f>ROUND('Anexo 6'!J24*'Anexo 2'!$D$10,0)</f>
        <v>0</v>
      </c>
      <c r="K24" s="31">
        <f>ROUND('Anexo 6'!K24*'Anexo 2'!$D$10,0)</f>
        <v>0</v>
      </c>
      <c r="L24" s="31">
        <f>ROUND('Anexo 6'!L24*'Anexo 2'!$D$10,0)</f>
        <v>0</v>
      </c>
      <c r="M24" s="31">
        <f>ROUND('Anexo 6'!M24*'Anexo 2'!$D$10,0)</f>
        <v>0</v>
      </c>
      <c r="N24" s="31">
        <f>ROUND('Anexo 6'!N24*'Anexo 2'!$D$10,0)</f>
        <v>0</v>
      </c>
      <c r="O24" s="31">
        <f>ROUND('Anexo 6'!O24*'Anexo 2'!$D$10,0)</f>
        <v>0</v>
      </c>
      <c r="P24" s="31">
        <f>ROUND('Anexo 6'!P24*'Anexo 2'!$D$10,0)</f>
        <v>0</v>
      </c>
      <c r="Q24" s="31">
        <f>ROUND('Anexo 6'!Q24*'Anexo 2'!$D$10,0)</f>
        <v>0</v>
      </c>
      <c r="R24" s="31">
        <f>ROUND('Anexo 6'!R24*'Anexo 2'!$D$10,0)</f>
        <v>0</v>
      </c>
      <c r="S24" s="31">
        <f>ROUND('Anexo 6'!S24*'Anexo 2'!$D$10,0)</f>
        <v>0</v>
      </c>
      <c r="T24" s="31">
        <f>ROUND('Anexo 6'!T24*'Anexo 2'!$D$10,0)</f>
        <v>0</v>
      </c>
      <c r="U24" s="31">
        <f>ROUND('Anexo 6'!U24*'Anexo 2'!$D$10,0)</f>
        <v>0</v>
      </c>
      <c r="V24" s="31">
        <f>ROUND('Anexo 6'!V24*'Anexo 2'!$D$10,0)</f>
        <v>0</v>
      </c>
      <c r="W24" s="31">
        <f>ROUND('Anexo 6'!W24*'Anexo 2'!$D$10,0)</f>
        <v>0</v>
      </c>
      <c r="X24" s="31">
        <f>ROUND('Anexo 6'!X24*'Anexo 2'!$D$10,0)</f>
        <v>0</v>
      </c>
      <c r="Y24" s="31">
        <f>ROUND('Anexo 6'!Y24*'Anexo 2'!$D$10,0)</f>
        <v>0</v>
      </c>
      <c r="Z24" s="31">
        <f>ROUND('Anexo 6'!Z24*'Anexo 2'!$D$10,0)</f>
        <v>0</v>
      </c>
      <c r="AA24" s="33">
        <f t="shared" si="0"/>
        <v>0</v>
      </c>
      <c r="AB24" s="17">
        <v>19</v>
      </c>
      <c r="AC24" s="80">
        <f>+AA24*AB24+AA25*AB25+AA26*AB26</f>
        <v>0</v>
      </c>
    </row>
    <row r="25" spans="1:30" ht="15.75" thickBot="1" x14ac:dyDescent="0.3">
      <c r="A25" s="79"/>
      <c r="B25" s="18" t="s">
        <v>4</v>
      </c>
      <c r="C25" s="31">
        <f>ROUND('Anexo 6'!C25*'Anexo 2'!$D$10,0)</f>
        <v>0</v>
      </c>
      <c r="D25" s="31">
        <f>ROUND('Anexo 6'!D25*'Anexo 2'!$D$10,0)</f>
        <v>0</v>
      </c>
      <c r="E25" s="31">
        <f>ROUND('Anexo 6'!E25*'Anexo 2'!$D$10,0)</f>
        <v>0</v>
      </c>
      <c r="F25" s="31">
        <f>ROUND('Anexo 6'!F25*'Anexo 2'!$D$10,0)</f>
        <v>0</v>
      </c>
      <c r="G25" s="31">
        <f>ROUND('Anexo 6'!G25*'Anexo 2'!$D$10,0)</f>
        <v>0</v>
      </c>
      <c r="H25" s="31">
        <f>ROUND('Anexo 6'!H25*'Anexo 2'!$D$10,0)</f>
        <v>0</v>
      </c>
      <c r="I25" s="31">
        <f>ROUND('Anexo 6'!I25*'Anexo 2'!$D$10,0)</f>
        <v>0</v>
      </c>
      <c r="J25" s="31">
        <f>ROUND('Anexo 6'!J25*'Anexo 2'!$D$10,0)</f>
        <v>0</v>
      </c>
      <c r="K25" s="31">
        <f>ROUND('Anexo 6'!K25*'Anexo 2'!$D$10,0)</f>
        <v>0</v>
      </c>
      <c r="L25" s="31">
        <f>ROUND('Anexo 6'!L25*'Anexo 2'!$D$10,0)</f>
        <v>0</v>
      </c>
      <c r="M25" s="31">
        <f>ROUND('Anexo 6'!M25*'Anexo 2'!$D$10,0)</f>
        <v>0</v>
      </c>
      <c r="N25" s="31">
        <f>ROUND('Anexo 6'!N25*'Anexo 2'!$D$10,0)</f>
        <v>0</v>
      </c>
      <c r="O25" s="31">
        <f>ROUND('Anexo 6'!O25*'Anexo 2'!$D$10,0)</f>
        <v>0</v>
      </c>
      <c r="P25" s="31">
        <f>ROUND('Anexo 6'!P25*'Anexo 2'!$D$10,0)</f>
        <v>0</v>
      </c>
      <c r="Q25" s="31">
        <f>ROUND('Anexo 6'!Q25*'Anexo 2'!$D$10,0)</f>
        <v>0</v>
      </c>
      <c r="R25" s="31">
        <f>ROUND('Anexo 6'!R25*'Anexo 2'!$D$10,0)</f>
        <v>0</v>
      </c>
      <c r="S25" s="31">
        <f>ROUND('Anexo 6'!S25*'Anexo 2'!$D$10,0)</f>
        <v>0</v>
      </c>
      <c r="T25" s="31">
        <f>ROUND('Anexo 6'!T25*'Anexo 2'!$D$10,0)</f>
        <v>0</v>
      </c>
      <c r="U25" s="31">
        <f>ROUND('Anexo 6'!U25*'Anexo 2'!$D$10,0)</f>
        <v>0</v>
      </c>
      <c r="V25" s="31">
        <f>ROUND('Anexo 6'!V25*'Anexo 2'!$D$10,0)</f>
        <v>0</v>
      </c>
      <c r="W25" s="31">
        <f>ROUND('Anexo 6'!W25*'Anexo 2'!$D$10,0)</f>
        <v>0</v>
      </c>
      <c r="X25" s="31">
        <f>ROUND('Anexo 6'!X25*'Anexo 2'!$D$10,0)</f>
        <v>0</v>
      </c>
      <c r="Y25" s="31">
        <f>ROUND('Anexo 6'!Y25*'Anexo 2'!$D$10,0)</f>
        <v>0</v>
      </c>
      <c r="Z25" s="31">
        <f>ROUND('Anexo 6'!Z25*'Anexo 2'!$D$10,0)</f>
        <v>0</v>
      </c>
      <c r="AA25" s="36">
        <f t="shared" si="0"/>
        <v>0</v>
      </c>
      <c r="AB25" s="19">
        <v>5</v>
      </c>
      <c r="AC25" s="81"/>
      <c r="AD25" s="45"/>
    </row>
    <row r="26" spans="1:30" ht="15.75" thickBot="1" x14ac:dyDescent="0.3">
      <c r="A26" s="79"/>
      <c r="B26" s="20" t="s">
        <v>3</v>
      </c>
      <c r="C26" s="31">
        <f>ROUND('Anexo 6'!C26*'Anexo 2'!$D$10,0)</f>
        <v>0</v>
      </c>
      <c r="D26" s="31">
        <f>ROUND('Anexo 6'!D26*'Anexo 2'!$D$10,0)</f>
        <v>0</v>
      </c>
      <c r="E26" s="31">
        <f>ROUND('Anexo 6'!E26*'Anexo 2'!$D$10,0)</f>
        <v>0</v>
      </c>
      <c r="F26" s="31">
        <f>ROUND('Anexo 6'!F26*'Anexo 2'!$D$10,0)</f>
        <v>0</v>
      </c>
      <c r="G26" s="31">
        <f>ROUND('Anexo 6'!G26*'Anexo 2'!$D$10,0)</f>
        <v>0</v>
      </c>
      <c r="H26" s="31">
        <f>ROUND('Anexo 6'!H26*'Anexo 2'!$D$10,0)</f>
        <v>0</v>
      </c>
      <c r="I26" s="31">
        <f>ROUND('Anexo 6'!I26*'Anexo 2'!$D$10,0)</f>
        <v>0</v>
      </c>
      <c r="J26" s="31">
        <f>ROUND('Anexo 6'!J26*'Anexo 2'!$D$10,0)</f>
        <v>0</v>
      </c>
      <c r="K26" s="31">
        <f>ROUND('Anexo 6'!K26*'Anexo 2'!$D$10,0)</f>
        <v>0</v>
      </c>
      <c r="L26" s="31">
        <f>ROUND('Anexo 6'!L26*'Anexo 2'!$D$10,0)</f>
        <v>0</v>
      </c>
      <c r="M26" s="31">
        <f>ROUND('Anexo 6'!M26*'Anexo 2'!$D$10,0)</f>
        <v>0</v>
      </c>
      <c r="N26" s="31">
        <f>ROUND('Anexo 6'!N26*'Anexo 2'!$D$10,0)</f>
        <v>0</v>
      </c>
      <c r="O26" s="31">
        <f>ROUND('Anexo 6'!O26*'Anexo 2'!$D$10,0)</f>
        <v>0</v>
      </c>
      <c r="P26" s="31">
        <f>ROUND('Anexo 6'!P26*'Anexo 2'!$D$10,0)</f>
        <v>0</v>
      </c>
      <c r="Q26" s="31">
        <f>ROUND('Anexo 6'!Q26*'Anexo 2'!$D$10,0)</f>
        <v>0</v>
      </c>
      <c r="R26" s="31">
        <f>ROUND('Anexo 6'!R26*'Anexo 2'!$D$10,0)</f>
        <v>0</v>
      </c>
      <c r="S26" s="31">
        <f>ROUND('Anexo 6'!S26*'Anexo 2'!$D$10,0)</f>
        <v>0</v>
      </c>
      <c r="T26" s="31">
        <f>ROUND('Anexo 6'!T26*'Anexo 2'!$D$10,0)</f>
        <v>0</v>
      </c>
      <c r="U26" s="31">
        <f>ROUND('Anexo 6'!U26*'Anexo 2'!$D$10,0)</f>
        <v>0</v>
      </c>
      <c r="V26" s="31">
        <f>ROUND('Anexo 6'!V26*'Anexo 2'!$D$10,0)</f>
        <v>0</v>
      </c>
      <c r="W26" s="31">
        <f>ROUND('Anexo 6'!W26*'Anexo 2'!$D$10,0)</f>
        <v>0</v>
      </c>
      <c r="X26" s="31">
        <f>ROUND('Anexo 6'!X26*'Anexo 2'!$D$10,0)</f>
        <v>0</v>
      </c>
      <c r="Y26" s="31">
        <f>ROUND('Anexo 6'!Y26*'Anexo 2'!$D$10,0)</f>
        <v>0</v>
      </c>
      <c r="Z26" s="31">
        <f>ROUND('Anexo 6'!Z26*'Anexo 2'!$D$10,0)</f>
        <v>0</v>
      </c>
      <c r="AA26" s="39">
        <f t="shared" si="0"/>
        <v>0</v>
      </c>
      <c r="AB26" s="21">
        <v>7</v>
      </c>
      <c r="AC26" s="82"/>
      <c r="AD26" s="46"/>
    </row>
    <row r="27" spans="1:30" ht="15.75" thickBot="1" x14ac:dyDescent="0.3">
      <c r="A27" s="79">
        <v>46966</v>
      </c>
      <c r="B27" s="16" t="s">
        <v>5</v>
      </c>
      <c r="C27" s="31">
        <f>ROUND('Anexo 6'!C27*'Anexo 2'!$D$10,0)</f>
        <v>0</v>
      </c>
      <c r="D27" s="31">
        <f>ROUND('Anexo 6'!D27*'Anexo 2'!$D$10,0)</f>
        <v>0</v>
      </c>
      <c r="E27" s="31">
        <f>ROUND('Anexo 6'!E27*'Anexo 2'!$D$10,0)</f>
        <v>0</v>
      </c>
      <c r="F27" s="31">
        <f>ROUND('Anexo 6'!F27*'Anexo 2'!$D$10,0)</f>
        <v>0</v>
      </c>
      <c r="G27" s="31">
        <f>ROUND('Anexo 6'!G27*'Anexo 2'!$D$10,0)</f>
        <v>0</v>
      </c>
      <c r="H27" s="31">
        <f>ROUND('Anexo 6'!H27*'Anexo 2'!$D$10,0)</f>
        <v>0</v>
      </c>
      <c r="I27" s="31">
        <f>ROUND('Anexo 6'!I27*'Anexo 2'!$D$10,0)</f>
        <v>0</v>
      </c>
      <c r="J27" s="31">
        <f>ROUND('Anexo 6'!J27*'Anexo 2'!$D$10,0)</f>
        <v>0</v>
      </c>
      <c r="K27" s="31">
        <f>ROUND('Anexo 6'!K27*'Anexo 2'!$D$10,0)</f>
        <v>0</v>
      </c>
      <c r="L27" s="31">
        <f>ROUND('Anexo 6'!L27*'Anexo 2'!$D$10,0)</f>
        <v>0</v>
      </c>
      <c r="M27" s="31">
        <f>ROUND('Anexo 6'!M27*'Anexo 2'!$D$10,0)</f>
        <v>0</v>
      </c>
      <c r="N27" s="31">
        <f>ROUND('Anexo 6'!N27*'Anexo 2'!$D$10,0)</f>
        <v>0</v>
      </c>
      <c r="O27" s="31">
        <f>ROUND('Anexo 6'!O27*'Anexo 2'!$D$10,0)</f>
        <v>0</v>
      </c>
      <c r="P27" s="31">
        <f>ROUND('Anexo 6'!P27*'Anexo 2'!$D$10,0)</f>
        <v>0</v>
      </c>
      <c r="Q27" s="31">
        <f>ROUND('Anexo 6'!Q27*'Anexo 2'!$D$10,0)</f>
        <v>0</v>
      </c>
      <c r="R27" s="31">
        <f>ROUND('Anexo 6'!R27*'Anexo 2'!$D$10,0)</f>
        <v>0</v>
      </c>
      <c r="S27" s="31">
        <f>ROUND('Anexo 6'!S27*'Anexo 2'!$D$10,0)</f>
        <v>0</v>
      </c>
      <c r="T27" s="31">
        <f>ROUND('Anexo 6'!T27*'Anexo 2'!$D$10,0)</f>
        <v>0</v>
      </c>
      <c r="U27" s="31">
        <f>ROUND('Anexo 6'!U27*'Anexo 2'!$D$10,0)</f>
        <v>0</v>
      </c>
      <c r="V27" s="31">
        <f>ROUND('Anexo 6'!V27*'Anexo 2'!$D$10,0)</f>
        <v>0</v>
      </c>
      <c r="W27" s="31">
        <f>ROUND('Anexo 6'!W27*'Anexo 2'!$D$10,0)</f>
        <v>0</v>
      </c>
      <c r="X27" s="31">
        <f>ROUND('Anexo 6'!X27*'Anexo 2'!$D$10,0)</f>
        <v>0</v>
      </c>
      <c r="Y27" s="31">
        <f>ROUND('Anexo 6'!Y27*'Anexo 2'!$D$10,0)</f>
        <v>0</v>
      </c>
      <c r="Z27" s="31">
        <f>ROUND('Anexo 6'!Z27*'Anexo 2'!$D$10,0)</f>
        <v>0</v>
      </c>
      <c r="AA27" s="33">
        <f t="shared" si="0"/>
        <v>0</v>
      </c>
      <c r="AB27" s="17">
        <v>21</v>
      </c>
      <c r="AC27" s="80">
        <f>+AA27*AB27+AA28*AB28+AA29*AB29</f>
        <v>0</v>
      </c>
    </row>
    <row r="28" spans="1:30" ht="15.75" thickBot="1" x14ac:dyDescent="0.3">
      <c r="A28" s="79"/>
      <c r="B28" s="18" t="s">
        <v>4</v>
      </c>
      <c r="C28" s="31">
        <f>ROUND('Anexo 6'!C28*'Anexo 2'!$D$10,0)</f>
        <v>0</v>
      </c>
      <c r="D28" s="31">
        <f>ROUND('Anexo 6'!D28*'Anexo 2'!$D$10,0)</f>
        <v>0</v>
      </c>
      <c r="E28" s="31">
        <f>ROUND('Anexo 6'!E28*'Anexo 2'!$D$10,0)</f>
        <v>0</v>
      </c>
      <c r="F28" s="31">
        <f>ROUND('Anexo 6'!F28*'Anexo 2'!$D$10,0)</f>
        <v>0</v>
      </c>
      <c r="G28" s="31">
        <f>ROUND('Anexo 6'!G28*'Anexo 2'!$D$10,0)</f>
        <v>0</v>
      </c>
      <c r="H28" s="31">
        <f>ROUND('Anexo 6'!H28*'Anexo 2'!$D$10,0)</f>
        <v>0</v>
      </c>
      <c r="I28" s="31">
        <f>ROUND('Anexo 6'!I28*'Anexo 2'!$D$10,0)</f>
        <v>0</v>
      </c>
      <c r="J28" s="31">
        <f>ROUND('Anexo 6'!J28*'Anexo 2'!$D$10,0)</f>
        <v>0</v>
      </c>
      <c r="K28" s="31">
        <f>ROUND('Anexo 6'!K28*'Anexo 2'!$D$10,0)</f>
        <v>0</v>
      </c>
      <c r="L28" s="31">
        <f>ROUND('Anexo 6'!L28*'Anexo 2'!$D$10,0)</f>
        <v>0</v>
      </c>
      <c r="M28" s="31">
        <f>ROUND('Anexo 6'!M28*'Anexo 2'!$D$10,0)</f>
        <v>0</v>
      </c>
      <c r="N28" s="31">
        <f>ROUND('Anexo 6'!N28*'Anexo 2'!$D$10,0)</f>
        <v>0</v>
      </c>
      <c r="O28" s="31">
        <f>ROUND('Anexo 6'!O28*'Anexo 2'!$D$10,0)</f>
        <v>0</v>
      </c>
      <c r="P28" s="31">
        <f>ROUND('Anexo 6'!P28*'Anexo 2'!$D$10,0)</f>
        <v>0</v>
      </c>
      <c r="Q28" s="31">
        <f>ROUND('Anexo 6'!Q28*'Anexo 2'!$D$10,0)</f>
        <v>0</v>
      </c>
      <c r="R28" s="31">
        <f>ROUND('Anexo 6'!R28*'Anexo 2'!$D$10,0)</f>
        <v>0</v>
      </c>
      <c r="S28" s="31">
        <f>ROUND('Anexo 6'!S28*'Anexo 2'!$D$10,0)</f>
        <v>0</v>
      </c>
      <c r="T28" s="31">
        <f>ROUND('Anexo 6'!T28*'Anexo 2'!$D$10,0)</f>
        <v>0</v>
      </c>
      <c r="U28" s="31">
        <f>ROUND('Anexo 6'!U28*'Anexo 2'!$D$10,0)</f>
        <v>0</v>
      </c>
      <c r="V28" s="31">
        <f>ROUND('Anexo 6'!V28*'Anexo 2'!$D$10,0)</f>
        <v>0</v>
      </c>
      <c r="W28" s="31">
        <f>ROUND('Anexo 6'!W28*'Anexo 2'!$D$10,0)</f>
        <v>0</v>
      </c>
      <c r="X28" s="31">
        <f>ROUND('Anexo 6'!X28*'Anexo 2'!$D$10,0)</f>
        <v>0</v>
      </c>
      <c r="Y28" s="31">
        <f>ROUND('Anexo 6'!Y28*'Anexo 2'!$D$10,0)</f>
        <v>0</v>
      </c>
      <c r="Z28" s="31">
        <f>ROUND('Anexo 6'!Z28*'Anexo 2'!$D$10,0)</f>
        <v>0</v>
      </c>
      <c r="AA28" s="36">
        <f t="shared" si="0"/>
        <v>0</v>
      </c>
      <c r="AB28" s="19">
        <v>4</v>
      </c>
      <c r="AC28" s="81"/>
      <c r="AD28" s="45"/>
    </row>
    <row r="29" spans="1:30" ht="15.75" thickBot="1" x14ac:dyDescent="0.3">
      <c r="A29" s="79"/>
      <c r="B29" s="20" t="s">
        <v>3</v>
      </c>
      <c r="C29" s="31">
        <f>ROUND('Anexo 6'!C29*'Anexo 2'!$D$10,0)</f>
        <v>0</v>
      </c>
      <c r="D29" s="31">
        <f>ROUND('Anexo 6'!D29*'Anexo 2'!$D$10,0)</f>
        <v>0</v>
      </c>
      <c r="E29" s="31">
        <f>ROUND('Anexo 6'!E29*'Anexo 2'!$D$10,0)</f>
        <v>0</v>
      </c>
      <c r="F29" s="31">
        <f>ROUND('Anexo 6'!F29*'Anexo 2'!$D$10,0)</f>
        <v>0</v>
      </c>
      <c r="G29" s="31">
        <f>ROUND('Anexo 6'!G29*'Anexo 2'!$D$10,0)</f>
        <v>0</v>
      </c>
      <c r="H29" s="31">
        <f>ROUND('Anexo 6'!H29*'Anexo 2'!$D$10,0)</f>
        <v>0</v>
      </c>
      <c r="I29" s="31">
        <f>ROUND('Anexo 6'!I29*'Anexo 2'!$D$10,0)</f>
        <v>0</v>
      </c>
      <c r="J29" s="31">
        <f>ROUND('Anexo 6'!J29*'Anexo 2'!$D$10,0)</f>
        <v>0</v>
      </c>
      <c r="K29" s="31">
        <f>ROUND('Anexo 6'!K29*'Anexo 2'!$D$10,0)</f>
        <v>0</v>
      </c>
      <c r="L29" s="31">
        <f>ROUND('Anexo 6'!L29*'Anexo 2'!$D$10,0)</f>
        <v>0</v>
      </c>
      <c r="M29" s="31">
        <f>ROUND('Anexo 6'!M29*'Anexo 2'!$D$10,0)</f>
        <v>0</v>
      </c>
      <c r="N29" s="31">
        <f>ROUND('Anexo 6'!N29*'Anexo 2'!$D$10,0)</f>
        <v>0</v>
      </c>
      <c r="O29" s="31">
        <f>ROUND('Anexo 6'!O29*'Anexo 2'!$D$10,0)</f>
        <v>0</v>
      </c>
      <c r="P29" s="31">
        <f>ROUND('Anexo 6'!P29*'Anexo 2'!$D$10,0)</f>
        <v>0</v>
      </c>
      <c r="Q29" s="31">
        <f>ROUND('Anexo 6'!Q29*'Anexo 2'!$D$10,0)</f>
        <v>0</v>
      </c>
      <c r="R29" s="31">
        <f>ROUND('Anexo 6'!R29*'Anexo 2'!$D$10,0)</f>
        <v>0</v>
      </c>
      <c r="S29" s="31">
        <f>ROUND('Anexo 6'!S29*'Anexo 2'!$D$10,0)</f>
        <v>0</v>
      </c>
      <c r="T29" s="31">
        <f>ROUND('Anexo 6'!T29*'Anexo 2'!$D$10,0)</f>
        <v>0</v>
      </c>
      <c r="U29" s="31">
        <f>ROUND('Anexo 6'!U29*'Anexo 2'!$D$10,0)</f>
        <v>0</v>
      </c>
      <c r="V29" s="31">
        <f>ROUND('Anexo 6'!V29*'Anexo 2'!$D$10,0)</f>
        <v>0</v>
      </c>
      <c r="W29" s="31">
        <f>ROUND('Anexo 6'!W29*'Anexo 2'!$D$10,0)</f>
        <v>0</v>
      </c>
      <c r="X29" s="31">
        <f>ROUND('Anexo 6'!X29*'Anexo 2'!$D$10,0)</f>
        <v>0</v>
      </c>
      <c r="Y29" s="31">
        <f>ROUND('Anexo 6'!Y29*'Anexo 2'!$D$10,0)</f>
        <v>0</v>
      </c>
      <c r="Z29" s="31">
        <f>ROUND('Anexo 6'!Z29*'Anexo 2'!$D$10,0)</f>
        <v>0</v>
      </c>
      <c r="AA29" s="39">
        <f t="shared" si="0"/>
        <v>0</v>
      </c>
      <c r="AB29" s="21">
        <v>6</v>
      </c>
      <c r="AC29" s="82"/>
      <c r="AD29" s="47"/>
    </row>
    <row r="30" spans="1:30" ht="15.75" thickBot="1" x14ac:dyDescent="0.3">
      <c r="A30" s="79">
        <v>46997</v>
      </c>
      <c r="B30" s="16" t="s">
        <v>5</v>
      </c>
      <c r="C30" s="31">
        <f>ROUND('Anexo 6'!C30*'Anexo 2'!$D$10,0)</f>
        <v>0</v>
      </c>
      <c r="D30" s="31">
        <f>ROUND('Anexo 6'!D30*'Anexo 2'!$D$10,0)</f>
        <v>0</v>
      </c>
      <c r="E30" s="31">
        <f>ROUND('Anexo 6'!E30*'Anexo 2'!$D$10,0)</f>
        <v>0</v>
      </c>
      <c r="F30" s="31">
        <f>ROUND('Anexo 6'!F30*'Anexo 2'!$D$10,0)</f>
        <v>0</v>
      </c>
      <c r="G30" s="31">
        <f>ROUND('Anexo 6'!G30*'Anexo 2'!$D$10,0)</f>
        <v>0</v>
      </c>
      <c r="H30" s="31">
        <f>ROUND('Anexo 6'!H30*'Anexo 2'!$D$10,0)</f>
        <v>0</v>
      </c>
      <c r="I30" s="31">
        <f>ROUND('Anexo 6'!I30*'Anexo 2'!$D$10,0)</f>
        <v>0</v>
      </c>
      <c r="J30" s="31">
        <f>ROUND('Anexo 6'!J30*'Anexo 2'!$D$10,0)</f>
        <v>0</v>
      </c>
      <c r="K30" s="31">
        <f>ROUND('Anexo 6'!K30*'Anexo 2'!$D$10,0)</f>
        <v>0</v>
      </c>
      <c r="L30" s="31">
        <f>ROUND('Anexo 6'!L30*'Anexo 2'!$D$10,0)</f>
        <v>0</v>
      </c>
      <c r="M30" s="31">
        <f>ROUND('Anexo 6'!M30*'Anexo 2'!$D$10,0)</f>
        <v>0</v>
      </c>
      <c r="N30" s="31">
        <f>ROUND('Anexo 6'!N30*'Anexo 2'!$D$10,0)</f>
        <v>0</v>
      </c>
      <c r="O30" s="31">
        <f>ROUND('Anexo 6'!O30*'Anexo 2'!$D$10,0)</f>
        <v>0</v>
      </c>
      <c r="P30" s="31">
        <f>ROUND('Anexo 6'!P30*'Anexo 2'!$D$10,0)</f>
        <v>0</v>
      </c>
      <c r="Q30" s="31">
        <f>ROUND('Anexo 6'!Q30*'Anexo 2'!$D$10,0)</f>
        <v>0</v>
      </c>
      <c r="R30" s="31">
        <f>ROUND('Anexo 6'!R30*'Anexo 2'!$D$10,0)</f>
        <v>0</v>
      </c>
      <c r="S30" s="31">
        <f>ROUND('Anexo 6'!S30*'Anexo 2'!$D$10,0)</f>
        <v>0</v>
      </c>
      <c r="T30" s="31">
        <f>ROUND('Anexo 6'!T30*'Anexo 2'!$D$10,0)</f>
        <v>0</v>
      </c>
      <c r="U30" s="31">
        <f>ROUND('Anexo 6'!U30*'Anexo 2'!$D$10,0)</f>
        <v>0</v>
      </c>
      <c r="V30" s="31">
        <f>ROUND('Anexo 6'!V30*'Anexo 2'!$D$10,0)</f>
        <v>0</v>
      </c>
      <c r="W30" s="31">
        <f>ROUND('Anexo 6'!W30*'Anexo 2'!$D$10,0)</f>
        <v>0</v>
      </c>
      <c r="X30" s="31">
        <f>ROUND('Anexo 6'!X30*'Anexo 2'!$D$10,0)</f>
        <v>0</v>
      </c>
      <c r="Y30" s="31">
        <f>ROUND('Anexo 6'!Y30*'Anexo 2'!$D$10,0)</f>
        <v>0</v>
      </c>
      <c r="Z30" s="31">
        <f>ROUND('Anexo 6'!Z30*'Anexo 2'!$D$10,0)</f>
        <v>0</v>
      </c>
      <c r="AA30" s="33">
        <f t="shared" si="0"/>
        <v>0</v>
      </c>
      <c r="AB30" s="17">
        <v>21</v>
      </c>
      <c r="AC30" s="80">
        <f>+AA30*AB30+AA31*AB31+AA32*AB32</f>
        <v>0</v>
      </c>
    </row>
    <row r="31" spans="1:30" ht="15.75" thickBot="1" x14ac:dyDescent="0.3">
      <c r="A31" s="79"/>
      <c r="B31" s="18" t="s">
        <v>4</v>
      </c>
      <c r="C31" s="31">
        <f>ROUND('Anexo 6'!C31*'Anexo 2'!$D$10,0)</f>
        <v>0</v>
      </c>
      <c r="D31" s="31">
        <f>ROUND('Anexo 6'!D31*'Anexo 2'!$D$10,0)</f>
        <v>0</v>
      </c>
      <c r="E31" s="31">
        <f>ROUND('Anexo 6'!E31*'Anexo 2'!$D$10,0)</f>
        <v>0</v>
      </c>
      <c r="F31" s="31">
        <f>ROUND('Anexo 6'!F31*'Anexo 2'!$D$10,0)</f>
        <v>0</v>
      </c>
      <c r="G31" s="31">
        <f>ROUND('Anexo 6'!G31*'Anexo 2'!$D$10,0)</f>
        <v>0</v>
      </c>
      <c r="H31" s="31">
        <f>ROUND('Anexo 6'!H31*'Anexo 2'!$D$10,0)</f>
        <v>0</v>
      </c>
      <c r="I31" s="31">
        <f>ROUND('Anexo 6'!I31*'Anexo 2'!$D$10,0)</f>
        <v>0</v>
      </c>
      <c r="J31" s="31">
        <f>ROUND('Anexo 6'!J31*'Anexo 2'!$D$10,0)</f>
        <v>0</v>
      </c>
      <c r="K31" s="31">
        <f>ROUND('Anexo 6'!K31*'Anexo 2'!$D$10,0)</f>
        <v>0</v>
      </c>
      <c r="L31" s="31">
        <f>ROUND('Anexo 6'!L31*'Anexo 2'!$D$10,0)</f>
        <v>0</v>
      </c>
      <c r="M31" s="31">
        <f>ROUND('Anexo 6'!M31*'Anexo 2'!$D$10,0)</f>
        <v>0</v>
      </c>
      <c r="N31" s="31">
        <f>ROUND('Anexo 6'!N31*'Anexo 2'!$D$10,0)</f>
        <v>0</v>
      </c>
      <c r="O31" s="31">
        <f>ROUND('Anexo 6'!O31*'Anexo 2'!$D$10,0)</f>
        <v>0</v>
      </c>
      <c r="P31" s="31">
        <f>ROUND('Anexo 6'!P31*'Anexo 2'!$D$10,0)</f>
        <v>0</v>
      </c>
      <c r="Q31" s="31">
        <f>ROUND('Anexo 6'!Q31*'Anexo 2'!$D$10,0)</f>
        <v>0</v>
      </c>
      <c r="R31" s="31">
        <f>ROUND('Anexo 6'!R31*'Anexo 2'!$D$10,0)</f>
        <v>0</v>
      </c>
      <c r="S31" s="31">
        <f>ROUND('Anexo 6'!S31*'Anexo 2'!$D$10,0)</f>
        <v>0</v>
      </c>
      <c r="T31" s="31">
        <f>ROUND('Anexo 6'!T31*'Anexo 2'!$D$10,0)</f>
        <v>0</v>
      </c>
      <c r="U31" s="31">
        <f>ROUND('Anexo 6'!U31*'Anexo 2'!$D$10,0)</f>
        <v>0</v>
      </c>
      <c r="V31" s="31">
        <f>ROUND('Anexo 6'!V31*'Anexo 2'!$D$10,0)</f>
        <v>0</v>
      </c>
      <c r="W31" s="31">
        <f>ROUND('Anexo 6'!W31*'Anexo 2'!$D$10,0)</f>
        <v>0</v>
      </c>
      <c r="X31" s="31">
        <f>ROUND('Anexo 6'!X31*'Anexo 2'!$D$10,0)</f>
        <v>0</v>
      </c>
      <c r="Y31" s="31">
        <f>ROUND('Anexo 6'!Y31*'Anexo 2'!$D$10,0)</f>
        <v>0</v>
      </c>
      <c r="Z31" s="31">
        <f>ROUND('Anexo 6'!Z31*'Anexo 2'!$D$10,0)</f>
        <v>0</v>
      </c>
      <c r="AA31" s="36">
        <f t="shared" si="0"/>
        <v>0</v>
      </c>
      <c r="AB31" s="19">
        <v>5</v>
      </c>
      <c r="AC31" s="81"/>
      <c r="AD31" s="45"/>
    </row>
    <row r="32" spans="1:30" ht="15.75" thickBot="1" x14ac:dyDescent="0.3">
      <c r="A32" s="79"/>
      <c r="B32" s="20" t="s">
        <v>3</v>
      </c>
      <c r="C32" s="31">
        <f>ROUND('Anexo 6'!C32*'Anexo 2'!$D$10,0)</f>
        <v>0</v>
      </c>
      <c r="D32" s="31">
        <f>ROUND('Anexo 6'!D32*'Anexo 2'!$D$10,0)</f>
        <v>0</v>
      </c>
      <c r="E32" s="31">
        <f>ROUND('Anexo 6'!E32*'Anexo 2'!$D$10,0)</f>
        <v>0</v>
      </c>
      <c r="F32" s="31">
        <f>ROUND('Anexo 6'!F32*'Anexo 2'!$D$10,0)</f>
        <v>0</v>
      </c>
      <c r="G32" s="31">
        <f>ROUND('Anexo 6'!G32*'Anexo 2'!$D$10,0)</f>
        <v>0</v>
      </c>
      <c r="H32" s="31">
        <f>ROUND('Anexo 6'!H32*'Anexo 2'!$D$10,0)</f>
        <v>0</v>
      </c>
      <c r="I32" s="31">
        <f>ROUND('Anexo 6'!I32*'Anexo 2'!$D$10,0)</f>
        <v>0</v>
      </c>
      <c r="J32" s="31">
        <f>ROUND('Anexo 6'!J32*'Anexo 2'!$D$10,0)</f>
        <v>0</v>
      </c>
      <c r="K32" s="31">
        <f>ROUND('Anexo 6'!K32*'Anexo 2'!$D$10,0)</f>
        <v>0</v>
      </c>
      <c r="L32" s="31">
        <f>ROUND('Anexo 6'!L32*'Anexo 2'!$D$10,0)</f>
        <v>0</v>
      </c>
      <c r="M32" s="31">
        <f>ROUND('Anexo 6'!M32*'Anexo 2'!$D$10,0)</f>
        <v>0</v>
      </c>
      <c r="N32" s="31">
        <f>ROUND('Anexo 6'!N32*'Anexo 2'!$D$10,0)</f>
        <v>0</v>
      </c>
      <c r="O32" s="31">
        <f>ROUND('Anexo 6'!O32*'Anexo 2'!$D$10,0)</f>
        <v>0</v>
      </c>
      <c r="P32" s="31">
        <f>ROUND('Anexo 6'!P32*'Anexo 2'!$D$10,0)</f>
        <v>0</v>
      </c>
      <c r="Q32" s="31">
        <f>ROUND('Anexo 6'!Q32*'Anexo 2'!$D$10,0)</f>
        <v>0</v>
      </c>
      <c r="R32" s="31">
        <f>ROUND('Anexo 6'!R32*'Anexo 2'!$D$10,0)</f>
        <v>0</v>
      </c>
      <c r="S32" s="31">
        <f>ROUND('Anexo 6'!S32*'Anexo 2'!$D$10,0)</f>
        <v>0</v>
      </c>
      <c r="T32" s="31">
        <f>ROUND('Anexo 6'!T32*'Anexo 2'!$D$10,0)</f>
        <v>0</v>
      </c>
      <c r="U32" s="31">
        <f>ROUND('Anexo 6'!U32*'Anexo 2'!$D$10,0)</f>
        <v>0</v>
      </c>
      <c r="V32" s="31">
        <f>ROUND('Anexo 6'!V32*'Anexo 2'!$D$10,0)</f>
        <v>0</v>
      </c>
      <c r="W32" s="31">
        <f>ROUND('Anexo 6'!W32*'Anexo 2'!$D$10,0)</f>
        <v>0</v>
      </c>
      <c r="X32" s="31">
        <f>ROUND('Anexo 6'!X32*'Anexo 2'!$D$10,0)</f>
        <v>0</v>
      </c>
      <c r="Y32" s="31">
        <f>ROUND('Anexo 6'!Y32*'Anexo 2'!$D$10,0)</f>
        <v>0</v>
      </c>
      <c r="Z32" s="31">
        <f>ROUND('Anexo 6'!Z32*'Anexo 2'!$D$10,0)</f>
        <v>0</v>
      </c>
      <c r="AA32" s="39">
        <f t="shared" si="0"/>
        <v>0</v>
      </c>
      <c r="AB32" s="21">
        <v>4</v>
      </c>
      <c r="AC32" s="82"/>
      <c r="AD32" s="46"/>
    </row>
    <row r="33" spans="1:30" ht="15.75" thickBot="1" x14ac:dyDescent="0.3">
      <c r="A33" s="79">
        <v>47027</v>
      </c>
      <c r="B33" s="16" t="s">
        <v>5</v>
      </c>
      <c r="C33" s="31">
        <f>ROUND('Anexo 6'!C33*'Anexo 2'!$D$10,0)</f>
        <v>0</v>
      </c>
      <c r="D33" s="31">
        <f>ROUND('Anexo 6'!D33*'Anexo 2'!$D$10,0)</f>
        <v>0</v>
      </c>
      <c r="E33" s="31">
        <f>ROUND('Anexo 6'!E33*'Anexo 2'!$D$10,0)</f>
        <v>0</v>
      </c>
      <c r="F33" s="31">
        <f>ROUND('Anexo 6'!F33*'Anexo 2'!$D$10,0)</f>
        <v>0</v>
      </c>
      <c r="G33" s="31">
        <f>ROUND('Anexo 6'!G33*'Anexo 2'!$D$10,0)</f>
        <v>0</v>
      </c>
      <c r="H33" s="31">
        <f>ROUND('Anexo 6'!H33*'Anexo 2'!$D$10,0)</f>
        <v>0</v>
      </c>
      <c r="I33" s="31">
        <f>ROUND('Anexo 6'!I33*'Anexo 2'!$D$10,0)</f>
        <v>0</v>
      </c>
      <c r="J33" s="31">
        <f>ROUND('Anexo 6'!J33*'Anexo 2'!$D$10,0)</f>
        <v>0</v>
      </c>
      <c r="K33" s="31">
        <f>ROUND('Anexo 6'!K33*'Anexo 2'!$D$10,0)</f>
        <v>0</v>
      </c>
      <c r="L33" s="31">
        <f>ROUND('Anexo 6'!L33*'Anexo 2'!$D$10,0)</f>
        <v>0</v>
      </c>
      <c r="M33" s="31">
        <f>ROUND('Anexo 6'!M33*'Anexo 2'!$D$10,0)</f>
        <v>0</v>
      </c>
      <c r="N33" s="31">
        <f>ROUND('Anexo 6'!N33*'Anexo 2'!$D$10,0)</f>
        <v>0</v>
      </c>
      <c r="O33" s="31">
        <f>ROUND('Anexo 6'!O33*'Anexo 2'!$D$10,0)</f>
        <v>0</v>
      </c>
      <c r="P33" s="31">
        <f>ROUND('Anexo 6'!P33*'Anexo 2'!$D$10,0)</f>
        <v>0</v>
      </c>
      <c r="Q33" s="31">
        <f>ROUND('Anexo 6'!Q33*'Anexo 2'!$D$10,0)</f>
        <v>0</v>
      </c>
      <c r="R33" s="31">
        <f>ROUND('Anexo 6'!R33*'Anexo 2'!$D$10,0)</f>
        <v>0</v>
      </c>
      <c r="S33" s="31">
        <f>ROUND('Anexo 6'!S33*'Anexo 2'!$D$10,0)</f>
        <v>0</v>
      </c>
      <c r="T33" s="31">
        <f>ROUND('Anexo 6'!T33*'Anexo 2'!$D$10,0)</f>
        <v>0</v>
      </c>
      <c r="U33" s="31">
        <f>ROUND('Anexo 6'!U33*'Anexo 2'!$D$10,0)</f>
        <v>0</v>
      </c>
      <c r="V33" s="31">
        <f>ROUND('Anexo 6'!V33*'Anexo 2'!$D$10,0)</f>
        <v>0</v>
      </c>
      <c r="W33" s="31">
        <f>ROUND('Anexo 6'!W33*'Anexo 2'!$D$10,0)</f>
        <v>0</v>
      </c>
      <c r="X33" s="31">
        <f>ROUND('Anexo 6'!X33*'Anexo 2'!$D$10,0)</f>
        <v>0</v>
      </c>
      <c r="Y33" s="31">
        <f>ROUND('Anexo 6'!Y33*'Anexo 2'!$D$10,0)</f>
        <v>0</v>
      </c>
      <c r="Z33" s="31">
        <f>ROUND('Anexo 6'!Z33*'Anexo 2'!$D$10,0)</f>
        <v>0</v>
      </c>
      <c r="AA33" s="33">
        <f t="shared" si="0"/>
        <v>0</v>
      </c>
      <c r="AB33" s="17">
        <v>21</v>
      </c>
      <c r="AC33" s="80">
        <f>+AA33*AB33+AA34*AB34+AA35*AB35</f>
        <v>0</v>
      </c>
    </row>
    <row r="34" spans="1:30" ht="15.75" thickBot="1" x14ac:dyDescent="0.3">
      <c r="A34" s="79"/>
      <c r="B34" s="18" t="s">
        <v>4</v>
      </c>
      <c r="C34" s="31">
        <f>ROUND('Anexo 6'!C34*'Anexo 2'!$D$10,0)</f>
        <v>0</v>
      </c>
      <c r="D34" s="31">
        <f>ROUND('Anexo 6'!D34*'Anexo 2'!$D$10,0)</f>
        <v>0</v>
      </c>
      <c r="E34" s="31">
        <f>ROUND('Anexo 6'!E34*'Anexo 2'!$D$10,0)</f>
        <v>0</v>
      </c>
      <c r="F34" s="31">
        <f>ROUND('Anexo 6'!F34*'Anexo 2'!$D$10,0)</f>
        <v>0</v>
      </c>
      <c r="G34" s="31">
        <f>ROUND('Anexo 6'!G34*'Anexo 2'!$D$10,0)</f>
        <v>0</v>
      </c>
      <c r="H34" s="31">
        <f>ROUND('Anexo 6'!H34*'Anexo 2'!$D$10,0)</f>
        <v>0</v>
      </c>
      <c r="I34" s="31">
        <f>ROUND('Anexo 6'!I34*'Anexo 2'!$D$10,0)</f>
        <v>0</v>
      </c>
      <c r="J34" s="31">
        <f>ROUND('Anexo 6'!J34*'Anexo 2'!$D$10,0)</f>
        <v>0</v>
      </c>
      <c r="K34" s="31">
        <f>ROUND('Anexo 6'!K34*'Anexo 2'!$D$10,0)</f>
        <v>0</v>
      </c>
      <c r="L34" s="31">
        <f>ROUND('Anexo 6'!L34*'Anexo 2'!$D$10,0)</f>
        <v>0</v>
      </c>
      <c r="M34" s="31">
        <f>ROUND('Anexo 6'!M34*'Anexo 2'!$D$10,0)</f>
        <v>0</v>
      </c>
      <c r="N34" s="31">
        <f>ROUND('Anexo 6'!N34*'Anexo 2'!$D$10,0)</f>
        <v>0</v>
      </c>
      <c r="O34" s="31">
        <f>ROUND('Anexo 6'!O34*'Anexo 2'!$D$10,0)</f>
        <v>0</v>
      </c>
      <c r="P34" s="31">
        <f>ROUND('Anexo 6'!P34*'Anexo 2'!$D$10,0)</f>
        <v>0</v>
      </c>
      <c r="Q34" s="31">
        <f>ROUND('Anexo 6'!Q34*'Anexo 2'!$D$10,0)</f>
        <v>0</v>
      </c>
      <c r="R34" s="31">
        <f>ROUND('Anexo 6'!R34*'Anexo 2'!$D$10,0)</f>
        <v>0</v>
      </c>
      <c r="S34" s="31">
        <f>ROUND('Anexo 6'!S34*'Anexo 2'!$D$10,0)</f>
        <v>0</v>
      </c>
      <c r="T34" s="31">
        <f>ROUND('Anexo 6'!T34*'Anexo 2'!$D$10,0)</f>
        <v>0</v>
      </c>
      <c r="U34" s="31">
        <f>ROUND('Anexo 6'!U34*'Anexo 2'!$D$10,0)</f>
        <v>0</v>
      </c>
      <c r="V34" s="31">
        <f>ROUND('Anexo 6'!V34*'Anexo 2'!$D$10,0)</f>
        <v>0</v>
      </c>
      <c r="W34" s="31">
        <f>ROUND('Anexo 6'!W34*'Anexo 2'!$D$10,0)</f>
        <v>0</v>
      </c>
      <c r="X34" s="31">
        <f>ROUND('Anexo 6'!X34*'Anexo 2'!$D$10,0)</f>
        <v>0</v>
      </c>
      <c r="Y34" s="31">
        <f>ROUND('Anexo 6'!Y34*'Anexo 2'!$D$10,0)</f>
        <v>0</v>
      </c>
      <c r="Z34" s="31">
        <f>ROUND('Anexo 6'!Z34*'Anexo 2'!$D$10,0)</f>
        <v>0</v>
      </c>
      <c r="AA34" s="36">
        <f t="shared" si="0"/>
        <v>0</v>
      </c>
      <c r="AB34" s="19">
        <v>4</v>
      </c>
      <c r="AC34" s="81"/>
      <c r="AD34" s="45"/>
    </row>
    <row r="35" spans="1:30" ht="15.75" thickBot="1" x14ac:dyDescent="0.3">
      <c r="A35" s="79"/>
      <c r="B35" s="20" t="s">
        <v>3</v>
      </c>
      <c r="C35" s="31">
        <f>ROUND('Anexo 6'!C35*'Anexo 2'!$D$10,0)</f>
        <v>0</v>
      </c>
      <c r="D35" s="31">
        <f>ROUND('Anexo 6'!D35*'Anexo 2'!$D$10,0)</f>
        <v>0</v>
      </c>
      <c r="E35" s="31">
        <f>ROUND('Anexo 6'!E35*'Anexo 2'!$D$10,0)</f>
        <v>0</v>
      </c>
      <c r="F35" s="31">
        <f>ROUND('Anexo 6'!F35*'Anexo 2'!$D$10,0)</f>
        <v>0</v>
      </c>
      <c r="G35" s="31">
        <f>ROUND('Anexo 6'!G35*'Anexo 2'!$D$10,0)</f>
        <v>0</v>
      </c>
      <c r="H35" s="31">
        <f>ROUND('Anexo 6'!H35*'Anexo 2'!$D$10,0)</f>
        <v>0</v>
      </c>
      <c r="I35" s="31">
        <f>ROUND('Anexo 6'!I35*'Anexo 2'!$D$10,0)</f>
        <v>0</v>
      </c>
      <c r="J35" s="31">
        <f>ROUND('Anexo 6'!J35*'Anexo 2'!$D$10,0)</f>
        <v>0</v>
      </c>
      <c r="K35" s="31">
        <f>ROUND('Anexo 6'!K35*'Anexo 2'!$D$10,0)</f>
        <v>0</v>
      </c>
      <c r="L35" s="31">
        <f>ROUND('Anexo 6'!L35*'Anexo 2'!$D$10,0)</f>
        <v>0</v>
      </c>
      <c r="M35" s="31">
        <f>ROUND('Anexo 6'!M35*'Anexo 2'!$D$10,0)</f>
        <v>0</v>
      </c>
      <c r="N35" s="31">
        <f>ROUND('Anexo 6'!N35*'Anexo 2'!$D$10,0)</f>
        <v>0</v>
      </c>
      <c r="O35" s="31">
        <f>ROUND('Anexo 6'!O35*'Anexo 2'!$D$10,0)</f>
        <v>0</v>
      </c>
      <c r="P35" s="31">
        <f>ROUND('Anexo 6'!P35*'Anexo 2'!$D$10,0)</f>
        <v>0</v>
      </c>
      <c r="Q35" s="31">
        <f>ROUND('Anexo 6'!Q35*'Anexo 2'!$D$10,0)</f>
        <v>0</v>
      </c>
      <c r="R35" s="31">
        <f>ROUND('Anexo 6'!R35*'Anexo 2'!$D$10,0)</f>
        <v>0</v>
      </c>
      <c r="S35" s="31">
        <f>ROUND('Anexo 6'!S35*'Anexo 2'!$D$10,0)</f>
        <v>0</v>
      </c>
      <c r="T35" s="31">
        <f>ROUND('Anexo 6'!T35*'Anexo 2'!$D$10,0)</f>
        <v>0</v>
      </c>
      <c r="U35" s="31">
        <f>ROUND('Anexo 6'!U35*'Anexo 2'!$D$10,0)</f>
        <v>0</v>
      </c>
      <c r="V35" s="31">
        <f>ROUND('Anexo 6'!V35*'Anexo 2'!$D$10,0)</f>
        <v>0</v>
      </c>
      <c r="W35" s="31">
        <f>ROUND('Anexo 6'!W35*'Anexo 2'!$D$10,0)</f>
        <v>0</v>
      </c>
      <c r="X35" s="31">
        <f>ROUND('Anexo 6'!X35*'Anexo 2'!$D$10,0)</f>
        <v>0</v>
      </c>
      <c r="Y35" s="31">
        <f>ROUND('Anexo 6'!Y35*'Anexo 2'!$D$10,0)</f>
        <v>0</v>
      </c>
      <c r="Z35" s="31">
        <f>ROUND('Anexo 6'!Z35*'Anexo 2'!$D$10,0)</f>
        <v>0</v>
      </c>
      <c r="AA35" s="39">
        <f t="shared" si="0"/>
        <v>0</v>
      </c>
      <c r="AB35" s="21">
        <v>6</v>
      </c>
      <c r="AC35" s="82"/>
      <c r="AD35" s="46"/>
    </row>
    <row r="36" spans="1:30" ht="15.75" thickBot="1" x14ac:dyDescent="0.3">
      <c r="A36" s="79">
        <v>47058</v>
      </c>
      <c r="B36" s="16" t="s">
        <v>5</v>
      </c>
      <c r="C36" s="31">
        <f>ROUND('Anexo 6'!C36*'Anexo 2'!$D$10,0)</f>
        <v>0</v>
      </c>
      <c r="D36" s="31">
        <f>ROUND('Anexo 6'!D36*'Anexo 2'!$D$10,0)</f>
        <v>0</v>
      </c>
      <c r="E36" s="31">
        <f>ROUND('Anexo 6'!E36*'Anexo 2'!$D$10,0)</f>
        <v>0</v>
      </c>
      <c r="F36" s="31">
        <f>ROUND('Anexo 6'!F36*'Anexo 2'!$D$10,0)</f>
        <v>0</v>
      </c>
      <c r="G36" s="31">
        <f>ROUND('Anexo 6'!G36*'Anexo 2'!$D$10,0)</f>
        <v>0</v>
      </c>
      <c r="H36" s="31">
        <f>ROUND('Anexo 6'!H36*'Anexo 2'!$D$10,0)</f>
        <v>0</v>
      </c>
      <c r="I36" s="31">
        <f>ROUND('Anexo 6'!I36*'Anexo 2'!$D$10,0)</f>
        <v>0</v>
      </c>
      <c r="J36" s="31">
        <f>ROUND('Anexo 6'!J36*'Anexo 2'!$D$10,0)</f>
        <v>0</v>
      </c>
      <c r="K36" s="31">
        <f>ROUND('Anexo 6'!K36*'Anexo 2'!$D$10,0)</f>
        <v>0</v>
      </c>
      <c r="L36" s="31">
        <f>ROUND('Anexo 6'!L36*'Anexo 2'!$D$10,0)</f>
        <v>0</v>
      </c>
      <c r="M36" s="31">
        <f>ROUND('Anexo 6'!M36*'Anexo 2'!$D$10,0)</f>
        <v>0</v>
      </c>
      <c r="N36" s="31">
        <f>ROUND('Anexo 6'!N36*'Anexo 2'!$D$10,0)</f>
        <v>0</v>
      </c>
      <c r="O36" s="31">
        <f>ROUND('Anexo 6'!O36*'Anexo 2'!$D$10,0)</f>
        <v>0</v>
      </c>
      <c r="P36" s="31">
        <f>ROUND('Anexo 6'!P36*'Anexo 2'!$D$10,0)</f>
        <v>0</v>
      </c>
      <c r="Q36" s="31">
        <f>ROUND('Anexo 6'!Q36*'Anexo 2'!$D$10,0)</f>
        <v>0</v>
      </c>
      <c r="R36" s="31">
        <f>ROUND('Anexo 6'!R36*'Anexo 2'!$D$10,0)</f>
        <v>0</v>
      </c>
      <c r="S36" s="31">
        <f>ROUND('Anexo 6'!S36*'Anexo 2'!$D$10,0)</f>
        <v>0</v>
      </c>
      <c r="T36" s="31">
        <f>ROUND('Anexo 6'!T36*'Anexo 2'!$D$10,0)</f>
        <v>0</v>
      </c>
      <c r="U36" s="31">
        <f>ROUND('Anexo 6'!U36*'Anexo 2'!$D$10,0)</f>
        <v>0</v>
      </c>
      <c r="V36" s="31">
        <f>ROUND('Anexo 6'!V36*'Anexo 2'!$D$10,0)</f>
        <v>0</v>
      </c>
      <c r="W36" s="31">
        <f>ROUND('Anexo 6'!W36*'Anexo 2'!$D$10,0)</f>
        <v>0</v>
      </c>
      <c r="X36" s="31">
        <f>ROUND('Anexo 6'!X36*'Anexo 2'!$D$10,0)</f>
        <v>0</v>
      </c>
      <c r="Y36" s="31">
        <f>ROUND('Anexo 6'!Y36*'Anexo 2'!$D$10,0)</f>
        <v>0</v>
      </c>
      <c r="Z36" s="31">
        <f>ROUND('Anexo 6'!Z36*'Anexo 2'!$D$10,0)</f>
        <v>0</v>
      </c>
      <c r="AA36" s="33">
        <f t="shared" si="0"/>
        <v>0</v>
      </c>
      <c r="AB36" s="17">
        <v>20</v>
      </c>
      <c r="AC36" s="80">
        <f>+AA36*AB36+AA37*AB37+AA38*AB38</f>
        <v>0</v>
      </c>
    </row>
    <row r="37" spans="1:30" ht="15.75" thickBot="1" x14ac:dyDescent="0.3">
      <c r="A37" s="79"/>
      <c r="B37" s="18" t="s">
        <v>4</v>
      </c>
      <c r="C37" s="31">
        <f>ROUND('Anexo 6'!C37*'Anexo 2'!$D$10,0)</f>
        <v>0</v>
      </c>
      <c r="D37" s="31">
        <f>ROUND('Anexo 6'!D37*'Anexo 2'!$D$10,0)</f>
        <v>0</v>
      </c>
      <c r="E37" s="31">
        <f>ROUND('Anexo 6'!E37*'Anexo 2'!$D$10,0)</f>
        <v>0</v>
      </c>
      <c r="F37" s="31">
        <f>ROUND('Anexo 6'!F37*'Anexo 2'!$D$10,0)</f>
        <v>0</v>
      </c>
      <c r="G37" s="31">
        <f>ROUND('Anexo 6'!G37*'Anexo 2'!$D$10,0)</f>
        <v>0</v>
      </c>
      <c r="H37" s="31">
        <f>ROUND('Anexo 6'!H37*'Anexo 2'!$D$10,0)</f>
        <v>0</v>
      </c>
      <c r="I37" s="31">
        <f>ROUND('Anexo 6'!I37*'Anexo 2'!$D$10,0)</f>
        <v>0</v>
      </c>
      <c r="J37" s="31">
        <f>ROUND('Anexo 6'!J37*'Anexo 2'!$D$10,0)</f>
        <v>0</v>
      </c>
      <c r="K37" s="31">
        <f>ROUND('Anexo 6'!K37*'Anexo 2'!$D$10,0)</f>
        <v>0</v>
      </c>
      <c r="L37" s="31">
        <f>ROUND('Anexo 6'!L37*'Anexo 2'!$D$10,0)</f>
        <v>0</v>
      </c>
      <c r="M37" s="31">
        <f>ROUND('Anexo 6'!M37*'Anexo 2'!$D$10,0)</f>
        <v>0</v>
      </c>
      <c r="N37" s="31">
        <f>ROUND('Anexo 6'!N37*'Anexo 2'!$D$10,0)</f>
        <v>0</v>
      </c>
      <c r="O37" s="31">
        <f>ROUND('Anexo 6'!O37*'Anexo 2'!$D$10,0)</f>
        <v>0</v>
      </c>
      <c r="P37" s="31">
        <f>ROUND('Anexo 6'!P37*'Anexo 2'!$D$10,0)</f>
        <v>0</v>
      </c>
      <c r="Q37" s="31">
        <f>ROUND('Anexo 6'!Q37*'Anexo 2'!$D$10,0)</f>
        <v>0</v>
      </c>
      <c r="R37" s="31">
        <f>ROUND('Anexo 6'!R37*'Anexo 2'!$D$10,0)</f>
        <v>0</v>
      </c>
      <c r="S37" s="31">
        <f>ROUND('Anexo 6'!S37*'Anexo 2'!$D$10,0)</f>
        <v>0</v>
      </c>
      <c r="T37" s="31">
        <f>ROUND('Anexo 6'!T37*'Anexo 2'!$D$10,0)</f>
        <v>0</v>
      </c>
      <c r="U37" s="31">
        <f>ROUND('Anexo 6'!U37*'Anexo 2'!$D$10,0)</f>
        <v>0</v>
      </c>
      <c r="V37" s="31">
        <f>ROUND('Anexo 6'!V37*'Anexo 2'!$D$10,0)</f>
        <v>0</v>
      </c>
      <c r="W37" s="31">
        <f>ROUND('Anexo 6'!W37*'Anexo 2'!$D$10,0)</f>
        <v>0</v>
      </c>
      <c r="X37" s="31">
        <f>ROUND('Anexo 6'!X37*'Anexo 2'!$D$10,0)</f>
        <v>0</v>
      </c>
      <c r="Y37" s="31">
        <f>ROUND('Anexo 6'!Y37*'Anexo 2'!$D$10,0)</f>
        <v>0</v>
      </c>
      <c r="Z37" s="31">
        <f>ROUND('Anexo 6'!Z37*'Anexo 2'!$D$10,0)</f>
        <v>0</v>
      </c>
      <c r="AA37" s="36">
        <f t="shared" si="0"/>
        <v>0</v>
      </c>
      <c r="AB37" s="19">
        <v>4</v>
      </c>
      <c r="AC37" s="81"/>
      <c r="AD37" s="45"/>
    </row>
    <row r="38" spans="1:30" ht="15.75" thickBot="1" x14ac:dyDescent="0.3">
      <c r="A38" s="79"/>
      <c r="B38" s="20" t="s">
        <v>3</v>
      </c>
      <c r="C38" s="31">
        <f>ROUND('Anexo 6'!C38*'Anexo 2'!$D$10,0)</f>
        <v>0</v>
      </c>
      <c r="D38" s="31">
        <f>ROUND('Anexo 6'!D38*'Anexo 2'!$D$10,0)</f>
        <v>0</v>
      </c>
      <c r="E38" s="31">
        <f>ROUND('Anexo 6'!E38*'Anexo 2'!$D$10,0)</f>
        <v>0</v>
      </c>
      <c r="F38" s="31">
        <f>ROUND('Anexo 6'!F38*'Anexo 2'!$D$10,0)</f>
        <v>0</v>
      </c>
      <c r="G38" s="31">
        <f>ROUND('Anexo 6'!G38*'Anexo 2'!$D$10,0)</f>
        <v>0</v>
      </c>
      <c r="H38" s="31">
        <f>ROUND('Anexo 6'!H38*'Anexo 2'!$D$10,0)</f>
        <v>0</v>
      </c>
      <c r="I38" s="31">
        <f>ROUND('Anexo 6'!I38*'Anexo 2'!$D$10,0)</f>
        <v>0</v>
      </c>
      <c r="J38" s="31">
        <f>ROUND('Anexo 6'!J38*'Anexo 2'!$D$10,0)</f>
        <v>0</v>
      </c>
      <c r="K38" s="31">
        <f>ROUND('Anexo 6'!K38*'Anexo 2'!$D$10,0)</f>
        <v>0</v>
      </c>
      <c r="L38" s="31">
        <f>ROUND('Anexo 6'!L38*'Anexo 2'!$D$10,0)</f>
        <v>0</v>
      </c>
      <c r="M38" s="31">
        <f>ROUND('Anexo 6'!M38*'Anexo 2'!$D$10,0)</f>
        <v>0</v>
      </c>
      <c r="N38" s="31">
        <f>ROUND('Anexo 6'!N38*'Anexo 2'!$D$10,0)</f>
        <v>0</v>
      </c>
      <c r="O38" s="31">
        <f>ROUND('Anexo 6'!O38*'Anexo 2'!$D$10,0)</f>
        <v>0</v>
      </c>
      <c r="P38" s="31">
        <f>ROUND('Anexo 6'!P38*'Anexo 2'!$D$10,0)</f>
        <v>0</v>
      </c>
      <c r="Q38" s="31">
        <f>ROUND('Anexo 6'!Q38*'Anexo 2'!$D$10,0)</f>
        <v>0</v>
      </c>
      <c r="R38" s="31">
        <f>ROUND('Anexo 6'!R38*'Anexo 2'!$D$10,0)</f>
        <v>0</v>
      </c>
      <c r="S38" s="31">
        <f>ROUND('Anexo 6'!S38*'Anexo 2'!$D$10,0)</f>
        <v>0</v>
      </c>
      <c r="T38" s="31">
        <f>ROUND('Anexo 6'!T38*'Anexo 2'!$D$10,0)</f>
        <v>0</v>
      </c>
      <c r="U38" s="31">
        <f>ROUND('Anexo 6'!U38*'Anexo 2'!$D$10,0)</f>
        <v>0</v>
      </c>
      <c r="V38" s="31">
        <f>ROUND('Anexo 6'!V38*'Anexo 2'!$D$10,0)</f>
        <v>0</v>
      </c>
      <c r="W38" s="31">
        <f>ROUND('Anexo 6'!W38*'Anexo 2'!$D$10,0)</f>
        <v>0</v>
      </c>
      <c r="X38" s="31">
        <f>ROUND('Anexo 6'!X38*'Anexo 2'!$D$10,0)</f>
        <v>0</v>
      </c>
      <c r="Y38" s="31">
        <f>ROUND('Anexo 6'!Y38*'Anexo 2'!$D$10,0)</f>
        <v>0</v>
      </c>
      <c r="Z38" s="31">
        <f>ROUND('Anexo 6'!Z38*'Anexo 2'!$D$10,0)</f>
        <v>0</v>
      </c>
      <c r="AA38" s="39">
        <f t="shared" si="0"/>
        <v>0</v>
      </c>
      <c r="AB38" s="21">
        <v>6</v>
      </c>
      <c r="AC38" s="82"/>
      <c r="AD38" s="47"/>
    </row>
    <row r="39" spans="1:30" ht="15.75" thickBot="1" x14ac:dyDescent="0.3">
      <c r="A39" s="79">
        <v>47088</v>
      </c>
      <c r="B39" s="16" t="s">
        <v>5</v>
      </c>
      <c r="C39" s="31">
        <f>ROUND('Anexo 6'!C39*'Anexo 2'!$D$10,0)</f>
        <v>0</v>
      </c>
      <c r="D39" s="31">
        <f>ROUND('Anexo 6'!D39*'Anexo 2'!$D$10,0)</f>
        <v>0</v>
      </c>
      <c r="E39" s="31">
        <f>ROUND('Anexo 6'!E39*'Anexo 2'!$D$10,0)</f>
        <v>0</v>
      </c>
      <c r="F39" s="31">
        <f>ROUND('Anexo 6'!F39*'Anexo 2'!$D$10,0)</f>
        <v>0</v>
      </c>
      <c r="G39" s="31">
        <f>ROUND('Anexo 6'!G39*'Anexo 2'!$D$10,0)</f>
        <v>0</v>
      </c>
      <c r="H39" s="31">
        <f>ROUND('Anexo 6'!H39*'Anexo 2'!$D$10,0)</f>
        <v>0</v>
      </c>
      <c r="I39" s="31">
        <f>ROUND('Anexo 6'!I39*'Anexo 2'!$D$10,0)</f>
        <v>0</v>
      </c>
      <c r="J39" s="31">
        <f>ROUND('Anexo 6'!J39*'Anexo 2'!$D$10,0)</f>
        <v>0</v>
      </c>
      <c r="K39" s="31">
        <f>ROUND('Anexo 6'!K39*'Anexo 2'!$D$10,0)</f>
        <v>0</v>
      </c>
      <c r="L39" s="31">
        <f>ROUND('Anexo 6'!L39*'Anexo 2'!$D$10,0)</f>
        <v>0</v>
      </c>
      <c r="M39" s="31">
        <f>ROUND('Anexo 6'!M39*'Anexo 2'!$D$10,0)</f>
        <v>0</v>
      </c>
      <c r="N39" s="31">
        <f>ROUND('Anexo 6'!N39*'Anexo 2'!$D$10,0)</f>
        <v>0</v>
      </c>
      <c r="O39" s="31">
        <f>ROUND('Anexo 6'!O39*'Anexo 2'!$D$10,0)</f>
        <v>0</v>
      </c>
      <c r="P39" s="31">
        <f>ROUND('Anexo 6'!P39*'Anexo 2'!$D$10,0)</f>
        <v>0</v>
      </c>
      <c r="Q39" s="31">
        <f>ROUND('Anexo 6'!Q39*'Anexo 2'!$D$10,0)</f>
        <v>0</v>
      </c>
      <c r="R39" s="31">
        <f>ROUND('Anexo 6'!R39*'Anexo 2'!$D$10,0)</f>
        <v>0</v>
      </c>
      <c r="S39" s="31">
        <f>ROUND('Anexo 6'!S39*'Anexo 2'!$D$10,0)</f>
        <v>0</v>
      </c>
      <c r="T39" s="31">
        <f>ROUND('Anexo 6'!T39*'Anexo 2'!$D$10,0)</f>
        <v>0</v>
      </c>
      <c r="U39" s="31">
        <f>ROUND('Anexo 6'!U39*'Anexo 2'!$D$10,0)</f>
        <v>0</v>
      </c>
      <c r="V39" s="31">
        <f>ROUND('Anexo 6'!V39*'Anexo 2'!$D$10,0)</f>
        <v>0</v>
      </c>
      <c r="W39" s="31">
        <f>ROUND('Anexo 6'!W39*'Anexo 2'!$D$10,0)</f>
        <v>0</v>
      </c>
      <c r="X39" s="31">
        <f>ROUND('Anexo 6'!X39*'Anexo 2'!$D$10,0)</f>
        <v>0</v>
      </c>
      <c r="Y39" s="31">
        <f>ROUND('Anexo 6'!Y39*'Anexo 2'!$D$10,0)</f>
        <v>0</v>
      </c>
      <c r="Z39" s="31">
        <f>ROUND('Anexo 6'!Z39*'Anexo 2'!$D$10,0)</f>
        <v>0</v>
      </c>
      <c r="AA39" s="33">
        <f t="shared" si="0"/>
        <v>0</v>
      </c>
      <c r="AB39" s="17">
        <v>19</v>
      </c>
      <c r="AC39" s="80">
        <f>+AA39*AB39+AA40*AB40+AA41*AB41</f>
        <v>0</v>
      </c>
    </row>
    <row r="40" spans="1:30" ht="15.75" thickBot="1" x14ac:dyDescent="0.3">
      <c r="A40" s="79"/>
      <c r="B40" s="18" t="s">
        <v>4</v>
      </c>
      <c r="C40" s="31">
        <f>ROUND('Anexo 6'!C40*'Anexo 2'!$D$10,0)</f>
        <v>0</v>
      </c>
      <c r="D40" s="31">
        <f>ROUND('Anexo 6'!D40*'Anexo 2'!$D$10,0)</f>
        <v>0</v>
      </c>
      <c r="E40" s="31">
        <f>ROUND('Anexo 6'!E40*'Anexo 2'!$D$10,0)</f>
        <v>0</v>
      </c>
      <c r="F40" s="31">
        <f>ROUND('Anexo 6'!F40*'Anexo 2'!$D$10,0)</f>
        <v>0</v>
      </c>
      <c r="G40" s="31">
        <f>ROUND('Anexo 6'!G40*'Anexo 2'!$D$10,0)</f>
        <v>0</v>
      </c>
      <c r="H40" s="31">
        <f>ROUND('Anexo 6'!H40*'Anexo 2'!$D$10,0)</f>
        <v>0</v>
      </c>
      <c r="I40" s="31">
        <f>ROUND('Anexo 6'!I40*'Anexo 2'!$D$10,0)</f>
        <v>0</v>
      </c>
      <c r="J40" s="31">
        <f>ROUND('Anexo 6'!J40*'Anexo 2'!$D$10,0)</f>
        <v>0</v>
      </c>
      <c r="K40" s="31">
        <f>ROUND('Anexo 6'!K40*'Anexo 2'!$D$10,0)</f>
        <v>0</v>
      </c>
      <c r="L40" s="31">
        <f>ROUND('Anexo 6'!L40*'Anexo 2'!$D$10,0)</f>
        <v>0</v>
      </c>
      <c r="M40" s="31">
        <f>ROUND('Anexo 6'!M40*'Anexo 2'!$D$10,0)</f>
        <v>0</v>
      </c>
      <c r="N40" s="31">
        <f>ROUND('Anexo 6'!N40*'Anexo 2'!$D$10,0)</f>
        <v>0</v>
      </c>
      <c r="O40" s="31">
        <f>ROUND('Anexo 6'!O40*'Anexo 2'!$D$10,0)</f>
        <v>0</v>
      </c>
      <c r="P40" s="31">
        <f>ROUND('Anexo 6'!P40*'Anexo 2'!$D$10,0)</f>
        <v>0</v>
      </c>
      <c r="Q40" s="31">
        <f>ROUND('Anexo 6'!Q40*'Anexo 2'!$D$10,0)</f>
        <v>0</v>
      </c>
      <c r="R40" s="31">
        <f>ROUND('Anexo 6'!R40*'Anexo 2'!$D$10,0)</f>
        <v>0</v>
      </c>
      <c r="S40" s="31">
        <f>ROUND('Anexo 6'!S40*'Anexo 2'!$D$10,0)</f>
        <v>0</v>
      </c>
      <c r="T40" s="31">
        <f>ROUND('Anexo 6'!T40*'Anexo 2'!$D$10,0)</f>
        <v>0</v>
      </c>
      <c r="U40" s="31">
        <f>ROUND('Anexo 6'!U40*'Anexo 2'!$D$10,0)</f>
        <v>0</v>
      </c>
      <c r="V40" s="31">
        <f>ROUND('Anexo 6'!V40*'Anexo 2'!$D$10,0)</f>
        <v>0</v>
      </c>
      <c r="W40" s="31">
        <f>ROUND('Anexo 6'!W40*'Anexo 2'!$D$10,0)</f>
        <v>0</v>
      </c>
      <c r="X40" s="31">
        <f>ROUND('Anexo 6'!X40*'Anexo 2'!$D$10,0)</f>
        <v>0</v>
      </c>
      <c r="Y40" s="31">
        <f>ROUND('Anexo 6'!Y40*'Anexo 2'!$D$10,0)</f>
        <v>0</v>
      </c>
      <c r="Z40" s="31">
        <f>ROUND('Anexo 6'!Z40*'Anexo 2'!$D$10,0)</f>
        <v>0</v>
      </c>
      <c r="AA40" s="36">
        <f t="shared" si="0"/>
        <v>0</v>
      </c>
      <c r="AB40" s="19">
        <v>5</v>
      </c>
      <c r="AC40" s="81"/>
      <c r="AD40" s="45"/>
    </row>
    <row r="41" spans="1:30" ht="15.75" thickBot="1" x14ac:dyDescent="0.3">
      <c r="A41" s="79"/>
      <c r="B41" s="20" t="s">
        <v>3</v>
      </c>
      <c r="C41" s="31">
        <f>ROUND('Anexo 6'!C41*'Anexo 2'!$D$10,0)</f>
        <v>0</v>
      </c>
      <c r="D41" s="31">
        <f>ROUND('Anexo 6'!D41*'Anexo 2'!$D$10,0)</f>
        <v>0</v>
      </c>
      <c r="E41" s="31">
        <f>ROUND('Anexo 6'!E41*'Anexo 2'!$D$10,0)</f>
        <v>0</v>
      </c>
      <c r="F41" s="31">
        <f>ROUND('Anexo 6'!F41*'Anexo 2'!$D$10,0)</f>
        <v>0</v>
      </c>
      <c r="G41" s="31">
        <f>ROUND('Anexo 6'!G41*'Anexo 2'!$D$10,0)</f>
        <v>0</v>
      </c>
      <c r="H41" s="31">
        <f>ROUND('Anexo 6'!H41*'Anexo 2'!$D$10,0)</f>
        <v>0</v>
      </c>
      <c r="I41" s="31">
        <f>ROUND('Anexo 6'!I41*'Anexo 2'!$D$10,0)</f>
        <v>0</v>
      </c>
      <c r="J41" s="31">
        <f>ROUND('Anexo 6'!J41*'Anexo 2'!$D$10,0)</f>
        <v>0</v>
      </c>
      <c r="K41" s="31">
        <f>ROUND('Anexo 6'!K41*'Anexo 2'!$D$10,0)</f>
        <v>0</v>
      </c>
      <c r="L41" s="31">
        <f>ROUND('Anexo 6'!L41*'Anexo 2'!$D$10,0)</f>
        <v>0</v>
      </c>
      <c r="M41" s="31">
        <f>ROUND('Anexo 6'!M41*'Anexo 2'!$D$10,0)</f>
        <v>0</v>
      </c>
      <c r="N41" s="31">
        <f>ROUND('Anexo 6'!N41*'Anexo 2'!$D$10,0)</f>
        <v>0</v>
      </c>
      <c r="O41" s="31">
        <f>ROUND('Anexo 6'!O41*'Anexo 2'!$D$10,0)</f>
        <v>0</v>
      </c>
      <c r="P41" s="31">
        <f>ROUND('Anexo 6'!P41*'Anexo 2'!$D$10,0)</f>
        <v>0</v>
      </c>
      <c r="Q41" s="31">
        <f>ROUND('Anexo 6'!Q41*'Anexo 2'!$D$10,0)</f>
        <v>0</v>
      </c>
      <c r="R41" s="31">
        <f>ROUND('Anexo 6'!R41*'Anexo 2'!$D$10,0)</f>
        <v>0</v>
      </c>
      <c r="S41" s="31">
        <f>ROUND('Anexo 6'!S41*'Anexo 2'!$D$10,0)</f>
        <v>0</v>
      </c>
      <c r="T41" s="31">
        <f>ROUND('Anexo 6'!T41*'Anexo 2'!$D$10,0)</f>
        <v>0</v>
      </c>
      <c r="U41" s="31">
        <f>ROUND('Anexo 6'!U41*'Anexo 2'!$D$10,0)</f>
        <v>0</v>
      </c>
      <c r="V41" s="31">
        <f>ROUND('Anexo 6'!V41*'Anexo 2'!$D$10,0)</f>
        <v>0</v>
      </c>
      <c r="W41" s="31">
        <f>ROUND('Anexo 6'!W41*'Anexo 2'!$D$10,0)</f>
        <v>0</v>
      </c>
      <c r="X41" s="31">
        <f>ROUND('Anexo 6'!X41*'Anexo 2'!$D$10,0)</f>
        <v>0</v>
      </c>
      <c r="Y41" s="31">
        <f>ROUND('Anexo 6'!Y41*'Anexo 2'!$D$10,0)</f>
        <v>0</v>
      </c>
      <c r="Z41" s="31">
        <f>ROUND('Anexo 6'!Z41*'Anexo 2'!$D$10,0)</f>
        <v>0</v>
      </c>
      <c r="AA41" s="39">
        <f t="shared" si="0"/>
        <v>0</v>
      </c>
      <c r="AB41" s="21">
        <v>7</v>
      </c>
      <c r="AC41" s="82"/>
      <c r="AD41" s="40"/>
    </row>
    <row r="42" spans="1:30" ht="15.75" thickBot="1" x14ac:dyDescent="0.3">
      <c r="A42" s="77" t="s">
        <v>2</v>
      </c>
      <c r="B42" s="78"/>
      <c r="C42" s="31">
        <f>ROUND('Anexo 6'!C42*'Anexo 2'!$D$10,0)</f>
        <v>0</v>
      </c>
      <c r="D42" s="31">
        <f>ROUND('Anexo 6'!D42*'Anexo 2'!$D$10,0)</f>
        <v>0</v>
      </c>
      <c r="E42" s="31">
        <f>ROUND('Anexo 6'!E42*'Anexo 2'!$D$10,0)</f>
        <v>0</v>
      </c>
      <c r="F42" s="31">
        <f>ROUND('Anexo 6'!F42*'Anexo 2'!$D$10,0)</f>
        <v>0</v>
      </c>
      <c r="G42" s="31">
        <f>ROUND('Anexo 6'!G42*'Anexo 2'!$D$10,0)</f>
        <v>0</v>
      </c>
      <c r="H42" s="31">
        <f>ROUND('Anexo 6'!H42*'Anexo 2'!$D$10,0)</f>
        <v>0</v>
      </c>
      <c r="I42" s="31">
        <f>ROUND('Anexo 6'!I42*'Anexo 2'!$D$10,0)</f>
        <v>0</v>
      </c>
      <c r="J42" s="31">
        <f>ROUND('Anexo 6'!J42*'Anexo 2'!$D$10,0)</f>
        <v>0</v>
      </c>
      <c r="K42" s="31">
        <f>ROUND('Anexo 6'!K42*'Anexo 2'!$D$10,0)</f>
        <v>0</v>
      </c>
      <c r="L42" s="31">
        <f>ROUND('Anexo 6'!L42*'Anexo 2'!$D$10,0)</f>
        <v>0</v>
      </c>
      <c r="M42" s="31">
        <f>ROUND('Anexo 6'!M42*'Anexo 2'!$D$10,0)</f>
        <v>0</v>
      </c>
      <c r="N42" s="31">
        <f>ROUND('Anexo 6'!N42*'Anexo 2'!$D$10,0)</f>
        <v>0</v>
      </c>
      <c r="O42" s="31">
        <f>ROUND('Anexo 6'!O42*'Anexo 2'!$D$10,0)</f>
        <v>0</v>
      </c>
      <c r="P42" s="31">
        <f>ROUND('Anexo 6'!P42*'Anexo 2'!$D$10,0)</f>
        <v>0</v>
      </c>
      <c r="Q42" s="31">
        <f>ROUND('Anexo 6'!Q42*'Anexo 2'!$D$10,0)</f>
        <v>0</v>
      </c>
      <c r="R42" s="31">
        <f>ROUND('Anexo 6'!R42*'Anexo 2'!$D$10,0)</f>
        <v>0</v>
      </c>
      <c r="S42" s="31">
        <f>ROUND('Anexo 6'!S42*'Anexo 2'!$D$10,0)</f>
        <v>0</v>
      </c>
      <c r="T42" s="31">
        <f>ROUND('Anexo 6'!T42*'Anexo 2'!$D$10,0)</f>
        <v>0</v>
      </c>
      <c r="U42" s="31">
        <f>ROUND('Anexo 6'!U42*'Anexo 2'!$D$10,0)</f>
        <v>0</v>
      </c>
      <c r="V42" s="31">
        <f>ROUND('Anexo 6'!V42*'Anexo 2'!$D$10,0)</f>
        <v>0</v>
      </c>
      <c r="W42" s="31">
        <f>ROUND('Anexo 6'!W42*'Anexo 2'!$D$10,0)</f>
        <v>0</v>
      </c>
      <c r="X42" s="31">
        <f>ROUND('Anexo 6'!X42*'Anexo 2'!$D$10,0)</f>
        <v>0</v>
      </c>
      <c r="Y42" s="31">
        <f>ROUND('Anexo 6'!Y42*'Anexo 2'!$D$10,0)</f>
        <v>0</v>
      </c>
      <c r="Z42" s="31">
        <f>ROUND('Anexo 6'!Z42*'Anexo 2'!$D$10,0)</f>
        <v>0</v>
      </c>
      <c r="AA42" s="29">
        <f t="shared" ref="AA42:AC42" si="1">+SUM(AA6:AA41)</f>
        <v>0</v>
      </c>
      <c r="AB42" s="29">
        <f t="shared" si="1"/>
        <v>366</v>
      </c>
      <c r="AC42" s="44">
        <f t="shared" si="1"/>
        <v>0</v>
      </c>
    </row>
    <row r="43" spans="1:30" ht="15" x14ac:dyDescent="0.25">
      <c r="AB43" s="4"/>
      <c r="AC43" s="4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862A-7CD6-49EB-BF2D-69CACAA52D36}">
  <sheetPr codeName="Hoja12">
    <tabColor rgb="FF00B050"/>
  </sheetPr>
  <dimension ref="A1:H37"/>
  <sheetViews>
    <sheetView showGridLines="0" zoomScaleNormal="100" zoomScaleSheetLayoutView="140" workbookViewId="0">
      <selection activeCell="C29" sqref="C29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2:8" x14ac:dyDescent="0.25"/>
    <row r="2" spans="2:8" x14ac:dyDescent="0.25"/>
    <row r="3" spans="2:8" x14ac:dyDescent="0.25">
      <c r="B3" s="71" t="s">
        <v>73</v>
      </c>
      <c r="C3" s="71"/>
      <c r="D3" s="71"/>
      <c r="E3" s="71"/>
      <c r="F3" s="71"/>
      <c r="G3" s="27"/>
    </row>
    <row r="4" spans="2:8" x14ac:dyDescent="0.25">
      <c r="B4" s="71" t="s">
        <v>43</v>
      </c>
      <c r="C4" s="71"/>
      <c r="D4" s="71"/>
      <c r="E4" s="71"/>
      <c r="F4" s="71"/>
      <c r="G4" s="27"/>
    </row>
    <row r="5" spans="2:8" x14ac:dyDescent="0.25">
      <c r="B5" s="71" t="s">
        <v>85</v>
      </c>
      <c r="C5" s="71"/>
      <c r="D5" s="71"/>
      <c r="E5" s="71"/>
      <c r="F5" s="71"/>
      <c r="G5" s="27"/>
    </row>
    <row r="6" spans="2:8" x14ac:dyDescent="0.25">
      <c r="B6" s="3"/>
      <c r="C6" s="3"/>
      <c r="D6" s="3"/>
      <c r="E6" s="3"/>
      <c r="F6" s="3"/>
      <c r="G6" s="3"/>
    </row>
    <row r="7" spans="2:8" x14ac:dyDescent="0.25"/>
    <row r="8" spans="2:8" ht="15" customHeight="1" x14ac:dyDescent="0.25">
      <c r="B8" s="72" t="s">
        <v>1</v>
      </c>
      <c r="C8" s="72" t="s">
        <v>36</v>
      </c>
      <c r="D8" s="72" t="s">
        <v>39</v>
      </c>
      <c r="E8" s="72" t="s">
        <v>37</v>
      </c>
      <c r="F8" s="72" t="s">
        <v>41</v>
      </c>
      <c r="G8" s="26"/>
    </row>
    <row r="9" spans="2:8" ht="23.25" customHeight="1" x14ac:dyDescent="0.25">
      <c r="B9" s="73"/>
      <c r="C9" s="73"/>
      <c r="D9" s="73"/>
      <c r="E9" s="73"/>
      <c r="F9" s="73"/>
      <c r="G9" s="26"/>
    </row>
    <row r="10" spans="2:8" ht="15.75" thickBot="1" x14ac:dyDescent="0.3">
      <c r="B10" s="6">
        <v>47119</v>
      </c>
      <c r="C10" s="41">
        <f>+'Anexo 7'!AC6</f>
        <v>19342182</v>
      </c>
      <c r="D10" s="68"/>
      <c r="E10" s="54">
        <f>+'Cantidades Ofertadas Prod 3'!AC6</f>
        <v>0</v>
      </c>
      <c r="F10" s="94"/>
      <c r="G10" s="30"/>
      <c r="H10" s="49"/>
    </row>
    <row r="11" spans="2:8" ht="15.75" thickBot="1" x14ac:dyDescent="0.3">
      <c r="B11" s="6">
        <v>47150</v>
      </c>
      <c r="C11" s="41">
        <f>+'Anexo 7'!AC9</f>
        <v>17809456</v>
      </c>
      <c r="D11" s="69"/>
      <c r="E11" s="54">
        <f>+'Cantidades Ofertadas Prod 3'!AC9</f>
        <v>0</v>
      </c>
      <c r="F11" s="95"/>
      <c r="G11" s="30"/>
      <c r="H11" s="49"/>
    </row>
    <row r="12" spans="2:8" ht="15.75" thickBot="1" x14ac:dyDescent="0.3">
      <c r="B12" s="6">
        <v>47178</v>
      </c>
      <c r="C12" s="41">
        <f>+'Anexo 7'!AC12</f>
        <v>19123904</v>
      </c>
      <c r="D12" s="69"/>
      <c r="E12" s="54">
        <f>+'Cantidades Ofertadas Prod 3'!AC12</f>
        <v>0</v>
      </c>
      <c r="F12" s="95"/>
      <c r="G12" s="30"/>
      <c r="H12" s="49"/>
    </row>
    <row r="13" spans="2:8" ht="15.75" thickBot="1" x14ac:dyDescent="0.3">
      <c r="B13" s="6">
        <v>47209</v>
      </c>
      <c r="C13" s="41">
        <f>+'Anexo 7'!AC15</f>
        <v>18181622</v>
      </c>
      <c r="D13" s="69"/>
      <c r="E13" s="54">
        <f>+'Cantidades Ofertadas Prod 3'!AC15</f>
        <v>0</v>
      </c>
      <c r="F13" s="95"/>
      <c r="G13" s="30"/>
      <c r="H13" s="49"/>
    </row>
    <row r="14" spans="2:8" ht="15.75" thickBot="1" x14ac:dyDescent="0.3">
      <c r="B14" s="6">
        <v>47239</v>
      </c>
      <c r="C14" s="41">
        <f>+'Anexo 7'!AC18</f>
        <v>18874740</v>
      </c>
      <c r="D14" s="69"/>
      <c r="E14" s="54">
        <f>+'Cantidades Ofertadas Prod 3'!AC18</f>
        <v>0</v>
      </c>
      <c r="F14" s="95"/>
      <c r="G14" s="30"/>
      <c r="H14" s="49"/>
    </row>
    <row r="15" spans="2:8" ht="15.75" thickBot="1" x14ac:dyDescent="0.3">
      <c r="B15" s="6">
        <v>47270</v>
      </c>
      <c r="C15" s="41">
        <f>+'Anexo 7'!AC21</f>
        <v>18255674</v>
      </c>
      <c r="D15" s="69"/>
      <c r="E15" s="54">
        <f>+'Cantidades Ofertadas Prod 3'!AC21</f>
        <v>0</v>
      </c>
      <c r="F15" s="95"/>
      <c r="G15" s="30"/>
      <c r="H15" s="49"/>
    </row>
    <row r="16" spans="2:8" ht="15.75" thickBot="1" x14ac:dyDescent="0.3">
      <c r="B16" s="6">
        <v>47300</v>
      </c>
      <c r="C16" s="41">
        <f>+'Anexo 7'!AC24</f>
        <v>19286909</v>
      </c>
      <c r="D16" s="69"/>
      <c r="E16" s="54">
        <f>+'Cantidades Ofertadas Prod 3'!AC24</f>
        <v>0</v>
      </c>
      <c r="F16" s="95"/>
      <c r="G16" s="30"/>
      <c r="H16" s="49"/>
    </row>
    <row r="17" spans="2:8" ht="15.75" thickBot="1" x14ac:dyDescent="0.3">
      <c r="B17" s="6">
        <v>47331</v>
      </c>
      <c r="C17" s="41">
        <f>+'Anexo 7'!AC27</f>
        <v>19689210</v>
      </c>
      <c r="D17" s="69"/>
      <c r="E17" s="54">
        <f>+'Cantidades Ofertadas Prod 3'!AC27</f>
        <v>0</v>
      </c>
      <c r="F17" s="95"/>
      <c r="G17" s="30"/>
      <c r="H17" s="49"/>
    </row>
    <row r="18" spans="2:8" ht="15.75" thickBot="1" x14ac:dyDescent="0.3">
      <c r="B18" s="6">
        <v>47362</v>
      </c>
      <c r="C18" s="41">
        <f>+'Anexo 7'!AC30</f>
        <v>19279545</v>
      </c>
      <c r="D18" s="69"/>
      <c r="E18" s="54">
        <f>+'Cantidades Ofertadas Prod 3'!AC30</f>
        <v>0</v>
      </c>
      <c r="F18" s="95"/>
      <c r="G18" s="30"/>
      <c r="H18" s="49"/>
    </row>
    <row r="19" spans="2:8" ht="15.75" thickBot="1" x14ac:dyDescent="0.3">
      <c r="B19" s="6">
        <v>47392</v>
      </c>
      <c r="C19" s="41">
        <f>+'Anexo 7'!AC33</f>
        <v>19151453</v>
      </c>
      <c r="D19" s="69"/>
      <c r="E19" s="54">
        <f>+'Cantidades Ofertadas Prod 3'!AC33</f>
        <v>0</v>
      </c>
      <c r="F19" s="95"/>
      <c r="G19" s="30"/>
      <c r="H19" s="49"/>
    </row>
    <row r="20" spans="2:8" ht="15.75" thickBot="1" x14ac:dyDescent="0.3">
      <c r="B20" s="6">
        <v>47423</v>
      </c>
      <c r="C20" s="41">
        <f>+'Anexo 7'!AC36</f>
        <v>18196468</v>
      </c>
      <c r="D20" s="69"/>
      <c r="E20" s="54">
        <f>+'Cantidades Ofertadas Prod 3'!AC36</f>
        <v>0</v>
      </c>
      <c r="F20" s="95"/>
      <c r="G20" s="30"/>
      <c r="H20" s="49"/>
    </row>
    <row r="21" spans="2:8" ht="15.75" thickBot="1" x14ac:dyDescent="0.3">
      <c r="B21" s="6">
        <v>47453</v>
      </c>
      <c r="C21" s="42">
        <f>+'Anexo 7'!AC39</f>
        <v>19466137</v>
      </c>
      <c r="D21" s="70"/>
      <c r="E21" s="55">
        <f>+'Cantidades Ofertadas Prod 3'!AC39</f>
        <v>0</v>
      </c>
      <c r="F21" s="96"/>
      <c r="G21" s="30"/>
      <c r="H21" s="49"/>
    </row>
    <row r="22" spans="2:8" ht="28.5" customHeight="1" x14ac:dyDescent="0.25">
      <c r="B22" s="7" t="s">
        <v>0</v>
      </c>
      <c r="C22" s="8">
        <f>+SUM(C10:C21)</f>
        <v>226657300</v>
      </c>
      <c r="D22" s="59"/>
      <c r="E22" s="53">
        <f>SUM(E10:E21)</f>
        <v>0</v>
      </c>
      <c r="F22" s="52">
        <f>+F10</f>
        <v>0</v>
      </c>
      <c r="G22" s="48"/>
      <c r="H22" s="40"/>
    </row>
    <row r="23" spans="2:8" ht="19.5" customHeight="1" x14ac:dyDescent="0.25">
      <c r="B23" s="5" t="s">
        <v>49</v>
      </c>
      <c r="C23" s="23"/>
      <c r="D23" s="28"/>
      <c r="E23" s="23"/>
      <c r="F23" s="24"/>
      <c r="G23" s="24"/>
      <c r="H23" s="40"/>
    </row>
    <row r="24" spans="2:8" ht="15" customHeight="1" x14ac:dyDescent="0.25">
      <c r="B24" s="64" t="s">
        <v>44</v>
      </c>
      <c r="C24" s="64"/>
      <c r="D24" s="64"/>
      <c r="E24" s="64"/>
      <c r="F24" s="64"/>
      <c r="G24" s="64"/>
      <c r="H24" s="40"/>
    </row>
    <row r="25" spans="2:8" x14ac:dyDescent="0.25">
      <c r="B25" s="5" t="s">
        <v>72</v>
      </c>
      <c r="C25" s="50"/>
      <c r="D25" s="50"/>
      <c r="E25" s="50"/>
      <c r="F25" s="50"/>
      <c r="G25" s="50"/>
      <c r="H25" s="40"/>
    </row>
    <row r="26" spans="2:8" x14ac:dyDescent="0.25">
      <c r="B26" s="5" t="s">
        <v>53</v>
      </c>
      <c r="C26" s="50"/>
      <c r="D26" s="50"/>
      <c r="E26" s="50"/>
      <c r="F26" s="50"/>
      <c r="G26" s="50"/>
      <c r="H26" s="40"/>
    </row>
    <row r="27" spans="2:8" x14ac:dyDescent="0.25">
      <c r="B27" s="5" t="s">
        <v>42</v>
      </c>
      <c r="H27" s="40"/>
    </row>
    <row r="28" spans="2:8" x14ac:dyDescent="0.25">
      <c r="B28" s="5" t="s">
        <v>75</v>
      </c>
      <c r="H28" s="40"/>
    </row>
    <row r="29" spans="2:8" x14ac:dyDescent="0.25">
      <c r="B29" s="5"/>
      <c r="C29" s="43"/>
      <c r="D29" s="24"/>
      <c r="E29" s="62"/>
      <c r="F29" s="24"/>
      <c r="G29" s="24"/>
      <c r="H29" s="40"/>
    </row>
    <row r="30" spans="2:8" x14ac:dyDescent="0.25">
      <c r="B30" s="5"/>
      <c r="C30" s="23"/>
      <c r="D30" s="24"/>
      <c r="E30" s="25"/>
      <c r="F30" s="24"/>
      <c r="G30" s="24"/>
      <c r="H30" s="40"/>
    </row>
    <row r="31" spans="2:8" x14ac:dyDescent="0.25">
      <c r="B31" s="5"/>
      <c r="C31" s="43"/>
      <c r="D31" s="24"/>
      <c r="E31" s="25"/>
      <c r="F31" s="24"/>
      <c r="G31" s="24"/>
      <c r="H31" s="40"/>
    </row>
    <row r="32" spans="2:8" x14ac:dyDescent="0.25">
      <c r="B32" s="5"/>
      <c r="C32" s="23"/>
      <c r="D32" s="24"/>
      <c r="E32" s="25"/>
      <c r="F32" s="24"/>
      <c r="G32" s="24"/>
      <c r="H32" s="40"/>
    </row>
    <row r="33" spans="1:8" x14ac:dyDescent="0.25">
      <c r="B33" s="57" t="s">
        <v>45</v>
      </c>
      <c r="C33" s="57"/>
      <c r="D33" s="57"/>
      <c r="E33" s="57"/>
      <c r="F33" s="24"/>
      <c r="G33" s="24"/>
      <c r="H33" s="40"/>
    </row>
    <row r="34" spans="1:8" x14ac:dyDescent="0.25">
      <c r="B34" s="58" t="s">
        <v>46</v>
      </c>
      <c r="C34" s="58"/>
      <c r="D34" s="58"/>
      <c r="E34" s="58"/>
      <c r="F34" s="24"/>
      <c r="G34" s="24"/>
      <c r="H34" s="40"/>
    </row>
    <row r="35" spans="1:8" x14ac:dyDescent="0.25">
      <c r="B35" s="58" t="s">
        <v>47</v>
      </c>
      <c r="F35" s="24"/>
      <c r="G35" s="24"/>
      <c r="H35" s="40"/>
    </row>
    <row r="36" spans="1:8" ht="15" customHeight="1" x14ac:dyDescent="0.25">
      <c r="A36" s="2"/>
      <c r="H36" s="40">
        <f t="shared" ref="H36:H37" si="0">+C36-G36</f>
        <v>0</v>
      </c>
    </row>
    <row r="37" spans="1:8" ht="15" hidden="1" customHeight="1" x14ac:dyDescent="0.25">
      <c r="A37" s="1"/>
      <c r="H37" s="40">
        <f t="shared" si="0"/>
        <v>0</v>
      </c>
    </row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D8C692E0-0018-460E-88FE-104E424B83B1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2D1E-A33F-47A2-9546-7F0D189442FC}">
  <sheetPr codeName="Hoja13">
    <tabColor rgb="FF00B050"/>
  </sheetPr>
  <dimension ref="A1:H33"/>
  <sheetViews>
    <sheetView showGridLines="0" zoomScaleNormal="100" zoomScaleSheetLayoutView="140" workbookViewId="0">
      <selection activeCell="B5" sqref="B5:F5"/>
    </sheetView>
  </sheetViews>
  <sheetFormatPr baseColWidth="10" defaultColWidth="0" defaultRowHeight="15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1" t="s">
        <v>57</v>
      </c>
      <c r="C3" s="71"/>
      <c r="D3" s="71"/>
      <c r="E3" s="71"/>
      <c r="F3" s="71"/>
      <c r="G3" s="27"/>
    </row>
    <row r="4" spans="1:8" x14ac:dyDescent="0.25">
      <c r="B4" s="71" t="s">
        <v>43</v>
      </c>
      <c r="C4" s="71"/>
      <c r="D4" s="71"/>
      <c r="E4" s="71"/>
      <c r="F4" s="71"/>
      <c r="G4" s="27"/>
    </row>
    <row r="5" spans="1:8" x14ac:dyDescent="0.25">
      <c r="B5" s="71" t="s">
        <v>85</v>
      </c>
      <c r="C5" s="71"/>
      <c r="D5" s="71"/>
      <c r="E5" s="71"/>
      <c r="F5" s="71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2" t="s">
        <v>1</v>
      </c>
      <c r="C8" s="72" t="s">
        <v>48</v>
      </c>
      <c r="D8" s="72" t="s">
        <v>54</v>
      </c>
      <c r="E8" s="72" t="s">
        <v>37</v>
      </c>
      <c r="F8" s="72" t="s">
        <v>41</v>
      </c>
      <c r="G8" s="26"/>
    </row>
    <row r="9" spans="1:8" ht="23.25" customHeight="1" x14ac:dyDescent="0.25">
      <c r="A9" s="60">
        <v>15000</v>
      </c>
      <c r="B9" s="73"/>
      <c r="C9" s="73"/>
      <c r="D9" s="73"/>
      <c r="E9" s="73"/>
      <c r="F9" s="73"/>
      <c r="G9" s="26"/>
    </row>
    <row r="10" spans="1:8" ht="15.75" thickBot="1" x14ac:dyDescent="0.3">
      <c r="A10" s="56">
        <v>31</v>
      </c>
      <c r="B10" s="6">
        <v>47119</v>
      </c>
      <c r="C10" s="41">
        <f>+$A$9*A10*24</f>
        <v>11160000</v>
      </c>
      <c r="D10" s="74"/>
      <c r="E10" s="54">
        <f>+$D$10*A10*24</f>
        <v>0</v>
      </c>
      <c r="F10" s="65"/>
      <c r="G10" s="30"/>
      <c r="H10" s="49"/>
    </row>
    <row r="11" spans="1:8" ht="15.75" thickBot="1" x14ac:dyDescent="0.3">
      <c r="A11" s="56">
        <v>28</v>
      </c>
      <c r="B11" s="6">
        <v>47150</v>
      </c>
      <c r="C11" s="41">
        <f t="shared" ref="C11:C21" si="0">+$A$9*A11*24</f>
        <v>10080000</v>
      </c>
      <c r="D11" s="75"/>
      <c r="E11" s="54">
        <f t="shared" ref="E11:E21" si="1">+$D$10*A11*24</f>
        <v>0</v>
      </c>
      <c r="F11" s="66"/>
      <c r="G11" s="30"/>
      <c r="H11" s="49"/>
    </row>
    <row r="12" spans="1:8" ht="15.75" thickBot="1" x14ac:dyDescent="0.3">
      <c r="A12" s="56">
        <v>31</v>
      </c>
      <c r="B12" s="6">
        <v>47178</v>
      </c>
      <c r="C12" s="41">
        <f t="shared" si="0"/>
        <v>11160000</v>
      </c>
      <c r="D12" s="75"/>
      <c r="E12" s="54">
        <f t="shared" si="1"/>
        <v>0</v>
      </c>
      <c r="F12" s="66"/>
      <c r="G12" s="30"/>
      <c r="H12" s="49"/>
    </row>
    <row r="13" spans="1:8" ht="15.75" thickBot="1" x14ac:dyDescent="0.3">
      <c r="A13" s="56">
        <v>30</v>
      </c>
      <c r="B13" s="6">
        <v>47209</v>
      </c>
      <c r="C13" s="41">
        <f t="shared" si="0"/>
        <v>10800000</v>
      </c>
      <c r="D13" s="75"/>
      <c r="E13" s="54">
        <f t="shared" si="1"/>
        <v>0</v>
      </c>
      <c r="F13" s="66"/>
      <c r="G13" s="30"/>
      <c r="H13" s="49"/>
    </row>
    <row r="14" spans="1:8" ht="15.75" thickBot="1" x14ac:dyDescent="0.3">
      <c r="A14" s="56">
        <v>31</v>
      </c>
      <c r="B14" s="6">
        <v>47239</v>
      </c>
      <c r="C14" s="41">
        <f t="shared" si="0"/>
        <v>11160000</v>
      </c>
      <c r="D14" s="75"/>
      <c r="E14" s="54">
        <f t="shared" si="1"/>
        <v>0</v>
      </c>
      <c r="F14" s="66"/>
      <c r="G14" s="30"/>
      <c r="H14" s="49"/>
    </row>
    <row r="15" spans="1:8" ht="15.75" thickBot="1" x14ac:dyDescent="0.3">
      <c r="A15" s="56">
        <v>30</v>
      </c>
      <c r="B15" s="6">
        <v>47270</v>
      </c>
      <c r="C15" s="41">
        <f t="shared" si="0"/>
        <v>10800000</v>
      </c>
      <c r="D15" s="75"/>
      <c r="E15" s="54">
        <f t="shared" si="1"/>
        <v>0</v>
      </c>
      <c r="F15" s="66"/>
      <c r="G15" s="30"/>
      <c r="H15" s="49"/>
    </row>
    <row r="16" spans="1:8" ht="15.75" thickBot="1" x14ac:dyDescent="0.3">
      <c r="A16" s="56">
        <v>31</v>
      </c>
      <c r="B16" s="6">
        <v>47300</v>
      </c>
      <c r="C16" s="41">
        <f t="shared" si="0"/>
        <v>11160000</v>
      </c>
      <c r="D16" s="75"/>
      <c r="E16" s="54">
        <f t="shared" si="1"/>
        <v>0</v>
      </c>
      <c r="F16" s="66"/>
      <c r="G16" s="30"/>
      <c r="H16" s="49"/>
    </row>
    <row r="17" spans="1:8" ht="15.75" thickBot="1" x14ac:dyDescent="0.3">
      <c r="A17" s="56">
        <v>31</v>
      </c>
      <c r="B17" s="6">
        <v>47331</v>
      </c>
      <c r="C17" s="41">
        <f t="shared" si="0"/>
        <v>11160000</v>
      </c>
      <c r="D17" s="75"/>
      <c r="E17" s="54">
        <f t="shared" si="1"/>
        <v>0</v>
      </c>
      <c r="F17" s="66"/>
      <c r="G17" s="30"/>
      <c r="H17" s="49"/>
    </row>
    <row r="18" spans="1:8" ht="15.75" thickBot="1" x14ac:dyDescent="0.3">
      <c r="A18" s="56">
        <v>30</v>
      </c>
      <c r="B18" s="6">
        <v>47362</v>
      </c>
      <c r="C18" s="41">
        <f t="shared" si="0"/>
        <v>10800000</v>
      </c>
      <c r="D18" s="75"/>
      <c r="E18" s="54">
        <f t="shared" si="1"/>
        <v>0</v>
      </c>
      <c r="F18" s="66"/>
      <c r="G18" s="30"/>
      <c r="H18" s="49"/>
    </row>
    <row r="19" spans="1:8" ht="15.75" thickBot="1" x14ac:dyDescent="0.3">
      <c r="A19" s="56">
        <v>31</v>
      </c>
      <c r="B19" s="6">
        <v>47392</v>
      </c>
      <c r="C19" s="41">
        <f t="shared" si="0"/>
        <v>11160000</v>
      </c>
      <c r="D19" s="75"/>
      <c r="E19" s="54">
        <f t="shared" si="1"/>
        <v>0</v>
      </c>
      <c r="F19" s="66"/>
      <c r="G19" s="30"/>
      <c r="H19" s="49"/>
    </row>
    <row r="20" spans="1:8" ht="15.75" thickBot="1" x14ac:dyDescent="0.3">
      <c r="A20" s="56">
        <v>30</v>
      </c>
      <c r="B20" s="6">
        <v>47423</v>
      </c>
      <c r="C20" s="41">
        <f t="shared" si="0"/>
        <v>10800000</v>
      </c>
      <c r="D20" s="75"/>
      <c r="E20" s="54">
        <f t="shared" si="1"/>
        <v>0</v>
      </c>
      <c r="F20" s="66"/>
      <c r="G20" s="30"/>
      <c r="H20" s="49"/>
    </row>
    <row r="21" spans="1:8" ht="15.75" thickBot="1" x14ac:dyDescent="0.3">
      <c r="A21" s="56">
        <v>31</v>
      </c>
      <c r="B21" s="6">
        <v>47453</v>
      </c>
      <c r="C21" s="41">
        <f t="shared" si="0"/>
        <v>11160000</v>
      </c>
      <c r="D21" s="76"/>
      <c r="E21" s="54">
        <f t="shared" si="1"/>
        <v>0</v>
      </c>
      <c r="F21" s="67"/>
      <c r="G21" s="30"/>
      <c r="H21" s="49"/>
    </row>
    <row r="22" spans="1:8" ht="28.5" customHeight="1" x14ac:dyDescent="0.25">
      <c r="B22" s="7" t="s">
        <v>0</v>
      </c>
      <c r="C22" s="8">
        <f>+SUM(C10:C21)</f>
        <v>131400000</v>
      </c>
      <c r="D22" s="9"/>
      <c r="E22" s="53">
        <f>SUM(E10:E21)</f>
        <v>0</v>
      </c>
      <c r="F22" s="52">
        <f>+F10</f>
        <v>0</v>
      </c>
      <c r="G22" s="48"/>
      <c r="H22" s="40"/>
    </row>
    <row r="23" spans="1:8" ht="19.5" customHeight="1" x14ac:dyDescent="0.25">
      <c r="B23" s="5" t="s">
        <v>49</v>
      </c>
      <c r="C23" s="23"/>
      <c r="D23" s="28"/>
      <c r="E23" s="23"/>
      <c r="F23" s="24"/>
      <c r="G23" s="24"/>
      <c r="H23" s="40"/>
    </row>
    <row r="24" spans="1:8" x14ac:dyDescent="0.25">
      <c r="B24" s="5" t="s">
        <v>74</v>
      </c>
      <c r="C24" s="5"/>
      <c r="D24" s="5"/>
      <c r="E24" s="5"/>
      <c r="F24" s="5"/>
      <c r="G24" s="5"/>
      <c r="H24" s="40"/>
    </row>
    <row r="25" spans="1:8" ht="15" customHeight="1" x14ac:dyDescent="0.25">
      <c r="B25" s="5" t="s">
        <v>42</v>
      </c>
      <c r="H25" s="40"/>
    </row>
    <row r="26" spans="1:8" ht="27.75" customHeight="1" x14ac:dyDescent="0.25">
      <c r="A26" s="1"/>
      <c r="B26" s="64" t="s">
        <v>55</v>
      </c>
      <c r="C26" s="64"/>
      <c r="D26" s="64"/>
      <c r="E26" s="64"/>
      <c r="F26" s="64"/>
      <c r="G26" s="64"/>
      <c r="H26" s="40"/>
    </row>
    <row r="27" spans="1:8" ht="15" customHeight="1" x14ac:dyDescent="0.25">
      <c r="A27" s="1"/>
      <c r="H27" s="40"/>
    </row>
    <row r="28" spans="1:8" x14ac:dyDescent="0.25"/>
    <row r="29" spans="1:8" x14ac:dyDescent="0.25">
      <c r="B29" s="57" t="s">
        <v>45</v>
      </c>
      <c r="C29" s="57"/>
      <c r="D29" s="57"/>
      <c r="E29" s="57"/>
    </row>
    <row r="30" spans="1:8" x14ac:dyDescent="0.25">
      <c r="B30" s="58" t="s">
        <v>46</v>
      </c>
      <c r="C30" s="58"/>
      <c r="D30" s="58"/>
      <c r="E30" s="58"/>
    </row>
    <row r="31" spans="1:8" x14ac:dyDescent="0.25">
      <c r="B31" s="58" t="s">
        <v>47</v>
      </c>
    </row>
    <row r="32" spans="1:8" x14ac:dyDescent="0.25"/>
    <row r="33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15.000" prompt="Se debe ofertar maximo 15.000 kWh" sqref="D10:D21" xr:uid="{87ABA0C6-6BC4-438A-9A2E-4CD940211528}">
      <formula1>0</formula1>
      <formula2>15000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A055-D181-49D7-B7D8-A176D06E368D}">
  <sheetPr codeName="Hoja14">
    <tabColor rgb="FF00B050"/>
  </sheetPr>
  <dimension ref="A1:AD46"/>
  <sheetViews>
    <sheetView showGridLines="0" zoomScale="115" zoomScaleNormal="115" zoomScaleSheetLayoutView="110" workbookViewId="0">
      <pane xSplit="2" ySplit="5" topLeftCell="C33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3" width="8.42578125" bestFit="1" customWidth="1"/>
    <col min="4" max="4" width="8" bestFit="1" customWidth="1"/>
    <col min="5" max="5" width="7.7109375" bestFit="1" customWidth="1"/>
    <col min="6" max="6" width="8" bestFit="1" customWidth="1"/>
    <col min="7" max="8" width="7.7109375" bestFit="1" customWidth="1"/>
    <col min="9" max="9" width="7.42578125" bestFit="1" customWidth="1"/>
    <col min="10" max="10" width="8" bestFit="1" customWidth="1"/>
    <col min="11" max="11" width="8.7109375" bestFit="1" customWidth="1"/>
    <col min="12" max="12" width="9" bestFit="1" customWidth="1"/>
    <col min="13" max="13" width="8.42578125" bestFit="1" customWidth="1"/>
    <col min="14" max="14" width="8.7109375" bestFit="1" customWidth="1"/>
    <col min="15" max="15" width="9" bestFit="1" customWidth="1"/>
    <col min="16" max="17" width="8.7109375" bestFit="1" customWidth="1"/>
    <col min="18" max="20" width="9" bestFit="1" customWidth="1"/>
    <col min="21" max="24" width="9.28515625" bestFit="1" customWidth="1"/>
    <col min="25" max="26" width="8.7109375" bestFit="1" customWidth="1"/>
    <col min="27" max="27" width="9.8554687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7" t="s">
        <v>76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</row>
    <row r="2" spans="1:30" ht="15" x14ac:dyDescent="0.25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</row>
    <row r="3" spans="1:30" ht="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ht="15" x14ac:dyDescent="0.25">
      <c r="A4" s="93" t="s">
        <v>35</v>
      </c>
      <c r="B4" s="93" t="s">
        <v>34</v>
      </c>
      <c r="C4" s="85" t="s">
        <v>33</v>
      </c>
      <c r="D4" s="85" t="s">
        <v>32</v>
      </c>
      <c r="E4" s="85" t="s">
        <v>31</v>
      </c>
      <c r="F4" s="85" t="s">
        <v>30</v>
      </c>
      <c r="G4" s="85" t="s">
        <v>29</v>
      </c>
      <c r="H4" s="85" t="s">
        <v>28</v>
      </c>
      <c r="I4" s="85" t="s">
        <v>27</v>
      </c>
      <c r="J4" s="85" t="s">
        <v>26</v>
      </c>
      <c r="K4" s="85" t="s">
        <v>25</v>
      </c>
      <c r="L4" s="85" t="s">
        <v>24</v>
      </c>
      <c r="M4" s="85" t="s">
        <v>23</v>
      </c>
      <c r="N4" s="85" t="s">
        <v>22</v>
      </c>
      <c r="O4" s="85" t="s">
        <v>21</v>
      </c>
      <c r="P4" s="85" t="s">
        <v>20</v>
      </c>
      <c r="Q4" s="85" t="s">
        <v>19</v>
      </c>
      <c r="R4" s="85" t="s">
        <v>18</v>
      </c>
      <c r="S4" s="85" t="s">
        <v>17</v>
      </c>
      <c r="T4" s="85" t="s">
        <v>16</v>
      </c>
      <c r="U4" s="85" t="s">
        <v>15</v>
      </c>
      <c r="V4" s="85" t="s">
        <v>14</v>
      </c>
      <c r="W4" s="85" t="s">
        <v>13</v>
      </c>
      <c r="X4" s="85" t="s">
        <v>12</v>
      </c>
      <c r="Y4" s="85" t="s">
        <v>11</v>
      </c>
      <c r="Z4" s="85" t="s">
        <v>10</v>
      </c>
      <c r="AA4" s="12" t="s">
        <v>9</v>
      </c>
      <c r="AB4" s="13" t="s">
        <v>8</v>
      </c>
      <c r="AC4" s="83" t="s">
        <v>7</v>
      </c>
    </row>
    <row r="5" spans="1:30" ht="15" x14ac:dyDescent="0.25">
      <c r="A5" s="93"/>
      <c r="B5" s="93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14"/>
      <c r="AB5" s="15" t="s">
        <v>6</v>
      </c>
      <c r="AC5" s="84"/>
    </row>
    <row r="6" spans="1:30" ht="15.75" thickBot="1" x14ac:dyDescent="0.3">
      <c r="A6" s="79">
        <v>47119</v>
      </c>
      <c r="B6" s="16" t="s">
        <v>5</v>
      </c>
      <c r="C6" s="31">
        <v>20999</v>
      </c>
      <c r="D6" s="31">
        <v>19786</v>
      </c>
      <c r="E6" s="31">
        <v>19055</v>
      </c>
      <c r="F6" s="31">
        <v>18678</v>
      </c>
      <c r="G6" s="31">
        <v>18939</v>
      </c>
      <c r="H6" s="31">
        <v>20067</v>
      </c>
      <c r="I6" s="31">
        <v>21140</v>
      </c>
      <c r="J6" s="31">
        <v>23147</v>
      </c>
      <c r="K6" s="31">
        <v>25406</v>
      </c>
      <c r="L6" s="31">
        <v>27117</v>
      </c>
      <c r="M6" s="31">
        <v>28859</v>
      </c>
      <c r="N6" s="31">
        <v>30502</v>
      </c>
      <c r="O6" s="31">
        <v>30223</v>
      </c>
      <c r="P6" s="31">
        <v>30259</v>
      </c>
      <c r="Q6" s="31">
        <v>30763</v>
      </c>
      <c r="R6" s="31">
        <v>30860</v>
      </c>
      <c r="S6" s="31">
        <v>30507</v>
      </c>
      <c r="T6" s="31">
        <v>29846</v>
      </c>
      <c r="U6" s="31">
        <v>32040</v>
      </c>
      <c r="V6" s="31">
        <v>33866</v>
      </c>
      <c r="W6" s="31">
        <v>32638</v>
      </c>
      <c r="X6" s="31">
        <v>30484</v>
      </c>
      <c r="Y6" s="31">
        <v>27023</v>
      </c>
      <c r="Z6" s="32">
        <v>23526</v>
      </c>
      <c r="AA6" s="33">
        <f>SUM(C6:Z6)</f>
        <v>635730</v>
      </c>
      <c r="AB6" s="17">
        <v>21</v>
      </c>
      <c r="AC6" s="80">
        <f>+AA6*AB6+AA7*AB7+AA8*AB8</f>
        <v>19342182</v>
      </c>
    </row>
    <row r="7" spans="1:30" ht="15.75" thickBot="1" x14ac:dyDescent="0.3">
      <c r="A7" s="79"/>
      <c r="B7" s="18" t="s">
        <v>4</v>
      </c>
      <c r="C7" s="34">
        <v>21506</v>
      </c>
      <c r="D7" s="34">
        <v>20135</v>
      </c>
      <c r="E7" s="34">
        <v>19299</v>
      </c>
      <c r="F7" s="34">
        <v>18771</v>
      </c>
      <c r="G7" s="34">
        <v>18788</v>
      </c>
      <c r="H7" s="34">
        <v>19419</v>
      </c>
      <c r="I7" s="34">
        <v>20155</v>
      </c>
      <c r="J7" s="34">
        <v>22197</v>
      </c>
      <c r="K7" s="34">
        <v>24721</v>
      </c>
      <c r="L7" s="34">
        <v>26626</v>
      </c>
      <c r="M7" s="34">
        <v>28054</v>
      </c>
      <c r="N7" s="34">
        <v>29466</v>
      </c>
      <c r="O7" s="34">
        <v>29619</v>
      </c>
      <c r="P7" s="34">
        <v>29328</v>
      </c>
      <c r="Q7" s="34">
        <v>29009</v>
      </c>
      <c r="R7" s="34">
        <v>28854</v>
      </c>
      <c r="S7" s="34">
        <v>28636</v>
      </c>
      <c r="T7" s="34">
        <v>28608</v>
      </c>
      <c r="U7" s="34">
        <v>31358</v>
      </c>
      <c r="V7" s="34">
        <v>33317</v>
      </c>
      <c r="W7" s="34">
        <v>31977</v>
      </c>
      <c r="X7" s="34">
        <v>29981</v>
      </c>
      <c r="Y7" s="34">
        <v>27147</v>
      </c>
      <c r="Z7" s="35">
        <v>24308</v>
      </c>
      <c r="AA7" s="36">
        <f t="shared" ref="AA7:AA41" si="0">SUM(C7:Z7)</f>
        <v>621279</v>
      </c>
      <c r="AB7" s="19">
        <v>4</v>
      </c>
      <c r="AC7" s="81"/>
      <c r="AD7" s="45"/>
    </row>
    <row r="8" spans="1:30" ht="15" x14ac:dyDescent="0.25">
      <c r="A8" s="79"/>
      <c r="B8" s="20" t="s">
        <v>3</v>
      </c>
      <c r="C8" s="37">
        <v>22545</v>
      </c>
      <c r="D8" s="37">
        <v>21064</v>
      </c>
      <c r="E8" s="37">
        <v>20082</v>
      </c>
      <c r="F8" s="37">
        <v>19389</v>
      </c>
      <c r="G8" s="37">
        <v>19051</v>
      </c>
      <c r="H8" s="37">
        <v>19183</v>
      </c>
      <c r="I8" s="37">
        <v>18995</v>
      </c>
      <c r="J8" s="37">
        <v>20117</v>
      </c>
      <c r="K8" s="37">
        <v>22038</v>
      </c>
      <c r="L8" s="37">
        <v>23730</v>
      </c>
      <c r="M8" s="37">
        <v>24980</v>
      </c>
      <c r="N8" s="37">
        <v>26280</v>
      </c>
      <c r="O8" s="37">
        <v>27050</v>
      </c>
      <c r="P8" s="37">
        <v>26958</v>
      </c>
      <c r="Q8" s="37">
        <v>26469</v>
      </c>
      <c r="R8" s="37">
        <v>26187</v>
      </c>
      <c r="S8" s="37">
        <v>26045</v>
      </c>
      <c r="T8" s="37">
        <v>26186</v>
      </c>
      <c r="U8" s="37">
        <v>29186</v>
      </c>
      <c r="V8" s="37">
        <v>31328</v>
      </c>
      <c r="W8" s="37">
        <v>30454</v>
      </c>
      <c r="X8" s="37">
        <v>28587</v>
      </c>
      <c r="Y8" s="37">
        <v>25708</v>
      </c>
      <c r="Z8" s="38">
        <v>22844</v>
      </c>
      <c r="AA8" s="39">
        <f t="shared" si="0"/>
        <v>584456</v>
      </c>
      <c r="AB8" s="21">
        <v>6</v>
      </c>
      <c r="AC8" s="82"/>
      <c r="AD8" s="46"/>
    </row>
    <row r="9" spans="1:30" ht="15.75" thickBot="1" x14ac:dyDescent="0.3">
      <c r="A9" s="79">
        <v>47150</v>
      </c>
      <c r="B9" s="16" t="s">
        <v>5</v>
      </c>
      <c r="C9" s="31">
        <v>21122</v>
      </c>
      <c r="D9" s="31">
        <v>19954</v>
      </c>
      <c r="E9" s="31">
        <v>19283</v>
      </c>
      <c r="F9" s="31">
        <v>18953</v>
      </c>
      <c r="G9" s="31">
        <v>19335</v>
      </c>
      <c r="H9" s="31">
        <v>21086</v>
      </c>
      <c r="I9" s="31">
        <v>22480</v>
      </c>
      <c r="J9" s="31">
        <v>23995</v>
      </c>
      <c r="K9" s="31">
        <v>26004</v>
      </c>
      <c r="L9" s="31">
        <v>27510</v>
      </c>
      <c r="M9" s="31">
        <v>29155</v>
      </c>
      <c r="N9" s="31">
        <v>30679</v>
      </c>
      <c r="O9" s="31">
        <v>30067</v>
      </c>
      <c r="P9" s="31">
        <v>30300</v>
      </c>
      <c r="Q9" s="31">
        <v>31008</v>
      </c>
      <c r="R9" s="31">
        <v>31136</v>
      </c>
      <c r="S9" s="31">
        <v>30788</v>
      </c>
      <c r="T9" s="31">
        <v>29984</v>
      </c>
      <c r="U9" s="31">
        <v>31658</v>
      </c>
      <c r="V9" s="31">
        <v>34055</v>
      </c>
      <c r="W9" s="31">
        <v>32875</v>
      </c>
      <c r="X9" s="31">
        <v>30620</v>
      </c>
      <c r="Y9" s="31">
        <v>27061</v>
      </c>
      <c r="Z9" s="32">
        <v>23521</v>
      </c>
      <c r="AA9" s="33">
        <f t="shared" si="0"/>
        <v>642629</v>
      </c>
      <c r="AB9" s="17">
        <v>20</v>
      </c>
      <c r="AC9" s="80">
        <f>+AA9*AB9+AA10*AB10+AA11*AB11</f>
        <v>17809456</v>
      </c>
    </row>
    <row r="10" spans="1:30" ht="15.75" thickBot="1" x14ac:dyDescent="0.3">
      <c r="A10" s="79"/>
      <c r="B10" s="18" t="s">
        <v>4</v>
      </c>
      <c r="C10" s="34">
        <v>21904</v>
      </c>
      <c r="D10" s="34">
        <v>20609</v>
      </c>
      <c r="E10" s="34">
        <v>19776</v>
      </c>
      <c r="F10" s="34">
        <v>19298</v>
      </c>
      <c r="G10" s="34">
        <v>19355</v>
      </c>
      <c r="H10" s="34">
        <v>20033</v>
      </c>
      <c r="I10" s="34">
        <v>21120</v>
      </c>
      <c r="J10" s="34">
        <v>23160</v>
      </c>
      <c r="K10" s="34">
        <v>25782</v>
      </c>
      <c r="L10" s="34">
        <v>27608</v>
      </c>
      <c r="M10" s="34">
        <v>29060</v>
      </c>
      <c r="N10" s="34">
        <v>30469</v>
      </c>
      <c r="O10" s="34">
        <v>30508</v>
      </c>
      <c r="P10" s="34">
        <v>30117</v>
      </c>
      <c r="Q10" s="34">
        <v>29782</v>
      </c>
      <c r="R10" s="34">
        <v>29599</v>
      </c>
      <c r="S10" s="34">
        <v>29347</v>
      </c>
      <c r="T10" s="34">
        <v>29256</v>
      </c>
      <c r="U10" s="34">
        <v>31480</v>
      </c>
      <c r="V10" s="34">
        <v>33890</v>
      </c>
      <c r="W10" s="34">
        <v>32563</v>
      </c>
      <c r="X10" s="34">
        <v>30677</v>
      </c>
      <c r="Y10" s="34">
        <v>27981</v>
      </c>
      <c r="Z10" s="35">
        <v>24985</v>
      </c>
      <c r="AA10" s="36">
        <f t="shared" si="0"/>
        <v>638359</v>
      </c>
      <c r="AB10" s="19">
        <v>4</v>
      </c>
      <c r="AC10" s="81"/>
      <c r="AD10" s="45"/>
    </row>
    <row r="11" spans="1:30" ht="15" x14ac:dyDescent="0.25">
      <c r="A11" s="79"/>
      <c r="B11" s="20" t="s">
        <v>3</v>
      </c>
      <c r="C11" s="37">
        <v>22750</v>
      </c>
      <c r="D11" s="37">
        <v>21280</v>
      </c>
      <c r="E11" s="37">
        <v>20384</v>
      </c>
      <c r="F11" s="37">
        <v>19712</v>
      </c>
      <c r="G11" s="37">
        <v>19497</v>
      </c>
      <c r="H11" s="37">
        <v>19699</v>
      </c>
      <c r="I11" s="37">
        <v>19860</v>
      </c>
      <c r="J11" s="37">
        <v>21175</v>
      </c>
      <c r="K11" s="37">
        <v>23282</v>
      </c>
      <c r="L11" s="37">
        <v>25007</v>
      </c>
      <c r="M11" s="37">
        <v>26149</v>
      </c>
      <c r="N11" s="37">
        <v>27385</v>
      </c>
      <c r="O11" s="37">
        <v>28077</v>
      </c>
      <c r="P11" s="37">
        <v>27851</v>
      </c>
      <c r="Q11" s="37">
        <v>27299</v>
      </c>
      <c r="R11" s="37">
        <v>26965</v>
      </c>
      <c r="S11" s="37">
        <v>26797</v>
      </c>
      <c r="T11" s="37">
        <v>26938</v>
      </c>
      <c r="U11" s="37">
        <v>29330</v>
      </c>
      <c r="V11" s="37">
        <v>31993</v>
      </c>
      <c r="W11" s="37">
        <v>31180</v>
      </c>
      <c r="X11" s="37">
        <v>29246</v>
      </c>
      <c r="Y11" s="37">
        <v>26068</v>
      </c>
      <c r="Z11" s="38">
        <v>22936</v>
      </c>
      <c r="AA11" s="39">
        <f t="shared" si="0"/>
        <v>600860</v>
      </c>
      <c r="AB11" s="21">
        <v>4</v>
      </c>
      <c r="AC11" s="82"/>
      <c r="AD11" s="46"/>
    </row>
    <row r="12" spans="1:30" ht="15.75" thickBot="1" x14ac:dyDescent="0.3">
      <c r="A12" s="79">
        <v>47178</v>
      </c>
      <c r="B12" s="16" t="s">
        <v>5</v>
      </c>
      <c r="C12" s="31">
        <v>20673</v>
      </c>
      <c r="D12" s="31">
        <v>19555</v>
      </c>
      <c r="E12" s="31">
        <v>18936</v>
      </c>
      <c r="F12" s="31">
        <v>18626</v>
      </c>
      <c r="G12" s="31">
        <v>19037</v>
      </c>
      <c r="H12" s="31">
        <v>20754</v>
      </c>
      <c r="I12" s="31">
        <v>21957</v>
      </c>
      <c r="J12" s="31">
        <v>23633</v>
      </c>
      <c r="K12" s="31">
        <v>25562</v>
      </c>
      <c r="L12" s="31">
        <v>27008</v>
      </c>
      <c r="M12" s="31">
        <v>28549</v>
      </c>
      <c r="N12" s="31">
        <v>29938</v>
      </c>
      <c r="O12" s="31">
        <v>29384</v>
      </c>
      <c r="P12" s="31">
        <v>29507</v>
      </c>
      <c r="Q12" s="31">
        <v>30115</v>
      </c>
      <c r="R12" s="31">
        <v>30214</v>
      </c>
      <c r="S12" s="31">
        <v>29950</v>
      </c>
      <c r="T12" s="31">
        <v>29384</v>
      </c>
      <c r="U12" s="31">
        <v>31473</v>
      </c>
      <c r="V12" s="31">
        <v>33518</v>
      </c>
      <c r="W12" s="31">
        <v>32301</v>
      </c>
      <c r="X12" s="31">
        <v>30008</v>
      </c>
      <c r="Y12" s="31">
        <v>26521</v>
      </c>
      <c r="Z12" s="32">
        <v>23078</v>
      </c>
      <c r="AA12" s="33">
        <f t="shared" si="0"/>
        <v>629681</v>
      </c>
      <c r="AB12" s="17">
        <v>19</v>
      </c>
      <c r="AC12" s="80">
        <f>+AA12*AB12+AA13*AB13+AA14*AB14</f>
        <v>19123904</v>
      </c>
    </row>
    <row r="13" spans="1:30" ht="15.75" thickBot="1" x14ac:dyDescent="0.3">
      <c r="A13" s="79"/>
      <c r="B13" s="18" t="s">
        <v>4</v>
      </c>
      <c r="C13" s="34">
        <v>21325</v>
      </c>
      <c r="D13" s="34">
        <v>20033</v>
      </c>
      <c r="E13" s="34">
        <v>19347</v>
      </c>
      <c r="F13" s="34">
        <v>18954</v>
      </c>
      <c r="G13" s="34">
        <v>18978</v>
      </c>
      <c r="H13" s="34">
        <v>19698</v>
      </c>
      <c r="I13" s="34">
        <v>20327</v>
      </c>
      <c r="J13" s="34">
        <v>22564</v>
      </c>
      <c r="K13" s="34">
        <v>24998</v>
      </c>
      <c r="L13" s="34">
        <v>26761</v>
      </c>
      <c r="M13" s="34">
        <v>28161</v>
      </c>
      <c r="N13" s="34">
        <v>29329</v>
      </c>
      <c r="O13" s="34">
        <v>29306</v>
      </c>
      <c r="P13" s="34">
        <v>28890</v>
      </c>
      <c r="Q13" s="34">
        <v>28578</v>
      </c>
      <c r="R13" s="34">
        <v>28344</v>
      </c>
      <c r="S13" s="34">
        <v>28040</v>
      </c>
      <c r="T13" s="34">
        <v>28060</v>
      </c>
      <c r="U13" s="34">
        <v>30599</v>
      </c>
      <c r="V13" s="34">
        <v>32527</v>
      </c>
      <c r="W13" s="34">
        <v>31267</v>
      </c>
      <c r="X13" s="34">
        <v>29464</v>
      </c>
      <c r="Y13" s="34">
        <v>26781</v>
      </c>
      <c r="Z13" s="35">
        <v>24071</v>
      </c>
      <c r="AA13" s="36">
        <f t="shared" si="0"/>
        <v>616402</v>
      </c>
      <c r="AB13" s="19">
        <v>5</v>
      </c>
      <c r="AC13" s="81"/>
      <c r="AD13" s="45"/>
    </row>
    <row r="14" spans="1:30" ht="15" x14ac:dyDescent="0.25">
      <c r="A14" s="79"/>
      <c r="B14" s="20" t="s">
        <v>3</v>
      </c>
      <c r="C14" s="37">
        <v>21977</v>
      </c>
      <c r="D14" s="37">
        <v>20555</v>
      </c>
      <c r="E14" s="37">
        <v>19720</v>
      </c>
      <c r="F14" s="37">
        <v>19153</v>
      </c>
      <c r="G14" s="37">
        <v>18917</v>
      </c>
      <c r="H14" s="37">
        <v>19196</v>
      </c>
      <c r="I14" s="37">
        <v>19126</v>
      </c>
      <c r="J14" s="37">
        <v>20548</v>
      </c>
      <c r="K14" s="37">
        <v>22484</v>
      </c>
      <c r="L14" s="37">
        <v>24045</v>
      </c>
      <c r="M14" s="37">
        <v>25133</v>
      </c>
      <c r="N14" s="37">
        <v>26370</v>
      </c>
      <c r="O14" s="37">
        <v>27106</v>
      </c>
      <c r="P14" s="37">
        <v>26900</v>
      </c>
      <c r="Q14" s="37">
        <v>26335</v>
      </c>
      <c r="R14" s="37">
        <v>26083</v>
      </c>
      <c r="S14" s="37">
        <v>25919</v>
      </c>
      <c r="T14" s="37">
        <v>26121</v>
      </c>
      <c r="U14" s="37">
        <v>28862</v>
      </c>
      <c r="V14" s="37">
        <v>31135</v>
      </c>
      <c r="W14" s="37">
        <v>30259</v>
      </c>
      <c r="X14" s="37">
        <v>28445</v>
      </c>
      <c r="Y14" s="37">
        <v>25494</v>
      </c>
      <c r="Z14" s="38">
        <v>22682</v>
      </c>
      <c r="AA14" s="39">
        <f t="shared" si="0"/>
        <v>582565</v>
      </c>
      <c r="AB14" s="21">
        <v>7</v>
      </c>
      <c r="AC14" s="82"/>
      <c r="AD14" s="43"/>
    </row>
    <row r="15" spans="1:30" ht="15.75" thickBot="1" x14ac:dyDescent="0.3">
      <c r="A15" s="79">
        <v>47209</v>
      </c>
      <c r="B15" s="16" t="s">
        <v>5</v>
      </c>
      <c r="C15" s="31">
        <v>20197</v>
      </c>
      <c r="D15" s="31">
        <v>19126</v>
      </c>
      <c r="E15" s="31">
        <v>18482</v>
      </c>
      <c r="F15" s="31">
        <v>18183</v>
      </c>
      <c r="G15" s="31">
        <v>18561</v>
      </c>
      <c r="H15" s="31">
        <v>19946</v>
      </c>
      <c r="I15" s="31">
        <v>20965</v>
      </c>
      <c r="J15" s="31">
        <v>22812</v>
      </c>
      <c r="K15" s="31">
        <v>24741</v>
      </c>
      <c r="L15" s="31">
        <v>26253</v>
      </c>
      <c r="M15" s="31">
        <v>27848</v>
      </c>
      <c r="N15" s="31">
        <v>29293</v>
      </c>
      <c r="O15" s="31">
        <v>28777</v>
      </c>
      <c r="P15" s="31">
        <v>28909</v>
      </c>
      <c r="Q15" s="31">
        <v>29481</v>
      </c>
      <c r="R15" s="31">
        <v>29540</v>
      </c>
      <c r="S15" s="31">
        <v>29243</v>
      </c>
      <c r="T15" s="31">
        <v>28810</v>
      </c>
      <c r="U15" s="31">
        <v>31325</v>
      </c>
      <c r="V15" s="31">
        <v>32821</v>
      </c>
      <c r="W15" s="31">
        <v>31666</v>
      </c>
      <c r="X15" s="31">
        <v>29351</v>
      </c>
      <c r="Y15" s="31">
        <v>25847</v>
      </c>
      <c r="Z15" s="32">
        <v>22496</v>
      </c>
      <c r="AA15" s="33">
        <f t="shared" si="0"/>
        <v>614673</v>
      </c>
      <c r="AB15" s="17">
        <v>21</v>
      </c>
      <c r="AC15" s="80">
        <f>+AA15*AB15+AA16*AB16+AA17*AB17</f>
        <v>18181622</v>
      </c>
    </row>
    <row r="16" spans="1:30" ht="15.75" thickBot="1" x14ac:dyDescent="0.3">
      <c r="A16" s="79"/>
      <c r="B16" s="18" t="s">
        <v>4</v>
      </c>
      <c r="C16" s="34">
        <v>20627</v>
      </c>
      <c r="D16" s="34">
        <v>19405</v>
      </c>
      <c r="E16" s="34">
        <v>18620</v>
      </c>
      <c r="F16" s="34">
        <v>18156</v>
      </c>
      <c r="G16" s="34">
        <v>18241</v>
      </c>
      <c r="H16" s="34">
        <v>18765</v>
      </c>
      <c r="I16" s="34">
        <v>19424</v>
      </c>
      <c r="J16" s="34">
        <v>21760</v>
      </c>
      <c r="K16" s="34">
        <v>24156</v>
      </c>
      <c r="L16" s="34">
        <v>25973</v>
      </c>
      <c r="M16" s="34">
        <v>27287</v>
      </c>
      <c r="N16" s="34">
        <v>28778</v>
      </c>
      <c r="O16" s="34">
        <v>28869</v>
      </c>
      <c r="P16" s="34">
        <v>28522</v>
      </c>
      <c r="Q16" s="34">
        <v>28206</v>
      </c>
      <c r="R16" s="34">
        <v>27988</v>
      </c>
      <c r="S16" s="34">
        <v>27909</v>
      </c>
      <c r="T16" s="34">
        <v>28043</v>
      </c>
      <c r="U16" s="34">
        <v>30904</v>
      </c>
      <c r="V16" s="34">
        <v>32486</v>
      </c>
      <c r="W16" s="34">
        <v>31156</v>
      </c>
      <c r="X16" s="34">
        <v>29226</v>
      </c>
      <c r="Y16" s="34">
        <v>26509</v>
      </c>
      <c r="Z16" s="35">
        <v>23736</v>
      </c>
      <c r="AA16" s="36">
        <f t="shared" si="0"/>
        <v>604746</v>
      </c>
      <c r="AB16" s="19">
        <v>4</v>
      </c>
      <c r="AC16" s="81"/>
      <c r="AD16" s="45"/>
    </row>
    <row r="17" spans="1:30" ht="15" x14ac:dyDescent="0.25">
      <c r="A17" s="79"/>
      <c r="B17" s="20" t="s">
        <v>3</v>
      </c>
      <c r="C17" s="37">
        <v>21496</v>
      </c>
      <c r="D17" s="37">
        <v>20125</v>
      </c>
      <c r="E17" s="37">
        <v>19238</v>
      </c>
      <c r="F17" s="37">
        <v>18635</v>
      </c>
      <c r="G17" s="37">
        <v>18401</v>
      </c>
      <c r="H17" s="37">
        <v>18370</v>
      </c>
      <c r="I17" s="37">
        <v>18513</v>
      </c>
      <c r="J17" s="37">
        <v>20116</v>
      </c>
      <c r="K17" s="37">
        <v>21993</v>
      </c>
      <c r="L17" s="37">
        <v>23640</v>
      </c>
      <c r="M17" s="37">
        <v>24812</v>
      </c>
      <c r="N17" s="37">
        <v>26007</v>
      </c>
      <c r="O17" s="37">
        <v>26701</v>
      </c>
      <c r="P17" s="37">
        <v>26510</v>
      </c>
      <c r="Q17" s="37">
        <v>25910</v>
      </c>
      <c r="R17" s="37">
        <v>25627</v>
      </c>
      <c r="S17" s="37">
        <v>25465</v>
      </c>
      <c r="T17" s="37">
        <v>25695</v>
      </c>
      <c r="U17" s="37">
        <v>28750</v>
      </c>
      <c r="V17" s="37">
        <v>30578</v>
      </c>
      <c r="W17" s="37">
        <v>29621</v>
      </c>
      <c r="X17" s="37">
        <v>27754</v>
      </c>
      <c r="Y17" s="37">
        <v>24896</v>
      </c>
      <c r="Z17" s="38">
        <v>22048</v>
      </c>
      <c r="AA17" s="39">
        <f t="shared" si="0"/>
        <v>570901</v>
      </c>
      <c r="AB17" s="21">
        <v>5</v>
      </c>
      <c r="AC17" s="82"/>
      <c r="AD17" s="46"/>
    </row>
    <row r="18" spans="1:30" ht="15.75" thickBot="1" x14ac:dyDescent="0.3">
      <c r="A18" s="79">
        <v>47239</v>
      </c>
      <c r="B18" s="16" t="s">
        <v>5</v>
      </c>
      <c r="C18" s="31">
        <v>20226</v>
      </c>
      <c r="D18" s="31">
        <v>19119</v>
      </c>
      <c r="E18" s="31">
        <v>18503</v>
      </c>
      <c r="F18" s="31">
        <v>18194</v>
      </c>
      <c r="G18" s="31">
        <v>18559</v>
      </c>
      <c r="H18" s="31">
        <v>19746</v>
      </c>
      <c r="I18" s="31">
        <v>20987</v>
      </c>
      <c r="J18" s="31">
        <v>22927</v>
      </c>
      <c r="K18" s="31">
        <v>24909</v>
      </c>
      <c r="L18" s="31">
        <v>26466</v>
      </c>
      <c r="M18" s="31">
        <v>28031</v>
      </c>
      <c r="N18" s="31">
        <v>29517</v>
      </c>
      <c r="O18" s="31">
        <v>29068</v>
      </c>
      <c r="P18" s="31">
        <v>29062</v>
      </c>
      <c r="Q18" s="31">
        <v>29510</v>
      </c>
      <c r="R18" s="31">
        <v>29563</v>
      </c>
      <c r="S18" s="31">
        <v>29261</v>
      </c>
      <c r="T18" s="31">
        <v>28907</v>
      </c>
      <c r="U18" s="31">
        <v>31534</v>
      </c>
      <c r="V18" s="31">
        <v>33022</v>
      </c>
      <c r="W18" s="31">
        <v>31731</v>
      </c>
      <c r="X18" s="31">
        <v>29409</v>
      </c>
      <c r="Y18" s="31">
        <v>25849</v>
      </c>
      <c r="Z18" s="32">
        <v>22552</v>
      </c>
      <c r="AA18" s="33">
        <f t="shared" si="0"/>
        <v>616652</v>
      </c>
      <c r="AB18" s="17">
        <v>21</v>
      </c>
      <c r="AC18" s="80">
        <f>+AA18*AB18+AA19*AB19+AA20*AB20</f>
        <v>18874740</v>
      </c>
    </row>
    <row r="19" spans="1:30" ht="15.75" thickBot="1" x14ac:dyDescent="0.3">
      <c r="A19" s="79"/>
      <c r="B19" s="18" t="s">
        <v>4</v>
      </c>
      <c r="C19" s="34">
        <v>20976</v>
      </c>
      <c r="D19" s="34">
        <v>19763</v>
      </c>
      <c r="E19" s="34">
        <v>19030</v>
      </c>
      <c r="F19" s="34">
        <v>18598</v>
      </c>
      <c r="G19" s="34">
        <v>18673</v>
      </c>
      <c r="H19" s="34">
        <v>18979</v>
      </c>
      <c r="I19" s="34">
        <v>19973</v>
      </c>
      <c r="J19" s="34">
        <v>22321</v>
      </c>
      <c r="K19" s="34">
        <v>24772</v>
      </c>
      <c r="L19" s="34">
        <v>26665</v>
      </c>
      <c r="M19" s="34">
        <v>27963</v>
      </c>
      <c r="N19" s="34">
        <v>29147</v>
      </c>
      <c r="O19" s="34">
        <v>29151</v>
      </c>
      <c r="P19" s="34">
        <v>28687</v>
      </c>
      <c r="Q19" s="34">
        <v>28215</v>
      </c>
      <c r="R19" s="34">
        <v>27929</v>
      </c>
      <c r="S19" s="34">
        <v>27723</v>
      </c>
      <c r="T19" s="34">
        <v>27978</v>
      </c>
      <c r="U19" s="34">
        <v>31087</v>
      </c>
      <c r="V19" s="34">
        <v>32348</v>
      </c>
      <c r="W19" s="34">
        <v>31066</v>
      </c>
      <c r="X19" s="34">
        <v>29100</v>
      </c>
      <c r="Y19" s="34">
        <v>26367</v>
      </c>
      <c r="Z19" s="35">
        <v>23641</v>
      </c>
      <c r="AA19" s="36">
        <f t="shared" si="0"/>
        <v>610152</v>
      </c>
      <c r="AB19" s="19">
        <v>4</v>
      </c>
      <c r="AC19" s="81"/>
      <c r="AD19" s="45"/>
    </row>
    <row r="20" spans="1:30" ht="15" x14ac:dyDescent="0.25">
      <c r="A20" s="79"/>
      <c r="B20" s="20" t="s">
        <v>3</v>
      </c>
      <c r="C20" s="37">
        <v>21342</v>
      </c>
      <c r="D20" s="37">
        <v>20016</v>
      </c>
      <c r="E20" s="37">
        <v>19193</v>
      </c>
      <c r="F20" s="37">
        <v>18645</v>
      </c>
      <c r="G20" s="37">
        <v>18477</v>
      </c>
      <c r="H20" s="37">
        <v>18268</v>
      </c>
      <c r="I20" s="37">
        <v>18643</v>
      </c>
      <c r="J20" s="37">
        <v>20429</v>
      </c>
      <c r="K20" s="37">
        <v>22417</v>
      </c>
      <c r="L20" s="37">
        <v>24181</v>
      </c>
      <c r="M20" s="37">
        <v>25387</v>
      </c>
      <c r="N20" s="37">
        <v>26647</v>
      </c>
      <c r="O20" s="37">
        <v>27200</v>
      </c>
      <c r="P20" s="37">
        <v>27089</v>
      </c>
      <c r="Q20" s="37">
        <v>26433</v>
      </c>
      <c r="R20" s="37">
        <v>27170</v>
      </c>
      <c r="S20" s="37">
        <v>25970</v>
      </c>
      <c r="T20" s="37">
        <v>26256</v>
      </c>
      <c r="U20" s="37">
        <v>29414</v>
      </c>
      <c r="V20" s="37">
        <v>31248</v>
      </c>
      <c r="W20" s="37">
        <v>30262</v>
      </c>
      <c r="X20" s="37">
        <v>28279</v>
      </c>
      <c r="Y20" s="37">
        <v>25340</v>
      </c>
      <c r="Z20" s="38">
        <v>22434</v>
      </c>
      <c r="AA20" s="39">
        <f t="shared" si="0"/>
        <v>580740</v>
      </c>
      <c r="AB20" s="21">
        <v>6</v>
      </c>
      <c r="AC20" s="82"/>
      <c r="AD20" s="46"/>
    </row>
    <row r="21" spans="1:30" ht="15.75" thickBot="1" x14ac:dyDescent="0.3">
      <c r="A21" s="79">
        <v>47270</v>
      </c>
      <c r="B21" s="16" t="s">
        <v>5</v>
      </c>
      <c r="C21" s="31">
        <v>19988</v>
      </c>
      <c r="D21" s="31">
        <v>18858</v>
      </c>
      <c r="E21" s="31">
        <v>18292</v>
      </c>
      <c r="F21" s="31">
        <v>17989</v>
      </c>
      <c r="G21" s="31">
        <v>18324</v>
      </c>
      <c r="H21" s="31">
        <v>19343</v>
      </c>
      <c r="I21" s="31">
        <v>20688</v>
      </c>
      <c r="J21" s="31">
        <v>22734</v>
      </c>
      <c r="K21" s="31">
        <v>24802</v>
      </c>
      <c r="L21" s="31">
        <v>26344</v>
      </c>
      <c r="M21" s="31">
        <v>27955</v>
      </c>
      <c r="N21" s="31">
        <v>29459</v>
      </c>
      <c r="O21" s="31">
        <v>28973</v>
      </c>
      <c r="P21" s="31">
        <v>28941</v>
      </c>
      <c r="Q21" s="31">
        <v>29494</v>
      </c>
      <c r="R21" s="31">
        <v>29525</v>
      </c>
      <c r="S21" s="31">
        <v>29224</v>
      </c>
      <c r="T21" s="31">
        <v>28771</v>
      </c>
      <c r="U21" s="31">
        <v>30865</v>
      </c>
      <c r="V21" s="31">
        <v>32819</v>
      </c>
      <c r="W21" s="31">
        <v>31595</v>
      </c>
      <c r="X21" s="31">
        <v>29294</v>
      </c>
      <c r="Y21" s="31">
        <v>25682</v>
      </c>
      <c r="Z21" s="32">
        <v>22335</v>
      </c>
      <c r="AA21" s="33">
        <f t="shared" si="0"/>
        <v>612294</v>
      </c>
      <c r="AB21" s="17">
        <v>19</v>
      </c>
      <c r="AC21" s="80">
        <f>+AA21*AB21+AA22*AB22+AA23*AB23</f>
        <v>18255674</v>
      </c>
    </row>
    <row r="22" spans="1:30" ht="15.75" thickBot="1" x14ac:dyDescent="0.3">
      <c r="A22" s="79"/>
      <c r="B22" s="18" t="s">
        <v>4</v>
      </c>
      <c r="C22" s="34">
        <v>20954</v>
      </c>
      <c r="D22" s="34">
        <v>19650</v>
      </c>
      <c r="E22" s="34">
        <v>18902</v>
      </c>
      <c r="F22" s="34">
        <v>18480</v>
      </c>
      <c r="G22" s="34">
        <v>18517</v>
      </c>
      <c r="H22" s="34">
        <v>18817</v>
      </c>
      <c r="I22" s="34">
        <v>19800</v>
      </c>
      <c r="J22" s="34">
        <v>22123</v>
      </c>
      <c r="K22" s="34">
        <v>24743</v>
      </c>
      <c r="L22" s="34">
        <v>26542</v>
      </c>
      <c r="M22" s="34">
        <v>27947</v>
      </c>
      <c r="N22" s="34">
        <v>29164</v>
      </c>
      <c r="O22" s="34">
        <v>29245</v>
      </c>
      <c r="P22" s="34">
        <v>28945</v>
      </c>
      <c r="Q22" s="34">
        <v>28636</v>
      </c>
      <c r="R22" s="34">
        <v>28583</v>
      </c>
      <c r="S22" s="34">
        <v>28369</v>
      </c>
      <c r="T22" s="34">
        <v>28582</v>
      </c>
      <c r="U22" s="34">
        <v>31250</v>
      </c>
      <c r="V22" s="34">
        <v>32963</v>
      </c>
      <c r="W22" s="34">
        <v>31611</v>
      </c>
      <c r="X22" s="34">
        <v>29681</v>
      </c>
      <c r="Y22" s="34">
        <v>26823</v>
      </c>
      <c r="Z22" s="35">
        <v>23915</v>
      </c>
      <c r="AA22" s="36">
        <f t="shared" si="0"/>
        <v>614242</v>
      </c>
      <c r="AB22" s="19">
        <v>5</v>
      </c>
      <c r="AC22" s="81"/>
      <c r="AD22" s="45"/>
    </row>
    <row r="23" spans="1:30" ht="15" x14ac:dyDescent="0.25">
      <c r="A23" s="79"/>
      <c r="B23" s="20" t="s">
        <v>3</v>
      </c>
      <c r="C23" s="37">
        <v>21808</v>
      </c>
      <c r="D23" s="37">
        <v>20418</v>
      </c>
      <c r="E23" s="37">
        <v>19610</v>
      </c>
      <c r="F23" s="37">
        <v>19060</v>
      </c>
      <c r="G23" s="37">
        <v>18930</v>
      </c>
      <c r="H23" s="37">
        <v>18908</v>
      </c>
      <c r="I23" s="37">
        <v>19160</v>
      </c>
      <c r="J23" s="37">
        <v>21022</v>
      </c>
      <c r="K23" s="37">
        <v>23091</v>
      </c>
      <c r="L23" s="37">
        <v>24689</v>
      </c>
      <c r="M23" s="37">
        <v>26003</v>
      </c>
      <c r="N23" s="37">
        <v>27274</v>
      </c>
      <c r="O23" s="37">
        <v>27727</v>
      </c>
      <c r="P23" s="37">
        <v>27535</v>
      </c>
      <c r="Q23" s="37">
        <v>27003</v>
      </c>
      <c r="R23" s="37">
        <v>26752</v>
      </c>
      <c r="S23" s="37">
        <v>26615</v>
      </c>
      <c r="T23" s="37">
        <v>26833</v>
      </c>
      <c r="U23" s="37">
        <v>29539</v>
      </c>
      <c r="V23" s="37">
        <v>31711</v>
      </c>
      <c r="W23" s="37">
        <v>30777</v>
      </c>
      <c r="X23" s="37">
        <v>28768</v>
      </c>
      <c r="Y23" s="37">
        <v>25750</v>
      </c>
      <c r="Z23" s="38">
        <v>22830</v>
      </c>
      <c r="AA23" s="39">
        <f t="shared" si="0"/>
        <v>591813</v>
      </c>
      <c r="AB23" s="21">
        <v>6</v>
      </c>
      <c r="AC23" s="82"/>
      <c r="AD23" s="46"/>
    </row>
    <row r="24" spans="1:30" ht="15.75" thickBot="1" x14ac:dyDescent="0.3">
      <c r="A24" s="79">
        <v>47300</v>
      </c>
      <c r="B24" s="16" t="s">
        <v>5</v>
      </c>
      <c r="C24" s="31">
        <v>20928</v>
      </c>
      <c r="D24" s="31">
        <v>19737</v>
      </c>
      <c r="E24" s="31">
        <v>19050</v>
      </c>
      <c r="F24" s="31">
        <v>18676</v>
      </c>
      <c r="G24" s="31">
        <v>18995</v>
      </c>
      <c r="H24" s="31">
        <v>20009</v>
      </c>
      <c r="I24" s="31">
        <v>21101</v>
      </c>
      <c r="J24" s="31">
        <v>23386</v>
      </c>
      <c r="K24" s="31">
        <v>25606</v>
      </c>
      <c r="L24" s="31">
        <v>27346</v>
      </c>
      <c r="M24" s="31">
        <v>29031</v>
      </c>
      <c r="N24" s="31">
        <v>30525</v>
      </c>
      <c r="O24" s="31">
        <v>29996</v>
      </c>
      <c r="P24" s="31">
        <v>30061</v>
      </c>
      <c r="Q24" s="31">
        <v>30612</v>
      </c>
      <c r="R24" s="31">
        <v>30673</v>
      </c>
      <c r="S24" s="31">
        <v>30239</v>
      </c>
      <c r="T24" s="31">
        <v>29483</v>
      </c>
      <c r="U24" s="31">
        <v>31214</v>
      </c>
      <c r="V24" s="31">
        <v>33536</v>
      </c>
      <c r="W24" s="31">
        <v>32451</v>
      </c>
      <c r="X24" s="31">
        <v>30264</v>
      </c>
      <c r="Y24" s="31">
        <v>26656</v>
      </c>
      <c r="Z24" s="32">
        <v>23335</v>
      </c>
      <c r="AA24" s="33">
        <f t="shared" si="0"/>
        <v>632910</v>
      </c>
      <c r="AB24" s="17">
        <v>20</v>
      </c>
      <c r="AC24" s="80">
        <f>+AA24*AB24+AA25*AB25+AA26*AB26</f>
        <v>19286909</v>
      </c>
    </row>
    <row r="25" spans="1:30" ht="15.75" thickBot="1" x14ac:dyDescent="0.3">
      <c r="A25" s="79"/>
      <c r="B25" s="18" t="s">
        <v>4</v>
      </c>
      <c r="C25" s="34">
        <v>20974</v>
      </c>
      <c r="D25" s="34">
        <v>19607</v>
      </c>
      <c r="E25" s="34">
        <v>18911</v>
      </c>
      <c r="F25" s="34">
        <v>18446</v>
      </c>
      <c r="G25" s="34">
        <v>18490</v>
      </c>
      <c r="H25" s="34">
        <v>18879</v>
      </c>
      <c r="I25" s="34">
        <v>19818</v>
      </c>
      <c r="J25" s="34">
        <v>22584</v>
      </c>
      <c r="K25" s="34">
        <v>25217</v>
      </c>
      <c r="L25" s="34">
        <v>27019</v>
      </c>
      <c r="M25" s="34">
        <v>28436</v>
      </c>
      <c r="N25" s="34">
        <v>29635</v>
      </c>
      <c r="O25" s="34">
        <v>29579</v>
      </c>
      <c r="P25" s="34">
        <v>29116</v>
      </c>
      <c r="Q25" s="34">
        <v>28694</v>
      </c>
      <c r="R25" s="34">
        <v>28476</v>
      </c>
      <c r="S25" s="34">
        <v>28223</v>
      </c>
      <c r="T25" s="34">
        <v>28308</v>
      </c>
      <c r="U25" s="34">
        <v>30422</v>
      </c>
      <c r="V25" s="34">
        <v>32658</v>
      </c>
      <c r="W25" s="34">
        <v>31410</v>
      </c>
      <c r="X25" s="34">
        <v>29626</v>
      </c>
      <c r="Y25" s="34">
        <v>26831</v>
      </c>
      <c r="Z25" s="35">
        <v>24066</v>
      </c>
      <c r="AA25" s="36">
        <f t="shared" si="0"/>
        <v>615425</v>
      </c>
      <c r="AB25" s="19">
        <v>4</v>
      </c>
      <c r="AC25" s="81"/>
      <c r="AD25" s="45"/>
    </row>
    <row r="26" spans="1:30" ht="15" x14ac:dyDescent="0.25">
      <c r="A26" s="79"/>
      <c r="B26" s="20" t="s">
        <v>3</v>
      </c>
      <c r="C26" s="37">
        <v>22258</v>
      </c>
      <c r="D26" s="37">
        <v>20891</v>
      </c>
      <c r="E26" s="37">
        <v>19989</v>
      </c>
      <c r="F26" s="37">
        <v>19399</v>
      </c>
      <c r="G26" s="37">
        <v>19216</v>
      </c>
      <c r="H26" s="37">
        <v>19222</v>
      </c>
      <c r="I26" s="37">
        <v>19348</v>
      </c>
      <c r="J26" s="37">
        <v>21107</v>
      </c>
      <c r="K26" s="37">
        <v>23217</v>
      </c>
      <c r="L26" s="37">
        <v>24967</v>
      </c>
      <c r="M26" s="37">
        <v>26241</v>
      </c>
      <c r="N26" s="37">
        <v>27422</v>
      </c>
      <c r="O26" s="37">
        <v>28007</v>
      </c>
      <c r="P26" s="37">
        <v>27700</v>
      </c>
      <c r="Q26" s="37">
        <v>27087</v>
      </c>
      <c r="R26" s="37">
        <v>26763</v>
      </c>
      <c r="S26" s="37">
        <v>26511</v>
      </c>
      <c r="T26" s="37">
        <v>26627</v>
      </c>
      <c r="U26" s="37">
        <v>28868</v>
      </c>
      <c r="V26" s="37">
        <v>31625</v>
      </c>
      <c r="W26" s="37">
        <v>30819</v>
      </c>
      <c r="X26" s="37">
        <v>28964</v>
      </c>
      <c r="Y26" s="37">
        <v>25949</v>
      </c>
      <c r="Z26" s="38">
        <v>23090</v>
      </c>
      <c r="AA26" s="39">
        <f t="shared" si="0"/>
        <v>595287</v>
      </c>
      <c r="AB26" s="21">
        <v>7</v>
      </c>
      <c r="AC26" s="82"/>
      <c r="AD26" s="46"/>
    </row>
    <row r="27" spans="1:30" ht="15.75" thickBot="1" x14ac:dyDescent="0.3">
      <c r="A27" s="79">
        <v>47331</v>
      </c>
      <c r="B27" s="16" t="s">
        <v>5</v>
      </c>
      <c r="C27" s="31">
        <v>21174</v>
      </c>
      <c r="D27" s="31">
        <v>20045</v>
      </c>
      <c r="E27" s="31">
        <v>19423</v>
      </c>
      <c r="F27" s="31">
        <v>19054</v>
      </c>
      <c r="G27" s="31">
        <v>19387</v>
      </c>
      <c r="H27" s="31">
        <v>20732</v>
      </c>
      <c r="I27" s="31">
        <v>21929</v>
      </c>
      <c r="J27" s="31">
        <v>23963</v>
      </c>
      <c r="K27" s="31">
        <v>26091</v>
      </c>
      <c r="L27" s="31">
        <v>27721</v>
      </c>
      <c r="M27" s="31">
        <v>29447</v>
      </c>
      <c r="N27" s="31">
        <v>30960</v>
      </c>
      <c r="O27" s="31">
        <v>30427</v>
      </c>
      <c r="P27" s="31">
        <v>30668</v>
      </c>
      <c r="Q27" s="31">
        <v>31291</v>
      </c>
      <c r="R27" s="31">
        <v>31340</v>
      </c>
      <c r="S27" s="31">
        <v>30889</v>
      </c>
      <c r="T27" s="31">
        <v>30108</v>
      </c>
      <c r="U27" s="31">
        <v>32215</v>
      </c>
      <c r="V27" s="31">
        <v>34167</v>
      </c>
      <c r="W27" s="31">
        <v>32974</v>
      </c>
      <c r="X27" s="31">
        <v>30669</v>
      </c>
      <c r="Y27" s="31">
        <v>27015</v>
      </c>
      <c r="Z27" s="32">
        <v>23717</v>
      </c>
      <c r="AA27" s="33">
        <f t="shared" si="0"/>
        <v>645406</v>
      </c>
      <c r="AB27" s="17">
        <v>21</v>
      </c>
      <c r="AC27" s="80">
        <f>+AA27*AB27+AA28*AB28+AA29*AB29</f>
        <v>19689210</v>
      </c>
    </row>
    <row r="28" spans="1:30" ht="15.75" thickBot="1" x14ac:dyDescent="0.3">
      <c r="A28" s="79"/>
      <c r="B28" s="18" t="s">
        <v>4</v>
      </c>
      <c r="C28" s="34">
        <v>22039</v>
      </c>
      <c r="D28" s="34">
        <v>20816</v>
      </c>
      <c r="E28" s="34">
        <v>20050</v>
      </c>
      <c r="F28" s="34">
        <v>19477</v>
      </c>
      <c r="G28" s="34">
        <v>19434</v>
      </c>
      <c r="H28" s="34">
        <v>19974</v>
      </c>
      <c r="I28" s="34">
        <v>20614</v>
      </c>
      <c r="J28" s="34">
        <v>23223</v>
      </c>
      <c r="K28" s="34">
        <v>25861</v>
      </c>
      <c r="L28" s="34">
        <v>27669</v>
      </c>
      <c r="M28" s="34">
        <v>29254</v>
      </c>
      <c r="N28" s="34">
        <v>30453</v>
      </c>
      <c r="O28" s="34">
        <v>30462</v>
      </c>
      <c r="P28" s="34">
        <v>30135</v>
      </c>
      <c r="Q28" s="34">
        <v>29820</v>
      </c>
      <c r="R28" s="34">
        <v>29638</v>
      </c>
      <c r="S28" s="34">
        <v>29241</v>
      </c>
      <c r="T28" s="34">
        <v>29186</v>
      </c>
      <c r="U28" s="34">
        <v>31795</v>
      </c>
      <c r="V28" s="34">
        <v>33518</v>
      </c>
      <c r="W28" s="34">
        <v>32249</v>
      </c>
      <c r="X28" s="34">
        <v>30407</v>
      </c>
      <c r="Y28" s="34">
        <v>27725</v>
      </c>
      <c r="Z28" s="35">
        <v>24838</v>
      </c>
      <c r="AA28" s="36">
        <f t="shared" si="0"/>
        <v>637878</v>
      </c>
      <c r="AB28" s="19">
        <v>4</v>
      </c>
      <c r="AC28" s="81"/>
      <c r="AD28" s="45"/>
    </row>
    <row r="29" spans="1:30" ht="15" x14ac:dyDescent="0.25">
      <c r="A29" s="79"/>
      <c r="B29" s="20" t="s">
        <v>3</v>
      </c>
      <c r="C29" s="37">
        <v>22451</v>
      </c>
      <c r="D29" s="37">
        <v>21059</v>
      </c>
      <c r="E29" s="37">
        <v>20141</v>
      </c>
      <c r="F29" s="37">
        <v>19557</v>
      </c>
      <c r="G29" s="37">
        <v>19366</v>
      </c>
      <c r="H29" s="37">
        <v>19431</v>
      </c>
      <c r="I29" s="37">
        <v>19428</v>
      </c>
      <c r="J29" s="37">
        <v>21258</v>
      </c>
      <c r="K29" s="37">
        <v>23325</v>
      </c>
      <c r="L29" s="37">
        <v>25029</v>
      </c>
      <c r="M29" s="37">
        <v>26235</v>
      </c>
      <c r="N29" s="37">
        <v>27486</v>
      </c>
      <c r="O29" s="37">
        <v>28131</v>
      </c>
      <c r="P29" s="37">
        <v>27879</v>
      </c>
      <c r="Q29" s="37">
        <v>27195</v>
      </c>
      <c r="R29" s="37">
        <v>26737</v>
      </c>
      <c r="S29" s="37">
        <v>26563</v>
      </c>
      <c r="T29" s="37">
        <v>26637</v>
      </c>
      <c r="U29" s="37">
        <v>29344</v>
      </c>
      <c r="V29" s="37">
        <v>31694</v>
      </c>
      <c r="W29" s="37">
        <v>30755</v>
      </c>
      <c r="X29" s="37">
        <v>28824</v>
      </c>
      <c r="Y29" s="37">
        <v>25882</v>
      </c>
      <c r="Z29" s="38">
        <v>22955</v>
      </c>
      <c r="AA29" s="39">
        <f t="shared" si="0"/>
        <v>597362</v>
      </c>
      <c r="AB29" s="21">
        <v>6</v>
      </c>
      <c r="AC29" s="82"/>
      <c r="AD29" s="47"/>
    </row>
    <row r="30" spans="1:30" ht="15.75" thickBot="1" x14ac:dyDescent="0.3">
      <c r="A30" s="79">
        <v>47362</v>
      </c>
      <c r="B30" s="16" t="s">
        <v>5</v>
      </c>
      <c r="C30" s="31">
        <v>21552</v>
      </c>
      <c r="D30" s="31">
        <v>20365</v>
      </c>
      <c r="E30" s="31">
        <v>19623</v>
      </c>
      <c r="F30" s="31">
        <v>19299</v>
      </c>
      <c r="G30" s="31">
        <v>19613</v>
      </c>
      <c r="H30" s="31">
        <v>20898</v>
      </c>
      <c r="I30" s="31">
        <v>22136</v>
      </c>
      <c r="J30" s="31">
        <v>24235</v>
      </c>
      <c r="K30" s="31">
        <v>26345</v>
      </c>
      <c r="L30" s="31">
        <v>28098</v>
      </c>
      <c r="M30" s="31">
        <v>29838</v>
      </c>
      <c r="N30" s="31">
        <v>31434</v>
      </c>
      <c r="O30" s="31">
        <v>30886</v>
      </c>
      <c r="P30" s="31">
        <v>31110</v>
      </c>
      <c r="Q30" s="31">
        <v>31837</v>
      </c>
      <c r="R30" s="31">
        <v>32019</v>
      </c>
      <c r="S30" s="31">
        <v>31559</v>
      </c>
      <c r="T30" s="31">
        <v>30911</v>
      </c>
      <c r="U30" s="31">
        <v>33804</v>
      </c>
      <c r="V30" s="31">
        <v>34585</v>
      </c>
      <c r="W30" s="31">
        <v>33286</v>
      </c>
      <c r="X30" s="31">
        <v>30939</v>
      </c>
      <c r="Y30" s="31">
        <v>27211</v>
      </c>
      <c r="Z30" s="32">
        <v>23921</v>
      </c>
      <c r="AA30" s="33">
        <f t="shared" si="0"/>
        <v>655504</v>
      </c>
      <c r="AB30" s="17">
        <v>20</v>
      </c>
      <c r="AC30" s="80">
        <f>+AA30*AB30+AA31*AB31+AA32*AB32</f>
        <v>19279545</v>
      </c>
    </row>
    <row r="31" spans="1:30" ht="15.75" thickBot="1" x14ac:dyDescent="0.3">
      <c r="A31" s="79"/>
      <c r="B31" s="18" t="s">
        <v>4</v>
      </c>
      <c r="C31" s="34">
        <v>22128</v>
      </c>
      <c r="D31" s="34">
        <v>20715</v>
      </c>
      <c r="E31" s="34">
        <v>19951</v>
      </c>
      <c r="F31" s="34">
        <v>19532</v>
      </c>
      <c r="G31" s="34">
        <v>19549</v>
      </c>
      <c r="H31" s="34">
        <v>19730</v>
      </c>
      <c r="I31" s="34">
        <v>20719</v>
      </c>
      <c r="J31" s="34">
        <v>23530</v>
      </c>
      <c r="K31" s="34">
        <v>26211</v>
      </c>
      <c r="L31" s="34">
        <v>28124</v>
      </c>
      <c r="M31" s="34">
        <v>29637</v>
      </c>
      <c r="N31" s="34">
        <v>30850</v>
      </c>
      <c r="O31" s="34">
        <v>30774</v>
      </c>
      <c r="P31" s="34">
        <v>30381</v>
      </c>
      <c r="Q31" s="34">
        <v>30016</v>
      </c>
      <c r="R31" s="34">
        <v>29752</v>
      </c>
      <c r="S31" s="34">
        <v>29496</v>
      </c>
      <c r="T31" s="34">
        <v>29716</v>
      </c>
      <c r="U31" s="34">
        <v>32889</v>
      </c>
      <c r="V31" s="34">
        <v>33598</v>
      </c>
      <c r="W31" s="34">
        <v>32124</v>
      </c>
      <c r="X31" s="34">
        <v>30239</v>
      </c>
      <c r="Y31" s="34">
        <v>27487</v>
      </c>
      <c r="Z31" s="35">
        <v>24675</v>
      </c>
      <c r="AA31" s="36">
        <f t="shared" si="0"/>
        <v>641823</v>
      </c>
      <c r="AB31" s="19">
        <v>5</v>
      </c>
      <c r="AC31" s="81"/>
      <c r="AD31" s="45"/>
    </row>
    <row r="32" spans="1:30" ht="15" x14ac:dyDescent="0.25">
      <c r="A32" s="79"/>
      <c r="B32" s="20" t="s">
        <v>3</v>
      </c>
      <c r="C32" s="37">
        <v>22530</v>
      </c>
      <c r="D32" s="37">
        <v>21177</v>
      </c>
      <c r="E32" s="37">
        <v>20289</v>
      </c>
      <c r="F32" s="37">
        <v>19602</v>
      </c>
      <c r="G32" s="37">
        <v>19291</v>
      </c>
      <c r="H32" s="37">
        <v>19055</v>
      </c>
      <c r="I32" s="37">
        <v>19200</v>
      </c>
      <c r="J32" s="37">
        <v>20997</v>
      </c>
      <c r="K32" s="37">
        <v>23023</v>
      </c>
      <c r="L32" s="37">
        <v>24685</v>
      </c>
      <c r="M32" s="37">
        <v>25843</v>
      </c>
      <c r="N32" s="37">
        <v>26949</v>
      </c>
      <c r="O32" s="37">
        <v>27589</v>
      </c>
      <c r="P32" s="37">
        <v>27394</v>
      </c>
      <c r="Q32" s="37">
        <v>26815</v>
      </c>
      <c r="R32" s="37">
        <v>26534</v>
      </c>
      <c r="S32" s="37">
        <v>26352</v>
      </c>
      <c r="T32" s="37">
        <v>26563</v>
      </c>
      <c r="U32" s="37">
        <v>30025</v>
      </c>
      <c r="V32" s="37">
        <v>31205</v>
      </c>
      <c r="W32" s="37">
        <v>30341</v>
      </c>
      <c r="X32" s="37">
        <v>28450</v>
      </c>
      <c r="Y32" s="37">
        <v>25497</v>
      </c>
      <c r="Z32" s="38">
        <v>22664</v>
      </c>
      <c r="AA32" s="39">
        <f t="shared" si="0"/>
        <v>592070</v>
      </c>
      <c r="AB32" s="21">
        <v>5</v>
      </c>
      <c r="AC32" s="82"/>
      <c r="AD32" s="46"/>
    </row>
    <row r="33" spans="1:30" ht="15.75" thickBot="1" x14ac:dyDescent="0.3">
      <c r="A33" s="79">
        <v>47392</v>
      </c>
      <c r="B33" s="16" t="s">
        <v>5</v>
      </c>
      <c r="C33" s="31">
        <v>20424</v>
      </c>
      <c r="D33" s="31">
        <v>19329</v>
      </c>
      <c r="E33" s="31">
        <v>18721</v>
      </c>
      <c r="F33" s="31">
        <v>18394</v>
      </c>
      <c r="G33" s="31">
        <v>18755</v>
      </c>
      <c r="H33" s="31">
        <v>19791</v>
      </c>
      <c r="I33" s="31">
        <v>21109</v>
      </c>
      <c r="J33" s="31">
        <v>23086</v>
      </c>
      <c r="K33" s="31">
        <v>25071</v>
      </c>
      <c r="L33" s="31">
        <v>26636</v>
      </c>
      <c r="M33" s="31">
        <v>28258</v>
      </c>
      <c r="N33" s="31">
        <v>29762</v>
      </c>
      <c r="O33" s="31">
        <v>29240</v>
      </c>
      <c r="P33" s="31">
        <v>29400</v>
      </c>
      <c r="Q33" s="31">
        <v>30074</v>
      </c>
      <c r="R33" s="31">
        <v>30218</v>
      </c>
      <c r="S33" s="31">
        <v>29884</v>
      </c>
      <c r="T33" s="31">
        <v>29971</v>
      </c>
      <c r="U33" s="31">
        <v>33286</v>
      </c>
      <c r="V33" s="31">
        <v>33116</v>
      </c>
      <c r="W33" s="31">
        <v>31662</v>
      </c>
      <c r="X33" s="31">
        <v>29289</v>
      </c>
      <c r="Y33" s="31">
        <v>25804</v>
      </c>
      <c r="Z33" s="32">
        <v>22704</v>
      </c>
      <c r="AA33" s="33">
        <f t="shared" si="0"/>
        <v>623984</v>
      </c>
      <c r="AB33" s="17">
        <v>22</v>
      </c>
      <c r="AC33" s="80">
        <f>+AA33*AB33+AA34*AB34+AA35*AB35</f>
        <v>19151453</v>
      </c>
    </row>
    <row r="34" spans="1:30" ht="15.75" thickBot="1" x14ac:dyDescent="0.3">
      <c r="A34" s="79"/>
      <c r="B34" s="18" t="s">
        <v>4</v>
      </c>
      <c r="C34" s="34">
        <v>21501</v>
      </c>
      <c r="D34" s="34">
        <v>20275</v>
      </c>
      <c r="E34" s="34">
        <v>19531</v>
      </c>
      <c r="F34" s="34">
        <v>19037</v>
      </c>
      <c r="G34" s="34">
        <v>19136</v>
      </c>
      <c r="H34" s="34">
        <v>19433</v>
      </c>
      <c r="I34" s="34">
        <v>20532</v>
      </c>
      <c r="J34" s="34">
        <v>23059</v>
      </c>
      <c r="K34" s="34">
        <v>25579</v>
      </c>
      <c r="L34" s="34">
        <v>27329</v>
      </c>
      <c r="M34" s="34">
        <v>28818</v>
      </c>
      <c r="N34" s="34">
        <v>30066</v>
      </c>
      <c r="O34" s="34">
        <v>30116</v>
      </c>
      <c r="P34" s="34">
        <v>29775</v>
      </c>
      <c r="Q34" s="34">
        <v>29413</v>
      </c>
      <c r="R34" s="34">
        <v>29189</v>
      </c>
      <c r="S34" s="34">
        <v>28926</v>
      </c>
      <c r="T34" s="34">
        <v>29837</v>
      </c>
      <c r="U34" s="34">
        <v>33625</v>
      </c>
      <c r="V34" s="34">
        <v>33565</v>
      </c>
      <c r="W34" s="34">
        <v>32143</v>
      </c>
      <c r="X34" s="34">
        <v>29991</v>
      </c>
      <c r="Y34" s="34">
        <v>27337</v>
      </c>
      <c r="Z34" s="35">
        <v>24452</v>
      </c>
      <c r="AA34" s="36">
        <f t="shared" si="0"/>
        <v>632665</v>
      </c>
      <c r="AB34" s="19">
        <v>4</v>
      </c>
      <c r="AC34" s="81"/>
      <c r="AD34" s="45"/>
    </row>
    <row r="35" spans="1:30" ht="15" x14ac:dyDescent="0.25">
      <c r="A35" s="79"/>
      <c r="B35" s="20" t="s">
        <v>3</v>
      </c>
      <c r="C35" s="37">
        <v>21573</v>
      </c>
      <c r="D35" s="37">
        <v>20267</v>
      </c>
      <c r="E35" s="37">
        <v>19367</v>
      </c>
      <c r="F35" s="37">
        <v>18737</v>
      </c>
      <c r="G35" s="37">
        <v>18536</v>
      </c>
      <c r="H35" s="37">
        <v>18276</v>
      </c>
      <c r="I35" s="37">
        <v>18625</v>
      </c>
      <c r="J35" s="37">
        <v>20335</v>
      </c>
      <c r="K35" s="37">
        <v>22274</v>
      </c>
      <c r="L35" s="37">
        <v>23978</v>
      </c>
      <c r="M35" s="37">
        <v>25185</v>
      </c>
      <c r="N35" s="37">
        <v>26374</v>
      </c>
      <c r="O35" s="37">
        <v>27040</v>
      </c>
      <c r="P35" s="37">
        <v>26818</v>
      </c>
      <c r="Q35" s="37">
        <v>26309</v>
      </c>
      <c r="R35" s="37">
        <v>26050</v>
      </c>
      <c r="S35" s="37">
        <v>25901</v>
      </c>
      <c r="T35" s="37">
        <v>26700</v>
      </c>
      <c r="U35" s="37">
        <v>30515</v>
      </c>
      <c r="V35" s="37">
        <v>30828</v>
      </c>
      <c r="W35" s="37">
        <v>29839</v>
      </c>
      <c r="X35" s="37">
        <v>27891</v>
      </c>
      <c r="Y35" s="37">
        <v>24997</v>
      </c>
      <c r="Z35" s="38">
        <v>22214</v>
      </c>
      <c r="AA35" s="39">
        <f t="shared" si="0"/>
        <v>578629</v>
      </c>
      <c r="AB35" s="21">
        <v>5</v>
      </c>
      <c r="AC35" s="82"/>
      <c r="AD35" s="46"/>
    </row>
    <row r="36" spans="1:30" ht="15.75" thickBot="1" x14ac:dyDescent="0.3">
      <c r="A36" s="79">
        <v>47423</v>
      </c>
      <c r="B36" s="16" t="s">
        <v>5</v>
      </c>
      <c r="C36" s="31">
        <v>20047</v>
      </c>
      <c r="D36" s="31">
        <v>18954</v>
      </c>
      <c r="E36" s="31">
        <v>18348</v>
      </c>
      <c r="F36" s="31">
        <v>18064</v>
      </c>
      <c r="G36" s="31">
        <v>18485</v>
      </c>
      <c r="H36" s="31">
        <v>19665</v>
      </c>
      <c r="I36" s="31">
        <v>21069</v>
      </c>
      <c r="J36" s="31">
        <v>23076</v>
      </c>
      <c r="K36" s="31">
        <v>25025</v>
      </c>
      <c r="L36" s="31">
        <v>26532</v>
      </c>
      <c r="M36" s="31">
        <v>28146</v>
      </c>
      <c r="N36" s="31">
        <v>29692</v>
      </c>
      <c r="O36" s="31">
        <v>29086</v>
      </c>
      <c r="P36" s="31">
        <v>29103</v>
      </c>
      <c r="Q36" s="31">
        <v>29761</v>
      </c>
      <c r="R36" s="31">
        <v>29732</v>
      </c>
      <c r="S36" s="31">
        <v>29488</v>
      </c>
      <c r="T36" s="31">
        <v>29890</v>
      </c>
      <c r="U36" s="31">
        <v>33351</v>
      </c>
      <c r="V36" s="31">
        <v>33167</v>
      </c>
      <c r="W36" s="31">
        <v>31692</v>
      </c>
      <c r="X36" s="31">
        <v>29193</v>
      </c>
      <c r="Y36" s="31">
        <v>25604</v>
      </c>
      <c r="Z36" s="32">
        <v>22394</v>
      </c>
      <c r="AA36" s="33">
        <f t="shared" si="0"/>
        <v>619564</v>
      </c>
      <c r="AB36" s="17">
        <v>20</v>
      </c>
      <c r="AC36" s="80">
        <f>+AA36*AB36+AA37*AB37+AA38*AB38</f>
        <v>18196468</v>
      </c>
    </row>
    <row r="37" spans="1:30" ht="15.75" thickBot="1" x14ac:dyDescent="0.3">
      <c r="A37" s="79"/>
      <c r="B37" s="18" t="s">
        <v>4</v>
      </c>
      <c r="C37" s="34">
        <v>20585</v>
      </c>
      <c r="D37" s="34">
        <v>19424</v>
      </c>
      <c r="E37" s="34">
        <v>18715</v>
      </c>
      <c r="F37" s="34">
        <v>18262</v>
      </c>
      <c r="G37" s="34">
        <v>18341</v>
      </c>
      <c r="H37" s="34">
        <v>18570</v>
      </c>
      <c r="I37" s="34">
        <v>19582</v>
      </c>
      <c r="J37" s="34">
        <v>21911</v>
      </c>
      <c r="K37" s="34">
        <v>24374</v>
      </c>
      <c r="L37" s="34">
        <v>26091</v>
      </c>
      <c r="M37" s="34">
        <v>27463</v>
      </c>
      <c r="N37" s="34">
        <v>28726</v>
      </c>
      <c r="O37" s="34">
        <v>28608</v>
      </c>
      <c r="P37" s="34">
        <v>28075</v>
      </c>
      <c r="Q37" s="34">
        <v>27919</v>
      </c>
      <c r="R37" s="34">
        <v>27830</v>
      </c>
      <c r="S37" s="34">
        <v>27667</v>
      </c>
      <c r="T37" s="34">
        <v>28658</v>
      </c>
      <c r="U37" s="34">
        <v>32511</v>
      </c>
      <c r="V37" s="34">
        <v>32414</v>
      </c>
      <c r="W37" s="34">
        <v>30929</v>
      </c>
      <c r="X37" s="34">
        <v>29030</v>
      </c>
      <c r="Y37" s="34">
        <v>26221</v>
      </c>
      <c r="Z37" s="35">
        <v>23397</v>
      </c>
      <c r="AA37" s="36">
        <f t="shared" si="0"/>
        <v>605303</v>
      </c>
      <c r="AB37" s="19">
        <v>4</v>
      </c>
      <c r="AC37" s="81"/>
      <c r="AD37" s="45"/>
    </row>
    <row r="38" spans="1:30" ht="15" x14ac:dyDescent="0.25">
      <c r="A38" s="79"/>
      <c r="B38" s="20" t="s">
        <v>3</v>
      </c>
      <c r="C38" s="37">
        <v>20669</v>
      </c>
      <c r="D38" s="37">
        <v>19424</v>
      </c>
      <c r="E38" s="37">
        <v>18582</v>
      </c>
      <c r="F38" s="37">
        <v>17964</v>
      </c>
      <c r="G38" s="37">
        <v>17881</v>
      </c>
      <c r="H38" s="37">
        <v>17661</v>
      </c>
      <c r="I38" s="37">
        <v>18081</v>
      </c>
      <c r="J38" s="37">
        <v>19862</v>
      </c>
      <c r="K38" s="37">
        <v>21805</v>
      </c>
      <c r="L38" s="37">
        <v>23475</v>
      </c>
      <c r="M38" s="37">
        <v>24689</v>
      </c>
      <c r="N38" s="37">
        <v>25922</v>
      </c>
      <c r="O38" s="37">
        <v>26533</v>
      </c>
      <c r="P38" s="37">
        <v>26291</v>
      </c>
      <c r="Q38" s="37">
        <v>25708</v>
      </c>
      <c r="R38" s="37">
        <v>25294</v>
      </c>
      <c r="S38" s="37">
        <v>25176</v>
      </c>
      <c r="T38" s="37">
        <v>26074</v>
      </c>
      <c r="U38" s="37">
        <v>29958</v>
      </c>
      <c r="V38" s="37">
        <v>30320</v>
      </c>
      <c r="W38" s="37">
        <v>29321</v>
      </c>
      <c r="X38" s="37">
        <v>27342</v>
      </c>
      <c r="Y38" s="37">
        <v>24383</v>
      </c>
      <c r="Z38" s="38">
        <v>21581</v>
      </c>
      <c r="AA38" s="39">
        <f t="shared" si="0"/>
        <v>563996</v>
      </c>
      <c r="AB38" s="21">
        <v>6</v>
      </c>
      <c r="AC38" s="82"/>
      <c r="AD38" s="47"/>
    </row>
    <row r="39" spans="1:30" ht="15.75" thickBot="1" x14ac:dyDescent="0.3">
      <c r="A39" s="79">
        <v>47453</v>
      </c>
      <c r="B39" s="16" t="s">
        <v>5</v>
      </c>
      <c r="C39" s="31">
        <v>21477</v>
      </c>
      <c r="D39" s="31">
        <v>20178</v>
      </c>
      <c r="E39" s="31">
        <v>19427</v>
      </c>
      <c r="F39" s="31">
        <v>19041</v>
      </c>
      <c r="G39" s="31">
        <v>19307</v>
      </c>
      <c r="H39" s="31">
        <v>20153</v>
      </c>
      <c r="I39" s="31">
        <v>21096</v>
      </c>
      <c r="J39" s="31">
        <v>23578</v>
      </c>
      <c r="K39" s="31">
        <v>25896</v>
      </c>
      <c r="L39" s="31">
        <v>27610</v>
      </c>
      <c r="M39" s="31">
        <v>29173</v>
      </c>
      <c r="N39" s="31">
        <v>30758</v>
      </c>
      <c r="O39" s="31">
        <v>30455</v>
      </c>
      <c r="P39" s="31">
        <v>30431</v>
      </c>
      <c r="Q39" s="31">
        <v>30880</v>
      </c>
      <c r="R39" s="31">
        <v>30842</v>
      </c>
      <c r="S39" s="31">
        <v>30397</v>
      </c>
      <c r="T39" s="31">
        <v>30195</v>
      </c>
      <c r="U39" s="31">
        <v>33562</v>
      </c>
      <c r="V39" s="31">
        <v>34083</v>
      </c>
      <c r="W39" s="31">
        <v>32761</v>
      </c>
      <c r="X39" s="31">
        <v>30647</v>
      </c>
      <c r="Y39" s="31">
        <v>27404</v>
      </c>
      <c r="Z39" s="32">
        <v>24299</v>
      </c>
      <c r="AA39" s="33">
        <f t="shared" si="0"/>
        <v>643650</v>
      </c>
      <c r="AB39" s="17">
        <v>20</v>
      </c>
      <c r="AC39" s="80">
        <f>+AA39*AB39+AA40*AB40+AA41*AB41</f>
        <v>19466137</v>
      </c>
    </row>
    <row r="40" spans="1:30" ht="15.75" thickBot="1" x14ac:dyDescent="0.3">
      <c r="A40" s="79"/>
      <c r="B40" s="18" t="s">
        <v>4</v>
      </c>
      <c r="C40" s="34">
        <v>21683</v>
      </c>
      <c r="D40" s="34">
        <v>20373</v>
      </c>
      <c r="E40" s="34">
        <v>19624</v>
      </c>
      <c r="F40" s="34">
        <v>19129</v>
      </c>
      <c r="G40" s="34">
        <v>19156</v>
      </c>
      <c r="H40" s="34">
        <v>19633</v>
      </c>
      <c r="I40" s="34">
        <v>20210</v>
      </c>
      <c r="J40" s="34">
        <v>22531</v>
      </c>
      <c r="K40" s="34">
        <v>24898</v>
      </c>
      <c r="L40" s="34">
        <v>26548</v>
      </c>
      <c r="M40" s="34">
        <v>27875</v>
      </c>
      <c r="N40" s="34">
        <v>28981</v>
      </c>
      <c r="O40" s="34">
        <v>28979</v>
      </c>
      <c r="P40" s="34">
        <v>28566</v>
      </c>
      <c r="Q40" s="34">
        <v>28299</v>
      </c>
      <c r="R40" s="34">
        <v>28004</v>
      </c>
      <c r="S40" s="34">
        <v>27794</v>
      </c>
      <c r="T40" s="34">
        <v>28292</v>
      </c>
      <c r="U40" s="34">
        <v>32053</v>
      </c>
      <c r="V40" s="34">
        <v>32494</v>
      </c>
      <c r="W40" s="34">
        <v>31193</v>
      </c>
      <c r="X40" s="34">
        <v>29335</v>
      </c>
      <c r="Y40" s="34">
        <v>26682</v>
      </c>
      <c r="Z40" s="35">
        <v>24119</v>
      </c>
      <c r="AA40" s="36">
        <f t="shared" si="0"/>
        <v>616451</v>
      </c>
      <c r="AB40" s="19">
        <v>4</v>
      </c>
      <c r="AC40" s="81"/>
      <c r="AD40" s="45"/>
    </row>
    <row r="41" spans="1:30" ht="15" x14ac:dyDescent="0.25">
      <c r="A41" s="79"/>
      <c r="B41" s="20" t="s">
        <v>3</v>
      </c>
      <c r="C41" s="37">
        <v>22400</v>
      </c>
      <c r="D41" s="37">
        <v>21035</v>
      </c>
      <c r="E41" s="37">
        <v>20082</v>
      </c>
      <c r="F41" s="37">
        <v>19405</v>
      </c>
      <c r="G41" s="37">
        <v>19140</v>
      </c>
      <c r="H41" s="37">
        <v>19044</v>
      </c>
      <c r="I41" s="37">
        <v>19013</v>
      </c>
      <c r="J41" s="37">
        <v>20552</v>
      </c>
      <c r="K41" s="37">
        <v>22465</v>
      </c>
      <c r="L41" s="37">
        <v>24146</v>
      </c>
      <c r="M41" s="37">
        <v>25405</v>
      </c>
      <c r="N41" s="37">
        <v>26587</v>
      </c>
      <c r="O41" s="37">
        <v>27224</v>
      </c>
      <c r="P41" s="37">
        <v>27190</v>
      </c>
      <c r="Q41" s="37">
        <v>26760</v>
      </c>
      <c r="R41" s="37">
        <v>26488</v>
      </c>
      <c r="S41" s="37">
        <v>26331</v>
      </c>
      <c r="T41" s="37">
        <v>26830</v>
      </c>
      <c r="U41" s="37">
        <v>30587</v>
      </c>
      <c r="V41" s="37">
        <v>31350</v>
      </c>
      <c r="W41" s="37">
        <v>30278</v>
      </c>
      <c r="X41" s="37">
        <v>28447</v>
      </c>
      <c r="Y41" s="37">
        <v>25771</v>
      </c>
      <c r="Z41" s="38">
        <v>23089</v>
      </c>
      <c r="AA41" s="39">
        <f t="shared" si="0"/>
        <v>589619</v>
      </c>
      <c r="AB41" s="21">
        <v>7</v>
      </c>
      <c r="AC41" s="82"/>
      <c r="AD41" s="40"/>
    </row>
    <row r="42" spans="1:30" ht="15" x14ac:dyDescent="0.25">
      <c r="A42" s="77" t="s">
        <v>2</v>
      </c>
      <c r="B42" s="78"/>
      <c r="C42" s="29">
        <f t="shared" ref="C42:AC42" si="1">+SUM(C6:C41)</f>
        <v>768808</v>
      </c>
      <c r="D42" s="29">
        <f t="shared" si="1"/>
        <v>723122</v>
      </c>
      <c r="E42" s="29">
        <f t="shared" si="1"/>
        <v>695576</v>
      </c>
      <c r="F42" s="29">
        <f t="shared" si="1"/>
        <v>678549</v>
      </c>
      <c r="G42" s="29">
        <f t="shared" si="1"/>
        <v>680658</v>
      </c>
      <c r="H42" s="29">
        <f t="shared" si="1"/>
        <v>700433</v>
      </c>
      <c r="I42" s="29">
        <f t="shared" si="1"/>
        <v>726923</v>
      </c>
      <c r="J42" s="29">
        <f t="shared" si="1"/>
        <v>799053</v>
      </c>
      <c r="K42" s="29">
        <f t="shared" si="1"/>
        <v>878184</v>
      </c>
      <c r="L42" s="29">
        <f t="shared" si="1"/>
        <v>939168</v>
      </c>
      <c r="M42" s="29">
        <f t="shared" si="1"/>
        <v>990307</v>
      </c>
      <c r="N42" s="29">
        <f t="shared" si="1"/>
        <v>1038286</v>
      </c>
      <c r="O42" s="29">
        <f t="shared" si="1"/>
        <v>1040183</v>
      </c>
      <c r="P42" s="29">
        <f t="shared" si="1"/>
        <v>1034403</v>
      </c>
      <c r="Q42" s="29">
        <f t="shared" si="1"/>
        <v>1030736</v>
      </c>
      <c r="R42" s="29">
        <f t="shared" si="1"/>
        <v>1026498</v>
      </c>
      <c r="S42" s="29">
        <f t="shared" si="1"/>
        <v>1016445</v>
      </c>
      <c r="T42" s="29">
        <f t="shared" si="1"/>
        <v>1018244</v>
      </c>
      <c r="U42" s="29">
        <f t="shared" si="1"/>
        <v>1120678</v>
      </c>
      <c r="V42" s="29">
        <f t="shared" si="1"/>
        <v>1173548</v>
      </c>
      <c r="W42" s="29">
        <f t="shared" si="1"/>
        <v>1131226</v>
      </c>
      <c r="X42" s="29">
        <f t="shared" si="1"/>
        <v>1057921</v>
      </c>
      <c r="Y42" s="29">
        <f t="shared" si="1"/>
        <v>947303</v>
      </c>
      <c r="Z42" s="29">
        <f t="shared" si="1"/>
        <v>839448</v>
      </c>
      <c r="AA42" s="29">
        <f t="shared" si="1"/>
        <v>22055700</v>
      </c>
      <c r="AB42" s="29">
        <f t="shared" si="1"/>
        <v>365</v>
      </c>
      <c r="AC42" s="44">
        <f t="shared" si="1"/>
        <v>226657300</v>
      </c>
    </row>
    <row r="43" spans="1:30" ht="15" x14ac:dyDescent="0.25">
      <c r="AB43" s="4"/>
      <c r="AC43" s="4"/>
    </row>
    <row r="44" spans="1:30" ht="15" x14ac:dyDescent="0.25"/>
    <row r="45" spans="1:30" ht="15" x14ac:dyDescent="0.25"/>
    <row r="46" spans="1:30" ht="15" x14ac:dyDescent="0.25">
      <c r="AA46" s="43"/>
      <c r="AC46" s="43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B6AD-1EE8-45A9-999F-8E6EF3323DE6}">
  <sheetPr codeName="Hoja15">
    <tabColor rgb="FF00B050"/>
  </sheetPr>
  <dimension ref="A1:AD46"/>
  <sheetViews>
    <sheetView showGridLines="0" zoomScale="115" zoomScaleNormal="115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7" t="s">
        <v>77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</row>
    <row r="2" spans="1:30" ht="15" x14ac:dyDescent="0.25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</row>
    <row r="3" spans="1:30" ht="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ht="15" x14ac:dyDescent="0.25">
      <c r="A4" s="93" t="s">
        <v>35</v>
      </c>
      <c r="B4" s="93" t="s">
        <v>34</v>
      </c>
      <c r="C4" s="85" t="s">
        <v>33</v>
      </c>
      <c r="D4" s="85" t="s">
        <v>32</v>
      </c>
      <c r="E4" s="85" t="s">
        <v>31</v>
      </c>
      <c r="F4" s="85" t="s">
        <v>30</v>
      </c>
      <c r="G4" s="85" t="s">
        <v>29</v>
      </c>
      <c r="H4" s="85" t="s">
        <v>28</v>
      </c>
      <c r="I4" s="85" t="s">
        <v>27</v>
      </c>
      <c r="J4" s="85" t="s">
        <v>26</v>
      </c>
      <c r="K4" s="85" t="s">
        <v>25</v>
      </c>
      <c r="L4" s="85" t="s">
        <v>24</v>
      </c>
      <c r="M4" s="85" t="s">
        <v>23</v>
      </c>
      <c r="N4" s="85" t="s">
        <v>22</v>
      </c>
      <c r="O4" s="85" t="s">
        <v>21</v>
      </c>
      <c r="P4" s="85" t="s">
        <v>20</v>
      </c>
      <c r="Q4" s="85" t="s">
        <v>19</v>
      </c>
      <c r="R4" s="85" t="s">
        <v>18</v>
      </c>
      <c r="S4" s="85" t="s">
        <v>17</v>
      </c>
      <c r="T4" s="85" t="s">
        <v>16</v>
      </c>
      <c r="U4" s="85" t="s">
        <v>15</v>
      </c>
      <c r="V4" s="85" t="s">
        <v>14</v>
      </c>
      <c r="W4" s="85" t="s">
        <v>13</v>
      </c>
      <c r="X4" s="85" t="s">
        <v>12</v>
      </c>
      <c r="Y4" s="85" t="s">
        <v>11</v>
      </c>
      <c r="Z4" s="85" t="s">
        <v>10</v>
      </c>
      <c r="AA4" s="12" t="s">
        <v>9</v>
      </c>
      <c r="AB4" s="13" t="s">
        <v>8</v>
      </c>
      <c r="AC4" s="83" t="s">
        <v>7</v>
      </c>
    </row>
    <row r="5" spans="1:30" ht="15" x14ac:dyDescent="0.25">
      <c r="A5" s="93"/>
      <c r="B5" s="93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14"/>
      <c r="AB5" s="15" t="s">
        <v>6</v>
      </c>
      <c r="AC5" s="84"/>
    </row>
    <row r="6" spans="1:30" ht="15.75" thickBot="1" x14ac:dyDescent="0.3">
      <c r="A6" s="79">
        <v>47119</v>
      </c>
      <c r="B6" s="16" t="s">
        <v>5</v>
      </c>
      <c r="C6" s="31">
        <f>ROUND('Anexo 7'!C6*'Anexo 3'!$D$10,0)</f>
        <v>0</v>
      </c>
      <c r="D6" s="31">
        <f>ROUND('Anexo 7'!D6*'Anexo 3'!$D$10,0)</f>
        <v>0</v>
      </c>
      <c r="E6" s="31">
        <f>ROUND('Anexo 7'!E6*'Anexo 3'!$D$10,0)</f>
        <v>0</v>
      </c>
      <c r="F6" s="31">
        <f>ROUND('Anexo 7'!F6*'Anexo 3'!$D$10,0)</f>
        <v>0</v>
      </c>
      <c r="G6" s="31">
        <f>ROUND('Anexo 7'!G6*'Anexo 3'!$D$10,0)</f>
        <v>0</v>
      </c>
      <c r="H6" s="31">
        <f>ROUND('Anexo 7'!H6*'Anexo 3'!$D$10,0)</f>
        <v>0</v>
      </c>
      <c r="I6" s="31">
        <f>ROUND('Anexo 7'!I6*'Anexo 3'!$D$10,0)</f>
        <v>0</v>
      </c>
      <c r="J6" s="31">
        <f>ROUND('Anexo 7'!J6*'Anexo 3'!$D$10,0)</f>
        <v>0</v>
      </c>
      <c r="K6" s="31">
        <f>ROUND('Anexo 7'!K6*'Anexo 3'!$D$10,0)</f>
        <v>0</v>
      </c>
      <c r="L6" s="31">
        <f>ROUND('Anexo 7'!L6*'Anexo 3'!$D$10,0)</f>
        <v>0</v>
      </c>
      <c r="M6" s="31">
        <f>ROUND('Anexo 7'!M6*'Anexo 3'!$D$10,0)</f>
        <v>0</v>
      </c>
      <c r="N6" s="31">
        <f>ROUND('Anexo 7'!N6*'Anexo 3'!$D$10,0)</f>
        <v>0</v>
      </c>
      <c r="O6" s="31">
        <f>ROUND('Anexo 7'!O6*'Anexo 3'!$D$10,0)</f>
        <v>0</v>
      </c>
      <c r="P6" s="31">
        <f>ROUND('Anexo 7'!P6*'Anexo 3'!$D$10,0)</f>
        <v>0</v>
      </c>
      <c r="Q6" s="31">
        <f>ROUND('Anexo 7'!Q6*'Anexo 3'!$D$10,0)</f>
        <v>0</v>
      </c>
      <c r="R6" s="31">
        <f>ROUND('Anexo 7'!R6*'Anexo 3'!$D$10,0)</f>
        <v>0</v>
      </c>
      <c r="S6" s="31">
        <f>ROUND('Anexo 7'!S6*'Anexo 3'!$D$10,0)</f>
        <v>0</v>
      </c>
      <c r="T6" s="31">
        <f>ROUND('Anexo 7'!T6*'Anexo 3'!$D$10,0)</f>
        <v>0</v>
      </c>
      <c r="U6" s="31">
        <f>ROUND('Anexo 7'!U6*'Anexo 3'!$D$10,0)</f>
        <v>0</v>
      </c>
      <c r="V6" s="31">
        <f>ROUND('Anexo 7'!V6*'Anexo 3'!$D$10,0)</f>
        <v>0</v>
      </c>
      <c r="W6" s="31">
        <f>ROUND('Anexo 7'!W6*'Anexo 3'!$D$10,0)</f>
        <v>0</v>
      </c>
      <c r="X6" s="31">
        <f>ROUND('Anexo 7'!X6*'Anexo 3'!$D$10,0)</f>
        <v>0</v>
      </c>
      <c r="Y6" s="31">
        <f>ROUND('Anexo 7'!Y6*'Anexo 3'!$D$10,0)</f>
        <v>0</v>
      </c>
      <c r="Z6" s="31">
        <f>ROUND('Anexo 7'!Z6*'Anexo 3'!$D$10,0)</f>
        <v>0</v>
      </c>
      <c r="AA6" s="33">
        <f>SUM(C6:Z6)</f>
        <v>0</v>
      </c>
      <c r="AB6" s="17">
        <v>21</v>
      </c>
      <c r="AC6" s="80">
        <f>+AA6*AB6+AA7*AB7+AA8*AB8</f>
        <v>0</v>
      </c>
    </row>
    <row r="7" spans="1:30" ht="15.75" thickBot="1" x14ac:dyDescent="0.3">
      <c r="A7" s="79"/>
      <c r="B7" s="18" t="s">
        <v>4</v>
      </c>
      <c r="C7" s="31">
        <f>ROUND('Anexo 7'!C7*'Anexo 3'!$D$10,0)</f>
        <v>0</v>
      </c>
      <c r="D7" s="31">
        <f>ROUND('Anexo 7'!D7*'Anexo 3'!$D$10,0)</f>
        <v>0</v>
      </c>
      <c r="E7" s="31">
        <f>ROUND('Anexo 7'!E7*'Anexo 3'!$D$10,0)</f>
        <v>0</v>
      </c>
      <c r="F7" s="31">
        <f>ROUND('Anexo 7'!F7*'Anexo 3'!$D$10,0)</f>
        <v>0</v>
      </c>
      <c r="G7" s="31">
        <f>ROUND('Anexo 7'!G7*'Anexo 3'!$D$10,0)</f>
        <v>0</v>
      </c>
      <c r="H7" s="31">
        <f>ROUND('Anexo 7'!H7*'Anexo 3'!$D$10,0)</f>
        <v>0</v>
      </c>
      <c r="I7" s="31">
        <f>ROUND('Anexo 7'!I7*'Anexo 3'!$D$10,0)</f>
        <v>0</v>
      </c>
      <c r="J7" s="31">
        <f>ROUND('Anexo 7'!J7*'Anexo 3'!$D$10,0)</f>
        <v>0</v>
      </c>
      <c r="K7" s="31">
        <f>ROUND('Anexo 7'!K7*'Anexo 3'!$D$10,0)</f>
        <v>0</v>
      </c>
      <c r="L7" s="31">
        <f>ROUND('Anexo 7'!L7*'Anexo 3'!$D$10,0)</f>
        <v>0</v>
      </c>
      <c r="M7" s="31">
        <f>ROUND('Anexo 7'!M7*'Anexo 3'!$D$10,0)</f>
        <v>0</v>
      </c>
      <c r="N7" s="31">
        <f>ROUND('Anexo 7'!N7*'Anexo 3'!$D$10,0)</f>
        <v>0</v>
      </c>
      <c r="O7" s="31">
        <f>ROUND('Anexo 7'!O7*'Anexo 3'!$D$10,0)</f>
        <v>0</v>
      </c>
      <c r="P7" s="31">
        <f>ROUND('Anexo 7'!P7*'Anexo 3'!$D$10,0)</f>
        <v>0</v>
      </c>
      <c r="Q7" s="31">
        <f>ROUND('Anexo 7'!Q7*'Anexo 3'!$D$10,0)</f>
        <v>0</v>
      </c>
      <c r="R7" s="31">
        <f>ROUND('Anexo 7'!R7*'Anexo 3'!$D$10,0)</f>
        <v>0</v>
      </c>
      <c r="S7" s="31">
        <f>ROUND('Anexo 7'!S7*'Anexo 3'!$D$10,0)</f>
        <v>0</v>
      </c>
      <c r="T7" s="31">
        <f>ROUND('Anexo 7'!T7*'Anexo 3'!$D$10,0)</f>
        <v>0</v>
      </c>
      <c r="U7" s="31">
        <f>ROUND('Anexo 7'!U7*'Anexo 3'!$D$10,0)</f>
        <v>0</v>
      </c>
      <c r="V7" s="31">
        <f>ROUND('Anexo 7'!V7*'Anexo 3'!$D$10,0)</f>
        <v>0</v>
      </c>
      <c r="W7" s="31">
        <f>ROUND('Anexo 7'!W7*'Anexo 3'!$D$10,0)</f>
        <v>0</v>
      </c>
      <c r="X7" s="31">
        <f>ROUND('Anexo 7'!X7*'Anexo 3'!$D$10,0)</f>
        <v>0</v>
      </c>
      <c r="Y7" s="31">
        <f>ROUND('Anexo 7'!Y7*'Anexo 3'!$D$10,0)</f>
        <v>0</v>
      </c>
      <c r="Z7" s="31">
        <f>ROUND('Anexo 7'!Z7*'Anexo 3'!$D$10,0)</f>
        <v>0</v>
      </c>
      <c r="AA7" s="36">
        <f t="shared" ref="AA7:AA41" si="0">SUM(C7:Z7)</f>
        <v>0</v>
      </c>
      <c r="AB7" s="19">
        <v>4</v>
      </c>
      <c r="AC7" s="81"/>
      <c r="AD7" s="45"/>
    </row>
    <row r="8" spans="1:30" ht="15.75" thickBot="1" x14ac:dyDescent="0.3">
      <c r="A8" s="79"/>
      <c r="B8" s="20" t="s">
        <v>3</v>
      </c>
      <c r="C8" s="31">
        <f>ROUND('Anexo 7'!C8*'Anexo 3'!$D$10,0)</f>
        <v>0</v>
      </c>
      <c r="D8" s="31">
        <f>ROUND('Anexo 7'!D8*'Anexo 3'!$D$10,0)</f>
        <v>0</v>
      </c>
      <c r="E8" s="31">
        <f>ROUND('Anexo 7'!E8*'Anexo 3'!$D$10,0)</f>
        <v>0</v>
      </c>
      <c r="F8" s="31">
        <f>ROUND('Anexo 7'!F8*'Anexo 3'!$D$10,0)</f>
        <v>0</v>
      </c>
      <c r="G8" s="31">
        <f>ROUND('Anexo 7'!G8*'Anexo 3'!$D$10,0)</f>
        <v>0</v>
      </c>
      <c r="H8" s="31">
        <f>ROUND('Anexo 7'!H8*'Anexo 3'!$D$10,0)</f>
        <v>0</v>
      </c>
      <c r="I8" s="31">
        <f>ROUND('Anexo 7'!I8*'Anexo 3'!$D$10,0)</f>
        <v>0</v>
      </c>
      <c r="J8" s="31">
        <f>ROUND('Anexo 7'!J8*'Anexo 3'!$D$10,0)</f>
        <v>0</v>
      </c>
      <c r="K8" s="31">
        <f>ROUND('Anexo 7'!K8*'Anexo 3'!$D$10,0)</f>
        <v>0</v>
      </c>
      <c r="L8" s="31">
        <f>ROUND('Anexo 7'!L8*'Anexo 3'!$D$10,0)</f>
        <v>0</v>
      </c>
      <c r="M8" s="31">
        <f>ROUND('Anexo 7'!M8*'Anexo 3'!$D$10,0)</f>
        <v>0</v>
      </c>
      <c r="N8" s="31">
        <f>ROUND('Anexo 7'!N8*'Anexo 3'!$D$10,0)</f>
        <v>0</v>
      </c>
      <c r="O8" s="31">
        <f>ROUND('Anexo 7'!O8*'Anexo 3'!$D$10,0)</f>
        <v>0</v>
      </c>
      <c r="P8" s="31">
        <f>ROUND('Anexo 7'!P8*'Anexo 3'!$D$10,0)</f>
        <v>0</v>
      </c>
      <c r="Q8" s="31">
        <f>ROUND('Anexo 7'!Q8*'Anexo 3'!$D$10,0)</f>
        <v>0</v>
      </c>
      <c r="R8" s="31">
        <f>ROUND('Anexo 7'!R8*'Anexo 3'!$D$10,0)</f>
        <v>0</v>
      </c>
      <c r="S8" s="31">
        <f>ROUND('Anexo 7'!S8*'Anexo 3'!$D$10,0)</f>
        <v>0</v>
      </c>
      <c r="T8" s="31">
        <f>ROUND('Anexo 7'!T8*'Anexo 3'!$D$10,0)</f>
        <v>0</v>
      </c>
      <c r="U8" s="31">
        <f>ROUND('Anexo 7'!U8*'Anexo 3'!$D$10,0)</f>
        <v>0</v>
      </c>
      <c r="V8" s="31">
        <f>ROUND('Anexo 7'!V8*'Anexo 3'!$D$10,0)</f>
        <v>0</v>
      </c>
      <c r="W8" s="31">
        <f>ROUND('Anexo 7'!W8*'Anexo 3'!$D$10,0)</f>
        <v>0</v>
      </c>
      <c r="X8" s="31">
        <f>ROUND('Anexo 7'!X8*'Anexo 3'!$D$10,0)</f>
        <v>0</v>
      </c>
      <c r="Y8" s="31">
        <f>ROUND('Anexo 7'!Y8*'Anexo 3'!$D$10,0)</f>
        <v>0</v>
      </c>
      <c r="Z8" s="31">
        <f>ROUND('Anexo 7'!Z8*'Anexo 3'!$D$10,0)</f>
        <v>0</v>
      </c>
      <c r="AA8" s="39">
        <f t="shared" si="0"/>
        <v>0</v>
      </c>
      <c r="AB8" s="21">
        <v>6</v>
      </c>
      <c r="AC8" s="82"/>
      <c r="AD8" s="46"/>
    </row>
    <row r="9" spans="1:30" ht="15.75" thickBot="1" x14ac:dyDescent="0.3">
      <c r="A9" s="79">
        <v>47150</v>
      </c>
      <c r="B9" s="16" t="s">
        <v>5</v>
      </c>
      <c r="C9" s="31">
        <f>ROUND('Anexo 7'!C9*'Anexo 3'!$D$10,0)</f>
        <v>0</v>
      </c>
      <c r="D9" s="31">
        <f>ROUND('Anexo 7'!D9*'Anexo 3'!$D$10,0)</f>
        <v>0</v>
      </c>
      <c r="E9" s="31">
        <f>ROUND('Anexo 7'!E9*'Anexo 3'!$D$10,0)</f>
        <v>0</v>
      </c>
      <c r="F9" s="31">
        <f>ROUND('Anexo 7'!F9*'Anexo 3'!$D$10,0)</f>
        <v>0</v>
      </c>
      <c r="G9" s="31">
        <f>ROUND('Anexo 7'!G9*'Anexo 3'!$D$10,0)</f>
        <v>0</v>
      </c>
      <c r="H9" s="31">
        <f>ROUND('Anexo 7'!H9*'Anexo 3'!$D$10,0)</f>
        <v>0</v>
      </c>
      <c r="I9" s="31">
        <f>ROUND('Anexo 7'!I9*'Anexo 3'!$D$10,0)</f>
        <v>0</v>
      </c>
      <c r="J9" s="31">
        <f>ROUND('Anexo 7'!J9*'Anexo 3'!$D$10,0)</f>
        <v>0</v>
      </c>
      <c r="K9" s="31">
        <f>ROUND('Anexo 7'!K9*'Anexo 3'!$D$10,0)</f>
        <v>0</v>
      </c>
      <c r="L9" s="31">
        <f>ROUND('Anexo 7'!L9*'Anexo 3'!$D$10,0)</f>
        <v>0</v>
      </c>
      <c r="M9" s="31">
        <f>ROUND('Anexo 7'!M9*'Anexo 3'!$D$10,0)</f>
        <v>0</v>
      </c>
      <c r="N9" s="31">
        <f>ROUND('Anexo 7'!N9*'Anexo 3'!$D$10,0)</f>
        <v>0</v>
      </c>
      <c r="O9" s="31">
        <f>ROUND('Anexo 7'!O9*'Anexo 3'!$D$10,0)</f>
        <v>0</v>
      </c>
      <c r="P9" s="31">
        <f>ROUND('Anexo 7'!P9*'Anexo 3'!$D$10,0)</f>
        <v>0</v>
      </c>
      <c r="Q9" s="31">
        <f>ROUND('Anexo 7'!Q9*'Anexo 3'!$D$10,0)</f>
        <v>0</v>
      </c>
      <c r="R9" s="31">
        <f>ROUND('Anexo 7'!R9*'Anexo 3'!$D$10,0)</f>
        <v>0</v>
      </c>
      <c r="S9" s="31">
        <f>ROUND('Anexo 7'!S9*'Anexo 3'!$D$10,0)</f>
        <v>0</v>
      </c>
      <c r="T9" s="31">
        <f>ROUND('Anexo 7'!T9*'Anexo 3'!$D$10,0)</f>
        <v>0</v>
      </c>
      <c r="U9" s="31">
        <f>ROUND('Anexo 7'!U9*'Anexo 3'!$D$10,0)</f>
        <v>0</v>
      </c>
      <c r="V9" s="31">
        <f>ROUND('Anexo 7'!V9*'Anexo 3'!$D$10,0)</f>
        <v>0</v>
      </c>
      <c r="W9" s="31">
        <f>ROUND('Anexo 7'!W9*'Anexo 3'!$D$10,0)</f>
        <v>0</v>
      </c>
      <c r="X9" s="31">
        <f>ROUND('Anexo 7'!X9*'Anexo 3'!$D$10,0)</f>
        <v>0</v>
      </c>
      <c r="Y9" s="31">
        <f>ROUND('Anexo 7'!Y9*'Anexo 3'!$D$10,0)</f>
        <v>0</v>
      </c>
      <c r="Z9" s="31">
        <f>ROUND('Anexo 7'!Z9*'Anexo 3'!$D$10,0)</f>
        <v>0</v>
      </c>
      <c r="AA9" s="33">
        <f t="shared" si="0"/>
        <v>0</v>
      </c>
      <c r="AB9" s="17">
        <v>20</v>
      </c>
      <c r="AC9" s="80">
        <f>+AA9*AB9+AA10*AB10+AA11*AB11</f>
        <v>0</v>
      </c>
    </row>
    <row r="10" spans="1:30" ht="15.75" thickBot="1" x14ac:dyDescent="0.3">
      <c r="A10" s="79"/>
      <c r="B10" s="18" t="s">
        <v>4</v>
      </c>
      <c r="C10" s="31">
        <f>ROUND('Anexo 7'!C10*'Anexo 3'!$D$10,0)</f>
        <v>0</v>
      </c>
      <c r="D10" s="31">
        <f>ROUND('Anexo 7'!D10*'Anexo 3'!$D$10,0)</f>
        <v>0</v>
      </c>
      <c r="E10" s="31">
        <f>ROUND('Anexo 7'!E10*'Anexo 3'!$D$10,0)</f>
        <v>0</v>
      </c>
      <c r="F10" s="31">
        <f>ROUND('Anexo 7'!F10*'Anexo 3'!$D$10,0)</f>
        <v>0</v>
      </c>
      <c r="G10" s="31">
        <f>ROUND('Anexo 7'!G10*'Anexo 3'!$D$10,0)</f>
        <v>0</v>
      </c>
      <c r="H10" s="31">
        <f>ROUND('Anexo 7'!H10*'Anexo 3'!$D$10,0)</f>
        <v>0</v>
      </c>
      <c r="I10" s="31">
        <f>ROUND('Anexo 7'!I10*'Anexo 3'!$D$10,0)</f>
        <v>0</v>
      </c>
      <c r="J10" s="31">
        <f>ROUND('Anexo 7'!J10*'Anexo 3'!$D$10,0)</f>
        <v>0</v>
      </c>
      <c r="K10" s="31">
        <f>ROUND('Anexo 7'!K10*'Anexo 3'!$D$10,0)</f>
        <v>0</v>
      </c>
      <c r="L10" s="31">
        <f>ROUND('Anexo 7'!L10*'Anexo 3'!$D$10,0)</f>
        <v>0</v>
      </c>
      <c r="M10" s="31">
        <f>ROUND('Anexo 7'!M10*'Anexo 3'!$D$10,0)</f>
        <v>0</v>
      </c>
      <c r="N10" s="31">
        <f>ROUND('Anexo 7'!N10*'Anexo 3'!$D$10,0)</f>
        <v>0</v>
      </c>
      <c r="O10" s="31">
        <f>ROUND('Anexo 7'!O10*'Anexo 3'!$D$10,0)</f>
        <v>0</v>
      </c>
      <c r="P10" s="31">
        <f>ROUND('Anexo 7'!P10*'Anexo 3'!$D$10,0)</f>
        <v>0</v>
      </c>
      <c r="Q10" s="31">
        <f>ROUND('Anexo 7'!Q10*'Anexo 3'!$D$10,0)</f>
        <v>0</v>
      </c>
      <c r="R10" s="31">
        <f>ROUND('Anexo 7'!R10*'Anexo 3'!$D$10,0)</f>
        <v>0</v>
      </c>
      <c r="S10" s="31">
        <f>ROUND('Anexo 7'!S10*'Anexo 3'!$D$10,0)</f>
        <v>0</v>
      </c>
      <c r="T10" s="31">
        <f>ROUND('Anexo 7'!T10*'Anexo 3'!$D$10,0)</f>
        <v>0</v>
      </c>
      <c r="U10" s="31">
        <f>ROUND('Anexo 7'!U10*'Anexo 3'!$D$10,0)</f>
        <v>0</v>
      </c>
      <c r="V10" s="31">
        <f>ROUND('Anexo 7'!V10*'Anexo 3'!$D$10,0)</f>
        <v>0</v>
      </c>
      <c r="W10" s="31">
        <f>ROUND('Anexo 7'!W10*'Anexo 3'!$D$10,0)</f>
        <v>0</v>
      </c>
      <c r="X10" s="31">
        <f>ROUND('Anexo 7'!X10*'Anexo 3'!$D$10,0)</f>
        <v>0</v>
      </c>
      <c r="Y10" s="31">
        <f>ROUND('Anexo 7'!Y10*'Anexo 3'!$D$10,0)</f>
        <v>0</v>
      </c>
      <c r="Z10" s="31">
        <f>ROUND('Anexo 7'!Z10*'Anexo 3'!$D$10,0)</f>
        <v>0</v>
      </c>
      <c r="AA10" s="36">
        <f t="shared" si="0"/>
        <v>0</v>
      </c>
      <c r="AB10" s="19">
        <v>4</v>
      </c>
      <c r="AC10" s="81"/>
      <c r="AD10" s="45"/>
    </row>
    <row r="11" spans="1:30" ht="15.75" thickBot="1" x14ac:dyDescent="0.3">
      <c r="A11" s="79"/>
      <c r="B11" s="20" t="s">
        <v>3</v>
      </c>
      <c r="C11" s="31">
        <f>ROUND('Anexo 7'!C11*'Anexo 3'!$D$10,0)</f>
        <v>0</v>
      </c>
      <c r="D11" s="31">
        <f>ROUND('Anexo 7'!D11*'Anexo 3'!$D$10,0)</f>
        <v>0</v>
      </c>
      <c r="E11" s="31">
        <f>ROUND('Anexo 7'!E11*'Anexo 3'!$D$10,0)</f>
        <v>0</v>
      </c>
      <c r="F11" s="31">
        <f>ROUND('Anexo 7'!F11*'Anexo 3'!$D$10,0)</f>
        <v>0</v>
      </c>
      <c r="G11" s="31">
        <f>ROUND('Anexo 7'!G11*'Anexo 3'!$D$10,0)</f>
        <v>0</v>
      </c>
      <c r="H11" s="31">
        <f>ROUND('Anexo 7'!H11*'Anexo 3'!$D$10,0)</f>
        <v>0</v>
      </c>
      <c r="I11" s="31">
        <f>ROUND('Anexo 7'!I11*'Anexo 3'!$D$10,0)</f>
        <v>0</v>
      </c>
      <c r="J11" s="31">
        <f>ROUND('Anexo 7'!J11*'Anexo 3'!$D$10,0)</f>
        <v>0</v>
      </c>
      <c r="K11" s="31">
        <f>ROUND('Anexo 7'!K11*'Anexo 3'!$D$10,0)</f>
        <v>0</v>
      </c>
      <c r="L11" s="31">
        <f>ROUND('Anexo 7'!L11*'Anexo 3'!$D$10,0)</f>
        <v>0</v>
      </c>
      <c r="M11" s="31">
        <f>ROUND('Anexo 7'!M11*'Anexo 3'!$D$10,0)</f>
        <v>0</v>
      </c>
      <c r="N11" s="31">
        <f>ROUND('Anexo 7'!N11*'Anexo 3'!$D$10,0)</f>
        <v>0</v>
      </c>
      <c r="O11" s="31">
        <f>ROUND('Anexo 7'!O11*'Anexo 3'!$D$10,0)</f>
        <v>0</v>
      </c>
      <c r="P11" s="31">
        <f>ROUND('Anexo 7'!P11*'Anexo 3'!$D$10,0)</f>
        <v>0</v>
      </c>
      <c r="Q11" s="31">
        <f>ROUND('Anexo 7'!Q11*'Anexo 3'!$D$10,0)</f>
        <v>0</v>
      </c>
      <c r="R11" s="31">
        <f>ROUND('Anexo 7'!R11*'Anexo 3'!$D$10,0)</f>
        <v>0</v>
      </c>
      <c r="S11" s="31">
        <f>ROUND('Anexo 7'!S11*'Anexo 3'!$D$10,0)</f>
        <v>0</v>
      </c>
      <c r="T11" s="31">
        <f>ROUND('Anexo 7'!T11*'Anexo 3'!$D$10,0)</f>
        <v>0</v>
      </c>
      <c r="U11" s="31">
        <f>ROUND('Anexo 7'!U11*'Anexo 3'!$D$10,0)</f>
        <v>0</v>
      </c>
      <c r="V11" s="31">
        <f>ROUND('Anexo 7'!V11*'Anexo 3'!$D$10,0)</f>
        <v>0</v>
      </c>
      <c r="W11" s="31">
        <f>ROUND('Anexo 7'!W11*'Anexo 3'!$D$10,0)</f>
        <v>0</v>
      </c>
      <c r="X11" s="31">
        <f>ROUND('Anexo 7'!X11*'Anexo 3'!$D$10,0)</f>
        <v>0</v>
      </c>
      <c r="Y11" s="31">
        <f>ROUND('Anexo 7'!Y11*'Anexo 3'!$D$10,0)</f>
        <v>0</v>
      </c>
      <c r="Z11" s="31">
        <f>ROUND('Anexo 7'!Z11*'Anexo 3'!$D$10,0)</f>
        <v>0</v>
      </c>
      <c r="AA11" s="39">
        <f t="shared" si="0"/>
        <v>0</v>
      </c>
      <c r="AB11" s="21">
        <v>4</v>
      </c>
      <c r="AC11" s="82"/>
      <c r="AD11" s="46"/>
    </row>
    <row r="12" spans="1:30" ht="15.75" thickBot="1" x14ac:dyDescent="0.3">
      <c r="A12" s="79">
        <v>47178</v>
      </c>
      <c r="B12" s="16" t="s">
        <v>5</v>
      </c>
      <c r="C12" s="31">
        <f>ROUND('Anexo 7'!C12*'Anexo 3'!$D$10,0)</f>
        <v>0</v>
      </c>
      <c r="D12" s="31">
        <f>ROUND('Anexo 7'!D12*'Anexo 3'!$D$10,0)</f>
        <v>0</v>
      </c>
      <c r="E12" s="31">
        <f>ROUND('Anexo 7'!E12*'Anexo 3'!$D$10,0)</f>
        <v>0</v>
      </c>
      <c r="F12" s="31">
        <f>ROUND('Anexo 7'!F12*'Anexo 3'!$D$10,0)</f>
        <v>0</v>
      </c>
      <c r="G12" s="31">
        <f>ROUND('Anexo 7'!G12*'Anexo 3'!$D$10,0)</f>
        <v>0</v>
      </c>
      <c r="H12" s="31">
        <f>ROUND('Anexo 7'!H12*'Anexo 3'!$D$10,0)</f>
        <v>0</v>
      </c>
      <c r="I12" s="31">
        <f>ROUND('Anexo 7'!I12*'Anexo 3'!$D$10,0)</f>
        <v>0</v>
      </c>
      <c r="J12" s="31">
        <f>ROUND('Anexo 7'!J12*'Anexo 3'!$D$10,0)</f>
        <v>0</v>
      </c>
      <c r="K12" s="31">
        <f>ROUND('Anexo 7'!K12*'Anexo 3'!$D$10,0)</f>
        <v>0</v>
      </c>
      <c r="L12" s="31">
        <f>ROUND('Anexo 7'!L12*'Anexo 3'!$D$10,0)</f>
        <v>0</v>
      </c>
      <c r="M12" s="31">
        <f>ROUND('Anexo 7'!M12*'Anexo 3'!$D$10,0)</f>
        <v>0</v>
      </c>
      <c r="N12" s="31">
        <f>ROUND('Anexo 7'!N12*'Anexo 3'!$D$10,0)</f>
        <v>0</v>
      </c>
      <c r="O12" s="31">
        <f>ROUND('Anexo 7'!O12*'Anexo 3'!$D$10,0)</f>
        <v>0</v>
      </c>
      <c r="P12" s="31">
        <f>ROUND('Anexo 7'!P12*'Anexo 3'!$D$10,0)</f>
        <v>0</v>
      </c>
      <c r="Q12" s="31">
        <f>ROUND('Anexo 7'!Q12*'Anexo 3'!$D$10,0)</f>
        <v>0</v>
      </c>
      <c r="R12" s="31">
        <f>ROUND('Anexo 7'!R12*'Anexo 3'!$D$10,0)</f>
        <v>0</v>
      </c>
      <c r="S12" s="31">
        <f>ROUND('Anexo 7'!S12*'Anexo 3'!$D$10,0)</f>
        <v>0</v>
      </c>
      <c r="T12" s="31">
        <f>ROUND('Anexo 7'!T12*'Anexo 3'!$D$10,0)</f>
        <v>0</v>
      </c>
      <c r="U12" s="31">
        <f>ROUND('Anexo 7'!U12*'Anexo 3'!$D$10,0)</f>
        <v>0</v>
      </c>
      <c r="V12" s="31">
        <f>ROUND('Anexo 7'!V12*'Anexo 3'!$D$10,0)</f>
        <v>0</v>
      </c>
      <c r="W12" s="31">
        <f>ROUND('Anexo 7'!W12*'Anexo 3'!$D$10,0)</f>
        <v>0</v>
      </c>
      <c r="X12" s="31">
        <f>ROUND('Anexo 7'!X12*'Anexo 3'!$D$10,0)</f>
        <v>0</v>
      </c>
      <c r="Y12" s="31">
        <f>ROUND('Anexo 7'!Y12*'Anexo 3'!$D$10,0)</f>
        <v>0</v>
      </c>
      <c r="Z12" s="31">
        <f>ROUND('Anexo 7'!Z12*'Anexo 3'!$D$10,0)</f>
        <v>0</v>
      </c>
      <c r="AA12" s="33">
        <f t="shared" si="0"/>
        <v>0</v>
      </c>
      <c r="AB12" s="17">
        <v>19</v>
      </c>
      <c r="AC12" s="80">
        <f>+AA12*AB12+AA13*AB13+AA14*AB14</f>
        <v>0</v>
      </c>
    </row>
    <row r="13" spans="1:30" ht="15.75" thickBot="1" x14ac:dyDescent="0.3">
      <c r="A13" s="79"/>
      <c r="B13" s="18" t="s">
        <v>4</v>
      </c>
      <c r="C13" s="31">
        <f>ROUND('Anexo 7'!C13*'Anexo 3'!$D$10,0)</f>
        <v>0</v>
      </c>
      <c r="D13" s="31">
        <f>ROUND('Anexo 7'!D13*'Anexo 3'!$D$10,0)</f>
        <v>0</v>
      </c>
      <c r="E13" s="31">
        <f>ROUND('Anexo 7'!E13*'Anexo 3'!$D$10,0)</f>
        <v>0</v>
      </c>
      <c r="F13" s="31">
        <f>ROUND('Anexo 7'!F13*'Anexo 3'!$D$10,0)</f>
        <v>0</v>
      </c>
      <c r="G13" s="31">
        <f>ROUND('Anexo 7'!G13*'Anexo 3'!$D$10,0)</f>
        <v>0</v>
      </c>
      <c r="H13" s="31">
        <f>ROUND('Anexo 7'!H13*'Anexo 3'!$D$10,0)</f>
        <v>0</v>
      </c>
      <c r="I13" s="31">
        <f>ROUND('Anexo 7'!I13*'Anexo 3'!$D$10,0)</f>
        <v>0</v>
      </c>
      <c r="J13" s="31">
        <f>ROUND('Anexo 7'!J13*'Anexo 3'!$D$10,0)</f>
        <v>0</v>
      </c>
      <c r="K13" s="31">
        <f>ROUND('Anexo 7'!K13*'Anexo 3'!$D$10,0)</f>
        <v>0</v>
      </c>
      <c r="L13" s="31">
        <f>ROUND('Anexo 7'!L13*'Anexo 3'!$D$10,0)</f>
        <v>0</v>
      </c>
      <c r="M13" s="31">
        <f>ROUND('Anexo 7'!M13*'Anexo 3'!$D$10,0)</f>
        <v>0</v>
      </c>
      <c r="N13" s="31">
        <f>ROUND('Anexo 7'!N13*'Anexo 3'!$D$10,0)</f>
        <v>0</v>
      </c>
      <c r="O13" s="31">
        <f>ROUND('Anexo 7'!O13*'Anexo 3'!$D$10,0)</f>
        <v>0</v>
      </c>
      <c r="P13" s="31">
        <f>ROUND('Anexo 7'!P13*'Anexo 3'!$D$10,0)</f>
        <v>0</v>
      </c>
      <c r="Q13" s="31">
        <f>ROUND('Anexo 7'!Q13*'Anexo 3'!$D$10,0)</f>
        <v>0</v>
      </c>
      <c r="R13" s="31">
        <f>ROUND('Anexo 7'!R13*'Anexo 3'!$D$10,0)</f>
        <v>0</v>
      </c>
      <c r="S13" s="31">
        <f>ROUND('Anexo 7'!S13*'Anexo 3'!$D$10,0)</f>
        <v>0</v>
      </c>
      <c r="T13" s="31">
        <f>ROUND('Anexo 7'!T13*'Anexo 3'!$D$10,0)</f>
        <v>0</v>
      </c>
      <c r="U13" s="31">
        <f>ROUND('Anexo 7'!U13*'Anexo 3'!$D$10,0)</f>
        <v>0</v>
      </c>
      <c r="V13" s="31">
        <f>ROUND('Anexo 7'!V13*'Anexo 3'!$D$10,0)</f>
        <v>0</v>
      </c>
      <c r="W13" s="31">
        <f>ROUND('Anexo 7'!W13*'Anexo 3'!$D$10,0)</f>
        <v>0</v>
      </c>
      <c r="X13" s="31">
        <f>ROUND('Anexo 7'!X13*'Anexo 3'!$D$10,0)</f>
        <v>0</v>
      </c>
      <c r="Y13" s="31">
        <f>ROUND('Anexo 7'!Y13*'Anexo 3'!$D$10,0)</f>
        <v>0</v>
      </c>
      <c r="Z13" s="31">
        <f>ROUND('Anexo 7'!Z13*'Anexo 3'!$D$10,0)</f>
        <v>0</v>
      </c>
      <c r="AA13" s="36">
        <f t="shared" si="0"/>
        <v>0</v>
      </c>
      <c r="AB13" s="19">
        <v>5</v>
      </c>
      <c r="AC13" s="81"/>
      <c r="AD13" s="45"/>
    </row>
    <row r="14" spans="1:30" ht="15.75" thickBot="1" x14ac:dyDescent="0.3">
      <c r="A14" s="79"/>
      <c r="B14" s="20" t="s">
        <v>3</v>
      </c>
      <c r="C14" s="31">
        <f>ROUND('Anexo 7'!C14*'Anexo 3'!$D$10,0)</f>
        <v>0</v>
      </c>
      <c r="D14" s="31">
        <f>ROUND('Anexo 7'!D14*'Anexo 3'!$D$10,0)</f>
        <v>0</v>
      </c>
      <c r="E14" s="31">
        <f>ROUND('Anexo 7'!E14*'Anexo 3'!$D$10,0)</f>
        <v>0</v>
      </c>
      <c r="F14" s="31">
        <f>ROUND('Anexo 7'!F14*'Anexo 3'!$D$10,0)</f>
        <v>0</v>
      </c>
      <c r="G14" s="31">
        <f>ROUND('Anexo 7'!G14*'Anexo 3'!$D$10,0)</f>
        <v>0</v>
      </c>
      <c r="H14" s="31">
        <f>ROUND('Anexo 7'!H14*'Anexo 3'!$D$10,0)</f>
        <v>0</v>
      </c>
      <c r="I14" s="31">
        <f>ROUND('Anexo 7'!I14*'Anexo 3'!$D$10,0)</f>
        <v>0</v>
      </c>
      <c r="J14" s="31">
        <f>ROUND('Anexo 7'!J14*'Anexo 3'!$D$10,0)</f>
        <v>0</v>
      </c>
      <c r="K14" s="31">
        <f>ROUND('Anexo 7'!K14*'Anexo 3'!$D$10,0)</f>
        <v>0</v>
      </c>
      <c r="L14" s="31">
        <f>ROUND('Anexo 7'!L14*'Anexo 3'!$D$10,0)</f>
        <v>0</v>
      </c>
      <c r="M14" s="31">
        <f>ROUND('Anexo 7'!M14*'Anexo 3'!$D$10,0)</f>
        <v>0</v>
      </c>
      <c r="N14" s="31">
        <f>ROUND('Anexo 7'!N14*'Anexo 3'!$D$10,0)</f>
        <v>0</v>
      </c>
      <c r="O14" s="31">
        <f>ROUND('Anexo 7'!O14*'Anexo 3'!$D$10,0)</f>
        <v>0</v>
      </c>
      <c r="P14" s="31">
        <f>ROUND('Anexo 7'!P14*'Anexo 3'!$D$10,0)</f>
        <v>0</v>
      </c>
      <c r="Q14" s="31">
        <f>ROUND('Anexo 7'!Q14*'Anexo 3'!$D$10,0)</f>
        <v>0</v>
      </c>
      <c r="R14" s="31">
        <f>ROUND('Anexo 7'!R14*'Anexo 3'!$D$10,0)</f>
        <v>0</v>
      </c>
      <c r="S14" s="31">
        <f>ROUND('Anexo 7'!S14*'Anexo 3'!$D$10,0)</f>
        <v>0</v>
      </c>
      <c r="T14" s="31">
        <f>ROUND('Anexo 7'!T14*'Anexo 3'!$D$10,0)</f>
        <v>0</v>
      </c>
      <c r="U14" s="31">
        <f>ROUND('Anexo 7'!U14*'Anexo 3'!$D$10,0)</f>
        <v>0</v>
      </c>
      <c r="V14" s="31">
        <f>ROUND('Anexo 7'!V14*'Anexo 3'!$D$10,0)</f>
        <v>0</v>
      </c>
      <c r="W14" s="31">
        <f>ROUND('Anexo 7'!W14*'Anexo 3'!$D$10,0)</f>
        <v>0</v>
      </c>
      <c r="X14" s="31">
        <f>ROUND('Anexo 7'!X14*'Anexo 3'!$D$10,0)</f>
        <v>0</v>
      </c>
      <c r="Y14" s="31">
        <f>ROUND('Anexo 7'!Y14*'Anexo 3'!$D$10,0)</f>
        <v>0</v>
      </c>
      <c r="Z14" s="31">
        <f>ROUND('Anexo 7'!Z14*'Anexo 3'!$D$10,0)</f>
        <v>0</v>
      </c>
      <c r="AA14" s="39">
        <f t="shared" si="0"/>
        <v>0</v>
      </c>
      <c r="AB14" s="21">
        <v>7</v>
      </c>
      <c r="AC14" s="82"/>
      <c r="AD14" s="43"/>
    </row>
    <row r="15" spans="1:30" ht="15.75" thickBot="1" x14ac:dyDescent="0.3">
      <c r="A15" s="79">
        <v>47209</v>
      </c>
      <c r="B15" s="16" t="s">
        <v>5</v>
      </c>
      <c r="C15" s="31">
        <f>ROUND('Anexo 7'!C15*'Anexo 3'!$D$10,0)</f>
        <v>0</v>
      </c>
      <c r="D15" s="31">
        <f>ROUND('Anexo 7'!D15*'Anexo 3'!$D$10,0)</f>
        <v>0</v>
      </c>
      <c r="E15" s="31">
        <f>ROUND('Anexo 7'!E15*'Anexo 3'!$D$10,0)</f>
        <v>0</v>
      </c>
      <c r="F15" s="31">
        <f>ROUND('Anexo 7'!F15*'Anexo 3'!$D$10,0)</f>
        <v>0</v>
      </c>
      <c r="G15" s="31">
        <f>ROUND('Anexo 7'!G15*'Anexo 3'!$D$10,0)</f>
        <v>0</v>
      </c>
      <c r="H15" s="31">
        <f>ROUND('Anexo 7'!H15*'Anexo 3'!$D$10,0)</f>
        <v>0</v>
      </c>
      <c r="I15" s="31">
        <f>ROUND('Anexo 7'!I15*'Anexo 3'!$D$10,0)</f>
        <v>0</v>
      </c>
      <c r="J15" s="31">
        <f>ROUND('Anexo 7'!J15*'Anexo 3'!$D$10,0)</f>
        <v>0</v>
      </c>
      <c r="K15" s="31">
        <f>ROUND('Anexo 7'!K15*'Anexo 3'!$D$10,0)</f>
        <v>0</v>
      </c>
      <c r="L15" s="31">
        <f>ROUND('Anexo 7'!L15*'Anexo 3'!$D$10,0)</f>
        <v>0</v>
      </c>
      <c r="M15" s="31">
        <f>ROUND('Anexo 7'!M15*'Anexo 3'!$D$10,0)</f>
        <v>0</v>
      </c>
      <c r="N15" s="31">
        <f>ROUND('Anexo 7'!N15*'Anexo 3'!$D$10,0)</f>
        <v>0</v>
      </c>
      <c r="O15" s="31">
        <f>ROUND('Anexo 7'!O15*'Anexo 3'!$D$10,0)</f>
        <v>0</v>
      </c>
      <c r="P15" s="31">
        <f>ROUND('Anexo 7'!P15*'Anexo 3'!$D$10,0)</f>
        <v>0</v>
      </c>
      <c r="Q15" s="31">
        <f>ROUND('Anexo 7'!Q15*'Anexo 3'!$D$10,0)</f>
        <v>0</v>
      </c>
      <c r="R15" s="31">
        <f>ROUND('Anexo 7'!R15*'Anexo 3'!$D$10,0)</f>
        <v>0</v>
      </c>
      <c r="S15" s="31">
        <f>ROUND('Anexo 7'!S15*'Anexo 3'!$D$10,0)</f>
        <v>0</v>
      </c>
      <c r="T15" s="31">
        <f>ROUND('Anexo 7'!T15*'Anexo 3'!$D$10,0)</f>
        <v>0</v>
      </c>
      <c r="U15" s="31">
        <f>ROUND('Anexo 7'!U15*'Anexo 3'!$D$10,0)</f>
        <v>0</v>
      </c>
      <c r="V15" s="31">
        <f>ROUND('Anexo 7'!V15*'Anexo 3'!$D$10,0)</f>
        <v>0</v>
      </c>
      <c r="W15" s="31">
        <f>ROUND('Anexo 7'!W15*'Anexo 3'!$D$10,0)</f>
        <v>0</v>
      </c>
      <c r="X15" s="31">
        <f>ROUND('Anexo 7'!X15*'Anexo 3'!$D$10,0)</f>
        <v>0</v>
      </c>
      <c r="Y15" s="31">
        <f>ROUND('Anexo 7'!Y15*'Anexo 3'!$D$10,0)</f>
        <v>0</v>
      </c>
      <c r="Z15" s="31">
        <f>ROUND('Anexo 7'!Z15*'Anexo 3'!$D$10,0)</f>
        <v>0</v>
      </c>
      <c r="AA15" s="33">
        <f t="shared" si="0"/>
        <v>0</v>
      </c>
      <c r="AB15" s="17">
        <v>21</v>
      </c>
      <c r="AC15" s="80">
        <f>+AA15*AB15+AA16*AB16+AA17*AB17</f>
        <v>0</v>
      </c>
    </row>
    <row r="16" spans="1:30" ht="15.75" thickBot="1" x14ac:dyDescent="0.3">
      <c r="A16" s="79"/>
      <c r="B16" s="18" t="s">
        <v>4</v>
      </c>
      <c r="C16" s="31">
        <f>ROUND('Anexo 7'!C16*'Anexo 3'!$D$10,0)</f>
        <v>0</v>
      </c>
      <c r="D16" s="31">
        <f>ROUND('Anexo 7'!D16*'Anexo 3'!$D$10,0)</f>
        <v>0</v>
      </c>
      <c r="E16" s="31">
        <f>ROUND('Anexo 7'!E16*'Anexo 3'!$D$10,0)</f>
        <v>0</v>
      </c>
      <c r="F16" s="31">
        <f>ROUND('Anexo 7'!F16*'Anexo 3'!$D$10,0)</f>
        <v>0</v>
      </c>
      <c r="G16" s="31">
        <f>ROUND('Anexo 7'!G16*'Anexo 3'!$D$10,0)</f>
        <v>0</v>
      </c>
      <c r="H16" s="31">
        <f>ROUND('Anexo 7'!H16*'Anexo 3'!$D$10,0)</f>
        <v>0</v>
      </c>
      <c r="I16" s="31">
        <f>ROUND('Anexo 7'!I16*'Anexo 3'!$D$10,0)</f>
        <v>0</v>
      </c>
      <c r="J16" s="31">
        <f>ROUND('Anexo 7'!J16*'Anexo 3'!$D$10,0)</f>
        <v>0</v>
      </c>
      <c r="K16" s="31">
        <f>ROUND('Anexo 7'!K16*'Anexo 3'!$D$10,0)</f>
        <v>0</v>
      </c>
      <c r="L16" s="31">
        <f>ROUND('Anexo 7'!L16*'Anexo 3'!$D$10,0)</f>
        <v>0</v>
      </c>
      <c r="M16" s="31">
        <f>ROUND('Anexo 7'!M16*'Anexo 3'!$D$10,0)</f>
        <v>0</v>
      </c>
      <c r="N16" s="31">
        <f>ROUND('Anexo 7'!N16*'Anexo 3'!$D$10,0)</f>
        <v>0</v>
      </c>
      <c r="O16" s="31">
        <f>ROUND('Anexo 7'!O16*'Anexo 3'!$D$10,0)</f>
        <v>0</v>
      </c>
      <c r="P16" s="31">
        <f>ROUND('Anexo 7'!P16*'Anexo 3'!$D$10,0)</f>
        <v>0</v>
      </c>
      <c r="Q16" s="31">
        <f>ROUND('Anexo 7'!Q16*'Anexo 3'!$D$10,0)</f>
        <v>0</v>
      </c>
      <c r="R16" s="31">
        <f>ROUND('Anexo 7'!R16*'Anexo 3'!$D$10,0)</f>
        <v>0</v>
      </c>
      <c r="S16" s="31">
        <f>ROUND('Anexo 7'!S16*'Anexo 3'!$D$10,0)</f>
        <v>0</v>
      </c>
      <c r="T16" s="31">
        <f>ROUND('Anexo 7'!T16*'Anexo 3'!$D$10,0)</f>
        <v>0</v>
      </c>
      <c r="U16" s="31">
        <f>ROUND('Anexo 7'!U16*'Anexo 3'!$D$10,0)</f>
        <v>0</v>
      </c>
      <c r="V16" s="31">
        <f>ROUND('Anexo 7'!V16*'Anexo 3'!$D$10,0)</f>
        <v>0</v>
      </c>
      <c r="W16" s="31">
        <f>ROUND('Anexo 7'!W16*'Anexo 3'!$D$10,0)</f>
        <v>0</v>
      </c>
      <c r="X16" s="31">
        <f>ROUND('Anexo 7'!X16*'Anexo 3'!$D$10,0)</f>
        <v>0</v>
      </c>
      <c r="Y16" s="31">
        <f>ROUND('Anexo 7'!Y16*'Anexo 3'!$D$10,0)</f>
        <v>0</v>
      </c>
      <c r="Z16" s="31">
        <f>ROUND('Anexo 7'!Z16*'Anexo 3'!$D$10,0)</f>
        <v>0</v>
      </c>
      <c r="AA16" s="36">
        <f t="shared" si="0"/>
        <v>0</v>
      </c>
      <c r="AB16" s="19">
        <v>4</v>
      </c>
      <c r="AC16" s="81"/>
      <c r="AD16" s="45"/>
    </row>
    <row r="17" spans="1:30" ht="15.75" thickBot="1" x14ac:dyDescent="0.3">
      <c r="A17" s="79"/>
      <c r="B17" s="20" t="s">
        <v>3</v>
      </c>
      <c r="C17" s="31">
        <f>ROUND('Anexo 7'!C17*'Anexo 3'!$D$10,0)</f>
        <v>0</v>
      </c>
      <c r="D17" s="31">
        <f>ROUND('Anexo 7'!D17*'Anexo 3'!$D$10,0)</f>
        <v>0</v>
      </c>
      <c r="E17" s="31">
        <f>ROUND('Anexo 7'!E17*'Anexo 3'!$D$10,0)</f>
        <v>0</v>
      </c>
      <c r="F17" s="31">
        <f>ROUND('Anexo 7'!F17*'Anexo 3'!$D$10,0)</f>
        <v>0</v>
      </c>
      <c r="G17" s="31">
        <f>ROUND('Anexo 7'!G17*'Anexo 3'!$D$10,0)</f>
        <v>0</v>
      </c>
      <c r="H17" s="31">
        <f>ROUND('Anexo 7'!H17*'Anexo 3'!$D$10,0)</f>
        <v>0</v>
      </c>
      <c r="I17" s="31">
        <f>ROUND('Anexo 7'!I17*'Anexo 3'!$D$10,0)</f>
        <v>0</v>
      </c>
      <c r="J17" s="31">
        <f>ROUND('Anexo 7'!J17*'Anexo 3'!$D$10,0)</f>
        <v>0</v>
      </c>
      <c r="K17" s="31">
        <f>ROUND('Anexo 7'!K17*'Anexo 3'!$D$10,0)</f>
        <v>0</v>
      </c>
      <c r="L17" s="31">
        <f>ROUND('Anexo 7'!L17*'Anexo 3'!$D$10,0)</f>
        <v>0</v>
      </c>
      <c r="M17" s="31">
        <f>ROUND('Anexo 7'!M17*'Anexo 3'!$D$10,0)</f>
        <v>0</v>
      </c>
      <c r="N17" s="31">
        <f>ROUND('Anexo 7'!N17*'Anexo 3'!$D$10,0)</f>
        <v>0</v>
      </c>
      <c r="O17" s="31">
        <f>ROUND('Anexo 7'!O17*'Anexo 3'!$D$10,0)</f>
        <v>0</v>
      </c>
      <c r="P17" s="31">
        <f>ROUND('Anexo 7'!P17*'Anexo 3'!$D$10,0)</f>
        <v>0</v>
      </c>
      <c r="Q17" s="31">
        <f>ROUND('Anexo 7'!Q17*'Anexo 3'!$D$10,0)</f>
        <v>0</v>
      </c>
      <c r="R17" s="31">
        <f>ROUND('Anexo 7'!R17*'Anexo 3'!$D$10,0)</f>
        <v>0</v>
      </c>
      <c r="S17" s="31">
        <f>ROUND('Anexo 7'!S17*'Anexo 3'!$D$10,0)</f>
        <v>0</v>
      </c>
      <c r="T17" s="31">
        <f>ROUND('Anexo 7'!T17*'Anexo 3'!$D$10,0)</f>
        <v>0</v>
      </c>
      <c r="U17" s="31">
        <f>ROUND('Anexo 7'!U17*'Anexo 3'!$D$10,0)</f>
        <v>0</v>
      </c>
      <c r="V17" s="31">
        <f>ROUND('Anexo 7'!V17*'Anexo 3'!$D$10,0)</f>
        <v>0</v>
      </c>
      <c r="W17" s="31">
        <f>ROUND('Anexo 7'!W17*'Anexo 3'!$D$10,0)</f>
        <v>0</v>
      </c>
      <c r="X17" s="31">
        <f>ROUND('Anexo 7'!X17*'Anexo 3'!$D$10,0)</f>
        <v>0</v>
      </c>
      <c r="Y17" s="31">
        <f>ROUND('Anexo 7'!Y17*'Anexo 3'!$D$10,0)</f>
        <v>0</v>
      </c>
      <c r="Z17" s="31">
        <f>ROUND('Anexo 7'!Z17*'Anexo 3'!$D$10,0)</f>
        <v>0</v>
      </c>
      <c r="AA17" s="39">
        <f t="shared" si="0"/>
        <v>0</v>
      </c>
      <c r="AB17" s="21">
        <v>5</v>
      </c>
      <c r="AC17" s="82"/>
      <c r="AD17" s="46"/>
    </row>
    <row r="18" spans="1:30" ht="15.75" thickBot="1" x14ac:dyDescent="0.3">
      <c r="A18" s="79">
        <v>47239</v>
      </c>
      <c r="B18" s="16" t="s">
        <v>5</v>
      </c>
      <c r="C18" s="31">
        <f>ROUND('Anexo 7'!C18*'Anexo 3'!$D$10,0)</f>
        <v>0</v>
      </c>
      <c r="D18" s="31">
        <f>ROUND('Anexo 7'!D18*'Anexo 3'!$D$10,0)</f>
        <v>0</v>
      </c>
      <c r="E18" s="31">
        <f>ROUND('Anexo 7'!E18*'Anexo 3'!$D$10,0)</f>
        <v>0</v>
      </c>
      <c r="F18" s="31">
        <f>ROUND('Anexo 7'!F18*'Anexo 3'!$D$10,0)</f>
        <v>0</v>
      </c>
      <c r="G18" s="31">
        <f>ROUND('Anexo 7'!G18*'Anexo 3'!$D$10,0)</f>
        <v>0</v>
      </c>
      <c r="H18" s="31">
        <f>ROUND('Anexo 7'!H18*'Anexo 3'!$D$10,0)</f>
        <v>0</v>
      </c>
      <c r="I18" s="31">
        <f>ROUND('Anexo 7'!I18*'Anexo 3'!$D$10,0)</f>
        <v>0</v>
      </c>
      <c r="J18" s="31">
        <f>ROUND('Anexo 7'!J18*'Anexo 3'!$D$10,0)</f>
        <v>0</v>
      </c>
      <c r="K18" s="31">
        <f>ROUND('Anexo 7'!K18*'Anexo 3'!$D$10,0)</f>
        <v>0</v>
      </c>
      <c r="L18" s="31">
        <f>ROUND('Anexo 7'!L18*'Anexo 3'!$D$10,0)</f>
        <v>0</v>
      </c>
      <c r="M18" s="31">
        <f>ROUND('Anexo 7'!M18*'Anexo 3'!$D$10,0)</f>
        <v>0</v>
      </c>
      <c r="N18" s="31">
        <f>ROUND('Anexo 7'!N18*'Anexo 3'!$D$10,0)</f>
        <v>0</v>
      </c>
      <c r="O18" s="31">
        <f>ROUND('Anexo 7'!O18*'Anexo 3'!$D$10,0)</f>
        <v>0</v>
      </c>
      <c r="P18" s="31">
        <f>ROUND('Anexo 7'!P18*'Anexo 3'!$D$10,0)</f>
        <v>0</v>
      </c>
      <c r="Q18" s="31">
        <f>ROUND('Anexo 7'!Q18*'Anexo 3'!$D$10,0)</f>
        <v>0</v>
      </c>
      <c r="R18" s="31">
        <f>ROUND('Anexo 7'!R18*'Anexo 3'!$D$10,0)</f>
        <v>0</v>
      </c>
      <c r="S18" s="31">
        <f>ROUND('Anexo 7'!S18*'Anexo 3'!$D$10,0)</f>
        <v>0</v>
      </c>
      <c r="T18" s="31">
        <f>ROUND('Anexo 7'!T18*'Anexo 3'!$D$10,0)</f>
        <v>0</v>
      </c>
      <c r="U18" s="31">
        <f>ROUND('Anexo 7'!U18*'Anexo 3'!$D$10,0)</f>
        <v>0</v>
      </c>
      <c r="V18" s="31">
        <f>ROUND('Anexo 7'!V18*'Anexo 3'!$D$10,0)</f>
        <v>0</v>
      </c>
      <c r="W18" s="31">
        <f>ROUND('Anexo 7'!W18*'Anexo 3'!$D$10,0)</f>
        <v>0</v>
      </c>
      <c r="X18" s="31">
        <f>ROUND('Anexo 7'!X18*'Anexo 3'!$D$10,0)</f>
        <v>0</v>
      </c>
      <c r="Y18" s="31">
        <f>ROUND('Anexo 7'!Y18*'Anexo 3'!$D$10,0)</f>
        <v>0</v>
      </c>
      <c r="Z18" s="31">
        <f>ROUND('Anexo 7'!Z18*'Anexo 3'!$D$10,0)</f>
        <v>0</v>
      </c>
      <c r="AA18" s="33">
        <f t="shared" si="0"/>
        <v>0</v>
      </c>
      <c r="AB18" s="17">
        <v>21</v>
      </c>
      <c r="AC18" s="80">
        <f>+AA18*AB18+AA19*AB19+AA20*AB20</f>
        <v>0</v>
      </c>
    </row>
    <row r="19" spans="1:30" ht="15.75" thickBot="1" x14ac:dyDescent="0.3">
      <c r="A19" s="79"/>
      <c r="B19" s="18" t="s">
        <v>4</v>
      </c>
      <c r="C19" s="31">
        <f>ROUND('Anexo 7'!C19*'Anexo 3'!$D$10,0)</f>
        <v>0</v>
      </c>
      <c r="D19" s="31">
        <f>ROUND('Anexo 7'!D19*'Anexo 3'!$D$10,0)</f>
        <v>0</v>
      </c>
      <c r="E19" s="31">
        <f>ROUND('Anexo 7'!E19*'Anexo 3'!$D$10,0)</f>
        <v>0</v>
      </c>
      <c r="F19" s="31">
        <f>ROUND('Anexo 7'!F19*'Anexo 3'!$D$10,0)</f>
        <v>0</v>
      </c>
      <c r="G19" s="31">
        <f>ROUND('Anexo 7'!G19*'Anexo 3'!$D$10,0)</f>
        <v>0</v>
      </c>
      <c r="H19" s="31">
        <f>ROUND('Anexo 7'!H19*'Anexo 3'!$D$10,0)</f>
        <v>0</v>
      </c>
      <c r="I19" s="31">
        <f>ROUND('Anexo 7'!I19*'Anexo 3'!$D$10,0)</f>
        <v>0</v>
      </c>
      <c r="J19" s="31">
        <f>ROUND('Anexo 7'!J19*'Anexo 3'!$D$10,0)</f>
        <v>0</v>
      </c>
      <c r="K19" s="31">
        <f>ROUND('Anexo 7'!K19*'Anexo 3'!$D$10,0)</f>
        <v>0</v>
      </c>
      <c r="L19" s="31">
        <f>ROUND('Anexo 7'!L19*'Anexo 3'!$D$10,0)</f>
        <v>0</v>
      </c>
      <c r="M19" s="31">
        <f>ROUND('Anexo 7'!M19*'Anexo 3'!$D$10,0)</f>
        <v>0</v>
      </c>
      <c r="N19" s="31">
        <f>ROUND('Anexo 7'!N19*'Anexo 3'!$D$10,0)</f>
        <v>0</v>
      </c>
      <c r="O19" s="31">
        <f>ROUND('Anexo 7'!O19*'Anexo 3'!$D$10,0)</f>
        <v>0</v>
      </c>
      <c r="P19" s="31">
        <f>ROUND('Anexo 7'!P19*'Anexo 3'!$D$10,0)</f>
        <v>0</v>
      </c>
      <c r="Q19" s="31">
        <f>ROUND('Anexo 7'!Q19*'Anexo 3'!$D$10,0)</f>
        <v>0</v>
      </c>
      <c r="R19" s="31">
        <f>ROUND('Anexo 7'!R19*'Anexo 3'!$D$10,0)</f>
        <v>0</v>
      </c>
      <c r="S19" s="31">
        <f>ROUND('Anexo 7'!S19*'Anexo 3'!$D$10,0)</f>
        <v>0</v>
      </c>
      <c r="T19" s="31">
        <f>ROUND('Anexo 7'!T19*'Anexo 3'!$D$10,0)</f>
        <v>0</v>
      </c>
      <c r="U19" s="31">
        <f>ROUND('Anexo 7'!U19*'Anexo 3'!$D$10,0)</f>
        <v>0</v>
      </c>
      <c r="V19" s="31">
        <f>ROUND('Anexo 7'!V19*'Anexo 3'!$D$10,0)</f>
        <v>0</v>
      </c>
      <c r="W19" s="31">
        <f>ROUND('Anexo 7'!W19*'Anexo 3'!$D$10,0)</f>
        <v>0</v>
      </c>
      <c r="X19" s="31">
        <f>ROUND('Anexo 7'!X19*'Anexo 3'!$D$10,0)</f>
        <v>0</v>
      </c>
      <c r="Y19" s="31">
        <f>ROUND('Anexo 7'!Y19*'Anexo 3'!$D$10,0)</f>
        <v>0</v>
      </c>
      <c r="Z19" s="31">
        <f>ROUND('Anexo 7'!Z19*'Anexo 3'!$D$10,0)</f>
        <v>0</v>
      </c>
      <c r="AA19" s="36">
        <f t="shared" si="0"/>
        <v>0</v>
      </c>
      <c r="AB19" s="19">
        <v>4</v>
      </c>
      <c r="AC19" s="81"/>
      <c r="AD19" s="45"/>
    </row>
    <row r="20" spans="1:30" ht="15.75" thickBot="1" x14ac:dyDescent="0.3">
      <c r="A20" s="79"/>
      <c r="B20" s="20" t="s">
        <v>3</v>
      </c>
      <c r="C20" s="31">
        <f>ROUND('Anexo 7'!C20*'Anexo 3'!$D$10,0)</f>
        <v>0</v>
      </c>
      <c r="D20" s="31">
        <f>ROUND('Anexo 7'!D20*'Anexo 3'!$D$10,0)</f>
        <v>0</v>
      </c>
      <c r="E20" s="31">
        <f>ROUND('Anexo 7'!E20*'Anexo 3'!$D$10,0)</f>
        <v>0</v>
      </c>
      <c r="F20" s="31">
        <f>ROUND('Anexo 7'!F20*'Anexo 3'!$D$10,0)</f>
        <v>0</v>
      </c>
      <c r="G20" s="31">
        <f>ROUND('Anexo 7'!G20*'Anexo 3'!$D$10,0)</f>
        <v>0</v>
      </c>
      <c r="H20" s="31">
        <f>ROUND('Anexo 7'!H20*'Anexo 3'!$D$10,0)</f>
        <v>0</v>
      </c>
      <c r="I20" s="31">
        <f>ROUND('Anexo 7'!I20*'Anexo 3'!$D$10,0)</f>
        <v>0</v>
      </c>
      <c r="J20" s="31">
        <f>ROUND('Anexo 7'!J20*'Anexo 3'!$D$10,0)</f>
        <v>0</v>
      </c>
      <c r="K20" s="31">
        <f>ROUND('Anexo 7'!K20*'Anexo 3'!$D$10,0)</f>
        <v>0</v>
      </c>
      <c r="L20" s="31">
        <f>ROUND('Anexo 7'!L20*'Anexo 3'!$D$10,0)</f>
        <v>0</v>
      </c>
      <c r="M20" s="31">
        <f>ROUND('Anexo 7'!M20*'Anexo 3'!$D$10,0)</f>
        <v>0</v>
      </c>
      <c r="N20" s="31">
        <f>ROUND('Anexo 7'!N20*'Anexo 3'!$D$10,0)</f>
        <v>0</v>
      </c>
      <c r="O20" s="31">
        <f>ROUND('Anexo 7'!O20*'Anexo 3'!$D$10,0)</f>
        <v>0</v>
      </c>
      <c r="P20" s="31">
        <f>ROUND('Anexo 7'!P20*'Anexo 3'!$D$10,0)</f>
        <v>0</v>
      </c>
      <c r="Q20" s="31">
        <f>ROUND('Anexo 7'!Q20*'Anexo 3'!$D$10,0)</f>
        <v>0</v>
      </c>
      <c r="R20" s="31">
        <f>ROUND('Anexo 7'!R20*'Anexo 3'!$D$10,0)</f>
        <v>0</v>
      </c>
      <c r="S20" s="31">
        <f>ROUND('Anexo 7'!S20*'Anexo 3'!$D$10,0)</f>
        <v>0</v>
      </c>
      <c r="T20" s="31">
        <f>ROUND('Anexo 7'!T20*'Anexo 3'!$D$10,0)</f>
        <v>0</v>
      </c>
      <c r="U20" s="31">
        <f>ROUND('Anexo 7'!U20*'Anexo 3'!$D$10,0)</f>
        <v>0</v>
      </c>
      <c r="V20" s="31">
        <f>ROUND('Anexo 7'!V20*'Anexo 3'!$D$10,0)</f>
        <v>0</v>
      </c>
      <c r="W20" s="31">
        <f>ROUND('Anexo 7'!W20*'Anexo 3'!$D$10,0)</f>
        <v>0</v>
      </c>
      <c r="X20" s="31">
        <f>ROUND('Anexo 7'!X20*'Anexo 3'!$D$10,0)</f>
        <v>0</v>
      </c>
      <c r="Y20" s="31">
        <f>ROUND('Anexo 7'!Y20*'Anexo 3'!$D$10,0)</f>
        <v>0</v>
      </c>
      <c r="Z20" s="31">
        <f>ROUND('Anexo 7'!Z20*'Anexo 3'!$D$10,0)</f>
        <v>0</v>
      </c>
      <c r="AA20" s="39">
        <f t="shared" si="0"/>
        <v>0</v>
      </c>
      <c r="AB20" s="21">
        <v>6</v>
      </c>
      <c r="AC20" s="82"/>
      <c r="AD20" s="46"/>
    </row>
    <row r="21" spans="1:30" ht="15.75" thickBot="1" x14ac:dyDescent="0.3">
      <c r="A21" s="79">
        <v>47270</v>
      </c>
      <c r="B21" s="16" t="s">
        <v>5</v>
      </c>
      <c r="C21" s="31">
        <f>ROUND('Anexo 7'!C21*'Anexo 3'!$D$10,0)</f>
        <v>0</v>
      </c>
      <c r="D21" s="31">
        <f>ROUND('Anexo 7'!D21*'Anexo 3'!$D$10,0)</f>
        <v>0</v>
      </c>
      <c r="E21" s="31">
        <f>ROUND('Anexo 7'!E21*'Anexo 3'!$D$10,0)</f>
        <v>0</v>
      </c>
      <c r="F21" s="31">
        <f>ROUND('Anexo 7'!F21*'Anexo 3'!$D$10,0)</f>
        <v>0</v>
      </c>
      <c r="G21" s="31">
        <f>ROUND('Anexo 7'!G21*'Anexo 3'!$D$10,0)</f>
        <v>0</v>
      </c>
      <c r="H21" s="31">
        <f>ROUND('Anexo 7'!H21*'Anexo 3'!$D$10,0)</f>
        <v>0</v>
      </c>
      <c r="I21" s="31">
        <f>ROUND('Anexo 7'!I21*'Anexo 3'!$D$10,0)</f>
        <v>0</v>
      </c>
      <c r="J21" s="31">
        <f>ROUND('Anexo 7'!J21*'Anexo 3'!$D$10,0)</f>
        <v>0</v>
      </c>
      <c r="K21" s="31">
        <f>ROUND('Anexo 7'!K21*'Anexo 3'!$D$10,0)</f>
        <v>0</v>
      </c>
      <c r="L21" s="31">
        <f>ROUND('Anexo 7'!L21*'Anexo 3'!$D$10,0)</f>
        <v>0</v>
      </c>
      <c r="M21" s="31">
        <f>ROUND('Anexo 7'!M21*'Anexo 3'!$D$10,0)</f>
        <v>0</v>
      </c>
      <c r="N21" s="31">
        <f>ROUND('Anexo 7'!N21*'Anexo 3'!$D$10,0)</f>
        <v>0</v>
      </c>
      <c r="O21" s="31">
        <f>ROUND('Anexo 7'!O21*'Anexo 3'!$D$10,0)</f>
        <v>0</v>
      </c>
      <c r="P21" s="31">
        <f>ROUND('Anexo 7'!P21*'Anexo 3'!$D$10,0)</f>
        <v>0</v>
      </c>
      <c r="Q21" s="31">
        <f>ROUND('Anexo 7'!Q21*'Anexo 3'!$D$10,0)</f>
        <v>0</v>
      </c>
      <c r="R21" s="31">
        <f>ROUND('Anexo 7'!R21*'Anexo 3'!$D$10,0)</f>
        <v>0</v>
      </c>
      <c r="S21" s="31">
        <f>ROUND('Anexo 7'!S21*'Anexo 3'!$D$10,0)</f>
        <v>0</v>
      </c>
      <c r="T21" s="31">
        <f>ROUND('Anexo 7'!T21*'Anexo 3'!$D$10,0)</f>
        <v>0</v>
      </c>
      <c r="U21" s="31">
        <f>ROUND('Anexo 7'!U21*'Anexo 3'!$D$10,0)</f>
        <v>0</v>
      </c>
      <c r="V21" s="31">
        <f>ROUND('Anexo 7'!V21*'Anexo 3'!$D$10,0)</f>
        <v>0</v>
      </c>
      <c r="W21" s="31">
        <f>ROUND('Anexo 7'!W21*'Anexo 3'!$D$10,0)</f>
        <v>0</v>
      </c>
      <c r="X21" s="31">
        <f>ROUND('Anexo 7'!X21*'Anexo 3'!$D$10,0)</f>
        <v>0</v>
      </c>
      <c r="Y21" s="31">
        <f>ROUND('Anexo 7'!Y21*'Anexo 3'!$D$10,0)</f>
        <v>0</v>
      </c>
      <c r="Z21" s="31">
        <f>ROUND('Anexo 7'!Z21*'Anexo 3'!$D$10,0)</f>
        <v>0</v>
      </c>
      <c r="AA21" s="33">
        <f t="shared" si="0"/>
        <v>0</v>
      </c>
      <c r="AB21" s="17">
        <v>19</v>
      </c>
      <c r="AC21" s="80">
        <f>+AA21*AB21+AA22*AB22+AA23*AB23</f>
        <v>0</v>
      </c>
    </row>
    <row r="22" spans="1:30" ht="15.75" thickBot="1" x14ac:dyDescent="0.3">
      <c r="A22" s="79"/>
      <c r="B22" s="18" t="s">
        <v>4</v>
      </c>
      <c r="C22" s="31">
        <f>ROUND('Anexo 7'!C22*'Anexo 3'!$D$10,0)</f>
        <v>0</v>
      </c>
      <c r="D22" s="31">
        <f>ROUND('Anexo 7'!D22*'Anexo 3'!$D$10,0)</f>
        <v>0</v>
      </c>
      <c r="E22" s="31">
        <f>ROUND('Anexo 7'!E22*'Anexo 3'!$D$10,0)</f>
        <v>0</v>
      </c>
      <c r="F22" s="31">
        <f>ROUND('Anexo 7'!F22*'Anexo 3'!$D$10,0)</f>
        <v>0</v>
      </c>
      <c r="G22" s="31">
        <f>ROUND('Anexo 7'!G22*'Anexo 3'!$D$10,0)</f>
        <v>0</v>
      </c>
      <c r="H22" s="31">
        <f>ROUND('Anexo 7'!H22*'Anexo 3'!$D$10,0)</f>
        <v>0</v>
      </c>
      <c r="I22" s="31">
        <f>ROUND('Anexo 7'!I22*'Anexo 3'!$D$10,0)</f>
        <v>0</v>
      </c>
      <c r="J22" s="31">
        <f>ROUND('Anexo 7'!J22*'Anexo 3'!$D$10,0)</f>
        <v>0</v>
      </c>
      <c r="K22" s="31">
        <f>ROUND('Anexo 7'!K22*'Anexo 3'!$D$10,0)</f>
        <v>0</v>
      </c>
      <c r="L22" s="31">
        <f>ROUND('Anexo 7'!L22*'Anexo 3'!$D$10,0)</f>
        <v>0</v>
      </c>
      <c r="M22" s="31">
        <f>ROUND('Anexo 7'!M22*'Anexo 3'!$D$10,0)</f>
        <v>0</v>
      </c>
      <c r="N22" s="31">
        <f>ROUND('Anexo 7'!N22*'Anexo 3'!$D$10,0)</f>
        <v>0</v>
      </c>
      <c r="O22" s="31">
        <f>ROUND('Anexo 7'!O22*'Anexo 3'!$D$10,0)</f>
        <v>0</v>
      </c>
      <c r="P22" s="31">
        <f>ROUND('Anexo 7'!P22*'Anexo 3'!$D$10,0)</f>
        <v>0</v>
      </c>
      <c r="Q22" s="31">
        <f>ROUND('Anexo 7'!Q22*'Anexo 3'!$D$10,0)</f>
        <v>0</v>
      </c>
      <c r="R22" s="31">
        <f>ROUND('Anexo 7'!R22*'Anexo 3'!$D$10,0)</f>
        <v>0</v>
      </c>
      <c r="S22" s="31">
        <f>ROUND('Anexo 7'!S22*'Anexo 3'!$D$10,0)</f>
        <v>0</v>
      </c>
      <c r="T22" s="31">
        <f>ROUND('Anexo 7'!T22*'Anexo 3'!$D$10,0)</f>
        <v>0</v>
      </c>
      <c r="U22" s="31">
        <f>ROUND('Anexo 7'!U22*'Anexo 3'!$D$10,0)</f>
        <v>0</v>
      </c>
      <c r="V22" s="31">
        <f>ROUND('Anexo 7'!V22*'Anexo 3'!$D$10,0)</f>
        <v>0</v>
      </c>
      <c r="W22" s="31">
        <f>ROUND('Anexo 7'!W22*'Anexo 3'!$D$10,0)</f>
        <v>0</v>
      </c>
      <c r="X22" s="31">
        <f>ROUND('Anexo 7'!X22*'Anexo 3'!$D$10,0)</f>
        <v>0</v>
      </c>
      <c r="Y22" s="31">
        <f>ROUND('Anexo 7'!Y22*'Anexo 3'!$D$10,0)</f>
        <v>0</v>
      </c>
      <c r="Z22" s="31">
        <f>ROUND('Anexo 7'!Z22*'Anexo 3'!$D$10,0)</f>
        <v>0</v>
      </c>
      <c r="AA22" s="36">
        <f t="shared" si="0"/>
        <v>0</v>
      </c>
      <c r="AB22" s="19">
        <v>5</v>
      </c>
      <c r="AC22" s="81"/>
      <c r="AD22" s="45"/>
    </row>
    <row r="23" spans="1:30" ht="15.75" thickBot="1" x14ac:dyDescent="0.3">
      <c r="A23" s="79"/>
      <c r="B23" s="20" t="s">
        <v>3</v>
      </c>
      <c r="C23" s="31">
        <f>ROUND('Anexo 7'!C23*'Anexo 3'!$D$10,0)</f>
        <v>0</v>
      </c>
      <c r="D23" s="31">
        <f>ROUND('Anexo 7'!D23*'Anexo 3'!$D$10,0)</f>
        <v>0</v>
      </c>
      <c r="E23" s="31">
        <f>ROUND('Anexo 7'!E23*'Anexo 3'!$D$10,0)</f>
        <v>0</v>
      </c>
      <c r="F23" s="31">
        <f>ROUND('Anexo 7'!F23*'Anexo 3'!$D$10,0)</f>
        <v>0</v>
      </c>
      <c r="G23" s="31">
        <f>ROUND('Anexo 7'!G23*'Anexo 3'!$D$10,0)</f>
        <v>0</v>
      </c>
      <c r="H23" s="31">
        <f>ROUND('Anexo 7'!H23*'Anexo 3'!$D$10,0)</f>
        <v>0</v>
      </c>
      <c r="I23" s="31">
        <f>ROUND('Anexo 7'!I23*'Anexo 3'!$D$10,0)</f>
        <v>0</v>
      </c>
      <c r="J23" s="31">
        <f>ROUND('Anexo 7'!J23*'Anexo 3'!$D$10,0)</f>
        <v>0</v>
      </c>
      <c r="K23" s="31">
        <f>ROUND('Anexo 7'!K23*'Anexo 3'!$D$10,0)</f>
        <v>0</v>
      </c>
      <c r="L23" s="31">
        <f>ROUND('Anexo 7'!L23*'Anexo 3'!$D$10,0)</f>
        <v>0</v>
      </c>
      <c r="M23" s="31">
        <f>ROUND('Anexo 7'!M23*'Anexo 3'!$D$10,0)</f>
        <v>0</v>
      </c>
      <c r="N23" s="31">
        <f>ROUND('Anexo 7'!N23*'Anexo 3'!$D$10,0)</f>
        <v>0</v>
      </c>
      <c r="O23" s="31">
        <f>ROUND('Anexo 7'!O23*'Anexo 3'!$D$10,0)</f>
        <v>0</v>
      </c>
      <c r="P23" s="31">
        <f>ROUND('Anexo 7'!P23*'Anexo 3'!$D$10,0)</f>
        <v>0</v>
      </c>
      <c r="Q23" s="31">
        <f>ROUND('Anexo 7'!Q23*'Anexo 3'!$D$10,0)</f>
        <v>0</v>
      </c>
      <c r="R23" s="31">
        <f>ROUND('Anexo 7'!R23*'Anexo 3'!$D$10,0)</f>
        <v>0</v>
      </c>
      <c r="S23" s="31">
        <f>ROUND('Anexo 7'!S23*'Anexo 3'!$D$10,0)</f>
        <v>0</v>
      </c>
      <c r="T23" s="31">
        <f>ROUND('Anexo 7'!T23*'Anexo 3'!$D$10,0)</f>
        <v>0</v>
      </c>
      <c r="U23" s="31">
        <f>ROUND('Anexo 7'!U23*'Anexo 3'!$D$10,0)</f>
        <v>0</v>
      </c>
      <c r="V23" s="31">
        <f>ROUND('Anexo 7'!V23*'Anexo 3'!$D$10,0)</f>
        <v>0</v>
      </c>
      <c r="W23" s="31">
        <f>ROUND('Anexo 7'!W23*'Anexo 3'!$D$10,0)</f>
        <v>0</v>
      </c>
      <c r="X23" s="31">
        <f>ROUND('Anexo 7'!X23*'Anexo 3'!$D$10,0)</f>
        <v>0</v>
      </c>
      <c r="Y23" s="31">
        <f>ROUND('Anexo 7'!Y23*'Anexo 3'!$D$10,0)</f>
        <v>0</v>
      </c>
      <c r="Z23" s="31">
        <f>ROUND('Anexo 7'!Z23*'Anexo 3'!$D$10,0)</f>
        <v>0</v>
      </c>
      <c r="AA23" s="39">
        <f t="shared" si="0"/>
        <v>0</v>
      </c>
      <c r="AB23" s="21">
        <v>6</v>
      </c>
      <c r="AC23" s="82"/>
      <c r="AD23" s="46"/>
    </row>
    <row r="24" spans="1:30" ht="15.75" thickBot="1" x14ac:dyDescent="0.3">
      <c r="A24" s="79">
        <v>47300</v>
      </c>
      <c r="B24" s="16" t="s">
        <v>5</v>
      </c>
      <c r="C24" s="31">
        <f>ROUND('Anexo 7'!C24*'Anexo 3'!$D$10,0)</f>
        <v>0</v>
      </c>
      <c r="D24" s="31">
        <f>ROUND('Anexo 7'!D24*'Anexo 3'!$D$10,0)</f>
        <v>0</v>
      </c>
      <c r="E24" s="31">
        <f>ROUND('Anexo 7'!E24*'Anexo 3'!$D$10,0)</f>
        <v>0</v>
      </c>
      <c r="F24" s="31">
        <f>ROUND('Anexo 7'!F24*'Anexo 3'!$D$10,0)</f>
        <v>0</v>
      </c>
      <c r="G24" s="31">
        <f>ROUND('Anexo 7'!G24*'Anexo 3'!$D$10,0)</f>
        <v>0</v>
      </c>
      <c r="H24" s="31">
        <f>ROUND('Anexo 7'!H24*'Anexo 3'!$D$10,0)</f>
        <v>0</v>
      </c>
      <c r="I24" s="31">
        <f>ROUND('Anexo 7'!I24*'Anexo 3'!$D$10,0)</f>
        <v>0</v>
      </c>
      <c r="J24" s="31">
        <f>ROUND('Anexo 7'!J24*'Anexo 3'!$D$10,0)</f>
        <v>0</v>
      </c>
      <c r="K24" s="31">
        <f>ROUND('Anexo 7'!K24*'Anexo 3'!$D$10,0)</f>
        <v>0</v>
      </c>
      <c r="L24" s="31">
        <f>ROUND('Anexo 7'!L24*'Anexo 3'!$D$10,0)</f>
        <v>0</v>
      </c>
      <c r="M24" s="31">
        <f>ROUND('Anexo 7'!M24*'Anexo 3'!$D$10,0)</f>
        <v>0</v>
      </c>
      <c r="N24" s="31">
        <f>ROUND('Anexo 7'!N24*'Anexo 3'!$D$10,0)</f>
        <v>0</v>
      </c>
      <c r="O24" s="31">
        <f>ROUND('Anexo 7'!O24*'Anexo 3'!$D$10,0)</f>
        <v>0</v>
      </c>
      <c r="P24" s="31">
        <f>ROUND('Anexo 7'!P24*'Anexo 3'!$D$10,0)</f>
        <v>0</v>
      </c>
      <c r="Q24" s="31">
        <f>ROUND('Anexo 7'!Q24*'Anexo 3'!$D$10,0)</f>
        <v>0</v>
      </c>
      <c r="R24" s="31">
        <f>ROUND('Anexo 7'!R24*'Anexo 3'!$D$10,0)</f>
        <v>0</v>
      </c>
      <c r="S24" s="31">
        <f>ROUND('Anexo 7'!S24*'Anexo 3'!$D$10,0)</f>
        <v>0</v>
      </c>
      <c r="T24" s="31">
        <f>ROUND('Anexo 7'!T24*'Anexo 3'!$D$10,0)</f>
        <v>0</v>
      </c>
      <c r="U24" s="31">
        <f>ROUND('Anexo 7'!U24*'Anexo 3'!$D$10,0)</f>
        <v>0</v>
      </c>
      <c r="V24" s="31">
        <f>ROUND('Anexo 7'!V24*'Anexo 3'!$D$10,0)</f>
        <v>0</v>
      </c>
      <c r="W24" s="31">
        <f>ROUND('Anexo 7'!W24*'Anexo 3'!$D$10,0)</f>
        <v>0</v>
      </c>
      <c r="X24" s="31">
        <f>ROUND('Anexo 7'!X24*'Anexo 3'!$D$10,0)</f>
        <v>0</v>
      </c>
      <c r="Y24" s="31">
        <f>ROUND('Anexo 7'!Y24*'Anexo 3'!$D$10,0)</f>
        <v>0</v>
      </c>
      <c r="Z24" s="31">
        <f>ROUND('Anexo 7'!Z24*'Anexo 3'!$D$10,0)</f>
        <v>0</v>
      </c>
      <c r="AA24" s="33">
        <f t="shared" si="0"/>
        <v>0</v>
      </c>
      <c r="AB24" s="17">
        <v>20</v>
      </c>
      <c r="AC24" s="80">
        <f>+AA24*AB24+AA25*AB25+AA26*AB26</f>
        <v>0</v>
      </c>
    </row>
    <row r="25" spans="1:30" ht="15.75" thickBot="1" x14ac:dyDescent="0.3">
      <c r="A25" s="79"/>
      <c r="B25" s="18" t="s">
        <v>4</v>
      </c>
      <c r="C25" s="31">
        <f>ROUND('Anexo 7'!C25*'Anexo 3'!$D$10,0)</f>
        <v>0</v>
      </c>
      <c r="D25" s="31">
        <f>ROUND('Anexo 7'!D25*'Anexo 3'!$D$10,0)</f>
        <v>0</v>
      </c>
      <c r="E25" s="31">
        <f>ROUND('Anexo 7'!E25*'Anexo 3'!$D$10,0)</f>
        <v>0</v>
      </c>
      <c r="F25" s="31">
        <f>ROUND('Anexo 7'!F25*'Anexo 3'!$D$10,0)</f>
        <v>0</v>
      </c>
      <c r="G25" s="31">
        <f>ROUND('Anexo 7'!G25*'Anexo 3'!$D$10,0)</f>
        <v>0</v>
      </c>
      <c r="H25" s="31">
        <f>ROUND('Anexo 7'!H25*'Anexo 3'!$D$10,0)</f>
        <v>0</v>
      </c>
      <c r="I25" s="31">
        <f>ROUND('Anexo 7'!I25*'Anexo 3'!$D$10,0)</f>
        <v>0</v>
      </c>
      <c r="J25" s="31">
        <f>ROUND('Anexo 7'!J25*'Anexo 3'!$D$10,0)</f>
        <v>0</v>
      </c>
      <c r="K25" s="31">
        <f>ROUND('Anexo 7'!K25*'Anexo 3'!$D$10,0)</f>
        <v>0</v>
      </c>
      <c r="L25" s="31">
        <f>ROUND('Anexo 7'!L25*'Anexo 3'!$D$10,0)</f>
        <v>0</v>
      </c>
      <c r="M25" s="31">
        <f>ROUND('Anexo 7'!M25*'Anexo 3'!$D$10,0)</f>
        <v>0</v>
      </c>
      <c r="N25" s="31">
        <f>ROUND('Anexo 7'!N25*'Anexo 3'!$D$10,0)</f>
        <v>0</v>
      </c>
      <c r="O25" s="31">
        <f>ROUND('Anexo 7'!O25*'Anexo 3'!$D$10,0)</f>
        <v>0</v>
      </c>
      <c r="P25" s="31">
        <f>ROUND('Anexo 7'!P25*'Anexo 3'!$D$10,0)</f>
        <v>0</v>
      </c>
      <c r="Q25" s="31">
        <f>ROUND('Anexo 7'!Q25*'Anexo 3'!$D$10,0)</f>
        <v>0</v>
      </c>
      <c r="R25" s="31">
        <f>ROUND('Anexo 7'!R25*'Anexo 3'!$D$10,0)</f>
        <v>0</v>
      </c>
      <c r="S25" s="31">
        <f>ROUND('Anexo 7'!S25*'Anexo 3'!$D$10,0)</f>
        <v>0</v>
      </c>
      <c r="T25" s="31">
        <f>ROUND('Anexo 7'!T25*'Anexo 3'!$D$10,0)</f>
        <v>0</v>
      </c>
      <c r="U25" s="31">
        <f>ROUND('Anexo 7'!U25*'Anexo 3'!$D$10,0)</f>
        <v>0</v>
      </c>
      <c r="V25" s="31">
        <f>ROUND('Anexo 7'!V25*'Anexo 3'!$D$10,0)</f>
        <v>0</v>
      </c>
      <c r="W25" s="31">
        <f>ROUND('Anexo 7'!W25*'Anexo 3'!$D$10,0)</f>
        <v>0</v>
      </c>
      <c r="X25" s="31">
        <f>ROUND('Anexo 7'!X25*'Anexo 3'!$D$10,0)</f>
        <v>0</v>
      </c>
      <c r="Y25" s="31">
        <f>ROUND('Anexo 7'!Y25*'Anexo 3'!$D$10,0)</f>
        <v>0</v>
      </c>
      <c r="Z25" s="31">
        <f>ROUND('Anexo 7'!Z25*'Anexo 3'!$D$10,0)</f>
        <v>0</v>
      </c>
      <c r="AA25" s="36">
        <f t="shared" si="0"/>
        <v>0</v>
      </c>
      <c r="AB25" s="19">
        <v>4</v>
      </c>
      <c r="AC25" s="81"/>
      <c r="AD25" s="45"/>
    </row>
    <row r="26" spans="1:30" ht="15.75" thickBot="1" x14ac:dyDescent="0.3">
      <c r="A26" s="79"/>
      <c r="B26" s="20" t="s">
        <v>3</v>
      </c>
      <c r="C26" s="31">
        <f>ROUND('Anexo 7'!C26*'Anexo 3'!$D$10,0)</f>
        <v>0</v>
      </c>
      <c r="D26" s="31">
        <f>ROUND('Anexo 7'!D26*'Anexo 3'!$D$10,0)</f>
        <v>0</v>
      </c>
      <c r="E26" s="31">
        <f>ROUND('Anexo 7'!E26*'Anexo 3'!$D$10,0)</f>
        <v>0</v>
      </c>
      <c r="F26" s="31">
        <f>ROUND('Anexo 7'!F26*'Anexo 3'!$D$10,0)</f>
        <v>0</v>
      </c>
      <c r="G26" s="31">
        <f>ROUND('Anexo 7'!G26*'Anexo 3'!$D$10,0)</f>
        <v>0</v>
      </c>
      <c r="H26" s="31">
        <f>ROUND('Anexo 7'!H26*'Anexo 3'!$D$10,0)</f>
        <v>0</v>
      </c>
      <c r="I26" s="31">
        <f>ROUND('Anexo 7'!I26*'Anexo 3'!$D$10,0)</f>
        <v>0</v>
      </c>
      <c r="J26" s="31">
        <f>ROUND('Anexo 7'!J26*'Anexo 3'!$D$10,0)</f>
        <v>0</v>
      </c>
      <c r="K26" s="31">
        <f>ROUND('Anexo 7'!K26*'Anexo 3'!$D$10,0)</f>
        <v>0</v>
      </c>
      <c r="L26" s="31">
        <f>ROUND('Anexo 7'!L26*'Anexo 3'!$D$10,0)</f>
        <v>0</v>
      </c>
      <c r="M26" s="31">
        <f>ROUND('Anexo 7'!M26*'Anexo 3'!$D$10,0)</f>
        <v>0</v>
      </c>
      <c r="N26" s="31">
        <f>ROUND('Anexo 7'!N26*'Anexo 3'!$D$10,0)</f>
        <v>0</v>
      </c>
      <c r="O26" s="31">
        <f>ROUND('Anexo 7'!O26*'Anexo 3'!$D$10,0)</f>
        <v>0</v>
      </c>
      <c r="P26" s="31">
        <f>ROUND('Anexo 7'!P26*'Anexo 3'!$D$10,0)</f>
        <v>0</v>
      </c>
      <c r="Q26" s="31">
        <f>ROUND('Anexo 7'!Q26*'Anexo 3'!$D$10,0)</f>
        <v>0</v>
      </c>
      <c r="R26" s="31">
        <f>ROUND('Anexo 7'!R26*'Anexo 3'!$D$10,0)</f>
        <v>0</v>
      </c>
      <c r="S26" s="31">
        <f>ROUND('Anexo 7'!S26*'Anexo 3'!$D$10,0)</f>
        <v>0</v>
      </c>
      <c r="T26" s="31">
        <f>ROUND('Anexo 7'!T26*'Anexo 3'!$D$10,0)</f>
        <v>0</v>
      </c>
      <c r="U26" s="31">
        <f>ROUND('Anexo 7'!U26*'Anexo 3'!$D$10,0)</f>
        <v>0</v>
      </c>
      <c r="V26" s="31">
        <f>ROUND('Anexo 7'!V26*'Anexo 3'!$D$10,0)</f>
        <v>0</v>
      </c>
      <c r="W26" s="31">
        <f>ROUND('Anexo 7'!W26*'Anexo 3'!$D$10,0)</f>
        <v>0</v>
      </c>
      <c r="X26" s="31">
        <f>ROUND('Anexo 7'!X26*'Anexo 3'!$D$10,0)</f>
        <v>0</v>
      </c>
      <c r="Y26" s="31">
        <f>ROUND('Anexo 7'!Y26*'Anexo 3'!$D$10,0)</f>
        <v>0</v>
      </c>
      <c r="Z26" s="31">
        <f>ROUND('Anexo 7'!Z26*'Anexo 3'!$D$10,0)</f>
        <v>0</v>
      </c>
      <c r="AA26" s="39">
        <f t="shared" si="0"/>
        <v>0</v>
      </c>
      <c r="AB26" s="21">
        <v>7</v>
      </c>
      <c r="AC26" s="82"/>
      <c r="AD26" s="46"/>
    </row>
    <row r="27" spans="1:30" ht="15.75" thickBot="1" x14ac:dyDescent="0.3">
      <c r="A27" s="79">
        <v>47331</v>
      </c>
      <c r="B27" s="16" t="s">
        <v>5</v>
      </c>
      <c r="C27" s="31">
        <f>ROUND('Anexo 7'!C27*'Anexo 3'!$D$10,0)</f>
        <v>0</v>
      </c>
      <c r="D27" s="31">
        <f>ROUND('Anexo 7'!D27*'Anexo 3'!$D$10,0)</f>
        <v>0</v>
      </c>
      <c r="E27" s="31">
        <f>ROUND('Anexo 7'!E27*'Anexo 3'!$D$10,0)</f>
        <v>0</v>
      </c>
      <c r="F27" s="31">
        <f>ROUND('Anexo 7'!F27*'Anexo 3'!$D$10,0)</f>
        <v>0</v>
      </c>
      <c r="G27" s="31">
        <f>ROUND('Anexo 7'!G27*'Anexo 3'!$D$10,0)</f>
        <v>0</v>
      </c>
      <c r="H27" s="31">
        <f>ROUND('Anexo 7'!H27*'Anexo 3'!$D$10,0)</f>
        <v>0</v>
      </c>
      <c r="I27" s="31">
        <f>ROUND('Anexo 7'!I27*'Anexo 3'!$D$10,0)</f>
        <v>0</v>
      </c>
      <c r="J27" s="31">
        <f>ROUND('Anexo 7'!J27*'Anexo 3'!$D$10,0)</f>
        <v>0</v>
      </c>
      <c r="K27" s="31">
        <f>ROUND('Anexo 7'!K27*'Anexo 3'!$D$10,0)</f>
        <v>0</v>
      </c>
      <c r="L27" s="31">
        <f>ROUND('Anexo 7'!L27*'Anexo 3'!$D$10,0)</f>
        <v>0</v>
      </c>
      <c r="M27" s="31">
        <f>ROUND('Anexo 7'!M27*'Anexo 3'!$D$10,0)</f>
        <v>0</v>
      </c>
      <c r="N27" s="31">
        <f>ROUND('Anexo 7'!N27*'Anexo 3'!$D$10,0)</f>
        <v>0</v>
      </c>
      <c r="O27" s="31">
        <f>ROUND('Anexo 7'!O27*'Anexo 3'!$D$10,0)</f>
        <v>0</v>
      </c>
      <c r="P27" s="31">
        <f>ROUND('Anexo 7'!P27*'Anexo 3'!$D$10,0)</f>
        <v>0</v>
      </c>
      <c r="Q27" s="31">
        <f>ROUND('Anexo 7'!Q27*'Anexo 3'!$D$10,0)</f>
        <v>0</v>
      </c>
      <c r="R27" s="31">
        <f>ROUND('Anexo 7'!R27*'Anexo 3'!$D$10,0)</f>
        <v>0</v>
      </c>
      <c r="S27" s="31">
        <f>ROUND('Anexo 7'!S27*'Anexo 3'!$D$10,0)</f>
        <v>0</v>
      </c>
      <c r="T27" s="31">
        <f>ROUND('Anexo 7'!T27*'Anexo 3'!$D$10,0)</f>
        <v>0</v>
      </c>
      <c r="U27" s="31">
        <f>ROUND('Anexo 7'!U27*'Anexo 3'!$D$10,0)</f>
        <v>0</v>
      </c>
      <c r="V27" s="31">
        <f>ROUND('Anexo 7'!V27*'Anexo 3'!$D$10,0)</f>
        <v>0</v>
      </c>
      <c r="W27" s="31">
        <f>ROUND('Anexo 7'!W27*'Anexo 3'!$D$10,0)</f>
        <v>0</v>
      </c>
      <c r="X27" s="31">
        <f>ROUND('Anexo 7'!X27*'Anexo 3'!$D$10,0)</f>
        <v>0</v>
      </c>
      <c r="Y27" s="31">
        <f>ROUND('Anexo 7'!Y27*'Anexo 3'!$D$10,0)</f>
        <v>0</v>
      </c>
      <c r="Z27" s="31">
        <f>ROUND('Anexo 7'!Z27*'Anexo 3'!$D$10,0)</f>
        <v>0</v>
      </c>
      <c r="AA27" s="33">
        <f t="shared" si="0"/>
        <v>0</v>
      </c>
      <c r="AB27" s="17">
        <v>21</v>
      </c>
      <c r="AC27" s="80">
        <f>+AA27*AB27+AA28*AB28+AA29*AB29</f>
        <v>0</v>
      </c>
    </row>
    <row r="28" spans="1:30" ht="15.75" thickBot="1" x14ac:dyDescent="0.3">
      <c r="A28" s="79"/>
      <c r="B28" s="18" t="s">
        <v>4</v>
      </c>
      <c r="C28" s="31">
        <f>ROUND('Anexo 7'!C28*'Anexo 3'!$D$10,0)</f>
        <v>0</v>
      </c>
      <c r="D28" s="31">
        <f>ROUND('Anexo 7'!D28*'Anexo 3'!$D$10,0)</f>
        <v>0</v>
      </c>
      <c r="E28" s="31">
        <f>ROUND('Anexo 7'!E28*'Anexo 3'!$D$10,0)</f>
        <v>0</v>
      </c>
      <c r="F28" s="31">
        <f>ROUND('Anexo 7'!F28*'Anexo 3'!$D$10,0)</f>
        <v>0</v>
      </c>
      <c r="G28" s="31">
        <f>ROUND('Anexo 7'!G28*'Anexo 3'!$D$10,0)</f>
        <v>0</v>
      </c>
      <c r="H28" s="31">
        <f>ROUND('Anexo 7'!H28*'Anexo 3'!$D$10,0)</f>
        <v>0</v>
      </c>
      <c r="I28" s="31">
        <f>ROUND('Anexo 7'!I28*'Anexo 3'!$D$10,0)</f>
        <v>0</v>
      </c>
      <c r="J28" s="31">
        <f>ROUND('Anexo 7'!J28*'Anexo 3'!$D$10,0)</f>
        <v>0</v>
      </c>
      <c r="K28" s="31">
        <f>ROUND('Anexo 7'!K28*'Anexo 3'!$D$10,0)</f>
        <v>0</v>
      </c>
      <c r="L28" s="31">
        <f>ROUND('Anexo 7'!L28*'Anexo 3'!$D$10,0)</f>
        <v>0</v>
      </c>
      <c r="M28" s="31">
        <f>ROUND('Anexo 7'!M28*'Anexo 3'!$D$10,0)</f>
        <v>0</v>
      </c>
      <c r="N28" s="31">
        <f>ROUND('Anexo 7'!N28*'Anexo 3'!$D$10,0)</f>
        <v>0</v>
      </c>
      <c r="O28" s="31">
        <f>ROUND('Anexo 7'!O28*'Anexo 3'!$D$10,0)</f>
        <v>0</v>
      </c>
      <c r="P28" s="31">
        <f>ROUND('Anexo 7'!P28*'Anexo 3'!$D$10,0)</f>
        <v>0</v>
      </c>
      <c r="Q28" s="31">
        <f>ROUND('Anexo 7'!Q28*'Anexo 3'!$D$10,0)</f>
        <v>0</v>
      </c>
      <c r="R28" s="31">
        <f>ROUND('Anexo 7'!R28*'Anexo 3'!$D$10,0)</f>
        <v>0</v>
      </c>
      <c r="S28" s="31">
        <f>ROUND('Anexo 7'!S28*'Anexo 3'!$D$10,0)</f>
        <v>0</v>
      </c>
      <c r="T28" s="31">
        <f>ROUND('Anexo 7'!T28*'Anexo 3'!$D$10,0)</f>
        <v>0</v>
      </c>
      <c r="U28" s="31">
        <f>ROUND('Anexo 7'!U28*'Anexo 3'!$D$10,0)</f>
        <v>0</v>
      </c>
      <c r="V28" s="31">
        <f>ROUND('Anexo 7'!V28*'Anexo 3'!$D$10,0)</f>
        <v>0</v>
      </c>
      <c r="W28" s="31">
        <f>ROUND('Anexo 7'!W28*'Anexo 3'!$D$10,0)</f>
        <v>0</v>
      </c>
      <c r="X28" s="31">
        <f>ROUND('Anexo 7'!X28*'Anexo 3'!$D$10,0)</f>
        <v>0</v>
      </c>
      <c r="Y28" s="31">
        <f>ROUND('Anexo 7'!Y28*'Anexo 3'!$D$10,0)</f>
        <v>0</v>
      </c>
      <c r="Z28" s="31">
        <f>ROUND('Anexo 7'!Z28*'Anexo 3'!$D$10,0)</f>
        <v>0</v>
      </c>
      <c r="AA28" s="36">
        <f t="shared" si="0"/>
        <v>0</v>
      </c>
      <c r="AB28" s="19">
        <v>4</v>
      </c>
      <c r="AC28" s="81"/>
      <c r="AD28" s="45"/>
    </row>
    <row r="29" spans="1:30" ht="15.75" thickBot="1" x14ac:dyDescent="0.3">
      <c r="A29" s="79"/>
      <c r="B29" s="20" t="s">
        <v>3</v>
      </c>
      <c r="C29" s="31">
        <f>ROUND('Anexo 7'!C29*'Anexo 3'!$D$10,0)</f>
        <v>0</v>
      </c>
      <c r="D29" s="31">
        <f>ROUND('Anexo 7'!D29*'Anexo 3'!$D$10,0)</f>
        <v>0</v>
      </c>
      <c r="E29" s="31">
        <f>ROUND('Anexo 7'!E29*'Anexo 3'!$D$10,0)</f>
        <v>0</v>
      </c>
      <c r="F29" s="31">
        <f>ROUND('Anexo 7'!F29*'Anexo 3'!$D$10,0)</f>
        <v>0</v>
      </c>
      <c r="G29" s="31">
        <f>ROUND('Anexo 7'!G29*'Anexo 3'!$D$10,0)</f>
        <v>0</v>
      </c>
      <c r="H29" s="31">
        <f>ROUND('Anexo 7'!H29*'Anexo 3'!$D$10,0)</f>
        <v>0</v>
      </c>
      <c r="I29" s="31">
        <f>ROUND('Anexo 7'!I29*'Anexo 3'!$D$10,0)</f>
        <v>0</v>
      </c>
      <c r="J29" s="31">
        <f>ROUND('Anexo 7'!J29*'Anexo 3'!$D$10,0)</f>
        <v>0</v>
      </c>
      <c r="K29" s="31">
        <f>ROUND('Anexo 7'!K29*'Anexo 3'!$D$10,0)</f>
        <v>0</v>
      </c>
      <c r="L29" s="31">
        <f>ROUND('Anexo 7'!L29*'Anexo 3'!$D$10,0)</f>
        <v>0</v>
      </c>
      <c r="M29" s="31">
        <f>ROUND('Anexo 7'!M29*'Anexo 3'!$D$10,0)</f>
        <v>0</v>
      </c>
      <c r="N29" s="31">
        <f>ROUND('Anexo 7'!N29*'Anexo 3'!$D$10,0)</f>
        <v>0</v>
      </c>
      <c r="O29" s="31">
        <f>ROUND('Anexo 7'!O29*'Anexo 3'!$D$10,0)</f>
        <v>0</v>
      </c>
      <c r="P29" s="31">
        <f>ROUND('Anexo 7'!P29*'Anexo 3'!$D$10,0)</f>
        <v>0</v>
      </c>
      <c r="Q29" s="31">
        <f>ROUND('Anexo 7'!Q29*'Anexo 3'!$D$10,0)</f>
        <v>0</v>
      </c>
      <c r="R29" s="31">
        <f>ROUND('Anexo 7'!R29*'Anexo 3'!$D$10,0)</f>
        <v>0</v>
      </c>
      <c r="S29" s="31">
        <f>ROUND('Anexo 7'!S29*'Anexo 3'!$D$10,0)</f>
        <v>0</v>
      </c>
      <c r="T29" s="31">
        <f>ROUND('Anexo 7'!T29*'Anexo 3'!$D$10,0)</f>
        <v>0</v>
      </c>
      <c r="U29" s="31">
        <f>ROUND('Anexo 7'!U29*'Anexo 3'!$D$10,0)</f>
        <v>0</v>
      </c>
      <c r="V29" s="31">
        <f>ROUND('Anexo 7'!V29*'Anexo 3'!$D$10,0)</f>
        <v>0</v>
      </c>
      <c r="W29" s="31">
        <f>ROUND('Anexo 7'!W29*'Anexo 3'!$D$10,0)</f>
        <v>0</v>
      </c>
      <c r="X29" s="31">
        <f>ROUND('Anexo 7'!X29*'Anexo 3'!$D$10,0)</f>
        <v>0</v>
      </c>
      <c r="Y29" s="31">
        <f>ROUND('Anexo 7'!Y29*'Anexo 3'!$D$10,0)</f>
        <v>0</v>
      </c>
      <c r="Z29" s="31">
        <f>ROUND('Anexo 7'!Z29*'Anexo 3'!$D$10,0)</f>
        <v>0</v>
      </c>
      <c r="AA29" s="39">
        <f t="shared" si="0"/>
        <v>0</v>
      </c>
      <c r="AB29" s="21">
        <v>6</v>
      </c>
      <c r="AC29" s="82"/>
      <c r="AD29" s="47"/>
    </row>
    <row r="30" spans="1:30" ht="15.75" thickBot="1" x14ac:dyDescent="0.3">
      <c r="A30" s="79">
        <v>47362</v>
      </c>
      <c r="B30" s="16" t="s">
        <v>5</v>
      </c>
      <c r="C30" s="31">
        <f>ROUND('Anexo 7'!C30*'Anexo 3'!$D$10,0)</f>
        <v>0</v>
      </c>
      <c r="D30" s="31">
        <f>ROUND('Anexo 7'!D30*'Anexo 3'!$D$10,0)</f>
        <v>0</v>
      </c>
      <c r="E30" s="31">
        <f>ROUND('Anexo 7'!E30*'Anexo 3'!$D$10,0)</f>
        <v>0</v>
      </c>
      <c r="F30" s="31">
        <f>ROUND('Anexo 7'!F30*'Anexo 3'!$D$10,0)</f>
        <v>0</v>
      </c>
      <c r="G30" s="31">
        <f>ROUND('Anexo 7'!G30*'Anexo 3'!$D$10,0)</f>
        <v>0</v>
      </c>
      <c r="H30" s="31">
        <f>ROUND('Anexo 7'!H30*'Anexo 3'!$D$10,0)</f>
        <v>0</v>
      </c>
      <c r="I30" s="31">
        <f>ROUND('Anexo 7'!I30*'Anexo 3'!$D$10,0)</f>
        <v>0</v>
      </c>
      <c r="J30" s="31">
        <f>ROUND('Anexo 7'!J30*'Anexo 3'!$D$10,0)</f>
        <v>0</v>
      </c>
      <c r="K30" s="31">
        <f>ROUND('Anexo 7'!K30*'Anexo 3'!$D$10,0)</f>
        <v>0</v>
      </c>
      <c r="L30" s="31">
        <f>ROUND('Anexo 7'!L30*'Anexo 3'!$D$10,0)</f>
        <v>0</v>
      </c>
      <c r="M30" s="31">
        <f>ROUND('Anexo 7'!M30*'Anexo 3'!$D$10,0)</f>
        <v>0</v>
      </c>
      <c r="N30" s="31">
        <f>ROUND('Anexo 7'!N30*'Anexo 3'!$D$10,0)</f>
        <v>0</v>
      </c>
      <c r="O30" s="31">
        <f>ROUND('Anexo 7'!O30*'Anexo 3'!$D$10,0)</f>
        <v>0</v>
      </c>
      <c r="P30" s="31">
        <f>ROUND('Anexo 7'!P30*'Anexo 3'!$D$10,0)</f>
        <v>0</v>
      </c>
      <c r="Q30" s="31">
        <f>ROUND('Anexo 7'!Q30*'Anexo 3'!$D$10,0)</f>
        <v>0</v>
      </c>
      <c r="R30" s="31">
        <f>ROUND('Anexo 7'!R30*'Anexo 3'!$D$10,0)</f>
        <v>0</v>
      </c>
      <c r="S30" s="31">
        <f>ROUND('Anexo 7'!S30*'Anexo 3'!$D$10,0)</f>
        <v>0</v>
      </c>
      <c r="T30" s="31">
        <f>ROUND('Anexo 7'!T30*'Anexo 3'!$D$10,0)</f>
        <v>0</v>
      </c>
      <c r="U30" s="31">
        <f>ROUND('Anexo 7'!U30*'Anexo 3'!$D$10,0)</f>
        <v>0</v>
      </c>
      <c r="V30" s="31">
        <f>ROUND('Anexo 7'!V30*'Anexo 3'!$D$10,0)</f>
        <v>0</v>
      </c>
      <c r="W30" s="31">
        <f>ROUND('Anexo 7'!W30*'Anexo 3'!$D$10,0)</f>
        <v>0</v>
      </c>
      <c r="X30" s="31">
        <f>ROUND('Anexo 7'!X30*'Anexo 3'!$D$10,0)</f>
        <v>0</v>
      </c>
      <c r="Y30" s="31">
        <f>ROUND('Anexo 7'!Y30*'Anexo 3'!$D$10,0)</f>
        <v>0</v>
      </c>
      <c r="Z30" s="31">
        <f>ROUND('Anexo 7'!Z30*'Anexo 3'!$D$10,0)</f>
        <v>0</v>
      </c>
      <c r="AA30" s="33">
        <f t="shared" si="0"/>
        <v>0</v>
      </c>
      <c r="AB30" s="17">
        <v>20</v>
      </c>
      <c r="AC30" s="80">
        <f>+AA30*AB30+AA31*AB31+AA32*AB32</f>
        <v>0</v>
      </c>
    </row>
    <row r="31" spans="1:30" ht="15.75" thickBot="1" x14ac:dyDescent="0.3">
      <c r="A31" s="79"/>
      <c r="B31" s="18" t="s">
        <v>4</v>
      </c>
      <c r="C31" s="31">
        <f>ROUND('Anexo 7'!C31*'Anexo 3'!$D$10,0)</f>
        <v>0</v>
      </c>
      <c r="D31" s="31">
        <f>ROUND('Anexo 7'!D31*'Anexo 3'!$D$10,0)</f>
        <v>0</v>
      </c>
      <c r="E31" s="31">
        <f>ROUND('Anexo 7'!E31*'Anexo 3'!$D$10,0)</f>
        <v>0</v>
      </c>
      <c r="F31" s="31">
        <f>ROUND('Anexo 7'!F31*'Anexo 3'!$D$10,0)</f>
        <v>0</v>
      </c>
      <c r="G31" s="31">
        <f>ROUND('Anexo 7'!G31*'Anexo 3'!$D$10,0)</f>
        <v>0</v>
      </c>
      <c r="H31" s="31">
        <f>ROUND('Anexo 7'!H31*'Anexo 3'!$D$10,0)</f>
        <v>0</v>
      </c>
      <c r="I31" s="31">
        <f>ROUND('Anexo 7'!I31*'Anexo 3'!$D$10,0)</f>
        <v>0</v>
      </c>
      <c r="J31" s="31">
        <f>ROUND('Anexo 7'!J31*'Anexo 3'!$D$10,0)</f>
        <v>0</v>
      </c>
      <c r="K31" s="31">
        <f>ROUND('Anexo 7'!K31*'Anexo 3'!$D$10,0)</f>
        <v>0</v>
      </c>
      <c r="L31" s="31">
        <f>ROUND('Anexo 7'!L31*'Anexo 3'!$D$10,0)</f>
        <v>0</v>
      </c>
      <c r="M31" s="31">
        <f>ROUND('Anexo 7'!M31*'Anexo 3'!$D$10,0)</f>
        <v>0</v>
      </c>
      <c r="N31" s="31">
        <f>ROUND('Anexo 7'!N31*'Anexo 3'!$D$10,0)</f>
        <v>0</v>
      </c>
      <c r="O31" s="31">
        <f>ROUND('Anexo 7'!O31*'Anexo 3'!$D$10,0)</f>
        <v>0</v>
      </c>
      <c r="P31" s="31">
        <f>ROUND('Anexo 7'!P31*'Anexo 3'!$D$10,0)</f>
        <v>0</v>
      </c>
      <c r="Q31" s="31">
        <f>ROUND('Anexo 7'!Q31*'Anexo 3'!$D$10,0)</f>
        <v>0</v>
      </c>
      <c r="R31" s="31">
        <f>ROUND('Anexo 7'!R31*'Anexo 3'!$D$10,0)</f>
        <v>0</v>
      </c>
      <c r="S31" s="31">
        <f>ROUND('Anexo 7'!S31*'Anexo 3'!$D$10,0)</f>
        <v>0</v>
      </c>
      <c r="T31" s="31">
        <f>ROUND('Anexo 7'!T31*'Anexo 3'!$D$10,0)</f>
        <v>0</v>
      </c>
      <c r="U31" s="31">
        <f>ROUND('Anexo 7'!U31*'Anexo 3'!$D$10,0)</f>
        <v>0</v>
      </c>
      <c r="V31" s="31">
        <f>ROUND('Anexo 7'!V31*'Anexo 3'!$D$10,0)</f>
        <v>0</v>
      </c>
      <c r="W31" s="31">
        <f>ROUND('Anexo 7'!W31*'Anexo 3'!$D$10,0)</f>
        <v>0</v>
      </c>
      <c r="X31" s="31">
        <f>ROUND('Anexo 7'!X31*'Anexo 3'!$D$10,0)</f>
        <v>0</v>
      </c>
      <c r="Y31" s="31">
        <f>ROUND('Anexo 7'!Y31*'Anexo 3'!$D$10,0)</f>
        <v>0</v>
      </c>
      <c r="Z31" s="31">
        <f>ROUND('Anexo 7'!Z31*'Anexo 3'!$D$10,0)</f>
        <v>0</v>
      </c>
      <c r="AA31" s="36">
        <f t="shared" si="0"/>
        <v>0</v>
      </c>
      <c r="AB31" s="19">
        <v>5</v>
      </c>
      <c r="AC31" s="81"/>
      <c r="AD31" s="45"/>
    </row>
    <row r="32" spans="1:30" ht="15.75" thickBot="1" x14ac:dyDescent="0.3">
      <c r="A32" s="79"/>
      <c r="B32" s="20" t="s">
        <v>3</v>
      </c>
      <c r="C32" s="31">
        <f>ROUND('Anexo 7'!C32*'Anexo 3'!$D$10,0)</f>
        <v>0</v>
      </c>
      <c r="D32" s="31">
        <f>ROUND('Anexo 7'!D32*'Anexo 3'!$D$10,0)</f>
        <v>0</v>
      </c>
      <c r="E32" s="31">
        <f>ROUND('Anexo 7'!E32*'Anexo 3'!$D$10,0)</f>
        <v>0</v>
      </c>
      <c r="F32" s="31">
        <f>ROUND('Anexo 7'!F32*'Anexo 3'!$D$10,0)</f>
        <v>0</v>
      </c>
      <c r="G32" s="31">
        <f>ROUND('Anexo 7'!G32*'Anexo 3'!$D$10,0)</f>
        <v>0</v>
      </c>
      <c r="H32" s="31">
        <f>ROUND('Anexo 7'!H32*'Anexo 3'!$D$10,0)</f>
        <v>0</v>
      </c>
      <c r="I32" s="31">
        <f>ROUND('Anexo 7'!I32*'Anexo 3'!$D$10,0)</f>
        <v>0</v>
      </c>
      <c r="J32" s="31">
        <f>ROUND('Anexo 7'!J32*'Anexo 3'!$D$10,0)</f>
        <v>0</v>
      </c>
      <c r="K32" s="31">
        <f>ROUND('Anexo 7'!K32*'Anexo 3'!$D$10,0)</f>
        <v>0</v>
      </c>
      <c r="L32" s="31">
        <f>ROUND('Anexo 7'!L32*'Anexo 3'!$D$10,0)</f>
        <v>0</v>
      </c>
      <c r="M32" s="31">
        <f>ROUND('Anexo 7'!M32*'Anexo 3'!$D$10,0)</f>
        <v>0</v>
      </c>
      <c r="N32" s="31">
        <f>ROUND('Anexo 7'!N32*'Anexo 3'!$D$10,0)</f>
        <v>0</v>
      </c>
      <c r="O32" s="31">
        <f>ROUND('Anexo 7'!O32*'Anexo 3'!$D$10,0)</f>
        <v>0</v>
      </c>
      <c r="P32" s="31">
        <f>ROUND('Anexo 7'!P32*'Anexo 3'!$D$10,0)</f>
        <v>0</v>
      </c>
      <c r="Q32" s="31">
        <f>ROUND('Anexo 7'!Q32*'Anexo 3'!$D$10,0)</f>
        <v>0</v>
      </c>
      <c r="R32" s="31">
        <f>ROUND('Anexo 7'!R32*'Anexo 3'!$D$10,0)</f>
        <v>0</v>
      </c>
      <c r="S32" s="31">
        <f>ROUND('Anexo 7'!S32*'Anexo 3'!$D$10,0)</f>
        <v>0</v>
      </c>
      <c r="T32" s="31">
        <f>ROUND('Anexo 7'!T32*'Anexo 3'!$D$10,0)</f>
        <v>0</v>
      </c>
      <c r="U32" s="31">
        <f>ROUND('Anexo 7'!U32*'Anexo 3'!$D$10,0)</f>
        <v>0</v>
      </c>
      <c r="V32" s="31">
        <f>ROUND('Anexo 7'!V32*'Anexo 3'!$D$10,0)</f>
        <v>0</v>
      </c>
      <c r="W32" s="31">
        <f>ROUND('Anexo 7'!W32*'Anexo 3'!$D$10,0)</f>
        <v>0</v>
      </c>
      <c r="X32" s="31">
        <f>ROUND('Anexo 7'!X32*'Anexo 3'!$D$10,0)</f>
        <v>0</v>
      </c>
      <c r="Y32" s="31">
        <f>ROUND('Anexo 7'!Y32*'Anexo 3'!$D$10,0)</f>
        <v>0</v>
      </c>
      <c r="Z32" s="31">
        <f>ROUND('Anexo 7'!Z32*'Anexo 3'!$D$10,0)</f>
        <v>0</v>
      </c>
      <c r="AA32" s="39">
        <f t="shared" si="0"/>
        <v>0</v>
      </c>
      <c r="AB32" s="21">
        <v>5</v>
      </c>
      <c r="AC32" s="82"/>
      <c r="AD32" s="46"/>
    </row>
    <row r="33" spans="1:30" ht="15.75" thickBot="1" x14ac:dyDescent="0.3">
      <c r="A33" s="79">
        <v>47392</v>
      </c>
      <c r="B33" s="16" t="s">
        <v>5</v>
      </c>
      <c r="C33" s="31">
        <f>ROUND('Anexo 7'!C33*'Anexo 3'!$D$10,0)</f>
        <v>0</v>
      </c>
      <c r="D33" s="31">
        <f>ROUND('Anexo 7'!D33*'Anexo 3'!$D$10,0)</f>
        <v>0</v>
      </c>
      <c r="E33" s="31">
        <f>ROUND('Anexo 7'!E33*'Anexo 3'!$D$10,0)</f>
        <v>0</v>
      </c>
      <c r="F33" s="31">
        <f>ROUND('Anexo 7'!F33*'Anexo 3'!$D$10,0)</f>
        <v>0</v>
      </c>
      <c r="G33" s="31">
        <f>ROUND('Anexo 7'!G33*'Anexo 3'!$D$10,0)</f>
        <v>0</v>
      </c>
      <c r="H33" s="31">
        <f>ROUND('Anexo 7'!H33*'Anexo 3'!$D$10,0)</f>
        <v>0</v>
      </c>
      <c r="I33" s="31">
        <f>ROUND('Anexo 7'!I33*'Anexo 3'!$D$10,0)</f>
        <v>0</v>
      </c>
      <c r="J33" s="31">
        <f>ROUND('Anexo 7'!J33*'Anexo 3'!$D$10,0)</f>
        <v>0</v>
      </c>
      <c r="K33" s="31">
        <f>ROUND('Anexo 7'!K33*'Anexo 3'!$D$10,0)</f>
        <v>0</v>
      </c>
      <c r="L33" s="31">
        <f>ROUND('Anexo 7'!L33*'Anexo 3'!$D$10,0)</f>
        <v>0</v>
      </c>
      <c r="M33" s="31">
        <f>ROUND('Anexo 7'!M33*'Anexo 3'!$D$10,0)</f>
        <v>0</v>
      </c>
      <c r="N33" s="31">
        <f>ROUND('Anexo 7'!N33*'Anexo 3'!$D$10,0)</f>
        <v>0</v>
      </c>
      <c r="O33" s="31">
        <f>ROUND('Anexo 7'!O33*'Anexo 3'!$D$10,0)</f>
        <v>0</v>
      </c>
      <c r="P33" s="31">
        <f>ROUND('Anexo 7'!P33*'Anexo 3'!$D$10,0)</f>
        <v>0</v>
      </c>
      <c r="Q33" s="31">
        <f>ROUND('Anexo 7'!Q33*'Anexo 3'!$D$10,0)</f>
        <v>0</v>
      </c>
      <c r="R33" s="31">
        <f>ROUND('Anexo 7'!R33*'Anexo 3'!$D$10,0)</f>
        <v>0</v>
      </c>
      <c r="S33" s="31">
        <f>ROUND('Anexo 7'!S33*'Anexo 3'!$D$10,0)</f>
        <v>0</v>
      </c>
      <c r="T33" s="31">
        <f>ROUND('Anexo 7'!T33*'Anexo 3'!$D$10,0)</f>
        <v>0</v>
      </c>
      <c r="U33" s="31">
        <f>ROUND('Anexo 7'!U33*'Anexo 3'!$D$10,0)</f>
        <v>0</v>
      </c>
      <c r="V33" s="31">
        <f>ROUND('Anexo 7'!V33*'Anexo 3'!$D$10,0)</f>
        <v>0</v>
      </c>
      <c r="W33" s="31">
        <f>ROUND('Anexo 7'!W33*'Anexo 3'!$D$10,0)</f>
        <v>0</v>
      </c>
      <c r="X33" s="31">
        <f>ROUND('Anexo 7'!X33*'Anexo 3'!$D$10,0)</f>
        <v>0</v>
      </c>
      <c r="Y33" s="31">
        <f>ROUND('Anexo 7'!Y33*'Anexo 3'!$D$10,0)</f>
        <v>0</v>
      </c>
      <c r="Z33" s="31">
        <f>ROUND('Anexo 7'!Z33*'Anexo 3'!$D$10,0)</f>
        <v>0</v>
      </c>
      <c r="AA33" s="33">
        <f t="shared" si="0"/>
        <v>0</v>
      </c>
      <c r="AB33" s="17">
        <v>22</v>
      </c>
      <c r="AC33" s="80">
        <f>+AA33*AB33+AA34*AB34+AA35*AB35</f>
        <v>0</v>
      </c>
    </row>
    <row r="34" spans="1:30" ht="15.75" thickBot="1" x14ac:dyDescent="0.3">
      <c r="A34" s="79"/>
      <c r="B34" s="18" t="s">
        <v>4</v>
      </c>
      <c r="C34" s="31">
        <f>ROUND('Anexo 7'!C34*'Anexo 3'!$D$10,0)</f>
        <v>0</v>
      </c>
      <c r="D34" s="31">
        <f>ROUND('Anexo 7'!D34*'Anexo 3'!$D$10,0)</f>
        <v>0</v>
      </c>
      <c r="E34" s="31">
        <f>ROUND('Anexo 7'!E34*'Anexo 3'!$D$10,0)</f>
        <v>0</v>
      </c>
      <c r="F34" s="31">
        <f>ROUND('Anexo 7'!F34*'Anexo 3'!$D$10,0)</f>
        <v>0</v>
      </c>
      <c r="G34" s="31">
        <f>ROUND('Anexo 7'!G34*'Anexo 3'!$D$10,0)</f>
        <v>0</v>
      </c>
      <c r="H34" s="31">
        <f>ROUND('Anexo 7'!H34*'Anexo 3'!$D$10,0)</f>
        <v>0</v>
      </c>
      <c r="I34" s="31">
        <f>ROUND('Anexo 7'!I34*'Anexo 3'!$D$10,0)</f>
        <v>0</v>
      </c>
      <c r="J34" s="31">
        <f>ROUND('Anexo 7'!J34*'Anexo 3'!$D$10,0)</f>
        <v>0</v>
      </c>
      <c r="K34" s="31">
        <f>ROUND('Anexo 7'!K34*'Anexo 3'!$D$10,0)</f>
        <v>0</v>
      </c>
      <c r="L34" s="31">
        <f>ROUND('Anexo 7'!L34*'Anexo 3'!$D$10,0)</f>
        <v>0</v>
      </c>
      <c r="M34" s="31">
        <f>ROUND('Anexo 7'!M34*'Anexo 3'!$D$10,0)</f>
        <v>0</v>
      </c>
      <c r="N34" s="31">
        <f>ROUND('Anexo 7'!N34*'Anexo 3'!$D$10,0)</f>
        <v>0</v>
      </c>
      <c r="O34" s="31">
        <f>ROUND('Anexo 7'!O34*'Anexo 3'!$D$10,0)</f>
        <v>0</v>
      </c>
      <c r="P34" s="31">
        <f>ROUND('Anexo 7'!P34*'Anexo 3'!$D$10,0)</f>
        <v>0</v>
      </c>
      <c r="Q34" s="31">
        <f>ROUND('Anexo 7'!Q34*'Anexo 3'!$D$10,0)</f>
        <v>0</v>
      </c>
      <c r="R34" s="31">
        <f>ROUND('Anexo 7'!R34*'Anexo 3'!$D$10,0)</f>
        <v>0</v>
      </c>
      <c r="S34" s="31">
        <f>ROUND('Anexo 7'!S34*'Anexo 3'!$D$10,0)</f>
        <v>0</v>
      </c>
      <c r="T34" s="31">
        <f>ROUND('Anexo 7'!T34*'Anexo 3'!$D$10,0)</f>
        <v>0</v>
      </c>
      <c r="U34" s="31">
        <f>ROUND('Anexo 7'!U34*'Anexo 3'!$D$10,0)</f>
        <v>0</v>
      </c>
      <c r="V34" s="31">
        <f>ROUND('Anexo 7'!V34*'Anexo 3'!$D$10,0)</f>
        <v>0</v>
      </c>
      <c r="W34" s="31">
        <f>ROUND('Anexo 7'!W34*'Anexo 3'!$D$10,0)</f>
        <v>0</v>
      </c>
      <c r="X34" s="31">
        <f>ROUND('Anexo 7'!X34*'Anexo 3'!$D$10,0)</f>
        <v>0</v>
      </c>
      <c r="Y34" s="31">
        <f>ROUND('Anexo 7'!Y34*'Anexo 3'!$D$10,0)</f>
        <v>0</v>
      </c>
      <c r="Z34" s="31">
        <f>ROUND('Anexo 7'!Z34*'Anexo 3'!$D$10,0)</f>
        <v>0</v>
      </c>
      <c r="AA34" s="36">
        <f t="shared" si="0"/>
        <v>0</v>
      </c>
      <c r="AB34" s="19">
        <v>4</v>
      </c>
      <c r="AC34" s="81"/>
      <c r="AD34" s="45"/>
    </row>
    <row r="35" spans="1:30" ht="15.75" thickBot="1" x14ac:dyDescent="0.3">
      <c r="A35" s="79"/>
      <c r="B35" s="20" t="s">
        <v>3</v>
      </c>
      <c r="C35" s="31">
        <f>ROUND('Anexo 7'!C35*'Anexo 3'!$D$10,0)</f>
        <v>0</v>
      </c>
      <c r="D35" s="31">
        <f>ROUND('Anexo 7'!D35*'Anexo 3'!$D$10,0)</f>
        <v>0</v>
      </c>
      <c r="E35" s="31">
        <f>ROUND('Anexo 7'!E35*'Anexo 3'!$D$10,0)</f>
        <v>0</v>
      </c>
      <c r="F35" s="31">
        <f>ROUND('Anexo 7'!F35*'Anexo 3'!$D$10,0)</f>
        <v>0</v>
      </c>
      <c r="G35" s="31">
        <f>ROUND('Anexo 7'!G35*'Anexo 3'!$D$10,0)</f>
        <v>0</v>
      </c>
      <c r="H35" s="31">
        <f>ROUND('Anexo 7'!H35*'Anexo 3'!$D$10,0)</f>
        <v>0</v>
      </c>
      <c r="I35" s="31">
        <f>ROUND('Anexo 7'!I35*'Anexo 3'!$D$10,0)</f>
        <v>0</v>
      </c>
      <c r="J35" s="31">
        <f>ROUND('Anexo 7'!J35*'Anexo 3'!$D$10,0)</f>
        <v>0</v>
      </c>
      <c r="K35" s="31">
        <f>ROUND('Anexo 7'!K35*'Anexo 3'!$D$10,0)</f>
        <v>0</v>
      </c>
      <c r="L35" s="31">
        <f>ROUND('Anexo 7'!L35*'Anexo 3'!$D$10,0)</f>
        <v>0</v>
      </c>
      <c r="M35" s="31">
        <f>ROUND('Anexo 7'!M35*'Anexo 3'!$D$10,0)</f>
        <v>0</v>
      </c>
      <c r="N35" s="31">
        <f>ROUND('Anexo 7'!N35*'Anexo 3'!$D$10,0)</f>
        <v>0</v>
      </c>
      <c r="O35" s="31">
        <f>ROUND('Anexo 7'!O35*'Anexo 3'!$D$10,0)</f>
        <v>0</v>
      </c>
      <c r="P35" s="31">
        <f>ROUND('Anexo 7'!P35*'Anexo 3'!$D$10,0)</f>
        <v>0</v>
      </c>
      <c r="Q35" s="31">
        <f>ROUND('Anexo 7'!Q35*'Anexo 3'!$D$10,0)</f>
        <v>0</v>
      </c>
      <c r="R35" s="31">
        <f>ROUND('Anexo 7'!R35*'Anexo 3'!$D$10,0)</f>
        <v>0</v>
      </c>
      <c r="S35" s="31">
        <f>ROUND('Anexo 7'!S35*'Anexo 3'!$D$10,0)</f>
        <v>0</v>
      </c>
      <c r="T35" s="31">
        <f>ROUND('Anexo 7'!T35*'Anexo 3'!$D$10,0)</f>
        <v>0</v>
      </c>
      <c r="U35" s="31">
        <f>ROUND('Anexo 7'!U35*'Anexo 3'!$D$10,0)</f>
        <v>0</v>
      </c>
      <c r="V35" s="31">
        <f>ROUND('Anexo 7'!V35*'Anexo 3'!$D$10,0)</f>
        <v>0</v>
      </c>
      <c r="W35" s="31">
        <f>ROUND('Anexo 7'!W35*'Anexo 3'!$D$10,0)</f>
        <v>0</v>
      </c>
      <c r="X35" s="31">
        <f>ROUND('Anexo 7'!X35*'Anexo 3'!$D$10,0)</f>
        <v>0</v>
      </c>
      <c r="Y35" s="31">
        <f>ROUND('Anexo 7'!Y35*'Anexo 3'!$D$10,0)</f>
        <v>0</v>
      </c>
      <c r="Z35" s="31">
        <f>ROUND('Anexo 7'!Z35*'Anexo 3'!$D$10,0)</f>
        <v>0</v>
      </c>
      <c r="AA35" s="39">
        <f t="shared" si="0"/>
        <v>0</v>
      </c>
      <c r="AB35" s="21">
        <v>5</v>
      </c>
      <c r="AC35" s="82"/>
      <c r="AD35" s="46"/>
    </row>
    <row r="36" spans="1:30" ht="15.75" thickBot="1" x14ac:dyDescent="0.3">
      <c r="A36" s="79">
        <v>47423</v>
      </c>
      <c r="B36" s="16" t="s">
        <v>5</v>
      </c>
      <c r="C36" s="31">
        <f>ROUND('Anexo 7'!C36*'Anexo 3'!$D$10,0)</f>
        <v>0</v>
      </c>
      <c r="D36" s="31">
        <f>ROUND('Anexo 7'!D36*'Anexo 3'!$D$10,0)</f>
        <v>0</v>
      </c>
      <c r="E36" s="31">
        <f>ROUND('Anexo 7'!E36*'Anexo 3'!$D$10,0)</f>
        <v>0</v>
      </c>
      <c r="F36" s="31">
        <f>ROUND('Anexo 7'!F36*'Anexo 3'!$D$10,0)</f>
        <v>0</v>
      </c>
      <c r="G36" s="31">
        <f>ROUND('Anexo 7'!G36*'Anexo 3'!$D$10,0)</f>
        <v>0</v>
      </c>
      <c r="H36" s="31">
        <f>ROUND('Anexo 7'!H36*'Anexo 3'!$D$10,0)</f>
        <v>0</v>
      </c>
      <c r="I36" s="31">
        <f>ROUND('Anexo 7'!I36*'Anexo 3'!$D$10,0)</f>
        <v>0</v>
      </c>
      <c r="J36" s="31">
        <f>ROUND('Anexo 7'!J36*'Anexo 3'!$D$10,0)</f>
        <v>0</v>
      </c>
      <c r="K36" s="31">
        <f>ROUND('Anexo 7'!K36*'Anexo 3'!$D$10,0)</f>
        <v>0</v>
      </c>
      <c r="L36" s="31">
        <f>ROUND('Anexo 7'!L36*'Anexo 3'!$D$10,0)</f>
        <v>0</v>
      </c>
      <c r="M36" s="31">
        <f>ROUND('Anexo 7'!M36*'Anexo 3'!$D$10,0)</f>
        <v>0</v>
      </c>
      <c r="N36" s="31">
        <f>ROUND('Anexo 7'!N36*'Anexo 3'!$D$10,0)</f>
        <v>0</v>
      </c>
      <c r="O36" s="31">
        <f>ROUND('Anexo 7'!O36*'Anexo 3'!$D$10,0)</f>
        <v>0</v>
      </c>
      <c r="P36" s="31">
        <f>ROUND('Anexo 7'!P36*'Anexo 3'!$D$10,0)</f>
        <v>0</v>
      </c>
      <c r="Q36" s="31">
        <f>ROUND('Anexo 7'!Q36*'Anexo 3'!$D$10,0)</f>
        <v>0</v>
      </c>
      <c r="R36" s="31">
        <f>ROUND('Anexo 7'!R36*'Anexo 3'!$D$10,0)</f>
        <v>0</v>
      </c>
      <c r="S36" s="31">
        <f>ROUND('Anexo 7'!S36*'Anexo 3'!$D$10,0)</f>
        <v>0</v>
      </c>
      <c r="T36" s="31">
        <f>ROUND('Anexo 7'!T36*'Anexo 3'!$D$10,0)</f>
        <v>0</v>
      </c>
      <c r="U36" s="31">
        <f>ROUND('Anexo 7'!U36*'Anexo 3'!$D$10,0)</f>
        <v>0</v>
      </c>
      <c r="V36" s="31">
        <f>ROUND('Anexo 7'!V36*'Anexo 3'!$D$10,0)</f>
        <v>0</v>
      </c>
      <c r="W36" s="31">
        <f>ROUND('Anexo 7'!W36*'Anexo 3'!$D$10,0)</f>
        <v>0</v>
      </c>
      <c r="X36" s="31">
        <f>ROUND('Anexo 7'!X36*'Anexo 3'!$D$10,0)</f>
        <v>0</v>
      </c>
      <c r="Y36" s="31">
        <f>ROUND('Anexo 7'!Y36*'Anexo 3'!$D$10,0)</f>
        <v>0</v>
      </c>
      <c r="Z36" s="31">
        <f>ROUND('Anexo 7'!Z36*'Anexo 3'!$D$10,0)</f>
        <v>0</v>
      </c>
      <c r="AA36" s="33">
        <f t="shared" si="0"/>
        <v>0</v>
      </c>
      <c r="AB36" s="17">
        <v>20</v>
      </c>
      <c r="AC36" s="80">
        <f>+AA36*AB36+AA37*AB37+AA38*AB38</f>
        <v>0</v>
      </c>
    </row>
    <row r="37" spans="1:30" ht="15.75" thickBot="1" x14ac:dyDescent="0.3">
      <c r="A37" s="79"/>
      <c r="B37" s="18" t="s">
        <v>4</v>
      </c>
      <c r="C37" s="31">
        <f>ROUND('Anexo 7'!C37*'Anexo 3'!$D$10,0)</f>
        <v>0</v>
      </c>
      <c r="D37" s="31">
        <f>ROUND('Anexo 7'!D37*'Anexo 3'!$D$10,0)</f>
        <v>0</v>
      </c>
      <c r="E37" s="31">
        <f>ROUND('Anexo 7'!E37*'Anexo 3'!$D$10,0)</f>
        <v>0</v>
      </c>
      <c r="F37" s="31">
        <f>ROUND('Anexo 7'!F37*'Anexo 3'!$D$10,0)</f>
        <v>0</v>
      </c>
      <c r="G37" s="31">
        <f>ROUND('Anexo 7'!G37*'Anexo 3'!$D$10,0)</f>
        <v>0</v>
      </c>
      <c r="H37" s="31">
        <f>ROUND('Anexo 7'!H37*'Anexo 3'!$D$10,0)</f>
        <v>0</v>
      </c>
      <c r="I37" s="31">
        <f>ROUND('Anexo 7'!I37*'Anexo 3'!$D$10,0)</f>
        <v>0</v>
      </c>
      <c r="J37" s="31">
        <f>ROUND('Anexo 7'!J37*'Anexo 3'!$D$10,0)</f>
        <v>0</v>
      </c>
      <c r="K37" s="31">
        <f>ROUND('Anexo 7'!K37*'Anexo 3'!$D$10,0)</f>
        <v>0</v>
      </c>
      <c r="L37" s="31">
        <f>ROUND('Anexo 7'!L37*'Anexo 3'!$D$10,0)</f>
        <v>0</v>
      </c>
      <c r="M37" s="31">
        <f>ROUND('Anexo 7'!M37*'Anexo 3'!$D$10,0)</f>
        <v>0</v>
      </c>
      <c r="N37" s="31">
        <f>ROUND('Anexo 7'!N37*'Anexo 3'!$D$10,0)</f>
        <v>0</v>
      </c>
      <c r="O37" s="31">
        <f>ROUND('Anexo 7'!O37*'Anexo 3'!$D$10,0)</f>
        <v>0</v>
      </c>
      <c r="P37" s="31">
        <f>ROUND('Anexo 7'!P37*'Anexo 3'!$D$10,0)</f>
        <v>0</v>
      </c>
      <c r="Q37" s="31">
        <f>ROUND('Anexo 7'!Q37*'Anexo 3'!$D$10,0)</f>
        <v>0</v>
      </c>
      <c r="R37" s="31">
        <f>ROUND('Anexo 7'!R37*'Anexo 3'!$D$10,0)</f>
        <v>0</v>
      </c>
      <c r="S37" s="31">
        <f>ROUND('Anexo 7'!S37*'Anexo 3'!$D$10,0)</f>
        <v>0</v>
      </c>
      <c r="T37" s="31">
        <f>ROUND('Anexo 7'!T37*'Anexo 3'!$D$10,0)</f>
        <v>0</v>
      </c>
      <c r="U37" s="31">
        <f>ROUND('Anexo 7'!U37*'Anexo 3'!$D$10,0)</f>
        <v>0</v>
      </c>
      <c r="V37" s="31">
        <f>ROUND('Anexo 7'!V37*'Anexo 3'!$D$10,0)</f>
        <v>0</v>
      </c>
      <c r="W37" s="31">
        <f>ROUND('Anexo 7'!W37*'Anexo 3'!$D$10,0)</f>
        <v>0</v>
      </c>
      <c r="X37" s="31">
        <f>ROUND('Anexo 7'!X37*'Anexo 3'!$D$10,0)</f>
        <v>0</v>
      </c>
      <c r="Y37" s="31">
        <f>ROUND('Anexo 7'!Y37*'Anexo 3'!$D$10,0)</f>
        <v>0</v>
      </c>
      <c r="Z37" s="31">
        <f>ROUND('Anexo 7'!Z37*'Anexo 3'!$D$10,0)</f>
        <v>0</v>
      </c>
      <c r="AA37" s="36">
        <f t="shared" si="0"/>
        <v>0</v>
      </c>
      <c r="AB37" s="19">
        <v>4</v>
      </c>
      <c r="AC37" s="81"/>
      <c r="AD37" s="45"/>
    </row>
    <row r="38" spans="1:30" ht="15.75" thickBot="1" x14ac:dyDescent="0.3">
      <c r="A38" s="79"/>
      <c r="B38" s="20" t="s">
        <v>3</v>
      </c>
      <c r="C38" s="31">
        <f>ROUND('Anexo 7'!C38*'Anexo 3'!$D$10,0)</f>
        <v>0</v>
      </c>
      <c r="D38" s="31">
        <f>ROUND('Anexo 7'!D38*'Anexo 3'!$D$10,0)</f>
        <v>0</v>
      </c>
      <c r="E38" s="31">
        <f>ROUND('Anexo 7'!E38*'Anexo 3'!$D$10,0)</f>
        <v>0</v>
      </c>
      <c r="F38" s="31">
        <f>ROUND('Anexo 7'!F38*'Anexo 3'!$D$10,0)</f>
        <v>0</v>
      </c>
      <c r="G38" s="31">
        <f>ROUND('Anexo 7'!G38*'Anexo 3'!$D$10,0)</f>
        <v>0</v>
      </c>
      <c r="H38" s="31">
        <f>ROUND('Anexo 7'!H38*'Anexo 3'!$D$10,0)</f>
        <v>0</v>
      </c>
      <c r="I38" s="31">
        <f>ROUND('Anexo 7'!I38*'Anexo 3'!$D$10,0)</f>
        <v>0</v>
      </c>
      <c r="J38" s="31">
        <f>ROUND('Anexo 7'!J38*'Anexo 3'!$D$10,0)</f>
        <v>0</v>
      </c>
      <c r="K38" s="31">
        <f>ROUND('Anexo 7'!K38*'Anexo 3'!$D$10,0)</f>
        <v>0</v>
      </c>
      <c r="L38" s="31">
        <f>ROUND('Anexo 7'!L38*'Anexo 3'!$D$10,0)</f>
        <v>0</v>
      </c>
      <c r="M38" s="31">
        <f>ROUND('Anexo 7'!M38*'Anexo 3'!$D$10,0)</f>
        <v>0</v>
      </c>
      <c r="N38" s="31">
        <f>ROUND('Anexo 7'!N38*'Anexo 3'!$D$10,0)</f>
        <v>0</v>
      </c>
      <c r="O38" s="31">
        <f>ROUND('Anexo 7'!O38*'Anexo 3'!$D$10,0)</f>
        <v>0</v>
      </c>
      <c r="P38" s="31">
        <f>ROUND('Anexo 7'!P38*'Anexo 3'!$D$10,0)</f>
        <v>0</v>
      </c>
      <c r="Q38" s="31">
        <f>ROUND('Anexo 7'!Q38*'Anexo 3'!$D$10,0)</f>
        <v>0</v>
      </c>
      <c r="R38" s="31">
        <f>ROUND('Anexo 7'!R38*'Anexo 3'!$D$10,0)</f>
        <v>0</v>
      </c>
      <c r="S38" s="31">
        <f>ROUND('Anexo 7'!S38*'Anexo 3'!$D$10,0)</f>
        <v>0</v>
      </c>
      <c r="T38" s="31">
        <f>ROUND('Anexo 7'!T38*'Anexo 3'!$D$10,0)</f>
        <v>0</v>
      </c>
      <c r="U38" s="31">
        <f>ROUND('Anexo 7'!U38*'Anexo 3'!$D$10,0)</f>
        <v>0</v>
      </c>
      <c r="V38" s="31">
        <f>ROUND('Anexo 7'!V38*'Anexo 3'!$D$10,0)</f>
        <v>0</v>
      </c>
      <c r="W38" s="31">
        <f>ROUND('Anexo 7'!W38*'Anexo 3'!$D$10,0)</f>
        <v>0</v>
      </c>
      <c r="X38" s="31">
        <f>ROUND('Anexo 7'!X38*'Anexo 3'!$D$10,0)</f>
        <v>0</v>
      </c>
      <c r="Y38" s="31">
        <f>ROUND('Anexo 7'!Y38*'Anexo 3'!$D$10,0)</f>
        <v>0</v>
      </c>
      <c r="Z38" s="31">
        <f>ROUND('Anexo 7'!Z38*'Anexo 3'!$D$10,0)</f>
        <v>0</v>
      </c>
      <c r="AA38" s="39">
        <f t="shared" si="0"/>
        <v>0</v>
      </c>
      <c r="AB38" s="21">
        <v>6</v>
      </c>
      <c r="AC38" s="82"/>
      <c r="AD38" s="47"/>
    </row>
    <row r="39" spans="1:30" ht="15.75" thickBot="1" x14ac:dyDescent="0.3">
      <c r="A39" s="79">
        <v>47453</v>
      </c>
      <c r="B39" s="16" t="s">
        <v>5</v>
      </c>
      <c r="C39" s="31">
        <f>ROUND('Anexo 7'!C39*'Anexo 3'!$D$10,0)</f>
        <v>0</v>
      </c>
      <c r="D39" s="31">
        <f>ROUND('Anexo 7'!D39*'Anexo 3'!$D$10,0)</f>
        <v>0</v>
      </c>
      <c r="E39" s="31">
        <f>ROUND('Anexo 7'!E39*'Anexo 3'!$D$10,0)</f>
        <v>0</v>
      </c>
      <c r="F39" s="31">
        <f>ROUND('Anexo 7'!F39*'Anexo 3'!$D$10,0)</f>
        <v>0</v>
      </c>
      <c r="G39" s="31">
        <f>ROUND('Anexo 7'!G39*'Anexo 3'!$D$10,0)</f>
        <v>0</v>
      </c>
      <c r="H39" s="31">
        <f>ROUND('Anexo 7'!H39*'Anexo 3'!$D$10,0)</f>
        <v>0</v>
      </c>
      <c r="I39" s="31">
        <f>ROUND('Anexo 7'!I39*'Anexo 3'!$D$10,0)</f>
        <v>0</v>
      </c>
      <c r="J39" s="31">
        <f>ROUND('Anexo 7'!J39*'Anexo 3'!$D$10,0)</f>
        <v>0</v>
      </c>
      <c r="K39" s="31">
        <f>ROUND('Anexo 7'!K39*'Anexo 3'!$D$10,0)</f>
        <v>0</v>
      </c>
      <c r="L39" s="31">
        <f>ROUND('Anexo 7'!L39*'Anexo 3'!$D$10,0)</f>
        <v>0</v>
      </c>
      <c r="M39" s="31">
        <f>ROUND('Anexo 7'!M39*'Anexo 3'!$D$10,0)</f>
        <v>0</v>
      </c>
      <c r="N39" s="31">
        <f>ROUND('Anexo 7'!N39*'Anexo 3'!$D$10,0)</f>
        <v>0</v>
      </c>
      <c r="O39" s="31">
        <f>ROUND('Anexo 7'!O39*'Anexo 3'!$D$10,0)</f>
        <v>0</v>
      </c>
      <c r="P39" s="31">
        <f>ROUND('Anexo 7'!P39*'Anexo 3'!$D$10,0)</f>
        <v>0</v>
      </c>
      <c r="Q39" s="31">
        <f>ROUND('Anexo 7'!Q39*'Anexo 3'!$D$10,0)</f>
        <v>0</v>
      </c>
      <c r="R39" s="31">
        <f>ROUND('Anexo 7'!R39*'Anexo 3'!$D$10,0)</f>
        <v>0</v>
      </c>
      <c r="S39" s="31">
        <f>ROUND('Anexo 7'!S39*'Anexo 3'!$D$10,0)</f>
        <v>0</v>
      </c>
      <c r="T39" s="31">
        <f>ROUND('Anexo 7'!T39*'Anexo 3'!$D$10,0)</f>
        <v>0</v>
      </c>
      <c r="U39" s="31">
        <f>ROUND('Anexo 7'!U39*'Anexo 3'!$D$10,0)</f>
        <v>0</v>
      </c>
      <c r="V39" s="31">
        <f>ROUND('Anexo 7'!V39*'Anexo 3'!$D$10,0)</f>
        <v>0</v>
      </c>
      <c r="W39" s="31">
        <f>ROUND('Anexo 7'!W39*'Anexo 3'!$D$10,0)</f>
        <v>0</v>
      </c>
      <c r="X39" s="31">
        <f>ROUND('Anexo 7'!X39*'Anexo 3'!$D$10,0)</f>
        <v>0</v>
      </c>
      <c r="Y39" s="31">
        <f>ROUND('Anexo 7'!Y39*'Anexo 3'!$D$10,0)</f>
        <v>0</v>
      </c>
      <c r="Z39" s="31">
        <f>ROUND('Anexo 7'!Z39*'Anexo 3'!$D$10,0)</f>
        <v>0</v>
      </c>
      <c r="AA39" s="33">
        <f t="shared" si="0"/>
        <v>0</v>
      </c>
      <c r="AB39" s="17">
        <v>20</v>
      </c>
      <c r="AC39" s="80">
        <f>+AA39*AB39+AA40*AB40+AA41*AB41</f>
        <v>0</v>
      </c>
    </row>
    <row r="40" spans="1:30" ht="15.75" thickBot="1" x14ac:dyDescent="0.3">
      <c r="A40" s="79"/>
      <c r="B40" s="18" t="s">
        <v>4</v>
      </c>
      <c r="C40" s="31">
        <f>ROUND('Anexo 7'!C40*'Anexo 3'!$D$10,0)</f>
        <v>0</v>
      </c>
      <c r="D40" s="31">
        <f>ROUND('Anexo 7'!D40*'Anexo 3'!$D$10,0)</f>
        <v>0</v>
      </c>
      <c r="E40" s="31">
        <f>ROUND('Anexo 7'!E40*'Anexo 3'!$D$10,0)</f>
        <v>0</v>
      </c>
      <c r="F40" s="31">
        <f>ROUND('Anexo 7'!F40*'Anexo 3'!$D$10,0)</f>
        <v>0</v>
      </c>
      <c r="G40" s="31">
        <f>ROUND('Anexo 7'!G40*'Anexo 3'!$D$10,0)</f>
        <v>0</v>
      </c>
      <c r="H40" s="31">
        <f>ROUND('Anexo 7'!H40*'Anexo 3'!$D$10,0)</f>
        <v>0</v>
      </c>
      <c r="I40" s="31">
        <f>ROUND('Anexo 7'!I40*'Anexo 3'!$D$10,0)</f>
        <v>0</v>
      </c>
      <c r="J40" s="31">
        <f>ROUND('Anexo 7'!J40*'Anexo 3'!$D$10,0)</f>
        <v>0</v>
      </c>
      <c r="K40" s="31">
        <f>ROUND('Anexo 7'!K40*'Anexo 3'!$D$10,0)</f>
        <v>0</v>
      </c>
      <c r="L40" s="31">
        <f>ROUND('Anexo 7'!L40*'Anexo 3'!$D$10,0)</f>
        <v>0</v>
      </c>
      <c r="M40" s="31">
        <f>ROUND('Anexo 7'!M40*'Anexo 3'!$D$10,0)</f>
        <v>0</v>
      </c>
      <c r="N40" s="31">
        <f>ROUND('Anexo 7'!N40*'Anexo 3'!$D$10,0)</f>
        <v>0</v>
      </c>
      <c r="O40" s="31">
        <f>ROUND('Anexo 7'!O40*'Anexo 3'!$D$10,0)</f>
        <v>0</v>
      </c>
      <c r="P40" s="31">
        <f>ROUND('Anexo 7'!P40*'Anexo 3'!$D$10,0)</f>
        <v>0</v>
      </c>
      <c r="Q40" s="31">
        <f>ROUND('Anexo 7'!Q40*'Anexo 3'!$D$10,0)</f>
        <v>0</v>
      </c>
      <c r="R40" s="31">
        <f>ROUND('Anexo 7'!R40*'Anexo 3'!$D$10,0)</f>
        <v>0</v>
      </c>
      <c r="S40" s="31">
        <f>ROUND('Anexo 7'!S40*'Anexo 3'!$D$10,0)</f>
        <v>0</v>
      </c>
      <c r="T40" s="31">
        <f>ROUND('Anexo 7'!T40*'Anexo 3'!$D$10,0)</f>
        <v>0</v>
      </c>
      <c r="U40" s="31">
        <f>ROUND('Anexo 7'!U40*'Anexo 3'!$D$10,0)</f>
        <v>0</v>
      </c>
      <c r="V40" s="31">
        <f>ROUND('Anexo 7'!V40*'Anexo 3'!$D$10,0)</f>
        <v>0</v>
      </c>
      <c r="W40" s="31">
        <f>ROUND('Anexo 7'!W40*'Anexo 3'!$D$10,0)</f>
        <v>0</v>
      </c>
      <c r="X40" s="31">
        <f>ROUND('Anexo 7'!X40*'Anexo 3'!$D$10,0)</f>
        <v>0</v>
      </c>
      <c r="Y40" s="31">
        <f>ROUND('Anexo 7'!Y40*'Anexo 3'!$D$10,0)</f>
        <v>0</v>
      </c>
      <c r="Z40" s="31">
        <f>ROUND('Anexo 7'!Z40*'Anexo 3'!$D$10,0)</f>
        <v>0</v>
      </c>
      <c r="AA40" s="36">
        <f t="shared" si="0"/>
        <v>0</v>
      </c>
      <c r="AB40" s="19">
        <v>4</v>
      </c>
      <c r="AC40" s="81"/>
      <c r="AD40" s="45"/>
    </row>
    <row r="41" spans="1:30" ht="15.75" thickBot="1" x14ac:dyDescent="0.3">
      <c r="A41" s="79"/>
      <c r="B41" s="20" t="s">
        <v>3</v>
      </c>
      <c r="C41" s="31">
        <f>ROUND('Anexo 7'!C41*'Anexo 3'!$D$10,0)</f>
        <v>0</v>
      </c>
      <c r="D41" s="31">
        <f>ROUND('Anexo 7'!D41*'Anexo 3'!$D$10,0)</f>
        <v>0</v>
      </c>
      <c r="E41" s="31">
        <f>ROUND('Anexo 7'!E41*'Anexo 3'!$D$10,0)</f>
        <v>0</v>
      </c>
      <c r="F41" s="31">
        <f>ROUND('Anexo 7'!F41*'Anexo 3'!$D$10,0)</f>
        <v>0</v>
      </c>
      <c r="G41" s="31">
        <f>ROUND('Anexo 7'!G41*'Anexo 3'!$D$10,0)</f>
        <v>0</v>
      </c>
      <c r="H41" s="31">
        <f>ROUND('Anexo 7'!H41*'Anexo 3'!$D$10,0)</f>
        <v>0</v>
      </c>
      <c r="I41" s="31">
        <f>ROUND('Anexo 7'!I41*'Anexo 3'!$D$10,0)</f>
        <v>0</v>
      </c>
      <c r="J41" s="31">
        <f>ROUND('Anexo 7'!J41*'Anexo 3'!$D$10,0)</f>
        <v>0</v>
      </c>
      <c r="K41" s="31">
        <f>ROUND('Anexo 7'!K41*'Anexo 3'!$D$10,0)</f>
        <v>0</v>
      </c>
      <c r="L41" s="31">
        <f>ROUND('Anexo 7'!L41*'Anexo 3'!$D$10,0)</f>
        <v>0</v>
      </c>
      <c r="M41" s="31">
        <f>ROUND('Anexo 7'!M41*'Anexo 3'!$D$10,0)</f>
        <v>0</v>
      </c>
      <c r="N41" s="31">
        <f>ROUND('Anexo 7'!N41*'Anexo 3'!$D$10,0)</f>
        <v>0</v>
      </c>
      <c r="O41" s="31">
        <f>ROUND('Anexo 7'!O41*'Anexo 3'!$D$10,0)</f>
        <v>0</v>
      </c>
      <c r="P41" s="31">
        <f>ROUND('Anexo 7'!P41*'Anexo 3'!$D$10,0)</f>
        <v>0</v>
      </c>
      <c r="Q41" s="31">
        <f>ROUND('Anexo 7'!Q41*'Anexo 3'!$D$10,0)</f>
        <v>0</v>
      </c>
      <c r="R41" s="31">
        <f>ROUND('Anexo 7'!R41*'Anexo 3'!$D$10,0)</f>
        <v>0</v>
      </c>
      <c r="S41" s="31">
        <f>ROUND('Anexo 7'!S41*'Anexo 3'!$D$10,0)</f>
        <v>0</v>
      </c>
      <c r="T41" s="31">
        <f>ROUND('Anexo 7'!T41*'Anexo 3'!$D$10,0)</f>
        <v>0</v>
      </c>
      <c r="U41" s="31">
        <f>ROUND('Anexo 7'!U41*'Anexo 3'!$D$10,0)</f>
        <v>0</v>
      </c>
      <c r="V41" s="31">
        <f>ROUND('Anexo 7'!V41*'Anexo 3'!$D$10,0)</f>
        <v>0</v>
      </c>
      <c r="W41" s="31">
        <f>ROUND('Anexo 7'!W41*'Anexo 3'!$D$10,0)</f>
        <v>0</v>
      </c>
      <c r="X41" s="31">
        <f>ROUND('Anexo 7'!X41*'Anexo 3'!$D$10,0)</f>
        <v>0</v>
      </c>
      <c r="Y41" s="31">
        <f>ROUND('Anexo 7'!Y41*'Anexo 3'!$D$10,0)</f>
        <v>0</v>
      </c>
      <c r="Z41" s="31">
        <f>ROUND('Anexo 7'!Z41*'Anexo 3'!$D$10,0)</f>
        <v>0</v>
      </c>
      <c r="AA41" s="39">
        <f t="shared" si="0"/>
        <v>0</v>
      </c>
      <c r="AB41" s="21">
        <v>7</v>
      </c>
      <c r="AC41" s="82"/>
      <c r="AD41" s="40"/>
    </row>
    <row r="42" spans="1:30" ht="15.75" thickBot="1" x14ac:dyDescent="0.3">
      <c r="A42" s="77" t="s">
        <v>2</v>
      </c>
      <c r="B42" s="78"/>
      <c r="C42" s="31">
        <f>ROUND('Anexo 6'!C42*'Anexo 2'!$D$10,0)</f>
        <v>0</v>
      </c>
      <c r="D42" s="31">
        <f>ROUND('Anexo 6'!D42*'Anexo 2'!$D$10,0)</f>
        <v>0</v>
      </c>
      <c r="E42" s="31">
        <f>ROUND('Anexo 6'!E42*'Anexo 2'!$D$10,0)</f>
        <v>0</v>
      </c>
      <c r="F42" s="31">
        <f>ROUND('Anexo 6'!F42*'Anexo 2'!$D$10,0)</f>
        <v>0</v>
      </c>
      <c r="G42" s="31">
        <f>ROUND('Anexo 6'!G42*'Anexo 2'!$D$10,0)</f>
        <v>0</v>
      </c>
      <c r="H42" s="31">
        <f>ROUND('Anexo 6'!H42*'Anexo 2'!$D$10,0)</f>
        <v>0</v>
      </c>
      <c r="I42" s="31">
        <f>ROUND('Anexo 6'!I42*'Anexo 2'!$D$10,0)</f>
        <v>0</v>
      </c>
      <c r="J42" s="31">
        <f>ROUND('Anexo 6'!J42*'Anexo 2'!$D$10,0)</f>
        <v>0</v>
      </c>
      <c r="K42" s="31">
        <f>ROUND('Anexo 6'!K42*'Anexo 2'!$D$10,0)</f>
        <v>0</v>
      </c>
      <c r="L42" s="31">
        <f>ROUND('Anexo 6'!L42*'Anexo 2'!$D$10,0)</f>
        <v>0</v>
      </c>
      <c r="M42" s="31">
        <f>ROUND('Anexo 6'!M42*'Anexo 2'!$D$10,0)</f>
        <v>0</v>
      </c>
      <c r="N42" s="31">
        <f>ROUND('Anexo 6'!N42*'Anexo 2'!$D$10,0)</f>
        <v>0</v>
      </c>
      <c r="O42" s="31">
        <f>ROUND('Anexo 6'!O42*'Anexo 2'!$D$10,0)</f>
        <v>0</v>
      </c>
      <c r="P42" s="31">
        <f>ROUND('Anexo 6'!P42*'Anexo 2'!$D$10,0)</f>
        <v>0</v>
      </c>
      <c r="Q42" s="31">
        <f>ROUND('Anexo 6'!Q42*'Anexo 2'!$D$10,0)</f>
        <v>0</v>
      </c>
      <c r="R42" s="31">
        <f>ROUND('Anexo 6'!R42*'Anexo 2'!$D$10,0)</f>
        <v>0</v>
      </c>
      <c r="S42" s="31">
        <f>ROUND('Anexo 6'!S42*'Anexo 2'!$D$10,0)</f>
        <v>0</v>
      </c>
      <c r="T42" s="31">
        <f>ROUND('Anexo 6'!T42*'Anexo 2'!$D$10,0)</f>
        <v>0</v>
      </c>
      <c r="U42" s="31">
        <f>ROUND('Anexo 6'!U42*'Anexo 2'!$D$10,0)</f>
        <v>0</v>
      </c>
      <c r="V42" s="31">
        <f>ROUND('Anexo 6'!V42*'Anexo 2'!$D$10,0)</f>
        <v>0</v>
      </c>
      <c r="W42" s="31">
        <f>ROUND('Anexo 6'!W42*'Anexo 2'!$D$10,0)</f>
        <v>0</v>
      </c>
      <c r="X42" s="31">
        <f>ROUND('Anexo 6'!X42*'Anexo 2'!$D$10,0)</f>
        <v>0</v>
      </c>
      <c r="Y42" s="31">
        <f>ROUND('Anexo 6'!Y42*'Anexo 2'!$D$10,0)</f>
        <v>0</v>
      </c>
      <c r="Z42" s="31">
        <f>ROUND('Anexo 6'!Z42*'Anexo 2'!$D$10,0)</f>
        <v>0</v>
      </c>
      <c r="AA42" s="29">
        <f t="shared" ref="AA42:AC42" si="1">+SUM(AA6:AA41)</f>
        <v>0</v>
      </c>
      <c r="AB42" s="29">
        <f t="shared" si="1"/>
        <v>365</v>
      </c>
      <c r="AC42" s="44">
        <f t="shared" si="1"/>
        <v>0</v>
      </c>
    </row>
    <row r="43" spans="1:30" ht="15" x14ac:dyDescent="0.25">
      <c r="AB43" s="4"/>
      <c r="AC43" s="4"/>
    </row>
    <row r="44" spans="1:30" ht="15" x14ac:dyDescent="0.25"/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701E-77FB-4B66-8D04-18F03EABCD13}">
  <sheetPr codeName="Hoja1">
    <tabColor theme="5" tint="0.79998168889431442"/>
  </sheetPr>
  <dimension ref="A1:XFC36"/>
  <sheetViews>
    <sheetView showGridLines="0" zoomScaleNormal="100" zoomScaleSheetLayoutView="140" workbookViewId="0">
      <selection activeCell="C30" sqref="C30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3" width="11.42578125" hidden="1"/>
    <col min="16384" max="16384" width="23.42578125" customWidth="1"/>
  </cols>
  <sheetData>
    <row r="1" spans="1:8" x14ac:dyDescent="0.25"/>
    <row r="2" spans="1:8" x14ac:dyDescent="0.25"/>
    <row r="3" spans="1:8" x14ac:dyDescent="0.25">
      <c r="B3" s="71" t="s">
        <v>80</v>
      </c>
      <c r="C3" s="71"/>
      <c r="D3" s="71"/>
      <c r="E3" s="71"/>
      <c r="F3" s="71"/>
      <c r="G3" s="27"/>
    </row>
    <row r="4" spans="1:8" x14ac:dyDescent="0.25">
      <c r="B4" s="71" t="s">
        <v>51</v>
      </c>
      <c r="C4" s="71"/>
      <c r="D4" s="71"/>
      <c r="E4" s="71"/>
      <c r="F4" s="71"/>
      <c r="G4" s="27"/>
    </row>
    <row r="5" spans="1:8" x14ac:dyDescent="0.25">
      <c r="B5" s="71" t="s">
        <v>85</v>
      </c>
      <c r="C5" s="71"/>
      <c r="D5" s="71"/>
      <c r="E5" s="71"/>
      <c r="F5" s="71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2" t="s">
        <v>1</v>
      </c>
      <c r="C8" s="72" t="s">
        <v>36</v>
      </c>
      <c r="D8" s="72" t="s">
        <v>39</v>
      </c>
      <c r="E8" s="72" t="s">
        <v>37</v>
      </c>
      <c r="F8" s="72" t="s">
        <v>41</v>
      </c>
      <c r="G8" s="26"/>
    </row>
    <row r="9" spans="1:8" ht="23.25" customHeight="1" x14ac:dyDescent="0.25">
      <c r="B9" s="73"/>
      <c r="C9" s="73"/>
      <c r="D9" s="73"/>
      <c r="E9" s="73"/>
      <c r="F9" s="73"/>
      <c r="G9" s="26"/>
    </row>
    <row r="10" spans="1:8" ht="15.75" thickBot="1" x14ac:dyDescent="0.3">
      <c r="A10" s="56">
        <v>31</v>
      </c>
      <c r="B10" s="6">
        <v>47484</v>
      </c>
      <c r="C10" s="41">
        <f>+'Anexo 8'!AC6</f>
        <v>24843090</v>
      </c>
      <c r="D10" s="68"/>
      <c r="E10" s="54">
        <f>+'Cantidades Ofertadas Prod 4'!AC6</f>
        <v>0</v>
      </c>
      <c r="F10" s="94"/>
      <c r="G10" s="30"/>
      <c r="H10" s="49"/>
    </row>
    <row r="11" spans="1:8" ht="15.75" thickBot="1" x14ac:dyDescent="0.3">
      <c r="A11" s="56">
        <v>29</v>
      </c>
      <c r="B11" s="6">
        <v>47515</v>
      </c>
      <c r="C11" s="41">
        <f>+'Anexo 8'!AC9</f>
        <v>22874512</v>
      </c>
      <c r="D11" s="69"/>
      <c r="E11" s="54">
        <f>+'Cantidades Ofertadas Prod 4'!AC9</f>
        <v>0</v>
      </c>
      <c r="F11" s="95"/>
      <c r="G11" s="30"/>
      <c r="H11" s="49"/>
    </row>
    <row r="12" spans="1:8" ht="15.75" thickBot="1" x14ac:dyDescent="0.3">
      <c r="A12" s="56">
        <v>31</v>
      </c>
      <c r="B12" s="6">
        <v>47543</v>
      </c>
      <c r="C12" s="41">
        <f>+'Anexo 8'!AC12</f>
        <v>24623241</v>
      </c>
      <c r="D12" s="69"/>
      <c r="E12" s="54">
        <f>+'Cantidades Ofertadas Prod 4'!AC12</f>
        <v>0</v>
      </c>
      <c r="F12" s="95"/>
      <c r="G12" s="30"/>
      <c r="H12" s="49"/>
    </row>
    <row r="13" spans="1:8" ht="15.75" thickBot="1" x14ac:dyDescent="0.3">
      <c r="A13" s="56">
        <v>30</v>
      </c>
      <c r="B13" s="6">
        <v>47574</v>
      </c>
      <c r="C13" s="41">
        <f>+'Anexo 8'!AC15</f>
        <v>23296236</v>
      </c>
      <c r="D13" s="69"/>
      <c r="E13" s="54">
        <f>+'Cantidades Ofertadas Prod 4'!AC15</f>
        <v>0</v>
      </c>
      <c r="F13" s="95"/>
      <c r="G13" s="30"/>
      <c r="H13" s="49"/>
    </row>
    <row r="14" spans="1:8" ht="15.75" thickBot="1" x14ac:dyDescent="0.3">
      <c r="A14" s="56">
        <v>31</v>
      </c>
      <c r="B14" s="6">
        <v>47604</v>
      </c>
      <c r="C14" s="41">
        <f>+'Anexo 8'!AC18</f>
        <v>24288830</v>
      </c>
      <c r="D14" s="69"/>
      <c r="E14" s="54">
        <f>+'Cantidades Ofertadas Prod 4'!AC18</f>
        <v>0</v>
      </c>
      <c r="F14" s="95"/>
      <c r="G14" s="30"/>
      <c r="H14" s="49"/>
    </row>
    <row r="15" spans="1:8" ht="15.75" thickBot="1" x14ac:dyDescent="0.3">
      <c r="A15" s="56">
        <v>30</v>
      </c>
      <c r="B15" s="6">
        <v>47635</v>
      </c>
      <c r="C15" s="41">
        <f>+'Anexo 8'!AC21</f>
        <v>23421290</v>
      </c>
      <c r="D15" s="69"/>
      <c r="E15" s="54">
        <f>+'Cantidades Ofertadas Prod 4'!AC21</f>
        <v>0</v>
      </c>
      <c r="F15" s="95"/>
      <c r="G15" s="30"/>
      <c r="H15" s="49"/>
    </row>
    <row r="16" spans="1:8" ht="15.75" thickBot="1" x14ac:dyDescent="0.3">
      <c r="A16" s="56">
        <v>31</v>
      </c>
      <c r="B16" s="6">
        <v>47665</v>
      </c>
      <c r="C16" s="41">
        <f>+'Anexo 8'!AC24</f>
        <v>24842890</v>
      </c>
      <c r="D16" s="69"/>
      <c r="E16" s="54">
        <f>+'Cantidades Ofertadas Prod 4'!AC24</f>
        <v>0</v>
      </c>
      <c r="F16" s="95"/>
      <c r="G16" s="30"/>
      <c r="H16" s="49"/>
    </row>
    <row r="17" spans="1:8" ht="15.75" thickBot="1" x14ac:dyDescent="0.3">
      <c r="A17" s="56">
        <v>31</v>
      </c>
      <c r="B17" s="6">
        <v>47696</v>
      </c>
      <c r="C17" s="41">
        <f>+'Anexo 8'!AC27</f>
        <v>25279121</v>
      </c>
      <c r="D17" s="69"/>
      <c r="E17" s="54">
        <f>+'Cantidades Ofertadas Prod 4'!AC27</f>
        <v>0</v>
      </c>
      <c r="F17" s="95"/>
      <c r="G17" s="30"/>
      <c r="H17" s="49"/>
    </row>
    <row r="18" spans="1:8" ht="15.75" thickBot="1" x14ac:dyDescent="0.3">
      <c r="A18" s="56">
        <v>30</v>
      </c>
      <c r="B18" s="6">
        <v>47727</v>
      </c>
      <c r="C18" s="41">
        <f>+'Anexo 8'!AC30</f>
        <v>24780135</v>
      </c>
      <c r="D18" s="69"/>
      <c r="E18" s="54">
        <f>+'Cantidades Ofertadas Prod 4'!AC30</f>
        <v>0</v>
      </c>
      <c r="F18" s="95"/>
      <c r="G18" s="30"/>
      <c r="H18" s="49"/>
    </row>
    <row r="19" spans="1:8" ht="15.75" thickBot="1" x14ac:dyDescent="0.3">
      <c r="A19" s="56">
        <v>31</v>
      </c>
      <c r="B19" s="6">
        <v>47757</v>
      </c>
      <c r="C19" s="41">
        <f>+'Anexo 8'!AC33</f>
        <v>24598131</v>
      </c>
      <c r="D19" s="69"/>
      <c r="E19" s="54">
        <f>+'Cantidades Ofertadas Prod 4'!AC33</f>
        <v>0</v>
      </c>
      <c r="F19" s="95"/>
      <c r="G19" s="30"/>
      <c r="H19" s="43"/>
    </row>
    <row r="20" spans="1:8" ht="15.75" thickBot="1" x14ac:dyDescent="0.3">
      <c r="A20" s="56">
        <v>30</v>
      </c>
      <c r="B20" s="6">
        <v>47788</v>
      </c>
      <c r="C20" s="41">
        <f>+'Anexo 8'!AC36</f>
        <v>23353211</v>
      </c>
      <c r="D20" s="69"/>
      <c r="E20" s="54">
        <f>+'Cantidades Ofertadas Prod 4'!AC36</f>
        <v>0</v>
      </c>
      <c r="F20" s="95"/>
      <c r="G20" s="30"/>
      <c r="H20" s="43"/>
    </row>
    <row r="21" spans="1:8" ht="15.75" thickBot="1" x14ac:dyDescent="0.3">
      <c r="A21" s="56">
        <v>31</v>
      </c>
      <c r="B21" s="6">
        <v>47818</v>
      </c>
      <c r="C21" s="41">
        <f>+'Anexo 8'!AC39</f>
        <v>25071614</v>
      </c>
      <c r="D21" s="70"/>
      <c r="E21" s="54">
        <f>+'Cantidades Ofertadas Prod 4'!AC39</f>
        <v>0</v>
      </c>
      <c r="F21" s="96"/>
      <c r="G21" s="30"/>
      <c r="H21" s="43"/>
    </row>
    <row r="22" spans="1:8" ht="28.5" customHeight="1" x14ac:dyDescent="0.25">
      <c r="B22" s="7" t="s">
        <v>0</v>
      </c>
      <c r="C22" s="8">
        <f>+SUM(C10:C21)</f>
        <v>291272301</v>
      </c>
      <c r="D22" s="59"/>
      <c r="E22" s="53">
        <f>SUM(E10:E21)</f>
        <v>0</v>
      </c>
      <c r="F22" s="52">
        <f>+F10</f>
        <v>0</v>
      </c>
      <c r="G22" s="48"/>
      <c r="H22" s="40"/>
    </row>
    <row r="23" spans="1:8" ht="19.5" customHeight="1" x14ac:dyDescent="0.25">
      <c r="B23" s="22"/>
      <c r="C23" s="23"/>
      <c r="D23" s="28"/>
      <c r="E23" s="23"/>
      <c r="F23" s="24"/>
      <c r="G23" s="24"/>
      <c r="H23" s="40"/>
    </row>
    <row r="24" spans="1:8" ht="15" customHeight="1" x14ac:dyDescent="0.25">
      <c r="B24" s="5" t="s">
        <v>49</v>
      </c>
      <c r="C24" s="23"/>
      <c r="D24" s="28"/>
      <c r="E24" s="23"/>
      <c r="F24" s="24"/>
      <c r="G24" s="24"/>
      <c r="H24" s="40"/>
    </row>
    <row r="25" spans="1:8" x14ac:dyDescent="0.25">
      <c r="B25" s="64" t="s">
        <v>44</v>
      </c>
      <c r="C25" s="64"/>
      <c r="D25" s="64"/>
      <c r="E25" s="64"/>
      <c r="F25" s="64"/>
      <c r="G25" s="64"/>
      <c r="H25" s="40"/>
    </row>
    <row r="26" spans="1:8" x14ac:dyDescent="0.25">
      <c r="B26" s="5" t="s">
        <v>81</v>
      </c>
      <c r="C26" s="50"/>
      <c r="D26" s="50"/>
      <c r="E26" s="50"/>
      <c r="F26" s="50"/>
      <c r="G26" s="50"/>
      <c r="H26" s="40"/>
    </row>
    <row r="27" spans="1:8" x14ac:dyDescent="0.25">
      <c r="B27" s="5" t="s">
        <v>56</v>
      </c>
      <c r="C27" s="50"/>
      <c r="D27" s="50"/>
      <c r="E27" s="50"/>
      <c r="F27" s="50"/>
      <c r="G27" s="50"/>
      <c r="H27" s="40"/>
    </row>
    <row r="28" spans="1:8" x14ac:dyDescent="0.25">
      <c r="B28" s="5" t="s">
        <v>42</v>
      </c>
      <c r="H28" s="40"/>
    </row>
    <row r="29" spans="1:8" x14ac:dyDescent="0.25">
      <c r="B29" s="5" t="s">
        <v>82</v>
      </c>
      <c r="H29" s="40"/>
    </row>
    <row r="30" spans="1:8" ht="15" customHeight="1" x14ac:dyDescent="0.25">
      <c r="A30" s="2"/>
      <c r="B30" s="2"/>
      <c r="C30" s="43"/>
      <c r="H30" s="40">
        <f t="shared" ref="H30:H32" si="0">+C30-G30</f>
        <v>0</v>
      </c>
    </row>
    <row r="31" spans="1:8" ht="15" customHeight="1" x14ac:dyDescent="0.25">
      <c r="A31" s="1"/>
      <c r="B31" s="1"/>
      <c r="C31" s="43"/>
      <c r="H31" s="40">
        <f t="shared" si="0"/>
        <v>0</v>
      </c>
    </row>
    <row r="32" spans="1:8" ht="15" customHeight="1" x14ac:dyDescent="0.25">
      <c r="A32" s="1"/>
      <c r="H32" s="40">
        <f t="shared" si="0"/>
        <v>0</v>
      </c>
    </row>
    <row r="33" spans="1:8" ht="15" customHeight="1" x14ac:dyDescent="0.25">
      <c r="A33" s="1"/>
      <c r="B33" s="57" t="s">
        <v>45</v>
      </c>
      <c r="H33" s="40"/>
    </row>
    <row r="34" spans="1:8" ht="15" customHeight="1" x14ac:dyDescent="0.25">
      <c r="A34" s="1"/>
      <c r="B34" s="58" t="s">
        <v>46</v>
      </c>
      <c r="H34" s="40"/>
    </row>
    <row r="35" spans="1:8" x14ac:dyDescent="0.25">
      <c r="B35" s="58" t="s">
        <v>47</v>
      </c>
    </row>
    <row r="36" spans="1:8" x14ac:dyDescent="0.25"/>
  </sheetData>
  <mergeCells count="11">
    <mergeCell ref="F10:F21"/>
    <mergeCell ref="D10:D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1C57C6E5-60C0-4D4B-B5F0-CDB71C317BB0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EEAF-81D4-4E1A-89F3-D8102F2DBFEA}">
  <sheetPr codeName="Hoja16">
    <tabColor rgb="FF00B050"/>
  </sheetPr>
  <dimension ref="A1:H34"/>
  <sheetViews>
    <sheetView showGridLines="0" zoomScaleNormal="100" zoomScaleSheetLayoutView="140" workbookViewId="0">
      <selection activeCell="B5" sqref="B5:F5"/>
    </sheetView>
  </sheetViews>
  <sheetFormatPr baseColWidth="10" defaultColWidth="0" defaultRowHeight="15" customHeight="1" zeroHeight="1" x14ac:dyDescent="0.25"/>
  <cols>
    <col min="1" max="2" width="11.42578125" customWidth="1"/>
    <col min="3" max="3" width="18.28515625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1" t="s">
        <v>58</v>
      </c>
      <c r="C3" s="71"/>
      <c r="D3" s="71"/>
      <c r="E3" s="71"/>
      <c r="F3" s="71"/>
      <c r="G3" s="27"/>
    </row>
    <row r="4" spans="1:8" x14ac:dyDescent="0.25">
      <c r="B4" s="71" t="s">
        <v>51</v>
      </c>
      <c r="C4" s="71"/>
      <c r="D4" s="71"/>
      <c r="E4" s="71"/>
      <c r="F4" s="71"/>
      <c r="G4" s="27"/>
    </row>
    <row r="5" spans="1:8" x14ac:dyDescent="0.25">
      <c r="B5" s="71" t="s">
        <v>85</v>
      </c>
      <c r="C5" s="71"/>
      <c r="D5" s="71"/>
      <c r="E5" s="71"/>
      <c r="F5" s="71"/>
      <c r="G5" s="27"/>
    </row>
    <row r="6" spans="1:8" x14ac:dyDescent="0.25">
      <c r="B6" s="3"/>
      <c r="C6" s="3"/>
      <c r="D6" s="3"/>
      <c r="E6" s="3"/>
      <c r="F6" s="3"/>
      <c r="G6" s="3"/>
    </row>
    <row r="7" spans="1:8" x14ac:dyDescent="0.25"/>
    <row r="8" spans="1:8" ht="15" customHeight="1" x14ac:dyDescent="0.25">
      <c r="B8" s="72" t="s">
        <v>1</v>
      </c>
      <c r="C8" s="72" t="s">
        <v>48</v>
      </c>
      <c r="D8" s="72" t="s">
        <v>54</v>
      </c>
      <c r="E8" s="72" t="s">
        <v>37</v>
      </c>
      <c r="F8" s="72" t="s">
        <v>41</v>
      </c>
      <c r="G8" s="26"/>
    </row>
    <row r="9" spans="1:8" ht="23.25" customHeight="1" x14ac:dyDescent="0.25">
      <c r="A9" s="60">
        <v>20000</v>
      </c>
      <c r="B9" s="73"/>
      <c r="C9" s="73"/>
      <c r="D9" s="73"/>
      <c r="E9" s="73"/>
      <c r="F9" s="73"/>
      <c r="G9" s="26"/>
    </row>
    <row r="10" spans="1:8" ht="15.75" thickBot="1" x14ac:dyDescent="0.3">
      <c r="A10" s="56">
        <v>31</v>
      </c>
      <c r="B10" s="6">
        <v>47484</v>
      </c>
      <c r="C10" s="41">
        <f>+$A$9*A10*24</f>
        <v>14880000</v>
      </c>
      <c r="D10" s="74"/>
      <c r="E10" s="54">
        <f>+$D$10*A10*24</f>
        <v>0</v>
      </c>
      <c r="F10" s="94"/>
      <c r="G10" s="30"/>
      <c r="H10" s="49"/>
    </row>
    <row r="11" spans="1:8" ht="15.75" thickBot="1" x14ac:dyDescent="0.3">
      <c r="A11" s="56">
        <v>28</v>
      </c>
      <c r="B11" s="6">
        <v>47515</v>
      </c>
      <c r="C11" s="41">
        <f t="shared" ref="C11:C21" si="0">+$A$9*A11*24</f>
        <v>13440000</v>
      </c>
      <c r="D11" s="75"/>
      <c r="E11" s="54">
        <f t="shared" ref="E11:E21" si="1">+$D$10*A11*24</f>
        <v>0</v>
      </c>
      <c r="F11" s="95"/>
      <c r="G11" s="30"/>
      <c r="H11" s="49"/>
    </row>
    <row r="12" spans="1:8" ht="15.75" thickBot="1" x14ac:dyDescent="0.3">
      <c r="A12" s="56">
        <v>31</v>
      </c>
      <c r="B12" s="6">
        <v>47543</v>
      </c>
      <c r="C12" s="41">
        <f t="shared" si="0"/>
        <v>14880000</v>
      </c>
      <c r="D12" s="75"/>
      <c r="E12" s="54">
        <f t="shared" si="1"/>
        <v>0</v>
      </c>
      <c r="F12" s="95"/>
      <c r="G12" s="30"/>
      <c r="H12" s="49"/>
    </row>
    <row r="13" spans="1:8" ht="15.75" thickBot="1" x14ac:dyDescent="0.3">
      <c r="A13" s="56">
        <v>30</v>
      </c>
      <c r="B13" s="6">
        <v>47574</v>
      </c>
      <c r="C13" s="41">
        <f t="shared" si="0"/>
        <v>14400000</v>
      </c>
      <c r="D13" s="75"/>
      <c r="E13" s="54">
        <f t="shared" si="1"/>
        <v>0</v>
      </c>
      <c r="F13" s="95"/>
      <c r="G13" s="30"/>
      <c r="H13" s="49"/>
    </row>
    <row r="14" spans="1:8" ht="15.75" thickBot="1" x14ac:dyDescent="0.3">
      <c r="A14" s="56">
        <v>31</v>
      </c>
      <c r="B14" s="6">
        <v>47604</v>
      </c>
      <c r="C14" s="41">
        <f t="shared" si="0"/>
        <v>14880000</v>
      </c>
      <c r="D14" s="75"/>
      <c r="E14" s="54">
        <f t="shared" si="1"/>
        <v>0</v>
      </c>
      <c r="F14" s="95"/>
      <c r="G14" s="30"/>
      <c r="H14" s="49"/>
    </row>
    <row r="15" spans="1:8" ht="15.75" thickBot="1" x14ac:dyDescent="0.3">
      <c r="A15" s="56">
        <v>30</v>
      </c>
      <c r="B15" s="6">
        <v>47635</v>
      </c>
      <c r="C15" s="41">
        <f t="shared" si="0"/>
        <v>14400000</v>
      </c>
      <c r="D15" s="75"/>
      <c r="E15" s="54">
        <f t="shared" si="1"/>
        <v>0</v>
      </c>
      <c r="F15" s="95"/>
      <c r="G15" s="30"/>
      <c r="H15" s="49"/>
    </row>
    <row r="16" spans="1:8" ht="15.75" thickBot="1" x14ac:dyDescent="0.3">
      <c r="A16" s="56">
        <v>31</v>
      </c>
      <c r="B16" s="6">
        <v>47665</v>
      </c>
      <c r="C16" s="41">
        <f t="shared" si="0"/>
        <v>14880000</v>
      </c>
      <c r="D16" s="75"/>
      <c r="E16" s="54">
        <f t="shared" si="1"/>
        <v>0</v>
      </c>
      <c r="F16" s="95"/>
      <c r="G16" s="30"/>
      <c r="H16" s="49"/>
    </row>
    <row r="17" spans="1:8" ht="15.75" thickBot="1" x14ac:dyDescent="0.3">
      <c r="A17" s="56">
        <v>31</v>
      </c>
      <c r="B17" s="6">
        <v>47696</v>
      </c>
      <c r="C17" s="41">
        <f t="shared" si="0"/>
        <v>14880000</v>
      </c>
      <c r="D17" s="75"/>
      <c r="E17" s="54">
        <f t="shared" si="1"/>
        <v>0</v>
      </c>
      <c r="F17" s="95"/>
      <c r="G17" s="30"/>
      <c r="H17" s="49"/>
    </row>
    <row r="18" spans="1:8" ht="15.75" thickBot="1" x14ac:dyDescent="0.3">
      <c r="A18" s="56">
        <v>30</v>
      </c>
      <c r="B18" s="6">
        <v>47727</v>
      </c>
      <c r="C18" s="41">
        <f t="shared" si="0"/>
        <v>14400000</v>
      </c>
      <c r="D18" s="75"/>
      <c r="E18" s="54">
        <f t="shared" si="1"/>
        <v>0</v>
      </c>
      <c r="F18" s="95"/>
      <c r="G18" s="30"/>
      <c r="H18" s="49"/>
    </row>
    <row r="19" spans="1:8" ht="15.75" thickBot="1" x14ac:dyDescent="0.3">
      <c r="A19" s="56">
        <v>31</v>
      </c>
      <c r="B19" s="6">
        <v>47757</v>
      </c>
      <c r="C19" s="41">
        <f t="shared" si="0"/>
        <v>14880000</v>
      </c>
      <c r="D19" s="75"/>
      <c r="E19" s="54">
        <f t="shared" si="1"/>
        <v>0</v>
      </c>
      <c r="F19" s="95"/>
      <c r="G19" s="30"/>
      <c r="H19" s="49"/>
    </row>
    <row r="20" spans="1:8" ht="15.75" thickBot="1" x14ac:dyDescent="0.3">
      <c r="A20" s="56">
        <v>30</v>
      </c>
      <c r="B20" s="6">
        <v>47788</v>
      </c>
      <c r="C20" s="41">
        <f t="shared" si="0"/>
        <v>14400000</v>
      </c>
      <c r="D20" s="75"/>
      <c r="E20" s="54">
        <f t="shared" si="1"/>
        <v>0</v>
      </c>
      <c r="F20" s="95"/>
      <c r="G20" s="30"/>
      <c r="H20" s="49"/>
    </row>
    <row r="21" spans="1:8" ht="15.75" thickBot="1" x14ac:dyDescent="0.3">
      <c r="A21" s="56">
        <v>31</v>
      </c>
      <c r="B21" s="6">
        <v>47818</v>
      </c>
      <c r="C21" s="41">
        <f t="shared" si="0"/>
        <v>14880000</v>
      </c>
      <c r="D21" s="76"/>
      <c r="E21" s="54">
        <f t="shared" si="1"/>
        <v>0</v>
      </c>
      <c r="F21" s="96"/>
      <c r="G21" s="30"/>
      <c r="H21" s="49"/>
    </row>
    <row r="22" spans="1:8" ht="28.5" customHeight="1" x14ac:dyDescent="0.25">
      <c r="B22" s="7" t="s">
        <v>0</v>
      </c>
      <c r="C22" s="8">
        <f>+SUM(C10:C21)</f>
        <v>175200000</v>
      </c>
      <c r="D22" s="52"/>
      <c r="E22" s="53">
        <f>SUM(E10:E21)</f>
        <v>0</v>
      </c>
      <c r="F22" s="52">
        <f>+F10</f>
        <v>0</v>
      </c>
      <c r="G22" s="48"/>
      <c r="H22" s="40"/>
    </row>
    <row r="23" spans="1:8" ht="19.5" customHeight="1" x14ac:dyDescent="0.25">
      <c r="B23" s="5" t="s">
        <v>49</v>
      </c>
      <c r="C23" s="23"/>
      <c r="D23" s="23"/>
      <c r="E23" s="23"/>
      <c r="F23" s="24"/>
      <c r="G23" s="24"/>
      <c r="H23" s="40"/>
    </row>
    <row r="24" spans="1:8" ht="15" customHeight="1" x14ac:dyDescent="0.25">
      <c r="B24" s="5" t="s">
        <v>59</v>
      </c>
      <c r="C24" s="5"/>
      <c r="D24" s="5"/>
      <c r="E24" s="5"/>
      <c r="F24" s="5"/>
      <c r="G24" s="5"/>
      <c r="H24" s="40"/>
    </row>
    <row r="25" spans="1:8" x14ac:dyDescent="0.25">
      <c r="B25" s="5" t="s">
        <v>42</v>
      </c>
      <c r="C25" s="5"/>
      <c r="D25" s="5"/>
      <c r="E25" s="5"/>
      <c r="F25" s="5"/>
      <c r="G25" s="5"/>
      <c r="H25" s="40"/>
    </row>
    <row r="26" spans="1:8" ht="27" customHeight="1" x14ac:dyDescent="0.25">
      <c r="B26" s="64" t="s">
        <v>55</v>
      </c>
      <c r="C26" s="64"/>
      <c r="D26" s="64"/>
      <c r="E26" s="64"/>
      <c r="F26" s="64"/>
      <c r="G26" s="64"/>
      <c r="H26" s="40"/>
    </row>
    <row r="27" spans="1:8" ht="27" customHeight="1" x14ac:dyDescent="0.25">
      <c r="B27" s="50"/>
      <c r="C27" s="50"/>
      <c r="D27" s="50"/>
      <c r="E27" s="50"/>
      <c r="F27" s="50"/>
      <c r="G27" s="50"/>
      <c r="H27" s="40"/>
    </row>
    <row r="28" spans="1:8" ht="27" customHeight="1" x14ac:dyDescent="0.25">
      <c r="B28" s="50"/>
      <c r="C28" s="50"/>
      <c r="D28" s="50"/>
      <c r="E28" s="50"/>
      <c r="F28" s="50"/>
      <c r="G28" s="50"/>
      <c r="H28" s="40"/>
    </row>
    <row r="29" spans="1:8" ht="27" customHeight="1" x14ac:dyDescent="0.25">
      <c r="B29" s="50"/>
      <c r="C29" s="50"/>
      <c r="D29" s="50"/>
      <c r="E29" s="50"/>
      <c r="F29" s="50"/>
      <c r="G29" s="50"/>
      <c r="H29" s="40"/>
    </row>
    <row r="30" spans="1:8" ht="27" customHeight="1" x14ac:dyDescent="0.25">
      <c r="B30" s="57" t="s">
        <v>45</v>
      </c>
      <c r="C30" s="50"/>
      <c r="D30" s="50"/>
      <c r="E30" s="50"/>
      <c r="F30" s="50"/>
      <c r="G30" s="50"/>
      <c r="H30" s="40"/>
    </row>
    <row r="31" spans="1:8" x14ac:dyDescent="0.25">
      <c r="B31" s="58" t="s">
        <v>46</v>
      </c>
      <c r="C31" s="5"/>
      <c r="D31" s="5"/>
      <c r="E31" s="5"/>
      <c r="F31" s="5"/>
      <c r="G31" s="5"/>
      <c r="H31" s="40"/>
    </row>
    <row r="32" spans="1:8" x14ac:dyDescent="0.25">
      <c r="B32" s="58" t="s">
        <v>47</v>
      </c>
      <c r="C32" s="23"/>
      <c r="D32" s="24"/>
      <c r="E32" s="25"/>
      <c r="F32" s="24"/>
      <c r="G32" s="24"/>
      <c r="H32" s="40"/>
    </row>
    <row r="33" spans="1:8" ht="15" customHeight="1" x14ac:dyDescent="0.25">
      <c r="A33" s="2"/>
      <c r="H33" s="40">
        <f t="shared" ref="H33:H34" si="2">+C33-G33</f>
        <v>0</v>
      </c>
    </row>
    <row r="34" spans="1:8" ht="15" hidden="1" customHeight="1" x14ac:dyDescent="0.25">
      <c r="A34" s="1"/>
      <c r="H34" s="40">
        <f t="shared" si="2"/>
        <v>0</v>
      </c>
    </row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20.000" prompt="Se debe ofertar maximo 20.000 kWh" sqref="D10:D21" xr:uid="{6A0FB580-24F9-4B4B-BE21-E61BFB9740A4}">
      <formula1>0</formula1>
      <formula2>20000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CB67-858D-4069-925E-3F8524FB6B85}">
  <sheetPr codeName="Hoja4">
    <tabColor theme="5" tint="0.79998168889431442"/>
  </sheetPr>
  <dimension ref="A1:AD44"/>
  <sheetViews>
    <sheetView showGridLines="0" zoomScale="115" zoomScaleNormal="115" zoomScaleSheetLayoutView="110" workbookViewId="0">
      <pane xSplit="2" ySplit="5" topLeftCell="C32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x14ac:dyDescent="0.25"/>
  <cols>
    <col min="1" max="1" width="6.42578125" bestFit="1" customWidth="1"/>
    <col min="2" max="3" width="8.7109375" bestFit="1" customWidth="1"/>
    <col min="4" max="8" width="9" bestFit="1" customWidth="1"/>
    <col min="9" max="10" width="8.7109375" bestFit="1" customWidth="1"/>
    <col min="11" max="11" width="9" bestFit="1" customWidth="1"/>
    <col min="12" max="12" width="8.7109375" bestFit="1" customWidth="1"/>
    <col min="13" max="14" width="9" bestFit="1" customWidth="1"/>
    <col min="15" max="15" width="9.28515625" bestFit="1" customWidth="1"/>
    <col min="16" max="16" width="8.7109375" bestFit="1" customWidth="1"/>
    <col min="17" max="17" width="9.28515625" bestFit="1" customWidth="1"/>
    <col min="18" max="18" width="9" bestFit="1" customWidth="1"/>
    <col min="19" max="20" width="9.28515625" bestFit="1" customWidth="1"/>
    <col min="21" max="21" width="8.7109375" bestFit="1" customWidth="1"/>
    <col min="22" max="22" width="9.28515625" bestFit="1" customWidth="1"/>
    <col min="23" max="24" width="8.7109375" bestFit="1" customWidth="1"/>
    <col min="25" max="25" width="9.28515625" bestFit="1" customWidth="1"/>
    <col min="26" max="26" width="9" bestFit="1" customWidth="1"/>
    <col min="27" max="27" width="9.8554687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87" t="s">
        <v>83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</row>
    <row r="2" spans="1:30" x14ac:dyDescent="0.25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</row>
    <row r="3" spans="1:3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x14ac:dyDescent="0.25">
      <c r="A4" s="93" t="s">
        <v>35</v>
      </c>
      <c r="B4" s="93" t="s">
        <v>34</v>
      </c>
      <c r="C4" s="85" t="s">
        <v>33</v>
      </c>
      <c r="D4" s="85" t="s">
        <v>32</v>
      </c>
      <c r="E4" s="85" t="s">
        <v>31</v>
      </c>
      <c r="F4" s="85" t="s">
        <v>30</v>
      </c>
      <c r="G4" s="85" t="s">
        <v>29</v>
      </c>
      <c r="H4" s="85" t="s">
        <v>28</v>
      </c>
      <c r="I4" s="85" t="s">
        <v>27</v>
      </c>
      <c r="J4" s="85" t="s">
        <v>26</v>
      </c>
      <c r="K4" s="85" t="s">
        <v>25</v>
      </c>
      <c r="L4" s="85" t="s">
        <v>24</v>
      </c>
      <c r="M4" s="85" t="s">
        <v>23</v>
      </c>
      <c r="N4" s="85" t="s">
        <v>22</v>
      </c>
      <c r="O4" s="85" t="s">
        <v>21</v>
      </c>
      <c r="P4" s="85" t="s">
        <v>20</v>
      </c>
      <c r="Q4" s="85" t="s">
        <v>19</v>
      </c>
      <c r="R4" s="85" t="s">
        <v>18</v>
      </c>
      <c r="S4" s="85" t="s">
        <v>17</v>
      </c>
      <c r="T4" s="85" t="s">
        <v>16</v>
      </c>
      <c r="U4" s="85" t="s">
        <v>15</v>
      </c>
      <c r="V4" s="85" t="s">
        <v>14</v>
      </c>
      <c r="W4" s="85" t="s">
        <v>13</v>
      </c>
      <c r="X4" s="85" t="s">
        <v>12</v>
      </c>
      <c r="Y4" s="85" t="s">
        <v>11</v>
      </c>
      <c r="Z4" s="85" t="s">
        <v>10</v>
      </c>
      <c r="AA4" s="12" t="s">
        <v>9</v>
      </c>
      <c r="AB4" s="13" t="s">
        <v>8</v>
      </c>
      <c r="AC4" s="83" t="s">
        <v>7</v>
      </c>
    </row>
    <row r="5" spans="1:30" x14ac:dyDescent="0.25">
      <c r="A5" s="93"/>
      <c r="B5" s="93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14"/>
      <c r="AB5" s="15" t="s">
        <v>6</v>
      </c>
      <c r="AC5" s="84"/>
    </row>
    <row r="6" spans="1:30" ht="15.75" thickBot="1" x14ac:dyDescent="0.3">
      <c r="A6" s="79">
        <v>47484</v>
      </c>
      <c r="B6" s="16" t="s">
        <v>5</v>
      </c>
      <c r="C6" s="31">
        <v>26971</v>
      </c>
      <c r="D6" s="31">
        <v>25413</v>
      </c>
      <c r="E6" s="31">
        <v>24475</v>
      </c>
      <c r="F6" s="31">
        <v>23990</v>
      </c>
      <c r="G6" s="31">
        <v>24325</v>
      </c>
      <c r="H6" s="31">
        <v>25774</v>
      </c>
      <c r="I6" s="31">
        <v>27152</v>
      </c>
      <c r="J6" s="31">
        <v>29730</v>
      </c>
      <c r="K6" s="31">
        <v>32631</v>
      </c>
      <c r="L6" s="31">
        <v>34829</v>
      </c>
      <c r="M6" s="31">
        <v>37066</v>
      </c>
      <c r="N6" s="31">
        <v>39177</v>
      </c>
      <c r="O6" s="31">
        <v>38819</v>
      </c>
      <c r="P6" s="31">
        <v>38865</v>
      </c>
      <c r="Q6" s="31">
        <v>39513</v>
      </c>
      <c r="R6" s="31">
        <v>39636</v>
      </c>
      <c r="S6" s="31">
        <v>39183</v>
      </c>
      <c r="T6" s="31">
        <v>38334</v>
      </c>
      <c r="U6" s="31">
        <v>41152</v>
      </c>
      <c r="V6" s="31">
        <v>43498</v>
      </c>
      <c r="W6" s="31">
        <v>41920</v>
      </c>
      <c r="X6" s="31">
        <v>39154</v>
      </c>
      <c r="Y6" s="31">
        <v>34708</v>
      </c>
      <c r="Z6" s="32">
        <v>30217</v>
      </c>
      <c r="AA6" s="33">
        <f>SUM(C6:Z6)</f>
        <v>816532</v>
      </c>
      <c r="AB6" s="17">
        <v>21</v>
      </c>
      <c r="AC6" s="80">
        <f>+AA6*AB6+AA7*AB7+AA8*AB8</f>
        <v>24843090</v>
      </c>
    </row>
    <row r="7" spans="1:30" ht="15.75" thickBot="1" x14ac:dyDescent="0.3">
      <c r="A7" s="79"/>
      <c r="B7" s="18" t="s">
        <v>4</v>
      </c>
      <c r="C7" s="34">
        <v>27622</v>
      </c>
      <c r="D7" s="34">
        <v>25862</v>
      </c>
      <c r="E7" s="34">
        <v>24787</v>
      </c>
      <c r="F7" s="34">
        <v>24110</v>
      </c>
      <c r="G7" s="34">
        <v>24132</v>
      </c>
      <c r="H7" s="34">
        <v>24942</v>
      </c>
      <c r="I7" s="34">
        <v>25887</v>
      </c>
      <c r="J7" s="34">
        <v>28509</v>
      </c>
      <c r="K7" s="34">
        <v>31752</v>
      </c>
      <c r="L7" s="34">
        <v>34199</v>
      </c>
      <c r="M7" s="34">
        <v>36032</v>
      </c>
      <c r="N7" s="34">
        <v>37846</v>
      </c>
      <c r="O7" s="34">
        <v>38042</v>
      </c>
      <c r="P7" s="34">
        <v>37669</v>
      </c>
      <c r="Q7" s="34">
        <v>37259</v>
      </c>
      <c r="R7" s="34">
        <v>37059</v>
      </c>
      <c r="S7" s="34">
        <v>36780</v>
      </c>
      <c r="T7" s="34">
        <v>36744</v>
      </c>
      <c r="U7" s="34">
        <v>40277</v>
      </c>
      <c r="V7" s="34">
        <v>42792</v>
      </c>
      <c r="W7" s="34">
        <v>41072</v>
      </c>
      <c r="X7" s="34">
        <v>38507</v>
      </c>
      <c r="Y7" s="34">
        <v>34868</v>
      </c>
      <c r="Z7" s="35">
        <v>31221</v>
      </c>
      <c r="AA7" s="36">
        <f t="shared" ref="AA7:AA41" si="0">SUM(C7:Z7)</f>
        <v>797970</v>
      </c>
      <c r="AB7" s="19">
        <v>4</v>
      </c>
      <c r="AC7" s="81"/>
      <c r="AD7" s="45"/>
    </row>
    <row r="8" spans="1:30" x14ac:dyDescent="0.25">
      <c r="A8" s="79"/>
      <c r="B8" s="20" t="s">
        <v>3</v>
      </c>
      <c r="C8" s="37">
        <v>28957</v>
      </c>
      <c r="D8" s="37">
        <v>27055</v>
      </c>
      <c r="E8" s="37">
        <v>25793</v>
      </c>
      <c r="F8" s="37">
        <v>24903</v>
      </c>
      <c r="G8" s="37">
        <v>24468</v>
      </c>
      <c r="H8" s="37">
        <v>24639</v>
      </c>
      <c r="I8" s="37">
        <v>24398</v>
      </c>
      <c r="J8" s="37">
        <v>25838</v>
      </c>
      <c r="K8" s="37">
        <v>28305</v>
      </c>
      <c r="L8" s="37">
        <v>30479</v>
      </c>
      <c r="M8" s="37">
        <v>32084</v>
      </c>
      <c r="N8" s="37">
        <v>33754</v>
      </c>
      <c r="O8" s="37">
        <v>34743</v>
      </c>
      <c r="P8" s="37">
        <v>34625</v>
      </c>
      <c r="Q8" s="37">
        <v>33997</v>
      </c>
      <c r="R8" s="37">
        <v>33634</v>
      </c>
      <c r="S8" s="37">
        <v>33452</v>
      </c>
      <c r="T8" s="37">
        <v>33634</v>
      </c>
      <c r="U8" s="37">
        <v>37486</v>
      </c>
      <c r="V8" s="37">
        <v>40237</v>
      </c>
      <c r="W8" s="37">
        <v>39115</v>
      </c>
      <c r="X8" s="37">
        <v>36717</v>
      </c>
      <c r="Y8" s="37">
        <v>33019</v>
      </c>
      <c r="Z8" s="38">
        <v>29341</v>
      </c>
      <c r="AA8" s="39">
        <f t="shared" si="0"/>
        <v>750673</v>
      </c>
      <c r="AB8" s="21">
        <v>6</v>
      </c>
      <c r="AC8" s="82"/>
      <c r="AD8" s="46"/>
    </row>
    <row r="9" spans="1:30" ht="15.75" thickBot="1" x14ac:dyDescent="0.3">
      <c r="A9" s="79">
        <v>47515</v>
      </c>
      <c r="B9" s="16" t="s">
        <v>5</v>
      </c>
      <c r="C9" s="31">
        <v>27129</v>
      </c>
      <c r="D9" s="31">
        <v>25629</v>
      </c>
      <c r="E9" s="31">
        <v>24767</v>
      </c>
      <c r="F9" s="31">
        <v>24343</v>
      </c>
      <c r="G9" s="31">
        <v>24833</v>
      </c>
      <c r="H9" s="31">
        <v>27082</v>
      </c>
      <c r="I9" s="31">
        <v>28874</v>
      </c>
      <c r="J9" s="31">
        <v>30819</v>
      </c>
      <c r="K9" s="31">
        <v>33400</v>
      </c>
      <c r="L9" s="31">
        <v>35334</v>
      </c>
      <c r="M9" s="31">
        <v>37447</v>
      </c>
      <c r="N9" s="31">
        <v>39405</v>
      </c>
      <c r="O9" s="31">
        <v>38618</v>
      </c>
      <c r="P9" s="31">
        <v>38917</v>
      </c>
      <c r="Q9" s="31">
        <v>39827</v>
      </c>
      <c r="R9" s="31">
        <v>39990</v>
      </c>
      <c r="S9" s="31">
        <v>39544</v>
      </c>
      <c r="T9" s="31">
        <v>38512</v>
      </c>
      <c r="U9" s="31">
        <v>40662</v>
      </c>
      <c r="V9" s="31">
        <v>43741</v>
      </c>
      <c r="W9" s="31">
        <v>42224</v>
      </c>
      <c r="X9" s="31">
        <v>39328</v>
      </c>
      <c r="Y9" s="31">
        <v>34758</v>
      </c>
      <c r="Z9" s="32">
        <v>30211</v>
      </c>
      <c r="AA9" s="33">
        <f t="shared" si="0"/>
        <v>825394</v>
      </c>
      <c r="AB9" s="17">
        <v>20</v>
      </c>
      <c r="AC9" s="80">
        <f>+AA9*AB9+AA10*AB10+AA11*AB11</f>
        <v>22874512</v>
      </c>
    </row>
    <row r="10" spans="1:30" ht="15.75" thickBot="1" x14ac:dyDescent="0.3">
      <c r="A10" s="79"/>
      <c r="B10" s="18" t="s">
        <v>4</v>
      </c>
      <c r="C10" s="34">
        <v>28134</v>
      </c>
      <c r="D10" s="34">
        <v>26470</v>
      </c>
      <c r="E10" s="34">
        <v>25401</v>
      </c>
      <c r="F10" s="34">
        <v>24786</v>
      </c>
      <c r="G10" s="34">
        <v>24859</v>
      </c>
      <c r="H10" s="34">
        <v>25731</v>
      </c>
      <c r="I10" s="34">
        <v>27126</v>
      </c>
      <c r="J10" s="34">
        <v>29746</v>
      </c>
      <c r="K10" s="34">
        <v>33114</v>
      </c>
      <c r="L10" s="34">
        <v>35460</v>
      </c>
      <c r="M10" s="34">
        <v>37324</v>
      </c>
      <c r="N10" s="34">
        <v>39135</v>
      </c>
      <c r="O10" s="34">
        <v>39185</v>
      </c>
      <c r="P10" s="34">
        <v>38683</v>
      </c>
      <c r="Q10" s="34">
        <v>38253</v>
      </c>
      <c r="R10" s="34">
        <v>38017</v>
      </c>
      <c r="S10" s="34">
        <v>37694</v>
      </c>
      <c r="T10" s="34">
        <v>37576</v>
      </c>
      <c r="U10" s="34">
        <v>40433</v>
      </c>
      <c r="V10" s="34">
        <v>43529</v>
      </c>
      <c r="W10" s="34">
        <v>41824</v>
      </c>
      <c r="X10" s="34">
        <v>39402</v>
      </c>
      <c r="Y10" s="34">
        <v>35939</v>
      </c>
      <c r="Z10" s="35">
        <v>32091</v>
      </c>
      <c r="AA10" s="36">
        <f t="shared" si="0"/>
        <v>819912</v>
      </c>
      <c r="AB10" s="19">
        <v>4</v>
      </c>
      <c r="AC10" s="81"/>
      <c r="AD10" s="45"/>
    </row>
    <row r="11" spans="1:30" x14ac:dyDescent="0.25">
      <c r="A11" s="79"/>
      <c r="B11" s="20" t="s">
        <v>3</v>
      </c>
      <c r="C11" s="37">
        <v>29220</v>
      </c>
      <c r="D11" s="37">
        <v>27332</v>
      </c>
      <c r="E11" s="37">
        <v>26182</v>
      </c>
      <c r="F11" s="37">
        <v>25318</v>
      </c>
      <c r="G11" s="37">
        <v>25042</v>
      </c>
      <c r="H11" s="37">
        <v>25301</v>
      </c>
      <c r="I11" s="37">
        <v>25508</v>
      </c>
      <c r="J11" s="37">
        <v>27198</v>
      </c>
      <c r="K11" s="37">
        <v>29903</v>
      </c>
      <c r="L11" s="37">
        <v>32119</v>
      </c>
      <c r="M11" s="37">
        <v>33586</v>
      </c>
      <c r="N11" s="37">
        <v>35173</v>
      </c>
      <c r="O11" s="37">
        <v>36062</v>
      </c>
      <c r="P11" s="37">
        <v>35772</v>
      </c>
      <c r="Q11" s="37">
        <v>35063</v>
      </c>
      <c r="R11" s="37">
        <v>34634</v>
      </c>
      <c r="S11" s="37">
        <v>34418</v>
      </c>
      <c r="T11" s="37">
        <v>34599</v>
      </c>
      <c r="U11" s="37">
        <v>37672</v>
      </c>
      <c r="V11" s="37">
        <v>41092</v>
      </c>
      <c r="W11" s="37">
        <v>40048</v>
      </c>
      <c r="X11" s="37">
        <v>37563</v>
      </c>
      <c r="Y11" s="37">
        <v>33482</v>
      </c>
      <c r="Z11" s="38">
        <v>29459</v>
      </c>
      <c r="AA11" s="39">
        <f t="shared" si="0"/>
        <v>771746</v>
      </c>
      <c r="AB11" s="21">
        <v>4</v>
      </c>
      <c r="AC11" s="82"/>
      <c r="AD11" s="46"/>
    </row>
    <row r="12" spans="1:30" ht="15.75" thickBot="1" x14ac:dyDescent="0.3">
      <c r="A12" s="79">
        <v>47543</v>
      </c>
      <c r="B12" s="16" t="s">
        <v>5</v>
      </c>
      <c r="C12" s="31">
        <v>26553</v>
      </c>
      <c r="D12" s="31">
        <v>25117</v>
      </c>
      <c r="E12" s="31">
        <v>24321</v>
      </c>
      <c r="F12" s="31">
        <v>23923</v>
      </c>
      <c r="G12" s="31">
        <v>24451</v>
      </c>
      <c r="H12" s="31">
        <v>26656</v>
      </c>
      <c r="I12" s="31">
        <v>28201</v>
      </c>
      <c r="J12" s="31">
        <v>30354</v>
      </c>
      <c r="K12" s="31">
        <v>32832</v>
      </c>
      <c r="L12" s="31">
        <v>34689</v>
      </c>
      <c r="M12" s="31">
        <v>36668</v>
      </c>
      <c r="N12" s="31">
        <v>38452</v>
      </c>
      <c r="O12" s="31">
        <v>37741</v>
      </c>
      <c r="P12" s="31">
        <v>37898</v>
      </c>
      <c r="Q12" s="31">
        <v>38680</v>
      </c>
      <c r="R12" s="31">
        <v>38807</v>
      </c>
      <c r="S12" s="31">
        <v>38468</v>
      </c>
      <c r="T12" s="31">
        <v>37741</v>
      </c>
      <c r="U12" s="31">
        <v>40424</v>
      </c>
      <c r="V12" s="31">
        <v>43051</v>
      </c>
      <c r="W12" s="31">
        <v>41487</v>
      </c>
      <c r="X12" s="31">
        <v>38542</v>
      </c>
      <c r="Y12" s="31">
        <v>34063</v>
      </c>
      <c r="Z12" s="32">
        <v>29642</v>
      </c>
      <c r="AA12" s="33">
        <f t="shared" si="0"/>
        <v>808761</v>
      </c>
      <c r="AB12" s="17">
        <v>20</v>
      </c>
      <c r="AC12" s="80">
        <f>+AA12*AB12+AA13*AB13+AA14*AB14</f>
        <v>24623241</v>
      </c>
    </row>
    <row r="13" spans="1:30" ht="15.75" thickBot="1" x14ac:dyDescent="0.3">
      <c r="A13" s="79"/>
      <c r="B13" s="18" t="s">
        <v>4</v>
      </c>
      <c r="C13" s="34">
        <v>27389</v>
      </c>
      <c r="D13" s="34">
        <v>25731</v>
      </c>
      <c r="E13" s="34">
        <v>24849</v>
      </c>
      <c r="F13" s="34">
        <v>24345</v>
      </c>
      <c r="G13" s="34">
        <v>24375</v>
      </c>
      <c r="H13" s="34">
        <v>25301</v>
      </c>
      <c r="I13" s="34">
        <v>26108</v>
      </c>
      <c r="J13" s="34">
        <v>28982</v>
      </c>
      <c r="K13" s="34">
        <v>32107</v>
      </c>
      <c r="L13" s="34">
        <v>34372</v>
      </c>
      <c r="M13" s="34">
        <v>36171</v>
      </c>
      <c r="N13" s="34">
        <v>37670</v>
      </c>
      <c r="O13" s="34">
        <v>37640</v>
      </c>
      <c r="P13" s="34">
        <v>37106</v>
      </c>
      <c r="Q13" s="34">
        <v>36706</v>
      </c>
      <c r="R13" s="34">
        <v>36405</v>
      </c>
      <c r="S13" s="34">
        <v>36014</v>
      </c>
      <c r="T13" s="34">
        <v>36041</v>
      </c>
      <c r="U13" s="34">
        <v>39302</v>
      </c>
      <c r="V13" s="34">
        <v>41778</v>
      </c>
      <c r="W13" s="34">
        <v>40159</v>
      </c>
      <c r="X13" s="34">
        <v>37843</v>
      </c>
      <c r="Y13" s="34">
        <v>34398</v>
      </c>
      <c r="Z13" s="35">
        <v>30917</v>
      </c>
      <c r="AA13" s="36">
        <f t="shared" si="0"/>
        <v>791709</v>
      </c>
      <c r="AB13" s="19">
        <v>5</v>
      </c>
      <c r="AC13" s="81"/>
      <c r="AD13" s="45"/>
    </row>
    <row r="14" spans="1:30" x14ac:dyDescent="0.25">
      <c r="A14" s="79"/>
      <c r="B14" s="20" t="s">
        <v>3</v>
      </c>
      <c r="C14" s="37">
        <v>28227</v>
      </c>
      <c r="D14" s="37">
        <v>26401</v>
      </c>
      <c r="E14" s="37">
        <v>25328</v>
      </c>
      <c r="F14" s="37">
        <v>24600</v>
      </c>
      <c r="G14" s="37">
        <v>24297</v>
      </c>
      <c r="H14" s="37">
        <v>24656</v>
      </c>
      <c r="I14" s="37">
        <v>24566</v>
      </c>
      <c r="J14" s="37">
        <v>26392</v>
      </c>
      <c r="K14" s="37">
        <v>28878</v>
      </c>
      <c r="L14" s="37">
        <v>30883</v>
      </c>
      <c r="M14" s="37">
        <v>32280</v>
      </c>
      <c r="N14" s="37">
        <v>33869</v>
      </c>
      <c r="O14" s="37">
        <v>34815</v>
      </c>
      <c r="P14" s="37">
        <v>34551</v>
      </c>
      <c r="Q14" s="37">
        <v>33825</v>
      </c>
      <c r="R14" s="37">
        <v>33501</v>
      </c>
      <c r="S14" s="37">
        <v>33290</v>
      </c>
      <c r="T14" s="37">
        <v>33550</v>
      </c>
      <c r="U14" s="37">
        <v>37071</v>
      </c>
      <c r="V14" s="37">
        <v>39990</v>
      </c>
      <c r="W14" s="37">
        <v>38864</v>
      </c>
      <c r="X14" s="37">
        <v>36535</v>
      </c>
      <c r="Y14" s="37">
        <v>32745</v>
      </c>
      <c r="Z14" s="38">
        <v>29132</v>
      </c>
      <c r="AA14" s="39">
        <f t="shared" si="0"/>
        <v>748246</v>
      </c>
      <c r="AB14" s="21">
        <v>6</v>
      </c>
      <c r="AC14" s="82"/>
      <c r="AD14" s="43"/>
    </row>
    <row r="15" spans="1:30" ht="15.75" thickBot="1" x14ac:dyDescent="0.3">
      <c r="A15" s="79">
        <v>47574</v>
      </c>
      <c r="B15" s="16" t="s">
        <v>5</v>
      </c>
      <c r="C15" s="31">
        <v>25941</v>
      </c>
      <c r="D15" s="31">
        <v>24566</v>
      </c>
      <c r="E15" s="31">
        <v>23738</v>
      </c>
      <c r="F15" s="31">
        <v>23354</v>
      </c>
      <c r="G15" s="31">
        <v>23840</v>
      </c>
      <c r="H15" s="31">
        <v>25618</v>
      </c>
      <c r="I15" s="31">
        <v>26927</v>
      </c>
      <c r="J15" s="31">
        <v>29300</v>
      </c>
      <c r="K15" s="31">
        <v>31778</v>
      </c>
      <c r="L15" s="31">
        <v>33719</v>
      </c>
      <c r="M15" s="31">
        <v>35768</v>
      </c>
      <c r="N15" s="31">
        <v>37624</v>
      </c>
      <c r="O15" s="31">
        <v>36961</v>
      </c>
      <c r="P15" s="31">
        <v>37131</v>
      </c>
      <c r="Q15" s="31">
        <v>37866</v>
      </c>
      <c r="R15" s="31">
        <v>37941</v>
      </c>
      <c r="S15" s="31">
        <v>37559</v>
      </c>
      <c r="T15" s="31">
        <v>37004</v>
      </c>
      <c r="U15" s="31">
        <v>40234</v>
      </c>
      <c r="V15" s="31">
        <v>42155</v>
      </c>
      <c r="W15" s="31">
        <v>40672</v>
      </c>
      <c r="X15" s="31">
        <v>37698</v>
      </c>
      <c r="Y15" s="31">
        <v>33198</v>
      </c>
      <c r="Z15" s="32">
        <v>28893</v>
      </c>
      <c r="AA15" s="33">
        <f t="shared" si="0"/>
        <v>789485</v>
      </c>
      <c r="AB15" s="17">
        <v>20</v>
      </c>
      <c r="AC15" s="80">
        <f>+AA15*AB15+AA16*AB16+AA17*AB17</f>
        <v>23296236</v>
      </c>
    </row>
    <row r="16" spans="1:30" ht="15.75" thickBot="1" x14ac:dyDescent="0.3">
      <c r="A16" s="79"/>
      <c r="B16" s="18" t="s">
        <v>4</v>
      </c>
      <c r="C16" s="34">
        <v>26494</v>
      </c>
      <c r="D16" s="34">
        <v>24924</v>
      </c>
      <c r="E16" s="34">
        <v>23915</v>
      </c>
      <c r="F16" s="34">
        <v>23320</v>
      </c>
      <c r="G16" s="34">
        <v>23429</v>
      </c>
      <c r="H16" s="34">
        <v>24102</v>
      </c>
      <c r="I16" s="34">
        <v>24948</v>
      </c>
      <c r="J16" s="34">
        <v>27949</v>
      </c>
      <c r="K16" s="34">
        <v>31025</v>
      </c>
      <c r="L16" s="34">
        <v>33360</v>
      </c>
      <c r="M16" s="34">
        <v>35048</v>
      </c>
      <c r="N16" s="34">
        <v>36962</v>
      </c>
      <c r="O16" s="34">
        <v>37080</v>
      </c>
      <c r="P16" s="34">
        <v>36633</v>
      </c>
      <c r="Q16" s="34">
        <v>36228</v>
      </c>
      <c r="R16" s="34">
        <v>35948</v>
      </c>
      <c r="S16" s="34">
        <v>35847</v>
      </c>
      <c r="T16" s="34">
        <v>36019</v>
      </c>
      <c r="U16" s="34">
        <v>39693</v>
      </c>
      <c r="V16" s="34">
        <v>41725</v>
      </c>
      <c r="W16" s="34">
        <v>40016</v>
      </c>
      <c r="X16" s="34">
        <v>37538</v>
      </c>
      <c r="Y16" s="34">
        <v>34048</v>
      </c>
      <c r="Z16" s="35">
        <v>30487</v>
      </c>
      <c r="AA16" s="36">
        <f t="shared" si="0"/>
        <v>776738</v>
      </c>
      <c r="AB16" s="19">
        <v>4</v>
      </c>
      <c r="AC16" s="81"/>
      <c r="AD16" s="45"/>
    </row>
    <row r="17" spans="1:30" x14ac:dyDescent="0.25">
      <c r="A17" s="79"/>
      <c r="B17" s="20" t="s">
        <v>3</v>
      </c>
      <c r="C17" s="37">
        <v>27610</v>
      </c>
      <c r="D17" s="37">
        <v>25848</v>
      </c>
      <c r="E17" s="37">
        <v>24709</v>
      </c>
      <c r="F17" s="37">
        <v>23934</v>
      </c>
      <c r="G17" s="37">
        <v>23634</v>
      </c>
      <c r="H17" s="37">
        <v>23594</v>
      </c>
      <c r="I17" s="37">
        <v>23778</v>
      </c>
      <c r="J17" s="37">
        <v>25838</v>
      </c>
      <c r="K17" s="37">
        <v>28248</v>
      </c>
      <c r="L17" s="37">
        <v>30363</v>
      </c>
      <c r="M17" s="37">
        <v>31869</v>
      </c>
      <c r="N17" s="37">
        <v>33403</v>
      </c>
      <c r="O17" s="37">
        <v>34295</v>
      </c>
      <c r="P17" s="37">
        <v>34049</v>
      </c>
      <c r="Q17" s="37">
        <v>33279</v>
      </c>
      <c r="R17" s="37">
        <v>32915</v>
      </c>
      <c r="S17" s="37">
        <v>32707</v>
      </c>
      <c r="T17" s="37">
        <v>33003</v>
      </c>
      <c r="U17" s="37">
        <v>36926</v>
      </c>
      <c r="V17" s="37">
        <v>39275</v>
      </c>
      <c r="W17" s="37">
        <v>38045</v>
      </c>
      <c r="X17" s="37">
        <v>35647</v>
      </c>
      <c r="Y17" s="37">
        <v>31977</v>
      </c>
      <c r="Z17" s="38">
        <v>28318</v>
      </c>
      <c r="AA17" s="39">
        <f t="shared" si="0"/>
        <v>733264</v>
      </c>
      <c r="AB17" s="21">
        <v>6</v>
      </c>
      <c r="AC17" s="82"/>
      <c r="AD17" s="46"/>
    </row>
    <row r="18" spans="1:30" ht="15.75" thickBot="1" x14ac:dyDescent="0.3">
      <c r="A18" s="79">
        <v>47604</v>
      </c>
      <c r="B18" s="16" t="s">
        <v>5</v>
      </c>
      <c r="C18" s="31">
        <v>25979</v>
      </c>
      <c r="D18" s="31">
        <v>24557</v>
      </c>
      <c r="E18" s="31">
        <v>23765</v>
      </c>
      <c r="F18" s="31">
        <v>23369</v>
      </c>
      <c r="G18" s="31">
        <v>23837</v>
      </c>
      <c r="H18" s="31">
        <v>25362</v>
      </c>
      <c r="I18" s="31">
        <v>26956</v>
      </c>
      <c r="J18" s="31">
        <v>29447</v>
      </c>
      <c r="K18" s="31">
        <v>31993</v>
      </c>
      <c r="L18" s="31">
        <v>33992</v>
      </c>
      <c r="M18" s="31">
        <v>36003</v>
      </c>
      <c r="N18" s="31">
        <v>37911</v>
      </c>
      <c r="O18" s="31">
        <v>37335</v>
      </c>
      <c r="P18" s="31">
        <v>37327</v>
      </c>
      <c r="Q18" s="31">
        <v>37903</v>
      </c>
      <c r="R18" s="31">
        <v>37970</v>
      </c>
      <c r="S18" s="31">
        <v>37583</v>
      </c>
      <c r="T18" s="31">
        <v>37129</v>
      </c>
      <c r="U18" s="31">
        <v>40502</v>
      </c>
      <c r="V18" s="31">
        <v>42413</v>
      </c>
      <c r="W18" s="31">
        <v>40755</v>
      </c>
      <c r="X18" s="31">
        <v>37773</v>
      </c>
      <c r="Y18" s="31">
        <v>33201</v>
      </c>
      <c r="Z18" s="32">
        <v>28966</v>
      </c>
      <c r="AA18" s="33">
        <f t="shared" si="0"/>
        <v>792028</v>
      </c>
      <c r="AB18" s="17">
        <v>22</v>
      </c>
      <c r="AC18" s="80">
        <f>+AA18*AB18+AA19*AB19+AA20*AB20</f>
        <v>24288830</v>
      </c>
    </row>
    <row r="19" spans="1:30" ht="15.75" thickBot="1" x14ac:dyDescent="0.3">
      <c r="A19" s="79"/>
      <c r="B19" s="18" t="s">
        <v>4</v>
      </c>
      <c r="C19" s="34">
        <v>26941</v>
      </c>
      <c r="D19" s="34">
        <v>25383</v>
      </c>
      <c r="E19" s="34">
        <v>24442</v>
      </c>
      <c r="F19" s="34">
        <v>23887</v>
      </c>
      <c r="G19" s="34">
        <v>23984</v>
      </c>
      <c r="H19" s="34">
        <v>24376</v>
      </c>
      <c r="I19" s="34">
        <v>25654</v>
      </c>
      <c r="J19" s="34">
        <v>28670</v>
      </c>
      <c r="K19" s="34">
        <v>31817</v>
      </c>
      <c r="L19" s="34">
        <v>34249</v>
      </c>
      <c r="M19" s="34">
        <v>35915</v>
      </c>
      <c r="N19" s="34">
        <v>37436</v>
      </c>
      <c r="O19" s="34">
        <v>37441</v>
      </c>
      <c r="P19" s="34">
        <v>36845</v>
      </c>
      <c r="Q19" s="34">
        <v>36239</v>
      </c>
      <c r="R19" s="34">
        <v>35873</v>
      </c>
      <c r="S19" s="34">
        <v>35607</v>
      </c>
      <c r="T19" s="34">
        <v>35935</v>
      </c>
      <c r="U19" s="34">
        <v>39928</v>
      </c>
      <c r="V19" s="34">
        <v>41548</v>
      </c>
      <c r="W19" s="34">
        <v>39901</v>
      </c>
      <c r="X19" s="34">
        <v>37376</v>
      </c>
      <c r="Y19" s="34">
        <v>33865</v>
      </c>
      <c r="Z19" s="35">
        <v>30364</v>
      </c>
      <c r="AA19" s="36">
        <f t="shared" si="0"/>
        <v>783676</v>
      </c>
      <c r="AB19" s="19">
        <v>4</v>
      </c>
      <c r="AC19" s="81"/>
      <c r="AD19" s="45"/>
    </row>
    <row r="20" spans="1:30" x14ac:dyDescent="0.25">
      <c r="A20" s="79"/>
      <c r="B20" s="20" t="s">
        <v>3</v>
      </c>
      <c r="C20" s="37">
        <v>27412</v>
      </c>
      <c r="D20" s="37">
        <v>25708</v>
      </c>
      <c r="E20" s="37">
        <v>24651</v>
      </c>
      <c r="F20" s="37">
        <v>23947</v>
      </c>
      <c r="G20" s="37">
        <v>23731</v>
      </c>
      <c r="H20" s="37">
        <v>23463</v>
      </c>
      <c r="I20" s="37">
        <v>23945</v>
      </c>
      <c r="J20" s="37">
        <v>26239</v>
      </c>
      <c r="K20" s="37">
        <v>28792</v>
      </c>
      <c r="L20" s="37">
        <v>31058</v>
      </c>
      <c r="M20" s="37">
        <v>32607</v>
      </c>
      <c r="N20" s="37">
        <v>34226</v>
      </c>
      <c r="O20" s="37">
        <v>34936</v>
      </c>
      <c r="P20" s="37">
        <v>34793</v>
      </c>
      <c r="Q20" s="37">
        <v>33950</v>
      </c>
      <c r="R20" s="37">
        <v>34898</v>
      </c>
      <c r="S20" s="37">
        <v>33356</v>
      </c>
      <c r="T20" s="37">
        <v>33724</v>
      </c>
      <c r="U20" s="37">
        <v>37779</v>
      </c>
      <c r="V20" s="37">
        <v>40135</v>
      </c>
      <c r="W20" s="37">
        <v>38869</v>
      </c>
      <c r="X20" s="37">
        <v>36321</v>
      </c>
      <c r="Y20" s="37">
        <v>32547</v>
      </c>
      <c r="Z20" s="38">
        <v>28815</v>
      </c>
      <c r="AA20" s="39">
        <f t="shared" si="0"/>
        <v>745902</v>
      </c>
      <c r="AB20" s="21">
        <v>5</v>
      </c>
      <c r="AC20" s="82"/>
      <c r="AD20" s="46"/>
    </row>
    <row r="21" spans="1:30" ht="15.75" thickBot="1" x14ac:dyDescent="0.3">
      <c r="A21" s="79">
        <v>47635</v>
      </c>
      <c r="B21" s="16" t="s">
        <v>5</v>
      </c>
      <c r="C21" s="31">
        <v>25673</v>
      </c>
      <c r="D21" s="31">
        <v>24221</v>
      </c>
      <c r="E21" s="31">
        <v>23495</v>
      </c>
      <c r="F21" s="31">
        <v>23105</v>
      </c>
      <c r="G21" s="31">
        <v>23536</v>
      </c>
      <c r="H21" s="31">
        <v>24845</v>
      </c>
      <c r="I21" s="31">
        <v>26571</v>
      </c>
      <c r="J21" s="31">
        <v>29200</v>
      </c>
      <c r="K21" s="31">
        <v>31855</v>
      </c>
      <c r="L21" s="31">
        <v>33836</v>
      </c>
      <c r="M21" s="31">
        <v>35905</v>
      </c>
      <c r="N21" s="31">
        <v>37837</v>
      </c>
      <c r="O21" s="31">
        <v>37213</v>
      </c>
      <c r="P21" s="31">
        <v>37172</v>
      </c>
      <c r="Q21" s="31">
        <v>37882</v>
      </c>
      <c r="R21" s="31">
        <v>37922</v>
      </c>
      <c r="S21" s="31">
        <v>37535</v>
      </c>
      <c r="T21" s="31">
        <v>36954</v>
      </c>
      <c r="U21" s="31">
        <v>39643</v>
      </c>
      <c r="V21" s="31">
        <v>42153</v>
      </c>
      <c r="W21" s="31">
        <v>40581</v>
      </c>
      <c r="X21" s="31">
        <v>37625</v>
      </c>
      <c r="Y21" s="31">
        <v>32986</v>
      </c>
      <c r="Z21" s="32">
        <v>28687</v>
      </c>
      <c r="AA21" s="33">
        <f t="shared" si="0"/>
        <v>786432</v>
      </c>
      <c r="AB21" s="17">
        <v>18</v>
      </c>
      <c r="AC21" s="80">
        <f>+AA21*AB21+AA22*AB22+AA23*AB23</f>
        <v>23421290</v>
      </c>
    </row>
    <row r="22" spans="1:30" ht="15.75" thickBot="1" x14ac:dyDescent="0.3">
      <c r="A22" s="79"/>
      <c r="B22" s="18" t="s">
        <v>4</v>
      </c>
      <c r="C22" s="34">
        <v>26914</v>
      </c>
      <c r="D22" s="34">
        <v>25238</v>
      </c>
      <c r="E22" s="34">
        <v>24278</v>
      </c>
      <c r="F22" s="34">
        <v>23735</v>
      </c>
      <c r="G22" s="34">
        <v>23783</v>
      </c>
      <c r="H22" s="34">
        <v>24169</v>
      </c>
      <c r="I22" s="34">
        <v>25431</v>
      </c>
      <c r="J22" s="34">
        <v>28414</v>
      </c>
      <c r="K22" s="34">
        <v>31780</v>
      </c>
      <c r="L22" s="34">
        <v>34091</v>
      </c>
      <c r="M22" s="34">
        <v>35895</v>
      </c>
      <c r="N22" s="34">
        <v>37459</v>
      </c>
      <c r="O22" s="34">
        <v>37562</v>
      </c>
      <c r="P22" s="34">
        <v>37177</v>
      </c>
      <c r="Q22" s="34">
        <v>36780</v>
      </c>
      <c r="R22" s="34">
        <v>36712</v>
      </c>
      <c r="S22" s="34">
        <v>36438</v>
      </c>
      <c r="T22" s="34">
        <v>36711</v>
      </c>
      <c r="U22" s="34">
        <v>40138</v>
      </c>
      <c r="V22" s="34">
        <v>42337</v>
      </c>
      <c r="W22" s="34">
        <v>40601</v>
      </c>
      <c r="X22" s="34">
        <v>38122</v>
      </c>
      <c r="Y22" s="34">
        <v>34451</v>
      </c>
      <c r="Z22" s="35">
        <v>30716</v>
      </c>
      <c r="AA22" s="36">
        <f t="shared" si="0"/>
        <v>788932</v>
      </c>
      <c r="AB22" s="19">
        <v>5</v>
      </c>
      <c r="AC22" s="81"/>
      <c r="AD22" s="45"/>
    </row>
    <row r="23" spans="1:30" x14ac:dyDescent="0.25">
      <c r="A23" s="79"/>
      <c r="B23" s="20" t="s">
        <v>3</v>
      </c>
      <c r="C23" s="37">
        <v>28010</v>
      </c>
      <c r="D23" s="37">
        <v>26224</v>
      </c>
      <c r="E23" s="37">
        <v>25187</v>
      </c>
      <c r="F23" s="37">
        <v>24481</v>
      </c>
      <c r="G23" s="37">
        <v>24314</v>
      </c>
      <c r="H23" s="37">
        <v>24286</v>
      </c>
      <c r="I23" s="37">
        <v>24609</v>
      </c>
      <c r="J23" s="37">
        <v>27000</v>
      </c>
      <c r="K23" s="37">
        <v>29658</v>
      </c>
      <c r="L23" s="37">
        <v>31710</v>
      </c>
      <c r="M23" s="37">
        <v>33398</v>
      </c>
      <c r="N23" s="37">
        <v>35031</v>
      </c>
      <c r="O23" s="37">
        <v>35613</v>
      </c>
      <c r="P23" s="37">
        <v>35366</v>
      </c>
      <c r="Q23" s="37">
        <v>34682</v>
      </c>
      <c r="R23" s="37">
        <v>34360</v>
      </c>
      <c r="S23" s="37">
        <v>34184</v>
      </c>
      <c r="T23" s="37">
        <v>34464</v>
      </c>
      <c r="U23" s="37">
        <v>37940</v>
      </c>
      <c r="V23" s="37">
        <v>40730</v>
      </c>
      <c r="W23" s="37">
        <v>39529</v>
      </c>
      <c r="X23" s="37">
        <v>36950</v>
      </c>
      <c r="Y23" s="37">
        <v>33074</v>
      </c>
      <c r="Z23" s="38">
        <v>29322</v>
      </c>
      <c r="AA23" s="39">
        <f t="shared" si="0"/>
        <v>760122</v>
      </c>
      <c r="AB23" s="21">
        <v>7</v>
      </c>
      <c r="AC23" s="82"/>
      <c r="AD23" s="46"/>
    </row>
    <row r="24" spans="1:30" ht="15.75" thickBot="1" x14ac:dyDescent="0.3">
      <c r="A24" s="79">
        <v>47665</v>
      </c>
      <c r="B24" s="16" t="s">
        <v>5</v>
      </c>
      <c r="C24" s="31">
        <v>26879</v>
      </c>
      <c r="D24" s="31">
        <v>25350</v>
      </c>
      <c r="E24" s="31">
        <v>24468</v>
      </c>
      <c r="F24" s="31">
        <v>23988</v>
      </c>
      <c r="G24" s="31">
        <v>24397</v>
      </c>
      <c r="H24" s="31">
        <v>25700</v>
      </c>
      <c r="I24" s="31">
        <v>27102</v>
      </c>
      <c r="J24" s="31">
        <v>30036</v>
      </c>
      <c r="K24" s="31">
        <v>32888</v>
      </c>
      <c r="L24" s="31">
        <v>35123</v>
      </c>
      <c r="M24" s="31">
        <v>37287</v>
      </c>
      <c r="N24" s="31">
        <v>39206</v>
      </c>
      <c r="O24" s="31">
        <v>38527</v>
      </c>
      <c r="P24" s="31">
        <v>38610</v>
      </c>
      <c r="Q24" s="31">
        <v>39318</v>
      </c>
      <c r="R24" s="31">
        <v>39397</v>
      </c>
      <c r="S24" s="31">
        <v>38839</v>
      </c>
      <c r="T24" s="31">
        <v>37869</v>
      </c>
      <c r="U24" s="31">
        <v>40091</v>
      </c>
      <c r="V24" s="31">
        <v>43074</v>
      </c>
      <c r="W24" s="31">
        <v>41680</v>
      </c>
      <c r="X24" s="31">
        <v>38871</v>
      </c>
      <c r="Y24" s="31">
        <v>34237</v>
      </c>
      <c r="Z24" s="32">
        <v>29971</v>
      </c>
      <c r="AA24" s="33">
        <f t="shared" si="0"/>
        <v>812908</v>
      </c>
      <c r="AB24" s="17">
        <v>22</v>
      </c>
      <c r="AC24" s="80">
        <f>+AA24*AB24+AA25*AB25+AA26*AB26</f>
        <v>24842890</v>
      </c>
    </row>
    <row r="25" spans="1:30" ht="15.75" thickBot="1" x14ac:dyDescent="0.3">
      <c r="A25" s="79"/>
      <c r="B25" s="18" t="s">
        <v>4</v>
      </c>
      <c r="C25" s="34">
        <v>26939</v>
      </c>
      <c r="D25" s="34">
        <v>25184</v>
      </c>
      <c r="E25" s="34">
        <v>24290</v>
      </c>
      <c r="F25" s="34">
        <v>23692</v>
      </c>
      <c r="G25" s="34">
        <v>23749</v>
      </c>
      <c r="H25" s="34">
        <v>24248</v>
      </c>
      <c r="I25" s="34">
        <v>25454</v>
      </c>
      <c r="J25" s="34">
        <v>29007</v>
      </c>
      <c r="K25" s="34">
        <v>32389</v>
      </c>
      <c r="L25" s="34">
        <v>34704</v>
      </c>
      <c r="M25" s="34">
        <v>36524</v>
      </c>
      <c r="N25" s="34">
        <v>38063</v>
      </c>
      <c r="O25" s="34">
        <v>37991</v>
      </c>
      <c r="P25" s="34">
        <v>37397</v>
      </c>
      <c r="Q25" s="34">
        <v>36855</v>
      </c>
      <c r="R25" s="34">
        <v>36574</v>
      </c>
      <c r="S25" s="34">
        <v>36250</v>
      </c>
      <c r="T25" s="34">
        <v>36358</v>
      </c>
      <c r="U25" s="34">
        <v>39074</v>
      </c>
      <c r="V25" s="34">
        <v>41946</v>
      </c>
      <c r="W25" s="34">
        <v>40343</v>
      </c>
      <c r="X25" s="34">
        <v>38052</v>
      </c>
      <c r="Y25" s="34">
        <v>34462</v>
      </c>
      <c r="Z25" s="35">
        <v>30911</v>
      </c>
      <c r="AA25" s="36">
        <f t="shared" si="0"/>
        <v>790456</v>
      </c>
      <c r="AB25" s="19">
        <v>3</v>
      </c>
      <c r="AC25" s="81"/>
      <c r="AD25" s="45"/>
    </row>
    <row r="26" spans="1:30" x14ac:dyDescent="0.25">
      <c r="A26" s="79"/>
      <c r="B26" s="20" t="s">
        <v>3</v>
      </c>
      <c r="C26" s="37">
        <v>28588</v>
      </c>
      <c r="D26" s="37">
        <v>26833</v>
      </c>
      <c r="E26" s="37">
        <v>25674</v>
      </c>
      <c r="F26" s="37">
        <v>24917</v>
      </c>
      <c r="G26" s="37">
        <v>24681</v>
      </c>
      <c r="H26" s="37">
        <v>24689</v>
      </c>
      <c r="I26" s="37">
        <v>24850</v>
      </c>
      <c r="J26" s="37">
        <v>27110</v>
      </c>
      <c r="K26" s="37">
        <v>29820</v>
      </c>
      <c r="L26" s="37">
        <v>32068</v>
      </c>
      <c r="M26" s="37">
        <v>33704</v>
      </c>
      <c r="N26" s="37">
        <v>35221</v>
      </c>
      <c r="O26" s="37">
        <v>35973</v>
      </c>
      <c r="P26" s="37">
        <v>35577</v>
      </c>
      <c r="Q26" s="37">
        <v>34791</v>
      </c>
      <c r="R26" s="37">
        <v>34374</v>
      </c>
      <c r="S26" s="37">
        <v>34051</v>
      </c>
      <c r="T26" s="37">
        <v>34200</v>
      </c>
      <c r="U26" s="37">
        <v>37079</v>
      </c>
      <c r="V26" s="37">
        <v>40619</v>
      </c>
      <c r="W26" s="37">
        <v>39584</v>
      </c>
      <c r="X26" s="37">
        <v>37202</v>
      </c>
      <c r="Y26" s="37">
        <v>33329</v>
      </c>
      <c r="Z26" s="38">
        <v>29657</v>
      </c>
      <c r="AA26" s="39">
        <f t="shared" si="0"/>
        <v>764591</v>
      </c>
      <c r="AB26" s="21">
        <v>6</v>
      </c>
      <c r="AC26" s="82"/>
      <c r="AD26" s="46"/>
    </row>
    <row r="27" spans="1:30" ht="15.75" thickBot="1" x14ac:dyDescent="0.3">
      <c r="A27" s="79">
        <v>47696</v>
      </c>
      <c r="B27" s="16" t="s">
        <v>5</v>
      </c>
      <c r="C27" s="31">
        <v>27196</v>
      </c>
      <c r="D27" s="31">
        <v>25746</v>
      </c>
      <c r="E27" s="31">
        <v>24946</v>
      </c>
      <c r="F27" s="31">
        <v>24472</v>
      </c>
      <c r="G27" s="31">
        <v>24901</v>
      </c>
      <c r="H27" s="31">
        <v>26628</v>
      </c>
      <c r="I27" s="31">
        <v>28166</v>
      </c>
      <c r="J27" s="31">
        <v>30778</v>
      </c>
      <c r="K27" s="31">
        <v>33512</v>
      </c>
      <c r="L27" s="31">
        <v>35604</v>
      </c>
      <c r="M27" s="31">
        <v>37822</v>
      </c>
      <c r="N27" s="31">
        <v>39765</v>
      </c>
      <c r="O27" s="31">
        <v>39081</v>
      </c>
      <c r="P27" s="31">
        <v>39390</v>
      </c>
      <c r="Q27" s="31">
        <v>40190</v>
      </c>
      <c r="R27" s="31">
        <v>40253</v>
      </c>
      <c r="S27" s="31">
        <v>39674</v>
      </c>
      <c r="T27" s="31">
        <v>38671</v>
      </c>
      <c r="U27" s="31">
        <v>41377</v>
      </c>
      <c r="V27" s="31">
        <v>43884</v>
      </c>
      <c r="W27" s="31">
        <v>42352</v>
      </c>
      <c r="X27" s="31">
        <v>39391</v>
      </c>
      <c r="Y27" s="31">
        <v>34698</v>
      </c>
      <c r="Z27" s="32">
        <v>30462</v>
      </c>
      <c r="AA27" s="33">
        <f t="shared" si="0"/>
        <v>828959</v>
      </c>
      <c r="AB27" s="17">
        <v>20</v>
      </c>
      <c r="AC27" s="80">
        <f>+AA27*AB27+AA28*AB28+AA29*AB29</f>
        <v>25279121</v>
      </c>
    </row>
    <row r="28" spans="1:30" ht="15.75" thickBot="1" x14ac:dyDescent="0.3">
      <c r="A28" s="79"/>
      <c r="B28" s="18" t="s">
        <v>4</v>
      </c>
      <c r="C28" s="34">
        <v>28307</v>
      </c>
      <c r="D28" s="34">
        <v>26736</v>
      </c>
      <c r="E28" s="34">
        <v>25752</v>
      </c>
      <c r="F28" s="34">
        <v>25016</v>
      </c>
      <c r="G28" s="34">
        <v>24961</v>
      </c>
      <c r="H28" s="34">
        <v>25654</v>
      </c>
      <c r="I28" s="34">
        <v>26476</v>
      </c>
      <c r="J28" s="34">
        <v>29827</v>
      </c>
      <c r="K28" s="34">
        <v>33216</v>
      </c>
      <c r="L28" s="34">
        <v>35538</v>
      </c>
      <c r="M28" s="34">
        <v>37574</v>
      </c>
      <c r="N28" s="34">
        <v>39114</v>
      </c>
      <c r="O28" s="34">
        <v>39125</v>
      </c>
      <c r="P28" s="34">
        <v>38705</v>
      </c>
      <c r="Q28" s="34">
        <v>38300</v>
      </c>
      <c r="R28" s="34">
        <v>38067</v>
      </c>
      <c r="S28" s="34">
        <v>37557</v>
      </c>
      <c r="T28" s="34">
        <v>37486</v>
      </c>
      <c r="U28" s="34">
        <v>40838</v>
      </c>
      <c r="V28" s="34">
        <v>43050</v>
      </c>
      <c r="W28" s="34">
        <v>41421</v>
      </c>
      <c r="X28" s="34">
        <v>39055</v>
      </c>
      <c r="Y28" s="34">
        <v>35610</v>
      </c>
      <c r="Z28" s="35">
        <v>31902</v>
      </c>
      <c r="AA28" s="36">
        <f t="shared" si="0"/>
        <v>819287</v>
      </c>
      <c r="AB28" s="19">
        <v>5</v>
      </c>
      <c r="AC28" s="81"/>
      <c r="AD28" s="45"/>
    </row>
    <row r="29" spans="1:30" x14ac:dyDescent="0.25">
      <c r="A29" s="79"/>
      <c r="B29" s="20" t="s">
        <v>3</v>
      </c>
      <c r="C29" s="37">
        <v>28836</v>
      </c>
      <c r="D29" s="37">
        <v>27048</v>
      </c>
      <c r="E29" s="37">
        <v>25869</v>
      </c>
      <c r="F29" s="37">
        <v>25119</v>
      </c>
      <c r="G29" s="37">
        <v>24874</v>
      </c>
      <c r="H29" s="37">
        <v>24957</v>
      </c>
      <c r="I29" s="37">
        <v>24953</v>
      </c>
      <c r="J29" s="37">
        <v>27304</v>
      </c>
      <c r="K29" s="37">
        <v>29958</v>
      </c>
      <c r="L29" s="37">
        <v>32147</v>
      </c>
      <c r="M29" s="37">
        <v>33697</v>
      </c>
      <c r="N29" s="37">
        <v>35303</v>
      </c>
      <c r="O29" s="37">
        <v>36132</v>
      </c>
      <c r="P29" s="37">
        <v>35808</v>
      </c>
      <c r="Q29" s="37">
        <v>34929</v>
      </c>
      <c r="R29" s="37">
        <v>34341</v>
      </c>
      <c r="S29" s="37">
        <v>34118</v>
      </c>
      <c r="T29" s="37">
        <v>34213</v>
      </c>
      <c r="U29" s="37">
        <v>37689</v>
      </c>
      <c r="V29" s="37">
        <v>40708</v>
      </c>
      <c r="W29" s="37">
        <v>39501</v>
      </c>
      <c r="X29" s="37">
        <v>37021</v>
      </c>
      <c r="Y29" s="37">
        <v>33243</v>
      </c>
      <c r="Z29" s="38">
        <v>29483</v>
      </c>
      <c r="AA29" s="39">
        <f t="shared" si="0"/>
        <v>767251</v>
      </c>
      <c r="AB29" s="21">
        <v>6</v>
      </c>
      <c r="AC29" s="82"/>
      <c r="AD29" s="47"/>
    </row>
    <row r="30" spans="1:30" ht="15.75" thickBot="1" x14ac:dyDescent="0.3">
      <c r="A30" s="79">
        <v>47727</v>
      </c>
      <c r="B30" s="16" t="s">
        <v>5</v>
      </c>
      <c r="C30" s="31">
        <v>27682</v>
      </c>
      <c r="D30" s="31">
        <v>26157</v>
      </c>
      <c r="E30" s="31">
        <v>25204</v>
      </c>
      <c r="F30" s="31">
        <v>24788</v>
      </c>
      <c r="G30" s="31">
        <v>25190</v>
      </c>
      <c r="H30" s="31">
        <v>26841</v>
      </c>
      <c r="I30" s="31">
        <v>28431</v>
      </c>
      <c r="J30" s="31">
        <v>31127</v>
      </c>
      <c r="K30" s="31">
        <v>33837</v>
      </c>
      <c r="L30" s="31">
        <v>36089</v>
      </c>
      <c r="M30" s="31">
        <v>38324</v>
      </c>
      <c r="N30" s="31">
        <v>40373</v>
      </c>
      <c r="O30" s="31">
        <v>39670</v>
      </c>
      <c r="P30" s="31">
        <v>39957</v>
      </c>
      <c r="Q30" s="31">
        <v>40891</v>
      </c>
      <c r="R30" s="31">
        <v>41125</v>
      </c>
      <c r="S30" s="31">
        <v>40534</v>
      </c>
      <c r="T30" s="31">
        <v>39702</v>
      </c>
      <c r="U30" s="31">
        <v>43418</v>
      </c>
      <c r="V30" s="31">
        <v>44421</v>
      </c>
      <c r="W30" s="31">
        <v>42752</v>
      </c>
      <c r="X30" s="31">
        <v>39739</v>
      </c>
      <c r="Y30" s="31">
        <v>34949</v>
      </c>
      <c r="Z30" s="32">
        <v>30724</v>
      </c>
      <c r="AA30" s="33">
        <f t="shared" si="0"/>
        <v>841925</v>
      </c>
      <c r="AB30" s="17">
        <v>21</v>
      </c>
      <c r="AC30" s="80">
        <f>+AA30*AB30+AA31*AB31+AA32*AB32</f>
        <v>24780135</v>
      </c>
    </row>
    <row r="31" spans="1:30" ht="15.75" thickBot="1" x14ac:dyDescent="0.3">
      <c r="A31" s="79"/>
      <c r="B31" s="18" t="s">
        <v>4</v>
      </c>
      <c r="C31" s="34">
        <v>28421</v>
      </c>
      <c r="D31" s="34">
        <v>26607</v>
      </c>
      <c r="E31" s="34">
        <v>25625</v>
      </c>
      <c r="F31" s="34">
        <v>25087</v>
      </c>
      <c r="G31" s="34">
        <v>25109</v>
      </c>
      <c r="H31" s="34">
        <v>25341</v>
      </c>
      <c r="I31" s="34">
        <v>26611</v>
      </c>
      <c r="J31" s="34">
        <v>30222</v>
      </c>
      <c r="K31" s="34">
        <v>33665</v>
      </c>
      <c r="L31" s="34">
        <v>36123</v>
      </c>
      <c r="M31" s="34">
        <v>38066</v>
      </c>
      <c r="N31" s="34">
        <v>39623</v>
      </c>
      <c r="O31" s="34">
        <v>39526</v>
      </c>
      <c r="P31" s="34">
        <v>39021</v>
      </c>
      <c r="Q31" s="34">
        <v>38552</v>
      </c>
      <c r="R31" s="34">
        <v>38214</v>
      </c>
      <c r="S31" s="34">
        <v>37885</v>
      </c>
      <c r="T31" s="34">
        <v>38167</v>
      </c>
      <c r="U31" s="34">
        <v>42242</v>
      </c>
      <c r="V31" s="34">
        <v>43153</v>
      </c>
      <c r="W31" s="34">
        <v>41260</v>
      </c>
      <c r="X31" s="34">
        <v>38839</v>
      </c>
      <c r="Y31" s="34">
        <v>35304</v>
      </c>
      <c r="Z31" s="35">
        <v>31692</v>
      </c>
      <c r="AA31" s="36">
        <f t="shared" si="0"/>
        <v>824355</v>
      </c>
      <c r="AB31" s="19">
        <v>4</v>
      </c>
      <c r="AC31" s="81"/>
      <c r="AD31" s="45"/>
    </row>
    <row r="32" spans="1:30" x14ac:dyDescent="0.25">
      <c r="A32" s="79"/>
      <c r="B32" s="20" t="s">
        <v>3</v>
      </c>
      <c r="C32" s="37">
        <v>28937</v>
      </c>
      <c r="D32" s="37">
        <v>27200</v>
      </c>
      <c r="E32" s="37">
        <v>26060</v>
      </c>
      <c r="F32" s="37">
        <v>25177</v>
      </c>
      <c r="G32" s="37">
        <v>24777</v>
      </c>
      <c r="H32" s="37">
        <v>24474</v>
      </c>
      <c r="I32" s="37">
        <v>24661</v>
      </c>
      <c r="J32" s="37">
        <v>26969</v>
      </c>
      <c r="K32" s="37">
        <v>29571</v>
      </c>
      <c r="L32" s="37">
        <v>31705</v>
      </c>
      <c r="M32" s="37">
        <v>33193</v>
      </c>
      <c r="N32" s="37">
        <v>34613</v>
      </c>
      <c r="O32" s="37">
        <v>35435</v>
      </c>
      <c r="P32" s="37">
        <v>35184</v>
      </c>
      <c r="Q32" s="37">
        <v>34442</v>
      </c>
      <c r="R32" s="37">
        <v>34081</v>
      </c>
      <c r="S32" s="37">
        <v>33847</v>
      </c>
      <c r="T32" s="37">
        <v>34118</v>
      </c>
      <c r="U32" s="37">
        <v>38565</v>
      </c>
      <c r="V32" s="37">
        <v>40080</v>
      </c>
      <c r="W32" s="37">
        <v>38970</v>
      </c>
      <c r="X32" s="37">
        <v>36541</v>
      </c>
      <c r="Y32" s="37">
        <v>32748</v>
      </c>
      <c r="Z32" s="38">
        <v>29110</v>
      </c>
      <c r="AA32" s="39">
        <f t="shared" si="0"/>
        <v>760458</v>
      </c>
      <c r="AB32" s="21">
        <v>5</v>
      </c>
      <c r="AC32" s="82"/>
      <c r="AD32" s="46"/>
    </row>
    <row r="33" spans="1:30" ht="15.75" thickBot="1" x14ac:dyDescent="0.3">
      <c r="A33" s="79">
        <v>47757</v>
      </c>
      <c r="B33" s="16" t="s">
        <v>5</v>
      </c>
      <c r="C33" s="31">
        <v>26232</v>
      </c>
      <c r="D33" s="31">
        <v>24826</v>
      </c>
      <c r="E33" s="31">
        <v>24045</v>
      </c>
      <c r="F33" s="31">
        <v>23626</v>
      </c>
      <c r="G33" s="31">
        <v>24089</v>
      </c>
      <c r="H33" s="31">
        <v>25419</v>
      </c>
      <c r="I33" s="31">
        <v>27113</v>
      </c>
      <c r="J33" s="31">
        <v>29652</v>
      </c>
      <c r="K33" s="31">
        <v>32201</v>
      </c>
      <c r="L33" s="31">
        <v>34212</v>
      </c>
      <c r="M33" s="31">
        <v>36295</v>
      </c>
      <c r="N33" s="31">
        <v>38226</v>
      </c>
      <c r="O33" s="31">
        <v>37555</v>
      </c>
      <c r="P33" s="31">
        <v>37762</v>
      </c>
      <c r="Q33" s="31">
        <v>38627</v>
      </c>
      <c r="R33" s="31">
        <v>38812</v>
      </c>
      <c r="S33" s="31">
        <v>38383</v>
      </c>
      <c r="T33" s="31">
        <v>38495</v>
      </c>
      <c r="U33" s="31">
        <v>42752</v>
      </c>
      <c r="V33" s="31">
        <v>42534</v>
      </c>
      <c r="W33" s="31">
        <v>40666</v>
      </c>
      <c r="X33" s="31">
        <v>37619</v>
      </c>
      <c r="Y33" s="31">
        <v>33142</v>
      </c>
      <c r="Z33" s="32">
        <v>29162</v>
      </c>
      <c r="AA33" s="33">
        <f t="shared" si="0"/>
        <v>801445</v>
      </c>
      <c r="AB33" s="17">
        <v>22</v>
      </c>
      <c r="AC33" s="80">
        <f>+AA33*AB33+AA34*AB34+AA35*AB35</f>
        <v>24598131</v>
      </c>
    </row>
    <row r="34" spans="1:30" ht="15.75" thickBot="1" x14ac:dyDescent="0.3">
      <c r="A34" s="79"/>
      <c r="B34" s="18" t="s">
        <v>4</v>
      </c>
      <c r="C34" s="34">
        <v>27615</v>
      </c>
      <c r="D34" s="34">
        <v>26041</v>
      </c>
      <c r="E34" s="34">
        <v>25085</v>
      </c>
      <c r="F34" s="34">
        <v>24451</v>
      </c>
      <c r="G34" s="34">
        <v>24579</v>
      </c>
      <c r="H34" s="34">
        <v>24960</v>
      </c>
      <c r="I34" s="34">
        <v>26371</v>
      </c>
      <c r="J34" s="34">
        <v>29618</v>
      </c>
      <c r="K34" s="34">
        <v>32853</v>
      </c>
      <c r="L34" s="34">
        <v>35101</v>
      </c>
      <c r="M34" s="34">
        <v>37014</v>
      </c>
      <c r="N34" s="34">
        <v>38617</v>
      </c>
      <c r="O34" s="34">
        <v>38681</v>
      </c>
      <c r="P34" s="34">
        <v>38243</v>
      </c>
      <c r="Q34" s="34">
        <v>37778</v>
      </c>
      <c r="R34" s="34">
        <v>37490</v>
      </c>
      <c r="S34" s="34">
        <v>37152</v>
      </c>
      <c r="T34" s="34">
        <v>38323</v>
      </c>
      <c r="U34" s="34">
        <v>43188</v>
      </c>
      <c r="V34" s="34">
        <v>43111</v>
      </c>
      <c r="W34" s="34">
        <v>41285</v>
      </c>
      <c r="X34" s="34">
        <v>38520</v>
      </c>
      <c r="Y34" s="34">
        <v>35112</v>
      </c>
      <c r="Z34" s="35">
        <v>31406</v>
      </c>
      <c r="AA34" s="36">
        <f t="shared" si="0"/>
        <v>812594</v>
      </c>
      <c r="AB34" s="19">
        <v>4</v>
      </c>
      <c r="AC34" s="81"/>
      <c r="AD34" s="45"/>
    </row>
    <row r="35" spans="1:30" x14ac:dyDescent="0.25">
      <c r="A35" s="79"/>
      <c r="B35" s="20" t="s">
        <v>3</v>
      </c>
      <c r="C35" s="37">
        <v>27709</v>
      </c>
      <c r="D35" s="37">
        <v>26032</v>
      </c>
      <c r="E35" s="37">
        <v>24874</v>
      </c>
      <c r="F35" s="37">
        <v>24066</v>
      </c>
      <c r="G35" s="37">
        <v>23808</v>
      </c>
      <c r="H35" s="37">
        <v>23473</v>
      </c>
      <c r="I35" s="37">
        <v>23922</v>
      </c>
      <c r="J35" s="37">
        <v>26118</v>
      </c>
      <c r="K35" s="37">
        <v>28609</v>
      </c>
      <c r="L35" s="37">
        <v>30797</v>
      </c>
      <c r="M35" s="37">
        <v>32348</v>
      </c>
      <c r="N35" s="37">
        <v>33874</v>
      </c>
      <c r="O35" s="37">
        <v>34730</v>
      </c>
      <c r="P35" s="37">
        <v>34445</v>
      </c>
      <c r="Q35" s="37">
        <v>33791</v>
      </c>
      <c r="R35" s="37">
        <v>33459</v>
      </c>
      <c r="S35" s="37">
        <v>33268</v>
      </c>
      <c r="T35" s="37">
        <v>34294</v>
      </c>
      <c r="U35" s="37">
        <v>39194</v>
      </c>
      <c r="V35" s="37">
        <v>39595</v>
      </c>
      <c r="W35" s="37">
        <v>38325</v>
      </c>
      <c r="X35" s="37">
        <v>35823</v>
      </c>
      <c r="Y35" s="37">
        <v>32107</v>
      </c>
      <c r="Z35" s="38">
        <v>28532</v>
      </c>
      <c r="AA35" s="39">
        <f t="shared" si="0"/>
        <v>743193</v>
      </c>
      <c r="AB35" s="21">
        <v>5</v>
      </c>
      <c r="AC35" s="82"/>
      <c r="AD35" s="46"/>
    </row>
    <row r="36" spans="1:30" ht="15.75" thickBot="1" x14ac:dyDescent="0.3">
      <c r="A36" s="79">
        <v>47788</v>
      </c>
      <c r="B36" s="16" t="s">
        <v>5</v>
      </c>
      <c r="C36" s="31">
        <v>25748</v>
      </c>
      <c r="D36" s="31">
        <v>24344</v>
      </c>
      <c r="E36" s="31">
        <v>23566</v>
      </c>
      <c r="F36" s="31">
        <v>23202</v>
      </c>
      <c r="G36" s="31">
        <v>23742</v>
      </c>
      <c r="H36" s="31">
        <v>25258</v>
      </c>
      <c r="I36" s="31">
        <v>27061</v>
      </c>
      <c r="J36" s="31">
        <v>29639</v>
      </c>
      <c r="K36" s="31">
        <v>32142</v>
      </c>
      <c r="L36" s="31">
        <v>34078</v>
      </c>
      <c r="M36" s="31">
        <v>36151</v>
      </c>
      <c r="N36" s="31">
        <v>38137</v>
      </c>
      <c r="O36" s="31">
        <v>37358</v>
      </c>
      <c r="P36" s="31">
        <v>37380</v>
      </c>
      <c r="Q36" s="31">
        <v>38225</v>
      </c>
      <c r="R36" s="31">
        <v>38188</v>
      </c>
      <c r="S36" s="31">
        <v>37874</v>
      </c>
      <c r="T36" s="31">
        <v>38390</v>
      </c>
      <c r="U36" s="31">
        <v>42836</v>
      </c>
      <c r="V36" s="31">
        <v>42599</v>
      </c>
      <c r="W36" s="31">
        <v>40705</v>
      </c>
      <c r="X36" s="31">
        <v>37495</v>
      </c>
      <c r="Y36" s="31">
        <v>32886</v>
      </c>
      <c r="Z36" s="32">
        <v>28763</v>
      </c>
      <c r="AA36" s="33">
        <f t="shared" si="0"/>
        <v>795767</v>
      </c>
      <c r="AB36" s="17">
        <v>19</v>
      </c>
      <c r="AC36" s="80">
        <f>+AA36*AB36+AA37*AB37+AA38*AB38</f>
        <v>23353211</v>
      </c>
    </row>
    <row r="37" spans="1:30" ht="15.75" thickBot="1" x14ac:dyDescent="0.3">
      <c r="A37" s="79"/>
      <c r="B37" s="18" t="s">
        <v>4</v>
      </c>
      <c r="C37" s="34">
        <v>26439</v>
      </c>
      <c r="D37" s="34">
        <v>24948</v>
      </c>
      <c r="E37" s="34">
        <v>24037</v>
      </c>
      <c r="F37" s="34">
        <v>23455</v>
      </c>
      <c r="G37" s="34">
        <v>23558</v>
      </c>
      <c r="H37" s="34">
        <v>23852</v>
      </c>
      <c r="I37" s="34">
        <v>25151</v>
      </c>
      <c r="J37" s="34">
        <v>28142</v>
      </c>
      <c r="K37" s="34">
        <v>31306</v>
      </c>
      <c r="L37" s="34">
        <v>33511</v>
      </c>
      <c r="M37" s="34">
        <v>35274</v>
      </c>
      <c r="N37" s="34">
        <v>36895</v>
      </c>
      <c r="O37" s="34">
        <v>36744</v>
      </c>
      <c r="P37" s="34">
        <v>36060</v>
      </c>
      <c r="Q37" s="34">
        <v>35859</v>
      </c>
      <c r="R37" s="34">
        <v>35745</v>
      </c>
      <c r="S37" s="34">
        <v>35535</v>
      </c>
      <c r="T37" s="34">
        <v>36808</v>
      </c>
      <c r="U37" s="34">
        <v>41757</v>
      </c>
      <c r="V37" s="34">
        <v>41633</v>
      </c>
      <c r="W37" s="34">
        <v>39725</v>
      </c>
      <c r="X37" s="34">
        <v>37287</v>
      </c>
      <c r="Y37" s="34">
        <v>33678</v>
      </c>
      <c r="Z37" s="35">
        <v>30051</v>
      </c>
      <c r="AA37" s="36">
        <f t="shared" si="0"/>
        <v>777450</v>
      </c>
      <c r="AB37" s="19">
        <v>5</v>
      </c>
      <c r="AC37" s="81"/>
      <c r="AD37" s="45"/>
    </row>
    <row r="38" spans="1:30" x14ac:dyDescent="0.25">
      <c r="A38" s="79"/>
      <c r="B38" s="20" t="s">
        <v>3</v>
      </c>
      <c r="C38" s="37">
        <v>26547</v>
      </c>
      <c r="D38" s="37">
        <v>24949</v>
      </c>
      <c r="E38" s="37">
        <v>23866</v>
      </c>
      <c r="F38" s="37">
        <v>23073</v>
      </c>
      <c r="G38" s="37">
        <v>22967</v>
      </c>
      <c r="H38" s="37">
        <v>22683</v>
      </c>
      <c r="I38" s="37">
        <v>23223</v>
      </c>
      <c r="J38" s="37">
        <v>25511</v>
      </c>
      <c r="K38" s="37">
        <v>28007</v>
      </c>
      <c r="L38" s="37">
        <v>30151</v>
      </c>
      <c r="M38" s="37">
        <v>31710</v>
      </c>
      <c r="N38" s="37">
        <v>33295</v>
      </c>
      <c r="O38" s="37">
        <v>34079</v>
      </c>
      <c r="P38" s="37">
        <v>33769</v>
      </c>
      <c r="Q38" s="37">
        <v>33019</v>
      </c>
      <c r="R38" s="37">
        <v>32488</v>
      </c>
      <c r="S38" s="37">
        <v>32336</v>
      </c>
      <c r="T38" s="37">
        <v>33490</v>
      </c>
      <c r="U38" s="37">
        <v>38479</v>
      </c>
      <c r="V38" s="37">
        <v>38943</v>
      </c>
      <c r="W38" s="37">
        <v>37660</v>
      </c>
      <c r="X38" s="37">
        <v>35118</v>
      </c>
      <c r="Y38" s="37">
        <v>31317</v>
      </c>
      <c r="Z38" s="38">
        <v>27718</v>
      </c>
      <c r="AA38" s="39">
        <f t="shared" si="0"/>
        <v>724398</v>
      </c>
      <c r="AB38" s="21">
        <v>6</v>
      </c>
      <c r="AC38" s="82"/>
      <c r="AD38" s="47"/>
    </row>
    <row r="39" spans="1:30" ht="15.75" thickBot="1" x14ac:dyDescent="0.3">
      <c r="A39" s="79">
        <v>47818</v>
      </c>
      <c r="B39" s="16" t="s">
        <v>5</v>
      </c>
      <c r="C39" s="31">
        <v>27585</v>
      </c>
      <c r="D39" s="31">
        <v>25916</v>
      </c>
      <c r="E39" s="31">
        <v>24952</v>
      </c>
      <c r="F39" s="31">
        <v>24456</v>
      </c>
      <c r="G39" s="31">
        <v>24797</v>
      </c>
      <c r="H39" s="31">
        <v>25884</v>
      </c>
      <c r="I39" s="31">
        <v>27095</v>
      </c>
      <c r="J39" s="31">
        <v>30283</v>
      </c>
      <c r="K39" s="31">
        <v>33261</v>
      </c>
      <c r="L39" s="31">
        <v>35462</v>
      </c>
      <c r="M39" s="31">
        <v>37470</v>
      </c>
      <c r="N39" s="31">
        <v>39506</v>
      </c>
      <c r="O39" s="31">
        <v>39117</v>
      </c>
      <c r="P39" s="31">
        <v>39085</v>
      </c>
      <c r="Q39" s="31">
        <v>39663</v>
      </c>
      <c r="R39" s="31">
        <v>39613</v>
      </c>
      <c r="S39" s="31">
        <v>39042</v>
      </c>
      <c r="T39" s="31">
        <v>38782</v>
      </c>
      <c r="U39" s="31">
        <v>43108</v>
      </c>
      <c r="V39" s="31">
        <v>43776</v>
      </c>
      <c r="W39" s="31">
        <v>42078</v>
      </c>
      <c r="X39" s="31">
        <v>39363</v>
      </c>
      <c r="Y39" s="31">
        <v>35197</v>
      </c>
      <c r="Z39" s="32">
        <v>31209</v>
      </c>
      <c r="AA39" s="33">
        <f t="shared" si="0"/>
        <v>826700</v>
      </c>
      <c r="AB39" s="17">
        <v>21</v>
      </c>
      <c r="AC39" s="80">
        <f>+AA39*AB39+AA40*AB40+AA41*AB41</f>
        <v>25071614</v>
      </c>
    </row>
    <row r="40" spans="1:30" ht="15.75" thickBot="1" x14ac:dyDescent="0.3">
      <c r="A40" s="79"/>
      <c r="B40" s="18" t="s">
        <v>4</v>
      </c>
      <c r="C40" s="34">
        <v>27849</v>
      </c>
      <c r="D40" s="34">
        <v>26166</v>
      </c>
      <c r="E40" s="34">
        <v>25205</v>
      </c>
      <c r="F40" s="34">
        <v>24569</v>
      </c>
      <c r="G40" s="34">
        <v>24604</v>
      </c>
      <c r="H40" s="34">
        <v>25216</v>
      </c>
      <c r="I40" s="34">
        <v>25958</v>
      </c>
      <c r="J40" s="34">
        <v>28939</v>
      </c>
      <c r="K40" s="34">
        <v>31979</v>
      </c>
      <c r="L40" s="34">
        <v>34099</v>
      </c>
      <c r="M40" s="34">
        <v>35803</v>
      </c>
      <c r="N40" s="34">
        <v>37223</v>
      </c>
      <c r="O40" s="34">
        <v>37221</v>
      </c>
      <c r="P40" s="34">
        <v>36690</v>
      </c>
      <c r="Q40" s="34">
        <v>36347</v>
      </c>
      <c r="R40" s="34">
        <v>35968</v>
      </c>
      <c r="S40" s="34">
        <v>35699</v>
      </c>
      <c r="T40" s="34">
        <v>36338</v>
      </c>
      <c r="U40" s="34">
        <v>41168</v>
      </c>
      <c r="V40" s="34">
        <v>41735</v>
      </c>
      <c r="W40" s="34">
        <v>40065</v>
      </c>
      <c r="X40" s="34">
        <v>37678</v>
      </c>
      <c r="Y40" s="34">
        <v>34270</v>
      </c>
      <c r="Z40" s="35">
        <v>30979</v>
      </c>
      <c r="AA40" s="36">
        <f t="shared" si="0"/>
        <v>791768</v>
      </c>
      <c r="AB40" s="19">
        <v>4</v>
      </c>
      <c r="AC40" s="81"/>
      <c r="AD40" s="45"/>
    </row>
    <row r="41" spans="1:30" x14ac:dyDescent="0.25">
      <c r="A41" s="79"/>
      <c r="B41" s="20" t="s">
        <v>3</v>
      </c>
      <c r="C41" s="37">
        <v>28771</v>
      </c>
      <c r="D41" s="37">
        <v>27017</v>
      </c>
      <c r="E41" s="37">
        <v>25793</v>
      </c>
      <c r="F41" s="37">
        <v>24924</v>
      </c>
      <c r="G41" s="37">
        <v>24584</v>
      </c>
      <c r="H41" s="37">
        <v>24460</v>
      </c>
      <c r="I41" s="37">
        <v>24420</v>
      </c>
      <c r="J41" s="37">
        <v>26397</v>
      </c>
      <c r="K41" s="37">
        <v>28854</v>
      </c>
      <c r="L41" s="37">
        <v>31014</v>
      </c>
      <c r="M41" s="37">
        <v>32630</v>
      </c>
      <c r="N41" s="37">
        <v>34149</v>
      </c>
      <c r="O41" s="37">
        <v>34967</v>
      </c>
      <c r="P41" s="37">
        <v>34923</v>
      </c>
      <c r="Q41" s="37">
        <v>34370</v>
      </c>
      <c r="R41" s="37">
        <v>34021</v>
      </c>
      <c r="S41" s="37">
        <v>33819</v>
      </c>
      <c r="T41" s="37">
        <v>34460</v>
      </c>
      <c r="U41" s="37">
        <v>39286</v>
      </c>
      <c r="V41" s="37">
        <v>40266</v>
      </c>
      <c r="W41" s="37">
        <v>38889</v>
      </c>
      <c r="X41" s="37">
        <v>36538</v>
      </c>
      <c r="Y41" s="37">
        <v>33100</v>
      </c>
      <c r="Z41" s="38">
        <v>29655</v>
      </c>
      <c r="AA41" s="39">
        <f t="shared" si="0"/>
        <v>757307</v>
      </c>
      <c r="AB41" s="21">
        <v>6</v>
      </c>
      <c r="AC41" s="82"/>
      <c r="AD41" s="40"/>
    </row>
    <row r="42" spans="1:30" x14ac:dyDescent="0.25">
      <c r="A42" s="77" t="s">
        <v>2</v>
      </c>
      <c r="B42" s="78"/>
      <c r="C42" s="29">
        <f t="shared" ref="C42:AC42" si="1">+SUM(C6:C41)</f>
        <v>987456</v>
      </c>
      <c r="D42" s="29">
        <f t="shared" si="1"/>
        <v>928779</v>
      </c>
      <c r="E42" s="29">
        <f t="shared" si="1"/>
        <v>893394</v>
      </c>
      <c r="F42" s="29">
        <f t="shared" si="1"/>
        <v>871528</v>
      </c>
      <c r="G42" s="29">
        <f t="shared" si="1"/>
        <v>874237</v>
      </c>
      <c r="H42" s="29">
        <f t="shared" si="1"/>
        <v>899634</v>
      </c>
      <c r="I42" s="29">
        <f t="shared" si="1"/>
        <v>933657</v>
      </c>
      <c r="J42" s="29">
        <f t="shared" si="1"/>
        <v>1026304</v>
      </c>
      <c r="K42" s="29">
        <f t="shared" si="1"/>
        <v>1127936</v>
      </c>
      <c r="L42" s="29">
        <f t="shared" si="1"/>
        <v>1206268</v>
      </c>
      <c r="M42" s="29">
        <f t="shared" si="1"/>
        <v>1271952</v>
      </c>
      <c r="N42" s="29">
        <f t="shared" si="1"/>
        <v>1333573</v>
      </c>
      <c r="O42" s="29">
        <f t="shared" si="1"/>
        <v>1336013</v>
      </c>
      <c r="P42" s="29">
        <f t="shared" si="1"/>
        <v>1328585</v>
      </c>
      <c r="Q42" s="29">
        <f t="shared" si="1"/>
        <v>1323879</v>
      </c>
      <c r="R42" s="29">
        <f t="shared" si="1"/>
        <v>1318432</v>
      </c>
      <c r="S42" s="29">
        <f t="shared" si="1"/>
        <v>1305522</v>
      </c>
      <c r="T42" s="29">
        <f t="shared" si="1"/>
        <v>1307838</v>
      </c>
      <c r="U42" s="29">
        <f t="shared" si="1"/>
        <v>1439403</v>
      </c>
      <c r="V42" s="29">
        <f t="shared" si="1"/>
        <v>1507306</v>
      </c>
      <c r="W42" s="29">
        <f t="shared" si="1"/>
        <v>1452943</v>
      </c>
      <c r="X42" s="29">
        <f t="shared" si="1"/>
        <v>1358793</v>
      </c>
      <c r="Y42" s="29">
        <f t="shared" si="1"/>
        <v>1216716</v>
      </c>
      <c r="Z42" s="29">
        <f t="shared" si="1"/>
        <v>1078186</v>
      </c>
      <c r="AA42" s="29">
        <f t="shared" si="1"/>
        <v>28328334</v>
      </c>
      <c r="AB42" s="29">
        <f t="shared" si="1"/>
        <v>365</v>
      </c>
      <c r="AC42" s="44">
        <f t="shared" si="1"/>
        <v>291272301</v>
      </c>
    </row>
    <row r="43" spans="1:30" x14ac:dyDescent="0.25">
      <c r="AB43" s="4"/>
      <c r="AC43" s="4"/>
    </row>
    <row r="44" spans="1:30" x14ac:dyDescent="0.25">
      <c r="C44" s="47"/>
      <c r="AA44" s="46"/>
    </row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F99A-5221-45C2-B43E-7FD7B0826FBD}">
  <sheetPr codeName="Hoja7">
    <tabColor theme="5" tint="0.79998168889431442"/>
  </sheetPr>
  <dimension ref="A1:AD46"/>
  <sheetViews>
    <sheetView showGridLines="0" zoomScale="115" zoomScaleNormal="115" zoomScaleSheetLayoutView="110" workbookViewId="0">
      <pane xSplit="2" ySplit="5" topLeftCell="C41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7" t="s">
        <v>84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</row>
    <row r="2" spans="1:30" ht="15" x14ac:dyDescent="0.25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</row>
    <row r="3" spans="1:30" ht="1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30" ht="18" x14ac:dyDescent="0.25">
      <c r="A4" s="93" t="s">
        <v>35</v>
      </c>
      <c r="B4" s="93" t="s">
        <v>34</v>
      </c>
      <c r="C4" s="85" t="s">
        <v>33</v>
      </c>
      <c r="D4" s="85" t="s">
        <v>32</v>
      </c>
      <c r="E4" s="85" t="s">
        <v>31</v>
      </c>
      <c r="F4" s="85" t="s">
        <v>30</v>
      </c>
      <c r="G4" s="85" t="s">
        <v>29</v>
      </c>
      <c r="H4" s="85" t="s">
        <v>28</v>
      </c>
      <c r="I4" s="85" t="s">
        <v>27</v>
      </c>
      <c r="J4" s="85" t="s">
        <v>26</v>
      </c>
      <c r="K4" s="85" t="s">
        <v>25</v>
      </c>
      <c r="L4" s="85" t="s">
        <v>24</v>
      </c>
      <c r="M4" s="85" t="s">
        <v>23</v>
      </c>
      <c r="N4" s="85" t="s">
        <v>22</v>
      </c>
      <c r="O4" s="85" t="s">
        <v>21</v>
      </c>
      <c r="P4" s="85" t="s">
        <v>20</v>
      </c>
      <c r="Q4" s="85" t="s">
        <v>19</v>
      </c>
      <c r="R4" s="85" t="s">
        <v>18</v>
      </c>
      <c r="S4" s="85" t="s">
        <v>17</v>
      </c>
      <c r="T4" s="85" t="s">
        <v>16</v>
      </c>
      <c r="U4" s="85" t="s">
        <v>15</v>
      </c>
      <c r="V4" s="85" t="s">
        <v>14</v>
      </c>
      <c r="W4" s="85" t="s">
        <v>13</v>
      </c>
      <c r="X4" s="85" t="s">
        <v>12</v>
      </c>
      <c r="Y4" s="85" t="s">
        <v>11</v>
      </c>
      <c r="Z4" s="85" t="s">
        <v>10</v>
      </c>
      <c r="AA4" s="12" t="s">
        <v>9</v>
      </c>
      <c r="AB4" s="13" t="s">
        <v>8</v>
      </c>
      <c r="AC4" s="83" t="s">
        <v>7</v>
      </c>
    </row>
    <row r="5" spans="1:30" ht="15" x14ac:dyDescent="0.25">
      <c r="A5" s="93"/>
      <c r="B5" s="93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14"/>
      <c r="AB5" s="15" t="s">
        <v>6</v>
      </c>
      <c r="AC5" s="84"/>
    </row>
    <row r="6" spans="1:30" ht="15.75" thickBot="1" x14ac:dyDescent="0.3">
      <c r="A6" s="79">
        <v>47484</v>
      </c>
      <c r="B6" s="16" t="s">
        <v>5</v>
      </c>
      <c r="C6" s="31">
        <f>ROUND('Anexo 8'!C6*'Anexo 4'!$D$10,0)</f>
        <v>0</v>
      </c>
      <c r="D6" s="31">
        <f>ROUND('Anexo 8'!D6*'Anexo 4'!$D$10,0)</f>
        <v>0</v>
      </c>
      <c r="E6" s="31">
        <f>ROUND('Anexo 8'!E6*'Anexo 4'!$D$10,0)</f>
        <v>0</v>
      </c>
      <c r="F6" s="31">
        <f>ROUND('Anexo 8'!F6*'Anexo 4'!$D$10,0)</f>
        <v>0</v>
      </c>
      <c r="G6" s="31">
        <f>ROUND('Anexo 8'!G6*'Anexo 4'!$D$10,0)</f>
        <v>0</v>
      </c>
      <c r="H6" s="31">
        <f>ROUND('Anexo 8'!H6*'Anexo 4'!$D$10,0)</f>
        <v>0</v>
      </c>
      <c r="I6" s="31">
        <f>ROUND('Anexo 8'!I6*'Anexo 4'!$D$10,0)</f>
        <v>0</v>
      </c>
      <c r="J6" s="31">
        <f>ROUND('Anexo 8'!J6*'Anexo 4'!$D$10,0)</f>
        <v>0</v>
      </c>
      <c r="K6" s="31">
        <f>ROUND('Anexo 8'!K6*'Anexo 4'!$D$10,0)</f>
        <v>0</v>
      </c>
      <c r="L6" s="31">
        <f>ROUND('Anexo 8'!L6*'Anexo 4'!$D$10,0)</f>
        <v>0</v>
      </c>
      <c r="M6" s="31">
        <f>ROUND('Anexo 8'!M6*'Anexo 4'!$D$10,0)</f>
        <v>0</v>
      </c>
      <c r="N6" s="31">
        <f>ROUND('Anexo 8'!N6*'Anexo 4'!$D$10,0)</f>
        <v>0</v>
      </c>
      <c r="O6" s="31">
        <f>ROUND('Anexo 8'!O6*'Anexo 4'!$D$10,0)</f>
        <v>0</v>
      </c>
      <c r="P6" s="31">
        <f>ROUND('Anexo 8'!P6*'Anexo 4'!$D$10,0)</f>
        <v>0</v>
      </c>
      <c r="Q6" s="31">
        <f>ROUND('Anexo 8'!Q6*'Anexo 4'!$D$10,0)</f>
        <v>0</v>
      </c>
      <c r="R6" s="31">
        <f>ROUND('Anexo 8'!R6*'Anexo 4'!$D$10,0)</f>
        <v>0</v>
      </c>
      <c r="S6" s="31">
        <f>ROUND('Anexo 8'!S6*'Anexo 4'!$D$10,0)</f>
        <v>0</v>
      </c>
      <c r="T6" s="31">
        <f>ROUND('Anexo 8'!T6*'Anexo 4'!$D$10,0)</f>
        <v>0</v>
      </c>
      <c r="U6" s="31">
        <f>ROUND('Anexo 8'!U6*'Anexo 4'!$D$10,0)</f>
        <v>0</v>
      </c>
      <c r="V6" s="31">
        <f>ROUND('Anexo 8'!V6*'Anexo 4'!$D$10,0)</f>
        <v>0</v>
      </c>
      <c r="W6" s="31">
        <f>ROUND('Anexo 8'!W6*'Anexo 4'!$D$10,0)</f>
        <v>0</v>
      </c>
      <c r="X6" s="31">
        <f>ROUND('Anexo 8'!X6*'Anexo 4'!$D$10,0)</f>
        <v>0</v>
      </c>
      <c r="Y6" s="31">
        <f>ROUND('Anexo 8'!Y6*'Anexo 4'!$D$10,0)</f>
        <v>0</v>
      </c>
      <c r="Z6" s="32">
        <f>ROUND('Anexo 8'!Z6*'Anexo 4'!$D$10,0)</f>
        <v>0</v>
      </c>
      <c r="AA6" s="33">
        <f>SUM(C6:Z6)</f>
        <v>0</v>
      </c>
      <c r="AB6" s="17">
        <v>21</v>
      </c>
      <c r="AC6" s="80">
        <f>+AA6*AB6+AA7*AB7+AA8*AB8</f>
        <v>0</v>
      </c>
    </row>
    <row r="7" spans="1:30" ht="15.75" thickBot="1" x14ac:dyDescent="0.3">
      <c r="A7" s="79"/>
      <c r="B7" s="18" t="s">
        <v>4</v>
      </c>
      <c r="C7" s="34">
        <f>ROUND('Anexo 8'!C7*'Anexo 4'!$D$10,0)</f>
        <v>0</v>
      </c>
      <c r="D7" s="34">
        <f>ROUND('Anexo 8'!D7*'Anexo 4'!$D$10,0)</f>
        <v>0</v>
      </c>
      <c r="E7" s="34">
        <f>ROUND('Anexo 8'!E7*'Anexo 4'!$D$10,0)</f>
        <v>0</v>
      </c>
      <c r="F7" s="34">
        <f>ROUND('Anexo 8'!F7*'Anexo 4'!$D$10,0)</f>
        <v>0</v>
      </c>
      <c r="G7" s="34">
        <f>ROUND('Anexo 8'!G7*'Anexo 4'!$D$10,0)</f>
        <v>0</v>
      </c>
      <c r="H7" s="34">
        <f>ROUND('Anexo 8'!H7*'Anexo 4'!$D$10,0)</f>
        <v>0</v>
      </c>
      <c r="I7" s="34">
        <f>ROUND('Anexo 8'!I7*'Anexo 4'!$D$10,0)</f>
        <v>0</v>
      </c>
      <c r="J7" s="34">
        <f>ROUND('Anexo 8'!J7*'Anexo 4'!$D$10,0)</f>
        <v>0</v>
      </c>
      <c r="K7" s="34">
        <f>ROUND('Anexo 8'!K7*'Anexo 4'!$D$10,0)</f>
        <v>0</v>
      </c>
      <c r="L7" s="34">
        <f>ROUND('Anexo 8'!L7*'Anexo 4'!$D$10,0)</f>
        <v>0</v>
      </c>
      <c r="M7" s="34">
        <f>ROUND('Anexo 8'!M7*'Anexo 4'!$D$10,0)</f>
        <v>0</v>
      </c>
      <c r="N7" s="34">
        <f>ROUND('Anexo 8'!N7*'Anexo 4'!$D$10,0)</f>
        <v>0</v>
      </c>
      <c r="O7" s="34">
        <f>ROUND('Anexo 8'!O7*'Anexo 4'!$D$10,0)</f>
        <v>0</v>
      </c>
      <c r="P7" s="34">
        <f>ROUND('Anexo 8'!P7*'Anexo 4'!$D$10,0)</f>
        <v>0</v>
      </c>
      <c r="Q7" s="34">
        <f>ROUND('Anexo 8'!Q7*'Anexo 4'!$D$10,0)</f>
        <v>0</v>
      </c>
      <c r="R7" s="34">
        <f>ROUND('Anexo 8'!R7*'Anexo 4'!$D$10,0)</f>
        <v>0</v>
      </c>
      <c r="S7" s="34">
        <f>ROUND('Anexo 8'!S7*'Anexo 4'!$D$10,0)</f>
        <v>0</v>
      </c>
      <c r="T7" s="34">
        <f>ROUND('Anexo 8'!T7*'Anexo 4'!$D$10,0)</f>
        <v>0</v>
      </c>
      <c r="U7" s="34">
        <f>ROUND('Anexo 8'!U7*'Anexo 4'!$D$10,0)</f>
        <v>0</v>
      </c>
      <c r="V7" s="34">
        <f>ROUND('Anexo 8'!V7*'Anexo 4'!$D$10,0)</f>
        <v>0</v>
      </c>
      <c r="W7" s="34">
        <f>ROUND('Anexo 8'!W7*'Anexo 4'!$D$10,0)</f>
        <v>0</v>
      </c>
      <c r="X7" s="34">
        <f>ROUND('Anexo 8'!X7*'Anexo 4'!$D$10,0)</f>
        <v>0</v>
      </c>
      <c r="Y7" s="34">
        <f>ROUND('Anexo 8'!Y7*'Anexo 4'!$D$10,0)</f>
        <v>0</v>
      </c>
      <c r="Z7" s="35">
        <f>ROUND('Anexo 8'!Z7*'Anexo 4'!$D$10,0)</f>
        <v>0</v>
      </c>
      <c r="AA7" s="36">
        <f t="shared" ref="AA7:AA41" si="0">SUM(C7:Z7)</f>
        <v>0</v>
      </c>
      <c r="AB7" s="19">
        <v>4</v>
      </c>
      <c r="AC7" s="81"/>
      <c r="AD7" s="45"/>
    </row>
    <row r="8" spans="1:30" ht="15" x14ac:dyDescent="0.25">
      <c r="A8" s="79"/>
      <c r="B8" s="20" t="s">
        <v>3</v>
      </c>
      <c r="C8" s="37">
        <f>ROUND('Anexo 8'!C8*'Anexo 4'!$D$10,0)</f>
        <v>0</v>
      </c>
      <c r="D8" s="37">
        <f>ROUND('Anexo 8'!D8*'Anexo 4'!$D$10,0)</f>
        <v>0</v>
      </c>
      <c r="E8" s="37">
        <f>ROUND('Anexo 8'!E8*'Anexo 4'!$D$10,0)</f>
        <v>0</v>
      </c>
      <c r="F8" s="37">
        <f>ROUND('Anexo 8'!F8*'Anexo 4'!$D$10,0)</f>
        <v>0</v>
      </c>
      <c r="G8" s="37">
        <f>ROUND('Anexo 8'!G8*'Anexo 4'!$D$10,0)</f>
        <v>0</v>
      </c>
      <c r="H8" s="37">
        <f>ROUND('Anexo 8'!H8*'Anexo 4'!$D$10,0)</f>
        <v>0</v>
      </c>
      <c r="I8" s="37">
        <f>ROUND('Anexo 8'!I8*'Anexo 4'!$D$10,0)</f>
        <v>0</v>
      </c>
      <c r="J8" s="37">
        <f>ROUND('Anexo 8'!J8*'Anexo 4'!$D$10,0)</f>
        <v>0</v>
      </c>
      <c r="K8" s="37">
        <f>ROUND('Anexo 8'!K8*'Anexo 4'!$D$10,0)</f>
        <v>0</v>
      </c>
      <c r="L8" s="37">
        <f>ROUND('Anexo 8'!L8*'Anexo 4'!$D$10,0)</f>
        <v>0</v>
      </c>
      <c r="M8" s="37">
        <f>ROUND('Anexo 8'!M8*'Anexo 4'!$D$10,0)</f>
        <v>0</v>
      </c>
      <c r="N8" s="37">
        <f>ROUND('Anexo 8'!N8*'Anexo 4'!$D$10,0)</f>
        <v>0</v>
      </c>
      <c r="O8" s="37">
        <f>ROUND('Anexo 8'!O8*'Anexo 4'!$D$10,0)</f>
        <v>0</v>
      </c>
      <c r="P8" s="37">
        <f>ROUND('Anexo 8'!P8*'Anexo 4'!$D$10,0)</f>
        <v>0</v>
      </c>
      <c r="Q8" s="37">
        <f>ROUND('Anexo 8'!Q8*'Anexo 4'!$D$10,0)</f>
        <v>0</v>
      </c>
      <c r="R8" s="37">
        <f>ROUND('Anexo 8'!R8*'Anexo 4'!$D$10,0)</f>
        <v>0</v>
      </c>
      <c r="S8" s="37">
        <f>ROUND('Anexo 8'!S8*'Anexo 4'!$D$10,0)</f>
        <v>0</v>
      </c>
      <c r="T8" s="37">
        <f>ROUND('Anexo 8'!T8*'Anexo 4'!$D$10,0)</f>
        <v>0</v>
      </c>
      <c r="U8" s="37">
        <f>ROUND('Anexo 8'!U8*'Anexo 4'!$D$10,0)</f>
        <v>0</v>
      </c>
      <c r="V8" s="37">
        <f>ROUND('Anexo 8'!V8*'Anexo 4'!$D$10,0)</f>
        <v>0</v>
      </c>
      <c r="W8" s="37">
        <f>ROUND('Anexo 8'!W8*'Anexo 4'!$D$10,0)</f>
        <v>0</v>
      </c>
      <c r="X8" s="37">
        <f>ROUND('Anexo 8'!X8*'Anexo 4'!$D$10,0)</f>
        <v>0</v>
      </c>
      <c r="Y8" s="37">
        <f>ROUND('Anexo 8'!Y8*'Anexo 4'!$D$10,0)</f>
        <v>0</v>
      </c>
      <c r="Z8" s="38">
        <f>ROUND('Anexo 8'!Z8*'Anexo 4'!$D$10,0)</f>
        <v>0</v>
      </c>
      <c r="AA8" s="39">
        <f t="shared" si="0"/>
        <v>0</v>
      </c>
      <c r="AB8" s="21">
        <v>6</v>
      </c>
      <c r="AC8" s="82"/>
      <c r="AD8" s="46"/>
    </row>
    <row r="9" spans="1:30" ht="15.75" thickBot="1" x14ac:dyDescent="0.3">
      <c r="A9" s="79">
        <v>47515</v>
      </c>
      <c r="B9" s="16" t="s">
        <v>5</v>
      </c>
      <c r="C9" s="31">
        <f>ROUND('Anexo 8'!C9*'Anexo 4'!$D$10,0)</f>
        <v>0</v>
      </c>
      <c r="D9" s="31">
        <f>ROUND('Anexo 8'!D9*'Anexo 4'!$D$10,0)</f>
        <v>0</v>
      </c>
      <c r="E9" s="31">
        <f>ROUND('Anexo 8'!E9*'Anexo 4'!$D$10,0)</f>
        <v>0</v>
      </c>
      <c r="F9" s="31">
        <f>ROUND('Anexo 8'!F9*'Anexo 4'!$D$10,0)</f>
        <v>0</v>
      </c>
      <c r="G9" s="31">
        <f>ROUND('Anexo 8'!G9*'Anexo 4'!$D$10,0)</f>
        <v>0</v>
      </c>
      <c r="H9" s="31">
        <f>ROUND('Anexo 8'!H9*'Anexo 4'!$D$10,0)</f>
        <v>0</v>
      </c>
      <c r="I9" s="31">
        <f>ROUND('Anexo 8'!I9*'Anexo 4'!$D$10,0)</f>
        <v>0</v>
      </c>
      <c r="J9" s="31">
        <f>ROUND('Anexo 8'!J9*'Anexo 4'!$D$10,0)</f>
        <v>0</v>
      </c>
      <c r="K9" s="31">
        <f>ROUND('Anexo 8'!K9*'Anexo 4'!$D$10,0)</f>
        <v>0</v>
      </c>
      <c r="L9" s="31">
        <f>ROUND('Anexo 8'!L9*'Anexo 4'!$D$10,0)</f>
        <v>0</v>
      </c>
      <c r="M9" s="31">
        <f>ROUND('Anexo 8'!M9*'Anexo 4'!$D$10,0)</f>
        <v>0</v>
      </c>
      <c r="N9" s="31">
        <f>ROUND('Anexo 8'!N9*'Anexo 4'!$D$10,0)</f>
        <v>0</v>
      </c>
      <c r="O9" s="31">
        <f>ROUND('Anexo 8'!O9*'Anexo 4'!$D$10,0)</f>
        <v>0</v>
      </c>
      <c r="P9" s="31">
        <f>ROUND('Anexo 8'!P9*'Anexo 4'!$D$10,0)</f>
        <v>0</v>
      </c>
      <c r="Q9" s="31">
        <f>ROUND('Anexo 8'!Q9*'Anexo 4'!$D$10,0)</f>
        <v>0</v>
      </c>
      <c r="R9" s="31">
        <f>ROUND('Anexo 8'!R9*'Anexo 4'!$D$10,0)</f>
        <v>0</v>
      </c>
      <c r="S9" s="31">
        <f>ROUND('Anexo 8'!S9*'Anexo 4'!$D$10,0)</f>
        <v>0</v>
      </c>
      <c r="T9" s="31">
        <f>ROUND('Anexo 8'!T9*'Anexo 4'!$D$10,0)</f>
        <v>0</v>
      </c>
      <c r="U9" s="31">
        <f>ROUND('Anexo 8'!U9*'Anexo 4'!$D$10,0)</f>
        <v>0</v>
      </c>
      <c r="V9" s="31">
        <f>ROUND('Anexo 8'!V9*'Anexo 4'!$D$10,0)</f>
        <v>0</v>
      </c>
      <c r="W9" s="31">
        <f>ROUND('Anexo 8'!W9*'Anexo 4'!$D$10,0)</f>
        <v>0</v>
      </c>
      <c r="X9" s="31">
        <f>ROUND('Anexo 8'!X9*'Anexo 4'!$D$10,0)</f>
        <v>0</v>
      </c>
      <c r="Y9" s="31">
        <f>ROUND('Anexo 8'!Y9*'Anexo 4'!$D$10,0)</f>
        <v>0</v>
      </c>
      <c r="Z9" s="31">
        <f>ROUND('Anexo 8'!Z9*'Anexo 4'!$D$10,0)</f>
        <v>0</v>
      </c>
      <c r="AA9" s="33">
        <f t="shared" si="0"/>
        <v>0</v>
      </c>
      <c r="AB9" s="17">
        <v>20</v>
      </c>
      <c r="AC9" s="80">
        <f>+AA9*AB9+AA10*AB10+AA11*AB11</f>
        <v>0</v>
      </c>
    </row>
    <row r="10" spans="1:30" ht="15.75" thickBot="1" x14ac:dyDescent="0.3">
      <c r="A10" s="79"/>
      <c r="B10" s="18" t="s">
        <v>4</v>
      </c>
      <c r="C10" s="31">
        <f>ROUND('Anexo 8'!C10*'Anexo 4'!$D$10,0)</f>
        <v>0</v>
      </c>
      <c r="D10" s="31">
        <f>ROUND('Anexo 8'!D10*'Anexo 4'!$D$10,0)</f>
        <v>0</v>
      </c>
      <c r="E10" s="31">
        <f>ROUND('Anexo 8'!E10*'Anexo 4'!$D$10,0)</f>
        <v>0</v>
      </c>
      <c r="F10" s="31">
        <f>ROUND('Anexo 8'!F10*'Anexo 4'!$D$10,0)</f>
        <v>0</v>
      </c>
      <c r="G10" s="31">
        <f>ROUND('Anexo 8'!G10*'Anexo 4'!$D$10,0)</f>
        <v>0</v>
      </c>
      <c r="H10" s="31">
        <f>ROUND('Anexo 8'!H10*'Anexo 4'!$D$10,0)</f>
        <v>0</v>
      </c>
      <c r="I10" s="31">
        <f>ROUND('Anexo 8'!I10*'Anexo 4'!$D$10,0)</f>
        <v>0</v>
      </c>
      <c r="J10" s="31">
        <f>ROUND('Anexo 8'!J10*'Anexo 4'!$D$10,0)</f>
        <v>0</v>
      </c>
      <c r="K10" s="31">
        <f>ROUND('Anexo 8'!K10*'Anexo 4'!$D$10,0)</f>
        <v>0</v>
      </c>
      <c r="L10" s="31">
        <f>ROUND('Anexo 8'!L10*'Anexo 4'!$D$10,0)</f>
        <v>0</v>
      </c>
      <c r="M10" s="31">
        <f>ROUND('Anexo 8'!M10*'Anexo 4'!$D$10,0)</f>
        <v>0</v>
      </c>
      <c r="N10" s="31">
        <f>ROUND('Anexo 8'!N10*'Anexo 4'!$D$10,0)</f>
        <v>0</v>
      </c>
      <c r="O10" s="31">
        <f>ROUND('Anexo 8'!O10*'Anexo 4'!$D$10,0)</f>
        <v>0</v>
      </c>
      <c r="P10" s="31">
        <f>ROUND('Anexo 8'!P10*'Anexo 4'!$D$10,0)</f>
        <v>0</v>
      </c>
      <c r="Q10" s="31">
        <f>ROUND('Anexo 8'!Q10*'Anexo 4'!$D$10,0)</f>
        <v>0</v>
      </c>
      <c r="R10" s="31">
        <f>ROUND('Anexo 8'!R10*'Anexo 4'!$D$10,0)</f>
        <v>0</v>
      </c>
      <c r="S10" s="31">
        <f>ROUND('Anexo 8'!S10*'Anexo 4'!$D$10,0)</f>
        <v>0</v>
      </c>
      <c r="T10" s="31">
        <f>ROUND('Anexo 8'!T10*'Anexo 4'!$D$10,0)</f>
        <v>0</v>
      </c>
      <c r="U10" s="31">
        <f>ROUND('Anexo 8'!U10*'Anexo 4'!$D$10,0)</f>
        <v>0</v>
      </c>
      <c r="V10" s="31">
        <f>ROUND('Anexo 8'!V10*'Anexo 4'!$D$10,0)</f>
        <v>0</v>
      </c>
      <c r="W10" s="31">
        <f>ROUND('Anexo 8'!W10*'Anexo 4'!$D$10,0)</f>
        <v>0</v>
      </c>
      <c r="X10" s="31">
        <f>ROUND('Anexo 8'!X10*'Anexo 4'!$D$10,0)</f>
        <v>0</v>
      </c>
      <c r="Y10" s="31">
        <f>ROUND('Anexo 8'!Y10*'Anexo 4'!$D$10,0)</f>
        <v>0</v>
      </c>
      <c r="Z10" s="31">
        <f>ROUND('Anexo 8'!Z10*'Anexo 4'!$D$10,0)</f>
        <v>0</v>
      </c>
      <c r="AA10" s="36">
        <f t="shared" si="0"/>
        <v>0</v>
      </c>
      <c r="AB10" s="19">
        <v>4</v>
      </c>
      <c r="AC10" s="81"/>
      <c r="AD10" s="45"/>
    </row>
    <row r="11" spans="1:30" ht="15.75" thickBot="1" x14ac:dyDescent="0.3">
      <c r="A11" s="79"/>
      <c r="B11" s="20" t="s">
        <v>3</v>
      </c>
      <c r="C11" s="31">
        <f>ROUND('Anexo 8'!C11*'Anexo 4'!$D$10,0)</f>
        <v>0</v>
      </c>
      <c r="D11" s="31">
        <f>ROUND('Anexo 8'!D11*'Anexo 4'!$D$10,0)</f>
        <v>0</v>
      </c>
      <c r="E11" s="31">
        <f>ROUND('Anexo 8'!E11*'Anexo 4'!$D$10,0)</f>
        <v>0</v>
      </c>
      <c r="F11" s="31">
        <f>ROUND('Anexo 8'!F11*'Anexo 4'!$D$10,0)</f>
        <v>0</v>
      </c>
      <c r="G11" s="31">
        <f>ROUND('Anexo 8'!G11*'Anexo 4'!$D$10,0)</f>
        <v>0</v>
      </c>
      <c r="H11" s="31">
        <f>ROUND('Anexo 8'!H11*'Anexo 4'!$D$10,0)</f>
        <v>0</v>
      </c>
      <c r="I11" s="31">
        <f>ROUND('Anexo 8'!I11*'Anexo 4'!$D$10,0)</f>
        <v>0</v>
      </c>
      <c r="J11" s="31">
        <f>ROUND('Anexo 8'!J11*'Anexo 4'!$D$10,0)</f>
        <v>0</v>
      </c>
      <c r="K11" s="31">
        <f>ROUND('Anexo 8'!K11*'Anexo 4'!$D$10,0)</f>
        <v>0</v>
      </c>
      <c r="L11" s="31">
        <f>ROUND('Anexo 8'!L11*'Anexo 4'!$D$10,0)</f>
        <v>0</v>
      </c>
      <c r="M11" s="31">
        <f>ROUND('Anexo 8'!M11*'Anexo 4'!$D$10,0)</f>
        <v>0</v>
      </c>
      <c r="N11" s="31">
        <f>ROUND('Anexo 8'!N11*'Anexo 4'!$D$10,0)</f>
        <v>0</v>
      </c>
      <c r="O11" s="31">
        <f>ROUND('Anexo 8'!O11*'Anexo 4'!$D$10,0)</f>
        <v>0</v>
      </c>
      <c r="P11" s="31">
        <f>ROUND('Anexo 8'!P11*'Anexo 4'!$D$10,0)</f>
        <v>0</v>
      </c>
      <c r="Q11" s="31">
        <f>ROUND('Anexo 8'!Q11*'Anexo 4'!$D$10,0)</f>
        <v>0</v>
      </c>
      <c r="R11" s="31">
        <f>ROUND('Anexo 8'!R11*'Anexo 4'!$D$10,0)</f>
        <v>0</v>
      </c>
      <c r="S11" s="31">
        <f>ROUND('Anexo 8'!S11*'Anexo 4'!$D$10,0)</f>
        <v>0</v>
      </c>
      <c r="T11" s="31">
        <f>ROUND('Anexo 8'!T11*'Anexo 4'!$D$10,0)</f>
        <v>0</v>
      </c>
      <c r="U11" s="31">
        <f>ROUND('Anexo 8'!U11*'Anexo 4'!$D$10,0)</f>
        <v>0</v>
      </c>
      <c r="V11" s="31">
        <f>ROUND('Anexo 8'!V11*'Anexo 4'!$D$10,0)</f>
        <v>0</v>
      </c>
      <c r="W11" s="31">
        <f>ROUND('Anexo 8'!W11*'Anexo 4'!$D$10,0)</f>
        <v>0</v>
      </c>
      <c r="X11" s="31">
        <f>ROUND('Anexo 8'!X11*'Anexo 4'!$D$10,0)</f>
        <v>0</v>
      </c>
      <c r="Y11" s="31">
        <f>ROUND('Anexo 8'!Y11*'Anexo 4'!$D$10,0)</f>
        <v>0</v>
      </c>
      <c r="Z11" s="31">
        <f>ROUND('Anexo 8'!Z11*'Anexo 4'!$D$10,0)</f>
        <v>0</v>
      </c>
      <c r="AA11" s="39">
        <f t="shared" si="0"/>
        <v>0</v>
      </c>
      <c r="AB11" s="21">
        <v>4</v>
      </c>
      <c r="AC11" s="82"/>
      <c r="AD11" s="46"/>
    </row>
    <row r="12" spans="1:30" ht="15.75" thickBot="1" x14ac:dyDescent="0.3">
      <c r="A12" s="79">
        <v>47543</v>
      </c>
      <c r="B12" s="16" t="s">
        <v>5</v>
      </c>
      <c r="C12" s="31">
        <f>ROUND('Anexo 8'!C12*'Anexo 4'!$D$10,0)</f>
        <v>0</v>
      </c>
      <c r="D12" s="31">
        <f>ROUND('Anexo 8'!D12*'Anexo 4'!$D$10,0)</f>
        <v>0</v>
      </c>
      <c r="E12" s="31">
        <f>ROUND('Anexo 8'!E12*'Anexo 4'!$D$10,0)</f>
        <v>0</v>
      </c>
      <c r="F12" s="31">
        <f>ROUND('Anexo 8'!F12*'Anexo 4'!$D$10,0)</f>
        <v>0</v>
      </c>
      <c r="G12" s="31">
        <f>ROUND('Anexo 8'!G12*'Anexo 4'!$D$10,0)</f>
        <v>0</v>
      </c>
      <c r="H12" s="31">
        <f>ROUND('Anexo 8'!H12*'Anexo 4'!$D$10,0)</f>
        <v>0</v>
      </c>
      <c r="I12" s="31">
        <f>ROUND('Anexo 8'!I12*'Anexo 4'!$D$10,0)</f>
        <v>0</v>
      </c>
      <c r="J12" s="31">
        <f>ROUND('Anexo 8'!J12*'Anexo 4'!$D$10,0)</f>
        <v>0</v>
      </c>
      <c r="K12" s="31">
        <f>ROUND('Anexo 8'!K12*'Anexo 4'!$D$10,0)</f>
        <v>0</v>
      </c>
      <c r="L12" s="31">
        <f>ROUND('Anexo 8'!L12*'Anexo 4'!$D$10,0)</f>
        <v>0</v>
      </c>
      <c r="M12" s="31">
        <f>ROUND('Anexo 8'!M12*'Anexo 4'!$D$10,0)</f>
        <v>0</v>
      </c>
      <c r="N12" s="31">
        <f>ROUND('Anexo 8'!N12*'Anexo 4'!$D$10,0)</f>
        <v>0</v>
      </c>
      <c r="O12" s="31">
        <f>ROUND('Anexo 8'!O12*'Anexo 4'!$D$10,0)</f>
        <v>0</v>
      </c>
      <c r="P12" s="31">
        <f>ROUND('Anexo 8'!P12*'Anexo 4'!$D$10,0)</f>
        <v>0</v>
      </c>
      <c r="Q12" s="31">
        <f>ROUND('Anexo 8'!Q12*'Anexo 4'!$D$10,0)</f>
        <v>0</v>
      </c>
      <c r="R12" s="31">
        <f>ROUND('Anexo 8'!R12*'Anexo 4'!$D$10,0)</f>
        <v>0</v>
      </c>
      <c r="S12" s="31">
        <f>ROUND('Anexo 8'!S12*'Anexo 4'!$D$10,0)</f>
        <v>0</v>
      </c>
      <c r="T12" s="31">
        <f>ROUND('Anexo 8'!T12*'Anexo 4'!$D$10,0)</f>
        <v>0</v>
      </c>
      <c r="U12" s="31">
        <f>ROUND('Anexo 8'!U12*'Anexo 4'!$D$10,0)</f>
        <v>0</v>
      </c>
      <c r="V12" s="31">
        <f>ROUND('Anexo 8'!V12*'Anexo 4'!$D$10,0)</f>
        <v>0</v>
      </c>
      <c r="W12" s="31">
        <f>ROUND('Anexo 8'!W12*'Anexo 4'!$D$10,0)</f>
        <v>0</v>
      </c>
      <c r="X12" s="31">
        <f>ROUND('Anexo 8'!X12*'Anexo 4'!$D$10,0)</f>
        <v>0</v>
      </c>
      <c r="Y12" s="31">
        <f>ROUND('Anexo 8'!Y12*'Anexo 4'!$D$10,0)</f>
        <v>0</v>
      </c>
      <c r="Z12" s="31">
        <f>ROUND('Anexo 8'!Z12*'Anexo 4'!$D$10,0)</f>
        <v>0</v>
      </c>
      <c r="AA12" s="33">
        <f t="shared" si="0"/>
        <v>0</v>
      </c>
      <c r="AB12" s="17">
        <v>20</v>
      </c>
      <c r="AC12" s="80">
        <f>+AA12*AB12+AA13*AB13+AA14*AB14</f>
        <v>0</v>
      </c>
    </row>
    <row r="13" spans="1:30" ht="15.75" thickBot="1" x14ac:dyDescent="0.3">
      <c r="A13" s="79"/>
      <c r="B13" s="18" t="s">
        <v>4</v>
      </c>
      <c r="C13" s="31">
        <f>ROUND('Anexo 8'!C13*'Anexo 4'!$D$10,0)</f>
        <v>0</v>
      </c>
      <c r="D13" s="31">
        <f>ROUND('Anexo 8'!D13*'Anexo 4'!$D$10,0)</f>
        <v>0</v>
      </c>
      <c r="E13" s="31">
        <f>ROUND('Anexo 8'!E13*'Anexo 4'!$D$10,0)</f>
        <v>0</v>
      </c>
      <c r="F13" s="31">
        <f>ROUND('Anexo 8'!F13*'Anexo 4'!$D$10,0)</f>
        <v>0</v>
      </c>
      <c r="G13" s="31">
        <f>ROUND('Anexo 8'!G13*'Anexo 4'!$D$10,0)</f>
        <v>0</v>
      </c>
      <c r="H13" s="31">
        <f>ROUND('Anexo 8'!H13*'Anexo 4'!$D$10,0)</f>
        <v>0</v>
      </c>
      <c r="I13" s="31">
        <f>ROUND('Anexo 8'!I13*'Anexo 4'!$D$10,0)</f>
        <v>0</v>
      </c>
      <c r="J13" s="31">
        <f>ROUND('Anexo 8'!J13*'Anexo 4'!$D$10,0)</f>
        <v>0</v>
      </c>
      <c r="K13" s="31">
        <f>ROUND('Anexo 8'!K13*'Anexo 4'!$D$10,0)</f>
        <v>0</v>
      </c>
      <c r="L13" s="31">
        <f>ROUND('Anexo 8'!L13*'Anexo 4'!$D$10,0)</f>
        <v>0</v>
      </c>
      <c r="M13" s="31">
        <f>ROUND('Anexo 8'!M13*'Anexo 4'!$D$10,0)</f>
        <v>0</v>
      </c>
      <c r="N13" s="31">
        <f>ROUND('Anexo 8'!N13*'Anexo 4'!$D$10,0)</f>
        <v>0</v>
      </c>
      <c r="O13" s="31">
        <f>ROUND('Anexo 8'!O13*'Anexo 4'!$D$10,0)</f>
        <v>0</v>
      </c>
      <c r="P13" s="31">
        <f>ROUND('Anexo 8'!P13*'Anexo 4'!$D$10,0)</f>
        <v>0</v>
      </c>
      <c r="Q13" s="31">
        <f>ROUND('Anexo 8'!Q13*'Anexo 4'!$D$10,0)</f>
        <v>0</v>
      </c>
      <c r="R13" s="31">
        <f>ROUND('Anexo 8'!R13*'Anexo 4'!$D$10,0)</f>
        <v>0</v>
      </c>
      <c r="S13" s="31">
        <f>ROUND('Anexo 8'!S13*'Anexo 4'!$D$10,0)</f>
        <v>0</v>
      </c>
      <c r="T13" s="31">
        <f>ROUND('Anexo 8'!T13*'Anexo 4'!$D$10,0)</f>
        <v>0</v>
      </c>
      <c r="U13" s="31">
        <f>ROUND('Anexo 8'!U13*'Anexo 4'!$D$10,0)</f>
        <v>0</v>
      </c>
      <c r="V13" s="31">
        <f>ROUND('Anexo 8'!V13*'Anexo 4'!$D$10,0)</f>
        <v>0</v>
      </c>
      <c r="W13" s="31">
        <f>ROUND('Anexo 8'!W13*'Anexo 4'!$D$10,0)</f>
        <v>0</v>
      </c>
      <c r="X13" s="31">
        <f>ROUND('Anexo 8'!X13*'Anexo 4'!$D$10,0)</f>
        <v>0</v>
      </c>
      <c r="Y13" s="31">
        <f>ROUND('Anexo 8'!Y13*'Anexo 4'!$D$10,0)</f>
        <v>0</v>
      </c>
      <c r="Z13" s="31">
        <f>ROUND('Anexo 8'!Z13*'Anexo 4'!$D$10,0)</f>
        <v>0</v>
      </c>
      <c r="AA13" s="36">
        <f t="shared" si="0"/>
        <v>0</v>
      </c>
      <c r="AB13" s="19">
        <v>5</v>
      </c>
      <c r="AC13" s="81"/>
      <c r="AD13" s="45"/>
    </row>
    <row r="14" spans="1:30" ht="15.75" thickBot="1" x14ac:dyDescent="0.3">
      <c r="A14" s="79"/>
      <c r="B14" s="20" t="s">
        <v>3</v>
      </c>
      <c r="C14" s="31">
        <f>ROUND('Anexo 8'!C14*'Anexo 4'!$D$10,0)</f>
        <v>0</v>
      </c>
      <c r="D14" s="31">
        <f>ROUND('Anexo 8'!D14*'Anexo 4'!$D$10,0)</f>
        <v>0</v>
      </c>
      <c r="E14" s="31">
        <f>ROUND('Anexo 8'!E14*'Anexo 4'!$D$10,0)</f>
        <v>0</v>
      </c>
      <c r="F14" s="31">
        <f>ROUND('Anexo 8'!F14*'Anexo 4'!$D$10,0)</f>
        <v>0</v>
      </c>
      <c r="G14" s="31">
        <f>ROUND('Anexo 8'!G14*'Anexo 4'!$D$10,0)</f>
        <v>0</v>
      </c>
      <c r="H14" s="31">
        <f>ROUND('Anexo 8'!H14*'Anexo 4'!$D$10,0)</f>
        <v>0</v>
      </c>
      <c r="I14" s="31">
        <f>ROUND('Anexo 8'!I14*'Anexo 4'!$D$10,0)</f>
        <v>0</v>
      </c>
      <c r="J14" s="31">
        <f>ROUND('Anexo 8'!J14*'Anexo 4'!$D$10,0)</f>
        <v>0</v>
      </c>
      <c r="K14" s="31">
        <f>ROUND('Anexo 8'!K14*'Anexo 4'!$D$10,0)</f>
        <v>0</v>
      </c>
      <c r="L14" s="31">
        <f>ROUND('Anexo 8'!L14*'Anexo 4'!$D$10,0)</f>
        <v>0</v>
      </c>
      <c r="M14" s="31">
        <f>ROUND('Anexo 8'!M14*'Anexo 4'!$D$10,0)</f>
        <v>0</v>
      </c>
      <c r="N14" s="31">
        <f>ROUND('Anexo 8'!N14*'Anexo 4'!$D$10,0)</f>
        <v>0</v>
      </c>
      <c r="O14" s="31">
        <f>ROUND('Anexo 8'!O14*'Anexo 4'!$D$10,0)</f>
        <v>0</v>
      </c>
      <c r="P14" s="31">
        <f>ROUND('Anexo 8'!P14*'Anexo 4'!$D$10,0)</f>
        <v>0</v>
      </c>
      <c r="Q14" s="31">
        <f>ROUND('Anexo 8'!Q14*'Anexo 4'!$D$10,0)</f>
        <v>0</v>
      </c>
      <c r="R14" s="31">
        <f>ROUND('Anexo 8'!R14*'Anexo 4'!$D$10,0)</f>
        <v>0</v>
      </c>
      <c r="S14" s="31">
        <f>ROUND('Anexo 8'!S14*'Anexo 4'!$D$10,0)</f>
        <v>0</v>
      </c>
      <c r="T14" s="31">
        <f>ROUND('Anexo 8'!T14*'Anexo 4'!$D$10,0)</f>
        <v>0</v>
      </c>
      <c r="U14" s="31">
        <f>ROUND('Anexo 8'!U14*'Anexo 4'!$D$10,0)</f>
        <v>0</v>
      </c>
      <c r="V14" s="31">
        <f>ROUND('Anexo 8'!V14*'Anexo 4'!$D$10,0)</f>
        <v>0</v>
      </c>
      <c r="W14" s="31">
        <f>ROUND('Anexo 8'!W14*'Anexo 4'!$D$10,0)</f>
        <v>0</v>
      </c>
      <c r="X14" s="31">
        <f>ROUND('Anexo 8'!X14*'Anexo 4'!$D$10,0)</f>
        <v>0</v>
      </c>
      <c r="Y14" s="31">
        <f>ROUND('Anexo 8'!Y14*'Anexo 4'!$D$10,0)</f>
        <v>0</v>
      </c>
      <c r="Z14" s="31">
        <f>ROUND('Anexo 8'!Z14*'Anexo 4'!$D$10,0)</f>
        <v>0</v>
      </c>
      <c r="AA14" s="39">
        <f t="shared" si="0"/>
        <v>0</v>
      </c>
      <c r="AB14" s="21">
        <v>6</v>
      </c>
      <c r="AC14" s="82"/>
      <c r="AD14" s="43"/>
    </row>
    <row r="15" spans="1:30" ht="15.75" thickBot="1" x14ac:dyDescent="0.3">
      <c r="A15" s="79">
        <v>47574</v>
      </c>
      <c r="B15" s="16" t="s">
        <v>5</v>
      </c>
      <c r="C15" s="31">
        <f>ROUND('Anexo 8'!C15*'Anexo 4'!$D$10,0)</f>
        <v>0</v>
      </c>
      <c r="D15" s="31">
        <f>ROUND('Anexo 8'!D15*'Anexo 4'!$D$10,0)</f>
        <v>0</v>
      </c>
      <c r="E15" s="31">
        <f>ROUND('Anexo 8'!E15*'Anexo 4'!$D$10,0)</f>
        <v>0</v>
      </c>
      <c r="F15" s="31">
        <f>ROUND('Anexo 8'!F15*'Anexo 4'!$D$10,0)</f>
        <v>0</v>
      </c>
      <c r="G15" s="31">
        <f>ROUND('Anexo 8'!G15*'Anexo 4'!$D$10,0)</f>
        <v>0</v>
      </c>
      <c r="H15" s="31">
        <f>ROUND('Anexo 8'!H15*'Anexo 4'!$D$10,0)</f>
        <v>0</v>
      </c>
      <c r="I15" s="31">
        <f>ROUND('Anexo 8'!I15*'Anexo 4'!$D$10,0)</f>
        <v>0</v>
      </c>
      <c r="J15" s="31">
        <f>ROUND('Anexo 8'!J15*'Anexo 4'!$D$10,0)</f>
        <v>0</v>
      </c>
      <c r="K15" s="31">
        <f>ROUND('Anexo 8'!K15*'Anexo 4'!$D$10,0)</f>
        <v>0</v>
      </c>
      <c r="L15" s="31">
        <f>ROUND('Anexo 8'!L15*'Anexo 4'!$D$10,0)</f>
        <v>0</v>
      </c>
      <c r="M15" s="31">
        <f>ROUND('Anexo 8'!M15*'Anexo 4'!$D$10,0)</f>
        <v>0</v>
      </c>
      <c r="N15" s="31">
        <f>ROUND('Anexo 8'!N15*'Anexo 4'!$D$10,0)</f>
        <v>0</v>
      </c>
      <c r="O15" s="31">
        <f>ROUND('Anexo 8'!O15*'Anexo 4'!$D$10,0)</f>
        <v>0</v>
      </c>
      <c r="P15" s="31">
        <f>ROUND('Anexo 8'!P15*'Anexo 4'!$D$10,0)</f>
        <v>0</v>
      </c>
      <c r="Q15" s="31">
        <f>ROUND('Anexo 8'!Q15*'Anexo 4'!$D$10,0)</f>
        <v>0</v>
      </c>
      <c r="R15" s="31">
        <f>ROUND('Anexo 8'!R15*'Anexo 4'!$D$10,0)</f>
        <v>0</v>
      </c>
      <c r="S15" s="31">
        <f>ROUND('Anexo 8'!S15*'Anexo 4'!$D$10,0)</f>
        <v>0</v>
      </c>
      <c r="T15" s="31">
        <f>ROUND('Anexo 8'!T15*'Anexo 4'!$D$10,0)</f>
        <v>0</v>
      </c>
      <c r="U15" s="31">
        <f>ROUND('Anexo 8'!U15*'Anexo 4'!$D$10,0)</f>
        <v>0</v>
      </c>
      <c r="V15" s="31">
        <f>ROUND('Anexo 8'!V15*'Anexo 4'!$D$10,0)</f>
        <v>0</v>
      </c>
      <c r="W15" s="31">
        <f>ROUND('Anexo 8'!W15*'Anexo 4'!$D$10,0)</f>
        <v>0</v>
      </c>
      <c r="X15" s="31">
        <f>ROUND('Anexo 8'!X15*'Anexo 4'!$D$10,0)</f>
        <v>0</v>
      </c>
      <c r="Y15" s="31">
        <f>ROUND('Anexo 8'!Y15*'Anexo 4'!$D$10,0)</f>
        <v>0</v>
      </c>
      <c r="Z15" s="31">
        <f>ROUND('Anexo 8'!Z15*'Anexo 4'!$D$10,0)</f>
        <v>0</v>
      </c>
      <c r="AA15" s="33">
        <f t="shared" si="0"/>
        <v>0</v>
      </c>
      <c r="AB15" s="17">
        <v>20</v>
      </c>
      <c r="AC15" s="80">
        <f>+AA15*AB15+AA16*AB16+AA17*AB17</f>
        <v>0</v>
      </c>
    </row>
    <row r="16" spans="1:30" ht="15.75" thickBot="1" x14ac:dyDescent="0.3">
      <c r="A16" s="79"/>
      <c r="B16" s="18" t="s">
        <v>4</v>
      </c>
      <c r="C16" s="31">
        <f>ROUND('Anexo 8'!C16*'Anexo 4'!$D$10,0)</f>
        <v>0</v>
      </c>
      <c r="D16" s="31">
        <f>ROUND('Anexo 8'!D16*'Anexo 4'!$D$10,0)</f>
        <v>0</v>
      </c>
      <c r="E16" s="31">
        <f>ROUND('Anexo 8'!E16*'Anexo 4'!$D$10,0)</f>
        <v>0</v>
      </c>
      <c r="F16" s="31">
        <f>ROUND('Anexo 8'!F16*'Anexo 4'!$D$10,0)</f>
        <v>0</v>
      </c>
      <c r="G16" s="31">
        <f>ROUND('Anexo 8'!G16*'Anexo 4'!$D$10,0)</f>
        <v>0</v>
      </c>
      <c r="H16" s="31">
        <f>ROUND('Anexo 8'!H16*'Anexo 4'!$D$10,0)</f>
        <v>0</v>
      </c>
      <c r="I16" s="31">
        <f>ROUND('Anexo 8'!I16*'Anexo 4'!$D$10,0)</f>
        <v>0</v>
      </c>
      <c r="J16" s="31">
        <f>ROUND('Anexo 8'!J16*'Anexo 4'!$D$10,0)</f>
        <v>0</v>
      </c>
      <c r="K16" s="31">
        <f>ROUND('Anexo 8'!K16*'Anexo 4'!$D$10,0)</f>
        <v>0</v>
      </c>
      <c r="L16" s="31">
        <f>ROUND('Anexo 8'!L16*'Anexo 4'!$D$10,0)</f>
        <v>0</v>
      </c>
      <c r="M16" s="31">
        <f>ROUND('Anexo 8'!M16*'Anexo 4'!$D$10,0)</f>
        <v>0</v>
      </c>
      <c r="N16" s="31">
        <f>ROUND('Anexo 8'!N16*'Anexo 4'!$D$10,0)</f>
        <v>0</v>
      </c>
      <c r="O16" s="31">
        <f>ROUND('Anexo 8'!O16*'Anexo 4'!$D$10,0)</f>
        <v>0</v>
      </c>
      <c r="P16" s="31">
        <f>ROUND('Anexo 8'!P16*'Anexo 4'!$D$10,0)</f>
        <v>0</v>
      </c>
      <c r="Q16" s="31">
        <f>ROUND('Anexo 8'!Q16*'Anexo 4'!$D$10,0)</f>
        <v>0</v>
      </c>
      <c r="R16" s="31">
        <f>ROUND('Anexo 8'!R16*'Anexo 4'!$D$10,0)</f>
        <v>0</v>
      </c>
      <c r="S16" s="31">
        <f>ROUND('Anexo 8'!S16*'Anexo 4'!$D$10,0)</f>
        <v>0</v>
      </c>
      <c r="T16" s="31">
        <f>ROUND('Anexo 8'!T16*'Anexo 4'!$D$10,0)</f>
        <v>0</v>
      </c>
      <c r="U16" s="31">
        <f>ROUND('Anexo 8'!U16*'Anexo 4'!$D$10,0)</f>
        <v>0</v>
      </c>
      <c r="V16" s="31">
        <f>ROUND('Anexo 8'!V16*'Anexo 4'!$D$10,0)</f>
        <v>0</v>
      </c>
      <c r="W16" s="31">
        <f>ROUND('Anexo 8'!W16*'Anexo 4'!$D$10,0)</f>
        <v>0</v>
      </c>
      <c r="X16" s="31">
        <f>ROUND('Anexo 8'!X16*'Anexo 4'!$D$10,0)</f>
        <v>0</v>
      </c>
      <c r="Y16" s="31">
        <f>ROUND('Anexo 8'!Y16*'Anexo 4'!$D$10,0)</f>
        <v>0</v>
      </c>
      <c r="Z16" s="31">
        <f>ROUND('Anexo 8'!Z16*'Anexo 4'!$D$10,0)</f>
        <v>0</v>
      </c>
      <c r="AA16" s="36">
        <f t="shared" si="0"/>
        <v>0</v>
      </c>
      <c r="AB16" s="19">
        <v>4</v>
      </c>
      <c r="AC16" s="81"/>
      <c r="AD16" s="45"/>
    </row>
    <row r="17" spans="1:30" ht="15.75" thickBot="1" x14ac:dyDescent="0.3">
      <c r="A17" s="79"/>
      <c r="B17" s="20" t="s">
        <v>3</v>
      </c>
      <c r="C17" s="31">
        <f>ROUND('Anexo 8'!C17*'Anexo 4'!$D$10,0)</f>
        <v>0</v>
      </c>
      <c r="D17" s="31">
        <f>ROUND('Anexo 8'!D17*'Anexo 4'!$D$10,0)</f>
        <v>0</v>
      </c>
      <c r="E17" s="31">
        <f>ROUND('Anexo 8'!E17*'Anexo 4'!$D$10,0)</f>
        <v>0</v>
      </c>
      <c r="F17" s="31">
        <f>ROUND('Anexo 8'!F17*'Anexo 4'!$D$10,0)</f>
        <v>0</v>
      </c>
      <c r="G17" s="31">
        <f>ROUND('Anexo 8'!G17*'Anexo 4'!$D$10,0)</f>
        <v>0</v>
      </c>
      <c r="H17" s="31">
        <f>ROUND('Anexo 8'!H17*'Anexo 4'!$D$10,0)</f>
        <v>0</v>
      </c>
      <c r="I17" s="31">
        <f>ROUND('Anexo 8'!I17*'Anexo 4'!$D$10,0)</f>
        <v>0</v>
      </c>
      <c r="J17" s="31">
        <f>ROUND('Anexo 8'!J17*'Anexo 4'!$D$10,0)</f>
        <v>0</v>
      </c>
      <c r="K17" s="31">
        <f>ROUND('Anexo 8'!K17*'Anexo 4'!$D$10,0)</f>
        <v>0</v>
      </c>
      <c r="L17" s="31">
        <f>ROUND('Anexo 8'!L17*'Anexo 4'!$D$10,0)</f>
        <v>0</v>
      </c>
      <c r="M17" s="31">
        <f>ROUND('Anexo 8'!M17*'Anexo 4'!$D$10,0)</f>
        <v>0</v>
      </c>
      <c r="N17" s="31">
        <f>ROUND('Anexo 8'!N17*'Anexo 4'!$D$10,0)</f>
        <v>0</v>
      </c>
      <c r="O17" s="31">
        <f>ROUND('Anexo 8'!O17*'Anexo 4'!$D$10,0)</f>
        <v>0</v>
      </c>
      <c r="P17" s="31">
        <f>ROUND('Anexo 8'!P17*'Anexo 4'!$D$10,0)</f>
        <v>0</v>
      </c>
      <c r="Q17" s="31">
        <f>ROUND('Anexo 8'!Q17*'Anexo 4'!$D$10,0)</f>
        <v>0</v>
      </c>
      <c r="R17" s="31">
        <f>ROUND('Anexo 8'!R17*'Anexo 4'!$D$10,0)</f>
        <v>0</v>
      </c>
      <c r="S17" s="31">
        <f>ROUND('Anexo 8'!S17*'Anexo 4'!$D$10,0)</f>
        <v>0</v>
      </c>
      <c r="T17" s="31">
        <f>ROUND('Anexo 8'!T17*'Anexo 4'!$D$10,0)</f>
        <v>0</v>
      </c>
      <c r="U17" s="31">
        <f>ROUND('Anexo 8'!U17*'Anexo 4'!$D$10,0)</f>
        <v>0</v>
      </c>
      <c r="V17" s="31">
        <f>ROUND('Anexo 8'!V17*'Anexo 4'!$D$10,0)</f>
        <v>0</v>
      </c>
      <c r="W17" s="31">
        <f>ROUND('Anexo 8'!W17*'Anexo 4'!$D$10,0)</f>
        <v>0</v>
      </c>
      <c r="X17" s="31">
        <f>ROUND('Anexo 8'!X17*'Anexo 4'!$D$10,0)</f>
        <v>0</v>
      </c>
      <c r="Y17" s="31">
        <f>ROUND('Anexo 8'!Y17*'Anexo 4'!$D$10,0)</f>
        <v>0</v>
      </c>
      <c r="Z17" s="31">
        <f>ROUND('Anexo 8'!Z17*'Anexo 4'!$D$10,0)</f>
        <v>0</v>
      </c>
      <c r="AA17" s="39">
        <f t="shared" si="0"/>
        <v>0</v>
      </c>
      <c r="AB17" s="21">
        <v>6</v>
      </c>
      <c r="AC17" s="82"/>
      <c r="AD17" s="46"/>
    </row>
    <row r="18" spans="1:30" ht="15.75" thickBot="1" x14ac:dyDescent="0.3">
      <c r="A18" s="79">
        <v>47604</v>
      </c>
      <c r="B18" s="16" t="s">
        <v>5</v>
      </c>
      <c r="C18" s="31">
        <f>ROUND('Anexo 8'!C18*'Anexo 4'!$D$10,0)</f>
        <v>0</v>
      </c>
      <c r="D18" s="31">
        <f>ROUND('Anexo 8'!D18*'Anexo 4'!$D$10,0)</f>
        <v>0</v>
      </c>
      <c r="E18" s="31">
        <f>ROUND('Anexo 8'!E18*'Anexo 4'!$D$10,0)</f>
        <v>0</v>
      </c>
      <c r="F18" s="31">
        <f>ROUND('Anexo 8'!F18*'Anexo 4'!$D$10,0)</f>
        <v>0</v>
      </c>
      <c r="G18" s="31">
        <f>ROUND('Anexo 8'!G18*'Anexo 4'!$D$10,0)</f>
        <v>0</v>
      </c>
      <c r="H18" s="31">
        <f>ROUND('Anexo 8'!H18*'Anexo 4'!$D$10,0)</f>
        <v>0</v>
      </c>
      <c r="I18" s="31">
        <f>ROUND('Anexo 8'!I18*'Anexo 4'!$D$10,0)</f>
        <v>0</v>
      </c>
      <c r="J18" s="31">
        <f>ROUND('Anexo 8'!J18*'Anexo 4'!$D$10,0)</f>
        <v>0</v>
      </c>
      <c r="K18" s="31">
        <f>ROUND('Anexo 8'!K18*'Anexo 4'!$D$10,0)</f>
        <v>0</v>
      </c>
      <c r="L18" s="31">
        <f>ROUND('Anexo 8'!L18*'Anexo 4'!$D$10,0)</f>
        <v>0</v>
      </c>
      <c r="M18" s="31">
        <f>ROUND('Anexo 8'!M18*'Anexo 4'!$D$10,0)</f>
        <v>0</v>
      </c>
      <c r="N18" s="31">
        <f>ROUND('Anexo 8'!N18*'Anexo 4'!$D$10,0)</f>
        <v>0</v>
      </c>
      <c r="O18" s="31">
        <f>ROUND('Anexo 8'!O18*'Anexo 4'!$D$10,0)</f>
        <v>0</v>
      </c>
      <c r="P18" s="31">
        <f>ROUND('Anexo 8'!P18*'Anexo 4'!$D$10,0)</f>
        <v>0</v>
      </c>
      <c r="Q18" s="31">
        <f>ROUND('Anexo 8'!Q18*'Anexo 4'!$D$10,0)</f>
        <v>0</v>
      </c>
      <c r="R18" s="31">
        <f>ROUND('Anexo 8'!R18*'Anexo 4'!$D$10,0)</f>
        <v>0</v>
      </c>
      <c r="S18" s="31">
        <f>ROUND('Anexo 8'!S18*'Anexo 4'!$D$10,0)</f>
        <v>0</v>
      </c>
      <c r="T18" s="31">
        <f>ROUND('Anexo 8'!T18*'Anexo 4'!$D$10,0)</f>
        <v>0</v>
      </c>
      <c r="U18" s="31">
        <f>ROUND('Anexo 8'!U18*'Anexo 4'!$D$10,0)</f>
        <v>0</v>
      </c>
      <c r="V18" s="31">
        <f>ROUND('Anexo 8'!V18*'Anexo 4'!$D$10,0)</f>
        <v>0</v>
      </c>
      <c r="W18" s="31">
        <f>ROUND('Anexo 8'!W18*'Anexo 4'!$D$10,0)</f>
        <v>0</v>
      </c>
      <c r="X18" s="31">
        <f>ROUND('Anexo 8'!X18*'Anexo 4'!$D$10,0)</f>
        <v>0</v>
      </c>
      <c r="Y18" s="31">
        <f>ROUND('Anexo 8'!Y18*'Anexo 4'!$D$10,0)</f>
        <v>0</v>
      </c>
      <c r="Z18" s="31">
        <f>ROUND('Anexo 8'!Z18*'Anexo 4'!$D$10,0)</f>
        <v>0</v>
      </c>
      <c r="AA18" s="33">
        <f t="shared" si="0"/>
        <v>0</v>
      </c>
      <c r="AB18" s="17">
        <v>22</v>
      </c>
      <c r="AC18" s="80">
        <f>+AA18*AB18+AA19*AB19+AA20*AB20</f>
        <v>0</v>
      </c>
    </row>
    <row r="19" spans="1:30" ht="15.75" thickBot="1" x14ac:dyDescent="0.3">
      <c r="A19" s="79"/>
      <c r="B19" s="18" t="s">
        <v>4</v>
      </c>
      <c r="C19" s="31">
        <f>ROUND('Anexo 8'!C19*'Anexo 4'!$D$10,0)</f>
        <v>0</v>
      </c>
      <c r="D19" s="31">
        <f>ROUND('Anexo 8'!D19*'Anexo 4'!$D$10,0)</f>
        <v>0</v>
      </c>
      <c r="E19" s="31">
        <f>ROUND('Anexo 8'!E19*'Anexo 4'!$D$10,0)</f>
        <v>0</v>
      </c>
      <c r="F19" s="31">
        <f>ROUND('Anexo 8'!F19*'Anexo 4'!$D$10,0)</f>
        <v>0</v>
      </c>
      <c r="G19" s="31">
        <f>ROUND('Anexo 8'!G19*'Anexo 4'!$D$10,0)</f>
        <v>0</v>
      </c>
      <c r="H19" s="31">
        <f>ROUND('Anexo 8'!H19*'Anexo 4'!$D$10,0)</f>
        <v>0</v>
      </c>
      <c r="I19" s="31">
        <f>ROUND('Anexo 8'!I19*'Anexo 4'!$D$10,0)</f>
        <v>0</v>
      </c>
      <c r="J19" s="31">
        <f>ROUND('Anexo 8'!J19*'Anexo 4'!$D$10,0)</f>
        <v>0</v>
      </c>
      <c r="K19" s="31">
        <f>ROUND('Anexo 8'!K19*'Anexo 4'!$D$10,0)</f>
        <v>0</v>
      </c>
      <c r="L19" s="31">
        <f>ROUND('Anexo 8'!L19*'Anexo 4'!$D$10,0)</f>
        <v>0</v>
      </c>
      <c r="M19" s="31">
        <f>ROUND('Anexo 8'!M19*'Anexo 4'!$D$10,0)</f>
        <v>0</v>
      </c>
      <c r="N19" s="31">
        <f>ROUND('Anexo 8'!N19*'Anexo 4'!$D$10,0)</f>
        <v>0</v>
      </c>
      <c r="O19" s="31">
        <f>ROUND('Anexo 8'!O19*'Anexo 4'!$D$10,0)</f>
        <v>0</v>
      </c>
      <c r="P19" s="31">
        <f>ROUND('Anexo 8'!P19*'Anexo 4'!$D$10,0)</f>
        <v>0</v>
      </c>
      <c r="Q19" s="31">
        <f>ROUND('Anexo 8'!Q19*'Anexo 4'!$D$10,0)</f>
        <v>0</v>
      </c>
      <c r="R19" s="31">
        <f>ROUND('Anexo 8'!R19*'Anexo 4'!$D$10,0)</f>
        <v>0</v>
      </c>
      <c r="S19" s="31">
        <f>ROUND('Anexo 8'!S19*'Anexo 4'!$D$10,0)</f>
        <v>0</v>
      </c>
      <c r="T19" s="31">
        <f>ROUND('Anexo 8'!T19*'Anexo 4'!$D$10,0)</f>
        <v>0</v>
      </c>
      <c r="U19" s="31">
        <f>ROUND('Anexo 8'!U19*'Anexo 4'!$D$10,0)</f>
        <v>0</v>
      </c>
      <c r="V19" s="31">
        <f>ROUND('Anexo 8'!V19*'Anexo 4'!$D$10,0)</f>
        <v>0</v>
      </c>
      <c r="W19" s="31">
        <f>ROUND('Anexo 8'!W19*'Anexo 4'!$D$10,0)</f>
        <v>0</v>
      </c>
      <c r="X19" s="31">
        <f>ROUND('Anexo 8'!X19*'Anexo 4'!$D$10,0)</f>
        <v>0</v>
      </c>
      <c r="Y19" s="31">
        <f>ROUND('Anexo 8'!Y19*'Anexo 4'!$D$10,0)</f>
        <v>0</v>
      </c>
      <c r="Z19" s="31">
        <f>ROUND('Anexo 8'!Z19*'Anexo 4'!$D$10,0)</f>
        <v>0</v>
      </c>
      <c r="AA19" s="36">
        <f t="shared" si="0"/>
        <v>0</v>
      </c>
      <c r="AB19" s="19">
        <v>4</v>
      </c>
      <c r="AC19" s="81"/>
      <c r="AD19" s="45"/>
    </row>
    <row r="20" spans="1:30" ht="15.75" thickBot="1" x14ac:dyDescent="0.3">
      <c r="A20" s="79"/>
      <c r="B20" s="20" t="s">
        <v>3</v>
      </c>
      <c r="C20" s="31">
        <f>ROUND('Anexo 8'!C20*'Anexo 4'!$D$10,0)</f>
        <v>0</v>
      </c>
      <c r="D20" s="31">
        <f>ROUND('Anexo 8'!D20*'Anexo 4'!$D$10,0)</f>
        <v>0</v>
      </c>
      <c r="E20" s="31">
        <f>ROUND('Anexo 8'!E20*'Anexo 4'!$D$10,0)</f>
        <v>0</v>
      </c>
      <c r="F20" s="31">
        <f>ROUND('Anexo 8'!F20*'Anexo 4'!$D$10,0)</f>
        <v>0</v>
      </c>
      <c r="G20" s="31">
        <f>ROUND('Anexo 8'!G20*'Anexo 4'!$D$10,0)</f>
        <v>0</v>
      </c>
      <c r="H20" s="31">
        <f>ROUND('Anexo 8'!H20*'Anexo 4'!$D$10,0)</f>
        <v>0</v>
      </c>
      <c r="I20" s="31">
        <f>ROUND('Anexo 8'!I20*'Anexo 4'!$D$10,0)</f>
        <v>0</v>
      </c>
      <c r="J20" s="31">
        <f>ROUND('Anexo 8'!J20*'Anexo 4'!$D$10,0)</f>
        <v>0</v>
      </c>
      <c r="K20" s="31">
        <f>ROUND('Anexo 8'!K20*'Anexo 4'!$D$10,0)</f>
        <v>0</v>
      </c>
      <c r="L20" s="31">
        <f>ROUND('Anexo 8'!L20*'Anexo 4'!$D$10,0)</f>
        <v>0</v>
      </c>
      <c r="M20" s="31">
        <f>ROUND('Anexo 8'!M20*'Anexo 4'!$D$10,0)</f>
        <v>0</v>
      </c>
      <c r="N20" s="31">
        <f>ROUND('Anexo 8'!N20*'Anexo 4'!$D$10,0)</f>
        <v>0</v>
      </c>
      <c r="O20" s="31">
        <f>ROUND('Anexo 8'!O20*'Anexo 4'!$D$10,0)</f>
        <v>0</v>
      </c>
      <c r="P20" s="31">
        <f>ROUND('Anexo 8'!P20*'Anexo 4'!$D$10,0)</f>
        <v>0</v>
      </c>
      <c r="Q20" s="31">
        <f>ROUND('Anexo 8'!Q20*'Anexo 4'!$D$10,0)</f>
        <v>0</v>
      </c>
      <c r="R20" s="31">
        <f>ROUND('Anexo 8'!R20*'Anexo 4'!$D$10,0)</f>
        <v>0</v>
      </c>
      <c r="S20" s="31">
        <f>ROUND('Anexo 8'!S20*'Anexo 4'!$D$10,0)</f>
        <v>0</v>
      </c>
      <c r="T20" s="31">
        <f>ROUND('Anexo 8'!T20*'Anexo 4'!$D$10,0)</f>
        <v>0</v>
      </c>
      <c r="U20" s="31">
        <f>ROUND('Anexo 8'!U20*'Anexo 4'!$D$10,0)</f>
        <v>0</v>
      </c>
      <c r="V20" s="31">
        <f>ROUND('Anexo 8'!V20*'Anexo 4'!$D$10,0)</f>
        <v>0</v>
      </c>
      <c r="W20" s="31">
        <f>ROUND('Anexo 8'!W20*'Anexo 4'!$D$10,0)</f>
        <v>0</v>
      </c>
      <c r="X20" s="31">
        <f>ROUND('Anexo 8'!X20*'Anexo 4'!$D$10,0)</f>
        <v>0</v>
      </c>
      <c r="Y20" s="31">
        <f>ROUND('Anexo 8'!Y20*'Anexo 4'!$D$10,0)</f>
        <v>0</v>
      </c>
      <c r="Z20" s="31">
        <f>ROUND('Anexo 8'!Z20*'Anexo 4'!$D$10,0)</f>
        <v>0</v>
      </c>
      <c r="AA20" s="39">
        <f t="shared" si="0"/>
        <v>0</v>
      </c>
      <c r="AB20" s="21">
        <v>5</v>
      </c>
      <c r="AC20" s="82"/>
      <c r="AD20" s="46"/>
    </row>
    <row r="21" spans="1:30" ht="15.75" thickBot="1" x14ac:dyDescent="0.3">
      <c r="A21" s="79">
        <v>47635</v>
      </c>
      <c r="B21" s="16" t="s">
        <v>5</v>
      </c>
      <c r="C21" s="31">
        <f>ROUND('Anexo 8'!C21*'Anexo 4'!$D$10,0)</f>
        <v>0</v>
      </c>
      <c r="D21" s="31">
        <f>ROUND('Anexo 8'!D21*'Anexo 4'!$D$10,0)</f>
        <v>0</v>
      </c>
      <c r="E21" s="31">
        <f>ROUND('Anexo 8'!E21*'Anexo 4'!$D$10,0)</f>
        <v>0</v>
      </c>
      <c r="F21" s="31">
        <f>ROUND('Anexo 8'!F21*'Anexo 4'!$D$10,0)</f>
        <v>0</v>
      </c>
      <c r="G21" s="31">
        <f>ROUND('Anexo 8'!G21*'Anexo 4'!$D$10,0)</f>
        <v>0</v>
      </c>
      <c r="H21" s="31">
        <f>ROUND('Anexo 8'!H21*'Anexo 4'!$D$10,0)</f>
        <v>0</v>
      </c>
      <c r="I21" s="31">
        <f>ROUND('Anexo 8'!I21*'Anexo 4'!$D$10,0)</f>
        <v>0</v>
      </c>
      <c r="J21" s="31">
        <f>ROUND('Anexo 8'!J21*'Anexo 4'!$D$10,0)</f>
        <v>0</v>
      </c>
      <c r="K21" s="31">
        <f>ROUND('Anexo 8'!K21*'Anexo 4'!$D$10,0)</f>
        <v>0</v>
      </c>
      <c r="L21" s="31">
        <f>ROUND('Anexo 8'!L21*'Anexo 4'!$D$10,0)</f>
        <v>0</v>
      </c>
      <c r="M21" s="31">
        <f>ROUND('Anexo 8'!M21*'Anexo 4'!$D$10,0)</f>
        <v>0</v>
      </c>
      <c r="N21" s="31">
        <f>ROUND('Anexo 8'!N21*'Anexo 4'!$D$10,0)</f>
        <v>0</v>
      </c>
      <c r="O21" s="31">
        <f>ROUND('Anexo 8'!O21*'Anexo 4'!$D$10,0)</f>
        <v>0</v>
      </c>
      <c r="P21" s="31">
        <f>ROUND('Anexo 8'!P21*'Anexo 4'!$D$10,0)</f>
        <v>0</v>
      </c>
      <c r="Q21" s="31">
        <f>ROUND('Anexo 8'!Q21*'Anexo 4'!$D$10,0)</f>
        <v>0</v>
      </c>
      <c r="R21" s="31">
        <f>ROUND('Anexo 8'!R21*'Anexo 4'!$D$10,0)</f>
        <v>0</v>
      </c>
      <c r="S21" s="31">
        <f>ROUND('Anexo 8'!S21*'Anexo 4'!$D$10,0)</f>
        <v>0</v>
      </c>
      <c r="T21" s="31">
        <f>ROUND('Anexo 8'!T21*'Anexo 4'!$D$10,0)</f>
        <v>0</v>
      </c>
      <c r="U21" s="31">
        <f>ROUND('Anexo 8'!U21*'Anexo 4'!$D$10,0)</f>
        <v>0</v>
      </c>
      <c r="V21" s="31">
        <f>ROUND('Anexo 8'!V21*'Anexo 4'!$D$10,0)</f>
        <v>0</v>
      </c>
      <c r="W21" s="31">
        <f>ROUND('Anexo 8'!W21*'Anexo 4'!$D$10,0)</f>
        <v>0</v>
      </c>
      <c r="X21" s="31">
        <f>ROUND('Anexo 8'!X21*'Anexo 4'!$D$10,0)</f>
        <v>0</v>
      </c>
      <c r="Y21" s="31">
        <f>ROUND('Anexo 8'!Y21*'Anexo 4'!$D$10,0)</f>
        <v>0</v>
      </c>
      <c r="Z21" s="31">
        <f>ROUND('Anexo 8'!Z21*'Anexo 4'!$D$10,0)</f>
        <v>0</v>
      </c>
      <c r="AA21" s="33">
        <f t="shared" si="0"/>
        <v>0</v>
      </c>
      <c r="AB21" s="17">
        <v>18</v>
      </c>
      <c r="AC21" s="80">
        <f>+AA21*AB21+AA22*AB22+AA23*AB23</f>
        <v>0</v>
      </c>
    </row>
    <row r="22" spans="1:30" ht="15.75" thickBot="1" x14ac:dyDescent="0.3">
      <c r="A22" s="79"/>
      <c r="B22" s="18" t="s">
        <v>4</v>
      </c>
      <c r="C22" s="31">
        <f>ROUND('Anexo 8'!C22*'Anexo 4'!$D$10,0)</f>
        <v>0</v>
      </c>
      <c r="D22" s="31">
        <f>ROUND('Anexo 8'!D22*'Anexo 4'!$D$10,0)</f>
        <v>0</v>
      </c>
      <c r="E22" s="31">
        <f>ROUND('Anexo 8'!E22*'Anexo 4'!$D$10,0)</f>
        <v>0</v>
      </c>
      <c r="F22" s="31">
        <f>ROUND('Anexo 8'!F22*'Anexo 4'!$D$10,0)</f>
        <v>0</v>
      </c>
      <c r="G22" s="31">
        <f>ROUND('Anexo 8'!G22*'Anexo 4'!$D$10,0)</f>
        <v>0</v>
      </c>
      <c r="H22" s="31">
        <f>ROUND('Anexo 8'!H22*'Anexo 4'!$D$10,0)</f>
        <v>0</v>
      </c>
      <c r="I22" s="31">
        <f>ROUND('Anexo 8'!I22*'Anexo 4'!$D$10,0)</f>
        <v>0</v>
      </c>
      <c r="J22" s="31">
        <f>ROUND('Anexo 8'!J22*'Anexo 4'!$D$10,0)</f>
        <v>0</v>
      </c>
      <c r="K22" s="31">
        <f>ROUND('Anexo 8'!K22*'Anexo 4'!$D$10,0)</f>
        <v>0</v>
      </c>
      <c r="L22" s="31">
        <f>ROUND('Anexo 8'!L22*'Anexo 4'!$D$10,0)</f>
        <v>0</v>
      </c>
      <c r="M22" s="31">
        <f>ROUND('Anexo 8'!M22*'Anexo 4'!$D$10,0)</f>
        <v>0</v>
      </c>
      <c r="N22" s="31">
        <f>ROUND('Anexo 8'!N22*'Anexo 4'!$D$10,0)</f>
        <v>0</v>
      </c>
      <c r="O22" s="31">
        <f>ROUND('Anexo 8'!O22*'Anexo 4'!$D$10,0)</f>
        <v>0</v>
      </c>
      <c r="P22" s="31">
        <f>ROUND('Anexo 8'!P22*'Anexo 4'!$D$10,0)</f>
        <v>0</v>
      </c>
      <c r="Q22" s="31">
        <f>ROUND('Anexo 8'!Q22*'Anexo 4'!$D$10,0)</f>
        <v>0</v>
      </c>
      <c r="R22" s="31">
        <f>ROUND('Anexo 8'!R22*'Anexo 4'!$D$10,0)</f>
        <v>0</v>
      </c>
      <c r="S22" s="31">
        <f>ROUND('Anexo 8'!S22*'Anexo 4'!$D$10,0)</f>
        <v>0</v>
      </c>
      <c r="T22" s="31">
        <f>ROUND('Anexo 8'!T22*'Anexo 4'!$D$10,0)</f>
        <v>0</v>
      </c>
      <c r="U22" s="31">
        <f>ROUND('Anexo 8'!U22*'Anexo 4'!$D$10,0)</f>
        <v>0</v>
      </c>
      <c r="V22" s="31">
        <f>ROUND('Anexo 8'!V22*'Anexo 4'!$D$10,0)</f>
        <v>0</v>
      </c>
      <c r="W22" s="31">
        <f>ROUND('Anexo 8'!W22*'Anexo 4'!$D$10,0)</f>
        <v>0</v>
      </c>
      <c r="X22" s="31">
        <f>ROUND('Anexo 8'!X22*'Anexo 4'!$D$10,0)</f>
        <v>0</v>
      </c>
      <c r="Y22" s="31">
        <f>ROUND('Anexo 8'!Y22*'Anexo 4'!$D$10,0)</f>
        <v>0</v>
      </c>
      <c r="Z22" s="31">
        <f>ROUND('Anexo 8'!Z22*'Anexo 4'!$D$10,0)</f>
        <v>0</v>
      </c>
      <c r="AA22" s="36">
        <f t="shared" si="0"/>
        <v>0</v>
      </c>
      <c r="AB22" s="19">
        <v>5</v>
      </c>
      <c r="AC22" s="81"/>
      <c r="AD22" s="45"/>
    </row>
    <row r="23" spans="1:30" ht="15.75" thickBot="1" x14ac:dyDescent="0.3">
      <c r="A23" s="79"/>
      <c r="B23" s="20" t="s">
        <v>3</v>
      </c>
      <c r="C23" s="31">
        <f>ROUND('Anexo 8'!C23*'Anexo 4'!$D$10,0)</f>
        <v>0</v>
      </c>
      <c r="D23" s="31">
        <f>ROUND('Anexo 8'!D23*'Anexo 4'!$D$10,0)</f>
        <v>0</v>
      </c>
      <c r="E23" s="31">
        <f>ROUND('Anexo 8'!E23*'Anexo 4'!$D$10,0)</f>
        <v>0</v>
      </c>
      <c r="F23" s="31">
        <f>ROUND('Anexo 8'!F23*'Anexo 4'!$D$10,0)</f>
        <v>0</v>
      </c>
      <c r="G23" s="31">
        <f>ROUND('Anexo 8'!G23*'Anexo 4'!$D$10,0)</f>
        <v>0</v>
      </c>
      <c r="H23" s="31">
        <f>ROUND('Anexo 8'!H23*'Anexo 4'!$D$10,0)</f>
        <v>0</v>
      </c>
      <c r="I23" s="31">
        <f>ROUND('Anexo 8'!I23*'Anexo 4'!$D$10,0)</f>
        <v>0</v>
      </c>
      <c r="J23" s="31">
        <f>ROUND('Anexo 8'!J23*'Anexo 4'!$D$10,0)</f>
        <v>0</v>
      </c>
      <c r="K23" s="31">
        <f>ROUND('Anexo 8'!K23*'Anexo 4'!$D$10,0)</f>
        <v>0</v>
      </c>
      <c r="L23" s="31">
        <f>ROUND('Anexo 8'!L23*'Anexo 4'!$D$10,0)</f>
        <v>0</v>
      </c>
      <c r="M23" s="31">
        <f>ROUND('Anexo 8'!M23*'Anexo 4'!$D$10,0)</f>
        <v>0</v>
      </c>
      <c r="N23" s="31">
        <f>ROUND('Anexo 8'!N23*'Anexo 4'!$D$10,0)</f>
        <v>0</v>
      </c>
      <c r="O23" s="31">
        <f>ROUND('Anexo 8'!O23*'Anexo 4'!$D$10,0)</f>
        <v>0</v>
      </c>
      <c r="P23" s="31">
        <f>ROUND('Anexo 8'!P23*'Anexo 4'!$D$10,0)</f>
        <v>0</v>
      </c>
      <c r="Q23" s="31">
        <f>ROUND('Anexo 8'!Q23*'Anexo 4'!$D$10,0)</f>
        <v>0</v>
      </c>
      <c r="R23" s="31">
        <f>ROUND('Anexo 8'!R23*'Anexo 4'!$D$10,0)</f>
        <v>0</v>
      </c>
      <c r="S23" s="31">
        <f>ROUND('Anexo 8'!S23*'Anexo 4'!$D$10,0)</f>
        <v>0</v>
      </c>
      <c r="T23" s="31">
        <f>ROUND('Anexo 8'!T23*'Anexo 4'!$D$10,0)</f>
        <v>0</v>
      </c>
      <c r="U23" s="31">
        <f>ROUND('Anexo 8'!U23*'Anexo 4'!$D$10,0)</f>
        <v>0</v>
      </c>
      <c r="V23" s="31">
        <f>ROUND('Anexo 8'!V23*'Anexo 4'!$D$10,0)</f>
        <v>0</v>
      </c>
      <c r="W23" s="31">
        <f>ROUND('Anexo 8'!W23*'Anexo 4'!$D$10,0)</f>
        <v>0</v>
      </c>
      <c r="X23" s="31">
        <f>ROUND('Anexo 8'!X23*'Anexo 4'!$D$10,0)</f>
        <v>0</v>
      </c>
      <c r="Y23" s="31">
        <f>ROUND('Anexo 8'!Y23*'Anexo 4'!$D$10,0)</f>
        <v>0</v>
      </c>
      <c r="Z23" s="31">
        <f>ROUND('Anexo 8'!Z23*'Anexo 4'!$D$10,0)</f>
        <v>0</v>
      </c>
      <c r="AA23" s="39">
        <f t="shared" si="0"/>
        <v>0</v>
      </c>
      <c r="AB23" s="21">
        <v>7</v>
      </c>
      <c r="AC23" s="82"/>
      <c r="AD23" s="46"/>
    </row>
    <row r="24" spans="1:30" ht="15.75" thickBot="1" x14ac:dyDescent="0.3">
      <c r="A24" s="79">
        <v>47665</v>
      </c>
      <c r="B24" s="16" t="s">
        <v>5</v>
      </c>
      <c r="C24" s="31">
        <f>ROUND('Anexo 8'!C24*'Anexo 4'!$D$10,0)</f>
        <v>0</v>
      </c>
      <c r="D24" s="31">
        <f>ROUND('Anexo 8'!D24*'Anexo 4'!$D$10,0)</f>
        <v>0</v>
      </c>
      <c r="E24" s="31">
        <f>ROUND('Anexo 8'!E24*'Anexo 4'!$D$10,0)</f>
        <v>0</v>
      </c>
      <c r="F24" s="31">
        <f>ROUND('Anexo 8'!F24*'Anexo 4'!$D$10,0)</f>
        <v>0</v>
      </c>
      <c r="G24" s="31">
        <f>ROUND('Anexo 8'!G24*'Anexo 4'!$D$10,0)</f>
        <v>0</v>
      </c>
      <c r="H24" s="31">
        <f>ROUND('Anexo 8'!H24*'Anexo 4'!$D$10,0)</f>
        <v>0</v>
      </c>
      <c r="I24" s="31">
        <f>ROUND('Anexo 8'!I24*'Anexo 4'!$D$10,0)</f>
        <v>0</v>
      </c>
      <c r="J24" s="31">
        <f>ROUND('Anexo 8'!J24*'Anexo 4'!$D$10,0)</f>
        <v>0</v>
      </c>
      <c r="K24" s="31">
        <f>ROUND('Anexo 8'!K24*'Anexo 4'!$D$10,0)</f>
        <v>0</v>
      </c>
      <c r="L24" s="31">
        <f>ROUND('Anexo 8'!L24*'Anexo 4'!$D$10,0)</f>
        <v>0</v>
      </c>
      <c r="M24" s="31">
        <f>ROUND('Anexo 8'!M24*'Anexo 4'!$D$10,0)</f>
        <v>0</v>
      </c>
      <c r="N24" s="31">
        <f>ROUND('Anexo 8'!N24*'Anexo 4'!$D$10,0)</f>
        <v>0</v>
      </c>
      <c r="O24" s="31">
        <f>ROUND('Anexo 8'!O24*'Anexo 4'!$D$10,0)</f>
        <v>0</v>
      </c>
      <c r="P24" s="31">
        <f>ROUND('Anexo 8'!P24*'Anexo 4'!$D$10,0)</f>
        <v>0</v>
      </c>
      <c r="Q24" s="31">
        <f>ROUND('Anexo 8'!Q24*'Anexo 4'!$D$10,0)</f>
        <v>0</v>
      </c>
      <c r="R24" s="31">
        <f>ROUND('Anexo 8'!R24*'Anexo 4'!$D$10,0)</f>
        <v>0</v>
      </c>
      <c r="S24" s="31">
        <f>ROUND('Anexo 8'!S24*'Anexo 4'!$D$10,0)</f>
        <v>0</v>
      </c>
      <c r="T24" s="31">
        <f>ROUND('Anexo 8'!T24*'Anexo 4'!$D$10,0)</f>
        <v>0</v>
      </c>
      <c r="U24" s="31">
        <f>ROUND('Anexo 8'!U24*'Anexo 4'!$D$10,0)</f>
        <v>0</v>
      </c>
      <c r="V24" s="31">
        <f>ROUND('Anexo 8'!V24*'Anexo 4'!$D$10,0)</f>
        <v>0</v>
      </c>
      <c r="W24" s="31">
        <f>ROUND('Anexo 8'!W24*'Anexo 4'!$D$10,0)</f>
        <v>0</v>
      </c>
      <c r="X24" s="31">
        <f>ROUND('Anexo 8'!X24*'Anexo 4'!$D$10,0)</f>
        <v>0</v>
      </c>
      <c r="Y24" s="31">
        <f>ROUND('Anexo 8'!Y24*'Anexo 4'!$D$10,0)</f>
        <v>0</v>
      </c>
      <c r="Z24" s="31">
        <f>ROUND('Anexo 8'!Z24*'Anexo 4'!$D$10,0)</f>
        <v>0</v>
      </c>
      <c r="AA24" s="33">
        <f t="shared" si="0"/>
        <v>0</v>
      </c>
      <c r="AB24" s="17">
        <v>22</v>
      </c>
      <c r="AC24" s="80">
        <f>+AA24*AB24+AA25*AB25+AA26*AB26</f>
        <v>0</v>
      </c>
    </row>
    <row r="25" spans="1:30" ht="15.75" thickBot="1" x14ac:dyDescent="0.3">
      <c r="A25" s="79"/>
      <c r="B25" s="18" t="s">
        <v>4</v>
      </c>
      <c r="C25" s="31">
        <f>ROUND('Anexo 8'!C25*'Anexo 4'!$D$10,0)</f>
        <v>0</v>
      </c>
      <c r="D25" s="31">
        <f>ROUND('Anexo 8'!D25*'Anexo 4'!$D$10,0)</f>
        <v>0</v>
      </c>
      <c r="E25" s="31">
        <f>ROUND('Anexo 8'!E25*'Anexo 4'!$D$10,0)</f>
        <v>0</v>
      </c>
      <c r="F25" s="31">
        <f>ROUND('Anexo 8'!F25*'Anexo 4'!$D$10,0)</f>
        <v>0</v>
      </c>
      <c r="G25" s="31">
        <f>ROUND('Anexo 8'!G25*'Anexo 4'!$D$10,0)</f>
        <v>0</v>
      </c>
      <c r="H25" s="31">
        <f>ROUND('Anexo 8'!H25*'Anexo 4'!$D$10,0)</f>
        <v>0</v>
      </c>
      <c r="I25" s="31">
        <f>ROUND('Anexo 8'!I25*'Anexo 4'!$D$10,0)</f>
        <v>0</v>
      </c>
      <c r="J25" s="31">
        <f>ROUND('Anexo 8'!J25*'Anexo 4'!$D$10,0)</f>
        <v>0</v>
      </c>
      <c r="K25" s="31">
        <f>ROUND('Anexo 8'!K25*'Anexo 4'!$D$10,0)</f>
        <v>0</v>
      </c>
      <c r="L25" s="31">
        <f>ROUND('Anexo 8'!L25*'Anexo 4'!$D$10,0)</f>
        <v>0</v>
      </c>
      <c r="M25" s="31">
        <f>ROUND('Anexo 8'!M25*'Anexo 4'!$D$10,0)</f>
        <v>0</v>
      </c>
      <c r="N25" s="31">
        <f>ROUND('Anexo 8'!N25*'Anexo 4'!$D$10,0)</f>
        <v>0</v>
      </c>
      <c r="O25" s="31">
        <f>ROUND('Anexo 8'!O25*'Anexo 4'!$D$10,0)</f>
        <v>0</v>
      </c>
      <c r="P25" s="31">
        <f>ROUND('Anexo 8'!P25*'Anexo 4'!$D$10,0)</f>
        <v>0</v>
      </c>
      <c r="Q25" s="31">
        <f>ROUND('Anexo 8'!Q25*'Anexo 4'!$D$10,0)</f>
        <v>0</v>
      </c>
      <c r="R25" s="31">
        <f>ROUND('Anexo 8'!R25*'Anexo 4'!$D$10,0)</f>
        <v>0</v>
      </c>
      <c r="S25" s="31">
        <f>ROUND('Anexo 8'!S25*'Anexo 4'!$D$10,0)</f>
        <v>0</v>
      </c>
      <c r="T25" s="31">
        <f>ROUND('Anexo 8'!T25*'Anexo 4'!$D$10,0)</f>
        <v>0</v>
      </c>
      <c r="U25" s="31">
        <f>ROUND('Anexo 8'!U25*'Anexo 4'!$D$10,0)</f>
        <v>0</v>
      </c>
      <c r="V25" s="31">
        <f>ROUND('Anexo 8'!V25*'Anexo 4'!$D$10,0)</f>
        <v>0</v>
      </c>
      <c r="W25" s="31">
        <f>ROUND('Anexo 8'!W25*'Anexo 4'!$D$10,0)</f>
        <v>0</v>
      </c>
      <c r="X25" s="31">
        <f>ROUND('Anexo 8'!X25*'Anexo 4'!$D$10,0)</f>
        <v>0</v>
      </c>
      <c r="Y25" s="31">
        <f>ROUND('Anexo 8'!Y25*'Anexo 4'!$D$10,0)</f>
        <v>0</v>
      </c>
      <c r="Z25" s="31">
        <f>ROUND('Anexo 8'!Z25*'Anexo 4'!$D$10,0)</f>
        <v>0</v>
      </c>
      <c r="AA25" s="36">
        <f t="shared" si="0"/>
        <v>0</v>
      </c>
      <c r="AB25" s="19">
        <v>3</v>
      </c>
      <c r="AC25" s="81"/>
      <c r="AD25" s="45"/>
    </row>
    <row r="26" spans="1:30" ht="15.75" thickBot="1" x14ac:dyDescent="0.3">
      <c r="A26" s="79"/>
      <c r="B26" s="20" t="s">
        <v>3</v>
      </c>
      <c r="C26" s="31">
        <f>ROUND('Anexo 8'!C26*'Anexo 4'!$D$10,0)</f>
        <v>0</v>
      </c>
      <c r="D26" s="31">
        <f>ROUND('Anexo 8'!D26*'Anexo 4'!$D$10,0)</f>
        <v>0</v>
      </c>
      <c r="E26" s="31">
        <f>ROUND('Anexo 8'!E26*'Anexo 4'!$D$10,0)</f>
        <v>0</v>
      </c>
      <c r="F26" s="31">
        <f>ROUND('Anexo 8'!F26*'Anexo 4'!$D$10,0)</f>
        <v>0</v>
      </c>
      <c r="G26" s="31">
        <f>ROUND('Anexo 8'!G26*'Anexo 4'!$D$10,0)</f>
        <v>0</v>
      </c>
      <c r="H26" s="31">
        <f>ROUND('Anexo 8'!H26*'Anexo 4'!$D$10,0)</f>
        <v>0</v>
      </c>
      <c r="I26" s="31">
        <f>ROUND('Anexo 8'!I26*'Anexo 4'!$D$10,0)</f>
        <v>0</v>
      </c>
      <c r="J26" s="31">
        <f>ROUND('Anexo 8'!J26*'Anexo 4'!$D$10,0)</f>
        <v>0</v>
      </c>
      <c r="K26" s="31">
        <f>ROUND('Anexo 8'!K26*'Anexo 4'!$D$10,0)</f>
        <v>0</v>
      </c>
      <c r="L26" s="31">
        <f>ROUND('Anexo 8'!L26*'Anexo 4'!$D$10,0)</f>
        <v>0</v>
      </c>
      <c r="M26" s="31">
        <f>ROUND('Anexo 8'!M26*'Anexo 4'!$D$10,0)</f>
        <v>0</v>
      </c>
      <c r="N26" s="31">
        <f>ROUND('Anexo 8'!N26*'Anexo 4'!$D$10,0)</f>
        <v>0</v>
      </c>
      <c r="O26" s="31">
        <f>ROUND('Anexo 8'!O26*'Anexo 4'!$D$10,0)</f>
        <v>0</v>
      </c>
      <c r="P26" s="31">
        <f>ROUND('Anexo 8'!P26*'Anexo 4'!$D$10,0)</f>
        <v>0</v>
      </c>
      <c r="Q26" s="31">
        <f>ROUND('Anexo 8'!Q26*'Anexo 4'!$D$10,0)</f>
        <v>0</v>
      </c>
      <c r="R26" s="31">
        <f>ROUND('Anexo 8'!R26*'Anexo 4'!$D$10,0)</f>
        <v>0</v>
      </c>
      <c r="S26" s="31">
        <f>ROUND('Anexo 8'!S26*'Anexo 4'!$D$10,0)</f>
        <v>0</v>
      </c>
      <c r="T26" s="31">
        <f>ROUND('Anexo 8'!T26*'Anexo 4'!$D$10,0)</f>
        <v>0</v>
      </c>
      <c r="U26" s="31">
        <f>ROUND('Anexo 8'!U26*'Anexo 4'!$D$10,0)</f>
        <v>0</v>
      </c>
      <c r="V26" s="31">
        <f>ROUND('Anexo 8'!V26*'Anexo 4'!$D$10,0)</f>
        <v>0</v>
      </c>
      <c r="W26" s="31">
        <f>ROUND('Anexo 8'!W26*'Anexo 4'!$D$10,0)</f>
        <v>0</v>
      </c>
      <c r="X26" s="31">
        <f>ROUND('Anexo 8'!X26*'Anexo 4'!$D$10,0)</f>
        <v>0</v>
      </c>
      <c r="Y26" s="31">
        <f>ROUND('Anexo 8'!Y26*'Anexo 4'!$D$10,0)</f>
        <v>0</v>
      </c>
      <c r="Z26" s="31">
        <f>ROUND('Anexo 8'!Z26*'Anexo 4'!$D$10,0)</f>
        <v>0</v>
      </c>
      <c r="AA26" s="39">
        <f t="shared" si="0"/>
        <v>0</v>
      </c>
      <c r="AB26" s="21">
        <v>6</v>
      </c>
      <c r="AC26" s="82"/>
      <c r="AD26" s="46"/>
    </row>
    <row r="27" spans="1:30" ht="15.75" thickBot="1" x14ac:dyDescent="0.3">
      <c r="A27" s="79">
        <v>47696</v>
      </c>
      <c r="B27" s="16" t="s">
        <v>5</v>
      </c>
      <c r="C27" s="31">
        <f>ROUND('Anexo 8'!C27*'Anexo 4'!$D$10,0)</f>
        <v>0</v>
      </c>
      <c r="D27" s="31">
        <f>ROUND('Anexo 8'!D27*'Anexo 4'!$D$10,0)</f>
        <v>0</v>
      </c>
      <c r="E27" s="31">
        <f>ROUND('Anexo 8'!E27*'Anexo 4'!$D$10,0)</f>
        <v>0</v>
      </c>
      <c r="F27" s="31">
        <f>ROUND('Anexo 8'!F27*'Anexo 4'!$D$10,0)</f>
        <v>0</v>
      </c>
      <c r="G27" s="31">
        <f>ROUND('Anexo 8'!G27*'Anexo 4'!$D$10,0)</f>
        <v>0</v>
      </c>
      <c r="H27" s="31">
        <f>ROUND('Anexo 8'!H27*'Anexo 4'!$D$10,0)</f>
        <v>0</v>
      </c>
      <c r="I27" s="31">
        <f>ROUND('Anexo 8'!I27*'Anexo 4'!$D$10,0)</f>
        <v>0</v>
      </c>
      <c r="J27" s="31">
        <f>ROUND('Anexo 8'!J27*'Anexo 4'!$D$10,0)</f>
        <v>0</v>
      </c>
      <c r="K27" s="31">
        <f>ROUND('Anexo 8'!K27*'Anexo 4'!$D$10,0)</f>
        <v>0</v>
      </c>
      <c r="L27" s="31">
        <f>ROUND('Anexo 8'!L27*'Anexo 4'!$D$10,0)</f>
        <v>0</v>
      </c>
      <c r="M27" s="31">
        <f>ROUND('Anexo 8'!M27*'Anexo 4'!$D$10,0)</f>
        <v>0</v>
      </c>
      <c r="N27" s="31">
        <f>ROUND('Anexo 8'!N27*'Anexo 4'!$D$10,0)</f>
        <v>0</v>
      </c>
      <c r="O27" s="31">
        <f>ROUND('Anexo 8'!O27*'Anexo 4'!$D$10,0)</f>
        <v>0</v>
      </c>
      <c r="P27" s="31">
        <f>ROUND('Anexo 8'!P27*'Anexo 4'!$D$10,0)</f>
        <v>0</v>
      </c>
      <c r="Q27" s="31">
        <f>ROUND('Anexo 8'!Q27*'Anexo 4'!$D$10,0)</f>
        <v>0</v>
      </c>
      <c r="R27" s="31">
        <f>ROUND('Anexo 8'!R27*'Anexo 4'!$D$10,0)</f>
        <v>0</v>
      </c>
      <c r="S27" s="31">
        <f>ROUND('Anexo 8'!S27*'Anexo 4'!$D$10,0)</f>
        <v>0</v>
      </c>
      <c r="T27" s="31">
        <f>ROUND('Anexo 8'!T27*'Anexo 4'!$D$10,0)</f>
        <v>0</v>
      </c>
      <c r="U27" s="31">
        <f>ROUND('Anexo 8'!U27*'Anexo 4'!$D$10,0)</f>
        <v>0</v>
      </c>
      <c r="V27" s="31">
        <f>ROUND('Anexo 8'!V27*'Anexo 4'!$D$10,0)</f>
        <v>0</v>
      </c>
      <c r="W27" s="31">
        <f>ROUND('Anexo 8'!W27*'Anexo 4'!$D$10,0)</f>
        <v>0</v>
      </c>
      <c r="X27" s="31">
        <f>ROUND('Anexo 8'!X27*'Anexo 4'!$D$10,0)</f>
        <v>0</v>
      </c>
      <c r="Y27" s="31">
        <f>ROUND('Anexo 8'!Y27*'Anexo 4'!$D$10,0)</f>
        <v>0</v>
      </c>
      <c r="Z27" s="31">
        <f>ROUND('Anexo 8'!Z27*'Anexo 4'!$D$10,0)</f>
        <v>0</v>
      </c>
      <c r="AA27" s="33">
        <f t="shared" si="0"/>
        <v>0</v>
      </c>
      <c r="AB27" s="17">
        <v>20</v>
      </c>
      <c r="AC27" s="80">
        <f>+AA27*AB27+AA28*AB28+AA29*AB29</f>
        <v>0</v>
      </c>
    </row>
    <row r="28" spans="1:30" ht="15.75" thickBot="1" x14ac:dyDescent="0.3">
      <c r="A28" s="79"/>
      <c r="B28" s="18" t="s">
        <v>4</v>
      </c>
      <c r="C28" s="31">
        <f>ROUND('Anexo 8'!C28*'Anexo 4'!$D$10,0)</f>
        <v>0</v>
      </c>
      <c r="D28" s="31">
        <f>ROUND('Anexo 8'!D28*'Anexo 4'!$D$10,0)</f>
        <v>0</v>
      </c>
      <c r="E28" s="31">
        <f>ROUND('Anexo 8'!E28*'Anexo 4'!$D$10,0)</f>
        <v>0</v>
      </c>
      <c r="F28" s="31">
        <f>ROUND('Anexo 8'!F28*'Anexo 4'!$D$10,0)</f>
        <v>0</v>
      </c>
      <c r="G28" s="31">
        <f>ROUND('Anexo 8'!G28*'Anexo 4'!$D$10,0)</f>
        <v>0</v>
      </c>
      <c r="H28" s="31">
        <f>ROUND('Anexo 8'!H28*'Anexo 4'!$D$10,0)</f>
        <v>0</v>
      </c>
      <c r="I28" s="31">
        <f>ROUND('Anexo 8'!I28*'Anexo 4'!$D$10,0)</f>
        <v>0</v>
      </c>
      <c r="J28" s="31">
        <f>ROUND('Anexo 8'!J28*'Anexo 4'!$D$10,0)</f>
        <v>0</v>
      </c>
      <c r="K28" s="31">
        <f>ROUND('Anexo 8'!K28*'Anexo 4'!$D$10,0)</f>
        <v>0</v>
      </c>
      <c r="L28" s="31">
        <f>ROUND('Anexo 8'!L28*'Anexo 4'!$D$10,0)</f>
        <v>0</v>
      </c>
      <c r="M28" s="31">
        <f>ROUND('Anexo 8'!M28*'Anexo 4'!$D$10,0)</f>
        <v>0</v>
      </c>
      <c r="N28" s="31">
        <f>ROUND('Anexo 8'!N28*'Anexo 4'!$D$10,0)</f>
        <v>0</v>
      </c>
      <c r="O28" s="31">
        <f>ROUND('Anexo 8'!O28*'Anexo 4'!$D$10,0)</f>
        <v>0</v>
      </c>
      <c r="P28" s="31">
        <f>ROUND('Anexo 8'!P28*'Anexo 4'!$D$10,0)</f>
        <v>0</v>
      </c>
      <c r="Q28" s="31">
        <f>ROUND('Anexo 8'!Q28*'Anexo 4'!$D$10,0)</f>
        <v>0</v>
      </c>
      <c r="R28" s="31">
        <f>ROUND('Anexo 8'!R28*'Anexo 4'!$D$10,0)</f>
        <v>0</v>
      </c>
      <c r="S28" s="31">
        <f>ROUND('Anexo 8'!S28*'Anexo 4'!$D$10,0)</f>
        <v>0</v>
      </c>
      <c r="T28" s="31">
        <f>ROUND('Anexo 8'!T28*'Anexo 4'!$D$10,0)</f>
        <v>0</v>
      </c>
      <c r="U28" s="31">
        <f>ROUND('Anexo 8'!U28*'Anexo 4'!$D$10,0)</f>
        <v>0</v>
      </c>
      <c r="V28" s="31">
        <f>ROUND('Anexo 8'!V28*'Anexo 4'!$D$10,0)</f>
        <v>0</v>
      </c>
      <c r="W28" s="31">
        <f>ROUND('Anexo 8'!W28*'Anexo 4'!$D$10,0)</f>
        <v>0</v>
      </c>
      <c r="X28" s="31">
        <f>ROUND('Anexo 8'!X28*'Anexo 4'!$D$10,0)</f>
        <v>0</v>
      </c>
      <c r="Y28" s="31">
        <f>ROUND('Anexo 8'!Y28*'Anexo 4'!$D$10,0)</f>
        <v>0</v>
      </c>
      <c r="Z28" s="31">
        <f>ROUND('Anexo 8'!Z28*'Anexo 4'!$D$10,0)</f>
        <v>0</v>
      </c>
      <c r="AA28" s="36">
        <f t="shared" si="0"/>
        <v>0</v>
      </c>
      <c r="AB28" s="19">
        <v>5</v>
      </c>
      <c r="AC28" s="81"/>
      <c r="AD28" s="45"/>
    </row>
    <row r="29" spans="1:30" ht="15.75" thickBot="1" x14ac:dyDescent="0.3">
      <c r="A29" s="79"/>
      <c r="B29" s="20" t="s">
        <v>3</v>
      </c>
      <c r="C29" s="31">
        <f>ROUND('Anexo 8'!C29*'Anexo 4'!$D$10,0)</f>
        <v>0</v>
      </c>
      <c r="D29" s="31">
        <f>ROUND('Anexo 8'!D29*'Anexo 4'!$D$10,0)</f>
        <v>0</v>
      </c>
      <c r="E29" s="31">
        <f>ROUND('Anexo 8'!E29*'Anexo 4'!$D$10,0)</f>
        <v>0</v>
      </c>
      <c r="F29" s="31">
        <f>ROUND('Anexo 8'!F29*'Anexo 4'!$D$10,0)</f>
        <v>0</v>
      </c>
      <c r="G29" s="31">
        <f>ROUND('Anexo 8'!G29*'Anexo 4'!$D$10,0)</f>
        <v>0</v>
      </c>
      <c r="H29" s="31">
        <f>ROUND('Anexo 8'!H29*'Anexo 4'!$D$10,0)</f>
        <v>0</v>
      </c>
      <c r="I29" s="31">
        <f>ROUND('Anexo 8'!I29*'Anexo 4'!$D$10,0)</f>
        <v>0</v>
      </c>
      <c r="J29" s="31">
        <f>ROUND('Anexo 8'!J29*'Anexo 4'!$D$10,0)</f>
        <v>0</v>
      </c>
      <c r="K29" s="31">
        <f>ROUND('Anexo 8'!K29*'Anexo 4'!$D$10,0)</f>
        <v>0</v>
      </c>
      <c r="L29" s="31">
        <f>ROUND('Anexo 8'!L29*'Anexo 4'!$D$10,0)</f>
        <v>0</v>
      </c>
      <c r="M29" s="31">
        <f>ROUND('Anexo 8'!M29*'Anexo 4'!$D$10,0)</f>
        <v>0</v>
      </c>
      <c r="N29" s="31">
        <f>ROUND('Anexo 8'!N29*'Anexo 4'!$D$10,0)</f>
        <v>0</v>
      </c>
      <c r="O29" s="31">
        <f>ROUND('Anexo 8'!O29*'Anexo 4'!$D$10,0)</f>
        <v>0</v>
      </c>
      <c r="P29" s="31">
        <f>ROUND('Anexo 8'!P29*'Anexo 4'!$D$10,0)</f>
        <v>0</v>
      </c>
      <c r="Q29" s="31">
        <f>ROUND('Anexo 8'!Q29*'Anexo 4'!$D$10,0)</f>
        <v>0</v>
      </c>
      <c r="R29" s="31">
        <f>ROUND('Anexo 8'!R29*'Anexo 4'!$D$10,0)</f>
        <v>0</v>
      </c>
      <c r="S29" s="31">
        <f>ROUND('Anexo 8'!S29*'Anexo 4'!$D$10,0)</f>
        <v>0</v>
      </c>
      <c r="T29" s="31">
        <f>ROUND('Anexo 8'!T29*'Anexo 4'!$D$10,0)</f>
        <v>0</v>
      </c>
      <c r="U29" s="31">
        <f>ROUND('Anexo 8'!U29*'Anexo 4'!$D$10,0)</f>
        <v>0</v>
      </c>
      <c r="V29" s="31">
        <f>ROUND('Anexo 8'!V29*'Anexo 4'!$D$10,0)</f>
        <v>0</v>
      </c>
      <c r="W29" s="31">
        <f>ROUND('Anexo 8'!W29*'Anexo 4'!$D$10,0)</f>
        <v>0</v>
      </c>
      <c r="X29" s="31">
        <f>ROUND('Anexo 8'!X29*'Anexo 4'!$D$10,0)</f>
        <v>0</v>
      </c>
      <c r="Y29" s="31">
        <f>ROUND('Anexo 8'!Y29*'Anexo 4'!$D$10,0)</f>
        <v>0</v>
      </c>
      <c r="Z29" s="31">
        <f>ROUND('Anexo 8'!Z29*'Anexo 4'!$D$10,0)</f>
        <v>0</v>
      </c>
      <c r="AA29" s="39">
        <f t="shared" si="0"/>
        <v>0</v>
      </c>
      <c r="AB29" s="21">
        <v>6</v>
      </c>
      <c r="AC29" s="82"/>
      <c r="AD29" s="47"/>
    </row>
    <row r="30" spans="1:30" ht="15.75" thickBot="1" x14ac:dyDescent="0.3">
      <c r="A30" s="79">
        <v>47727</v>
      </c>
      <c r="B30" s="16" t="s">
        <v>5</v>
      </c>
      <c r="C30" s="31">
        <f>ROUND('Anexo 8'!C30*'Anexo 4'!$D$10,0)</f>
        <v>0</v>
      </c>
      <c r="D30" s="31">
        <f>ROUND('Anexo 8'!D30*'Anexo 4'!$D$10,0)</f>
        <v>0</v>
      </c>
      <c r="E30" s="31">
        <f>ROUND('Anexo 8'!E30*'Anexo 4'!$D$10,0)</f>
        <v>0</v>
      </c>
      <c r="F30" s="31">
        <f>ROUND('Anexo 8'!F30*'Anexo 4'!$D$10,0)</f>
        <v>0</v>
      </c>
      <c r="G30" s="31">
        <f>ROUND('Anexo 8'!G30*'Anexo 4'!$D$10,0)</f>
        <v>0</v>
      </c>
      <c r="H30" s="31">
        <f>ROUND('Anexo 8'!H30*'Anexo 4'!$D$10,0)</f>
        <v>0</v>
      </c>
      <c r="I30" s="31">
        <f>ROUND('Anexo 8'!I30*'Anexo 4'!$D$10,0)</f>
        <v>0</v>
      </c>
      <c r="J30" s="31">
        <f>ROUND('Anexo 8'!J30*'Anexo 4'!$D$10,0)</f>
        <v>0</v>
      </c>
      <c r="K30" s="31">
        <f>ROUND('Anexo 8'!K30*'Anexo 4'!$D$10,0)</f>
        <v>0</v>
      </c>
      <c r="L30" s="31">
        <f>ROUND('Anexo 8'!L30*'Anexo 4'!$D$10,0)</f>
        <v>0</v>
      </c>
      <c r="M30" s="31">
        <f>ROUND('Anexo 8'!M30*'Anexo 4'!$D$10,0)</f>
        <v>0</v>
      </c>
      <c r="N30" s="31">
        <f>ROUND('Anexo 8'!N30*'Anexo 4'!$D$10,0)</f>
        <v>0</v>
      </c>
      <c r="O30" s="31">
        <f>ROUND('Anexo 8'!O30*'Anexo 4'!$D$10,0)</f>
        <v>0</v>
      </c>
      <c r="P30" s="31">
        <f>ROUND('Anexo 8'!P30*'Anexo 4'!$D$10,0)</f>
        <v>0</v>
      </c>
      <c r="Q30" s="31">
        <f>ROUND('Anexo 8'!Q30*'Anexo 4'!$D$10,0)</f>
        <v>0</v>
      </c>
      <c r="R30" s="31">
        <f>ROUND('Anexo 8'!R30*'Anexo 4'!$D$10,0)</f>
        <v>0</v>
      </c>
      <c r="S30" s="31">
        <f>ROUND('Anexo 8'!S30*'Anexo 4'!$D$10,0)</f>
        <v>0</v>
      </c>
      <c r="T30" s="31">
        <f>ROUND('Anexo 8'!T30*'Anexo 4'!$D$10,0)</f>
        <v>0</v>
      </c>
      <c r="U30" s="31">
        <f>ROUND('Anexo 8'!U30*'Anexo 4'!$D$10,0)</f>
        <v>0</v>
      </c>
      <c r="V30" s="31">
        <f>ROUND('Anexo 8'!V30*'Anexo 4'!$D$10,0)</f>
        <v>0</v>
      </c>
      <c r="W30" s="31">
        <f>ROUND('Anexo 8'!W30*'Anexo 4'!$D$10,0)</f>
        <v>0</v>
      </c>
      <c r="X30" s="31">
        <f>ROUND('Anexo 8'!X30*'Anexo 4'!$D$10,0)</f>
        <v>0</v>
      </c>
      <c r="Y30" s="31">
        <f>ROUND('Anexo 8'!Y30*'Anexo 4'!$D$10,0)</f>
        <v>0</v>
      </c>
      <c r="Z30" s="31">
        <f>ROUND('Anexo 8'!Z30*'Anexo 4'!$D$10,0)</f>
        <v>0</v>
      </c>
      <c r="AA30" s="33">
        <f t="shared" si="0"/>
        <v>0</v>
      </c>
      <c r="AB30" s="17">
        <v>21</v>
      </c>
      <c r="AC30" s="80">
        <f>+AA30*AB30+AA31*AB31+AA32*AB32</f>
        <v>0</v>
      </c>
    </row>
    <row r="31" spans="1:30" ht="15.75" thickBot="1" x14ac:dyDescent="0.3">
      <c r="A31" s="79"/>
      <c r="B31" s="18" t="s">
        <v>4</v>
      </c>
      <c r="C31" s="31">
        <f>ROUND('Anexo 8'!C31*'Anexo 4'!$D$10,0)</f>
        <v>0</v>
      </c>
      <c r="D31" s="31">
        <f>ROUND('Anexo 8'!D31*'Anexo 4'!$D$10,0)</f>
        <v>0</v>
      </c>
      <c r="E31" s="31">
        <f>ROUND('Anexo 8'!E31*'Anexo 4'!$D$10,0)</f>
        <v>0</v>
      </c>
      <c r="F31" s="31">
        <f>ROUND('Anexo 8'!F31*'Anexo 4'!$D$10,0)</f>
        <v>0</v>
      </c>
      <c r="G31" s="31">
        <f>ROUND('Anexo 8'!G31*'Anexo 4'!$D$10,0)</f>
        <v>0</v>
      </c>
      <c r="H31" s="31">
        <f>ROUND('Anexo 8'!H31*'Anexo 4'!$D$10,0)</f>
        <v>0</v>
      </c>
      <c r="I31" s="31">
        <f>ROUND('Anexo 8'!I31*'Anexo 4'!$D$10,0)</f>
        <v>0</v>
      </c>
      <c r="J31" s="31">
        <f>ROUND('Anexo 8'!J31*'Anexo 4'!$D$10,0)</f>
        <v>0</v>
      </c>
      <c r="K31" s="31">
        <f>ROUND('Anexo 8'!K31*'Anexo 4'!$D$10,0)</f>
        <v>0</v>
      </c>
      <c r="L31" s="31">
        <f>ROUND('Anexo 8'!L31*'Anexo 4'!$D$10,0)</f>
        <v>0</v>
      </c>
      <c r="M31" s="31">
        <f>ROUND('Anexo 8'!M31*'Anexo 4'!$D$10,0)</f>
        <v>0</v>
      </c>
      <c r="N31" s="31">
        <f>ROUND('Anexo 8'!N31*'Anexo 4'!$D$10,0)</f>
        <v>0</v>
      </c>
      <c r="O31" s="31">
        <f>ROUND('Anexo 8'!O31*'Anexo 4'!$D$10,0)</f>
        <v>0</v>
      </c>
      <c r="P31" s="31">
        <f>ROUND('Anexo 8'!P31*'Anexo 4'!$D$10,0)</f>
        <v>0</v>
      </c>
      <c r="Q31" s="31">
        <f>ROUND('Anexo 8'!Q31*'Anexo 4'!$D$10,0)</f>
        <v>0</v>
      </c>
      <c r="R31" s="31">
        <f>ROUND('Anexo 8'!R31*'Anexo 4'!$D$10,0)</f>
        <v>0</v>
      </c>
      <c r="S31" s="31">
        <f>ROUND('Anexo 8'!S31*'Anexo 4'!$D$10,0)</f>
        <v>0</v>
      </c>
      <c r="T31" s="31">
        <f>ROUND('Anexo 8'!T31*'Anexo 4'!$D$10,0)</f>
        <v>0</v>
      </c>
      <c r="U31" s="31">
        <f>ROUND('Anexo 8'!U31*'Anexo 4'!$D$10,0)</f>
        <v>0</v>
      </c>
      <c r="V31" s="31">
        <f>ROUND('Anexo 8'!V31*'Anexo 4'!$D$10,0)</f>
        <v>0</v>
      </c>
      <c r="W31" s="31">
        <f>ROUND('Anexo 8'!W31*'Anexo 4'!$D$10,0)</f>
        <v>0</v>
      </c>
      <c r="X31" s="31">
        <f>ROUND('Anexo 8'!X31*'Anexo 4'!$D$10,0)</f>
        <v>0</v>
      </c>
      <c r="Y31" s="31">
        <f>ROUND('Anexo 8'!Y31*'Anexo 4'!$D$10,0)</f>
        <v>0</v>
      </c>
      <c r="Z31" s="31">
        <f>ROUND('Anexo 8'!Z31*'Anexo 4'!$D$10,0)</f>
        <v>0</v>
      </c>
      <c r="AA31" s="36">
        <f t="shared" si="0"/>
        <v>0</v>
      </c>
      <c r="AB31" s="19">
        <v>4</v>
      </c>
      <c r="AC31" s="81"/>
      <c r="AD31" s="45"/>
    </row>
    <row r="32" spans="1:30" ht="15.75" thickBot="1" x14ac:dyDescent="0.3">
      <c r="A32" s="79"/>
      <c r="B32" s="20" t="s">
        <v>3</v>
      </c>
      <c r="C32" s="31">
        <f>ROUND('Anexo 8'!C32*'Anexo 4'!$D$10,0)</f>
        <v>0</v>
      </c>
      <c r="D32" s="31">
        <f>ROUND('Anexo 8'!D32*'Anexo 4'!$D$10,0)</f>
        <v>0</v>
      </c>
      <c r="E32" s="31">
        <f>ROUND('Anexo 8'!E32*'Anexo 4'!$D$10,0)</f>
        <v>0</v>
      </c>
      <c r="F32" s="31">
        <f>ROUND('Anexo 8'!F32*'Anexo 4'!$D$10,0)</f>
        <v>0</v>
      </c>
      <c r="G32" s="31">
        <f>ROUND('Anexo 8'!G32*'Anexo 4'!$D$10,0)</f>
        <v>0</v>
      </c>
      <c r="H32" s="31">
        <f>ROUND('Anexo 8'!H32*'Anexo 4'!$D$10,0)</f>
        <v>0</v>
      </c>
      <c r="I32" s="31">
        <f>ROUND('Anexo 8'!I32*'Anexo 4'!$D$10,0)</f>
        <v>0</v>
      </c>
      <c r="J32" s="31">
        <f>ROUND('Anexo 8'!J32*'Anexo 4'!$D$10,0)</f>
        <v>0</v>
      </c>
      <c r="K32" s="31">
        <f>ROUND('Anexo 8'!K32*'Anexo 4'!$D$10,0)</f>
        <v>0</v>
      </c>
      <c r="L32" s="31">
        <f>ROUND('Anexo 8'!L32*'Anexo 4'!$D$10,0)</f>
        <v>0</v>
      </c>
      <c r="M32" s="31">
        <f>ROUND('Anexo 8'!M32*'Anexo 4'!$D$10,0)</f>
        <v>0</v>
      </c>
      <c r="N32" s="31">
        <f>ROUND('Anexo 8'!N32*'Anexo 4'!$D$10,0)</f>
        <v>0</v>
      </c>
      <c r="O32" s="31">
        <f>ROUND('Anexo 8'!O32*'Anexo 4'!$D$10,0)</f>
        <v>0</v>
      </c>
      <c r="P32" s="31">
        <f>ROUND('Anexo 8'!P32*'Anexo 4'!$D$10,0)</f>
        <v>0</v>
      </c>
      <c r="Q32" s="31">
        <f>ROUND('Anexo 8'!Q32*'Anexo 4'!$D$10,0)</f>
        <v>0</v>
      </c>
      <c r="R32" s="31">
        <f>ROUND('Anexo 8'!R32*'Anexo 4'!$D$10,0)</f>
        <v>0</v>
      </c>
      <c r="S32" s="31">
        <f>ROUND('Anexo 8'!S32*'Anexo 4'!$D$10,0)</f>
        <v>0</v>
      </c>
      <c r="T32" s="31">
        <f>ROUND('Anexo 8'!T32*'Anexo 4'!$D$10,0)</f>
        <v>0</v>
      </c>
      <c r="U32" s="31">
        <f>ROUND('Anexo 8'!U32*'Anexo 4'!$D$10,0)</f>
        <v>0</v>
      </c>
      <c r="V32" s="31">
        <f>ROUND('Anexo 8'!V32*'Anexo 4'!$D$10,0)</f>
        <v>0</v>
      </c>
      <c r="W32" s="31">
        <f>ROUND('Anexo 8'!W32*'Anexo 4'!$D$10,0)</f>
        <v>0</v>
      </c>
      <c r="X32" s="31">
        <f>ROUND('Anexo 8'!X32*'Anexo 4'!$D$10,0)</f>
        <v>0</v>
      </c>
      <c r="Y32" s="31">
        <f>ROUND('Anexo 8'!Y32*'Anexo 4'!$D$10,0)</f>
        <v>0</v>
      </c>
      <c r="Z32" s="31">
        <f>ROUND('Anexo 8'!Z32*'Anexo 4'!$D$10,0)</f>
        <v>0</v>
      </c>
      <c r="AA32" s="39">
        <f t="shared" si="0"/>
        <v>0</v>
      </c>
      <c r="AB32" s="21">
        <v>5</v>
      </c>
      <c r="AC32" s="82"/>
      <c r="AD32" s="46"/>
    </row>
    <row r="33" spans="1:30" ht="15.75" thickBot="1" x14ac:dyDescent="0.3">
      <c r="A33" s="79">
        <v>47757</v>
      </c>
      <c r="B33" s="16" t="s">
        <v>5</v>
      </c>
      <c r="C33" s="31">
        <f>ROUND('Anexo 8'!C33*'Anexo 4'!$D$10,0)</f>
        <v>0</v>
      </c>
      <c r="D33" s="31">
        <f>ROUND('Anexo 8'!D33*'Anexo 4'!$D$10,0)</f>
        <v>0</v>
      </c>
      <c r="E33" s="31">
        <f>ROUND('Anexo 8'!E33*'Anexo 4'!$D$10,0)</f>
        <v>0</v>
      </c>
      <c r="F33" s="31">
        <f>ROUND('Anexo 8'!F33*'Anexo 4'!$D$10,0)</f>
        <v>0</v>
      </c>
      <c r="G33" s="31">
        <f>ROUND('Anexo 8'!G33*'Anexo 4'!$D$10,0)</f>
        <v>0</v>
      </c>
      <c r="H33" s="31">
        <f>ROUND('Anexo 8'!H33*'Anexo 4'!$D$10,0)</f>
        <v>0</v>
      </c>
      <c r="I33" s="31">
        <f>ROUND('Anexo 8'!I33*'Anexo 4'!$D$10,0)</f>
        <v>0</v>
      </c>
      <c r="J33" s="31">
        <f>ROUND('Anexo 8'!J33*'Anexo 4'!$D$10,0)</f>
        <v>0</v>
      </c>
      <c r="K33" s="31">
        <f>ROUND('Anexo 8'!K33*'Anexo 4'!$D$10,0)</f>
        <v>0</v>
      </c>
      <c r="L33" s="31">
        <f>ROUND('Anexo 8'!L33*'Anexo 4'!$D$10,0)</f>
        <v>0</v>
      </c>
      <c r="M33" s="31">
        <f>ROUND('Anexo 8'!M33*'Anexo 4'!$D$10,0)</f>
        <v>0</v>
      </c>
      <c r="N33" s="31">
        <f>ROUND('Anexo 8'!N33*'Anexo 4'!$D$10,0)</f>
        <v>0</v>
      </c>
      <c r="O33" s="31">
        <f>ROUND('Anexo 8'!O33*'Anexo 4'!$D$10,0)</f>
        <v>0</v>
      </c>
      <c r="P33" s="31">
        <f>ROUND('Anexo 8'!P33*'Anexo 4'!$D$10,0)</f>
        <v>0</v>
      </c>
      <c r="Q33" s="31">
        <f>ROUND('Anexo 8'!Q33*'Anexo 4'!$D$10,0)</f>
        <v>0</v>
      </c>
      <c r="R33" s="31">
        <f>ROUND('Anexo 8'!R33*'Anexo 4'!$D$10,0)</f>
        <v>0</v>
      </c>
      <c r="S33" s="31">
        <f>ROUND('Anexo 8'!S33*'Anexo 4'!$D$10,0)</f>
        <v>0</v>
      </c>
      <c r="T33" s="31">
        <f>ROUND('Anexo 8'!T33*'Anexo 4'!$D$10,0)</f>
        <v>0</v>
      </c>
      <c r="U33" s="31">
        <f>ROUND('Anexo 8'!U33*'Anexo 4'!$D$10,0)</f>
        <v>0</v>
      </c>
      <c r="V33" s="31">
        <f>ROUND('Anexo 8'!V33*'Anexo 4'!$D$10,0)</f>
        <v>0</v>
      </c>
      <c r="W33" s="31">
        <f>ROUND('Anexo 8'!W33*'Anexo 4'!$D$10,0)</f>
        <v>0</v>
      </c>
      <c r="X33" s="31">
        <f>ROUND('Anexo 8'!X33*'Anexo 4'!$D$10,0)</f>
        <v>0</v>
      </c>
      <c r="Y33" s="31">
        <f>ROUND('Anexo 8'!Y33*'Anexo 4'!$D$10,0)</f>
        <v>0</v>
      </c>
      <c r="Z33" s="31">
        <f>ROUND('Anexo 8'!Z33*'Anexo 4'!$D$10,0)</f>
        <v>0</v>
      </c>
      <c r="AA33" s="33">
        <f t="shared" si="0"/>
        <v>0</v>
      </c>
      <c r="AB33" s="17">
        <v>22</v>
      </c>
      <c r="AC33" s="80">
        <f>+AA33*AB33+AA34*AB34+AA35*AB35</f>
        <v>0</v>
      </c>
    </row>
    <row r="34" spans="1:30" ht="15.75" thickBot="1" x14ac:dyDescent="0.3">
      <c r="A34" s="79"/>
      <c r="B34" s="18" t="s">
        <v>4</v>
      </c>
      <c r="C34" s="31">
        <f>ROUND('Anexo 8'!C34*'Anexo 4'!$D$10,0)</f>
        <v>0</v>
      </c>
      <c r="D34" s="31">
        <f>ROUND('Anexo 8'!D34*'Anexo 4'!$D$10,0)</f>
        <v>0</v>
      </c>
      <c r="E34" s="31">
        <f>ROUND('Anexo 8'!E34*'Anexo 4'!$D$10,0)</f>
        <v>0</v>
      </c>
      <c r="F34" s="31">
        <f>ROUND('Anexo 8'!F34*'Anexo 4'!$D$10,0)</f>
        <v>0</v>
      </c>
      <c r="G34" s="31">
        <f>ROUND('Anexo 8'!G34*'Anexo 4'!$D$10,0)</f>
        <v>0</v>
      </c>
      <c r="H34" s="31">
        <f>ROUND('Anexo 8'!H34*'Anexo 4'!$D$10,0)</f>
        <v>0</v>
      </c>
      <c r="I34" s="31">
        <f>ROUND('Anexo 8'!I34*'Anexo 4'!$D$10,0)</f>
        <v>0</v>
      </c>
      <c r="J34" s="31">
        <f>ROUND('Anexo 8'!J34*'Anexo 4'!$D$10,0)</f>
        <v>0</v>
      </c>
      <c r="K34" s="31">
        <f>ROUND('Anexo 8'!K34*'Anexo 4'!$D$10,0)</f>
        <v>0</v>
      </c>
      <c r="L34" s="31">
        <f>ROUND('Anexo 8'!L34*'Anexo 4'!$D$10,0)</f>
        <v>0</v>
      </c>
      <c r="M34" s="31">
        <f>ROUND('Anexo 8'!M34*'Anexo 4'!$D$10,0)</f>
        <v>0</v>
      </c>
      <c r="N34" s="31">
        <f>ROUND('Anexo 8'!N34*'Anexo 4'!$D$10,0)</f>
        <v>0</v>
      </c>
      <c r="O34" s="31">
        <f>ROUND('Anexo 8'!O34*'Anexo 4'!$D$10,0)</f>
        <v>0</v>
      </c>
      <c r="P34" s="31">
        <f>ROUND('Anexo 8'!P34*'Anexo 4'!$D$10,0)</f>
        <v>0</v>
      </c>
      <c r="Q34" s="31">
        <f>ROUND('Anexo 8'!Q34*'Anexo 4'!$D$10,0)</f>
        <v>0</v>
      </c>
      <c r="R34" s="31">
        <f>ROUND('Anexo 8'!R34*'Anexo 4'!$D$10,0)</f>
        <v>0</v>
      </c>
      <c r="S34" s="31">
        <f>ROUND('Anexo 8'!S34*'Anexo 4'!$D$10,0)</f>
        <v>0</v>
      </c>
      <c r="T34" s="31">
        <f>ROUND('Anexo 8'!T34*'Anexo 4'!$D$10,0)</f>
        <v>0</v>
      </c>
      <c r="U34" s="31">
        <f>ROUND('Anexo 8'!U34*'Anexo 4'!$D$10,0)</f>
        <v>0</v>
      </c>
      <c r="V34" s="31">
        <f>ROUND('Anexo 8'!V34*'Anexo 4'!$D$10,0)</f>
        <v>0</v>
      </c>
      <c r="W34" s="31">
        <f>ROUND('Anexo 8'!W34*'Anexo 4'!$D$10,0)</f>
        <v>0</v>
      </c>
      <c r="X34" s="31">
        <f>ROUND('Anexo 8'!X34*'Anexo 4'!$D$10,0)</f>
        <v>0</v>
      </c>
      <c r="Y34" s="31">
        <f>ROUND('Anexo 8'!Y34*'Anexo 4'!$D$10,0)</f>
        <v>0</v>
      </c>
      <c r="Z34" s="31">
        <f>ROUND('Anexo 8'!Z34*'Anexo 4'!$D$10,0)</f>
        <v>0</v>
      </c>
      <c r="AA34" s="36">
        <f t="shared" si="0"/>
        <v>0</v>
      </c>
      <c r="AB34" s="19">
        <v>4</v>
      </c>
      <c r="AC34" s="81"/>
      <c r="AD34" s="45"/>
    </row>
    <row r="35" spans="1:30" ht="15.75" thickBot="1" x14ac:dyDescent="0.3">
      <c r="A35" s="79"/>
      <c r="B35" s="20" t="s">
        <v>3</v>
      </c>
      <c r="C35" s="31">
        <f>ROUND('Anexo 8'!C35*'Anexo 4'!$D$10,0)</f>
        <v>0</v>
      </c>
      <c r="D35" s="31">
        <f>ROUND('Anexo 8'!D35*'Anexo 4'!$D$10,0)</f>
        <v>0</v>
      </c>
      <c r="E35" s="31">
        <f>ROUND('Anexo 8'!E35*'Anexo 4'!$D$10,0)</f>
        <v>0</v>
      </c>
      <c r="F35" s="31">
        <f>ROUND('Anexo 8'!F35*'Anexo 4'!$D$10,0)</f>
        <v>0</v>
      </c>
      <c r="G35" s="31">
        <f>ROUND('Anexo 8'!G35*'Anexo 4'!$D$10,0)</f>
        <v>0</v>
      </c>
      <c r="H35" s="31">
        <f>ROUND('Anexo 8'!H35*'Anexo 4'!$D$10,0)</f>
        <v>0</v>
      </c>
      <c r="I35" s="31">
        <f>ROUND('Anexo 8'!I35*'Anexo 4'!$D$10,0)</f>
        <v>0</v>
      </c>
      <c r="J35" s="31">
        <f>ROUND('Anexo 8'!J35*'Anexo 4'!$D$10,0)</f>
        <v>0</v>
      </c>
      <c r="K35" s="31">
        <f>ROUND('Anexo 8'!K35*'Anexo 4'!$D$10,0)</f>
        <v>0</v>
      </c>
      <c r="L35" s="31">
        <f>ROUND('Anexo 8'!L35*'Anexo 4'!$D$10,0)</f>
        <v>0</v>
      </c>
      <c r="M35" s="31">
        <f>ROUND('Anexo 8'!M35*'Anexo 4'!$D$10,0)</f>
        <v>0</v>
      </c>
      <c r="N35" s="31">
        <f>ROUND('Anexo 8'!N35*'Anexo 4'!$D$10,0)</f>
        <v>0</v>
      </c>
      <c r="O35" s="31">
        <f>ROUND('Anexo 8'!O35*'Anexo 4'!$D$10,0)</f>
        <v>0</v>
      </c>
      <c r="P35" s="31">
        <f>ROUND('Anexo 8'!P35*'Anexo 4'!$D$10,0)</f>
        <v>0</v>
      </c>
      <c r="Q35" s="31">
        <f>ROUND('Anexo 8'!Q35*'Anexo 4'!$D$10,0)</f>
        <v>0</v>
      </c>
      <c r="R35" s="31">
        <f>ROUND('Anexo 8'!R35*'Anexo 4'!$D$10,0)</f>
        <v>0</v>
      </c>
      <c r="S35" s="31">
        <f>ROUND('Anexo 8'!S35*'Anexo 4'!$D$10,0)</f>
        <v>0</v>
      </c>
      <c r="T35" s="31">
        <f>ROUND('Anexo 8'!T35*'Anexo 4'!$D$10,0)</f>
        <v>0</v>
      </c>
      <c r="U35" s="31">
        <f>ROUND('Anexo 8'!U35*'Anexo 4'!$D$10,0)</f>
        <v>0</v>
      </c>
      <c r="V35" s="31">
        <f>ROUND('Anexo 8'!V35*'Anexo 4'!$D$10,0)</f>
        <v>0</v>
      </c>
      <c r="W35" s="31">
        <f>ROUND('Anexo 8'!W35*'Anexo 4'!$D$10,0)</f>
        <v>0</v>
      </c>
      <c r="X35" s="31">
        <f>ROUND('Anexo 8'!X35*'Anexo 4'!$D$10,0)</f>
        <v>0</v>
      </c>
      <c r="Y35" s="31">
        <f>ROUND('Anexo 8'!Y35*'Anexo 4'!$D$10,0)</f>
        <v>0</v>
      </c>
      <c r="Z35" s="31">
        <f>ROUND('Anexo 8'!Z35*'Anexo 4'!$D$10,0)</f>
        <v>0</v>
      </c>
      <c r="AA35" s="39">
        <f t="shared" si="0"/>
        <v>0</v>
      </c>
      <c r="AB35" s="21">
        <v>5</v>
      </c>
      <c r="AC35" s="82"/>
      <c r="AD35" s="46"/>
    </row>
    <row r="36" spans="1:30" ht="15.75" thickBot="1" x14ac:dyDescent="0.3">
      <c r="A36" s="79">
        <v>47788</v>
      </c>
      <c r="B36" s="16" t="s">
        <v>5</v>
      </c>
      <c r="C36" s="31">
        <f>ROUND('Anexo 8'!C36*'Anexo 4'!$D$10,0)</f>
        <v>0</v>
      </c>
      <c r="D36" s="31">
        <f>ROUND('Anexo 8'!D36*'Anexo 4'!$D$10,0)</f>
        <v>0</v>
      </c>
      <c r="E36" s="31">
        <f>ROUND('Anexo 8'!E36*'Anexo 4'!$D$10,0)</f>
        <v>0</v>
      </c>
      <c r="F36" s="31">
        <f>ROUND('Anexo 8'!F36*'Anexo 4'!$D$10,0)</f>
        <v>0</v>
      </c>
      <c r="G36" s="31">
        <f>ROUND('Anexo 8'!G36*'Anexo 4'!$D$10,0)</f>
        <v>0</v>
      </c>
      <c r="H36" s="31">
        <f>ROUND('Anexo 8'!H36*'Anexo 4'!$D$10,0)</f>
        <v>0</v>
      </c>
      <c r="I36" s="31">
        <f>ROUND('Anexo 8'!I36*'Anexo 4'!$D$10,0)</f>
        <v>0</v>
      </c>
      <c r="J36" s="31">
        <f>ROUND('Anexo 8'!J36*'Anexo 4'!$D$10,0)</f>
        <v>0</v>
      </c>
      <c r="K36" s="31">
        <f>ROUND('Anexo 8'!K36*'Anexo 4'!$D$10,0)</f>
        <v>0</v>
      </c>
      <c r="L36" s="31">
        <f>ROUND('Anexo 8'!L36*'Anexo 4'!$D$10,0)</f>
        <v>0</v>
      </c>
      <c r="M36" s="31">
        <f>ROUND('Anexo 8'!M36*'Anexo 4'!$D$10,0)</f>
        <v>0</v>
      </c>
      <c r="N36" s="31">
        <f>ROUND('Anexo 8'!N36*'Anexo 4'!$D$10,0)</f>
        <v>0</v>
      </c>
      <c r="O36" s="31">
        <f>ROUND('Anexo 8'!O36*'Anexo 4'!$D$10,0)</f>
        <v>0</v>
      </c>
      <c r="P36" s="31">
        <f>ROUND('Anexo 8'!P36*'Anexo 4'!$D$10,0)</f>
        <v>0</v>
      </c>
      <c r="Q36" s="31">
        <f>ROUND('Anexo 8'!Q36*'Anexo 4'!$D$10,0)</f>
        <v>0</v>
      </c>
      <c r="R36" s="31">
        <f>ROUND('Anexo 8'!R36*'Anexo 4'!$D$10,0)</f>
        <v>0</v>
      </c>
      <c r="S36" s="31">
        <f>ROUND('Anexo 8'!S36*'Anexo 4'!$D$10,0)</f>
        <v>0</v>
      </c>
      <c r="T36" s="31">
        <f>ROUND('Anexo 8'!T36*'Anexo 4'!$D$10,0)</f>
        <v>0</v>
      </c>
      <c r="U36" s="31">
        <f>ROUND('Anexo 8'!U36*'Anexo 4'!$D$10,0)</f>
        <v>0</v>
      </c>
      <c r="V36" s="31">
        <f>ROUND('Anexo 8'!V36*'Anexo 4'!$D$10,0)</f>
        <v>0</v>
      </c>
      <c r="W36" s="31">
        <f>ROUND('Anexo 8'!W36*'Anexo 4'!$D$10,0)</f>
        <v>0</v>
      </c>
      <c r="X36" s="31">
        <f>ROUND('Anexo 8'!X36*'Anexo 4'!$D$10,0)</f>
        <v>0</v>
      </c>
      <c r="Y36" s="31">
        <f>ROUND('Anexo 8'!Y36*'Anexo 4'!$D$10,0)</f>
        <v>0</v>
      </c>
      <c r="Z36" s="31">
        <f>ROUND('Anexo 8'!Z36*'Anexo 4'!$D$10,0)</f>
        <v>0</v>
      </c>
      <c r="AA36" s="33">
        <f t="shared" si="0"/>
        <v>0</v>
      </c>
      <c r="AB36" s="17">
        <v>19</v>
      </c>
      <c r="AC36" s="80">
        <f>+AA36*AB36+AA37*AB37+AA38*AB38</f>
        <v>0</v>
      </c>
    </row>
    <row r="37" spans="1:30" ht="15.75" thickBot="1" x14ac:dyDescent="0.3">
      <c r="A37" s="79"/>
      <c r="B37" s="18" t="s">
        <v>4</v>
      </c>
      <c r="C37" s="31">
        <f>ROUND('Anexo 8'!C37*'Anexo 4'!$D$10,0)</f>
        <v>0</v>
      </c>
      <c r="D37" s="31">
        <f>ROUND('Anexo 8'!D37*'Anexo 4'!$D$10,0)</f>
        <v>0</v>
      </c>
      <c r="E37" s="31">
        <f>ROUND('Anexo 8'!E37*'Anexo 4'!$D$10,0)</f>
        <v>0</v>
      </c>
      <c r="F37" s="31">
        <f>ROUND('Anexo 8'!F37*'Anexo 4'!$D$10,0)</f>
        <v>0</v>
      </c>
      <c r="G37" s="31">
        <f>ROUND('Anexo 8'!G37*'Anexo 4'!$D$10,0)</f>
        <v>0</v>
      </c>
      <c r="H37" s="31">
        <f>ROUND('Anexo 8'!H37*'Anexo 4'!$D$10,0)</f>
        <v>0</v>
      </c>
      <c r="I37" s="31">
        <f>ROUND('Anexo 8'!I37*'Anexo 4'!$D$10,0)</f>
        <v>0</v>
      </c>
      <c r="J37" s="31">
        <f>ROUND('Anexo 8'!J37*'Anexo 4'!$D$10,0)</f>
        <v>0</v>
      </c>
      <c r="K37" s="31">
        <f>ROUND('Anexo 8'!K37*'Anexo 4'!$D$10,0)</f>
        <v>0</v>
      </c>
      <c r="L37" s="31">
        <f>ROUND('Anexo 8'!L37*'Anexo 4'!$D$10,0)</f>
        <v>0</v>
      </c>
      <c r="M37" s="31">
        <f>ROUND('Anexo 8'!M37*'Anexo 4'!$D$10,0)</f>
        <v>0</v>
      </c>
      <c r="N37" s="31">
        <f>ROUND('Anexo 8'!N37*'Anexo 4'!$D$10,0)</f>
        <v>0</v>
      </c>
      <c r="O37" s="31">
        <f>ROUND('Anexo 8'!O37*'Anexo 4'!$D$10,0)</f>
        <v>0</v>
      </c>
      <c r="P37" s="31">
        <f>ROUND('Anexo 8'!P37*'Anexo 4'!$D$10,0)</f>
        <v>0</v>
      </c>
      <c r="Q37" s="31">
        <f>ROUND('Anexo 8'!Q37*'Anexo 4'!$D$10,0)</f>
        <v>0</v>
      </c>
      <c r="R37" s="31">
        <f>ROUND('Anexo 8'!R37*'Anexo 4'!$D$10,0)</f>
        <v>0</v>
      </c>
      <c r="S37" s="31">
        <f>ROUND('Anexo 8'!S37*'Anexo 4'!$D$10,0)</f>
        <v>0</v>
      </c>
      <c r="T37" s="31">
        <f>ROUND('Anexo 8'!T37*'Anexo 4'!$D$10,0)</f>
        <v>0</v>
      </c>
      <c r="U37" s="31">
        <f>ROUND('Anexo 8'!U37*'Anexo 4'!$D$10,0)</f>
        <v>0</v>
      </c>
      <c r="V37" s="31">
        <f>ROUND('Anexo 8'!V37*'Anexo 4'!$D$10,0)</f>
        <v>0</v>
      </c>
      <c r="W37" s="31">
        <f>ROUND('Anexo 8'!W37*'Anexo 4'!$D$10,0)</f>
        <v>0</v>
      </c>
      <c r="X37" s="31">
        <f>ROUND('Anexo 8'!X37*'Anexo 4'!$D$10,0)</f>
        <v>0</v>
      </c>
      <c r="Y37" s="31">
        <f>ROUND('Anexo 8'!Y37*'Anexo 4'!$D$10,0)</f>
        <v>0</v>
      </c>
      <c r="Z37" s="31">
        <f>ROUND('Anexo 8'!Z37*'Anexo 4'!$D$10,0)</f>
        <v>0</v>
      </c>
      <c r="AA37" s="36">
        <f t="shared" si="0"/>
        <v>0</v>
      </c>
      <c r="AB37" s="19">
        <v>5</v>
      </c>
      <c r="AC37" s="81"/>
      <c r="AD37" s="45"/>
    </row>
    <row r="38" spans="1:30" ht="15.75" thickBot="1" x14ac:dyDescent="0.3">
      <c r="A38" s="79"/>
      <c r="B38" s="20" t="s">
        <v>3</v>
      </c>
      <c r="C38" s="31">
        <f>ROUND('Anexo 8'!C38*'Anexo 4'!$D$10,0)</f>
        <v>0</v>
      </c>
      <c r="D38" s="31">
        <f>ROUND('Anexo 8'!D38*'Anexo 4'!$D$10,0)</f>
        <v>0</v>
      </c>
      <c r="E38" s="31">
        <f>ROUND('Anexo 8'!E38*'Anexo 4'!$D$10,0)</f>
        <v>0</v>
      </c>
      <c r="F38" s="31">
        <f>ROUND('Anexo 8'!F38*'Anexo 4'!$D$10,0)</f>
        <v>0</v>
      </c>
      <c r="G38" s="31">
        <f>ROUND('Anexo 8'!G38*'Anexo 4'!$D$10,0)</f>
        <v>0</v>
      </c>
      <c r="H38" s="31">
        <f>ROUND('Anexo 8'!H38*'Anexo 4'!$D$10,0)</f>
        <v>0</v>
      </c>
      <c r="I38" s="31">
        <f>ROUND('Anexo 8'!I38*'Anexo 4'!$D$10,0)</f>
        <v>0</v>
      </c>
      <c r="J38" s="31">
        <f>ROUND('Anexo 8'!J38*'Anexo 4'!$D$10,0)</f>
        <v>0</v>
      </c>
      <c r="K38" s="31">
        <f>ROUND('Anexo 8'!K38*'Anexo 4'!$D$10,0)</f>
        <v>0</v>
      </c>
      <c r="L38" s="31">
        <f>ROUND('Anexo 8'!L38*'Anexo 4'!$D$10,0)</f>
        <v>0</v>
      </c>
      <c r="M38" s="31">
        <f>ROUND('Anexo 8'!M38*'Anexo 4'!$D$10,0)</f>
        <v>0</v>
      </c>
      <c r="N38" s="31">
        <f>ROUND('Anexo 8'!N38*'Anexo 4'!$D$10,0)</f>
        <v>0</v>
      </c>
      <c r="O38" s="31">
        <f>ROUND('Anexo 8'!O38*'Anexo 4'!$D$10,0)</f>
        <v>0</v>
      </c>
      <c r="P38" s="31">
        <f>ROUND('Anexo 8'!P38*'Anexo 4'!$D$10,0)</f>
        <v>0</v>
      </c>
      <c r="Q38" s="31">
        <f>ROUND('Anexo 8'!Q38*'Anexo 4'!$D$10,0)</f>
        <v>0</v>
      </c>
      <c r="R38" s="31">
        <f>ROUND('Anexo 8'!R38*'Anexo 4'!$D$10,0)</f>
        <v>0</v>
      </c>
      <c r="S38" s="31">
        <f>ROUND('Anexo 8'!S38*'Anexo 4'!$D$10,0)</f>
        <v>0</v>
      </c>
      <c r="T38" s="31">
        <f>ROUND('Anexo 8'!T38*'Anexo 4'!$D$10,0)</f>
        <v>0</v>
      </c>
      <c r="U38" s="31">
        <f>ROUND('Anexo 8'!U38*'Anexo 4'!$D$10,0)</f>
        <v>0</v>
      </c>
      <c r="V38" s="31">
        <f>ROUND('Anexo 8'!V38*'Anexo 4'!$D$10,0)</f>
        <v>0</v>
      </c>
      <c r="W38" s="31">
        <f>ROUND('Anexo 8'!W38*'Anexo 4'!$D$10,0)</f>
        <v>0</v>
      </c>
      <c r="X38" s="31">
        <f>ROUND('Anexo 8'!X38*'Anexo 4'!$D$10,0)</f>
        <v>0</v>
      </c>
      <c r="Y38" s="31">
        <f>ROUND('Anexo 8'!Y38*'Anexo 4'!$D$10,0)</f>
        <v>0</v>
      </c>
      <c r="Z38" s="31">
        <f>ROUND('Anexo 8'!Z38*'Anexo 4'!$D$10,0)</f>
        <v>0</v>
      </c>
      <c r="AA38" s="39">
        <f t="shared" si="0"/>
        <v>0</v>
      </c>
      <c r="AB38" s="21">
        <v>6</v>
      </c>
      <c r="AC38" s="82"/>
      <c r="AD38" s="47"/>
    </row>
    <row r="39" spans="1:30" ht="15.75" thickBot="1" x14ac:dyDescent="0.3">
      <c r="A39" s="79">
        <v>47818</v>
      </c>
      <c r="B39" s="16" t="s">
        <v>5</v>
      </c>
      <c r="C39" s="31">
        <f>ROUND('Anexo 8'!C39*'Anexo 4'!$D$10,0)</f>
        <v>0</v>
      </c>
      <c r="D39" s="31">
        <f>ROUND('Anexo 8'!D39*'Anexo 4'!$D$10,0)</f>
        <v>0</v>
      </c>
      <c r="E39" s="31">
        <f>ROUND('Anexo 8'!E39*'Anexo 4'!$D$10,0)</f>
        <v>0</v>
      </c>
      <c r="F39" s="31">
        <f>ROUND('Anexo 8'!F39*'Anexo 4'!$D$10,0)</f>
        <v>0</v>
      </c>
      <c r="G39" s="31">
        <f>ROUND('Anexo 8'!G39*'Anexo 4'!$D$10,0)</f>
        <v>0</v>
      </c>
      <c r="H39" s="31">
        <f>ROUND('Anexo 8'!H39*'Anexo 4'!$D$10,0)</f>
        <v>0</v>
      </c>
      <c r="I39" s="31">
        <f>ROUND('Anexo 8'!I39*'Anexo 4'!$D$10,0)</f>
        <v>0</v>
      </c>
      <c r="J39" s="31">
        <f>ROUND('Anexo 8'!J39*'Anexo 4'!$D$10,0)</f>
        <v>0</v>
      </c>
      <c r="K39" s="31">
        <f>ROUND('Anexo 8'!K39*'Anexo 4'!$D$10,0)</f>
        <v>0</v>
      </c>
      <c r="L39" s="31">
        <f>ROUND('Anexo 8'!L39*'Anexo 4'!$D$10,0)</f>
        <v>0</v>
      </c>
      <c r="M39" s="31">
        <f>ROUND('Anexo 8'!M39*'Anexo 4'!$D$10,0)</f>
        <v>0</v>
      </c>
      <c r="N39" s="31">
        <f>ROUND('Anexo 8'!N39*'Anexo 4'!$D$10,0)</f>
        <v>0</v>
      </c>
      <c r="O39" s="31">
        <f>ROUND('Anexo 8'!O39*'Anexo 4'!$D$10,0)</f>
        <v>0</v>
      </c>
      <c r="P39" s="31">
        <f>ROUND('Anexo 8'!P39*'Anexo 4'!$D$10,0)</f>
        <v>0</v>
      </c>
      <c r="Q39" s="31">
        <f>ROUND('Anexo 8'!Q39*'Anexo 4'!$D$10,0)</f>
        <v>0</v>
      </c>
      <c r="R39" s="31">
        <f>ROUND('Anexo 8'!R39*'Anexo 4'!$D$10,0)</f>
        <v>0</v>
      </c>
      <c r="S39" s="31">
        <f>ROUND('Anexo 8'!S39*'Anexo 4'!$D$10,0)</f>
        <v>0</v>
      </c>
      <c r="T39" s="31">
        <f>ROUND('Anexo 8'!T39*'Anexo 4'!$D$10,0)</f>
        <v>0</v>
      </c>
      <c r="U39" s="31">
        <f>ROUND('Anexo 8'!U39*'Anexo 4'!$D$10,0)</f>
        <v>0</v>
      </c>
      <c r="V39" s="31">
        <f>ROUND('Anexo 8'!V39*'Anexo 4'!$D$10,0)</f>
        <v>0</v>
      </c>
      <c r="W39" s="31">
        <f>ROUND('Anexo 8'!W39*'Anexo 4'!$D$10,0)</f>
        <v>0</v>
      </c>
      <c r="X39" s="31">
        <f>ROUND('Anexo 8'!X39*'Anexo 4'!$D$10,0)</f>
        <v>0</v>
      </c>
      <c r="Y39" s="31">
        <f>ROUND('Anexo 8'!Y39*'Anexo 4'!$D$10,0)</f>
        <v>0</v>
      </c>
      <c r="Z39" s="31">
        <f>ROUND('Anexo 8'!Z39*'Anexo 4'!$D$10,0)</f>
        <v>0</v>
      </c>
      <c r="AA39" s="33">
        <f t="shared" si="0"/>
        <v>0</v>
      </c>
      <c r="AB39" s="17">
        <v>21</v>
      </c>
      <c r="AC39" s="80">
        <f>+AA39*AB39+AA40*AB40+AA41*AB41</f>
        <v>0</v>
      </c>
    </row>
    <row r="40" spans="1:30" ht="15.75" thickBot="1" x14ac:dyDescent="0.3">
      <c r="A40" s="79"/>
      <c r="B40" s="18" t="s">
        <v>4</v>
      </c>
      <c r="C40" s="31">
        <f>ROUND('Anexo 8'!C40*'Anexo 4'!$D$10,0)</f>
        <v>0</v>
      </c>
      <c r="D40" s="31">
        <f>ROUND('Anexo 8'!D40*'Anexo 4'!$D$10,0)</f>
        <v>0</v>
      </c>
      <c r="E40" s="31">
        <f>ROUND('Anexo 8'!E40*'Anexo 4'!$D$10,0)</f>
        <v>0</v>
      </c>
      <c r="F40" s="31">
        <f>ROUND('Anexo 8'!F40*'Anexo 4'!$D$10,0)</f>
        <v>0</v>
      </c>
      <c r="G40" s="31">
        <f>ROUND('Anexo 8'!G40*'Anexo 4'!$D$10,0)</f>
        <v>0</v>
      </c>
      <c r="H40" s="31">
        <f>ROUND('Anexo 8'!H40*'Anexo 4'!$D$10,0)</f>
        <v>0</v>
      </c>
      <c r="I40" s="31">
        <f>ROUND('Anexo 8'!I40*'Anexo 4'!$D$10,0)</f>
        <v>0</v>
      </c>
      <c r="J40" s="31">
        <f>ROUND('Anexo 8'!J40*'Anexo 4'!$D$10,0)</f>
        <v>0</v>
      </c>
      <c r="K40" s="31">
        <f>ROUND('Anexo 8'!K40*'Anexo 4'!$D$10,0)</f>
        <v>0</v>
      </c>
      <c r="L40" s="31">
        <f>ROUND('Anexo 8'!L40*'Anexo 4'!$D$10,0)</f>
        <v>0</v>
      </c>
      <c r="M40" s="31">
        <f>ROUND('Anexo 8'!M40*'Anexo 4'!$D$10,0)</f>
        <v>0</v>
      </c>
      <c r="N40" s="31">
        <f>ROUND('Anexo 8'!N40*'Anexo 4'!$D$10,0)</f>
        <v>0</v>
      </c>
      <c r="O40" s="31">
        <f>ROUND('Anexo 8'!O40*'Anexo 4'!$D$10,0)</f>
        <v>0</v>
      </c>
      <c r="P40" s="31">
        <f>ROUND('Anexo 8'!P40*'Anexo 4'!$D$10,0)</f>
        <v>0</v>
      </c>
      <c r="Q40" s="31">
        <f>ROUND('Anexo 8'!Q40*'Anexo 4'!$D$10,0)</f>
        <v>0</v>
      </c>
      <c r="R40" s="31">
        <f>ROUND('Anexo 8'!R40*'Anexo 4'!$D$10,0)</f>
        <v>0</v>
      </c>
      <c r="S40" s="31">
        <f>ROUND('Anexo 8'!S40*'Anexo 4'!$D$10,0)</f>
        <v>0</v>
      </c>
      <c r="T40" s="31">
        <f>ROUND('Anexo 8'!T40*'Anexo 4'!$D$10,0)</f>
        <v>0</v>
      </c>
      <c r="U40" s="31">
        <f>ROUND('Anexo 8'!U40*'Anexo 4'!$D$10,0)</f>
        <v>0</v>
      </c>
      <c r="V40" s="31">
        <f>ROUND('Anexo 8'!V40*'Anexo 4'!$D$10,0)</f>
        <v>0</v>
      </c>
      <c r="W40" s="31">
        <f>ROUND('Anexo 8'!W40*'Anexo 4'!$D$10,0)</f>
        <v>0</v>
      </c>
      <c r="X40" s="31">
        <f>ROUND('Anexo 8'!X40*'Anexo 4'!$D$10,0)</f>
        <v>0</v>
      </c>
      <c r="Y40" s="31">
        <f>ROUND('Anexo 8'!Y40*'Anexo 4'!$D$10,0)</f>
        <v>0</v>
      </c>
      <c r="Z40" s="31">
        <f>ROUND('Anexo 8'!Z40*'Anexo 4'!$D$10,0)</f>
        <v>0</v>
      </c>
      <c r="AA40" s="36">
        <f t="shared" si="0"/>
        <v>0</v>
      </c>
      <c r="AB40" s="19">
        <v>4</v>
      </c>
      <c r="AC40" s="81"/>
      <c r="AD40" s="45"/>
    </row>
    <row r="41" spans="1:30" ht="15.75" thickBot="1" x14ac:dyDescent="0.3">
      <c r="A41" s="79"/>
      <c r="B41" s="20" t="s">
        <v>3</v>
      </c>
      <c r="C41" s="31">
        <f>ROUND('Anexo 8'!C41*'Anexo 4'!$D$10,0)</f>
        <v>0</v>
      </c>
      <c r="D41" s="31">
        <f>ROUND('Anexo 8'!D41*'Anexo 4'!$D$10,0)</f>
        <v>0</v>
      </c>
      <c r="E41" s="31">
        <f>ROUND('Anexo 8'!E41*'Anexo 4'!$D$10,0)</f>
        <v>0</v>
      </c>
      <c r="F41" s="31">
        <f>ROUND('Anexo 8'!F41*'Anexo 4'!$D$10,0)</f>
        <v>0</v>
      </c>
      <c r="G41" s="31">
        <f>ROUND('Anexo 8'!G41*'Anexo 4'!$D$10,0)</f>
        <v>0</v>
      </c>
      <c r="H41" s="31">
        <f>ROUND('Anexo 8'!H41*'Anexo 4'!$D$10,0)</f>
        <v>0</v>
      </c>
      <c r="I41" s="31">
        <f>ROUND('Anexo 8'!I41*'Anexo 4'!$D$10,0)</f>
        <v>0</v>
      </c>
      <c r="J41" s="31">
        <f>ROUND('Anexo 8'!J41*'Anexo 4'!$D$10,0)</f>
        <v>0</v>
      </c>
      <c r="K41" s="31">
        <f>ROUND('Anexo 8'!K41*'Anexo 4'!$D$10,0)</f>
        <v>0</v>
      </c>
      <c r="L41" s="31">
        <f>ROUND('Anexo 8'!L41*'Anexo 4'!$D$10,0)</f>
        <v>0</v>
      </c>
      <c r="M41" s="31">
        <f>ROUND('Anexo 8'!M41*'Anexo 4'!$D$10,0)</f>
        <v>0</v>
      </c>
      <c r="N41" s="31">
        <f>ROUND('Anexo 8'!N41*'Anexo 4'!$D$10,0)</f>
        <v>0</v>
      </c>
      <c r="O41" s="31">
        <f>ROUND('Anexo 8'!O41*'Anexo 4'!$D$10,0)</f>
        <v>0</v>
      </c>
      <c r="P41" s="31">
        <f>ROUND('Anexo 8'!P41*'Anexo 4'!$D$10,0)</f>
        <v>0</v>
      </c>
      <c r="Q41" s="31">
        <f>ROUND('Anexo 8'!Q41*'Anexo 4'!$D$10,0)</f>
        <v>0</v>
      </c>
      <c r="R41" s="31">
        <f>ROUND('Anexo 8'!R41*'Anexo 4'!$D$10,0)</f>
        <v>0</v>
      </c>
      <c r="S41" s="31">
        <f>ROUND('Anexo 8'!S41*'Anexo 4'!$D$10,0)</f>
        <v>0</v>
      </c>
      <c r="T41" s="31">
        <f>ROUND('Anexo 8'!T41*'Anexo 4'!$D$10,0)</f>
        <v>0</v>
      </c>
      <c r="U41" s="31">
        <f>ROUND('Anexo 8'!U41*'Anexo 4'!$D$10,0)</f>
        <v>0</v>
      </c>
      <c r="V41" s="31">
        <f>ROUND('Anexo 8'!V41*'Anexo 4'!$D$10,0)</f>
        <v>0</v>
      </c>
      <c r="W41" s="31">
        <f>ROUND('Anexo 8'!W41*'Anexo 4'!$D$10,0)</f>
        <v>0</v>
      </c>
      <c r="X41" s="31">
        <f>ROUND('Anexo 8'!X41*'Anexo 4'!$D$10,0)</f>
        <v>0</v>
      </c>
      <c r="Y41" s="31">
        <f>ROUND('Anexo 8'!Y41*'Anexo 4'!$D$10,0)</f>
        <v>0</v>
      </c>
      <c r="Z41" s="31">
        <f>ROUND('Anexo 8'!Z41*'Anexo 4'!$D$10,0)</f>
        <v>0</v>
      </c>
      <c r="AA41" s="39">
        <f t="shared" si="0"/>
        <v>0</v>
      </c>
      <c r="AB41" s="21">
        <v>6</v>
      </c>
      <c r="AC41" s="82"/>
      <c r="AD41" s="40"/>
    </row>
    <row r="42" spans="1:30" ht="15" x14ac:dyDescent="0.25">
      <c r="A42" s="77" t="s">
        <v>2</v>
      </c>
      <c r="B42" s="78"/>
      <c r="C42" s="29">
        <f t="shared" ref="C42:AC42" si="1">+SUM(C6:C41)</f>
        <v>0</v>
      </c>
      <c r="D42" s="29">
        <f t="shared" si="1"/>
        <v>0</v>
      </c>
      <c r="E42" s="29">
        <f t="shared" si="1"/>
        <v>0</v>
      </c>
      <c r="F42" s="29">
        <f t="shared" si="1"/>
        <v>0</v>
      </c>
      <c r="G42" s="29">
        <f t="shared" si="1"/>
        <v>0</v>
      </c>
      <c r="H42" s="29">
        <f t="shared" si="1"/>
        <v>0</v>
      </c>
      <c r="I42" s="29">
        <f t="shared" si="1"/>
        <v>0</v>
      </c>
      <c r="J42" s="29">
        <f t="shared" si="1"/>
        <v>0</v>
      </c>
      <c r="K42" s="29">
        <f t="shared" si="1"/>
        <v>0</v>
      </c>
      <c r="L42" s="29">
        <f t="shared" si="1"/>
        <v>0</v>
      </c>
      <c r="M42" s="29">
        <f t="shared" si="1"/>
        <v>0</v>
      </c>
      <c r="N42" s="29">
        <f t="shared" si="1"/>
        <v>0</v>
      </c>
      <c r="O42" s="29">
        <f t="shared" si="1"/>
        <v>0</v>
      </c>
      <c r="P42" s="29">
        <f t="shared" si="1"/>
        <v>0</v>
      </c>
      <c r="Q42" s="29">
        <f t="shared" si="1"/>
        <v>0</v>
      </c>
      <c r="R42" s="29">
        <f t="shared" si="1"/>
        <v>0</v>
      </c>
      <c r="S42" s="29">
        <f t="shared" si="1"/>
        <v>0</v>
      </c>
      <c r="T42" s="29">
        <f t="shared" si="1"/>
        <v>0</v>
      </c>
      <c r="U42" s="29">
        <f t="shared" si="1"/>
        <v>0</v>
      </c>
      <c r="V42" s="29">
        <f t="shared" si="1"/>
        <v>0</v>
      </c>
      <c r="W42" s="29">
        <f t="shared" si="1"/>
        <v>0</v>
      </c>
      <c r="X42" s="29">
        <f t="shared" si="1"/>
        <v>0</v>
      </c>
      <c r="Y42" s="29">
        <f t="shared" si="1"/>
        <v>0</v>
      </c>
      <c r="Z42" s="29">
        <f t="shared" si="1"/>
        <v>0</v>
      </c>
      <c r="AA42" s="29">
        <f t="shared" si="1"/>
        <v>0</v>
      </c>
      <c r="AB42" s="29">
        <f t="shared" si="1"/>
        <v>365</v>
      </c>
      <c r="AC42" s="44">
        <f t="shared" si="1"/>
        <v>0</v>
      </c>
    </row>
    <row r="43" spans="1:30" ht="15" x14ac:dyDescent="0.25">
      <c r="AB43" s="4"/>
      <c r="AC43" s="4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9C34A9485AA54DBC3FD82BBAFDFE2A" ma:contentTypeVersion="15" ma:contentTypeDescription="Crear nuevo documento." ma:contentTypeScope="" ma:versionID="f203f34a231dd4131e695dcc7b3b5a64">
  <xsd:schema xmlns:xsd="http://www.w3.org/2001/XMLSchema" xmlns:xs="http://www.w3.org/2001/XMLSchema" xmlns:p="http://schemas.microsoft.com/office/2006/metadata/properties" xmlns:ns2="e20b9708-8d05-44bf-aa29-bb25ddc26887" xmlns:ns3="19e65c24-12eb-4ae4-9f0f-cdc0d03995d7" targetNamespace="http://schemas.microsoft.com/office/2006/metadata/properties" ma:root="true" ma:fieldsID="358ebf02fc1635950b4c35e720ec2fc3" ns2:_="" ns3:_="">
    <xsd:import namespace="e20b9708-8d05-44bf-aa29-bb25ddc26887"/>
    <xsd:import namespace="19e65c24-12eb-4ae4-9f0f-cdc0d03995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b9708-8d05-44bf-aa29-bb25ddc26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b1d78a8-738e-47a1-8bbf-6fb1ef3f43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e65c24-12eb-4ae4-9f0f-cdc0d03995d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9fbd2e-5e08-46c7-a885-1613e557d3ee}" ma:internalName="TaxCatchAll" ma:showField="CatchAllData" ma:web="19e65c24-12eb-4ae4-9f0f-cdc0d03995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e65c24-12eb-4ae4-9f0f-cdc0d03995d7" xsi:nil="true"/>
    <lcf76f155ced4ddcb4097134ff3c332f xmlns="e20b9708-8d05-44bf-aa29-bb25ddc2688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E31244-003A-4FCC-86CD-3F916DE4FC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F01478-136A-49E8-9EC5-6FA80854EA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0b9708-8d05-44bf-aa29-bb25ddc26887"/>
    <ds:schemaRef ds:uri="19e65c24-12eb-4ae4-9f0f-cdc0d03995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60754C-9832-432C-86F4-4FB09D58D93F}">
  <ds:schemaRefs>
    <ds:schemaRef ds:uri="http://schemas.microsoft.com/office/2006/metadata/properties"/>
    <ds:schemaRef ds:uri="http://schemas.microsoft.com/office/infopath/2007/PartnerControls"/>
    <ds:schemaRef ds:uri="19e65c24-12eb-4ae4-9f0f-cdc0d03995d7"/>
    <ds:schemaRef ds:uri="e20b9708-8d05-44bf-aa29-bb25ddc268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Anexo1</vt:lpstr>
      <vt:lpstr>Anexo 1A</vt:lpstr>
      <vt:lpstr>Anexo 5</vt:lpstr>
      <vt:lpstr>Cantidades Ofertadas Prod1</vt:lpstr>
      <vt:lpstr>Anexo 2</vt:lpstr>
      <vt:lpstr>Anexo 2A</vt:lpstr>
      <vt:lpstr>Anexo 6</vt:lpstr>
      <vt:lpstr>Cantidades Ofertadas Prod 2</vt:lpstr>
      <vt:lpstr>Anexo 3</vt:lpstr>
      <vt:lpstr>Anexo 3A</vt:lpstr>
      <vt:lpstr>Anexo 7</vt:lpstr>
      <vt:lpstr>Cantidades Ofertadas Prod 3</vt:lpstr>
      <vt:lpstr>Anexo 4</vt:lpstr>
      <vt:lpstr>Anexo 4A</vt:lpstr>
      <vt:lpstr>Anexo 8</vt:lpstr>
      <vt:lpstr>Cantidades Ofertadas Prod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Giraldo Macias</dc:creator>
  <cp:lastModifiedBy>Etelberto Sanchez Blanco</cp:lastModifiedBy>
  <dcterms:created xsi:type="dcterms:W3CDTF">2020-01-31T19:26:26Z</dcterms:created>
  <dcterms:modified xsi:type="dcterms:W3CDTF">2026-01-19T16:41:51Z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0x010100B59C34A9485AA54DBC3FD82BBAFDFE2A</vt:lpwstr>
  </property>
  <property fmtid="{D5CDD505-2E9C-101B-9397-08002B2CF9AE}" pid="3" name="MediaServiceImageTags">
    <vt:lpwstr/>
  </property>
</Properties>
</file>