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elsia.sharepoint.com/sites/VP_TYD_TE/MITRHA/15_Compras_Energia/CELSIA COLOMBIA/Licitaciones/2025/CP-EPSC2025-001/Prepliegos/"/>
    </mc:Choice>
  </mc:AlternateContent>
  <xr:revisionPtr revIDLastSave="132" documentId="8_{FFCDC07D-3E81-4B66-8782-D9AE71B5DE20}" xr6:coauthVersionLast="47" xr6:coauthVersionMax="47" xr10:uidLastSave="{C133FE75-BA67-4856-AEA0-CDB14FA97275}"/>
  <bookViews>
    <workbookView xWindow="-120" yWindow="-120" windowWidth="20730" windowHeight="11160" xr2:uid="{AE04A264-B901-4B34-A8A6-2C5B58A0F334}"/>
  </bookViews>
  <sheets>
    <sheet name="Anexo 1" sheetId="23" r:id="rId1"/>
    <sheet name="Anexo 8" sheetId="26" r:id="rId2"/>
    <sheet name="Cantidades Ofertadas Prod 1" sheetId="27" r:id="rId3"/>
    <sheet name="Anexo 2" sheetId="13" r:id="rId4"/>
    <sheet name="Anexo 2A" sheetId="35" r:id="rId5"/>
    <sheet name="Anexo 9" sheetId="14" r:id="rId6"/>
    <sheet name="Cantidades Ofertadas Prod 2" sheetId="19" r:id="rId7"/>
    <sheet name="Anexo 3" sheetId="20" r:id="rId8"/>
    <sheet name="Anexo 3A" sheetId="31" r:id="rId9"/>
    <sheet name="Anexo 10" sheetId="21" r:id="rId10"/>
    <sheet name="Cantidades Ofertadas Prod 3" sheetId="22" r:id="rId11"/>
    <sheet name="Anexo 4" sheetId="24" r:id="rId12"/>
    <sheet name="Anexo 4A" sheetId="32" state="hidden" r:id="rId13"/>
    <sheet name="Anexo 11" sheetId="25" r:id="rId14"/>
    <sheet name="Cantidades Ofertadas Prod 4" sheetId="28" r:id="rId15"/>
    <sheet name="Anexo 5" sheetId="11" r:id="rId16"/>
    <sheet name="Anexo 5A" sheetId="33" state="hidden" r:id="rId17"/>
    <sheet name="Anexo 12" sheetId="12" r:id="rId18"/>
    <sheet name="Cantidades Ofertadas Prod 5" sheetId="18" r:id="rId19"/>
    <sheet name="Anexo 6" sheetId="44" r:id="rId20"/>
    <sheet name="Anexo 6A" sheetId="45" r:id="rId21"/>
    <sheet name="Anexo 13" sheetId="37" r:id="rId22"/>
    <sheet name="Cantidades Ofertadas Prod 6" sheetId="43" r:id="rId23"/>
    <sheet name="Anexo 7" sheetId="46" r:id="rId24"/>
    <sheet name="Anexo 7A" sheetId="47" r:id="rId25"/>
    <sheet name="Anexo 14" sheetId="38" r:id="rId26"/>
    <sheet name="Cantidades Ofertadas Prod 7" sheetId="49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2" i="26" l="1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H31" i="44" l="1"/>
  <c r="D6" i="19"/>
  <c r="E6" i="19"/>
  <c r="F6" i="19"/>
  <c r="G6" i="19"/>
  <c r="H6" i="19"/>
  <c r="I6" i="19"/>
  <c r="J6" i="19"/>
  <c r="K6" i="19"/>
  <c r="L6" i="19"/>
  <c r="M6" i="19"/>
  <c r="N6" i="19"/>
  <c r="O6" i="19"/>
  <c r="P6" i="19"/>
  <c r="Q6" i="19"/>
  <c r="R6" i="19"/>
  <c r="S6" i="19"/>
  <c r="T6" i="19"/>
  <c r="U6" i="19"/>
  <c r="V6" i="19"/>
  <c r="W6" i="19"/>
  <c r="X6" i="19"/>
  <c r="Y6" i="19"/>
  <c r="Z6" i="19"/>
  <c r="D7" i="19"/>
  <c r="E7" i="19"/>
  <c r="F7" i="19"/>
  <c r="G7" i="19"/>
  <c r="H7" i="19"/>
  <c r="I7" i="19"/>
  <c r="J7" i="19"/>
  <c r="K7" i="19"/>
  <c r="L7" i="19"/>
  <c r="M7" i="19"/>
  <c r="N7" i="19"/>
  <c r="O7" i="19"/>
  <c r="P7" i="19"/>
  <c r="Q7" i="19"/>
  <c r="R7" i="19"/>
  <c r="S7" i="19"/>
  <c r="T7" i="19"/>
  <c r="U7" i="19"/>
  <c r="V7" i="19"/>
  <c r="W7" i="19"/>
  <c r="X7" i="19"/>
  <c r="Y7" i="19"/>
  <c r="Z7" i="19"/>
  <c r="D8" i="19"/>
  <c r="E8" i="19"/>
  <c r="F8" i="19"/>
  <c r="G8" i="19"/>
  <c r="H8" i="19"/>
  <c r="I8" i="19"/>
  <c r="J8" i="19"/>
  <c r="K8" i="19"/>
  <c r="L8" i="19"/>
  <c r="M8" i="19"/>
  <c r="N8" i="19"/>
  <c r="O8" i="19"/>
  <c r="P8" i="19"/>
  <c r="Q8" i="19"/>
  <c r="R8" i="19"/>
  <c r="S8" i="19"/>
  <c r="T8" i="19"/>
  <c r="U8" i="19"/>
  <c r="V8" i="19"/>
  <c r="W8" i="19"/>
  <c r="X8" i="19"/>
  <c r="Y8" i="19"/>
  <c r="Z8" i="19"/>
  <c r="D9" i="19"/>
  <c r="E9" i="19"/>
  <c r="F9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T9" i="19"/>
  <c r="U9" i="19"/>
  <c r="V9" i="19"/>
  <c r="W9" i="19"/>
  <c r="X9" i="19"/>
  <c r="Y9" i="19"/>
  <c r="Z9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S10" i="19"/>
  <c r="T10" i="19"/>
  <c r="U10" i="19"/>
  <c r="V10" i="19"/>
  <c r="W10" i="19"/>
  <c r="X10" i="19"/>
  <c r="Y10" i="19"/>
  <c r="Z10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P11" i="19"/>
  <c r="Q11" i="19"/>
  <c r="R11" i="19"/>
  <c r="S11" i="19"/>
  <c r="T11" i="19"/>
  <c r="U11" i="19"/>
  <c r="V11" i="19"/>
  <c r="W11" i="19"/>
  <c r="X11" i="19"/>
  <c r="Y11" i="19"/>
  <c r="Z11" i="19"/>
  <c r="D12" i="19"/>
  <c r="E12" i="19"/>
  <c r="F12" i="19"/>
  <c r="G12" i="19"/>
  <c r="H12" i="19"/>
  <c r="I12" i="19"/>
  <c r="J12" i="19"/>
  <c r="K12" i="19"/>
  <c r="L12" i="19"/>
  <c r="M12" i="19"/>
  <c r="N12" i="19"/>
  <c r="O12" i="19"/>
  <c r="P12" i="19"/>
  <c r="Q12" i="19"/>
  <c r="R12" i="19"/>
  <c r="S12" i="19"/>
  <c r="T12" i="19"/>
  <c r="U12" i="19"/>
  <c r="V12" i="19"/>
  <c r="W12" i="19"/>
  <c r="X12" i="19"/>
  <c r="Y12" i="19"/>
  <c r="Z12" i="19"/>
  <c r="D13" i="19"/>
  <c r="E13" i="19"/>
  <c r="F13" i="19"/>
  <c r="G13" i="19"/>
  <c r="H13" i="19"/>
  <c r="I13" i="19"/>
  <c r="J13" i="19"/>
  <c r="K13" i="19"/>
  <c r="L13" i="19"/>
  <c r="M13" i="19"/>
  <c r="N13" i="19"/>
  <c r="O13" i="19"/>
  <c r="P13" i="19"/>
  <c r="Q13" i="19"/>
  <c r="R13" i="19"/>
  <c r="S13" i="19"/>
  <c r="T13" i="19"/>
  <c r="U13" i="19"/>
  <c r="V13" i="19"/>
  <c r="W13" i="19"/>
  <c r="X13" i="19"/>
  <c r="Y13" i="19"/>
  <c r="Z13" i="19"/>
  <c r="D14" i="19"/>
  <c r="E14" i="19"/>
  <c r="F14" i="19"/>
  <c r="G14" i="19"/>
  <c r="H14" i="19"/>
  <c r="I14" i="19"/>
  <c r="J14" i="19"/>
  <c r="K14" i="19"/>
  <c r="L14" i="19"/>
  <c r="M14" i="19"/>
  <c r="N14" i="19"/>
  <c r="O14" i="19"/>
  <c r="P14" i="19"/>
  <c r="Q14" i="19"/>
  <c r="R14" i="19"/>
  <c r="S14" i="19"/>
  <c r="T14" i="19"/>
  <c r="U14" i="19"/>
  <c r="V14" i="19"/>
  <c r="W14" i="19"/>
  <c r="X14" i="19"/>
  <c r="Y14" i="19"/>
  <c r="Z14" i="19"/>
  <c r="D15" i="19"/>
  <c r="E15" i="19"/>
  <c r="F15" i="19"/>
  <c r="G15" i="19"/>
  <c r="H15" i="19"/>
  <c r="I15" i="19"/>
  <c r="J15" i="19"/>
  <c r="K15" i="19"/>
  <c r="L15" i="19"/>
  <c r="M15" i="19"/>
  <c r="N15" i="19"/>
  <c r="O15" i="19"/>
  <c r="P15" i="19"/>
  <c r="Q15" i="19"/>
  <c r="R15" i="19"/>
  <c r="S15" i="19"/>
  <c r="T15" i="19"/>
  <c r="U15" i="19"/>
  <c r="V15" i="19"/>
  <c r="W15" i="19"/>
  <c r="X15" i="19"/>
  <c r="Y15" i="19"/>
  <c r="Z15" i="19"/>
  <c r="D16" i="19"/>
  <c r="E16" i="19"/>
  <c r="F16" i="19"/>
  <c r="G16" i="19"/>
  <c r="H16" i="19"/>
  <c r="I16" i="19"/>
  <c r="J16" i="19"/>
  <c r="K16" i="19"/>
  <c r="L16" i="19"/>
  <c r="M16" i="19"/>
  <c r="N16" i="19"/>
  <c r="O16" i="19"/>
  <c r="P16" i="19"/>
  <c r="Q16" i="19"/>
  <c r="R16" i="19"/>
  <c r="S16" i="19"/>
  <c r="T16" i="19"/>
  <c r="U16" i="19"/>
  <c r="V16" i="19"/>
  <c r="W16" i="19"/>
  <c r="X16" i="19"/>
  <c r="Y16" i="19"/>
  <c r="Z16" i="19"/>
  <c r="D17" i="19"/>
  <c r="E17" i="19"/>
  <c r="F17" i="19"/>
  <c r="G17" i="19"/>
  <c r="H17" i="19"/>
  <c r="I17" i="19"/>
  <c r="J17" i="19"/>
  <c r="K17" i="19"/>
  <c r="L17" i="19"/>
  <c r="M17" i="19"/>
  <c r="N17" i="19"/>
  <c r="O17" i="19"/>
  <c r="P17" i="19"/>
  <c r="Q17" i="19"/>
  <c r="R17" i="19"/>
  <c r="S17" i="19"/>
  <c r="T17" i="19"/>
  <c r="U17" i="19"/>
  <c r="V17" i="19"/>
  <c r="W17" i="19"/>
  <c r="X17" i="19"/>
  <c r="Y17" i="19"/>
  <c r="Z17" i="19"/>
  <c r="D18" i="19"/>
  <c r="E18" i="19"/>
  <c r="F18" i="19"/>
  <c r="G18" i="19"/>
  <c r="H18" i="19"/>
  <c r="I18" i="19"/>
  <c r="J18" i="19"/>
  <c r="K18" i="19"/>
  <c r="L18" i="19"/>
  <c r="M18" i="19"/>
  <c r="N18" i="19"/>
  <c r="O18" i="19"/>
  <c r="P18" i="19"/>
  <c r="Q18" i="19"/>
  <c r="R18" i="19"/>
  <c r="S18" i="19"/>
  <c r="T18" i="19"/>
  <c r="U18" i="19"/>
  <c r="V18" i="19"/>
  <c r="W18" i="19"/>
  <c r="X18" i="19"/>
  <c r="Y18" i="19"/>
  <c r="Z18" i="19"/>
  <c r="D19" i="19"/>
  <c r="E19" i="19"/>
  <c r="F19" i="19"/>
  <c r="G19" i="19"/>
  <c r="H19" i="19"/>
  <c r="I19" i="19"/>
  <c r="J19" i="19"/>
  <c r="K19" i="19"/>
  <c r="L19" i="19"/>
  <c r="M19" i="19"/>
  <c r="N19" i="19"/>
  <c r="O19" i="19"/>
  <c r="P19" i="19"/>
  <c r="Q19" i="19"/>
  <c r="R19" i="19"/>
  <c r="S19" i="19"/>
  <c r="T19" i="19"/>
  <c r="U19" i="19"/>
  <c r="V19" i="19"/>
  <c r="W19" i="19"/>
  <c r="X19" i="19"/>
  <c r="Y19" i="19"/>
  <c r="Z19" i="19"/>
  <c r="D20" i="19"/>
  <c r="E20" i="19"/>
  <c r="F20" i="19"/>
  <c r="G20" i="19"/>
  <c r="H20" i="19"/>
  <c r="I20" i="19"/>
  <c r="J20" i="19"/>
  <c r="K20" i="19"/>
  <c r="L20" i="19"/>
  <c r="M20" i="19"/>
  <c r="N20" i="19"/>
  <c r="O20" i="19"/>
  <c r="P20" i="19"/>
  <c r="Q20" i="19"/>
  <c r="R20" i="19"/>
  <c r="S20" i="19"/>
  <c r="T20" i="19"/>
  <c r="U20" i="19"/>
  <c r="V20" i="19"/>
  <c r="W20" i="19"/>
  <c r="X20" i="19"/>
  <c r="Y20" i="19"/>
  <c r="Z20" i="19"/>
  <c r="D21" i="19"/>
  <c r="E21" i="19"/>
  <c r="F21" i="19"/>
  <c r="G21" i="19"/>
  <c r="H21" i="19"/>
  <c r="I21" i="19"/>
  <c r="J21" i="19"/>
  <c r="K21" i="19"/>
  <c r="L21" i="19"/>
  <c r="M21" i="19"/>
  <c r="N21" i="19"/>
  <c r="O21" i="19"/>
  <c r="P21" i="19"/>
  <c r="Q21" i="19"/>
  <c r="R21" i="19"/>
  <c r="S21" i="19"/>
  <c r="T21" i="19"/>
  <c r="U21" i="19"/>
  <c r="V21" i="19"/>
  <c r="W21" i="19"/>
  <c r="X21" i="19"/>
  <c r="Y21" i="19"/>
  <c r="Z21" i="19"/>
  <c r="D22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W22" i="19"/>
  <c r="X22" i="19"/>
  <c r="Y22" i="19"/>
  <c r="Z22" i="19"/>
  <c r="D23" i="19"/>
  <c r="E23" i="19"/>
  <c r="F23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D24" i="19"/>
  <c r="E24" i="19"/>
  <c r="F24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D25" i="19"/>
  <c r="E25" i="19"/>
  <c r="F25" i="19"/>
  <c r="G25" i="19"/>
  <c r="H25" i="19"/>
  <c r="I25" i="19"/>
  <c r="J25" i="19"/>
  <c r="K25" i="19"/>
  <c r="L25" i="19"/>
  <c r="M25" i="19"/>
  <c r="N25" i="19"/>
  <c r="O25" i="19"/>
  <c r="P25" i="19"/>
  <c r="Q25" i="19"/>
  <c r="R25" i="19"/>
  <c r="S25" i="19"/>
  <c r="T25" i="19"/>
  <c r="U25" i="19"/>
  <c r="V25" i="19"/>
  <c r="W25" i="19"/>
  <c r="X25" i="19"/>
  <c r="Y25" i="19"/>
  <c r="Z25" i="19"/>
  <c r="D26" i="19"/>
  <c r="E26" i="19"/>
  <c r="F26" i="19"/>
  <c r="G26" i="19"/>
  <c r="H26" i="19"/>
  <c r="I26" i="19"/>
  <c r="J26" i="19"/>
  <c r="K26" i="19"/>
  <c r="L26" i="19"/>
  <c r="M26" i="19"/>
  <c r="N26" i="19"/>
  <c r="O26" i="19"/>
  <c r="P26" i="19"/>
  <c r="Q26" i="19"/>
  <c r="R26" i="19"/>
  <c r="S26" i="19"/>
  <c r="T26" i="19"/>
  <c r="U26" i="19"/>
  <c r="V26" i="19"/>
  <c r="W26" i="19"/>
  <c r="X26" i="19"/>
  <c r="Y26" i="19"/>
  <c r="Z26" i="19"/>
  <c r="D27" i="19"/>
  <c r="E27" i="19"/>
  <c r="F27" i="19"/>
  <c r="G27" i="19"/>
  <c r="H27" i="19"/>
  <c r="I27" i="19"/>
  <c r="J27" i="19"/>
  <c r="K27" i="19"/>
  <c r="L27" i="19"/>
  <c r="M27" i="19"/>
  <c r="N27" i="19"/>
  <c r="O27" i="19"/>
  <c r="P27" i="19"/>
  <c r="Q27" i="19"/>
  <c r="R27" i="19"/>
  <c r="S27" i="19"/>
  <c r="T27" i="19"/>
  <c r="U27" i="19"/>
  <c r="V27" i="19"/>
  <c r="W27" i="19"/>
  <c r="X27" i="19"/>
  <c r="Y27" i="19"/>
  <c r="Z27" i="19"/>
  <c r="D28" i="19"/>
  <c r="E28" i="19"/>
  <c r="F28" i="19"/>
  <c r="G28" i="19"/>
  <c r="H28" i="19"/>
  <c r="I28" i="19"/>
  <c r="J28" i="19"/>
  <c r="K28" i="19"/>
  <c r="L28" i="19"/>
  <c r="M28" i="19"/>
  <c r="N28" i="19"/>
  <c r="O28" i="19"/>
  <c r="P28" i="19"/>
  <c r="Q28" i="19"/>
  <c r="R28" i="19"/>
  <c r="S28" i="19"/>
  <c r="T28" i="19"/>
  <c r="U28" i="19"/>
  <c r="V28" i="19"/>
  <c r="W28" i="19"/>
  <c r="X28" i="19"/>
  <c r="Y28" i="19"/>
  <c r="Z28" i="19"/>
  <c r="D29" i="19"/>
  <c r="E29" i="19"/>
  <c r="F29" i="19"/>
  <c r="G29" i="19"/>
  <c r="H29" i="19"/>
  <c r="I29" i="19"/>
  <c r="J29" i="19"/>
  <c r="K29" i="19"/>
  <c r="L29" i="19"/>
  <c r="M29" i="19"/>
  <c r="N29" i="19"/>
  <c r="O29" i="19"/>
  <c r="P29" i="19"/>
  <c r="Q29" i="19"/>
  <c r="R29" i="19"/>
  <c r="S29" i="19"/>
  <c r="T29" i="19"/>
  <c r="U29" i="19"/>
  <c r="V29" i="19"/>
  <c r="W29" i="19"/>
  <c r="X29" i="19"/>
  <c r="Y29" i="19"/>
  <c r="Z29" i="19"/>
  <c r="D30" i="19"/>
  <c r="E30" i="19"/>
  <c r="F30" i="19"/>
  <c r="G30" i="19"/>
  <c r="H30" i="19"/>
  <c r="I30" i="19"/>
  <c r="J30" i="19"/>
  <c r="K30" i="19"/>
  <c r="L30" i="19"/>
  <c r="M30" i="19"/>
  <c r="N30" i="19"/>
  <c r="O30" i="19"/>
  <c r="P30" i="19"/>
  <c r="Q30" i="19"/>
  <c r="R30" i="19"/>
  <c r="S30" i="19"/>
  <c r="T30" i="19"/>
  <c r="U30" i="19"/>
  <c r="V30" i="19"/>
  <c r="W30" i="19"/>
  <c r="X30" i="19"/>
  <c r="Y30" i="19"/>
  <c r="Z30" i="19"/>
  <c r="D31" i="19"/>
  <c r="E31" i="19"/>
  <c r="F31" i="19"/>
  <c r="G31" i="19"/>
  <c r="H31" i="19"/>
  <c r="I31" i="19"/>
  <c r="J31" i="19"/>
  <c r="K31" i="19"/>
  <c r="L31" i="19"/>
  <c r="M31" i="19"/>
  <c r="N31" i="19"/>
  <c r="O31" i="19"/>
  <c r="P31" i="19"/>
  <c r="Q31" i="19"/>
  <c r="R31" i="19"/>
  <c r="S31" i="19"/>
  <c r="T31" i="19"/>
  <c r="U31" i="19"/>
  <c r="V31" i="19"/>
  <c r="W31" i="19"/>
  <c r="X31" i="19"/>
  <c r="Y31" i="19"/>
  <c r="Z31" i="19"/>
  <c r="D32" i="19"/>
  <c r="E32" i="19"/>
  <c r="F32" i="19"/>
  <c r="G32" i="19"/>
  <c r="H32" i="19"/>
  <c r="I32" i="19"/>
  <c r="J32" i="19"/>
  <c r="K32" i="19"/>
  <c r="L32" i="19"/>
  <c r="M32" i="19"/>
  <c r="N32" i="19"/>
  <c r="O32" i="19"/>
  <c r="P32" i="19"/>
  <c r="Q32" i="19"/>
  <c r="R32" i="19"/>
  <c r="S32" i="19"/>
  <c r="T32" i="19"/>
  <c r="U32" i="19"/>
  <c r="V32" i="19"/>
  <c r="W32" i="19"/>
  <c r="X32" i="19"/>
  <c r="Y32" i="19"/>
  <c r="Z32" i="19"/>
  <c r="D33" i="19"/>
  <c r="E33" i="19"/>
  <c r="F33" i="19"/>
  <c r="G33" i="19"/>
  <c r="H33" i="19"/>
  <c r="I33" i="19"/>
  <c r="J33" i="19"/>
  <c r="K33" i="19"/>
  <c r="L33" i="19"/>
  <c r="M33" i="19"/>
  <c r="N33" i="19"/>
  <c r="O33" i="19"/>
  <c r="P33" i="19"/>
  <c r="Q33" i="19"/>
  <c r="R33" i="19"/>
  <c r="S33" i="19"/>
  <c r="T33" i="19"/>
  <c r="U33" i="19"/>
  <c r="V33" i="19"/>
  <c r="W33" i="19"/>
  <c r="X33" i="19"/>
  <c r="Y33" i="19"/>
  <c r="Z33" i="19"/>
  <c r="D34" i="19"/>
  <c r="E34" i="19"/>
  <c r="F34" i="19"/>
  <c r="G34" i="19"/>
  <c r="H34" i="19"/>
  <c r="I34" i="19"/>
  <c r="J34" i="19"/>
  <c r="K34" i="19"/>
  <c r="L34" i="19"/>
  <c r="M34" i="19"/>
  <c r="N34" i="19"/>
  <c r="O34" i="19"/>
  <c r="P34" i="19"/>
  <c r="Q34" i="19"/>
  <c r="R34" i="19"/>
  <c r="S34" i="19"/>
  <c r="T34" i="19"/>
  <c r="U34" i="19"/>
  <c r="V34" i="19"/>
  <c r="W34" i="19"/>
  <c r="X34" i="19"/>
  <c r="Y34" i="19"/>
  <c r="Z34" i="19"/>
  <c r="D35" i="19"/>
  <c r="E35" i="19"/>
  <c r="F35" i="19"/>
  <c r="G35" i="19"/>
  <c r="H35" i="19"/>
  <c r="I35" i="19"/>
  <c r="J35" i="19"/>
  <c r="K35" i="19"/>
  <c r="L35" i="19"/>
  <c r="M35" i="19"/>
  <c r="N35" i="19"/>
  <c r="O35" i="19"/>
  <c r="P35" i="19"/>
  <c r="Q35" i="19"/>
  <c r="R35" i="19"/>
  <c r="S35" i="19"/>
  <c r="T35" i="19"/>
  <c r="U35" i="19"/>
  <c r="V35" i="19"/>
  <c r="W35" i="19"/>
  <c r="X35" i="19"/>
  <c r="Y35" i="19"/>
  <c r="Z35" i="19"/>
  <c r="D36" i="19"/>
  <c r="E36" i="19"/>
  <c r="F36" i="19"/>
  <c r="G36" i="19"/>
  <c r="H36" i="19"/>
  <c r="I36" i="19"/>
  <c r="J36" i="19"/>
  <c r="K36" i="19"/>
  <c r="L36" i="19"/>
  <c r="M36" i="19"/>
  <c r="N36" i="19"/>
  <c r="O36" i="19"/>
  <c r="P36" i="19"/>
  <c r="Q36" i="19"/>
  <c r="R36" i="19"/>
  <c r="S36" i="19"/>
  <c r="T36" i="19"/>
  <c r="U36" i="19"/>
  <c r="V36" i="19"/>
  <c r="W36" i="19"/>
  <c r="X36" i="19"/>
  <c r="Y36" i="19"/>
  <c r="Z36" i="19"/>
  <c r="D37" i="19"/>
  <c r="E37" i="19"/>
  <c r="F37" i="19"/>
  <c r="G37" i="19"/>
  <c r="H37" i="19"/>
  <c r="I37" i="19"/>
  <c r="J37" i="19"/>
  <c r="K37" i="19"/>
  <c r="L37" i="19"/>
  <c r="M37" i="19"/>
  <c r="N37" i="19"/>
  <c r="O37" i="19"/>
  <c r="P37" i="19"/>
  <c r="Q37" i="19"/>
  <c r="R37" i="19"/>
  <c r="S37" i="19"/>
  <c r="T37" i="19"/>
  <c r="U37" i="19"/>
  <c r="V37" i="19"/>
  <c r="W37" i="19"/>
  <c r="X37" i="19"/>
  <c r="Y37" i="19"/>
  <c r="Z37" i="19"/>
  <c r="D38" i="19"/>
  <c r="E38" i="19"/>
  <c r="F38" i="19"/>
  <c r="G38" i="19"/>
  <c r="H38" i="19"/>
  <c r="I38" i="19"/>
  <c r="J38" i="19"/>
  <c r="K38" i="19"/>
  <c r="L38" i="19"/>
  <c r="M38" i="19"/>
  <c r="N38" i="19"/>
  <c r="O38" i="19"/>
  <c r="P38" i="19"/>
  <c r="Q38" i="19"/>
  <c r="R38" i="19"/>
  <c r="S38" i="19"/>
  <c r="T38" i="19"/>
  <c r="U38" i="19"/>
  <c r="V38" i="19"/>
  <c r="W38" i="19"/>
  <c r="X38" i="19"/>
  <c r="Y38" i="19"/>
  <c r="Z38" i="19"/>
  <c r="D39" i="19"/>
  <c r="E39" i="19"/>
  <c r="F39" i="19"/>
  <c r="G39" i="19"/>
  <c r="H39" i="19"/>
  <c r="I39" i="19"/>
  <c r="J39" i="19"/>
  <c r="K39" i="19"/>
  <c r="L39" i="19"/>
  <c r="M39" i="19"/>
  <c r="N39" i="19"/>
  <c r="O39" i="19"/>
  <c r="P39" i="19"/>
  <c r="Q39" i="19"/>
  <c r="R39" i="19"/>
  <c r="S39" i="19"/>
  <c r="T39" i="19"/>
  <c r="U39" i="19"/>
  <c r="V39" i="19"/>
  <c r="W39" i="19"/>
  <c r="X39" i="19"/>
  <c r="Y39" i="19"/>
  <c r="Z39" i="19"/>
  <c r="D40" i="19"/>
  <c r="E40" i="19"/>
  <c r="F40" i="19"/>
  <c r="G40" i="19"/>
  <c r="H40" i="19"/>
  <c r="I40" i="19"/>
  <c r="J40" i="19"/>
  <c r="K40" i="19"/>
  <c r="L40" i="19"/>
  <c r="M40" i="19"/>
  <c r="N40" i="19"/>
  <c r="O40" i="19"/>
  <c r="P40" i="19"/>
  <c r="Q40" i="19"/>
  <c r="R40" i="19"/>
  <c r="S40" i="19"/>
  <c r="T40" i="19"/>
  <c r="U40" i="19"/>
  <c r="V40" i="19"/>
  <c r="W40" i="19"/>
  <c r="X40" i="19"/>
  <c r="Y40" i="19"/>
  <c r="Z40" i="19"/>
  <c r="D41" i="19"/>
  <c r="E41" i="19"/>
  <c r="F41" i="19"/>
  <c r="G41" i="19"/>
  <c r="H41" i="19"/>
  <c r="I41" i="19"/>
  <c r="J41" i="19"/>
  <c r="K41" i="19"/>
  <c r="L41" i="19"/>
  <c r="M41" i="19"/>
  <c r="N41" i="19"/>
  <c r="O41" i="19"/>
  <c r="P41" i="19"/>
  <c r="Q41" i="19"/>
  <c r="R41" i="19"/>
  <c r="S41" i="19"/>
  <c r="T41" i="19"/>
  <c r="U41" i="19"/>
  <c r="V41" i="19"/>
  <c r="W41" i="19"/>
  <c r="X41" i="19"/>
  <c r="Y41" i="19"/>
  <c r="Z41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6" i="19"/>
  <c r="C7" i="49"/>
  <c r="D7" i="49"/>
  <c r="E7" i="49"/>
  <c r="F7" i="49"/>
  <c r="G7" i="49"/>
  <c r="H7" i="49"/>
  <c r="I7" i="49"/>
  <c r="J7" i="49"/>
  <c r="K7" i="49"/>
  <c r="L7" i="49"/>
  <c r="M7" i="49"/>
  <c r="N7" i="49"/>
  <c r="O7" i="49"/>
  <c r="P7" i="49"/>
  <c r="Q7" i="49"/>
  <c r="R7" i="49"/>
  <c r="S7" i="49"/>
  <c r="T7" i="49"/>
  <c r="U7" i="49"/>
  <c r="V7" i="49"/>
  <c r="W7" i="49"/>
  <c r="X7" i="49"/>
  <c r="Y7" i="49"/>
  <c r="Z7" i="49"/>
  <c r="C8" i="49"/>
  <c r="D8" i="49"/>
  <c r="E8" i="49"/>
  <c r="F8" i="49"/>
  <c r="G8" i="49"/>
  <c r="H8" i="49"/>
  <c r="I8" i="49"/>
  <c r="J8" i="49"/>
  <c r="K8" i="49"/>
  <c r="L8" i="49"/>
  <c r="M8" i="49"/>
  <c r="N8" i="49"/>
  <c r="O8" i="49"/>
  <c r="P8" i="49"/>
  <c r="Q8" i="49"/>
  <c r="R8" i="49"/>
  <c r="S8" i="49"/>
  <c r="T8" i="49"/>
  <c r="U8" i="49"/>
  <c r="V8" i="49"/>
  <c r="W8" i="49"/>
  <c r="X8" i="49"/>
  <c r="Y8" i="49"/>
  <c r="Z8" i="49"/>
  <c r="C9" i="49"/>
  <c r="D9" i="49"/>
  <c r="E9" i="49"/>
  <c r="F9" i="49"/>
  <c r="G9" i="49"/>
  <c r="H9" i="49"/>
  <c r="I9" i="49"/>
  <c r="J9" i="49"/>
  <c r="K9" i="49"/>
  <c r="L9" i="49"/>
  <c r="M9" i="49"/>
  <c r="N9" i="49"/>
  <c r="O9" i="49"/>
  <c r="P9" i="49"/>
  <c r="Q9" i="49"/>
  <c r="R9" i="49"/>
  <c r="S9" i="49"/>
  <c r="T9" i="49"/>
  <c r="U9" i="49"/>
  <c r="V9" i="49"/>
  <c r="W9" i="49"/>
  <c r="X9" i="49"/>
  <c r="Y9" i="49"/>
  <c r="Z9" i="49"/>
  <c r="C10" i="49"/>
  <c r="D10" i="49"/>
  <c r="E10" i="49"/>
  <c r="F10" i="49"/>
  <c r="G10" i="49"/>
  <c r="H10" i="49"/>
  <c r="I10" i="49"/>
  <c r="J10" i="49"/>
  <c r="K10" i="49"/>
  <c r="L10" i="49"/>
  <c r="M10" i="49"/>
  <c r="N10" i="49"/>
  <c r="O10" i="49"/>
  <c r="P10" i="49"/>
  <c r="Q10" i="49"/>
  <c r="R10" i="49"/>
  <c r="S10" i="49"/>
  <c r="T10" i="49"/>
  <c r="U10" i="49"/>
  <c r="V10" i="49"/>
  <c r="W10" i="49"/>
  <c r="X10" i="49"/>
  <c r="Y10" i="49"/>
  <c r="Z10" i="49"/>
  <c r="C11" i="49"/>
  <c r="D11" i="49"/>
  <c r="E11" i="49"/>
  <c r="F11" i="49"/>
  <c r="G11" i="49"/>
  <c r="H11" i="49"/>
  <c r="I11" i="49"/>
  <c r="J11" i="49"/>
  <c r="K11" i="49"/>
  <c r="L11" i="49"/>
  <c r="M11" i="49"/>
  <c r="N11" i="49"/>
  <c r="O11" i="49"/>
  <c r="P11" i="49"/>
  <c r="Q11" i="49"/>
  <c r="R11" i="49"/>
  <c r="S11" i="49"/>
  <c r="T11" i="49"/>
  <c r="U11" i="49"/>
  <c r="V11" i="49"/>
  <c r="W11" i="49"/>
  <c r="X11" i="49"/>
  <c r="Y11" i="49"/>
  <c r="Z11" i="49"/>
  <c r="C12" i="49"/>
  <c r="D12" i="49"/>
  <c r="E12" i="49"/>
  <c r="F12" i="49"/>
  <c r="G12" i="49"/>
  <c r="H12" i="49"/>
  <c r="I12" i="49"/>
  <c r="J12" i="49"/>
  <c r="K12" i="49"/>
  <c r="L12" i="49"/>
  <c r="M12" i="49"/>
  <c r="N12" i="49"/>
  <c r="O12" i="49"/>
  <c r="P12" i="49"/>
  <c r="Q12" i="49"/>
  <c r="R12" i="49"/>
  <c r="S12" i="49"/>
  <c r="T12" i="49"/>
  <c r="U12" i="49"/>
  <c r="V12" i="49"/>
  <c r="W12" i="49"/>
  <c r="X12" i="49"/>
  <c r="Y12" i="49"/>
  <c r="Z12" i="49"/>
  <c r="C13" i="49"/>
  <c r="D13" i="49"/>
  <c r="E13" i="49"/>
  <c r="F13" i="49"/>
  <c r="G13" i="49"/>
  <c r="H13" i="49"/>
  <c r="I13" i="49"/>
  <c r="J13" i="49"/>
  <c r="K13" i="49"/>
  <c r="L13" i="49"/>
  <c r="M13" i="49"/>
  <c r="N13" i="49"/>
  <c r="O13" i="49"/>
  <c r="P13" i="49"/>
  <c r="Q13" i="49"/>
  <c r="R13" i="49"/>
  <c r="S13" i="49"/>
  <c r="T13" i="49"/>
  <c r="U13" i="49"/>
  <c r="V13" i="49"/>
  <c r="W13" i="49"/>
  <c r="X13" i="49"/>
  <c r="Y13" i="49"/>
  <c r="Z13" i="49"/>
  <c r="C14" i="49"/>
  <c r="D14" i="49"/>
  <c r="E14" i="49"/>
  <c r="F14" i="49"/>
  <c r="G14" i="49"/>
  <c r="H14" i="49"/>
  <c r="I14" i="49"/>
  <c r="J14" i="49"/>
  <c r="K14" i="49"/>
  <c r="L14" i="49"/>
  <c r="M14" i="49"/>
  <c r="N14" i="49"/>
  <c r="O14" i="49"/>
  <c r="P14" i="49"/>
  <c r="Q14" i="49"/>
  <c r="R14" i="49"/>
  <c r="S14" i="49"/>
  <c r="T14" i="49"/>
  <c r="U14" i="49"/>
  <c r="V14" i="49"/>
  <c r="W14" i="49"/>
  <c r="X14" i="49"/>
  <c r="Y14" i="49"/>
  <c r="Z14" i="49"/>
  <c r="C15" i="49"/>
  <c r="D15" i="49"/>
  <c r="E15" i="49"/>
  <c r="F15" i="49"/>
  <c r="G15" i="49"/>
  <c r="H15" i="49"/>
  <c r="I15" i="49"/>
  <c r="J15" i="49"/>
  <c r="K15" i="49"/>
  <c r="L15" i="49"/>
  <c r="M15" i="49"/>
  <c r="N15" i="49"/>
  <c r="O15" i="49"/>
  <c r="P15" i="49"/>
  <c r="Q15" i="49"/>
  <c r="R15" i="49"/>
  <c r="S15" i="49"/>
  <c r="T15" i="49"/>
  <c r="U15" i="49"/>
  <c r="V15" i="49"/>
  <c r="W15" i="49"/>
  <c r="X15" i="49"/>
  <c r="Y15" i="49"/>
  <c r="Z15" i="49"/>
  <c r="C16" i="49"/>
  <c r="D16" i="49"/>
  <c r="E16" i="49"/>
  <c r="F16" i="49"/>
  <c r="G16" i="49"/>
  <c r="H16" i="49"/>
  <c r="I16" i="49"/>
  <c r="J16" i="49"/>
  <c r="K16" i="49"/>
  <c r="L16" i="49"/>
  <c r="M16" i="49"/>
  <c r="N16" i="49"/>
  <c r="O16" i="49"/>
  <c r="P16" i="49"/>
  <c r="Q16" i="49"/>
  <c r="R16" i="49"/>
  <c r="S16" i="49"/>
  <c r="T16" i="49"/>
  <c r="U16" i="49"/>
  <c r="V16" i="49"/>
  <c r="W16" i="49"/>
  <c r="X16" i="49"/>
  <c r="Y16" i="49"/>
  <c r="Z16" i="49"/>
  <c r="C17" i="49"/>
  <c r="D17" i="49"/>
  <c r="E17" i="49"/>
  <c r="F17" i="49"/>
  <c r="G17" i="49"/>
  <c r="H17" i="49"/>
  <c r="I17" i="49"/>
  <c r="J17" i="49"/>
  <c r="K17" i="49"/>
  <c r="L17" i="49"/>
  <c r="M17" i="49"/>
  <c r="N17" i="49"/>
  <c r="O17" i="49"/>
  <c r="P17" i="49"/>
  <c r="Q17" i="49"/>
  <c r="R17" i="49"/>
  <c r="S17" i="49"/>
  <c r="T17" i="49"/>
  <c r="U17" i="49"/>
  <c r="V17" i="49"/>
  <c r="W17" i="49"/>
  <c r="X17" i="49"/>
  <c r="Y17" i="49"/>
  <c r="Z17" i="49"/>
  <c r="C18" i="49"/>
  <c r="D18" i="49"/>
  <c r="E18" i="49"/>
  <c r="F18" i="49"/>
  <c r="G18" i="49"/>
  <c r="H18" i="49"/>
  <c r="I18" i="49"/>
  <c r="J18" i="49"/>
  <c r="K18" i="49"/>
  <c r="L18" i="49"/>
  <c r="M18" i="49"/>
  <c r="N18" i="49"/>
  <c r="O18" i="49"/>
  <c r="P18" i="49"/>
  <c r="Q18" i="49"/>
  <c r="R18" i="49"/>
  <c r="S18" i="49"/>
  <c r="T18" i="49"/>
  <c r="U18" i="49"/>
  <c r="V18" i="49"/>
  <c r="W18" i="49"/>
  <c r="X18" i="49"/>
  <c r="Y18" i="49"/>
  <c r="Z18" i="49"/>
  <c r="C19" i="49"/>
  <c r="D19" i="49"/>
  <c r="E19" i="49"/>
  <c r="F19" i="49"/>
  <c r="G19" i="49"/>
  <c r="H19" i="49"/>
  <c r="I19" i="49"/>
  <c r="J19" i="49"/>
  <c r="K19" i="49"/>
  <c r="L19" i="49"/>
  <c r="M19" i="49"/>
  <c r="N19" i="49"/>
  <c r="O19" i="49"/>
  <c r="P19" i="49"/>
  <c r="Q19" i="49"/>
  <c r="R19" i="49"/>
  <c r="S19" i="49"/>
  <c r="T19" i="49"/>
  <c r="U19" i="49"/>
  <c r="V19" i="49"/>
  <c r="W19" i="49"/>
  <c r="X19" i="49"/>
  <c r="Y19" i="49"/>
  <c r="Z19" i="49"/>
  <c r="C20" i="49"/>
  <c r="D20" i="49"/>
  <c r="E20" i="49"/>
  <c r="F20" i="49"/>
  <c r="G20" i="49"/>
  <c r="H20" i="49"/>
  <c r="I20" i="49"/>
  <c r="J20" i="49"/>
  <c r="K20" i="49"/>
  <c r="L20" i="49"/>
  <c r="M20" i="49"/>
  <c r="N20" i="49"/>
  <c r="O20" i="49"/>
  <c r="P20" i="49"/>
  <c r="Q20" i="49"/>
  <c r="R20" i="49"/>
  <c r="S20" i="49"/>
  <c r="T20" i="49"/>
  <c r="U20" i="49"/>
  <c r="V20" i="49"/>
  <c r="W20" i="49"/>
  <c r="X20" i="49"/>
  <c r="Y20" i="49"/>
  <c r="Z20" i="49"/>
  <c r="C21" i="49"/>
  <c r="D21" i="49"/>
  <c r="E21" i="49"/>
  <c r="F21" i="49"/>
  <c r="G21" i="49"/>
  <c r="H21" i="49"/>
  <c r="I21" i="49"/>
  <c r="J21" i="49"/>
  <c r="K21" i="49"/>
  <c r="L21" i="49"/>
  <c r="M21" i="49"/>
  <c r="N21" i="49"/>
  <c r="O21" i="49"/>
  <c r="P21" i="49"/>
  <c r="Q21" i="49"/>
  <c r="R21" i="49"/>
  <c r="S21" i="49"/>
  <c r="T21" i="49"/>
  <c r="U21" i="49"/>
  <c r="V21" i="49"/>
  <c r="W21" i="49"/>
  <c r="X21" i="49"/>
  <c r="Y21" i="49"/>
  <c r="Z21" i="49"/>
  <c r="C22" i="49"/>
  <c r="D22" i="49"/>
  <c r="E22" i="49"/>
  <c r="F22" i="49"/>
  <c r="G22" i="49"/>
  <c r="H22" i="49"/>
  <c r="I22" i="49"/>
  <c r="J22" i="49"/>
  <c r="K22" i="49"/>
  <c r="L22" i="49"/>
  <c r="M22" i="49"/>
  <c r="N22" i="49"/>
  <c r="O22" i="49"/>
  <c r="P22" i="49"/>
  <c r="Q22" i="49"/>
  <c r="R22" i="49"/>
  <c r="S22" i="49"/>
  <c r="T22" i="49"/>
  <c r="U22" i="49"/>
  <c r="V22" i="49"/>
  <c r="W22" i="49"/>
  <c r="X22" i="49"/>
  <c r="Y22" i="49"/>
  <c r="Z22" i="49"/>
  <c r="C23" i="49"/>
  <c r="D23" i="49"/>
  <c r="E23" i="49"/>
  <c r="F23" i="49"/>
  <c r="G23" i="49"/>
  <c r="H23" i="49"/>
  <c r="I23" i="49"/>
  <c r="J23" i="49"/>
  <c r="K23" i="49"/>
  <c r="L23" i="49"/>
  <c r="M23" i="49"/>
  <c r="N23" i="49"/>
  <c r="O23" i="49"/>
  <c r="P23" i="49"/>
  <c r="Q23" i="49"/>
  <c r="R23" i="49"/>
  <c r="S23" i="49"/>
  <c r="T23" i="49"/>
  <c r="U23" i="49"/>
  <c r="V23" i="49"/>
  <c r="W23" i="49"/>
  <c r="X23" i="49"/>
  <c r="Y23" i="49"/>
  <c r="Z23" i="49"/>
  <c r="C24" i="49"/>
  <c r="D24" i="49"/>
  <c r="E24" i="49"/>
  <c r="F24" i="49"/>
  <c r="G24" i="49"/>
  <c r="H24" i="49"/>
  <c r="I24" i="49"/>
  <c r="J24" i="49"/>
  <c r="K24" i="49"/>
  <c r="L24" i="49"/>
  <c r="M24" i="49"/>
  <c r="N24" i="49"/>
  <c r="O24" i="49"/>
  <c r="P24" i="49"/>
  <c r="Q24" i="49"/>
  <c r="R24" i="49"/>
  <c r="S24" i="49"/>
  <c r="T24" i="49"/>
  <c r="U24" i="49"/>
  <c r="V24" i="49"/>
  <c r="W24" i="49"/>
  <c r="X24" i="49"/>
  <c r="Y24" i="49"/>
  <c r="Z24" i="49"/>
  <c r="C25" i="49"/>
  <c r="D25" i="49"/>
  <c r="E25" i="49"/>
  <c r="F25" i="49"/>
  <c r="G25" i="49"/>
  <c r="H25" i="49"/>
  <c r="I25" i="49"/>
  <c r="J25" i="49"/>
  <c r="K25" i="49"/>
  <c r="L25" i="49"/>
  <c r="M25" i="49"/>
  <c r="N25" i="49"/>
  <c r="O25" i="49"/>
  <c r="P25" i="49"/>
  <c r="Q25" i="49"/>
  <c r="R25" i="49"/>
  <c r="S25" i="49"/>
  <c r="T25" i="49"/>
  <c r="U25" i="49"/>
  <c r="V25" i="49"/>
  <c r="W25" i="49"/>
  <c r="X25" i="49"/>
  <c r="Y25" i="49"/>
  <c r="Z25" i="49"/>
  <c r="C26" i="49"/>
  <c r="D26" i="49"/>
  <c r="E26" i="49"/>
  <c r="F26" i="49"/>
  <c r="G26" i="49"/>
  <c r="H26" i="49"/>
  <c r="I26" i="49"/>
  <c r="J26" i="49"/>
  <c r="K26" i="49"/>
  <c r="L26" i="49"/>
  <c r="M26" i="49"/>
  <c r="N26" i="49"/>
  <c r="O26" i="49"/>
  <c r="P26" i="49"/>
  <c r="Q26" i="49"/>
  <c r="R26" i="49"/>
  <c r="S26" i="49"/>
  <c r="T26" i="49"/>
  <c r="U26" i="49"/>
  <c r="V26" i="49"/>
  <c r="W26" i="49"/>
  <c r="X26" i="49"/>
  <c r="Y26" i="49"/>
  <c r="Z26" i="49"/>
  <c r="C27" i="49"/>
  <c r="D27" i="49"/>
  <c r="E27" i="49"/>
  <c r="F27" i="49"/>
  <c r="G27" i="49"/>
  <c r="H27" i="49"/>
  <c r="I27" i="49"/>
  <c r="J27" i="49"/>
  <c r="K27" i="49"/>
  <c r="L27" i="49"/>
  <c r="M27" i="49"/>
  <c r="N27" i="49"/>
  <c r="O27" i="49"/>
  <c r="P27" i="49"/>
  <c r="Q27" i="49"/>
  <c r="R27" i="49"/>
  <c r="S27" i="49"/>
  <c r="T27" i="49"/>
  <c r="U27" i="49"/>
  <c r="V27" i="49"/>
  <c r="W27" i="49"/>
  <c r="X27" i="49"/>
  <c r="Y27" i="49"/>
  <c r="Z27" i="49"/>
  <c r="C28" i="49"/>
  <c r="D28" i="49"/>
  <c r="E28" i="49"/>
  <c r="F28" i="49"/>
  <c r="G28" i="49"/>
  <c r="H28" i="49"/>
  <c r="I28" i="49"/>
  <c r="J28" i="49"/>
  <c r="K28" i="49"/>
  <c r="L28" i="49"/>
  <c r="M28" i="49"/>
  <c r="N28" i="49"/>
  <c r="O28" i="49"/>
  <c r="P28" i="49"/>
  <c r="Q28" i="49"/>
  <c r="R28" i="49"/>
  <c r="S28" i="49"/>
  <c r="T28" i="49"/>
  <c r="U28" i="49"/>
  <c r="V28" i="49"/>
  <c r="W28" i="49"/>
  <c r="X28" i="49"/>
  <c r="Y28" i="49"/>
  <c r="Z28" i="49"/>
  <c r="C29" i="49"/>
  <c r="D29" i="49"/>
  <c r="E29" i="49"/>
  <c r="F29" i="49"/>
  <c r="G29" i="49"/>
  <c r="H29" i="49"/>
  <c r="I29" i="49"/>
  <c r="J29" i="49"/>
  <c r="K29" i="49"/>
  <c r="L29" i="49"/>
  <c r="M29" i="49"/>
  <c r="N29" i="49"/>
  <c r="O29" i="49"/>
  <c r="P29" i="49"/>
  <c r="Q29" i="49"/>
  <c r="R29" i="49"/>
  <c r="S29" i="49"/>
  <c r="T29" i="49"/>
  <c r="U29" i="49"/>
  <c r="V29" i="49"/>
  <c r="W29" i="49"/>
  <c r="X29" i="49"/>
  <c r="Y29" i="49"/>
  <c r="Z29" i="49"/>
  <c r="C30" i="49"/>
  <c r="D30" i="49"/>
  <c r="E30" i="49"/>
  <c r="F30" i="49"/>
  <c r="G30" i="49"/>
  <c r="H30" i="49"/>
  <c r="I30" i="49"/>
  <c r="J30" i="49"/>
  <c r="K30" i="49"/>
  <c r="L30" i="49"/>
  <c r="M30" i="49"/>
  <c r="N30" i="49"/>
  <c r="O30" i="49"/>
  <c r="P30" i="49"/>
  <c r="Q30" i="49"/>
  <c r="R30" i="49"/>
  <c r="S30" i="49"/>
  <c r="T30" i="49"/>
  <c r="U30" i="49"/>
  <c r="V30" i="49"/>
  <c r="W30" i="49"/>
  <c r="X30" i="49"/>
  <c r="Y30" i="49"/>
  <c r="Z30" i="49"/>
  <c r="C31" i="49"/>
  <c r="D31" i="49"/>
  <c r="E31" i="49"/>
  <c r="F31" i="49"/>
  <c r="G31" i="49"/>
  <c r="H31" i="49"/>
  <c r="I31" i="49"/>
  <c r="J31" i="49"/>
  <c r="K31" i="49"/>
  <c r="L31" i="49"/>
  <c r="M31" i="49"/>
  <c r="N31" i="49"/>
  <c r="O31" i="49"/>
  <c r="P31" i="49"/>
  <c r="Q31" i="49"/>
  <c r="R31" i="49"/>
  <c r="S31" i="49"/>
  <c r="T31" i="49"/>
  <c r="U31" i="49"/>
  <c r="V31" i="49"/>
  <c r="W31" i="49"/>
  <c r="X31" i="49"/>
  <c r="Y31" i="49"/>
  <c r="Z31" i="49"/>
  <c r="C32" i="49"/>
  <c r="D32" i="49"/>
  <c r="E32" i="49"/>
  <c r="F32" i="49"/>
  <c r="G32" i="49"/>
  <c r="H32" i="49"/>
  <c r="I32" i="49"/>
  <c r="J32" i="49"/>
  <c r="K32" i="49"/>
  <c r="L32" i="49"/>
  <c r="M32" i="49"/>
  <c r="N32" i="49"/>
  <c r="O32" i="49"/>
  <c r="P32" i="49"/>
  <c r="Q32" i="49"/>
  <c r="R32" i="49"/>
  <c r="S32" i="49"/>
  <c r="T32" i="49"/>
  <c r="U32" i="49"/>
  <c r="V32" i="49"/>
  <c r="W32" i="49"/>
  <c r="X32" i="49"/>
  <c r="Y32" i="49"/>
  <c r="Z32" i="49"/>
  <c r="C33" i="49"/>
  <c r="D33" i="49"/>
  <c r="E33" i="49"/>
  <c r="F33" i="49"/>
  <c r="G33" i="49"/>
  <c r="H33" i="49"/>
  <c r="I33" i="49"/>
  <c r="J33" i="49"/>
  <c r="K33" i="49"/>
  <c r="L33" i="49"/>
  <c r="M33" i="49"/>
  <c r="N33" i="49"/>
  <c r="O33" i="49"/>
  <c r="P33" i="49"/>
  <c r="Q33" i="49"/>
  <c r="R33" i="49"/>
  <c r="S33" i="49"/>
  <c r="T33" i="49"/>
  <c r="U33" i="49"/>
  <c r="V33" i="49"/>
  <c r="W33" i="49"/>
  <c r="X33" i="49"/>
  <c r="Y33" i="49"/>
  <c r="Z33" i="49"/>
  <c r="C34" i="49"/>
  <c r="D34" i="49"/>
  <c r="E34" i="49"/>
  <c r="F34" i="49"/>
  <c r="G34" i="49"/>
  <c r="H34" i="49"/>
  <c r="I34" i="49"/>
  <c r="J34" i="49"/>
  <c r="K34" i="49"/>
  <c r="L34" i="49"/>
  <c r="M34" i="49"/>
  <c r="N34" i="49"/>
  <c r="O34" i="49"/>
  <c r="P34" i="49"/>
  <c r="Q34" i="49"/>
  <c r="R34" i="49"/>
  <c r="S34" i="49"/>
  <c r="T34" i="49"/>
  <c r="U34" i="49"/>
  <c r="V34" i="49"/>
  <c r="W34" i="49"/>
  <c r="X34" i="49"/>
  <c r="Y34" i="49"/>
  <c r="Z34" i="49"/>
  <c r="C35" i="49"/>
  <c r="D35" i="49"/>
  <c r="E35" i="49"/>
  <c r="F35" i="49"/>
  <c r="G35" i="49"/>
  <c r="H35" i="49"/>
  <c r="I35" i="49"/>
  <c r="J35" i="49"/>
  <c r="K35" i="49"/>
  <c r="L35" i="49"/>
  <c r="M35" i="49"/>
  <c r="N35" i="49"/>
  <c r="O35" i="49"/>
  <c r="P35" i="49"/>
  <c r="Q35" i="49"/>
  <c r="R35" i="49"/>
  <c r="S35" i="49"/>
  <c r="T35" i="49"/>
  <c r="U35" i="49"/>
  <c r="V35" i="49"/>
  <c r="W35" i="49"/>
  <c r="X35" i="49"/>
  <c r="Y35" i="49"/>
  <c r="Z35" i="49"/>
  <c r="C36" i="49"/>
  <c r="D36" i="49"/>
  <c r="E36" i="49"/>
  <c r="F36" i="49"/>
  <c r="G36" i="49"/>
  <c r="H36" i="49"/>
  <c r="I36" i="49"/>
  <c r="J36" i="49"/>
  <c r="K36" i="49"/>
  <c r="L36" i="49"/>
  <c r="M36" i="49"/>
  <c r="N36" i="49"/>
  <c r="O36" i="49"/>
  <c r="P36" i="49"/>
  <c r="Q36" i="49"/>
  <c r="R36" i="49"/>
  <c r="S36" i="49"/>
  <c r="T36" i="49"/>
  <c r="U36" i="49"/>
  <c r="V36" i="49"/>
  <c r="W36" i="49"/>
  <c r="X36" i="49"/>
  <c r="Y36" i="49"/>
  <c r="Z36" i="49"/>
  <c r="C37" i="49"/>
  <c r="D37" i="49"/>
  <c r="E37" i="49"/>
  <c r="F37" i="49"/>
  <c r="G37" i="49"/>
  <c r="H37" i="49"/>
  <c r="I37" i="49"/>
  <c r="J37" i="49"/>
  <c r="K37" i="49"/>
  <c r="L37" i="49"/>
  <c r="M37" i="49"/>
  <c r="N37" i="49"/>
  <c r="O37" i="49"/>
  <c r="P37" i="49"/>
  <c r="Q37" i="49"/>
  <c r="R37" i="49"/>
  <c r="S37" i="49"/>
  <c r="T37" i="49"/>
  <c r="U37" i="49"/>
  <c r="V37" i="49"/>
  <c r="W37" i="49"/>
  <c r="X37" i="49"/>
  <c r="Y37" i="49"/>
  <c r="Z37" i="49"/>
  <c r="C38" i="49"/>
  <c r="D38" i="49"/>
  <c r="E38" i="49"/>
  <c r="F38" i="49"/>
  <c r="G38" i="49"/>
  <c r="H38" i="49"/>
  <c r="I38" i="49"/>
  <c r="J38" i="49"/>
  <c r="K38" i="49"/>
  <c r="L38" i="49"/>
  <c r="M38" i="49"/>
  <c r="N38" i="49"/>
  <c r="O38" i="49"/>
  <c r="P38" i="49"/>
  <c r="Q38" i="49"/>
  <c r="R38" i="49"/>
  <c r="S38" i="49"/>
  <c r="T38" i="49"/>
  <c r="U38" i="49"/>
  <c r="V38" i="49"/>
  <c r="W38" i="49"/>
  <c r="X38" i="49"/>
  <c r="Y38" i="49"/>
  <c r="Z38" i="49"/>
  <c r="C39" i="49"/>
  <c r="D39" i="49"/>
  <c r="E39" i="49"/>
  <c r="F39" i="49"/>
  <c r="G39" i="49"/>
  <c r="H39" i="49"/>
  <c r="I39" i="49"/>
  <c r="J39" i="49"/>
  <c r="K39" i="49"/>
  <c r="L39" i="49"/>
  <c r="M39" i="49"/>
  <c r="N39" i="49"/>
  <c r="O39" i="49"/>
  <c r="P39" i="49"/>
  <c r="Q39" i="49"/>
  <c r="R39" i="49"/>
  <c r="S39" i="49"/>
  <c r="T39" i="49"/>
  <c r="U39" i="49"/>
  <c r="V39" i="49"/>
  <c r="W39" i="49"/>
  <c r="X39" i="49"/>
  <c r="Y39" i="49"/>
  <c r="Z39" i="49"/>
  <c r="C40" i="49"/>
  <c r="D40" i="49"/>
  <c r="E40" i="49"/>
  <c r="F40" i="49"/>
  <c r="G40" i="49"/>
  <c r="H40" i="49"/>
  <c r="I40" i="49"/>
  <c r="J40" i="49"/>
  <c r="K40" i="49"/>
  <c r="L40" i="49"/>
  <c r="M40" i="49"/>
  <c r="N40" i="49"/>
  <c r="O40" i="49"/>
  <c r="P40" i="49"/>
  <c r="Q40" i="49"/>
  <c r="R40" i="49"/>
  <c r="S40" i="49"/>
  <c r="T40" i="49"/>
  <c r="U40" i="49"/>
  <c r="V40" i="49"/>
  <c r="W40" i="49"/>
  <c r="X40" i="49"/>
  <c r="Y40" i="49"/>
  <c r="Z40" i="49"/>
  <c r="C41" i="49"/>
  <c r="D41" i="49"/>
  <c r="E41" i="49"/>
  <c r="F41" i="49"/>
  <c r="G41" i="49"/>
  <c r="H41" i="49"/>
  <c r="I41" i="49"/>
  <c r="J41" i="49"/>
  <c r="K41" i="49"/>
  <c r="L41" i="49"/>
  <c r="M41" i="49"/>
  <c r="N41" i="49"/>
  <c r="O41" i="49"/>
  <c r="P41" i="49"/>
  <c r="Q41" i="49"/>
  <c r="R41" i="49"/>
  <c r="S41" i="49"/>
  <c r="T41" i="49"/>
  <c r="U41" i="49"/>
  <c r="V41" i="49"/>
  <c r="W41" i="49"/>
  <c r="X41" i="49"/>
  <c r="Y41" i="49"/>
  <c r="Z41" i="49"/>
  <c r="D6" i="49"/>
  <c r="E6" i="49"/>
  <c r="F6" i="49"/>
  <c r="G6" i="49"/>
  <c r="H6" i="49"/>
  <c r="I6" i="49"/>
  <c r="J6" i="49"/>
  <c r="K6" i="49"/>
  <c r="L6" i="49"/>
  <c r="M6" i="49"/>
  <c r="N6" i="49"/>
  <c r="O6" i="49"/>
  <c r="P6" i="49"/>
  <c r="Q6" i="49"/>
  <c r="R6" i="49"/>
  <c r="S6" i="49"/>
  <c r="T6" i="49"/>
  <c r="U6" i="49"/>
  <c r="V6" i="49"/>
  <c r="W6" i="49"/>
  <c r="X6" i="49"/>
  <c r="Y6" i="49"/>
  <c r="Z6" i="49"/>
  <c r="C6" i="49"/>
  <c r="AB42" i="49"/>
  <c r="F22" i="47"/>
  <c r="E21" i="47"/>
  <c r="C21" i="47"/>
  <c r="E20" i="47"/>
  <c r="C20" i="47"/>
  <c r="E19" i="47"/>
  <c r="C19" i="47"/>
  <c r="E18" i="47"/>
  <c r="C18" i="47"/>
  <c r="E17" i="47"/>
  <c r="C17" i="47"/>
  <c r="E16" i="47"/>
  <c r="C16" i="47"/>
  <c r="E15" i="47"/>
  <c r="C15" i="47"/>
  <c r="E14" i="47"/>
  <c r="C14" i="47"/>
  <c r="E13" i="47"/>
  <c r="C13" i="47"/>
  <c r="E12" i="47"/>
  <c r="C12" i="47"/>
  <c r="E11" i="47"/>
  <c r="C11" i="47"/>
  <c r="E10" i="47"/>
  <c r="C10" i="47"/>
  <c r="C22" i="47" s="1"/>
  <c r="H32" i="46"/>
  <c r="H31" i="46"/>
  <c r="H30" i="46"/>
  <c r="F22" i="46"/>
  <c r="F22" i="45"/>
  <c r="E21" i="45"/>
  <c r="C21" i="45"/>
  <c r="E20" i="45"/>
  <c r="C20" i="45"/>
  <c r="E19" i="45"/>
  <c r="C19" i="45"/>
  <c r="E18" i="45"/>
  <c r="C18" i="45"/>
  <c r="E17" i="45"/>
  <c r="C17" i="45"/>
  <c r="E16" i="45"/>
  <c r="C16" i="45"/>
  <c r="E15" i="45"/>
  <c r="C15" i="45"/>
  <c r="E14" i="45"/>
  <c r="C14" i="45"/>
  <c r="E13" i="45"/>
  <c r="C13" i="45"/>
  <c r="E12" i="45"/>
  <c r="C12" i="45"/>
  <c r="E11" i="45"/>
  <c r="C11" i="45"/>
  <c r="E10" i="45"/>
  <c r="C10" i="45"/>
  <c r="C22" i="45" s="1"/>
  <c r="C7" i="43"/>
  <c r="D7" i="43"/>
  <c r="E7" i="43"/>
  <c r="F7" i="43"/>
  <c r="G7" i="43"/>
  <c r="H7" i="43"/>
  <c r="I7" i="43"/>
  <c r="J7" i="43"/>
  <c r="K7" i="43"/>
  <c r="L7" i="43"/>
  <c r="M7" i="43"/>
  <c r="N7" i="43"/>
  <c r="O7" i="43"/>
  <c r="P7" i="43"/>
  <c r="Q7" i="43"/>
  <c r="R7" i="43"/>
  <c r="S7" i="43"/>
  <c r="T7" i="43"/>
  <c r="U7" i="43"/>
  <c r="V7" i="43"/>
  <c r="W7" i="43"/>
  <c r="X7" i="43"/>
  <c r="Y7" i="43"/>
  <c r="Z7" i="43"/>
  <c r="C8" i="43"/>
  <c r="D8" i="43"/>
  <c r="E8" i="43"/>
  <c r="F8" i="43"/>
  <c r="G8" i="43"/>
  <c r="H8" i="43"/>
  <c r="I8" i="43"/>
  <c r="J8" i="43"/>
  <c r="K8" i="43"/>
  <c r="L8" i="43"/>
  <c r="M8" i="43"/>
  <c r="N8" i="43"/>
  <c r="O8" i="43"/>
  <c r="P8" i="43"/>
  <c r="Q8" i="43"/>
  <c r="R8" i="43"/>
  <c r="S8" i="43"/>
  <c r="T8" i="43"/>
  <c r="U8" i="43"/>
  <c r="V8" i="43"/>
  <c r="W8" i="43"/>
  <c r="X8" i="43"/>
  <c r="Y8" i="43"/>
  <c r="Z8" i="43"/>
  <c r="C9" i="43"/>
  <c r="D9" i="43"/>
  <c r="E9" i="43"/>
  <c r="F9" i="43"/>
  <c r="G9" i="43"/>
  <c r="H9" i="43"/>
  <c r="I9" i="43"/>
  <c r="J9" i="43"/>
  <c r="K9" i="43"/>
  <c r="L9" i="43"/>
  <c r="M9" i="43"/>
  <c r="N9" i="43"/>
  <c r="O9" i="43"/>
  <c r="P9" i="43"/>
  <c r="Q9" i="43"/>
  <c r="R9" i="43"/>
  <c r="S9" i="43"/>
  <c r="T9" i="43"/>
  <c r="U9" i="43"/>
  <c r="V9" i="43"/>
  <c r="W9" i="43"/>
  <c r="X9" i="43"/>
  <c r="Y9" i="43"/>
  <c r="Z9" i="43"/>
  <c r="C10" i="43"/>
  <c r="D10" i="43"/>
  <c r="E10" i="43"/>
  <c r="F10" i="43"/>
  <c r="G10" i="43"/>
  <c r="H10" i="43"/>
  <c r="I10" i="43"/>
  <c r="J10" i="43"/>
  <c r="K10" i="43"/>
  <c r="L10" i="43"/>
  <c r="M10" i="43"/>
  <c r="N10" i="43"/>
  <c r="O10" i="43"/>
  <c r="P10" i="43"/>
  <c r="Q10" i="43"/>
  <c r="R10" i="43"/>
  <c r="S10" i="43"/>
  <c r="T10" i="43"/>
  <c r="U10" i="43"/>
  <c r="V10" i="43"/>
  <c r="W10" i="43"/>
  <c r="X10" i="43"/>
  <c r="Y10" i="43"/>
  <c r="Z10" i="43"/>
  <c r="C11" i="43"/>
  <c r="D11" i="43"/>
  <c r="E11" i="43"/>
  <c r="F11" i="43"/>
  <c r="G11" i="43"/>
  <c r="H11" i="43"/>
  <c r="I11" i="43"/>
  <c r="J11" i="43"/>
  <c r="K11" i="43"/>
  <c r="L11" i="43"/>
  <c r="M11" i="43"/>
  <c r="N11" i="43"/>
  <c r="O11" i="43"/>
  <c r="P11" i="43"/>
  <c r="Q11" i="43"/>
  <c r="R11" i="43"/>
  <c r="S11" i="43"/>
  <c r="T11" i="43"/>
  <c r="U11" i="43"/>
  <c r="V11" i="43"/>
  <c r="W11" i="43"/>
  <c r="X11" i="43"/>
  <c r="Y11" i="43"/>
  <c r="Z11" i="43"/>
  <c r="C12" i="43"/>
  <c r="D12" i="43"/>
  <c r="E12" i="43"/>
  <c r="F12" i="43"/>
  <c r="G12" i="43"/>
  <c r="H12" i="43"/>
  <c r="I12" i="43"/>
  <c r="J12" i="43"/>
  <c r="K12" i="43"/>
  <c r="L12" i="43"/>
  <c r="M12" i="43"/>
  <c r="N12" i="43"/>
  <c r="O12" i="43"/>
  <c r="P12" i="43"/>
  <c r="Q12" i="43"/>
  <c r="R12" i="43"/>
  <c r="S12" i="43"/>
  <c r="T12" i="43"/>
  <c r="U12" i="43"/>
  <c r="V12" i="43"/>
  <c r="W12" i="43"/>
  <c r="X12" i="43"/>
  <c r="Y12" i="43"/>
  <c r="Z12" i="43"/>
  <c r="C13" i="43"/>
  <c r="D13" i="43"/>
  <c r="E13" i="43"/>
  <c r="F13" i="43"/>
  <c r="G13" i="43"/>
  <c r="H13" i="43"/>
  <c r="I13" i="43"/>
  <c r="J13" i="43"/>
  <c r="K13" i="43"/>
  <c r="L13" i="43"/>
  <c r="M13" i="43"/>
  <c r="N13" i="43"/>
  <c r="O13" i="43"/>
  <c r="P13" i="43"/>
  <c r="Q13" i="43"/>
  <c r="R13" i="43"/>
  <c r="S13" i="43"/>
  <c r="T13" i="43"/>
  <c r="U13" i="43"/>
  <c r="V13" i="43"/>
  <c r="W13" i="43"/>
  <c r="X13" i="43"/>
  <c r="Y13" i="43"/>
  <c r="Z13" i="43"/>
  <c r="C14" i="43"/>
  <c r="D14" i="43"/>
  <c r="E14" i="43"/>
  <c r="F14" i="43"/>
  <c r="G14" i="43"/>
  <c r="H14" i="43"/>
  <c r="I14" i="43"/>
  <c r="J14" i="43"/>
  <c r="K14" i="43"/>
  <c r="L14" i="43"/>
  <c r="M14" i="43"/>
  <c r="N14" i="43"/>
  <c r="O14" i="43"/>
  <c r="P14" i="43"/>
  <c r="Q14" i="43"/>
  <c r="R14" i="43"/>
  <c r="S14" i="43"/>
  <c r="T14" i="43"/>
  <c r="U14" i="43"/>
  <c r="V14" i="43"/>
  <c r="W14" i="43"/>
  <c r="X14" i="43"/>
  <c r="Y14" i="43"/>
  <c r="Z14" i="43"/>
  <c r="C15" i="43"/>
  <c r="D15" i="43"/>
  <c r="E15" i="43"/>
  <c r="F15" i="43"/>
  <c r="G15" i="43"/>
  <c r="H15" i="43"/>
  <c r="I15" i="43"/>
  <c r="J15" i="43"/>
  <c r="K15" i="43"/>
  <c r="L15" i="43"/>
  <c r="M15" i="43"/>
  <c r="N15" i="43"/>
  <c r="O15" i="43"/>
  <c r="P15" i="43"/>
  <c r="Q15" i="43"/>
  <c r="R15" i="43"/>
  <c r="S15" i="43"/>
  <c r="T15" i="43"/>
  <c r="U15" i="43"/>
  <c r="V15" i="43"/>
  <c r="W15" i="43"/>
  <c r="X15" i="43"/>
  <c r="Y15" i="43"/>
  <c r="Z15" i="43"/>
  <c r="C16" i="43"/>
  <c r="D16" i="43"/>
  <c r="E16" i="43"/>
  <c r="F16" i="43"/>
  <c r="G16" i="43"/>
  <c r="H16" i="43"/>
  <c r="I16" i="43"/>
  <c r="J16" i="43"/>
  <c r="K16" i="43"/>
  <c r="L16" i="43"/>
  <c r="M16" i="43"/>
  <c r="N16" i="43"/>
  <c r="O16" i="43"/>
  <c r="P16" i="43"/>
  <c r="Q16" i="43"/>
  <c r="R16" i="43"/>
  <c r="S16" i="43"/>
  <c r="T16" i="43"/>
  <c r="U16" i="43"/>
  <c r="V16" i="43"/>
  <c r="W16" i="43"/>
  <c r="X16" i="43"/>
  <c r="Y16" i="43"/>
  <c r="Z16" i="43"/>
  <c r="C17" i="43"/>
  <c r="D17" i="43"/>
  <c r="E17" i="43"/>
  <c r="F17" i="43"/>
  <c r="G17" i="43"/>
  <c r="H17" i="43"/>
  <c r="I17" i="43"/>
  <c r="J17" i="43"/>
  <c r="K17" i="43"/>
  <c r="L17" i="43"/>
  <c r="M17" i="43"/>
  <c r="N17" i="43"/>
  <c r="O17" i="43"/>
  <c r="P17" i="43"/>
  <c r="Q17" i="43"/>
  <c r="R17" i="43"/>
  <c r="S17" i="43"/>
  <c r="T17" i="43"/>
  <c r="U17" i="43"/>
  <c r="V17" i="43"/>
  <c r="W17" i="43"/>
  <c r="X17" i="43"/>
  <c r="Y17" i="43"/>
  <c r="Z17" i="43"/>
  <c r="C18" i="43"/>
  <c r="D18" i="43"/>
  <c r="E18" i="43"/>
  <c r="F18" i="43"/>
  <c r="G18" i="43"/>
  <c r="H18" i="43"/>
  <c r="I18" i="43"/>
  <c r="J18" i="43"/>
  <c r="K18" i="43"/>
  <c r="L18" i="43"/>
  <c r="M18" i="43"/>
  <c r="N18" i="43"/>
  <c r="O18" i="43"/>
  <c r="P18" i="43"/>
  <c r="Q18" i="43"/>
  <c r="R18" i="43"/>
  <c r="S18" i="43"/>
  <c r="T18" i="43"/>
  <c r="U18" i="43"/>
  <c r="V18" i="43"/>
  <c r="W18" i="43"/>
  <c r="X18" i="43"/>
  <c r="Y18" i="43"/>
  <c r="Z18" i="43"/>
  <c r="C19" i="43"/>
  <c r="D19" i="43"/>
  <c r="E19" i="43"/>
  <c r="F19" i="43"/>
  <c r="G19" i="43"/>
  <c r="H19" i="43"/>
  <c r="I19" i="43"/>
  <c r="J19" i="43"/>
  <c r="K19" i="43"/>
  <c r="L19" i="43"/>
  <c r="M19" i="43"/>
  <c r="N19" i="43"/>
  <c r="O19" i="43"/>
  <c r="P19" i="43"/>
  <c r="Q19" i="43"/>
  <c r="R19" i="43"/>
  <c r="S19" i="43"/>
  <c r="T19" i="43"/>
  <c r="U19" i="43"/>
  <c r="V19" i="43"/>
  <c r="W19" i="43"/>
  <c r="X19" i="43"/>
  <c r="Y19" i="43"/>
  <c r="Z19" i="43"/>
  <c r="C20" i="43"/>
  <c r="D20" i="43"/>
  <c r="E20" i="43"/>
  <c r="F20" i="43"/>
  <c r="G20" i="43"/>
  <c r="H20" i="43"/>
  <c r="I20" i="43"/>
  <c r="J20" i="43"/>
  <c r="K20" i="43"/>
  <c r="L20" i="43"/>
  <c r="M20" i="43"/>
  <c r="N20" i="43"/>
  <c r="O20" i="43"/>
  <c r="P20" i="43"/>
  <c r="Q20" i="43"/>
  <c r="R20" i="43"/>
  <c r="S20" i="43"/>
  <c r="T20" i="43"/>
  <c r="U20" i="43"/>
  <c r="V20" i="43"/>
  <c r="W20" i="43"/>
  <c r="X20" i="43"/>
  <c r="Y20" i="43"/>
  <c r="Z20" i="43"/>
  <c r="C21" i="43"/>
  <c r="D21" i="43"/>
  <c r="E21" i="43"/>
  <c r="F21" i="43"/>
  <c r="G21" i="43"/>
  <c r="H21" i="43"/>
  <c r="I21" i="43"/>
  <c r="J21" i="43"/>
  <c r="K21" i="43"/>
  <c r="L21" i="43"/>
  <c r="M21" i="43"/>
  <c r="N21" i="43"/>
  <c r="O21" i="43"/>
  <c r="P21" i="43"/>
  <c r="Q21" i="43"/>
  <c r="R21" i="43"/>
  <c r="S21" i="43"/>
  <c r="T21" i="43"/>
  <c r="U21" i="43"/>
  <c r="V21" i="43"/>
  <c r="W21" i="43"/>
  <c r="X21" i="43"/>
  <c r="Y21" i="43"/>
  <c r="Z21" i="43"/>
  <c r="C22" i="43"/>
  <c r="D22" i="43"/>
  <c r="E22" i="43"/>
  <c r="F22" i="43"/>
  <c r="G22" i="43"/>
  <c r="H22" i="43"/>
  <c r="I22" i="43"/>
  <c r="J22" i="43"/>
  <c r="K22" i="43"/>
  <c r="L22" i="43"/>
  <c r="M22" i="43"/>
  <c r="N22" i="43"/>
  <c r="O22" i="43"/>
  <c r="P22" i="43"/>
  <c r="Q22" i="43"/>
  <c r="R22" i="43"/>
  <c r="S22" i="43"/>
  <c r="T22" i="43"/>
  <c r="U22" i="43"/>
  <c r="V22" i="43"/>
  <c r="W22" i="43"/>
  <c r="X22" i="43"/>
  <c r="Y22" i="43"/>
  <c r="Z22" i="43"/>
  <c r="C23" i="43"/>
  <c r="D23" i="43"/>
  <c r="E23" i="43"/>
  <c r="F23" i="43"/>
  <c r="G23" i="43"/>
  <c r="H23" i="43"/>
  <c r="I23" i="43"/>
  <c r="J23" i="43"/>
  <c r="K23" i="43"/>
  <c r="L23" i="43"/>
  <c r="M23" i="43"/>
  <c r="N23" i="43"/>
  <c r="O23" i="43"/>
  <c r="P23" i="43"/>
  <c r="Q23" i="43"/>
  <c r="R23" i="43"/>
  <c r="S23" i="43"/>
  <c r="T23" i="43"/>
  <c r="U23" i="43"/>
  <c r="V23" i="43"/>
  <c r="W23" i="43"/>
  <c r="X23" i="43"/>
  <c r="Y23" i="43"/>
  <c r="Z23" i="43"/>
  <c r="C24" i="43"/>
  <c r="D24" i="43"/>
  <c r="E24" i="43"/>
  <c r="F24" i="43"/>
  <c r="G24" i="43"/>
  <c r="H24" i="43"/>
  <c r="I24" i="43"/>
  <c r="J24" i="43"/>
  <c r="K24" i="43"/>
  <c r="L24" i="43"/>
  <c r="M24" i="43"/>
  <c r="N24" i="43"/>
  <c r="O24" i="43"/>
  <c r="P24" i="43"/>
  <c r="Q24" i="43"/>
  <c r="R24" i="43"/>
  <c r="S24" i="43"/>
  <c r="T24" i="43"/>
  <c r="U24" i="43"/>
  <c r="V24" i="43"/>
  <c r="W24" i="43"/>
  <c r="X24" i="43"/>
  <c r="Y24" i="43"/>
  <c r="Z24" i="43"/>
  <c r="C25" i="43"/>
  <c r="D25" i="43"/>
  <c r="E25" i="43"/>
  <c r="F25" i="43"/>
  <c r="G25" i="43"/>
  <c r="H25" i="43"/>
  <c r="I25" i="43"/>
  <c r="J25" i="43"/>
  <c r="K25" i="43"/>
  <c r="L25" i="43"/>
  <c r="M25" i="43"/>
  <c r="N25" i="43"/>
  <c r="O25" i="43"/>
  <c r="P25" i="43"/>
  <c r="Q25" i="43"/>
  <c r="R25" i="43"/>
  <c r="S25" i="43"/>
  <c r="T25" i="43"/>
  <c r="U25" i="43"/>
  <c r="V25" i="43"/>
  <c r="W25" i="43"/>
  <c r="X25" i="43"/>
  <c r="Y25" i="43"/>
  <c r="Z25" i="43"/>
  <c r="C26" i="43"/>
  <c r="D26" i="43"/>
  <c r="E26" i="43"/>
  <c r="F26" i="43"/>
  <c r="G26" i="43"/>
  <c r="H26" i="43"/>
  <c r="I26" i="43"/>
  <c r="J26" i="43"/>
  <c r="K26" i="43"/>
  <c r="L26" i="43"/>
  <c r="M26" i="43"/>
  <c r="N26" i="43"/>
  <c r="O26" i="43"/>
  <c r="P26" i="43"/>
  <c r="Q26" i="43"/>
  <c r="R26" i="43"/>
  <c r="S26" i="43"/>
  <c r="T26" i="43"/>
  <c r="U26" i="43"/>
  <c r="V26" i="43"/>
  <c r="W26" i="43"/>
  <c r="X26" i="43"/>
  <c r="Y26" i="43"/>
  <c r="Z26" i="43"/>
  <c r="C27" i="43"/>
  <c r="D27" i="43"/>
  <c r="E27" i="43"/>
  <c r="F27" i="43"/>
  <c r="G27" i="43"/>
  <c r="H27" i="43"/>
  <c r="I27" i="43"/>
  <c r="J27" i="43"/>
  <c r="K27" i="43"/>
  <c r="L27" i="43"/>
  <c r="M27" i="43"/>
  <c r="N27" i="43"/>
  <c r="O27" i="43"/>
  <c r="P27" i="43"/>
  <c r="Q27" i="43"/>
  <c r="R27" i="43"/>
  <c r="S27" i="43"/>
  <c r="T27" i="43"/>
  <c r="U27" i="43"/>
  <c r="V27" i="43"/>
  <c r="W27" i="43"/>
  <c r="X27" i="43"/>
  <c r="Y27" i="43"/>
  <c r="Z27" i="43"/>
  <c r="C28" i="43"/>
  <c r="D28" i="43"/>
  <c r="E28" i="43"/>
  <c r="F28" i="43"/>
  <c r="G28" i="43"/>
  <c r="H28" i="43"/>
  <c r="I28" i="43"/>
  <c r="J28" i="43"/>
  <c r="K28" i="43"/>
  <c r="L28" i="43"/>
  <c r="M28" i="43"/>
  <c r="N28" i="43"/>
  <c r="O28" i="43"/>
  <c r="P28" i="43"/>
  <c r="Q28" i="43"/>
  <c r="R28" i="43"/>
  <c r="S28" i="43"/>
  <c r="T28" i="43"/>
  <c r="U28" i="43"/>
  <c r="V28" i="43"/>
  <c r="W28" i="43"/>
  <c r="X28" i="43"/>
  <c r="Y28" i="43"/>
  <c r="Z28" i="43"/>
  <c r="C29" i="43"/>
  <c r="D29" i="43"/>
  <c r="E29" i="43"/>
  <c r="F29" i="43"/>
  <c r="G29" i="43"/>
  <c r="H29" i="43"/>
  <c r="I29" i="43"/>
  <c r="J29" i="43"/>
  <c r="K29" i="43"/>
  <c r="L29" i="43"/>
  <c r="M29" i="43"/>
  <c r="N29" i="43"/>
  <c r="O29" i="43"/>
  <c r="P29" i="43"/>
  <c r="Q29" i="43"/>
  <c r="R29" i="43"/>
  <c r="S29" i="43"/>
  <c r="T29" i="43"/>
  <c r="U29" i="43"/>
  <c r="V29" i="43"/>
  <c r="W29" i="43"/>
  <c r="X29" i="43"/>
  <c r="Y29" i="43"/>
  <c r="Z29" i="43"/>
  <c r="C30" i="43"/>
  <c r="D30" i="43"/>
  <c r="E30" i="43"/>
  <c r="F30" i="43"/>
  <c r="G30" i="43"/>
  <c r="H30" i="43"/>
  <c r="I30" i="43"/>
  <c r="J30" i="43"/>
  <c r="K30" i="43"/>
  <c r="L30" i="43"/>
  <c r="M30" i="43"/>
  <c r="N30" i="43"/>
  <c r="O30" i="43"/>
  <c r="P30" i="43"/>
  <c r="Q30" i="43"/>
  <c r="R30" i="43"/>
  <c r="S30" i="43"/>
  <c r="T30" i="43"/>
  <c r="U30" i="43"/>
  <c r="V30" i="43"/>
  <c r="W30" i="43"/>
  <c r="X30" i="43"/>
  <c r="Y30" i="43"/>
  <c r="Z30" i="43"/>
  <c r="C31" i="43"/>
  <c r="D31" i="43"/>
  <c r="E31" i="43"/>
  <c r="F31" i="43"/>
  <c r="G31" i="43"/>
  <c r="H31" i="43"/>
  <c r="I31" i="43"/>
  <c r="J31" i="43"/>
  <c r="K31" i="43"/>
  <c r="L31" i="43"/>
  <c r="M31" i="43"/>
  <c r="N31" i="43"/>
  <c r="O31" i="43"/>
  <c r="P31" i="43"/>
  <c r="Q31" i="43"/>
  <c r="R31" i="43"/>
  <c r="S31" i="43"/>
  <c r="T31" i="43"/>
  <c r="U31" i="43"/>
  <c r="V31" i="43"/>
  <c r="W31" i="43"/>
  <c r="X31" i="43"/>
  <c r="Y31" i="43"/>
  <c r="Z31" i="43"/>
  <c r="C32" i="43"/>
  <c r="D32" i="43"/>
  <c r="E32" i="43"/>
  <c r="F32" i="43"/>
  <c r="G32" i="43"/>
  <c r="H32" i="43"/>
  <c r="I32" i="43"/>
  <c r="J32" i="43"/>
  <c r="K32" i="43"/>
  <c r="L32" i="43"/>
  <c r="M32" i="43"/>
  <c r="N32" i="43"/>
  <c r="O32" i="43"/>
  <c r="P32" i="43"/>
  <c r="Q32" i="43"/>
  <c r="R32" i="43"/>
  <c r="S32" i="43"/>
  <c r="T32" i="43"/>
  <c r="U32" i="43"/>
  <c r="V32" i="43"/>
  <c r="W32" i="43"/>
  <c r="X32" i="43"/>
  <c r="Y32" i="43"/>
  <c r="Z32" i="43"/>
  <c r="C33" i="43"/>
  <c r="D33" i="43"/>
  <c r="E33" i="43"/>
  <c r="F33" i="43"/>
  <c r="G33" i="43"/>
  <c r="H33" i="43"/>
  <c r="I33" i="43"/>
  <c r="J33" i="43"/>
  <c r="K33" i="43"/>
  <c r="L33" i="43"/>
  <c r="M33" i="43"/>
  <c r="N33" i="43"/>
  <c r="O33" i="43"/>
  <c r="P33" i="43"/>
  <c r="Q33" i="43"/>
  <c r="R33" i="43"/>
  <c r="S33" i="43"/>
  <c r="T33" i="43"/>
  <c r="U33" i="43"/>
  <c r="V33" i="43"/>
  <c r="W33" i="43"/>
  <c r="X33" i="43"/>
  <c r="Y33" i="43"/>
  <c r="Z33" i="43"/>
  <c r="C34" i="43"/>
  <c r="D34" i="43"/>
  <c r="E34" i="43"/>
  <c r="F34" i="43"/>
  <c r="G34" i="43"/>
  <c r="H34" i="43"/>
  <c r="I34" i="43"/>
  <c r="J34" i="43"/>
  <c r="K34" i="43"/>
  <c r="L34" i="43"/>
  <c r="M34" i="43"/>
  <c r="N34" i="43"/>
  <c r="O34" i="43"/>
  <c r="P34" i="43"/>
  <c r="Q34" i="43"/>
  <c r="R34" i="43"/>
  <c r="S34" i="43"/>
  <c r="T34" i="43"/>
  <c r="U34" i="43"/>
  <c r="V34" i="43"/>
  <c r="W34" i="43"/>
  <c r="X34" i="43"/>
  <c r="Y34" i="43"/>
  <c r="Z34" i="43"/>
  <c r="C35" i="43"/>
  <c r="D35" i="43"/>
  <c r="E35" i="43"/>
  <c r="F35" i="43"/>
  <c r="G35" i="43"/>
  <c r="H35" i="43"/>
  <c r="I35" i="43"/>
  <c r="J35" i="43"/>
  <c r="K35" i="43"/>
  <c r="L35" i="43"/>
  <c r="M35" i="43"/>
  <c r="N35" i="43"/>
  <c r="O35" i="43"/>
  <c r="P35" i="43"/>
  <c r="Q35" i="43"/>
  <c r="R35" i="43"/>
  <c r="S35" i="43"/>
  <c r="T35" i="43"/>
  <c r="U35" i="43"/>
  <c r="V35" i="43"/>
  <c r="W35" i="43"/>
  <c r="X35" i="43"/>
  <c r="Y35" i="43"/>
  <c r="Z35" i="43"/>
  <c r="C36" i="43"/>
  <c r="D36" i="43"/>
  <c r="E36" i="43"/>
  <c r="F36" i="43"/>
  <c r="G36" i="43"/>
  <c r="H36" i="43"/>
  <c r="I36" i="43"/>
  <c r="J36" i="43"/>
  <c r="K36" i="43"/>
  <c r="L36" i="43"/>
  <c r="M36" i="43"/>
  <c r="N36" i="43"/>
  <c r="O36" i="43"/>
  <c r="P36" i="43"/>
  <c r="Q36" i="43"/>
  <c r="R36" i="43"/>
  <c r="S36" i="43"/>
  <c r="T36" i="43"/>
  <c r="U36" i="43"/>
  <c r="V36" i="43"/>
  <c r="W36" i="43"/>
  <c r="X36" i="43"/>
  <c r="Y36" i="43"/>
  <c r="Z36" i="43"/>
  <c r="C37" i="43"/>
  <c r="D37" i="43"/>
  <c r="E37" i="43"/>
  <c r="F37" i="43"/>
  <c r="G37" i="43"/>
  <c r="H37" i="43"/>
  <c r="I37" i="43"/>
  <c r="J37" i="43"/>
  <c r="K37" i="43"/>
  <c r="L37" i="43"/>
  <c r="M37" i="43"/>
  <c r="N37" i="43"/>
  <c r="O37" i="43"/>
  <c r="P37" i="43"/>
  <c r="Q37" i="43"/>
  <c r="R37" i="43"/>
  <c r="S37" i="43"/>
  <c r="T37" i="43"/>
  <c r="U37" i="43"/>
  <c r="V37" i="43"/>
  <c r="W37" i="43"/>
  <c r="X37" i="43"/>
  <c r="Y37" i="43"/>
  <c r="Z37" i="43"/>
  <c r="C38" i="43"/>
  <c r="D38" i="43"/>
  <c r="E38" i="43"/>
  <c r="F38" i="43"/>
  <c r="G38" i="43"/>
  <c r="H38" i="43"/>
  <c r="I38" i="43"/>
  <c r="J38" i="43"/>
  <c r="K38" i="43"/>
  <c r="L38" i="43"/>
  <c r="M38" i="43"/>
  <c r="N38" i="43"/>
  <c r="O38" i="43"/>
  <c r="P38" i="43"/>
  <c r="Q38" i="43"/>
  <c r="R38" i="43"/>
  <c r="S38" i="43"/>
  <c r="T38" i="43"/>
  <c r="U38" i="43"/>
  <c r="V38" i="43"/>
  <c r="W38" i="43"/>
  <c r="X38" i="43"/>
  <c r="Y38" i="43"/>
  <c r="Z38" i="43"/>
  <c r="C39" i="43"/>
  <c r="D39" i="43"/>
  <c r="E39" i="43"/>
  <c r="F39" i="43"/>
  <c r="G39" i="43"/>
  <c r="H39" i="43"/>
  <c r="I39" i="43"/>
  <c r="J39" i="43"/>
  <c r="K39" i="43"/>
  <c r="L39" i="43"/>
  <c r="M39" i="43"/>
  <c r="N39" i="43"/>
  <c r="O39" i="43"/>
  <c r="P39" i="43"/>
  <c r="Q39" i="43"/>
  <c r="R39" i="43"/>
  <c r="S39" i="43"/>
  <c r="T39" i="43"/>
  <c r="U39" i="43"/>
  <c r="V39" i="43"/>
  <c r="W39" i="43"/>
  <c r="X39" i="43"/>
  <c r="Y39" i="43"/>
  <c r="Z39" i="43"/>
  <c r="C40" i="43"/>
  <c r="D40" i="43"/>
  <c r="E40" i="43"/>
  <c r="F40" i="43"/>
  <c r="G40" i="43"/>
  <c r="H40" i="43"/>
  <c r="I40" i="43"/>
  <c r="J40" i="43"/>
  <c r="K40" i="43"/>
  <c r="L40" i="43"/>
  <c r="M40" i="43"/>
  <c r="N40" i="43"/>
  <c r="O40" i="43"/>
  <c r="P40" i="43"/>
  <c r="Q40" i="43"/>
  <c r="R40" i="43"/>
  <c r="S40" i="43"/>
  <c r="T40" i="43"/>
  <c r="U40" i="43"/>
  <c r="V40" i="43"/>
  <c r="W40" i="43"/>
  <c r="X40" i="43"/>
  <c r="Y40" i="43"/>
  <c r="Z40" i="43"/>
  <c r="C41" i="43"/>
  <c r="D41" i="43"/>
  <c r="E41" i="43"/>
  <c r="F41" i="43"/>
  <c r="G41" i="43"/>
  <c r="H41" i="43"/>
  <c r="I41" i="43"/>
  <c r="J41" i="43"/>
  <c r="K41" i="43"/>
  <c r="L41" i="43"/>
  <c r="M41" i="43"/>
  <c r="N41" i="43"/>
  <c r="O41" i="43"/>
  <c r="P41" i="43"/>
  <c r="Q41" i="43"/>
  <c r="R41" i="43"/>
  <c r="S41" i="43"/>
  <c r="T41" i="43"/>
  <c r="U41" i="43"/>
  <c r="V41" i="43"/>
  <c r="W41" i="43"/>
  <c r="X41" i="43"/>
  <c r="Y41" i="43"/>
  <c r="Z41" i="43"/>
  <c r="D6" i="43"/>
  <c r="E6" i="43"/>
  <c r="F6" i="43"/>
  <c r="G6" i="43"/>
  <c r="G42" i="43" s="1"/>
  <c r="H6" i="43"/>
  <c r="H42" i="43" s="1"/>
  <c r="I6" i="43"/>
  <c r="J6" i="43"/>
  <c r="K6" i="43"/>
  <c r="L6" i="43"/>
  <c r="M6" i="43"/>
  <c r="N6" i="43"/>
  <c r="O6" i="43"/>
  <c r="O42" i="43" s="1"/>
  <c r="P6" i="43"/>
  <c r="P42" i="43" s="1"/>
  <c r="Q6" i="43"/>
  <c r="R6" i="43"/>
  <c r="S6" i="43"/>
  <c r="T6" i="43"/>
  <c r="U6" i="43"/>
  <c r="V6" i="43"/>
  <c r="W6" i="43"/>
  <c r="W42" i="43" s="1"/>
  <c r="X6" i="43"/>
  <c r="X42" i="43" s="1"/>
  <c r="Y6" i="43"/>
  <c r="Z6" i="43"/>
  <c r="C6" i="43"/>
  <c r="H32" i="44"/>
  <c r="H30" i="44"/>
  <c r="F22" i="44"/>
  <c r="AB42" i="43"/>
  <c r="AB42" i="38"/>
  <c r="Z42" i="38"/>
  <c r="Y42" i="38"/>
  <c r="X42" i="38"/>
  <c r="W42" i="38"/>
  <c r="V42" i="38"/>
  <c r="U42" i="38"/>
  <c r="T42" i="38"/>
  <c r="S42" i="38"/>
  <c r="R42" i="38"/>
  <c r="Q42" i="38"/>
  <c r="P42" i="38"/>
  <c r="O42" i="38"/>
  <c r="N42" i="38"/>
  <c r="M42" i="38"/>
  <c r="L42" i="38"/>
  <c r="K42" i="38"/>
  <c r="J42" i="38"/>
  <c r="I42" i="38"/>
  <c r="H42" i="38"/>
  <c r="G42" i="38"/>
  <c r="F42" i="38"/>
  <c r="E42" i="38"/>
  <c r="D42" i="38"/>
  <c r="C42" i="38"/>
  <c r="AA41" i="38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25" i="38"/>
  <c r="AA24" i="38"/>
  <c r="AA23" i="38"/>
  <c r="AA22" i="38"/>
  <c r="AA21" i="38"/>
  <c r="AA20" i="38"/>
  <c r="AA19" i="38"/>
  <c r="AA18" i="38"/>
  <c r="AA17" i="38"/>
  <c r="AA16" i="38"/>
  <c r="AA15" i="38"/>
  <c r="AA14" i="38"/>
  <c r="AA13" i="38"/>
  <c r="AA12" i="38"/>
  <c r="AA11" i="38"/>
  <c r="AA10" i="38"/>
  <c r="AA9" i="38"/>
  <c r="AA8" i="38"/>
  <c r="AA7" i="38"/>
  <c r="AA6" i="38"/>
  <c r="AB42" i="37"/>
  <c r="Z42" i="37"/>
  <c r="Y42" i="37"/>
  <c r="X42" i="37"/>
  <c r="W42" i="37"/>
  <c r="V42" i="37"/>
  <c r="U42" i="37"/>
  <c r="T42" i="37"/>
  <c r="S42" i="37"/>
  <c r="R42" i="37"/>
  <c r="Q42" i="37"/>
  <c r="P42" i="37"/>
  <c r="O42" i="37"/>
  <c r="N42" i="37"/>
  <c r="M42" i="37"/>
  <c r="L42" i="37"/>
  <c r="K42" i="37"/>
  <c r="J42" i="37"/>
  <c r="I42" i="37"/>
  <c r="H42" i="37"/>
  <c r="G42" i="37"/>
  <c r="F42" i="37"/>
  <c r="E42" i="37"/>
  <c r="D42" i="37"/>
  <c r="C42" i="37"/>
  <c r="AA41" i="37"/>
  <c r="AA40" i="37"/>
  <c r="AA39" i="37"/>
  <c r="AC39" i="37" s="1"/>
  <c r="C21" i="44" s="1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25" i="37"/>
  <c r="AA24" i="37"/>
  <c r="AA23" i="37"/>
  <c r="AA22" i="37"/>
  <c r="AA21" i="37"/>
  <c r="AA20" i="37"/>
  <c r="AA19" i="37"/>
  <c r="AA18" i="37"/>
  <c r="AA17" i="37"/>
  <c r="AA16" i="37"/>
  <c r="AA15" i="37"/>
  <c r="AC15" i="37" s="1"/>
  <c r="C13" i="44" s="1"/>
  <c r="AA14" i="37"/>
  <c r="AA13" i="37"/>
  <c r="AA12" i="37"/>
  <c r="AA11" i="37"/>
  <c r="AA10" i="37"/>
  <c r="AA9" i="37"/>
  <c r="AA8" i="37"/>
  <c r="AA7" i="37"/>
  <c r="AA6" i="37"/>
  <c r="AA7" i="21"/>
  <c r="AA8" i="21"/>
  <c r="AA9" i="21"/>
  <c r="AA10" i="21"/>
  <c r="AA11" i="21"/>
  <c r="AA12" i="21"/>
  <c r="AA13" i="21"/>
  <c r="AA14" i="21"/>
  <c r="AA15" i="21"/>
  <c r="AA16" i="21"/>
  <c r="AA17" i="21"/>
  <c r="AA18" i="21"/>
  <c r="AA19" i="21"/>
  <c r="AA20" i="21"/>
  <c r="AA21" i="21"/>
  <c r="AA22" i="21"/>
  <c r="AA23" i="21"/>
  <c r="AA24" i="21"/>
  <c r="AA25" i="21"/>
  <c r="AA26" i="21"/>
  <c r="AA27" i="21"/>
  <c r="AA28" i="21"/>
  <c r="AA29" i="21"/>
  <c r="AA30" i="21"/>
  <c r="AA31" i="21"/>
  <c r="AA32" i="21"/>
  <c r="AA33" i="21"/>
  <c r="AA34" i="21"/>
  <c r="AA35" i="21"/>
  <c r="AA36" i="21"/>
  <c r="AA37" i="21"/>
  <c r="AA38" i="21"/>
  <c r="AA39" i="21"/>
  <c r="AA40" i="21"/>
  <c r="AA41" i="21"/>
  <c r="AA6" i="21"/>
  <c r="E22" i="47" l="1"/>
  <c r="AC15" i="38"/>
  <c r="C13" i="46" s="1"/>
  <c r="AC36" i="38"/>
  <c r="C20" i="46" s="1"/>
  <c r="U42" i="43"/>
  <c r="E22" i="45"/>
  <c r="D42" i="43"/>
  <c r="T42" i="43"/>
  <c r="AC27" i="37"/>
  <c r="C17" i="44" s="1"/>
  <c r="AC36" i="37"/>
  <c r="C20" i="44" s="1"/>
  <c r="O42" i="49"/>
  <c r="AC39" i="38"/>
  <c r="C21" i="46" s="1"/>
  <c r="AC6" i="38"/>
  <c r="C10" i="46" s="1"/>
  <c r="AC21" i="38"/>
  <c r="C15" i="46" s="1"/>
  <c r="AC30" i="38"/>
  <c r="C18" i="46" s="1"/>
  <c r="AC9" i="38"/>
  <c r="C11" i="46" s="1"/>
  <c r="AC33" i="38"/>
  <c r="C19" i="46" s="1"/>
  <c r="AC12" i="38"/>
  <c r="C12" i="46" s="1"/>
  <c r="AC27" i="38"/>
  <c r="C17" i="46" s="1"/>
  <c r="AC9" i="37"/>
  <c r="C11" i="44" s="1"/>
  <c r="AC24" i="37"/>
  <c r="C16" i="44" s="1"/>
  <c r="Y42" i="43"/>
  <c r="AC33" i="37"/>
  <c r="C19" i="44" s="1"/>
  <c r="AC21" i="37"/>
  <c r="C15" i="44" s="1"/>
  <c r="AA6" i="49"/>
  <c r="AA35" i="49"/>
  <c r="AA34" i="49"/>
  <c r="AA33" i="49"/>
  <c r="AA23" i="49"/>
  <c r="AA17" i="49"/>
  <c r="AA12" i="49"/>
  <c r="C42" i="43"/>
  <c r="S42" i="43"/>
  <c r="K42" i="43"/>
  <c r="I42" i="43"/>
  <c r="Q42" i="43"/>
  <c r="L42" i="43"/>
  <c r="V42" i="43"/>
  <c r="W42" i="49"/>
  <c r="V42" i="49"/>
  <c r="L42" i="49"/>
  <c r="R42" i="49"/>
  <c r="AA40" i="49"/>
  <c r="H42" i="49"/>
  <c r="F42" i="49"/>
  <c r="S42" i="49"/>
  <c r="K42" i="49"/>
  <c r="G42" i="49"/>
  <c r="AA24" i="49"/>
  <c r="P42" i="49"/>
  <c r="M42" i="49"/>
  <c r="I42" i="49"/>
  <c r="AA39" i="49"/>
  <c r="AA36" i="49"/>
  <c r="AA32" i="49"/>
  <c r="AA31" i="49"/>
  <c r="AA28" i="49"/>
  <c r="AA27" i="49"/>
  <c r="AA26" i="49"/>
  <c r="AA20" i="49"/>
  <c r="AA19" i="49"/>
  <c r="AA18" i="49"/>
  <c r="AA16" i="49"/>
  <c r="AA15" i="49"/>
  <c r="AA10" i="49"/>
  <c r="AA8" i="49"/>
  <c r="AA7" i="49"/>
  <c r="T42" i="49"/>
  <c r="Q42" i="49"/>
  <c r="AA11" i="49"/>
  <c r="N42" i="49"/>
  <c r="D42" i="49"/>
  <c r="Y42" i="49"/>
  <c r="X42" i="49"/>
  <c r="E42" i="49"/>
  <c r="J42" i="49"/>
  <c r="U42" i="49"/>
  <c r="Z42" i="49"/>
  <c r="AA9" i="49"/>
  <c r="AA41" i="49"/>
  <c r="AA38" i="49"/>
  <c r="AA30" i="49"/>
  <c r="AA22" i="49"/>
  <c r="AA14" i="49"/>
  <c r="AA37" i="49"/>
  <c r="AA29" i="49"/>
  <c r="AA21" i="49"/>
  <c r="AA13" i="49"/>
  <c r="AA25" i="49"/>
  <c r="C42" i="49"/>
  <c r="E42" i="43"/>
  <c r="M42" i="43"/>
  <c r="N42" i="43"/>
  <c r="F42" i="43"/>
  <c r="Z42" i="43"/>
  <c r="R42" i="43"/>
  <c r="J42" i="43"/>
  <c r="AA7" i="43"/>
  <c r="AA8" i="43"/>
  <c r="AA9" i="43"/>
  <c r="AA10" i="43"/>
  <c r="AA11" i="43"/>
  <c r="AA12" i="43"/>
  <c r="AA13" i="43"/>
  <c r="AA14" i="43"/>
  <c r="AA15" i="43"/>
  <c r="AA16" i="43"/>
  <c r="AA17" i="43"/>
  <c r="AA18" i="43"/>
  <c r="AA19" i="43"/>
  <c r="AA20" i="43"/>
  <c r="AA21" i="43"/>
  <c r="AA22" i="43"/>
  <c r="AA23" i="43"/>
  <c r="AA24" i="43"/>
  <c r="AA25" i="43"/>
  <c r="AA26" i="43"/>
  <c r="AA27" i="43"/>
  <c r="AA28" i="43"/>
  <c r="AA29" i="43"/>
  <c r="AA30" i="43"/>
  <c r="AA31" i="43"/>
  <c r="AA32" i="43"/>
  <c r="AA33" i="43"/>
  <c r="AA34" i="43"/>
  <c r="AA35" i="43"/>
  <c r="AA36" i="43"/>
  <c r="AA37" i="43"/>
  <c r="AA38" i="43"/>
  <c r="AA39" i="43"/>
  <c r="AA40" i="43"/>
  <c r="AA41" i="43"/>
  <c r="AA6" i="43"/>
  <c r="AC24" i="38"/>
  <c r="AC18" i="38"/>
  <c r="C14" i="46" s="1"/>
  <c r="AA42" i="38"/>
  <c r="AC30" i="37"/>
  <c r="C18" i="44" s="1"/>
  <c r="AC18" i="37"/>
  <c r="C14" i="44" s="1"/>
  <c r="AC12" i="37"/>
  <c r="C12" i="44" s="1"/>
  <c r="AA42" i="37"/>
  <c r="AC6" i="37"/>
  <c r="C10" i="44" s="1"/>
  <c r="C22" i="44" s="1"/>
  <c r="AC42" i="38" l="1"/>
  <c r="C16" i="46"/>
  <c r="C22" i="46" s="1"/>
  <c r="AC33" i="49"/>
  <c r="E19" i="46" s="1"/>
  <c r="AC15" i="49"/>
  <c r="E13" i="46" s="1"/>
  <c r="AC27" i="49"/>
  <c r="E17" i="46" s="1"/>
  <c r="AC39" i="49"/>
  <c r="E21" i="46" s="1"/>
  <c r="AC30" i="49"/>
  <c r="E18" i="46" s="1"/>
  <c r="AC18" i="49"/>
  <c r="E14" i="46" s="1"/>
  <c r="AC36" i="49"/>
  <c r="E20" i="46" s="1"/>
  <c r="AC24" i="49"/>
  <c r="E16" i="46" s="1"/>
  <c r="AC12" i="49"/>
  <c r="AC9" i="49"/>
  <c r="AC21" i="49"/>
  <c r="E15" i="46" s="1"/>
  <c r="AA42" i="49"/>
  <c r="AC6" i="49"/>
  <c r="E10" i="46" s="1"/>
  <c r="AC30" i="43"/>
  <c r="E18" i="44" s="1"/>
  <c r="AC21" i="43"/>
  <c r="E15" i="44" s="1"/>
  <c r="AC12" i="43"/>
  <c r="E12" i="44" s="1"/>
  <c r="AC27" i="43"/>
  <c r="E17" i="44" s="1"/>
  <c r="AC36" i="43"/>
  <c r="E20" i="44" s="1"/>
  <c r="AC18" i="43"/>
  <c r="E14" i="44" s="1"/>
  <c r="AC33" i="43"/>
  <c r="E19" i="44" s="1"/>
  <c r="AC9" i="43"/>
  <c r="E11" i="44" s="1"/>
  <c r="AC24" i="43"/>
  <c r="E16" i="44" s="1"/>
  <c r="AC39" i="43"/>
  <c r="E21" i="44" s="1"/>
  <c r="AC15" i="43"/>
  <c r="E13" i="44" s="1"/>
  <c r="AC6" i="43"/>
  <c r="E10" i="44" s="1"/>
  <c r="AA42" i="43"/>
  <c r="AC42" i="37"/>
  <c r="E11" i="46" l="1"/>
  <c r="E12" i="46"/>
  <c r="AC42" i="49"/>
  <c r="AC42" i="43"/>
  <c r="C10" i="35"/>
  <c r="C21" i="33"/>
  <c r="C20" i="33"/>
  <c r="C19" i="33"/>
  <c r="C18" i="33"/>
  <c r="C17" i="33"/>
  <c r="C16" i="33"/>
  <c r="C15" i="33"/>
  <c r="C14" i="33"/>
  <c r="C13" i="33"/>
  <c r="C12" i="33"/>
  <c r="C11" i="33"/>
  <c r="C10" i="33"/>
  <c r="C21" i="32"/>
  <c r="C20" i="32"/>
  <c r="C19" i="32"/>
  <c r="C18" i="32"/>
  <c r="C17" i="32"/>
  <c r="C16" i="32"/>
  <c r="C15" i="32"/>
  <c r="C14" i="32"/>
  <c r="C13" i="32"/>
  <c r="C12" i="32"/>
  <c r="C11" i="32"/>
  <c r="C10" i="32"/>
  <c r="C21" i="31"/>
  <c r="C20" i="31"/>
  <c r="C19" i="31"/>
  <c r="C18" i="31"/>
  <c r="C17" i="31"/>
  <c r="C16" i="31"/>
  <c r="C15" i="31"/>
  <c r="C14" i="31"/>
  <c r="C13" i="31"/>
  <c r="C12" i="31"/>
  <c r="C11" i="31"/>
  <c r="C10" i="31"/>
  <c r="C11" i="35"/>
  <c r="C12" i="35"/>
  <c r="C13" i="35"/>
  <c r="C14" i="35"/>
  <c r="C15" i="35"/>
  <c r="C16" i="35"/>
  <c r="C17" i="35"/>
  <c r="C18" i="35"/>
  <c r="C19" i="35"/>
  <c r="C20" i="35"/>
  <c r="C21" i="35"/>
  <c r="F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E21" i="32"/>
  <c r="E20" i="32"/>
  <c r="E19" i="32"/>
  <c r="E18" i="32"/>
  <c r="E17" i="32"/>
  <c r="E16" i="32"/>
  <c r="E15" i="32"/>
  <c r="E14" i="32"/>
  <c r="E13" i="32"/>
  <c r="E12" i="32"/>
  <c r="E11" i="32"/>
  <c r="E10" i="32"/>
  <c r="E22" i="46" l="1"/>
  <c r="C22" i="35"/>
  <c r="E22" i="35"/>
  <c r="E11" i="33"/>
  <c r="E12" i="33"/>
  <c r="E13" i="33"/>
  <c r="E14" i="33"/>
  <c r="E15" i="33"/>
  <c r="E16" i="33"/>
  <c r="E17" i="33"/>
  <c r="E18" i="33"/>
  <c r="E19" i="33"/>
  <c r="E20" i="33"/>
  <c r="E21" i="33"/>
  <c r="E10" i="33"/>
  <c r="F22" i="33"/>
  <c r="H34" i="32"/>
  <c r="H33" i="32"/>
  <c r="F22" i="32"/>
  <c r="C22" i="32" l="1"/>
  <c r="C22" i="33"/>
  <c r="E11" i="31"/>
  <c r="E12" i="31"/>
  <c r="E13" i="31"/>
  <c r="E14" i="31"/>
  <c r="E15" i="31"/>
  <c r="E16" i="31"/>
  <c r="E17" i="31"/>
  <c r="E18" i="31"/>
  <c r="E19" i="31"/>
  <c r="E20" i="31"/>
  <c r="E21" i="31"/>
  <c r="E10" i="31"/>
  <c r="F22" i="31"/>
  <c r="C22" i="31" l="1"/>
  <c r="E22" i="31"/>
  <c r="D20" i="18" l="1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D22" i="18"/>
  <c r="E22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D23" i="18"/>
  <c r="E23" i="18"/>
  <c r="F23" i="18"/>
  <c r="G23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D24" i="18"/>
  <c r="E24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X24" i="18"/>
  <c r="Y24" i="18"/>
  <c r="Z24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T28" i="18"/>
  <c r="U28" i="18"/>
  <c r="V28" i="18"/>
  <c r="W28" i="18"/>
  <c r="X28" i="18"/>
  <c r="Y28" i="18"/>
  <c r="Z28" i="18"/>
  <c r="D29" i="18"/>
  <c r="E29" i="18"/>
  <c r="F29" i="18"/>
  <c r="G29" i="18"/>
  <c r="H29" i="18"/>
  <c r="I29" i="18"/>
  <c r="J29" i="18"/>
  <c r="K29" i="18"/>
  <c r="L29" i="18"/>
  <c r="M29" i="18"/>
  <c r="N29" i="18"/>
  <c r="O29" i="18"/>
  <c r="P29" i="18"/>
  <c r="Q29" i="18"/>
  <c r="R29" i="18"/>
  <c r="S29" i="18"/>
  <c r="T29" i="18"/>
  <c r="U29" i="18"/>
  <c r="V29" i="18"/>
  <c r="W29" i="18"/>
  <c r="X29" i="18"/>
  <c r="Y29" i="18"/>
  <c r="Z29" i="18"/>
  <c r="D30" i="18"/>
  <c r="E30" i="18"/>
  <c r="F30" i="18"/>
  <c r="G30" i="18"/>
  <c r="H30" i="18"/>
  <c r="I30" i="18"/>
  <c r="J30" i="18"/>
  <c r="K30" i="18"/>
  <c r="L30" i="18"/>
  <c r="M30" i="18"/>
  <c r="N30" i="18"/>
  <c r="O30" i="18"/>
  <c r="P30" i="18"/>
  <c r="Q30" i="18"/>
  <c r="R30" i="18"/>
  <c r="S30" i="18"/>
  <c r="T30" i="18"/>
  <c r="U30" i="18"/>
  <c r="V30" i="18"/>
  <c r="W30" i="18"/>
  <c r="X30" i="18"/>
  <c r="Y30" i="18"/>
  <c r="Z30" i="18"/>
  <c r="D31" i="18"/>
  <c r="E31" i="18"/>
  <c r="F31" i="18"/>
  <c r="G31" i="18"/>
  <c r="H31" i="18"/>
  <c r="I31" i="18"/>
  <c r="J31" i="18"/>
  <c r="K31" i="18"/>
  <c r="L31" i="18"/>
  <c r="M31" i="18"/>
  <c r="N31" i="18"/>
  <c r="O31" i="18"/>
  <c r="P31" i="18"/>
  <c r="Q31" i="18"/>
  <c r="R31" i="18"/>
  <c r="S31" i="18"/>
  <c r="T31" i="18"/>
  <c r="U31" i="18"/>
  <c r="V31" i="18"/>
  <c r="W31" i="18"/>
  <c r="X31" i="18"/>
  <c r="Y31" i="18"/>
  <c r="Z31" i="18"/>
  <c r="D32" i="18"/>
  <c r="E32" i="18"/>
  <c r="F32" i="18"/>
  <c r="G32" i="18"/>
  <c r="H32" i="18"/>
  <c r="I32" i="18"/>
  <c r="J32" i="18"/>
  <c r="K32" i="18"/>
  <c r="L32" i="18"/>
  <c r="M32" i="18"/>
  <c r="N32" i="18"/>
  <c r="O32" i="18"/>
  <c r="P32" i="18"/>
  <c r="Q32" i="18"/>
  <c r="R32" i="18"/>
  <c r="S32" i="18"/>
  <c r="T32" i="18"/>
  <c r="U32" i="18"/>
  <c r="V32" i="18"/>
  <c r="W32" i="18"/>
  <c r="X32" i="18"/>
  <c r="Y32" i="18"/>
  <c r="Z32" i="18"/>
  <c r="D33" i="18"/>
  <c r="E33" i="18"/>
  <c r="F33" i="18"/>
  <c r="G33" i="18"/>
  <c r="H33" i="18"/>
  <c r="I33" i="18"/>
  <c r="J33" i="18"/>
  <c r="K33" i="18"/>
  <c r="L33" i="18"/>
  <c r="M33" i="18"/>
  <c r="N33" i="18"/>
  <c r="O33" i="18"/>
  <c r="P33" i="18"/>
  <c r="Q33" i="18"/>
  <c r="R33" i="18"/>
  <c r="S33" i="18"/>
  <c r="T33" i="18"/>
  <c r="U33" i="18"/>
  <c r="V33" i="18"/>
  <c r="W33" i="18"/>
  <c r="X33" i="18"/>
  <c r="Y33" i="18"/>
  <c r="Z33" i="18"/>
  <c r="D34" i="18"/>
  <c r="E34" i="18"/>
  <c r="F34" i="18"/>
  <c r="G34" i="18"/>
  <c r="H34" i="18"/>
  <c r="I34" i="18"/>
  <c r="J34" i="18"/>
  <c r="K34" i="18"/>
  <c r="L34" i="18"/>
  <c r="M34" i="18"/>
  <c r="N34" i="18"/>
  <c r="O34" i="18"/>
  <c r="P34" i="18"/>
  <c r="Q34" i="18"/>
  <c r="R34" i="18"/>
  <c r="S34" i="18"/>
  <c r="T34" i="18"/>
  <c r="U34" i="18"/>
  <c r="V34" i="18"/>
  <c r="W34" i="18"/>
  <c r="X34" i="18"/>
  <c r="Y34" i="18"/>
  <c r="Z34" i="18"/>
  <c r="D35" i="18"/>
  <c r="E35" i="18"/>
  <c r="F35" i="18"/>
  <c r="G35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T35" i="18"/>
  <c r="U35" i="18"/>
  <c r="V35" i="18"/>
  <c r="W35" i="18"/>
  <c r="X35" i="18"/>
  <c r="Y35" i="18"/>
  <c r="Z35" i="18"/>
  <c r="D36" i="18"/>
  <c r="E36" i="18"/>
  <c r="F36" i="18"/>
  <c r="G36" i="18"/>
  <c r="H36" i="18"/>
  <c r="I36" i="18"/>
  <c r="J36" i="18"/>
  <c r="K36" i="18"/>
  <c r="L36" i="18"/>
  <c r="M36" i="18"/>
  <c r="N36" i="18"/>
  <c r="O36" i="18"/>
  <c r="P36" i="18"/>
  <c r="Q36" i="18"/>
  <c r="R36" i="18"/>
  <c r="S36" i="18"/>
  <c r="T36" i="18"/>
  <c r="U36" i="18"/>
  <c r="V36" i="18"/>
  <c r="W36" i="18"/>
  <c r="X36" i="18"/>
  <c r="Y36" i="18"/>
  <c r="Z36" i="18"/>
  <c r="D37" i="18"/>
  <c r="E37" i="18"/>
  <c r="F37" i="18"/>
  <c r="G37" i="18"/>
  <c r="H37" i="18"/>
  <c r="I37" i="18"/>
  <c r="J37" i="18"/>
  <c r="K37" i="18"/>
  <c r="L37" i="18"/>
  <c r="M37" i="18"/>
  <c r="N37" i="18"/>
  <c r="O37" i="18"/>
  <c r="P37" i="18"/>
  <c r="Q37" i="18"/>
  <c r="R37" i="18"/>
  <c r="S37" i="18"/>
  <c r="T37" i="18"/>
  <c r="U37" i="18"/>
  <c r="V37" i="18"/>
  <c r="W37" i="18"/>
  <c r="X37" i="18"/>
  <c r="Y37" i="18"/>
  <c r="Z37" i="18"/>
  <c r="D38" i="18"/>
  <c r="E38" i="18"/>
  <c r="F38" i="18"/>
  <c r="G38" i="18"/>
  <c r="H38" i="18"/>
  <c r="I38" i="18"/>
  <c r="J38" i="18"/>
  <c r="K38" i="18"/>
  <c r="L38" i="18"/>
  <c r="M38" i="18"/>
  <c r="N38" i="18"/>
  <c r="O38" i="18"/>
  <c r="P38" i="18"/>
  <c r="Q38" i="18"/>
  <c r="R38" i="18"/>
  <c r="S38" i="18"/>
  <c r="T38" i="18"/>
  <c r="U38" i="18"/>
  <c r="V38" i="18"/>
  <c r="W38" i="18"/>
  <c r="X38" i="18"/>
  <c r="Y38" i="18"/>
  <c r="Z38" i="18"/>
  <c r="D39" i="18"/>
  <c r="E39" i="18"/>
  <c r="F39" i="18"/>
  <c r="G39" i="18"/>
  <c r="H39" i="18"/>
  <c r="I39" i="18"/>
  <c r="J39" i="18"/>
  <c r="K39" i="18"/>
  <c r="L39" i="18"/>
  <c r="M39" i="18"/>
  <c r="N39" i="18"/>
  <c r="O39" i="18"/>
  <c r="P39" i="18"/>
  <c r="Q39" i="18"/>
  <c r="R39" i="18"/>
  <c r="S39" i="18"/>
  <c r="T39" i="18"/>
  <c r="U39" i="18"/>
  <c r="V39" i="18"/>
  <c r="W39" i="18"/>
  <c r="X39" i="18"/>
  <c r="Y39" i="18"/>
  <c r="Z39" i="18"/>
  <c r="D40" i="18"/>
  <c r="E40" i="18"/>
  <c r="F40" i="18"/>
  <c r="G40" i="18"/>
  <c r="H40" i="18"/>
  <c r="I40" i="18"/>
  <c r="J40" i="18"/>
  <c r="K40" i="18"/>
  <c r="L40" i="18"/>
  <c r="M40" i="18"/>
  <c r="N40" i="18"/>
  <c r="O40" i="18"/>
  <c r="P40" i="18"/>
  <c r="Q40" i="18"/>
  <c r="R40" i="18"/>
  <c r="S40" i="18"/>
  <c r="T40" i="18"/>
  <c r="U40" i="18"/>
  <c r="V40" i="18"/>
  <c r="W40" i="18"/>
  <c r="X40" i="18"/>
  <c r="Y40" i="18"/>
  <c r="Z40" i="18"/>
  <c r="D41" i="18"/>
  <c r="E41" i="18"/>
  <c r="F41" i="18"/>
  <c r="G41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T41" i="18"/>
  <c r="U41" i="18"/>
  <c r="V41" i="18"/>
  <c r="W41" i="18"/>
  <c r="X41" i="18"/>
  <c r="Y41" i="18"/>
  <c r="Z41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D18" i="18"/>
  <c r="E18" i="18"/>
  <c r="F18" i="18"/>
  <c r="G18" i="18"/>
  <c r="H18" i="18"/>
  <c r="I18" i="18"/>
  <c r="J18" i="18"/>
  <c r="K18" i="18"/>
  <c r="L18" i="18"/>
  <c r="M18" i="18"/>
  <c r="N18" i="18"/>
  <c r="O18" i="18"/>
  <c r="P18" i="18"/>
  <c r="Q18" i="18"/>
  <c r="R18" i="18"/>
  <c r="S18" i="18"/>
  <c r="T18" i="18"/>
  <c r="U18" i="18"/>
  <c r="V18" i="18"/>
  <c r="W18" i="18"/>
  <c r="X18" i="18"/>
  <c r="Y18" i="18"/>
  <c r="Z18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C19" i="18"/>
  <c r="C20" i="18"/>
  <c r="C18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T15" i="18"/>
  <c r="U15" i="18"/>
  <c r="V15" i="18"/>
  <c r="W15" i="18"/>
  <c r="X15" i="18"/>
  <c r="Y15" i="18"/>
  <c r="Z15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D17" i="18"/>
  <c r="E17" i="18"/>
  <c r="F17" i="18"/>
  <c r="G17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T17" i="18"/>
  <c r="U17" i="18"/>
  <c r="V17" i="18"/>
  <c r="W17" i="18"/>
  <c r="X17" i="18"/>
  <c r="Y17" i="18"/>
  <c r="Z17" i="18"/>
  <c r="C16" i="18"/>
  <c r="C17" i="18"/>
  <c r="C15" i="18"/>
  <c r="C12" i="18"/>
  <c r="D12" i="18"/>
  <c r="E12" i="18"/>
  <c r="F12" i="18"/>
  <c r="G12" i="18"/>
  <c r="H12" i="18"/>
  <c r="I12" i="18"/>
  <c r="J12" i="18"/>
  <c r="K12" i="18"/>
  <c r="L12" i="18"/>
  <c r="M12" i="18"/>
  <c r="C13" i="18"/>
  <c r="D13" i="18"/>
  <c r="E13" i="18"/>
  <c r="F13" i="18"/>
  <c r="G13" i="18"/>
  <c r="H13" i="18"/>
  <c r="I13" i="18"/>
  <c r="J13" i="18"/>
  <c r="K13" i="18"/>
  <c r="L13" i="18"/>
  <c r="M13" i="18"/>
  <c r="C14" i="18"/>
  <c r="D14" i="18"/>
  <c r="E14" i="18"/>
  <c r="F14" i="18"/>
  <c r="G14" i="18"/>
  <c r="H14" i="18"/>
  <c r="I14" i="18"/>
  <c r="J14" i="18"/>
  <c r="K14" i="18"/>
  <c r="L14" i="18"/>
  <c r="M14" i="18"/>
  <c r="O12" i="18"/>
  <c r="P12" i="18"/>
  <c r="Q12" i="18"/>
  <c r="R12" i="18"/>
  <c r="S12" i="18"/>
  <c r="T12" i="18"/>
  <c r="U12" i="18"/>
  <c r="V12" i="18"/>
  <c r="W12" i="18"/>
  <c r="X12" i="18"/>
  <c r="Y12" i="18"/>
  <c r="Z12" i="18"/>
  <c r="O13" i="18"/>
  <c r="P13" i="18"/>
  <c r="Q13" i="18"/>
  <c r="R13" i="18"/>
  <c r="S13" i="18"/>
  <c r="T13" i="18"/>
  <c r="U13" i="18"/>
  <c r="V13" i="18"/>
  <c r="W13" i="18"/>
  <c r="X13" i="18"/>
  <c r="Y13" i="18"/>
  <c r="Z13" i="18"/>
  <c r="O14" i="18"/>
  <c r="P14" i="18"/>
  <c r="Q14" i="18"/>
  <c r="R14" i="18"/>
  <c r="S14" i="18"/>
  <c r="T14" i="18"/>
  <c r="U14" i="18"/>
  <c r="V14" i="18"/>
  <c r="W14" i="18"/>
  <c r="X14" i="18"/>
  <c r="Y14" i="18"/>
  <c r="Z14" i="18"/>
  <c r="N13" i="18"/>
  <c r="N14" i="18"/>
  <c r="N12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T10" i="18"/>
  <c r="U10" i="18"/>
  <c r="V10" i="18"/>
  <c r="W10" i="18"/>
  <c r="X10" i="18"/>
  <c r="Y10" i="18"/>
  <c r="Z10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T11" i="18"/>
  <c r="U11" i="18"/>
  <c r="V11" i="18"/>
  <c r="W11" i="18"/>
  <c r="X11" i="18"/>
  <c r="Y11" i="18"/>
  <c r="Z11" i="18"/>
  <c r="C10" i="18"/>
  <c r="C11" i="18"/>
  <c r="C9" i="18"/>
  <c r="F22" i="11"/>
  <c r="F22" i="23"/>
  <c r="F22" i="13"/>
  <c r="F22" i="24"/>
  <c r="F22" i="20"/>
  <c r="Z41" i="28" l="1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Z37" i="28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Z36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Z35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Z26" i="28"/>
  <c r="Y26" i="28"/>
  <c r="X26" i="28"/>
  <c r="W26" i="28"/>
  <c r="V26" i="28"/>
  <c r="U26" i="28"/>
  <c r="T26" i="28"/>
  <c r="S26" i="28"/>
  <c r="R26" i="28"/>
  <c r="Q26" i="28"/>
  <c r="P26" i="28"/>
  <c r="O26" i="28"/>
  <c r="N26" i="28"/>
  <c r="M26" i="28"/>
  <c r="L26" i="28"/>
  <c r="K26" i="28"/>
  <c r="J26" i="28"/>
  <c r="I26" i="28"/>
  <c r="H26" i="28"/>
  <c r="G26" i="28"/>
  <c r="F26" i="28"/>
  <c r="E26" i="28"/>
  <c r="D26" i="28"/>
  <c r="C26" i="28"/>
  <c r="Z25" i="28"/>
  <c r="Y25" i="28"/>
  <c r="X25" i="28"/>
  <c r="W25" i="28"/>
  <c r="V25" i="28"/>
  <c r="U25" i="28"/>
  <c r="T25" i="28"/>
  <c r="S25" i="28"/>
  <c r="R25" i="28"/>
  <c r="Q25" i="28"/>
  <c r="P25" i="28"/>
  <c r="O25" i="28"/>
  <c r="N25" i="28"/>
  <c r="M25" i="28"/>
  <c r="L25" i="28"/>
  <c r="K25" i="28"/>
  <c r="J25" i="28"/>
  <c r="I25" i="28"/>
  <c r="H25" i="28"/>
  <c r="G25" i="28"/>
  <c r="F25" i="28"/>
  <c r="E25" i="28"/>
  <c r="D25" i="28"/>
  <c r="C25" i="28"/>
  <c r="Z24" i="28"/>
  <c r="Y24" i="28"/>
  <c r="X24" i="28"/>
  <c r="W24" i="28"/>
  <c r="V24" i="28"/>
  <c r="U24" i="28"/>
  <c r="T24" i="28"/>
  <c r="S24" i="28"/>
  <c r="R24" i="28"/>
  <c r="Q24" i="28"/>
  <c r="P24" i="28"/>
  <c r="O24" i="28"/>
  <c r="N24" i="28"/>
  <c r="M24" i="28"/>
  <c r="L24" i="28"/>
  <c r="K24" i="28"/>
  <c r="J24" i="28"/>
  <c r="I24" i="28"/>
  <c r="H24" i="28"/>
  <c r="G24" i="28"/>
  <c r="F24" i="28"/>
  <c r="E24" i="28"/>
  <c r="D24" i="28"/>
  <c r="C24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Z15" i="28"/>
  <c r="Y15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H15" i="28"/>
  <c r="G15" i="28"/>
  <c r="F15" i="28"/>
  <c r="E15" i="28"/>
  <c r="D15" i="28"/>
  <c r="C15" i="28"/>
  <c r="Z14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Z13" i="28"/>
  <c r="Y13" i="28"/>
  <c r="X13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H13" i="28"/>
  <c r="G13" i="28"/>
  <c r="F13" i="28"/>
  <c r="E13" i="28"/>
  <c r="D13" i="28"/>
  <c r="C13" i="28"/>
  <c r="Z12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E12" i="28"/>
  <c r="D12" i="28"/>
  <c r="C12" i="28"/>
  <c r="Z11" i="28"/>
  <c r="Y11" i="28"/>
  <c r="X11" i="28"/>
  <c r="W11" i="28"/>
  <c r="V11" i="28"/>
  <c r="U11" i="28"/>
  <c r="T11" i="28"/>
  <c r="S11" i="28"/>
  <c r="R11" i="28"/>
  <c r="Q11" i="28"/>
  <c r="P11" i="28"/>
  <c r="O11" i="28"/>
  <c r="N11" i="28"/>
  <c r="M11" i="28"/>
  <c r="L11" i="28"/>
  <c r="K11" i="28"/>
  <c r="J11" i="28"/>
  <c r="I11" i="28"/>
  <c r="H11" i="28"/>
  <c r="G11" i="28"/>
  <c r="F11" i="28"/>
  <c r="E11" i="28"/>
  <c r="D11" i="28"/>
  <c r="C11" i="28"/>
  <c r="Z10" i="28"/>
  <c r="Y10" i="28"/>
  <c r="X10" i="28"/>
  <c r="W10" i="28"/>
  <c r="V10" i="28"/>
  <c r="U10" i="28"/>
  <c r="T10" i="28"/>
  <c r="S10" i="28"/>
  <c r="R10" i="28"/>
  <c r="Q10" i="28"/>
  <c r="P10" i="28"/>
  <c r="O10" i="28"/>
  <c r="N10" i="28"/>
  <c r="M10" i="28"/>
  <c r="L10" i="28"/>
  <c r="K10" i="28"/>
  <c r="J10" i="28"/>
  <c r="I10" i="28"/>
  <c r="H10" i="28"/>
  <c r="G10" i="28"/>
  <c r="F10" i="28"/>
  <c r="E10" i="28"/>
  <c r="D10" i="28"/>
  <c r="C10" i="28"/>
  <c r="Z9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Z8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Z7" i="28"/>
  <c r="Y7" i="28"/>
  <c r="X7" i="28"/>
  <c r="W7" i="28"/>
  <c r="V7" i="28"/>
  <c r="U7" i="28"/>
  <c r="T7" i="28"/>
  <c r="S7" i="28"/>
  <c r="R7" i="28"/>
  <c r="Q7" i="28"/>
  <c r="P7" i="28"/>
  <c r="O7" i="28"/>
  <c r="N7" i="28"/>
  <c r="M7" i="28"/>
  <c r="L7" i="28"/>
  <c r="K7" i="28"/>
  <c r="J7" i="28"/>
  <c r="I7" i="28"/>
  <c r="H7" i="28"/>
  <c r="G7" i="28"/>
  <c r="F7" i="28"/>
  <c r="E7" i="28"/>
  <c r="D7" i="28"/>
  <c r="C7" i="28"/>
  <c r="Z6" i="28"/>
  <c r="Y6" i="28"/>
  <c r="X6" i="28"/>
  <c r="W6" i="28"/>
  <c r="V6" i="28"/>
  <c r="U6" i="28"/>
  <c r="T6" i="28"/>
  <c r="S6" i="28"/>
  <c r="R6" i="28"/>
  <c r="Q6" i="28"/>
  <c r="P6" i="28"/>
  <c r="O6" i="28"/>
  <c r="N6" i="28"/>
  <c r="M6" i="28"/>
  <c r="L6" i="28"/>
  <c r="K6" i="28"/>
  <c r="J6" i="28"/>
  <c r="I6" i="28"/>
  <c r="H6" i="28"/>
  <c r="G6" i="28"/>
  <c r="F6" i="28"/>
  <c r="E6" i="28"/>
  <c r="D6" i="28"/>
  <c r="C6" i="28"/>
  <c r="AB42" i="28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Z39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Z37" i="27"/>
  <c r="Y37" i="27"/>
  <c r="X37" i="27"/>
  <c r="W37" i="27"/>
  <c r="V37" i="27"/>
  <c r="U37" i="27"/>
  <c r="T37" i="27"/>
  <c r="S37" i="27"/>
  <c r="R37" i="27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Z36" i="27"/>
  <c r="Y36" i="27"/>
  <c r="X36" i="27"/>
  <c r="W36" i="27"/>
  <c r="V36" i="27"/>
  <c r="U36" i="27"/>
  <c r="T36" i="27"/>
  <c r="S36" i="27"/>
  <c r="R36" i="27"/>
  <c r="Q36" i="27"/>
  <c r="P36" i="27"/>
  <c r="O36" i="27"/>
  <c r="N36" i="27"/>
  <c r="M36" i="27"/>
  <c r="L36" i="27"/>
  <c r="K36" i="27"/>
  <c r="J36" i="27"/>
  <c r="I36" i="27"/>
  <c r="H36" i="27"/>
  <c r="G36" i="27"/>
  <c r="F36" i="27"/>
  <c r="E36" i="27"/>
  <c r="D36" i="27"/>
  <c r="C36" i="27"/>
  <c r="Z35" i="27"/>
  <c r="Y35" i="27"/>
  <c r="X35" i="27"/>
  <c r="W35" i="27"/>
  <c r="V35" i="27"/>
  <c r="U35" i="27"/>
  <c r="T35" i="27"/>
  <c r="S35" i="27"/>
  <c r="R35" i="27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Z26" i="27"/>
  <c r="Y26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F26" i="27"/>
  <c r="E26" i="27"/>
  <c r="D26" i="27"/>
  <c r="C26" i="27"/>
  <c r="Z25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F25" i="27"/>
  <c r="E25" i="27"/>
  <c r="D25" i="27"/>
  <c r="C25" i="27"/>
  <c r="Z24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D24" i="27"/>
  <c r="C24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Z14" i="27"/>
  <c r="Y14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H14" i="27"/>
  <c r="G14" i="27"/>
  <c r="F14" i="27"/>
  <c r="E14" i="27"/>
  <c r="D14" i="27"/>
  <c r="C14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Z11" i="27"/>
  <c r="Y11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H11" i="27"/>
  <c r="G11" i="27"/>
  <c r="F11" i="27"/>
  <c r="E11" i="27"/>
  <c r="D11" i="27"/>
  <c r="C11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E10" i="27"/>
  <c r="D10" i="27"/>
  <c r="C10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9" i="27"/>
  <c r="Z8" i="27"/>
  <c r="Y8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H8" i="27"/>
  <c r="G8" i="27"/>
  <c r="F8" i="27"/>
  <c r="E8" i="27"/>
  <c r="D8" i="27"/>
  <c r="C8" i="27"/>
  <c r="Z7" i="27"/>
  <c r="Y7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H7" i="27"/>
  <c r="G7" i="27"/>
  <c r="F7" i="27"/>
  <c r="E7" i="27"/>
  <c r="D7" i="27"/>
  <c r="C7" i="27"/>
  <c r="Z6" i="27"/>
  <c r="Y6" i="27"/>
  <c r="X6" i="27"/>
  <c r="W6" i="27"/>
  <c r="V6" i="27"/>
  <c r="U6" i="27"/>
  <c r="T6" i="27"/>
  <c r="S6" i="27"/>
  <c r="S42" i="27" s="1"/>
  <c r="R6" i="27"/>
  <c r="Q6" i="27"/>
  <c r="P6" i="27"/>
  <c r="P42" i="27" s="1"/>
  <c r="O6" i="27"/>
  <c r="N6" i="27"/>
  <c r="M6" i="27"/>
  <c r="L6" i="27"/>
  <c r="K6" i="27"/>
  <c r="K42" i="27" s="1"/>
  <c r="J6" i="27"/>
  <c r="J42" i="27" s="1"/>
  <c r="I6" i="27"/>
  <c r="H6" i="27"/>
  <c r="H42" i="27" s="1"/>
  <c r="G6" i="27"/>
  <c r="F6" i="27"/>
  <c r="E6" i="27"/>
  <c r="D6" i="27"/>
  <c r="C6" i="27"/>
  <c r="AB42" i="27"/>
  <c r="Y42" i="27"/>
  <c r="X42" i="27"/>
  <c r="AB42" i="26"/>
  <c r="AA41" i="26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25" i="26"/>
  <c r="AA24" i="26"/>
  <c r="AA23" i="26"/>
  <c r="AA22" i="26"/>
  <c r="AA21" i="26"/>
  <c r="AA20" i="26"/>
  <c r="AA19" i="26"/>
  <c r="AA18" i="26"/>
  <c r="AA17" i="26"/>
  <c r="AA16" i="26"/>
  <c r="AA15" i="26"/>
  <c r="AA14" i="26"/>
  <c r="AA13" i="26"/>
  <c r="AA12" i="26"/>
  <c r="AA11" i="26"/>
  <c r="AA10" i="26"/>
  <c r="AA9" i="26"/>
  <c r="AA8" i="26"/>
  <c r="AA7" i="26"/>
  <c r="AA6" i="26"/>
  <c r="AB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AA41" i="25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25" i="25"/>
  <c r="AA24" i="25"/>
  <c r="AA23" i="25"/>
  <c r="AA22" i="25"/>
  <c r="AA21" i="25"/>
  <c r="AA20" i="25"/>
  <c r="AA19" i="25"/>
  <c r="AA18" i="25"/>
  <c r="AA17" i="25"/>
  <c r="AA16" i="25"/>
  <c r="AA15" i="25"/>
  <c r="AA14" i="25"/>
  <c r="AA13" i="25"/>
  <c r="AA12" i="25"/>
  <c r="AA11" i="25"/>
  <c r="AA10" i="25"/>
  <c r="AA9" i="25"/>
  <c r="AA8" i="25"/>
  <c r="AA7" i="25"/>
  <c r="AA6" i="25"/>
  <c r="H37" i="24"/>
  <c r="H36" i="24"/>
  <c r="H29" i="23"/>
  <c r="H28" i="23"/>
  <c r="H27" i="23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V6" i="22"/>
  <c r="W6" i="22"/>
  <c r="X6" i="22"/>
  <c r="Y6" i="22"/>
  <c r="Z6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D8" i="22"/>
  <c r="E8" i="22"/>
  <c r="F8" i="22"/>
  <c r="G8" i="22"/>
  <c r="H8" i="22"/>
  <c r="I8" i="22"/>
  <c r="J8" i="22"/>
  <c r="K8" i="22"/>
  <c r="L8" i="22"/>
  <c r="M8" i="22"/>
  <c r="N8" i="22"/>
  <c r="O8" i="22"/>
  <c r="P8" i="22"/>
  <c r="Q8" i="22"/>
  <c r="R8" i="22"/>
  <c r="S8" i="22"/>
  <c r="T8" i="22"/>
  <c r="U8" i="22"/>
  <c r="V8" i="22"/>
  <c r="W8" i="22"/>
  <c r="X8" i="22"/>
  <c r="Y8" i="22"/>
  <c r="Z8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D11" i="22"/>
  <c r="E11" i="22"/>
  <c r="F11" i="22"/>
  <c r="G11" i="22"/>
  <c r="H11" i="22"/>
  <c r="I11" i="22"/>
  <c r="J11" i="22"/>
  <c r="K11" i="22"/>
  <c r="L11" i="22"/>
  <c r="M11" i="22"/>
  <c r="N11" i="22"/>
  <c r="O11" i="22"/>
  <c r="P11" i="22"/>
  <c r="Q11" i="22"/>
  <c r="R11" i="22"/>
  <c r="S11" i="22"/>
  <c r="T11" i="22"/>
  <c r="U11" i="22"/>
  <c r="V11" i="22"/>
  <c r="W11" i="22"/>
  <c r="X11" i="22"/>
  <c r="Y11" i="22"/>
  <c r="Z11" i="22"/>
  <c r="D12" i="22"/>
  <c r="E12" i="22"/>
  <c r="F12" i="22"/>
  <c r="G12" i="22"/>
  <c r="H12" i="22"/>
  <c r="I12" i="22"/>
  <c r="J12" i="22"/>
  <c r="K12" i="22"/>
  <c r="L12" i="22"/>
  <c r="M12" i="22"/>
  <c r="N12" i="22"/>
  <c r="O12" i="22"/>
  <c r="P12" i="22"/>
  <c r="Q12" i="22"/>
  <c r="R12" i="22"/>
  <c r="S12" i="22"/>
  <c r="T12" i="22"/>
  <c r="U12" i="22"/>
  <c r="V12" i="22"/>
  <c r="W12" i="22"/>
  <c r="X12" i="22"/>
  <c r="Y12" i="22"/>
  <c r="Z12" i="22"/>
  <c r="D13" i="22"/>
  <c r="E13" i="22"/>
  <c r="F13" i="22"/>
  <c r="G13" i="22"/>
  <c r="H13" i="22"/>
  <c r="I13" i="22"/>
  <c r="J13" i="22"/>
  <c r="K13" i="22"/>
  <c r="L13" i="22"/>
  <c r="M13" i="22"/>
  <c r="N13" i="22"/>
  <c r="O13" i="22"/>
  <c r="P13" i="22"/>
  <c r="Q13" i="22"/>
  <c r="R13" i="22"/>
  <c r="S13" i="22"/>
  <c r="T13" i="22"/>
  <c r="U13" i="22"/>
  <c r="V13" i="22"/>
  <c r="W13" i="22"/>
  <c r="X13" i="22"/>
  <c r="Y13" i="22"/>
  <c r="Z13" i="22"/>
  <c r="D14" i="22"/>
  <c r="E14" i="22"/>
  <c r="F14" i="22"/>
  <c r="G14" i="22"/>
  <c r="H14" i="22"/>
  <c r="I14" i="22"/>
  <c r="J14" i="22"/>
  <c r="K14" i="22"/>
  <c r="L14" i="22"/>
  <c r="M14" i="22"/>
  <c r="N14" i="22"/>
  <c r="O14" i="22"/>
  <c r="P14" i="22"/>
  <c r="Q14" i="22"/>
  <c r="R14" i="22"/>
  <c r="S14" i="22"/>
  <c r="T14" i="22"/>
  <c r="U14" i="22"/>
  <c r="V14" i="22"/>
  <c r="W14" i="22"/>
  <c r="X14" i="22"/>
  <c r="Y14" i="22"/>
  <c r="Z14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R15" i="22"/>
  <c r="S15" i="22"/>
  <c r="T15" i="22"/>
  <c r="U15" i="22"/>
  <c r="V15" i="22"/>
  <c r="W15" i="22"/>
  <c r="X15" i="22"/>
  <c r="Y15" i="22"/>
  <c r="Z15" i="22"/>
  <c r="D16" i="22"/>
  <c r="E16" i="22"/>
  <c r="F16" i="22"/>
  <c r="G16" i="22"/>
  <c r="H16" i="22"/>
  <c r="I16" i="22"/>
  <c r="J16" i="22"/>
  <c r="K16" i="22"/>
  <c r="L16" i="22"/>
  <c r="M16" i="22"/>
  <c r="N16" i="22"/>
  <c r="O16" i="22"/>
  <c r="P16" i="22"/>
  <c r="Q16" i="22"/>
  <c r="R16" i="22"/>
  <c r="S16" i="22"/>
  <c r="T16" i="22"/>
  <c r="U16" i="22"/>
  <c r="V16" i="22"/>
  <c r="W16" i="22"/>
  <c r="X16" i="22"/>
  <c r="Y16" i="22"/>
  <c r="Z16" i="22"/>
  <c r="D17" i="22"/>
  <c r="E17" i="22"/>
  <c r="F17" i="22"/>
  <c r="G17" i="22"/>
  <c r="H17" i="22"/>
  <c r="I17" i="22"/>
  <c r="J17" i="22"/>
  <c r="K17" i="22"/>
  <c r="L17" i="22"/>
  <c r="M17" i="22"/>
  <c r="N17" i="22"/>
  <c r="O17" i="22"/>
  <c r="P17" i="22"/>
  <c r="Q17" i="22"/>
  <c r="R17" i="22"/>
  <c r="S17" i="22"/>
  <c r="T17" i="22"/>
  <c r="U17" i="22"/>
  <c r="V17" i="22"/>
  <c r="W17" i="22"/>
  <c r="X17" i="22"/>
  <c r="Y17" i="22"/>
  <c r="Z17" i="22"/>
  <c r="D18" i="22"/>
  <c r="E18" i="22"/>
  <c r="F18" i="22"/>
  <c r="G18" i="22"/>
  <c r="H18" i="22"/>
  <c r="I18" i="22"/>
  <c r="J18" i="22"/>
  <c r="K18" i="22"/>
  <c r="L18" i="22"/>
  <c r="M18" i="22"/>
  <c r="N18" i="22"/>
  <c r="O18" i="22"/>
  <c r="P18" i="22"/>
  <c r="Q18" i="22"/>
  <c r="R18" i="22"/>
  <c r="S18" i="22"/>
  <c r="T18" i="22"/>
  <c r="U18" i="22"/>
  <c r="V18" i="22"/>
  <c r="W18" i="22"/>
  <c r="X18" i="22"/>
  <c r="Y18" i="22"/>
  <c r="Z18" i="22"/>
  <c r="D19" i="22"/>
  <c r="E19" i="22"/>
  <c r="F19" i="22"/>
  <c r="G19" i="22"/>
  <c r="H19" i="22"/>
  <c r="I19" i="22"/>
  <c r="J19" i="22"/>
  <c r="K19" i="22"/>
  <c r="L19" i="22"/>
  <c r="M19" i="22"/>
  <c r="N19" i="22"/>
  <c r="O19" i="22"/>
  <c r="P19" i="22"/>
  <c r="Q19" i="22"/>
  <c r="R19" i="22"/>
  <c r="S19" i="22"/>
  <c r="T19" i="22"/>
  <c r="U19" i="22"/>
  <c r="V19" i="22"/>
  <c r="W19" i="22"/>
  <c r="X19" i="22"/>
  <c r="Y19" i="22"/>
  <c r="Z19" i="22"/>
  <c r="D20" i="22"/>
  <c r="E20" i="22"/>
  <c r="F20" i="22"/>
  <c r="G20" i="22"/>
  <c r="H20" i="22"/>
  <c r="I20" i="22"/>
  <c r="J20" i="22"/>
  <c r="K20" i="22"/>
  <c r="L20" i="22"/>
  <c r="M20" i="22"/>
  <c r="N20" i="22"/>
  <c r="O20" i="22"/>
  <c r="P20" i="22"/>
  <c r="Q20" i="22"/>
  <c r="R20" i="22"/>
  <c r="S20" i="22"/>
  <c r="T20" i="22"/>
  <c r="U20" i="22"/>
  <c r="V20" i="22"/>
  <c r="W20" i="22"/>
  <c r="X20" i="22"/>
  <c r="Y20" i="22"/>
  <c r="Z20" i="22"/>
  <c r="D21" i="22"/>
  <c r="E21" i="22"/>
  <c r="F21" i="22"/>
  <c r="G21" i="22"/>
  <c r="H21" i="22"/>
  <c r="I21" i="22"/>
  <c r="J21" i="22"/>
  <c r="K21" i="22"/>
  <c r="L21" i="22"/>
  <c r="M21" i="22"/>
  <c r="N21" i="22"/>
  <c r="O21" i="22"/>
  <c r="P21" i="22"/>
  <c r="Q21" i="22"/>
  <c r="R21" i="22"/>
  <c r="S21" i="22"/>
  <c r="T21" i="22"/>
  <c r="U21" i="22"/>
  <c r="V21" i="22"/>
  <c r="W21" i="22"/>
  <c r="X21" i="22"/>
  <c r="Y21" i="22"/>
  <c r="Z21" i="22"/>
  <c r="D22" i="22"/>
  <c r="E22" i="22"/>
  <c r="F22" i="22"/>
  <c r="G22" i="22"/>
  <c r="H22" i="22"/>
  <c r="I22" i="22"/>
  <c r="J22" i="22"/>
  <c r="K22" i="22"/>
  <c r="L22" i="22"/>
  <c r="M22" i="22"/>
  <c r="N22" i="22"/>
  <c r="O22" i="22"/>
  <c r="P22" i="22"/>
  <c r="Q22" i="22"/>
  <c r="R22" i="22"/>
  <c r="S22" i="22"/>
  <c r="T22" i="22"/>
  <c r="U22" i="22"/>
  <c r="V22" i="22"/>
  <c r="W22" i="22"/>
  <c r="X22" i="22"/>
  <c r="Y22" i="22"/>
  <c r="Z22" i="22"/>
  <c r="D23" i="22"/>
  <c r="E23" i="22"/>
  <c r="F23" i="22"/>
  <c r="G23" i="22"/>
  <c r="H23" i="22"/>
  <c r="I23" i="22"/>
  <c r="J23" i="22"/>
  <c r="K23" i="22"/>
  <c r="L23" i="22"/>
  <c r="M23" i="22"/>
  <c r="N23" i="22"/>
  <c r="O23" i="22"/>
  <c r="P23" i="22"/>
  <c r="Q23" i="22"/>
  <c r="R23" i="22"/>
  <c r="S23" i="22"/>
  <c r="T23" i="22"/>
  <c r="U23" i="22"/>
  <c r="V23" i="22"/>
  <c r="W23" i="22"/>
  <c r="X23" i="22"/>
  <c r="Y23" i="22"/>
  <c r="Z23" i="22"/>
  <c r="D24" i="22"/>
  <c r="E24" i="22"/>
  <c r="F24" i="22"/>
  <c r="G24" i="22"/>
  <c r="H24" i="22"/>
  <c r="I24" i="22"/>
  <c r="J24" i="22"/>
  <c r="K24" i="22"/>
  <c r="L24" i="22"/>
  <c r="M24" i="22"/>
  <c r="N24" i="22"/>
  <c r="O24" i="22"/>
  <c r="P24" i="22"/>
  <c r="Q24" i="22"/>
  <c r="R24" i="22"/>
  <c r="S24" i="22"/>
  <c r="T24" i="22"/>
  <c r="U24" i="22"/>
  <c r="V24" i="22"/>
  <c r="W24" i="22"/>
  <c r="X24" i="22"/>
  <c r="Y24" i="22"/>
  <c r="Z24" i="22"/>
  <c r="D25" i="22"/>
  <c r="E25" i="22"/>
  <c r="F25" i="22"/>
  <c r="G25" i="22"/>
  <c r="H25" i="22"/>
  <c r="I25" i="22"/>
  <c r="J25" i="22"/>
  <c r="K25" i="22"/>
  <c r="L25" i="22"/>
  <c r="M25" i="22"/>
  <c r="N25" i="22"/>
  <c r="O25" i="22"/>
  <c r="P25" i="22"/>
  <c r="Q25" i="22"/>
  <c r="R25" i="22"/>
  <c r="S25" i="22"/>
  <c r="T25" i="22"/>
  <c r="U25" i="22"/>
  <c r="V25" i="22"/>
  <c r="W25" i="22"/>
  <c r="X25" i="22"/>
  <c r="Y25" i="22"/>
  <c r="Z25" i="22"/>
  <c r="D26" i="22"/>
  <c r="E26" i="22"/>
  <c r="F26" i="22"/>
  <c r="G26" i="22"/>
  <c r="H26" i="22"/>
  <c r="I26" i="22"/>
  <c r="J26" i="22"/>
  <c r="K26" i="22"/>
  <c r="L26" i="22"/>
  <c r="M26" i="22"/>
  <c r="N26" i="22"/>
  <c r="O26" i="22"/>
  <c r="P26" i="22"/>
  <c r="Q26" i="22"/>
  <c r="R26" i="22"/>
  <c r="S26" i="22"/>
  <c r="T26" i="22"/>
  <c r="U26" i="22"/>
  <c r="V26" i="22"/>
  <c r="W26" i="22"/>
  <c r="X26" i="22"/>
  <c r="Y26" i="22"/>
  <c r="Z26" i="22"/>
  <c r="D27" i="22"/>
  <c r="E27" i="22"/>
  <c r="F27" i="22"/>
  <c r="G27" i="22"/>
  <c r="H27" i="22"/>
  <c r="I27" i="22"/>
  <c r="J27" i="22"/>
  <c r="K27" i="22"/>
  <c r="L27" i="22"/>
  <c r="M27" i="22"/>
  <c r="N27" i="22"/>
  <c r="O27" i="22"/>
  <c r="P27" i="22"/>
  <c r="Q27" i="22"/>
  <c r="R27" i="22"/>
  <c r="S27" i="22"/>
  <c r="T27" i="22"/>
  <c r="U27" i="22"/>
  <c r="V27" i="22"/>
  <c r="W27" i="22"/>
  <c r="X27" i="22"/>
  <c r="Y27" i="22"/>
  <c r="Z27" i="22"/>
  <c r="D28" i="22"/>
  <c r="E28" i="22"/>
  <c r="F28" i="22"/>
  <c r="G28" i="22"/>
  <c r="H28" i="22"/>
  <c r="I28" i="22"/>
  <c r="J28" i="22"/>
  <c r="K28" i="22"/>
  <c r="L28" i="22"/>
  <c r="M28" i="22"/>
  <c r="N28" i="22"/>
  <c r="O28" i="22"/>
  <c r="P28" i="22"/>
  <c r="Q28" i="22"/>
  <c r="R28" i="22"/>
  <c r="S28" i="22"/>
  <c r="T28" i="22"/>
  <c r="U28" i="22"/>
  <c r="V28" i="22"/>
  <c r="W28" i="22"/>
  <c r="X28" i="22"/>
  <c r="Y28" i="22"/>
  <c r="Z28" i="22"/>
  <c r="D29" i="22"/>
  <c r="E29" i="22"/>
  <c r="F29" i="22"/>
  <c r="G29" i="22"/>
  <c r="H29" i="22"/>
  <c r="I29" i="22"/>
  <c r="J29" i="22"/>
  <c r="K29" i="22"/>
  <c r="L29" i="22"/>
  <c r="M29" i="22"/>
  <c r="N29" i="22"/>
  <c r="O29" i="22"/>
  <c r="P29" i="22"/>
  <c r="Q29" i="22"/>
  <c r="R29" i="22"/>
  <c r="S29" i="22"/>
  <c r="T29" i="22"/>
  <c r="U29" i="22"/>
  <c r="V29" i="22"/>
  <c r="W29" i="22"/>
  <c r="X29" i="22"/>
  <c r="Y29" i="22"/>
  <c r="Z29" i="22"/>
  <c r="D30" i="22"/>
  <c r="E30" i="22"/>
  <c r="F30" i="22"/>
  <c r="G30" i="22"/>
  <c r="H30" i="22"/>
  <c r="I30" i="22"/>
  <c r="J30" i="22"/>
  <c r="K30" i="22"/>
  <c r="L30" i="22"/>
  <c r="M30" i="22"/>
  <c r="N30" i="22"/>
  <c r="O30" i="22"/>
  <c r="P30" i="22"/>
  <c r="Q30" i="22"/>
  <c r="R30" i="22"/>
  <c r="S30" i="22"/>
  <c r="T30" i="22"/>
  <c r="U30" i="22"/>
  <c r="V30" i="22"/>
  <c r="W30" i="22"/>
  <c r="X30" i="22"/>
  <c r="Y30" i="22"/>
  <c r="Z30" i="22"/>
  <c r="D31" i="22"/>
  <c r="E31" i="22"/>
  <c r="F31" i="22"/>
  <c r="G31" i="22"/>
  <c r="H31" i="22"/>
  <c r="I31" i="22"/>
  <c r="J31" i="22"/>
  <c r="K31" i="22"/>
  <c r="L31" i="22"/>
  <c r="M31" i="22"/>
  <c r="N31" i="22"/>
  <c r="O31" i="22"/>
  <c r="P31" i="22"/>
  <c r="Q31" i="22"/>
  <c r="R31" i="22"/>
  <c r="S31" i="22"/>
  <c r="T31" i="22"/>
  <c r="U31" i="22"/>
  <c r="V31" i="22"/>
  <c r="W31" i="22"/>
  <c r="X31" i="22"/>
  <c r="Y31" i="22"/>
  <c r="Z31" i="22"/>
  <c r="D32" i="22"/>
  <c r="E32" i="22"/>
  <c r="F32" i="22"/>
  <c r="G32" i="22"/>
  <c r="H32" i="22"/>
  <c r="I32" i="22"/>
  <c r="J32" i="22"/>
  <c r="K32" i="22"/>
  <c r="L32" i="22"/>
  <c r="M32" i="22"/>
  <c r="N32" i="22"/>
  <c r="O32" i="22"/>
  <c r="P32" i="22"/>
  <c r="Q32" i="22"/>
  <c r="R32" i="22"/>
  <c r="S32" i="22"/>
  <c r="T32" i="22"/>
  <c r="U32" i="22"/>
  <c r="V32" i="22"/>
  <c r="W32" i="22"/>
  <c r="X32" i="22"/>
  <c r="Y32" i="22"/>
  <c r="Z32" i="22"/>
  <c r="D33" i="22"/>
  <c r="E33" i="22"/>
  <c r="F33" i="22"/>
  <c r="G33" i="22"/>
  <c r="H33" i="22"/>
  <c r="I33" i="22"/>
  <c r="J33" i="22"/>
  <c r="K33" i="22"/>
  <c r="L33" i="22"/>
  <c r="M33" i="22"/>
  <c r="N33" i="22"/>
  <c r="O33" i="22"/>
  <c r="P33" i="22"/>
  <c r="Q33" i="22"/>
  <c r="R33" i="22"/>
  <c r="S33" i="22"/>
  <c r="T33" i="22"/>
  <c r="U33" i="22"/>
  <c r="V33" i="22"/>
  <c r="W33" i="22"/>
  <c r="X33" i="22"/>
  <c r="Y33" i="22"/>
  <c r="Z33" i="22"/>
  <c r="D34" i="22"/>
  <c r="E34" i="22"/>
  <c r="F34" i="22"/>
  <c r="G34" i="22"/>
  <c r="H34" i="22"/>
  <c r="I34" i="22"/>
  <c r="J34" i="22"/>
  <c r="K34" i="22"/>
  <c r="L34" i="22"/>
  <c r="M34" i="22"/>
  <c r="N34" i="22"/>
  <c r="O34" i="22"/>
  <c r="P34" i="22"/>
  <c r="Q34" i="22"/>
  <c r="R34" i="22"/>
  <c r="S34" i="22"/>
  <c r="T34" i="22"/>
  <c r="U34" i="22"/>
  <c r="V34" i="22"/>
  <c r="W34" i="22"/>
  <c r="X34" i="22"/>
  <c r="Y34" i="22"/>
  <c r="Z34" i="22"/>
  <c r="D35" i="22"/>
  <c r="E35" i="22"/>
  <c r="F35" i="22"/>
  <c r="G35" i="22"/>
  <c r="H35" i="22"/>
  <c r="I35" i="22"/>
  <c r="J35" i="22"/>
  <c r="K35" i="22"/>
  <c r="L35" i="22"/>
  <c r="M35" i="22"/>
  <c r="N35" i="22"/>
  <c r="O35" i="22"/>
  <c r="P35" i="22"/>
  <c r="Q35" i="22"/>
  <c r="R35" i="22"/>
  <c r="S35" i="22"/>
  <c r="T35" i="22"/>
  <c r="U35" i="22"/>
  <c r="V35" i="22"/>
  <c r="W35" i="22"/>
  <c r="X35" i="22"/>
  <c r="Y35" i="22"/>
  <c r="Z35" i="22"/>
  <c r="D36" i="22"/>
  <c r="E36" i="22"/>
  <c r="F36" i="22"/>
  <c r="G36" i="22"/>
  <c r="H36" i="22"/>
  <c r="I36" i="22"/>
  <c r="J36" i="22"/>
  <c r="K36" i="22"/>
  <c r="L36" i="22"/>
  <c r="M36" i="22"/>
  <c r="N36" i="22"/>
  <c r="O36" i="22"/>
  <c r="P36" i="22"/>
  <c r="Q36" i="22"/>
  <c r="R36" i="22"/>
  <c r="S36" i="22"/>
  <c r="T36" i="22"/>
  <c r="U36" i="22"/>
  <c r="V36" i="22"/>
  <c r="W36" i="22"/>
  <c r="X36" i="22"/>
  <c r="Y36" i="22"/>
  <c r="Z36" i="22"/>
  <c r="D37" i="22"/>
  <c r="E37" i="22"/>
  <c r="F37" i="22"/>
  <c r="G37" i="22"/>
  <c r="H37" i="22"/>
  <c r="I37" i="22"/>
  <c r="J37" i="22"/>
  <c r="K37" i="22"/>
  <c r="L37" i="22"/>
  <c r="M37" i="22"/>
  <c r="N37" i="22"/>
  <c r="O37" i="22"/>
  <c r="P37" i="22"/>
  <c r="Q37" i="22"/>
  <c r="R37" i="22"/>
  <c r="S37" i="22"/>
  <c r="T37" i="22"/>
  <c r="U37" i="22"/>
  <c r="V37" i="22"/>
  <c r="W37" i="22"/>
  <c r="X37" i="22"/>
  <c r="Y37" i="22"/>
  <c r="Z37" i="22"/>
  <c r="D38" i="22"/>
  <c r="E38" i="22"/>
  <c r="F38" i="22"/>
  <c r="G38" i="22"/>
  <c r="H38" i="22"/>
  <c r="I38" i="22"/>
  <c r="J38" i="22"/>
  <c r="K38" i="22"/>
  <c r="L38" i="22"/>
  <c r="M38" i="22"/>
  <c r="N38" i="22"/>
  <c r="O38" i="22"/>
  <c r="P38" i="22"/>
  <c r="Q38" i="22"/>
  <c r="R38" i="22"/>
  <c r="S38" i="22"/>
  <c r="T38" i="22"/>
  <c r="U38" i="22"/>
  <c r="V38" i="22"/>
  <c r="W38" i="22"/>
  <c r="X38" i="22"/>
  <c r="Y38" i="22"/>
  <c r="Z38" i="22"/>
  <c r="D39" i="22"/>
  <c r="E39" i="22"/>
  <c r="F39" i="22"/>
  <c r="G39" i="22"/>
  <c r="H39" i="22"/>
  <c r="I39" i="22"/>
  <c r="J39" i="22"/>
  <c r="K39" i="22"/>
  <c r="L39" i="22"/>
  <c r="M39" i="22"/>
  <c r="N39" i="22"/>
  <c r="O39" i="22"/>
  <c r="P39" i="22"/>
  <c r="Q39" i="22"/>
  <c r="R39" i="22"/>
  <c r="S39" i="22"/>
  <c r="T39" i="22"/>
  <c r="U39" i="22"/>
  <c r="V39" i="22"/>
  <c r="W39" i="22"/>
  <c r="X39" i="22"/>
  <c r="Y39" i="22"/>
  <c r="Z39" i="22"/>
  <c r="D40" i="22"/>
  <c r="E40" i="22"/>
  <c r="F40" i="22"/>
  <c r="G40" i="22"/>
  <c r="H40" i="22"/>
  <c r="I40" i="22"/>
  <c r="J40" i="22"/>
  <c r="K40" i="22"/>
  <c r="L40" i="22"/>
  <c r="M40" i="22"/>
  <c r="N40" i="22"/>
  <c r="O40" i="22"/>
  <c r="P40" i="22"/>
  <c r="Q40" i="22"/>
  <c r="R40" i="22"/>
  <c r="S40" i="22"/>
  <c r="T40" i="22"/>
  <c r="U40" i="22"/>
  <c r="V40" i="22"/>
  <c r="W40" i="22"/>
  <c r="X40" i="22"/>
  <c r="Y40" i="22"/>
  <c r="Z40" i="22"/>
  <c r="D41" i="22"/>
  <c r="E41" i="22"/>
  <c r="F41" i="22"/>
  <c r="G41" i="22"/>
  <c r="H41" i="22"/>
  <c r="I41" i="22"/>
  <c r="J41" i="22"/>
  <c r="K41" i="22"/>
  <c r="L41" i="22"/>
  <c r="M41" i="22"/>
  <c r="N41" i="22"/>
  <c r="O41" i="22"/>
  <c r="P41" i="22"/>
  <c r="Q41" i="22"/>
  <c r="R41" i="22"/>
  <c r="S41" i="22"/>
  <c r="T41" i="22"/>
  <c r="U41" i="22"/>
  <c r="V41" i="22"/>
  <c r="W41" i="22"/>
  <c r="X41" i="22"/>
  <c r="Y41" i="22"/>
  <c r="Z41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6" i="22"/>
  <c r="R42" i="27" l="1"/>
  <c r="AC9" i="25"/>
  <c r="C11" i="24" s="1"/>
  <c r="AC24" i="25"/>
  <c r="C16" i="24" s="1"/>
  <c r="AC15" i="25"/>
  <c r="C13" i="24" s="1"/>
  <c r="AC39" i="25"/>
  <c r="C21" i="24" s="1"/>
  <c r="AC12" i="25"/>
  <c r="C12" i="24" s="1"/>
  <c r="D42" i="27"/>
  <c r="AC6" i="25"/>
  <c r="C10" i="24" s="1"/>
  <c r="AC30" i="25"/>
  <c r="C18" i="24" s="1"/>
  <c r="AC33" i="26"/>
  <c r="C19" i="23" s="1"/>
  <c r="V42" i="27"/>
  <c r="T42" i="27"/>
  <c r="N42" i="27"/>
  <c r="G42" i="27"/>
  <c r="I42" i="27"/>
  <c r="F42" i="27"/>
  <c r="AC33" i="25"/>
  <c r="C19" i="24" s="1"/>
  <c r="AC18" i="25"/>
  <c r="C14" i="24" s="1"/>
  <c r="AC36" i="25"/>
  <c r="C20" i="24" s="1"/>
  <c r="U42" i="27"/>
  <c r="E42" i="27"/>
  <c r="AC15" i="26"/>
  <c r="C13" i="23" s="1"/>
  <c r="AC27" i="25"/>
  <c r="C17" i="24" s="1"/>
  <c r="AC21" i="25"/>
  <c r="C15" i="24" s="1"/>
  <c r="W42" i="27"/>
  <c r="AC27" i="26"/>
  <c r="C17" i="23" s="1"/>
  <c r="AC21" i="26"/>
  <c r="C15" i="23" s="1"/>
  <c r="AC36" i="26"/>
  <c r="C20" i="23" s="1"/>
  <c r="AC6" i="26"/>
  <c r="C10" i="23" s="1"/>
  <c r="AC9" i="26"/>
  <c r="C11" i="23" s="1"/>
  <c r="AC24" i="26"/>
  <c r="C16" i="23" s="1"/>
  <c r="AC39" i="26"/>
  <c r="C21" i="23" s="1"/>
  <c r="AA7" i="28"/>
  <c r="AA8" i="28"/>
  <c r="AA9" i="28"/>
  <c r="AA10" i="28"/>
  <c r="AA11" i="28"/>
  <c r="AA12" i="28"/>
  <c r="AA13" i="28"/>
  <c r="AA15" i="28"/>
  <c r="AA16" i="28"/>
  <c r="AA17" i="28"/>
  <c r="AA18" i="28"/>
  <c r="AA19" i="28"/>
  <c r="AA20" i="28"/>
  <c r="AA21" i="28"/>
  <c r="AA22" i="28"/>
  <c r="AA23" i="28"/>
  <c r="AA24" i="28"/>
  <c r="AA26" i="28"/>
  <c r="AA27" i="28"/>
  <c r="AA28" i="28"/>
  <c r="AA29" i="28"/>
  <c r="AA30" i="28"/>
  <c r="AA31" i="28"/>
  <c r="AA32" i="28"/>
  <c r="AA33" i="28"/>
  <c r="AA34" i="28"/>
  <c r="AA35" i="28"/>
  <c r="AA36" i="28"/>
  <c r="AA37" i="28"/>
  <c r="AA38" i="28"/>
  <c r="AA39" i="28"/>
  <c r="AA40" i="28"/>
  <c r="AA41" i="28"/>
  <c r="O42" i="27"/>
  <c r="Q42" i="27"/>
  <c r="L42" i="27"/>
  <c r="AA14" i="28"/>
  <c r="AA6" i="28"/>
  <c r="AA25" i="28"/>
  <c r="M42" i="27"/>
  <c r="Z42" i="27"/>
  <c r="C42" i="27"/>
  <c r="AA7" i="27"/>
  <c r="AA8" i="27"/>
  <c r="AA9" i="27"/>
  <c r="AA10" i="27"/>
  <c r="AA11" i="27"/>
  <c r="AA12" i="27"/>
  <c r="AA13" i="27"/>
  <c r="AA14" i="27"/>
  <c r="AA15" i="27"/>
  <c r="AA16" i="27"/>
  <c r="AA17" i="27"/>
  <c r="AA18" i="27"/>
  <c r="AA19" i="27"/>
  <c r="AA20" i="27"/>
  <c r="AA21" i="27"/>
  <c r="AA22" i="27"/>
  <c r="AA23" i="27"/>
  <c r="AA24" i="27"/>
  <c r="AA25" i="27"/>
  <c r="AA26" i="27"/>
  <c r="AA27" i="27"/>
  <c r="AA28" i="27"/>
  <c r="AA29" i="27"/>
  <c r="AA30" i="27"/>
  <c r="AA31" i="27"/>
  <c r="AA32" i="27"/>
  <c r="AA33" i="27"/>
  <c r="AA34" i="27"/>
  <c r="AA35" i="27"/>
  <c r="AA36" i="27"/>
  <c r="AA37" i="27"/>
  <c r="AA38" i="27"/>
  <c r="AA39" i="27"/>
  <c r="AA40" i="27"/>
  <c r="AA41" i="27"/>
  <c r="AA6" i="27"/>
  <c r="AA42" i="25"/>
  <c r="AC30" i="26"/>
  <c r="C18" i="23" s="1"/>
  <c r="AC18" i="26"/>
  <c r="C14" i="23" s="1"/>
  <c r="AC12" i="26"/>
  <c r="AA42" i="26"/>
  <c r="AB42" i="22"/>
  <c r="AA41" i="22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25" i="22"/>
  <c r="AA24" i="22"/>
  <c r="AA23" i="22"/>
  <c r="AA22" i="22"/>
  <c r="AA21" i="22"/>
  <c r="AA20" i="22"/>
  <c r="AA19" i="22"/>
  <c r="AA18" i="22"/>
  <c r="AA17" i="22"/>
  <c r="AA16" i="22"/>
  <c r="AA15" i="22"/>
  <c r="AA14" i="22"/>
  <c r="AA13" i="22"/>
  <c r="AA12" i="22"/>
  <c r="AA11" i="22"/>
  <c r="AA10" i="22"/>
  <c r="AA9" i="22"/>
  <c r="AA8" i="22"/>
  <c r="AA7" i="22"/>
  <c r="AB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AC42" i="25" l="1"/>
  <c r="AC6" i="28"/>
  <c r="AC18" i="28"/>
  <c r="AC9" i="28"/>
  <c r="AC27" i="28"/>
  <c r="AC33" i="28"/>
  <c r="AC39" i="28"/>
  <c r="AC30" i="28"/>
  <c r="K42" i="22"/>
  <c r="K42" i="28"/>
  <c r="L42" i="22"/>
  <c r="L42" i="28"/>
  <c r="T42" i="22"/>
  <c r="T42" i="28"/>
  <c r="E42" i="22"/>
  <c r="E42" i="28"/>
  <c r="M42" i="22"/>
  <c r="M42" i="28"/>
  <c r="U42" i="22"/>
  <c r="U42" i="28"/>
  <c r="V42" i="22"/>
  <c r="V42" i="28"/>
  <c r="G42" i="22"/>
  <c r="G42" i="28"/>
  <c r="O42" i="22"/>
  <c r="O42" i="28"/>
  <c r="W42" i="22"/>
  <c r="W42" i="28"/>
  <c r="H42" i="22"/>
  <c r="H42" i="28"/>
  <c r="P42" i="22"/>
  <c r="P42" i="28"/>
  <c r="X42" i="22"/>
  <c r="X42" i="28"/>
  <c r="S42" i="22"/>
  <c r="S42" i="28"/>
  <c r="I42" i="22"/>
  <c r="I42" i="28"/>
  <c r="Q42" i="22"/>
  <c r="Q42" i="28"/>
  <c r="Y42" i="22"/>
  <c r="Y42" i="28"/>
  <c r="C42" i="22"/>
  <c r="C42" i="28"/>
  <c r="D42" i="22"/>
  <c r="D42" i="28"/>
  <c r="F42" i="22"/>
  <c r="F42" i="28"/>
  <c r="N42" i="22"/>
  <c r="N42" i="28"/>
  <c r="J42" i="22"/>
  <c r="J42" i="28"/>
  <c r="R42" i="22"/>
  <c r="R42" i="28"/>
  <c r="Z42" i="22"/>
  <c r="Z42" i="28"/>
  <c r="AC42" i="26"/>
  <c r="C12" i="23"/>
  <c r="AC12" i="28"/>
  <c r="AC24" i="28"/>
  <c r="AA42" i="28"/>
  <c r="AC21" i="28"/>
  <c r="AC15" i="28"/>
  <c r="AC36" i="28"/>
  <c r="AC33" i="27"/>
  <c r="E19" i="23" s="1"/>
  <c r="AC30" i="27"/>
  <c r="E18" i="23" s="1"/>
  <c r="AC18" i="27"/>
  <c r="E14" i="23" s="1"/>
  <c r="AC21" i="27"/>
  <c r="E15" i="23" s="1"/>
  <c r="AC27" i="27"/>
  <c r="E17" i="23" s="1"/>
  <c r="AC12" i="27"/>
  <c r="E12" i="23" s="1"/>
  <c r="AC9" i="27"/>
  <c r="E11" i="23" s="1"/>
  <c r="AC24" i="27"/>
  <c r="E16" i="23" s="1"/>
  <c r="AC36" i="27"/>
  <c r="E20" i="23" s="1"/>
  <c r="AC39" i="27"/>
  <c r="E21" i="23" s="1"/>
  <c r="AC15" i="27"/>
  <c r="E13" i="23" s="1"/>
  <c r="AC6" i="27"/>
  <c r="E10" i="23" s="1"/>
  <c r="AA42" i="27"/>
  <c r="AC12" i="21"/>
  <c r="AC27" i="21"/>
  <c r="AC39" i="21"/>
  <c r="AC24" i="21"/>
  <c r="AC33" i="22"/>
  <c r="AC36" i="21"/>
  <c r="AC30" i="22"/>
  <c r="AC18" i="21"/>
  <c r="AC21" i="21"/>
  <c r="AA42" i="21"/>
  <c r="AC15" i="21"/>
  <c r="AC6" i="21"/>
  <c r="AC30" i="21"/>
  <c r="AC9" i="21"/>
  <c r="AC33" i="21"/>
  <c r="AC39" i="22"/>
  <c r="AC24" i="22"/>
  <c r="AC9" i="22"/>
  <c r="AC18" i="22"/>
  <c r="AC27" i="22"/>
  <c r="AC36" i="22"/>
  <c r="AC21" i="22"/>
  <c r="AC15" i="22"/>
  <c r="AC12" i="22"/>
  <c r="AA6" i="22"/>
  <c r="E20" i="24" l="1"/>
  <c r="E18" i="24"/>
  <c r="E15" i="24"/>
  <c r="E17" i="24"/>
  <c r="E21" i="24"/>
  <c r="E11" i="24"/>
  <c r="E12" i="24"/>
  <c r="E10" i="24"/>
  <c r="E13" i="24"/>
  <c r="E19" i="24"/>
  <c r="E16" i="24"/>
  <c r="E14" i="24"/>
  <c r="AC42" i="28"/>
  <c r="AC42" i="27"/>
  <c r="C19" i="20"/>
  <c r="C14" i="20"/>
  <c r="C16" i="20"/>
  <c r="C20" i="20"/>
  <c r="C13" i="20"/>
  <c r="C21" i="20"/>
  <c r="C11" i="20"/>
  <c r="C22" i="24"/>
  <c r="C18" i="20"/>
  <c r="C17" i="20"/>
  <c r="C15" i="20"/>
  <c r="C12" i="20"/>
  <c r="E21" i="20"/>
  <c r="E11" i="20"/>
  <c r="E16" i="20"/>
  <c r="E13" i="20"/>
  <c r="E20" i="20"/>
  <c r="E18" i="20"/>
  <c r="E17" i="20"/>
  <c r="E12" i="20"/>
  <c r="E15" i="20"/>
  <c r="E19" i="20"/>
  <c r="E14" i="20"/>
  <c r="AC42" i="21"/>
  <c r="C10" i="20"/>
  <c r="AC6" i="22"/>
  <c r="AA42" i="22"/>
  <c r="E22" i="32" l="1"/>
  <c r="E22" i="24"/>
  <c r="AC42" i="22"/>
  <c r="E10" i="20"/>
  <c r="V42" i="19"/>
  <c r="Q42" i="19"/>
  <c r="O42" i="19"/>
  <c r="N42" i="19"/>
  <c r="H42" i="19"/>
  <c r="F42" i="19"/>
  <c r="D42" i="19"/>
  <c r="AB42" i="19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C8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AB42" i="18"/>
  <c r="T42" i="19" l="1"/>
  <c r="W42" i="19"/>
  <c r="K42" i="19"/>
  <c r="P42" i="19"/>
  <c r="I42" i="19"/>
  <c r="G42" i="19"/>
  <c r="U42" i="19"/>
  <c r="J42" i="19"/>
  <c r="L42" i="19"/>
  <c r="Z42" i="19"/>
  <c r="X42" i="19"/>
  <c r="Y42" i="19"/>
  <c r="E42" i="19"/>
  <c r="AA38" i="19"/>
  <c r="AA10" i="19"/>
  <c r="AA11" i="19"/>
  <c r="AA12" i="19"/>
  <c r="AA14" i="19"/>
  <c r="AA17" i="19"/>
  <c r="AA19" i="19"/>
  <c r="AA22" i="19"/>
  <c r="AA23" i="19"/>
  <c r="AA26" i="19"/>
  <c r="AA32" i="19"/>
  <c r="AA34" i="19"/>
  <c r="AA16" i="19"/>
  <c r="AA27" i="19"/>
  <c r="AA29" i="19"/>
  <c r="R42" i="19"/>
  <c r="AA9" i="19"/>
  <c r="AA13" i="19"/>
  <c r="AA15" i="19"/>
  <c r="AA18" i="19"/>
  <c r="AA20" i="19"/>
  <c r="AA21" i="19"/>
  <c r="AA24" i="19"/>
  <c r="AA30" i="19"/>
  <c r="AA31" i="19"/>
  <c r="AA36" i="19"/>
  <c r="AA37" i="19"/>
  <c r="AA39" i="19"/>
  <c r="AA40" i="19"/>
  <c r="AA41" i="19"/>
  <c r="AA8" i="19"/>
  <c r="AA25" i="19"/>
  <c r="AA35" i="19"/>
  <c r="M42" i="19"/>
  <c r="AA28" i="19"/>
  <c r="AA33" i="19"/>
  <c r="S42" i="19"/>
  <c r="C42" i="19"/>
  <c r="AA7" i="19"/>
  <c r="AA6" i="19"/>
  <c r="O42" i="18"/>
  <c r="W42" i="18"/>
  <c r="S42" i="18"/>
  <c r="G42" i="18"/>
  <c r="K42" i="18"/>
  <c r="E42" i="18"/>
  <c r="U42" i="18"/>
  <c r="C42" i="18"/>
  <c r="AA7" i="18"/>
  <c r="AA8" i="18"/>
  <c r="AA9" i="18"/>
  <c r="AA10" i="18"/>
  <c r="AA11" i="18"/>
  <c r="AA13" i="18"/>
  <c r="AA12" i="18"/>
  <c r="M42" i="18"/>
  <c r="AA6" i="18"/>
  <c r="AB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AA41" i="14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25" i="14"/>
  <c r="AA24" i="14"/>
  <c r="AA23" i="14"/>
  <c r="AA22" i="14"/>
  <c r="AA21" i="14"/>
  <c r="AA20" i="14"/>
  <c r="AA19" i="14"/>
  <c r="AA18" i="14"/>
  <c r="AA17" i="14"/>
  <c r="AA16" i="14"/>
  <c r="AA15" i="14"/>
  <c r="AA14" i="14"/>
  <c r="AA13" i="14"/>
  <c r="AA12" i="14"/>
  <c r="AA11" i="14"/>
  <c r="AA10" i="14"/>
  <c r="AA9" i="14"/>
  <c r="AA8" i="14"/>
  <c r="AA7" i="14"/>
  <c r="AA6" i="14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B42" i="12"/>
  <c r="AA41" i="12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25" i="12"/>
  <c r="AA24" i="12"/>
  <c r="AA23" i="12"/>
  <c r="AA22" i="12"/>
  <c r="AA21" i="12"/>
  <c r="AA20" i="12"/>
  <c r="AA19" i="12"/>
  <c r="AA18" i="12"/>
  <c r="AA17" i="12"/>
  <c r="AA16" i="12"/>
  <c r="AA15" i="12"/>
  <c r="AA14" i="12"/>
  <c r="AA13" i="12"/>
  <c r="AA12" i="12"/>
  <c r="AA11" i="12"/>
  <c r="AA10" i="12"/>
  <c r="AA9" i="12"/>
  <c r="AA8" i="12"/>
  <c r="AA7" i="12"/>
  <c r="AA6" i="12"/>
  <c r="H32" i="11"/>
  <c r="H31" i="11"/>
  <c r="H30" i="11"/>
  <c r="AC27" i="12" l="1"/>
  <c r="C17" i="11" s="1"/>
  <c r="AC24" i="12"/>
  <c r="C16" i="11" s="1"/>
  <c r="AC21" i="14"/>
  <c r="AC6" i="18"/>
  <c r="C15" i="13"/>
  <c r="AC24" i="19"/>
  <c r="AC36" i="19"/>
  <c r="AC15" i="19"/>
  <c r="AC39" i="19"/>
  <c r="AC27" i="19"/>
  <c r="AC9" i="19"/>
  <c r="AC30" i="19"/>
  <c r="AC21" i="19"/>
  <c r="AC18" i="19"/>
  <c r="AC12" i="19"/>
  <c r="AC33" i="19"/>
  <c r="AA42" i="19"/>
  <c r="AC6" i="19"/>
  <c r="AA41" i="18"/>
  <c r="AA18" i="18"/>
  <c r="AC9" i="18"/>
  <c r="AA34" i="18"/>
  <c r="H42" i="18"/>
  <c r="AA38" i="18"/>
  <c r="AA30" i="18"/>
  <c r="AA22" i="18"/>
  <c r="X42" i="18"/>
  <c r="AA35" i="18"/>
  <c r="AA27" i="18"/>
  <c r="AA19" i="18"/>
  <c r="R42" i="18"/>
  <c r="AA32" i="18"/>
  <c r="AA29" i="18"/>
  <c r="N42" i="18"/>
  <c r="Z42" i="18"/>
  <c r="AA26" i="18"/>
  <c r="L42" i="18"/>
  <c r="AA24" i="18"/>
  <c r="AA16" i="18"/>
  <c r="I42" i="18"/>
  <c r="AA39" i="18"/>
  <c r="AA31" i="18"/>
  <c r="AA23" i="18"/>
  <c r="AA15" i="18"/>
  <c r="P42" i="18"/>
  <c r="AA40" i="18"/>
  <c r="J42" i="18"/>
  <c r="AA37" i="18"/>
  <c r="AA36" i="18"/>
  <c r="AA28" i="18"/>
  <c r="AA20" i="18"/>
  <c r="AA14" i="18"/>
  <c r="AC12" i="18" s="1"/>
  <c r="AA21" i="18"/>
  <c r="AA33" i="18"/>
  <c r="AA25" i="18"/>
  <c r="AA17" i="18"/>
  <c r="T42" i="18"/>
  <c r="F42" i="18"/>
  <c r="D42" i="18"/>
  <c r="Q42" i="18"/>
  <c r="V42" i="18"/>
  <c r="Y42" i="18"/>
  <c r="AC39" i="14"/>
  <c r="AC30" i="12"/>
  <c r="C18" i="11" s="1"/>
  <c r="AC6" i="12"/>
  <c r="C10" i="11" s="1"/>
  <c r="AC6" i="14"/>
  <c r="AC30" i="14"/>
  <c r="AC12" i="12"/>
  <c r="C12" i="11" s="1"/>
  <c r="AC21" i="12"/>
  <c r="C15" i="11" s="1"/>
  <c r="AC15" i="12"/>
  <c r="C13" i="11" s="1"/>
  <c r="AC9" i="12"/>
  <c r="C11" i="11" s="1"/>
  <c r="AC18" i="12"/>
  <c r="C14" i="11" s="1"/>
  <c r="AC27" i="14"/>
  <c r="AC12" i="14"/>
  <c r="AC36" i="14"/>
  <c r="AC15" i="14"/>
  <c r="AC24" i="14"/>
  <c r="AC9" i="14"/>
  <c r="AC33" i="14"/>
  <c r="AC18" i="14"/>
  <c r="AA42" i="14"/>
  <c r="AC33" i="12"/>
  <c r="C19" i="11" s="1"/>
  <c r="AC39" i="12"/>
  <c r="C21" i="11" s="1"/>
  <c r="AC36" i="12"/>
  <c r="C20" i="11" s="1"/>
  <c r="AA42" i="12"/>
  <c r="E11" i="11" l="1"/>
  <c r="E12" i="11"/>
  <c r="E10" i="11"/>
  <c r="E18" i="13"/>
  <c r="E10" i="13"/>
  <c r="E17" i="13"/>
  <c r="E13" i="13"/>
  <c r="E21" i="13"/>
  <c r="E19" i="13"/>
  <c r="E12" i="13"/>
  <c r="E20" i="13"/>
  <c r="E11" i="13"/>
  <c r="E14" i="13"/>
  <c r="E16" i="13"/>
  <c r="E15" i="13"/>
  <c r="C17" i="13"/>
  <c r="C14" i="13"/>
  <c r="C20" i="13"/>
  <c r="C19" i="13"/>
  <c r="C11" i="13"/>
  <c r="C16" i="13"/>
  <c r="C18" i="13"/>
  <c r="C13" i="13"/>
  <c r="C12" i="13"/>
  <c r="C10" i="13"/>
  <c r="C21" i="13"/>
  <c r="AC33" i="18"/>
  <c r="AC42" i="19"/>
  <c r="AC36" i="18"/>
  <c r="AC27" i="18"/>
  <c r="AC18" i="18"/>
  <c r="AC30" i="18"/>
  <c r="AC39" i="18"/>
  <c r="AC24" i="18"/>
  <c r="AC21" i="18"/>
  <c r="AA42" i="18"/>
  <c r="AC15" i="18"/>
  <c r="E22" i="44" s="1"/>
  <c r="AC42" i="12"/>
  <c r="AC42" i="14"/>
  <c r="E17" i="11" l="1"/>
  <c r="E13" i="11"/>
  <c r="E22" i="33"/>
  <c r="E20" i="11"/>
  <c r="E19" i="11"/>
  <c r="E18" i="11"/>
  <c r="E14" i="11"/>
  <c r="E15" i="11"/>
  <c r="E16" i="11"/>
  <c r="E21" i="11"/>
  <c r="C22" i="11"/>
  <c r="C22" i="23"/>
  <c r="E22" i="23"/>
  <c r="C22" i="13"/>
  <c r="E22" i="13"/>
  <c r="E22" i="20"/>
  <c r="E30" i="20" s="1"/>
  <c r="C22" i="20"/>
  <c r="AC42" i="18"/>
  <c r="E22" i="11" l="1"/>
</calcChain>
</file>

<file path=xl/sharedStrings.xml><?xml version="1.0" encoding="utf-8"?>
<sst xmlns="http://schemas.openxmlformats.org/spreadsheetml/2006/main" count="1177" uniqueCount="108">
  <si>
    <t xml:space="preserve">o Apoderado General (Responsable del negocio) </t>
  </si>
  <si>
    <t>Firma del Representante Legal</t>
  </si>
  <si>
    <t>_____________________________________</t>
  </si>
  <si>
    <t>TOTAL</t>
  </si>
  <si>
    <t>MES</t>
  </si>
  <si>
    <t>TOTAL AÑO</t>
  </si>
  <si>
    <t>F</t>
  </si>
  <si>
    <t>S</t>
  </si>
  <si>
    <t>O</t>
  </si>
  <si>
    <t>mes</t>
  </si>
  <si>
    <t>TOTAL MES</t>
  </si>
  <si>
    <t>Días/</t>
  </si>
  <si>
    <t>TOTAL DÍA</t>
  </si>
  <si>
    <t>H24</t>
  </si>
  <si>
    <t>H23</t>
  </si>
  <si>
    <t>H22</t>
  </si>
  <si>
    <t>H21</t>
  </si>
  <si>
    <t>H20</t>
  </si>
  <si>
    <t>H19</t>
  </si>
  <si>
    <t>H18</t>
  </si>
  <si>
    <t>H17</t>
  </si>
  <si>
    <t>H16</t>
  </si>
  <si>
    <t>H15</t>
  </si>
  <si>
    <t>H14</t>
  </si>
  <si>
    <t>H13</t>
  </si>
  <si>
    <t>H12</t>
  </si>
  <si>
    <t>H11</t>
  </si>
  <si>
    <t>H10</t>
  </si>
  <si>
    <t>H09</t>
  </si>
  <si>
    <t>H08</t>
  </si>
  <si>
    <t>H07</t>
  </si>
  <si>
    <t>H06</t>
  </si>
  <si>
    <t>H05</t>
  </si>
  <si>
    <t>H04</t>
  </si>
  <si>
    <t>H03</t>
  </si>
  <si>
    <t>H02</t>
  </si>
  <si>
    <t>H01</t>
  </si>
  <si>
    <t>Tipo de día</t>
  </si>
  <si>
    <t>Periodo</t>
  </si>
  <si>
    <t>ENERGIA SOLICITADA kWh/MES</t>
  </si>
  <si>
    <t>ENERGIA OFERTADA kWh/MES</t>
  </si>
  <si>
    <t>PAGUE LO CONTRATADO AÑO 2026</t>
  </si>
  <si>
    <t>PAGUE LO CONTRATADO AÑO 2027</t>
  </si>
  <si>
    <t>% OFERTADO ANUAL</t>
  </si>
  <si>
    <t>PAGUE LO CONTRATADO AÑO 2028</t>
  </si>
  <si>
    <t>PRECIO OFERTADO ANUAL $/kWh</t>
  </si>
  <si>
    <t>* Se debe ofertar un unico precio por producto.</t>
  </si>
  <si>
    <t>PAGUE LO CONTRATADO AÑO 2029</t>
  </si>
  <si>
    <t>ANEXO No 1 - PRODUCTO No. 1 - CURVA</t>
  </si>
  <si>
    <t>* Se  debe ofertar un unico  %  para todos los meses del año.</t>
  </si>
  <si>
    <t>CURVAS REQUERIDAS PRODUCTO 1 AÑO 2026 MODALIDAD PAGUE LO CONTRATADO - kWh</t>
  </si>
  <si>
    <t xml:space="preserve">ANEXO No 2 - PRODUCTO No. 2 - CURVA </t>
  </si>
  <si>
    <t>CURVAS REQUERIDAS PRODUCTO 2 AÑO 2027 MODALIDAD PAGUE LO CONTRATADO - kWh</t>
  </si>
  <si>
    <t>CANTIDADES OFERTADAS PRODUCTO 1 AÑO 2026 MODALIDAD PAGUE LO CONTRATADO - kWh</t>
  </si>
  <si>
    <t>CANTIDADES OFERTADAS PRODUCTO 2 AÑO 2027 MODALIDAD PAGUE LO CONTRATADO - kWh</t>
  </si>
  <si>
    <t>ANEXO No  3 - PRODUCTO No. 3 - CURVA</t>
  </si>
  <si>
    <t>____________________________________________</t>
  </si>
  <si>
    <t xml:space="preserve">Firma del Representante Legal </t>
  </si>
  <si>
    <t>o Apoderado General (Responsable del negocio)</t>
  </si>
  <si>
    <t>ENERGIA MAXIMA A OFERTAR kWh/MES</t>
  </si>
  <si>
    <t>CANTIDADES OFERTADAS PRODUCTO 3 AÑO 2028 MODALIDAD PAGUE LO CONTRATADO - kWh</t>
  </si>
  <si>
    <t>*Solo se debe ingresar valores en las celdas en color Naranja</t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</si>
  <si>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 1</t>
    </r>
    <r>
      <rPr>
        <sz val="9"/>
        <color theme="1"/>
        <rFont val="Calibri"/>
        <family val="2"/>
        <scheme val="minor"/>
      </rPr>
      <t>"</t>
    </r>
  </si>
  <si>
    <t xml:space="preserve">ANEXO No 4 - PRODUCTO No. 4 - CURVA </t>
  </si>
  <si>
    <t>CURVAS REQUERIDAS PRODUCTO 3 AÑO 2028 MODALIDAD PAGUE LO CONTRATADO - kWh</t>
  </si>
  <si>
    <t>CURVAS REQUERIDAS PRODUCTO 4 AÑO 2029 MODALIDAD PAGUE LO CONTRATADO - kWh</t>
  </si>
  <si>
    <t>PAGUE LO CONTRATADO AÑO 2030</t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</si>
  <si>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Prod2</t>
    </r>
    <r>
      <rPr>
        <sz val="9"/>
        <color theme="1"/>
        <rFont val="Calibri"/>
        <family val="2"/>
        <scheme val="minor"/>
      </rPr>
      <t>"</t>
    </r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</si>
  <si>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Prod3</t>
    </r>
    <r>
      <rPr>
        <sz val="9"/>
        <color theme="1"/>
        <rFont val="Calibri"/>
        <family val="2"/>
        <scheme val="minor"/>
      </rPr>
      <t>"</t>
    </r>
  </si>
  <si>
    <t>kWh OFERTADO</t>
  </si>
  <si>
    <t>CURVAS REQUERIDAS PRODUCTO 5 AÑO 2030 MODALIDAD PAGUE LO CONTRATADO - kWh</t>
  </si>
  <si>
    <t>* A las ofertas planas al momento de la evaluación se le adicionarán 5 $/kWh al precio ofertado; con el fin de hacerlas comparables con las Ofertas que siguen la curva</t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</si>
  <si>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Prod4</t>
    </r>
    <r>
      <rPr>
        <sz val="9"/>
        <color theme="1"/>
        <rFont val="Calibri"/>
        <family val="2"/>
        <scheme val="minor"/>
      </rPr>
      <t>"</t>
    </r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</si>
  <si>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Prod5</t>
    </r>
    <r>
      <rPr>
        <sz val="9"/>
        <color theme="1"/>
        <rFont val="Calibri"/>
        <family val="2"/>
        <scheme val="minor"/>
      </rPr>
      <t>"</t>
    </r>
  </si>
  <si>
    <t>ANEXO No 5A - PRODUCTO No. 5 - OFERTA PLANA</t>
  </si>
  <si>
    <t>ANEXO No  3A - PRODUCTO No. 3 - OFERTA PLANA</t>
  </si>
  <si>
    <t>ANEXO No 4A - PRODUCTO No. 4 - OFERTA PLANA</t>
  </si>
  <si>
    <t>ANEXO No  2A - PRODUCTO No. 2 - OFERTA PLANA</t>
  </si>
  <si>
    <t>* Se debe oferta un valor de kWh el cual se aplica para todas las horas del año, con un tope horario de 20.000 kWh</t>
  </si>
  <si>
    <t>* Para ofertas planas se debe diligenciar el anexo 3A, con un tope horario de 20.000 kWh</t>
  </si>
  <si>
    <t>* Para ofertas planas se debe diligenciar el anexo 2A, con un tope horario de 20.000 kWh</t>
  </si>
  <si>
    <t>PRECIO OFERTADO EN $ / kWh DE ENERO DE 2025</t>
  </si>
  <si>
    <t>* Se debe oferta un valor de kWh el cual se aplica para todas las horas del año, con un tope horario de 30.000 kWh</t>
  </si>
  <si>
    <t>CURVAS REQUERIDAS PRODUCTO 6 AÑO 2031 MODALIDAD PAGUE LO CONTRATADO - kWh</t>
  </si>
  <si>
    <t>CURVAS REQUERIDAS PRODUCTO 7 AÑO 2032 MODALIDAD PAGUE LO CONTRATADO - kWh</t>
  </si>
  <si>
    <t>CANTIDADES OFERTADAS PRODUCTO 4 AÑO 2029 MODALIDAD PAGUE LO CONTRATADO - kWh</t>
  </si>
  <si>
    <t>CANTIDADES OFERTADAS PRODUCTO 5 AÑO 2030 MODALIDAD PAGUE LO CONTRATADO - kWh</t>
  </si>
  <si>
    <t>CANTIDADES OFERTADAS PRODUCTO 6 AÑO 2031 MODALIDAD PAGUE LO CONTRATADO - kWh</t>
  </si>
  <si>
    <t>ANEXO No 6A - PRODUCTO No. 6 - OFERTA PLANA</t>
  </si>
  <si>
    <t>PAGUE LO CONTRATADO AÑO 2032</t>
  </si>
  <si>
    <t>PAGUE LO CONTRATADO AÑO 2031</t>
  </si>
  <si>
    <t>ANEXO No 5 - PRODUCTO No. 5 CURVA</t>
  </si>
  <si>
    <t xml:space="preserve">ANEXO No 6 - PRODUCTO No. 6 CURVA </t>
  </si>
  <si>
    <t>ANEXO No 7A - PRODUCTO No. 7 - OFERTA PLANA</t>
  </si>
  <si>
    <t>CANTIDADES OFERTADAS PRODUCTO 7 AÑO 2032 MODALIDAD PAGUE LO CONTRATADO - kWh</t>
  </si>
  <si>
    <t>ANEXO No 7 - PRODUCTO No. 7 CURVA</t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</si>
  <si>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12</t>
    </r>
    <r>
      <rPr>
        <sz val="9"/>
        <color theme="1"/>
        <rFont val="Calibri"/>
        <family val="2"/>
        <scheme val="minor"/>
      </rPr>
      <t>".</t>
    </r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</si>
  <si>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13</t>
    </r>
    <r>
      <rPr>
        <sz val="9"/>
        <color theme="1"/>
        <rFont val="Calibri"/>
        <family val="2"/>
        <scheme val="minor"/>
      </rPr>
      <t>".</t>
    </r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</si>
  <si>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Prod6</t>
    </r>
    <r>
      <rPr>
        <sz val="9"/>
        <color theme="1"/>
        <rFont val="Calibri"/>
        <family val="2"/>
        <scheme val="minor"/>
      </rPr>
      <t>"</t>
    </r>
  </si>
  <si>
    <r>
      <t>*  La energia ofertada se calcula de manera automatica en la hoja "</t>
    </r>
    <r>
      <rPr>
        <b/>
        <sz val="9"/>
        <color theme="1"/>
        <rFont val="Calibri"/>
        <family val="2"/>
        <scheme val="minor"/>
      </rPr>
      <t>Cantidades Ofertadas Prod7</t>
    </r>
    <r>
      <rPr>
        <sz val="9"/>
        <color theme="1"/>
        <rFont val="Calibri"/>
        <family val="2"/>
        <scheme val="minor"/>
      </rPr>
      <t>"</t>
    </r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</si>
  <si>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8</t>
    </r>
    <r>
      <rPr>
        <sz val="9"/>
        <color theme="1"/>
        <rFont val="Calibri"/>
        <family val="2"/>
        <scheme val="minor"/>
      </rPr>
      <t>".</t>
    </r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</si>
  <si>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9</t>
    </r>
    <r>
      <rPr>
        <sz val="9"/>
        <color theme="1"/>
        <rFont val="Calibri"/>
        <family val="2"/>
        <scheme val="minor"/>
      </rPr>
      <t>".</t>
    </r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</si>
  <si>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10</t>
    </r>
    <r>
      <rPr>
        <sz val="9"/>
        <color theme="1"/>
        <rFont val="Calibri"/>
        <family val="2"/>
        <scheme val="minor"/>
      </rPr>
      <t>".</t>
    </r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</si>
  <si>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11</t>
    </r>
    <r>
      <rPr>
        <sz val="9"/>
        <color theme="1"/>
        <rFont val="Calibri"/>
        <family val="2"/>
        <scheme val="minor"/>
      </rPr>
      <t>".</t>
    </r>
  </si>
  <si>
    <t>* Para este producto solo se reciben ofertas siguiendo la curva.</t>
  </si>
  <si>
    <t>* Para ofertas planas se debe diligenciar el anexo 7A, con un tope horario de 20.000 kWh</t>
  </si>
  <si>
    <r>
      <t>* Los  %  ofertados se aplicaran a las curvas de carga de la hoja "</t>
    </r>
    <r>
      <rPr>
        <b/>
        <sz val="9"/>
        <color theme="1"/>
        <rFont val="Calibri"/>
        <family val="2"/>
        <scheme val="minor"/>
      </rPr>
      <t>Anexo 14</t>
    </r>
    <r>
      <rPr>
        <sz val="9"/>
        <color theme="1"/>
        <rFont val="Calibri"/>
        <family val="2"/>
        <scheme val="minor"/>
      </rPr>
      <t>".</t>
    </r>
  </si>
  <si>
    <t>* Para ofertas planas se debe diligenciar el anexo 6A, con un tope horario de 20.000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</si>
</sst>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* #,##0_ ;_ * \-#,##0_ ;_ * &quot;-&quot;??_ ;_ @_ "/>
    <numFmt numFmtId="165" formatCode="_ * #,##0.00_ ;_ * \-#,##0.00_ ;_ * &quot;-&quot;??_ ;_ @_ 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Times New Roman"/>
      <family val="1"/>
    </font>
    <font>
      <b/>
      <sz val="10"/>
      <name val="Segoe UI Light"/>
      <family val="2"/>
    </font>
    <font>
      <sz val="10"/>
      <name val="Segoe UI Light"/>
      <family val="2"/>
    </font>
    <font>
      <sz val="9"/>
      <color theme="1"/>
      <name val="Calibri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6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Segoe UI Light"/>
      <family val="2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8E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BFBFB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BFBFBF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BFBFBF"/>
      </bottom>
      <diagonal/>
    </border>
    <border>
      <left/>
      <right/>
      <top style="thin">
        <color indexed="64"/>
      </top>
      <bottom style="medium">
        <color rgb="FFBFBFBF"/>
      </bottom>
      <diagonal/>
    </border>
    <border>
      <left/>
      <right style="medium">
        <color rgb="FFBFBFBF"/>
      </right>
      <top style="thin">
        <color indexed="64"/>
      </top>
      <bottom style="medium">
        <color rgb="FFBFBFB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BFBFBF"/>
      </right>
      <top/>
      <bottom style="thin">
        <color indexed="64"/>
      </bottom>
      <diagonal/>
    </border>
    <border>
      <left style="thin">
        <color indexed="64"/>
      </left>
      <right style="medium">
        <color rgb="FFBFBFBF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</cellStyleXfs>
  <cellXfs count="99">
    <xf numFmtId="0" fontId="0" fillId="0" borderId="0" xfId="0"/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3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/>
    <xf numFmtId="17" fontId="9" fillId="0" borderId="3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3" fillId="0" borderId="0" xfId="0" applyFont="1"/>
    <xf numFmtId="0" fontId="9" fillId="0" borderId="0" xfId="0" applyFont="1"/>
    <xf numFmtId="0" fontId="12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7" fontId="12" fillId="0" borderId="14" xfId="0" applyNumberFormat="1" applyFont="1" applyBorder="1" applyAlignment="1">
      <alignment horizontal="center" vertical="center"/>
    </xf>
    <xf numFmtId="164" fontId="13" fillId="0" borderId="14" xfId="0" applyNumberFormat="1" applyFont="1" applyBorder="1" applyAlignment="1">
      <alignment vertical="center"/>
    </xf>
    <xf numFmtId="17" fontId="12" fillId="0" borderId="3" xfId="0" applyNumberFormat="1" applyFont="1" applyBorder="1" applyAlignment="1">
      <alignment horizontal="center" vertical="center"/>
    </xf>
    <xf numFmtId="164" fontId="13" fillId="0" borderId="3" xfId="0" applyNumberFormat="1" applyFont="1" applyBorder="1" applyAlignment="1">
      <alignment vertical="center"/>
    </xf>
    <xf numFmtId="17" fontId="12" fillId="0" borderId="4" xfId="0" applyNumberFormat="1" applyFont="1" applyBorder="1" applyAlignment="1">
      <alignment horizontal="center" vertical="center"/>
    </xf>
    <xf numFmtId="164" fontId="13" fillId="0" borderId="4" xfId="0" applyNumberFormat="1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66" fontId="10" fillId="0" borderId="0" xfId="2" applyNumberFormat="1" applyFont="1" applyBorder="1" applyAlignment="1">
      <alignment vertical="center"/>
    </xf>
    <xf numFmtId="166" fontId="12" fillId="0" borderId="4" xfId="2" applyNumberFormat="1" applyFont="1" applyBorder="1" applyAlignment="1">
      <alignment horizontal="center" vertical="center"/>
    </xf>
    <xf numFmtId="166" fontId="9" fillId="0" borderId="0" xfId="2" applyNumberFormat="1" applyFont="1" applyFill="1" applyBorder="1" applyAlignment="1">
      <alignment vertical="center"/>
    </xf>
    <xf numFmtId="166" fontId="13" fillId="0" borderId="16" xfId="2" applyNumberFormat="1" applyFont="1" applyBorder="1" applyAlignment="1">
      <alignment horizontal="center" vertical="center"/>
    </xf>
    <xf numFmtId="166" fontId="13" fillId="0" borderId="15" xfId="2" applyNumberFormat="1" applyFont="1" applyBorder="1" applyAlignment="1">
      <alignment horizontal="center" vertical="center"/>
    </xf>
    <xf numFmtId="166" fontId="13" fillId="0" borderId="14" xfId="2" applyNumberFormat="1" applyFont="1" applyBorder="1" applyAlignment="1">
      <alignment horizontal="center" vertical="center"/>
    </xf>
    <xf numFmtId="166" fontId="13" fillId="0" borderId="12" xfId="2" applyNumberFormat="1" applyFont="1" applyBorder="1" applyAlignment="1">
      <alignment horizontal="center" vertical="center"/>
    </xf>
    <xf numFmtId="166" fontId="13" fillId="0" borderId="11" xfId="2" applyNumberFormat="1" applyFont="1" applyBorder="1" applyAlignment="1">
      <alignment horizontal="center" vertical="center"/>
    </xf>
    <xf numFmtId="166" fontId="13" fillId="0" borderId="3" xfId="2" applyNumberFormat="1" applyFont="1" applyBorder="1" applyAlignment="1">
      <alignment horizontal="center" vertical="center"/>
    </xf>
    <xf numFmtId="166" fontId="13" fillId="0" borderId="8" xfId="2" applyNumberFormat="1" applyFont="1" applyBorder="1" applyAlignment="1">
      <alignment horizontal="center" vertical="center"/>
    </xf>
    <xf numFmtId="166" fontId="13" fillId="0" borderId="7" xfId="2" applyNumberFormat="1" applyFont="1" applyBorder="1" applyAlignment="1">
      <alignment horizontal="center" vertical="center"/>
    </xf>
    <xf numFmtId="166" fontId="13" fillId="0" borderId="4" xfId="2" applyNumberFormat="1" applyFont="1" applyBorder="1" applyAlignment="1">
      <alignment horizontal="center" vertical="center"/>
    </xf>
    <xf numFmtId="43" fontId="0" fillId="0" borderId="0" xfId="2" applyFont="1"/>
    <xf numFmtId="3" fontId="9" fillId="0" borderId="3" xfId="0" applyNumberFormat="1" applyFon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/>
    </xf>
    <xf numFmtId="166" fontId="0" fillId="0" borderId="0" xfId="2" applyNumberFormat="1" applyFont="1"/>
    <xf numFmtId="3" fontId="12" fillId="0" borderId="6" xfId="2" applyNumberFormat="1" applyFont="1" applyBorder="1" applyAlignment="1">
      <alignment horizontal="center" vertical="center"/>
    </xf>
    <xf numFmtId="166" fontId="13" fillId="0" borderId="0" xfId="2" applyNumberFormat="1" applyFont="1" applyFill="1" applyBorder="1" applyAlignment="1">
      <alignment horizontal="center" vertical="center"/>
    </xf>
    <xf numFmtId="3" fontId="0" fillId="0" borderId="0" xfId="0" applyNumberFormat="1"/>
    <xf numFmtId="166" fontId="0" fillId="0" borderId="0" xfId="0" applyNumberFormat="1"/>
    <xf numFmtId="166" fontId="10" fillId="0" borderId="0" xfId="2" applyNumberFormat="1" applyFont="1" applyFill="1" applyBorder="1" applyAlignment="1">
      <alignment vertical="center"/>
    </xf>
    <xf numFmtId="10" fontId="0" fillId="0" borderId="0" xfId="1" applyNumberFormat="1" applyFont="1"/>
    <xf numFmtId="0" fontId="7" fillId="0" borderId="0" xfId="0" applyFont="1" applyAlignment="1">
      <alignment horizontal="left" wrapText="1"/>
    </xf>
    <xf numFmtId="166" fontId="15" fillId="0" borderId="0" xfId="0" applyNumberFormat="1" applyFont="1"/>
    <xf numFmtId="0" fontId="7" fillId="0" borderId="0" xfId="0" applyFont="1" applyAlignment="1">
      <alignment wrapText="1"/>
    </xf>
    <xf numFmtId="43" fontId="10" fillId="0" borderId="1" xfId="2" applyFont="1" applyBorder="1" applyAlignment="1">
      <alignment vertical="center"/>
    </xf>
    <xf numFmtId="166" fontId="10" fillId="0" borderId="1" xfId="2" applyNumberFormat="1" applyFont="1" applyBorder="1" applyAlignment="1">
      <alignment horizontal="center" vertical="center"/>
    </xf>
    <xf numFmtId="166" fontId="9" fillId="0" borderId="3" xfId="2" applyNumberFormat="1" applyFont="1" applyBorder="1" applyAlignment="1">
      <alignment horizontal="center" vertical="center"/>
    </xf>
    <xf numFmtId="166" fontId="9" fillId="0" borderId="2" xfId="2" applyNumberFormat="1" applyFont="1" applyBorder="1" applyAlignment="1">
      <alignment horizontal="center" vertical="center"/>
    </xf>
    <xf numFmtId="0" fontId="16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6" fontId="10" fillId="0" borderId="1" xfId="2" applyNumberFormat="1" applyFont="1" applyBorder="1" applyAlignment="1">
      <alignment vertical="center"/>
    </xf>
    <xf numFmtId="0" fontId="18" fillId="0" borderId="0" xfId="0" applyFont="1"/>
    <xf numFmtId="0" fontId="19" fillId="0" borderId="0" xfId="0" applyFont="1"/>
    <xf numFmtId="166" fontId="10" fillId="0" borderId="0" xfId="2" applyNumberFormat="1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9" fillId="2" borderId="5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10" fontId="9" fillId="2" borderId="5" xfId="1" applyNumberFormat="1" applyFont="1" applyFill="1" applyBorder="1" applyAlignment="1">
      <alignment horizontal="center" vertical="center"/>
    </xf>
    <xf numFmtId="10" fontId="9" fillId="2" borderId="2" xfId="1" applyNumberFormat="1" applyFont="1" applyFill="1" applyBorder="1" applyAlignment="1">
      <alignment horizontal="center" vertical="center"/>
    </xf>
    <xf numFmtId="10" fontId="9" fillId="2" borderId="4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7" fontId="14" fillId="0" borderId="1" xfId="0" applyNumberFormat="1" applyFont="1" applyBorder="1" applyAlignment="1">
      <alignment horizontal="center" vertical="center"/>
    </xf>
    <xf numFmtId="3" fontId="13" fillId="0" borderId="13" xfId="2" applyNumberFormat="1" applyFont="1" applyBorder="1" applyAlignment="1">
      <alignment horizontal="center" vertical="center"/>
    </xf>
    <xf numFmtId="3" fontId="13" fillId="0" borderId="10" xfId="2" applyNumberFormat="1" applyFont="1" applyBorder="1" applyAlignment="1">
      <alignment horizontal="center" vertical="center"/>
    </xf>
    <xf numFmtId="3" fontId="13" fillId="0" borderId="6" xfId="2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6" fontId="9" fillId="2" borderId="5" xfId="2" applyNumberFormat="1" applyFont="1" applyFill="1" applyBorder="1" applyAlignment="1">
      <alignment horizontal="center" vertical="center"/>
    </xf>
    <xf numFmtId="166" fontId="9" fillId="2" borderId="2" xfId="2" applyNumberFormat="1" applyFont="1" applyFill="1" applyBorder="1" applyAlignment="1">
      <alignment horizontal="center" vertical="center"/>
    </xf>
    <xf numFmtId="166" fontId="9" fillId="2" borderId="4" xfId="2" applyNumberFormat="1" applyFont="1" applyFill="1" applyBorder="1" applyAlignment="1">
      <alignment horizontal="center" vertical="center"/>
    </xf>
    <xf numFmtId="43" fontId="9" fillId="2" borderId="5" xfId="2" applyFont="1" applyFill="1" applyBorder="1" applyAlignment="1">
      <alignment horizontal="center" vertical="center"/>
    </xf>
    <xf numFmtId="43" fontId="9" fillId="2" borderId="2" xfId="2" applyFont="1" applyFill="1" applyBorder="1" applyAlignment="1">
      <alignment horizontal="center" vertical="center"/>
    </xf>
    <xf numFmtId="43" fontId="9" fillId="2" borderId="4" xfId="2" applyFont="1" applyFill="1" applyBorder="1" applyAlignment="1">
      <alignment horizontal="center" vertical="center"/>
    </xf>
  </cellXfs>
  <cellStyles count="5">
    <cellStyle name="Millares" xfId="2" builtinId="3"/>
    <cellStyle name="Millares 2" xfId="3" xr:uid="{49CB2514-9935-4DA5-AB0D-8763E7E254B0}"/>
    <cellStyle name="Millares 2 4" xfId="4" xr:uid="{82E7BE6C-3E21-4944-8A70-73D5C9EF3D48}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8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B8028-0607-472D-862D-16CC23D9CF49}">
  <sheetPr>
    <tabColor rgb="FFFF0000"/>
  </sheetPr>
  <dimension ref="A1:H37"/>
  <sheetViews>
    <sheetView showGridLines="0" tabSelected="1" topLeftCell="A7" zoomScaleNormal="100" zoomScaleSheetLayoutView="140" workbookViewId="0">
      <selection activeCell="F10" sqref="F10:F21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5.85546875" customWidth="1"/>
    <col min="6" max="6" width="13.85546875" customWidth="1"/>
    <col min="7" max="7" width="19.7109375" customWidth="1"/>
    <col min="8" max="8" width="18" customWidth="1"/>
    <col min="9" max="16384" width="11.42578125" hidden="1"/>
  </cols>
  <sheetData>
    <row r="1" spans="2:8" x14ac:dyDescent="0.25"/>
    <row r="2" spans="2:8" x14ac:dyDescent="0.25"/>
    <row r="3" spans="2:8" x14ac:dyDescent="0.25">
      <c r="B3" s="73" t="s">
        <v>48</v>
      </c>
      <c r="C3" s="73"/>
      <c r="D3" s="73"/>
      <c r="E3" s="73"/>
      <c r="F3" s="73"/>
      <c r="G3" s="29"/>
    </row>
    <row r="4" spans="2:8" x14ac:dyDescent="0.25">
      <c r="B4" s="73" t="s">
        <v>41</v>
      </c>
      <c r="C4" s="73"/>
      <c r="D4" s="73"/>
      <c r="E4" s="73"/>
      <c r="F4" s="73"/>
      <c r="G4" s="29"/>
    </row>
    <row r="5" spans="2:8" x14ac:dyDescent="0.25">
      <c r="B5" s="73" t="s">
        <v>81</v>
      </c>
      <c r="C5" s="73"/>
      <c r="D5" s="73"/>
      <c r="E5" s="73"/>
      <c r="F5" s="73"/>
      <c r="G5" s="29"/>
    </row>
    <row r="6" spans="2:8" x14ac:dyDescent="0.25">
      <c r="B6" s="5"/>
      <c r="C6" s="5"/>
      <c r="D6" s="5"/>
      <c r="E6" s="5"/>
      <c r="F6" s="5"/>
      <c r="G6" s="5"/>
    </row>
    <row r="7" spans="2:8" x14ac:dyDescent="0.25"/>
    <row r="8" spans="2:8" ht="15" customHeight="1" x14ac:dyDescent="0.25">
      <c r="B8" s="74" t="s">
        <v>4</v>
      </c>
      <c r="C8" s="74" t="s">
        <v>39</v>
      </c>
      <c r="D8" s="74" t="s">
        <v>43</v>
      </c>
      <c r="E8" s="74" t="s">
        <v>40</v>
      </c>
      <c r="F8" s="74" t="s">
        <v>45</v>
      </c>
      <c r="G8" s="28"/>
    </row>
    <row r="9" spans="2:8" ht="23.25" customHeight="1" x14ac:dyDescent="0.25">
      <c r="B9" s="75"/>
      <c r="C9" s="75"/>
      <c r="D9" s="75"/>
      <c r="E9" s="75"/>
      <c r="F9" s="75"/>
      <c r="G9" s="28"/>
    </row>
    <row r="10" spans="2:8" ht="15.75" thickBot="1" x14ac:dyDescent="0.3">
      <c r="B10" s="8">
        <v>46023</v>
      </c>
      <c r="C10" s="43">
        <f>+'Anexo 8'!AC6</f>
        <v>23221203</v>
      </c>
      <c r="D10" s="70"/>
      <c r="E10" s="57">
        <f>+'Cantidades Ofertadas Prod 1'!AC6</f>
        <v>0</v>
      </c>
      <c r="F10" s="67"/>
      <c r="G10" s="32"/>
      <c r="H10" s="51"/>
    </row>
    <row r="11" spans="2:8" ht="15.75" thickBot="1" x14ac:dyDescent="0.3">
      <c r="B11" s="8">
        <v>46054</v>
      </c>
      <c r="C11" s="43">
        <f>+'Anexo 8'!AC9</f>
        <v>23785588</v>
      </c>
      <c r="D11" s="71"/>
      <c r="E11" s="57">
        <f>+'Cantidades Ofertadas Prod 1'!AC9</f>
        <v>0</v>
      </c>
      <c r="F11" s="68"/>
      <c r="G11" s="32"/>
      <c r="H11" s="51"/>
    </row>
    <row r="12" spans="2:8" ht="15.75" thickBot="1" x14ac:dyDescent="0.3">
      <c r="B12" s="8">
        <v>46082</v>
      </c>
      <c r="C12" s="43">
        <f>+'Anexo 8'!AC12</f>
        <v>31383419</v>
      </c>
      <c r="D12" s="71"/>
      <c r="E12" s="57">
        <f>+'Cantidades Ofertadas Prod 1'!AC12</f>
        <v>0</v>
      </c>
      <c r="F12" s="68"/>
      <c r="G12" s="32"/>
      <c r="H12" s="51"/>
    </row>
    <row r="13" spans="2:8" ht="15.75" thickBot="1" x14ac:dyDescent="0.3">
      <c r="B13" s="8">
        <v>46113</v>
      </c>
      <c r="C13" s="43">
        <f>+'Anexo 8'!AC15</f>
        <v>25056664</v>
      </c>
      <c r="D13" s="71"/>
      <c r="E13" s="57">
        <f>+'Cantidades Ofertadas Prod 1'!AC15</f>
        <v>0</v>
      </c>
      <c r="F13" s="68"/>
      <c r="G13" s="32"/>
      <c r="H13" s="51"/>
    </row>
    <row r="14" spans="2:8" ht="15.75" thickBot="1" x14ac:dyDescent="0.3">
      <c r="B14" s="8">
        <v>46143</v>
      </c>
      <c r="C14" s="43">
        <f>+'Anexo 8'!AC18</f>
        <v>27370737</v>
      </c>
      <c r="D14" s="71"/>
      <c r="E14" s="57">
        <f>+'Cantidades Ofertadas Prod 1'!AC18</f>
        <v>0</v>
      </c>
      <c r="F14" s="68"/>
      <c r="G14" s="32"/>
      <c r="H14" s="51"/>
    </row>
    <row r="15" spans="2:8" ht="15.75" thickBot="1" x14ac:dyDescent="0.3">
      <c r="B15" s="8">
        <v>46174</v>
      </c>
      <c r="C15" s="43">
        <f>+'Anexo 8'!AC21</f>
        <v>29093091</v>
      </c>
      <c r="D15" s="71"/>
      <c r="E15" s="57">
        <f>+'Cantidades Ofertadas Prod 1'!AC21</f>
        <v>0</v>
      </c>
      <c r="F15" s="68"/>
      <c r="G15" s="32"/>
      <c r="H15" s="51"/>
    </row>
    <row r="16" spans="2:8" ht="15.75" thickBot="1" x14ac:dyDescent="0.3">
      <c r="B16" s="8">
        <v>46204</v>
      </c>
      <c r="C16" s="43">
        <f>+'Anexo 8'!AC24</f>
        <v>29539875</v>
      </c>
      <c r="D16" s="71"/>
      <c r="E16" s="57">
        <f>+'Cantidades Ofertadas Prod 1'!AC24</f>
        <v>0</v>
      </c>
      <c r="F16" s="68"/>
      <c r="G16" s="32"/>
      <c r="H16" s="51"/>
    </row>
    <row r="17" spans="1:8" ht="15.75" thickBot="1" x14ac:dyDescent="0.3">
      <c r="B17" s="8">
        <v>46235</v>
      </c>
      <c r="C17" s="43">
        <f>+'Anexo 8'!AC27</f>
        <v>30580393</v>
      </c>
      <c r="D17" s="71"/>
      <c r="E17" s="57">
        <f>+'Cantidades Ofertadas Prod 1'!AC27</f>
        <v>0</v>
      </c>
      <c r="F17" s="68"/>
      <c r="G17" s="32"/>
      <c r="H17" s="51"/>
    </row>
    <row r="18" spans="1:8" ht="15.75" thickBot="1" x14ac:dyDescent="0.3">
      <c r="B18" s="8">
        <v>46266</v>
      </c>
      <c r="C18" s="43">
        <f>+'Anexo 8'!AC30</f>
        <v>32899598</v>
      </c>
      <c r="D18" s="71"/>
      <c r="E18" s="57">
        <f>+'Cantidades Ofertadas Prod 1'!AC30</f>
        <v>0</v>
      </c>
      <c r="F18" s="68"/>
      <c r="G18" s="32"/>
      <c r="H18" s="51"/>
    </row>
    <row r="19" spans="1:8" ht="15.75" thickBot="1" x14ac:dyDescent="0.3">
      <c r="B19" s="8">
        <v>46296</v>
      </c>
      <c r="C19" s="43">
        <f>+'Anexo 8'!AC33</f>
        <v>32296425</v>
      </c>
      <c r="D19" s="71"/>
      <c r="E19" s="57">
        <f>+'Cantidades Ofertadas Prod 1'!AC33</f>
        <v>0</v>
      </c>
      <c r="F19" s="68"/>
      <c r="G19" s="32"/>
      <c r="H19" s="51"/>
    </row>
    <row r="20" spans="1:8" ht="15.75" thickBot="1" x14ac:dyDescent="0.3">
      <c r="B20" s="8">
        <v>46327</v>
      </c>
      <c r="C20" s="43">
        <f>+'Anexo 8'!AC36</f>
        <v>29221777</v>
      </c>
      <c r="D20" s="71"/>
      <c r="E20" s="57">
        <f>+'Cantidades Ofertadas Prod 1'!AC36</f>
        <v>0</v>
      </c>
      <c r="F20" s="68"/>
      <c r="G20" s="32"/>
      <c r="H20" s="51"/>
    </row>
    <row r="21" spans="1:8" ht="15.75" thickBot="1" x14ac:dyDescent="0.3">
      <c r="B21" s="8">
        <v>46357</v>
      </c>
      <c r="C21" s="44">
        <f>+'Anexo 8'!AC39</f>
        <v>33826029</v>
      </c>
      <c r="D21" s="72"/>
      <c r="E21" s="58">
        <f>+'Cantidades Ofertadas Prod 1'!AC39</f>
        <v>0</v>
      </c>
      <c r="F21" s="69"/>
      <c r="G21" s="32"/>
      <c r="H21" s="51"/>
    </row>
    <row r="22" spans="1:8" ht="28.5" customHeight="1" x14ac:dyDescent="0.25">
      <c r="B22" s="9" t="s">
        <v>3</v>
      </c>
      <c r="C22" s="10">
        <f>+SUM(C10:C21)</f>
        <v>348274799</v>
      </c>
      <c r="D22" s="62"/>
      <c r="E22" s="56">
        <f>SUM(E10:E21)</f>
        <v>0</v>
      </c>
      <c r="F22" s="55">
        <f>+F10</f>
        <v>0</v>
      </c>
      <c r="G22" s="50"/>
      <c r="H22" s="42"/>
    </row>
    <row r="23" spans="1:8" x14ac:dyDescent="0.25">
      <c r="B23" s="7" t="s">
        <v>61</v>
      </c>
      <c r="C23" s="25"/>
      <c r="D23" s="30"/>
      <c r="E23" s="25"/>
      <c r="F23" s="26"/>
      <c r="G23" s="26"/>
      <c r="H23" s="42"/>
    </row>
    <row r="24" spans="1:8" x14ac:dyDescent="0.25">
      <c r="B24" s="66" t="s">
        <v>49</v>
      </c>
      <c r="C24" s="66"/>
      <c r="D24" s="66"/>
      <c r="E24" s="66"/>
      <c r="F24" s="66"/>
      <c r="G24" s="66"/>
      <c r="H24" s="54"/>
    </row>
    <row r="25" spans="1:8" x14ac:dyDescent="0.25">
      <c r="B25" s="7" t="s">
        <v>100</v>
      </c>
      <c r="C25" s="52"/>
      <c r="D25" s="52"/>
      <c r="E25" s="52"/>
      <c r="F25" s="52"/>
      <c r="G25" s="52"/>
      <c r="H25" s="42"/>
    </row>
    <row r="26" spans="1:8" x14ac:dyDescent="0.25">
      <c r="B26" s="7" t="s">
        <v>62</v>
      </c>
      <c r="C26" s="52"/>
      <c r="D26" s="52"/>
      <c r="E26" s="52"/>
      <c r="F26" s="52"/>
      <c r="G26" s="52"/>
      <c r="H26" s="42"/>
    </row>
    <row r="27" spans="1:8" ht="15" hidden="1" customHeight="1" x14ac:dyDescent="0.25">
      <c r="A27" s="2" t="s">
        <v>2</v>
      </c>
      <c r="H27" s="42">
        <f t="shared" ref="H27:H29" si="0">+C27-G27</f>
        <v>0</v>
      </c>
    </row>
    <row r="28" spans="1:8" ht="15" hidden="1" customHeight="1" x14ac:dyDescent="0.25">
      <c r="A28" s="1" t="s">
        <v>1</v>
      </c>
      <c r="H28" s="42">
        <f t="shared" si="0"/>
        <v>0</v>
      </c>
    </row>
    <row r="29" spans="1:8" ht="15" hidden="1" customHeight="1" x14ac:dyDescent="0.25">
      <c r="A29" s="1" t="s">
        <v>0</v>
      </c>
      <c r="H29" s="42">
        <f t="shared" si="0"/>
        <v>0</v>
      </c>
    </row>
    <row r="30" spans="1:8" x14ac:dyDescent="0.25">
      <c r="B30" s="7" t="s">
        <v>46</v>
      </c>
    </row>
    <row r="31" spans="1:8" x14ac:dyDescent="0.25">
      <c r="B31" s="7" t="s">
        <v>104</v>
      </c>
    </row>
    <row r="32" spans="1:8" x14ac:dyDescent="0.25">
      <c r="C32" s="45"/>
    </row>
    <row r="33" spans="2:5" x14ac:dyDescent="0.25"/>
    <row r="34" spans="2:5" x14ac:dyDescent="0.25">
      <c r="B34" s="60" t="s">
        <v>56</v>
      </c>
      <c r="C34" s="60"/>
      <c r="D34" s="60"/>
      <c r="E34" s="60"/>
    </row>
    <row r="35" spans="2:5" x14ac:dyDescent="0.25">
      <c r="B35" s="61" t="s">
        <v>57</v>
      </c>
      <c r="C35" s="61"/>
      <c r="D35" s="61"/>
      <c r="E35" s="61"/>
    </row>
    <row r="36" spans="2:5" x14ac:dyDescent="0.25">
      <c r="B36" s="61" t="s">
        <v>58</v>
      </c>
    </row>
    <row r="37" spans="2:5" x14ac:dyDescent="0.25"/>
  </sheetData>
  <mergeCells count="11">
    <mergeCell ref="B24:G24"/>
    <mergeCell ref="F10:F21"/>
    <mergeCell ref="D10:D21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decimal" allowBlank="1" showInputMessage="1" showErrorMessage="1" errorTitle="Dato No valido" error="Debe ingresar un valor entre 0 y 100_x000a_" sqref="D10:D21" xr:uid="{18383341-0F85-45AA-A7BD-3F02125829C3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3DF7-6557-4880-83A6-C35257F7B616}">
  <sheetPr>
    <tabColor rgb="FFFF0000"/>
  </sheetPr>
  <dimension ref="A1:AD46"/>
  <sheetViews>
    <sheetView showGridLines="0" zoomScale="115" zoomScaleNormal="115" zoomScaleSheetLayoutView="110" workbookViewId="0">
      <pane xSplit="2" ySplit="5" topLeftCell="K36" activePane="bottomRight" state="frozen"/>
      <selection pane="topRight" activeCell="C1" sqref="C1"/>
      <selection pane="bottomLeft" activeCell="A6" sqref="A6"/>
      <selection pane="bottomRight" sqref="A1:AC42"/>
    </sheetView>
  </sheetViews>
  <sheetFormatPr baseColWidth="10" defaultColWidth="0" defaultRowHeight="0" customHeight="1" zeroHeight="1" x14ac:dyDescent="0.25"/>
  <cols>
    <col min="1" max="1" width="6.42578125" customWidth="1"/>
    <col min="2" max="3" width="8.7109375" bestFit="1" customWidth="1"/>
    <col min="4" max="4" width="8.42578125" bestFit="1" customWidth="1"/>
    <col min="5" max="6" width="8.7109375" bestFit="1" customWidth="1"/>
    <col min="7" max="8" width="9" bestFit="1" customWidth="1"/>
    <col min="9" max="9" width="8" bestFit="1" customWidth="1"/>
    <col min="10" max="10" width="8.7109375" bestFit="1" customWidth="1"/>
    <col min="11" max="11" width="9" bestFit="1" customWidth="1"/>
    <col min="12" max="12" width="8.7109375" bestFit="1" customWidth="1"/>
    <col min="13" max="13" width="9" bestFit="1" customWidth="1"/>
    <col min="14" max="14" width="8.7109375" bestFit="1" customWidth="1"/>
    <col min="15" max="15" width="9" bestFit="1" customWidth="1"/>
    <col min="16" max="17" width="8.7109375" bestFit="1" customWidth="1"/>
    <col min="18" max="18" width="9" bestFit="1" customWidth="1"/>
    <col min="19" max="19" width="8.7109375" bestFit="1" customWidth="1"/>
    <col min="20" max="20" width="8.140625" bestFit="1" customWidth="1"/>
    <col min="21" max="21" width="8.7109375" bestFit="1" customWidth="1"/>
    <col min="22" max="22" width="8" bestFit="1" customWidth="1"/>
    <col min="23" max="23" width="7.7109375" customWidth="1"/>
    <col min="24" max="26" width="8" bestFit="1" customWidth="1"/>
    <col min="27" max="27" width="10.14062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6" t="s">
        <v>50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8"/>
    </row>
    <row r="2" spans="1:30" ht="15" x14ac:dyDescent="0.25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1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5" x14ac:dyDescent="0.25">
      <c r="A4" s="92" t="s">
        <v>38</v>
      </c>
      <c r="B4" s="92" t="s">
        <v>37</v>
      </c>
      <c r="C4" s="84" t="s">
        <v>36</v>
      </c>
      <c r="D4" s="84" t="s">
        <v>35</v>
      </c>
      <c r="E4" s="84" t="s">
        <v>34</v>
      </c>
      <c r="F4" s="84" t="s">
        <v>33</v>
      </c>
      <c r="G4" s="84" t="s">
        <v>32</v>
      </c>
      <c r="H4" s="84" t="s">
        <v>31</v>
      </c>
      <c r="I4" s="84" t="s">
        <v>30</v>
      </c>
      <c r="J4" s="84" t="s">
        <v>29</v>
      </c>
      <c r="K4" s="84" t="s">
        <v>28</v>
      </c>
      <c r="L4" s="84" t="s">
        <v>27</v>
      </c>
      <c r="M4" s="84" t="s">
        <v>26</v>
      </c>
      <c r="N4" s="84" t="s">
        <v>25</v>
      </c>
      <c r="O4" s="84" t="s">
        <v>24</v>
      </c>
      <c r="P4" s="84" t="s">
        <v>23</v>
      </c>
      <c r="Q4" s="84" t="s">
        <v>22</v>
      </c>
      <c r="R4" s="84" t="s">
        <v>21</v>
      </c>
      <c r="S4" s="84" t="s">
        <v>20</v>
      </c>
      <c r="T4" s="84" t="s">
        <v>19</v>
      </c>
      <c r="U4" s="84" t="s">
        <v>18</v>
      </c>
      <c r="V4" s="84" t="s">
        <v>17</v>
      </c>
      <c r="W4" s="84" t="s">
        <v>16</v>
      </c>
      <c r="X4" s="84" t="s">
        <v>15</v>
      </c>
      <c r="Y4" s="84" t="s">
        <v>14</v>
      </c>
      <c r="Z4" s="84" t="s">
        <v>13</v>
      </c>
      <c r="AA4" s="14" t="s">
        <v>12</v>
      </c>
      <c r="AB4" s="15" t="s">
        <v>11</v>
      </c>
      <c r="AC4" s="82" t="s">
        <v>10</v>
      </c>
    </row>
    <row r="5" spans="1:30" ht="15" x14ac:dyDescent="0.25">
      <c r="A5" s="92"/>
      <c r="B5" s="92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16"/>
      <c r="AB5" s="17" t="s">
        <v>9</v>
      </c>
      <c r="AC5" s="83"/>
    </row>
    <row r="6" spans="1:30" ht="15.75" thickBot="1" x14ac:dyDescent="0.3">
      <c r="A6" s="78">
        <v>46023</v>
      </c>
      <c r="B6" s="18" t="s">
        <v>8</v>
      </c>
      <c r="C6" s="33">
        <v>26852</v>
      </c>
      <c r="D6" s="33">
        <v>25740</v>
      </c>
      <c r="E6" s="33">
        <v>24756</v>
      </c>
      <c r="F6" s="33">
        <v>24169</v>
      </c>
      <c r="G6" s="33">
        <v>24068</v>
      </c>
      <c r="H6" s="33">
        <v>23304</v>
      </c>
      <c r="I6" s="33">
        <v>22282</v>
      </c>
      <c r="J6" s="33">
        <v>41766</v>
      </c>
      <c r="K6" s="33">
        <v>43930</v>
      </c>
      <c r="L6" s="33">
        <v>45027</v>
      </c>
      <c r="M6" s="33">
        <v>46200</v>
      </c>
      <c r="N6" s="33">
        <v>48504</v>
      </c>
      <c r="O6" s="33">
        <v>50324</v>
      </c>
      <c r="P6" s="33">
        <v>50988</v>
      </c>
      <c r="Q6" s="33">
        <v>50590</v>
      </c>
      <c r="R6" s="33">
        <v>50629</v>
      </c>
      <c r="S6" s="33">
        <v>49808</v>
      </c>
      <c r="T6" s="33">
        <v>25237</v>
      </c>
      <c r="U6" s="33">
        <v>23329</v>
      </c>
      <c r="V6" s="33">
        <v>18754</v>
      </c>
      <c r="W6" s="33">
        <v>18392</v>
      </c>
      <c r="X6" s="33">
        <v>19629</v>
      </c>
      <c r="Y6" s="33">
        <v>21011</v>
      </c>
      <c r="Z6" s="34">
        <v>20881</v>
      </c>
      <c r="AA6" s="35">
        <f>SUM(C6:Z6)</f>
        <v>796170</v>
      </c>
      <c r="AB6" s="19">
        <v>20</v>
      </c>
      <c r="AC6" s="79">
        <f>+AA6*AB6+AA7*AB7+AA8*AB8</f>
        <v>23221203</v>
      </c>
    </row>
    <row r="7" spans="1:30" ht="15.75" thickBot="1" x14ac:dyDescent="0.3">
      <c r="A7" s="78"/>
      <c r="B7" s="20" t="s">
        <v>7</v>
      </c>
      <c r="C7" s="36">
        <v>24280</v>
      </c>
      <c r="D7" s="36">
        <v>22980</v>
      </c>
      <c r="E7" s="36">
        <v>22039</v>
      </c>
      <c r="F7" s="36">
        <v>21315</v>
      </c>
      <c r="G7" s="36">
        <v>21141</v>
      </c>
      <c r="H7" s="36">
        <v>21493</v>
      </c>
      <c r="I7" s="36">
        <v>21252</v>
      </c>
      <c r="J7" s="36">
        <v>39914</v>
      </c>
      <c r="K7" s="36">
        <v>42076</v>
      </c>
      <c r="L7" s="36">
        <v>43340</v>
      </c>
      <c r="M7" s="36">
        <v>43556</v>
      </c>
      <c r="N7" s="36">
        <v>45217</v>
      </c>
      <c r="O7" s="36">
        <v>46195</v>
      </c>
      <c r="P7" s="36">
        <v>46343</v>
      </c>
      <c r="Q7" s="36">
        <v>46583</v>
      </c>
      <c r="R7" s="36">
        <v>47215</v>
      </c>
      <c r="S7" s="36">
        <v>47964</v>
      </c>
      <c r="T7" s="36">
        <v>25550</v>
      </c>
      <c r="U7" s="36">
        <v>23637</v>
      </c>
      <c r="V7" s="36">
        <v>18623</v>
      </c>
      <c r="W7" s="36">
        <v>16802</v>
      </c>
      <c r="X7" s="36">
        <v>15507</v>
      </c>
      <c r="Y7" s="36">
        <v>15845</v>
      </c>
      <c r="Z7" s="37">
        <v>16310</v>
      </c>
      <c r="AA7" s="38">
        <f t="shared" ref="AA7:AA41" si="0">SUM(C7:Z7)</f>
        <v>735177</v>
      </c>
      <c r="AB7" s="21">
        <v>5</v>
      </c>
      <c r="AC7" s="80"/>
      <c r="AD7" s="47"/>
    </row>
    <row r="8" spans="1:30" ht="15" x14ac:dyDescent="0.25">
      <c r="A8" s="78"/>
      <c r="B8" s="22" t="s">
        <v>6</v>
      </c>
      <c r="C8" s="39">
        <v>20522</v>
      </c>
      <c r="D8" s="39">
        <v>19583</v>
      </c>
      <c r="E8" s="39">
        <v>19952</v>
      </c>
      <c r="F8" s="39">
        <v>19425</v>
      </c>
      <c r="G8" s="39">
        <v>19136</v>
      </c>
      <c r="H8" s="39">
        <v>19327</v>
      </c>
      <c r="I8" s="39">
        <v>17713</v>
      </c>
      <c r="J8" s="39">
        <v>34273</v>
      </c>
      <c r="K8" s="39">
        <v>35693</v>
      </c>
      <c r="L8" s="39">
        <v>36782</v>
      </c>
      <c r="M8" s="39">
        <v>37433</v>
      </c>
      <c r="N8" s="39">
        <v>38459</v>
      </c>
      <c r="O8" s="39">
        <v>39993</v>
      </c>
      <c r="P8" s="39">
        <v>40586</v>
      </c>
      <c r="Q8" s="39">
        <v>40909</v>
      </c>
      <c r="R8" s="39">
        <v>41033</v>
      </c>
      <c r="S8" s="39">
        <v>41401</v>
      </c>
      <c r="T8" s="39">
        <v>17157</v>
      </c>
      <c r="U8" s="39">
        <v>12272</v>
      </c>
      <c r="V8" s="39">
        <v>8145</v>
      </c>
      <c r="W8" s="39">
        <v>8206</v>
      </c>
      <c r="X8" s="39">
        <v>9450</v>
      </c>
      <c r="Y8" s="39">
        <v>12700</v>
      </c>
      <c r="Z8" s="40">
        <v>13503</v>
      </c>
      <c r="AA8" s="41">
        <f t="shared" si="0"/>
        <v>603653</v>
      </c>
      <c r="AB8" s="23">
        <v>6</v>
      </c>
      <c r="AC8" s="81"/>
      <c r="AD8" s="48"/>
    </row>
    <row r="9" spans="1:30" ht="15.75" thickBot="1" x14ac:dyDescent="0.3">
      <c r="A9" s="78">
        <v>46054</v>
      </c>
      <c r="B9" s="18" t="s">
        <v>8</v>
      </c>
      <c r="C9" s="33">
        <v>29466</v>
      </c>
      <c r="D9" s="33">
        <v>27901</v>
      </c>
      <c r="E9" s="33">
        <v>27147</v>
      </c>
      <c r="F9" s="33">
        <v>26615</v>
      </c>
      <c r="G9" s="33">
        <v>26465</v>
      </c>
      <c r="H9" s="33">
        <v>25042</v>
      </c>
      <c r="I9" s="33">
        <v>23982</v>
      </c>
      <c r="J9" s="33">
        <v>44776</v>
      </c>
      <c r="K9" s="33">
        <v>47891</v>
      </c>
      <c r="L9" s="33">
        <v>48955</v>
      </c>
      <c r="M9" s="33">
        <v>49736</v>
      </c>
      <c r="N9" s="33">
        <v>51692</v>
      </c>
      <c r="O9" s="33">
        <v>52947</v>
      </c>
      <c r="P9" s="33">
        <v>53301</v>
      </c>
      <c r="Q9" s="33">
        <v>53362</v>
      </c>
      <c r="R9" s="33">
        <v>52857</v>
      </c>
      <c r="S9" s="33">
        <v>52878</v>
      </c>
      <c r="T9" s="33">
        <v>26901</v>
      </c>
      <c r="U9" s="33">
        <v>24274</v>
      </c>
      <c r="V9" s="33">
        <v>19386</v>
      </c>
      <c r="W9" s="33">
        <v>19373</v>
      </c>
      <c r="X9" s="33">
        <v>19693</v>
      </c>
      <c r="Y9" s="33">
        <v>22070</v>
      </c>
      <c r="Z9" s="34">
        <v>23127</v>
      </c>
      <c r="AA9" s="35">
        <f t="shared" si="0"/>
        <v>849837</v>
      </c>
      <c r="AB9" s="19">
        <v>20</v>
      </c>
      <c r="AC9" s="79">
        <f>+AA9*AB9+AA10*AB10+AA11*AB11</f>
        <v>23785588</v>
      </c>
    </row>
    <row r="10" spans="1:30" ht="15.75" thickBot="1" x14ac:dyDescent="0.3">
      <c r="A10" s="78"/>
      <c r="B10" s="20" t="s">
        <v>7</v>
      </c>
      <c r="C10" s="36">
        <v>28967</v>
      </c>
      <c r="D10" s="36">
        <v>27462</v>
      </c>
      <c r="E10" s="36">
        <v>26582</v>
      </c>
      <c r="F10" s="36">
        <v>25843</v>
      </c>
      <c r="G10" s="36">
        <v>25422</v>
      </c>
      <c r="H10" s="36">
        <v>24775</v>
      </c>
      <c r="I10" s="36">
        <v>24794</v>
      </c>
      <c r="J10" s="36">
        <v>43202</v>
      </c>
      <c r="K10" s="36">
        <v>46680</v>
      </c>
      <c r="L10" s="36">
        <v>47748</v>
      </c>
      <c r="M10" s="36">
        <v>48338</v>
      </c>
      <c r="N10" s="36">
        <v>50561</v>
      </c>
      <c r="O10" s="36">
        <v>51781</v>
      </c>
      <c r="P10" s="36">
        <v>52025</v>
      </c>
      <c r="Q10" s="36">
        <v>52155</v>
      </c>
      <c r="R10" s="36">
        <v>52097</v>
      </c>
      <c r="S10" s="36">
        <v>53043</v>
      </c>
      <c r="T10" s="36">
        <v>30316</v>
      </c>
      <c r="U10" s="36">
        <v>27719</v>
      </c>
      <c r="V10" s="36">
        <v>22938</v>
      </c>
      <c r="W10" s="36">
        <v>21756</v>
      </c>
      <c r="X10" s="36">
        <v>21600</v>
      </c>
      <c r="Y10" s="36">
        <v>23389</v>
      </c>
      <c r="Z10" s="37">
        <v>23070</v>
      </c>
      <c r="AA10" s="38">
        <f t="shared" si="0"/>
        <v>852263</v>
      </c>
      <c r="AB10" s="21">
        <v>4</v>
      </c>
      <c r="AC10" s="80"/>
      <c r="AD10" s="47"/>
    </row>
    <row r="11" spans="1:30" ht="15" x14ac:dyDescent="0.25">
      <c r="A11" s="78"/>
      <c r="B11" s="22" t="s">
        <v>6</v>
      </c>
      <c r="C11" s="39">
        <v>29889</v>
      </c>
      <c r="D11" s="39">
        <v>28702</v>
      </c>
      <c r="E11" s="39">
        <v>28142</v>
      </c>
      <c r="F11" s="39">
        <v>27566</v>
      </c>
      <c r="G11" s="39">
        <v>27130</v>
      </c>
      <c r="H11" s="39">
        <v>26766</v>
      </c>
      <c r="I11" s="39">
        <v>24587</v>
      </c>
      <c r="J11" s="39">
        <v>42199</v>
      </c>
      <c r="K11" s="39">
        <v>45220</v>
      </c>
      <c r="L11" s="39">
        <v>47788</v>
      </c>
      <c r="M11" s="39">
        <v>48539</v>
      </c>
      <c r="N11" s="39">
        <v>47050</v>
      </c>
      <c r="O11" s="39">
        <v>50726</v>
      </c>
      <c r="P11" s="39">
        <v>50639</v>
      </c>
      <c r="Q11" s="39">
        <v>50609</v>
      </c>
      <c r="R11" s="39">
        <v>49876</v>
      </c>
      <c r="S11" s="39">
        <v>50762</v>
      </c>
      <c r="T11" s="39">
        <v>28494</v>
      </c>
      <c r="U11" s="39">
        <v>25444</v>
      </c>
      <c r="V11" s="39">
        <v>21543</v>
      </c>
      <c r="W11" s="39">
        <v>21986</v>
      </c>
      <c r="X11" s="39">
        <v>22621</v>
      </c>
      <c r="Y11" s="39">
        <v>24874</v>
      </c>
      <c r="Z11" s="40">
        <v>23797</v>
      </c>
      <c r="AA11" s="41">
        <f t="shared" si="0"/>
        <v>844949</v>
      </c>
      <c r="AB11" s="23">
        <v>4</v>
      </c>
      <c r="AC11" s="81"/>
      <c r="AD11" s="48"/>
    </row>
    <row r="12" spans="1:30" ht="15.75" thickBot="1" x14ac:dyDescent="0.3">
      <c r="A12" s="78">
        <v>46082</v>
      </c>
      <c r="B12" s="18" t="s">
        <v>8</v>
      </c>
      <c r="C12" s="33">
        <v>34365</v>
      </c>
      <c r="D12" s="33">
        <v>32953</v>
      </c>
      <c r="E12" s="33">
        <v>32400</v>
      </c>
      <c r="F12" s="33">
        <v>31895</v>
      </c>
      <c r="G12" s="33">
        <v>32121</v>
      </c>
      <c r="H12" s="33">
        <v>32020</v>
      </c>
      <c r="I12" s="33">
        <v>31798</v>
      </c>
      <c r="J12" s="33">
        <v>52301</v>
      </c>
      <c r="K12" s="33">
        <v>55806</v>
      </c>
      <c r="L12" s="33">
        <v>57432</v>
      </c>
      <c r="M12" s="33">
        <v>58389</v>
      </c>
      <c r="N12" s="33">
        <v>60337</v>
      </c>
      <c r="O12" s="33">
        <v>60296</v>
      </c>
      <c r="P12" s="33">
        <v>60983</v>
      </c>
      <c r="Q12" s="33">
        <v>61680</v>
      </c>
      <c r="R12" s="33">
        <v>61547</v>
      </c>
      <c r="S12" s="33">
        <v>60768</v>
      </c>
      <c r="T12" s="33">
        <v>35697</v>
      </c>
      <c r="U12" s="33">
        <v>35346</v>
      </c>
      <c r="V12" s="33">
        <v>34015</v>
      </c>
      <c r="W12" s="33">
        <v>33393</v>
      </c>
      <c r="X12" s="33">
        <v>32405</v>
      </c>
      <c r="Y12" s="33">
        <v>30843</v>
      </c>
      <c r="Z12" s="34">
        <v>29259</v>
      </c>
      <c r="AA12" s="35">
        <f t="shared" si="0"/>
        <v>1048049</v>
      </c>
      <c r="AB12" s="19">
        <v>21</v>
      </c>
      <c r="AC12" s="79">
        <f>+AA12*AB12+AA13*AB13+AA14*AB14</f>
        <v>31383419</v>
      </c>
    </row>
    <row r="13" spans="1:30" ht="15.75" thickBot="1" x14ac:dyDescent="0.3">
      <c r="A13" s="78"/>
      <c r="B13" s="20" t="s">
        <v>7</v>
      </c>
      <c r="C13" s="36">
        <v>34147</v>
      </c>
      <c r="D13" s="36">
        <v>32270</v>
      </c>
      <c r="E13" s="36">
        <v>31622</v>
      </c>
      <c r="F13" s="36">
        <v>31326</v>
      </c>
      <c r="G13" s="36">
        <v>30655</v>
      </c>
      <c r="H13" s="36">
        <v>30917</v>
      </c>
      <c r="I13" s="36">
        <v>30006</v>
      </c>
      <c r="J13" s="36">
        <v>49618</v>
      </c>
      <c r="K13" s="36">
        <v>52807</v>
      </c>
      <c r="L13" s="36">
        <v>54724</v>
      </c>
      <c r="M13" s="36">
        <v>55714</v>
      </c>
      <c r="N13" s="36">
        <v>56811</v>
      </c>
      <c r="O13" s="36">
        <v>56744</v>
      </c>
      <c r="P13" s="36">
        <v>56231</v>
      </c>
      <c r="Q13" s="36">
        <v>56190</v>
      </c>
      <c r="R13" s="36">
        <v>56304</v>
      </c>
      <c r="S13" s="36">
        <v>55563</v>
      </c>
      <c r="T13" s="36">
        <v>32772</v>
      </c>
      <c r="U13" s="36">
        <v>30996</v>
      </c>
      <c r="V13" s="36">
        <v>29003</v>
      </c>
      <c r="W13" s="36">
        <v>28195</v>
      </c>
      <c r="X13" s="36">
        <v>27685</v>
      </c>
      <c r="Y13" s="36">
        <v>27334</v>
      </c>
      <c r="Z13" s="37">
        <v>26837</v>
      </c>
      <c r="AA13" s="38">
        <f t="shared" si="0"/>
        <v>974471</v>
      </c>
      <c r="AB13" s="21">
        <v>4</v>
      </c>
      <c r="AC13" s="80"/>
      <c r="AD13" s="47"/>
    </row>
    <row r="14" spans="1:30" ht="15" x14ac:dyDescent="0.25">
      <c r="A14" s="78"/>
      <c r="B14" s="22" t="s">
        <v>6</v>
      </c>
      <c r="C14" s="39">
        <v>33083</v>
      </c>
      <c r="D14" s="39">
        <v>31848</v>
      </c>
      <c r="E14" s="39">
        <v>31342</v>
      </c>
      <c r="F14" s="39">
        <v>30822</v>
      </c>
      <c r="G14" s="39">
        <v>29213</v>
      </c>
      <c r="H14" s="39">
        <v>29333</v>
      </c>
      <c r="I14" s="39">
        <v>28038</v>
      </c>
      <c r="J14" s="39">
        <v>45720</v>
      </c>
      <c r="K14" s="39">
        <v>47999</v>
      </c>
      <c r="L14" s="39">
        <v>48961</v>
      </c>
      <c r="M14" s="39">
        <v>49528</v>
      </c>
      <c r="N14" s="39">
        <v>51284</v>
      </c>
      <c r="O14" s="39">
        <v>52871</v>
      </c>
      <c r="P14" s="39">
        <v>52675</v>
      </c>
      <c r="Q14" s="39">
        <v>52111</v>
      </c>
      <c r="R14" s="39">
        <v>52532</v>
      </c>
      <c r="S14" s="39">
        <v>52828</v>
      </c>
      <c r="T14" s="39">
        <v>29922</v>
      </c>
      <c r="U14" s="39">
        <v>28575</v>
      </c>
      <c r="V14" s="39">
        <v>26860</v>
      </c>
      <c r="W14" s="39">
        <v>26878</v>
      </c>
      <c r="X14" s="39">
        <v>27021</v>
      </c>
      <c r="Y14" s="39">
        <v>26648</v>
      </c>
      <c r="Z14" s="40">
        <v>26659</v>
      </c>
      <c r="AA14" s="41">
        <f t="shared" si="0"/>
        <v>912751</v>
      </c>
      <c r="AB14" s="23">
        <v>6</v>
      </c>
      <c r="AC14" s="81"/>
      <c r="AD14" s="45"/>
    </row>
    <row r="15" spans="1:30" ht="15.75" thickBot="1" x14ac:dyDescent="0.3">
      <c r="A15" s="78">
        <v>46113</v>
      </c>
      <c r="B15" s="18" t="s">
        <v>8</v>
      </c>
      <c r="C15" s="33">
        <v>28838</v>
      </c>
      <c r="D15" s="33">
        <v>28133</v>
      </c>
      <c r="E15" s="33">
        <v>27230</v>
      </c>
      <c r="F15" s="33">
        <v>27223</v>
      </c>
      <c r="G15" s="33">
        <v>26481</v>
      </c>
      <c r="H15" s="33">
        <v>26287</v>
      </c>
      <c r="I15" s="33">
        <v>26357</v>
      </c>
      <c r="J15" s="33">
        <v>45536</v>
      </c>
      <c r="K15" s="33">
        <v>48334</v>
      </c>
      <c r="L15" s="33">
        <v>50060</v>
      </c>
      <c r="M15" s="33">
        <v>50805</v>
      </c>
      <c r="N15" s="33">
        <v>52705</v>
      </c>
      <c r="O15" s="33">
        <v>52530</v>
      </c>
      <c r="P15" s="33">
        <v>53522</v>
      </c>
      <c r="Q15" s="33">
        <v>54466</v>
      </c>
      <c r="R15" s="33">
        <v>54543</v>
      </c>
      <c r="S15" s="33">
        <v>53319</v>
      </c>
      <c r="T15" s="33">
        <v>27662</v>
      </c>
      <c r="U15" s="33">
        <v>25516</v>
      </c>
      <c r="V15" s="33">
        <v>24077</v>
      </c>
      <c r="W15" s="33">
        <v>23977</v>
      </c>
      <c r="X15" s="33">
        <v>24103</v>
      </c>
      <c r="Y15" s="33">
        <v>23882</v>
      </c>
      <c r="Z15" s="34">
        <v>23267</v>
      </c>
      <c r="AA15" s="35">
        <f t="shared" si="0"/>
        <v>878853</v>
      </c>
      <c r="AB15" s="19">
        <v>20</v>
      </c>
      <c r="AC15" s="79">
        <f>+AA15*AB15+AA16*AB16+AA17*AB17</f>
        <v>25056664</v>
      </c>
    </row>
    <row r="16" spans="1:30" ht="15.75" thickBot="1" x14ac:dyDescent="0.3">
      <c r="A16" s="78"/>
      <c r="B16" s="20" t="s">
        <v>7</v>
      </c>
      <c r="C16" s="36">
        <v>26277</v>
      </c>
      <c r="D16" s="36">
        <v>25541</v>
      </c>
      <c r="E16" s="36">
        <v>24111</v>
      </c>
      <c r="F16" s="36">
        <v>23601</v>
      </c>
      <c r="G16" s="36">
        <v>23056</v>
      </c>
      <c r="H16" s="36">
        <v>22892</v>
      </c>
      <c r="I16" s="36">
        <v>22357</v>
      </c>
      <c r="J16" s="36">
        <v>41475</v>
      </c>
      <c r="K16" s="36">
        <v>44551</v>
      </c>
      <c r="L16" s="36">
        <v>46183</v>
      </c>
      <c r="M16" s="36">
        <v>46543</v>
      </c>
      <c r="N16" s="36">
        <v>48401</v>
      </c>
      <c r="O16" s="36">
        <v>48519</v>
      </c>
      <c r="P16" s="36">
        <v>48767</v>
      </c>
      <c r="Q16" s="36">
        <v>48856</v>
      </c>
      <c r="R16" s="36">
        <v>49081</v>
      </c>
      <c r="S16" s="36">
        <v>49390</v>
      </c>
      <c r="T16" s="36">
        <v>25742</v>
      </c>
      <c r="U16" s="36">
        <v>23036</v>
      </c>
      <c r="V16" s="36">
        <v>20328</v>
      </c>
      <c r="W16" s="36">
        <v>19066</v>
      </c>
      <c r="X16" s="36">
        <v>19872</v>
      </c>
      <c r="Y16" s="36">
        <v>20791</v>
      </c>
      <c r="Z16" s="37">
        <v>20022</v>
      </c>
      <c r="AA16" s="38">
        <f t="shared" si="0"/>
        <v>788458</v>
      </c>
      <c r="AB16" s="21">
        <v>4</v>
      </c>
      <c r="AC16" s="80"/>
      <c r="AD16" s="47"/>
    </row>
    <row r="17" spans="1:30" ht="15" x14ac:dyDescent="0.25">
      <c r="A17" s="78"/>
      <c r="B17" s="22" t="s">
        <v>6</v>
      </c>
      <c r="C17" s="39">
        <v>26202</v>
      </c>
      <c r="D17" s="39">
        <v>26093</v>
      </c>
      <c r="E17" s="39">
        <v>24786</v>
      </c>
      <c r="F17" s="39">
        <v>24300</v>
      </c>
      <c r="G17" s="39">
        <v>23294</v>
      </c>
      <c r="H17" s="39">
        <v>22322</v>
      </c>
      <c r="I17" s="39">
        <v>21693</v>
      </c>
      <c r="J17" s="39">
        <v>39069</v>
      </c>
      <c r="K17" s="39">
        <v>40890</v>
      </c>
      <c r="L17" s="39">
        <v>42473</v>
      </c>
      <c r="M17" s="39">
        <v>42842</v>
      </c>
      <c r="N17" s="39">
        <v>43893</v>
      </c>
      <c r="O17" s="39">
        <v>44380</v>
      </c>
      <c r="P17" s="39">
        <v>44300</v>
      </c>
      <c r="Q17" s="39">
        <v>43555</v>
      </c>
      <c r="R17" s="39">
        <v>44189</v>
      </c>
      <c r="S17" s="39">
        <v>44304</v>
      </c>
      <c r="T17" s="39">
        <v>21281</v>
      </c>
      <c r="U17" s="39">
        <v>18104</v>
      </c>
      <c r="V17" s="39">
        <v>14524</v>
      </c>
      <c r="W17" s="39">
        <v>14727</v>
      </c>
      <c r="X17" s="39">
        <v>16308</v>
      </c>
      <c r="Y17" s="39">
        <v>19030</v>
      </c>
      <c r="Z17" s="40">
        <v>18403</v>
      </c>
      <c r="AA17" s="41">
        <f t="shared" si="0"/>
        <v>720962</v>
      </c>
      <c r="AB17" s="23">
        <v>6</v>
      </c>
      <c r="AC17" s="81"/>
      <c r="AD17" s="48"/>
    </row>
    <row r="18" spans="1:30" ht="15.75" thickBot="1" x14ac:dyDescent="0.3">
      <c r="A18" s="78">
        <v>46143</v>
      </c>
      <c r="B18" s="18" t="s">
        <v>8</v>
      </c>
      <c r="C18" s="33">
        <v>29692</v>
      </c>
      <c r="D18" s="33">
        <v>28611</v>
      </c>
      <c r="E18" s="33">
        <v>27731</v>
      </c>
      <c r="F18" s="33">
        <v>27436</v>
      </c>
      <c r="G18" s="33">
        <v>27290</v>
      </c>
      <c r="H18" s="33">
        <v>26644</v>
      </c>
      <c r="I18" s="33">
        <v>26686</v>
      </c>
      <c r="J18" s="33">
        <v>45682</v>
      </c>
      <c r="K18" s="33">
        <v>47993</v>
      </c>
      <c r="L18" s="33">
        <v>49259</v>
      </c>
      <c r="M18" s="33">
        <v>50674</v>
      </c>
      <c r="N18" s="33">
        <v>52554</v>
      </c>
      <c r="O18" s="33">
        <v>52933</v>
      </c>
      <c r="P18" s="33">
        <v>53708</v>
      </c>
      <c r="Q18" s="33">
        <v>54094</v>
      </c>
      <c r="R18" s="33">
        <v>54035</v>
      </c>
      <c r="S18" s="33">
        <v>53061</v>
      </c>
      <c r="T18" s="33">
        <v>27970</v>
      </c>
      <c r="U18" s="33">
        <v>26821</v>
      </c>
      <c r="V18" s="33">
        <v>25309</v>
      </c>
      <c r="W18" s="33">
        <v>24646</v>
      </c>
      <c r="X18" s="33">
        <v>24900</v>
      </c>
      <c r="Y18" s="33">
        <v>24538</v>
      </c>
      <c r="Z18" s="34">
        <v>24253</v>
      </c>
      <c r="AA18" s="35">
        <f t="shared" si="0"/>
        <v>886520</v>
      </c>
      <c r="AB18" s="19">
        <v>19</v>
      </c>
      <c r="AC18" s="79">
        <f>+AA18*AB18+AA19*AB19+AA20*AB20</f>
        <v>27370737</v>
      </c>
    </row>
    <row r="19" spans="1:30" ht="15.75" thickBot="1" x14ac:dyDescent="0.3">
      <c r="A19" s="78"/>
      <c r="B19" s="20" t="s">
        <v>7</v>
      </c>
      <c r="C19" s="36">
        <v>31519</v>
      </c>
      <c r="D19" s="36">
        <v>30391</v>
      </c>
      <c r="E19" s="36">
        <v>29593</v>
      </c>
      <c r="F19" s="36">
        <v>29247</v>
      </c>
      <c r="G19" s="36">
        <v>28557</v>
      </c>
      <c r="H19" s="36">
        <v>27818</v>
      </c>
      <c r="I19" s="36">
        <v>28236</v>
      </c>
      <c r="J19" s="36">
        <v>46793</v>
      </c>
      <c r="K19" s="36">
        <v>50275</v>
      </c>
      <c r="L19" s="36">
        <v>52992</v>
      </c>
      <c r="M19" s="36">
        <v>52947</v>
      </c>
      <c r="N19" s="36">
        <v>54359</v>
      </c>
      <c r="O19" s="36">
        <v>54192</v>
      </c>
      <c r="P19" s="36">
        <v>53801</v>
      </c>
      <c r="Q19" s="36">
        <v>53357</v>
      </c>
      <c r="R19" s="36">
        <v>52785</v>
      </c>
      <c r="S19" s="36">
        <v>53267</v>
      </c>
      <c r="T19" s="36">
        <v>29414</v>
      </c>
      <c r="U19" s="36">
        <v>29162</v>
      </c>
      <c r="V19" s="36">
        <v>26201</v>
      </c>
      <c r="W19" s="36">
        <v>24823</v>
      </c>
      <c r="X19" s="36">
        <v>24314</v>
      </c>
      <c r="Y19" s="36">
        <v>24012</v>
      </c>
      <c r="Z19" s="37">
        <v>23829</v>
      </c>
      <c r="AA19" s="38">
        <f t="shared" si="0"/>
        <v>911884</v>
      </c>
      <c r="AB19" s="21">
        <v>5</v>
      </c>
      <c r="AC19" s="80"/>
      <c r="AD19" s="47"/>
    </row>
    <row r="20" spans="1:30" ht="15" x14ac:dyDescent="0.25">
      <c r="A20" s="78"/>
      <c r="B20" s="22" t="s">
        <v>6</v>
      </c>
      <c r="C20" s="39">
        <v>29065</v>
      </c>
      <c r="D20" s="39">
        <v>28446</v>
      </c>
      <c r="E20" s="39">
        <v>27568</v>
      </c>
      <c r="F20" s="39">
        <v>27595</v>
      </c>
      <c r="G20" s="39">
        <v>26928</v>
      </c>
      <c r="H20" s="39">
        <v>25722</v>
      </c>
      <c r="I20" s="39">
        <v>24500</v>
      </c>
      <c r="J20" s="39">
        <v>42424</v>
      </c>
      <c r="K20" s="39">
        <v>44188</v>
      </c>
      <c r="L20" s="39">
        <v>46448</v>
      </c>
      <c r="M20" s="39">
        <v>47063</v>
      </c>
      <c r="N20" s="39">
        <v>49254</v>
      </c>
      <c r="O20" s="39">
        <v>49936</v>
      </c>
      <c r="P20" s="39">
        <v>50733</v>
      </c>
      <c r="Q20" s="39">
        <v>49898</v>
      </c>
      <c r="R20" s="39">
        <v>57619</v>
      </c>
      <c r="S20" s="39">
        <v>49899</v>
      </c>
      <c r="T20" s="39">
        <v>27159</v>
      </c>
      <c r="U20" s="39">
        <v>25750</v>
      </c>
      <c r="V20" s="39">
        <v>23938</v>
      </c>
      <c r="W20" s="39">
        <v>23806</v>
      </c>
      <c r="X20" s="39">
        <v>24631</v>
      </c>
      <c r="Y20" s="39">
        <v>25649</v>
      </c>
      <c r="Z20" s="40">
        <v>24272</v>
      </c>
      <c r="AA20" s="41">
        <f t="shared" si="0"/>
        <v>852491</v>
      </c>
      <c r="AB20" s="23">
        <v>7</v>
      </c>
      <c r="AC20" s="81"/>
      <c r="AD20" s="48"/>
    </row>
    <row r="21" spans="1:30" ht="15.75" thickBot="1" x14ac:dyDescent="0.3">
      <c r="A21" s="78">
        <v>46174</v>
      </c>
      <c r="B21" s="18" t="s">
        <v>8</v>
      </c>
      <c r="C21" s="33">
        <v>31162</v>
      </c>
      <c r="D21" s="33">
        <v>29911</v>
      </c>
      <c r="E21" s="33">
        <v>29419</v>
      </c>
      <c r="F21" s="33">
        <v>29034</v>
      </c>
      <c r="G21" s="33">
        <v>28755</v>
      </c>
      <c r="H21" s="33">
        <v>28666</v>
      </c>
      <c r="I21" s="33">
        <v>27882</v>
      </c>
      <c r="J21" s="33">
        <v>46480</v>
      </c>
      <c r="K21" s="33">
        <v>48455</v>
      </c>
      <c r="L21" s="33">
        <v>49612</v>
      </c>
      <c r="M21" s="33">
        <v>50980</v>
      </c>
      <c r="N21" s="33">
        <v>52999</v>
      </c>
      <c r="O21" s="33">
        <v>53510</v>
      </c>
      <c r="P21" s="33">
        <v>54147</v>
      </c>
      <c r="Q21" s="33">
        <v>54820</v>
      </c>
      <c r="R21" s="33">
        <v>54785</v>
      </c>
      <c r="S21" s="33">
        <v>53846</v>
      </c>
      <c r="T21" s="33">
        <v>29466</v>
      </c>
      <c r="U21" s="33">
        <v>30469</v>
      </c>
      <c r="V21" s="33">
        <v>28234</v>
      </c>
      <c r="W21" s="33">
        <v>27424</v>
      </c>
      <c r="X21" s="33">
        <v>26711</v>
      </c>
      <c r="Y21" s="33">
        <v>25451</v>
      </c>
      <c r="Z21" s="34">
        <v>24943</v>
      </c>
      <c r="AA21" s="35">
        <f t="shared" si="0"/>
        <v>917161</v>
      </c>
      <c r="AB21" s="19">
        <v>19</v>
      </c>
      <c r="AC21" s="79">
        <f>+AA21*AB21+AA22*AB22+AA23*AB23</f>
        <v>29093091</v>
      </c>
    </row>
    <row r="22" spans="1:30" ht="15.75" thickBot="1" x14ac:dyDescent="0.3">
      <c r="A22" s="78"/>
      <c r="B22" s="20" t="s">
        <v>7</v>
      </c>
      <c r="C22" s="36">
        <v>36658</v>
      </c>
      <c r="D22" s="36">
        <v>34684</v>
      </c>
      <c r="E22" s="36">
        <v>33734</v>
      </c>
      <c r="F22" s="36">
        <v>33047</v>
      </c>
      <c r="G22" s="36">
        <v>31865</v>
      </c>
      <c r="H22" s="36">
        <v>31144</v>
      </c>
      <c r="I22" s="36">
        <v>29826</v>
      </c>
      <c r="J22" s="36">
        <v>47535</v>
      </c>
      <c r="K22" s="36">
        <v>51181</v>
      </c>
      <c r="L22" s="36">
        <v>52801</v>
      </c>
      <c r="M22" s="36">
        <v>54174</v>
      </c>
      <c r="N22" s="36">
        <v>55511</v>
      </c>
      <c r="O22" s="36">
        <v>56433</v>
      </c>
      <c r="P22" s="36">
        <v>57160</v>
      </c>
      <c r="Q22" s="36">
        <v>57762</v>
      </c>
      <c r="R22" s="36">
        <v>58693</v>
      </c>
      <c r="S22" s="36">
        <v>59548</v>
      </c>
      <c r="T22" s="36">
        <v>37129</v>
      </c>
      <c r="U22" s="36">
        <v>38081</v>
      </c>
      <c r="V22" s="36">
        <v>35050</v>
      </c>
      <c r="W22" s="36">
        <v>32668</v>
      </c>
      <c r="X22" s="36">
        <v>31883</v>
      </c>
      <c r="Y22" s="36">
        <v>31756</v>
      </c>
      <c r="Z22" s="37">
        <v>30189</v>
      </c>
      <c r="AA22" s="38">
        <f t="shared" si="0"/>
        <v>1018512</v>
      </c>
      <c r="AB22" s="21">
        <v>4</v>
      </c>
      <c r="AC22" s="80"/>
      <c r="AD22" s="47"/>
    </row>
    <row r="23" spans="1:30" ht="15" x14ac:dyDescent="0.25">
      <c r="A23" s="78"/>
      <c r="B23" s="22" t="s">
        <v>6</v>
      </c>
      <c r="C23" s="39">
        <v>37650</v>
      </c>
      <c r="D23" s="39">
        <v>36651</v>
      </c>
      <c r="E23" s="39">
        <v>36109</v>
      </c>
      <c r="F23" s="39">
        <v>35594</v>
      </c>
      <c r="G23" s="39">
        <v>35316</v>
      </c>
      <c r="H23" s="39">
        <v>35794</v>
      </c>
      <c r="I23" s="39">
        <v>33433</v>
      </c>
      <c r="J23" s="39">
        <v>52161</v>
      </c>
      <c r="K23" s="39">
        <v>55315</v>
      </c>
      <c r="L23" s="39">
        <v>56475</v>
      </c>
      <c r="M23" s="39">
        <v>57689</v>
      </c>
      <c r="N23" s="39">
        <v>59508</v>
      </c>
      <c r="O23" s="39">
        <v>58974</v>
      </c>
      <c r="P23" s="39">
        <v>59693</v>
      </c>
      <c r="Q23" s="39">
        <v>60550</v>
      </c>
      <c r="R23" s="39">
        <v>61439</v>
      </c>
      <c r="S23" s="39">
        <v>61330</v>
      </c>
      <c r="T23" s="39">
        <v>37838</v>
      </c>
      <c r="U23" s="39">
        <v>38961</v>
      </c>
      <c r="V23" s="39">
        <v>35985</v>
      </c>
      <c r="W23" s="39">
        <v>35219</v>
      </c>
      <c r="X23" s="39">
        <v>35148</v>
      </c>
      <c r="Y23" s="39">
        <v>34529</v>
      </c>
      <c r="Z23" s="40">
        <v>33351</v>
      </c>
      <c r="AA23" s="41">
        <f t="shared" si="0"/>
        <v>1084712</v>
      </c>
      <c r="AB23" s="23">
        <v>7</v>
      </c>
      <c r="AC23" s="81"/>
      <c r="AD23" s="48"/>
    </row>
    <row r="24" spans="1:30" ht="15.75" thickBot="1" x14ac:dyDescent="0.3">
      <c r="A24" s="78">
        <v>46204</v>
      </c>
      <c r="B24" s="18" t="s">
        <v>8</v>
      </c>
      <c r="C24" s="33">
        <v>35177</v>
      </c>
      <c r="D24" s="33">
        <v>33748</v>
      </c>
      <c r="E24" s="33">
        <v>32877</v>
      </c>
      <c r="F24" s="33">
        <v>32200</v>
      </c>
      <c r="G24" s="33">
        <v>31752</v>
      </c>
      <c r="H24" s="33">
        <v>31180</v>
      </c>
      <c r="I24" s="33">
        <v>29553</v>
      </c>
      <c r="J24" s="33">
        <v>48939</v>
      </c>
      <c r="K24" s="33">
        <v>51389</v>
      </c>
      <c r="L24" s="33">
        <v>52903</v>
      </c>
      <c r="M24" s="33">
        <v>54326</v>
      </c>
      <c r="N24" s="33">
        <v>56436</v>
      </c>
      <c r="O24" s="33">
        <v>56686</v>
      </c>
      <c r="P24" s="33">
        <v>57512</v>
      </c>
      <c r="Q24" s="33">
        <v>58233</v>
      </c>
      <c r="R24" s="33">
        <v>58361</v>
      </c>
      <c r="S24" s="33">
        <v>57321</v>
      </c>
      <c r="T24" s="33">
        <v>32760</v>
      </c>
      <c r="U24" s="33">
        <v>34648</v>
      </c>
      <c r="V24" s="33">
        <v>31775</v>
      </c>
      <c r="W24" s="33">
        <v>30961</v>
      </c>
      <c r="X24" s="33">
        <v>30322</v>
      </c>
      <c r="Y24" s="33">
        <v>29741</v>
      </c>
      <c r="Z24" s="34">
        <v>29075</v>
      </c>
      <c r="AA24" s="35">
        <f t="shared" si="0"/>
        <v>997875</v>
      </c>
      <c r="AB24" s="19">
        <v>22</v>
      </c>
      <c r="AC24" s="79">
        <f>+AA24*AB24+AA25*AB25+AA26*AB26</f>
        <v>29539875</v>
      </c>
    </row>
    <row r="25" spans="1:30" ht="15.75" thickBot="1" x14ac:dyDescent="0.3">
      <c r="A25" s="78"/>
      <c r="B25" s="20" t="s">
        <v>7</v>
      </c>
      <c r="C25" s="36">
        <v>26003</v>
      </c>
      <c r="D25" s="36">
        <v>25280</v>
      </c>
      <c r="E25" s="36">
        <v>24599</v>
      </c>
      <c r="F25" s="36">
        <v>24420</v>
      </c>
      <c r="G25" s="36">
        <v>23539</v>
      </c>
      <c r="H25" s="36">
        <v>22987</v>
      </c>
      <c r="I25" s="36">
        <v>22640</v>
      </c>
      <c r="J25" s="36">
        <v>42204</v>
      </c>
      <c r="K25" s="36">
        <v>45062</v>
      </c>
      <c r="L25" s="36">
        <v>45720</v>
      </c>
      <c r="M25" s="36">
        <v>46808</v>
      </c>
      <c r="N25" s="36">
        <v>48016</v>
      </c>
      <c r="O25" s="36">
        <v>48249</v>
      </c>
      <c r="P25" s="36">
        <v>48154</v>
      </c>
      <c r="Q25" s="36">
        <v>48213</v>
      </c>
      <c r="R25" s="36">
        <v>48706</v>
      </c>
      <c r="S25" s="36">
        <v>48871</v>
      </c>
      <c r="T25" s="36">
        <v>26558</v>
      </c>
      <c r="U25" s="36">
        <v>26201</v>
      </c>
      <c r="V25" s="36">
        <v>22599</v>
      </c>
      <c r="W25" s="36">
        <v>20582</v>
      </c>
      <c r="X25" s="36">
        <v>20732</v>
      </c>
      <c r="Y25" s="36">
        <v>21179</v>
      </c>
      <c r="Z25" s="37">
        <v>21793</v>
      </c>
      <c r="AA25" s="38">
        <f t="shared" si="0"/>
        <v>799115</v>
      </c>
      <c r="AB25" s="21">
        <v>4</v>
      </c>
      <c r="AC25" s="80"/>
      <c r="AD25" s="47"/>
    </row>
    <row r="26" spans="1:30" ht="15" x14ac:dyDescent="0.25">
      <c r="A26" s="78"/>
      <c r="B26" s="22" t="s">
        <v>6</v>
      </c>
      <c r="C26" s="39">
        <v>31904</v>
      </c>
      <c r="D26" s="39">
        <v>30795</v>
      </c>
      <c r="E26" s="39">
        <v>29657</v>
      </c>
      <c r="F26" s="39">
        <v>29330</v>
      </c>
      <c r="G26" s="39">
        <v>28670</v>
      </c>
      <c r="H26" s="39">
        <v>27986</v>
      </c>
      <c r="I26" s="39">
        <v>25716</v>
      </c>
      <c r="J26" s="39">
        <v>43092</v>
      </c>
      <c r="K26" s="39">
        <v>45107</v>
      </c>
      <c r="L26" s="39">
        <v>47178</v>
      </c>
      <c r="M26" s="39">
        <v>47488</v>
      </c>
      <c r="N26" s="39">
        <v>49268</v>
      </c>
      <c r="O26" s="39">
        <v>50441</v>
      </c>
      <c r="P26" s="39">
        <v>50869</v>
      </c>
      <c r="Q26" s="39">
        <v>50500</v>
      </c>
      <c r="R26" s="39">
        <v>50770</v>
      </c>
      <c r="S26" s="39">
        <v>50890</v>
      </c>
      <c r="T26" s="39">
        <v>28954</v>
      </c>
      <c r="U26" s="39">
        <v>29055</v>
      </c>
      <c r="V26" s="39">
        <v>26024</v>
      </c>
      <c r="W26" s="39">
        <v>25553</v>
      </c>
      <c r="X26" s="39">
        <v>25931</v>
      </c>
      <c r="Y26" s="39">
        <v>26646</v>
      </c>
      <c r="Z26" s="40">
        <v>26209</v>
      </c>
      <c r="AA26" s="41">
        <f t="shared" si="0"/>
        <v>878033</v>
      </c>
      <c r="AB26" s="23">
        <v>5</v>
      </c>
      <c r="AC26" s="81"/>
      <c r="AD26" s="48"/>
    </row>
    <row r="27" spans="1:30" ht="15.75" thickBot="1" x14ac:dyDescent="0.3">
      <c r="A27" s="78">
        <v>46235</v>
      </c>
      <c r="B27" s="18" t="s">
        <v>8</v>
      </c>
      <c r="C27" s="33">
        <v>34855</v>
      </c>
      <c r="D27" s="33">
        <v>33658</v>
      </c>
      <c r="E27" s="33">
        <v>33068</v>
      </c>
      <c r="F27" s="33">
        <v>32431</v>
      </c>
      <c r="G27" s="33">
        <v>32154</v>
      </c>
      <c r="H27" s="33">
        <v>31881</v>
      </c>
      <c r="I27" s="33">
        <v>30672</v>
      </c>
      <c r="J27" s="33">
        <v>49816</v>
      </c>
      <c r="K27" s="33">
        <v>52238</v>
      </c>
      <c r="L27" s="33">
        <v>53650</v>
      </c>
      <c r="M27" s="33">
        <v>54801</v>
      </c>
      <c r="N27" s="33">
        <v>57115</v>
      </c>
      <c r="O27" s="33">
        <v>58224</v>
      </c>
      <c r="P27" s="33">
        <v>59648</v>
      </c>
      <c r="Q27" s="33">
        <v>60044</v>
      </c>
      <c r="R27" s="33">
        <v>60107</v>
      </c>
      <c r="S27" s="33">
        <v>58811</v>
      </c>
      <c r="T27" s="33">
        <v>34378</v>
      </c>
      <c r="U27" s="33">
        <v>35626</v>
      </c>
      <c r="V27" s="33">
        <v>33633</v>
      </c>
      <c r="W27" s="33">
        <v>32496</v>
      </c>
      <c r="X27" s="33">
        <v>31372</v>
      </c>
      <c r="Y27" s="33">
        <v>30498</v>
      </c>
      <c r="Z27" s="34">
        <v>30253</v>
      </c>
      <c r="AA27" s="35">
        <f t="shared" si="0"/>
        <v>1021429</v>
      </c>
      <c r="AB27" s="19">
        <v>19</v>
      </c>
      <c r="AC27" s="79">
        <f>+AA27*AB27+AA28*AB28+AA29*AB29</f>
        <v>30580393</v>
      </c>
    </row>
    <row r="28" spans="1:30" ht="15.75" thickBot="1" x14ac:dyDescent="0.3">
      <c r="A28" s="78"/>
      <c r="B28" s="20" t="s">
        <v>7</v>
      </c>
      <c r="C28" s="36">
        <v>33638</v>
      </c>
      <c r="D28" s="36">
        <v>33021</v>
      </c>
      <c r="E28" s="36">
        <v>32009</v>
      </c>
      <c r="F28" s="36">
        <v>31066</v>
      </c>
      <c r="G28" s="36">
        <v>30147</v>
      </c>
      <c r="H28" s="36">
        <v>29622</v>
      </c>
      <c r="I28" s="36">
        <v>27046</v>
      </c>
      <c r="J28" s="36">
        <v>46538</v>
      </c>
      <c r="K28" s="36">
        <v>49383</v>
      </c>
      <c r="L28" s="36">
        <v>51319</v>
      </c>
      <c r="M28" s="36">
        <v>52362</v>
      </c>
      <c r="N28" s="36">
        <v>53816</v>
      </c>
      <c r="O28" s="36">
        <v>54230</v>
      </c>
      <c r="P28" s="36">
        <v>54788</v>
      </c>
      <c r="Q28" s="36">
        <v>54607</v>
      </c>
      <c r="R28" s="36">
        <v>54885</v>
      </c>
      <c r="S28" s="36">
        <v>54593</v>
      </c>
      <c r="T28" s="36">
        <v>31892</v>
      </c>
      <c r="U28" s="36">
        <v>32470</v>
      </c>
      <c r="V28" s="36">
        <v>28338</v>
      </c>
      <c r="W28" s="36">
        <v>26582</v>
      </c>
      <c r="X28" s="36">
        <v>26345</v>
      </c>
      <c r="Y28" s="36">
        <v>26382</v>
      </c>
      <c r="Z28" s="37">
        <v>26598</v>
      </c>
      <c r="AA28" s="38">
        <f t="shared" si="0"/>
        <v>941677</v>
      </c>
      <c r="AB28" s="21">
        <v>5</v>
      </c>
      <c r="AC28" s="80"/>
      <c r="AD28" s="47"/>
    </row>
    <row r="29" spans="1:30" ht="15" x14ac:dyDescent="0.25">
      <c r="A29" s="78"/>
      <c r="B29" s="22" t="s">
        <v>6</v>
      </c>
      <c r="C29" s="39">
        <v>34569</v>
      </c>
      <c r="D29" s="39">
        <v>33247</v>
      </c>
      <c r="E29" s="39">
        <v>32153</v>
      </c>
      <c r="F29" s="39">
        <v>31421</v>
      </c>
      <c r="G29" s="39">
        <v>30786</v>
      </c>
      <c r="H29" s="39">
        <v>30216</v>
      </c>
      <c r="I29" s="39">
        <v>27749</v>
      </c>
      <c r="J29" s="39">
        <v>46078</v>
      </c>
      <c r="K29" s="39">
        <v>48095</v>
      </c>
      <c r="L29" s="39">
        <v>49196</v>
      </c>
      <c r="M29" s="39">
        <v>49986</v>
      </c>
      <c r="N29" s="39">
        <v>51460</v>
      </c>
      <c r="O29" s="39">
        <v>53087</v>
      </c>
      <c r="P29" s="39">
        <v>53290</v>
      </c>
      <c r="Q29" s="39">
        <v>52113</v>
      </c>
      <c r="R29" s="39">
        <v>51488</v>
      </c>
      <c r="S29" s="39">
        <v>51851</v>
      </c>
      <c r="T29" s="39">
        <v>29406</v>
      </c>
      <c r="U29" s="39">
        <v>30225</v>
      </c>
      <c r="V29" s="39">
        <v>28172</v>
      </c>
      <c r="W29" s="39">
        <v>27444</v>
      </c>
      <c r="X29" s="39">
        <v>27418</v>
      </c>
      <c r="Y29" s="39">
        <v>27501</v>
      </c>
      <c r="Z29" s="40">
        <v>26600</v>
      </c>
      <c r="AA29" s="41">
        <f t="shared" si="0"/>
        <v>923551</v>
      </c>
      <c r="AB29" s="23">
        <v>7</v>
      </c>
      <c r="AC29" s="81"/>
      <c r="AD29" s="49"/>
    </row>
    <row r="30" spans="1:30" ht="15.75" thickBot="1" x14ac:dyDescent="0.3">
      <c r="A30" s="78">
        <v>46266</v>
      </c>
      <c r="B30" s="18" t="s">
        <v>8</v>
      </c>
      <c r="C30" s="33">
        <v>39991</v>
      </c>
      <c r="D30" s="33">
        <v>38061</v>
      </c>
      <c r="E30" s="33">
        <v>36900</v>
      </c>
      <c r="F30" s="33">
        <v>36185</v>
      </c>
      <c r="G30" s="33">
        <v>35380</v>
      </c>
      <c r="H30" s="33">
        <v>35182</v>
      </c>
      <c r="I30" s="33">
        <v>34193</v>
      </c>
      <c r="J30" s="33">
        <v>53922</v>
      </c>
      <c r="K30" s="33">
        <v>56283</v>
      </c>
      <c r="L30" s="33">
        <v>57974</v>
      </c>
      <c r="M30" s="33">
        <v>59679</v>
      </c>
      <c r="N30" s="33">
        <v>61994</v>
      </c>
      <c r="O30" s="33">
        <v>63333</v>
      </c>
      <c r="P30" s="33">
        <v>64339</v>
      </c>
      <c r="Q30" s="33">
        <v>65388</v>
      </c>
      <c r="R30" s="33">
        <v>66023</v>
      </c>
      <c r="S30" s="33">
        <v>65173</v>
      </c>
      <c r="T30" s="33">
        <v>39277</v>
      </c>
      <c r="U30" s="33">
        <v>39825</v>
      </c>
      <c r="V30" s="33">
        <v>38194</v>
      </c>
      <c r="W30" s="33">
        <v>37435</v>
      </c>
      <c r="X30" s="33">
        <v>36488</v>
      </c>
      <c r="Y30" s="33">
        <v>35214</v>
      </c>
      <c r="Z30" s="34">
        <v>34714</v>
      </c>
      <c r="AA30" s="35">
        <f t="shared" si="0"/>
        <v>1131147</v>
      </c>
      <c r="AB30" s="19">
        <v>22</v>
      </c>
      <c r="AC30" s="79">
        <f>+AA30*AB30+AA31*AB31+AA32*AB32</f>
        <v>32899598</v>
      </c>
    </row>
    <row r="31" spans="1:30" ht="15.75" thickBot="1" x14ac:dyDescent="0.3">
      <c r="A31" s="78"/>
      <c r="B31" s="20" t="s">
        <v>7</v>
      </c>
      <c r="C31" s="36">
        <v>40973</v>
      </c>
      <c r="D31" s="36">
        <v>38577</v>
      </c>
      <c r="E31" s="36">
        <v>37315</v>
      </c>
      <c r="F31" s="36">
        <v>36567</v>
      </c>
      <c r="G31" s="36">
        <v>35427</v>
      </c>
      <c r="H31" s="36">
        <v>33832</v>
      </c>
      <c r="I31" s="36">
        <v>32875</v>
      </c>
      <c r="J31" s="36">
        <v>52114</v>
      </c>
      <c r="K31" s="36">
        <v>55859</v>
      </c>
      <c r="L31" s="36">
        <v>57677</v>
      </c>
      <c r="M31" s="36">
        <v>58712</v>
      </c>
      <c r="N31" s="36">
        <v>60885</v>
      </c>
      <c r="O31" s="36">
        <v>61069</v>
      </c>
      <c r="P31" s="36">
        <v>61594</v>
      </c>
      <c r="Q31" s="36">
        <v>61718</v>
      </c>
      <c r="R31" s="36">
        <v>61952</v>
      </c>
      <c r="S31" s="36">
        <v>62662</v>
      </c>
      <c r="T31" s="36">
        <v>39199</v>
      </c>
      <c r="U31" s="36">
        <v>37671</v>
      </c>
      <c r="V31" s="36">
        <v>35249</v>
      </c>
      <c r="W31" s="36">
        <v>33603</v>
      </c>
      <c r="X31" s="36">
        <v>33489</v>
      </c>
      <c r="Y31" s="36">
        <v>33302</v>
      </c>
      <c r="Z31" s="37">
        <v>32329</v>
      </c>
      <c r="AA31" s="38">
        <f t="shared" si="0"/>
        <v>1094650</v>
      </c>
      <c r="AB31" s="21">
        <v>4</v>
      </c>
      <c r="AC31" s="80"/>
      <c r="AD31" s="47"/>
    </row>
    <row r="32" spans="1:30" ht="15" x14ac:dyDescent="0.25">
      <c r="A32" s="78"/>
      <c r="B32" s="22" t="s">
        <v>6</v>
      </c>
      <c r="C32" s="39">
        <v>35368</v>
      </c>
      <c r="D32" s="39">
        <v>34071</v>
      </c>
      <c r="E32" s="39">
        <v>33090</v>
      </c>
      <c r="F32" s="39">
        <v>32473</v>
      </c>
      <c r="G32" s="39">
        <v>31180</v>
      </c>
      <c r="H32" s="39">
        <v>29854</v>
      </c>
      <c r="I32" s="39">
        <v>26679</v>
      </c>
      <c r="J32" s="39">
        <v>43831</v>
      </c>
      <c r="K32" s="39">
        <v>45950</v>
      </c>
      <c r="L32" s="39">
        <v>47279</v>
      </c>
      <c r="M32" s="39">
        <v>47745</v>
      </c>
      <c r="N32" s="39">
        <v>49013</v>
      </c>
      <c r="O32" s="39">
        <v>50385</v>
      </c>
      <c r="P32" s="39">
        <v>50997</v>
      </c>
      <c r="Q32" s="39">
        <v>50360</v>
      </c>
      <c r="R32" s="39">
        <v>51668</v>
      </c>
      <c r="S32" s="39">
        <v>51948</v>
      </c>
      <c r="T32" s="39">
        <v>28904</v>
      </c>
      <c r="U32" s="39">
        <v>29535</v>
      </c>
      <c r="V32" s="39">
        <v>27406</v>
      </c>
      <c r="W32" s="39">
        <v>27050</v>
      </c>
      <c r="X32" s="39">
        <v>27307</v>
      </c>
      <c r="Y32" s="39">
        <v>28558</v>
      </c>
      <c r="Z32" s="40">
        <v>28290</v>
      </c>
      <c r="AA32" s="41">
        <f t="shared" si="0"/>
        <v>908941</v>
      </c>
      <c r="AB32" s="23">
        <v>4</v>
      </c>
      <c r="AC32" s="81"/>
      <c r="AD32" s="48"/>
    </row>
    <row r="33" spans="1:30" ht="15.75" thickBot="1" x14ac:dyDescent="0.3">
      <c r="A33" s="78">
        <v>46296</v>
      </c>
      <c r="B33" s="18" t="s">
        <v>8</v>
      </c>
      <c r="C33" s="33">
        <v>36542</v>
      </c>
      <c r="D33" s="33">
        <v>35266</v>
      </c>
      <c r="E33" s="33">
        <v>34437</v>
      </c>
      <c r="F33" s="33">
        <v>33641</v>
      </c>
      <c r="G33" s="33">
        <v>33211</v>
      </c>
      <c r="H33" s="33">
        <v>33051</v>
      </c>
      <c r="I33" s="33">
        <v>31469</v>
      </c>
      <c r="J33" s="33">
        <v>49878</v>
      </c>
      <c r="K33" s="33">
        <v>52164</v>
      </c>
      <c r="L33" s="33">
        <v>53162</v>
      </c>
      <c r="M33" s="33">
        <v>54330</v>
      </c>
      <c r="N33" s="33">
        <v>56897</v>
      </c>
      <c r="O33" s="33">
        <v>58268</v>
      </c>
      <c r="P33" s="33">
        <v>59422</v>
      </c>
      <c r="Q33" s="33">
        <v>60108</v>
      </c>
      <c r="R33" s="33">
        <v>60574</v>
      </c>
      <c r="S33" s="33">
        <v>60058</v>
      </c>
      <c r="T33" s="33">
        <v>35300</v>
      </c>
      <c r="U33" s="33">
        <v>34647</v>
      </c>
      <c r="V33" s="33">
        <v>33223</v>
      </c>
      <c r="W33" s="33">
        <v>31820</v>
      </c>
      <c r="X33" s="33">
        <v>31378</v>
      </c>
      <c r="Y33" s="33">
        <v>30807</v>
      </c>
      <c r="Z33" s="34">
        <v>30952</v>
      </c>
      <c r="AA33" s="35">
        <f t="shared" si="0"/>
        <v>1030605</v>
      </c>
      <c r="AB33" s="19">
        <v>21</v>
      </c>
      <c r="AC33" s="79">
        <f>+AA33*AB33+AA34*AB34+AA35*AB35</f>
        <v>32296425</v>
      </c>
    </row>
    <row r="34" spans="1:30" ht="15.75" thickBot="1" x14ac:dyDescent="0.3">
      <c r="A34" s="78"/>
      <c r="B34" s="20" t="s">
        <v>7</v>
      </c>
      <c r="C34" s="36">
        <v>42567</v>
      </c>
      <c r="D34" s="36">
        <v>40963</v>
      </c>
      <c r="E34" s="36">
        <v>39771</v>
      </c>
      <c r="F34" s="36">
        <v>38803</v>
      </c>
      <c r="G34" s="36">
        <v>38188</v>
      </c>
      <c r="H34" s="36">
        <v>37679</v>
      </c>
      <c r="I34" s="36">
        <v>37935</v>
      </c>
      <c r="J34" s="36">
        <v>57316</v>
      </c>
      <c r="K34" s="36">
        <v>60748</v>
      </c>
      <c r="L34" s="36">
        <v>63288</v>
      </c>
      <c r="M34" s="36">
        <v>65117</v>
      </c>
      <c r="N34" s="36">
        <v>67141</v>
      </c>
      <c r="O34" s="36">
        <v>68250</v>
      </c>
      <c r="P34" s="36">
        <v>68849</v>
      </c>
      <c r="Q34" s="36">
        <v>69240</v>
      </c>
      <c r="R34" s="36">
        <v>68950</v>
      </c>
      <c r="S34" s="36">
        <v>68745</v>
      </c>
      <c r="T34" s="36">
        <v>46177</v>
      </c>
      <c r="U34" s="36">
        <v>47424</v>
      </c>
      <c r="V34" s="36">
        <v>45708</v>
      </c>
      <c r="W34" s="36">
        <v>43347</v>
      </c>
      <c r="X34" s="36">
        <v>41712</v>
      </c>
      <c r="Y34" s="36">
        <v>40896</v>
      </c>
      <c r="Z34" s="37">
        <v>38164</v>
      </c>
      <c r="AA34" s="38">
        <f t="shared" si="0"/>
        <v>1236978</v>
      </c>
      <c r="AB34" s="21">
        <v>5</v>
      </c>
      <c r="AC34" s="80"/>
      <c r="AD34" s="47"/>
    </row>
    <row r="35" spans="1:30" ht="15" x14ac:dyDescent="0.25">
      <c r="A35" s="78"/>
      <c r="B35" s="22" t="s">
        <v>6</v>
      </c>
      <c r="C35" s="39">
        <v>33424</v>
      </c>
      <c r="D35" s="39">
        <v>32398</v>
      </c>
      <c r="E35" s="39">
        <v>30980</v>
      </c>
      <c r="F35" s="39">
        <v>30266</v>
      </c>
      <c r="G35" s="39">
        <v>29298</v>
      </c>
      <c r="H35" s="39">
        <v>28410</v>
      </c>
      <c r="I35" s="39">
        <v>25961</v>
      </c>
      <c r="J35" s="39">
        <v>42787</v>
      </c>
      <c r="K35" s="39">
        <v>44506</v>
      </c>
      <c r="L35" s="39">
        <v>46503</v>
      </c>
      <c r="M35" s="39">
        <v>47438</v>
      </c>
      <c r="N35" s="39">
        <v>49242</v>
      </c>
      <c r="O35" s="39">
        <v>50967</v>
      </c>
      <c r="P35" s="39">
        <v>51011</v>
      </c>
      <c r="Q35" s="39">
        <v>51110</v>
      </c>
      <c r="R35" s="39">
        <v>52255</v>
      </c>
      <c r="S35" s="39">
        <v>52601</v>
      </c>
      <c r="T35" s="39">
        <v>30573</v>
      </c>
      <c r="U35" s="39">
        <v>28963</v>
      </c>
      <c r="V35" s="39">
        <v>26658</v>
      </c>
      <c r="W35" s="39">
        <v>26462</v>
      </c>
      <c r="X35" s="39">
        <v>27078</v>
      </c>
      <c r="Y35" s="39">
        <v>27766</v>
      </c>
      <c r="Z35" s="40">
        <v>27109</v>
      </c>
      <c r="AA35" s="41">
        <f t="shared" si="0"/>
        <v>893766</v>
      </c>
      <c r="AB35" s="23">
        <v>5</v>
      </c>
      <c r="AC35" s="81"/>
      <c r="AD35" s="48"/>
    </row>
    <row r="36" spans="1:30" ht="15.75" thickBot="1" x14ac:dyDescent="0.3">
      <c r="A36" s="78">
        <v>46327</v>
      </c>
      <c r="B36" s="18" t="s">
        <v>8</v>
      </c>
      <c r="C36" s="33">
        <v>35648</v>
      </c>
      <c r="D36" s="33">
        <v>34332</v>
      </c>
      <c r="E36" s="33">
        <v>33461</v>
      </c>
      <c r="F36" s="33">
        <v>33105</v>
      </c>
      <c r="G36" s="33">
        <v>32635</v>
      </c>
      <c r="H36" s="33">
        <v>32758</v>
      </c>
      <c r="I36" s="33">
        <v>32145</v>
      </c>
      <c r="J36" s="33">
        <v>51333</v>
      </c>
      <c r="K36" s="33">
        <v>53865</v>
      </c>
      <c r="L36" s="33">
        <v>55514</v>
      </c>
      <c r="M36" s="33">
        <v>57481</v>
      </c>
      <c r="N36" s="33">
        <v>60166</v>
      </c>
      <c r="O36" s="33">
        <v>60669</v>
      </c>
      <c r="P36" s="33">
        <v>61143</v>
      </c>
      <c r="Q36" s="33">
        <v>62699</v>
      </c>
      <c r="R36" s="33">
        <v>61231</v>
      </c>
      <c r="S36" s="33">
        <v>60637</v>
      </c>
      <c r="T36" s="33">
        <v>36012</v>
      </c>
      <c r="U36" s="33">
        <v>37182</v>
      </c>
      <c r="V36" s="33">
        <v>35475</v>
      </c>
      <c r="W36" s="33">
        <v>34521</v>
      </c>
      <c r="X36" s="33">
        <v>33273</v>
      </c>
      <c r="Y36" s="33">
        <v>31619</v>
      </c>
      <c r="Z36" s="34">
        <v>30917</v>
      </c>
      <c r="AA36" s="35">
        <f t="shared" si="0"/>
        <v>1057821</v>
      </c>
      <c r="AB36" s="19">
        <v>19</v>
      </c>
      <c r="AC36" s="79">
        <f>+AA36*AB36+AA37*AB37+AA38*AB38</f>
        <v>29221777</v>
      </c>
    </row>
    <row r="37" spans="1:30" ht="15.75" thickBot="1" x14ac:dyDescent="0.3">
      <c r="A37" s="78"/>
      <c r="B37" s="20" t="s">
        <v>7</v>
      </c>
      <c r="C37" s="36">
        <v>33763</v>
      </c>
      <c r="D37" s="36">
        <v>32548</v>
      </c>
      <c r="E37" s="36">
        <v>31753</v>
      </c>
      <c r="F37" s="36">
        <v>30842</v>
      </c>
      <c r="G37" s="36">
        <v>30506</v>
      </c>
      <c r="H37" s="36">
        <v>29303</v>
      </c>
      <c r="I37" s="36">
        <v>27169</v>
      </c>
      <c r="J37" s="36">
        <v>45580</v>
      </c>
      <c r="K37" s="36">
        <v>48494</v>
      </c>
      <c r="L37" s="36">
        <v>50688</v>
      </c>
      <c r="M37" s="36">
        <v>51274</v>
      </c>
      <c r="N37" s="36">
        <v>52997</v>
      </c>
      <c r="O37" s="36">
        <v>53934</v>
      </c>
      <c r="P37" s="36">
        <v>52921</v>
      </c>
      <c r="Q37" s="36">
        <v>53590</v>
      </c>
      <c r="R37" s="36">
        <v>53760</v>
      </c>
      <c r="S37" s="36">
        <v>54441</v>
      </c>
      <c r="T37" s="36">
        <v>31426</v>
      </c>
      <c r="U37" s="36">
        <v>31047</v>
      </c>
      <c r="V37" s="36">
        <v>29682</v>
      </c>
      <c r="W37" s="36">
        <v>28413</v>
      </c>
      <c r="X37" s="36">
        <v>27982</v>
      </c>
      <c r="Y37" s="36">
        <v>27225</v>
      </c>
      <c r="Z37" s="37">
        <v>25948</v>
      </c>
      <c r="AA37" s="38">
        <f t="shared" si="0"/>
        <v>935286</v>
      </c>
      <c r="AB37" s="21">
        <v>4</v>
      </c>
      <c r="AC37" s="80"/>
      <c r="AD37" s="47"/>
    </row>
    <row r="38" spans="1:30" ht="15" x14ac:dyDescent="0.25">
      <c r="A38" s="78"/>
      <c r="B38" s="22" t="s">
        <v>6</v>
      </c>
      <c r="C38" s="39">
        <v>28134</v>
      </c>
      <c r="D38" s="39">
        <v>27462</v>
      </c>
      <c r="E38" s="39">
        <v>26528</v>
      </c>
      <c r="F38" s="39">
        <v>25720</v>
      </c>
      <c r="G38" s="39">
        <v>25419</v>
      </c>
      <c r="H38" s="39">
        <v>24726</v>
      </c>
      <c r="I38" s="39">
        <v>21778</v>
      </c>
      <c r="J38" s="39">
        <v>38840</v>
      </c>
      <c r="K38" s="39">
        <v>40416</v>
      </c>
      <c r="L38" s="39">
        <v>41929</v>
      </c>
      <c r="M38" s="39">
        <v>42165</v>
      </c>
      <c r="N38" s="39">
        <v>43538</v>
      </c>
      <c r="O38" s="39">
        <v>44810</v>
      </c>
      <c r="P38" s="39">
        <v>45373</v>
      </c>
      <c r="Q38" s="39">
        <v>44593</v>
      </c>
      <c r="R38" s="39">
        <v>44178</v>
      </c>
      <c r="S38" s="39">
        <v>45379</v>
      </c>
      <c r="T38" s="39">
        <v>22535</v>
      </c>
      <c r="U38" s="39">
        <v>22810</v>
      </c>
      <c r="V38" s="39">
        <v>22325</v>
      </c>
      <c r="W38" s="39">
        <v>22517</v>
      </c>
      <c r="X38" s="39">
        <v>22946</v>
      </c>
      <c r="Y38" s="39">
        <v>22922</v>
      </c>
      <c r="Z38" s="40">
        <v>21819</v>
      </c>
      <c r="AA38" s="41">
        <f t="shared" si="0"/>
        <v>768862</v>
      </c>
      <c r="AB38" s="23">
        <v>7</v>
      </c>
      <c r="AC38" s="81"/>
      <c r="AD38" s="49"/>
    </row>
    <row r="39" spans="1:30" ht="15.75" thickBot="1" x14ac:dyDescent="0.3">
      <c r="A39" s="78">
        <v>46357</v>
      </c>
      <c r="B39" s="18" t="s">
        <v>8</v>
      </c>
      <c r="C39" s="33">
        <v>40043</v>
      </c>
      <c r="D39" s="33">
        <v>38056</v>
      </c>
      <c r="E39" s="33">
        <v>36969</v>
      </c>
      <c r="F39" s="33">
        <v>35926</v>
      </c>
      <c r="G39" s="33">
        <v>35581</v>
      </c>
      <c r="H39" s="33">
        <v>35516</v>
      </c>
      <c r="I39" s="33">
        <v>34305</v>
      </c>
      <c r="J39" s="33">
        <v>54365</v>
      </c>
      <c r="K39" s="33">
        <v>57378</v>
      </c>
      <c r="L39" s="33">
        <v>59413</v>
      </c>
      <c r="M39" s="33">
        <v>61217</v>
      </c>
      <c r="N39" s="33">
        <v>64156</v>
      </c>
      <c r="O39" s="33">
        <v>65263</v>
      </c>
      <c r="P39" s="33">
        <v>65539</v>
      </c>
      <c r="Q39" s="33">
        <v>66225</v>
      </c>
      <c r="R39" s="33">
        <v>65610</v>
      </c>
      <c r="S39" s="33">
        <v>64363</v>
      </c>
      <c r="T39" s="33">
        <v>39679</v>
      </c>
      <c r="U39" s="33">
        <v>39987</v>
      </c>
      <c r="V39" s="33">
        <v>38229</v>
      </c>
      <c r="W39" s="33">
        <v>36779</v>
      </c>
      <c r="X39" s="33">
        <v>35910</v>
      </c>
      <c r="Y39" s="33">
        <v>34978</v>
      </c>
      <c r="Z39" s="34">
        <v>34926</v>
      </c>
      <c r="AA39" s="35">
        <f t="shared" si="0"/>
        <v>1140413</v>
      </c>
      <c r="AB39" s="19">
        <v>21</v>
      </c>
      <c r="AC39" s="79">
        <f>+AA39*AB39+AA40*AB40+AA41*AB41</f>
        <v>33826029</v>
      </c>
    </row>
    <row r="40" spans="1:30" ht="15.75" thickBot="1" x14ac:dyDescent="0.3">
      <c r="A40" s="78"/>
      <c r="B40" s="20" t="s">
        <v>7</v>
      </c>
      <c r="C40" s="36">
        <v>34391</v>
      </c>
      <c r="D40" s="36">
        <v>33884</v>
      </c>
      <c r="E40" s="36">
        <v>33269</v>
      </c>
      <c r="F40" s="36">
        <v>32040</v>
      </c>
      <c r="G40" s="36">
        <v>31482</v>
      </c>
      <c r="H40" s="36">
        <v>30907</v>
      </c>
      <c r="I40" s="36">
        <v>29186</v>
      </c>
      <c r="J40" s="36">
        <v>48193</v>
      </c>
      <c r="K40" s="36">
        <v>51106</v>
      </c>
      <c r="L40" s="36">
        <v>52040</v>
      </c>
      <c r="M40" s="36">
        <v>53424</v>
      </c>
      <c r="N40" s="36">
        <v>54189</v>
      </c>
      <c r="O40" s="36">
        <v>54557</v>
      </c>
      <c r="P40" s="36">
        <v>53480</v>
      </c>
      <c r="Q40" s="36">
        <v>53706</v>
      </c>
      <c r="R40" s="36">
        <v>53306</v>
      </c>
      <c r="S40" s="36">
        <v>53484</v>
      </c>
      <c r="T40" s="36">
        <v>30859</v>
      </c>
      <c r="U40" s="36">
        <v>29829</v>
      </c>
      <c r="V40" s="36">
        <v>25920</v>
      </c>
      <c r="W40" s="36">
        <v>24012</v>
      </c>
      <c r="X40" s="36">
        <v>23077</v>
      </c>
      <c r="Y40" s="36">
        <v>22378</v>
      </c>
      <c r="Z40" s="37">
        <v>23636</v>
      </c>
      <c r="AA40" s="38">
        <f t="shared" si="0"/>
        <v>932355</v>
      </c>
      <c r="AB40" s="21">
        <v>4</v>
      </c>
      <c r="AC40" s="80"/>
      <c r="AD40" s="47"/>
    </row>
    <row r="41" spans="1:30" ht="15" x14ac:dyDescent="0.25">
      <c r="A41" s="78"/>
      <c r="B41" s="22" t="s">
        <v>6</v>
      </c>
      <c r="C41" s="39">
        <v>38085</v>
      </c>
      <c r="D41" s="39">
        <v>36860</v>
      </c>
      <c r="E41" s="39">
        <v>35732</v>
      </c>
      <c r="F41" s="39">
        <v>34928</v>
      </c>
      <c r="G41" s="39">
        <v>34397</v>
      </c>
      <c r="H41" s="39">
        <v>33466</v>
      </c>
      <c r="I41" s="39">
        <v>30990</v>
      </c>
      <c r="J41" s="39">
        <v>48419</v>
      </c>
      <c r="K41" s="39">
        <v>50527</v>
      </c>
      <c r="L41" s="39">
        <v>52313</v>
      </c>
      <c r="M41" s="39">
        <v>53780</v>
      </c>
      <c r="N41" s="39">
        <v>55180</v>
      </c>
      <c r="O41" s="39">
        <v>56534</v>
      </c>
      <c r="P41" s="39">
        <v>57370</v>
      </c>
      <c r="Q41" s="39">
        <v>57429</v>
      </c>
      <c r="R41" s="39">
        <v>57569</v>
      </c>
      <c r="S41" s="39">
        <v>58363</v>
      </c>
      <c r="T41" s="39">
        <v>35685</v>
      </c>
      <c r="U41" s="39">
        <v>35804</v>
      </c>
      <c r="V41" s="39">
        <v>33999</v>
      </c>
      <c r="W41" s="39">
        <v>32747</v>
      </c>
      <c r="X41" s="39">
        <v>31764</v>
      </c>
      <c r="Y41" s="39">
        <v>31710</v>
      </c>
      <c r="Z41" s="40">
        <v>31005</v>
      </c>
      <c r="AA41" s="41">
        <f t="shared" si="0"/>
        <v>1024656</v>
      </c>
      <c r="AB41" s="23">
        <v>6</v>
      </c>
      <c r="AC41" s="81"/>
      <c r="AD41" s="42"/>
    </row>
    <row r="42" spans="1:30" ht="15" x14ac:dyDescent="0.25">
      <c r="A42" s="76" t="s">
        <v>5</v>
      </c>
      <c r="B42" s="77"/>
      <c r="C42" s="31">
        <f t="shared" ref="C42:AC42" si="1">+SUM(C6:C41)</f>
        <v>1173709</v>
      </c>
      <c r="D42" s="31">
        <f t="shared" si="1"/>
        <v>1130127</v>
      </c>
      <c r="E42" s="31">
        <f t="shared" si="1"/>
        <v>1098831</v>
      </c>
      <c r="F42" s="31">
        <f t="shared" si="1"/>
        <v>1077417</v>
      </c>
      <c r="G42" s="31">
        <f t="shared" si="1"/>
        <v>1056645</v>
      </c>
      <c r="H42" s="31">
        <f t="shared" si="1"/>
        <v>1038822</v>
      </c>
      <c r="I42" s="31">
        <f t="shared" si="1"/>
        <v>993483</v>
      </c>
      <c r="J42" s="31">
        <f t="shared" si="1"/>
        <v>1664169</v>
      </c>
      <c r="K42" s="31">
        <f t="shared" si="1"/>
        <v>1757854</v>
      </c>
      <c r="L42" s="31">
        <f t="shared" si="1"/>
        <v>1814806</v>
      </c>
      <c r="M42" s="31">
        <f t="shared" si="1"/>
        <v>1849283</v>
      </c>
      <c r="N42" s="31">
        <f t="shared" si="1"/>
        <v>1910608</v>
      </c>
      <c r="O42" s="31">
        <f t="shared" si="1"/>
        <v>1942240</v>
      </c>
      <c r="P42" s="31">
        <f t="shared" si="1"/>
        <v>1955901</v>
      </c>
      <c r="Q42" s="31">
        <f t="shared" si="1"/>
        <v>1961423</v>
      </c>
      <c r="R42" s="31">
        <f t="shared" si="1"/>
        <v>1972652</v>
      </c>
      <c r="S42" s="31">
        <f t="shared" si="1"/>
        <v>1963170</v>
      </c>
      <c r="T42" s="31">
        <f t="shared" si="1"/>
        <v>1115281</v>
      </c>
      <c r="U42" s="31">
        <f t="shared" si="1"/>
        <v>1090441</v>
      </c>
      <c r="V42" s="31">
        <f t="shared" si="1"/>
        <v>995522</v>
      </c>
      <c r="W42" s="31">
        <f t="shared" si="1"/>
        <v>963661</v>
      </c>
      <c r="X42" s="31">
        <f t="shared" si="1"/>
        <v>958005</v>
      </c>
      <c r="Y42" s="31">
        <f t="shared" si="1"/>
        <v>963674</v>
      </c>
      <c r="Z42" s="31">
        <f t="shared" si="1"/>
        <v>946309</v>
      </c>
      <c r="AA42" s="31">
        <f t="shared" si="1"/>
        <v>33394033</v>
      </c>
      <c r="AB42" s="31">
        <f t="shared" si="1"/>
        <v>365</v>
      </c>
      <c r="AC42" s="46">
        <f t="shared" si="1"/>
        <v>348274799</v>
      </c>
    </row>
    <row r="43" spans="1:30" ht="15" x14ac:dyDescent="0.25">
      <c r="AB43" s="6"/>
      <c r="AC43" s="6"/>
    </row>
    <row r="44" spans="1:30" ht="15" x14ac:dyDescent="0.25">
      <c r="C44" s="49"/>
    </row>
    <row r="45" spans="1:30" ht="15" x14ac:dyDescent="0.25"/>
    <row r="46" spans="1:30" ht="15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1209-1201-4C03-97AC-25DB61F1D400}">
  <sheetPr>
    <tabColor rgb="FFFF0000"/>
  </sheetPr>
  <dimension ref="A1:AD46"/>
  <sheetViews>
    <sheetView showGridLines="0" zoomScale="115" zoomScaleNormal="115" zoomScaleSheetLayoutView="11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3" width="13" bestFit="1" customWidth="1"/>
    <col min="4" max="4" width="9" bestFit="1" customWidth="1"/>
    <col min="5" max="7" width="8" bestFit="1" customWidth="1"/>
    <col min="8" max="8" width="8.7109375" bestFit="1" customWidth="1"/>
    <col min="9" max="9" width="9" bestFit="1" customWidth="1"/>
    <col min="10" max="10" width="8" bestFit="1" customWidth="1"/>
    <col min="11" max="11" width="9" bestFit="1" customWidth="1"/>
    <col min="12" max="13" width="8.7109375" bestFit="1" customWidth="1"/>
    <col min="14" max="19" width="9" bestFit="1" customWidth="1"/>
    <col min="20" max="27" width="9.42578125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6" t="s">
        <v>53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8"/>
    </row>
    <row r="2" spans="1:30" ht="15" x14ac:dyDescent="0.25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1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8" x14ac:dyDescent="0.25">
      <c r="A4" s="92" t="s">
        <v>38</v>
      </c>
      <c r="B4" s="92" t="s">
        <v>37</v>
      </c>
      <c r="C4" s="84" t="s">
        <v>36</v>
      </c>
      <c r="D4" s="84" t="s">
        <v>35</v>
      </c>
      <c r="E4" s="84" t="s">
        <v>34</v>
      </c>
      <c r="F4" s="84" t="s">
        <v>33</v>
      </c>
      <c r="G4" s="84" t="s">
        <v>32</v>
      </c>
      <c r="H4" s="84" t="s">
        <v>31</v>
      </c>
      <c r="I4" s="84" t="s">
        <v>30</v>
      </c>
      <c r="J4" s="84" t="s">
        <v>29</v>
      </c>
      <c r="K4" s="84" t="s">
        <v>28</v>
      </c>
      <c r="L4" s="84" t="s">
        <v>27</v>
      </c>
      <c r="M4" s="84" t="s">
        <v>26</v>
      </c>
      <c r="N4" s="84" t="s">
        <v>25</v>
      </c>
      <c r="O4" s="84" t="s">
        <v>24</v>
      </c>
      <c r="P4" s="84" t="s">
        <v>23</v>
      </c>
      <c r="Q4" s="84" t="s">
        <v>22</v>
      </c>
      <c r="R4" s="84" t="s">
        <v>21</v>
      </c>
      <c r="S4" s="84" t="s">
        <v>20</v>
      </c>
      <c r="T4" s="84" t="s">
        <v>19</v>
      </c>
      <c r="U4" s="84" t="s">
        <v>18</v>
      </c>
      <c r="V4" s="84" t="s">
        <v>17</v>
      </c>
      <c r="W4" s="84" t="s">
        <v>16</v>
      </c>
      <c r="X4" s="84" t="s">
        <v>15</v>
      </c>
      <c r="Y4" s="84" t="s">
        <v>14</v>
      </c>
      <c r="Z4" s="84" t="s">
        <v>13</v>
      </c>
      <c r="AA4" s="14" t="s">
        <v>12</v>
      </c>
      <c r="AB4" s="15" t="s">
        <v>11</v>
      </c>
      <c r="AC4" s="82" t="s">
        <v>10</v>
      </c>
    </row>
    <row r="5" spans="1:30" ht="15" x14ac:dyDescent="0.25">
      <c r="A5" s="92"/>
      <c r="B5" s="92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16"/>
      <c r="AB5" s="17" t="s">
        <v>9</v>
      </c>
      <c r="AC5" s="83"/>
    </row>
    <row r="6" spans="1:30" ht="15.75" thickBot="1" x14ac:dyDescent="0.3">
      <c r="A6" s="78">
        <v>46023</v>
      </c>
      <c r="B6" s="18" t="s">
        <v>8</v>
      </c>
      <c r="C6" s="36">
        <f>ROUND('Anexo 8'!C6*'Anexo 1'!$D$10,0)</f>
        <v>0</v>
      </c>
      <c r="D6" s="33">
        <f>ROUND('Anexo 8'!D6*'Anexo 1'!$D$10,0)</f>
        <v>0</v>
      </c>
      <c r="E6" s="33">
        <f>ROUND('Anexo 8'!E6*'Anexo 1'!$D$10,0)</f>
        <v>0</v>
      </c>
      <c r="F6" s="33">
        <f>ROUND('Anexo 8'!F6*'Anexo 1'!$D$10,0)</f>
        <v>0</v>
      </c>
      <c r="G6" s="33">
        <f>ROUND('Anexo 8'!G6*'Anexo 1'!$D$10,0)</f>
        <v>0</v>
      </c>
      <c r="H6" s="33">
        <f>ROUND('Anexo 8'!H6*'Anexo 1'!$D$10,0)</f>
        <v>0</v>
      </c>
      <c r="I6" s="33">
        <f>ROUND('Anexo 8'!I6*'Anexo 1'!$D$10,0)</f>
        <v>0</v>
      </c>
      <c r="J6" s="33">
        <f>ROUND('Anexo 8'!J6*'Anexo 1'!$D$10,0)</f>
        <v>0</v>
      </c>
      <c r="K6" s="33">
        <f>ROUND('Anexo 8'!K6*'Anexo 1'!$D$10,0)</f>
        <v>0</v>
      </c>
      <c r="L6" s="33">
        <f>ROUND('Anexo 8'!L6*'Anexo 1'!$D$10,0)</f>
        <v>0</v>
      </c>
      <c r="M6" s="33">
        <f>ROUND('Anexo 8'!M6*'Anexo 1'!$D$10,0)</f>
        <v>0</v>
      </c>
      <c r="N6" s="33">
        <f>ROUND('Anexo 8'!N6*'Anexo 1'!$D$10,0)</f>
        <v>0</v>
      </c>
      <c r="O6" s="33">
        <f>ROUND('Anexo 8'!O6*'Anexo 1'!$D$10,0)</f>
        <v>0</v>
      </c>
      <c r="P6" s="33">
        <f>ROUND('Anexo 8'!P6*'Anexo 1'!$D$10,0)</f>
        <v>0</v>
      </c>
      <c r="Q6" s="33">
        <f>ROUND('Anexo 8'!Q6*'Anexo 1'!$D$10,0)</f>
        <v>0</v>
      </c>
      <c r="R6" s="33">
        <f>ROUND('Anexo 8'!R6*'Anexo 1'!$D$10,0)</f>
        <v>0</v>
      </c>
      <c r="S6" s="33">
        <f>ROUND('Anexo 8'!S6*'Anexo 1'!$D$10,0)</f>
        <v>0</v>
      </c>
      <c r="T6" s="33">
        <f>ROUND('Anexo 8'!T6*'Anexo 1'!$D$10,0)</f>
        <v>0</v>
      </c>
      <c r="U6" s="33">
        <f>ROUND('Anexo 8'!U6*'Anexo 1'!$D$10,0)</f>
        <v>0</v>
      </c>
      <c r="V6" s="33">
        <f>ROUND('Anexo 8'!V6*'Anexo 1'!$D$10,0)</f>
        <v>0</v>
      </c>
      <c r="W6" s="33">
        <f>ROUND('Anexo 8'!W6*'Anexo 1'!$D$10,0)</f>
        <v>0</v>
      </c>
      <c r="X6" s="33">
        <f>ROUND('Anexo 8'!X6*'Anexo 1'!$D$10,0)</f>
        <v>0</v>
      </c>
      <c r="Y6" s="33">
        <f>ROUND('Anexo 8'!Y6*'Anexo 1'!$D$10,0)</f>
        <v>0</v>
      </c>
      <c r="Z6" s="34">
        <f>ROUND('Anexo 8'!Z6*'Anexo 1'!$D$10,0)</f>
        <v>0</v>
      </c>
      <c r="AA6" s="35">
        <f>SUM(C6:Z6)</f>
        <v>0</v>
      </c>
      <c r="AB6" s="19">
        <v>20</v>
      </c>
      <c r="AC6" s="79">
        <f>+AA6*AB6+AA7*AB7+AA8*AB8</f>
        <v>0</v>
      </c>
      <c r="AD6" s="49"/>
    </row>
    <row r="7" spans="1:30" ht="15.75" thickBot="1" x14ac:dyDescent="0.3">
      <c r="A7" s="78"/>
      <c r="B7" s="20" t="s">
        <v>7</v>
      </c>
      <c r="C7" s="36">
        <f>ROUND('Anexo 8'!C7*'Anexo 1'!$D$10,0)</f>
        <v>0</v>
      </c>
      <c r="D7" s="36">
        <f>ROUND('Anexo 8'!D7*'Anexo 1'!$D$10,0)</f>
        <v>0</v>
      </c>
      <c r="E7" s="36">
        <f>ROUND('Anexo 8'!E7*'Anexo 1'!$D$10,0)</f>
        <v>0</v>
      </c>
      <c r="F7" s="36">
        <f>ROUND('Anexo 8'!F7*'Anexo 1'!$D$10,0)</f>
        <v>0</v>
      </c>
      <c r="G7" s="36">
        <f>ROUND('Anexo 8'!G7*'Anexo 1'!$D$10,0)</f>
        <v>0</v>
      </c>
      <c r="H7" s="36">
        <f>ROUND('Anexo 8'!H7*'Anexo 1'!$D$10,0)</f>
        <v>0</v>
      </c>
      <c r="I7" s="36">
        <f>ROUND('Anexo 8'!I7*'Anexo 1'!$D$10,0)</f>
        <v>0</v>
      </c>
      <c r="J7" s="36">
        <f>ROUND('Anexo 8'!J7*'Anexo 1'!$D$10,0)</f>
        <v>0</v>
      </c>
      <c r="K7" s="36">
        <f>ROUND('Anexo 8'!K7*'Anexo 1'!$D$10,0)</f>
        <v>0</v>
      </c>
      <c r="L7" s="36">
        <f>ROUND('Anexo 8'!L7*'Anexo 1'!$D$10,0)</f>
        <v>0</v>
      </c>
      <c r="M7" s="36">
        <f>ROUND('Anexo 8'!M7*'Anexo 1'!$D$10,0)</f>
        <v>0</v>
      </c>
      <c r="N7" s="36">
        <f>ROUND('Anexo 8'!N7*'Anexo 1'!$D$10,0)</f>
        <v>0</v>
      </c>
      <c r="O7" s="36">
        <f>ROUND('Anexo 8'!O7*'Anexo 1'!$D$10,0)</f>
        <v>0</v>
      </c>
      <c r="P7" s="36">
        <f>ROUND('Anexo 8'!P7*'Anexo 1'!$D$10,0)</f>
        <v>0</v>
      </c>
      <c r="Q7" s="36">
        <f>ROUND('Anexo 8'!Q7*'Anexo 1'!$D$10,0)</f>
        <v>0</v>
      </c>
      <c r="R7" s="36">
        <f>ROUND('Anexo 8'!R7*'Anexo 1'!$D$10,0)</f>
        <v>0</v>
      </c>
      <c r="S7" s="36">
        <f>ROUND('Anexo 8'!S7*'Anexo 1'!$D$10,0)</f>
        <v>0</v>
      </c>
      <c r="T7" s="36">
        <f>ROUND('Anexo 8'!T7*'Anexo 1'!$D$10,0)</f>
        <v>0</v>
      </c>
      <c r="U7" s="36">
        <f>ROUND('Anexo 8'!U7*'Anexo 1'!$D$10,0)</f>
        <v>0</v>
      </c>
      <c r="V7" s="36">
        <f>ROUND('Anexo 8'!V7*'Anexo 1'!$D$10,0)</f>
        <v>0</v>
      </c>
      <c r="W7" s="36">
        <f>ROUND('Anexo 8'!W7*'Anexo 1'!$D$10,0)</f>
        <v>0</v>
      </c>
      <c r="X7" s="36">
        <f>ROUND('Anexo 8'!X7*'Anexo 1'!$D$10,0)</f>
        <v>0</v>
      </c>
      <c r="Y7" s="36">
        <f>ROUND('Anexo 8'!Y7*'Anexo 1'!$D$10,0)</f>
        <v>0</v>
      </c>
      <c r="Z7" s="37">
        <f>ROUND('Anexo 8'!Z7*'Anexo 1'!$D$10,0)</f>
        <v>0</v>
      </c>
      <c r="AA7" s="38">
        <f t="shared" ref="AA7:AA41" si="0">SUM(C7:Z7)</f>
        <v>0</v>
      </c>
      <c r="AB7" s="21">
        <v>5</v>
      </c>
      <c r="AC7" s="80"/>
      <c r="AD7" s="49"/>
    </row>
    <row r="8" spans="1:30" ht="15" x14ac:dyDescent="0.25">
      <c r="A8" s="78"/>
      <c r="B8" s="22" t="s">
        <v>6</v>
      </c>
      <c r="C8" s="39">
        <f>ROUND('Anexo 8'!C8*'Anexo 1'!$D$10,0)</f>
        <v>0</v>
      </c>
      <c r="D8" s="39">
        <f>ROUND('Anexo 8'!D8*'Anexo 1'!$D$10,0)</f>
        <v>0</v>
      </c>
      <c r="E8" s="39">
        <f>ROUND('Anexo 8'!E8*'Anexo 1'!$D$10,0)</f>
        <v>0</v>
      </c>
      <c r="F8" s="39">
        <f>ROUND('Anexo 8'!F8*'Anexo 1'!$D$10,0)</f>
        <v>0</v>
      </c>
      <c r="G8" s="39">
        <f>ROUND('Anexo 8'!G8*'Anexo 1'!$D$10,0)</f>
        <v>0</v>
      </c>
      <c r="H8" s="39">
        <f>ROUND('Anexo 8'!H8*'Anexo 1'!$D$10,0)</f>
        <v>0</v>
      </c>
      <c r="I8" s="39">
        <f>ROUND('Anexo 8'!I8*'Anexo 1'!$D$10,0)</f>
        <v>0</v>
      </c>
      <c r="J8" s="39">
        <f>ROUND('Anexo 8'!J8*'Anexo 1'!$D$10,0)</f>
        <v>0</v>
      </c>
      <c r="K8" s="39">
        <f>ROUND('Anexo 8'!K8*'Anexo 1'!$D$10,0)</f>
        <v>0</v>
      </c>
      <c r="L8" s="39">
        <f>ROUND('Anexo 8'!L8*'Anexo 1'!$D$10,0)</f>
        <v>0</v>
      </c>
      <c r="M8" s="39">
        <f>ROUND('Anexo 8'!M8*'Anexo 1'!$D$10,0)</f>
        <v>0</v>
      </c>
      <c r="N8" s="39">
        <f>ROUND('Anexo 8'!N8*'Anexo 1'!$D$10,0)</f>
        <v>0</v>
      </c>
      <c r="O8" s="39">
        <f>ROUND('Anexo 8'!O8*'Anexo 1'!$D$10,0)</f>
        <v>0</v>
      </c>
      <c r="P8" s="39">
        <f>ROUND('Anexo 8'!P8*'Anexo 1'!$D$10,0)</f>
        <v>0</v>
      </c>
      <c r="Q8" s="39">
        <f>ROUND('Anexo 8'!Q8*'Anexo 1'!$D$10,0)</f>
        <v>0</v>
      </c>
      <c r="R8" s="39">
        <f>ROUND('Anexo 8'!R8*'Anexo 1'!$D$10,0)</f>
        <v>0</v>
      </c>
      <c r="S8" s="39">
        <f>ROUND('Anexo 8'!S8*'Anexo 1'!$D$10,0)</f>
        <v>0</v>
      </c>
      <c r="T8" s="39">
        <f>ROUND('Anexo 8'!T8*'Anexo 1'!$D$10,0)</f>
        <v>0</v>
      </c>
      <c r="U8" s="39">
        <f>ROUND('Anexo 8'!U8*'Anexo 1'!$D$10,0)</f>
        <v>0</v>
      </c>
      <c r="V8" s="39">
        <f>ROUND('Anexo 8'!V8*'Anexo 1'!$D$10,0)</f>
        <v>0</v>
      </c>
      <c r="W8" s="39">
        <f>ROUND('Anexo 8'!W8*'Anexo 1'!$D$10,0)</f>
        <v>0</v>
      </c>
      <c r="X8" s="39">
        <f>ROUND('Anexo 8'!X8*'Anexo 1'!$D$10,0)</f>
        <v>0</v>
      </c>
      <c r="Y8" s="39">
        <f>ROUND('Anexo 8'!Y8*'Anexo 1'!$D$10,0)</f>
        <v>0</v>
      </c>
      <c r="Z8" s="40">
        <f>ROUND('Anexo 8'!Z8*'Anexo 1'!$D$10,0)</f>
        <v>0</v>
      </c>
      <c r="AA8" s="41">
        <f t="shared" si="0"/>
        <v>0</v>
      </c>
      <c r="AB8" s="23">
        <v>6</v>
      </c>
      <c r="AC8" s="81"/>
      <c r="AD8" s="49"/>
    </row>
    <row r="9" spans="1:30" ht="15.75" thickBot="1" x14ac:dyDescent="0.3">
      <c r="A9" s="78">
        <v>46054</v>
      </c>
      <c r="B9" s="18" t="s">
        <v>8</v>
      </c>
      <c r="C9" s="33">
        <f>ROUND('Anexo 8'!C9*'Anexo 1'!$D$10,0)</f>
        <v>0</v>
      </c>
      <c r="D9" s="33">
        <f>ROUND('Anexo 8'!D9*'Anexo 1'!$D$10,0)</f>
        <v>0</v>
      </c>
      <c r="E9" s="33">
        <f>ROUND('Anexo 8'!E9*'Anexo 1'!$D$10,0)</f>
        <v>0</v>
      </c>
      <c r="F9" s="33">
        <f>ROUND('Anexo 8'!F9*'Anexo 1'!$D$10,0)</f>
        <v>0</v>
      </c>
      <c r="G9" s="33">
        <f>ROUND('Anexo 8'!G9*'Anexo 1'!$D$10,0)</f>
        <v>0</v>
      </c>
      <c r="H9" s="33">
        <f>ROUND('Anexo 8'!H9*'Anexo 1'!$D$10,0)</f>
        <v>0</v>
      </c>
      <c r="I9" s="33">
        <f>ROUND('Anexo 8'!I9*'Anexo 1'!$D$10,0)</f>
        <v>0</v>
      </c>
      <c r="J9" s="33">
        <f>ROUND('Anexo 8'!J9*'Anexo 1'!$D$10,0)</f>
        <v>0</v>
      </c>
      <c r="K9" s="33">
        <f>ROUND('Anexo 8'!K9*'Anexo 1'!$D$10,0)</f>
        <v>0</v>
      </c>
      <c r="L9" s="33">
        <f>ROUND('Anexo 8'!L9*'Anexo 1'!$D$10,0)</f>
        <v>0</v>
      </c>
      <c r="M9" s="33">
        <f>ROUND('Anexo 8'!M9*'Anexo 1'!$D$10,0)</f>
        <v>0</v>
      </c>
      <c r="N9" s="33">
        <f>ROUND('Anexo 8'!N9*'Anexo 1'!$D$10,0)</f>
        <v>0</v>
      </c>
      <c r="O9" s="33">
        <f>ROUND('Anexo 8'!O9*'Anexo 1'!$D$10,0)</f>
        <v>0</v>
      </c>
      <c r="P9" s="33">
        <f>ROUND('Anexo 8'!P9*'Anexo 1'!$D$10,0)</f>
        <v>0</v>
      </c>
      <c r="Q9" s="33">
        <f>ROUND('Anexo 8'!Q9*'Anexo 1'!$D$10,0)</f>
        <v>0</v>
      </c>
      <c r="R9" s="33">
        <f>ROUND('Anexo 8'!R9*'Anexo 1'!$D$10,0)</f>
        <v>0</v>
      </c>
      <c r="S9" s="33">
        <f>ROUND('Anexo 8'!S9*'Anexo 1'!$D$10,0)</f>
        <v>0</v>
      </c>
      <c r="T9" s="33">
        <f>ROUND('Anexo 8'!T9*'Anexo 1'!$D$10,0)</f>
        <v>0</v>
      </c>
      <c r="U9" s="33">
        <f>ROUND('Anexo 8'!U9*'Anexo 1'!$D$10,0)</f>
        <v>0</v>
      </c>
      <c r="V9" s="33">
        <f>ROUND('Anexo 8'!V9*'Anexo 1'!$D$10,0)</f>
        <v>0</v>
      </c>
      <c r="W9" s="33">
        <f>ROUND('Anexo 8'!W9*'Anexo 1'!$D$10,0)</f>
        <v>0</v>
      </c>
      <c r="X9" s="33">
        <f>ROUND('Anexo 8'!X9*'Anexo 1'!$D$10,0)</f>
        <v>0</v>
      </c>
      <c r="Y9" s="33">
        <f>ROUND('Anexo 8'!Y9*'Anexo 1'!$D$10,0)</f>
        <v>0</v>
      </c>
      <c r="Z9" s="34">
        <f>ROUND('Anexo 8'!Z9*'Anexo 1'!$D$10,0)</f>
        <v>0</v>
      </c>
      <c r="AA9" s="35">
        <f t="shared" si="0"/>
        <v>0</v>
      </c>
      <c r="AB9" s="19">
        <v>20</v>
      </c>
      <c r="AC9" s="79">
        <f>+AA9*AB9+AA10*AB10+AA11*AB11</f>
        <v>0</v>
      </c>
      <c r="AD9" s="49"/>
    </row>
    <row r="10" spans="1:30" ht="15.75" thickBot="1" x14ac:dyDescent="0.3">
      <c r="A10" s="78"/>
      <c r="B10" s="20" t="s">
        <v>7</v>
      </c>
      <c r="C10" s="36">
        <f>ROUND('Anexo 8'!C10*'Anexo 1'!$D$10,0)</f>
        <v>0</v>
      </c>
      <c r="D10" s="36">
        <f>ROUND('Anexo 8'!D10*'Anexo 1'!$D$10,0)</f>
        <v>0</v>
      </c>
      <c r="E10" s="36">
        <f>ROUND('Anexo 8'!E10*'Anexo 1'!$D$10,0)</f>
        <v>0</v>
      </c>
      <c r="F10" s="36">
        <f>ROUND('Anexo 8'!F10*'Anexo 1'!$D$10,0)</f>
        <v>0</v>
      </c>
      <c r="G10" s="36">
        <f>ROUND('Anexo 8'!G10*'Anexo 1'!$D$10,0)</f>
        <v>0</v>
      </c>
      <c r="H10" s="36">
        <f>ROUND('Anexo 8'!H10*'Anexo 1'!$D$10,0)</f>
        <v>0</v>
      </c>
      <c r="I10" s="36">
        <f>ROUND('Anexo 8'!I10*'Anexo 1'!$D$10,0)</f>
        <v>0</v>
      </c>
      <c r="J10" s="36">
        <f>ROUND('Anexo 8'!J10*'Anexo 1'!$D$10,0)</f>
        <v>0</v>
      </c>
      <c r="K10" s="36">
        <f>ROUND('Anexo 8'!K10*'Anexo 1'!$D$10,0)</f>
        <v>0</v>
      </c>
      <c r="L10" s="36">
        <f>ROUND('Anexo 8'!L10*'Anexo 1'!$D$10,0)</f>
        <v>0</v>
      </c>
      <c r="M10" s="36">
        <f>ROUND('Anexo 8'!M10*'Anexo 1'!$D$10,0)</f>
        <v>0</v>
      </c>
      <c r="N10" s="36">
        <f>ROUND('Anexo 8'!N10*'Anexo 1'!$D$10,0)</f>
        <v>0</v>
      </c>
      <c r="O10" s="36">
        <f>ROUND('Anexo 8'!O10*'Anexo 1'!$D$10,0)</f>
        <v>0</v>
      </c>
      <c r="P10" s="36">
        <f>ROUND('Anexo 8'!P10*'Anexo 1'!$D$10,0)</f>
        <v>0</v>
      </c>
      <c r="Q10" s="36">
        <f>ROUND('Anexo 8'!Q10*'Anexo 1'!$D$10,0)</f>
        <v>0</v>
      </c>
      <c r="R10" s="36">
        <f>ROUND('Anexo 8'!R10*'Anexo 1'!$D$10,0)</f>
        <v>0</v>
      </c>
      <c r="S10" s="36">
        <f>ROUND('Anexo 8'!S10*'Anexo 1'!$D$10,0)</f>
        <v>0</v>
      </c>
      <c r="T10" s="36">
        <f>ROUND('Anexo 8'!T10*'Anexo 1'!$D$10,0)</f>
        <v>0</v>
      </c>
      <c r="U10" s="36">
        <f>ROUND('Anexo 8'!U10*'Anexo 1'!$D$10,0)</f>
        <v>0</v>
      </c>
      <c r="V10" s="36">
        <f>ROUND('Anexo 8'!V10*'Anexo 1'!$D$10,0)</f>
        <v>0</v>
      </c>
      <c r="W10" s="36">
        <f>ROUND('Anexo 8'!W10*'Anexo 1'!$D$10,0)</f>
        <v>0</v>
      </c>
      <c r="X10" s="36">
        <f>ROUND('Anexo 8'!X10*'Anexo 1'!$D$10,0)</f>
        <v>0</v>
      </c>
      <c r="Y10" s="36">
        <f>ROUND('Anexo 8'!Y10*'Anexo 1'!$D$10,0)</f>
        <v>0</v>
      </c>
      <c r="Z10" s="37">
        <f>ROUND('Anexo 8'!Z10*'Anexo 1'!$D$10,0)</f>
        <v>0</v>
      </c>
      <c r="AA10" s="38">
        <f t="shared" si="0"/>
        <v>0</v>
      </c>
      <c r="AB10" s="21">
        <v>4</v>
      </c>
      <c r="AC10" s="80"/>
      <c r="AD10" s="49"/>
    </row>
    <row r="11" spans="1:30" ht="15" x14ac:dyDescent="0.25">
      <c r="A11" s="78"/>
      <c r="B11" s="22" t="s">
        <v>6</v>
      </c>
      <c r="C11" s="39">
        <f>ROUND('Anexo 8'!C11*'Anexo 1'!$D$10,0)</f>
        <v>0</v>
      </c>
      <c r="D11" s="39">
        <f>ROUND('Anexo 8'!D11*'Anexo 1'!$D$10,0)</f>
        <v>0</v>
      </c>
      <c r="E11" s="39">
        <f>ROUND('Anexo 8'!E11*'Anexo 1'!$D$10,0)</f>
        <v>0</v>
      </c>
      <c r="F11" s="39">
        <f>ROUND('Anexo 8'!F11*'Anexo 1'!$D$10,0)</f>
        <v>0</v>
      </c>
      <c r="G11" s="39">
        <f>ROUND('Anexo 8'!G11*'Anexo 1'!$D$10,0)</f>
        <v>0</v>
      </c>
      <c r="H11" s="39">
        <f>ROUND('Anexo 8'!H11*'Anexo 1'!$D$10,0)</f>
        <v>0</v>
      </c>
      <c r="I11" s="39">
        <f>ROUND('Anexo 8'!I11*'Anexo 1'!$D$10,0)</f>
        <v>0</v>
      </c>
      <c r="J11" s="39">
        <f>ROUND('Anexo 8'!J11*'Anexo 1'!$D$10,0)</f>
        <v>0</v>
      </c>
      <c r="K11" s="39">
        <f>ROUND('Anexo 8'!K11*'Anexo 1'!$D$10,0)</f>
        <v>0</v>
      </c>
      <c r="L11" s="39">
        <f>ROUND('Anexo 8'!L11*'Anexo 1'!$D$10,0)</f>
        <v>0</v>
      </c>
      <c r="M11" s="39">
        <f>ROUND('Anexo 8'!M11*'Anexo 1'!$D$10,0)</f>
        <v>0</v>
      </c>
      <c r="N11" s="39">
        <f>ROUND('Anexo 8'!N11*'Anexo 1'!$D$10,0)</f>
        <v>0</v>
      </c>
      <c r="O11" s="39">
        <f>ROUND('Anexo 8'!O11*'Anexo 1'!$D$10,0)</f>
        <v>0</v>
      </c>
      <c r="P11" s="39">
        <f>ROUND('Anexo 8'!P11*'Anexo 1'!$D$10,0)</f>
        <v>0</v>
      </c>
      <c r="Q11" s="39">
        <f>ROUND('Anexo 8'!Q11*'Anexo 1'!$D$10,0)</f>
        <v>0</v>
      </c>
      <c r="R11" s="39">
        <f>ROUND('Anexo 8'!R11*'Anexo 1'!$D$10,0)</f>
        <v>0</v>
      </c>
      <c r="S11" s="39">
        <f>ROUND('Anexo 8'!S11*'Anexo 1'!$D$10,0)</f>
        <v>0</v>
      </c>
      <c r="T11" s="39">
        <f>ROUND('Anexo 8'!T11*'Anexo 1'!$D$10,0)</f>
        <v>0</v>
      </c>
      <c r="U11" s="39">
        <f>ROUND('Anexo 8'!U11*'Anexo 1'!$D$10,0)</f>
        <v>0</v>
      </c>
      <c r="V11" s="39">
        <f>ROUND('Anexo 8'!V11*'Anexo 1'!$D$10,0)</f>
        <v>0</v>
      </c>
      <c r="W11" s="39">
        <f>ROUND('Anexo 8'!W11*'Anexo 1'!$D$10,0)</f>
        <v>0</v>
      </c>
      <c r="X11" s="39">
        <f>ROUND('Anexo 8'!X11*'Anexo 1'!$D$10,0)</f>
        <v>0</v>
      </c>
      <c r="Y11" s="39">
        <f>ROUND('Anexo 8'!Y11*'Anexo 1'!$D$10,0)</f>
        <v>0</v>
      </c>
      <c r="Z11" s="40">
        <f>ROUND('Anexo 8'!Z11*'Anexo 1'!$D$10,0)</f>
        <v>0</v>
      </c>
      <c r="AA11" s="41">
        <f t="shared" si="0"/>
        <v>0</v>
      </c>
      <c r="AB11" s="23">
        <v>4</v>
      </c>
      <c r="AC11" s="81"/>
      <c r="AD11" s="49"/>
    </row>
    <row r="12" spans="1:30" ht="15.75" thickBot="1" x14ac:dyDescent="0.3">
      <c r="A12" s="78">
        <v>46082</v>
      </c>
      <c r="B12" s="18" t="s">
        <v>8</v>
      </c>
      <c r="C12" s="33">
        <f>ROUND('Anexo 8'!C12*'Anexo 1'!$D$10,0)</f>
        <v>0</v>
      </c>
      <c r="D12" s="33">
        <f>ROUND('Anexo 8'!D12*'Anexo 1'!$D$10,0)</f>
        <v>0</v>
      </c>
      <c r="E12" s="33">
        <f>ROUND('Anexo 8'!E12*'Anexo 1'!$D$10,0)</f>
        <v>0</v>
      </c>
      <c r="F12" s="33">
        <f>ROUND('Anexo 8'!F12*'Anexo 1'!$D$10,0)</f>
        <v>0</v>
      </c>
      <c r="G12" s="33">
        <f>ROUND('Anexo 8'!G12*'Anexo 1'!$D$10,0)</f>
        <v>0</v>
      </c>
      <c r="H12" s="33">
        <f>ROUND('Anexo 8'!H12*'Anexo 1'!$D$10,0)</f>
        <v>0</v>
      </c>
      <c r="I12" s="33">
        <f>ROUND('Anexo 8'!I12*'Anexo 1'!$D$10,0)</f>
        <v>0</v>
      </c>
      <c r="J12" s="33">
        <f>ROUND('Anexo 8'!J12*'Anexo 1'!$D$10,0)</f>
        <v>0</v>
      </c>
      <c r="K12" s="33">
        <f>ROUND('Anexo 8'!K12*'Anexo 1'!$D$10,0)</f>
        <v>0</v>
      </c>
      <c r="L12" s="33">
        <f>ROUND('Anexo 8'!L12*'Anexo 1'!$D$10,0)</f>
        <v>0</v>
      </c>
      <c r="M12" s="33">
        <f>ROUND('Anexo 8'!M12*'Anexo 1'!$D$10,0)</f>
        <v>0</v>
      </c>
      <c r="N12" s="33">
        <f>ROUND('Anexo 8'!N12*'Anexo 1'!$D$10,0)</f>
        <v>0</v>
      </c>
      <c r="O12" s="33">
        <f>ROUND('Anexo 8'!O12*'Anexo 1'!$D$10,0)</f>
        <v>0</v>
      </c>
      <c r="P12" s="33">
        <f>ROUND('Anexo 8'!P12*'Anexo 1'!$D$10,0)</f>
        <v>0</v>
      </c>
      <c r="Q12" s="33">
        <f>ROUND('Anexo 8'!Q12*'Anexo 1'!$D$10,0)</f>
        <v>0</v>
      </c>
      <c r="R12" s="33">
        <f>ROUND('Anexo 8'!R12*'Anexo 1'!$D$10,0)</f>
        <v>0</v>
      </c>
      <c r="S12" s="33">
        <f>ROUND('Anexo 8'!S12*'Anexo 1'!$D$10,0)</f>
        <v>0</v>
      </c>
      <c r="T12" s="33">
        <f>ROUND('Anexo 8'!T12*'Anexo 1'!$D$10,0)</f>
        <v>0</v>
      </c>
      <c r="U12" s="33">
        <f>ROUND('Anexo 8'!U12*'Anexo 1'!$D$10,0)</f>
        <v>0</v>
      </c>
      <c r="V12" s="33">
        <f>ROUND('Anexo 8'!V12*'Anexo 1'!$D$10,0)</f>
        <v>0</v>
      </c>
      <c r="W12" s="33">
        <f>ROUND('Anexo 8'!W12*'Anexo 1'!$D$10,0)</f>
        <v>0</v>
      </c>
      <c r="X12" s="33">
        <f>ROUND('Anexo 8'!X12*'Anexo 1'!$D$10,0)</f>
        <v>0</v>
      </c>
      <c r="Y12" s="33">
        <f>ROUND('Anexo 8'!Y12*'Anexo 1'!$D$10,0)</f>
        <v>0</v>
      </c>
      <c r="Z12" s="34">
        <f>ROUND('Anexo 8'!Z12*'Anexo 1'!$D$10,0)</f>
        <v>0</v>
      </c>
      <c r="AA12" s="35">
        <f t="shared" si="0"/>
        <v>0</v>
      </c>
      <c r="AB12" s="19">
        <v>21</v>
      </c>
      <c r="AC12" s="79">
        <f>+AA12*AB12+AA13*AB13+AA14*AB14</f>
        <v>0</v>
      </c>
      <c r="AD12" s="49"/>
    </row>
    <row r="13" spans="1:30" ht="15.75" thickBot="1" x14ac:dyDescent="0.3">
      <c r="A13" s="78"/>
      <c r="B13" s="20" t="s">
        <v>7</v>
      </c>
      <c r="C13" s="36">
        <f>ROUND('Anexo 8'!C13*'Anexo 1'!$D$10,0)</f>
        <v>0</v>
      </c>
      <c r="D13" s="36">
        <f>ROUND('Anexo 8'!D13*'Anexo 1'!$D$10,0)</f>
        <v>0</v>
      </c>
      <c r="E13" s="36">
        <f>ROUND('Anexo 8'!E13*'Anexo 1'!$D$10,0)</f>
        <v>0</v>
      </c>
      <c r="F13" s="36">
        <f>ROUND('Anexo 8'!F13*'Anexo 1'!$D$10,0)</f>
        <v>0</v>
      </c>
      <c r="G13" s="36">
        <f>ROUND('Anexo 8'!G13*'Anexo 1'!$D$10,0)</f>
        <v>0</v>
      </c>
      <c r="H13" s="36">
        <f>ROUND('Anexo 8'!H13*'Anexo 1'!$D$10,0)</f>
        <v>0</v>
      </c>
      <c r="I13" s="36">
        <f>ROUND('Anexo 8'!I13*'Anexo 1'!$D$10,0)</f>
        <v>0</v>
      </c>
      <c r="J13" s="36">
        <f>ROUND('Anexo 8'!J13*'Anexo 1'!$D$10,0)</f>
        <v>0</v>
      </c>
      <c r="K13" s="36">
        <f>ROUND('Anexo 8'!K13*'Anexo 1'!$D$10,0)</f>
        <v>0</v>
      </c>
      <c r="L13" s="36">
        <f>ROUND('Anexo 8'!L13*'Anexo 1'!$D$10,0)</f>
        <v>0</v>
      </c>
      <c r="M13" s="36">
        <f>ROUND('Anexo 8'!M13*'Anexo 1'!$D$10,0)</f>
        <v>0</v>
      </c>
      <c r="N13" s="36">
        <f>ROUND('Anexo 8'!N13*'Anexo 1'!$D$10,0)</f>
        <v>0</v>
      </c>
      <c r="O13" s="36">
        <f>ROUND('Anexo 8'!O13*'Anexo 1'!$D$10,0)</f>
        <v>0</v>
      </c>
      <c r="P13" s="36">
        <f>ROUND('Anexo 8'!P13*'Anexo 1'!$D$10,0)</f>
        <v>0</v>
      </c>
      <c r="Q13" s="36">
        <f>ROUND('Anexo 8'!Q13*'Anexo 1'!$D$10,0)</f>
        <v>0</v>
      </c>
      <c r="R13" s="36">
        <f>ROUND('Anexo 8'!R13*'Anexo 1'!$D$10,0)</f>
        <v>0</v>
      </c>
      <c r="S13" s="36">
        <f>ROUND('Anexo 8'!S13*'Anexo 1'!$D$10,0)</f>
        <v>0</v>
      </c>
      <c r="T13" s="36">
        <f>ROUND('Anexo 8'!T13*'Anexo 1'!$D$10,0)</f>
        <v>0</v>
      </c>
      <c r="U13" s="36">
        <f>ROUND('Anexo 8'!U13*'Anexo 1'!$D$10,0)</f>
        <v>0</v>
      </c>
      <c r="V13" s="36">
        <f>ROUND('Anexo 8'!V13*'Anexo 1'!$D$10,0)</f>
        <v>0</v>
      </c>
      <c r="W13" s="36">
        <f>ROUND('Anexo 8'!W13*'Anexo 1'!$D$10,0)</f>
        <v>0</v>
      </c>
      <c r="X13" s="36">
        <f>ROUND('Anexo 8'!X13*'Anexo 1'!$D$10,0)</f>
        <v>0</v>
      </c>
      <c r="Y13" s="36">
        <f>ROUND('Anexo 8'!Y13*'Anexo 1'!$D$10,0)</f>
        <v>0</v>
      </c>
      <c r="Z13" s="37">
        <f>ROUND('Anexo 8'!Z13*'Anexo 1'!$D$10,0)</f>
        <v>0</v>
      </c>
      <c r="AA13" s="38">
        <f t="shared" si="0"/>
        <v>0</v>
      </c>
      <c r="AB13" s="21">
        <v>4</v>
      </c>
      <c r="AC13" s="80"/>
      <c r="AD13" s="49"/>
    </row>
    <row r="14" spans="1:30" ht="15" x14ac:dyDescent="0.25">
      <c r="A14" s="78"/>
      <c r="B14" s="22" t="s">
        <v>6</v>
      </c>
      <c r="C14" s="39">
        <f>ROUND('Anexo 8'!C14*'Anexo 1'!$D$10,0)</f>
        <v>0</v>
      </c>
      <c r="D14" s="39">
        <f>ROUND('Anexo 8'!D14*'Anexo 1'!$D$10,0)</f>
        <v>0</v>
      </c>
      <c r="E14" s="39">
        <f>ROUND('Anexo 8'!E14*'Anexo 1'!$D$10,0)</f>
        <v>0</v>
      </c>
      <c r="F14" s="39">
        <f>ROUND('Anexo 8'!F14*'Anexo 1'!$D$10,0)</f>
        <v>0</v>
      </c>
      <c r="G14" s="39">
        <f>ROUND('Anexo 8'!G14*'Anexo 1'!$D$10,0)</f>
        <v>0</v>
      </c>
      <c r="H14" s="39">
        <f>ROUND('Anexo 8'!H14*'Anexo 1'!$D$10,0)</f>
        <v>0</v>
      </c>
      <c r="I14" s="39">
        <f>ROUND('Anexo 8'!I14*'Anexo 1'!$D$10,0)</f>
        <v>0</v>
      </c>
      <c r="J14" s="39">
        <f>ROUND('Anexo 8'!J14*'Anexo 1'!$D$10,0)</f>
        <v>0</v>
      </c>
      <c r="K14" s="39">
        <f>ROUND('Anexo 8'!K14*'Anexo 1'!$D$10,0)</f>
        <v>0</v>
      </c>
      <c r="L14" s="39">
        <f>ROUND('Anexo 8'!L14*'Anexo 1'!$D$10,0)</f>
        <v>0</v>
      </c>
      <c r="M14" s="39">
        <f>ROUND('Anexo 8'!M14*'Anexo 1'!$D$10,0)</f>
        <v>0</v>
      </c>
      <c r="N14" s="39">
        <f>ROUND('Anexo 8'!N14*'Anexo 1'!$D$10,0)</f>
        <v>0</v>
      </c>
      <c r="O14" s="39">
        <f>ROUND('Anexo 8'!O14*'Anexo 1'!$D$10,0)</f>
        <v>0</v>
      </c>
      <c r="P14" s="39">
        <f>ROUND('Anexo 8'!P14*'Anexo 1'!$D$10,0)</f>
        <v>0</v>
      </c>
      <c r="Q14" s="39">
        <f>ROUND('Anexo 8'!Q14*'Anexo 1'!$D$10,0)</f>
        <v>0</v>
      </c>
      <c r="R14" s="39">
        <f>ROUND('Anexo 8'!R14*'Anexo 1'!$D$10,0)</f>
        <v>0</v>
      </c>
      <c r="S14" s="39">
        <f>ROUND('Anexo 8'!S14*'Anexo 1'!$D$10,0)</f>
        <v>0</v>
      </c>
      <c r="T14" s="39">
        <f>ROUND('Anexo 8'!T14*'Anexo 1'!$D$10,0)</f>
        <v>0</v>
      </c>
      <c r="U14" s="39">
        <f>ROUND('Anexo 8'!U14*'Anexo 1'!$D$10,0)</f>
        <v>0</v>
      </c>
      <c r="V14" s="39">
        <f>ROUND('Anexo 8'!V14*'Anexo 1'!$D$10,0)</f>
        <v>0</v>
      </c>
      <c r="W14" s="39">
        <f>ROUND('Anexo 8'!W14*'Anexo 1'!$D$10,0)</f>
        <v>0</v>
      </c>
      <c r="X14" s="39">
        <f>ROUND('Anexo 8'!X14*'Anexo 1'!$D$10,0)</f>
        <v>0</v>
      </c>
      <c r="Y14" s="39">
        <f>ROUND('Anexo 8'!Y14*'Anexo 1'!$D$10,0)</f>
        <v>0</v>
      </c>
      <c r="Z14" s="40">
        <f>ROUND('Anexo 8'!Z14*'Anexo 1'!$D$10,0)</f>
        <v>0</v>
      </c>
      <c r="AA14" s="41">
        <f t="shared" si="0"/>
        <v>0</v>
      </c>
      <c r="AB14" s="23">
        <v>6</v>
      </c>
      <c r="AC14" s="81"/>
      <c r="AD14" s="49"/>
    </row>
    <row r="15" spans="1:30" ht="15.75" thickBot="1" x14ac:dyDescent="0.3">
      <c r="A15" s="78">
        <v>46113</v>
      </c>
      <c r="B15" s="18" t="s">
        <v>8</v>
      </c>
      <c r="C15" s="33">
        <f>ROUND('Anexo 8'!C15*'Anexo 1'!$D$10,0)</f>
        <v>0</v>
      </c>
      <c r="D15" s="33">
        <f>ROUND('Anexo 8'!D15*'Anexo 1'!$D$10,0)</f>
        <v>0</v>
      </c>
      <c r="E15" s="33">
        <f>ROUND('Anexo 8'!E15*'Anexo 1'!$D$10,0)</f>
        <v>0</v>
      </c>
      <c r="F15" s="33">
        <f>ROUND('Anexo 8'!F15*'Anexo 1'!$D$10,0)</f>
        <v>0</v>
      </c>
      <c r="G15" s="33">
        <f>ROUND('Anexo 8'!G15*'Anexo 1'!$D$10,0)</f>
        <v>0</v>
      </c>
      <c r="H15" s="33">
        <f>ROUND('Anexo 8'!H15*'Anexo 1'!$D$10,0)</f>
        <v>0</v>
      </c>
      <c r="I15" s="33">
        <f>ROUND('Anexo 8'!I15*'Anexo 1'!$D$10,0)</f>
        <v>0</v>
      </c>
      <c r="J15" s="33">
        <f>ROUND('Anexo 8'!J15*'Anexo 1'!$D$10,0)</f>
        <v>0</v>
      </c>
      <c r="K15" s="33">
        <f>ROUND('Anexo 8'!K15*'Anexo 1'!$D$10,0)</f>
        <v>0</v>
      </c>
      <c r="L15" s="33">
        <f>ROUND('Anexo 8'!L15*'Anexo 1'!$D$10,0)</f>
        <v>0</v>
      </c>
      <c r="M15" s="33">
        <f>ROUND('Anexo 8'!M15*'Anexo 1'!$D$10,0)</f>
        <v>0</v>
      </c>
      <c r="N15" s="33">
        <f>ROUND('Anexo 8'!N15*'Anexo 1'!$D$10,0)</f>
        <v>0</v>
      </c>
      <c r="O15" s="33">
        <f>ROUND('Anexo 8'!O15*'Anexo 1'!$D$10,0)</f>
        <v>0</v>
      </c>
      <c r="P15" s="33">
        <f>ROUND('Anexo 8'!P15*'Anexo 1'!$D$10,0)</f>
        <v>0</v>
      </c>
      <c r="Q15" s="33">
        <f>ROUND('Anexo 8'!Q15*'Anexo 1'!$D$10,0)</f>
        <v>0</v>
      </c>
      <c r="R15" s="33">
        <f>ROUND('Anexo 8'!R15*'Anexo 1'!$D$10,0)</f>
        <v>0</v>
      </c>
      <c r="S15" s="33">
        <f>ROUND('Anexo 8'!S15*'Anexo 1'!$D$10,0)</f>
        <v>0</v>
      </c>
      <c r="T15" s="33">
        <f>ROUND('Anexo 8'!T15*'Anexo 1'!$D$10,0)</f>
        <v>0</v>
      </c>
      <c r="U15" s="33">
        <f>ROUND('Anexo 8'!U15*'Anexo 1'!$D$10,0)</f>
        <v>0</v>
      </c>
      <c r="V15" s="33">
        <f>ROUND('Anexo 8'!V15*'Anexo 1'!$D$10,0)</f>
        <v>0</v>
      </c>
      <c r="W15" s="33">
        <f>ROUND('Anexo 8'!W15*'Anexo 1'!$D$10,0)</f>
        <v>0</v>
      </c>
      <c r="X15" s="33">
        <f>ROUND('Anexo 8'!X15*'Anexo 1'!$D$10,0)</f>
        <v>0</v>
      </c>
      <c r="Y15" s="33">
        <f>ROUND('Anexo 8'!Y15*'Anexo 1'!$D$10,0)</f>
        <v>0</v>
      </c>
      <c r="Z15" s="34">
        <f>ROUND('Anexo 8'!Z15*'Anexo 1'!$D$10,0)</f>
        <v>0</v>
      </c>
      <c r="AA15" s="35">
        <f t="shared" si="0"/>
        <v>0</v>
      </c>
      <c r="AB15" s="19">
        <v>20</v>
      </c>
      <c r="AC15" s="79">
        <f>+AA15*AB15+AA16*AB16+AA17*AB17</f>
        <v>0</v>
      </c>
      <c r="AD15" s="49"/>
    </row>
    <row r="16" spans="1:30" ht="15.75" thickBot="1" x14ac:dyDescent="0.3">
      <c r="A16" s="78"/>
      <c r="B16" s="20" t="s">
        <v>7</v>
      </c>
      <c r="C16" s="36">
        <f>ROUND('Anexo 8'!C16*'Anexo 1'!$D$10,0)</f>
        <v>0</v>
      </c>
      <c r="D16" s="36">
        <f>ROUND('Anexo 8'!D16*'Anexo 1'!$D$10,0)</f>
        <v>0</v>
      </c>
      <c r="E16" s="36">
        <f>ROUND('Anexo 8'!E16*'Anexo 1'!$D$10,0)</f>
        <v>0</v>
      </c>
      <c r="F16" s="36">
        <f>ROUND('Anexo 8'!F16*'Anexo 1'!$D$10,0)</f>
        <v>0</v>
      </c>
      <c r="G16" s="36">
        <f>ROUND('Anexo 8'!G16*'Anexo 1'!$D$10,0)</f>
        <v>0</v>
      </c>
      <c r="H16" s="36">
        <f>ROUND('Anexo 8'!H16*'Anexo 1'!$D$10,0)</f>
        <v>0</v>
      </c>
      <c r="I16" s="36">
        <f>ROUND('Anexo 8'!I16*'Anexo 1'!$D$10,0)</f>
        <v>0</v>
      </c>
      <c r="J16" s="36">
        <f>ROUND('Anexo 8'!J16*'Anexo 1'!$D$10,0)</f>
        <v>0</v>
      </c>
      <c r="K16" s="36">
        <f>ROUND('Anexo 8'!K16*'Anexo 1'!$D$10,0)</f>
        <v>0</v>
      </c>
      <c r="L16" s="36">
        <f>ROUND('Anexo 8'!L16*'Anexo 1'!$D$10,0)</f>
        <v>0</v>
      </c>
      <c r="M16" s="36">
        <f>ROUND('Anexo 8'!M16*'Anexo 1'!$D$10,0)</f>
        <v>0</v>
      </c>
      <c r="N16" s="36">
        <f>ROUND('Anexo 8'!N16*'Anexo 1'!$D$10,0)</f>
        <v>0</v>
      </c>
      <c r="O16" s="36">
        <f>ROUND('Anexo 8'!O16*'Anexo 1'!$D$10,0)</f>
        <v>0</v>
      </c>
      <c r="P16" s="36">
        <f>ROUND('Anexo 8'!P16*'Anexo 1'!$D$10,0)</f>
        <v>0</v>
      </c>
      <c r="Q16" s="36">
        <f>ROUND('Anexo 8'!Q16*'Anexo 1'!$D$10,0)</f>
        <v>0</v>
      </c>
      <c r="R16" s="36">
        <f>ROUND('Anexo 8'!R16*'Anexo 1'!$D$10,0)</f>
        <v>0</v>
      </c>
      <c r="S16" s="36">
        <f>ROUND('Anexo 8'!S16*'Anexo 1'!$D$10,0)</f>
        <v>0</v>
      </c>
      <c r="T16" s="36">
        <f>ROUND('Anexo 8'!T16*'Anexo 1'!$D$10,0)</f>
        <v>0</v>
      </c>
      <c r="U16" s="36">
        <f>ROUND('Anexo 8'!U16*'Anexo 1'!$D$10,0)</f>
        <v>0</v>
      </c>
      <c r="V16" s="36">
        <f>ROUND('Anexo 8'!V16*'Anexo 1'!$D$10,0)</f>
        <v>0</v>
      </c>
      <c r="W16" s="36">
        <f>ROUND('Anexo 8'!W16*'Anexo 1'!$D$10,0)</f>
        <v>0</v>
      </c>
      <c r="X16" s="36">
        <f>ROUND('Anexo 8'!X16*'Anexo 1'!$D$10,0)</f>
        <v>0</v>
      </c>
      <c r="Y16" s="36">
        <f>ROUND('Anexo 8'!Y16*'Anexo 1'!$D$10,0)</f>
        <v>0</v>
      </c>
      <c r="Z16" s="37">
        <f>ROUND('Anexo 8'!Z16*'Anexo 1'!$D$10,0)</f>
        <v>0</v>
      </c>
      <c r="AA16" s="38">
        <f t="shared" si="0"/>
        <v>0</v>
      </c>
      <c r="AB16" s="21">
        <v>4</v>
      </c>
      <c r="AC16" s="80"/>
      <c r="AD16" s="49"/>
    </row>
    <row r="17" spans="1:30" ht="15" x14ac:dyDescent="0.25">
      <c r="A17" s="78"/>
      <c r="B17" s="22" t="s">
        <v>6</v>
      </c>
      <c r="C17" s="39">
        <f>ROUND('Anexo 8'!C17*'Anexo 1'!$D$10,0)</f>
        <v>0</v>
      </c>
      <c r="D17" s="39">
        <f>ROUND('Anexo 8'!D17*'Anexo 1'!$D$10,0)</f>
        <v>0</v>
      </c>
      <c r="E17" s="39">
        <f>ROUND('Anexo 8'!E17*'Anexo 1'!$D$10,0)</f>
        <v>0</v>
      </c>
      <c r="F17" s="39">
        <f>ROUND('Anexo 8'!F17*'Anexo 1'!$D$10,0)</f>
        <v>0</v>
      </c>
      <c r="G17" s="39">
        <f>ROUND('Anexo 8'!G17*'Anexo 1'!$D$10,0)</f>
        <v>0</v>
      </c>
      <c r="H17" s="39">
        <f>ROUND('Anexo 8'!H17*'Anexo 1'!$D$10,0)</f>
        <v>0</v>
      </c>
      <c r="I17" s="39">
        <f>ROUND('Anexo 8'!I17*'Anexo 1'!$D$10,0)</f>
        <v>0</v>
      </c>
      <c r="J17" s="39">
        <f>ROUND('Anexo 8'!J17*'Anexo 1'!$D$10,0)</f>
        <v>0</v>
      </c>
      <c r="K17" s="39">
        <f>ROUND('Anexo 8'!K17*'Anexo 1'!$D$10,0)</f>
        <v>0</v>
      </c>
      <c r="L17" s="39">
        <f>ROUND('Anexo 8'!L17*'Anexo 1'!$D$10,0)</f>
        <v>0</v>
      </c>
      <c r="M17" s="39">
        <f>ROUND('Anexo 8'!M17*'Anexo 1'!$D$10,0)</f>
        <v>0</v>
      </c>
      <c r="N17" s="39">
        <f>ROUND('Anexo 8'!N17*'Anexo 1'!$D$10,0)</f>
        <v>0</v>
      </c>
      <c r="O17" s="39">
        <f>ROUND('Anexo 8'!O17*'Anexo 1'!$D$10,0)</f>
        <v>0</v>
      </c>
      <c r="P17" s="39">
        <f>ROUND('Anexo 8'!P17*'Anexo 1'!$D$10,0)</f>
        <v>0</v>
      </c>
      <c r="Q17" s="39">
        <f>ROUND('Anexo 8'!Q17*'Anexo 1'!$D$10,0)</f>
        <v>0</v>
      </c>
      <c r="R17" s="39">
        <f>ROUND('Anexo 8'!R17*'Anexo 1'!$D$10,0)</f>
        <v>0</v>
      </c>
      <c r="S17" s="39">
        <f>ROUND('Anexo 8'!S17*'Anexo 1'!$D$10,0)</f>
        <v>0</v>
      </c>
      <c r="T17" s="39">
        <f>ROUND('Anexo 8'!T17*'Anexo 1'!$D$10,0)</f>
        <v>0</v>
      </c>
      <c r="U17" s="39">
        <f>ROUND('Anexo 8'!U17*'Anexo 1'!$D$10,0)</f>
        <v>0</v>
      </c>
      <c r="V17" s="39">
        <f>ROUND('Anexo 8'!V17*'Anexo 1'!$D$10,0)</f>
        <v>0</v>
      </c>
      <c r="W17" s="39">
        <f>ROUND('Anexo 8'!W17*'Anexo 1'!$D$10,0)</f>
        <v>0</v>
      </c>
      <c r="X17" s="39">
        <f>ROUND('Anexo 8'!X17*'Anexo 1'!$D$10,0)</f>
        <v>0</v>
      </c>
      <c r="Y17" s="39">
        <f>ROUND('Anexo 8'!Y17*'Anexo 1'!$D$10,0)</f>
        <v>0</v>
      </c>
      <c r="Z17" s="40">
        <f>ROUND('Anexo 8'!Z17*'Anexo 1'!$D$10,0)</f>
        <v>0</v>
      </c>
      <c r="AA17" s="41">
        <f t="shared" si="0"/>
        <v>0</v>
      </c>
      <c r="AB17" s="23">
        <v>6</v>
      </c>
      <c r="AC17" s="81"/>
      <c r="AD17" s="49"/>
    </row>
    <row r="18" spans="1:30" ht="15.75" thickBot="1" x14ac:dyDescent="0.3">
      <c r="A18" s="78">
        <v>46143</v>
      </c>
      <c r="B18" s="18" t="s">
        <v>8</v>
      </c>
      <c r="C18" s="33">
        <f>ROUND('Anexo 8'!C18*'Anexo 1'!$D$10,0)</f>
        <v>0</v>
      </c>
      <c r="D18" s="33">
        <f>ROUND('Anexo 8'!D18*'Anexo 1'!$D$10,0)</f>
        <v>0</v>
      </c>
      <c r="E18" s="33">
        <f>ROUND('Anexo 8'!E18*'Anexo 1'!$D$10,0)</f>
        <v>0</v>
      </c>
      <c r="F18" s="33">
        <f>ROUND('Anexo 8'!F18*'Anexo 1'!$D$10,0)</f>
        <v>0</v>
      </c>
      <c r="G18" s="33">
        <f>ROUND('Anexo 8'!G18*'Anexo 1'!$D$10,0)</f>
        <v>0</v>
      </c>
      <c r="H18" s="33">
        <f>ROUND('Anexo 8'!H18*'Anexo 1'!$D$10,0)</f>
        <v>0</v>
      </c>
      <c r="I18" s="33">
        <f>ROUND('Anexo 8'!I18*'Anexo 1'!$D$10,0)</f>
        <v>0</v>
      </c>
      <c r="J18" s="33">
        <f>ROUND('Anexo 8'!J18*'Anexo 1'!$D$10,0)</f>
        <v>0</v>
      </c>
      <c r="K18" s="33">
        <f>ROUND('Anexo 8'!K18*'Anexo 1'!$D$10,0)</f>
        <v>0</v>
      </c>
      <c r="L18" s="33">
        <f>ROUND('Anexo 8'!L18*'Anexo 1'!$D$10,0)</f>
        <v>0</v>
      </c>
      <c r="M18" s="33">
        <f>ROUND('Anexo 8'!M18*'Anexo 1'!$D$10,0)</f>
        <v>0</v>
      </c>
      <c r="N18" s="33">
        <f>ROUND('Anexo 8'!N18*'Anexo 1'!$D$10,0)</f>
        <v>0</v>
      </c>
      <c r="O18" s="33">
        <f>ROUND('Anexo 8'!O18*'Anexo 1'!$D$10,0)</f>
        <v>0</v>
      </c>
      <c r="P18" s="33">
        <f>ROUND('Anexo 8'!P18*'Anexo 1'!$D$10,0)</f>
        <v>0</v>
      </c>
      <c r="Q18" s="33">
        <f>ROUND('Anexo 8'!Q18*'Anexo 1'!$D$10,0)</f>
        <v>0</v>
      </c>
      <c r="R18" s="33">
        <f>ROUND('Anexo 8'!R18*'Anexo 1'!$D$10,0)</f>
        <v>0</v>
      </c>
      <c r="S18" s="33">
        <f>ROUND('Anexo 8'!S18*'Anexo 1'!$D$10,0)</f>
        <v>0</v>
      </c>
      <c r="T18" s="33">
        <f>ROUND('Anexo 8'!T18*'Anexo 1'!$D$10,0)</f>
        <v>0</v>
      </c>
      <c r="U18" s="33">
        <f>ROUND('Anexo 8'!U18*'Anexo 1'!$D$10,0)</f>
        <v>0</v>
      </c>
      <c r="V18" s="33">
        <f>ROUND('Anexo 8'!V18*'Anexo 1'!$D$10,0)</f>
        <v>0</v>
      </c>
      <c r="W18" s="33">
        <f>ROUND('Anexo 8'!W18*'Anexo 1'!$D$10,0)</f>
        <v>0</v>
      </c>
      <c r="X18" s="33">
        <f>ROUND('Anexo 8'!X18*'Anexo 1'!$D$10,0)</f>
        <v>0</v>
      </c>
      <c r="Y18" s="33">
        <f>ROUND('Anexo 8'!Y18*'Anexo 1'!$D$10,0)</f>
        <v>0</v>
      </c>
      <c r="Z18" s="34">
        <f>ROUND('Anexo 8'!Z18*'Anexo 1'!$D$10,0)</f>
        <v>0</v>
      </c>
      <c r="AA18" s="35">
        <f t="shared" si="0"/>
        <v>0</v>
      </c>
      <c r="AB18" s="19">
        <v>19</v>
      </c>
      <c r="AC18" s="79">
        <f>+AA18*AB18+AA19*AB19+AA20*AB20</f>
        <v>0</v>
      </c>
      <c r="AD18" s="49"/>
    </row>
    <row r="19" spans="1:30" ht="15.75" thickBot="1" x14ac:dyDescent="0.3">
      <c r="A19" s="78"/>
      <c r="B19" s="20" t="s">
        <v>7</v>
      </c>
      <c r="C19" s="36">
        <f>ROUND('Anexo 8'!C19*'Anexo 1'!$D$10,0)</f>
        <v>0</v>
      </c>
      <c r="D19" s="36">
        <f>ROUND('Anexo 8'!D19*'Anexo 1'!$D$10,0)</f>
        <v>0</v>
      </c>
      <c r="E19" s="36">
        <f>ROUND('Anexo 8'!E19*'Anexo 1'!$D$10,0)</f>
        <v>0</v>
      </c>
      <c r="F19" s="36">
        <f>ROUND('Anexo 8'!F19*'Anexo 1'!$D$10,0)</f>
        <v>0</v>
      </c>
      <c r="G19" s="36">
        <f>ROUND('Anexo 8'!G19*'Anexo 1'!$D$10,0)</f>
        <v>0</v>
      </c>
      <c r="H19" s="36">
        <f>ROUND('Anexo 8'!H19*'Anexo 1'!$D$10,0)</f>
        <v>0</v>
      </c>
      <c r="I19" s="36">
        <f>ROUND('Anexo 8'!I19*'Anexo 1'!$D$10,0)</f>
        <v>0</v>
      </c>
      <c r="J19" s="36">
        <f>ROUND('Anexo 8'!J19*'Anexo 1'!$D$10,0)</f>
        <v>0</v>
      </c>
      <c r="K19" s="36">
        <f>ROUND('Anexo 8'!K19*'Anexo 1'!$D$10,0)</f>
        <v>0</v>
      </c>
      <c r="L19" s="36">
        <f>ROUND('Anexo 8'!L19*'Anexo 1'!$D$10,0)</f>
        <v>0</v>
      </c>
      <c r="M19" s="36">
        <f>ROUND('Anexo 8'!M19*'Anexo 1'!$D$10,0)</f>
        <v>0</v>
      </c>
      <c r="N19" s="36">
        <f>ROUND('Anexo 8'!N19*'Anexo 1'!$D$10,0)</f>
        <v>0</v>
      </c>
      <c r="O19" s="36">
        <f>ROUND('Anexo 8'!O19*'Anexo 1'!$D$10,0)</f>
        <v>0</v>
      </c>
      <c r="P19" s="36">
        <f>ROUND('Anexo 8'!P19*'Anexo 1'!$D$10,0)</f>
        <v>0</v>
      </c>
      <c r="Q19" s="36">
        <f>ROUND('Anexo 8'!Q19*'Anexo 1'!$D$10,0)</f>
        <v>0</v>
      </c>
      <c r="R19" s="36">
        <f>ROUND('Anexo 8'!R19*'Anexo 1'!$D$10,0)</f>
        <v>0</v>
      </c>
      <c r="S19" s="36">
        <f>ROUND('Anexo 8'!S19*'Anexo 1'!$D$10,0)</f>
        <v>0</v>
      </c>
      <c r="T19" s="36">
        <f>ROUND('Anexo 8'!T19*'Anexo 1'!$D$10,0)</f>
        <v>0</v>
      </c>
      <c r="U19" s="36">
        <f>ROUND('Anexo 8'!U19*'Anexo 1'!$D$10,0)</f>
        <v>0</v>
      </c>
      <c r="V19" s="36">
        <f>ROUND('Anexo 8'!V19*'Anexo 1'!$D$10,0)</f>
        <v>0</v>
      </c>
      <c r="W19" s="36">
        <f>ROUND('Anexo 8'!W19*'Anexo 1'!$D$10,0)</f>
        <v>0</v>
      </c>
      <c r="X19" s="36">
        <f>ROUND('Anexo 8'!X19*'Anexo 1'!$D$10,0)</f>
        <v>0</v>
      </c>
      <c r="Y19" s="36">
        <f>ROUND('Anexo 8'!Y19*'Anexo 1'!$D$10,0)</f>
        <v>0</v>
      </c>
      <c r="Z19" s="37">
        <f>ROUND('Anexo 8'!Z19*'Anexo 1'!$D$10,0)</f>
        <v>0</v>
      </c>
      <c r="AA19" s="38">
        <f t="shared" si="0"/>
        <v>0</v>
      </c>
      <c r="AB19" s="21">
        <v>5</v>
      </c>
      <c r="AC19" s="80"/>
      <c r="AD19" s="49"/>
    </row>
    <row r="20" spans="1:30" ht="15" x14ac:dyDescent="0.25">
      <c r="A20" s="78"/>
      <c r="B20" s="22" t="s">
        <v>6</v>
      </c>
      <c r="C20" s="39">
        <f>ROUND('Anexo 8'!C20*'Anexo 1'!$D$10,0)</f>
        <v>0</v>
      </c>
      <c r="D20" s="39">
        <f>ROUND('Anexo 8'!D20*'Anexo 1'!$D$10,0)</f>
        <v>0</v>
      </c>
      <c r="E20" s="39">
        <f>ROUND('Anexo 8'!E20*'Anexo 1'!$D$10,0)</f>
        <v>0</v>
      </c>
      <c r="F20" s="39">
        <f>ROUND('Anexo 8'!F20*'Anexo 1'!$D$10,0)</f>
        <v>0</v>
      </c>
      <c r="G20" s="39">
        <f>ROUND('Anexo 8'!G20*'Anexo 1'!$D$10,0)</f>
        <v>0</v>
      </c>
      <c r="H20" s="39">
        <f>ROUND('Anexo 8'!H20*'Anexo 1'!$D$10,0)</f>
        <v>0</v>
      </c>
      <c r="I20" s="39">
        <f>ROUND('Anexo 8'!I20*'Anexo 1'!$D$10,0)</f>
        <v>0</v>
      </c>
      <c r="J20" s="39">
        <f>ROUND('Anexo 8'!J20*'Anexo 1'!$D$10,0)</f>
        <v>0</v>
      </c>
      <c r="K20" s="39">
        <f>ROUND('Anexo 8'!K20*'Anexo 1'!$D$10,0)</f>
        <v>0</v>
      </c>
      <c r="L20" s="39">
        <f>ROUND('Anexo 8'!L20*'Anexo 1'!$D$10,0)</f>
        <v>0</v>
      </c>
      <c r="M20" s="39">
        <f>ROUND('Anexo 8'!M20*'Anexo 1'!$D$10,0)</f>
        <v>0</v>
      </c>
      <c r="N20" s="39">
        <f>ROUND('Anexo 8'!N20*'Anexo 1'!$D$10,0)</f>
        <v>0</v>
      </c>
      <c r="O20" s="39">
        <f>ROUND('Anexo 8'!O20*'Anexo 1'!$D$10,0)</f>
        <v>0</v>
      </c>
      <c r="P20" s="39">
        <f>ROUND('Anexo 8'!P20*'Anexo 1'!$D$10,0)</f>
        <v>0</v>
      </c>
      <c r="Q20" s="39">
        <f>ROUND('Anexo 8'!Q20*'Anexo 1'!$D$10,0)</f>
        <v>0</v>
      </c>
      <c r="R20" s="39">
        <f>ROUND('Anexo 8'!R20*'Anexo 1'!$D$10,0)</f>
        <v>0</v>
      </c>
      <c r="S20" s="39">
        <f>ROUND('Anexo 8'!S20*'Anexo 1'!$D$10,0)</f>
        <v>0</v>
      </c>
      <c r="T20" s="39">
        <f>ROUND('Anexo 8'!T20*'Anexo 1'!$D$10,0)</f>
        <v>0</v>
      </c>
      <c r="U20" s="39">
        <f>ROUND('Anexo 8'!U20*'Anexo 1'!$D$10,0)</f>
        <v>0</v>
      </c>
      <c r="V20" s="39">
        <f>ROUND('Anexo 8'!V20*'Anexo 1'!$D$10,0)</f>
        <v>0</v>
      </c>
      <c r="W20" s="39">
        <f>ROUND('Anexo 8'!W20*'Anexo 1'!$D$10,0)</f>
        <v>0</v>
      </c>
      <c r="X20" s="39">
        <f>ROUND('Anexo 8'!X20*'Anexo 1'!$D$10,0)</f>
        <v>0</v>
      </c>
      <c r="Y20" s="39">
        <f>ROUND('Anexo 8'!Y20*'Anexo 1'!$D$10,0)</f>
        <v>0</v>
      </c>
      <c r="Z20" s="40">
        <f>ROUND('Anexo 8'!Z20*'Anexo 1'!$D$10,0)</f>
        <v>0</v>
      </c>
      <c r="AA20" s="41">
        <f t="shared" si="0"/>
        <v>0</v>
      </c>
      <c r="AB20" s="23">
        <v>7</v>
      </c>
      <c r="AC20" s="81"/>
      <c r="AD20" s="49"/>
    </row>
    <row r="21" spans="1:30" ht="15.75" thickBot="1" x14ac:dyDescent="0.3">
      <c r="A21" s="78">
        <v>46174</v>
      </c>
      <c r="B21" s="18" t="s">
        <v>8</v>
      </c>
      <c r="C21" s="33">
        <f>ROUND('Anexo 8'!C21*'Anexo 1'!$D$10,0)</f>
        <v>0</v>
      </c>
      <c r="D21" s="33">
        <f>ROUND('Anexo 8'!D21*'Anexo 1'!$D$10,0)</f>
        <v>0</v>
      </c>
      <c r="E21" s="33">
        <f>ROUND('Anexo 8'!E21*'Anexo 1'!$D$10,0)</f>
        <v>0</v>
      </c>
      <c r="F21" s="33">
        <f>ROUND('Anexo 8'!F21*'Anexo 1'!$D$10,0)</f>
        <v>0</v>
      </c>
      <c r="G21" s="33">
        <f>ROUND('Anexo 8'!G21*'Anexo 1'!$D$10,0)</f>
        <v>0</v>
      </c>
      <c r="H21" s="33">
        <f>ROUND('Anexo 8'!H21*'Anexo 1'!$D$10,0)</f>
        <v>0</v>
      </c>
      <c r="I21" s="33">
        <f>ROUND('Anexo 8'!I21*'Anexo 1'!$D$10,0)</f>
        <v>0</v>
      </c>
      <c r="J21" s="33">
        <f>ROUND('Anexo 8'!J21*'Anexo 1'!$D$10,0)</f>
        <v>0</v>
      </c>
      <c r="K21" s="33">
        <f>ROUND('Anexo 8'!K21*'Anexo 1'!$D$10,0)</f>
        <v>0</v>
      </c>
      <c r="L21" s="33">
        <f>ROUND('Anexo 8'!L21*'Anexo 1'!$D$10,0)</f>
        <v>0</v>
      </c>
      <c r="M21" s="33">
        <f>ROUND('Anexo 8'!M21*'Anexo 1'!$D$10,0)</f>
        <v>0</v>
      </c>
      <c r="N21" s="33">
        <f>ROUND('Anexo 8'!N21*'Anexo 1'!$D$10,0)</f>
        <v>0</v>
      </c>
      <c r="O21" s="33">
        <f>ROUND('Anexo 8'!O21*'Anexo 1'!$D$10,0)</f>
        <v>0</v>
      </c>
      <c r="P21" s="33">
        <f>ROUND('Anexo 8'!P21*'Anexo 1'!$D$10,0)</f>
        <v>0</v>
      </c>
      <c r="Q21" s="33">
        <f>ROUND('Anexo 8'!Q21*'Anexo 1'!$D$10,0)</f>
        <v>0</v>
      </c>
      <c r="R21" s="33">
        <f>ROUND('Anexo 8'!R21*'Anexo 1'!$D$10,0)</f>
        <v>0</v>
      </c>
      <c r="S21" s="33">
        <f>ROUND('Anexo 8'!S21*'Anexo 1'!$D$10,0)</f>
        <v>0</v>
      </c>
      <c r="T21" s="33">
        <f>ROUND('Anexo 8'!T21*'Anexo 1'!$D$10,0)</f>
        <v>0</v>
      </c>
      <c r="U21" s="33">
        <f>ROUND('Anexo 8'!U21*'Anexo 1'!$D$10,0)</f>
        <v>0</v>
      </c>
      <c r="V21" s="33">
        <f>ROUND('Anexo 8'!V21*'Anexo 1'!$D$10,0)</f>
        <v>0</v>
      </c>
      <c r="W21" s="33">
        <f>ROUND('Anexo 8'!W21*'Anexo 1'!$D$10,0)</f>
        <v>0</v>
      </c>
      <c r="X21" s="33">
        <f>ROUND('Anexo 8'!X21*'Anexo 1'!$D$10,0)</f>
        <v>0</v>
      </c>
      <c r="Y21" s="33">
        <f>ROUND('Anexo 8'!Y21*'Anexo 1'!$D$10,0)</f>
        <v>0</v>
      </c>
      <c r="Z21" s="34">
        <f>ROUND('Anexo 8'!Z21*'Anexo 1'!$D$10,0)</f>
        <v>0</v>
      </c>
      <c r="AA21" s="35">
        <f t="shared" si="0"/>
        <v>0</v>
      </c>
      <c r="AB21" s="19">
        <v>19</v>
      </c>
      <c r="AC21" s="79">
        <f>+AA21*AB21+AA22*AB22+AA23*AB23</f>
        <v>0</v>
      </c>
      <c r="AD21" s="49"/>
    </row>
    <row r="22" spans="1:30" ht="15.75" thickBot="1" x14ac:dyDescent="0.3">
      <c r="A22" s="78"/>
      <c r="B22" s="20" t="s">
        <v>7</v>
      </c>
      <c r="C22" s="36">
        <f>ROUND('Anexo 8'!C22*'Anexo 1'!$D$10,0)</f>
        <v>0</v>
      </c>
      <c r="D22" s="36">
        <f>ROUND('Anexo 8'!D22*'Anexo 1'!$D$10,0)</f>
        <v>0</v>
      </c>
      <c r="E22" s="36">
        <f>ROUND('Anexo 8'!E22*'Anexo 1'!$D$10,0)</f>
        <v>0</v>
      </c>
      <c r="F22" s="36">
        <f>ROUND('Anexo 8'!F22*'Anexo 1'!$D$10,0)</f>
        <v>0</v>
      </c>
      <c r="G22" s="36">
        <f>ROUND('Anexo 8'!G22*'Anexo 1'!$D$10,0)</f>
        <v>0</v>
      </c>
      <c r="H22" s="36">
        <f>ROUND('Anexo 8'!H22*'Anexo 1'!$D$10,0)</f>
        <v>0</v>
      </c>
      <c r="I22" s="36">
        <f>ROUND('Anexo 8'!I22*'Anexo 1'!$D$10,0)</f>
        <v>0</v>
      </c>
      <c r="J22" s="36">
        <f>ROUND('Anexo 8'!J22*'Anexo 1'!$D$10,0)</f>
        <v>0</v>
      </c>
      <c r="K22" s="36">
        <f>ROUND('Anexo 8'!K22*'Anexo 1'!$D$10,0)</f>
        <v>0</v>
      </c>
      <c r="L22" s="36">
        <f>ROUND('Anexo 8'!L22*'Anexo 1'!$D$10,0)</f>
        <v>0</v>
      </c>
      <c r="M22" s="36">
        <f>ROUND('Anexo 8'!M22*'Anexo 1'!$D$10,0)</f>
        <v>0</v>
      </c>
      <c r="N22" s="36">
        <f>ROUND('Anexo 8'!N22*'Anexo 1'!$D$10,0)</f>
        <v>0</v>
      </c>
      <c r="O22" s="36">
        <f>ROUND('Anexo 8'!O22*'Anexo 1'!$D$10,0)</f>
        <v>0</v>
      </c>
      <c r="P22" s="36">
        <f>ROUND('Anexo 8'!P22*'Anexo 1'!$D$10,0)</f>
        <v>0</v>
      </c>
      <c r="Q22" s="36">
        <f>ROUND('Anexo 8'!Q22*'Anexo 1'!$D$10,0)</f>
        <v>0</v>
      </c>
      <c r="R22" s="36">
        <f>ROUND('Anexo 8'!R22*'Anexo 1'!$D$10,0)</f>
        <v>0</v>
      </c>
      <c r="S22" s="36">
        <f>ROUND('Anexo 8'!S22*'Anexo 1'!$D$10,0)</f>
        <v>0</v>
      </c>
      <c r="T22" s="36">
        <f>ROUND('Anexo 8'!T22*'Anexo 1'!$D$10,0)</f>
        <v>0</v>
      </c>
      <c r="U22" s="36">
        <f>ROUND('Anexo 8'!U22*'Anexo 1'!$D$10,0)</f>
        <v>0</v>
      </c>
      <c r="V22" s="36">
        <f>ROUND('Anexo 8'!V22*'Anexo 1'!$D$10,0)</f>
        <v>0</v>
      </c>
      <c r="W22" s="36">
        <f>ROUND('Anexo 8'!W22*'Anexo 1'!$D$10,0)</f>
        <v>0</v>
      </c>
      <c r="X22" s="36">
        <f>ROUND('Anexo 8'!X22*'Anexo 1'!$D$10,0)</f>
        <v>0</v>
      </c>
      <c r="Y22" s="36">
        <f>ROUND('Anexo 8'!Y22*'Anexo 1'!$D$10,0)</f>
        <v>0</v>
      </c>
      <c r="Z22" s="37">
        <f>ROUND('Anexo 8'!Z22*'Anexo 1'!$D$10,0)</f>
        <v>0</v>
      </c>
      <c r="AA22" s="38">
        <f t="shared" si="0"/>
        <v>0</v>
      </c>
      <c r="AB22" s="21">
        <v>4</v>
      </c>
      <c r="AC22" s="80"/>
      <c r="AD22" s="49"/>
    </row>
    <row r="23" spans="1:30" ht="15" x14ac:dyDescent="0.25">
      <c r="A23" s="78"/>
      <c r="B23" s="22" t="s">
        <v>6</v>
      </c>
      <c r="C23" s="39">
        <f>ROUND('Anexo 8'!C23*'Anexo 1'!$D$10,0)</f>
        <v>0</v>
      </c>
      <c r="D23" s="39">
        <f>ROUND('Anexo 8'!D23*'Anexo 1'!$D$10,0)</f>
        <v>0</v>
      </c>
      <c r="E23" s="39">
        <f>ROUND('Anexo 8'!E23*'Anexo 1'!$D$10,0)</f>
        <v>0</v>
      </c>
      <c r="F23" s="39">
        <f>ROUND('Anexo 8'!F23*'Anexo 1'!$D$10,0)</f>
        <v>0</v>
      </c>
      <c r="G23" s="39">
        <f>ROUND('Anexo 8'!G23*'Anexo 1'!$D$10,0)</f>
        <v>0</v>
      </c>
      <c r="H23" s="39">
        <f>ROUND('Anexo 8'!H23*'Anexo 1'!$D$10,0)</f>
        <v>0</v>
      </c>
      <c r="I23" s="39">
        <f>ROUND('Anexo 8'!I23*'Anexo 1'!$D$10,0)</f>
        <v>0</v>
      </c>
      <c r="J23" s="39">
        <f>ROUND('Anexo 8'!J23*'Anexo 1'!$D$10,0)</f>
        <v>0</v>
      </c>
      <c r="K23" s="39">
        <f>ROUND('Anexo 8'!K23*'Anexo 1'!$D$10,0)</f>
        <v>0</v>
      </c>
      <c r="L23" s="39">
        <f>ROUND('Anexo 8'!L23*'Anexo 1'!$D$10,0)</f>
        <v>0</v>
      </c>
      <c r="M23" s="39">
        <f>ROUND('Anexo 8'!M23*'Anexo 1'!$D$10,0)</f>
        <v>0</v>
      </c>
      <c r="N23" s="39">
        <f>ROUND('Anexo 8'!N23*'Anexo 1'!$D$10,0)</f>
        <v>0</v>
      </c>
      <c r="O23" s="39">
        <f>ROUND('Anexo 8'!O23*'Anexo 1'!$D$10,0)</f>
        <v>0</v>
      </c>
      <c r="P23" s="39">
        <f>ROUND('Anexo 8'!P23*'Anexo 1'!$D$10,0)</f>
        <v>0</v>
      </c>
      <c r="Q23" s="39">
        <f>ROUND('Anexo 8'!Q23*'Anexo 1'!$D$10,0)</f>
        <v>0</v>
      </c>
      <c r="R23" s="39">
        <f>ROUND('Anexo 8'!R23*'Anexo 1'!$D$10,0)</f>
        <v>0</v>
      </c>
      <c r="S23" s="39">
        <f>ROUND('Anexo 8'!S23*'Anexo 1'!$D$10,0)</f>
        <v>0</v>
      </c>
      <c r="T23" s="39">
        <f>ROUND('Anexo 8'!T23*'Anexo 1'!$D$10,0)</f>
        <v>0</v>
      </c>
      <c r="U23" s="39">
        <f>ROUND('Anexo 8'!U23*'Anexo 1'!$D$10,0)</f>
        <v>0</v>
      </c>
      <c r="V23" s="39">
        <f>ROUND('Anexo 8'!V23*'Anexo 1'!$D$10,0)</f>
        <v>0</v>
      </c>
      <c r="W23" s="39">
        <f>ROUND('Anexo 8'!W23*'Anexo 1'!$D$10,0)</f>
        <v>0</v>
      </c>
      <c r="X23" s="39">
        <f>ROUND('Anexo 8'!X23*'Anexo 1'!$D$10,0)</f>
        <v>0</v>
      </c>
      <c r="Y23" s="39">
        <f>ROUND('Anexo 8'!Y23*'Anexo 1'!$D$10,0)</f>
        <v>0</v>
      </c>
      <c r="Z23" s="40">
        <f>ROUND('Anexo 8'!Z23*'Anexo 1'!$D$10,0)</f>
        <v>0</v>
      </c>
      <c r="AA23" s="41">
        <f t="shared" si="0"/>
        <v>0</v>
      </c>
      <c r="AB23" s="23">
        <v>7</v>
      </c>
      <c r="AC23" s="81"/>
      <c r="AD23" s="49"/>
    </row>
    <row r="24" spans="1:30" ht="15.75" thickBot="1" x14ac:dyDescent="0.3">
      <c r="A24" s="78">
        <v>46204</v>
      </c>
      <c r="B24" s="18" t="s">
        <v>8</v>
      </c>
      <c r="C24" s="33">
        <f>ROUND('Anexo 8'!C24*'Anexo 1'!$D$10,0)</f>
        <v>0</v>
      </c>
      <c r="D24" s="33">
        <f>ROUND('Anexo 8'!D24*'Anexo 1'!$D$10,0)</f>
        <v>0</v>
      </c>
      <c r="E24" s="33">
        <f>ROUND('Anexo 8'!E24*'Anexo 1'!$D$10,0)</f>
        <v>0</v>
      </c>
      <c r="F24" s="33">
        <f>ROUND('Anexo 8'!F24*'Anexo 1'!$D$10,0)</f>
        <v>0</v>
      </c>
      <c r="G24" s="33">
        <f>ROUND('Anexo 8'!G24*'Anexo 1'!$D$10,0)</f>
        <v>0</v>
      </c>
      <c r="H24" s="33">
        <f>ROUND('Anexo 8'!H24*'Anexo 1'!$D$10,0)</f>
        <v>0</v>
      </c>
      <c r="I24" s="33">
        <f>ROUND('Anexo 8'!I24*'Anexo 1'!$D$10,0)</f>
        <v>0</v>
      </c>
      <c r="J24" s="33">
        <f>ROUND('Anexo 8'!J24*'Anexo 1'!$D$10,0)</f>
        <v>0</v>
      </c>
      <c r="K24" s="33">
        <f>ROUND('Anexo 8'!K24*'Anexo 1'!$D$10,0)</f>
        <v>0</v>
      </c>
      <c r="L24" s="33">
        <f>ROUND('Anexo 8'!L24*'Anexo 1'!$D$10,0)</f>
        <v>0</v>
      </c>
      <c r="M24" s="33">
        <f>ROUND('Anexo 8'!M24*'Anexo 1'!$D$10,0)</f>
        <v>0</v>
      </c>
      <c r="N24" s="33">
        <f>ROUND('Anexo 8'!N24*'Anexo 1'!$D$10,0)</f>
        <v>0</v>
      </c>
      <c r="O24" s="33">
        <f>ROUND('Anexo 8'!O24*'Anexo 1'!$D$10,0)</f>
        <v>0</v>
      </c>
      <c r="P24" s="33">
        <f>ROUND('Anexo 8'!P24*'Anexo 1'!$D$10,0)</f>
        <v>0</v>
      </c>
      <c r="Q24" s="33">
        <f>ROUND('Anexo 8'!Q24*'Anexo 1'!$D$10,0)</f>
        <v>0</v>
      </c>
      <c r="R24" s="33">
        <f>ROUND('Anexo 8'!R24*'Anexo 1'!$D$10,0)</f>
        <v>0</v>
      </c>
      <c r="S24" s="33">
        <f>ROUND('Anexo 8'!S24*'Anexo 1'!$D$10,0)</f>
        <v>0</v>
      </c>
      <c r="T24" s="33">
        <f>ROUND('Anexo 8'!T24*'Anexo 1'!$D$10,0)</f>
        <v>0</v>
      </c>
      <c r="U24" s="33">
        <f>ROUND('Anexo 8'!U24*'Anexo 1'!$D$10,0)</f>
        <v>0</v>
      </c>
      <c r="V24" s="33">
        <f>ROUND('Anexo 8'!V24*'Anexo 1'!$D$10,0)</f>
        <v>0</v>
      </c>
      <c r="W24" s="33">
        <f>ROUND('Anexo 8'!W24*'Anexo 1'!$D$10,0)</f>
        <v>0</v>
      </c>
      <c r="X24" s="33">
        <f>ROUND('Anexo 8'!X24*'Anexo 1'!$D$10,0)</f>
        <v>0</v>
      </c>
      <c r="Y24" s="33">
        <f>ROUND('Anexo 8'!Y24*'Anexo 1'!$D$10,0)</f>
        <v>0</v>
      </c>
      <c r="Z24" s="34">
        <f>ROUND('Anexo 8'!Z24*'Anexo 1'!$D$10,0)</f>
        <v>0</v>
      </c>
      <c r="AA24" s="35">
        <f t="shared" si="0"/>
        <v>0</v>
      </c>
      <c r="AB24" s="19">
        <v>22</v>
      </c>
      <c r="AC24" s="79">
        <f>+AA24*AB24+AA25*AB25+AA26*AB26</f>
        <v>0</v>
      </c>
      <c r="AD24" s="49"/>
    </row>
    <row r="25" spans="1:30" ht="15.75" thickBot="1" x14ac:dyDescent="0.3">
      <c r="A25" s="78"/>
      <c r="B25" s="20" t="s">
        <v>7</v>
      </c>
      <c r="C25" s="36">
        <f>ROUND('Anexo 8'!C25*'Anexo 1'!$D$10,0)</f>
        <v>0</v>
      </c>
      <c r="D25" s="36">
        <f>ROUND('Anexo 8'!D25*'Anexo 1'!$D$10,0)</f>
        <v>0</v>
      </c>
      <c r="E25" s="36">
        <f>ROUND('Anexo 8'!E25*'Anexo 1'!$D$10,0)</f>
        <v>0</v>
      </c>
      <c r="F25" s="36">
        <f>ROUND('Anexo 8'!F25*'Anexo 1'!$D$10,0)</f>
        <v>0</v>
      </c>
      <c r="G25" s="36">
        <f>ROUND('Anexo 8'!G25*'Anexo 1'!$D$10,0)</f>
        <v>0</v>
      </c>
      <c r="H25" s="36">
        <f>ROUND('Anexo 8'!H25*'Anexo 1'!$D$10,0)</f>
        <v>0</v>
      </c>
      <c r="I25" s="36">
        <f>ROUND('Anexo 8'!I25*'Anexo 1'!$D$10,0)</f>
        <v>0</v>
      </c>
      <c r="J25" s="36">
        <f>ROUND('Anexo 8'!J25*'Anexo 1'!$D$10,0)</f>
        <v>0</v>
      </c>
      <c r="K25" s="36">
        <f>ROUND('Anexo 8'!K25*'Anexo 1'!$D$10,0)</f>
        <v>0</v>
      </c>
      <c r="L25" s="36">
        <f>ROUND('Anexo 8'!L25*'Anexo 1'!$D$10,0)</f>
        <v>0</v>
      </c>
      <c r="M25" s="36">
        <f>ROUND('Anexo 8'!M25*'Anexo 1'!$D$10,0)</f>
        <v>0</v>
      </c>
      <c r="N25" s="36">
        <f>ROUND('Anexo 8'!N25*'Anexo 1'!$D$10,0)</f>
        <v>0</v>
      </c>
      <c r="O25" s="36">
        <f>ROUND('Anexo 8'!O25*'Anexo 1'!$D$10,0)</f>
        <v>0</v>
      </c>
      <c r="P25" s="36">
        <f>ROUND('Anexo 8'!P25*'Anexo 1'!$D$10,0)</f>
        <v>0</v>
      </c>
      <c r="Q25" s="36">
        <f>ROUND('Anexo 8'!Q25*'Anexo 1'!$D$10,0)</f>
        <v>0</v>
      </c>
      <c r="R25" s="36">
        <f>ROUND('Anexo 8'!R25*'Anexo 1'!$D$10,0)</f>
        <v>0</v>
      </c>
      <c r="S25" s="36">
        <f>ROUND('Anexo 8'!S25*'Anexo 1'!$D$10,0)</f>
        <v>0</v>
      </c>
      <c r="T25" s="36">
        <f>ROUND('Anexo 8'!T25*'Anexo 1'!$D$10,0)</f>
        <v>0</v>
      </c>
      <c r="U25" s="36">
        <f>ROUND('Anexo 8'!U25*'Anexo 1'!$D$10,0)</f>
        <v>0</v>
      </c>
      <c r="V25" s="36">
        <f>ROUND('Anexo 8'!V25*'Anexo 1'!$D$10,0)</f>
        <v>0</v>
      </c>
      <c r="W25" s="36">
        <f>ROUND('Anexo 8'!W25*'Anexo 1'!$D$10,0)</f>
        <v>0</v>
      </c>
      <c r="X25" s="36">
        <f>ROUND('Anexo 8'!X25*'Anexo 1'!$D$10,0)</f>
        <v>0</v>
      </c>
      <c r="Y25" s="36">
        <f>ROUND('Anexo 8'!Y25*'Anexo 1'!$D$10,0)</f>
        <v>0</v>
      </c>
      <c r="Z25" s="37">
        <f>ROUND('Anexo 8'!Z25*'Anexo 1'!$D$10,0)</f>
        <v>0</v>
      </c>
      <c r="AA25" s="38">
        <f t="shared" si="0"/>
        <v>0</v>
      </c>
      <c r="AB25" s="21">
        <v>4</v>
      </c>
      <c r="AC25" s="80"/>
      <c r="AD25" s="49"/>
    </row>
    <row r="26" spans="1:30" ht="15" x14ac:dyDescent="0.25">
      <c r="A26" s="78"/>
      <c r="B26" s="22" t="s">
        <v>6</v>
      </c>
      <c r="C26" s="39">
        <f>ROUND('Anexo 8'!C26*'Anexo 1'!$D$10,0)</f>
        <v>0</v>
      </c>
      <c r="D26" s="39">
        <f>ROUND('Anexo 8'!D26*'Anexo 1'!$D$10,0)</f>
        <v>0</v>
      </c>
      <c r="E26" s="39">
        <f>ROUND('Anexo 8'!E26*'Anexo 1'!$D$10,0)</f>
        <v>0</v>
      </c>
      <c r="F26" s="39">
        <f>ROUND('Anexo 8'!F26*'Anexo 1'!$D$10,0)</f>
        <v>0</v>
      </c>
      <c r="G26" s="39">
        <f>ROUND('Anexo 8'!G26*'Anexo 1'!$D$10,0)</f>
        <v>0</v>
      </c>
      <c r="H26" s="39">
        <f>ROUND('Anexo 8'!H26*'Anexo 1'!$D$10,0)</f>
        <v>0</v>
      </c>
      <c r="I26" s="39">
        <f>ROUND('Anexo 8'!I26*'Anexo 1'!$D$10,0)</f>
        <v>0</v>
      </c>
      <c r="J26" s="39">
        <f>ROUND('Anexo 8'!J26*'Anexo 1'!$D$10,0)</f>
        <v>0</v>
      </c>
      <c r="K26" s="39">
        <f>ROUND('Anexo 8'!K26*'Anexo 1'!$D$10,0)</f>
        <v>0</v>
      </c>
      <c r="L26" s="39">
        <f>ROUND('Anexo 8'!L26*'Anexo 1'!$D$10,0)</f>
        <v>0</v>
      </c>
      <c r="M26" s="39">
        <f>ROUND('Anexo 8'!M26*'Anexo 1'!$D$10,0)</f>
        <v>0</v>
      </c>
      <c r="N26" s="39">
        <f>ROUND('Anexo 8'!N26*'Anexo 1'!$D$10,0)</f>
        <v>0</v>
      </c>
      <c r="O26" s="39">
        <f>ROUND('Anexo 8'!O26*'Anexo 1'!$D$10,0)</f>
        <v>0</v>
      </c>
      <c r="P26" s="39">
        <f>ROUND('Anexo 8'!P26*'Anexo 1'!$D$10,0)</f>
        <v>0</v>
      </c>
      <c r="Q26" s="39">
        <f>ROUND('Anexo 8'!Q26*'Anexo 1'!$D$10,0)</f>
        <v>0</v>
      </c>
      <c r="R26" s="39">
        <f>ROUND('Anexo 8'!R26*'Anexo 1'!$D$10,0)</f>
        <v>0</v>
      </c>
      <c r="S26" s="39">
        <f>ROUND('Anexo 8'!S26*'Anexo 1'!$D$10,0)</f>
        <v>0</v>
      </c>
      <c r="T26" s="39">
        <f>ROUND('Anexo 8'!T26*'Anexo 1'!$D$10,0)</f>
        <v>0</v>
      </c>
      <c r="U26" s="39">
        <f>ROUND('Anexo 8'!U26*'Anexo 1'!$D$10,0)</f>
        <v>0</v>
      </c>
      <c r="V26" s="39">
        <f>ROUND('Anexo 8'!V26*'Anexo 1'!$D$10,0)</f>
        <v>0</v>
      </c>
      <c r="W26" s="39">
        <f>ROUND('Anexo 8'!W26*'Anexo 1'!$D$10,0)</f>
        <v>0</v>
      </c>
      <c r="X26" s="39">
        <f>ROUND('Anexo 8'!X26*'Anexo 1'!$D$10,0)</f>
        <v>0</v>
      </c>
      <c r="Y26" s="39">
        <f>ROUND('Anexo 8'!Y26*'Anexo 1'!$D$10,0)</f>
        <v>0</v>
      </c>
      <c r="Z26" s="40">
        <f>ROUND('Anexo 8'!Z26*'Anexo 1'!$D$10,0)</f>
        <v>0</v>
      </c>
      <c r="AA26" s="41">
        <f t="shared" si="0"/>
        <v>0</v>
      </c>
      <c r="AB26" s="23">
        <v>5</v>
      </c>
      <c r="AC26" s="81"/>
      <c r="AD26" s="49"/>
    </row>
    <row r="27" spans="1:30" ht="15.75" thickBot="1" x14ac:dyDescent="0.3">
      <c r="A27" s="78">
        <v>46235</v>
      </c>
      <c r="B27" s="18" t="s">
        <v>8</v>
      </c>
      <c r="C27" s="33">
        <f>ROUND('Anexo 8'!C27*'Anexo 1'!$D$10,0)</f>
        <v>0</v>
      </c>
      <c r="D27" s="33">
        <f>ROUND('Anexo 8'!D27*'Anexo 1'!$D$10,0)</f>
        <v>0</v>
      </c>
      <c r="E27" s="33">
        <f>ROUND('Anexo 8'!E27*'Anexo 1'!$D$10,0)</f>
        <v>0</v>
      </c>
      <c r="F27" s="33">
        <f>ROUND('Anexo 8'!F27*'Anexo 1'!$D$10,0)</f>
        <v>0</v>
      </c>
      <c r="G27" s="33">
        <f>ROUND('Anexo 8'!G27*'Anexo 1'!$D$10,0)</f>
        <v>0</v>
      </c>
      <c r="H27" s="33">
        <f>ROUND('Anexo 8'!H27*'Anexo 1'!$D$10,0)</f>
        <v>0</v>
      </c>
      <c r="I27" s="33">
        <f>ROUND('Anexo 8'!I27*'Anexo 1'!$D$10,0)</f>
        <v>0</v>
      </c>
      <c r="J27" s="33">
        <f>ROUND('Anexo 8'!J27*'Anexo 1'!$D$10,0)</f>
        <v>0</v>
      </c>
      <c r="K27" s="33">
        <f>ROUND('Anexo 8'!K27*'Anexo 1'!$D$10,0)</f>
        <v>0</v>
      </c>
      <c r="L27" s="33">
        <f>ROUND('Anexo 8'!L27*'Anexo 1'!$D$10,0)</f>
        <v>0</v>
      </c>
      <c r="M27" s="33">
        <f>ROUND('Anexo 8'!M27*'Anexo 1'!$D$10,0)</f>
        <v>0</v>
      </c>
      <c r="N27" s="33">
        <f>ROUND('Anexo 8'!N27*'Anexo 1'!$D$10,0)</f>
        <v>0</v>
      </c>
      <c r="O27" s="33">
        <f>ROUND('Anexo 8'!O27*'Anexo 1'!$D$10,0)</f>
        <v>0</v>
      </c>
      <c r="P27" s="33">
        <f>ROUND('Anexo 8'!P27*'Anexo 1'!$D$10,0)</f>
        <v>0</v>
      </c>
      <c r="Q27" s="33">
        <f>ROUND('Anexo 8'!Q27*'Anexo 1'!$D$10,0)</f>
        <v>0</v>
      </c>
      <c r="R27" s="33">
        <f>ROUND('Anexo 8'!R27*'Anexo 1'!$D$10,0)</f>
        <v>0</v>
      </c>
      <c r="S27" s="33">
        <f>ROUND('Anexo 8'!S27*'Anexo 1'!$D$10,0)</f>
        <v>0</v>
      </c>
      <c r="T27" s="33">
        <f>ROUND('Anexo 8'!T27*'Anexo 1'!$D$10,0)</f>
        <v>0</v>
      </c>
      <c r="U27" s="33">
        <f>ROUND('Anexo 8'!U27*'Anexo 1'!$D$10,0)</f>
        <v>0</v>
      </c>
      <c r="V27" s="33">
        <f>ROUND('Anexo 8'!V27*'Anexo 1'!$D$10,0)</f>
        <v>0</v>
      </c>
      <c r="W27" s="33">
        <f>ROUND('Anexo 8'!W27*'Anexo 1'!$D$10,0)</f>
        <v>0</v>
      </c>
      <c r="X27" s="33">
        <f>ROUND('Anexo 8'!X27*'Anexo 1'!$D$10,0)</f>
        <v>0</v>
      </c>
      <c r="Y27" s="33">
        <f>ROUND('Anexo 8'!Y27*'Anexo 1'!$D$10,0)</f>
        <v>0</v>
      </c>
      <c r="Z27" s="34">
        <f>ROUND('Anexo 8'!Z27*'Anexo 1'!$D$10,0)</f>
        <v>0</v>
      </c>
      <c r="AA27" s="35">
        <f t="shared" si="0"/>
        <v>0</v>
      </c>
      <c r="AB27" s="19">
        <v>19</v>
      </c>
      <c r="AC27" s="79">
        <f>+AA27*AB27+AA28*AB28+AA29*AB29</f>
        <v>0</v>
      </c>
      <c r="AD27" s="49"/>
    </row>
    <row r="28" spans="1:30" ht="15.75" thickBot="1" x14ac:dyDescent="0.3">
      <c r="A28" s="78"/>
      <c r="B28" s="20" t="s">
        <v>7</v>
      </c>
      <c r="C28" s="36">
        <f>ROUND('Anexo 8'!C28*'Anexo 1'!$D$10,0)</f>
        <v>0</v>
      </c>
      <c r="D28" s="36">
        <f>ROUND('Anexo 8'!D28*'Anexo 1'!$D$10,0)</f>
        <v>0</v>
      </c>
      <c r="E28" s="36">
        <f>ROUND('Anexo 8'!E28*'Anexo 1'!$D$10,0)</f>
        <v>0</v>
      </c>
      <c r="F28" s="36">
        <f>ROUND('Anexo 8'!F28*'Anexo 1'!$D$10,0)</f>
        <v>0</v>
      </c>
      <c r="G28" s="36">
        <f>ROUND('Anexo 8'!G28*'Anexo 1'!$D$10,0)</f>
        <v>0</v>
      </c>
      <c r="H28" s="36">
        <f>ROUND('Anexo 8'!H28*'Anexo 1'!$D$10,0)</f>
        <v>0</v>
      </c>
      <c r="I28" s="36">
        <f>ROUND('Anexo 8'!I28*'Anexo 1'!$D$10,0)</f>
        <v>0</v>
      </c>
      <c r="J28" s="36">
        <f>ROUND('Anexo 8'!J28*'Anexo 1'!$D$10,0)</f>
        <v>0</v>
      </c>
      <c r="K28" s="36">
        <f>ROUND('Anexo 8'!K28*'Anexo 1'!$D$10,0)</f>
        <v>0</v>
      </c>
      <c r="L28" s="36">
        <f>ROUND('Anexo 8'!L28*'Anexo 1'!$D$10,0)</f>
        <v>0</v>
      </c>
      <c r="M28" s="36">
        <f>ROUND('Anexo 8'!M28*'Anexo 1'!$D$10,0)</f>
        <v>0</v>
      </c>
      <c r="N28" s="36">
        <f>ROUND('Anexo 8'!N28*'Anexo 1'!$D$10,0)</f>
        <v>0</v>
      </c>
      <c r="O28" s="36">
        <f>ROUND('Anexo 8'!O28*'Anexo 1'!$D$10,0)</f>
        <v>0</v>
      </c>
      <c r="P28" s="36">
        <f>ROUND('Anexo 8'!P28*'Anexo 1'!$D$10,0)</f>
        <v>0</v>
      </c>
      <c r="Q28" s="36">
        <f>ROUND('Anexo 8'!Q28*'Anexo 1'!$D$10,0)</f>
        <v>0</v>
      </c>
      <c r="R28" s="36">
        <f>ROUND('Anexo 8'!R28*'Anexo 1'!$D$10,0)</f>
        <v>0</v>
      </c>
      <c r="S28" s="36">
        <f>ROUND('Anexo 8'!S28*'Anexo 1'!$D$10,0)</f>
        <v>0</v>
      </c>
      <c r="T28" s="36">
        <f>ROUND('Anexo 8'!T28*'Anexo 1'!$D$10,0)</f>
        <v>0</v>
      </c>
      <c r="U28" s="36">
        <f>ROUND('Anexo 8'!U28*'Anexo 1'!$D$10,0)</f>
        <v>0</v>
      </c>
      <c r="V28" s="36">
        <f>ROUND('Anexo 8'!V28*'Anexo 1'!$D$10,0)</f>
        <v>0</v>
      </c>
      <c r="W28" s="36">
        <f>ROUND('Anexo 8'!W28*'Anexo 1'!$D$10,0)</f>
        <v>0</v>
      </c>
      <c r="X28" s="36">
        <f>ROUND('Anexo 8'!X28*'Anexo 1'!$D$10,0)</f>
        <v>0</v>
      </c>
      <c r="Y28" s="36">
        <f>ROUND('Anexo 8'!Y28*'Anexo 1'!$D$10,0)</f>
        <v>0</v>
      </c>
      <c r="Z28" s="37">
        <f>ROUND('Anexo 8'!Z28*'Anexo 1'!$D$10,0)</f>
        <v>0</v>
      </c>
      <c r="AA28" s="38">
        <f t="shared" si="0"/>
        <v>0</v>
      </c>
      <c r="AB28" s="21">
        <v>5</v>
      </c>
      <c r="AC28" s="80"/>
      <c r="AD28" s="49"/>
    </row>
    <row r="29" spans="1:30" ht="15" x14ac:dyDescent="0.25">
      <c r="A29" s="78"/>
      <c r="B29" s="22" t="s">
        <v>6</v>
      </c>
      <c r="C29" s="39">
        <f>ROUND('Anexo 8'!C29*'Anexo 1'!$D$10,0)</f>
        <v>0</v>
      </c>
      <c r="D29" s="39">
        <f>ROUND('Anexo 8'!D29*'Anexo 1'!$D$10,0)</f>
        <v>0</v>
      </c>
      <c r="E29" s="39">
        <f>ROUND('Anexo 8'!E29*'Anexo 1'!$D$10,0)</f>
        <v>0</v>
      </c>
      <c r="F29" s="39">
        <f>ROUND('Anexo 8'!F29*'Anexo 1'!$D$10,0)</f>
        <v>0</v>
      </c>
      <c r="G29" s="39">
        <f>ROUND('Anexo 8'!G29*'Anexo 1'!$D$10,0)</f>
        <v>0</v>
      </c>
      <c r="H29" s="39">
        <f>ROUND('Anexo 8'!H29*'Anexo 1'!$D$10,0)</f>
        <v>0</v>
      </c>
      <c r="I29" s="39">
        <f>ROUND('Anexo 8'!I29*'Anexo 1'!$D$10,0)</f>
        <v>0</v>
      </c>
      <c r="J29" s="39">
        <f>ROUND('Anexo 8'!J29*'Anexo 1'!$D$10,0)</f>
        <v>0</v>
      </c>
      <c r="K29" s="39">
        <f>ROUND('Anexo 8'!K29*'Anexo 1'!$D$10,0)</f>
        <v>0</v>
      </c>
      <c r="L29" s="39">
        <f>ROUND('Anexo 8'!L29*'Anexo 1'!$D$10,0)</f>
        <v>0</v>
      </c>
      <c r="M29" s="39">
        <f>ROUND('Anexo 8'!M29*'Anexo 1'!$D$10,0)</f>
        <v>0</v>
      </c>
      <c r="N29" s="39">
        <f>ROUND('Anexo 8'!N29*'Anexo 1'!$D$10,0)</f>
        <v>0</v>
      </c>
      <c r="O29" s="39">
        <f>ROUND('Anexo 8'!O29*'Anexo 1'!$D$10,0)</f>
        <v>0</v>
      </c>
      <c r="P29" s="39">
        <f>ROUND('Anexo 8'!P29*'Anexo 1'!$D$10,0)</f>
        <v>0</v>
      </c>
      <c r="Q29" s="39">
        <f>ROUND('Anexo 8'!Q29*'Anexo 1'!$D$10,0)</f>
        <v>0</v>
      </c>
      <c r="R29" s="39">
        <f>ROUND('Anexo 8'!R29*'Anexo 1'!$D$10,0)</f>
        <v>0</v>
      </c>
      <c r="S29" s="39">
        <f>ROUND('Anexo 8'!S29*'Anexo 1'!$D$10,0)</f>
        <v>0</v>
      </c>
      <c r="T29" s="39">
        <f>ROUND('Anexo 8'!T29*'Anexo 1'!$D$10,0)</f>
        <v>0</v>
      </c>
      <c r="U29" s="39">
        <f>ROUND('Anexo 8'!U29*'Anexo 1'!$D$10,0)</f>
        <v>0</v>
      </c>
      <c r="V29" s="39">
        <f>ROUND('Anexo 8'!V29*'Anexo 1'!$D$10,0)</f>
        <v>0</v>
      </c>
      <c r="W29" s="39">
        <f>ROUND('Anexo 8'!W29*'Anexo 1'!$D$10,0)</f>
        <v>0</v>
      </c>
      <c r="X29" s="39">
        <f>ROUND('Anexo 8'!X29*'Anexo 1'!$D$10,0)</f>
        <v>0</v>
      </c>
      <c r="Y29" s="39">
        <f>ROUND('Anexo 8'!Y29*'Anexo 1'!$D$10,0)</f>
        <v>0</v>
      </c>
      <c r="Z29" s="40">
        <f>ROUND('Anexo 8'!Z29*'Anexo 1'!$D$10,0)</f>
        <v>0</v>
      </c>
      <c r="AA29" s="41">
        <f t="shared" si="0"/>
        <v>0</v>
      </c>
      <c r="AB29" s="23">
        <v>7</v>
      </c>
      <c r="AC29" s="81"/>
      <c r="AD29" s="49"/>
    </row>
    <row r="30" spans="1:30" ht="15.75" thickBot="1" x14ac:dyDescent="0.3">
      <c r="A30" s="78">
        <v>46266</v>
      </c>
      <c r="B30" s="18" t="s">
        <v>8</v>
      </c>
      <c r="C30" s="33">
        <f>ROUND('Anexo 8'!C30*'Anexo 1'!$D$10,0)</f>
        <v>0</v>
      </c>
      <c r="D30" s="33">
        <f>ROUND('Anexo 8'!D30*'Anexo 1'!$D$10,0)</f>
        <v>0</v>
      </c>
      <c r="E30" s="33">
        <f>ROUND('Anexo 8'!E30*'Anexo 1'!$D$10,0)</f>
        <v>0</v>
      </c>
      <c r="F30" s="33">
        <f>ROUND('Anexo 8'!F30*'Anexo 1'!$D$10,0)</f>
        <v>0</v>
      </c>
      <c r="G30" s="33">
        <f>ROUND('Anexo 8'!G30*'Anexo 1'!$D$10,0)</f>
        <v>0</v>
      </c>
      <c r="H30" s="33">
        <f>ROUND('Anexo 8'!H30*'Anexo 1'!$D$10,0)</f>
        <v>0</v>
      </c>
      <c r="I30" s="33">
        <f>ROUND('Anexo 8'!I30*'Anexo 1'!$D$10,0)</f>
        <v>0</v>
      </c>
      <c r="J30" s="33">
        <f>ROUND('Anexo 8'!J30*'Anexo 1'!$D$10,0)</f>
        <v>0</v>
      </c>
      <c r="K30" s="33">
        <f>ROUND('Anexo 8'!K30*'Anexo 1'!$D$10,0)</f>
        <v>0</v>
      </c>
      <c r="L30" s="33">
        <f>ROUND('Anexo 8'!L30*'Anexo 1'!$D$10,0)</f>
        <v>0</v>
      </c>
      <c r="M30" s="33">
        <f>ROUND('Anexo 8'!M30*'Anexo 1'!$D$10,0)</f>
        <v>0</v>
      </c>
      <c r="N30" s="33">
        <f>ROUND('Anexo 8'!N30*'Anexo 1'!$D$10,0)</f>
        <v>0</v>
      </c>
      <c r="O30" s="33">
        <f>ROUND('Anexo 8'!O30*'Anexo 1'!$D$10,0)</f>
        <v>0</v>
      </c>
      <c r="P30" s="33">
        <f>ROUND('Anexo 8'!P30*'Anexo 1'!$D$10,0)</f>
        <v>0</v>
      </c>
      <c r="Q30" s="33">
        <f>ROUND('Anexo 8'!Q30*'Anexo 1'!$D$10,0)</f>
        <v>0</v>
      </c>
      <c r="R30" s="33">
        <f>ROUND('Anexo 8'!R30*'Anexo 1'!$D$10,0)</f>
        <v>0</v>
      </c>
      <c r="S30" s="33">
        <f>ROUND('Anexo 8'!S30*'Anexo 1'!$D$10,0)</f>
        <v>0</v>
      </c>
      <c r="T30" s="33">
        <f>ROUND('Anexo 8'!T30*'Anexo 1'!$D$10,0)</f>
        <v>0</v>
      </c>
      <c r="U30" s="33">
        <f>ROUND('Anexo 8'!U30*'Anexo 1'!$D$10,0)</f>
        <v>0</v>
      </c>
      <c r="V30" s="33">
        <f>ROUND('Anexo 8'!V30*'Anexo 1'!$D$10,0)</f>
        <v>0</v>
      </c>
      <c r="W30" s="33">
        <f>ROUND('Anexo 8'!W30*'Anexo 1'!$D$10,0)</f>
        <v>0</v>
      </c>
      <c r="X30" s="33">
        <f>ROUND('Anexo 8'!X30*'Anexo 1'!$D$10,0)</f>
        <v>0</v>
      </c>
      <c r="Y30" s="33">
        <f>ROUND('Anexo 8'!Y30*'Anexo 1'!$D$10,0)</f>
        <v>0</v>
      </c>
      <c r="Z30" s="34">
        <f>ROUND('Anexo 8'!Z30*'Anexo 1'!$D$10,0)</f>
        <v>0</v>
      </c>
      <c r="AA30" s="35">
        <f t="shared" si="0"/>
        <v>0</v>
      </c>
      <c r="AB30" s="19">
        <v>22</v>
      </c>
      <c r="AC30" s="79">
        <f>+AA30*AB30+AA31*AB31+AA32*AB32</f>
        <v>0</v>
      </c>
      <c r="AD30" s="49"/>
    </row>
    <row r="31" spans="1:30" ht="15.75" thickBot="1" x14ac:dyDescent="0.3">
      <c r="A31" s="78"/>
      <c r="B31" s="20" t="s">
        <v>7</v>
      </c>
      <c r="C31" s="36">
        <f>ROUND('Anexo 8'!C31*'Anexo 1'!$D$10,0)</f>
        <v>0</v>
      </c>
      <c r="D31" s="36">
        <f>ROUND('Anexo 8'!D31*'Anexo 1'!$D$10,0)</f>
        <v>0</v>
      </c>
      <c r="E31" s="36">
        <f>ROUND('Anexo 8'!E31*'Anexo 1'!$D$10,0)</f>
        <v>0</v>
      </c>
      <c r="F31" s="36">
        <f>ROUND('Anexo 8'!F31*'Anexo 1'!$D$10,0)</f>
        <v>0</v>
      </c>
      <c r="G31" s="36">
        <f>ROUND('Anexo 8'!G31*'Anexo 1'!$D$10,0)</f>
        <v>0</v>
      </c>
      <c r="H31" s="36">
        <f>ROUND('Anexo 8'!H31*'Anexo 1'!$D$10,0)</f>
        <v>0</v>
      </c>
      <c r="I31" s="36">
        <f>ROUND('Anexo 8'!I31*'Anexo 1'!$D$10,0)</f>
        <v>0</v>
      </c>
      <c r="J31" s="36">
        <f>ROUND('Anexo 8'!J31*'Anexo 1'!$D$10,0)</f>
        <v>0</v>
      </c>
      <c r="K31" s="36">
        <f>ROUND('Anexo 8'!K31*'Anexo 1'!$D$10,0)</f>
        <v>0</v>
      </c>
      <c r="L31" s="36">
        <f>ROUND('Anexo 8'!L31*'Anexo 1'!$D$10,0)</f>
        <v>0</v>
      </c>
      <c r="M31" s="36">
        <f>ROUND('Anexo 8'!M31*'Anexo 1'!$D$10,0)</f>
        <v>0</v>
      </c>
      <c r="N31" s="36">
        <f>ROUND('Anexo 8'!N31*'Anexo 1'!$D$10,0)</f>
        <v>0</v>
      </c>
      <c r="O31" s="36">
        <f>ROUND('Anexo 8'!O31*'Anexo 1'!$D$10,0)</f>
        <v>0</v>
      </c>
      <c r="P31" s="36">
        <f>ROUND('Anexo 8'!P31*'Anexo 1'!$D$10,0)</f>
        <v>0</v>
      </c>
      <c r="Q31" s="36">
        <f>ROUND('Anexo 8'!Q31*'Anexo 1'!$D$10,0)</f>
        <v>0</v>
      </c>
      <c r="R31" s="36">
        <f>ROUND('Anexo 8'!R31*'Anexo 1'!$D$10,0)</f>
        <v>0</v>
      </c>
      <c r="S31" s="36">
        <f>ROUND('Anexo 8'!S31*'Anexo 1'!$D$10,0)</f>
        <v>0</v>
      </c>
      <c r="T31" s="36">
        <f>ROUND('Anexo 8'!T31*'Anexo 1'!$D$10,0)</f>
        <v>0</v>
      </c>
      <c r="U31" s="36">
        <f>ROUND('Anexo 8'!U31*'Anexo 1'!$D$10,0)</f>
        <v>0</v>
      </c>
      <c r="V31" s="36">
        <f>ROUND('Anexo 8'!V31*'Anexo 1'!$D$10,0)</f>
        <v>0</v>
      </c>
      <c r="W31" s="36">
        <f>ROUND('Anexo 8'!W31*'Anexo 1'!$D$10,0)</f>
        <v>0</v>
      </c>
      <c r="X31" s="36">
        <f>ROUND('Anexo 8'!X31*'Anexo 1'!$D$10,0)</f>
        <v>0</v>
      </c>
      <c r="Y31" s="36">
        <f>ROUND('Anexo 8'!Y31*'Anexo 1'!$D$10,0)</f>
        <v>0</v>
      </c>
      <c r="Z31" s="37">
        <f>ROUND('Anexo 8'!Z31*'Anexo 1'!$D$10,0)</f>
        <v>0</v>
      </c>
      <c r="AA31" s="38">
        <f t="shared" si="0"/>
        <v>0</v>
      </c>
      <c r="AB31" s="21">
        <v>4</v>
      </c>
      <c r="AC31" s="80"/>
      <c r="AD31" s="49"/>
    </row>
    <row r="32" spans="1:30" ht="15" x14ac:dyDescent="0.25">
      <c r="A32" s="78"/>
      <c r="B32" s="22" t="s">
        <v>6</v>
      </c>
      <c r="C32" s="39">
        <f>ROUND('Anexo 8'!C32*'Anexo 1'!$D$10,0)</f>
        <v>0</v>
      </c>
      <c r="D32" s="39">
        <f>ROUND('Anexo 8'!D32*'Anexo 1'!$D$10,0)</f>
        <v>0</v>
      </c>
      <c r="E32" s="39">
        <f>ROUND('Anexo 8'!E32*'Anexo 1'!$D$10,0)</f>
        <v>0</v>
      </c>
      <c r="F32" s="39">
        <f>ROUND('Anexo 8'!F32*'Anexo 1'!$D$10,0)</f>
        <v>0</v>
      </c>
      <c r="G32" s="39">
        <f>ROUND('Anexo 8'!G32*'Anexo 1'!$D$10,0)</f>
        <v>0</v>
      </c>
      <c r="H32" s="39">
        <f>ROUND('Anexo 8'!H32*'Anexo 1'!$D$10,0)</f>
        <v>0</v>
      </c>
      <c r="I32" s="39">
        <f>ROUND('Anexo 8'!I32*'Anexo 1'!$D$10,0)</f>
        <v>0</v>
      </c>
      <c r="J32" s="39">
        <f>ROUND('Anexo 8'!J32*'Anexo 1'!$D$10,0)</f>
        <v>0</v>
      </c>
      <c r="K32" s="39">
        <f>ROUND('Anexo 8'!K32*'Anexo 1'!$D$10,0)</f>
        <v>0</v>
      </c>
      <c r="L32" s="39">
        <f>ROUND('Anexo 8'!L32*'Anexo 1'!$D$10,0)</f>
        <v>0</v>
      </c>
      <c r="M32" s="39">
        <f>ROUND('Anexo 8'!M32*'Anexo 1'!$D$10,0)</f>
        <v>0</v>
      </c>
      <c r="N32" s="39">
        <f>ROUND('Anexo 8'!N32*'Anexo 1'!$D$10,0)</f>
        <v>0</v>
      </c>
      <c r="O32" s="39">
        <f>ROUND('Anexo 8'!O32*'Anexo 1'!$D$10,0)</f>
        <v>0</v>
      </c>
      <c r="P32" s="39">
        <f>ROUND('Anexo 8'!P32*'Anexo 1'!$D$10,0)</f>
        <v>0</v>
      </c>
      <c r="Q32" s="39">
        <f>ROUND('Anexo 8'!Q32*'Anexo 1'!$D$10,0)</f>
        <v>0</v>
      </c>
      <c r="R32" s="39">
        <f>ROUND('Anexo 8'!R32*'Anexo 1'!$D$10,0)</f>
        <v>0</v>
      </c>
      <c r="S32" s="39">
        <f>ROUND('Anexo 8'!S32*'Anexo 1'!$D$10,0)</f>
        <v>0</v>
      </c>
      <c r="T32" s="39">
        <f>ROUND('Anexo 8'!T32*'Anexo 1'!$D$10,0)</f>
        <v>0</v>
      </c>
      <c r="U32" s="39">
        <f>ROUND('Anexo 8'!U32*'Anexo 1'!$D$10,0)</f>
        <v>0</v>
      </c>
      <c r="V32" s="39">
        <f>ROUND('Anexo 8'!V32*'Anexo 1'!$D$10,0)</f>
        <v>0</v>
      </c>
      <c r="W32" s="39">
        <f>ROUND('Anexo 8'!W32*'Anexo 1'!$D$10,0)</f>
        <v>0</v>
      </c>
      <c r="X32" s="39">
        <f>ROUND('Anexo 8'!X32*'Anexo 1'!$D$10,0)</f>
        <v>0</v>
      </c>
      <c r="Y32" s="39">
        <f>ROUND('Anexo 8'!Y32*'Anexo 1'!$D$10,0)</f>
        <v>0</v>
      </c>
      <c r="Z32" s="40">
        <f>ROUND('Anexo 8'!Z32*'Anexo 1'!$D$10,0)</f>
        <v>0</v>
      </c>
      <c r="AA32" s="41">
        <f t="shared" si="0"/>
        <v>0</v>
      </c>
      <c r="AB32" s="23">
        <v>4</v>
      </c>
      <c r="AC32" s="81"/>
      <c r="AD32" s="49"/>
    </row>
    <row r="33" spans="1:30" ht="15.75" thickBot="1" x14ac:dyDescent="0.3">
      <c r="A33" s="78">
        <v>46296</v>
      </c>
      <c r="B33" s="18" t="s">
        <v>8</v>
      </c>
      <c r="C33" s="33">
        <f>ROUND('Anexo 8'!C33*'Anexo 1'!$D$10,0)</f>
        <v>0</v>
      </c>
      <c r="D33" s="33">
        <f>ROUND('Anexo 8'!D33*'Anexo 1'!$D$10,0)</f>
        <v>0</v>
      </c>
      <c r="E33" s="33">
        <f>ROUND('Anexo 8'!E33*'Anexo 1'!$D$10,0)</f>
        <v>0</v>
      </c>
      <c r="F33" s="33">
        <f>ROUND('Anexo 8'!F33*'Anexo 1'!$D$10,0)</f>
        <v>0</v>
      </c>
      <c r="G33" s="33">
        <f>ROUND('Anexo 8'!G33*'Anexo 1'!$D$10,0)</f>
        <v>0</v>
      </c>
      <c r="H33" s="33">
        <f>ROUND('Anexo 8'!H33*'Anexo 1'!$D$10,0)</f>
        <v>0</v>
      </c>
      <c r="I33" s="33">
        <f>ROUND('Anexo 8'!I33*'Anexo 1'!$D$10,0)</f>
        <v>0</v>
      </c>
      <c r="J33" s="33">
        <f>ROUND('Anexo 8'!J33*'Anexo 1'!$D$10,0)</f>
        <v>0</v>
      </c>
      <c r="K33" s="33">
        <f>ROUND('Anexo 8'!K33*'Anexo 1'!$D$10,0)</f>
        <v>0</v>
      </c>
      <c r="L33" s="33">
        <f>ROUND('Anexo 8'!L33*'Anexo 1'!$D$10,0)</f>
        <v>0</v>
      </c>
      <c r="M33" s="33">
        <f>ROUND('Anexo 8'!M33*'Anexo 1'!$D$10,0)</f>
        <v>0</v>
      </c>
      <c r="N33" s="33">
        <f>ROUND('Anexo 8'!N33*'Anexo 1'!$D$10,0)</f>
        <v>0</v>
      </c>
      <c r="O33" s="33">
        <f>ROUND('Anexo 8'!O33*'Anexo 1'!$D$10,0)</f>
        <v>0</v>
      </c>
      <c r="P33" s="33">
        <f>ROUND('Anexo 8'!P33*'Anexo 1'!$D$10,0)</f>
        <v>0</v>
      </c>
      <c r="Q33" s="33">
        <f>ROUND('Anexo 8'!Q33*'Anexo 1'!$D$10,0)</f>
        <v>0</v>
      </c>
      <c r="R33" s="33">
        <f>ROUND('Anexo 8'!R33*'Anexo 1'!$D$10,0)</f>
        <v>0</v>
      </c>
      <c r="S33" s="33">
        <f>ROUND('Anexo 8'!S33*'Anexo 1'!$D$10,0)</f>
        <v>0</v>
      </c>
      <c r="T33" s="33">
        <f>ROUND('Anexo 8'!T33*'Anexo 1'!$D$10,0)</f>
        <v>0</v>
      </c>
      <c r="U33" s="33">
        <f>ROUND('Anexo 8'!U33*'Anexo 1'!$D$10,0)</f>
        <v>0</v>
      </c>
      <c r="V33" s="33">
        <f>ROUND('Anexo 8'!V33*'Anexo 1'!$D$10,0)</f>
        <v>0</v>
      </c>
      <c r="W33" s="33">
        <f>ROUND('Anexo 8'!W33*'Anexo 1'!$D$10,0)</f>
        <v>0</v>
      </c>
      <c r="X33" s="33">
        <f>ROUND('Anexo 8'!X33*'Anexo 1'!$D$10,0)</f>
        <v>0</v>
      </c>
      <c r="Y33" s="33">
        <f>ROUND('Anexo 8'!Y33*'Anexo 1'!$D$10,0)</f>
        <v>0</v>
      </c>
      <c r="Z33" s="34">
        <f>ROUND('Anexo 8'!Z33*'Anexo 1'!$D$10,0)</f>
        <v>0</v>
      </c>
      <c r="AA33" s="35">
        <f t="shared" si="0"/>
        <v>0</v>
      </c>
      <c r="AB33" s="19">
        <v>21</v>
      </c>
      <c r="AC33" s="79">
        <f>+AA33*AB33+AA34*AB34+AA35*AB35</f>
        <v>0</v>
      </c>
      <c r="AD33" s="49"/>
    </row>
    <row r="34" spans="1:30" ht="15.75" thickBot="1" x14ac:dyDescent="0.3">
      <c r="A34" s="78"/>
      <c r="B34" s="20" t="s">
        <v>7</v>
      </c>
      <c r="C34" s="36">
        <f>ROUND('Anexo 8'!C34*'Anexo 1'!$D$10,0)</f>
        <v>0</v>
      </c>
      <c r="D34" s="36">
        <f>ROUND('Anexo 8'!D34*'Anexo 1'!$D$10,0)</f>
        <v>0</v>
      </c>
      <c r="E34" s="36">
        <f>ROUND('Anexo 8'!E34*'Anexo 1'!$D$10,0)</f>
        <v>0</v>
      </c>
      <c r="F34" s="36">
        <f>ROUND('Anexo 8'!F34*'Anexo 1'!$D$10,0)</f>
        <v>0</v>
      </c>
      <c r="G34" s="36">
        <f>ROUND('Anexo 8'!G34*'Anexo 1'!$D$10,0)</f>
        <v>0</v>
      </c>
      <c r="H34" s="36">
        <f>ROUND('Anexo 8'!H34*'Anexo 1'!$D$10,0)</f>
        <v>0</v>
      </c>
      <c r="I34" s="36">
        <f>ROUND('Anexo 8'!I34*'Anexo 1'!$D$10,0)</f>
        <v>0</v>
      </c>
      <c r="J34" s="36">
        <f>ROUND('Anexo 8'!J34*'Anexo 1'!$D$10,0)</f>
        <v>0</v>
      </c>
      <c r="K34" s="36">
        <f>ROUND('Anexo 8'!K34*'Anexo 1'!$D$10,0)</f>
        <v>0</v>
      </c>
      <c r="L34" s="36">
        <f>ROUND('Anexo 8'!L34*'Anexo 1'!$D$10,0)</f>
        <v>0</v>
      </c>
      <c r="M34" s="36">
        <f>ROUND('Anexo 8'!M34*'Anexo 1'!$D$10,0)</f>
        <v>0</v>
      </c>
      <c r="N34" s="36">
        <f>ROUND('Anexo 8'!N34*'Anexo 1'!$D$10,0)</f>
        <v>0</v>
      </c>
      <c r="O34" s="36">
        <f>ROUND('Anexo 8'!O34*'Anexo 1'!$D$10,0)</f>
        <v>0</v>
      </c>
      <c r="P34" s="36">
        <f>ROUND('Anexo 8'!P34*'Anexo 1'!$D$10,0)</f>
        <v>0</v>
      </c>
      <c r="Q34" s="36">
        <f>ROUND('Anexo 8'!Q34*'Anexo 1'!$D$10,0)</f>
        <v>0</v>
      </c>
      <c r="R34" s="36">
        <f>ROUND('Anexo 8'!R34*'Anexo 1'!$D$10,0)</f>
        <v>0</v>
      </c>
      <c r="S34" s="36">
        <f>ROUND('Anexo 8'!S34*'Anexo 1'!$D$10,0)</f>
        <v>0</v>
      </c>
      <c r="T34" s="36">
        <f>ROUND('Anexo 8'!T34*'Anexo 1'!$D$10,0)</f>
        <v>0</v>
      </c>
      <c r="U34" s="36">
        <f>ROUND('Anexo 8'!U34*'Anexo 1'!$D$10,0)</f>
        <v>0</v>
      </c>
      <c r="V34" s="36">
        <f>ROUND('Anexo 8'!V34*'Anexo 1'!$D$10,0)</f>
        <v>0</v>
      </c>
      <c r="W34" s="36">
        <f>ROUND('Anexo 8'!W34*'Anexo 1'!$D$10,0)</f>
        <v>0</v>
      </c>
      <c r="X34" s="36">
        <f>ROUND('Anexo 8'!X34*'Anexo 1'!$D$10,0)</f>
        <v>0</v>
      </c>
      <c r="Y34" s="36">
        <f>ROUND('Anexo 8'!Y34*'Anexo 1'!$D$10,0)</f>
        <v>0</v>
      </c>
      <c r="Z34" s="37">
        <f>ROUND('Anexo 8'!Z34*'Anexo 1'!$D$10,0)</f>
        <v>0</v>
      </c>
      <c r="AA34" s="38">
        <f t="shared" si="0"/>
        <v>0</v>
      </c>
      <c r="AB34" s="21">
        <v>5</v>
      </c>
      <c r="AC34" s="80"/>
      <c r="AD34" s="49"/>
    </row>
    <row r="35" spans="1:30" ht="15" x14ac:dyDescent="0.25">
      <c r="A35" s="78"/>
      <c r="B35" s="22" t="s">
        <v>6</v>
      </c>
      <c r="C35" s="39">
        <f>ROUND('Anexo 8'!C35*'Anexo 1'!$D$10,0)</f>
        <v>0</v>
      </c>
      <c r="D35" s="39">
        <f>ROUND('Anexo 8'!D35*'Anexo 1'!$D$10,0)</f>
        <v>0</v>
      </c>
      <c r="E35" s="39">
        <f>ROUND('Anexo 8'!E35*'Anexo 1'!$D$10,0)</f>
        <v>0</v>
      </c>
      <c r="F35" s="39">
        <f>ROUND('Anexo 8'!F35*'Anexo 1'!$D$10,0)</f>
        <v>0</v>
      </c>
      <c r="G35" s="39">
        <f>ROUND('Anexo 8'!G35*'Anexo 1'!$D$10,0)</f>
        <v>0</v>
      </c>
      <c r="H35" s="39">
        <f>ROUND('Anexo 8'!H35*'Anexo 1'!$D$10,0)</f>
        <v>0</v>
      </c>
      <c r="I35" s="39">
        <f>ROUND('Anexo 8'!I35*'Anexo 1'!$D$10,0)</f>
        <v>0</v>
      </c>
      <c r="J35" s="39">
        <f>ROUND('Anexo 8'!J35*'Anexo 1'!$D$10,0)</f>
        <v>0</v>
      </c>
      <c r="K35" s="39">
        <f>ROUND('Anexo 8'!K35*'Anexo 1'!$D$10,0)</f>
        <v>0</v>
      </c>
      <c r="L35" s="39">
        <f>ROUND('Anexo 8'!L35*'Anexo 1'!$D$10,0)</f>
        <v>0</v>
      </c>
      <c r="M35" s="39">
        <f>ROUND('Anexo 8'!M35*'Anexo 1'!$D$10,0)</f>
        <v>0</v>
      </c>
      <c r="N35" s="39">
        <f>ROUND('Anexo 8'!N35*'Anexo 1'!$D$10,0)</f>
        <v>0</v>
      </c>
      <c r="O35" s="39">
        <f>ROUND('Anexo 8'!O35*'Anexo 1'!$D$10,0)</f>
        <v>0</v>
      </c>
      <c r="P35" s="39">
        <f>ROUND('Anexo 8'!P35*'Anexo 1'!$D$10,0)</f>
        <v>0</v>
      </c>
      <c r="Q35" s="39">
        <f>ROUND('Anexo 8'!Q35*'Anexo 1'!$D$10,0)</f>
        <v>0</v>
      </c>
      <c r="R35" s="39">
        <f>ROUND('Anexo 8'!R35*'Anexo 1'!$D$10,0)</f>
        <v>0</v>
      </c>
      <c r="S35" s="39">
        <f>ROUND('Anexo 8'!S35*'Anexo 1'!$D$10,0)</f>
        <v>0</v>
      </c>
      <c r="T35" s="39">
        <f>ROUND('Anexo 8'!T35*'Anexo 1'!$D$10,0)</f>
        <v>0</v>
      </c>
      <c r="U35" s="39">
        <f>ROUND('Anexo 8'!U35*'Anexo 1'!$D$10,0)</f>
        <v>0</v>
      </c>
      <c r="V35" s="39">
        <f>ROUND('Anexo 8'!V35*'Anexo 1'!$D$10,0)</f>
        <v>0</v>
      </c>
      <c r="W35" s="39">
        <f>ROUND('Anexo 8'!W35*'Anexo 1'!$D$10,0)</f>
        <v>0</v>
      </c>
      <c r="X35" s="39">
        <f>ROUND('Anexo 8'!X35*'Anexo 1'!$D$10,0)</f>
        <v>0</v>
      </c>
      <c r="Y35" s="39">
        <f>ROUND('Anexo 8'!Y35*'Anexo 1'!$D$10,0)</f>
        <v>0</v>
      </c>
      <c r="Z35" s="40">
        <f>ROUND('Anexo 8'!Z35*'Anexo 1'!$D$10,0)</f>
        <v>0</v>
      </c>
      <c r="AA35" s="41">
        <f t="shared" si="0"/>
        <v>0</v>
      </c>
      <c r="AB35" s="23">
        <v>5</v>
      </c>
      <c r="AC35" s="81"/>
      <c r="AD35" s="49"/>
    </row>
    <row r="36" spans="1:30" ht="15.75" thickBot="1" x14ac:dyDescent="0.3">
      <c r="A36" s="78">
        <v>46327</v>
      </c>
      <c r="B36" s="18" t="s">
        <v>8</v>
      </c>
      <c r="C36" s="33">
        <f>ROUND('Anexo 8'!C36*'Anexo 1'!$D$10,0)</f>
        <v>0</v>
      </c>
      <c r="D36" s="33">
        <f>ROUND('Anexo 8'!D36*'Anexo 1'!$D$10,0)</f>
        <v>0</v>
      </c>
      <c r="E36" s="33">
        <f>ROUND('Anexo 8'!E36*'Anexo 1'!$D$10,0)</f>
        <v>0</v>
      </c>
      <c r="F36" s="33">
        <f>ROUND('Anexo 8'!F36*'Anexo 1'!$D$10,0)</f>
        <v>0</v>
      </c>
      <c r="G36" s="33">
        <f>ROUND('Anexo 8'!G36*'Anexo 1'!$D$10,0)</f>
        <v>0</v>
      </c>
      <c r="H36" s="33">
        <f>ROUND('Anexo 8'!H36*'Anexo 1'!$D$10,0)</f>
        <v>0</v>
      </c>
      <c r="I36" s="33">
        <f>ROUND('Anexo 8'!I36*'Anexo 1'!$D$10,0)</f>
        <v>0</v>
      </c>
      <c r="J36" s="33">
        <f>ROUND('Anexo 8'!J36*'Anexo 1'!$D$10,0)</f>
        <v>0</v>
      </c>
      <c r="K36" s="33">
        <f>ROUND('Anexo 8'!K36*'Anexo 1'!$D$10,0)</f>
        <v>0</v>
      </c>
      <c r="L36" s="33">
        <f>ROUND('Anexo 8'!L36*'Anexo 1'!$D$10,0)</f>
        <v>0</v>
      </c>
      <c r="M36" s="33">
        <f>ROUND('Anexo 8'!M36*'Anexo 1'!$D$10,0)</f>
        <v>0</v>
      </c>
      <c r="N36" s="33">
        <f>ROUND('Anexo 8'!N36*'Anexo 1'!$D$10,0)</f>
        <v>0</v>
      </c>
      <c r="O36" s="33">
        <f>ROUND('Anexo 8'!O36*'Anexo 1'!$D$10,0)</f>
        <v>0</v>
      </c>
      <c r="P36" s="33">
        <f>ROUND('Anexo 8'!P36*'Anexo 1'!$D$10,0)</f>
        <v>0</v>
      </c>
      <c r="Q36" s="33">
        <f>ROUND('Anexo 8'!Q36*'Anexo 1'!$D$10,0)</f>
        <v>0</v>
      </c>
      <c r="R36" s="33">
        <f>ROUND('Anexo 8'!R36*'Anexo 1'!$D$10,0)</f>
        <v>0</v>
      </c>
      <c r="S36" s="33">
        <f>ROUND('Anexo 8'!S36*'Anexo 1'!$D$10,0)</f>
        <v>0</v>
      </c>
      <c r="T36" s="33">
        <f>ROUND('Anexo 8'!T36*'Anexo 1'!$D$10,0)</f>
        <v>0</v>
      </c>
      <c r="U36" s="33">
        <f>ROUND('Anexo 8'!U36*'Anexo 1'!$D$10,0)</f>
        <v>0</v>
      </c>
      <c r="V36" s="33">
        <f>ROUND('Anexo 8'!V36*'Anexo 1'!$D$10,0)</f>
        <v>0</v>
      </c>
      <c r="W36" s="33">
        <f>ROUND('Anexo 8'!W36*'Anexo 1'!$D$10,0)</f>
        <v>0</v>
      </c>
      <c r="X36" s="33">
        <f>ROUND('Anexo 8'!X36*'Anexo 1'!$D$10,0)</f>
        <v>0</v>
      </c>
      <c r="Y36" s="33">
        <f>ROUND('Anexo 8'!Y36*'Anexo 1'!$D$10,0)</f>
        <v>0</v>
      </c>
      <c r="Z36" s="34">
        <f>ROUND('Anexo 8'!Z36*'Anexo 1'!$D$10,0)</f>
        <v>0</v>
      </c>
      <c r="AA36" s="35">
        <f t="shared" si="0"/>
        <v>0</v>
      </c>
      <c r="AB36" s="19">
        <v>19</v>
      </c>
      <c r="AC36" s="79">
        <f>+AA36*AB36+AA37*AB37+AA38*AB38</f>
        <v>0</v>
      </c>
      <c r="AD36" s="49"/>
    </row>
    <row r="37" spans="1:30" ht="15.75" thickBot="1" x14ac:dyDescent="0.3">
      <c r="A37" s="78"/>
      <c r="B37" s="20" t="s">
        <v>7</v>
      </c>
      <c r="C37" s="36">
        <f>ROUND('Anexo 8'!C37*'Anexo 1'!$D$10,0)</f>
        <v>0</v>
      </c>
      <c r="D37" s="36">
        <f>ROUND('Anexo 8'!D37*'Anexo 1'!$D$10,0)</f>
        <v>0</v>
      </c>
      <c r="E37" s="36">
        <f>ROUND('Anexo 8'!E37*'Anexo 1'!$D$10,0)</f>
        <v>0</v>
      </c>
      <c r="F37" s="36">
        <f>ROUND('Anexo 8'!F37*'Anexo 1'!$D$10,0)</f>
        <v>0</v>
      </c>
      <c r="G37" s="36">
        <f>ROUND('Anexo 8'!G37*'Anexo 1'!$D$10,0)</f>
        <v>0</v>
      </c>
      <c r="H37" s="36">
        <f>ROUND('Anexo 8'!H37*'Anexo 1'!$D$10,0)</f>
        <v>0</v>
      </c>
      <c r="I37" s="36">
        <f>ROUND('Anexo 8'!I37*'Anexo 1'!$D$10,0)</f>
        <v>0</v>
      </c>
      <c r="J37" s="36">
        <f>ROUND('Anexo 8'!J37*'Anexo 1'!$D$10,0)</f>
        <v>0</v>
      </c>
      <c r="K37" s="36">
        <f>ROUND('Anexo 8'!K37*'Anexo 1'!$D$10,0)</f>
        <v>0</v>
      </c>
      <c r="L37" s="36">
        <f>ROUND('Anexo 8'!L37*'Anexo 1'!$D$10,0)</f>
        <v>0</v>
      </c>
      <c r="M37" s="36">
        <f>ROUND('Anexo 8'!M37*'Anexo 1'!$D$10,0)</f>
        <v>0</v>
      </c>
      <c r="N37" s="36">
        <f>ROUND('Anexo 8'!N37*'Anexo 1'!$D$10,0)</f>
        <v>0</v>
      </c>
      <c r="O37" s="36">
        <f>ROUND('Anexo 8'!O37*'Anexo 1'!$D$10,0)</f>
        <v>0</v>
      </c>
      <c r="P37" s="36">
        <f>ROUND('Anexo 8'!P37*'Anexo 1'!$D$10,0)</f>
        <v>0</v>
      </c>
      <c r="Q37" s="36">
        <f>ROUND('Anexo 8'!Q37*'Anexo 1'!$D$10,0)</f>
        <v>0</v>
      </c>
      <c r="R37" s="36">
        <f>ROUND('Anexo 8'!R37*'Anexo 1'!$D$10,0)</f>
        <v>0</v>
      </c>
      <c r="S37" s="36">
        <f>ROUND('Anexo 8'!S37*'Anexo 1'!$D$10,0)</f>
        <v>0</v>
      </c>
      <c r="T37" s="36">
        <f>ROUND('Anexo 8'!T37*'Anexo 1'!$D$10,0)</f>
        <v>0</v>
      </c>
      <c r="U37" s="36">
        <f>ROUND('Anexo 8'!U37*'Anexo 1'!$D$10,0)</f>
        <v>0</v>
      </c>
      <c r="V37" s="36">
        <f>ROUND('Anexo 8'!V37*'Anexo 1'!$D$10,0)</f>
        <v>0</v>
      </c>
      <c r="W37" s="36">
        <f>ROUND('Anexo 8'!W37*'Anexo 1'!$D$10,0)</f>
        <v>0</v>
      </c>
      <c r="X37" s="36">
        <f>ROUND('Anexo 8'!X37*'Anexo 1'!$D$10,0)</f>
        <v>0</v>
      </c>
      <c r="Y37" s="36">
        <f>ROUND('Anexo 8'!Y37*'Anexo 1'!$D$10,0)</f>
        <v>0</v>
      </c>
      <c r="Z37" s="37">
        <f>ROUND('Anexo 8'!Z37*'Anexo 1'!$D$10,0)</f>
        <v>0</v>
      </c>
      <c r="AA37" s="38">
        <f t="shared" si="0"/>
        <v>0</v>
      </c>
      <c r="AB37" s="21">
        <v>4</v>
      </c>
      <c r="AC37" s="80"/>
      <c r="AD37" s="49"/>
    </row>
    <row r="38" spans="1:30" ht="15" x14ac:dyDescent="0.25">
      <c r="A38" s="78"/>
      <c r="B38" s="22" t="s">
        <v>6</v>
      </c>
      <c r="C38" s="39">
        <f>ROUND('Anexo 8'!C38*'Anexo 1'!$D$10,0)</f>
        <v>0</v>
      </c>
      <c r="D38" s="39">
        <f>ROUND('Anexo 8'!D38*'Anexo 1'!$D$10,0)</f>
        <v>0</v>
      </c>
      <c r="E38" s="39">
        <f>ROUND('Anexo 8'!E38*'Anexo 1'!$D$10,0)</f>
        <v>0</v>
      </c>
      <c r="F38" s="39">
        <f>ROUND('Anexo 8'!F38*'Anexo 1'!$D$10,0)</f>
        <v>0</v>
      </c>
      <c r="G38" s="39">
        <f>ROUND('Anexo 8'!G38*'Anexo 1'!$D$10,0)</f>
        <v>0</v>
      </c>
      <c r="H38" s="39">
        <f>ROUND('Anexo 8'!H38*'Anexo 1'!$D$10,0)</f>
        <v>0</v>
      </c>
      <c r="I38" s="39">
        <f>ROUND('Anexo 8'!I38*'Anexo 1'!$D$10,0)</f>
        <v>0</v>
      </c>
      <c r="J38" s="39">
        <f>ROUND('Anexo 8'!J38*'Anexo 1'!$D$10,0)</f>
        <v>0</v>
      </c>
      <c r="K38" s="39">
        <f>ROUND('Anexo 8'!K38*'Anexo 1'!$D$10,0)</f>
        <v>0</v>
      </c>
      <c r="L38" s="39">
        <f>ROUND('Anexo 8'!L38*'Anexo 1'!$D$10,0)</f>
        <v>0</v>
      </c>
      <c r="M38" s="39">
        <f>ROUND('Anexo 8'!M38*'Anexo 1'!$D$10,0)</f>
        <v>0</v>
      </c>
      <c r="N38" s="39">
        <f>ROUND('Anexo 8'!N38*'Anexo 1'!$D$10,0)</f>
        <v>0</v>
      </c>
      <c r="O38" s="39">
        <f>ROUND('Anexo 8'!O38*'Anexo 1'!$D$10,0)</f>
        <v>0</v>
      </c>
      <c r="P38" s="39">
        <f>ROUND('Anexo 8'!P38*'Anexo 1'!$D$10,0)</f>
        <v>0</v>
      </c>
      <c r="Q38" s="39">
        <f>ROUND('Anexo 8'!Q38*'Anexo 1'!$D$10,0)</f>
        <v>0</v>
      </c>
      <c r="R38" s="39">
        <f>ROUND('Anexo 8'!R38*'Anexo 1'!$D$10,0)</f>
        <v>0</v>
      </c>
      <c r="S38" s="39">
        <f>ROUND('Anexo 8'!S38*'Anexo 1'!$D$10,0)</f>
        <v>0</v>
      </c>
      <c r="T38" s="39">
        <f>ROUND('Anexo 8'!T38*'Anexo 1'!$D$10,0)</f>
        <v>0</v>
      </c>
      <c r="U38" s="39">
        <f>ROUND('Anexo 8'!U38*'Anexo 1'!$D$10,0)</f>
        <v>0</v>
      </c>
      <c r="V38" s="39">
        <f>ROUND('Anexo 8'!V38*'Anexo 1'!$D$10,0)</f>
        <v>0</v>
      </c>
      <c r="W38" s="39">
        <f>ROUND('Anexo 8'!W38*'Anexo 1'!$D$10,0)</f>
        <v>0</v>
      </c>
      <c r="X38" s="39">
        <f>ROUND('Anexo 8'!X38*'Anexo 1'!$D$10,0)</f>
        <v>0</v>
      </c>
      <c r="Y38" s="39">
        <f>ROUND('Anexo 8'!Y38*'Anexo 1'!$D$10,0)</f>
        <v>0</v>
      </c>
      <c r="Z38" s="40">
        <f>ROUND('Anexo 8'!Z38*'Anexo 1'!$D$10,0)</f>
        <v>0</v>
      </c>
      <c r="AA38" s="41">
        <f t="shared" si="0"/>
        <v>0</v>
      </c>
      <c r="AB38" s="23">
        <v>7</v>
      </c>
      <c r="AC38" s="81"/>
      <c r="AD38" s="49"/>
    </row>
    <row r="39" spans="1:30" ht="15.75" thickBot="1" x14ac:dyDescent="0.3">
      <c r="A39" s="78">
        <v>46357</v>
      </c>
      <c r="B39" s="18" t="s">
        <v>8</v>
      </c>
      <c r="C39" s="33">
        <f>ROUND('Anexo 8'!C39*'Anexo 1'!$D$10,0)</f>
        <v>0</v>
      </c>
      <c r="D39" s="33">
        <f>ROUND('Anexo 8'!D39*'Anexo 1'!$D$10,0)</f>
        <v>0</v>
      </c>
      <c r="E39" s="33">
        <f>ROUND('Anexo 8'!E39*'Anexo 1'!$D$10,0)</f>
        <v>0</v>
      </c>
      <c r="F39" s="33">
        <f>ROUND('Anexo 8'!F39*'Anexo 1'!$D$10,0)</f>
        <v>0</v>
      </c>
      <c r="G39" s="33">
        <f>ROUND('Anexo 8'!G39*'Anexo 1'!$D$10,0)</f>
        <v>0</v>
      </c>
      <c r="H39" s="33">
        <f>ROUND('Anexo 8'!H39*'Anexo 1'!$D$10,0)</f>
        <v>0</v>
      </c>
      <c r="I39" s="33">
        <f>ROUND('Anexo 8'!I39*'Anexo 1'!$D$10,0)</f>
        <v>0</v>
      </c>
      <c r="J39" s="33">
        <f>ROUND('Anexo 8'!J39*'Anexo 1'!$D$10,0)</f>
        <v>0</v>
      </c>
      <c r="K39" s="33">
        <f>ROUND('Anexo 8'!K39*'Anexo 1'!$D$10,0)</f>
        <v>0</v>
      </c>
      <c r="L39" s="33">
        <f>ROUND('Anexo 8'!L39*'Anexo 1'!$D$10,0)</f>
        <v>0</v>
      </c>
      <c r="M39" s="33">
        <f>ROUND('Anexo 8'!M39*'Anexo 1'!$D$10,0)</f>
        <v>0</v>
      </c>
      <c r="N39" s="33">
        <f>ROUND('Anexo 8'!N39*'Anexo 1'!$D$10,0)</f>
        <v>0</v>
      </c>
      <c r="O39" s="33">
        <f>ROUND('Anexo 8'!O39*'Anexo 1'!$D$10,0)</f>
        <v>0</v>
      </c>
      <c r="P39" s="33">
        <f>ROUND('Anexo 8'!P39*'Anexo 1'!$D$10,0)</f>
        <v>0</v>
      </c>
      <c r="Q39" s="33">
        <f>ROUND('Anexo 8'!Q39*'Anexo 1'!$D$10,0)</f>
        <v>0</v>
      </c>
      <c r="R39" s="33">
        <f>ROUND('Anexo 8'!R39*'Anexo 1'!$D$10,0)</f>
        <v>0</v>
      </c>
      <c r="S39" s="33">
        <f>ROUND('Anexo 8'!S39*'Anexo 1'!$D$10,0)</f>
        <v>0</v>
      </c>
      <c r="T39" s="33">
        <f>ROUND('Anexo 8'!T39*'Anexo 1'!$D$10,0)</f>
        <v>0</v>
      </c>
      <c r="U39" s="33">
        <f>ROUND('Anexo 8'!U39*'Anexo 1'!$D$10,0)</f>
        <v>0</v>
      </c>
      <c r="V39" s="33">
        <f>ROUND('Anexo 8'!V39*'Anexo 1'!$D$10,0)</f>
        <v>0</v>
      </c>
      <c r="W39" s="33">
        <f>ROUND('Anexo 8'!W39*'Anexo 1'!$D$10,0)</f>
        <v>0</v>
      </c>
      <c r="X39" s="33">
        <f>ROUND('Anexo 8'!X39*'Anexo 1'!$D$10,0)</f>
        <v>0</v>
      </c>
      <c r="Y39" s="33">
        <f>ROUND('Anexo 8'!Y39*'Anexo 1'!$D$10,0)</f>
        <v>0</v>
      </c>
      <c r="Z39" s="34">
        <f>ROUND('Anexo 8'!Z39*'Anexo 1'!$D$10,0)</f>
        <v>0</v>
      </c>
      <c r="AA39" s="35">
        <f t="shared" si="0"/>
        <v>0</v>
      </c>
      <c r="AB39" s="19">
        <v>21</v>
      </c>
      <c r="AC39" s="79">
        <f>+AA39*AB39+AA40*AB40+AA41*AB41</f>
        <v>0</v>
      </c>
      <c r="AD39" s="49"/>
    </row>
    <row r="40" spans="1:30" ht="15.75" thickBot="1" x14ac:dyDescent="0.3">
      <c r="A40" s="78"/>
      <c r="B40" s="20" t="s">
        <v>7</v>
      </c>
      <c r="C40" s="36">
        <f>ROUND('Anexo 8'!C40*'Anexo 1'!$D$10,0)</f>
        <v>0</v>
      </c>
      <c r="D40" s="36">
        <f>ROUND('Anexo 8'!D40*'Anexo 1'!$D$10,0)</f>
        <v>0</v>
      </c>
      <c r="E40" s="36">
        <f>ROUND('Anexo 8'!E40*'Anexo 1'!$D$10,0)</f>
        <v>0</v>
      </c>
      <c r="F40" s="36">
        <f>ROUND('Anexo 8'!F40*'Anexo 1'!$D$10,0)</f>
        <v>0</v>
      </c>
      <c r="G40" s="36">
        <f>ROUND('Anexo 8'!G40*'Anexo 1'!$D$10,0)</f>
        <v>0</v>
      </c>
      <c r="H40" s="36">
        <f>ROUND('Anexo 8'!H40*'Anexo 1'!$D$10,0)</f>
        <v>0</v>
      </c>
      <c r="I40" s="36">
        <f>ROUND('Anexo 8'!I40*'Anexo 1'!$D$10,0)</f>
        <v>0</v>
      </c>
      <c r="J40" s="36">
        <f>ROUND('Anexo 8'!J40*'Anexo 1'!$D$10,0)</f>
        <v>0</v>
      </c>
      <c r="K40" s="36">
        <f>ROUND('Anexo 8'!K40*'Anexo 1'!$D$10,0)</f>
        <v>0</v>
      </c>
      <c r="L40" s="36">
        <f>ROUND('Anexo 8'!L40*'Anexo 1'!$D$10,0)</f>
        <v>0</v>
      </c>
      <c r="M40" s="36">
        <f>ROUND('Anexo 8'!M40*'Anexo 1'!$D$10,0)</f>
        <v>0</v>
      </c>
      <c r="N40" s="36">
        <f>ROUND('Anexo 8'!N40*'Anexo 1'!$D$10,0)</f>
        <v>0</v>
      </c>
      <c r="O40" s="36">
        <f>ROUND('Anexo 8'!O40*'Anexo 1'!$D$10,0)</f>
        <v>0</v>
      </c>
      <c r="P40" s="36">
        <f>ROUND('Anexo 8'!P40*'Anexo 1'!$D$10,0)</f>
        <v>0</v>
      </c>
      <c r="Q40" s="36">
        <f>ROUND('Anexo 8'!Q40*'Anexo 1'!$D$10,0)</f>
        <v>0</v>
      </c>
      <c r="R40" s="36">
        <f>ROUND('Anexo 8'!R40*'Anexo 1'!$D$10,0)</f>
        <v>0</v>
      </c>
      <c r="S40" s="36">
        <f>ROUND('Anexo 8'!S40*'Anexo 1'!$D$10,0)</f>
        <v>0</v>
      </c>
      <c r="T40" s="36">
        <f>ROUND('Anexo 8'!T40*'Anexo 1'!$D$10,0)</f>
        <v>0</v>
      </c>
      <c r="U40" s="36">
        <f>ROUND('Anexo 8'!U40*'Anexo 1'!$D$10,0)</f>
        <v>0</v>
      </c>
      <c r="V40" s="36">
        <f>ROUND('Anexo 8'!V40*'Anexo 1'!$D$10,0)</f>
        <v>0</v>
      </c>
      <c r="W40" s="36">
        <f>ROUND('Anexo 8'!W40*'Anexo 1'!$D$10,0)</f>
        <v>0</v>
      </c>
      <c r="X40" s="36">
        <f>ROUND('Anexo 8'!X40*'Anexo 1'!$D$10,0)</f>
        <v>0</v>
      </c>
      <c r="Y40" s="36">
        <f>ROUND('Anexo 8'!Y40*'Anexo 1'!$D$10,0)</f>
        <v>0</v>
      </c>
      <c r="Z40" s="37">
        <f>ROUND('Anexo 8'!Z40*'Anexo 1'!$D$10,0)</f>
        <v>0</v>
      </c>
      <c r="AA40" s="38">
        <f t="shared" si="0"/>
        <v>0</v>
      </c>
      <c r="AB40" s="21">
        <v>4</v>
      </c>
      <c r="AC40" s="80"/>
      <c r="AD40" s="49"/>
    </row>
    <row r="41" spans="1:30" ht="15" x14ac:dyDescent="0.25">
      <c r="A41" s="78"/>
      <c r="B41" s="22" t="s">
        <v>6</v>
      </c>
      <c r="C41" s="39">
        <f>ROUND('Anexo 8'!C41*'Anexo 1'!$D$10,0)</f>
        <v>0</v>
      </c>
      <c r="D41" s="39">
        <f>ROUND('Anexo 8'!D41*'Anexo 1'!$D$10,0)</f>
        <v>0</v>
      </c>
      <c r="E41" s="39">
        <f>ROUND('Anexo 8'!E41*'Anexo 1'!$D$10,0)</f>
        <v>0</v>
      </c>
      <c r="F41" s="39">
        <f>ROUND('Anexo 8'!F41*'Anexo 1'!$D$10,0)</f>
        <v>0</v>
      </c>
      <c r="G41" s="39">
        <f>ROUND('Anexo 8'!G41*'Anexo 1'!$D$10,0)</f>
        <v>0</v>
      </c>
      <c r="H41" s="39">
        <f>ROUND('Anexo 8'!H41*'Anexo 1'!$D$10,0)</f>
        <v>0</v>
      </c>
      <c r="I41" s="39">
        <f>ROUND('Anexo 8'!I41*'Anexo 1'!$D$10,0)</f>
        <v>0</v>
      </c>
      <c r="J41" s="39">
        <f>ROUND('Anexo 8'!J41*'Anexo 1'!$D$10,0)</f>
        <v>0</v>
      </c>
      <c r="K41" s="39">
        <f>ROUND('Anexo 8'!K41*'Anexo 1'!$D$10,0)</f>
        <v>0</v>
      </c>
      <c r="L41" s="39">
        <f>ROUND('Anexo 8'!L41*'Anexo 1'!$D$10,0)</f>
        <v>0</v>
      </c>
      <c r="M41" s="39">
        <f>ROUND('Anexo 8'!M41*'Anexo 1'!$D$10,0)</f>
        <v>0</v>
      </c>
      <c r="N41" s="39">
        <f>ROUND('Anexo 8'!N41*'Anexo 1'!$D$10,0)</f>
        <v>0</v>
      </c>
      <c r="O41" s="39">
        <f>ROUND('Anexo 8'!O41*'Anexo 1'!$D$10,0)</f>
        <v>0</v>
      </c>
      <c r="P41" s="39">
        <f>ROUND('Anexo 8'!P41*'Anexo 1'!$D$10,0)</f>
        <v>0</v>
      </c>
      <c r="Q41" s="39">
        <f>ROUND('Anexo 8'!Q41*'Anexo 1'!$D$10,0)</f>
        <v>0</v>
      </c>
      <c r="R41" s="39">
        <f>ROUND('Anexo 8'!R41*'Anexo 1'!$D$10,0)</f>
        <v>0</v>
      </c>
      <c r="S41" s="39">
        <f>ROUND('Anexo 8'!S41*'Anexo 1'!$D$10,0)</f>
        <v>0</v>
      </c>
      <c r="T41" s="39">
        <f>ROUND('Anexo 8'!T41*'Anexo 1'!$D$10,0)</f>
        <v>0</v>
      </c>
      <c r="U41" s="39">
        <f>ROUND('Anexo 8'!U41*'Anexo 1'!$D$10,0)</f>
        <v>0</v>
      </c>
      <c r="V41" s="39">
        <f>ROUND('Anexo 8'!V41*'Anexo 1'!$D$10,0)</f>
        <v>0</v>
      </c>
      <c r="W41" s="39">
        <f>ROUND('Anexo 8'!W41*'Anexo 1'!$D$10,0)</f>
        <v>0</v>
      </c>
      <c r="X41" s="39">
        <f>ROUND('Anexo 8'!X41*'Anexo 1'!$D$10,0)</f>
        <v>0</v>
      </c>
      <c r="Y41" s="39">
        <f>ROUND('Anexo 8'!Y41*'Anexo 1'!$D$10,0)</f>
        <v>0</v>
      </c>
      <c r="Z41" s="40">
        <f>ROUND('Anexo 8'!Z41*'Anexo 1'!$D$10,0)</f>
        <v>0</v>
      </c>
      <c r="AA41" s="41">
        <f t="shared" si="0"/>
        <v>0</v>
      </c>
      <c r="AB41" s="23">
        <v>6</v>
      </c>
      <c r="AC41" s="81"/>
      <c r="AD41" s="49"/>
    </row>
    <row r="42" spans="1:30" ht="15" x14ac:dyDescent="0.25">
      <c r="A42" s="76" t="s">
        <v>5</v>
      </c>
      <c r="B42" s="77"/>
      <c r="C42" s="31">
        <f t="shared" ref="C42:AC42" si="1">+SUM(C6:C41)</f>
        <v>0</v>
      </c>
      <c r="D42" s="31">
        <f t="shared" si="1"/>
        <v>0</v>
      </c>
      <c r="E42" s="31">
        <f t="shared" si="1"/>
        <v>0</v>
      </c>
      <c r="F42" s="31">
        <f t="shared" si="1"/>
        <v>0</v>
      </c>
      <c r="G42" s="31">
        <f t="shared" si="1"/>
        <v>0</v>
      </c>
      <c r="H42" s="31">
        <f t="shared" si="1"/>
        <v>0</v>
      </c>
      <c r="I42" s="31">
        <f t="shared" si="1"/>
        <v>0</v>
      </c>
      <c r="J42" s="31">
        <f t="shared" si="1"/>
        <v>0</v>
      </c>
      <c r="K42" s="31">
        <f t="shared" si="1"/>
        <v>0</v>
      </c>
      <c r="L42" s="31">
        <f t="shared" si="1"/>
        <v>0</v>
      </c>
      <c r="M42" s="31">
        <f t="shared" si="1"/>
        <v>0</v>
      </c>
      <c r="N42" s="31">
        <f t="shared" si="1"/>
        <v>0</v>
      </c>
      <c r="O42" s="31">
        <f t="shared" si="1"/>
        <v>0</v>
      </c>
      <c r="P42" s="31">
        <f t="shared" si="1"/>
        <v>0</v>
      </c>
      <c r="Q42" s="31">
        <f t="shared" si="1"/>
        <v>0</v>
      </c>
      <c r="R42" s="31">
        <f t="shared" si="1"/>
        <v>0</v>
      </c>
      <c r="S42" s="31">
        <f t="shared" si="1"/>
        <v>0</v>
      </c>
      <c r="T42" s="31">
        <f t="shared" si="1"/>
        <v>0</v>
      </c>
      <c r="U42" s="31">
        <f t="shared" si="1"/>
        <v>0</v>
      </c>
      <c r="V42" s="31">
        <f t="shared" si="1"/>
        <v>0</v>
      </c>
      <c r="W42" s="31">
        <f t="shared" si="1"/>
        <v>0</v>
      </c>
      <c r="X42" s="31">
        <f t="shared" si="1"/>
        <v>0</v>
      </c>
      <c r="Y42" s="31">
        <f t="shared" si="1"/>
        <v>0</v>
      </c>
      <c r="Z42" s="31">
        <f t="shared" si="1"/>
        <v>0</v>
      </c>
      <c r="AA42" s="31">
        <f t="shared" si="1"/>
        <v>0</v>
      </c>
      <c r="AB42" s="31">
        <f t="shared" si="1"/>
        <v>365</v>
      </c>
      <c r="AC42" s="46">
        <f t="shared" si="1"/>
        <v>0</v>
      </c>
      <c r="AD42" s="49"/>
    </row>
    <row r="43" spans="1:30" ht="15" x14ac:dyDescent="0.25">
      <c r="N43" s="49"/>
      <c r="AB43" s="6"/>
      <c r="AC43" s="6"/>
    </row>
    <row r="44" spans="1:30" ht="15" x14ac:dyDescent="0.25">
      <c r="AA44" s="53"/>
      <c r="AC44" s="51"/>
    </row>
    <row r="45" spans="1:30" ht="15" x14ac:dyDescent="0.25"/>
    <row r="46" spans="1:30" ht="15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2041-3788-4A3C-A99E-DCBB976FEC64}">
  <sheetPr codeName="Hoja2">
    <tabColor rgb="FFFFFF00"/>
  </sheetPr>
  <dimension ref="A1:H37"/>
  <sheetViews>
    <sheetView showGridLines="0" topLeftCell="A10" zoomScaleNormal="100" zoomScaleSheetLayoutView="140" workbookViewId="0">
      <selection activeCell="D10" sqref="D10:D21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2:8" x14ac:dyDescent="0.25"/>
    <row r="2" spans="2:8" x14ac:dyDescent="0.25"/>
    <row r="3" spans="2:8" x14ac:dyDescent="0.25">
      <c r="B3" s="73" t="s">
        <v>51</v>
      </c>
      <c r="C3" s="73"/>
      <c r="D3" s="73"/>
      <c r="E3" s="73"/>
      <c r="F3" s="73"/>
      <c r="G3" s="29"/>
    </row>
    <row r="4" spans="2:8" x14ac:dyDescent="0.25">
      <c r="B4" s="73" t="s">
        <v>42</v>
      </c>
      <c r="C4" s="73"/>
      <c r="D4" s="73"/>
      <c r="E4" s="73"/>
      <c r="F4" s="73"/>
      <c r="G4" s="29"/>
    </row>
    <row r="5" spans="2:8" x14ac:dyDescent="0.25">
      <c r="B5" s="73" t="s">
        <v>81</v>
      </c>
      <c r="C5" s="73"/>
      <c r="D5" s="73"/>
      <c r="E5" s="73"/>
      <c r="F5" s="73"/>
      <c r="G5" s="29"/>
    </row>
    <row r="6" spans="2:8" x14ac:dyDescent="0.25">
      <c r="B6" s="5"/>
      <c r="C6" s="5"/>
      <c r="D6" s="5"/>
      <c r="E6" s="5"/>
      <c r="F6" s="5"/>
      <c r="G6" s="5"/>
    </row>
    <row r="7" spans="2:8" x14ac:dyDescent="0.25"/>
    <row r="8" spans="2:8" ht="15" customHeight="1" x14ac:dyDescent="0.25">
      <c r="B8" s="74" t="s">
        <v>4</v>
      </c>
      <c r="C8" s="74" t="s">
        <v>39</v>
      </c>
      <c r="D8" s="74" t="s">
        <v>43</v>
      </c>
      <c r="E8" s="74" t="s">
        <v>40</v>
      </c>
      <c r="F8" s="74" t="s">
        <v>45</v>
      </c>
      <c r="G8" s="28"/>
    </row>
    <row r="9" spans="2:8" ht="23.25" customHeight="1" x14ac:dyDescent="0.25">
      <c r="B9" s="75"/>
      <c r="C9" s="75"/>
      <c r="D9" s="75"/>
      <c r="E9" s="75"/>
      <c r="F9" s="75"/>
      <c r="G9" s="28"/>
    </row>
    <row r="10" spans="2:8" ht="15.75" thickBot="1" x14ac:dyDescent="0.3">
      <c r="B10" s="8">
        <v>46388</v>
      </c>
      <c r="C10" s="43">
        <f>+'Anexo 9'!AC6</f>
        <v>65954714</v>
      </c>
      <c r="D10" s="70"/>
      <c r="E10" s="57">
        <f>+'Cantidades Ofertadas Prod 2'!AC6</f>
        <v>0</v>
      </c>
      <c r="F10" s="67"/>
      <c r="G10" s="32"/>
      <c r="H10" s="51"/>
    </row>
    <row r="11" spans="2:8" ht="15.75" thickBot="1" x14ac:dyDescent="0.3">
      <c r="B11" s="8">
        <v>46419</v>
      </c>
      <c r="C11" s="43">
        <f>+'Anexo 9'!AC9</f>
        <v>62974516</v>
      </c>
      <c r="D11" s="71"/>
      <c r="E11" s="57">
        <f>+'Cantidades Ofertadas Prod 2'!AC9</f>
        <v>0</v>
      </c>
      <c r="F11" s="68"/>
      <c r="G11" s="32"/>
      <c r="H11" s="51"/>
    </row>
    <row r="12" spans="2:8" ht="15.75" thickBot="1" x14ac:dyDescent="0.3">
      <c r="B12" s="8">
        <v>46447</v>
      </c>
      <c r="C12" s="43">
        <f>+'Anexo 9'!AC12</f>
        <v>67623091</v>
      </c>
      <c r="D12" s="71"/>
      <c r="E12" s="57">
        <f>+'Cantidades Ofertadas Prod 2'!AC12</f>
        <v>0</v>
      </c>
      <c r="F12" s="68"/>
      <c r="G12" s="32"/>
      <c r="H12" s="51"/>
    </row>
    <row r="13" spans="2:8" ht="15.75" thickBot="1" x14ac:dyDescent="0.3">
      <c r="B13" s="8">
        <v>46478</v>
      </c>
      <c r="C13" s="43">
        <f>+'Anexo 9'!AC15</f>
        <v>60519442</v>
      </c>
      <c r="D13" s="71"/>
      <c r="E13" s="57">
        <f>+'Cantidades Ofertadas Prod 2'!AC15</f>
        <v>0</v>
      </c>
      <c r="F13" s="68"/>
      <c r="G13" s="32"/>
      <c r="H13" s="51"/>
    </row>
    <row r="14" spans="2:8" ht="15.75" thickBot="1" x14ac:dyDescent="0.3">
      <c r="B14" s="8">
        <v>46508</v>
      </c>
      <c r="C14" s="43">
        <f>+'Anexo 9'!AC18</f>
        <v>63348286</v>
      </c>
      <c r="D14" s="71"/>
      <c r="E14" s="57">
        <f>+'Cantidades Ofertadas Prod 2'!AC18</f>
        <v>0</v>
      </c>
      <c r="F14" s="68"/>
      <c r="G14" s="32"/>
      <c r="H14" s="51"/>
    </row>
    <row r="15" spans="2:8" ht="15.75" thickBot="1" x14ac:dyDescent="0.3">
      <c r="B15" s="8">
        <v>46539</v>
      </c>
      <c r="C15" s="43">
        <f>+'Anexo 9'!AC21</f>
        <v>63361286</v>
      </c>
      <c r="D15" s="71"/>
      <c r="E15" s="57">
        <f>+'Cantidades Ofertadas Prod 2'!AC21</f>
        <v>0</v>
      </c>
      <c r="F15" s="68"/>
      <c r="G15" s="32"/>
      <c r="H15" s="51"/>
    </row>
    <row r="16" spans="2:8" ht="15.75" thickBot="1" x14ac:dyDescent="0.3">
      <c r="B16" s="8">
        <v>46569</v>
      </c>
      <c r="C16" s="43">
        <f>+'Anexo 9'!AC24</f>
        <v>66315125</v>
      </c>
      <c r="D16" s="71"/>
      <c r="E16" s="57">
        <f>+'Cantidades Ofertadas Prod 2'!AC24</f>
        <v>0</v>
      </c>
      <c r="F16" s="68"/>
      <c r="G16" s="32"/>
      <c r="H16" s="51"/>
    </row>
    <row r="17" spans="2:8" ht="15.75" thickBot="1" x14ac:dyDescent="0.3">
      <c r="B17" s="8">
        <v>46600</v>
      </c>
      <c r="C17" s="43">
        <f>+'Anexo 9'!AC27</f>
        <v>68019167</v>
      </c>
      <c r="D17" s="71"/>
      <c r="E17" s="57">
        <f>+'Cantidades Ofertadas Prod 2'!AC27</f>
        <v>0</v>
      </c>
      <c r="F17" s="68"/>
      <c r="G17" s="32"/>
      <c r="H17" s="51"/>
    </row>
    <row r="18" spans="2:8" ht="15.75" thickBot="1" x14ac:dyDescent="0.3">
      <c r="B18" s="8">
        <v>46631</v>
      </c>
      <c r="C18" s="43">
        <f>+'Anexo 9'!AC30</f>
        <v>69317302</v>
      </c>
      <c r="D18" s="71"/>
      <c r="E18" s="57">
        <f>+'Cantidades Ofertadas Prod 2'!AC30</f>
        <v>0</v>
      </c>
      <c r="F18" s="68"/>
      <c r="G18" s="32"/>
      <c r="H18" s="51"/>
    </row>
    <row r="19" spans="2:8" ht="15.75" thickBot="1" x14ac:dyDescent="0.3">
      <c r="B19" s="8">
        <v>46661</v>
      </c>
      <c r="C19" s="43">
        <f>+'Anexo 9'!AC33</f>
        <v>68101844</v>
      </c>
      <c r="D19" s="71"/>
      <c r="E19" s="57">
        <f>+'Cantidades Ofertadas Prod 2'!AC33</f>
        <v>0</v>
      </c>
      <c r="F19" s="68"/>
      <c r="G19" s="32"/>
      <c r="H19" s="51"/>
    </row>
    <row r="20" spans="2:8" ht="15.75" thickBot="1" x14ac:dyDescent="0.3">
      <c r="B20" s="8">
        <v>46692</v>
      </c>
      <c r="C20" s="43">
        <f>+'Anexo 9'!AC36</f>
        <v>63784834</v>
      </c>
      <c r="D20" s="71"/>
      <c r="E20" s="57">
        <f>+'Cantidades Ofertadas Prod 2'!AC36</f>
        <v>0</v>
      </c>
      <c r="F20" s="68"/>
      <c r="G20" s="32"/>
      <c r="H20" s="51"/>
    </row>
    <row r="21" spans="2:8" ht="15.75" thickBot="1" x14ac:dyDescent="0.3">
      <c r="B21" s="8">
        <v>46722</v>
      </c>
      <c r="C21" s="44">
        <f>+'Anexo 9'!AC39</f>
        <v>70600381</v>
      </c>
      <c r="D21" s="72"/>
      <c r="E21" s="58">
        <f>+'Cantidades Ofertadas Prod 2'!AC39</f>
        <v>0</v>
      </c>
      <c r="F21" s="69"/>
      <c r="G21" s="32"/>
      <c r="H21" s="51"/>
    </row>
    <row r="22" spans="2:8" ht="28.5" customHeight="1" x14ac:dyDescent="0.25">
      <c r="B22" s="9" t="s">
        <v>3</v>
      </c>
      <c r="C22" s="10">
        <f>+SUM(C10:C21)</f>
        <v>789919988</v>
      </c>
      <c r="D22" s="62"/>
      <c r="E22" s="56">
        <f>SUM(E10:E21)</f>
        <v>0</v>
      </c>
      <c r="F22" s="55">
        <f>+F10</f>
        <v>0</v>
      </c>
      <c r="G22" s="50"/>
      <c r="H22" s="42"/>
    </row>
    <row r="23" spans="2:8" ht="19.5" customHeight="1" x14ac:dyDescent="0.25">
      <c r="B23" s="7" t="s">
        <v>61</v>
      </c>
      <c r="C23" s="25"/>
      <c r="D23" s="30"/>
      <c r="E23" s="25"/>
      <c r="F23" s="26"/>
      <c r="G23" s="26"/>
      <c r="H23" s="42"/>
    </row>
    <row r="24" spans="2:8" x14ac:dyDescent="0.25">
      <c r="B24" s="66" t="s">
        <v>49</v>
      </c>
      <c r="C24" s="66"/>
      <c r="D24" s="66"/>
      <c r="E24" s="66"/>
      <c r="F24" s="66"/>
      <c r="G24" s="66"/>
      <c r="H24" s="54"/>
    </row>
    <row r="25" spans="2:8" x14ac:dyDescent="0.25">
      <c r="B25" s="7" t="s">
        <v>101</v>
      </c>
      <c r="C25" s="52"/>
      <c r="D25" s="52"/>
      <c r="E25" s="52"/>
      <c r="F25" s="52"/>
      <c r="G25" s="52"/>
      <c r="H25" s="42"/>
    </row>
    <row r="26" spans="2:8" x14ac:dyDescent="0.25">
      <c r="B26" s="7" t="s">
        <v>67</v>
      </c>
      <c r="C26" s="52"/>
      <c r="D26" s="52"/>
      <c r="E26" s="52"/>
      <c r="F26" s="52"/>
      <c r="G26" s="52"/>
      <c r="H26" s="42"/>
    </row>
    <row r="27" spans="2:8" x14ac:dyDescent="0.25">
      <c r="B27" s="7" t="s">
        <v>46</v>
      </c>
    </row>
    <row r="28" spans="2:8" x14ac:dyDescent="0.25">
      <c r="B28" s="7" t="s">
        <v>80</v>
      </c>
    </row>
    <row r="29" spans="2:8" x14ac:dyDescent="0.25">
      <c r="B29" s="7"/>
      <c r="C29" s="45"/>
      <c r="E29" s="45"/>
    </row>
    <row r="30" spans="2:8" x14ac:dyDescent="0.25">
      <c r="B30" s="7"/>
      <c r="C30" s="45"/>
    </row>
    <row r="31" spans="2:8" x14ac:dyDescent="0.25">
      <c r="B31" s="7"/>
    </row>
    <row r="32" spans="2:8" x14ac:dyDescent="0.25">
      <c r="B32" s="60" t="s">
        <v>56</v>
      </c>
      <c r="C32" s="45"/>
      <c r="D32" s="60"/>
      <c r="E32" s="60"/>
    </row>
    <row r="33" spans="2:5" x14ac:dyDescent="0.25">
      <c r="B33" s="61" t="s">
        <v>57</v>
      </c>
      <c r="C33" s="61"/>
      <c r="D33" s="61"/>
      <c r="E33" s="61"/>
    </row>
    <row r="34" spans="2:5" x14ac:dyDescent="0.25">
      <c r="B34" s="61" t="s">
        <v>58</v>
      </c>
    </row>
    <row r="35" spans="2:5" x14ac:dyDescent="0.25"/>
    <row r="36" spans="2:5" x14ac:dyDescent="0.25"/>
    <row r="37" spans="2:5" x14ac:dyDescent="0.25"/>
  </sheetData>
  <mergeCells count="11">
    <mergeCell ref="B24:G24"/>
    <mergeCell ref="F10:F21"/>
    <mergeCell ref="D10:D21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decimal" allowBlank="1" showInputMessage="1" showErrorMessage="1" errorTitle="Dato No valido" error="Debe ingresar un valor entre 0 y 100_x000a_" sqref="D10:D21" xr:uid="{AF594D90-A320-4C55-ADB7-FC06DEF3D4CA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EF76-D27D-4865-8E2C-F1BF53E15655}">
  <sheetPr>
    <tabColor rgb="FFFFFF00"/>
  </sheetPr>
  <dimension ref="A1:H33"/>
  <sheetViews>
    <sheetView showGridLines="0" topLeftCell="A15" zoomScaleNormal="100" zoomScaleSheetLayoutView="140" workbookViewId="0">
      <selection activeCell="B26" sqref="B26:G26"/>
    </sheetView>
  </sheetViews>
  <sheetFormatPr baseColWidth="10" defaultColWidth="0" defaultRowHeight="15" zeroHeight="1" x14ac:dyDescent="0.25"/>
  <cols>
    <col min="1" max="2" width="11.42578125" customWidth="1"/>
    <col min="3" max="3" width="18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x14ac:dyDescent="0.25"/>
    <row r="2" spans="1:8" x14ac:dyDescent="0.25"/>
    <row r="3" spans="1:8" x14ac:dyDescent="0.25">
      <c r="B3" s="73" t="s">
        <v>77</v>
      </c>
      <c r="C3" s="73"/>
      <c r="D3" s="73"/>
      <c r="E3" s="73"/>
      <c r="F3" s="73"/>
      <c r="G3" s="29"/>
    </row>
    <row r="4" spans="1:8" x14ac:dyDescent="0.25">
      <c r="B4" s="73" t="s">
        <v>42</v>
      </c>
      <c r="C4" s="73"/>
      <c r="D4" s="73"/>
      <c r="E4" s="73"/>
      <c r="F4" s="73"/>
      <c r="G4" s="29"/>
    </row>
    <row r="5" spans="1:8" x14ac:dyDescent="0.25">
      <c r="B5" s="73" t="s">
        <v>81</v>
      </c>
      <c r="C5" s="73"/>
      <c r="D5" s="73"/>
      <c r="E5" s="73"/>
      <c r="F5" s="73"/>
      <c r="G5" s="29"/>
    </row>
    <row r="6" spans="1:8" x14ac:dyDescent="0.25">
      <c r="B6" s="5"/>
      <c r="C6" s="5"/>
      <c r="D6" s="5"/>
      <c r="E6" s="5"/>
      <c r="F6" s="5"/>
      <c r="G6" s="5"/>
    </row>
    <row r="7" spans="1:8" x14ac:dyDescent="0.25"/>
    <row r="8" spans="1:8" ht="15" customHeight="1" x14ac:dyDescent="0.25">
      <c r="B8" s="74" t="s">
        <v>4</v>
      </c>
      <c r="C8" s="74" t="s">
        <v>59</v>
      </c>
      <c r="D8" s="74" t="s">
        <v>69</v>
      </c>
      <c r="E8" s="74" t="s">
        <v>40</v>
      </c>
      <c r="F8" s="74" t="s">
        <v>45</v>
      </c>
      <c r="G8" s="28"/>
    </row>
    <row r="9" spans="1:8" ht="23.25" customHeight="1" x14ac:dyDescent="0.25">
      <c r="A9" s="63">
        <v>20000</v>
      </c>
      <c r="B9" s="75"/>
      <c r="C9" s="75"/>
      <c r="D9" s="75"/>
      <c r="E9" s="75"/>
      <c r="F9" s="75"/>
      <c r="G9" s="28"/>
    </row>
    <row r="10" spans="1:8" ht="15.75" thickBot="1" x14ac:dyDescent="0.3">
      <c r="A10" s="59">
        <v>31</v>
      </c>
      <c r="B10" s="8">
        <v>46388</v>
      </c>
      <c r="C10" s="43">
        <f>+$A$9*A10*24</f>
        <v>14880000</v>
      </c>
      <c r="D10" s="93"/>
      <c r="E10" s="57">
        <f>+$D$10*A10*24</f>
        <v>0</v>
      </c>
      <c r="F10" s="67"/>
      <c r="G10" s="32"/>
      <c r="H10" s="51"/>
    </row>
    <row r="11" spans="1:8" ht="15.75" thickBot="1" x14ac:dyDescent="0.3">
      <c r="A11" s="59">
        <v>28</v>
      </c>
      <c r="B11" s="8">
        <v>46419</v>
      </c>
      <c r="C11" s="43">
        <f t="shared" ref="C11:C21" si="0">+$A$9*A11*24</f>
        <v>13440000</v>
      </c>
      <c r="D11" s="94"/>
      <c r="E11" s="57">
        <f t="shared" ref="E11:E21" si="1">+$D$10*A11*24</f>
        <v>0</v>
      </c>
      <c r="F11" s="68"/>
      <c r="G11" s="32"/>
      <c r="H11" s="51"/>
    </row>
    <row r="12" spans="1:8" ht="15.75" thickBot="1" x14ac:dyDescent="0.3">
      <c r="A12" s="59">
        <v>31</v>
      </c>
      <c r="B12" s="8">
        <v>46447</v>
      </c>
      <c r="C12" s="43">
        <f t="shared" si="0"/>
        <v>14880000</v>
      </c>
      <c r="D12" s="94"/>
      <c r="E12" s="57">
        <f t="shared" si="1"/>
        <v>0</v>
      </c>
      <c r="F12" s="68"/>
      <c r="G12" s="32"/>
      <c r="H12" s="51"/>
    </row>
    <row r="13" spans="1:8" ht="15.75" thickBot="1" x14ac:dyDescent="0.3">
      <c r="A13" s="59">
        <v>30</v>
      </c>
      <c r="B13" s="8">
        <v>46478</v>
      </c>
      <c r="C13" s="43">
        <f t="shared" si="0"/>
        <v>14400000</v>
      </c>
      <c r="D13" s="94"/>
      <c r="E13" s="57">
        <f t="shared" si="1"/>
        <v>0</v>
      </c>
      <c r="F13" s="68"/>
      <c r="G13" s="32"/>
      <c r="H13" s="51"/>
    </row>
    <row r="14" spans="1:8" ht="15.75" thickBot="1" x14ac:dyDescent="0.3">
      <c r="A14" s="59">
        <v>31</v>
      </c>
      <c r="B14" s="8">
        <v>46508</v>
      </c>
      <c r="C14" s="43">
        <f t="shared" si="0"/>
        <v>14880000</v>
      </c>
      <c r="D14" s="94"/>
      <c r="E14" s="57">
        <f t="shared" si="1"/>
        <v>0</v>
      </c>
      <c r="F14" s="68"/>
      <c r="G14" s="32"/>
      <c r="H14" s="51"/>
    </row>
    <row r="15" spans="1:8" ht="15.75" thickBot="1" x14ac:dyDescent="0.3">
      <c r="A15" s="59">
        <v>30</v>
      </c>
      <c r="B15" s="8">
        <v>46539</v>
      </c>
      <c r="C15" s="43">
        <f t="shared" si="0"/>
        <v>14400000</v>
      </c>
      <c r="D15" s="94"/>
      <c r="E15" s="57">
        <f t="shared" si="1"/>
        <v>0</v>
      </c>
      <c r="F15" s="68"/>
      <c r="G15" s="32"/>
      <c r="H15" s="51"/>
    </row>
    <row r="16" spans="1:8" ht="15.75" thickBot="1" x14ac:dyDescent="0.3">
      <c r="A16" s="59">
        <v>31</v>
      </c>
      <c r="B16" s="8">
        <v>46569</v>
      </c>
      <c r="C16" s="43">
        <f t="shared" si="0"/>
        <v>14880000</v>
      </c>
      <c r="D16" s="94"/>
      <c r="E16" s="57">
        <f t="shared" si="1"/>
        <v>0</v>
      </c>
      <c r="F16" s="68"/>
      <c r="G16" s="32"/>
      <c r="H16" s="51"/>
    </row>
    <row r="17" spans="1:8" ht="15.75" thickBot="1" x14ac:dyDescent="0.3">
      <c r="A17" s="59">
        <v>31</v>
      </c>
      <c r="B17" s="8">
        <v>46600</v>
      </c>
      <c r="C17" s="43">
        <f t="shared" si="0"/>
        <v>14880000</v>
      </c>
      <c r="D17" s="94"/>
      <c r="E17" s="57">
        <f t="shared" si="1"/>
        <v>0</v>
      </c>
      <c r="F17" s="68"/>
      <c r="G17" s="32"/>
      <c r="H17" s="51"/>
    </row>
    <row r="18" spans="1:8" ht="15.75" thickBot="1" x14ac:dyDescent="0.3">
      <c r="A18" s="59">
        <v>30</v>
      </c>
      <c r="B18" s="8">
        <v>46631</v>
      </c>
      <c r="C18" s="43">
        <f t="shared" si="0"/>
        <v>14400000</v>
      </c>
      <c r="D18" s="94"/>
      <c r="E18" s="57">
        <f t="shared" si="1"/>
        <v>0</v>
      </c>
      <c r="F18" s="68"/>
      <c r="G18" s="32"/>
      <c r="H18" s="51"/>
    </row>
    <row r="19" spans="1:8" ht="15.75" thickBot="1" x14ac:dyDescent="0.3">
      <c r="A19" s="59">
        <v>31</v>
      </c>
      <c r="B19" s="8">
        <v>46661</v>
      </c>
      <c r="C19" s="43">
        <f t="shared" si="0"/>
        <v>14880000</v>
      </c>
      <c r="D19" s="94"/>
      <c r="E19" s="57">
        <f t="shared" si="1"/>
        <v>0</v>
      </c>
      <c r="F19" s="68"/>
      <c r="G19" s="32"/>
      <c r="H19" s="51"/>
    </row>
    <row r="20" spans="1:8" ht="15.75" thickBot="1" x14ac:dyDescent="0.3">
      <c r="A20" s="59">
        <v>30</v>
      </c>
      <c r="B20" s="8">
        <v>46692</v>
      </c>
      <c r="C20" s="43">
        <f t="shared" si="0"/>
        <v>14400000</v>
      </c>
      <c r="D20" s="94"/>
      <c r="E20" s="57">
        <f t="shared" si="1"/>
        <v>0</v>
      </c>
      <c r="F20" s="68"/>
      <c r="G20" s="32"/>
      <c r="H20" s="51"/>
    </row>
    <row r="21" spans="1:8" ht="15.75" thickBot="1" x14ac:dyDescent="0.3">
      <c r="A21" s="59">
        <v>31</v>
      </c>
      <c r="B21" s="8">
        <v>46722</v>
      </c>
      <c r="C21" s="43">
        <f t="shared" si="0"/>
        <v>14880000</v>
      </c>
      <c r="D21" s="95"/>
      <c r="E21" s="57">
        <f t="shared" si="1"/>
        <v>0</v>
      </c>
      <c r="F21" s="69"/>
      <c r="G21" s="32"/>
      <c r="H21" s="51"/>
    </row>
    <row r="22" spans="1:8" ht="28.5" customHeight="1" x14ac:dyDescent="0.25">
      <c r="B22" s="9" t="s">
        <v>3</v>
      </c>
      <c r="C22" s="10">
        <f>+SUM(C10:C21)</f>
        <v>175200000</v>
      </c>
      <c r="D22" s="11"/>
      <c r="E22" s="56">
        <f>SUM(E10:E21)</f>
        <v>0</v>
      </c>
      <c r="F22" s="55">
        <f>+F10</f>
        <v>0</v>
      </c>
      <c r="G22" s="50"/>
      <c r="H22" s="42"/>
    </row>
    <row r="23" spans="1:8" ht="19.5" customHeight="1" x14ac:dyDescent="0.25">
      <c r="B23" s="7" t="s">
        <v>61</v>
      </c>
      <c r="C23" s="25"/>
      <c r="D23" s="30"/>
      <c r="E23" s="25"/>
      <c r="F23" s="26"/>
      <c r="G23" s="26"/>
      <c r="H23" s="42"/>
    </row>
    <row r="24" spans="1:8" x14ac:dyDescent="0.25">
      <c r="B24" s="7" t="s">
        <v>78</v>
      </c>
      <c r="C24" s="7"/>
      <c r="D24" s="7"/>
      <c r="E24" s="7"/>
      <c r="F24" s="7"/>
      <c r="G24" s="7"/>
      <c r="H24" s="42"/>
    </row>
    <row r="25" spans="1:8" ht="15" customHeight="1" x14ac:dyDescent="0.25">
      <c r="B25" s="7" t="s">
        <v>46</v>
      </c>
      <c r="H25" s="42"/>
    </row>
    <row r="26" spans="1:8" ht="27.75" customHeight="1" x14ac:dyDescent="0.25">
      <c r="A26" s="1"/>
      <c r="B26" s="66" t="s">
        <v>71</v>
      </c>
      <c r="C26" s="66"/>
      <c r="D26" s="66"/>
      <c r="E26" s="66"/>
      <c r="F26" s="66"/>
      <c r="G26" s="66"/>
      <c r="H26" s="42"/>
    </row>
    <row r="27" spans="1:8" ht="15" customHeight="1" x14ac:dyDescent="0.25">
      <c r="A27" s="1"/>
      <c r="H27" s="42"/>
    </row>
    <row r="28" spans="1:8" x14ac:dyDescent="0.25"/>
    <row r="29" spans="1:8" x14ac:dyDescent="0.25">
      <c r="B29" s="60" t="s">
        <v>56</v>
      </c>
      <c r="C29" s="60"/>
      <c r="D29" s="60"/>
      <c r="E29" s="60"/>
    </row>
    <row r="30" spans="1:8" x14ac:dyDescent="0.25">
      <c r="B30" s="61" t="s">
        <v>57</v>
      </c>
      <c r="C30" s="61"/>
      <c r="D30" s="61"/>
      <c r="E30" s="61"/>
    </row>
    <row r="31" spans="1:8" x14ac:dyDescent="0.25">
      <c r="B31" s="61" t="s">
        <v>58</v>
      </c>
    </row>
    <row r="32" spans="1:8" x14ac:dyDescent="0.25"/>
    <row r="33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20.000" prompt="debe ofertar maximo 20.000 kWh" sqref="D10:D21" xr:uid="{BC281EFD-F552-48B2-B873-45F45374C9EC}">
      <formula1>0</formula1>
      <formula2>20000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04653-9B93-43DC-B84B-031CB9C59D6A}">
  <sheetPr codeName="Hoja5">
    <tabColor rgb="FFFFFF00"/>
  </sheetPr>
  <dimension ref="A1:AD46"/>
  <sheetViews>
    <sheetView showGridLines="0" zoomScale="85" zoomScaleNormal="85" zoomScaleSheetLayoutView="110" workbookViewId="0">
      <pane xSplit="2" ySplit="5" topLeftCell="J31" activePane="bottomRight" state="frozen"/>
      <selection pane="topRight" activeCell="C1" sqref="C1"/>
      <selection pane="bottomLeft" activeCell="A6" sqref="A6"/>
      <selection pane="bottomRight" sqref="A1:AC42"/>
    </sheetView>
  </sheetViews>
  <sheetFormatPr baseColWidth="10" defaultColWidth="0" defaultRowHeight="15" customHeight="1" zeroHeight="1" x14ac:dyDescent="0.25"/>
  <cols>
    <col min="1" max="1" width="7" bestFit="1" customWidth="1"/>
    <col min="2" max="2" width="9" bestFit="1" customWidth="1"/>
    <col min="3" max="3" width="10.85546875" bestFit="1" customWidth="1"/>
    <col min="4" max="4" width="10.7109375" bestFit="1" customWidth="1"/>
    <col min="5" max="5" width="10.85546875" bestFit="1" customWidth="1"/>
    <col min="6" max="6" width="10.42578125" bestFit="1" customWidth="1"/>
    <col min="7" max="7" width="9.7109375" bestFit="1" customWidth="1"/>
    <col min="8" max="10" width="10.7109375" bestFit="1" customWidth="1"/>
    <col min="11" max="12" width="10.42578125" bestFit="1" customWidth="1"/>
    <col min="13" max="14" width="10.5703125" bestFit="1" customWidth="1"/>
    <col min="15" max="15" width="10" bestFit="1" customWidth="1"/>
    <col min="16" max="16" width="10.42578125" bestFit="1" customWidth="1"/>
    <col min="17" max="17" width="9.5703125" bestFit="1" customWidth="1"/>
    <col min="18" max="18" width="10.42578125" bestFit="1" customWidth="1"/>
    <col min="19" max="19" width="10.5703125" bestFit="1" customWidth="1"/>
    <col min="20" max="20" width="10.42578125" bestFit="1" customWidth="1"/>
    <col min="21" max="21" width="10" bestFit="1" customWidth="1"/>
    <col min="22" max="22" width="10.42578125" bestFit="1" customWidth="1"/>
    <col min="23" max="23" width="10.85546875" bestFit="1" customWidth="1"/>
    <col min="24" max="26" width="10.7109375" bestFit="1" customWidth="1"/>
    <col min="27" max="27" width="11" bestFit="1" customWidth="1"/>
    <col min="28" max="28" width="5.7109375" bestFit="1" customWidth="1"/>
    <col min="29" max="29" width="11" bestFit="1" customWidth="1"/>
    <col min="30" max="30" width="8.42578125" bestFit="1" customWidth="1"/>
    <col min="31" max="16384" width="9.140625" hidden="1"/>
  </cols>
  <sheetData>
    <row r="1" spans="1:30" x14ac:dyDescent="0.25">
      <c r="A1" s="86" t="s">
        <v>52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8"/>
    </row>
    <row r="2" spans="1:30" x14ac:dyDescent="0.25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1"/>
    </row>
    <row r="3" spans="1:3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x14ac:dyDescent="0.25">
      <c r="A4" s="92" t="s">
        <v>38</v>
      </c>
      <c r="B4" s="92" t="s">
        <v>37</v>
      </c>
      <c r="C4" s="84" t="s">
        <v>36</v>
      </c>
      <c r="D4" s="84" t="s">
        <v>35</v>
      </c>
      <c r="E4" s="84" t="s">
        <v>34</v>
      </c>
      <c r="F4" s="84" t="s">
        <v>33</v>
      </c>
      <c r="G4" s="84" t="s">
        <v>32</v>
      </c>
      <c r="H4" s="84" t="s">
        <v>31</v>
      </c>
      <c r="I4" s="84" t="s">
        <v>30</v>
      </c>
      <c r="J4" s="84" t="s">
        <v>29</v>
      </c>
      <c r="K4" s="84" t="s">
        <v>28</v>
      </c>
      <c r="L4" s="84" t="s">
        <v>27</v>
      </c>
      <c r="M4" s="84" t="s">
        <v>26</v>
      </c>
      <c r="N4" s="84" t="s">
        <v>25</v>
      </c>
      <c r="O4" s="84" t="s">
        <v>24</v>
      </c>
      <c r="P4" s="84" t="s">
        <v>23</v>
      </c>
      <c r="Q4" s="84" t="s">
        <v>22</v>
      </c>
      <c r="R4" s="84" t="s">
        <v>21</v>
      </c>
      <c r="S4" s="84" t="s">
        <v>20</v>
      </c>
      <c r="T4" s="84" t="s">
        <v>19</v>
      </c>
      <c r="U4" s="84" t="s">
        <v>18</v>
      </c>
      <c r="V4" s="84" t="s">
        <v>17</v>
      </c>
      <c r="W4" s="84" t="s">
        <v>16</v>
      </c>
      <c r="X4" s="84" t="s">
        <v>15</v>
      </c>
      <c r="Y4" s="84" t="s">
        <v>14</v>
      </c>
      <c r="Z4" s="84" t="s">
        <v>13</v>
      </c>
      <c r="AA4" s="14" t="s">
        <v>12</v>
      </c>
      <c r="AB4" s="15" t="s">
        <v>11</v>
      </c>
      <c r="AC4" s="82" t="s">
        <v>10</v>
      </c>
    </row>
    <row r="5" spans="1:30" x14ac:dyDescent="0.25">
      <c r="A5" s="92"/>
      <c r="B5" s="92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16"/>
      <c r="AB5" s="17" t="s">
        <v>9</v>
      </c>
      <c r="AC5" s="83"/>
    </row>
    <row r="6" spans="1:30" ht="15.75" thickBot="1" x14ac:dyDescent="0.3">
      <c r="A6" s="78">
        <v>46388</v>
      </c>
      <c r="B6" s="18" t="s">
        <v>8</v>
      </c>
      <c r="C6" s="33">
        <v>72823</v>
      </c>
      <c r="D6" s="33">
        <v>68815</v>
      </c>
      <c r="E6" s="33">
        <v>66032</v>
      </c>
      <c r="F6" s="33">
        <v>64506</v>
      </c>
      <c r="G6" s="33">
        <v>64966</v>
      </c>
      <c r="H6" s="33">
        <v>66584</v>
      </c>
      <c r="I6" s="33">
        <v>67774</v>
      </c>
      <c r="J6" s="33">
        <v>95414</v>
      </c>
      <c r="K6" s="33">
        <v>102983</v>
      </c>
      <c r="L6" s="33">
        <v>108084</v>
      </c>
      <c r="M6" s="33">
        <v>113343</v>
      </c>
      <c r="N6" s="33">
        <v>119706</v>
      </c>
      <c r="O6" s="33">
        <v>121218</v>
      </c>
      <c r="P6" s="33">
        <v>122077</v>
      </c>
      <c r="Q6" s="33">
        <v>122736</v>
      </c>
      <c r="R6" s="33">
        <v>122995</v>
      </c>
      <c r="S6" s="33">
        <v>121243</v>
      </c>
      <c r="T6" s="33">
        <v>88230</v>
      </c>
      <c r="U6" s="33">
        <v>91818</v>
      </c>
      <c r="V6" s="33">
        <v>92972</v>
      </c>
      <c r="W6" s="33">
        <v>89586</v>
      </c>
      <c r="X6" s="33">
        <v>85072</v>
      </c>
      <c r="Y6" s="33">
        <v>77357</v>
      </c>
      <c r="Z6" s="34">
        <v>69044</v>
      </c>
      <c r="AA6" s="35">
        <f>SUM(C6:Z6)</f>
        <v>2215378</v>
      </c>
      <c r="AB6" s="19">
        <v>19</v>
      </c>
      <c r="AC6" s="79">
        <f>+AA6*AB6+AA7*AB7+AA8*AB8</f>
        <v>65954714</v>
      </c>
      <c r="AD6" s="49"/>
    </row>
    <row r="7" spans="1:30" ht="15.75" thickBot="1" x14ac:dyDescent="0.3">
      <c r="A7" s="78"/>
      <c r="B7" s="20" t="s">
        <v>7</v>
      </c>
      <c r="C7" s="36">
        <v>70933</v>
      </c>
      <c r="D7" s="36">
        <v>66358</v>
      </c>
      <c r="E7" s="36">
        <v>63390</v>
      </c>
      <c r="F7" s="36">
        <v>61367</v>
      </c>
      <c r="G7" s="36">
        <v>61200</v>
      </c>
      <c r="H7" s="36">
        <v>63019</v>
      </c>
      <c r="I7" s="36">
        <v>64375</v>
      </c>
      <c r="J7" s="36">
        <v>91127</v>
      </c>
      <c r="K7" s="36">
        <v>99285</v>
      </c>
      <c r="L7" s="36">
        <v>105015</v>
      </c>
      <c r="M7" s="36">
        <v>108449</v>
      </c>
      <c r="N7" s="36">
        <v>113542</v>
      </c>
      <c r="O7" s="36">
        <v>115028</v>
      </c>
      <c r="P7" s="36">
        <v>114556</v>
      </c>
      <c r="Q7" s="36">
        <v>114123</v>
      </c>
      <c r="R7" s="36">
        <v>114518</v>
      </c>
      <c r="S7" s="36">
        <v>114914</v>
      </c>
      <c r="T7" s="36">
        <v>85842</v>
      </c>
      <c r="U7" s="36">
        <v>90325</v>
      </c>
      <c r="V7" s="36">
        <v>91482</v>
      </c>
      <c r="W7" s="36">
        <v>86708</v>
      </c>
      <c r="X7" s="36">
        <v>80670</v>
      </c>
      <c r="Y7" s="36">
        <v>73752</v>
      </c>
      <c r="Z7" s="37">
        <v>66916</v>
      </c>
      <c r="AA7" s="38">
        <f t="shared" ref="AA7:AA41" si="0">SUM(C7:Z7)</f>
        <v>2116894</v>
      </c>
      <c r="AB7" s="21">
        <v>5</v>
      </c>
      <c r="AC7" s="80"/>
      <c r="AD7" s="49"/>
    </row>
    <row r="8" spans="1:30" x14ac:dyDescent="0.25">
      <c r="A8" s="78"/>
      <c r="B8" s="22" t="s">
        <v>6</v>
      </c>
      <c r="C8" s="39">
        <v>68842</v>
      </c>
      <c r="D8" s="39">
        <v>64442</v>
      </c>
      <c r="E8" s="39">
        <v>62687</v>
      </c>
      <c r="F8" s="39">
        <v>60523</v>
      </c>
      <c r="G8" s="39">
        <v>59434</v>
      </c>
      <c r="H8" s="39">
        <v>59954</v>
      </c>
      <c r="I8" s="39">
        <v>57640</v>
      </c>
      <c r="J8" s="39">
        <v>79879</v>
      </c>
      <c r="K8" s="39">
        <v>85823</v>
      </c>
      <c r="L8" s="39">
        <v>90872</v>
      </c>
      <c r="M8" s="39">
        <v>94419</v>
      </c>
      <c r="N8" s="39">
        <v>98520</v>
      </c>
      <c r="O8" s="39">
        <v>102032</v>
      </c>
      <c r="P8" s="39">
        <v>102524</v>
      </c>
      <c r="Q8" s="39">
        <v>101814</v>
      </c>
      <c r="R8" s="39">
        <v>101330</v>
      </c>
      <c r="S8" s="39">
        <v>101445</v>
      </c>
      <c r="T8" s="39">
        <v>72315</v>
      </c>
      <c r="U8" s="39">
        <v>76202</v>
      </c>
      <c r="V8" s="39">
        <v>78495</v>
      </c>
      <c r="W8" s="39">
        <v>76330</v>
      </c>
      <c r="X8" s="39">
        <v>72544</v>
      </c>
      <c r="Y8" s="39">
        <v>67719</v>
      </c>
      <c r="Z8" s="40">
        <v>61081</v>
      </c>
      <c r="AA8" s="41">
        <f t="shared" si="0"/>
        <v>1896866</v>
      </c>
      <c r="AB8" s="23">
        <v>7</v>
      </c>
      <c r="AC8" s="81"/>
      <c r="AD8" s="49"/>
    </row>
    <row r="9" spans="1:30" ht="15.75" thickBot="1" x14ac:dyDescent="0.3">
      <c r="A9" s="78">
        <v>46419</v>
      </c>
      <c r="B9" s="18" t="s">
        <v>8</v>
      </c>
      <c r="C9" s="33">
        <v>74983</v>
      </c>
      <c r="D9" s="33">
        <v>70603</v>
      </c>
      <c r="E9" s="33">
        <v>68254</v>
      </c>
      <c r="F9" s="33">
        <v>66915</v>
      </c>
      <c r="G9" s="33">
        <v>67575</v>
      </c>
      <c r="H9" s="33">
        <v>69713</v>
      </c>
      <c r="I9" s="33">
        <v>71496</v>
      </c>
      <c r="J9" s="33">
        <v>99489</v>
      </c>
      <c r="K9" s="33">
        <v>107509</v>
      </c>
      <c r="L9" s="33">
        <v>112024</v>
      </c>
      <c r="M9" s="33">
        <v>116514</v>
      </c>
      <c r="N9" s="33">
        <v>122115</v>
      </c>
      <c r="O9" s="33">
        <v>122260</v>
      </c>
      <c r="P9" s="33">
        <v>123175</v>
      </c>
      <c r="Q9" s="33">
        <v>124785</v>
      </c>
      <c r="R9" s="33">
        <v>124465</v>
      </c>
      <c r="S9" s="33">
        <v>123742</v>
      </c>
      <c r="T9" s="33">
        <v>89369</v>
      </c>
      <c r="U9" s="33">
        <v>91617</v>
      </c>
      <c r="V9" s="33">
        <v>93982</v>
      </c>
      <c r="W9" s="33">
        <v>90980</v>
      </c>
      <c r="X9" s="33">
        <v>85510</v>
      </c>
      <c r="Y9" s="33">
        <v>78299</v>
      </c>
      <c r="Z9" s="34">
        <v>70354</v>
      </c>
      <c r="AA9" s="35">
        <f t="shared" si="0"/>
        <v>2265728</v>
      </c>
      <c r="AB9" s="19">
        <v>20</v>
      </c>
      <c r="AC9" s="79">
        <f>+AA9*AB9+AA10*AB10+AA11*AB11</f>
        <v>62974516</v>
      </c>
      <c r="AD9" s="49"/>
    </row>
    <row r="10" spans="1:30" ht="15.75" thickBot="1" x14ac:dyDescent="0.3">
      <c r="A10" s="78"/>
      <c r="B10" s="20" t="s">
        <v>7</v>
      </c>
      <c r="C10" s="36">
        <v>76091</v>
      </c>
      <c r="D10" s="36">
        <v>71515</v>
      </c>
      <c r="E10" s="36">
        <v>68671</v>
      </c>
      <c r="F10" s="36">
        <v>66767</v>
      </c>
      <c r="G10" s="36">
        <v>66399</v>
      </c>
      <c r="H10" s="36">
        <v>67114</v>
      </c>
      <c r="I10" s="36">
        <v>69494</v>
      </c>
      <c r="J10" s="36">
        <v>95829</v>
      </c>
      <c r="K10" s="36">
        <v>105602</v>
      </c>
      <c r="L10" s="36">
        <v>110820</v>
      </c>
      <c r="M10" s="36">
        <v>114665</v>
      </c>
      <c r="N10" s="36">
        <v>120331</v>
      </c>
      <c r="O10" s="36">
        <v>121847</v>
      </c>
      <c r="P10" s="36">
        <v>121285</v>
      </c>
      <c r="Q10" s="36">
        <v>120710</v>
      </c>
      <c r="R10" s="36">
        <v>120243</v>
      </c>
      <c r="S10" s="36">
        <v>120807</v>
      </c>
      <c r="T10" s="36">
        <v>91232</v>
      </c>
      <c r="U10" s="36">
        <v>93781</v>
      </c>
      <c r="V10" s="36">
        <v>96259</v>
      </c>
      <c r="W10" s="36">
        <v>92002</v>
      </c>
      <c r="X10" s="36">
        <v>87103</v>
      </c>
      <c r="Y10" s="36">
        <v>81630</v>
      </c>
      <c r="Z10" s="37">
        <v>73798</v>
      </c>
      <c r="AA10" s="38">
        <f t="shared" si="0"/>
        <v>2253995</v>
      </c>
      <c r="AB10" s="21">
        <v>4</v>
      </c>
      <c r="AC10" s="80"/>
      <c r="AD10" s="49"/>
    </row>
    <row r="11" spans="1:30" x14ac:dyDescent="0.25">
      <c r="A11" s="78"/>
      <c r="B11" s="22" t="s">
        <v>6</v>
      </c>
      <c r="C11" s="39">
        <v>79015</v>
      </c>
      <c r="D11" s="39">
        <v>74432</v>
      </c>
      <c r="E11" s="39">
        <v>71829</v>
      </c>
      <c r="F11" s="39">
        <v>69692</v>
      </c>
      <c r="G11" s="39">
        <v>68714</v>
      </c>
      <c r="H11" s="39">
        <v>68725</v>
      </c>
      <c r="I11" s="39">
        <v>66521</v>
      </c>
      <c r="J11" s="39">
        <v>90350</v>
      </c>
      <c r="K11" s="39">
        <v>98469</v>
      </c>
      <c r="L11" s="39">
        <v>105223</v>
      </c>
      <c r="M11" s="39">
        <v>108585</v>
      </c>
      <c r="N11" s="39">
        <v>109523</v>
      </c>
      <c r="O11" s="39">
        <v>115337</v>
      </c>
      <c r="P11" s="39">
        <v>114744</v>
      </c>
      <c r="Q11" s="39">
        <v>113514</v>
      </c>
      <c r="R11" s="39">
        <v>111928</v>
      </c>
      <c r="S11" s="39">
        <v>112600</v>
      </c>
      <c r="T11" s="39">
        <v>84068</v>
      </c>
      <c r="U11" s="39">
        <v>86609</v>
      </c>
      <c r="V11" s="39">
        <v>90393</v>
      </c>
      <c r="W11" s="39">
        <v>88671</v>
      </c>
      <c r="X11" s="39">
        <v>84251</v>
      </c>
      <c r="Y11" s="39">
        <v>77932</v>
      </c>
      <c r="Z11" s="40">
        <v>69869</v>
      </c>
      <c r="AA11" s="41">
        <f t="shared" si="0"/>
        <v>2160994</v>
      </c>
      <c r="AB11" s="23">
        <v>4</v>
      </c>
      <c r="AC11" s="81"/>
      <c r="AD11" s="49"/>
    </row>
    <row r="12" spans="1:30" ht="15.75" thickBot="1" x14ac:dyDescent="0.3">
      <c r="A12" s="78">
        <v>46447</v>
      </c>
      <c r="B12" s="18" t="s">
        <v>8</v>
      </c>
      <c r="C12" s="33">
        <v>73388</v>
      </c>
      <c r="D12" s="33">
        <v>69672</v>
      </c>
      <c r="E12" s="33">
        <v>67896</v>
      </c>
      <c r="F12" s="33">
        <v>66723</v>
      </c>
      <c r="G12" s="33">
        <v>67730</v>
      </c>
      <c r="H12" s="33">
        <v>70639</v>
      </c>
      <c r="I12" s="33">
        <v>72492</v>
      </c>
      <c r="J12" s="33">
        <v>100110</v>
      </c>
      <c r="K12" s="33">
        <v>107844</v>
      </c>
      <c r="L12" s="33">
        <v>112406</v>
      </c>
      <c r="M12" s="33">
        <v>116308</v>
      </c>
      <c r="N12" s="33">
        <v>121163</v>
      </c>
      <c r="O12" s="33">
        <v>120136</v>
      </c>
      <c r="P12" s="33">
        <v>121199</v>
      </c>
      <c r="Q12" s="33">
        <v>123132</v>
      </c>
      <c r="R12" s="33">
        <v>123145</v>
      </c>
      <c r="S12" s="33">
        <v>121719</v>
      </c>
      <c r="T12" s="33">
        <v>88444</v>
      </c>
      <c r="U12" s="33">
        <v>91705</v>
      </c>
      <c r="V12" s="33">
        <v>93679</v>
      </c>
      <c r="W12" s="33">
        <v>90760</v>
      </c>
      <c r="X12" s="33">
        <v>85488</v>
      </c>
      <c r="Y12" s="33">
        <v>77399</v>
      </c>
      <c r="Z12" s="34">
        <v>69361</v>
      </c>
      <c r="AA12" s="35">
        <f t="shared" si="0"/>
        <v>2252538</v>
      </c>
      <c r="AB12" s="19">
        <v>20</v>
      </c>
      <c r="AC12" s="79">
        <f>+AA12*AB12+AA13*AB13+AA14*AB14</f>
        <v>67623091</v>
      </c>
      <c r="AD12" s="49"/>
    </row>
    <row r="13" spans="1:30" ht="15.75" thickBot="1" x14ac:dyDescent="0.3">
      <c r="A13" s="78"/>
      <c r="B13" s="20" t="s">
        <v>7</v>
      </c>
      <c r="C13" s="36">
        <v>74270</v>
      </c>
      <c r="D13" s="36">
        <v>69675</v>
      </c>
      <c r="E13" s="36">
        <v>67662</v>
      </c>
      <c r="F13" s="36">
        <v>66604</v>
      </c>
      <c r="G13" s="36">
        <v>65816</v>
      </c>
      <c r="H13" s="36">
        <v>67413</v>
      </c>
      <c r="I13" s="36">
        <v>67400</v>
      </c>
      <c r="J13" s="36">
        <v>94914</v>
      </c>
      <c r="K13" s="36">
        <v>103148</v>
      </c>
      <c r="L13" s="36">
        <v>108627</v>
      </c>
      <c r="M13" s="36">
        <v>112323</v>
      </c>
      <c r="N13" s="36">
        <v>115742</v>
      </c>
      <c r="O13" s="36">
        <v>115614</v>
      </c>
      <c r="P13" s="36">
        <v>114252</v>
      </c>
      <c r="Q13" s="36">
        <v>113649</v>
      </c>
      <c r="R13" s="36">
        <v>113373</v>
      </c>
      <c r="S13" s="36">
        <v>111924</v>
      </c>
      <c r="T13" s="36">
        <v>82499</v>
      </c>
      <c r="U13" s="36">
        <v>84796</v>
      </c>
      <c r="V13" s="36">
        <v>85748</v>
      </c>
      <c r="W13" s="36">
        <v>82523</v>
      </c>
      <c r="X13" s="36">
        <v>78709</v>
      </c>
      <c r="Y13" s="36">
        <v>73533</v>
      </c>
      <c r="Z13" s="37">
        <v>68128</v>
      </c>
      <c r="AA13" s="38">
        <f t="shared" si="0"/>
        <v>2138342</v>
      </c>
      <c r="AB13" s="21">
        <v>4</v>
      </c>
      <c r="AC13" s="80"/>
      <c r="AD13" s="49"/>
    </row>
    <row r="14" spans="1:30" x14ac:dyDescent="0.25">
      <c r="A14" s="78"/>
      <c r="B14" s="22" t="s">
        <v>6</v>
      </c>
      <c r="C14" s="39">
        <v>74111</v>
      </c>
      <c r="D14" s="39">
        <v>70075</v>
      </c>
      <c r="E14" s="39">
        <v>67974</v>
      </c>
      <c r="F14" s="39">
        <v>66331</v>
      </c>
      <c r="G14" s="39">
        <v>63932</v>
      </c>
      <c r="H14" s="39">
        <v>64570</v>
      </c>
      <c r="I14" s="39">
        <v>62852</v>
      </c>
      <c r="J14" s="39">
        <v>86543</v>
      </c>
      <c r="K14" s="39">
        <v>92773</v>
      </c>
      <c r="L14" s="39">
        <v>96719</v>
      </c>
      <c r="M14" s="39">
        <v>99344</v>
      </c>
      <c r="N14" s="39">
        <v>103697</v>
      </c>
      <c r="O14" s="39">
        <v>106956</v>
      </c>
      <c r="P14" s="39">
        <v>106345</v>
      </c>
      <c r="Q14" s="39">
        <v>104656</v>
      </c>
      <c r="R14" s="39">
        <v>104726</v>
      </c>
      <c r="S14" s="39">
        <v>104802</v>
      </c>
      <c r="T14" s="39">
        <v>75558</v>
      </c>
      <c r="U14" s="39">
        <v>78740</v>
      </c>
      <c r="V14" s="39">
        <v>80936</v>
      </c>
      <c r="W14" s="39">
        <v>79115</v>
      </c>
      <c r="X14" s="39">
        <v>76088</v>
      </c>
      <c r="Y14" s="39">
        <v>70412</v>
      </c>
      <c r="Z14" s="40">
        <v>65454</v>
      </c>
      <c r="AA14" s="41">
        <f t="shared" si="0"/>
        <v>2002709</v>
      </c>
      <c r="AB14" s="23">
        <v>7</v>
      </c>
      <c r="AC14" s="81"/>
      <c r="AD14" s="49"/>
    </row>
    <row r="15" spans="1:30" ht="15.75" thickBot="1" x14ac:dyDescent="0.3">
      <c r="A15" s="78">
        <v>46478</v>
      </c>
      <c r="B15" s="18" t="s">
        <v>8</v>
      </c>
      <c r="C15" s="33">
        <v>67471</v>
      </c>
      <c r="D15" s="33">
        <v>64616</v>
      </c>
      <c r="E15" s="33">
        <v>62307</v>
      </c>
      <c r="F15" s="33">
        <v>61742</v>
      </c>
      <c r="G15" s="33">
        <v>61532</v>
      </c>
      <c r="H15" s="33">
        <v>63860</v>
      </c>
      <c r="I15" s="33">
        <v>65833</v>
      </c>
      <c r="J15" s="33">
        <v>92281</v>
      </c>
      <c r="K15" s="33">
        <v>99311</v>
      </c>
      <c r="L15" s="33">
        <v>104237</v>
      </c>
      <c r="M15" s="33">
        <v>108114</v>
      </c>
      <c r="N15" s="33">
        <v>113138</v>
      </c>
      <c r="O15" s="33">
        <v>111964</v>
      </c>
      <c r="P15" s="33">
        <v>113434</v>
      </c>
      <c r="Q15" s="33">
        <v>115656</v>
      </c>
      <c r="R15" s="33">
        <v>115863</v>
      </c>
      <c r="S15" s="33">
        <v>113801</v>
      </c>
      <c r="T15" s="33">
        <v>80005</v>
      </c>
      <c r="U15" s="33">
        <v>82021</v>
      </c>
      <c r="V15" s="33">
        <v>83020</v>
      </c>
      <c r="W15" s="33">
        <v>80754</v>
      </c>
      <c r="X15" s="33">
        <v>76616</v>
      </c>
      <c r="Y15" s="33">
        <v>69849</v>
      </c>
      <c r="Z15" s="34">
        <v>62878</v>
      </c>
      <c r="AA15" s="35">
        <f t="shared" si="0"/>
        <v>2070303</v>
      </c>
      <c r="AB15" s="19">
        <v>22</v>
      </c>
      <c r="AC15" s="79">
        <f>+AA15*AB15+AA16*AB16+AA17*AB17</f>
        <v>60519442</v>
      </c>
      <c r="AD15" s="49"/>
    </row>
    <row r="16" spans="1:30" ht="15.75" thickBot="1" x14ac:dyDescent="0.3">
      <c r="A16" s="78"/>
      <c r="B16" s="20" t="s">
        <v>7</v>
      </c>
      <c r="C16" s="36">
        <v>65110</v>
      </c>
      <c r="D16" s="36">
        <v>61937</v>
      </c>
      <c r="E16" s="36">
        <v>58719</v>
      </c>
      <c r="F16" s="36">
        <v>57229</v>
      </c>
      <c r="G16" s="36">
        <v>56713</v>
      </c>
      <c r="H16" s="36">
        <v>57485</v>
      </c>
      <c r="I16" s="36">
        <v>58047</v>
      </c>
      <c r="J16" s="36">
        <v>85323</v>
      </c>
      <c r="K16" s="36">
        <v>93559</v>
      </c>
      <c r="L16" s="36">
        <v>98942</v>
      </c>
      <c r="M16" s="36">
        <v>101821</v>
      </c>
      <c r="N16" s="36">
        <v>106870</v>
      </c>
      <c r="O16" s="36">
        <v>107190</v>
      </c>
      <c r="P16" s="36">
        <v>106852</v>
      </c>
      <c r="Q16" s="36">
        <v>106375</v>
      </c>
      <c r="R16" s="36">
        <v>106248</v>
      </c>
      <c r="S16" s="36">
        <v>106482</v>
      </c>
      <c r="T16" s="36">
        <v>76213</v>
      </c>
      <c r="U16" s="36">
        <v>78180</v>
      </c>
      <c r="V16" s="36">
        <v>78432</v>
      </c>
      <c r="W16" s="36">
        <v>74604</v>
      </c>
      <c r="X16" s="36">
        <v>71169</v>
      </c>
      <c r="Y16" s="36">
        <v>67266</v>
      </c>
      <c r="Z16" s="37">
        <v>61175</v>
      </c>
      <c r="AA16" s="38">
        <f t="shared" si="0"/>
        <v>1941941</v>
      </c>
      <c r="AB16" s="21">
        <v>4</v>
      </c>
      <c r="AC16" s="80"/>
      <c r="AD16" s="49"/>
    </row>
    <row r="17" spans="1:30" x14ac:dyDescent="0.25">
      <c r="A17" s="78"/>
      <c r="B17" s="22" t="s">
        <v>6</v>
      </c>
      <c r="C17" s="39">
        <v>66628</v>
      </c>
      <c r="D17" s="39">
        <v>63951</v>
      </c>
      <c r="E17" s="39">
        <v>60696</v>
      </c>
      <c r="F17" s="39">
        <v>58977</v>
      </c>
      <c r="G17" s="39">
        <v>57305</v>
      </c>
      <c r="H17" s="39">
        <v>56045</v>
      </c>
      <c r="I17" s="39">
        <v>55535</v>
      </c>
      <c r="J17" s="39">
        <v>79313</v>
      </c>
      <c r="K17" s="39">
        <v>85034</v>
      </c>
      <c r="L17" s="39">
        <v>90037</v>
      </c>
      <c r="M17" s="39">
        <v>92665</v>
      </c>
      <c r="N17" s="39">
        <v>96176</v>
      </c>
      <c r="O17" s="39">
        <v>98069</v>
      </c>
      <c r="P17" s="39">
        <v>97612</v>
      </c>
      <c r="Q17" s="39">
        <v>95586</v>
      </c>
      <c r="R17" s="39">
        <v>95838</v>
      </c>
      <c r="S17" s="39">
        <v>95679</v>
      </c>
      <c r="T17" s="39">
        <v>66361</v>
      </c>
      <c r="U17" s="39">
        <v>68741</v>
      </c>
      <c r="V17" s="39">
        <v>69758</v>
      </c>
      <c r="W17" s="39">
        <v>67893</v>
      </c>
      <c r="X17" s="39">
        <v>65198</v>
      </c>
      <c r="Y17" s="39">
        <v>62105</v>
      </c>
      <c r="Z17" s="40">
        <v>56051</v>
      </c>
      <c r="AA17" s="41">
        <f t="shared" si="0"/>
        <v>1801253</v>
      </c>
      <c r="AB17" s="23">
        <v>4</v>
      </c>
      <c r="AC17" s="81"/>
      <c r="AD17" s="49"/>
    </row>
    <row r="18" spans="1:30" ht="15.75" thickBot="1" x14ac:dyDescent="0.3">
      <c r="A18" s="78">
        <v>46508</v>
      </c>
      <c r="B18" s="18" t="s">
        <v>8</v>
      </c>
      <c r="C18" s="33">
        <v>68129</v>
      </c>
      <c r="D18" s="33">
        <v>64771</v>
      </c>
      <c r="E18" s="33">
        <v>62556</v>
      </c>
      <c r="F18" s="33">
        <v>61654</v>
      </c>
      <c r="G18" s="33">
        <v>62135</v>
      </c>
      <c r="H18" s="33">
        <v>63510</v>
      </c>
      <c r="I18" s="33">
        <v>65826</v>
      </c>
      <c r="J18" s="33">
        <v>92175</v>
      </c>
      <c r="K18" s="33">
        <v>98649</v>
      </c>
      <c r="L18" s="33">
        <v>103058</v>
      </c>
      <c r="M18" s="33">
        <v>107667</v>
      </c>
      <c r="N18" s="33">
        <v>112709</v>
      </c>
      <c r="O18" s="33">
        <v>112325</v>
      </c>
      <c r="P18" s="33">
        <v>113270</v>
      </c>
      <c r="Q18" s="33">
        <v>114567</v>
      </c>
      <c r="R18" s="33">
        <v>114592</v>
      </c>
      <c r="S18" s="33">
        <v>112839</v>
      </c>
      <c r="T18" s="33">
        <v>79894</v>
      </c>
      <c r="U18" s="33">
        <v>83286</v>
      </c>
      <c r="V18" s="33">
        <v>84144</v>
      </c>
      <c r="W18" s="33">
        <v>80967</v>
      </c>
      <c r="X18" s="33">
        <v>77032</v>
      </c>
      <c r="Y18" s="33">
        <v>70075</v>
      </c>
      <c r="Z18" s="34">
        <v>63692</v>
      </c>
      <c r="AA18" s="35">
        <f t="shared" si="0"/>
        <v>2069522</v>
      </c>
      <c r="AB18" s="19">
        <v>19</v>
      </c>
      <c r="AC18" s="79">
        <f>+AA18*AB18+AA19*AB19+AA20*AB20</f>
        <v>63348286</v>
      </c>
      <c r="AD18" s="49"/>
    </row>
    <row r="19" spans="1:30" ht="15.75" thickBot="1" x14ac:dyDescent="0.3">
      <c r="A19" s="78"/>
      <c r="B19" s="20" t="s">
        <v>7</v>
      </c>
      <c r="C19" s="36">
        <v>71689</v>
      </c>
      <c r="D19" s="36">
        <v>68081</v>
      </c>
      <c r="E19" s="36">
        <v>65758</v>
      </c>
      <c r="F19" s="36">
        <v>64542</v>
      </c>
      <c r="G19" s="36">
        <v>63827</v>
      </c>
      <c r="H19" s="36">
        <v>63472</v>
      </c>
      <c r="I19" s="36">
        <v>65803</v>
      </c>
      <c r="J19" s="36">
        <v>92357</v>
      </c>
      <c r="K19" s="36">
        <v>101128</v>
      </c>
      <c r="L19" s="36">
        <v>107939</v>
      </c>
      <c r="M19" s="36">
        <v>110251</v>
      </c>
      <c r="N19" s="36">
        <v>114157</v>
      </c>
      <c r="O19" s="36">
        <v>113960</v>
      </c>
      <c r="P19" s="36">
        <v>112630</v>
      </c>
      <c r="Q19" s="36">
        <v>111223</v>
      </c>
      <c r="R19" s="36">
        <v>109993</v>
      </c>
      <c r="S19" s="36">
        <v>110212</v>
      </c>
      <c r="T19" s="36">
        <v>79907</v>
      </c>
      <c r="U19" s="36">
        <v>85281</v>
      </c>
      <c r="V19" s="36">
        <v>83931</v>
      </c>
      <c r="W19" s="36">
        <v>79890</v>
      </c>
      <c r="X19" s="36">
        <v>75671</v>
      </c>
      <c r="Y19" s="36">
        <v>70301</v>
      </c>
      <c r="Z19" s="37">
        <v>65095</v>
      </c>
      <c r="AA19" s="38">
        <f t="shared" si="0"/>
        <v>2087098</v>
      </c>
      <c r="AB19" s="21">
        <v>4</v>
      </c>
      <c r="AC19" s="80"/>
      <c r="AD19" s="49"/>
    </row>
    <row r="20" spans="1:30" x14ac:dyDescent="0.25">
      <c r="A20" s="78"/>
      <c r="B20" s="22" t="s">
        <v>6</v>
      </c>
      <c r="C20" s="39">
        <v>69323</v>
      </c>
      <c r="D20" s="39">
        <v>66134</v>
      </c>
      <c r="E20" s="39">
        <v>63550</v>
      </c>
      <c r="F20" s="39">
        <v>62581</v>
      </c>
      <c r="G20" s="39">
        <v>61451</v>
      </c>
      <c r="H20" s="39">
        <v>59585</v>
      </c>
      <c r="I20" s="39">
        <v>58760</v>
      </c>
      <c r="J20" s="39">
        <v>83501</v>
      </c>
      <c r="K20" s="39">
        <v>89309</v>
      </c>
      <c r="L20" s="39">
        <v>95321</v>
      </c>
      <c r="M20" s="39">
        <v>98282</v>
      </c>
      <c r="N20" s="39">
        <v>103284</v>
      </c>
      <c r="O20" s="39">
        <v>105138</v>
      </c>
      <c r="P20" s="39">
        <v>105916</v>
      </c>
      <c r="Q20" s="39">
        <v>103686</v>
      </c>
      <c r="R20" s="39">
        <v>114556</v>
      </c>
      <c r="S20" s="39">
        <v>102844</v>
      </c>
      <c r="T20" s="39">
        <v>73967</v>
      </c>
      <c r="U20" s="39">
        <v>78001</v>
      </c>
      <c r="V20" s="39">
        <v>79119</v>
      </c>
      <c r="W20" s="39">
        <v>77155</v>
      </c>
      <c r="X20" s="39">
        <v>74548</v>
      </c>
      <c r="Y20" s="39">
        <v>70433</v>
      </c>
      <c r="Z20" s="40">
        <v>63428</v>
      </c>
      <c r="AA20" s="41">
        <f t="shared" si="0"/>
        <v>1959872</v>
      </c>
      <c r="AB20" s="23">
        <v>8</v>
      </c>
      <c r="AC20" s="81"/>
      <c r="AD20" s="49"/>
    </row>
    <row r="21" spans="1:30" ht="15.75" thickBot="1" x14ac:dyDescent="0.3">
      <c r="A21" s="78">
        <v>46539</v>
      </c>
      <c r="B21" s="18" t="s">
        <v>8</v>
      </c>
      <c r="C21" s="33">
        <v>68489</v>
      </c>
      <c r="D21" s="33">
        <v>64738</v>
      </c>
      <c r="E21" s="33">
        <v>63200</v>
      </c>
      <c r="F21" s="33">
        <v>62152</v>
      </c>
      <c r="G21" s="33">
        <v>62497</v>
      </c>
      <c r="H21" s="33">
        <v>64203</v>
      </c>
      <c r="I21" s="33">
        <v>66764</v>
      </c>
      <c r="J21" s="33">
        <v>92842</v>
      </c>
      <c r="K21" s="33">
        <v>99210</v>
      </c>
      <c r="L21" s="33">
        <v>103634</v>
      </c>
      <c r="M21" s="33">
        <v>108384</v>
      </c>
      <c r="N21" s="33">
        <v>113604</v>
      </c>
      <c r="O21" s="33">
        <v>113373</v>
      </c>
      <c r="P21" s="33">
        <v>113973</v>
      </c>
      <c r="Q21" s="33">
        <v>115812</v>
      </c>
      <c r="R21" s="33">
        <v>115695</v>
      </c>
      <c r="S21" s="33">
        <v>114100</v>
      </c>
      <c r="T21" s="33">
        <v>81869</v>
      </c>
      <c r="U21" s="33">
        <v>86127</v>
      </c>
      <c r="V21" s="33">
        <v>87528</v>
      </c>
      <c r="W21" s="33">
        <v>84214</v>
      </c>
      <c r="X21" s="33">
        <v>78903</v>
      </c>
      <c r="Y21" s="33">
        <v>70323</v>
      </c>
      <c r="Z21" s="34">
        <v>63340</v>
      </c>
      <c r="AA21" s="35">
        <f t="shared" si="0"/>
        <v>2094974</v>
      </c>
      <c r="AB21" s="19">
        <v>21</v>
      </c>
      <c r="AC21" s="79">
        <f>+AA21*AB21+AA22*AB22+AA23*AB23</f>
        <v>63361286</v>
      </c>
      <c r="AD21" s="49"/>
    </row>
    <row r="22" spans="1:30" ht="15.75" thickBot="1" x14ac:dyDescent="0.3">
      <c r="A22" s="78"/>
      <c r="B22" s="20" t="s">
        <v>7</v>
      </c>
      <c r="C22" s="36">
        <v>74083</v>
      </c>
      <c r="D22" s="36">
        <v>69284</v>
      </c>
      <c r="E22" s="36">
        <v>66716</v>
      </c>
      <c r="F22" s="36">
        <v>65211</v>
      </c>
      <c r="G22" s="36">
        <v>64113</v>
      </c>
      <c r="H22" s="36">
        <v>63637</v>
      </c>
      <c r="I22" s="36">
        <v>65317</v>
      </c>
      <c r="J22" s="36">
        <v>91146</v>
      </c>
      <c r="K22" s="36">
        <v>100554</v>
      </c>
      <c r="L22" s="36">
        <v>106021</v>
      </c>
      <c r="M22" s="36">
        <v>110088</v>
      </c>
      <c r="N22" s="36">
        <v>114029</v>
      </c>
      <c r="O22" s="36">
        <v>115209</v>
      </c>
      <c r="P22" s="36">
        <v>115346</v>
      </c>
      <c r="Q22" s="36">
        <v>115201</v>
      </c>
      <c r="R22" s="36">
        <v>115923</v>
      </c>
      <c r="S22" s="36">
        <v>116301</v>
      </c>
      <c r="T22" s="36">
        <v>87854</v>
      </c>
      <c r="U22" s="36">
        <v>93016</v>
      </c>
      <c r="V22" s="36">
        <v>92359</v>
      </c>
      <c r="W22" s="36">
        <v>87064</v>
      </c>
      <c r="X22" s="36">
        <v>82623</v>
      </c>
      <c r="Y22" s="36">
        <v>76501</v>
      </c>
      <c r="Z22" s="37">
        <v>69172</v>
      </c>
      <c r="AA22" s="38">
        <f t="shared" si="0"/>
        <v>2156768</v>
      </c>
      <c r="AB22" s="21">
        <v>4</v>
      </c>
      <c r="AC22" s="80"/>
      <c r="AD22" s="49"/>
    </row>
    <row r="23" spans="1:30" x14ac:dyDescent="0.25">
      <c r="A23" s="78"/>
      <c r="B23" s="22" t="s">
        <v>6</v>
      </c>
      <c r="C23" s="39">
        <v>75682</v>
      </c>
      <c r="D23" s="39">
        <v>71800</v>
      </c>
      <c r="E23" s="39">
        <v>69711</v>
      </c>
      <c r="F23" s="39">
        <v>68186</v>
      </c>
      <c r="G23" s="39">
        <v>67377</v>
      </c>
      <c r="H23" s="39">
        <v>67428</v>
      </c>
      <c r="I23" s="39">
        <v>66268</v>
      </c>
      <c r="J23" s="39">
        <v>92064</v>
      </c>
      <c r="K23" s="39">
        <v>99632</v>
      </c>
      <c r="L23" s="39">
        <v>104297</v>
      </c>
      <c r="M23" s="39">
        <v>108161</v>
      </c>
      <c r="N23" s="39">
        <v>112586</v>
      </c>
      <c r="O23" s="39">
        <v>113504</v>
      </c>
      <c r="P23" s="39">
        <v>113664</v>
      </c>
      <c r="Q23" s="39">
        <v>112965</v>
      </c>
      <c r="R23" s="39">
        <v>113224</v>
      </c>
      <c r="S23" s="39">
        <v>113059</v>
      </c>
      <c r="T23" s="39">
        <v>83546</v>
      </c>
      <c r="U23" s="39">
        <v>88751</v>
      </c>
      <c r="V23" s="39">
        <v>89590</v>
      </c>
      <c r="W23" s="39">
        <v>86998</v>
      </c>
      <c r="X23" s="39">
        <v>83092</v>
      </c>
      <c r="Y23" s="39">
        <v>76620</v>
      </c>
      <c r="Z23" s="40">
        <v>69747</v>
      </c>
      <c r="AA23" s="41">
        <f t="shared" si="0"/>
        <v>2147952</v>
      </c>
      <c r="AB23" s="23">
        <v>5</v>
      </c>
      <c r="AC23" s="81"/>
      <c r="AD23" s="49"/>
    </row>
    <row r="24" spans="1:30" ht="15.75" thickBot="1" x14ac:dyDescent="0.3">
      <c r="A24" s="78">
        <v>46569</v>
      </c>
      <c r="B24" s="18" t="s">
        <v>8</v>
      </c>
      <c r="C24" s="33">
        <v>74054</v>
      </c>
      <c r="D24" s="33">
        <v>70071</v>
      </c>
      <c r="E24" s="33">
        <v>67771</v>
      </c>
      <c r="F24" s="33">
        <v>66313</v>
      </c>
      <c r="G24" s="33">
        <v>66544</v>
      </c>
      <c r="H24" s="33">
        <v>67702</v>
      </c>
      <c r="I24" s="33">
        <v>68963</v>
      </c>
      <c r="J24" s="33">
        <v>96599</v>
      </c>
      <c r="K24" s="33">
        <v>103981</v>
      </c>
      <c r="L24" s="33">
        <v>109210</v>
      </c>
      <c r="M24" s="33">
        <v>114110</v>
      </c>
      <c r="N24" s="33">
        <v>119509</v>
      </c>
      <c r="O24" s="33">
        <v>118799</v>
      </c>
      <c r="P24" s="33">
        <v>119701</v>
      </c>
      <c r="Q24" s="33">
        <v>121297</v>
      </c>
      <c r="R24" s="33">
        <v>121388</v>
      </c>
      <c r="S24" s="33">
        <v>119319</v>
      </c>
      <c r="T24" s="33">
        <v>86318</v>
      </c>
      <c r="U24" s="33">
        <v>90846</v>
      </c>
      <c r="V24" s="33">
        <v>92013</v>
      </c>
      <c r="W24" s="33">
        <v>88955</v>
      </c>
      <c r="X24" s="33">
        <v>84023</v>
      </c>
      <c r="Y24" s="33">
        <v>76363</v>
      </c>
      <c r="Z24" s="34">
        <v>69205</v>
      </c>
      <c r="AA24" s="35">
        <f t="shared" si="0"/>
        <v>2213054</v>
      </c>
      <c r="AB24" s="19">
        <v>20</v>
      </c>
      <c r="AC24" s="79">
        <f>+AA24*AB24+AA25*AB25+AA26*AB26</f>
        <v>66315125</v>
      </c>
      <c r="AD24" s="49"/>
    </row>
    <row r="25" spans="1:30" ht="15.75" thickBot="1" x14ac:dyDescent="0.3">
      <c r="A25" s="78"/>
      <c r="B25" s="20" t="s">
        <v>7</v>
      </c>
      <c r="C25" s="36">
        <v>65701</v>
      </c>
      <c r="D25" s="36">
        <v>62035</v>
      </c>
      <c r="E25" s="36">
        <v>59894</v>
      </c>
      <c r="F25" s="36">
        <v>58720</v>
      </c>
      <c r="G25" s="36">
        <v>57728</v>
      </c>
      <c r="H25" s="36">
        <v>57760</v>
      </c>
      <c r="I25" s="36">
        <v>59933</v>
      </c>
      <c r="J25" s="36">
        <v>88802</v>
      </c>
      <c r="K25" s="36">
        <v>97380</v>
      </c>
      <c r="L25" s="36">
        <v>101744</v>
      </c>
      <c r="M25" s="36">
        <v>105756</v>
      </c>
      <c r="N25" s="36">
        <v>109649</v>
      </c>
      <c r="O25" s="36">
        <v>109847</v>
      </c>
      <c r="P25" s="36">
        <v>108742</v>
      </c>
      <c r="Q25" s="36">
        <v>107840</v>
      </c>
      <c r="R25" s="36">
        <v>107846</v>
      </c>
      <c r="S25" s="36">
        <v>107489</v>
      </c>
      <c r="T25" s="36">
        <v>78665</v>
      </c>
      <c r="U25" s="36">
        <v>81849</v>
      </c>
      <c r="V25" s="36">
        <v>81880</v>
      </c>
      <c r="W25" s="36">
        <v>77098</v>
      </c>
      <c r="X25" s="36">
        <v>73864</v>
      </c>
      <c r="Y25" s="36">
        <v>68907</v>
      </c>
      <c r="Z25" s="37">
        <v>64220</v>
      </c>
      <c r="AA25" s="38">
        <f t="shared" si="0"/>
        <v>1993349</v>
      </c>
      <c r="AB25" s="21">
        <v>5</v>
      </c>
      <c r="AC25" s="80"/>
      <c r="AD25" s="49"/>
    </row>
    <row r="26" spans="1:30" x14ac:dyDescent="0.25">
      <c r="A26" s="78"/>
      <c r="B26" s="22" t="s">
        <v>6</v>
      </c>
      <c r="C26" s="39">
        <v>73800</v>
      </c>
      <c r="D26" s="39">
        <v>69823</v>
      </c>
      <c r="E26" s="39">
        <v>66801</v>
      </c>
      <c r="F26" s="39">
        <v>65276</v>
      </c>
      <c r="G26" s="39">
        <v>64171</v>
      </c>
      <c r="H26" s="39">
        <v>63482</v>
      </c>
      <c r="I26" s="39">
        <v>61812</v>
      </c>
      <c r="J26" s="39">
        <v>85861</v>
      </c>
      <c r="K26" s="39">
        <v>92502</v>
      </c>
      <c r="L26" s="39">
        <v>98406</v>
      </c>
      <c r="M26" s="39">
        <v>100996</v>
      </c>
      <c r="N26" s="39">
        <v>105345</v>
      </c>
      <c r="O26" s="39">
        <v>107865</v>
      </c>
      <c r="P26" s="39">
        <v>107563</v>
      </c>
      <c r="Q26" s="39">
        <v>105867</v>
      </c>
      <c r="R26" s="39">
        <v>105386</v>
      </c>
      <c r="S26" s="39">
        <v>104974</v>
      </c>
      <c r="T26" s="39">
        <v>76686</v>
      </c>
      <c r="U26" s="39">
        <v>80326</v>
      </c>
      <c r="V26" s="39">
        <v>82369</v>
      </c>
      <c r="W26" s="39">
        <v>80383</v>
      </c>
      <c r="X26" s="39">
        <v>77032</v>
      </c>
      <c r="Y26" s="39">
        <v>72010</v>
      </c>
      <c r="Z26" s="40">
        <v>65814</v>
      </c>
      <c r="AA26" s="41">
        <f t="shared" si="0"/>
        <v>2014550</v>
      </c>
      <c r="AB26" s="23">
        <v>6</v>
      </c>
      <c r="AC26" s="81"/>
      <c r="AD26" s="49"/>
    </row>
    <row r="27" spans="1:30" ht="15.75" thickBot="1" x14ac:dyDescent="0.3">
      <c r="A27" s="78">
        <v>46600</v>
      </c>
      <c r="B27" s="18" t="s">
        <v>8</v>
      </c>
      <c r="C27" s="33">
        <v>73500</v>
      </c>
      <c r="D27" s="33">
        <v>70006</v>
      </c>
      <c r="E27" s="33">
        <v>68095</v>
      </c>
      <c r="F27" s="33">
        <v>66740</v>
      </c>
      <c r="G27" s="33">
        <v>67074</v>
      </c>
      <c r="H27" s="33">
        <v>69147</v>
      </c>
      <c r="I27" s="33">
        <v>70962</v>
      </c>
      <c r="J27" s="33">
        <v>97517</v>
      </c>
      <c r="K27" s="33">
        <v>104448</v>
      </c>
      <c r="L27" s="33">
        <v>109141</v>
      </c>
      <c r="M27" s="33">
        <v>113863</v>
      </c>
      <c r="N27" s="33">
        <v>119426</v>
      </c>
      <c r="O27" s="33">
        <v>119805</v>
      </c>
      <c r="P27" s="33">
        <v>121684</v>
      </c>
      <c r="Q27" s="33">
        <v>123253</v>
      </c>
      <c r="R27" s="33">
        <v>123261</v>
      </c>
      <c r="S27" s="33">
        <v>120957</v>
      </c>
      <c r="T27" s="33">
        <v>88143</v>
      </c>
      <c r="U27" s="33">
        <v>92804</v>
      </c>
      <c r="V27" s="33">
        <v>94171</v>
      </c>
      <c r="W27" s="33">
        <v>90589</v>
      </c>
      <c r="X27" s="33">
        <v>84755</v>
      </c>
      <c r="Y27" s="33">
        <v>76919</v>
      </c>
      <c r="Z27" s="34">
        <v>70373</v>
      </c>
      <c r="AA27" s="35">
        <f t="shared" si="0"/>
        <v>2236633</v>
      </c>
      <c r="AB27" s="19">
        <v>21</v>
      </c>
      <c r="AC27" s="79">
        <f>+AA27*AB27+AA28*AB28+AA29*AB29</f>
        <v>68019167</v>
      </c>
      <c r="AD27" s="49"/>
    </row>
    <row r="28" spans="1:30" ht="15.75" thickBot="1" x14ac:dyDescent="0.3">
      <c r="A28" s="78"/>
      <c r="B28" s="20" t="s">
        <v>7</v>
      </c>
      <c r="C28" s="36">
        <v>75706</v>
      </c>
      <c r="D28" s="36">
        <v>72599</v>
      </c>
      <c r="E28" s="36">
        <v>69892</v>
      </c>
      <c r="F28" s="36">
        <v>67519</v>
      </c>
      <c r="G28" s="36">
        <v>66230</v>
      </c>
      <c r="H28" s="36">
        <v>67215</v>
      </c>
      <c r="I28" s="36">
        <v>66654</v>
      </c>
      <c r="J28" s="36">
        <v>94930</v>
      </c>
      <c r="K28" s="36">
        <v>103779</v>
      </c>
      <c r="L28" s="36">
        <v>109366</v>
      </c>
      <c r="M28" s="36">
        <v>114050</v>
      </c>
      <c r="N28" s="36">
        <v>118192</v>
      </c>
      <c r="O28" s="36">
        <v>118754</v>
      </c>
      <c r="P28" s="36">
        <v>118794</v>
      </c>
      <c r="Q28" s="36">
        <v>118038</v>
      </c>
      <c r="R28" s="36">
        <v>117852</v>
      </c>
      <c r="S28" s="36">
        <v>116707</v>
      </c>
      <c r="T28" s="36">
        <v>87219</v>
      </c>
      <c r="U28" s="36">
        <v>91941</v>
      </c>
      <c r="V28" s="36">
        <v>90450</v>
      </c>
      <c r="W28" s="36">
        <v>86089</v>
      </c>
      <c r="X28" s="36">
        <v>82247</v>
      </c>
      <c r="Y28" s="36">
        <v>77068</v>
      </c>
      <c r="Z28" s="37">
        <v>71184</v>
      </c>
      <c r="AA28" s="38">
        <f t="shared" si="0"/>
        <v>2202475</v>
      </c>
      <c r="AB28" s="21">
        <v>3</v>
      </c>
      <c r="AC28" s="80"/>
      <c r="AD28" s="49"/>
    </row>
    <row r="29" spans="1:30" x14ac:dyDescent="0.25">
      <c r="A29" s="78"/>
      <c r="B29" s="22" t="s">
        <v>6</v>
      </c>
      <c r="C29" s="39">
        <v>76966</v>
      </c>
      <c r="D29" s="39">
        <v>72766</v>
      </c>
      <c r="E29" s="39">
        <v>69634</v>
      </c>
      <c r="F29" s="39">
        <v>67715</v>
      </c>
      <c r="G29" s="39">
        <v>66531</v>
      </c>
      <c r="H29" s="39">
        <v>65981</v>
      </c>
      <c r="I29" s="39">
        <v>63935</v>
      </c>
      <c r="J29" s="39">
        <v>89262</v>
      </c>
      <c r="K29" s="39">
        <v>95762</v>
      </c>
      <c r="L29" s="39">
        <v>100483</v>
      </c>
      <c r="M29" s="39">
        <v>103438</v>
      </c>
      <c r="N29" s="39">
        <v>107566</v>
      </c>
      <c r="O29" s="39">
        <v>110707</v>
      </c>
      <c r="P29" s="39">
        <v>110439</v>
      </c>
      <c r="Q29" s="39">
        <v>107845</v>
      </c>
      <c r="R29" s="39">
        <v>105802</v>
      </c>
      <c r="S29" s="39">
        <v>106107</v>
      </c>
      <c r="T29" s="39">
        <v>77152</v>
      </c>
      <c r="U29" s="39">
        <v>82431</v>
      </c>
      <c r="V29" s="39">
        <v>84494</v>
      </c>
      <c r="W29" s="39">
        <v>81661</v>
      </c>
      <c r="X29" s="39">
        <v>78008</v>
      </c>
      <c r="Y29" s="39">
        <v>72657</v>
      </c>
      <c r="Z29" s="40">
        <v>65865</v>
      </c>
      <c r="AA29" s="41">
        <f t="shared" si="0"/>
        <v>2063207</v>
      </c>
      <c r="AB29" s="23">
        <v>7</v>
      </c>
      <c r="AC29" s="81"/>
      <c r="AD29" s="49"/>
    </row>
    <row r="30" spans="1:30" ht="15.75" thickBot="1" x14ac:dyDescent="0.3">
      <c r="A30" s="78">
        <v>46631</v>
      </c>
      <c r="B30" s="18" t="s">
        <v>8</v>
      </c>
      <c r="C30" s="33">
        <v>79183</v>
      </c>
      <c r="D30" s="33">
        <v>74700</v>
      </c>
      <c r="E30" s="33">
        <v>71916</v>
      </c>
      <c r="F30" s="33">
        <v>70646</v>
      </c>
      <c r="G30" s="33">
        <v>70404</v>
      </c>
      <c r="H30" s="33">
        <v>72632</v>
      </c>
      <c r="I30" s="33">
        <v>74750</v>
      </c>
      <c r="J30" s="33">
        <v>101987</v>
      </c>
      <c r="K30" s="33">
        <v>108836</v>
      </c>
      <c r="L30" s="33">
        <v>114331</v>
      </c>
      <c r="M30" s="33">
        <v>119551</v>
      </c>
      <c r="N30" s="33">
        <v>125338</v>
      </c>
      <c r="O30" s="33">
        <v>125965</v>
      </c>
      <c r="P30" s="33">
        <v>127340</v>
      </c>
      <c r="Q30" s="33">
        <v>129753</v>
      </c>
      <c r="R30" s="33">
        <v>130703</v>
      </c>
      <c r="S30" s="33">
        <v>128692</v>
      </c>
      <c r="T30" s="33">
        <v>94694</v>
      </c>
      <c r="U30" s="33">
        <v>99959</v>
      </c>
      <c r="V30" s="33">
        <v>99454</v>
      </c>
      <c r="W30" s="33">
        <v>95935</v>
      </c>
      <c r="X30" s="33">
        <v>90291</v>
      </c>
      <c r="Y30" s="33">
        <v>81670</v>
      </c>
      <c r="Z30" s="34">
        <v>74827</v>
      </c>
      <c r="AA30" s="35">
        <f t="shared" si="0"/>
        <v>2363557</v>
      </c>
      <c r="AB30" s="19">
        <v>22</v>
      </c>
      <c r="AC30" s="79">
        <f>+AA30*AB30+AA31*AB31+AA32*AB32</f>
        <v>69317302</v>
      </c>
      <c r="AD30" s="49"/>
    </row>
    <row r="31" spans="1:30" ht="15.75" thickBot="1" x14ac:dyDescent="0.3">
      <c r="A31" s="78"/>
      <c r="B31" s="20" t="s">
        <v>7</v>
      </c>
      <c r="C31" s="36">
        <v>81331</v>
      </c>
      <c r="D31" s="36">
        <v>75919</v>
      </c>
      <c r="E31" s="36">
        <v>73024</v>
      </c>
      <c r="F31" s="36">
        <v>71607</v>
      </c>
      <c r="G31" s="36">
        <v>70295</v>
      </c>
      <c r="H31" s="36">
        <v>68942</v>
      </c>
      <c r="I31" s="36">
        <v>70690</v>
      </c>
      <c r="J31" s="36">
        <v>99123</v>
      </c>
      <c r="K31" s="36">
        <v>108847</v>
      </c>
      <c r="L31" s="36">
        <v>114737</v>
      </c>
      <c r="M31" s="36">
        <v>119160</v>
      </c>
      <c r="N31" s="36">
        <v>124158</v>
      </c>
      <c r="O31" s="36">
        <v>124423</v>
      </c>
      <c r="P31" s="36">
        <v>124133</v>
      </c>
      <c r="Q31" s="36">
        <v>123436</v>
      </c>
      <c r="R31" s="36">
        <v>122778</v>
      </c>
      <c r="S31" s="36">
        <v>122936</v>
      </c>
      <c r="T31" s="36">
        <v>93337</v>
      </c>
      <c r="U31" s="36">
        <v>96711</v>
      </c>
      <c r="V31" s="36">
        <v>95270</v>
      </c>
      <c r="W31" s="36">
        <v>90425</v>
      </c>
      <c r="X31" s="36">
        <v>86898</v>
      </c>
      <c r="Y31" s="36">
        <v>81268</v>
      </c>
      <c r="Z31" s="37">
        <v>74621</v>
      </c>
      <c r="AA31" s="38">
        <f t="shared" si="0"/>
        <v>2314069</v>
      </c>
      <c r="AB31" s="21">
        <v>4</v>
      </c>
      <c r="AC31" s="80"/>
      <c r="AD31" s="49"/>
    </row>
    <row r="32" spans="1:30" x14ac:dyDescent="0.25">
      <c r="A32" s="78"/>
      <c r="B32" s="22" t="s">
        <v>6</v>
      </c>
      <c r="C32" s="39">
        <v>76557</v>
      </c>
      <c r="D32" s="39">
        <v>72474</v>
      </c>
      <c r="E32" s="39">
        <v>69651</v>
      </c>
      <c r="F32" s="39">
        <v>67631</v>
      </c>
      <c r="G32" s="39">
        <v>65687</v>
      </c>
      <c r="H32" s="39">
        <v>63842</v>
      </c>
      <c r="I32" s="39">
        <v>61665</v>
      </c>
      <c r="J32" s="39">
        <v>85431</v>
      </c>
      <c r="K32" s="39">
        <v>91949</v>
      </c>
      <c r="L32" s="39">
        <v>96992</v>
      </c>
      <c r="M32" s="39">
        <v>99740</v>
      </c>
      <c r="N32" s="39">
        <v>103459</v>
      </c>
      <c r="O32" s="39">
        <v>106176</v>
      </c>
      <c r="P32" s="39">
        <v>106252</v>
      </c>
      <c r="Q32" s="39">
        <v>104372</v>
      </c>
      <c r="R32" s="39">
        <v>104844</v>
      </c>
      <c r="S32" s="39">
        <v>104858</v>
      </c>
      <c r="T32" s="39">
        <v>75772</v>
      </c>
      <c r="U32" s="39">
        <v>82064</v>
      </c>
      <c r="V32" s="39">
        <v>81836</v>
      </c>
      <c r="W32" s="39">
        <v>79801</v>
      </c>
      <c r="X32" s="39">
        <v>76411</v>
      </c>
      <c r="Y32" s="39">
        <v>71992</v>
      </c>
      <c r="Z32" s="40">
        <v>66237</v>
      </c>
      <c r="AA32" s="41">
        <f t="shared" si="0"/>
        <v>2015693</v>
      </c>
      <c r="AB32" s="23">
        <v>4</v>
      </c>
      <c r="AC32" s="81"/>
      <c r="AD32" s="49"/>
    </row>
    <row r="33" spans="1:30" ht="15.75" thickBot="1" x14ac:dyDescent="0.3">
      <c r="A33" s="78">
        <v>46661</v>
      </c>
      <c r="B33" s="18" t="s">
        <v>8</v>
      </c>
      <c r="C33" s="33">
        <v>74054</v>
      </c>
      <c r="D33" s="33">
        <v>70472</v>
      </c>
      <c r="E33" s="33">
        <v>68391</v>
      </c>
      <c r="F33" s="33">
        <v>66884</v>
      </c>
      <c r="G33" s="33">
        <v>67074</v>
      </c>
      <c r="H33" s="33">
        <v>68574</v>
      </c>
      <c r="I33" s="33">
        <v>70517</v>
      </c>
      <c r="J33" s="33">
        <v>96373</v>
      </c>
      <c r="K33" s="33">
        <v>102929</v>
      </c>
      <c r="L33" s="33">
        <v>107288</v>
      </c>
      <c r="M33" s="33">
        <v>111917</v>
      </c>
      <c r="N33" s="33">
        <v>117777</v>
      </c>
      <c r="O33" s="33">
        <v>118417</v>
      </c>
      <c r="P33" s="33">
        <v>119791</v>
      </c>
      <c r="Q33" s="33">
        <v>121673</v>
      </c>
      <c r="R33" s="33">
        <v>122404</v>
      </c>
      <c r="S33" s="33">
        <v>120945</v>
      </c>
      <c r="T33" s="33">
        <v>89287</v>
      </c>
      <c r="U33" s="33">
        <v>93845</v>
      </c>
      <c r="V33" s="33">
        <v>91750</v>
      </c>
      <c r="W33" s="33">
        <v>87355</v>
      </c>
      <c r="X33" s="33">
        <v>82244</v>
      </c>
      <c r="Y33" s="33">
        <v>75021</v>
      </c>
      <c r="Z33" s="34">
        <v>69294</v>
      </c>
      <c r="AA33" s="35">
        <f t="shared" si="0"/>
        <v>2214276</v>
      </c>
      <c r="AB33" s="19">
        <v>20</v>
      </c>
      <c r="AC33" s="79">
        <f>+AA33*AB33+AA34*AB34+AA35*AB35</f>
        <v>68101844</v>
      </c>
      <c r="AD33" s="49"/>
    </row>
    <row r="34" spans="1:30" ht="15.75" thickBot="1" x14ac:dyDescent="0.3">
      <c r="A34" s="78"/>
      <c r="B34" s="20" t="s">
        <v>7</v>
      </c>
      <c r="C34" s="36">
        <v>80833</v>
      </c>
      <c r="D34" s="36">
        <v>76812</v>
      </c>
      <c r="E34" s="36">
        <v>74228</v>
      </c>
      <c r="F34" s="36">
        <v>72176</v>
      </c>
      <c r="G34" s="36">
        <v>71594</v>
      </c>
      <c r="H34" s="36">
        <v>71708</v>
      </c>
      <c r="I34" s="36">
        <v>74865</v>
      </c>
      <c r="J34" s="36">
        <v>102246</v>
      </c>
      <c r="K34" s="36">
        <v>110846</v>
      </c>
      <c r="L34" s="36">
        <v>116994</v>
      </c>
      <c r="M34" s="36">
        <v>121764</v>
      </c>
      <c r="N34" s="36">
        <v>126318</v>
      </c>
      <c r="O34" s="36">
        <v>127627</v>
      </c>
      <c r="P34" s="36">
        <v>127910</v>
      </c>
      <c r="Q34" s="36">
        <v>127462</v>
      </c>
      <c r="R34" s="36">
        <v>126519</v>
      </c>
      <c r="S34" s="36">
        <v>125729</v>
      </c>
      <c r="T34" s="36">
        <v>98458</v>
      </c>
      <c r="U34" s="36">
        <v>105718</v>
      </c>
      <c r="V34" s="36">
        <v>103640</v>
      </c>
      <c r="W34" s="36">
        <v>98477</v>
      </c>
      <c r="X34" s="36">
        <v>92616</v>
      </c>
      <c r="Y34" s="36">
        <v>86898</v>
      </c>
      <c r="Z34" s="37">
        <v>78608</v>
      </c>
      <c r="AA34" s="38">
        <f t="shared" si="0"/>
        <v>2400046</v>
      </c>
      <c r="AB34" s="21">
        <v>5</v>
      </c>
      <c r="AC34" s="80"/>
      <c r="AD34" s="49"/>
    </row>
    <row r="35" spans="1:30" x14ac:dyDescent="0.25">
      <c r="A35" s="78"/>
      <c r="B35" s="22" t="s">
        <v>6</v>
      </c>
      <c r="C35" s="39">
        <v>72753</v>
      </c>
      <c r="D35" s="39">
        <v>69105</v>
      </c>
      <c r="E35" s="39">
        <v>65770</v>
      </c>
      <c r="F35" s="39">
        <v>63876</v>
      </c>
      <c r="G35" s="39">
        <v>62452</v>
      </c>
      <c r="H35" s="39">
        <v>60844</v>
      </c>
      <c r="I35" s="39">
        <v>59741</v>
      </c>
      <c r="J35" s="39">
        <v>83140</v>
      </c>
      <c r="K35" s="39">
        <v>88870</v>
      </c>
      <c r="L35" s="39">
        <v>94518</v>
      </c>
      <c r="M35" s="39">
        <v>97842</v>
      </c>
      <c r="N35" s="39">
        <v>101958</v>
      </c>
      <c r="O35" s="39">
        <v>105214</v>
      </c>
      <c r="P35" s="39">
        <v>104811</v>
      </c>
      <c r="Q35" s="39">
        <v>103902</v>
      </c>
      <c r="R35" s="39">
        <v>104554</v>
      </c>
      <c r="S35" s="39">
        <v>104472</v>
      </c>
      <c r="T35" s="39">
        <v>77219</v>
      </c>
      <c r="U35" s="39">
        <v>81503</v>
      </c>
      <c r="V35" s="39">
        <v>80170</v>
      </c>
      <c r="W35" s="39">
        <v>77913</v>
      </c>
      <c r="X35" s="39">
        <v>74538</v>
      </c>
      <c r="Y35" s="39">
        <v>70067</v>
      </c>
      <c r="Z35" s="40">
        <v>64117</v>
      </c>
      <c r="AA35" s="41">
        <f t="shared" si="0"/>
        <v>1969349</v>
      </c>
      <c r="AB35" s="23">
        <v>6</v>
      </c>
      <c r="AC35" s="81"/>
      <c r="AD35" s="49"/>
    </row>
    <row r="36" spans="1:30" ht="15.75" thickBot="1" x14ac:dyDescent="0.3">
      <c r="A36" s="78">
        <v>46692</v>
      </c>
      <c r="B36" s="18" t="s">
        <v>8</v>
      </c>
      <c r="C36" s="33">
        <v>72435</v>
      </c>
      <c r="D36" s="33">
        <v>68825</v>
      </c>
      <c r="E36" s="33">
        <v>66681</v>
      </c>
      <c r="F36" s="33">
        <v>65754</v>
      </c>
      <c r="G36" s="33">
        <v>65994</v>
      </c>
      <c r="H36" s="33">
        <v>68262</v>
      </c>
      <c r="I36" s="33">
        <v>71031</v>
      </c>
      <c r="J36" s="33">
        <v>97672</v>
      </c>
      <c r="K36" s="33">
        <v>104258</v>
      </c>
      <c r="L36" s="33">
        <v>109052</v>
      </c>
      <c r="M36" s="33">
        <v>114357</v>
      </c>
      <c r="N36" s="33">
        <v>120290</v>
      </c>
      <c r="O36" s="33">
        <v>119922</v>
      </c>
      <c r="P36" s="33">
        <v>120419</v>
      </c>
      <c r="Q36" s="33">
        <v>123221</v>
      </c>
      <c r="R36" s="33">
        <v>121498</v>
      </c>
      <c r="S36" s="33">
        <v>120269</v>
      </c>
      <c r="T36" s="33">
        <v>89510</v>
      </c>
      <c r="U36" s="33">
        <v>96463</v>
      </c>
      <c r="V36" s="33">
        <v>94085</v>
      </c>
      <c r="W36" s="33">
        <v>90244</v>
      </c>
      <c r="X36" s="33">
        <v>84221</v>
      </c>
      <c r="Y36" s="33">
        <v>75713</v>
      </c>
      <c r="Z36" s="34">
        <v>68921</v>
      </c>
      <c r="AA36" s="35">
        <f t="shared" si="0"/>
        <v>2229097</v>
      </c>
      <c r="AB36" s="19">
        <v>20</v>
      </c>
      <c r="AC36" s="79">
        <f>+AA36*AB36+AA37*AB37+AA38*AB38</f>
        <v>63784834</v>
      </c>
      <c r="AD36" s="49"/>
    </row>
    <row r="37" spans="1:30" ht="15.75" thickBot="1" x14ac:dyDescent="0.3">
      <c r="A37" s="78"/>
      <c r="B37" s="20" t="s">
        <v>7</v>
      </c>
      <c r="C37" s="36">
        <v>71362</v>
      </c>
      <c r="D37" s="36">
        <v>67593</v>
      </c>
      <c r="E37" s="36">
        <v>65451</v>
      </c>
      <c r="F37" s="36">
        <v>63412</v>
      </c>
      <c r="G37" s="36">
        <v>63167</v>
      </c>
      <c r="H37" s="36">
        <v>61960</v>
      </c>
      <c r="I37" s="36">
        <v>62572</v>
      </c>
      <c r="J37" s="36">
        <v>88628</v>
      </c>
      <c r="K37" s="36">
        <v>96663</v>
      </c>
      <c r="L37" s="36">
        <v>102616</v>
      </c>
      <c r="M37" s="36">
        <v>105756</v>
      </c>
      <c r="N37" s="36">
        <v>110256</v>
      </c>
      <c r="O37" s="36">
        <v>110826</v>
      </c>
      <c r="P37" s="36">
        <v>108720</v>
      </c>
      <c r="Q37" s="36">
        <v>109196</v>
      </c>
      <c r="R37" s="36">
        <v>109413</v>
      </c>
      <c r="S37" s="36">
        <v>109453</v>
      </c>
      <c r="T37" s="36">
        <v>81828</v>
      </c>
      <c r="U37" s="36">
        <v>87249</v>
      </c>
      <c r="V37" s="36">
        <v>85955</v>
      </c>
      <c r="W37" s="36">
        <v>81810</v>
      </c>
      <c r="X37" s="36">
        <v>77424</v>
      </c>
      <c r="Y37" s="36">
        <v>71129</v>
      </c>
      <c r="Z37" s="37">
        <v>64600</v>
      </c>
      <c r="AA37" s="38">
        <f t="shared" si="0"/>
        <v>2057039</v>
      </c>
      <c r="AB37" s="21">
        <v>4</v>
      </c>
      <c r="AC37" s="80"/>
      <c r="AD37" s="49"/>
    </row>
    <row r="38" spans="1:30" x14ac:dyDescent="0.25">
      <c r="A38" s="78"/>
      <c r="B38" s="22" t="s">
        <v>6</v>
      </c>
      <c r="C38" s="39">
        <v>65990</v>
      </c>
      <c r="D38" s="39">
        <v>62752</v>
      </c>
      <c r="E38" s="39">
        <v>60178</v>
      </c>
      <c r="F38" s="39">
        <v>58123</v>
      </c>
      <c r="G38" s="39">
        <v>57534</v>
      </c>
      <c r="H38" s="39">
        <v>56039</v>
      </c>
      <c r="I38" s="39">
        <v>54577</v>
      </c>
      <c r="J38" s="39">
        <v>78455</v>
      </c>
      <c r="K38" s="39">
        <v>84222</v>
      </c>
      <c r="L38" s="39">
        <v>89494</v>
      </c>
      <c r="M38" s="39">
        <v>92296</v>
      </c>
      <c r="N38" s="39">
        <v>96247</v>
      </c>
      <c r="O38" s="39">
        <v>98969</v>
      </c>
      <c r="P38" s="39">
        <v>98932</v>
      </c>
      <c r="Q38" s="39">
        <v>97060</v>
      </c>
      <c r="R38" s="39">
        <v>95676</v>
      </c>
      <c r="S38" s="39">
        <v>96642</v>
      </c>
      <c r="T38" s="39">
        <v>68662</v>
      </c>
      <c r="U38" s="39">
        <v>75211</v>
      </c>
      <c r="V38" s="39">
        <v>75505</v>
      </c>
      <c r="W38" s="39">
        <v>73633</v>
      </c>
      <c r="X38" s="39">
        <v>70197</v>
      </c>
      <c r="Y38" s="39">
        <v>64656</v>
      </c>
      <c r="Z38" s="40">
        <v>58073</v>
      </c>
      <c r="AA38" s="41">
        <f t="shared" si="0"/>
        <v>1829123</v>
      </c>
      <c r="AB38" s="23">
        <v>6</v>
      </c>
      <c r="AC38" s="81"/>
      <c r="AD38" s="49"/>
    </row>
    <row r="39" spans="1:30" ht="15.75" thickBot="1" x14ac:dyDescent="0.3">
      <c r="A39" s="78">
        <v>46722</v>
      </c>
      <c r="B39" s="18" t="s">
        <v>8</v>
      </c>
      <c r="C39" s="33">
        <v>79050</v>
      </c>
      <c r="D39" s="33">
        <v>74419</v>
      </c>
      <c r="E39" s="33">
        <v>71828</v>
      </c>
      <c r="F39" s="33">
        <v>69996</v>
      </c>
      <c r="G39" s="33">
        <v>70076</v>
      </c>
      <c r="H39" s="33">
        <v>71600</v>
      </c>
      <c r="I39" s="33">
        <v>72642</v>
      </c>
      <c r="J39" s="33">
        <v>100922</v>
      </c>
      <c r="K39" s="33">
        <v>108578</v>
      </c>
      <c r="L39" s="33">
        <v>114134</v>
      </c>
      <c r="M39" s="33">
        <v>118952</v>
      </c>
      <c r="N39" s="33">
        <v>125214</v>
      </c>
      <c r="O39" s="33">
        <v>125966</v>
      </c>
      <c r="P39" s="33">
        <v>126327</v>
      </c>
      <c r="Q39" s="33">
        <v>127876</v>
      </c>
      <c r="R39" s="33">
        <v>127215</v>
      </c>
      <c r="S39" s="33">
        <v>125106</v>
      </c>
      <c r="T39" s="33">
        <v>93000</v>
      </c>
      <c r="U39" s="33">
        <v>98711</v>
      </c>
      <c r="V39" s="33">
        <v>97645</v>
      </c>
      <c r="W39" s="33">
        <v>93579</v>
      </c>
      <c r="X39" s="33">
        <v>88805</v>
      </c>
      <c r="Y39" s="33">
        <v>81833</v>
      </c>
      <c r="Z39" s="34">
        <v>76050</v>
      </c>
      <c r="AA39" s="35">
        <f t="shared" si="0"/>
        <v>2339524</v>
      </c>
      <c r="AB39" s="19">
        <v>22</v>
      </c>
      <c r="AC39" s="79">
        <f>+AA39*AB39+AA40*AB40+AA41*AB41</f>
        <v>70600381</v>
      </c>
      <c r="AD39" s="49"/>
    </row>
    <row r="40" spans="1:30" ht="15.75" thickBot="1" x14ac:dyDescent="0.3">
      <c r="A40" s="78"/>
      <c r="B40" s="20" t="s">
        <v>7</v>
      </c>
      <c r="C40" s="36">
        <v>74311</v>
      </c>
      <c r="D40" s="36">
        <v>70945</v>
      </c>
      <c r="E40" s="36">
        <v>69029</v>
      </c>
      <c r="F40" s="36">
        <v>66795</v>
      </c>
      <c r="G40" s="36">
        <v>66128</v>
      </c>
      <c r="H40" s="36">
        <v>66333</v>
      </c>
      <c r="I40" s="36">
        <v>66036</v>
      </c>
      <c r="J40" s="36">
        <v>93054</v>
      </c>
      <c r="K40" s="36">
        <v>100916</v>
      </c>
      <c r="L40" s="36">
        <v>105356</v>
      </c>
      <c r="M40" s="36">
        <v>109654</v>
      </c>
      <c r="N40" s="36">
        <v>112696</v>
      </c>
      <c r="O40" s="36">
        <v>113160</v>
      </c>
      <c r="P40" s="36">
        <v>111198</v>
      </c>
      <c r="Q40" s="36">
        <v>110918</v>
      </c>
      <c r="R40" s="36">
        <v>109775</v>
      </c>
      <c r="S40" s="36">
        <v>109454</v>
      </c>
      <c r="T40" s="36">
        <v>81392</v>
      </c>
      <c r="U40" s="36">
        <v>86276</v>
      </c>
      <c r="V40" s="36">
        <v>82495</v>
      </c>
      <c r="W40" s="36">
        <v>77962</v>
      </c>
      <c r="X40" s="36">
        <v>73393</v>
      </c>
      <c r="Y40" s="36">
        <v>67562</v>
      </c>
      <c r="Z40" s="37">
        <v>64213</v>
      </c>
      <c r="AA40" s="38">
        <f t="shared" si="0"/>
        <v>2089051</v>
      </c>
      <c r="AB40" s="21">
        <v>3</v>
      </c>
      <c r="AC40" s="80"/>
      <c r="AD40" s="49"/>
    </row>
    <row r="41" spans="1:30" x14ac:dyDescent="0.25">
      <c r="A41" s="78"/>
      <c r="B41" s="22" t="s">
        <v>6</v>
      </c>
      <c r="C41" s="39">
        <v>79974</v>
      </c>
      <c r="D41" s="39">
        <v>75863</v>
      </c>
      <c r="E41" s="39">
        <v>73021</v>
      </c>
      <c r="F41" s="39">
        <v>70803</v>
      </c>
      <c r="G41" s="39">
        <v>69716</v>
      </c>
      <c r="H41" s="39">
        <v>68384</v>
      </c>
      <c r="I41" s="39">
        <v>66326</v>
      </c>
      <c r="J41" s="39">
        <v>90050</v>
      </c>
      <c r="K41" s="39">
        <v>96196</v>
      </c>
      <c r="L41" s="39">
        <v>101588</v>
      </c>
      <c r="M41" s="39">
        <v>105601</v>
      </c>
      <c r="N41" s="39">
        <v>109466</v>
      </c>
      <c r="O41" s="39">
        <v>112174</v>
      </c>
      <c r="P41" s="39">
        <v>112787</v>
      </c>
      <c r="Q41" s="39">
        <v>111952</v>
      </c>
      <c r="R41" s="39">
        <v>111513</v>
      </c>
      <c r="S41" s="39">
        <v>111958</v>
      </c>
      <c r="T41" s="39">
        <v>83756</v>
      </c>
      <c r="U41" s="39">
        <v>90167</v>
      </c>
      <c r="V41" s="39">
        <v>89237</v>
      </c>
      <c r="W41" s="39">
        <v>85697</v>
      </c>
      <c r="X41" s="39">
        <v>81086</v>
      </c>
      <c r="Y41" s="39">
        <v>76197</v>
      </c>
      <c r="Z41" s="40">
        <v>70438</v>
      </c>
      <c r="AA41" s="41">
        <f t="shared" si="0"/>
        <v>2143950</v>
      </c>
      <c r="AB41" s="23">
        <v>6</v>
      </c>
      <c r="AC41" s="81"/>
      <c r="AD41" s="49"/>
    </row>
    <row r="42" spans="1:30" x14ac:dyDescent="0.25">
      <c r="A42" s="76" t="s">
        <v>5</v>
      </c>
      <c r="B42" s="77"/>
      <c r="C42" s="31">
        <f t="shared" ref="C42:AC42" si="1">+SUM(C6:C41)</f>
        <v>2638620</v>
      </c>
      <c r="D42" s="31">
        <f t="shared" si="1"/>
        <v>2498078</v>
      </c>
      <c r="E42" s="31">
        <f t="shared" si="1"/>
        <v>2408863</v>
      </c>
      <c r="F42" s="31">
        <f t="shared" si="1"/>
        <v>2351688</v>
      </c>
      <c r="G42" s="31">
        <f t="shared" si="1"/>
        <v>2331115</v>
      </c>
      <c r="H42" s="31">
        <f t="shared" si="1"/>
        <v>2347363</v>
      </c>
      <c r="I42" s="31">
        <f t="shared" si="1"/>
        <v>2365868</v>
      </c>
      <c r="J42" s="31">
        <f t="shared" si="1"/>
        <v>3304709</v>
      </c>
      <c r="K42" s="31">
        <f t="shared" si="1"/>
        <v>3570784</v>
      </c>
      <c r="L42" s="31">
        <f t="shared" si="1"/>
        <v>3758726</v>
      </c>
      <c r="M42" s="31">
        <f t="shared" si="1"/>
        <v>3898186</v>
      </c>
      <c r="N42" s="31">
        <f t="shared" si="1"/>
        <v>4063756</v>
      </c>
      <c r="O42" s="31">
        <f t="shared" si="1"/>
        <v>4105776</v>
      </c>
      <c r="P42" s="31">
        <f t="shared" si="1"/>
        <v>4108397</v>
      </c>
      <c r="Q42" s="31">
        <f t="shared" si="1"/>
        <v>4105151</v>
      </c>
      <c r="R42" s="31">
        <f t="shared" si="1"/>
        <v>4107082</v>
      </c>
      <c r="S42" s="31">
        <f t="shared" si="1"/>
        <v>4074580</v>
      </c>
      <c r="T42" s="31">
        <f t="shared" si="1"/>
        <v>2988271</v>
      </c>
      <c r="U42" s="31">
        <f t="shared" si="1"/>
        <v>3143071</v>
      </c>
      <c r="V42" s="31">
        <f t="shared" si="1"/>
        <v>3154246</v>
      </c>
      <c r="W42" s="31">
        <f t="shared" si="1"/>
        <v>3033820</v>
      </c>
      <c r="X42" s="31">
        <f t="shared" si="1"/>
        <v>2878340</v>
      </c>
      <c r="Y42" s="31">
        <f t="shared" si="1"/>
        <v>2659436</v>
      </c>
      <c r="Z42" s="31">
        <f t="shared" si="1"/>
        <v>2425243</v>
      </c>
      <c r="AA42" s="31">
        <f t="shared" si="1"/>
        <v>76321169</v>
      </c>
      <c r="AB42" s="31">
        <f t="shared" si="1"/>
        <v>365</v>
      </c>
      <c r="AC42" s="46">
        <f t="shared" si="1"/>
        <v>789919988</v>
      </c>
      <c r="AD42" s="49"/>
    </row>
    <row r="43" spans="1:30" x14ac:dyDescent="0.25">
      <c r="AB43" s="6"/>
      <c r="AC43" s="6"/>
    </row>
    <row r="44" spans="1:30" x14ac:dyDescent="0.25">
      <c r="AA44" s="48"/>
    </row>
    <row r="45" spans="1:30" x14ac:dyDescent="0.25"/>
    <row r="46" spans="1:30" x14ac:dyDescent="0.25"/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106C-0485-4FC0-B06D-9F64D564DA9C}">
  <sheetPr codeName="Hoja8">
    <tabColor rgb="FFFFFF00"/>
  </sheetPr>
  <dimension ref="A1:AD46"/>
  <sheetViews>
    <sheetView showGridLines="0" topLeftCell="C17" zoomScale="115" zoomScaleNormal="115" zoomScaleSheetLayoutView="110" workbookViewId="0">
      <selection activeCell="C6" sqref="C6:Z41"/>
    </sheetView>
  </sheetViews>
  <sheetFormatPr baseColWidth="10" defaultColWidth="0" defaultRowHeight="0" customHeight="1" zeroHeight="1" x14ac:dyDescent="0.25"/>
  <cols>
    <col min="1" max="1" width="6.5703125" bestFit="1" customWidth="1"/>
    <col min="2" max="2" width="8.7109375" bestFit="1" customWidth="1"/>
    <col min="3" max="4" width="7.7109375" bestFit="1" customWidth="1"/>
    <col min="5" max="5" width="7.85546875" customWidth="1"/>
    <col min="6" max="10" width="7.7109375" bestFit="1" customWidth="1"/>
    <col min="11" max="11" width="7.7109375" customWidth="1"/>
    <col min="12" max="14" width="7.7109375" bestFit="1" customWidth="1"/>
    <col min="15" max="16" width="8" bestFit="1" customWidth="1"/>
    <col min="17" max="18" width="7.7109375" bestFit="1" customWidth="1"/>
    <col min="19" max="19" width="8" bestFit="1" customWidth="1"/>
    <col min="20" max="20" width="8.7109375" bestFit="1" customWidth="1"/>
    <col min="21" max="21" width="9" bestFit="1" customWidth="1"/>
    <col min="22" max="22" width="8.7109375" bestFit="1" customWidth="1"/>
    <col min="23" max="23" width="9" bestFit="1" customWidth="1"/>
    <col min="24" max="24" width="9.28515625" bestFit="1" customWidth="1"/>
    <col min="25" max="25" width="9" bestFit="1" customWidth="1"/>
    <col min="26" max="26" width="8.7109375" bestFit="1" customWidth="1"/>
    <col min="27" max="27" width="9.5703125" bestFit="1" customWidth="1"/>
    <col min="28" max="28" width="6.4257812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6" t="s">
        <v>54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8"/>
    </row>
    <row r="2" spans="1:30" ht="15" x14ac:dyDescent="0.25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1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5" x14ac:dyDescent="0.25">
      <c r="A4" s="92" t="s">
        <v>38</v>
      </c>
      <c r="B4" s="92" t="s">
        <v>37</v>
      </c>
      <c r="C4" s="84" t="s">
        <v>36</v>
      </c>
      <c r="D4" s="84" t="s">
        <v>35</v>
      </c>
      <c r="E4" s="84" t="s">
        <v>34</v>
      </c>
      <c r="F4" s="84" t="s">
        <v>33</v>
      </c>
      <c r="G4" s="84" t="s">
        <v>32</v>
      </c>
      <c r="H4" s="84" t="s">
        <v>31</v>
      </c>
      <c r="I4" s="84" t="s">
        <v>30</v>
      </c>
      <c r="J4" s="84" t="s">
        <v>29</v>
      </c>
      <c r="K4" s="84" t="s">
        <v>28</v>
      </c>
      <c r="L4" s="84" t="s">
        <v>27</v>
      </c>
      <c r="M4" s="84" t="s">
        <v>26</v>
      </c>
      <c r="N4" s="84" t="s">
        <v>25</v>
      </c>
      <c r="O4" s="84" t="s">
        <v>24</v>
      </c>
      <c r="P4" s="84" t="s">
        <v>23</v>
      </c>
      <c r="Q4" s="84" t="s">
        <v>22</v>
      </c>
      <c r="R4" s="84" t="s">
        <v>21</v>
      </c>
      <c r="S4" s="84" t="s">
        <v>20</v>
      </c>
      <c r="T4" s="84" t="s">
        <v>19</v>
      </c>
      <c r="U4" s="84" t="s">
        <v>18</v>
      </c>
      <c r="V4" s="84" t="s">
        <v>17</v>
      </c>
      <c r="W4" s="84" t="s">
        <v>16</v>
      </c>
      <c r="X4" s="84" t="s">
        <v>15</v>
      </c>
      <c r="Y4" s="84" t="s">
        <v>14</v>
      </c>
      <c r="Z4" s="84" t="s">
        <v>13</v>
      </c>
      <c r="AA4" s="14" t="s">
        <v>12</v>
      </c>
      <c r="AB4" s="15" t="s">
        <v>11</v>
      </c>
      <c r="AC4" s="82" t="s">
        <v>10</v>
      </c>
    </row>
    <row r="5" spans="1:30" ht="15" x14ac:dyDescent="0.25">
      <c r="A5" s="92"/>
      <c r="B5" s="92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16"/>
      <c r="AB5" s="17" t="s">
        <v>9</v>
      </c>
      <c r="AC5" s="83"/>
    </row>
    <row r="6" spans="1:30" ht="15.75" thickBot="1" x14ac:dyDescent="0.3">
      <c r="A6" s="78">
        <v>46388</v>
      </c>
      <c r="B6" s="18" t="s">
        <v>8</v>
      </c>
      <c r="C6" s="33">
        <f>ROUND('Anexo 9'!C6*'Anexo 2'!$D$10,0)</f>
        <v>0</v>
      </c>
      <c r="D6" s="33">
        <f>ROUND('Anexo 9'!D6*'Anexo 2'!$D$10,0)</f>
        <v>0</v>
      </c>
      <c r="E6" s="33">
        <f>ROUND('Anexo 9'!E6*'Anexo 2'!$D$10,0)</f>
        <v>0</v>
      </c>
      <c r="F6" s="33">
        <f>ROUND('Anexo 9'!F6*'Anexo 2'!$D$10,0)</f>
        <v>0</v>
      </c>
      <c r="G6" s="33">
        <f>ROUND('Anexo 9'!G6*'Anexo 2'!$D$10,0)</f>
        <v>0</v>
      </c>
      <c r="H6" s="33">
        <f>ROUND('Anexo 9'!H6*'Anexo 2'!$D$10,0)</f>
        <v>0</v>
      </c>
      <c r="I6" s="33">
        <f>ROUND('Anexo 9'!I6*'Anexo 2'!$D$10,0)</f>
        <v>0</v>
      </c>
      <c r="J6" s="33">
        <f>ROUND('Anexo 9'!J6*'Anexo 2'!$D$10,0)</f>
        <v>0</v>
      </c>
      <c r="K6" s="33">
        <f>ROUND('Anexo 9'!K6*'Anexo 2'!$D$10,0)</f>
        <v>0</v>
      </c>
      <c r="L6" s="33">
        <f>ROUND('Anexo 9'!L6*'Anexo 2'!$D$10,0)</f>
        <v>0</v>
      </c>
      <c r="M6" s="33">
        <f>ROUND('Anexo 9'!M6*'Anexo 2'!$D$10,0)</f>
        <v>0</v>
      </c>
      <c r="N6" s="33">
        <f>ROUND('Anexo 9'!N6*'Anexo 2'!$D$10,0)</f>
        <v>0</v>
      </c>
      <c r="O6" s="33">
        <f>ROUND('Anexo 9'!O6*'Anexo 2'!$D$10,0)</f>
        <v>0</v>
      </c>
      <c r="P6" s="33">
        <f>ROUND('Anexo 9'!P6*'Anexo 2'!$D$10,0)</f>
        <v>0</v>
      </c>
      <c r="Q6" s="33">
        <f>ROUND('Anexo 9'!Q6*'Anexo 2'!$D$10,0)</f>
        <v>0</v>
      </c>
      <c r="R6" s="33">
        <f>ROUND('Anexo 9'!R6*'Anexo 2'!$D$10,0)</f>
        <v>0</v>
      </c>
      <c r="S6" s="33">
        <f>ROUND('Anexo 9'!S6*'Anexo 2'!$D$10,0)</f>
        <v>0</v>
      </c>
      <c r="T6" s="33">
        <f>ROUND('Anexo 9'!T6*'Anexo 2'!$D$10,0)</f>
        <v>0</v>
      </c>
      <c r="U6" s="33">
        <f>ROUND('Anexo 9'!U6*'Anexo 2'!$D$10,0)</f>
        <v>0</v>
      </c>
      <c r="V6" s="33">
        <f>ROUND('Anexo 9'!V6*'Anexo 2'!$D$10,0)</f>
        <v>0</v>
      </c>
      <c r="W6" s="33">
        <f>ROUND('Anexo 9'!W6*'Anexo 2'!$D$10,0)</f>
        <v>0</v>
      </c>
      <c r="X6" s="33">
        <f>ROUND('Anexo 9'!X6*'Anexo 2'!$D$10,0)</f>
        <v>0</v>
      </c>
      <c r="Y6" s="33">
        <f>ROUND('Anexo 9'!Y6*'Anexo 2'!$D$10,0)</f>
        <v>0</v>
      </c>
      <c r="Z6" s="33">
        <f>ROUND('Anexo 9'!Z6*'Anexo 2'!$D$10,0)</f>
        <v>0</v>
      </c>
      <c r="AA6" s="35">
        <f>SUM(C6:Z6)</f>
        <v>0</v>
      </c>
      <c r="AB6" s="19">
        <v>19</v>
      </c>
      <c r="AC6" s="79">
        <f>+AA6*AB6+AA7*AB7+AA8*AB8</f>
        <v>0</v>
      </c>
    </row>
    <row r="7" spans="1:30" ht="15.75" thickBot="1" x14ac:dyDescent="0.3">
      <c r="A7" s="78"/>
      <c r="B7" s="20" t="s">
        <v>7</v>
      </c>
      <c r="C7" s="33">
        <f>ROUND('Anexo 9'!C7*'Anexo 2'!$D$10,0)</f>
        <v>0</v>
      </c>
      <c r="D7" s="33">
        <f>ROUND('Anexo 9'!D7*'Anexo 2'!$D$10,0)</f>
        <v>0</v>
      </c>
      <c r="E7" s="33">
        <f>ROUND('Anexo 9'!E7*'Anexo 2'!$D$10,0)</f>
        <v>0</v>
      </c>
      <c r="F7" s="33">
        <f>ROUND('Anexo 9'!F7*'Anexo 2'!$D$10,0)</f>
        <v>0</v>
      </c>
      <c r="G7" s="33">
        <f>ROUND('Anexo 9'!G7*'Anexo 2'!$D$10,0)</f>
        <v>0</v>
      </c>
      <c r="H7" s="33">
        <f>ROUND('Anexo 9'!H7*'Anexo 2'!$D$10,0)</f>
        <v>0</v>
      </c>
      <c r="I7" s="33">
        <f>ROUND('Anexo 9'!I7*'Anexo 2'!$D$10,0)</f>
        <v>0</v>
      </c>
      <c r="J7" s="33">
        <f>ROUND('Anexo 9'!J7*'Anexo 2'!$D$10,0)</f>
        <v>0</v>
      </c>
      <c r="K7" s="33">
        <f>ROUND('Anexo 9'!K7*'Anexo 2'!$D$10,0)</f>
        <v>0</v>
      </c>
      <c r="L7" s="33">
        <f>ROUND('Anexo 9'!L7*'Anexo 2'!$D$10,0)</f>
        <v>0</v>
      </c>
      <c r="M7" s="33">
        <f>ROUND('Anexo 9'!M7*'Anexo 2'!$D$10,0)</f>
        <v>0</v>
      </c>
      <c r="N7" s="33">
        <f>ROUND('Anexo 9'!N7*'Anexo 2'!$D$10,0)</f>
        <v>0</v>
      </c>
      <c r="O7" s="33">
        <f>ROUND('Anexo 9'!O7*'Anexo 2'!$D$10,0)</f>
        <v>0</v>
      </c>
      <c r="P7" s="33">
        <f>ROUND('Anexo 9'!P7*'Anexo 2'!$D$10,0)</f>
        <v>0</v>
      </c>
      <c r="Q7" s="33">
        <f>ROUND('Anexo 9'!Q7*'Anexo 2'!$D$10,0)</f>
        <v>0</v>
      </c>
      <c r="R7" s="33">
        <f>ROUND('Anexo 9'!R7*'Anexo 2'!$D$10,0)</f>
        <v>0</v>
      </c>
      <c r="S7" s="33">
        <f>ROUND('Anexo 9'!S7*'Anexo 2'!$D$10,0)</f>
        <v>0</v>
      </c>
      <c r="T7" s="33">
        <f>ROUND('Anexo 9'!T7*'Anexo 2'!$D$10,0)</f>
        <v>0</v>
      </c>
      <c r="U7" s="33">
        <f>ROUND('Anexo 9'!U7*'Anexo 2'!$D$10,0)</f>
        <v>0</v>
      </c>
      <c r="V7" s="33">
        <f>ROUND('Anexo 9'!V7*'Anexo 2'!$D$10,0)</f>
        <v>0</v>
      </c>
      <c r="W7" s="33">
        <f>ROUND('Anexo 9'!W7*'Anexo 2'!$D$10,0)</f>
        <v>0</v>
      </c>
      <c r="X7" s="33">
        <f>ROUND('Anexo 9'!X7*'Anexo 2'!$D$10,0)</f>
        <v>0</v>
      </c>
      <c r="Y7" s="33">
        <f>ROUND('Anexo 9'!Y7*'Anexo 2'!$D$10,0)</f>
        <v>0</v>
      </c>
      <c r="Z7" s="33">
        <f>ROUND('Anexo 9'!Z7*'Anexo 2'!$D$10,0)</f>
        <v>0</v>
      </c>
      <c r="AA7" s="38">
        <f t="shared" ref="AA7:AA41" si="0">SUM(C7:Z7)</f>
        <v>0</v>
      </c>
      <c r="AB7" s="21">
        <v>5</v>
      </c>
      <c r="AC7" s="80"/>
      <c r="AD7" s="47"/>
    </row>
    <row r="8" spans="1:30" ht="15.75" thickBot="1" x14ac:dyDescent="0.3">
      <c r="A8" s="78"/>
      <c r="B8" s="22" t="s">
        <v>6</v>
      </c>
      <c r="C8" s="33">
        <f>ROUND('Anexo 9'!C8*'Anexo 2'!$D$10,0)</f>
        <v>0</v>
      </c>
      <c r="D8" s="33">
        <f>ROUND('Anexo 9'!D8*'Anexo 2'!$D$10,0)</f>
        <v>0</v>
      </c>
      <c r="E8" s="33">
        <f>ROUND('Anexo 9'!E8*'Anexo 2'!$D$10,0)</f>
        <v>0</v>
      </c>
      <c r="F8" s="33">
        <f>ROUND('Anexo 9'!F8*'Anexo 2'!$D$10,0)</f>
        <v>0</v>
      </c>
      <c r="G8" s="33">
        <f>ROUND('Anexo 9'!G8*'Anexo 2'!$D$10,0)</f>
        <v>0</v>
      </c>
      <c r="H8" s="33">
        <f>ROUND('Anexo 9'!H8*'Anexo 2'!$D$10,0)</f>
        <v>0</v>
      </c>
      <c r="I8" s="33">
        <f>ROUND('Anexo 9'!I8*'Anexo 2'!$D$10,0)</f>
        <v>0</v>
      </c>
      <c r="J8" s="33">
        <f>ROUND('Anexo 9'!J8*'Anexo 2'!$D$10,0)</f>
        <v>0</v>
      </c>
      <c r="K8" s="33">
        <f>ROUND('Anexo 9'!K8*'Anexo 2'!$D$10,0)</f>
        <v>0</v>
      </c>
      <c r="L8" s="33">
        <f>ROUND('Anexo 9'!L8*'Anexo 2'!$D$10,0)</f>
        <v>0</v>
      </c>
      <c r="M8" s="33">
        <f>ROUND('Anexo 9'!M8*'Anexo 2'!$D$10,0)</f>
        <v>0</v>
      </c>
      <c r="N8" s="33">
        <f>ROUND('Anexo 9'!N8*'Anexo 2'!$D$10,0)</f>
        <v>0</v>
      </c>
      <c r="O8" s="33">
        <f>ROUND('Anexo 9'!O8*'Anexo 2'!$D$10,0)</f>
        <v>0</v>
      </c>
      <c r="P8" s="33">
        <f>ROUND('Anexo 9'!P8*'Anexo 2'!$D$10,0)</f>
        <v>0</v>
      </c>
      <c r="Q8" s="33">
        <f>ROUND('Anexo 9'!Q8*'Anexo 2'!$D$10,0)</f>
        <v>0</v>
      </c>
      <c r="R8" s="33">
        <f>ROUND('Anexo 9'!R8*'Anexo 2'!$D$10,0)</f>
        <v>0</v>
      </c>
      <c r="S8" s="33">
        <f>ROUND('Anexo 9'!S8*'Anexo 2'!$D$10,0)</f>
        <v>0</v>
      </c>
      <c r="T8" s="33">
        <f>ROUND('Anexo 9'!T8*'Anexo 2'!$D$10,0)</f>
        <v>0</v>
      </c>
      <c r="U8" s="33">
        <f>ROUND('Anexo 9'!U8*'Anexo 2'!$D$10,0)</f>
        <v>0</v>
      </c>
      <c r="V8" s="33">
        <f>ROUND('Anexo 9'!V8*'Anexo 2'!$D$10,0)</f>
        <v>0</v>
      </c>
      <c r="W8" s="33">
        <f>ROUND('Anexo 9'!W8*'Anexo 2'!$D$10,0)</f>
        <v>0</v>
      </c>
      <c r="X8" s="33">
        <f>ROUND('Anexo 9'!X8*'Anexo 2'!$D$10,0)</f>
        <v>0</v>
      </c>
      <c r="Y8" s="33">
        <f>ROUND('Anexo 9'!Y8*'Anexo 2'!$D$10,0)</f>
        <v>0</v>
      </c>
      <c r="Z8" s="33">
        <f>ROUND('Anexo 9'!Z8*'Anexo 2'!$D$10,0)</f>
        <v>0</v>
      </c>
      <c r="AA8" s="41">
        <f t="shared" si="0"/>
        <v>0</v>
      </c>
      <c r="AB8" s="23">
        <v>7</v>
      </c>
      <c r="AC8" s="81"/>
      <c r="AD8" s="48"/>
    </row>
    <row r="9" spans="1:30" ht="15.75" thickBot="1" x14ac:dyDescent="0.3">
      <c r="A9" s="78">
        <v>46419</v>
      </c>
      <c r="B9" s="18" t="s">
        <v>8</v>
      </c>
      <c r="C9" s="33">
        <f>ROUND('Anexo 9'!C9*'Anexo 2'!$D$10,0)</f>
        <v>0</v>
      </c>
      <c r="D9" s="33">
        <f>ROUND('Anexo 9'!D9*'Anexo 2'!$D$10,0)</f>
        <v>0</v>
      </c>
      <c r="E9" s="33">
        <f>ROUND('Anexo 9'!E9*'Anexo 2'!$D$10,0)</f>
        <v>0</v>
      </c>
      <c r="F9" s="33">
        <f>ROUND('Anexo 9'!F9*'Anexo 2'!$D$10,0)</f>
        <v>0</v>
      </c>
      <c r="G9" s="33">
        <f>ROUND('Anexo 9'!G9*'Anexo 2'!$D$10,0)</f>
        <v>0</v>
      </c>
      <c r="H9" s="33">
        <f>ROUND('Anexo 9'!H9*'Anexo 2'!$D$10,0)</f>
        <v>0</v>
      </c>
      <c r="I9" s="33">
        <f>ROUND('Anexo 9'!I9*'Anexo 2'!$D$10,0)</f>
        <v>0</v>
      </c>
      <c r="J9" s="33">
        <f>ROUND('Anexo 9'!J9*'Anexo 2'!$D$10,0)</f>
        <v>0</v>
      </c>
      <c r="K9" s="33">
        <f>ROUND('Anexo 9'!K9*'Anexo 2'!$D$10,0)</f>
        <v>0</v>
      </c>
      <c r="L9" s="33">
        <f>ROUND('Anexo 9'!L9*'Anexo 2'!$D$10,0)</f>
        <v>0</v>
      </c>
      <c r="M9" s="33">
        <f>ROUND('Anexo 9'!M9*'Anexo 2'!$D$10,0)</f>
        <v>0</v>
      </c>
      <c r="N9" s="33">
        <f>ROUND('Anexo 9'!N9*'Anexo 2'!$D$10,0)</f>
        <v>0</v>
      </c>
      <c r="O9" s="33">
        <f>ROUND('Anexo 9'!O9*'Anexo 2'!$D$10,0)</f>
        <v>0</v>
      </c>
      <c r="P9" s="33">
        <f>ROUND('Anexo 9'!P9*'Anexo 2'!$D$10,0)</f>
        <v>0</v>
      </c>
      <c r="Q9" s="33">
        <f>ROUND('Anexo 9'!Q9*'Anexo 2'!$D$10,0)</f>
        <v>0</v>
      </c>
      <c r="R9" s="33">
        <f>ROUND('Anexo 9'!R9*'Anexo 2'!$D$10,0)</f>
        <v>0</v>
      </c>
      <c r="S9" s="33">
        <f>ROUND('Anexo 9'!S9*'Anexo 2'!$D$10,0)</f>
        <v>0</v>
      </c>
      <c r="T9" s="33">
        <f>ROUND('Anexo 9'!T9*'Anexo 2'!$D$10,0)</f>
        <v>0</v>
      </c>
      <c r="U9" s="33">
        <f>ROUND('Anexo 9'!U9*'Anexo 2'!$D$10,0)</f>
        <v>0</v>
      </c>
      <c r="V9" s="33">
        <f>ROUND('Anexo 9'!V9*'Anexo 2'!$D$10,0)</f>
        <v>0</v>
      </c>
      <c r="W9" s="33">
        <f>ROUND('Anexo 9'!W9*'Anexo 2'!$D$10,0)</f>
        <v>0</v>
      </c>
      <c r="X9" s="33">
        <f>ROUND('Anexo 9'!X9*'Anexo 2'!$D$10,0)</f>
        <v>0</v>
      </c>
      <c r="Y9" s="33">
        <f>ROUND('Anexo 9'!Y9*'Anexo 2'!$D$10,0)</f>
        <v>0</v>
      </c>
      <c r="Z9" s="33">
        <f>ROUND('Anexo 9'!Z9*'Anexo 2'!$D$10,0)</f>
        <v>0</v>
      </c>
      <c r="AA9" s="35">
        <f t="shared" si="0"/>
        <v>0</v>
      </c>
      <c r="AB9" s="19">
        <v>20</v>
      </c>
      <c r="AC9" s="79">
        <f>+AA9*AB9+AA10*AB10+AA11*AB11</f>
        <v>0</v>
      </c>
    </row>
    <row r="10" spans="1:30" ht="15.75" thickBot="1" x14ac:dyDescent="0.3">
      <c r="A10" s="78"/>
      <c r="B10" s="20" t="s">
        <v>7</v>
      </c>
      <c r="C10" s="33">
        <f>ROUND('Anexo 9'!C10*'Anexo 2'!$D$10,0)</f>
        <v>0</v>
      </c>
      <c r="D10" s="33">
        <f>ROUND('Anexo 9'!D10*'Anexo 2'!$D$10,0)</f>
        <v>0</v>
      </c>
      <c r="E10" s="33">
        <f>ROUND('Anexo 9'!E10*'Anexo 2'!$D$10,0)</f>
        <v>0</v>
      </c>
      <c r="F10" s="33">
        <f>ROUND('Anexo 9'!F10*'Anexo 2'!$D$10,0)</f>
        <v>0</v>
      </c>
      <c r="G10" s="33">
        <f>ROUND('Anexo 9'!G10*'Anexo 2'!$D$10,0)</f>
        <v>0</v>
      </c>
      <c r="H10" s="33">
        <f>ROUND('Anexo 9'!H10*'Anexo 2'!$D$10,0)</f>
        <v>0</v>
      </c>
      <c r="I10" s="33">
        <f>ROUND('Anexo 9'!I10*'Anexo 2'!$D$10,0)</f>
        <v>0</v>
      </c>
      <c r="J10" s="33">
        <f>ROUND('Anexo 9'!J10*'Anexo 2'!$D$10,0)</f>
        <v>0</v>
      </c>
      <c r="K10" s="33">
        <f>ROUND('Anexo 9'!K10*'Anexo 2'!$D$10,0)</f>
        <v>0</v>
      </c>
      <c r="L10" s="33">
        <f>ROUND('Anexo 9'!L10*'Anexo 2'!$D$10,0)</f>
        <v>0</v>
      </c>
      <c r="M10" s="33">
        <f>ROUND('Anexo 9'!M10*'Anexo 2'!$D$10,0)</f>
        <v>0</v>
      </c>
      <c r="N10" s="33">
        <f>ROUND('Anexo 9'!N10*'Anexo 2'!$D$10,0)</f>
        <v>0</v>
      </c>
      <c r="O10" s="33">
        <f>ROUND('Anexo 9'!O10*'Anexo 2'!$D$10,0)</f>
        <v>0</v>
      </c>
      <c r="P10" s="33">
        <f>ROUND('Anexo 9'!P10*'Anexo 2'!$D$10,0)</f>
        <v>0</v>
      </c>
      <c r="Q10" s="33">
        <f>ROUND('Anexo 9'!Q10*'Anexo 2'!$D$10,0)</f>
        <v>0</v>
      </c>
      <c r="R10" s="33">
        <f>ROUND('Anexo 9'!R10*'Anexo 2'!$D$10,0)</f>
        <v>0</v>
      </c>
      <c r="S10" s="33">
        <f>ROUND('Anexo 9'!S10*'Anexo 2'!$D$10,0)</f>
        <v>0</v>
      </c>
      <c r="T10" s="33">
        <f>ROUND('Anexo 9'!T10*'Anexo 2'!$D$10,0)</f>
        <v>0</v>
      </c>
      <c r="U10" s="33">
        <f>ROUND('Anexo 9'!U10*'Anexo 2'!$D$10,0)</f>
        <v>0</v>
      </c>
      <c r="V10" s="33">
        <f>ROUND('Anexo 9'!V10*'Anexo 2'!$D$10,0)</f>
        <v>0</v>
      </c>
      <c r="W10" s="33">
        <f>ROUND('Anexo 9'!W10*'Anexo 2'!$D$10,0)</f>
        <v>0</v>
      </c>
      <c r="X10" s="33">
        <f>ROUND('Anexo 9'!X10*'Anexo 2'!$D$10,0)</f>
        <v>0</v>
      </c>
      <c r="Y10" s="33">
        <f>ROUND('Anexo 9'!Y10*'Anexo 2'!$D$10,0)</f>
        <v>0</v>
      </c>
      <c r="Z10" s="33">
        <f>ROUND('Anexo 9'!Z10*'Anexo 2'!$D$10,0)</f>
        <v>0</v>
      </c>
      <c r="AA10" s="38">
        <f t="shared" si="0"/>
        <v>0</v>
      </c>
      <c r="AB10" s="21">
        <v>4</v>
      </c>
      <c r="AC10" s="80"/>
      <c r="AD10" s="47"/>
    </row>
    <row r="11" spans="1:30" ht="15.75" thickBot="1" x14ac:dyDescent="0.3">
      <c r="A11" s="78"/>
      <c r="B11" s="22" t="s">
        <v>6</v>
      </c>
      <c r="C11" s="33">
        <f>ROUND('Anexo 9'!C11*'Anexo 2'!$D$10,0)</f>
        <v>0</v>
      </c>
      <c r="D11" s="33">
        <f>ROUND('Anexo 9'!D11*'Anexo 2'!$D$10,0)</f>
        <v>0</v>
      </c>
      <c r="E11" s="33">
        <f>ROUND('Anexo 9'!E11*'Anexo 2'!$D$10,0)</f>
        <v>0</v>
      </c>
      <c r="F11" s="33">
        <f>ROUND('Anexo 9'!F11*'Anexo 2'!$D$10,0)</f>
        <v>0</v>
      </c>
      <c r="G11" s="33">
        <f>ROUND('Anexo 9'!G11*'Anexo 2'!$D$10,0)</f>
        <v>0</v>
      </c>
      <c r="H11" s="33">
        <f>ROUND('Anexo 9'!H11*'Anexo 2'!$D$10,0)</f>
        <v>0</v>
      </c>
      <c r="I11" s="33">
        <f>ROUND('Anexo 9'!I11*'Anexo 2'!$D$10,0)</f>
        <v>0</v>
      </c>
      <c r="J11" s="33">
        <f>ROUND('Anexo 9'!J11*'Anexo 2'!$D$10,0)</f>
        <v>0</v>
      </c>
      <c r="K11" s="33">
        <f>ROUND('Anexo 9'!K11*'Anexo 2'!$D$10,0)</f>
        <v>0</v>
      </c>
      <c r="L11" s="33">
        <f>ROUND('Anexo 9'!L11*'Anexo 2'!$D$10,0)</f>
        <v>0</v>
      </c>
      <c r="M11" s="33">
        <f>ROUND('Anexo 9'!M11*'Anexo 2'!$D$10,0)</f>
        <v>0</v>
      </c>
      <c r="N11" s="33">
        <f>ROUND('Anexo 9'!N11*'Anexo 2'!$D$10,0)</f>
        <v>0</v>
      </c>
      <c r="O11" s="33">
        <f>ROUND('Anexo 9'!O11*'Anexo 2'!$D$10,0)</f>
        <v>0</v>
      </c>
      <c r="P11" s="33">
        <f>ROUND('Anexo 9'!P11*'Anexo 2'!$D$10,0)</f>
        <v>0</v>
      </c>
      <c r="Q11" s="33">
        <f>ROUND('Anexo 9'!Q11*'Anexo 2'!$D$10,0)</f>
        <v>0</v>
      </c>
      <c r="R11" s="33">
        <f>ROUND('Anexo 9'!R11*'Anexo 2'!$D$10,0)</f>
        <v>0</v>
      </c>
      <c r="S11" s="33">
        <f>ROUND('Anexo 9'!S11*'Anexo 2'!$D$10,0)</f>
        <v>0</v>
      </c>
      <c r="T11" s="33">
        <f>ROUND('Anexo 9'!T11*'Anexo 2'!$D$10,0)</f>
        <v>0</v>
      </c>
      <c r="U11" s="33">
        <f>ROUND('Anexo 9'!U11*'Anexo 2'!$D$10,0)</f>
        <v>0</v>
      </c>
      <c r="V11" s="33">
        <f>ROUND('Anexo 9'!V11*'Anexo 2'!$D$10,0)</f>
        <v>0</v>
      </c>
      <c r="W11" s="33">
        <f>ROUND('Anexo 9'!W11*'Anexo 2'!$D$10,0)</f>
        <v>0</v>
      </c>
      <c r="X11" s="33">
        <f>ROUND('Anexo 9'!X11*'Anexo 2'!$D$10,0)</f>
        <v>0</v>
      </c>
      <c r="Y11" s="33">
        <f>ROUND('Anexo 9'!Y11*'Anexo 2'!$D$10,0)</f>
        <v>0</v>
      </c>
      <c r="Z11" s="33">
        <f>ROUND('Anexo 9'!Z11*'Anexo 2'!$D$10,0)</f>
        <v>0</v>
      </c>
      <c r="AA11" s="41">
        <f t="shared" si="0"/>
        <v>0</v>
      </c>
      <c r="AB11" s="23">
        <v>4</v>
      </c>
      <c r="AC11" s="81"/>
      <c r="AD11" s="48"/>
    </row>
    <row r="12" spans="1:30" ht="15.75" thickBot="1" x14ac:dyDescent="0.3">
      <c r="A12" s="78">
        <v>46447</v>
      </c>
      <c r="B12" s="18" t="s">
        <v>8</v>
      </c>
      <c r="C12" s="33">
        <f>ROUND('Anexo 9'!C12*'Anexo 2'!$D$10,0)</f>
        <v>0</v>
      </c>
      <c r="D12" s="33">
        <f>ROUND('Anexo 9'!D12*'Anexo 2'!$D$10,0)</f>
        <v>0</v>
      </c>
      <c r="E12" s="33">
        <f>ROUND('Anexo 9'!E12*'Anexo 2'!$D$10,0)</f>
        <v>0</v>
      </c>
      <c r="F12" s="33">
        <f>ROUND('Anexo 9'!F12*'Anexo 2'!$D$10,0)</f>
        <v>0</v>
      </c>
      <c r="G12" s="33">
        <f>ROUND('Anexo 9'!G12*'Anexo 2'!$D$10,0)</f>
        <v>0</v>
      </c>
      <c r="H12" s="33">
        <f>ROUND('Anexo 9'!H12*'Anexo 2'!$D$10,0)</f>
        <v>0</v>
      </c>
      <c r="I12" s="33">
        <f>ROUND('Anexo 9'!I12*'Anexo 2'!$D$10,0)</f>
        <v>0</v>
      </c>
      <c r="J12" s="33">
        <f>ROUND('Anexo 9'!J12*'Anexo 2'!$D$10,0)</f>
        <v>0</v>
      </c>
      <c r="K12" s="33">
        <f>ROUND('Anexo 9'!K12*'Anexo 2'!$D$10,0)</f>
        <v>0</v>
      </c>
      <c r="L12" s="33">
        <f>ROUND('Anexo 9'!L12*'Anexo 2'!$D$10,0)</f>
        <v>0</v>
      </c>
      <c r="M12" s="33">
        <f>ROUND('Anexo 9'!M12*'Anexo 2'!$D$10,0)</f>
        <v>0</v>
      </c>
      <c r="N12" s="33">
        <f>ROUND('Anexo 9'!N12*'Anexo 2'!$D$10,0)</f>
        <v>0</v>
      </c>
      <c r="O12" s="33">
        <f>ROUND('Anexo 9'!O12*'Anexo 2'!$D$10,0)</f>
        <v>0</v>
      </c>
      <c r="P12" s="33">
        <f>ROUND('Anexo 9'!P12*'Anexo 2'!$D$10,0)</f>
        <v>0</v>
      </c>
      <c r="Q12" s="33">
        <f>ROUND('Anexo 9'!Q12*'Anexo 2'!$D$10,0)</f>
        <v>0</v>
      </c>
      <c r="R12" s="33">
        <f>ROUND('Anexo 9'!R12*'Anexo 2'!$D$10,0)</f>
        <v>0</v>
      </c>
      <c r="S12" s="33">
        <f>ROUND('Anexo 9'!S12*'Anexo 2'!$D$10,0)</f>
        <v>0</v>
      </c>
      <c r="T12" s="33">
        <f>ROUND('Anexo 9'!T12*'Anexo 2'!$D$10,0)</f>
        <v>0</v>
      </c>
      <c r="U12" s="33">
        <f>ROUND('Anexo 9'!U12*'Anexo 2'!$D$10,0)</f>
        <v>0</v>
      </c>
      <c r="V12" s="33">
        <f>ROUND('Anexo 9'!V12*'Anexo 2'!$D$10,0)</f>
        <v>0</v>
      </c>
      <c r="W12" s="33">
        <f>ROUND('Anexo 9'!W12*'Anexo 2'!$D$10,0)</f>
        <v>0</v>
      </c>
      <c r="X12" s="33">
        <f>ROUND('Anexo 9'!X12*'Anexo 2'!$D$10,0)</f>
        <v>0</v>
      </c>
      <c r="Y12" s="33">
        <f>ROUND('Anexo 9'!Y12*'Anexo 2'!$D$10,0)</f>
        <v>0</v>
      </c>
      <c r="Z12" s="33">
        <f>ROUND('Anexo 9'!Z12*'Anexo 2'!$D$10,0)</f>
        <v>0</v>
      </c>
      <c r="AA12" s="35">
        <f t="shared" si="0"/>
        <v>0</v>
      </c>
      <c r="AB12" s="19">
        <v>20</v>
      </c>
      <c r="AC12" s="79">
        <f>+AA12*AB12+AA13*AB13+AA14*AB14</f>
        <v>0</v>
      </c>
    </row>
    <row r="13" spans="1:30" ht="15.75" thickBot="1" x14ac:dyDescent="0.3">
      <c r="A13" s="78"/>
      <c r="B13" s="20" t="s">
        <v>7</v>
      </c>
      <c r="C13" s="33">
        <f>ROUND('Anexo 9'!C13*'Anexo 2'!$D$10,0)</f>
        <v>0</v>
      </c>
      <c r="D13" s="33">
        <f>ROUND('Anexo 9'!D13*'Anexo 2'!$D$10,0)</f>
        <v>0</v>
      </c>
      <c r="E13" s="33">
        <f>ROUND('Anexo 9'!E13*'Anexo 2'!$D$10,0)</f>
        <v>0</v>
      </c>
      <c r="F13" s="33">
        <f>ROUND('Anexo 9'!F13*'Anexo 2'!$D$10,0)</f>
        <v>0</v>
      </c>
      <c r="G13" s="33">
        <f>ROUND('Anexo 9'!G13*'Anexo 2'!$D$10,0)</f>
        <v>0</v>
      </c>
      <c r="H13" s="33">
        <f>ROUND('Anexo 9'!H13*'Anexo 2'!$D$10,0)</f>
        <v>0</v>
      </c>
      <c r="I13" s="33">
        <f>ROUND('Anexo 9'!I13*'Anexo 2'!$D$10,0)</f>
        <v>0</v>
      </c>
      <c r="J13" s="33">
        <f>ROUND('Anexo 9'!J13*'Anexo 2'!$D$10,0)</f>
        <v>0</v>
      </c>
      <c r="K13" s="33">
        <f>ROUND('Anexo 9'!K13*'Anexo 2'!$D$10,0)</f>
        <v>0</v>
      </c>
      <c r="L13" s="33">
        <f>ROUND('Anexo 9'!L13*'Anexo 2'!$D$10,0)</f>
        <v>0</v>
      </c>
      <c r="M13" s="33">
        <f>ROUND('Anexo 9'!M13*'Anexo 2'!$D$10,0)</f>
        <v>0</v>
      </c>
      <c r="N13" s="33">
        <f>ROUND('Anexo 9'!N13*'Anexo 2'!$D$10,0)</f>
        <v>0</v>
      </c>
      <c r="O13" s="33">
        <f>ROUND('Anexo 9'!O13*'Anexo 2'!$D$10,0)</f>
        <v>0</v>
      </c>
      <c r="P13" s="33">
        <f>ROUND('Anexo 9'!P13*'Anexo 2'!$D$10,0)</f>
        <v>0</v>
      </c>
      <c r="Q13" s="33">
        <f>ROUND('Anexo 9'!Q13*'Anexo 2'!$D$10,0)</f>
        <v>0</v>
      </c>
      <c r="R13" s="33">
        <f>ROUND('Anexo 9'!R13*'Anexo 2'!$D$10,0)</f>
        <v>0</v>
      </c>
      <c r="S13" s="33">
        <f>ROUND('Anexo 9'!S13*'Anexo 2'!$D$10,0)</f>
        <v>0</v>
      </c>
      <c r="T13" s="33">
        <f>ROUND('Anexo 9'!T13*'Anexo 2'!$D$10,0)</f>
        <v>0</v>
      </c>
      <c r="U13" s="33">
        <f>ROUND('Anexo 9'!U13*'Anexo 2'!$D$10,0)</f>
        <v>0</v>
      </c>
      <c r="V13" s="33">
        <f>ROUND('Anexo 9'!V13*'Anexo 2'!$D$10,0)</f>
        <v>0</v>
      </c>
      <c r="W13" s="33">
        <f>ROUND('Anexo 9'!W13*'Anexo 2'!$D$10,0)</f>
        <v>0</v>
      </c>
      <c r="X13" s="33">
        <f>ROUND('Anexo 9'!X13*'Anexo 2'!$D$10,0)</f>
        <v>0</v>
      </c>
      <c r="Y13" s="33">
        <f>ROUND('Anexo 9'!Y13*'Anexo 2'!$D$10,0)</f>
        <v>0</v>
      </c>
      <c r="Z13" s="33">
        <f>ROUND('Anexo 9'!Z13*'Anexo 2'!$D$10,0)</f>
        <v>0</v>
      </c>
      <c r="AA13" s="38">
        <f t="shared" si="0"/>
        <v>0</v>
      </c>
      <c r="AB13" s="21">
        <v>4</v>
      </c>
      <c r="AC13" s="80"/>
      <c r="AD13" s="47"/>
    </row>
    <row r="14" spans="1:30" ht="15.75" thickBot="1" x14ac:dyDescent="0.3">
      <c r="A14" s="78"/>
      <c r="B14" s="22" t="s">
        <v>6</v>
      </c>
      <c r="C14" s="33">
        <f>ROUND('Anexo 9'!C14*'Anexo 2'!$D$10,0)</f>
        <v>0</v>
      </c>
      <c r="D14" s="33">
        <f>ROUND('Anexo 9'!D14*'Anexo 2'!$D$10,0)</f>
        <v>0</v>
      </c>
      <c r="E14" s="33">
        <f>ROUND('Anexo 9'!E14*'Anexo 2'!$D$10,0)</f>
        <v>0</v>
      </c>
      <c r="F14" s="33">
        <f>ROUND('Anexo 9'!F14*'Anexo 2'!$D$10,0)</f>
        <v>0</v>
      </c>
      <c r="G14" s="33">
        <f>ROUND('Anexo 9'!G14*'Anexo 2'!$D$10,0)</f>
        <v>0</v>
      </c>
      <c r="H14" s="33">
        <f>ROUND('Anexo 9'!H14*'Anexo 2'!$D$10,0)</f>
        <v>0</v>
      </c>
      <c r="I14" s="33">
        <f>ROUND('Anexo 9'!I14*'Anexo 2'!$D$10,0)</f>
        <v>0</v>
      </c>
      <c r="J14" s="33">
        <f>ROUND('Anexo 9'!J14*'Anexo 2'!$D$10,0)</f>
        <v>0</v>
      </c>
      <c r="K14" s="33">
        <f>ROUND('Anexo 9'!K14*'Anexo 2'!$D$10,0)</f>
        <v>0</v>
      </c>
      <c r="L14" s="33">
        <f>ROUND('Anexo 9'!L14*'Anexo 2'!$D$10,0)</f>
        <v>0</v>
      </c>
      <c r="M14" s="33">
        <f>ROUND('Anexo 9'!M14*'Anexo 2'!$D$10,0)</f>
        <v>0</v>
      </c>
      <c r="N14" s="33">
        <f>ROUND('Anexo 9'!N14*'Anexo 2'!$D$10,0)</f>
        <v>0</v>
      </c>
      <c r="O14" s="33">
        <f>ROUND('Anexo 9'!O14*'Anexo 2'!$D$10,0)</f>
        <v>0</v>
      </c>
      <c r="P14" s="33">
        <f>ROUND('Anexo 9'!P14*'Anexo 2'!$D$10,0)</f>
        <v>0</v>
      </c>
      <c r="Q14" s="33">
        <f>ROUND('Anexo 9'!Q14*'Anexo 2'!$D$10,0)</f>
        <v>0</v>
      </c>
      <c r="R14" s="33">
        <f>ROUND('Anexo 9'!R14*'Anexo 2'!$D$10,0)</f>
        <v>0</v>
      </c>
      <c r="S14" s="33">
        <f>ROUND('Anexo 9'!S14*'Anexo 2'!$D$10,0)</f>
        <v>0</v>
      </c>
      <c r="T14" s="33">
        <f>ROUND('Anexo 9'!T14*'Anexo 2'!$D$10,0)</f>
        <v>0</v>
      </c>
      <c r="U14" s="33">
        <f>ROUND('Anexo 9'!U14*'Anexo 2'!$D$10,0)</f>
        <v>0</v>
      </c>
      <c r="V14" s="33">
        <f>ROUND('Anexo 9'!V14*'Anexo 2'!$D$10,0)</f>
        <v>0</v>
      </c>
      <c r="W14" s="33">
        <f>ROUND('Anexo 9'!W14*'Anexo 2'!$D$10,0)</f>
        <v>0</v>
      </c>
      <c r="X14" s="33">
        <f>ROUND('Anexo 9'!X14*'Anexo 2'!$D$10,0)</f>
        <v>0</v>
      </c>
      <c r="Y14" s="33">
        <f>ROUND('Anexo 9'!Y14*'Anexo 2'!$D$10,0)</f>
        <v>0</v>
      </c>
      <c r="Z14" s="33">
        <f>ROUND('Anexo 9'!Z14*'Anexo 2'!$D$10,0)</f>
        <v>0</v>
      </c>
      <c r="AA14" s="41">
        <f t="shared" si="0"/>
        <v>0</v>
      </c>
      <c r="AB14" s="23">
        <v>7</v>
      </c>
      <c r="AC14" s="81"/>
      <c r="AD14" s="45"/>
    </row>
    <row r="15" spans="1:30" ht="15.75" thickBot="1" x14ac:dyDescent="0.3">
      <c r="A15" s="78">
        <v>46478</v>
      </c>
      <c r="B15" s="18" t="s">
        <v>8</v>
      </c>
      <c r="C15" s="33">
        <f>ROUND('Anexo 9'!C15*'Anexo 2'!$D$10,0)</f>
        <v>0</v>
      </c>
      <c r="D15" s="33">
        <f>ROUND('Anexo 9'!D15*'Anexo 2'!$D$10,0)</f>
        <v>0</v>
      </c>
      <c r="E15" s="33">
        <f>ROUND('Anexo 9'!E15*'Anexo 2'!$D$10,0)</f>
        <v>0</v>
      </c>
      <c r="F15" s="33">
        <f>ROUND('Anexo 9'!F15*'Anexo 2'!$D$10,0)</f>
        <v>0</v>
      </c>
      <c r="G15" s="33">
        <f>ROUND('Anexo 9'!G15*'Anexo 2'!$D$10,0)</f>
        <v>0</v>
      </c>
      <c r="H15" s="33">
        <f>ROUND('Anexo 9'!H15*'Anexo 2'!$D$10,0)</f>
        <v>0</v>
      </c>
      <c r="I15" s="33">
        <f>ROUND('Anexo 9'!I15*'Anexo 2'!$D$10,0)</f>
        <v>0</v>
      </c>
      <c r="J15" s="33">
        <f>ROUND('Anexo 9'!J15*'Anexo 2'!$D$10,0)</f>
        <v>0</v>
      </c>
      <c r="K15" s="33">
        <f>ROUND('Anexo 9'!K15*'Anexo 2'!$D$10,0)</f>
        <v>0</v>
      </c>
      <c r="L15" s="33">
        <f>ROUND('Anexo 9'!L15*'Anexo 2'!$D$10,0)</f>
        <v>0</v>
      </c>
      <c r="M15" s="33">
        <f>ROUND('Anexo 9'!M15*'Anexo 2'!$D$10,0)</f>
        <v>0</v>
      </c>
      <c r="N15" s="33">
        <f>ROUND('Anexo 9'!N15*'Anexo 2'!$D$10,0)</f>
        <v>0</v>
      </c>
      <c r="O15" s="33">
        <f>ROUND('Anexo 9'!O15*'Anexo 2'!$D$10,0)</f>
        <v>0</v>
      </c>
      <c r="P15" s="33">
        <f>ROUND('Anexo 9'!P15*'Anexo 2'!$D$10,0)</f>
        <v>0</v>
      </c>
      <c r="Q15" s="33">
        <f>ROUND('Anexo 9'!Q15*'Anexo 2'!$D$10,0)</f>
        <v>0</v>
      </c>
      <c r="R15" s="33">
        <f>ROUND('Anexo 9'!R15*'Anexo 2'!$D$10,0)</f>
        <v>0</v>
      </c>
      <c r="S15" s="33">
        <f>ROUND('Anexo 9'!S15*'Anexo 2'!$D$10,0)</f>
        <v>0</v>
      </c>
      <c r="T15" s="33">
        <f>ROUND('Anexo 9'!T15*'Anexo 2'!$D$10,0)</f>
        <v>0</v>
      </c>
      <c r="U15" s="33">
        <f>ROUND('Anexo 9'!U15*'Anexo 2'!$D$10,0)</f>
        <v>0</v>
      </c>
      <c r="V15" s="33">
        <f>ROUND('Anexo 9'!V15*'Anexo 2'!$D$10,0)</f>
        <v>0</v>
      </c>
      <c r="W15" s="33">
        <f>ROUND('Anexo 9'!W15*'Anexo 2'!$D$10,0)</f>
        <v>0</v>
      </c>
      <c r="X15" s="33">
        <f>ROUND('Anexo 9'!X15*'Anexo 2'!$D$10,0)</f>
        <v>0</v>
      </c>
      <c r="Y15" s="33">
        <f>ROUND('Anexo 9'!Y15*'Anexo 2'!$D$10,0)</f>
        <v>0</v>
      </c>
      <c r="Z15" s="33">
        <f>ROUND('Anexo 9'!Z15*'Anexo 2'!$D$10,0)</f>
        <v>0</v>
      </c>
      <c r="AA15" s="35">
        <f t="shared" si="0"/>
        <v>0</v>
      </c>
      <c r="AB15" s="19">
        <v>22</v>
      </c>
      <c r="AC15" s="79">
        <f>+AA15*AB15+AA16*AB16+AA17*AB17</f>
        <v>0</v>
      </c>
    </row>
    <row r="16" spans="1:30" ht="15.75" thickBot="1" x14ac:dyDescent="0.3">
      <c r="A16" s="78"/>
      <c r="B16" s="20" t="s">
        <v>7</v>
      </c>
      <c r="C16" s="33">
        <f>ROUND('Anexo 9'!C16*'Anexo 2'!$D$10,0)</f>
        <v>0</v>
      </c>
      <c r="D16" s="33">
        <f>ROUND('Anexo 9'!D16*'Anexo 2'!$D$10,0)</f>
        <v>0</v>
      </c>
      <c r="E16" s="33">
        <f>ROUND('Anexo 9'!E16*'Anexo 2'!$D$10,0)</f>
        <v>0</v>
      </c>
      <c r="F16" s="33">
        <f>ROUND('Anexo 9'!F16*'Anexo 2'!$D$10,0)</f>
        <v>0</v>
      </c>
      <c r="G16" s="33">
        <f>ROUND('Anexo 9'!G16*'Anexo 2'!$D$10,0)</f>
        <v>0</v>
      </c>
      <c r="H16" s="33">
        <f>ROUND('Anexo 9'!H16*'Anexo 2'!$D$10,0)</f>
        <v>0</v>
      </c>
      <c r="I16" s="33">
        <f>ROUND('Anexo 9'!I16*'Anexo 2'!$D$10,0)</f>
        <v>0</v>
      </c>
      <c r="J16" s="33">
        <f>ROUND('Anexo 9'!J16*'Anexo 2'!$D$10,0)</f>
        <v>0</v>
      </c>
      <c r="K16" s="33">
        <f>ROUND('Anexo 9'!K16*'Anexo 2'!$D$10,0)</f>
        <v>0</v>
      </c>
      <c r="L16" s="33">
        <f>ROUND('Anexo 9'!L16*'Anexo 2'!$D$10,0)</f>
        <v>0</v>
      </c>
      <c r="M16" s="33">
        <f>ROUND('Anexo 9'!M16*'Anexo 2'!$D$10,0)</f>
        <v>0</v>
      </c>
      <c r="N16" s="33">
        <f>ROUND('Anexo 9'!N16*'Anexo 2'!$D$10,0)</f>
        <v>0</v>
      </c>
      <c r="O16" s="33">
        <f>ROUND('Anexo 9'!O16*'Anexo 2'!$D$10,0)</f>
        <v>0</v>
      </c>
      <c r="P16" s="33">
        <f>ROUND('Anexo 9'!P16*'Anexo 2'!$D$10,0)</f>
        <v>0</v>
      </c>
      <c r="Q16" s="33">
        <f>ROUND('Anexo 9'!Q16*'Anexo 2'!$D$10,0)</f>
        <v>0</v>
      </c>
      <c r="R16" s="33">
        <f>ROUND('Anexo 9'!R16*'Anexo 2'!$D$10,0)</f>
        <v>0</v>
      </c>
      <c r="S16" s="33">
        <f>ROUND('Anexo 9'!S16*'Anexo 2'!$D$10,0)</f>
        <v>0</v>
      </c>
      <c r="T16" s="33">
        <f>ROUND('Anexo 9'!T16*'Anexo 2'!$D$10,0)</f>
        <v>0</v>
      </c>
      <c r="U16" s="33">
        <f>ROUND('Anexo 9'!U16*'Anexo 2'!$D$10,0)</f>
        <v>0</v>
      </c>
      <c r="V16" s="33">
        <f>ROUND('Anexo 9'!V16*'Anexo 2'!$D$10,0)</f>
        <v>0</v>
      </c>
      <c r="W16" s="33">
        <f>ROUND('Anexo 9'!W16*'Anexo 2'!$D$10,0)</f>
        <v>0</v>
      </c>
      <c r="X16" s="33">
        <f>ROUND('Anexo 9'!X16*'Anexo 2'!$D$10,0)</f>
        <v>0</v>
      </c>
      <c r="Y16" s="33">
        <f>ROUND('Anexo 9'!Y16*'Anexo 2'!$D$10,0)</f>
        <v>0</v>
      </c>
      <c r="Z16" s="33">
        <f>ROUND('Anexo 9'!Z16*'Anexo 2'!$D$10,0)</f>
        <v>0</v>
      </c>
      <c r="AA16" s="38">
        <f t="shared" si="0"/>
        <v>0</v>
      </c>
      <c r="AB16" s="21">
        <v>4</v>
      </c>
      <c r="AC16" s="80"/>
      <c r="AD16" s="47"/>
    </row>
    <row r="17" spans="1:30" ht="15.75" thickBot="1" x14ac:dyDescent="0.3">
      <c r="A17" s="78"/>
      <c r="B17" s="22" t="s">
        <v>6</v>
      </c>
      <c r="C17" s="33">
        <f>ROUND('Anexo 9'!C17*'Anexo 2'!$D$10,0)</f>
        <v>0</v>
      </c>
      <c r="D17" s="33">
        <f>ROUND('Anexo 9'!D17*'Anexo 2'!$D$10,0)</f>
        <v>0</v>
      </c>
      <c r="E17" s="33">
        <f>ROUND('Anexo 9'!E17*'Anexo 2'!$D$10,0)</f>
        <v>0</v>
      </c>
      <c r="F17" s="33">
        <f>ROUND('Anexo 9'!F17*'Anexo 2'!$D$10,0)</f>
        <v>0</v>
      </c>
      <c r="G17" s="33">
        <f>ROUND('Anexo 9'!G17*'Anexo 2'!$D$10,0)</f>
        <v>0</v>
      </c>
      <c r="H17" s="33">
        <f>ROUND('Anexo 9'!H17*'Anexo 2'!$D$10,0)</f>
        <v>0</v>
      </c>
      <c r="I17" s="33">
        <f>ROUND('Anexo 9'!I17*'Anexo 2'!$D$10,0)</f>
        <v>0</v>
      </c>
      <c r="J17" s="33">
        <f>ROUND('Anexo 9'!J17*'Anexo 2'!$D$10,0)</f>
        <v>0</v>
      </c>
      <c r="K17" s="33">
        <f>ROUND('Anexo 9'!K17*'Anexo 2'!$D$10,0)</f>
        <v>0</v>
      </c>
      <c r="L17" s="33">
        <f>ROUND('Anexo 9'!L17*'Anexo 2'!$D$10,0)</f>
        <v>0</v>
      </c>
      <c r="M17" s="33">
        <f>ROUND('Anexo 9'!M17*'Anexo 2'!$D$10,0)</f>
        <v>0</v>
      </c>
      <c r="N17" s="33">
        <f>ROUND('Anexo 9'!N17*'Anexo 2'!$D$10,0)</f>
        <v>0</v>
      </c>
      <c r="O17" s="33">
        <f>ROUND('Anexo 9'!O17*'Anexo 2'!$D$10,0)</f>
        <v>0</v>
      </c>
      <c r="P17" s="33">
        <f>ROUND('Anexo 9'!P17*'Anexo 2'!$D$10,0)</f>
        <v>0</v>
      </c>
      <c r="Q17" s="33">
        <f>ROUND('Anexo 9'!Q17*'Anexo 2'!$D$10,0)</f>
        <v>0</v>
      </c>
      <c r="R17" s="33">
        <f>ROUND('Anexo 9'!R17*'Anexo 2'!$D$10,0)</f>
        <v>0</v>
      </c>
      <c r="S17" s="33">
        <f>ROUND('Anexo 9'!S17*'Anexo 2'!$D$10,0)</f>
        <v>0</v>
      </c>
      <c r="T17" s="33">
        <f>ROUND('Anexo 9'!T17*'Anexo 2'!$D$10,0)</f>
        <v>0</v>
      </c>
      <c r="U17" s="33">
        <f>ROUND('Anexo 9'!U17*'Anexo 2'!$D$10,0)</f>
        <v>0</v>
      </c>
      <c r="V17" s="33">
        <f>ROUND('Anexo 9'!V17*'Anexo 2'!$D$10,0)</f>
        <v>0</v>
      </c>
      <c r="W17" s="33">
        <f>ROUND('Anexo 9'!W17*'Anexo 2'!$D$10,0)</f>
        <v>0</v>
      </c>
      <c r="X17" s="33">
        <f>ROUND('Anexo 9'!X17*'Anexo 2'!$D$10,0)</f>
        <v>0</v>
      </c>
      <c r="Y17" s="33">
        <f>ROUND('Anexo 9'!Y17*'Anexo 2'!$D$10,0)</f>
        <v>0</v>
      </c>
      <c r="Z17" s="33">
        <f>ROUND('Anexo 9'!Z17*'Anexo 2'!$D$10,0)</f>
        <v>0</v>
      </c>
      <c r="AA17" s="41">
        <f t="shared" si="0"/>
        <v>0</v>
      </c>
      <c r="AB17" s="23">
        <v>4</v>
      </c>
      <c r="AC17" s="81"/>
      <c r="AD17" s="48"/>
    </row>
    <row r="18" spans="1:30" ht="15.75" thickBot="1" x14ac:dyDescent="0.3">
      <c r="A18" s="78">
        <v>46508</v>
      </c>
      <c r="B18" s="18" t="s">
        <v>8</v>
      </c>
      <c r="C18" s="33">
        <f>ROUND('Anexo 9'!C18*'Anexo 2'!$D$10,0)</f>
        <v>0</v>
      </c>
      <c r="D18" s="33">
        <f>ROUND('Anexo 9'!D18*'Anexo 2'!$D$10,0)</f>
        <v>0</v>
      </c>
      <c r="E18" s="33">
        <f>ROUND('Anexo 9'!E18*'Anexo 2'!$D$10,0)</f>
        <v>0</v>
      </c>
      <c r="F18" s="33">
        <f>ROUND('Anexo 9'!F18*'Anexo 2'!$D$10,0)</f>
        <v>0</v>
      </c>
      <c r="G18" s="33">
        <f>ROUND('Anexo 9'!G18*'Anexo 2'!$D$10,0)</f>
        <v>0</v>
      </c>
      <c r="H18" s="33">
        <f>ROUND('Anexo 9'!H18*'Anexo 2'!$D$10,0)</f>
        <v>0</v>
      </c>
      <c r="I18" s="33">
        <f>ROUND('Anexo 9'!I18*'Anexo 2'!$D$10,0)</f>
        <v>0</v>
      </c>
      <c r="J18" s="33">
        <f>ROUND('Anexo 9'!J18*'Anexo 2'!$D$10,0)</f>
        <v>0</v>
      </c>
      <c r="K18" s="33">
        <f>ROUND('Anexo 9'!K18*'Anexo 2'!$D$10,0)</f>
        <v>0</v>
      </c>
      <c r="L18" s="33">
        <f>ROUND('Anexo 9'!L18*'Anexo 2'!$D$10,0)</f>
        <v>0</v>
      </c>
      <c r="M18" s="33">
        <f>ROUND('Anexo 9'!M18*'Anexo 2'!$D$10,0)</f>
        <v>0</v>
      </c>
      <c r="N18" s="33">
        <f>ROUND('Anexo 9'!N18*'Anexo 2'!$D$10,0)</f>
        <v>0</v>
      </c>
      <c r="O18" s="33">
        <f>ROUND('Anexo 9'!O18*'Anexo 2'!$D$10,0)</f>
        <v>0</v>
      </c>
      <c r="P18" s="33">
        <f>ROUND('Anexo 9'!P18*'Anexo 2'!$D$10,0)</f>
        <v>0</v>
      </c>
      <c r="Q18" s="33">
        <f>ROUND('Anexo 9'!Q18*'Anexo 2'!$D$10,0)</f>
        <v>0</v>
      </c>
      <c r="R18" s="33">
        <f>ROUND('Anexo 9'!R18*'Anexo 2'!$D$10,0)</f>
        <v>0</v>
      </c>
      <c r="S18" s="33">
        <f>ROUND('Anexo 9'!S18*'Anexo 2'!$D$10,0)</f>
        <v>0</v>
      </c>
      <c r="T18" s="33">
        <f>ROUND('Anexo 9'!T18*'Anexo 2'!$D$10,0)</f>
        <v>0</v>
      </c>
      <c r="U18" s="33">
        <f>ROUND('Anexo 9'!U18*'Anexo 2'!$D$10,0)</f>
        <v>0</v>
      </c>
      <c r="V18" s="33">
        <f>ROUND('Anexo 9'!V18*'Anexo 2'!$D$10,0)</f>
        <v>0</v>
      </c>
      <c r="W18" s="33">
        <f>ROUND('Anexo 9'!W18*'Anexo 2'!$D$10,0)</f>
        <v>0</v>
      </c>
      <c r="X18" s="33">
        <f>ROUND('Anexo 9'!X18*'Anexo 2'!$D$10,0)</f>
        <v>0</v>
      </c>
      <c r="Y18" s="33">
        <f>ROUND('Anexo 9'!Y18*'Anexo 2'!$D$10,0)</f>
        <v>0</v>
      </c>
      <c r="Z18" s="33">
        <f>ROUND('Anexo 9'!Z18*'Anexo 2'!$D$10,0)</f>
        <v>0</v>
      </c>
      <c r="AA18" s="35">
        <f t="shared" si="0"/>
        <v>0</v>
      </c>
      <c r="AB18" s="19">
        <v>19</v>
      </c>
      <c r="AC18" s="79">
        <f>+AA18*AB18+AA19*AB19+AA20*AB20</f>
        <v>0</v>
      </c>
    </row>
    <row r="19" spans="1:30" ht="15.75" thickBot="1" x14ac:dyDescent="0.3">
      <c r="A19" s="78"/>
      <c r="B19" s="20" t="s">
        <v>7</v>
      </c>
      <c r="C19" s="33">
        <f>ROUND('Anexo 9'!C19*'Anexo 2'!$D$10,0)</f>
        <v>0</v>
      </c>
      <c r="D19" s="33">
        <f>ROUND('Anexo 9'!D19*'Anexo 2'!$D$10,0)</f>
        <v>0</v>
      </c>
      <c r="E19" s="33">
        <f>ROUND('Anexo 9'!E19*'Anexo 2'!$D$10,0)</f>
        <v>0</v>
      </c>
      <c r="F19" s="33">
        <f>ROUND('Anexo 9'!F19*'Anexo 2'!$D$10,0)</f>
        <v>0</v>
      </c>
      <c r="G19" s="33">
        <f>ROUND('Anexo 9'!G19*'Anexo 2'!$D$10,0)</f>
        <v>0</v>
      </c>
      <c r="H19" s="33">
        <f>ROUND('Anexo 9'!H19*'Anexo 2'!$D$10,0)</f>
        <v>0</v>
      </c>
      <c r="I19" s="33">
        <f>ROUND('Anexo 9'!I19*'Anexo 2'!$D$10,0)</f>
        <v>0</v>
      </c>
      <c r="J19" s="33">
        <f>ROUND('Anexo 9'!J19*'Anexo 2'!$D$10,0)</f>
        <v>0</v>
      </c>
      <c r="K19" s="33">
        <f>ROUND('Anexo 9'!K19*'Anexo 2'!$D$10,0)</f>
        <v>0</v>
      </c>
      <c r="L19" s="33">
        <f>ROUND('Anexo 9'!L19*'Anexo 2'!$D$10,0)</f>
        <v>0</v>
      </c>
      <c r="M19" s="33">
        <f>ROUND('Anexo 9'!M19*'Anexo 2'!$D$10,0)</f>
        <v>0</v>
      </c>
      <c r="N19" s="33">
        <f>ROUND('Anexo 9'!N19*'Anexo 2'!$D$10,0)</f>
        <v>0</v>
      </c>
      <c r="O19" s="33">
        <f>ROUND('Anexo 9'!O19*'Anexo 2'!$D$10,0)</f>
        <v>0</v>
      </c>
      <c r="P19" s="33">
        <f>ROUND('Anexo 9'!P19*'Anexo 2'!$D$10,0)</f>
        <v>0</v>
      </c>
      <c r="Q19" s="33">
        <f>ROUND('Anexo 9'!Q19*'Anexo 2'!$D$10,0)</f>
        <v>0</v>
      </c>
      <c r="R19" s="33">
        <f>ROUND('Anexo 9'!R19*'Anexo 2'!$D$10,0)</f>
        <v>0</v>
      </c>
      <c r="S19" s="33">
        <f>ROUND('Anexo 9'!S19*'Anexo 2'!$D$10,0)</f>
        <v>0</v>
      </c>
      <c r="T19" s="33">
        <f>ROUND('Anexo 9'!T19*'Anexo 2'!$D$10,0)</f>
        <v>0</v>
      </c>
      <c r="U19" s="33">
        <f>ROUND('Anexo 9'!U19*'Anexo 2'!$D$10,0)</f>
        <v>0</v>
      </c>
      <c r="V19" s="33">
        <f>ROUND('Anexo 9'!V19*'Anexo 2'!$D$10,0)</f>
        <v>0</v>
      </c>
      <c r="W19" s="33">
        <f>ROUND('Anexo 9'!W19*'Anexo 2'!$D$10,0)</f>
        <v>0</v>
      </c>
      <c r="X19" s="33">
        <f>ROUND('Anexo 9'!X19*'Anexo 2'!$D$10,0)</f>
        <v>0</v>
      </c>
      <c r="Y19" s="33">
        <f>ROUND('Anexo 9'!Y19*'Anexo 2'!$D$10,0)</f>
        <v>0</v>
      </c>
      <c r="Z19" s="33">
        <f>ROUND('Anexo 9'!Z19*'Anexo 2'!$D$10,0)</f>
        <v>0</v>
      </c>
      <c r="AA19" s="38">
        <f t="shared" si="0"/>
        <v>0</v>
      </c>
      <c r="AB19" s="21">
        <v>4</v>
      </c>
      <c r="AC19" s="80"/>
      <c r="AD19" s="47"/>
    </row>
    <row r="20" spans="1:30" ht="15.75" thickBot="1" x14ac:dyDescent="0.3">
      <c r="A20" s="78"/>
      <c r="B20" s="22" t="s">
        <v>6</v>
      </c>
      <c r="C20" s="33">
        <f>ROUND('Anexo 9'!C20*'Anexo 2'!$D$10,0)</f>
        <v>0</v>
      </c>
      <c r="D20" s="33">
        <f>ROUND('Anexo 9'!D20*'Anexo 2'!$D$10,0)</f>
        <v>0</v>
      </c>
      <c r="E20" s="33">
        <f>ROUND('Anexo 9'!E20*'Anexo 2'!$D$10,0)</f>
        <v>0</v>
      </c>
      <c r="F20" s="33">
        <f>ROUND('Anexo 9'!F20*'Anexo 2'!$D$10,0)</f>
        <v>0</v>
      </c>
      <c r="G20" s="33">
        <f>ROUND('Anexo 9'!G20*'Anexo 2'!$D$10,0)</f>
        <v>0</v>
      </c>
      <c r="H20" s="33">
        <f>ROUND('Anexo 9'!H20*'Anexo 2'!$D$10,0)</f>
        <v>0</v>
      </c>
      <c r="I20" s="33">
        <f>ROUND('Anexo 9'!I20*'Anexo 2'!$D$10,0)</f>
        <v>0</v>
      </c>
      <c r="J20" s="33">
        <f>ROUND('Anexo 9'!J20*'Anexo 2'!$D$10,0)</f>
        <v>0</v>
      </c>
      <c r="K20" s="33">
        <f>ROUND('Anexo 9'!K20*'Anexo 2'!$D$10,0)</f>
        <v>0</v>
      </c>
      <c r="L20" s="33">
        <f>ROUND('Anexo 9'!L20*'Anexo 2'!$D$10,0)</f>
        <v>0</v>
      </c>
      <c r="M20" s="33">
        <f>ROUND('Anexo 9'!M20*'Anexo 2'!$D$10,0)</f>
        <v>0</v>
      </c>
      <c r="N20" s="33">
        <f>ROUND('Anexo 9'!N20*'Anexo 2'!$D$10,0)</f>
        <v>0</v>
      </c>
      <c r="O20" s="33">
        <f>ROUND('Anexo 9'!O20*'Anexo 2'!$D$10,0)</f>
        <v>0</v>
      </c>
      <c r="P20" s="33">
        <f>ROUND('Anexo 9'!P20*'Anexo 2'!$D$10,0)</f>
        <v>0</v>
      </c>
      <c r="Q20" s="33">
        <f>ROUND('Anexo 9'!Q20*'Anexo 2'!$D$10,0)</f>
        <v>0</v>
      </c>
      <c r="R20" s="33">
        <f>ROUND('Anexo 9'!R20*'Anexo 2'!$D$10,0)</f>
        <v>0</v>
      </c>
      <c r="S20" s="33">
        <f>ROUND('Anexo 9'!S20*'Anexo 2'!$D$10,0)</f>
        <v>0</v>
      </c>
      <c r="T20" s="33">
        <f>ROUND('Anexo 9'!T20*'Anexo 2'!$D$10,0)</f>
        <v>0</v>
      </c>
      <c r="U20" s="33">
        <f>ROUND('Anexo 9'!U20*'Anexo 2'!$D$10,0)</f>
        <v>0</v>
      </c>
      <c r="V20" s="33">
        <f>ROUND('Anexo 9'!V20*'Anexo 2'!$D$10,0)</f>
        <v>0</v>
      </c>
      <c r="W20" s="33">
        <f>ROUND('Anexo 9'!W20*'Anexo 2'!$D$10,0)</f>
        <v>0</v>
      </c>
      <c r="X20" s="33">
        <f>ROUND('Anexo 9'!X20*'Anexo 2'!$D$10,0)</f>
        <v>0</v>
      </c>
      <c r="Y20" s="33">
        <f>ROUND('Anexo 9'!Y20*'Anexo 2'!$D$10,0)</f>
        <v>0</v>
      </c>
      <c r="Z20" s="33">
        <f>ROUND('Anexo 9'!Z20*'Anexo 2'!$D$10,0)</f>
        <v>0</v>
      </c>
      <c r="AA20" s="41">
        <f t="shared" si="0"/>
        <v>0</v>
      </c>
      <c r="AB20" s="23">
        <v>8</v>
      </c>
      <c r="AC20" s="81"/>
      <c r="AD20" s="48"/>
    </row>
    <row r="21" spans="1:30" ht="15.75" thickBot="1" x14ac:dyDescent="0.3">
      <c r="A21" s="78">
        <v>46539</v>
      </c>
      <c r="B21" s="18" t="s">
        <v>8</v>
      </c>
      <c r="C21" s="33">
        <f>ROUND('Anexo 9'!C21*'Anexo 2'!$D$10,0)</f>
        <v>0</v>
      </c>
      <c r="D21" s="33">
        <f>ROUND('Anexo 9'!D21*'Anexo 2'!$D$10,0)</f>
        <v>0</v>
      </c>
      <c r="E21" s="33">
        <f>ROUND('Anexo 9'!E21*'Anexo 2'!$D$10,0)</f>
        <v>0</v>
      </c>
      <c r="F21" s="33">
        <f>ROUND('Anexo 9'!F21*'Anexo 2'!$D$10,0)</f>
        <v>0</v>
      </c>
      <c r="G21" s="33">
        <f>ROUND('Anexo 9'!G21*'Anexo 2'!$D$10,0)</f>
        <v>0</v>
      </c>
      <c r="H21" s="33">
        <f>ROUND('Anexo 9'!H21*'Anexo 2'!$D$10,0)</f>
        <v>0</v>
      </c>
      <c r="I21" s="33">
        <f>ROUND('Anexo 9'!I21*'Anexo 2'!$D$10,0)</f>
        <v>0</v>
      </c>
      <c r="J21" s="33">
        <f>ROUND('Anexo 9'!J21*'Anexo 2'!$D$10,0)</f>
        <v>0</v>
      </c>
      <c r="K21" s="33">
        <f>ROUND('Anexo 9'!K21*'Anexo 2'!$D$10,0)</f>
        <v>0</v>
      </c>
      <c r="L21" s="33">
        <f>ROUND('Anexo 9'!L21*'Anexo 2'!$D$10,0)</f>
        <v>0</v>
      </c>
      <c r="M21" s="33">
        <f>ROUND('Anexo 9'!M21*'Anexo 2'!$D$10,0)</f>
        <v>0</v>
      </c>
      <c r="N21" s="33">
        <f>ROUND('Anexo 9'!N21*'Anexo 2'!$D$10,0)</f>
        <v>0</v>
      </c>
      <c r="O21" s="33">
        <f>ROUND('Anexo 9'!O21*'Anexo 2'!$D$10,0)</f>
        <v>0</v>
      </c>
      <c r="P21" s="33">
        <f>ROUND('Anexo 9'!P21*'Anexo 2'!$D$10,0)</f>
        <v>0</v>
      </c>
      <c r="Q21" s="33">
        <f>ROUND('Anexo 9'!Q21*'Anexo 2'!$D$10,0)</f>
        <v>0</v>
      </c>
      <c r="R21" s="33">
        <f>ROUND('Anexo 9'!R21*'Anexo 2'!$D$10,0)</f>
        <v>0</v>
      </c>
      <c r="S21" s="33">
        <f>ROUND('Anexo 9'!S21*'Anexo 2'!$D$10,0)</f>
        <v>0</v>
      </c>
      <c r="T21" s="33">
        <f>ROUND('Anexo 9'!T21*'Anexo 2'!$D$10,0)</f>
        <v>0</v>
      </c>
      <c r="U21" s="33">
        <f>ROUND('Anexo 9'!U21*'Anexo 2'!$D$10,0)</f>
        <v>0</v>
      </c>
      <c r="V21" s="33">
        <f>ROUND('Anexo 9'!V21*'Anexo 2'!$D$10,0)</f>
        <v>0</v>
      </c>
      <c r="W21" s="33">
        <f>ROUND('Anexo 9'!W21*'Anexo 2'!$D$10,0)</f>
        <v>0</v>
      </c>
      <c r="X21" s="33">
        <f>ROUND('Anexo 9'!X21*'Anexo 2'!$D$10,0)</f>
        <v>0</v>
      </c>
      <c r="Y21" s="33">
        <f>ROUND('Anexo 9'!Y21*'Anexo 2'!$D$10,0)</f>
        <v>0</v>
      </c>
      <c r="Z21" s="33">
        <f>ROUND('Anexo 9'!Z21*'Anexo 2'!$D$10,0)</f>
        <v>0</v>
      </c>
      <c r="AA21" s="35">
        <f t="shared" si="0"/>
        <v>0</v>
      </c>
      <c r="AB21" s="19">
        <v>21</v>
      </c>
      <c r="AC21" s="79">
        <f>+AA21*AB21+AA22*AB22+AA23*AB23</f>
        <v>0</v>
      </c>
    </row>
    <row r="22" spans="1:30" ht="15.75" thickBot="1" x14ac:dyDescent="0.3">
      <c r="A22" s="78"/>
      <c r="B22" s="20" t="s">
        <v>7</v>
      </c>
      <c r="C22" s="33">
        <f>ROUND('Anexo 9'!C22*'Anexo 2'!$D$10,0)</f>
        <v>0</v>
      </c>
      <c r="D22" s="33">
        <f>ROUND('Anexo 9'!D22*'Anexo 2'!$D$10,0)</f>
        <v>0</v>
      </c>
      <c r="E22" s="33">
        <f>ROUND('Anexo 9'!E22*'Anexo 2'!$D$10,0)</f>
        <v>0</v>
      </c>
      <c r="F22" s="33">
        <f>ROUND('Anexo 9'!F22*'Anexo 2'!$D$10,0)</f>
        <v>0</v>
      </c>
      <c r="G22" s="33">
        <f>ROUND('Anexo 9'!G22*'Anexo 2'!$D$10,0)</f>
        <v>0</v>
      </c>
      <c r="H22" s="33">
        <f>ROUND('Anexo 9'!H22*'Anexo 2'!$D$10,0)</f>
        <v>0</v>
      </c>
      <c r="I22" s="33">
        <f>ROUND('Anexo 9'!I22*'Anexo 2'!$D$10,0)</f>
        <v>0</v>
      </c>
      <c r="J22" s="33">
        <f>ROUND('Anexo 9'!J22*'Anexo 2'!$D$10,0)</f>
        <v>0</v>
      </c>
      <c r="K22" s="33">
        <f>ROUND('Anexo 9'!K22*'Anexo 2'!$D$10,0)</f>
        <v>0</v>
      </c>
      <c r="L22" s="33">
        <f>ROUND('Anexo 9'!L22*'Anexo 2'!$D$10,0)</f>
        <v>0</v>
      </c>
      <c r="M22" s="33">
        <f>ROUND('Anexo 9'!M22*'Anexo 2'!$D$10,0)</f>
        <v>0</v>
      </c>
      <c r="N22" s="33">
        <f>ROUND('Anexo 9'!N22*'Anexo 2'!$D$10,0)</f>
        <v>0</v>
      </c>
      <c r="O22" s="33">
        <f>ROUND('Anexo 9'!O22*'Anexo 2'!$D$10,0)</f>
        <v>0</v>
      </c>
      <c r="P22" s="33">
        <f>ROUND('Anexo 9'!P22*'Anexo 2'!$D$10,0)</f>
        <v>0</v>
      </c>
      <c r="Q22" s="33">
        <f>ROUND('Anexo 9'!Q22*'Anexo 2'!$D$10,0)</f>
        <v>0</v>
      </c>
      <c r="R22" s="33">
        <f>ROUND('Anexo 9'!R22*'Anexo 2'!$D$10,0)</f>
        <v>0</v>
      </c>
      <c r="S22" s="33">
        <f>ROUND('Anexo 9'!S22*'Anexo 2'!$D$10,0)</f>
        <v>0</v>
      </c>
      <c r="T22" s="33">
        <f>ROUND('Anexo 9'!T22*'Anexo 2'!$D$10,0)</f>
        <v>0</v>
      </c>
      <c r="U22" s="33">
        <f>ROUND('Anexo 9'!U22*'Anexo 2'!$D$10,0)</f>
        <v>0</v>
      </c>
      <c r="V22" s="33">
        <f>ROUND('Anexo 9'!V22*'Anexo 2'!$D$10,0)</f>
        <v>0</v>
      </c>
      <c r="W22" s="33">
        <f>ROUND('Anexo 9'!W22*'Anexo 2'!$D$10,0)</f>
        <v>0</v>
      </c>
      <c r="X22" s="33">
        <f>ROUND('Anexo 9'!X22*'Anexo 2'!$D$10,0)</f>
        <v>0</v>
      </c>
      <c r="Y22" s="33">
        <f>ROUND('Anexo 9'!Y22*'Anexo 2'!$D$10,0)</f>
        <v>0</v>
      </c>
      <c r="Z22" s="33">
        <f>ROUND('Anexo 9'!Z22*'Anexo 2'!$D$10,0)</f>
        <v>0</v>
      </c>
      <c r="AA22" s="38">
        <f t="shared" si="0"/>
        <v>0</v>
      </c>
      <c r="AB22" s="21">
        <v>4</v>
      </c>
      <c r="AC22" s="80"/>
      <c r="AD22" s="47"/>
    </row>
    <row r="23" spans="1:30" ht="15.75" thickBot="1" x14ac:dyDescent="0.3">
      <c r="A23" s="78"/>
      <c r="B23" s="22" t="s">
        <v>6</v>
      </c>
      <c r="C23" s="33">
        <f>ROUND('Anexo 9'!C23*'Anexo 2'!$D$10,0)</f>
        <v>0</v>
      </c>
      <c r="D23" s="33">
        <f>ROUND('Anexo 9'!D23*'Anexo 2'!$D$10,0)</f>
        <v>0</v>
      </c>
      <c r="E23" s="33">
        <f>ROUND('Anexo 9'!E23*'Anexo 2'!$D$10,0)</f>
        <v>0</v>
      </c>
      <c r="F23" s="33">
        <f>ROUND('Anexo 9'!F23*'Anexo 2'!$D$10,0)</f>
        <v>0</v>
      </c>
      <c r="G23" s="33">
        <f>ROUND('Anexo 9'!G23*'Anexo 2'!$D$10,0)</f>
        <v>0</v>
      </c>
      <c r="H23" s="33">
        <f>ROUND('Anexo 9'!H23*'Anexo 2'!$D$10,0)</f>
        <v>0</v>
      </c>
      <c r="I23" s="33">
        <f>ROUND('Anexo 9'!I23*'Anexo 2'!$D$10,0)</f>
        <v>0</v>
      </c>
      <c r="J23" s="33">
        <f>ROUND('Anexo 9'!J23*'Anexo 2'!$D$10,0)</f>
        <v>0</v>
      </c>
      <c r="K23" s="33">
        <f>ROUND('Anexo 9'!K23*'Anexo 2'!$D$10,0)</f>
        <v>0</v>
      </c>
      <c r="L23" s="33">
        <f>ROUND('Anexo 9'!L23*'Anexo 2'!$D$10,0)</f>
        <v>0</v>
      </c>
      <c r="M23" s="33">
        <f>ROUND('Anexo 9'!M23*'Anexo 2'!$D$10,0)</f>
        <v>0</v>
      </c>
      <c r="N23" s="33">
        <f>ROUND('Anexo 9'!N23*'Anexo 2'!$D$10,0)</f>
        <v>0</v>
      </c>
      <c r="O23" s="33">
        <f>ROUND('Anexo 9'!O23*'Anexo 2'!$D$10,0)</f>
        <v>0</v>
      </c>
      <c r="P23" s="33">
        <f>ROUND('Anexo 9'!P23*'Anexo 2'!$D$10,0)</f>
        <v>0</v>
      </c>
      <c r="Q23" s="33">
        <f>ROUND('Anexo 9'!Q23*'Anexo 2'!$D$10,0)</f>
        <v>0</v>
      </c>
      <c r="R23" s="33">
        <f>ROUND('Anexo 9'!R23*'Anexo 2'!$D$10,0)</f>
        <v>0</v>
      </c>
      <c r="S23" s="33">
        <f>ROUND('Anexo 9'!S23*'Anexo 2'!$D$10,0)</f>
        <v>0</v>
      </c>
      <c r="T23" s="33">
        <f>ROUND('Anexo 9'!T23*'Anexo 2'!$D$10,0)</f>
        <v>0</v>
      </c>
      <c r="U23" s="33">
        <f>ROUND('Anexo 9'!U23*'Anexo 2'!$D$10,0)</f>
        <v>0</v>
      </c>
      <c r="V23" s="33">
        <f>ROUND('Anexo 9'!V23*'Anexo 2'!$D$10,0)</f>
        <v>0</v>
      </c>
      <c r="W23" s="33">
        <f>ROUND('Anexo 9'!W23*'Anexo 2'!$D$10,0)</f>
        <v>0</v>
      </c>
      <c r="X23" s="33">
        <f>ROUND('Anexo 9'!X23*'Anexo 2'!$D$10,0)</f>
        <v>0</v>
      </c>
      <c r="Y23" s="33">
        <f>ROUND('Anexo 9'!Y23*'Anexo 2'!$D$10,0)</f>
        <v>0</v>
      </c>
      <c r="Z23" s="33">
        <f>ROUND('Anexo 9'!Z23*'Anexo 2'!$D$10,0)</f>
        <v>0</v>
      </c>
      <c r="AA23" s="41">
        <f t="shared" si="0"/>
        <v>0</v>
      </c>
      <c r="AB23" s="23">
        <v>5</v>
      </c>
      <c r="AC23" s="81"/>
      <c r="AD23" s="48"/>
    </row>
    <row r="24" spans="1:30" ht="15.75" thickBot="1" x14ac:dyDescent="0.3">
      <c r="A24" s="78">
        <v>46569</v>
      </c>
      <c r="B24" s="18" t="s">
        <v>8</v>
      </c>
      <c r="C24" s="33">
        <f>ROUND('Anexo 9'!C24*'Anexo 2'!$D$10,0)</f>
        <v>0</v>
      </c>
      <c r="D24" s="33">
        <f>ROUND('Anexo 9'!D24*'Anexo 2'!$D$10,0)</f>
        <v>0</v>
      </c>
      <c r="E24" s="33">
        <f>ROUND('Anexo 9'!E24*'Anexo 2'!$D$10,0)</f>
        <v>0</v>
      </c>
      <c r="F24" s="33">
        <f>ROUND('Anexo 9'!F24*'Anexo 2'!$D$10,0)</f>
        <v>0</v>
      </c>
      <c r="G24" s="33">
        <f>ROUND('Anexo 9'!G24*'Anexo 2'!$D$10,0)</f>
        <v>0</v>
      </c>
      <c r="H24" s="33">
        <f>ROUND('Anexo 9'!H24*'Anexo 2'!$D$10,0)</f>
        <v>0</v>
      </c>
      <c r="I24" s="33">
        <f>ROUND('Anexo 9'!I24*'Anexo 2'!$D$10,0)</f>
        <v>0</v>
      </c>
      <c r="J24" s="33">
        <f>ROUND('Anexo 9'!J24*'Anexo 2'!$D$10,0)</f>
        <v>0</v>
      </c>
      <c r="K24" s="33">
        <f>ROUND('Anexo 9'!K24*'Anexo 2'!$D$10,0)</f>
        <v>0</v>
      </c>
      <c r="L24" s="33">
        <f>ROUND('Anexo 9'!L24*'Anexo 2'!$D$10,0)</f>
        <v>0</v>
      </c>
      <c r="M24" s="33">
        <f>ROUND('Anexo 9'!M24*'Anexo 2'!$D$10,0)</f>
        <v>0</v>
      </c>
      <c r="N24" s="33">
        <f>ROUND('Anexo 9'!N24*'Anexo 2'!$D$10,0)</f>
        <v>0</v>
      </c>
      <c r="O24" s="33">
        <f>ROUND('Anexo 9'!O24*'Anexo 2'!$D$10,0)</f>
        <v>0</v>
      </c>
      <c r="P24" s="33">
        <f>ROUND('Anexo 9'!P24*'Anexo 2'!$D$10,0)</f>
        <v>0</v>
      </c>
      <c r="Q24" s="33">
        <f>ROUND('Anexo 9'!Q24*'Anexo 2'!$D$10,0)</f>
        <v>0</v>
      </c>
      <c r="R24" s="33">
        <f>ROUND('Anexo 9'!R24*'Anexo 2'!$D$10,0)</f>
        <v>0</v>
      </c>
      <c r="S24" s="33">
        <f>ROUND('Anexo 9'!S24*'Anexo 2'!$D$10,0)</f>
        <v>0</v>
      </c>
      <c r="T24" s="33">
        <f>ROUND('Anexo 9'!T24*'Anexo 2'!$D$10,0)</f>
        <v>0</v>
      </c>
      <c r="U24" s="33">
        <f>ROUND('Anexo 9'!U24*'Anexo 2'!$D$10,0)</f>
        <v>0</v>
      </c>
      <c r="V24" s="33">
        <f>ROUND('Anexo 9'!V24*'Anexo 2'!$D$10,0)</f>
        <v>0</v>
      </c>
      <c r="W24" s="33">
        <f>ROUND('Anexo 9'!W24*'Anexo 2'!$D$10,0)</f>
        <v>0</v>
      </c>
      <c r="X24" s="33">
        <f>ROUND('Anexo 9'!X24*'Anexo 2'!$D$10,0)</f>
        <v>0</v>
      </c>
      <c r="Y24" s="33">
        <f>ROUND('Anexo 9'!Y24*'Anexo 2'!$D$10,0)</f>
        <v>0</v>
      </c>
      <c r="Z24" s="33">
        <f>ROUND('Anexo 9'!Z24*'Anexo 2'!$D$10,0)</f>
        <v>0</v>
      </c>
      <c r="AA24" s="35">
        <f t="shared" si="0"/>
        <v>0</v>
      </c>
      <c r="AB24" s="19">
        <v>20</v>
      </c>
      <c r="AC24" s="79">
        <f>+AA24*AB24+AA25*AB25+AA26*AB26</f>
        <v>0</v>
      </c>
    </row>
    <row r="25" spans="1:30" ht="15.75" thickBot="1" x14ac:dyDescent="0.3">
      <c r="A25" s="78"/>
      <c r="B25" s="20" t="s">
        <v>7</v>
      </c>
      <c r="C25" s="33">
        <f>ROUND('Anexo 9'!C25*'Anexo 2'!$D$10,0)</f>
        <v>0</v>
      </c>
      <c r="D25" s="33">
        <f>ROUND('Anexo 9'!D25*'Anexo 2'!$D$10,0)</f>
        <v>0</v>
      </c>
      <c r="E25" s="33">
        <f>ROUND('Anexo 9'!E25*'Anexo 2'!$D$10,0)</f>
        <v>0</v>
      </c>
      <c r="F25" s="33">
        <f>ROUND('Anexo 9'!F25*'Anexo 2'!$D$10,0)</f>
        <v>0</v>
      </c>
      <c r="G25" s="33">
        <f>ROUND('Anexo 9'!G25*'Anexo 2'!$D$10,0)</f>
        <v>0</v>
      </c>
      <c r="H25" s="33">
        <f>ROUND('Anexo 9'!H25*'Anexo 2'!$D$10,0)</f>
        <v>0</v>
      </c>
      <c r="I25" s="33">
        <f>ROUND('Anexo 9'!I25*'Anexo 2'!$D$10,0)</f>
        <v>0</v>
      </c>
      <c r="J25" s="33">
        <f>ROUND('Anexo 9'!J25*'Anexo 2'!$D$10,0)</f>
        <v>0</v>
      </c>
      <c r="K25" s="33">
        <f>ROUND('Anexo 9'!K25*'Anexo 2'!$D$10,0)</f>
        <v>0</v>
      </c>
      <c r="L25" s="33">
        <f>ROUND('Anexo 9'!L25*'Anexo 2'!$D$10,0)</f>
        <v>0</v>
      </c>
      <c r="M25" s="33">
        <f>ROUND('Anexo 9'!M25*'Anexo 2'!$D$10,0)</f>
        <v>0</v>
      </c>
      <c r="N25" s="33">
        <f>ROUND('Anexo 9'!N25*'Anexo 2'!$D$10,0)</f>
        <v>0</v>
      </c>
      <c r="O25" s="33">
        <f>ROUND('Anexo 9'!O25*'Anexo 2'!$D$10,0)</f>
        <v>0</v>
      </c>
      <c r="P25" s="33">
        <f>ROUND('Anexo 9'!P25*'Anexo 2'!$D$10,0)</f>
        <v>0</v>
      </c>
      <c r="Q25" s="33">
        <f>ROUND('Anexo 9'!Q25*'Anexo 2'!$D$10,0)</f>
        <v>0</v>
      </c>
      <c r="R25" s="33">
        <f>ROUND('Anexo 9'!R25*'Anexo 2'!$D$10,0)</f>
        <v>0</v>
      </c>
      <c r="S25" s="33">
        <f>ROUND('Anexo 9'!S25*'Anexo 2'!$D$10,0)</f>
        <v>0</v>
      </c>
      <c r="T25" s="33">
        <f>ROUND('Anexo 9'!T25*'Anexo 2'!$D$10,0)</f>
        <v>0</v>
      </c>
      <c r="U25" s="33">
        <f>ROUND('Anexo 9'!U25*'Anexo 2'!$D$10,0)</f>
        <v>0</v>
      </c>
      <c r="V25" s="33">
        <f>ROUND('Anexo 9'!V25*'Anexo 2'!$D$10,0)</f>
        <v>0</v>
      </c>
      <c r="W25" s="33">
        <f>ROUND('Anexo 9'!W25*'Anexo 2'!$D$10,0)</f>
        <v>0</v>
      </c>
      <c r="X25" s="33">
        <f>ROUND('Anexo 9'!X25*'Anexo 2'!$D$10,0)</f>
        <v>0</v>
      </c>
      <c r="Y25" s="33">
        <f>ROUND('Anexo 9'!Y25*'Anexo 2'!$D$10,0)</f>
        <v>0</v>
      </c>
      <c r="Z25" s="33">
        <f>ROUND('Anexo 9'!Z25*'Anexo 2'!$D$10,0)</f>
        <v>0</v>
      </c>
      <c r="AA25" s="38">
        <f t="shared" si="0"/>
        <v>0</v>
      </c>
      <c r="AB25" s="21">
        <v>5</v>
      </c>
      <c r="AC25" s="80"/>
      <c r="AD25" s="47"/>
    </row>
    <row r="26" spans="1:30" ht="15.75" thickBot="1" x14ac:dyDescent="0.3">
      <c r="A26" s="78"/>
      <c r="B26" s="22" t="s">
        <v>6</v>
      </c>
      <c r="C26" s="33">
        <f>ROUND('Anexo 9'!C26*'Anexo 2'!$D$10,0)</f>
        <v>0</v>
      </c>
      <c r="D26" s="33">
        <f>ROUND('Anexo 9'!D26*'Anexo 2'!$D$10,0)</f>
        <v>0</v>
      </c>
      <c r="E26" s="33">
        <f>ROUND('Anexo 9'!E26*'Anexo 2'!$D$10,0)</f>
        <v>0</v>
      </c>
      <c r="F26" s="33">
        <f>ROUND('Anexo 9'!F26*'Anexo 2'!$D$10,0)</f>
        <v>0</v>
      </c>
      <c r="G26" s="33">
        <f>ROUND('Anexo 9'!G26*'Anexo 2'!$D$10,0)</f>
        <v>0</v>
      </c>
      <c r="H26" s="33">
        <f>ROUND('Anexo 9'!H26*'Anexo 2'!$D$10,0)</f>
        <v>0</v>
      </c>
      <c r="I26" s="33">
        <f>ROUND('Anexo 9'!I26*'Anexo 2'!$D$10,0)</f>
        <v>0</v>
      </c>
      <c r="J26" s="33">
        <f>ROUND('Anexo 9'!J26*'Anexo 2'!$D$10,0)</f>
        <v>0</v>
      </c>
      <c r="K26" s="33">
        <f>ROUND('Anexo 9'!K26*'Anexo 2'!$D$10,0)</f>
        <v>0</v>
      </c>
      <c r="L26" s="33">
        <f>ROUND('Anexo 9'!L26*'Anexo 2'!$D$10,0)</f>
        <v>0</v>
      </c>
      <c r="M26" s="33">
        <f>ROUND('Anexo 9'!M26*'Anexo 2'!$D$10,0)</f>
        <v>0</v>
      </c>
      <c r="N26" s="33">
        <f>ROUND('Anexo 9'!N26*'Anexo 2'!$D$10,0)</f>
        <v>0</v>
      </c>
      <c r="O26" s="33">
        <f>ROUND('Anexo 9'!O26*'Anexo 2'!$D$10,0)</f>
        <v>0</v>
      </c>
      <c r="P26" s="33">
        <f>ROUND('Anexo 9'!P26*'Anexo 2'!$D$10,0)</f>
        <v>0</v>
      </c>
      <c r="Q26" s="33">
        <f>ROUND('Anexo 9'!Q26*'Anexo 2'!$D$10,0)</f>
        <v>0</v>
      </c>
      <c r="R26" s="33">
        <f>ROUND('Anexo 9'!R26*'Anexo 2'!$D$10,0)</f>
        <v>0</v>
      </c>
      <c r="S26" s="33">
        <f>ROUND('Anexo 9'!S26*'Anexo 2'!$D$10,0)</f>
        <v>0</v>
      </c>
      <c r="T26" s="33">
        <f>ROUND('Anexo 9'!T26*'Anexo 2'!$D$10,0)</f>
        <v>0</v>
      </c>
      <c r="U26" s="33">
        <f>ROUND('Anexo 9'!U26*'Anexo 2'!$D$10,0)</f>
        <v>0</v>
      </c>
      <c r="V26" s="33">
        <f>ROUND('Anexo 9'!V26*'Anexo 2'!$D$10,0)</f>
        <v>0</v>
      </c>
      <c r="W26" s="33">
        <f>ROUND('Anexo 9'!W26*'Anexo 2'!$D$10,0)</f>
        <v>0</v>
      </c>
      <c r="X26" s="33">
        <f>ROUND('Anexo 9'!X26*'Anexo 2'!$D$10,0)</f>
        <v>0</v>
      </c>
      <c r="Y26" s="33">
        <f>ROUND('Anexo 9'!Y26*'Anexo 2'!$D$10,0)</f>
        <v>0</v>
      </c>
      <c r="Z26" s="33">
        <f>ROUND('Anexo 9'!Z26*'Anexo 2'!$D$10,0)</f>
        <v>0</v>
      </c>
      <c r="AA26" s="41">
        <f t="shared" si="0"/>
        <v>0</v>
      </c>
      <c r="AB26" s="23">
        <v>6</v>
      </c>
      <c r="AC26" s="81"/>
      <c r="AD26" s="48"/>
    </row>
    <row r="27" spans="1:30" ht="15.75" thickBot="1" x14ac:dyDescent="0.3">
      <c r="A27" s="78">
        <v>46600</v>
      </c>
      <c r="B27" s="18" t="s">
        <v>8</v>
      </c>
      <c r="C27" s="33">
        <f>ROUND('Anexo 9'!C27*'Anexo 2'!$D$10,0)</f>
        <v>0</v>
      </c>
      <c r="D27" s="33">
        <f>ROUND('Anexo 9'!D27*'Anexo 2'!$D$10,0)</f>
        <v>0</v>
      </c>
      <c r="E27" s="33">
        <f>ROUND('Anexo 9'!E27*'Anexo 2'!$D$10,0)</f>
        <v>0</v>
      </c>
      <c r="F27" s="33">
        <f>ROUND('Anexo 9'!F27*'Anexo 2'!$D$10,0)</f>
        <v>0</v>
      </c>
      <c r="G27" s="33">
        <f>ROUND('Anexo 9'!G27*'Anexo 2'!$D$10,0)</f>
        <v>0</v>
      </c>
      <c r="H27" s="33">
        <f>ROUND('Anexo 9'!H27*'Anexo 2'!$D$10,0)</f>
        <v>0</v>
      </c>
      <c r="I27" s="33">
        <f>ROUND('Anexo 9'!I27*'Anexo 2'!$D$10,0)</f>
        <v>0</v>
      </c>
      <c r="J27" s="33">
        <f>ROUND('Anexo 9'!J27*'Anexo 2'!$D$10,0)</f>
        <v>0</v>
      </c>
      <c r="K27" s="33">
        <f>ROUND('Anexo 9'!K27*'Anexo 2'!$D$10,0)</f>
        <v>0</v>
      </c>
      <c r="L27" s="33">
        <f>ROUND('Anexo 9'!L27*'Anexo 2'!$D$10,0)</f>
        <v>0</v>
      </c>
      <c r="M27" s="33">
        <f>ROUND('Anexo 9'!M27*'Anexo 2'!$D$10,0)</f>
        <v>0</v>
      </c>
      <c r="N27" s="33">
        <f>ROUND('Anexo 9'!N27*'Anexo 2'!$D$10,0)</f>
        <v>0</v>
      </c>
      <c r="O27" s="33">
        <f>ROUND('Anexo 9'!O27*'Anexo 2'!$D$10,0)</f>
        <v>0</v>
      </c>
      <c r="P27" s="33">
        <f>ROUND('Anexo 9'!P27*'Anexo 2'!$D$10,0)</f>
        <v>0</v>
      </c>
      <c r="Q27" s="33">
        <f>ROUND('Anexo 9'!Q27*'Anexo 2'!$D$10,0)</f>
        <v>0</v>
      </c>
      <c r="R27" s="33">
        <f>ROUND('Anexo 9'!R27*'Anexo 2'!$D$10,0)</f>
        <v>0</v>
      </c>
      <c r="S27" s="33">
        <f>ROUND('Anexo 9'!S27*'Anexo 2'!$D$10,0)</f>
        <v>0</v>
      </c>
      <c r="T27" s="33">
        <f>ROUND('Anexo 9'!T27*'Anexo 2'!$D$10,0)</f>
        <v>0</v>
      </c>
      <c r="U27" s="33">
        <f>ROUND('Anexo 9'!U27*'Anexo 2'!$D$10,0)</f>
        <v>0</v>
      </c>
      <c r="V27" s="33">
        <f>ROUND('Anexo 9'!V27*'Anexo 2'!$D$10,0)</f>
        <v>0</v>
      </c>
      <c r="W27" s="33">
        <f>ROUND('Anexo 9'!W27*'Anexo 2'!$D$10,0)</f>
        <v>0</v>
      </c>
      <c r="X27" s="33">
        <f>ROUND('Anexo 9'!X27*'Anexo 2'!$D$10,0)</f>
        <v>0</v>
      </c>
      <c r="Y27" s="33">
        <f>ROUND('Anexo 9'!Y27*'Anexo 2'!$D$10,0)</f>
        <v>0</v>
      </c>
      <c r="Z27" s="33">
        <f>ROUND('Anexo 9'!Z27*'Anexo 2'!$D$10,0)</f>
        <v>0</v>
      </c>
      <c r="AA27" s="35">
        <f t="shared" si="0"/>
        <v>0</v>
      </c>
      <c r="AB27" s="19">
        <v>21</v>
      </c>
      <c r="AC27" s="79">
        <f>+AA27*AB27+AA28*AB28+AA29*AB29</f>
        <v>0</v>
      </c>
    </row>
    <row r="28" spans="1:30" ht="15.75" thickBot="1" x14ac:dyDescent="0.3">
      <c r="A28" s="78"/>
      <c r="B28" s="20" t="s">
        <v>7</v>
      </c>
      <c r="C28" s="33">
        <f>ROUND('Anexo 9'!C28*'Anexo 2'!$D$10,0)</f>
        <v>0</v>
      </c>
      <c r="D28" s="33">
        <f>ROUND('Anexo 9'!D28*'Anexo 2'!$D$10,0)</f>
        <v>0</v>
      </c>
      <c r="E28" s="33">
        <f>ROUND('Anexo 9'!E28*'Anexo 2'!$D$10,0)</f>
        <v>0</v>
      </c>
      <c r="F28" s="33">
        <f>ROUND('Anexo 9'!F28*'Anexo 2'!$D$10,0)</f>
        <v>0</v>
      </c>
      <c r="G28" s="33">
        <f>ROUND('Anexo 9'!G28*'Anexo 2'!$D$10,0)</f>
        <v>0</v>
      </c>
      <c r="H28" s="33">
        <f>ROUND('Anexo 9'!H28*'Anexo 2'!$D$10,0)</f>
        <v>0</v>
      </c>
      <c r="I28" s="33">
        <f>ROUND('Anexo 9'!I28*'Anexo 2'!$D$10,0)</f>
        <v>0</v>
      </c>
      <c r="J28" s="33">
        <f>ROUND('Anexo 9'!J28*'Anexo 2'!$D$10,0)</f>
        <v>0</v>
      </c>
      <c r="K28" s="33">
        <f>ROUND('Anexo 9'!K28*'Anexo 2'!$D$10,0)</f>
        <v>0</v>
      </c>
      <c r="L28" s="33">
        <f>ROUND('Anexo 9'!L28*'Anexo 2'!$D$10,0)</f>
        <v>0</v>
      </c>
      <c r="M28" s="33">
        <f>ROUND('Anexo 9'!M28*'Anexo 2'!$D$10,0)</f>
        <v>0</v>
      </c>
      <c r="N28" s="33">
        <f>ROUND('Anexo 9'!N28*'Anexo 2'!$D$10,0)</f>
        <v>0</v>
      </c>
      <c r="O28" s="33">
        <f>ROUND('Anexo 9'!O28*'Anexo 2'!$D$10,0)</f>
        <v>0</v>
      </c>
      <c r="P28" s="33">
        <f>ROUND('Anexo 9'!P28*'Anexo 2'!$D$10,0)</f>
        <v>0</v>
      </c>
      <c r="Q28" s="33">
        <f>ROUND('Anexo 9'!Q28*'Anexo 2'!$D$10,0)</f>
        <v>0</v>
      </c>
      <c r="R28" s="33">
        <f>ROUND('Anexo 9'!R28*'Anexo 2'!$D$10,0)</f>
        <v>0</v>
      </c>
      <c r="S28" s="33">
        <f>ROUND('Anexo 9'!S28*'Anexo 2'!$D$10,0)</f>
        <v>0</v>
      </c>
      <c r="T28" s="33">
        <f>ROUND('Anexo 9'!T28*'Anexo 2'!$D$10,0)</f>
        <v>0</v>
      </c>
      <c r="U28" s="33">
        <f>ROUND('Anexo 9'!U28*'Anexo 2'!$D$10,0)</f>
        <v>0</v>
      </c>
      <c r="V28" s="33">
        <f>ROUND('Anexo 9'!V28*'Anexo 2'!$D$10,0)</f>
        <v>0</v>
      </c>
      <c r="W28" s="33">
        <f>ROUND('Anexo 9'!W28*'Anexo 2'!$D$10,0)</f>
        <v>0</v>
      </c>
      <c r="X28" s="33">
        <f>ROUND('Anexo 9'!X28*'Anexo 2'!$D$10,0)</f>
        <v>0</v>
      </c>
      <c r="Y28" s="33">
        <f>ROUND('Anexo 9'!Y28*'Anexo 2'!$D$10,0)</f>
        <v>0</v>
      </c>
      <c r="Z28" s="33">
        <f>ROUND('Anexo 9'!Z28*'Anexo 2'!$D$10,0)</f>
        <v>0</v>
      </c>
      <c r="AA28" s="38">
        <f t="shared" si="0"/>
        <v>0</v>
      </c>
      <c r="AB28" s="21">
        <v>3</v>
      </c>
      <c r="AC28" s="80"/>
      <c r="AD28" s="47"/>
    </row>
    <row r="29" spans="1:30" ht="15.75" thickBot="1" x14ac:dyDescent="0.3">
      <c r="A29" s="78"/>
      <c r="B29" s="22" t="s">
        <v>6</v>
      </c>
      <c r="C29" s="33">
        <f>ROUND('Anexo 9'!C29*'Anexo 2'!$D$10,0)</f>
        <v>0</v>
      </c>
      <c r="D29" s="33">
        <f>ROUND('Anexo 9'!D29*'Anexo 2'!$D$10,0)</f>
        <v>0</v>
      </c>
      <c r="E29" s="33">
        <f>ROUND('Anexo 9'!E29*'Anexo 2'!$D$10,0)</f>
        <v>0</v>
      </c>
      <c r="F29" s="33">
        <f>ROUND('Anexo 9'!F29*'Anexo 2'!$D$10,0)</f>
        <v>0</v>
      </c>
      <c r="G29" s="33">
        <f>ROUND('Anexo 9'!G29*'Anexo 2'!$D$10,0)</f>
        <v>0</v>
      </c>
      <c r="H29" s="33">
        <f>ROUND('Anexo 9'!H29*'Anexo 2'!$D$10,0)</f>
        <v>0</v>
      </c>
      <c r="I29" s="33">
        <f>ROUND('Anexo 9'!I29*'Anexo 2'!$D$10,0)</f>
        <v>0</v>
      </c>
      <c r="J29" s="33">
        <f>ROUND('Anexo 9'!J29*'Anexo 2'!$D$10,0)</f>
        <v>0</v>
      </c>
      <c r="K29" s="33">
        <f>ROUND('Anexo 9'!K29*'Anexo 2'!$D$10,0)</f>
        <v>0</v>
      </c>
      <c r="L29" s="33">
        <f>ROUND('Anexo 9'!L29*'Anexo 2'!$D$10,0)</f>
        <v>0</v>
      </c>
      <c r="M29" s="33">
        <f>ROUND('Anexo 9'!M29*'Anexo 2'!$D$10,0)</f>
        <v>0</v>
      </c>
      <c r="N29" s="33">
        <f>ROUND('Anexo 9'!N29*'Anexo 2'!$D$10,0)</f>
        <v>0</v>
      </c>
      <c r="O29" s="33">
        <f>ROUND('Anexo 9'!O29*'Anexo 2'!$D$10,0)</f>
        <v>0</v>
      </c>
      <c r="P29" s="33">
        <f>ROUND('Anexo 9'!P29*'Anexo 2'!$D$10,0)</f>
        <v>0</v>
      </c>
      <c r="Q29" s="33">
        <f>ROUND('Anexo 9'!Q29*'Anexo 2'!$D$10,0)</f>
        <v>0</v>
      </c>
      <c r="R29" s="33">
        <f>ROUND('Anexo 9'!R29*'Anexo 2'!$D$10,0)</f>
        <v>0</v>
      </c>
      <c r="S29" s="33">
        <f>ROUND('Anexo 9'!S29*'Anexo 2'!$D$10,0)</f>
        <v>0</v>
      </c>
      <c r="T29" s="33">
        <f>ROUND('Anexo 9'!T29*'Anexo 2'!$D$10,0)</f>
        <v>0</v>
      </c>
      <c r="U29" s="33">
        <f>ROUND('Anexo 9'!U29*'Anexo 2'!$D$10,0)</f>
        <v>0</v>
      </c>
      <c r="V29" s="33">
        <f>ROUND('Anexo 9'!V29*'Anexo 2'!$D$10,0)</f>
        <v>0</v>
      </c>
      <c r="W29" s="33">
        <f>ROUND('Anexo 9'!W29*'Anexo 2'!$D$10,0)</f>
        <v>0</v>
      </c>
      <c r="X29" s="33">
        <f>ROUND('Anexo 9'!X29*'Anexo 2'!$D$10,0)</f>
        <v>0</v>
      </c>
      <c r="Y29" s="33">
        <f>ROUND('Anexo 9'!Y29*'Anexo 2'!$D$10,0)</f>
        <v>0</v>
      </c>
      <c r="Z29" s="33">
        <f>ROUND('Anexo 9'!Z29*'Anexo 2'!$D$10,0)</f>
        <v>0</v>
      </c>
      <c r="AA29" s="41">
        <f t="shared" si="0"/>
        <v>0</v>
      </c>
      <c r="AB29" s="23">
        <v>7</v>
      </c>
      <c r="AC29" s="81"/>
      <c r="AD29" s="49"/>
    </row>
    <row r="30" spans="1:30" ht="15.75" thickBot="1" x14ac:dyDescent="0.3">
      <c r="A30" s="78">
        <v>46631</v>
      </c>
      <c r="B30" s="18" t="s">
        <v>8</v>
      </c>
      <c r="C30" s="33">
        <f>ROUND('Anexo 9'!C30*'Anexo 2'!$D$10,0)</f>
        <v>0</v>
      </c>
      <c r="D30" s="33">
        <f>ROUND('Anexo 9'!D30*'Anexo 2'!$D$10,0)</f>
        <v>0</v>
      </c>
      <c r="E30" s="33">
        <f>ROUND('Anexo 9'!E30*'Anexo 2'!$D$10,0)</f>
        <v>0</v>
      </c>
      <c r="F30" s="33">
        <f>ROUND('Anexo 9'!F30*'Anexo 2'!$D$10,0)</f>
        <v>0</v>
      </c>
      <c r="G30" s="33">
        <f>ROUND('Anexo 9'!G30*'Anexo 2'!$D$10,0)</f>
        <v>0</v>
      </c>
      <c r="H30" s="33">
        <f>ROUND('Anexo 9'!H30*'Anexo 2'!$D$10,0)</f>
        <v>0</v>
      </c>
      <c r="I30" s="33">
        <f>ROUND('Anexo 9'!I30*'Anexo 2'!$D$10,0)</f>
        <v>0</v>
      </c>
      <c r="J30" s="33">
        <f>ROUND('Anexo 9'!J30*'Anexo 2'!$D$10,0)</f>
        <v>0</v>
      </c>
      <c r="K30" s="33">
        <f>ROUND('Anexo 9'!K30*'Anexo 2'!$D$10,0)</f>
        <v>0</v>
      </c>
      <c r="L30" s="33">
        <f>ROUND('Anexo 9'!L30*'Anexo 2'!$D$10,0)</f>
        <v>0</v>
      </c>
      <c r="M30" s="33">
        <f>ROUND('Anexo 9'!M30*'Anexo 2'!$D$10,0)</f>
        <v>0</v>
      </c>
      <c r="N30" s="33">
        <f>ROUND('Anexo 9'!N30*'Anexo 2'!$D$10,0)</f>
        <v>0</v>
      </c>
      <c r="O30" s="33">
        <f>ROUND('Anexo 9'!O30*'Anexo 2'!$D$10,0)</f>
        <v>0</v>
      </c>
      <c r="P30" s="33">
        <f>ROUND('Anexo 9'!P30*'Anexo 2'!$D$10,0)</f>
        <v>0</v>
      </c>
      <c r="Q30" s="33">
        <f>ROUND('Anexo 9'!Q30*'Anexo 2'!$D$10,0)</f>
        <v>0</v>
      </c>
      <c r="R30" s="33">
        <f>ROUND('Anexo 9'!R30*'Anexo 2'!$D$10,0)</f>
        <v>0</v>
      </c>
      <c r="S30" s="33">
        <f>ROUND('Anexo 9'!S30*'Anexo 2'!$D$10,0)</f>
        <v>0</v>
      </c>
      <c r="T30" s="33">
        <f>ROUND('Anexo 9'!T30*'Anexo 2'!$D$10,0)</f>
        <v>0</v>
      </c>
      <c r="U30" s="33">
        <f>ROUND('Anexo 9'!U30*'Anexo 2'!$D$10,0)</f>
        <v>0</v>
      </c>
      <c r="V30" s="33">
        <f>ROUND('Anexo 9'!V30*'Anexo 2'!$D$10,0)</f>
        <v>0</v>
      </c>
      <c r="W30" s="33">
        <f>ROUND('Anexo 9'!W30*'Anexo 2'!$D$10,0)</f>
        <v>0</v>
      </c>
      <c r="X30" s="33">
        <f>ROUND('Anexo 9'!X30*'Anexo 2'!$D$10,0)</f>
        <v>0</v>
      </c>
      <c r="Y30" s="33">
        <f>ROUND('Anexo 9'!Y30*'Anexo 2'!$D$10,0)</f>
        <v>0</v>
      </c>
      <c r="Z30" s="33">
        <f>ROUND('Anexo 9'!Z30*'Anexo 2'!$D$10,0)</f>
        <v>0</v>
      </c>
      <c r="AA30" s="35">
        <f t="shared" si="0"/>
        <v>0</v>
      </c>
      <c r="AB30" s="19">
        <v>22</v>
      </c>
      <c r="AC30" s="79">
        <f>+AA30*AB30+AA31*AB31+AA32*AB32</f>
        <v>0</v>
      </c>
    </row>
    <row r="31" spans="1:30" ht="15.75" thickBot="1" x14ac:dyDescent="0.3">
      <c r="A31" s="78"/>
      <c r="B31" s="20" t="s">
        <v>7</v>
      </c>
      <c r="C31" s="33">
        <f>ROUND('Anexo 9'!C31*'Anexo 2'!$D$10,0)</f>
        <v>0</v>
      </c>
      <c r="D31" s="33">
        <f>ROUND('Anexo 9'!D31*'Anexo 2'!$D$10,0)</f>
        <v>0</v>
      </c>
      <c r="E31" s="33">
        <f>ROUND('Anexo 9'!E31*'Anexo 2'!$D$10,0)</f>
        <v>0</v>
      </c>
      <c r="F31" s="33">
        <f>ROUND('Anexo 9'!F31*'Anexo 2'!$D$10,0)</f>
        <v>0</v>
      </c>
      <c r="G31" s="33">
        <f>ROUND('Anexo 9'!G31*'Anexo 2'!$D$10,0)</f>
        <v>0</v>
      </c>
      <c r="H31" s="33">
        <f>ROUND('Anexo 9'!H31*'Anexo 2'!$D$10,0)</f>
        <v>0</v>
      </c>
      <c r="I31" s="33">
        <f>ROUND('Anexo 9'!I31*'Anexo 2'!$D$10,0)</f>
        <v>0</v>
      </c>
      <c r="J31" s="33">
        <f>ROUND('Anexo 9'!J31*'Anexo 2'!$D$10,0)</f>
        <v>0</v>
      </c>
      <c r="K31" s="33">
        <f>ROUND('Anexo 9'!K31*'Anexo 2'!$D$10,0)</f>
        <v>0</v>
      </c>
      <c r="L31" s="33">
        <f>ROUND('Anexo 9'!L31*'Anexo 2'!$D$10,0)</f>
        <v>0</v>
      </c>
      <c r="M31" s="33">
        <f>ROUND('Anexo 9'!M31*'Anexo 2'!$D$10,0)</f>
        <v>0</v>
      </c>
      <c r="N31" s="33">
        <f>ROUND('Anexo 9'!N31*'Anexo 2'!$D$10,0)</f>
        <v>0</v>
      </c>
      <c r="O31" s="33">
        <f>ROUND('Anexo 9'!O31*'Anexo 2'!$D$10,0)</f>
        <v>0</v>
      </c>
      <c r="P31" s="33">
        <f>ROUND('Anexo 9'!P31*'Anexo 2'!$D$10,0)</f>
        <v>0</v>
      </c>
      <c r="Q31" s="33">
        <f>ROUND('Anexo 9'!Q31*'Anexo 2'!$D$10,0)</f>
        <v>0</v>
      </c>
      <c r="R31" s="33">
        <f>ROUND('Anexo 9'!R31*'Anexo 2'!$D$10,0)</f>
        <v>0</v>
      </c>
      <c r="S31" s="33">
        <f>ROUND('Anexo 9'!S31*'Anexo 2'!$D$10,0)</f>
        <v>0</v>
      </c>
      <c r="T31" s="33">
        <f>ROUND('Anexo 9'!T31*'Anexo 2'!$D$10,0)</f>
        <v>0</v>
      </c>
      <c r="U31" s="33">
        <f>ROUND('Anexo 9'!U31*'Anexo 2'!$D$10,0)</f>
        <v>0</v>
      </c>
      <c r="V31" s="33">
        <f>ROUND('Anexo 9'!V31*'Anexo 2'!$D$10,0)</f>
        <v>0</v>
      </c>
      <c r="W31" s="33">
        <f>ROUND('Anexo 9'!W31*'Anexo 2'!$D$10,0)</f>
        <v>0</v>
      </c>
      <c r="X31" s="33">
        <f>ROUND('Anexo 9'!X31*'Anexo 2'!$D$10,0)</f>
        <v>0</v>
      </c>
      <c r="Y31" s="33">
        <f>ROUND('Anexo 9'!Y31*'Anexo 2'!$D$10,0)</f>
        <v>0</v>
      </c>
      <c r="Z31" s="33">
        <f>ROUND('Anexo 9'!Z31*'Anexo 2'!$D$10,0)</f>
        <v>0</v>
      </c>
      <c r="AA31" s="38">
        <f t="shared" si="0"/>
        <v>0</v>
      </c>
      <c r="AB31" s="21">
        <v>4</v>
      </c>
      <c r="AC31" s="80"/>
      <c r="AD31" s="47"/>
    </row>
    <row r="32" spans="1:30" ht="15.75" thickBot="1" x14ac:dyDescent="0.3">
      <c r="A32" s="78"/>
      <c r="B32" s="22" t="s">
        <v>6</v>
      </c>
      <c r="C32" s="33">
        <f>ROUND('Anexo 9'!C32*'Anexo 2'!$D$10,0)</f>
        <v>0</v>
      </c>
      <c r="D32" s="33">
        <f>ROUND('Anexo 9'!D32*'Anexo 2'!$D$10,0)</f>
        <v>0</v>
      </c>
      <c r="E32" s="33">
        <f>ROUND('Anexo 9'!E32*'Anexo 2'!$D$10,0)</f>
        <v>0</v>
      </c>
      <c r="F32" s="33">
        <f>ROUND('Anexo 9'!F32*'Anexo 2'!$D$10,0)</f>
        <v>0</v>
      </c>
      <c r="G32" s="33">
        <f>ROUND('Anexo 9'!G32*'Anexo 2'!$D$10,0)</f>
        <v>0</v>
      </c>
      <c r="H32" s="33">
        <f>ROUND('Anexo 9'!H32*'Anexo 2'!$D$10,0)</f>
        <v>0</v>
      </c>
      <c r="I32" s="33">
        <f>ROUND('Anexo 9'!I32*'Anexo 2'!$D$10,0)</f>
        <v>0</v>
      </c>
      <c r="J32" s="33">
        <f>ROUND('Anexo 9'!J32*'Anexo 2'!$D$10,0)</f>
        <v>0</v>
      </c>
      <c r="K32" s="33">
        <f>ROUND('Anexo 9'!K32*'Anexo 2'!$D$10,0)</f>
        <v>0</v>
      </c>
      <c r="L32" s="33">
        <f>ROUND('Anexo 9'!L32*'Anexo 2'!$D$10,0)</f>
        <v>0</v>
      </c>
      <c r="M32" s="33">
        <f>ROUND('Anexo 9'!M32*'Anexo 2'!$D$10,0)</f>
        <v>0</v>
      </c>
      <c r="N32" s="33">
        <f>ROUND('Anexo 9'!N32*'Anexo 2'!$D$10,0)</f>
        <v>0</v>
      </c>
      <c r="O32" s="33">
        <f>ROUND('Anexo 9'!O32*'Anexo 2'!$D$10,0)</f>
        <v>0</v>
      </c>
      <c r="P32" s="33">
        <f>ROUND('Anexo 9'!P32*'Anexo 2'!$D$10,0)</f>
        <v>0</v>
      </c>
      <c r="Q32" s="33">
        <f>ROUND('Anexo 9'!Q32*'Anexo 2'!$D$10,0)</f>
        <v>0</v>
      </c>
      <c r="R32" s="33">
        <f>ROUND('Anexo 9'!R32*'Anexo 2'!$D$10,0)</f>
        <v>0</v>
      </c>
      <c r="S32" s="33">
        <f>ROUND('Anexo 9'!S32*'Anexo 2'!$D$10,0)</f>
        <v>0</v>
      </c>
      <c r="T32" s="33">
        <f>ROUND('Anexo 9'!T32*'Anexo 2'!$D$10,0)</f>
        <v>0</v>
      </c>
      <c r="U32" s="33">
        <f>ROUND('Anexo 9'!U32*'Anexo 2'!$D$10,0)</f>
        <v>0</v>
      </c>
      <c r="V32" s="33">
        <f>ROUND('Anexo 9'!V32*'Anexo 2'!$D$10,0)</f>
        <v>0</v>
      </c>
      <c r="W32" s="33">
        <f>ROUND('Anexo 9'!W32*'Anexo 2'!$D$10,0)</f>
        <v>0</v>
      </c>
      <c r="X32" s="33">
        <f>ROUND('Anexo 9'!X32*'Anexo 2'!$D$10,0)</f>
        <v>0</v>
      </c>
      <c r="Y32" s="33">
        <f>ROUND('Anexo 9'!Y32*'Anexo 2'!$D$10,0)</f>
        <v>0</v>
      </c>
      <c r="Z32" s="33">
        <f>ROUND('Anexo 9'!Z32*'Anexo 2'!$D$10,0)</f>
        <v>0</v>
      </c>
      <c r="AA32" s="41">
        <f t="shared" si="0"/>
        <v>0</v>
      </c>
      <c r="AB32" s="23">
        <v>4</v>
      </c>
      <c r="AC32" s="81"/>
      <c r="AD32" s="48"/>
    </row>
    <row r="33" spans="1:30" ht="15.75" thickBot="1" x14ac:dyDescent="0.3">
      <c r="A33" s="78">
        <v>46661</v>
      </c>
      <c r="B33" s="18" t="s">
        <v>8</v>
      </c>
      <c r="C33" s="33">
        <f>ROUND('Anexo 9'!C33*'Anexo 2'!$D$10,0)</f>
        <v>0</v>
      </c>
      <c r="D33" s="33">
        <f>ROUND('Anexo 9'!D33*'Anexo 2'!$D$10,0)</f>
        <v>0</v>
      </c>
      <c r="E33" s="33">
        <f>ROUND('Anexo 9'!E33*'Anexo 2'!$D$10,0)</f>
        <v>0</v>
      </c>
      <c r="F33" s="33">
        <f>ROUND('Anexo 9'!F33*'Anexo 2'!$D$10,0)</f>
        <v>0</v>
      </c>
      <c r="G33" s="33">
        <f>ROUND('Anexo 9'!G33*'Anexo 2'!$D$10,0)</f>
        <v>0</v>
      </c>
      <c r="H33" s="33">
        <f>ROUND('Anexo 9'!H33*'Anexo 2'!$D$10,0)</f>
        <v>0</v>
      </c>
      <c r="I33" s="33">
        <f>ROUND('Anexo 9'!I33*'Anexo 2'!$D$10,0)</f>
        <v>0</v>
      </c>
      <c r="J33" s="33">
        <f>ROUND('Anexo 9'!J33*'Anexo 2'!$D$10,0)</f>
        <v>0</v>
      </c>
      <c r="K33" s="33">
        <f>ROUND('Anexo 9'!K33*'Anexo 2'!$D$10,0)</f>
        <v>0</v>
      </c>
      <c r="L33" s="33">
        <f>ROUND('Anexo 9'!L33*'Anexo 2'!$D$10,0)</f>
        <v>0</v>
      </c>
      <c r="M33" s="33">
        <f>ROUND('Anexo 9'!M33*'Anexo 2'!$D$10,0)</f>
        <v>0</v>
      </c>
      <c r="N33" s="33">
        <f>ROUND('Anexo 9'!N33*'Anexo 2'!$D$10,0)</f>
        <v>0</v>
      </c>
      <c r="O33" s="33">
        <f>ROUND('Anexo 9'!O33*'Anexo 2'!$D$10,0)</f>
        <v>0</v>
      </c>
      <c r="P33" s="33">
        <f>ROUND('Anexo 9'!P33*'Anexo 2'!$D$10,0)</f>
        <v>0</v>
      </c>
      <c r="Q33" s="33">
        <f>ROUND('Anexo 9'!Q33*'Anexo 2'!$D$10,0)</f>
        <v>0</v>
      </c>
      <c r="R33" s="33">
        <f>ROUND('Anexo 9'!R33*'Anexo 2'!$D$10,0)</f>
        <v>0</v>
      </c>
      <c r="S33" s="33">
        <f>ROUND('Anexo 9'!S33*'Anexo 2'!$D$10,0)</f>
        <v>0</v>
      </c>
      <c r="T33" s="33">
        <f>ROUND('Anexo 9'!T33*'Anexo 2'!$D$10,0)</f>
        <v>0</v>
      </c>
      <c r="U33" s="33">
        <f>ROUND('Anexo 9'!U33*'Anexo 2'!$D$10,0)</f>
        <v>0</v>
      </c>
      <c r="V33" s="33">
        <f>ROUND('Anexo 9'!V33*'Anexo 2'!$D$10,0)</f>
        <v>0</v>
      </c>
      <c r="W33" s="33">
        <f>ROUND('Anexo 9'!W33*'Anexo 2'!$D$10,0)</f>
        <v>0</v>
      </c>
      <c r="X33" s="33">
        <f>ROUND('Anexo 9'!X33*'Anexo 2'!$D$10,0)</f>
        <v>0</v>
      </c>
      <c r="Y33" s="33">
        <f>ROUND('Anexo 9'!Y33*'Anexo 2'!$D$10,0)</f>
        <v>0</v>
      </c>
      <c r="Z33" s="33">
        <f>ROUND('Anexo 9'!Z33*'Anexo 2'!$D$10,0)</f>
        <v>0</v>
      </c>
      <c r="AA33" s="35">
        <f t="shared" si="0"/>
        <v>0</v>
      </c>
      <c r="AB33" s="19">
        <v>20</v>
      </c>
      <c r="AC33" s="79">
        <f>+AA33*AB33+AA34*AB34+AA35*AB35</f>
        <v>0</v>
      </c>
    </row>
    <row r="34" spans="1:30" ht="15.75" thickBot="1" x14ac:dyDescent="0.3">
      <c r="A34" s="78"/>
      <c r="B34" s="20" t="s">
        <v>7</v>
      </c>
      <c r="C34" s="33">
        <f>ROUND('Anexo 9'!C34*'Anexo 2'!$D$10,0)</f>
        <v>0</v>
      </c>
      <c r="D34" s="33">
        <f>ROUND('Anexo 9'!D34*'Anexo 2'!$D$10,0)</f>
        <v>0</v>
      </c>
      <c r="E34" s="33">
        <f>ROUND('Anexo 9'!E34*'Anexo 2'!$D$10,0)</f>
        <v>0</v>
      </c>
      <c r="F34" s="33">
        <f>ROUND('Anexo 9'!F34*'Anexo 2'!$D$10,0)</f>
        <v>0</v>
      </c>
      <c r="G34" s="33">
        <f>ROUND('Anexo 9'!G34*'Anexo 2'!$D$10,0)</f>
        <v>0</v>
      </c>
      <c r="H34" s="33">
        <f>ROUND('Anexo 9'!H34*'Anexo 2'!$D$10,0)</f>
        <v>0</v>
      </c>
      <c r="I34" s="33">
        <f>ROUND('Anexo 9'!I34*'Anexo 2'!$D$10,0)</f>
        <v>0</v>
      </c>
      <c r="J34" s="33">
        <f>ROUND('Anexo 9'!J34*'Anexo 2'!$D$10,0)</f>
        <v>0</v>
      </c>
      <c r="K34" s="33">
        <f>ROUND('Anexo 9'!K34*'Anexo 2'!$D$10,0)</f>
        <v>0</v>
      </c>
      <c r="L34" s="33">
        <f>ROUND('Anexo 9'!L34*'Anexo 2'!$D$10,0)</f>
        <v>0</v>
      </c>
      <c r="M34" s="33">
        <f>ROUND('Anexo 9'!M34*'Anexo 2'!$D$10,0)</f>
        <v>0</v>
      </c>
      <c r="N34" s="33">
        <f>ROUND('Anexo 9'!N34*'Anexo 2'!$D$10,0)</f>
        <v>0</v>
      </c>
      <c r="O34" s="33">
        <f>ROUND('Anexo 9'!O34*'Anexo 2'!$D$10,0)</f>
        <v>0</v>
      </c>
      <c r="P34" s="33">
        <f>ROUND('Anexo 9'!P34*'Anexo 2'!$D$10,0)</f>
        <v>0</v>
      </c>
      <c r="Q34" s="33">
        <f>ROUND('Anexo 9'!Q34*'Anexo 2'!$D$10,0)</f>
        <v>0</v>
      </c>
      <c r="R34" s="33">
        <f>ROUND('Anexo 9'!R34*'Anexo 2'!$D$10,0)</f>
        <v>0</v>
      </c>
      <c r="S34" s="33">
        <f>ROUND('Anexo 9'!S34*'Anexo 2'!$D$10,0)</f>
        <v>0</v>
      </c>
      <c r="T34" s="33">
        <f>ROUND('Anexo 9'!T34*'Anexo 2'!$D$10,0)</f>
        <v>0</v>
      </c>
      <c r="U34" s="33">
        <f>ROUND('Anexo 9'!U34*'Anexo 2'!$D$10,0)</f>
        <v>0</v>
      </c>
      <c r="V34" s="33">
        <f>ROUND('Anexo 9'!V34*'Anexo 2'!$D$10,0)</f>
        <v>0</v>
      </c>
      <c r="W34" s="33">
        <f>ROUND('Anexo 9'!W34*'Anexo 2'!$D$10,0)</f>
        <v>0</v>
      </c>
      <c r="X34" s="33">
        <f>ROUND('Anexo 9'!X34*'Anexo 2'!$D$10,0)</f>
        <v>0</v>
      </c>
      <c r="Y34" s="33">
        <f>ROUND('Anexo 9'!Y34*'Anexo 2'!$D$10,0)</f>
        <v>0</v>
      </c>
      <c r="Z34" s="33">
        <f>ROUND('Anexo 9'!Z34*'Anexo 2'!$D$10,0)</f>
        <v>0</v>
      </c>
      <c r="AA34" s="38">
        <f t="shared" si="0"/>
        <v>0</v>
      </c>
      <c r="AB34" s="21">
        <v>5</v>
      </c>
      <c r="AC34" s="80"/>
      <c r="AD34" s="47"/>
    </row>
    <row r="35" spans="1:30" ht="15.75" thickBot="1" x14ac:dyDescent="0.3">
      <c r="A35" s="78"/>
      <c r="B35" s="22" t="s">
        <v>6</v>
      </c>
      <c r="C35" s="33">
        <f>ROUND('Anexo 9'!C35*'Anexo 2'!$D$10,0)</f>
        <v>0</v>
      </c>
      <c r="D35" s="33">
        <f>ROUND('Anexo 9'!D35*'Anexo 2'!$D$10,0)</f>
        <v>0</v>
      </c>
      <c r="E35" s="33">
        <f>ROUND('Anexo 9'!E35*'Anexo 2'!$D$10,0)</f>
        <v>0</v>
      </c>
      <c r="F35" s="33">
        <f>ROUND('Anexo 9'!F35*'Anexo 2'!$D$10,0)</f>
        <v>0</v>
      </c>
      <c r="G35" s="33">
        <f>ROUND('Anexo 9'!G35*'Anexo 2'!$D$10,0)</f>
        <v>0</v>
      </c>
      <c r="H35" s="33">
        <f>ROUND('Anexo 9'!H35*'Anexo 2'!$D$10,0)</f>
        <v>0</v>
      </c>
      <c r="I35" s="33">
        <f>ROUND('Anexo 9'!I35*'Anexo 2'!$D$10,0)</f>
        <v>0</v>
      </c>
      <c r="J35" s="33">
        <f>ROUND('Anexo 9'!J35*'Anexo 2'!$D$10,0)</f>
        <v>0</v>
      </c>
      <c r="K35" s="33">
        <f>ROUND('Anexo 9'!K35*'Anexo 2'!$D$10,0)</f>
        <v>0</v>
      </c>
      <c r="L35" s="33">
        <f>ROUND('Anexo 9'!L35*'Anexo 2'!$D$10,0)</f>
        <v>0</v>
      </c>
      <c r="M35" s="33">
        <f>ROUND('Anexo 9'!M35*'Anexo 2'!$D$10,0)</f>
        <v>0</v>
      </c>
      <c r="N35" s="33">
        <f>ROUND('Anexo 9'!N35*'Anexo 2'!$D$10,0)</f>
        <v>0</v>
      </c>
      <c r="O35" s="33">
        <f>ROUND('Anexo 9'!O35*'Anexo 2'!$D$10,0)</f>
        <v>0</v>
      </c>
      <c r="P35" s="33">
        <f>ROUND('Anexo 9'!P35*'Anexo 2'!$D$10,0)</f>
        <v>0</v>
      </c>
      <c r="Q35" s="33">
        <f>ROUND('Anexo 9'!Q35*'Anexo 2'!$D$10,0)</f>
        <v>0</v>
      </c>
      <c r="R35" s="33">
        <f>ROUND('Anexo 9'!R35*'Anexo 2'!$D$10,0)</f>
        <v>0</v>
      </c>
      <c r="S35" s="33">
        <f>ROUND('Anexo 9'!S35*'Anexo 2'!$D$10,0)</f>
        <v>0</v>
      </c>
      <c r="T35" s="33">
        <f>ROUND('Anexo 9'!T35*'Anexo 2'!$D$10,0)</f>
        <v>0</v>
      </c>
      <c r="U35" s="33">
        <f>ROUND('Anexo 9'!U35*'Anexo 2'!$D$10,0)</f>
        <v>0</v>
      </c>
      <c r="V35" s="33">
        <f>ROUND('Anexo 9'!V35*'Anexo 2'!$D$10,0)</f>
        <v>0</v>
      </c>
      <c r="W35" s="33">
        <f>ROUND('Anexo 9'!W35*'Anexo 2'!$D$10,0)</f>
        <v>0</v>
      </c>
      <c r="X35" s="33">
        <f>ROUND('Anexo 9'!X35*'Anexo 2'!$D$10,0)</f>
        <v>0</v>
      </c>
      <c r="Y35" s="33">
        <f>ROUND('Anexo 9'!Y35*'Anexo 2'!$D$10,0)</f>
        <v>0</v>
      </c>
      <c r="Z35" s="33">
        <f>ROUND('Anexo 9'!Z35*'Anexo 2'!$D$10,0)</f>
        <v>0</v>
      </c>
      <c r="AA35" s="41">
        <f t="shared" si="0"/>
        <v>0</v>
      </c>
      <c r="AB35" s="23">
        <v>6</v>
      </c>
      <c r="AC35" s="81"/>
      <c r="AD35" s="48"/>
    </row>
    <row r="36" spans="1:30" ht="15.75" thickBot="1" x14ac:dyDescent="0.3">
      <c r="A36" s="78">
        <v>46692</v>
      </c>
      <c r="B36" s="18" t="s">
        <v>8</v>
      </c>
      <c r="C36" s="33">
        <f>ROUND('Anexo 9'!C36*'Anexo 2'!$D$10,0)</f>
        <v>0</v>
      </c>
      <c r="D36" s="33">
        <f>ROUND('Anexo 9'!D36*'Anexo 2'!$D$10,0)</f>
        <v>0</v>
      </c>
      <c r="E36" s="33">
        <f>ROUND('Anexo 9'!E36*'Anexo 2'!$D$10,0)</f>
        <v>0</v>
      </c>
      <c r="F36" s="33">
        <f>ROUND('Anexo 9'!F36*'Anexo 2'!$D$10,0)</f>
        <v>0</v>
      </c>
      <c r="G36" s="33">
        <f>ROUND('Anexo 9'!G36*'Anexo 2'!$D$10,0)</f>
        <v>0</v>
      </c>
      <c r="H36" s="33">
        <f>ROUND('Anexo 9'!H36*'Anexo 2'!$D$10,0)</f>
        <v>0</v>
      </c>
      <c r="I36" s="33">
        <f>ROUND('Anexo 9'!I36*'Anexo 2'!$D$10,0)</f>
        <v>0</v>
      </c>
      <c r="J36" s="33">
        <f>ROUND('Anexo 9'!J36*'Anexo 2'!$D$10,0)</f>
        <v>0</v>
      </c>
      <c r="K36" s="33">
        <f>ROUND('Anexo 9'!K36*'Anexo 2'!$D$10,0)</f>
        <v>0</v>
      </c>
      <c r="L36" s="33">
        <f>ROUND('Anexo 9'!L36*'Anexo 2'!$D$10,0)</f>
        <v>0</v>
      </c>
      <c r="M36" s="33">
        <f>ROUND('Anexo 9'!M36*'Anexo 2'!$D$10,0)</f>
        <v>0</v>
      </c>
      <c r="N36" s="33">
        <f>ROUND('Anexo 9'!N36*'Anexo 2'!$D$10,0)</f>
        <v>0</v>
      </c>
      <c r="O36" s="33">
        <f>ROUND('Anexo 9'!O36*'Anexo 2'!$D$10,0)</f>
        <v>0</v>
      </c>
      <c r="P36" s="33">
        <f>ROUND('Anexo 9'!P36*'Anexo 2'!$D$10,0)</f>
        <v>0</v>
      </c>
      <c r="Q36" s="33">
        <f>ROUND('Anexo 9'!Q36*'Anexo 2'!$D$10,0)</f>
        <v>0</v>
      </c>
      <c r="R36" s="33">
        <f>ROUND('Anexo 9'!R36*'Anexo 2'!$D$10,0)</f>
        <v>0</v>
      </c>
      <c r="S36" s="33">
        <f>ROUND('Anexo 9'!S36*'Anexo 2'!$D$10,0)</f>
        <v>0</v>
      </c>
      <c r="T36" s="33">
        <f>ROUND('Anexo 9'!T36*'Anexo 2'!$D$10,0)</f>
        <v>0</v>
      </c>
      <c r="U36" s="33">
        <f>ROUND('Anexo 9'!U36*'Anexo 2'!$D$10,0)</f>
        <v>0</v>
      </c>
      <c r="V36" s="33">
        <f>ROUND('Anexo 9'!V36*'Anexo 2'!$D$10,0)</f>
        <v>0</v>
      </c>
      <c r="W36" s="33">
        <f>ROUND('Anexo 9'!W36*'Anexo 2'!$D$10,0)</f>
        <v>0</v>
      </c>
      <c r="X36" s="33">
        <f>ROUND('Anexo 9'!X36*'Anexo 2'!$D$10,0)</f>
        <v>0</v>
      </c>
      <c r="Y36" s="33">
        <f>ROUND('Anexo 9'!Y36*'Anexo 2'!$D$10,0)</f>
        <v>0</v>
      </c>
      <c r="Z36" s="33">
        <f>ROUND('Anexo 9'!Z36*'Anexo 2'!$D$10,0)</f>
        <v>0</v>
      </c>
      <c r="AA36" s="35">
        <f t="shared" si="0"/>
        <v>0</v>
      </c>
      <c r="AB36" s="19">
        <v>20</v>
      </c>
      <c r="AC36" s="79">
        <f>+AA36*AB36+AA37*AB37+AA38*AB38</f>
        <v>0</v>
      </c>
    </row>
    <row r="37" spans="1:30" ht="15.75" thickBot="1" x14ac:dyDescent="0.3">
      <c r="A37" s="78"/>
      <c r="B37" s="20" t="s">
        <v>7</v>
      </c>
      <c r="C37" s="33">
        <f>ROUND('Anexo 9'!C37*'Anexo 2'!$D$10,0)</f>
        <v>0</v>
      </c>
      <c r="D37" s="33">
        <f>ROUND('Anexo 9'!D37*'Anexo 2'!$D$10,0)</f>
        <v>0</v>
      </c>
      <c r="E37" s="33">
        <f>ROUND('Anexo 9'!E37*'Anexo 2'!$D$10,0)</f>
        <v>0</v>
      </c>
      <c r="F37" s="33">
        <f>ROUND('Anexo 9'!F37*'Anexo 2'!$D$10,0)</f>
        <v>0</v>
      </c>
      <c r="G37" s="33">
        <f>ROUND('Anexo 9'!G37*'Anexo 2'!$D$10,0)</f>
        <v>0</v>
      </c>
      <c r="H37" s="33">
        <f>ROUND('Anexo 9'!H37*'Anexo 2'!$D$10,0)</f>
        <v>0</v>
      </c>
      <c r="I37" s="33">
        <f>ROUND('Anexo 9'!I37*'Anexo 2'!$D$10,0)</f>
        <v>0</v>
      </c>
      <c r="J37" s="33">
        <f>ROUND('Anexo 9'!J37*'Anexo 2'!$D$10,0)</f>
        <v>0</v>
      </c>
      <c r="K37" s="33">
        <f>ROUND('Anexo 9'!K37*'Anexo 2'!$D$10,0)</f>
        <v>0</v>
      </c>
      <c r="L37" s="33">
        <f>ROUND('Anexo 9'!L37*'Anexo 2'!$D$10,0)</f>
        <v>0</v>
      </c>
      <c r="M37" s="33">
        <f>ROUND('Anexo 9'!M37*'Anexo 2'!$D$10,0)</f>
        <v>0</v>
      </c>
      <c r="N37" s="33">
        <f>ROUND('Anexo 9'!N37*'Anexo 2'!$D$10,0)</f>
        <v>0</v>
      </c>
      <c r="O37" s="33">
        <f>ROUND('Anexo 9'!O37*'Anexo 2'!$D$10,0)</f>
        <v>0</v>
      </c>
      <c r="P37" s="33">
        <f>ROUND('Anexo 9'!P37*'Anexo 2'!$D$10,0)</f>
        <v>0</v>
      </c>
      <c r="Q37" s="33">
        <f>ROUND('Anexo 9'!Q37*'Anexo 2'!$D$10,0)</f>
        <v>0</v>
      </c>
      <c r="R37" s="33">
        <f>ROUND('Anexo 9'!R37*'Anexo 2'!$D$10,0)</f>
        <v>0</v>
      </c>
      <c r="S37" s="33">
        <f>ROUND('Anexo 9'!S37*'Anexo 2'!$D$10,0)</f>
        <v>0</v>
      </c>
      <c r="T37" s="33">
        <f>ROUND('Anexo 9'!T37*'Anexo 2'!$D$10,0)</f>
        <v>0</v>
      </c>
      <c r="U37" s="33">
        <f>ROUND('Anexo 9'!U37*'Anexo 2'!$D$10,0)</f>
        <v>0</v>
      </c>
      <c r="V37" s="33">
        <f>ROUND('Anexo 9'!V37*'Anexo 2'!$D$10,0)</f>
        <v>0</v>
      </c>
      <c r="W37" s="33">
        <f>ROUND('Anexo 9'!W37*'Anexo 2'!$D$10,0)</f>
        <v>0</v>
      </c>
      <c r="X37" s="33">
        <f>ROUND('Anexo 9'!X37*'Anexo 2'!$D$10,0)</f>
        <v>0</v>
      </c>
      <c r="Y37" s="33">
        <f>ROUND('Anexo 9'!Y37*'Anexo 2'!$D$10,0)</f>
        <v>0</v>
      </c>
      <c r="Z37" s="33">
        <f>ROUND('Anexo 9'!Z37*'Anexo 2'!$D$10,0)</f>
        <v>0</v>
      </c>
      <c r="AA37" s="38">
        <f t="shared" si="0"/>
        <v>0</v>
      </c>
      <c r="AB37" s="21">
        <v>4</v>
      </c>
      <c r="AC37" s="80"/>
      <c r="AD37" s="47"/>
    </row>
    <row r="38" spans="1:30" ht="15.75" thickBot="1" x14ac:dyDescent="0.3">
      <c r="A38" s="78"/>
      <c r="B38" s="22" t="s">
        <v>6</v>
      </c>
      <c r="C38" s="33">
        <f>ROUND('Anexo 9'!C38*'Anexo 2'!$D$10,0)</f>
        <v>0</v>
      </c>
      <c r="D38" s="33">
        <f>ROUND('Anexo 9'!D38*'Anexo 2'!$D$10,0)</f>
        <v>0</v>
      </c>
      <c r="E38" s="33">
        <f>ROUND('Anexo 9'!E38*'Anexo 2'!$D$10,0)</f>
        <v>0</v>
      </c>
      <c r="F38" s="33">
        <f>ROUND('Anexo 9'!F38*'Anexo 2'!$D$10,0)</f>
        <v>0</v>
      </c>
      <c r="G38" s="33">
        <f>ROUND('Anexo 9'!G38*'Anexo 2'!$D$10,0)</f>
        <v>0</v>
      </c>
      <c r="H38" s="33">
        <f>ROUND('Anexo 9'!H38*'Anexo 2'!$D$10,0)</f>
        <v>0</v>
      </c>
      <c r="I38" s="33">
        <f>ROUND('Anexo 9'!I38*'Anexo 2'!$D$10,0)</f>
        <v>0</v>
      </c>
      <c r="J38" s="33">
        <f>ROUND('Anexo 9'!J38*'Anexo 2'!$D$10,0)</f>
        <v>0</v>
      </c>
      <c r="K38" s="33">
        <f>ROUND('Anexo 9'!K38*'Anexo 2'!$D$10,0)</f>
        <v>0</v>
      </c>
      <c r="L38" s="33">
        <f>ROUND('Anexo 9'!L38*'Anexo 2'!$D$10,0)</f>
        <v>0</v>
      </c>
      <c r="M38" s="33">
        <f>ROUND('Anexo 9'!M38*'Anexo 2'!$D$10,0)</f>
        <v>0</v>
      </c>
      <c r="N38" s="33">
        <f>ROUND('Anexo 9'!N38*'Anexo 2'!$D$10,0)</f>
        <v>0</v>
      </c>
      <c r="O38" s="33">
        <f>ROUND('Anexo 9'!O38*'Anexo 2'!$D$10,0)</f>
        <v>0</v>
      </c>
      <c r="P38" s="33">
        <f>ROUND('Anexo 9'!P38*'Anexo 2'!$D$10,0)</f>
        <v>0</v>
      </c>
      <c r="Q38" s="33">
        <f>ROUND('Anexo 9'!Q38*'Anexo 2'!$D$10,0)</f>
        <v>0</v>
      </c>
      <c r="R38" s="33">
        <f>ROUND('Anexo 9'!R38*'Anexo 2'!$D$10,0)</f>
        <v>0</v>
      </c>
      <c r="S38" s="33">
        <f>ROUND('Anexo 9'!S38*'Anexo 2'!$D$10,0)</f>
        <v>0</v>
      </c>
      <c r="T38" s="33">
        <f>ROUND('Anexo 9'!T38*'Anexo 2'!$D$10,0)</f>
        <v>0</v>
      </c>
      <c r="U38" s="33">
        <f>ROUND('Anexo 9'!U38*'Anexo 2'!$D$10,0)</f>
        <v>0</v>
      </c>
      <c r="V38" s="33">
        <f>ROUND('Anexo 9'!V38*'Anexo 2'!$D$10,0)</f>
        <v>0</v>
      </c>
      <c r="W38" s="33">
        <f>ROUND('Anexo 9'!W38*'Anexo 2'!$D$10,0)</f>
        <v>0</v>
      </c>
      <c r="X38" s="33">
        <f>ROUND('Anexo 9'!X38*'Anexo 2'!$D$10,0)</f>
        <v>0</v>
      </c>
      <c r="Y38" s="33">
        <f>ROUND('Anexo 9'!Y38*'Anexo 2'!$D$10,0)</f>
        <v>0</v>
      </c>
      <c r="Z38" s="33">
        <f>ROUND('Anexo 9'!Z38*'Anexo 2'!$D$10,0)</f>
        <v>0</v>
      </c>
      <c r="AA38" s="41">
        <f t="shared" si="0"/>
        <v>0</v>
      </c>
      <c r="AB38" s="23">
        <v>6</v>
      </c>
      <c r="AC38" s="81"/>
      <c r="AD38" s="49"/>
    </row>
    <row r="39" spans="1:30" ht="15.75" thickBot="1" x14ac:dyDescent="0.3">
      <c r="A39" s="78">
        <v>46722</v>
      </c>
      <c r="B39" s="18" t="s">
        <v>8</v>
      </c>
      <c r="C39" s="33">
        <f>ROUND('Anexo 9'!C39*'Anexo 2'!$D$10,0)</f>
        <v>0</v>
      </c>
      <c r="D39" s="33">
        <f>ROUND('Anexo 9'!D39*'Anexo 2'!$D$10,0)</f>
        <v>0</v>
      </c>
      <c r="E39" s="33">
        <f>ROUND('Anexo 9'!E39*'Anexo 2'!$D$10,0)</f>
        <v>0</v>
      </c>
      <c r="F39" s="33">
        <f>ROUND('Anexo 9'!F39*'Anexo 2'!$D$10,0)</f>
        <v>0</v>
      </c>
      <c r="G39" s="33">
        <f>ROUND('Anexo 9'!G39*'Anexo 2'!$D$10,0)</f>
        <v>0</v>
      </c>
      <c r="H39" s="33">
        <f>ROUND('Anexo 9'!H39*'Anexo 2'!$D$10,0)</f>
        <v>0</v>
      </c>
      <c r="I39" s="33">
        <f>ROUND('Anexo 9'!I39*'Anexo 2'!$D$10,0)</f>
        <v>0</v>
      </c>
      <c r="J39" s="33">
        <f>ROUND('Anexo 9'!J39*'Anexo 2'!$D$10,0)</f>
        <v>0</v>
      </c>
      <c r="K39" s="33">
        <f>ROUND('Anexo 9'!K39*'Anexo 2'!$D$10,0)</f>
        <v>0</v>
      </c>
      <c r="L39" s="33">
        <f>ROUND('Anexo 9'!L39*'Anexo 2'!$D$10,0)</f>
        <v>0</v>
      </c>
      <c r="M39" s="33">
        <f>ROUND('Anexo 9'!M39*'Anexo 2'!$D$10,0)</f>
        <v>0</v>
      </c>
      <c r="N39" s="33">
        <f>ROUND('Anexo 9'!N39*'Anexo 2'!$D$10,0)</f>
        <v>0</v>
      </c>
      <c r="O39" s="33">
        <f>ROUND('Anexo 9'!O39*'Anexo 2'!$D$10,0)</f>
        <v>0</v>
      </c>
      <c r="P39" s="33">
        <f>ROUND('Anexo 9'!P39*'Anexo 2'!$D$10,0)</f>
        <v>0</v>
      </c>
      <c r="Q39" s="33">
        <f>ROUND('Anexo 9'!Q39*'Anexo 2'!$D$10,0)</f>
        <v>0</v>
      </c>
      <c r="R39" s="33">
        <f>ROUND('Anexo 9'!R39*'Anexo 2'!$D$10,0)</f>
        <v>0</v>
      </c>
      <c r="S39" s="33">
        <f>ROUND('Anexo 9'!S39*'Anexo 2'!$D$10,0)</f>
        <v>0</v>
      </c>
      <c r="T39" s="33">
        <f>ROUND('Anexo 9'!T39*'Anexo 2'!$D$10,0)</f>
        <v>0</v>
      </c>
      <c r="U39" s="33">
        <f>ROUND('Anexo 9'!U39*'Anexo 2'!$D$10,0)</f>
        <v>0</v>
      </c>
      <c r="V39" s="33">
        <f>ROUND('Anexo 9'!V39*'Anexo 2'!$D$10,0)</f>
        <v>0</v>
      </c>
      <c r="W39" s="33">
        <f>ROUND('Anexo 9'!W39*'Anexo 2'!$D$10,0)</f>
        <v>0</v>
      </c>
      <c r="X39" s="33">
        <f>ROUND('Anexo 9'!X39*'Anexo 2'!$D$10,0)</f>
        <v>0</v>
      </c>
      <c r="Y39" s="33">
        <f>ROUND('Anexo 9'!Y39*'Anexo 2'!$D$10,0)</f>
        <v>0</v>
      </c>
      <c r="Z39" s="33">
        <f>ROUND('Anexo 9'!Z39*'Anexo 2'!$D$10,0)</f>
        <v>0</v>
      </c>
      <c r="AA39" s="35">
        <f t="shared" si="0"/>
        <v>0</v>
      </c>
      <c r="AB39" s="19">
        <v>22</v>
      </c>
      <c r="AC39" s="79">
        <f>+AA39*AB39+AA40*AB40+AA41*AB41</f>
        <v>0</v>
      </c>
    </row>
    <row r="40" spans="1:30" ht="15.75" thickBot="1" x14ac:dyDescent="0.3">
      <c r="A40" s="78"/>
      <c r="B40" s="20" t="s">
        <v>7</v>
      </c>
      <c r="C40" s="33">
        <f>ROUND('Anexo 9'!C40*'Anexo 2'!$D$10,0)</f>
        <v>0</v>
      </c>
      <c r="D40" s="33">
        <f>ROUND('Anexo 9'!D40*'Anexo 2'!$D$10,0)</f>
        <v>0</v>
      </c>
      <c r="E40" s="33">
        <f>ROUND('Anexo 9'!E40*'Anexo 2'!$D$10,0)</f>
        <v>0</v>
      </c>
      <c r="F40" s="33">
        <f>ROUND('Anexo 9'!F40*'Anexo 2'!$D$10,0)</f>
        <v>0</v>
      </c>
      <c r="G40" s="33">
        <f>ROUND('Anexo 9'!G40*'Anexo 2'!$D$10,0)</f>
        <v>0</v>
      </c>
      <c r="H40" s="33">
        <f>ROUND('Anexo 9'!H40*'Anexo 2'!$D$10,0)</f>
        <v>0</v>
      </c>
      <c r="I40" s="33">
        <f>ROUND('Anexo 9'!I40*'Anexo 2'!$D$10,0)</f>
        <v>0</v>
      </c>
      <c r="J40" s="33">
        <f>ROUND('Anexo 9'!J40*'Anexo 2'!$D$10,0)</f>
        <v>0</v>
      </c>
      <c r="K40" s="33">
        <f>ROUND('Anexo 9'!K40*'Anexo 2'!$D$10,0)</f>
        <v>0</v>
      </c>
      <c r="L40" s="33">
        <f>ROUND('Anexo 9'!L40*'Anexo 2'!$D$10,0)</f>
        <v>0</v>
      </c>
      <c r="M40" s="33">
        <f>ROUND('Anexo 9'!M40*'Anexo 2'!$D$10,0)</f>
        <v>0</v>
      </c>
      <c r="N40" s="33">
        <f>ROUND('Anexo 9'!N40*'Anexo 2'!$D$10,0)</f>
        <v>0</v>
      </c>
      <c r="O40" s="33">
        <f>ROUND('Anexo 9'!O40*'Anexo 2'!$D$10,0)</f>
        <v>0</v>
      </c>
      <c r="P40" s="33">
        <f>ROUND('Anexo 9'!P40*'Anexo 2'!$D$10,0)</f>
        <v>0</v>
      </c>
      <c r="Q40" s="33">
        <f>ROUND('Anexo 9'!Q40*'Anexo 2'!$D$10,0)</f>
        <v>0</v>
      </c>
      <c r="R40" s="33">
        <f>ROUND('Anexo 9'!R40*'Anexo 2'!$D$10,0)</f>
        <v>0</v>
      </c>
      <c r="S40" s="33">
        <f>ROUND('Anexo 9'!S40*'Anexo 2'!$D$10,0)</f>
        <v>0</v>
      </c>
      <c r="T40" s="33">
        <f>ROUND('Anexo 9'!T40*'Anexo 2'!$D$10,0)</f>
        <v>0</v>
      </c>
      <c r="U40" s="33">
        <f>ROUND('Anexo 9'!U40*'Anexo 2'!$D$10,0)</f>
        <v>0</v>
      </c>
      <c r="V40" s="33">
        <f>ROUND('Anexo 9'!V40*'Anexo 2'!$D$10,0)</f>
        <v>0</v>
      </c>
      <c r="W40" s="33">
        <f>ROUND('Anexo 9'!W40*'Anexo 2'!$D$10,0)</f>
        <v>0</v>
      </c>
      <c r="X40" s="33">
        <f>ROUND('Anexo 9'!X40*'Anexo 2'!$D$10,0)</f>
        <v>0</v>
      </c>
      <c r="Y40" s="33">
        <f>ROUND('Anexo 9'!Y40*'Anexo 2'!$D$10,0)</f>
        <v>0</v>
      </c>
      <c r="Z40" s="33">
        <f>ROUND('Anexo 9'!Z40*'Anexo 2'!$D$10,0)</f>
        <v>0</v>
      </c>
      <c r="AA40" s="38">
        <f t="shared" si="0"/>
        <v>0</v>
      </c>
      <c r="AB40" s="21">
        <v>3</v>
      </c>
      <c r="AC40" s="80"/>
      <c r="AD40" s="47"/>
    </row>
    <row r="41" spans="1:30" ht="15.75" thickBot="1" x14ac:dyDescent="0.3">
      <c r="A41" s="78"/>
      <c r="B41" s="22" t="s">
        <v>6</v>
      </c>
      <c r="C41" s="33">
        <f>ROUND('Anexo 9'!C41*'Anexo 2'!$D$10,0)</f>
        <v>0</v>
      </c>
      <c r="D41" s="33">
        <f>ROUND('Anexo 9'!D41*'Anexo 2'!$D$10,0)</f>
        <v>0</v>
      </c>
      <c r="E41" s="33">
        <f>ROUND('Anexo 9'!E41*'Anexo 2'!$D$10,0)</f>
        <v>0</v>
      </c>
      <c r="F41" s="33">
        <f>ROUND('Anexo 9'!F41*'Anexo 2'!$D$10,0)</f>
        <v>0</v>
      </c>
      <c r="G41" s="33">
        <f>ROUND('Anexo 9'!G41*'Anexo 2'!$D$10,0)</f>
        <v>0</v>
      </c>
      <c r="H41" s="33">
        <f>ROUND('Anexo 9'!H41*'Anexo 2'!$D$10,0)</f>
        <v>0</v>
      </c>
      <c r="I41" s="33">
        <f>ROUND('Anexo 9'!I41*'Anexo 2'!$D$10,0)</f>
        <v>0</v>
      </c>
      <c r="J41" s="33">
        <f>ROUND('Anexo 9'!J41*'Anexo 2'!$D$10,0)</f>
        <v>0</v>
      </c>
      <c r="K41" s="33">
        <f>ROUND('Anexo 9'!K41*'Anexo 2'!$D$10,0)</f>
        <v>0</v>
      </c>
      <c r="L41" s="33">
        <f>ROUND('Anexo 9'!L41*'Anexo 2'!$D$10,0)</f>
        <v>0</v>
      </c>
      <c r="M41" s="33">
        <f>ROUND('Anexo 9'!M41*'Anexo 2'!$D$10,0)</f>
        <v>0</v>
      </c>
      <c r="N41" s="33">
        <f>ROUND('Anexo 9'!N41*'Anexo 2'!$D$10,0)</f>
        <v>0</v>
      </c>
      <c r="O41" s="33">
        <f>ROUND('Anexo 9'!O41*'Anexo 2'!$D$10,0)</f>
        <v>0</v>
      </c>
      <c r="P41" s="33">
        <f>ROUND('Anexo 9'!P41*'Anexo 2'!$D$10,0)</f>
        <v>0</v>
      </c>
      <c r="Q41" s="33">
        <f>ROUND('Anexo 9'!Q41*'Anexo 2'!$D$10,0)</f>
        <v>0</v>
      </c>
      <c r="R41" s="33">
        <f>ROUND('Anexo 9'!R41*'Anexo 2'!$D$10,0)</f>
        <v>0</v>
      </c>
      <c r="S41" s="33">
        <f>ROUND('Anexo 9'!S41*'Anexo 2'!$D$10,0)</f>
        <v>0</v>
      </c>
      <c r="T41" s="33">
        <f>ROUND('Anexo 9'!T41*'Anexo 2'!$D$10,0)</f>
        <v>0</v>
      </c>
      <c r="U41" s="33">
        <f>ROUND('Anexo 9'!U41*'Anexo 2'!$D$10,0)</f>
        <v>0</v>
      </c>
      <c r="V41" s="33">
        <f>ROUND('Anexo 9'!V41*'Anexo 2'!$D$10,0)</f>
        <v>0</v>
      </c>
      <c r="W41" s="33">
        <f>ROUND('Anexo 9'!W41*'Anexo 2'!$D$10,0)</f>
        <v>0</v>
      </c>
      <c r="X41" s="33">
        <f>ROUND('Anexo 9'!X41*'Anexo 2'!$D$10,0)</f>
        <v>0</v>
      </c>
      <c r="Y41" s="33">
        <f>ROUND('Anexo 9'!Y41*'Anexo 2'!$D$10,0)</f>
        <v>0</v>
      </c>
      <c r="Z41" s="33">
        <f>ROUND('Anexo 9'!Z41*'Anexo 2'!$D$10,0)</f>
        <v>0</v>
      </c>
      <c r="AA41" s="41">
        <f t="shared" si="0"/>
        <v>0</v>
      </c>
      <c r="AB41" s="23">
        <v>6</v>
      </c>
      <c r="AC41" s="81"/>
      <c r="AD41" s="42"/>
    </row>
    <row r="42" spans="1:30" ht="15" x14ac:dyDescent="0.25">
      <c r="A42" s="76" t="s">
        <v>5</v>
      </c>
      <c r="B42" s="77"/>
      <c r="C42" s="31">
        <f t="shared" ref="C42:AC42" si="1">+SUM(C6:C41)</f>
        <v>0</v>
      </c>
      <c r="D42" s="31">
        <f t="shared" si="1"/>
        <v>0</v>
      </c>
      <c r="E42" s="31">
        <f t="shared" si="1"/>
        <v>0</v>
      </c>
      <c r="F42" s="31">
        <f t="shared" si="1"/>
        <v>0</v>
      </c>
      <c r="G42" s="31">
        <f t="shared" si="1"/>
        <v>0</v>
      </c>
      <c r="H42" s="31">
        <f t="shared" si="1"/>
        <v>0</v>
      </c>
      <c r="I42" s="31">
        <f t="shared" si="1"/>
        <v>0</v>
      </c>
      <c r="J42" s="31">
        <f t="shared" si="1"/>
        <v>0</v>
      </c>
      <c r="K42" s="31">
        <f t="shared" si="1"/>
        <v>0</v>
      </c>
      <c r="L42" s="31">
        <f t="shared" si="1"/>
        <v>0</v>
      </c>
      <c r="M42" s="31">
        <f t="shared" si="1"/>
        <v>0</v>
      </c>
      <c r="N42" s="31">
        <f t="shared" si="1"/>
        <v>0</v>
      </c>
      <c r="O42" s="31">
        <f t="shared" si="1"/>
        <v>0</v>
      </c>
      <c r="P42" s="31">
        <f t="shared" si="1"/>
        <v>0</v>
      </c>
      <c r="Q42" s="31">
        <f t="shared" si="1"/>
        <v>0</v>
      </c>
      <c r="R42" s="31">
        <f t="shared" si="1"/>
        <v>0</v>
      </c>
      <c r="S42" s="31">
        <f t="shared" si="1"/>
        <v>0</v>
      </c>
      <c r="T42" s="31">
        <f t="shared" si="1"/>
        <v>0</v>
      </c>
      <c r="U42" s="31">
        <f t="shared" si="1"/>
        <v>0</v>
      </c>
      <c r="V42" s="31">
        <f t="shared" si="1"/>
        <v>0</v>
      </c>
      <c r="W42" s="31">
        <f t="shared" si="1"/>
        <v>0</v>
      </c>
      <c r="X42" s="31">
        <f t="shared" si="1"/>
        <v>0</v>
      </c>
      <c r="Y42" s="31">
        <f t="shared" si="1"/>
        <v>0</v>
      </c>
      <c r="Z42" s="31">
        <f t="shared" si="1"/>
        <v>0</v>
      </c>
      <c r="AA42" s="31">
        <f t="shared" si="1"/>
        <v>0</v>
      </c>
      <c r="AB42" s="31">
        <f t="shared" si="1"/>
        <v>365</v>
      </c>
      <c r="AC42" s="46">
        <f t="shared" si="1"/>
        <v>0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/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D221-E7EF-4226-B08A-510586E9FFC9}">
  <sheetPr codeName="Hoja3">
    <tabColor theme="4" tint="-0.249977111117893"/>
  </sheetPr>
  <dimension ref="A1:H35"/>
  <sheetViews>
    <sheetView showGridLines="0" topLeftCell="A9" zoomScaleNormal="100" zoomScaleSheetLayoutView="140" workbookViewId="0">
      <selection activeCell="A11" sqref="A11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x14ac:dyDescent="0.25"/>
    <row r="2" spans="1:8" x14ac:dyDescent="0.25"/>
    <row r="3" spans="1:8" x14ac:dyDescent="0.25">
      <c r="B3" s="73" t="s">
        <v>55</v>
      </c>
      <c r="C3" s="73"/>
      <c r="D3" s="73"/>
      <c r="E3" s="73"/>
      <c r="F3" s="73"/>
      <c r="G3" s="29"/>
    </row>
    <row r="4" spans="1:8" x14ac:dyDescent="0.25">
      <c r="B4" s="73" t="s">
        <v>44</v>
      </c>
      <c r="C4" s="73"/>
      <c r="D4" s="73"/>
      <c r="E4" s="73"/>
      <c r="F4" s="73"/>
      <c r="G4" s="29"/>
    </row>
    <row r="5" spans="1:8" x14ac:dyDescent="0.25">
      <c r="B5" s="73" t="s">
        <v>81</v>
      </c>
      <c r="C5" s="73"/>
      <c r="D5" s="73"/>
      <c r="E5" s="73"/>
      <c r="F5" s="73"/>
      <c r="G5" s="29"/>
    </row>
    <row r="6" spans="1:8" x14ac:dyDescent="0.25">
      <c r="B6" s="5"/>
      <c r="C6" s="5"/>
      <c r="D6" s="5"/>
      <c r="E6" s="5"/>
      <c r="F6" s="5"/>
      <c r="G6" s="5"/>
    </row>
    <row r="7" spans="1:8" x14ac:dyDescent="0.25"/>
    <row r="8" spans="1:8" ht="15" customHeight="1" x14ac:dyDescent="0.25">
      <c r="B8" s="74" t="s">
        <v>4</v>
      </c>
      <c r="C8" s="74" t="s">
        <v>39</v>
      </c>
      <c r="D8" s="74" t="s">
        <v>43</v>
      </c>
      <c r="E8" s="74" t="s">
        <v>40</v>
      </c>
      <c r="F8" s="74" t="s">
        <v>45</v>
      </c>
      <c r="G8" s="28"/>
    </row>
    <row r="9" spans="1:8" ht="23.25" customHeight="1" x14ac:dyDescent="0.25">
      <c r="B9" s="75"/>
      <c r="C9" s="75"/>
      <c r="D9" s="75"/>
      <c r="E9" s="75"/>
      <c r="F9" s="75"/>
      <c r="G9" s="28"/>
    </row>
    <row r="10" spans="1:8" ht="15.75" thickBot="1" x14ac:dyDescent="0.3">
      <c r="A10" s="64"/>
      <c r="B10" s="8">
        <v>46753</v>
      </c>
      <c r="C10" s="43">
        <f>+'Anexo 10'!AC6</f>
        <v>72418253</v>
      </c>
      <c r="D10" s="70"/>
      <c r="E10" s="57">
        <f>+'Cantidades Ofertadas Prod 3'!AC6</f>
        <v>0</v>
      </c>
      <c r="F10" s="67"/>
      <c r="G10" s="32"/>
      <c r="H10" s="51"/>
    </row>
    <row r="11" spans="1:8" ht="15.75" thickBot="1" x14ac:dyDescent="0.3">
      <c r="A11" s="64"/>
      <c r="B11" s="8">
        <v>46784</v>
      </c>
      <c r="C11" s="43">
        <f>+'Anexo 10'!AC9</f>
        <v>67814638</v>
      </c>
      <c r="D11" s="71"/>
      <c r="E11" s="57">
        <f>+'Cantidades Ofertadas Prod 3'!AC9</f>
        <v>0</v>
      </c>
      <c r="F11" s="68"/>
      <c r="G11" s="32"/>
      <c r="H11" s="51"/>
    </row>
    <row r="12" spans="1:8" ht="15.75" thickBot="1" x14ac:dyDescent="0.3">
      <c r="A12" s="64"/>
      <c r="B12" s="8">
        <v>46813</v>
      </c>
      <c r="C12" s="43">
        <f>+'Anexo 10'!AC12</f>
        <v>72965025</v>
      </c>
      <c r="D12" s="71"/>
      <c r="E12" s="57">
        <f>+'Cantidades Ofertadas Prod 3'!AC12</f>
        <v>0</v>
      </c>
      <c r="F12" s="68"/>
      <c r="G12" s="32"/>
      <c r="H12" s="51"/>
    </row>
    <row r="13" spans="1:8" ht="15.75" thickBot="1" x14ac:dyDescent="0.3">
      <c r="A13" s="64"/>
      <c r="B13" s="8">
        <v>46844</v>
      </c>
      <c r="C13" s="43">
        <f>+'Anexo 10'!AC15</f>
        <v>62229959</v>
      </c>
      <c r="D13" s="71"/>
      <c r="E13" s="57">
        <f>+'Cantidades Ofertadas Prod 3'!AC15</f>
        <v>0</v>
      </c>
      <c r="F13" s="68"/>
      <c r="G13" s="32"/>
      <c r="H13" s="51"/>
    </row>
    <row r="14" spans="1:8" ht="15.75" thickBot="1" x14ac:dyDescent="0.3">
      <c r="A14" s="64"/>
      <c r="B14" s="8">
        <v>46874</v>
      </c>
      <c r="C14" s="43">
        <f>+'Anexo 10'!AC18</f>
        <v>65590613</v>
      </c>
      <c r="D14" s="71"/>
      <c r="E14" s="57">
        <f>+'Cantidades Ofertadas Prod 3'!AC18</f>
        <v>0</v>
      </c>
      <c r="F14" s="68"/>
      <c r="G14" s="32"/>
      <c r="H14" s="51"/>
    </row>
    <row r="15" spans="1:8" ht="15.75" thickBot="1" x14ac:dyDescent="0.3">
      <c r="A15" s="64"/>
      <c r="B15" s="8">
        <v>46905</v>
      </c>
      <c r="C15" s="43">
        <f>+'Anexo 10'!AC21</f>
        <v>65082478</v>
      </c>
      <c r="D15" s="71"/>
      <c r="E15" s="57">
        <f>+'Cantidades Ofertadas Prod 3'!AC21</f>
        <v>0</v>
      </c>
      <c r="F15" s="68"/>
      <c r="G15" s="32"/>
      <c r="H15" s="51"/>
    </row>
    <row r="16" spans="1:8" ht="15.75" thickBot="1" x14ac:dyDescent="0.3">
      <c r="A16" s="64"/>
      <c r="B16" s="8">
        <v>46935</v>
      </c>
      <c r="C16" s="43">
        <f>+'Anexo 10'!AC24</f>
        <v>68567739</v>
      </c>
      <c r="D16" s="71"/>
      <c r="E16" s="57">
        <f>+'Cantidades Ofertadas Prod 3'!AC24</f>
        <v>0</v>
      </c>
      <c r="F16" s="68"/>
      <c r="G16" s="32"/>
      <c r="H16" s="51"/>
    </row>
    <row r="17" spans="1:8" ht="15.75" thickBot="1" x14ac:dyDescent="0.3">
      <c r="A17" s="64"/>
      <c r="B17" s="8">
        <v>46966</v>
      </c>
      <c r="C17" s="43">
        <f>+'Anexo 10'!AC27</f>
        <v>71071511</v>
      </c>
      <c r="D17" s="71"/>
      <c r="E17" s="57">
        <f>+'Cantidades Ofertadas Prod 3'!AC27</f>
        <v>0</v>
      </c>
      <c r="F17" s="68"/>
      <c r="G17" s="32"/>
      <c r="H17" s="51"/>
    </row>
    <row r="18" spans="1:8" ht="15.75" thickBot="1" x14ac:dyDescent="0.3">
      <c r="A18" s="64"/>
      <c r="B18" s="8">
        <v>46997</v>
      </c>
      <c r="C18" s="43">
        <f>+'Anexo 10'!AC30</f>
        <v>72100839</v>
      </c>
      <c r="D18" s="71"/>
      <c r="E18" s="57">
        <f>+'Cantidades Ofertadas Prod 3'!AC30</f>
        <v>0</v>
      </c>
      <c r="F18" s="68"/>
      <c r="G18" s="32"/>
      <c r="H18" s="51"/>
    </row>
    <row r="19" spans="1:8" ht="15.75" thickBot="1" x14ac:dyDescent="0.3">
      <c r="A19" s="64"/>
      <c r="B19" s="8">
        <v>47027</v>
      </c>
      <c r="C19" s="43">
        <f>+'Anexo 10'!AC33</f>
        <v>69739342</v>
      </c>
      <c r="D19" s="71"/>
      <c r="E19" s="57">
        <f>+'Cantidades Ofertadas Prod 3'!AC33</f>
        <v>0</v>
      </c>
      <c r="F19" s="68"/>
      <c r="G19" s="32"/>
      <c r="H19" s="51"/>
    </row>
    <row r="20" spans="1:8" ht="15.75" thickBot="1" x14ac:dyDescent="0.3">
      <c r="A20" s="64"/>
      <c r="B20" s="8">
        <v>47058</v>
      </c>
      <c r="C20" s="43">
        <f>+'Anexo 10'!AC36</f>
        <v>65267432</v>
      </c>
      <c r="D20" s="71"/>
      <c r="E20" s="57">
        <f>+'Cantidades Ofertadas Prod 3'!AC36</f>
        <v>0</v>
      </c>
      <c r="F20" s="68"/>
      <c r="G20" s="32"/>
      <c r="H20" s="51"/>
    </row>
    <row r="21" spans="1:8" ht="15.75" thickBot="1" x14ac:dyDescent="0.3">
      <c r="A21" s="64"/>
      <c r="B21" s="8">
        <v>47088</v>
      </c>
      <c r="C21" s="44">
        <f>+'Anexo 10'!AC39</f>
        <v>72276401</v>
      </c>
      <c r="D21" s="72"/>
      <c r="E21" s="58">
        <f>+'Cantidades Ofertadas Prod 3'!AC39</f>
        <v>0</v>
      </c>
      <c r="F21" s="69"/>
      <c r="G21" s="32"/>
      <c r="H21" s="51"/>
    </row>
    <row r="22" spans="1:8" ht="28.5" customHeight="1" x14ac:dyDescent="0.25">
      <c r="A22" s="64"/>
      <c r="B22" s="9" t="s">
        <v>3</v>
      </c>
      <c r="C22" s="10">
        <f>+SUM(C10:C21)</f>
        <v>825124230</v>
      </c>
      <c r="D22" s="62"/>
      <c r="E22" s="56">
        <f>SUM(E10:E21)</f>
        <v>0</v>
      </c>
      <c r="F22" s="55">
        <f>+F10</f>
        <v>0</v>
      </c>
      <c r="G22" s="50"/>
      <c r="H22" s="42"/>
    </row>
    <row r="23" spans="1:8" ht="19.5" customHeight="1" x14ac:dyDescent="0.25">
      <c r="B23" s="7" t="s">
        <v>61</v>
      </c>
      <c r="C23" s="25"/>
      <c r="D23" s="30"/>
      <c r="E23" s="25"/>
      <c r="F23" s="26"/>
      <c r="G23" s="26"/>
      <c r="H23" s="42"/>
    </row>
    <row r="24" spans="1:8" ht="15" customHeight="1" x14ac:dyDescent="0.25">
      <c r="B24" s="66" t="s">
        <v>49</v>
      </c>
      <c r="C24" s="66"/>
      <c r="D24" s="66"/>
      <c r="E24" s="66"/>
      <c r="F24" s="66"/>
      <c r="G24" s="66"/>
      <c r="H24" s="42"/>
    </row>
    <row r="25" spans="1:8" x14ac:dyDescent="0.25">
      <c r="B25" s="7" t="s">
        <v>102</v>
      </c>
      <c r="C25" s="52"/>
      <c r="D25" s="52"/>
      <c r="E25" s="52"/>
      <c r="F25" s="52"/>
      <c r="G25" s="52"/>
      <c r="H25" s="42"/>
    </row>
    <row r="26" spans="1:8" x14ac:dyDescent="0.25">
      <c r="B26" s="7" t="s">
        <v>68</v>
      </c>
      <c r="C26" s="52"/>
      <c r="D26" s="52"/>
      <c r="E26" s="52"/>
      <c r="F26" s="52"/>
      <c r="G26" s="52"/>
      <c r="H26" s="42"/>
    </row>
    <row r="27" spans="1:8" x14ac:dyDescent="0.25">
      <c r="B27" s="7" t="s">
        <v>46</v>
      </c>
      <c r="H27" s="42"/>
    </row>
    <row r="28" spans="1:8" x14ac:dyDescent="0.25">
      <c r="B28" s="7" t="s">
        <v>79</v>
      </c>
    </row>
    <row r="29" spans="1:8" x14ac:dyDescent="0.25"/>
    <row r="30" spans="1:8" x14ac:dyDescent="0.25">
      <c r="C30" s="45"/>
      <c r="E30" s="45">
        <f>+E22/1000</f>
        <v>0</v>
      </c>
    </row>
    <row r="31" spans="1:8" x14ac:dyDescent="0.25">
      <c r="C31" s="45"/>
    </row>
    <row r="32" spans="1:8" x14ac:dyDescent="0.25">
      <c r="B32" s="60" t="s">
        <v>56</v>
      </c>
      <c r="C32" s="61"/>
      <c r="D32" s="61"/>
      <c r="E32" s="61"/>
    </row>
    <row r="33" spans="2:2" x14ac:dyDescent="0.25">
      <c r="B33" s="61" t="s">
        <v>57</v>
      </c>
    </row>
    <row r="34" spans="2:2" x14ac:dyDescent="0.25">
      <c r="B34" s="61" t="s">
        <v>58</v>
      </c>
    </row>
    <row r="35" spans="2:2" x14ac:dyDescent="0.25"/>
  </sheetData>
  <mergeCells count="11">
    <mergeCell ref="B24:G24"/>
    <mergeCell ref="F10:F21"/>
    <mergeCell ref="D10:D21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decimal" allowBlank="1" showInputMessage="1" showErrorMessage="1" errorTitle="Dato No valido" error="Debe ingresar un valor entre 0 y 100_x000a_" sqref="D10:D21" xr:uid="{61A73EBC-7E67-4E7E-9186-D24A1959D440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EF5B-5739-4CD0-8A57-1546109D0DC4}">
  <sheetPr>
    <tabColor theme="4" tint="-0.249977111117893"/>
  </sheetPr>
  <dimension ref="A1:H33"/>
  <sheetViews>
    <sheetView showGridLines="0" topLeftCell="A12" zoomScaleNormal="100" zoomScaleSheetLayoutView="140" workbookViewId="0">
      <selection activeCell="A10" sqref="A10:A21"/>
    </sheetView>
  </sheetViews>
  <sheetFormatPr baseColWidth="10" defaultColWidth="0" defaultRowHeight="15" zeroHeight="1" x14ac:dyDescent="0.25"/>
  <cols>
    <col min="1" max="2" width="11.42578125" customWidth="1"/>
    <col min="3" max="3" width="18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x14ac:dyDescent="0.25"/>
    <row r="2" spans="1:8" x14ac:dyDescent="0.25"/>
    <row r="3" spans="1:8" x14ac:dyDescent="0.25">
      <c r="B3" s="73" t="s">
        <v>75</v>
      </c>
      <c r="C3" s="73"/>
      <c r="D3" s="73"/>
      <c r="E3" s="73"/>
      <c r="F3" s="73"/>
      <c r="G3" s="29"/>
    </row>
    <row r="4" spans="1:8" x14ac:dyDescent="0.25">
      <c r="B4" s="73" t="s">
        <v>44</v>
      </c>
      <c r="C4" s="73"/>
      <c r="D4" s="73"/>
      <c r="E4" s="73"/>
      <c r="F4" s="73"/>
      <c r="G4" s="29"/>
    </row>
    <row r="5" spans="1:8" x14ac:dyDescent="0.25">
      <c r="B5" s="73" t="s">
        <v>81</v>
      </c>
      <c r="C5" s="73"/>
      <c r="D5" s="73"/>
      <c r="E5" s="73"/>
      <c r="F5" s="73"/>
      <c r="G5" s="29"/>
    </row>
    <row r="6" spans="1:8" x14ac:dyDescent="0.25">
      <c r="B6" s="5"/>
      <c r="C6" s="5"/>
      <c r="D6" s="5"/>
      <c r="E6" s="5"/>
      <c r="F6" s="5"/>
      <c r="G6" s="5"/>
    </row>
    <row r="7" spans="1:8" x14ac:dyDescent="0.25"/>
    <row r="8" spans="1:8" ht="15" customHeight="1" x14ac:dyDescent="0.25">
      <c r="B8" s="74" t="s">
        <v>4</v>
      </c>
      <c r="C8" s="74" t="s">
        <v>59</v>
      </c>
      <c r="D8" s="74" t="s">
        <v>69</v>
      </c>
      <c r="E8" s="74" t="s">
        <v>40</v>
      </c>
      <c r="F8" s="74" t="s">
        <v>45</v>
      </c>
      <c r="G8" s="28"/>
    </row>
    <row r="9" spans="1:8" ht="23.25" customHeight="1" x14ac:dyDescent="0.25">
      <c r="A9" s="63">
        <v>20000</v>
      </c>
      <c r="B9" s="75"/>
      <c r="C9" s="75"/>
      <c r="D9" s="75"/>
      <c r="E9" s="75"/>
      <c r="F9" s="75"/>
      <c r="G9" s="28"/>
    </row>
    <row r="10" spans="1:8" ht="15.75" thickBot="1" x14ac:dyDescent="0.3">
      <c r="A10" s="59">
        <v>31</v>
      </c>
      <c r="B10" s="8">
        <v>46753</v>
      </c>
      <c r="C10" s="43">
        <f>+$A$9*A10*24</f>
        <v>14880000</v>
      </c>
      <c r="D10" s="93"/>
      <c r="E10" s="57">
        <f>+$D$10*A10*24</f>
        <v>0</v>
      </c>
      <c r="F10" s="67"/>
      <c r="G10" s="32"/>
      <c r="H10" s="51"/>
    </row>
    <row r="11" spans="1:8" ht="15.75" thickBot="1" x14ac:dyDescent="0.3">
      <c r="A11" s="59">
        <v>29</v>
      </c>
      <c r="B11" s="8">
        <v>46784</v>
      </c>
      <c r="C11" s="43">
        <f t="shared" ref="C11:C21" si="0">+$A$9*A11*24</f>
        <v>13920000</v>
      </c>
      <c r="D11" s="94"/>
      <c r="E11" s="57">
        <f t="shared" ref="E11:E21" si="1">+$D$10*A11*24</f>
        <v>0</v>
      </c>
      <c r="F11" s="68"/>
      <c r="G11" s="32"/>
      <c r="H11" s="51"/>
    </row>
    <row r="12" spans="1:8" ht="15.75" thickBot="1" x14ac:dyDescent="0.3">
      <c r="A12" s="59">
        <v>31</v>
      </c>
      <c r="B12" s="8">
        <v>46813</v>
      </c>
      <c r="C12" s="43">
        <f t="shared" si="0"/>
        <v>14880000</v>
      </c>
      <c r="D12" s="94"/>
      <c r="E12" s="57">
        <f t="shared" si="1"/>
        <v>0</v>
      </c>
      <c r="F12" s="68"/>
      <c r="G12" s="32"/>
      <c r="H12" s="51"/>
    </row>
    <row r="13" spans="1:8" ht="15.75" thickBot="1" x14ac:dyDescent="0.3">
      <c r="A13" s="59">
        <v>30</v>
      </c>
      <c r="B13" s="8">
        <v>46844</v>
      </c>
      <c r="C13" s="43">
        <f t="shared" si="0"/>
        <v>14400000</v>
      </c>
      <c r="D13" s="94"/>
      <c r="E13" s="57">
        <f t="shared" si="1"/>
        <v>0</v>
      </c>
      <c r="F13" s="68"/>
      <c r="G13" s="32"/>
      <c r="H13" s="51"/>
    </row>
    <row r="14" spans="1:8" ht="15.75" thickBot="1" x14ac:dyDescent="0.3">
      <c r="A14" s="59">
        <v>31</v>
      </c>
      <c r="B14" s="8">
        <v>46874</v>
      </c>
      <c r="C14" s="43">
        <f t="shared" si="0"/>
        <v>14880000</v>
      </c>
      <c r="D14" s="94"/>
      <c r="E14" s="57">
        <f t="shared" si="1"/>
        <v>0</v>
      </c>
      <c r="F14" s="68"/>
      <c r="G14" s="32"/>
      <c r="H14" s="51"/>
    </row>
    <row r="15" spans="1:8" ht="15.75" thickBot="1" x14ac:dyDescent="0.3">
      <c r="A15" s="59">
        <v>30</v>
      </c>
      <c r="B15" s="8">
        <v>46905</v>
      </c>
      <c r="C15" s="43">
        <f t="shared" si="0"/>
        <v>14400000</v>
      </c>
      <c r="D15" s="94"/>
      <c r="E15" s="57">
        <f t="shared" si="1"/>
        <v>0</v>
      </c>
      <c r="F15" s="68"/>
      <c r="G15" s="32"/>
      <c r="H15" s="51"/>
    </row>
    <row r="16" spans="1:8" ht="15.75" thickBot="1" x14ac:dyDescent="0.3">
      <c r="A16" s="59">
        <v>31</v>
      </c>
      <c r="B16" s="8">
        <v>46935</v>
      </c>
      <c r="C16" s="43">
        <f t="shared" si="0"/>
        <v>14880000</v>
      </c>
      <c r="D16" s="94"/>
      <c r="E16" s="57">
        <f t="shared" si="1"/>
        <v>0</v>
      </c>
      <c r="F16" s="68"/>
      <c r="G16" s="32"/>
      <c r="H16" s="51"/>
    </row>
    <row r="17" spans="1:8" ht="15.75" thickBot="1" x14ac:dyDescent="0.3">
      <c r="A17" s="59">
        <v>31</v>
      </c>
      <c r="B17" s="8">
        <v>46966</v>
      </c>
      <c r="C17" s="43">
        <f t="shared" si="0"/>
        <v>14880000</v>
      </c>
      <c r="D17" s="94"/>
      <c r="E17" s="57">
        <f t="shared" si="1"/>
        <v>0</v>
      </c>
      <c r="F17" s="68"/>
      <c r="G17" s="32"/>
      <c r="H17" s="51"/>
    </row>
    <row r="18" spans="1:8" ht="15.75" thickBot="1" x14ac:dyDescent="0.3">
      <c r="A18" s="59">
        <v>30</v>
      </c>
      <c r="B18" s="8">
        <v>46997</v>
      </c>
      <c r="C18" s="43">
        <f t="shared" si="0"/>
        <v>14400000</v>
      </c>
      <c r="D18" s="94"/>
      <c r="E18" s="57">
        <f t="shared" si="1"/>
        <v>0</v>
      </c>
      <c r="F18" s="68"/>
      <c r="G18" s="32"/>
      <c r="H18" s="51"/>
    </row>
    <row r="19" spans="1:8" ht="15.75" thickBot="1" x14ac:dyDescent="0.3">
      <c r="A19" s="59">
        <v>31</v>
      </c>
      <c r="B19" s="8">
        <v>47027</v>
      </c>
      <c r="C19" s="43">
        <f t="shared" si="0"/>
        <v>14880000</v>
      </c>
      <c r="D19" s="94"/>
      <c r="E19" s="57">
        <f t="shared" si="1"/>
        <v>0</v>
      </c>
      <c r="F19" s="68"/>
      <c r="G19" s="32"/>
      <c r="H19" s="51"/>
    </row>
    <row r="20" spans="1:8" ht="15.75" thickBot="1" x14ac:dyDescent="0.3">
      <c r="A20" s="59">
        <v>30</v>
      </c>
      <c r="B20" s="8">
        <v>47058</v>
      </c>
      <c r="C20" s="43">
        <f t="shared" si="0"/>
        <v>14400000</v>
      </c>
      <c r="D20" s="94"/>
      <c r="E20" s="57">
        <f t="shared" si="1"/>
        <v>0</v>
      </c>
      <c r="F20" s="68"/>
      <c r="G20" s="32"/>
      <c r="H20" s="51"/>
    </row>
    <row r="21" spans="1:8" ht="15.75" thickBot="1" x14ac:dyDescent="0.3">
      <c r="A21" s="59">
        <v>31</v>
      </c>
      <c r="B21" s="8">
        <v>47088</v>
      </c>
      <c r="C21" s="43">
        <f t="shared" si="0"/>
        <v>14880000</v>
      </c>
      <c r="D21" s="95"/>
      <c r="E21" s="57">
        <f t="shared" si="1"/>
        <v>0</v>
      </c>
      <c r="F21" s="69"/>
      <c r="G21" s="32"/>
      <c r="H21" s="51"/>
    </row>
    <row r="22" spans="1:8" ht="28.5" customHeight="1" x14ac:dyDescent="0.25">
      <c r="B22" s="9" t="s">
        <v>3</v>
      </c>
      <c r="C22" s="10">
        <f>+SUM(C10:C21)</f>
        <v>175680000</v>
      </c>
      <c r="D22" s="11"/>
      <c r="E22" s="56">
        <f>SUM(E10:E21)</f>
        <v>0</v>
      </c>
      <c r="F22" s="55">
        <f>+F10</f>
        <v>0</v>
      </c>
      <c r="G22" s="50"/>
      <c r="H22" s="42"/>
    </row>
    <row r="23" spans="1:8" ht="19.5" customHeight="1" x14ac:dyDescent="0.25">
      <c r="B23" s="7" t="s">
        <v>61</v>
      </c>
      <c r="C23" s="25"/>
      <c r="D23" s="30"/>
      <c r="E23" s="25"/>
      <c r="F23" s="26"/>
      <c r="G23" s="26"/>
      <c r="H23" s="42"/>
    </row>
    <row r="24" spans="1:8" x14ac:dyDescent="0.25">
      <c r="B24" s="7" t="s">
        <v>78</v>
      </c>
      <c r="C24" s="7"/>
      <c r="D24" s="7"/>
      <c r="E24" s="7"/>
      <c r="F24" s="7"/>
      <c r="G24" s="7"/>
      <c r="H24" s="42"/>
    </row>
    <row r="25" spans="1:8" ht="15" customHeight="1" x14ac:dyDescent="0.25">
      <c r="B25" s="7" t="s">
        <v>46</v>
      </c>
      <c r="H25" s="42"/>
    </row>
    <row r="26" spans="1:8" ht="27.75" customHeight="1" x14ac:dyDescent="0.25">
      <c r="A26" s="1"/>
      <c r="B26" s="66" t="s">
        <v>71</v>
      </c>
      <c r="C26" s="66"/>
      <c r="D26" s="66"/>
      <c r="E26" s="66"/>
      <c r="F26" s="66"/>
      <c r="G26" s="66"/>
      <c r="H26" s="42"/>
    </row>
    <row r="27" spans="1:8" ht="15" customHeight="1" x14ac:dyDescent="0.25">
      <c r="A27" s="1"/>
      <c r="H27" s="42"/>
    </row>
    <row r="28" spans="1:8" x14ac:dyDescent="0.25"/>
    <row r="29" spans="1:8" x14ac:dyDescent="0.25">
      <c r="B29" s="60" t="s">
        <v>56</v>
      </c>
      <c r="C29" s="60"/>
      <c r="D29" s="60"/>
      <c r="E29" s="60"/>
    </row>
    <row r="30" spans="1:8" x14ac:dyDescent="0.25">
      <c r="B30" s="61" t="s">
        <v>57</v>
      </c>
      <c r="C30" s="61"/>
      <c r="D30" s="61"/>
      <c r="E30" s="61"/>
    </row>
    <row r="31" spans="1:8" x14ac:dyDescent="0.25">
      <c r="B31" s="61" t="s">
        <v>58</v>
      </c>
    </row>
    <row r="32" spans="1:8" x14ac:dyDescent="0.25"/>
    <row r="33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20.000" sqref="D10:D21" xr:uid="{50F519AD-045B-420C-8305-B51F2D35ACDF}">
      <formula1>0</formula1>
      <formula2>20000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2EA43-20F0-4D82-8C03-DE937EA6488F}">
  <sheetPr codeName="Hoja6">
    <tabColor rgb="FF0070C0"/>
  </sheetPr>
  <dimension ref="A1:AD46"/>
  <sheetViews>
    <sheetView showGridLines="0" zoomScale="115" zoomScaleNormal="115" zoomScaleSheetLayoutView="110" workbookViewId="0">
      <pane xSplit="2" ySplit="5" topLeftCell="N37" activePane="bottomRight" state="frozen"/>
      <selection pane="topRight" activeCell="C1" sqref="C1"/>
      <selection pane="bottomLeft" activeCell="A6" sqref="A6"/>
      <selection pane="bottomRight" activeCell="P36" sqref="P36"/>
    </sheetView>
  </sheetViews>
  <sheetFormatPr baseColWidth="10" defaultColWidth="0" defaultRowHeight="15" customHeight="1" zeroHeight="1" x14ac:dyDescent="0.25"/>
  <cols>
    <col min="1" max="1" width="6.42578125" bestFit="1" customWidth="1"/>
    <col min="2" max="2" width="8.7109375" bestFit="1" customWidth="1"/>
    <col min="3" max="3" width="9.28515625" bestFit="1" customWidth="1"/>
    <col min="4" max="5" width="9" bestFit="1" customWidth="1"/>
    <col min="6" max="7" width="8.7109375" bestFit="1" customWidth="1"/>
    <col min="8" max="8" width="9.28515625" bestFit="1" customWidth="1"/>
    <col min="9" max="9" width="9" bestFit="1" customWidth="1"/>
    <col min="10" max="10" width="9.28515625" bestFit="1" customWidth="1"/>
    <col min="11" max="13" width="9" bestFit="1" customWidth="1"/>
    <col min="14" max="18" width="9.28515625" bestFit="1" customWidth="1"/>
    <col min="19" max="21" width="9" bestFit="1" customWidth="1"/>
    <col min="22" max="23" width="9.28515625" bestFit="1" customWidth="1"/>
    <col min="24" max="25" width="8.7109375" bestFit="1" customWidth="1"/>
    <col min="26" max="26" width="9" bestFit="1" customWidth="1"/>
    <col min="27" max="27" width="9.85546875" bestFit="1" customWidth="1"/>
    <col min="28" max="28" width="5" bestFit="1" customWidth="1"/>
    <col min="29" max="29" width="10.28515625" bestFit="1" customWidth="1"/>
    <col min="30" max="30" width="8.42578125" bestFit="1" customWidth="1"/>
    <col min="31" max="16384" width="9.140625" hidden="1"/>
  </cols>
  <sheetData>
    <row r="1" spans="1:30" x14ac:dyDescent="0.25">
      <c r="A1" s="86" t="s">
        <v>64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8"/>
    </row>
    <row r="2" spans="1:30" x14ac:dyDescent="0.25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1"/>
    </row>
    <row r="3" spans="1:3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x14ac:dyDescent="0.25">
      <c r="A4" s="92" t="s">
        <v>38</v>
      </c>
      <c r="B4" s="92" t="s">
        <v>37</v>
      </c>
      <c r="C4" s="84" t="s">
        <v>36</v>
      </c>
      <c r="D4" s="84" t="s">
        <v>35</v>
      </c>
      <c r="E4" s="84" t="s">
        <v>34</v>
      </c>
      <c r="F4" s="84" t="s">
        <v>33</v>
      </c>
      <c r="G4" s="84" t="s">
        <v>32</v>
      </c>
      <c r="H4" s="84" t="s">
        <v>31</v>
      </c>
      <c r="I4" s="84" t="s">
        <v>30</v>
      </c>
      <c r="J4" s="84" t="s">
        <v>29</v>
      </c>
      <c r="K4" s="84" t="s">
        <v>28</v>
      </c>
      <c r="L4" s="84" t="s">
        <v>27</v>
      </c>
      <c r="M4" s="84" t="s">
        <v>26</v>
      </c>
      <c r="N4" s="84" t="s">
        <v>25</v>
      </c>
      <c r="O4" s="84" t="s">
        <v>24</v>
      </c>
      <c r="P4" s="84" t="s">
        <v>23</v>
      </c>
      <c r="Q4" s="84" t="s">
        <v>22</v>
      </c>
      <c r="R4" s="84" t="s">
        <v>21</v>
      </c>
      <c r="S4" s="84" t="s">
        <v>20</v>
      </c>
      <c r="T4" s="84" t="s">
        <v>19</v>
      </c>
      <c r="U4" s="84" t="s">
        <v>18</v>
      </c>
      <c r="V4" s="84" t="s">
        <v>17</v>
      </c>
      <c r="W4" s="84" t="s">
        <v>16</v>
      </c>
      <c r="X4" s="84" t="s">
        <v>15</v>
      </c>
      <c r="Y4" s="84" t="s">
        <v>14</v>
      </c>
      <c r="Z4" s="84" t="s">
        <v>13</v>
      </c>
      <c r="AA4" s="14" t="s">
        <v>12</v>
      </c>
      <c r="AB4" s="15" t="s">
        <v>11</v>
      </c>
      <c r="AC4" s="82" t="s">
        <v>10</v>
      </c>
    </row>
    <row r="5" spans="1:30" x14ac:dyDescent="0.25">
      <c r="A5" s="92"/>
      <c r="B5" s="92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16"/>
      <c r="AB5" s="17" t="s">
        <v>9</v>
      </c>
      <c r="AC5" s="83"/>
    </row>
    <row r="6" spans="1:30" ht="15.75" thickBot="1" x14ac:dyDescent="0.3">
      <c r="A6" s="78">
        <v>46753</v>
      </c>
      <c r="B6" s="18" t="s">
        <v>8</v>
      </c>
      <c r="C6" s="33">
        <v>72372</v>
      </c>
      <c r="D6" s="33">
        <v>66529</v>
      </c>
      <c r="E6" s="33">
        <v>62963</v>
      </c>
      <c r="F6" s="33">
        <v>61107</v>
      </c>
      <c r="G6" s="33">
        <v>62312</v>
      </c>
      <c r="H6" s="33">
        <v>67478</v>
      </c>
      <c r="I6" s="33">
        <v>72772</v>
      </c>
      <c r="J6" s="33">
        <v>86260</v>
      </c>
      <c r="K6" s="33">
        <v>97112</v>
      </c>
      <c r="L6" s="33">
        <v>105231</v>
      </c>
      <c r="M6" s="33">
        <v>113517</v>
      </c>
      <c r="N6" s="33">
        <v>121569</v>
      </c>
      <c r="O6" s="33">
        <v>120582</v>
      </c>
      <c r="P6" s="33">
        <v>120822</v>
      </c>
      <c r="Q6" s="33">
        <v>123086</v>
      </c>
      <c r="R6" s="33">
        <v>123542</v>
      </c>
      <c r="S6" s="33">
        <v>121788</v>
      </c>
      <c r="T6" s="33">
        <v>115797</v>
      </c>
      <c r="U6" s="33">
        <v>125434</v>
      </c>
      <c r="V6" s="33">
        <v>133602</v>
      </c>
      <c r="W6" s="33">
        <v>127809</v>
      </c>
      <c r="X6" s="33">
        <v>117837</v>
      </c>
      <c r="Y6" s="33">
        <v>101679</v>
      </c>
      <c r="Z6" s="34">
        <v>85262</v>
      </c>
      <c r="AA6" s="35">
        <f>SUM(C6:Z6)</f>
        <v>2406462</v>
      </c>
      <c r="AB6" s="19">
        <v>20</v>
      </c>
      <c r="AC6" s="79">
        <f>+AA6*AB6+AA7*AB7+AA8*AB8</f>
        <v>72418253</v>
      </c>
      <c r="AD6" s="49"/>
    </row>
    <row r="7" spans="1:30" ht="15.75" thickBot="1" x14ac:dyDescent="0.3">
      <c r="A7" s="78"/>
      <c r="B7" s="20" t="s">
        <v>7</v>
      </c>
      <c r="C7" s="36">
        <v>74330</v>
      </c>
      <c r="D7" s="36">
        <v>67726</v>
      </c>
      <c r="E7" s="36">
        <v>63668</v>
      </c>
      <c r="F7" s="36">
        <v>61087</v>
      </c>
      <c r="G7" s="36">
        <v>61139</v>
      </c>
      <c r="H7" s="36">
        <v>64157</v>
      </c>
      <c r="I7" s="36">
        <v>68000</v>
      </c>
      <c r="J7" s="36">
        <v>81514</v>
      </c>
      <c r="K7" s="36">
        <v>93610</v>
      </c>
      <c r="L7" s="36">
        <v>102668</v>
      </c>
      <c r="M7" s="36">
        <v>109326</v>
      </c>
      <c r="N7" s="36">
        <v>116193</v>
      </c>
      <c r="O7" s="36">
        <v>117091</v>
      </c>
      <c r="P7" s="36">
        <v>115718</v>
      </c>
      <c r="Q7" s="36">
        <v>114230</v>
      </c>
      <c r="R7" s="36">
        <v>113603</v>
      </c>
      <c r="S7" s="36">
        <v>112736</v>
      </c>
      <c r="T7" s="36">
        <v>110053</v>
      </c>
      <c r="U7" s="36">
        <v>122249</v>
      </c>
      <c r="V7" s="36">
        <v>130992</v>
      </c>
      <c r="W7" s="36">
        <v>124523</v>
      </c>
      <c r="X7" s="36">
        <v>115034</v>
      </c>
      <c r="Y7" s="36">
        <v>101733</v>
      </c>
      <c r="Z7" s="37">
        <v>88395</v>
      </c>
      <c r="AA7" s="35">
        <f t="shared" ref="AA7:AA41" si="0">SUM(C7:Z7)</f>
        <v>2329775</v>
      </c>
      <c r="AB7" s="21">
        <v>4</v>
      </c>
      <c r="AC7" s="80"/>
      <c r="AD7" s="49"/>
    </row>
    <row r="8" spans="1:30" ht="15.75" thickBot="1" x14ac:dyDescent="0.3">
      <c r="A8" s="78"/>
      <c r="B8" s="22" t="s">
        <v>6</v>
      </c>
      <c r="C8" s="39">
        <v>78593</v>
      </c>
      <c r="D8" s="39">
        <v>71529</v>
      </c>
      <c r="E8" s="39">
        <v>67000</v>
      </c>
      <c r="F8" s="39">
        <v>63675</v>
      </c>
      <c r="G8" s="39">
        <v>62047</v>
      </c>
      <c r="H8" s="39">
        <v>62705</v>
      </c>
      <c r="I8" s="39">
        <v>62002</v>
      </c>
      <c r="J8" s="39">
        <v>70878</v>
      </c>
      <c r="K8" s="39">
        <v>80029</v>
      </c>
      <c r="L8" s="39">
        <v>88062</v>
      </c>
      <c r="M8" s="39">
        <v>93955</v>
      </c>
      <c r="N8" s="39">
        <v>100196</v>
      </c>
      <c r="O8" s="39">
        <v>104075</v>
      </c>
      <c r="P8" s="39">
        <v>103707</v>
      </c>
      <c r="Q8" s="39">
        <v>101432</v>
      </c>
      <c r="R8" s="39">
        <v>100129</v>
      </c>
      <c r="S8" s="39">
        <v>99556</v>
      </c>
      <c r="T8" s="39">
        <v>97605</v>
      </c>
      <c r="U8" s="39">
        <v>110812</v>
      </c>
      <c r="V8" s="39">
        <v>120514</v>
      </c>
      <c r="W8" s="39">
        <v>116439</v>
      </c>
      <c r="X8" s="39">
        <v>107821</v>
      </c>
      <c r="Y8" s="39">
        <v>94608</v>
      </c>
      <c r="Z8" s="40">
        <v>81190</v>
      </c>
      <c r="AA8" s="35">
        <f t="shared" si="0"/>
        <v>2138559</v>
      </c>
      <c r="AB8" s="23">
        <v>7</v>
      </c>
      <c r="AC8" s="81"/>
      <c r="AD8" s="49"/>
    </row>
    <row r="9" spans="1:30" ht="15.75" thickBot="1" x14ac:dyDescent="0.3">
      <c r="A9" s="78">
        <v>46784</v>
      </c>
      <c r="B9" s="18" t="s">
        <v>8</v>
      </c>
      <c r="C9" s="33">
        <v>70722</v>
      </c>
      <c r="D9" s="33">
        <v>65175</v>
      </c>
      <c r="E9" s="33">
        <v>62012</v>
      </c>
      <c r="F9" s="33">
        <v>60430</v>
      </c>
      <c r="G9" s="33">
        <v>62143</v>
      </c>
      <c r="H9" s="33">
        <v>69889</v>
      </c>
      <c r="I9" s="33">
        <v>76539</v>
      </c>
      <c r="J9" s="33">
        <v>87727</v>
      </c>
      <c r="K9" s="33">
        <v>97292</v>
      </c>
      <c r="L9" s="33">
        <v>104253</v>
      </c>
      <c r="M9" s="33">
        <v>111802</v>
      </c>
      <c r="N9" s="33">
        <v>119027</v>
      </c>
      <c r="O9" s="33">
        <v>116472</v>
      </c>
      <c r="P9" s="33">
        <v>117558</v>
      </c>
      <c r="Q9" s="33">
        <v>120756</v>
      </c>
      <c r="R9" s="33">
        <v>121255</v>
      </c>
      <c r="S9" s="33">
        <v>119709</v>
      </c>
      <c r="T9" s="33">
        <v>113000</v>
      </c>
      <c r="U9" s="33">
        <v>119963</v>
      </c>
      <c r="V9" s="33">
        <v>130520</v>
      </c>
      <c r="W9" s="33">
        <v>125142</v>
      </c>
      <c r="X9" s="33">
        <v>114881</v>
      </c>
      <c r="Y9" s="33">
        <v>98797</v>
      </c>
      <c r="Z9" s="34">
        <v>82654</v>
      </c>
      <c r="AA9" s="35">
        <f t="shared" si="0"/>
        <v>2367718</v>
      </c>
      <c r="AB9" s="19">
        <v>21</v>
      </c>
      <c r="AC9" s="79">
        <f>+AA9*AB9+AA10*AB10+AA11*AB11</f>
        <v>67814638</v>
      </c>
      <c r="AD9" s="49"/>
    </row>
    <row r="10" spans="1:30" ht="15.75" thickBot="1" x14ac:dyDescent="0.3">
      <c r="A10" s="78"/>
      <c r="B10" s="20" t="s">
        <v>7</v>
      </c>
      <c r="C10" s="36">
        <v>74209</v>
      </c>
      <c r="D10" s="36">
        <v>68085</v>
      </c>
      <c r="E10" s="36">
        <v>64160</v>
      </c>
      <c r="F10" s="36">
        <v>61869</v>
      </c>
      <c r="G10" s="36">
        <v>62064</v>
      </c>
      <c r="H10" s="36">
        <v>65052</v>
      </c>
      <c r="I10" s="36">
        <v>70469</v>
      </c>
      <c r="J10" s="36">
        <v>83671</v>
      </c>
      <c r="K10" s="36">
        <v>96088</v>
      </c>
      <c r="L10" s="36">
        <v>104508</v>
      </c>
      <c r="M10" s="36">
        <v>111149</v>
      </c>
      <c r="N10" s="36">
        <v>117890</v>
      </c>
      <c r="O10" s="36">
        <v>118299</v>
      </c>
      <c r="P10" s="36">
        <v>116517</v>
      </c>
      <c r="Q10" s="36">
        <v>114974</v>
      </c>
      <c r="R10" s="36">
        <v>114122</v>
      </c>
      <c r="S10" s="36">
        <v>113165</v>
      </c>
      <c r="T10" s="36">
        <v>110150</v>
      </c>
      <c r="U10" s="36">
        <v>119500</v>
      </c>
      <c r="V10" s="36">
        <v>130133</v>
      </c>
      <c r="W10" s="36">
        <v>123958</v>
      </c>
      <c r="X10" s="36">
        <v>115348</v>
      </c>
      <c r="Y10" s="36">
        <v>103176</v>
      </c>
      <c r="Z10" s="37">
        <v>89370</v>
      </c>
      <c r="AA10" s="35">
        <f t="shared" si="0"/>
        <v>2347926</v>
      </c>
      <c r="AB10" s="21">
        <v>4</v>
      </c>
      <c r="AC10" s="80"/>
      <c r="AD10" s="49"/>
    </row>
    <row r="11" spans="1:30" ht="15.75" thickBot="1" x14ac:dyDescent="0.3">
      <c r="A11" s="78"/>
      <c r="B11" s="22" t="s">
        <v>6</v>
      </c>
      <c r="C11" s="39">
        <v>78207</v>
      </c>
      <c r="D11" s="39">
        <v>71340</v>
      </c>
      <c r="E11" s="39">
        <v>67176</v>
      </c>
      <c r="F11" s="39">
        <v>64024</v>
      </c>
      <c r="G11" s="39">
        <v>62979</v>
      </c>
      <c r="H11" s="39">
        <v>63838</v>
      </c>
      <c r="I11" s="39">
        <v>64686</v>
      </c>
      <c r="J11" s="39">
        <v>74457</v>
      </c>
      <c r="K11" s="39">
        <v>84450</v>
      </c>
      <c r="L11" s="39">
        <v>92650</v>
      </c>
      <c r="M11" s="39">
        <v>97906</v>
      </c>
      <c r="N11" s="39">
        <v>103260</v>
      </c>
      <c r="O11" s="39">
        <v>107038</v>
      </c>
      <c r="P11" s="39">
        <v>105958</v>
      </c>
      <c r="Q11" s="39">
        <v>103400</v>
      </c>
      <c r="R11" s="39">
        <v>101751</v>
      </c>
      <c r="S11" s="39">
        <v>101164</v>
      </c>
      <c r="T11" s="39">
        <v>99287</v>
      </c>
      <c r="U11" s="39">
        <v>109351</v>
      </c>
      <c r="V11" s="39">
        <v>121235</v>
      </c>
      <c r="W11" s="39">
        <v>117601</v>
      </c>
      <c r="X11" s="39">
        <v>108849</v>
      </c>
      <c r="Y11" s="39">
        <v>94513</v>
      </c>
      <c r="Z11" s="40">
        <v>80094</v>
      </c>
      <c r="AA11" s="35">
        <f t="shared" si="0"/>
        <v>2175214</v>
      </c>
      <c r="AB11" s="23">
        <v>4</v>
      </c>
      <c r="AC11" s="81"/>
      <c r="AD11" s="49"/>
    </row>
    <row r="12" spans="1:30" ht="15.75" thickBot="1" x14ac:dyDescent="0.3">
      <c r="A12" s="78">
        <v>46813</v>
      </c>
      <c r="B12" s="18" t="s">
        <v>8</v>
      </c>
      <c r="C12" s="33">
        <v>71608</v>
      </c>
      <c r="D12" s="33">
        <v>66193</v>
      </c>
      <c r="E12" s="33">
        <v>63234</v>
      </c>
      <c r="F12" s="33">
        <v>61720</v>
      </c>
      <c r="G12" s="33">
        <v>63667</v>
      </c>
      <c r="H12" s="33">
        <v>71618</v>
      </c>
      <c r="I12" s="33">
        <v>77613</v>
      </c>
      <c r="J12" s="33">
        <v>89699</v>
      </c>
      <c r="K12" s="33">
        <v>99176</v>
      </c>
      <c r="L12" s="33">
        <v>106109</v>
      </c>
      <c r="M12" s="33">
        <v>113357</v>
      </c>
      <c r="N12" s="33">
        <v>120106</v>
      </c>
      <c r="O12" s="33">
        <v>117527</v>
      </c>
      <c r="P12" s="33">
        <v>118186</v>
      </c>
      <c r="Q12" s="33">
        <v>121111</v>
      </c>
      <c r="R12" s="33">
        <v>121539</v>
      </c>
      <c r="S12" s="33">
        <v>120220</v>
      </c>
      <c r="T12" s="33">
        <v>114585</v>
      </c>
      <c r="U12" s="33">
        <v>123753</v>
      </c>
      <c r="V12" s="33">
        <v>133050</v>
      </c>
      <c r="W12" s="33">
        <v>127351</v>
      </c>
      <c r="X12" s="33">
        <v>116619</v>
      </c>
      <c r="Y12" s="33">
        <v>100209</v>
      </c>
      <c r="Z12" s="34">
        <v>83990</v>
      </c>
      <c r="AA12" s="35">
        <f t="shared" si="0"/>
        <v>2402240</v>
      </c>
      <c r="AB12" s="19">
        <v>22</v>
      </c>
      <c r="AC12" s="79">
        <f>+AA12*AB12+AA13*AB13+AA14*AB14</f>
        <v>72965025</v>
      </c>
      <c r="AD12" s="49"/>
    </row>
    <row r="13" spans="1:30" ht="15.75" thickBot="1" x14ac:dyDescent="0.3">
      <c r="A13" s="78"/>
      <c r="B13" s="20" t="s">
        <v>7</v>
      </c>
      <c r="C13" s="36">
        <v>74598</v>
      </c>
      <c r="D13" s="36">
        <v>68299</v>
      </c>
      <c r="E13" s="36">
        <v>65010</v>
      </c>
      <c r="F13" s="36">
        <v>63149</v>
      </c>
      <c r="G13" s="36">
        <v>63144</v>
      </c>
      <c r="H13" s="36">
        <v>66530</v>
      </c>
      <c r="I13" s="36">
        <v>69737</v>
      </c>
      <c r="J13" s="36">
        <v>84283</v>
      </c>
      <c r="K13" s="36">
        <v>96048</v>
      </c>
      <c r="L13" s="36">
        <v>104505</v>
      </c>
      <c r="M13" s="36">
        <v>111109</v>
      </c>
      <c r="N13" s="36">
        <v>116683</v>
      </c>
      <c r="O13" s="36">
        <v>116565</v>
      </c>
      <c r="P13" s="36">
        <v>114521</v>
      </c>
      <c r="Q13" s="36">
        <v>113047</v>
      </c>
      <c r="R13" s="36">
        <v>111965</v>
      </c>
      <c r="S13" s="36">
        <v>110471</v>
      </c>
      <c r="T13" s="36">
        <v>107943</v>
      </c>
      <c r="U13" s="36">
        <v>118960</v>
      </c>
      <c r="V13" s="36">
        <v>127603</v>
      </c>
      <c r="W13" s="36">
        <v>121673</v>
      </c>
      <c r="X13" s="36">
        <v>113296</v>
      </c>
      <c r="Y13" s="36">
        <v>100828</v>
      </c>
      <c r="Z13" s="37">
        <v>88193</v>
      </c>
      <c r="AA13" s="35">
        <f t="shared" si="0"/>
        <v>2328160</v>
      </c>
      <c r="AB13" s="21">
        <v>4</v>
      </c>
      <c r="AC13" s="80"/>
      <c r="AD13" s="49"/>
    </row>
    <row r="14" spans="1:30" ht="15.75" thickBot="1" x14ac:dyDescent="0.3">
      <c r="A14" s="78"/>
      <c r="B14" s="22" t="s">
        <v>6</v>
      </c>
      <c r="C14" s="39">
        <v>77448</v>
      </c>
      <c r="D14" s="39">
        <v>70653</v>
      </c>
      <c r="E14" s="39">
        <v>66697</v>
      </c>
      <c r="F14" s="39">
        <v>63987</v>
      </c>
      <c r="G14" s="39">
        <v>62622</v>
      </c>
      <c r="H14" s="39">
        <v>63928</v>
      </c>
      <c r="I14" s="39">
        <v>63832</v>
      </c>
      <c r="J14" s="39">
        <v>74259</v>
      </c>
      <c r="K14" s="39">
        <v>83561</v>
      </c>
      <c r="L14" s="39">
        <v>90914</v>
      </c>
      <c r="M14" s="39">
        <v>96000</v>
      </c>
      <c r="N14" s="39">
        <v>102006</v>
      </c>
      <c r="O14" s="39">
        <v>105695</v>
      </c>
      <c r="P14" s="39">
        <v>104680</v>
      </c>
      <c r="Q14" s="39">
        <v>101940</v>
      </c>
      <c r="R14" s="39">
        <v>100827</v>
      </c>
      <c r="S14" s="39">
        <v>100158</v>
      </c>
      <c r="T14" s="39">
        <v>98454</v>
      </c>
      <c r="U14" s="39">
        <v>110484</v>
      </c>
      <c r="V14" s="39">
        <v>120812</v>
      </c>
      <c r="W14" s="39">
        <v>116768</v>
      </c>
      <c r="X14" s="39">
        <v>108451</v>
      </c>
      <c r="Y14" s="39">
        <v>94734</v>
      </c>
      <c r="Z14" s="40">
        <v>81711</v>
      </c>
      <c r="AA14" s="35">
        <f t="shared" si="0"/>
        <v>2160621</v>
      </c>
      <c r="AB14" s="23">
        <v>5</v>
      </c>
      <c r="AC14" s="81"/>
      <c r="AD14" s="49"/>
    </row>
    <row r="15" spans="1:30" ht="15.75" thickBot="1" x14ac:dyDescent="0.3">
      <c r="A15" s="78">
        <v>46844</v>
      </c>
      <c r="B15" s="18" t="s">
        <v>8</v>
      </c>
      <c r="C15" s="33">
        <v>61197</v>
      </c>
      <c r="D15" s="33">
        <v>56207</v>
      </c>
      <c r="E15" s="33">
        <v>53127</v>
      </c>
      <c r="F15" s="33">
        <v>51766</v>
      </c>
      <c r="G15" s="33">
        <v>53365</v>
      </c>
      <c r="H15" s="33">
        <v>59641</v>
      </c>
      <c r="I15" s="33">
        <v>64774</v>
      </c>
      <c r="J15" s="33">
        <v>76174</v>
      </c>
      <c r="K15" s="33">
        <v>85376</v>
      </c>
      <c r="L15" s="33">
        <v>92508</v>
      </c>
      <c r="M15" s="33">
        <v>99855</v>
      </c>
      <c r="N15" s="33">
        <v>106712</v>
      </c>
      <c r="O15" s="33">
        <v>104345</v>
      </c>
      <c r="P15" s="33">
        <v>105094</v>
      </c>
      <c r="Q15" s="33">
        <v>107850</v>
      </c>
      <c r="R15" s="33">
        <v>108132</v>
      </c>
      <c r="S15" s="33">
        <v>106600</v>
      </c>
      <c r="T15" s="33">
        <v>106703</v>
      </c>
      <c r="U15" s="33">
        <v>117335</v>
      </c>
      <c r="V15" s="33">
        <v>123956</v>
      </c>
      <c r="W15" s="33">
        <v>118738</v>
      </c>
      <c r="X15" s="33">
        <v>108274</v>
      </c>
      <c r="Y15" s="33">
        <v>92307</v>
      </c>
      <c r="Z15" s="34">
        <v>76958</v>
      </c>
      <c r="AA15" s="35">
        <f t="shared" si="0"/>
        <v>2136994</v>
      </c>
      <c r="AB15" s="19">
        <v>18</v>
      </c>
      <c r="AC15" s="79">
        <f>+AA15*AB15+AA16*AB16+AA17*AB17</f>
        <v>62229959</v>
      </c>
      <c r="AD15" s="49"/>
    </row>
    <row r="16" spans="1:30" ht="15.75" thickBot="1" x14ac:dyDescent="0.3">
      <c r="A16" s="78"/>
      <c r="B16" s="20" t="s">
        <v>7</v>
      </c>
      <c r="C16" s="36">
        <v>62733</v>
      </c>
      <c r="D16" s="36">
        <v>57046</v>
      </c>
      <c r="E16" s="36">
        <v>53231</v>
      </c>
      <c r="F16" s="36">
        <v>51033</v>
      </c>
      <c r="G16" s="36">
        <v>51327</v>
      </c>
      <c r="H16" s="36">
        <v>53680</v>
      </c>
      <c r="I16" s="36">
        <v>57068</v>
      </c>
      <c r="J16" s="36">
        <v>70688</v>
      </c>
      <c r="K16" s="36">
        <v>82065</v>
      </c>
      <c r="L16" s="36">
        <v>90581</v>
      </c>
      <c r="M16" s="36">
        <v>96578</v>
      </c>
      <c r="N16" s="36">
        <v>103634</v>
      </c>
      <c r="O16" s="36">
        <v>104091</v>
      </c>
      <c r="P16" s="36">
        <v>102524</v>
      </c>
      <c r="Q16" s="36">
        <v>101087</v>
      </c>
      <c r="R16" s="36">
        <v>100131</v>
      </c>
      <c r="S16" s="36">
        <v>99851</v>
      </c>
      <c r="T16" s="36">
        <v>102880</v>
      </c>
      <c r="U16" s="36">
        <v>114996</v>
      </c>
      <c r="V16" s="36">
        <v>121884</v>
      </c>
      <c r="W16" s="36">
        <v>115697</v>
      </c>
      <c r="X16" s="36">
        <v>106996</v>
      </c>
      <c r="Y16" s="36">
        <v>94809</v>
      </c>
      <c r="Z16" s="37">
        <v>82074</v>
      </c>
      <c r="AA16" s="35">
        <f t="shared" si="0"/>
        <v>2076684</v>
      </c>
      <c r="AB16" s="21">
        <v>5</v>
      </c>
      <c r="AC16" s="80"/>
      <c r="AD16" s="49"/>
    </row>
    <row r="17" spans="1:30" ht="15.75" thickBot="1" x14ac:dyDescent="0.3">
      <c r="A17" s="78"/>
      <c r="B17" s="22" t="s">
        <v>6</v>
      </c>
      <c r="C17" s="39">
        <v>66685</v>
      </c>
      <c r="D17" s="39">
        <v>60421</v>
      </c>
      <c r="E17" s="39">
        <v>56166</v>
      </c>
      <c r="F17" s="39">
        <v>53337</v>
      </c>
      <c r="G17" s="39">
        <v>52095</v>
      </c>
      <c r="H17" s="39">
        <v>51777</v>
      </c>
      <c r="I17" s="39">
        <v>52793</v>
      </c>
      <c r="J17" s="39">
        <v>62781</v>
      </c>
      <c r="K17" s="39">
        <v>71575</v>
      </c>
      <c r="L17" s="39">
        <v>79307</v>
      </c>
      <c r="M17" s="39">
        <v>84655</v>
      </c>
      <c r="N17" s="39">
        <v>90224</v>
      </c>
      <c r="O17" s="39">
        <v>93499</v>
      </c>
      <c r="P17" s="39">
        <v>92586</v>
      </c>
      <c r="Q17" s="39">
        <v>89712</v>
      </c>
      <c r="R17" s="39">
        <v>88526</v>
      </c>
      <c r="S17" s="39">
        <v>87837</v>
      </c>
      <c r="T17" s="39">
        <v>91409</v>
      </c>
      <c r="U17" s="39">
        <v>104420</v>
      </c>
      <c r="V17" s="39">
        <v>112477</v>
      </c>
      <c r="W17" s="39">
        <v>108161</v>
      </c>
      <c r="X17" s="39">
        <v>99831</v>
      </c>
      <c r="Y17" s="39">
        <v>87151</v>
      </c>
      <c r="Z17" s="40">
        <v>74096</v>
      </c>
      <c r="AA17" s="35">
        <f t="shared" si="0"/>
        <v>1911521</v>
      </c>
      <c r="AB17" s="23">
        <v>7</v>
      </c>
      <c r="AC17" s="81"/>
      <c r="AD17" s="49"/>
    </row>
    <row r="18" spans="1:30" ht="15.75" thickBot="1" x14ac:dyDescent="0.3">
      <c r="A18" s="78">
        <v>46874</v>
      </c>
      <c r="B18" s="18" t="s">
        <v>8</v>
      </c>
      <c r="C18" s="33">
        <v>61605</v>
      </c>
      <c r="D18" s="33">
        <v>56383</v>
      </c>
      <c r="E18" s="33">
        <v>53444</v>
      </c>
      <c r="F18" s="33">
        <v>51950</v>
      </c>
      <c r="G18" s="33">
        <v>53595</v>
      </c>
      <c r="H18" s="33">
        <v>58902</v>
      </c>
      <c r="I18" s="33">
        <v>65002</v>
      </c>
      <c r="J18" s="33">
        <v>76812</v>
      </c>
      <c r="K18" s="33">
        <v>86188</v>
      </c>
      <c r="L18" s="33">
        <v>93469</v>
      </c>
      <c r="M18" s="33">
        <v>100819</v>
      </c>
      <c r="N18" s="33">
        <v>107900</v>
      </c>
      <c r="O18" s="33">
        <v>105951</v>
      </c>
      <c r="P18" s="33">
        <v>106032</v>
      </c>
      <c r="Q18" s="33">
        <v>108132</v>
      </c>
      <c r="R18" s="33">
        <v>108371</v>
      </c>
      <c r="S18" s="33">
        <v>106862</v>
      </c>
      <c r="T18" s="33">
        <v>107423</v>
      </c>
      <c r="U18" s="33">
        <v>118777</v>
      </c>
      <c r="V18" s="33">
        <v>125349</v>
      </c>
      <c r="W18" s="33">
        <v>119380</v>
      </c>
      <c r="X18" s="33">
        <v>108874</v>
      </c>
      <c r="Y18" s="33">
        <v>92594</v>
      </c>
      <c r="Z18" s="34">
        <v>77497</v>
      </c>
      <c r="AA18" s="35">
        <f t="shared" si="0"/>
        <v>2151311</v>
      </c>
      <c r="AB18" s="19">
        <v>21</v>
      </c>
      <c r="AC18" s="79">
        <f>+AA18*AB18+AA19*AB19+AA20*AB20</f>
        <v>65590613</v>
      </c>
      <c r="AD18" s="49"/>
    </row>
    <row r="19" spans="1:30" ht="15.75" thickBot="1" x14ac:dyDescent="0.3">
      <c r="A19" s="78"/>
      <c r="B19" s="20" t="s">
        <v>7</v>
      </c>
      <c r="C19" s="36">
        <v>65412</v>
      </c>
      <c r="D19" s="36">
        <v>59693</v>
      </c>
      <c r="E19" s="36">
        <v>56229</v>
      </c>
      <c r="F19" s="36">
        <v>54194</v>
      </c>
      <c r="G19" s="36">
        <v>54415</v>
      </c>
      <c r="H19" s="36">
        <v>55674</v>
      </c>
      <c r="I19" s="36">
        <v>60713</v>
      </c>
      <c r="J19" s="36">
        <v>74323</v>
      </c>
      <c r="K19" s="36">
        <v>86041</v>
      </c>
      <c r="L19" s="36">
        <v>95112</v>
      </c>
      <c r="M19" s="36">
        <v>100997</v>
      </c>
      <c r="N19" s="36">
        <v>106620</v>
      </c>
      <c r="O19" s="36">
        <v>106621</v>
      </c>
      <c r="P19" s="36">
        <v>104411</v>
      </c>
      <c r="Q19" s="36">
        <v>102159</v>
      </c>
      <c r="R19" s="36">
        <v>100767</v>
      </c>
      <c r="S19" s="36">
        <v>99937</v>
      </c>
      <c r="T19" s="36">
        <v>103492</v>
      </c>
      <c r="U19" s="36">
        <v>117216</v>
      </c>
      <c r="V19" s="36">
        <v>122508</v>
      </c>
      <c r="W19" s="36">
        <v>116454</v>
      </c>
      <c r="X19" s="36">
        <v>107448</v>
      </c>
      <c r="Y19" s="36">
        <v>94946</v>
      </c>
      <c r="Z19" s="37">
        <v>82475</v>
      </c>
      <c r="AA19" s="35">
        <f t="shared" si="0"/>
        <v>2127857</v>
      </c>
      <c r="AB19" s="21">
        <v>4</v>
      </c>
      <c r="AC19" s="80"/>
      <c r="AD19" s="49"/>
    </row>
    <row r="20" spans="1:30" ht="15.75" thickBot="1" x14ac:dyDescent="0.3">
      <c r="A20" s="78"/>
      <c r="B20" s="22" t="s">
        <v>6</v>
      </c>
      <c r="C20" s="39">
        <v>66685</v>
      </c>
      <c r="D20" s="39">
        <v>60533</v>
      </c>
      <c r="E20" s="39">
        <v>56642</v>
      </c>
      <c r="F20" s="39">
        <v>54138</v>
      </c>
      <c r="G20" s="39">
        <v>53250</v>
      </c>
      <c r="H20" s="39">
        <v>52081</v>
      </c>
      <c r="I20" s="39">
        <v>54011</v>
      </c>
      <c r="J20" s="39">
        <v>64941</v>
      </c>
      <c r="K20" s="39">
        <v>74255</v>
      </c>
      <c r="L20" s="39">
        <v>82657</v>
      </c>
      <c r="M20" s="39">
        <v>88235</v>
      </c>
      <c r="N20" s="39">
        <v>94336</v>
      </c>
      <c r="O20" s="39">
        <v>96994</v>
      </c>
      <c r="P20" s="39">
        <v>96597</v>
      </c>
      <c r="Q20" s="39">
        <v>93438</v>
      </c>
      <c r="R20" s="39">
        <v>98122</v>
      </c>
      <c r="S20" s="39">
        <v>91369</v>
      </c>
      <c r="T20" s="39">
        <v>95252</v>
      </c>
      <c r="U20" s="39">
        <v>108998</v>
      </c>
      <c r="V20" s="39">
        <v>117109</v>
      </c>
      <c r="W20" s="39">
        <v>112624</v>
      </c>
      <c r="X20" s="39">
        <v>103757</v>
      </c>
      <c r="Y20" s="39">
        <v>90542</v>
      </c>
      <c r="Z20" s="40">
        <v>77043</v>
      </c>
      <c r="AA20" s="35">
        <f t="shared" si="0"/>
        <v>1983609</v>
      </c>
      <c r="AB20" s="23">
        <v>6</v>
      </c>
      <c r="AC20" s="81"/>
      <c r="AD20" s="49"/>
    </row>
    <row r="21" spans="1:30" ht="15.75" thickBot="1" x14ac:dyDescent="0.3">
      <c r="A21" s="78">
        <v>46905</v>
      </c>
      <c r="B21" s="18" t="s">
        <v>8</v>
      </c>
      <c r="C21" s="33">
        <v>61940</v>
      </c>
      <c r="D21" s="33">
        <v>56733</v>
      </c>
      <c r="E21" s="33">
        <v>53964</v>
      </c>
      <c r="F21" s="33">
        <v>52532</v>
      </c>
      <c r="G21" s="33">
        <v>53934</v>
      </c>
      <c r="H21" s="33">
        <v>58624</v>
      </c>
      <c r="I21" s="33">
        <v>63874</v>
      </c>
      <c r="J21" s="33">
        <v>76073</v>
      </c>
      <c r="K21" s="33">
        <v>85625</v>
      </c>
      <c r="L21" s="33">
        <v>92636</v>
      </c>
      <c r="M21" s="33">
        <v>100077</v>
      </c>
      <c r="N21" s="33">
        <v>107298</v>
      </c>
      <c r="O21" s="33">
        <v>105150</v>
      </c>
      <c r="P21" s="33">
        <v>105222</v>
      </c>
      <c r="Q21" s="33">
        <v>107859</v>
      </c>
      <c r="R21" s="33">
        <v>108138</v>
      </c>
      <c r="S21" s="33">
        <v>106517</v>
      </c>
      <c r="T21" s="33">
        <v>106735</v>
      </c>
      <c r="U21" s="33">
        <v>116924</v>
      </c>
      <c r="V21" s="33">
        <v>124867</v>
      </c>
      <c r="W21" s="33">
        <v>119254</v>
      </c>
      <c r="X21" s="33">
        <v>108906</v>
      </c>
      <c r="Y21" s="33">
        <v>92687</v>
      </c>
      <c r="Z21" s="34">
        <v>77567</v>
      </c>
      <c r="AA21" s="35">
        <f t="shared" si="0"/>
        <v>2143136</v>
      </c>
      <c r="AB21" s="19">
        <v>20</v>
      </c>
      <c r="AC21" s="79">
        <f>+AA21*AB21+AA22*AB22+AA23*AB23</f>
        <v>65082478</v>
      </c>
      <c r="AD21" s="49"/>
    </row>
    <row r="22" spans="1:30" ht="15.75" thickBot="1" x14ac:dyDescent="0.3">
      <c r="A22" s="78"/>
      <c r="B22" s="20" t="s">
        <v>7</v>
      </c>
      <c r="C22" s="36">
        <v>70583</v>
      </c>
      <c r="D22" s="36">
        <v>64272</v>
      </c>
      <c r="E22" s="36">
        <v>60744</v>
      </c>
      <c r="F22" s="36">
        <v>58565</v>
      </c>
      <c r="G22" s="36">
        <v>58207</v>
      </c>
      <c r="H22" s="36">
        <v>59598</v>
      </c>
      <c r="I22" s="36">
        <v>62621</v>
      </c>
      <c r="J22" s="36">
        <v>75549</v>
      </c>
      <c r="K22" s="36">
        <v>87948</v>
      </c>
      <c r="L22" s="36">
        <v>96212</v>
      </c>
      <c r="M22" s="36">
        <v>103063</v>
      </c>
      <c r="N22" s="36">
        <v>108755</v>
      </c>
      <c r="O22" s="36">
        <v>109409</v>
      </c>
      <c r="P22" s="36">
        <v>108373</v>
      </c>
      <c r="Q22" s="36">
        <v>107411</v>
      </c>
      <c r="R22" s="36">
        <v>107691</v>
      </c>
      <c r="S22" s="36">
        <v>107211</v>
      </c>
      <c r="T22" s="36">
        <v>110638</v>
      </c>
      <c r="U22" s="36">
        <v>123541</v>
      </c>
      <c r="V22" s="36">
        <v>130954</v>
      </c>
      <c r="W22" s="36">
        <v>124283</v>
      </c>
      <c r="X22" s="36">
        <v>115304</v>
      </c>
      <c r="Y22" s="36">
        <v>103076</v>
      </c>
      <c r="Z22" s="37">
        <v>89623</v>
      </c>
      <c r="AA22" s="35">
        <f t="shared" si="0"/>
        <v>2243631</v>
      </c>
      <c r="AB22" s="21">
        <v>4</v>
      </c>
      <c r="AC22" s="80"/>
      <c r="AD22" s="49"/>
    </row>
    <row r="23" spans="1:30" ht="15.75" thickBot="1" x14ac:dyDescent="0.3">
      <c r="A23" s="78"/>
      <c r="B23" s="22" t="s">
        <v>6</v>
      </c>
      <c r="C23" s="39">
        <v>75980</v>
      </c>
      <c r="D23" s="39">
        <v>69588</v>
      </c>
      <c r="E23" s="39">
        <v>65760</v>
      </c>
      <c r="F23" s="39">
        <v>63020</v>
      </c>
      <c r="G23" s="39">
        <v>62634</v>
      </c>
      <c r="H23" s="39">
        <v>63154</v>
      </c>
      <c r="I23" s="39">
        <v>62901</v>
      </c>
      <c r="J23" s="39">
        <v>74386</v>
      </c>
      <c r="K23" s="39">
        <v>84434</v>
      </c>
      <c r="L23" s="39">
        <v>91549</v>
      </c>
      <c r="M23" s="39">
        <v>97776</v>
      </c>
      <c r="N23" s="39">
        <v>104033</v>
      </c>
      <c r="O23" s="39">
        <v>105196</v>
      </c>
      <c r="P23" s="39">
        <v>104830</v>
      </c>
      <c r="Q23" s="39">
        <v>103402</v>
      </c>
      <c r="R23" s="39">
        <v>102829</v>
      </c>
      <c r="S23" s="39">
        <v>101973</v>
      </c>
      <c r="T23" s="39">
        <v>104965</v>
      </c>
      <c r="U23" s="39">
        <v>118336</v>
      </c>
      <c r="V23" s="39">
        <v>127284</v>
      </c>
      <c r="W23" s="39">
        <v>122914</v>
      </c>
      <c r="X23" s="39">
        <v>113786</v>
      </c>
      <c r="Y23" s="39">
        <v>100128</v>
      </c>
      <c r="Z23" s="40">
        <v>86681</v>
      </c>
      <c r="AA23" s="35">
        <f t="shared" si="0"/>
        <v>2207539</v>
      </c>
      <c r="AB23" s="23">
        <v>6</v>
      </c>
      <c r="AC23" s="81"/>
      <c r="AD23" s="49"/>
    </row>
    <row r="24" spans="1:30" ht="15.75" thickBot="1" x14ac:dyDescent="0.3">
      <c r="A24" s="78">
        <v>46935</v>
      </c>
      <c r="B24" s="18" t="s">
        <v>8</v>
      </c>
      <c r="C24" s="33">
        <v>68685</v>
      </c>
      <c r="D24" s="33">
        <v>63036</v>
      </c>
      <c r="E24" s="33">
        <v>59721</v>
      </c>
      <c r="F24" s="33">
        <v>57822</v>
      </c>
      <c r="G24" s="33">
        <v>58999</v>
      </c>
      <c r="H24" s="33">
        <v>63558</v>
      </c>
      <c r="I24" s="33">
        <v>67289</v>
      </c>
      <c r="J24" s="33">
        <v>80587</v>
      </c>
      <c r="K24" s="33">
        <v>90803</v>
      </c>
      <c r="L24" s="33">
        <v>98825</v>
      </c>
      <c r="M24" s="33">
        <v>106706</v>
      </c>
      <c r="N24" s="33">
        <v>113835</v>
      </c>
      <c r="O24" s="33">
        <v>111512</v>
      </c>
      <c r="P24" s="33">
        <v>112189</v>
      </c>
      <c r="Q24" s="33">
        <v>115192</v>
      </c>
      <c r="R24" s="33">
        <v>115673</v>
      </c>
      <c r="S24" s="33">
        <v>113528</v>
      </c>
      <c r="T24" s="33">
        <v>112300</v>
      </c>
      <c r="U24" s="33">
        <v>121234</v>
      </c>
      <c r="V24" s="33">
        <v>130953</v>
      </c>
      <c r="W24" s="33">
        <v>125934</v>
      </c>
      <c r="X24" s="33">
        <v>115975</v>
      </c>
      <c r="Y24" s="33">
        <v>99704</v>
      </c>
      <c r="Z24" s="34">
        <v>84623</v>
      </c>
      <c r="AA24" s="35">
        <f t="shared" si="0"/>
        <v>2288683</v>
      </c>
      <c r="AB24" s="19">
        <v>19</v>
      </c>
      <c r="AC24" s="79">
        <f>+AA24*AB24+AA25*AB25+AA26*AB26</f>
        <v>68567739</v>
      </c>
      <c r="AD24" s="49"/>
    </row>
    <row r="25" spans="1:30" ht="15.75" thickBot="1" x14ac:dyDescent="0.3">
      <c r="A25" s="78"/>
      <c r="B25" s="20" t="s">
        <v>7</v>
      </c>
      <c r="C25" s="36">
        <v>64166</v>
      </c>
      <c r="D25" s="36">
        <v>58081</v>
      </c>
      <c r="E25" s="36">
        <v>54821</v>
      </c>
      <c r="F25" s="36">
        <v>52764</v>
      </c>
      <c r="G25" s="36">
        <v>52813</v>
      </c>
      <c r="H25" s="36">
        <v>54501</v>
      </c>
      <c r="I25" s="36">
        <v>58173</v>
      </c>
      <c r="J25" s="36">
        <v>73572</v>
      </c>
      <c r="K25" s="36">
        <v>85824</v>
      </c>
      <c r="L25" s="36">
        <v>93905</v>
      </c>
      <c r="M25" s="36">
        <v>100479</v>
      </c>
      <c r="N25" s="36">
        <v>105934</v>
      </c>
      <c r="O25" s="36">
        <v>105714</v>
      </c>
      <c r="P25" s="36">
        <v>103711</v>
      </c>
      <c r="Q25" s="36">
        <v>102012</v>
      </c>
      <c r="R25" s="36">
        <v>101287</v>
      </c>
      <c r="S25" s="36">
        <v>100304</v>
      </c>
      <c r="T25" s="36">
        <v>103466</v>
      </c>
      <c r="U25" s="36">
        <v>112985</v>
      </c>
      <c r="V25" s="36">
        <v>122270</v>
      </c>
      <c r="W25" s="36">
        <v>116238</v>
      </c>
      <c r="X25" s="36">
        <v>108281</v>
      </c>
      <c r="Y25" s="36">
        <v>95984</v>
      </c>
      <c r="Z25" s="37">
        <v>83811</v>
      </c>
      <c r="AA25" s="35">
        <f t="shared" si="0"/>
        <v>2111096</v>
      </c>
      <c r="AB25" s="21">
        <v>5</v>
      </c>
      <c r="AC25" s="80"/>
      <c r="AD25" s="49"/>
    </row>
    <row r="26" spans="1:30" ht="15.75" thickBot="1" x14ac:dyDescent="0.3">
      <c r="A26" s="78"/>
      <c r="B26" s="22" t="s">
        <v>6</v>
      </c>
      <c r="C26" s="39">
        <v>72764</v>
      </c>
      <c r="D26" s="39">
        <v>66428</v>
      </c>
      <c r="E26" s="39">
        <v>62077</v>
      </c>
      <c r="F26" s="39">
        <v>59359</v>
      </c>
      <c r="G26" s="39">
        <v>58360</v>
      </c>
      <c r="H26" s="39">
        <v>58110</v>
      </c>
      <c r="I26" s="39">
        <v>57700</v>
      </c>
      <c r="J26" s="39">
        <v>68405</v>
      </c>
      <c r="K26" s="39">
        <v>78045</v>
      </c>
      <c r="L26" s="39">
        <v>86240</v>
      </c>
      <c r="M26" s="39">
        <v>92248</v>
      </c>
      <c r="N26" s="39">
        <v>97964</v>
      </c>
      <c r="O26" s="39">
        <v>100858</v>
      </c>
      <c r="P26" s="39">
        <v>99798</v>
      </c>
      <c r="Q26" s="39">
        <v>97061</v>
      </c>
      <c r="R26" s="39">
        <v>95831</v>
      </c>
      <c r="S26" s="39">
        <v>94846</v>
      </c>
      <c r="T26" s="39">
        <v>98200</v>
      </c>
      <c r="U26" s="39">
        <v>108759</v>
      </c>
      <c r="V26" s="39">
        <v>120143</v>
      </c>
      <c r="W26" s="39">
        <v>116312</v>
      </c>
      <c r="X26" s="39">
        <v>108368</v>
      </c>
      <c r="Y26" s="39">
        <v>95096</v>
      </c>
      <c r="Z26" s="40">
        <v>82354</v>
      </c>
      <c r="AA26" s="35">
        <f t="shared" si="0"/>
        <v>2075326</v>
      </c>
      <c r="AB26" s="23">
        <v>7</v>
      </c>
      <c r="AC26" s="81"/>
      <c r="AD26" s="49"/>
    </row>
    <row r="27" spans="1:30" ht="15.75" thickBot="1" x14ac:dyDescent="0.3">
      <c r="A27" s="78">
        <v>46966</v>
      </c>
      <c r="B27" s="18" t="s">
        <v>8</v>
      </c>
      <c r="C27" s="33">
        <v>69858</v>
      </c>
      <c r="D27" s="33">
        <v>64463</v>
      </c>
      <c r="E27" s="33">
        <v>61582</v>
      </c>
      <c r="F27" s="33">
        <v>59674</v>
      </c>
      <c r="G27" s="33">
        <v>61082</v>
      </c>
      <c r="H27" s="33">
        <v>67234</v>
      </c>
      <c r="I27" s="33">
        <v>71643</v>
      </c>
      <c r="J27" s="33">
        <v>84057</v>
      </c>
      <c r="K27" s="33">
        <v>94058</v>
      </c>
      <c r="L27" s="33">
        <v>101735</v>
      </c>
      <c r="M27" s="33">
        <v>109639</v>
      </c>
      <c r="N27" s="33">
        <v>116983</v>
      </c>
      <c r="O27" s="33">
        <v>114763</v>
      </c>
      <c r="P27" s="33">
        <v>116444</v>
      </c>
      <c r="Q27" s="33">
        <v>119413</v>
      </c>
      <c r="R27" s="33">
        <v>119824</v>
      </c>
      <c r="S27" s="33">
        <v>117446</v>
      </c>
      <c r="T27" s="33">
        <v>116044</v>
      </c>
      <c r="U27" s="33">
        <v>126291</v>
      </c>
      <c r="V27" s="33">
        <v>134624</v>
      </c>
      <c r="W27" s="33">
        <v>129010</v>
      </c>
      <c r="X27" s="33">
        <v>118595</v>
      </c>
      <c r="Y27" s="33">
        <v>101885</v>
      </c>
      <c r="Z27" s="34">
        <v>87014</v>
      </c>
      <c r="AA27" s="35">
        <f t="shared" si="0"/>
        <v>2363361</v>
      </c>
      <c r="AB27" s="19">
        <v>21</v>
      </c>
      <c r="AC27" s="79">
        <f>+AA27*AB27+AA28*AB28+AA29*AB29</f>
        <v>71071511</v>
      </c>
      <c r="AD27" s="49"/>
    </row>
    <row r="28" spans="1:30" ht="15.75" thickBot="1" x14ac:dyDescent="0.3">
      <c r="A28" s="78"/>
      <c r="B28" s="20" t="s">
        <v>7</v>
      </c>
      <c r="C28" s="36">
        <v>71238</v>
      </c>
      <c r="D28" s="36">
        <v>65672</v>
      </c>
      <c r="E28" s="36">
        <v>62090</v>
      </c>
      <c r="F28" s="36">
        <v>59490</v>
      </c>
      <c r="G28" s="36">
        <v>59231</v>
      </c>
      <c r="H28" s="36">
        <v>60883</v>
      </c>
      <c r="I28" s="36">
        <v>62144</v>
      </c>
      <c r="J28" s="36">
        <v>76978</v>
      </c>
      <c r="K28" s="36">
        <v>88873</v>
      </c>
      <c r="L28" s="36">
        <v>97540</v>
      </c>
      <c r="M28" s="36">
        <v>104378</v>
      </c>
      <c r="N28" s="36">
        <v>109906</v>
      </c>
      <c r="O28" s="36">
        <v>109991</v>
      </c>
      <c r="P28" s="36">
        <v>108626</v>
      </c>
      <c r="Q28" s="36">
        <v>107101</v>
      </c>
      <c r="R28" s="36">
        <v>106532</v>
      </c>
      <c r="S28" s="36">
        <v>104763</v>
      </c>
      <c r="T28" s="36">
        <v>107132</v>
      </c>
      <c r="U28" s="36">
        <v>119598</v>
      </c>
      <c r="V28" s="36">
        <v>126298</v>
      </c>
      <c r="W28" s="36">
        <v>120098</v>
      </c>
      <c r="X28" s="36">
        <v>111899</v>
      </c>
      <c r="Y28" s="36">
        <v>100045</v>
      </c>
      <c r="Z28" s="37">
        <v>87875</v>
      </c>
      <c r="AA28" s="35">
        <f t="shared" si="0"/>
        <v>2228381</v>
      </c>
      <c r="AB28" s="21">
        <v>4</v>
      </c>
      <c r="AC28" s="80"/>
      <c r="AD28" s="49"/>
    </row>
    <row r="29" spans="1:30" ht="15.75" thickBot="1" x14ac:dyDescent="0.3">
      <c r="A29" s="78"/>
      <c r="B29" s="22" t="s">
        <v>6</v>
      </c>
      <c r="C29" s="39">
        <v>73990</v>
      </c>
      <c r="D29" s="39">
        <v>67445</v>
      </c>
      <c r="E29" s="39">
        <v>63199</v>
      </c>
      <c r="F29" s="39">
        <v>60352</v>
      </c>
      <c r="G29" s="39">
        <v>59438</v>
      </c>
      <c r="H29" s="39">
        <v>59586</v>
      </c>
      <c r="I29" s="39">
        <v>58425</v>
      </c>
      <c r="J29" s="39">
        <v>69603</v>
      </c>
      <c r="K29" s="39">
        <v>79056</v>
      </c>
      <c r="L29" s="39">
        <v>86711</v>
      </c>
      <c r="M29" s="39">
        <v>92589</v>
      </c>
      <c r="N29" s="39">
        <v>98505</v>
      </c>
      <c r="O29" s="39">
        <v>101789</v>
      </c>
      <c r="P29" s="39">
        <v>100721</v>
      </c>
      <c r="Q29" s="39">
        <v>97268</v>
      </c>
      <c r="R29" s="39">
        <v>95551</v>
      </c>
      <c r="S29" s="39">
        <v>94655</v>
      </c>
      <c r="T29" s="39">
        <v>97672</v>
      </c>
      <c r="U29" s="39">
        <v>110534</v>
      </c>
      <c r="V29" s="39">
        <v>120631</v>
      </c>
      <c r="W29" s="39">
        <v>116493</v>
      </c>
      <c r="X29" s="39">
        <v>107815</v>
      </c>
      <c r="Y29" s="39">
        <v>94515</v>
      </c>
      <c r="Z29" s="40">
        <v>81358</v>
      </c>
      <c r="AA29" s="35">
        <f t="shared" si="0"/>
        <v>2087901</v>
      </c>
      <c r="AB29" s="23">
        <v>6</v>
      </c>
      <c r="AC29" s="81"/>
      <c r="AD29" s="49"/>
    </row>
    <row r="30" spans="1:30" ht="15.75" thickBot="1" x14ac:dyDescent="0.3">
      <c r="A30" s="78">
        <v>46997</v>
      </c>
      <c r="B30" s="18" t="s">
        <v>8</v>
      </c>
      <c r="C30" s="33">
        <v>74298</v>
      </c>
      <c r="D30" s="33">
        <v>68463</v>
      </c>
      <c r="E30" s="33">
        <v>64886</v>
      </c>
      <c r="F30" s="33">
        <v>63045</v>
      </c>
      <c r="G30" s="33">
        <v>64158</v>
      </c>
      <c r="H30" s="33">
        <v>69882</v>
      </c>
      <c r="I30" s="33">
        <v>74606</v>
      </c>
      <c r="J30" s="33">
        <v>87622</v>
      </c>
      <c r="K30" s="33">
        <v>97543</v>
      </c>
      <c r="L30" s="33">
        <v>105600</v>
      </c>
      <c r="M30" s="33">
        <v>113901</v>
      </c>
      <c r="N30" s="33">
        <v>121571</v>
      </c>
      <c r="O30" s="33">
        <v>119317</v>
      </c>
      <c r="P30" s="33">
        <v>120798</v>
      </c>
      <c r="Q30" s="33">
        <v>124546</v>
      </c>
      <c r="R30" s="33">
        <v>125663</v>
      </c>
      <c r="S30" s="33">
        <v>123583</v>
      </c>
      <c r="T30" s="33">
        <v>122125</v>
      </c>
      <c r="U30" s="33">
        <v>135841</v>
      </c>
      <c r="V30" s="33">
        <v>139093</v>
      </c>
      <c r="W30" s="33">
        <v>133287</v>
      </c>
      <c r="X30" s="33">
        <v>122625</v>
      </c>
      <c r="Y30" s="33">
        <v>105601</v>
      </c>
      <c r="Z30" s="34">
        <v>90675</v>
      </c>
      <c r="AA30" s="35">
        <f t="shared" si="0"/>
        <v>2468729</v>
      </c>
      <c r="AB30" s="19">
        <v>21</v>
      </c>
      <c r="AC30" s="79">
        <f>+AA30*AB30+AA31*AB31+AA32*AB32</f>
        <v>72100839</v>
      </c>
      <c r="AD30" s="49"/>
    </row>
    <row r="31" spans="1:30" ht="15.75" thickBot="1" x14ac:dyDescent="0.3">
      <c r="A31" s="78"/>
      <c r="B31" s="20" t="s">
        <v>7</v>
      </c>
      <c r="C31" s="36">
        <v>77237</v>
      </c>
      <c r="D31" s="36">
        <v>70219</v>
      </c>
      <c r="E31" s="36">
        <v>66460</v>
      </c>
      <c r="F31" s="36">
        <v>64110</v>
      </c>
      <c r="G31" s="36">
        <v>63930</v>
      </c>
      <c r="H31" s="36">
        <v>64174</v>
      </c>
      <c r="I31" s="36">
        <v>67706</v>
      </c>
      <c r="J31" s="36">
        <v>83351</v>
      </c>
      <c r="K31" s="36">
        <v>95988</v>
      </c>
      <c r="L31" s="36">
        <v>104862</v>
      </c>
      <c r="M31" s="36">
        <v>111516</v>
      </c>
      <c r="N31" s="36">
        <v>117310</v>
      </c>
      <c r="O31" s="36">
        <v>116802</v>
      </c>
      <c r="P31" s="36">
        <v>115304</v>
      </c>
      <c r="Q31" s="36">
        <v>113850</v>
      </c>
      <c r="R31" s="36">
        <v>113193</v>
      </c>
      <c r="S31" s="36">
        <v>112455</v>
      </c>
      <c r="T31" s="36">
        <v>115598</v>
      </c>
      <c r="U31" s="36">
        <v>130073</v>
      </c>
      <c r="V31" s="36">
        <v>132677</v>
      </c>
      <c r="W31" s="36">
        <v>125813</v>
      </c>
      <c r="X31" s="36">
        <v>117139</v>
      </c>
      <c r="Y31" s="36">
        <v>104933</v>
      </c>
      <c r="Z31" s="37">
        <v>92226</v>
      </c>
      <c r="AA31" s="35">
        <f t="shared" si="0"/>
        <v>2376926</v>
      </c>
      <c r="AB31" s="21">
        <v>5</v>
      </c>
      <c r="AC31" s="80"/>
      <c r="AD31" s="49"/>
    </row>
    <row r="32" spans="1:30" ht="15.75" thickBot="1" x14ac:dyDescent="0.3">
      <c r="A32" s="78"/>
      <c r="B32" s="22" t="s">
        <v>6</v>
      </c>
      <c r="C32" s="39">
        <v>76570</v>
      </c>
      <c r="D32" s="39">
        <v>70176</v>
      </c>
      <c r="E32" s="39">
        <v>65947</v>
      </c>
      <c r="F32" s="39">
        <v>62688</v>
      </c>
      <c r="G32" s="39">
        <v>60798</v>
      </c>
      <c r="H32" s="39">
        <v>59250</v>
      </c>
      <c r="I32" s="39">
        <v>58143</v>
      </c>
      <c r="J32" s="39">
        <v>69045</v>
      </c>
      <c r="K32" s="39">
        <v>78404</v>
      </c>
      <c r="L32" s="39">
        <v>85800</v>
      </c>
      <c r="M32" s="39">
        <v>91090</v>
      </c>
      <c r="N32" s="39">
        <v>96205</v>
      </c>
      <c r="O32" s="39">
        <v>99550</v>
      </c>
      <c r="P32" s="39">
        <v>99090</v>
      </c>
      <c r="Q32" s="39">
        <v>96368</v>
      </c>
      <c r="R32" s="39">
        <v>95988</v>
      </c>
      <c r="S32" s="39">
        <v>95234</v>
      </c>
      <c r="T32" s="39">
        <v>98393</v>
      </c>
      <c r="U32" s="39">
        <v>114866</v>
      </c>
      <c r="V32" s="39">
        <v>119687</v>
      </c>
      <c r="W32" s="39">
        <v>115732</v>
      </c>
      <c r="X32" s="39">
        <v>107434</v>
      </c>
      <c r="Y32" s="39">
        <v>94760</v>
      </c>
      <c r="Z32" s="40">
        <v>82007</v>
      </c>
      <c r="AA32" s="35">
        <f t="shared" si="0"/>
        <v>2093225</v>
      </c>
      <c r="AB32" s="23">
        <v>4</v>
      </c>
      <c r="AC32" s="81"/>
      <c r="AD32" s="49"/>
    </row>
    <row r="33" spans="1:30" ht="15.75" thickBot="1" x14ac:dyDescent="0.3">
      <c r="A33" s="78">
        <v>47027</v>
      </c>
      <c r="B33" s="18" t="s">
        <v>8</v>
      </c>
      <c r="C33" s="33">
        <v>67297</v>
      </c>
      <c r="D33" s="33">
        <v>62079</v>
      </c>
      <c r="E33" s="33">
        <v>59110</v>
      </c>
      <c r="F33" s="33">
        <v>57394</v>
      </c>
      <c r="G33" s="33">
        <v>58906</v>
      </c>
      <c r="H33" s="33">
        <v>63846</v>
      </c>
      <c r="I33" s="33">
        <v>68405</v>
      </c>
      <c r="J33" s="33">
        <v>80136</v>
      </c>
      <c r="K33" s="33">
        <v>89442</v>
      </c>
      <c r="L33" s="33">
        <v>96464</v>
      </c>
      <c r="M33" s="33">
        <v>103833</v>
      </c>
      <c r="N33" s="33">
        <v>111203</v>
      </c>
      <c r="O33" s="33">
        <v>109143</v>
      </c>
      <c r="P33" s="33">
        <v>110436</v>
      </c>
      <c r="Q33" s="33">
        <v>113851</v>
      </c>
      <c r="R33" s="33">
        <v>114717</v>
      </c>
      <c r="S33" s="33">
        <v>113369</v>
      </c>
      <c r="T33" s="33">
        <v>115918</v>
      </c>
      <c r="U33" s="33">
        <v>131350</v>
      </c>
      <c r="V33" s="33">
        <v>130396</v>
      </c>
      <c r="W33" s="33">
        <v>123546</v>
      </c>
      <c r="X33" s="33">
        <v>112892</v>
      </c>
      <c r="Y33" s="33">
        <v>96991</v>
      </c>
      <c r="Z33" s="34">
        <v>83062</v>
      </c>
      <c r="AA33" s="35">
        <f t="shared" si="0"/>
        <v>2273786</v>
      </c>
      <c r="AB33" s="19">
        <v>21</v>
      </c>
      <c r="AC33" s="79">
        <f>+AA33*AB33+AA34*AB34+AA35*AB35</f>
        <v>69739342</v>
      </c>
      <c r="AD33" s="49"/>
    </row>
    <row r="34" spans="1:30" ht="15.75" thickBot="1" x14ac:dyDescent="0.3">
      <c r="A34" s="78"/>
      <c r="B34" s="20" t="s">
        <v>7</v>
      </c>
      <c r="C34" s="36">
        <v>76170</v>
      </c>
      <c r="D34" s="36">
        <v>70074</v>
      </c>
      <c r="E34" s="36">
        <v>66199</v>
      </c>
      <c r="F34" s="36">
        <v>63714</v>
      </c>
      <c r="G34" s="36">
        <v>64073</v>
      </c>
      <c r="H34" s="36">
        <v>65119</v>
      </c>
      <c r="I34" s="36">
        <v>69693</v>
      </c>
      <c r="J34" s="36">
        <v>84875</v>
      </c>
      <c r="K34" s="36">
        <v>97224</v>
      </c>
      <c r="L34" s="36">
        <v>105850</v>
      </c>
      <c r="M34" s="36">
        <v>113204</v>
      </c>
      <c r="N34" s="36">
        <v>119498</v>
      </c>
      <c r="O34" s="36">
        <v>120079</v>
      </c>
      <c r="P34" s="36">
        <v>118406</v>
      </c>
      <c r="Q34" s="36">
        <v>117098</v>
      </c>
      <c r="R34" s="36">
        <v>116211</v>
      </c>
      <c r="S34" s="36">
        <v>115077</v>
      </c>
      <c r="T34" s="36">
        <v>121577</v>
      </c>
      <c r="U34" s="36">
        <v>140067</v>
      </c>
      <c r="V34" s="36">
        <v>139378</v>
      </c>
      <c r="W34" s="36">
        <v>132120</v>
      </c>
      <c r="X34" s="36">
        <v>121922</v>
      </c>
      <c r="Y34" s="36">
        <v>109484</v>
      </c>
      <c r="Z34" s="37">
        <v>95387</v>
      </c>
      <c r="AA34" s="35">
        <f t="shared" si="0"/>
        <v>2442499</v>
      </c>
      <c r="AB34" s="21">
        <v>4</v>
      </c>
      <c r="AC34" s="80"/>
      <c r="AD34" s="49"/>
    </row>
    <row r="35" spans="1:30" ht="15.75" thickBot="1" x14ac:dyDescent="0.3">
      <c r="A35" s="78"/>
      <c r="B35" s="22" t="s">
        <v>6</v>
      </c>
      <c r="C35" s="39">
        <v>71561</v>
      </c>
      <c r="D35" s="39">
        <v>65404</v>
      </c>
      <c r="E35" s="39">
        <v>60982</v>
      </c>
      <c r="F35" s="39">
        <v>57809</v>
      </c>
      <c r="G35" s="39">
        <v>56574</v>
      </c>
      <c r="H35" s="39">
        <v>55260</v>
      </c>
      <c r="I35" s="39">
        <v>55442</v>
      </c>
      <c r="J35" s="39">
        <v>65702</v>
      </c>
      <c r="K35" s="39">
        <v>74754</v>
      </c>
      <c r="L35" s="39">
        <v>82794</v>
      </c>
      <c r="M35" s="39">
        <v>88512</v>
      </c>
      <c r="N35" s="39">
        <v>94551</v>
      </c>
      <c r="O35" s="39">
        <v>98009</v>
      </c>
      <c r="P35" s="39">
        <v>97028</v>
      </c>
      <c r="Q35" s="39">
        <v>94805</v>
      </c>
      <c r="R35" s="39">
        <v>94133</v>
      </c>
      <c r="S35" s="39">
        <v>93812</v>
      </c>
      <c r="T35" s="39">
        <v>100385</v>
      </c>
      <c r="U35" s="39">
        <v>117961</v>
      </c>
      <c r="V35" s="39">
        <v>119064</v>
      </c>
      <c r="W35" s="39">
        <v>114391</v>
      </c>
      <c r="X35" s="39">
        <v>105572</v>
      </c>
      <c r="Y35" s="39">
        <v>92477</v>
      </c>
      <c r="Z35" s="40">
        <v>79658</v>
      </c>
      <c r="AA35" s="35">
        <f t="shared" si="0"/>
        <v>2036640</v>
      </c>
      <c r="AB35" s="23">
        <v>6</v>
      </c>
      <c r="AC35" s="81"/>
      <c r="AD35" s="49"/>
    </row>
    <row r="36" spans="1:30" ht="15.75" thickBot="1" x14ac:dyDescent="0.3">
      <c r="A36" s="78">
        <v>47058</v>
      </c>
      <c r="B36" s="18" t="s">
        <v>8</v>
      </c>
      <c r="C36" s="33">
        <v>64911</v>
      </c>
      <c r="D36" s="33">
        <v>59689</v>
      </c>
      <c r="E36" s="33">
        <v>56752</v>
      </c>
      <c r="F36" s="33">
        <v>55350</v>
      </c>
      <c r="G36" s="33">
        <v>57141</v>
      </c>
      <c r="H36" s="33">
        <v>62617</v>
      </c>
      <c r="I36" s="33">
        <v>68321</v>
      </c>
      <c r="J36" s="33">
        <v>80545</v>
      </c>
      <c r="K36" s="33">
        <v>89921</v>
      </c>
      <c r="L36" s="33">
        <v>97062</v>
      </c>
      <c r="M36" s="33">
        <v>104824</v>
      </c>
      <c r="N36" s="33">
        <v>112559</v>
      </c>
      <c r="O36" s="33">
        <v>109756</v>
      </c>
      <c r="P36" s="33">
        <v>110019</v>
      </c>
      <c r="Q36" s="33">
        <v>113645</v>
      </c>
      <c r="R36" s="33">
        <v>113106</v>
      </c>
      <c r="S36" s="33">
        <v>111987</v>
      </c>
      <c r="T36" s="33">
        <v>115827</v>
      </c>
      <c r="U36" s="33">
        <v>132286</v>
      </c>
      <c r="V36" s="33">
        <v>131109</v>
      </c>
      <c r="W36" s="33">
        <v>124205</v>
      </c>
      <c r="X36" s="33">
        <v>112524</v>
      </c>
      <c r="Y36" s="33">
        <v>95768</v>
      </c>
      <c r="Z36" s="34">
        <v>81028</v>
      </c>
      <c r="AA36" s="35">
        <f t="shared" si="0"/>
        <v>2260952</v>
      </c>
      <c r="AB36" s="19">
        <v>20</v>
      </c>
      <c r="AC36" s="79">
        <f>+AA36*AB36+AA37*AB37+AA38*AB38</f>
        <v>65267432</v>
      </c>
      <c r="AD36" s="49"/>
    </row>
    <row r="37" spans="1:30" ht="15.75" thickBot="1" x14ac:dyDescent="0.3">
      <c r="A37" s="78"/>
      <c r="B37" s="20" t="s">
        <v>7</v>
      </c>
      <c r="C37" s="36">
        <v>66759</v>
      </c>
      <c r="D37" s="36">
        <v>61423</v>
      </c>
      <c r="E37" s="36">
        <v>57914</v>
      </c>
      <c r="F37" s="36">
        <v>55777</v>
      </c>
      <c r="G37" s="36">
        <v>56061</v>
      </c>
      <c r="H37" s="36">
        <v>57065</v>
      </c>
      <c r="I37" s="36">
        <v>60231</v>
      </c>
      <c r="J37" s="36">
        <v>74033</v>
      </c>
      <c r="K37" s="36">
        <v>85788</v>
      </c>
      <c r="L37" s="36">
        <v>93865</v>
      </c>
      <c r="M37" s="36">
        <v>100319</v>
      </c>
      <c r="N37" s="36">
        <v>106288</v>
      </c>
      <c r="O37" s="36">
        <v>106343</v>
      </c>
      <c r="P37" s="36">
        <v>103574</v>
      </c>
      <c r="Q37" s="36">
        <v>103032</v>
      </c>
      <c r="R37" s="36">
        <v>102464</v>
      </c>
      <c r="S37" s="36">
        <v>102429</v>
      </c>
      <c r="T37" s="36">
        <v>109162</v>
      </c>
      <c r="U37" s="36">
        <v>127586</v>
      </c>
      <c r="V37" s="36">
        <v>127038</v>
      </c>
      <c r="W37" s="36">
        <v>120510</v>
      </c>
      <c r="X37" s="36">
        <v>111346</v>
      </c>
      <c r="Y37" s="36">
        <v>98179</v>
      </c>
      <c r="Z37" s="37">
        <v>84812</v>
      </c>
      <c r="AA37" s="35">
        <f t="shared" si="0"/>
        <v>2171998</v>
      </c>
      <c r="AB37" s="21">
        <v>4</v>
      </c>
      <c r="AC37" s="80"/>
      <c r="AD37" s="49"/>
    </row>
    <row r="38" spans="1:30" ht="15.75" thickBot="1" x14ac:dyDescent="0.3">
      <c r="A38" s="78"/>
      <c r="B38" s="22" t="s">
        <v>6</v>
      </c>
      <c r="C38" s="39">
        <v>64619</v>
      </c>
      <c r="D38" s="39">
        <v>58978</v>
      </c>
      <c r="E38" s="39">
        <v>54848</v>
      </c>
      <c r="F38" s="39">
        <v>51801</v>
      </c>
      <c r="G38" s="39">
        <v>51448</v>
      </c>
      <c r="H38" s="39">
        <v>50579</v>
      </c>
      <c r="I38" s="39">
        <v>50891</v>
      </c>
      <c r="J38" s="39">
        <v>61418</v>
      </c>
      <c r="K38" s="39">
        <v>70191</v>
      </c>
      <c r="L38" s="39">
        <v>77662</v>
      </c>
      <c r="M38" s="39">
        <v>82903</v>
      </c>
      <c r="N38" s="39">
        <v>88748</v>
      </c>
      <c r="O38" s="39">
        <v>91744</v>
      </c>
      <c r="P38" s="39">
        <v>91031</v>
      </c>
      <c r="Q38" s="39">
        <v>88040</v>
      </c>
      <c r="R38" s="39">
        <v>86205</v>
      </c>
      <c r="S38" s="39">
        <v>86240</v>
      </c>
      <c r="T38" s="39">
        <v>93018</v>
      </c>
      <c r="U38" s="39">
        <v>111344</v>
      </c>
      <c r="V38" s="39">
        <v>112918</v>
      </c>
      <c r="W38" s="39">
        <v>108512</v>
      </c>
      <c r="X38" s="39">
        <v>99975</v>
      </c>
      <c r="Y38" s="39">
        <v>86588</v>
      </c>
      <c r="Z38" s="40">
        <v>73699</v>
      </c>
      <c r="AA38" s="35">
        <f t="shared" si="0"/>
        <v>1893400</v>
      </c>
      <c r="AB38" s="23">
        <v>6</v>
      </c>
      <c r="AC38" s="81"/>
      <c r="AD38" s="49"/>
    </row>
    <row r="39" spans="1:30" ht="15.75" thickBot="1" x14ac:dyDescent="0.3">
      <c r="A39" s="78">
        <v>47088</v>
      </c>
      <c r="B39" s="18" t="s">
        <v>8</v>
      </c>
      <c r="C39" s="33">
        <v>74369</v>
      </c>
      <c r="D39" s="33">
        <v>67853</v>
      </c>
      <c r="E39" s="33">
        <v>64096</v>
      </c>
      <c r="F39" s="33">
        <v>61961</v>
      </c>
      <c r="G39" s="33">
        <v>63106</v>
      </c>
      <c r="H39" s="33">
        <v>66918</v>
      </c>
      <c r="I39" s="33">
        <v>70535</v>
      </c>
      <c r="J39" s="33">
        <v>85525</v>
      </c>
      <c r="K39" s="33">
        <v>96976</v>
      </c>
      <c r="L39" s="33">
        <v>105274</v>
      </c>
      <c r="M39" s="33">
        <v>113035</v>
      </c>
      <c r="N39" s="33">
        <v>121099</v>
      </c>
      <c r="O39" s="33">
        <v>119966</v>
      </c>
      <c r="P39" s="33">
        <v>119822</v>
      </c>
      <c r="Q39" s="33">
        <v>122133</v>
      </c>
      <c r="R39" s="33">
        <v>121664</v>
      </c>
      <c r="S39" s="33">
        <v>119162</v>
      </c>
      <c r="T39" s="33">
        <v>120408</v>
      </c>
      <c r="U39" s="33">
        <v>136475</v>
      </c>
      <c r="V39" s="33">
        <v>138429</v>
      </c>
      <c r="W39" s="33">
        <v>131974</v>
      </c>
      <c r="X39" s="33">
        <v>121956</v>
      </c>
      <c r="Y39" s="33">
        <v>106781</v>
      </c>
      <c r="Z39" s="34">
        <v>92537</v>
      </c>
      <c r="AA39" s="35">
        <f t="shared" si="0"/>
        <v>2442054</v>
      </c>
      <c r="AB39" s="19">
        <v>19</v>
      </c>
      <c r="AC39" s="79">
        <f>+AA39*AB39+AA40*AB40+AA41*AB41</f>
        <v>72276401</v>
      </c>
      <c r="AD39" s="49"/>
    </row>
    <row r="40" spans="1:30" ht="15.75" thickBot="1" x14ac:dyDescent="0.3">
      <c r="A40" s="78"/>
      <c r="B40" s="20" t="s">
        <v>7</v>
      </c>
      <c r="C40" s="36">
        <v>71694</v>
      </c>
      <c r="D40" s="36">
        <v>66003</v>
      </c>
      <c r="E40" s="36">
        <v>62252</v>
      </c>
      <c r="F40" s="36">
        <v>59565</v>
      </c>
      <c r="G40" s="36">
        <v>59635</v>
      </c>
      <c r="H40" s="36">
        <v>61675</v>
      </c>
      <c r="I40" s="36">
        <v>63580</v>
      </c>
      <c r="J40" s="36">
        <v>77220</v>
      </c>
      <c r="K40" s="36">
        <v>88557</v>
      </c>
      <c r="L40" s="36">
        <v>95943</v>
      </c>
      <c r="M40" s="36">
        <v>102036</v>
      </c>
      <c r="N40" s="36">
        <v>107128</v>
      </c>
      <c r="O40" s="36">
        <v>107183</v>
      </c>
      <c r="P40" s="36">
        <v>104964</v>
      </c>
      <c r="Q40" s="36">
        <v>103851</v>
      </c>
      <c r="R40" s="36">
        <v>102555</v>
      </c>
      <c r="S40" s="36">
        <v>101810</v>
      </c>
      <c r="T40" s="36">
        <v>106373</v>
      </c>
      <c r="U40" s="36">
        <v>123857</v>
      </c>
      <c r="V40" s="36">
        <v>125017</v>
      </c>
      <c r="W40" s="36">
        <v>118557</v>
      </c>
      <c r="X40" s="36">
        <v>109939</v>
      </c>
      <c r="Y40" s="36">
        <v>97823</v>
      </c>
      <c r="Z40" s="37">
        <v>86520</v>
      </c>
      <c r="AA40" s="35">
        <f t="shared" si="0"/>
        <v>2203737</v>
      </c>
      <c r="AB40" s="21">
        <v>5</v>
      </c>
      <c r="AC40" s="80"/>
      <c r="AD40" s="49"/>
    </row>
    <row r="41" spans="1:30" ht="15.75" thickBot="1" x14ac:dyDescent="0.3">
      <c r="A41" s="78"/>
      <c r="B41" s="22" t="s">
        <v>6</v>
      </c>
      <c r="C41" s="39">
        <v>76460</v>
      </c>
      <c r="D41" s="39">
        <v>70103</v>
      </c>
      <c r="E41" s="39">
        <v>65221</v>
      </c>
      <c r="F41" s="39">
        <v>61949</v>
      </c>
      <c r="G41" s="39">
        <v>60576</v>
      </c>
      <c r="H41" s="39">
        <v>59973</v>
      </c>
      <c r="I41" s="39">
        <v>58626</v>
      </c>
      <c r="J41" s="39">
        <v>68373</v>
      </c>
      <c r="K41" s="39">
        <v>77422</v>
      </c>
      <c r="L41" s="39">
        <v>85300</v>
      </c>
      <c r="M41" s="39">
        <v>91422</v>
      </c>
      <c r="N41" s="39">
        <v>97099</v>
      </c>
      <c r="O41" s="39">
        <v>100418</v>
      </c>
      <c r="P41" s="39">
        <v>100791</v>
      </c>
      <c r="Q41" s="39">
        <v>98943</v>
      </c>
      <c r="R41" s="39">
        <v>97847</v>
      </c>
      <c r="S41" s="39">
        <v>97547</v>
      </c>
      <c r="T41" s="39">
        <v>102194</v>
      </c>
      <c r="U41" s="39">
        <v>119786</v>
      </c>
      <c r="V41" s="39">
        <v>123126</v>
      </c>
      <c r="W41" s="39">
        <v>118051</v>
      </c>
      <c r="X41" s="39">
        <v>109554</v>
      </c>
      <c r="Y41" s="39">
        <v>97179</v>
      </c>
      <c r="Z41" s="40">
        <v>84710</v>
      </c>
      <c r="AA41" s="35">
        <f t="shared" si="0"/>
        <v>2122670</v>
      </c>
      <c r="AB41" s="23">
        <v>7</v>
      </c>
      <c r="AC41" s="81"/>
      <c r="AD41" s="49"/>
    </row>
    <row r="42" spans="1:30" x14ac:dyDescent="0.25">
      <c r="A42" s="76" t="s">
        <v>5</v>
      </c>
      <c r="B42" s="77"/>
      <c r="C42" s="31">
        <f t="shared" ref="C42:AC42" si="1">+SUM(C6:C41)</f>
        <v>2547553</v>
      </c>
      <c r="D42" s="31">
        <f t="shared" si="1"/>
        <v>2331994</v>
      </c>
      <c r="E42" s="31">
        <f t="shared" si="1"/>
        <v>2199384</v>
      </c>
      <c r="F42" s="31">
        <f t="shared" si="1"/>
        <v>2116207</v>
      </c>
      <c r="G42" s="31">
        <f t="shared" si="1"/>
        <v>2121268</v>
      </c>
      <c r="H42" s="31">
        <f t="shared" si="1"/>
        <v>2208556</v>
      </c>
      <c r="I42" s="31">
        <f t="shared" si="1"/>
        <v>2310960</v>
      </c>
      <c r="J42" s="31">
        <f t="shared" si="1"/>
        <v>2755522</v>
      </c>
      <c r="K42" s="31">
        <f t="shared" si="1"/>
        <v>3129742</v>
      </c>
      <c r="L42" s="31">
        <f t="shared" si="1"/>
        <v>3414363</v>
      </c>
      <c r="M42" s="31">
        <f t="shared" si="1"/>
        <v>3652810</v>
      </c>
      <c r="N42" s="31">
        <f t="shared" si="1"/>
        <v>3882828</v>
      </c>
      <c r="O42" s="31">
        <f t="shared" si="1"/>
        <v>3897537</v>
      </c>
      <c r="P42" s="31">
        <f t="shared" si="1"/>
        <v>3876088</v>
      </c>
      <c r="Q42" s="31">
        <f t="shared" si="1"/>
        <v>3863235</v>
      </c>
      <c r="R42" s="31">
        <f t="shared" si="1"/>
        <v>3849884</v>
      </c>
      <c r="S42" s="31">
        <f t="shared" si="1"/>
        <v>3805371</v>
      </c>
      <c r="T42" s="31">
        <f t="shared" si="1"/>
        <v>3852163</v>
      </c>
      <c r="U42" s="31">
        <f t="shared" si="1"/>
        <v>4321942</v>
      </c>
      <c r="V42" s="31">
        <f t="shared" si="1"/>
        <v>4547700</v>
      </c>
      <c r="W42" s="31">
        <f t="shared" si="1"/>
        <v>4349552</v>
      </c>
      <c r="X42" s="31">
        <f t="shared" si="1"/>
        <v>4015123</v>
      </c>
      <c r="Y42" s="31">
        <f t="shared" si="1"/>
        <v>3512310</v>
      </c>
      <c r="Z42" s="31">
        <f t="shared" si="1"/>
        <v>3018229</v>
      </c>
      <c r="AA42" s="31">
        <f t="shared" si="1"/>
        <v>79580321</v>
      </c>
      <c r="AB42" s="31">
        <f t="shared" si="1"/>
        <v>366</v>
      </c>
      <c r="AC42" s="46">
        <f t="shared" si="1"/>
        <v>825124230</v>
      </c>
      <c r="AD42" s="49"/>
    </row>
    <row r="43" spans="1:30" x14ac:dyDescent="0.25">
      <c r="AB43" s="6"/>
      <c r="AC43" s="6"/>
    </row>
    <row r="44" spans="1:30" x14ac:dyDescent="0.25">
      <c r="AA44" s="45"/>
      <c r="AC44" s="45"/>
    </row>
    <row r="45" spans="1:30" x14ac:dyDescent="0.25"/>
    <row r="46" spans="1:30" x14ac:dyDescent="0.25"/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E9E6-CC4E-448E-9416-BCFB75F5E663}">
  <sheetPr codeName="Hoja9">
    <tabColor rgb="FF0070C0"/>
  </sheetPr>
  <dimension ref="A1:AD46"/>
  <sheetViews>
    <sheetView showGridLines="0" zoomScale="115" zoomScaleNormal="115" zoomScaleSheetLayoutView="110" workbookViewId="0">
      <pane xSplit="2" ySplit="5" topLeftCell="M3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0" defaultRowHeight="0" customHeight="1" zeroHeight="1" x14ac:dyDescent="0.25"/>
  <cols>
    <col min="1" max="1" width="6.5703125" bestFit="1" customWidth="1"/>
    <col min="2" max="2" width="8.7109375" bestFit="1" customWidth="1"/>
    <col min="3" max="4" width="7.7109375" bestFit="1" customWidth="1"/>
    <col min="5" max="5" width="7.85546875" customWidth="1"/>
    <col min="6" max="10" width="7.7109375" bestFit="1" customWidth="1"/>
    <col min="11" max="11" width="7.7109375" customWidth="1"/>
    <col min="12" max="14" width="7.7109375" bestFit="1" customWidth="1"/>
    <col min="15" max="16" width="8" bestFit="1" customWidth="1"/>
    <col min="17" max="18" width="7.7109375" bestFit="1" customWidth="1"/>
    <col min="19" max="19" width="8" bestFit="1" customWidth="1"/>
    <col min="20" max="20" width="8.7109375" bestFit="1" customWidth="1"/>
    <col min="21" max="21" width="9" bestFit="1" customWidth="1"/>
    <col min="22" max="22" width="8.7109375" bestFit="1" customWidth="1"/>
    <col min="23" max="23" width="9" bestFit="1" customWidth="1"/>
    <col min="24" max="24" width="9.28515625" bestFit="1" customWidth="1"/>
    <col min="25" max="25" width="9" bestFit="1" customWidth="1"/>
    <col min="26" max="26" width="8.7109375" bestFit="1" customWidth="1"/>
    <col min="27" max="27" width="9.5703125" bestFit="1" customWidth="1"/>
    <col min="28" max="28" width="6.4257812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6" t="s">
        <v>60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8"/>
    </row>
    <row r="2" spans="1:30" ht="15" x14ac:dyDescent="0.25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1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5" x14ac:dyDescent="0.25">
      <c r="A4" s="92" t="s">
        <v>38</v>
      </c>
      <c r="B4" s="92" t="s">
        <v>37</v>
      </c>
      <c r="C4" s="84" t="s">
        <v>36</v>
      </c>
      <c r="D4" s="84" t="s">
        <v>35</v>
      </c>
      <c r="E4" s="84" t="s">
        <v>34</v>
      </c>
      <c r="F4" s="84" t="s">
        <v>33</v>
      </c>
      <c r="G4" s="84" t="s">
        <v>32</v>
      </c>
      <c r="H4" s="84" t="s">
        <v>31</v>
      </c>
      <c r="I4" s="84" t="s">
        <v>30</v>
      </c>
      <c r="J4" s="84" t="s">
        <v>29</v>
      </c>
      <c r="K4" s="84" t="s">
        <v>28</v>
      </c>
      <c r="L4" s="84" t="s">
        <v>27</v>
      </c>
      <c r="M4" s="84" t="s">
        <v>26</v>
      </c>
      <c r="N4" s="84" t="s">
        <v>25</v>
      </c>
      <c r="O4" s="84" t="s">
        <v>24</v>
      </c>
      <c r="P4" s="84" t="s">
        <v>23</v>
      </c>
      <c r="Q4" s="84" t="s">
        <v>22</v>
      </c>
      <c r="R4" s="84" t="s">
        <v>21</v>
      </c>
      <c r="S4" s="84" t="s">
        <v>20</v>
      </c>
      <c r="T4" s="84" t="s">
        <v>19</v>
      </c>
      <c r="U4" s="84" t="s">
        <v>18</v>
      </c>
      <c r="V4" s="84" t="s">
        <v>17</v>
      </c>
      <c r="W4" s="84" t="s">
        <v>16</v>
      </c>
      <c r="X4" s="84" t="s">
        <v>15</v>
      </c>
      <c r="Y4" s="84" t="s">
        <v>14</v>
      </c>
      <c r="Z4" s="84" t="s">
        <v>13</v>
      </c>
      <c r="AA4" s="14" t="s">
        <v>12</v>
      </c>
      <c r="AB4" s="15" t="s">
        <v>11</v>
      </c>
      <c r="AC4" s="82" t="s">
        <v>10</v>
      </c>
    </row>
    <row r="5" spans="1:30" ht="15" x14ac:dyDescent="0.25">
      <c r="A5" s="92"/>
      <c r="B5" s="92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16"/>
      <c r="AB5" s="17" t="s">
        <v>9</v>
      </c>
      <c r="AC5" s="83"/>
    </row>
    <row r="6" spans="1:30" ht="15.75" thickBot="1" x14ac:dyDescent="0.3">
      <c r="A6" s="78">
        <v>46753</v>
      </c>
      <c r="B6" s="18" t="s">
        <v>8</v>
      </c>
      <c r="C6" s="33">
        <f>ROUND('Anexo 10'!C6*'Anexo 3'!$D$10,0)</f>
        <v>0</v>
      </c>
      <c r="D6" s="33">
        <f>ROUND('Anexo 10'!D6*'Anexo 3'!$D$10,0)</f>
        <v>0</v>
      </c>
      <c r="E6" s="33">
        <f>ROUND('Anexo 10'!E6*'Anexo 3'!$D$10,0)</f>
        <v>0</v>
      </c>
      <c r="F6" s="33">
        <f>ROUND('Anexo 10'!F6*'Anexo 3'!$D$10,0)</f>
        <v>0</v>
      </c>
      <c r="G6" s="33">
        <f>ROUND('Anexo 10'!G6*'Anexo 3'!$D$10,0)</f>
        <v>0</v>
      </c>
      <c r="H6" s="33">
        <f>ROUND('Anexo 10'!H6*'Anexo 3'!$D$10,0)</f>
        <v>0</v>
      </c>
      <c r="I6" s="33">
        <f>ROUND('Anexo 10'!I6*'Anexo 3'!$D$10,0)</f>
        <v>0</v>
      </c>
      <c r="J6" s="33">
        <f>ROUND('Anexo 10'!J6*'Anexo 3'!$D$10,0)</f>
        <v>0</v>
      </c>
      <c r="K6" s="33">
        <f>ROUND('Anexo 10'!K6*'Anexo 3'!$D$10,0)</f>
        <v>0</v>
      </c>
      <c r="L6" s="33">
        <f>ROUND('Anexo 10'!L6*'Anexo 3'!$D$10,0)</f>
        <v>0</v>
      </c>
      <c r="M6" s="33">
        <f>ROUND('Anexo 10'!M6*'Anexo 3'!$D$10,0)</f>
        <v>0</v>
      </c>
      <c r="N6" s="33">
        <f>ROUND('Anexo 10'!N6*'Anexo 3'!$D$10,0)</f>
        <v>0</v>
      </c>
      <c r="O6" s="33">
        <f>ROUND('Anexo 10'!O6*'Anexo 3'!$D$10,0)</f>
        <v>0</v>
      </c>
      <c r="P6" s="33">
        <f>ROUND('Anexo 10'!P6*'Anexo 3'!$D$10,0)</f>
        <v>0</v>
      </c>
      <c r="Q6" s="33">
        <f>ROUND('Anexo 10'!Q6*'Anexo 3'!$D$10,0)</f>
        <v>0</v>
      </c>
      <c r="R6" s="33">
        <f>ROUND('Anexo 10'!R6*'Anexo 3'!$D$10,0)</f>
        <v>0</v>
      </c>
      <c r="S6" s="33">
        <f>ROUND('Anexo 10'!S6*'Anexo 3'!$D$10,0)</f>
        <v>0</v>
      </c>
      <c r="T6" s="33">
        <f>ROUND('Anexo 10'!T6*'Anexo 3'!$D$10,0)</f>
        <v>0</v>
      </c>
      <c r="U6" s="33">
        <f>ROUND('Anexo 10'!U6*'Anexo 3'!$D$10,0)</f>
        <v>0</v>
      </c>
      <c r="V6" s="33">
        <f>ROUND('Anexo 10'!V6*'Anexo 3'!$D$10,0)</f>
        <v>0</v>
      </c>
      <c r="W6" s="33">
        <f>ROUND('Anexo 10'!W6*'Anexo 3'!$D$10,0)</f>
        <v>0</v>
      </c>
      <c r="X6" s="33">
        <f>ROUND('Anexo 10'!X6*'Anexo 3'!$D$10,0)</f>
        <v>0</v>
      </c>
      <c r="Y6" s="33">
        <f>ROUND('Anexo 10'!Y6*'Anexo 3'!$D$10,0)</f>
        <v>0</v>
      </c>
      <c r="Z6" s="33">
        <f>ROUND('Anexo 10'!Z6*'Anexo 3'!$D$10,0)</f>
        <v>0</v>
      </c>
      <c r="AA6" s="35">
        <f>SUM(C6:Z6)</f>
        <v>0</v>
      </c>
      <c r="AB6" s="19">
        <v>20</v>
      </c>
      <c r="AC6" s="79">
        <f>+AA6*AB6+AA7*AB7+AA8*AB8</f>
        <v>0</v>
      </c>
    </row>
    <row r="7" spans="1:30" ht="15.75" thickBot="1" x14ac:dyDescent="0.3">
      <c r="A7" s="78"/>
      <c r="B7" s="20" t="s">
        <v>7</v>
      </c>
      <c r="C7" s="33">
        <f>ROUND('Anexo 10'!C7*'Anexo 3'!$D$10,0)</f>
        <v>0</v>
      </c>
      <c r="D7" s="33">
        <f>ROUND('Anexo 10'!D7*'Anexo 3'!$D$10,0)</f>
        <v>0</v>
      </c>
      <c r="E7" s="33">
        <f>ROUND('Anexo 10'!E7*'Anexo 3'!$D$10,0)</f>
        <v>0</v>
      </c>
      <c r="F7" s="33">
        <f>ROUND('Anexo 10'!F7*'Anexo 3'!$D$10,0)</f>
        <v>0</v>
      </c>
      <c r="G7" s="33">
        <f>ROUND('Anexo 10'!G7*'Anexo 3'!$D$10,0)</f>
        <v>0</v>
      </c>
      <c r="H7" s="33">
        <f>ROUND('Anexo 10'!H7*'Anexo 3'!$D$10,0)</f>
        <v>0</v>
      </c>
      <c r="I7" s="33">
        <f>ROUND('Anexo 10'!I7*'Anexo 3'!$D$10,0)</f>
        <v>0</v>
      </c>
      <c r="J7" s="33">
        <f>ROUND('Anexo 10'!J7*'Anexo 3'!$D$10,0)</f>
        <v>0</v>
      </c>
      <c r="K7" s="33">
        <f>ROUND('Anexo 10'!K7*'Anexo 3'!$D$10,0)</f>
        <v>0</v>
      </c>
      <c r="L7" s="33">
        <f>ROUND('Anexo 10'!L7*'Anexo 3'!$D$10,0)</f>
        <v>0</v>
      </c>
      <c r="M7" s="33">
        <f>ROUND('Anexo 10'!M7*'Anexo 3'!$D$10,0)</f>
        <v>0</v>
      </c>
      <c r="N7" s="33">
        <f>ROUND('Anexo 10'!N7*'Anexo 3'!$D$10,0)</f>
        <v>0</v>
      </c>
      <c r="O7" s="33">
        <f>ROUND('Anexo 10'!O7*'Anexo 3'!$D$10,0)</f>
        <v>0</v>
      </c>
      <c r="P7" s="33">
        <f>ROUND('Anexo 10'!P7*'Anexo 3'!$D$10,0)</f>
        <v>0</v>
      </c>
      <c r="Q7" s="33">
        <f>ROUND('Anexo 10'!Q7*'Anexo 3'!$D$10,0)</f>
        <v>0</v>
      </c>
      <c r="R7" s="33">
        <f>ROUND('Anexo 10'!R7*'Anexo 3'!$D$10,0)</f>
        <v>0</v>
      </c>
      <c r="S7" s="33">
        <f>ROUND('Anexo 10'!S7*'Anexo 3'!$D$10,0)</f>
        <v>0</v>
      </c>
      <c r="T7" s="33">
        <f>ROUND('Anexo 10'!T7*'Anexo 3'!$D$10,0)</f>
        <v>0</v>
      </c>
      <c r="U7" s="33">
        <f>ROUND('Anexo 10'!U7*'Anexo 3'!$D$10,0)</f>
        <v>0</v>
      </c>
      <c r="V7" s="33">
        <f>ROUND('Anexo 10'!V7*'Anexo 3'!$D$10,0)</f>
        <v>0</v>
      </c>
      <c r="W7" s="33">
        <f>ROUND('Anexo 10'!W7*'Anexo 3'!$D$10,0)</f>
        <v>0</v>
      </c>
      <c r="X7" s="33">
        <f>ROUND('Anexo 10'!X7*'Anexo 3'!$D$10,0)</f>
        <v>0</v>
      </c>
      <c r="Y7" s="33">
        <f>ROUND('Anexo 10'!Y7*'Anexo 3'!$D$10,0)</f>
        <v>0</v>
      </c>
      <c r="Z7" s="33">
        <f>ROUND('Anexo 10'!Z7*'Anexo 3'!$D$10,0)</f>
        <v>0</v>
      </c>
      <c r="AA7" s="38">
        <f t="shared" ref="AA7:AA41" si="0">SUM(C7:Z7)</f>
        <v>0</v>
      </c>
      <c r="AB7" s="21">
        <v>4</v>
      </c>
      <c r="AC7" s="80"/>
      <c r="AD7" s="47"/>
    </row>
    <row r="8" spans="1:30" ht="15.75" thickBot="1" x14ac:dyDescent="0.3">
      <c r="A8" s="78"/>
      <c r="B8" s="22" t="s">
        <v>6</v>
      </c>
      <c r="C8" s="33">
        <f>ROUND('Anexo 10'!C8*'Anexo 3'!$D$10,0)</f>
        <v>0</v>
      </c>
      <c r="D8" s="33">
        <f>ROUND('Anexo 10'!D8*'Anexo 3'!$D$10,0)</f>
        <v>0</v>
      </c>
      <c r="E8" s="33">
        <f>ROUND('Anexo 10'!E8*'Anexo 3'!$D$10,0)</f>
        <v>0</v>
      </c>
      <c r="F8" s="33">
        <f>ROUND('Anexo 10'!F8*'Anexo 3'!$D$10,0)</f>
        <v>0</v>
      </c>
      <c r="G8" s="33">
        <f>ROUND('Anexo 10'!G8*'Anexo 3'!$D$10,0)</f>
        <v>0</v>
      </c>
      <c r="H8" s="33">
        <f>ROUND('Anexo 10'!H8*'Anexo 3'!$D$10,0)</f>
        <v>0</v>
      </c>
      <c r="I8" s="33">
        <f>ROUND('Anexo 10'!I8*'Anexo 3'!$D$10,0)</f>
        <v>0</v>
      </c>
      <c r="J8" s="33">
        <f>ROUND('Anexo 10'!J8*'Anexo 3'!$D$10,0)</f>
        <v>0</v>
      </c>
      <c r="K8" s="33">
        <f>ROUND('Anexo 10'!K8*'Anexo 3'!$D$10,0)</f>
        <v>0</v>
      </c>
      <c r="L8" s="33">
        <f>ROUND('Anexo 10'!L8*'Anexo 3'!$D$10,0)</f>
        <v>0</v>
      </c>
      <c r="M8" s="33">
        <f>ROUND('Anexo 10'!M8*'Anexo 3'!$D$10,0)</f>
        <v>0</v>
      </c>
      <c r="N8" s="33">
        <f>ROUND('Anexo 10'!N8*'Anexo 3'!$D$10,0)</f>
        <v>0</v>
      </c>
      <c r="O8" s="33">
        <f>ROUND('Anexo 10'!O8*'Anexo 3'!$D$10,0)</f>
        <v>0</v>
      </c>
      <c r="P8" s="33">
        <f>ROUND('Anexo 10'!P8*'Anexo 3'!$D$10,0)</f>
        <v>0</v>
      </c>
      <c r="Q8" s="33">
        <f>ROUND('Anexo 10'!Q8*'Anexo 3'!$D$10,0)</f>
        <v>0</v>
      </c>
      <c r="R8" s="33">
        <f>ROUND('Anexo 10'!R8*'Anexo 3'!$D$10,0)</f>
        <v>0</v>
      </c>
      <c r="S8" s="33">
        <f>ROUND('Anexo 10'!S8*'Anexo 3'!$D$10,0)</f>
        <v>0</v>
      </c>
      <c r="T8" s="33">
        <f>ROUND('Anexo 10'!T8*'Anexo 3'!$D$10,0)</f>
        <v>0</v>
      </c>
      <c r="U8" s="33">
        <f>ROUND('Anexo 10'!U8*'Anexo 3'!$D$10,0)</f>
        <v>0</v>
      </c>
      <c r="V8" s="33">
        <f>ROUND('Anexo 10'!V8*'Anexo 3'!$D$10,0)</f>
        <v>0</v>
      </c>
      <c r="W8" s="33">
        <f>ROUND('Anexo 10'!W8*'Anexo 3'!$D$10,0)</f>
        <v>0</v>
      </c>
      <c r="X8" s="33">
        <f>ROUND('Anexo 10'!X8*'Anexo 3'!$D$10,0)</f>
        <v>0</v>
      </c>
      <c r="Y8" s="33">
        <f>ROUND('Anexo 10'!Y8*'Anexo 3'!$D$10,0)</f>
        <v>0</v>
      </c>
      <c r="Z8" s="33">
        <f>ROUND('Anexo 10'!Z8*'Anexo 3'!$D$10,0)</f>
        <v>0</v>
      </c>
      <c r="AA8" s="41">
        <f t="shared" si="0"/>
        <v>0</v>
      </c>
      <c r="AB8" s="23">
        <v>7</v>
      </c>
      <c r="AC8" s="81"/>
      <c r="AD8" s="48"/>
    </row>
    <row r="9" spans="1:30" ht="15.75" thickBot="1" x14ac:dyDescent="0.3">
      <c r="A9" s="78">
        <v>46784</v>
      </c>
      <c r="B9" s="18" t="s">
        <v>8</v>
      </c>
      <c r="C9" s="33">
        <f>ROUND('Anexo 10'!C9*'Anexo 3'!$D$10,0)</f>
        <v>0</v>
      </c>
      <c r="D9" s="33">
        <f>ROUND('Anexo 10'!D9*'Anexo 3'!$D$10,0)</f>
        <v>0</v>
      </c>
      <c r="E9" s="33">
        <f>ROUND('Anexo 10'!E9*'Anexo 3'!$D$10,0)</f>
        <v>0</v>
      </c>
      <c r="F9" s="33">
        <f>ROUND('Anexo 10'!F9*'Anexo 3'!$D$10,0)</f>
        <v>0</v>
      </c>
      <c r="G9" s="33">
        <f>ROUND('Anexo 10'!G9*'Anexo 3'!$D$10,0)</f>
        <v>0</v>
      </c>
      <c r="H9" s="33">
        <f>ROUND('Anexo 10'!H9*'Anexo 3'!$D$10,0)</f>
        <v>0</v>
      </c>
      <c r="I9" s="33">
        <f>ROUND('Anexo 10'!I9*'Anexo 3'!$D$10,0)</f>
        <v>0</v>
      </c>
      <c r="J9" s="33">
        <f>ROUND('Anexo 10'!J9*'Anexo 3'!$D$10,0)</f>
        <v>0</v>
      </c>
      <c r="K9" s="33">
        <f>ROUND('Anexo 10'!K9*'Anexo 3'!$D$10,0)</f>
        <v>0</v>
      </c>
      <c r="L9" s="33">
        <f>ROUND('Anexo 10'!L9*'Anexo 3'!$D$10,0)</f>
        <v>0</v>
      </c>
      <c r="M9" s="33">
        <f>ROUND('Anexo 10'!M9*'Anexo 3'!$D$10,0)</f>
        <v>0</v>
      </c>
      <c r="N9" s="33">
        <f>ROUND('Anexo 10'!N9*'Anexo 3'!$D$10,0)</f>
        <v>0</v>
      </c>
      <c r="O9" s="33">
        <f>ROUND('Anexo 10'!O9*'Anexo 3'!$D$10,0)</f>
        <v>0</v>
      </c>
      <c r="P9" s="33">
        <f>ROUND('Anexo 10'!P9*'Anexo 3'!$D$10,0)</f>
        <v>0</v>
      </c>
      <c r="Q9" s="33">
        <f>ROUND('Anexo 10'!Q9*'Anexo 3'!$D$10,0)</f>
        <v>0</v>
      </c>
      <c r="R9" s="33">
        <f>ROUND('Anexo 10'!R9*'Anexo 3'!$D$10,0)</f>
        <v>0</v>
      </c>
      <c r="S9" s="33">
        <f>ROUND('Anexo 10'!S9*'Anexo 3'!$D$10,0)</f>
        <v>0</v>
      </c>
      <c r="T9" s="33">
        <f>ROUND('Anexo 10'!T9*'Anexo 3'!$D$10,0)</f>
        <v>0</v>
      </c>
      <c r="U9" s="33">
        <f>ROUND('Anexo 10'!U9*'Anexo 3'!$D$10,0)</f>
        <v>0</v>
      </c>
      <c r="V9" s="33">
        <f>ROUND('Anexo 10'!V9*'Anexo 3'!$D$10,0)</f>
        <v>0</v>
      </c>
      <c r="W9" s="33">
        <f>ROUND('Anexo 10'!W9*'Anexo 3'!$D$10,0)</f>
        <v>0</v>
      </c>
      <c r="X9" s="33">
        <f>ROUND('Anexo 10'!X9*'Anexo 3'!$D$10,0)</f>
        <v>0</v>
      </c>
      <c r="Y9" s="33">
        <f>ROUND('Anexo 10'!Y9*'Anexo 3'!$D$10,0)</f>
        <v>0</v>
      </c>
      <c r="Z9" s="33">
        <f>ROUND('Anexo 10'!Z9*'Anexo 3'!$D$10,0)</f>
        <v>0</v>
      </c>
      <c r="AA9" s="35">
        <f t="shared" si="0"/>
        <v>0</v>
      </c>
      <c r="AB9" s="19">
        <v>21</v>
      </c>
      <c r="AC9" s="79">
        <f>+AA9*AB9+AA10*AB10+AA11*AB11</f>
        <v>0</v>
      </c>
    </row>
    <row r="10" spans="1:30" ht="15.75" thickBot="1" x14ac:dyDescent="0.3">
      <c r="A10" s="78"/>
      <c r="B10" s="20" t="s">
        <v>7</v>
      </c>
      <c r="C10" s="33">
        <f>ROUND('Anexo 10'!C10*'Anexo 3'!$D$10,0)</f>
        <v>0</v>
      </c>
      <c r="D10" s="33">
        <f>ROUND('Anexo 10'!D10*'Anexo 3'!$D$10,0)</f>
        <v>0</v>
      </c>
      <c r="E10" s="33">
        <f>ROUND('Anexo 10'!E10*'Anexo 3'!$D$10,0)</f>
        <v>0</v>
      </c>
      <c r="F10" s="33">
        <f>ROUND('Anexo 10'!F10*'Anexo 3'!$D$10,0)</f>
        <v>0</v>
      </c>
      <c r="G10" s="33">
        <f>ROUND('Anexo 10'!G10*'Anexo 3'!$D$10,0)</f>
        <v>0</v>
      </c>
      <c r="H10" s="33">
        <f>ROUND('Anexo 10'!H10*'Anexo 3'!$D$10,0)</f>
        <v>0</v>
      </c>
      <c r="I10" s="33">
        <f>ROUND('Anexo 10'!I10*'Anexo 3'!$D$10,0)</f>
        <v>0</v>
      </c>
      <c r="J10" s="33">
        <f>ROUND('Anexo 10'!J10*'Anexo 3'!$D$10,0)</f>
        <v>0</v>
      </c>
      <c r="K10" s="33">
        <f>ROUND('Anexo 10'!K10*'Anexo 3'!$D$10,0)</f>
        <v>0</v>
      </c>
      <c r="L10" s="33">
        <f>ROUND('Anexo 10'!L10*'Anexo 3'!$D$10,0)</f>
        <v>0</v>
      </c>
      <c r="M10" s="33">
        <f>ROUND('Anexo 10'!M10*'Anexo 3'!$D$10,0)</f>
        <v>0</v>
      </c>
      <c r="N10" s="33">
        <f>ROUND('Anexo 10'!N10*'Anexo 3'!$D$10,0)</f>
        <v>0</v>
      </c>
      <c r="O10" s="33">
        <f>ROUND('Anexo 10'!O10*'Anexo 3'!$D$10,0)</f>
        <v>0</v>
      </c>
      <c r="P10" s="33">
        <f>ROUND('Anexo 10'!P10*'Anexo 3'!$D$10,0)</f>
        <v>0</v>
      </c>
      <c r="Q10" s="33">
        <f>ROUND('Anexo 10'!Q10*'Anexo 3'!$D$10,0)</f>
        <v>0</v>
      </c>
      <c r="R10" s="33">
        <f>ROUND('Anexo 10'!R10*'Anexo 3'!$D$10,0)</f>
        <v>0</v>
      </c>
      <c r="S10" s="33">
        <f>ROUND('Anexo 10'!S10*'Anexo 3'!$D$10,0)</f>
        <v>0</v>
      </c>
      <c r="T10" s="33">
        <f>ROUND('Anexo 10'!T10*'Anexo 3'!$D$10,0)</f>
        <v>0</v>
      </c>
      <c r="U10" s="33">
        <f>ROUND('Anexo 10'!U10*'Anexo 3'!$D$10,0)</f>
        <v>0</v>
      </c>
      <c r="V10" s="33">
        <f>ROUND('Anexo 10'!V10*'Anexo 3'!$D$10,0)</f>
        <v>0</v>
      </c>
      <c r="W10" s="33">
        <f>ROUND('Anexo 10'!W10*'Anexo 3'!$D$10,0)</f>
        <v>0</v>
      </c>
      <c r="X10" s="33">
        <f>ROUND('Anexo 10'!X10*'Anexo 3'!$D$10,0)</f>
        <v>0</v>
      </c>
      <c r="Y10" s="33">
        <f>ROUND('Anexo 10'!Y10*'Anexo 3'!$D$10,0)</f>
        <v>0</v>
      </c>
      <c r="Z10" s="33">
        <f>ROUND('Anexo 10'!Z10*'Anexo 3'!$D$10,0)</f>
        <v>0</v>
      </c>
      <c r="AA10" s="38">
        <f t="shared" si="0"/>
        <v>0</v>
      </c>
      <c r="AB10" s="21">
        <v>4</v>
      </c>
      <c r="AC10" s="80"/>
      <c r="AD10" s="47"/>
    </row>
    <row r="11" spans="1:30" ht="15.75" thickBot="1" x14ac:dyDescent="0.3">
      <c r="A11" s="78"/>
      <c r="B11" s="22" t="s">
        <v>6</v>
      </c>
      <c r="C11" s="33">
        <f>ROUND('Anexo 10'!C11*'Anexo 3'!$D$10,0)</f>
        <v>0</v>
      </c>
      <c r="D11" s="33">
        <f>ROUND('Anexo 10'!D11*'Anexo 3'!$D$10,0)</f>
        <v>0</v>
      </c>
      <c r="E11" s="33">
        <f>ROUND('Anexo 10'!E11*'Anexo 3'!$D$10,0)</f>
        <v>0</v>
      </c>
      <c r="F11" s="33">
        <f>ROUND('Anexo 10'!F11*'Anexo 3'!$D$10,0)</f>
        <v>0</v>
      </c>
      <c r="G11" s="33">
        <f>ROUND('Anexo 10'!G11*'Anexo 3'!$D$10,0)</f>
        <v>0</v>
      </c>
      <c r="H11" s="33">
        <f>ROUND('Anexo 10'!H11*'Anexo 3'!$D$10,0)</f>
        <v>0</v>
      </c>
      <c r="I11" s="33">
        <f>ROUND('Anexo 10'!I11*'Anexo 3'!$D$10,0)</f>
        <v>0</v>
      </c>
      <c r="J11" s="33">
        <f>ROUND('Anexo 10'!J11*'Anexo 3'!$D$10,0)</f>
        <v>0</v>
      </c>
      <c r="K11" s="33">
        <f>ROUND('Anexo 10'!K11*'Anexo 3'!$D$10,0)</f>
        <v>0</v>
      </c>
      <c r="L11" s="33">
        <f>ROUND('Anexo 10'!L11*'Anexo 3'!$D$10,0)</f>
        <v>0</v>
      </c>
      <c r="M11" s="33">
        <f>ROUND('Anexo 10'!M11*'Anexo 3'!$D$10,0)</f>
        <v>0</v>
      </c>
      <c r="N11" s="33">
        <f>ROUND('Anexo 10'!N11*'Anexo 3'!$D$10,0)</f>
        <v>0</v>
      </c>
      <c r="O11" s="33">
        <f>ROUND('Anexo 10'!O11*'Anexo 3'!$D$10,0)</f>
        <v>0</v>
      </c>
      <c r="P11" s="33">
        <f>ROUND('Anexo 10'!P11*'Anexo 3'!$D$10,0)</f>
        <v>0</v>
      </c>
      <c r="Q11" s="33">
        <f>ROUND('Anexo 10'!Q11*'Anexo 3'!$D$10,0)</f>
        <v>0</v>
      </c>
      <c r="R11" s="33">
        <f>ROUND('Anexo 10'!R11*'Anexo 3'!$D$10,0)</f>
        <v>0</v>
      </c>
      <c r="S11" s="33">
        <f>ROUND('Anexo 10'!S11*'Anexo 3'!$D$10,0)</f>
        <v>0</v>
      </c>
      <c r="T11" s="33">
        <f>ROUND('Anexo 10'!T11*'Anexo 3'!$D$10,0)</f>
        <v>0</v>
      </c>
      <c r="U11" s="33">
        <f>ROUND('Anexo 10'!U11*'Anexo 3'!$D$10,0)</f>
        <v>0</v>
      </c>
      <c r="V11" s="33">
        <f>ROUND('Anexo 10'!V11*'Anexo 3'!$D$10,0)</f>
        <v>0</v>
      </c>
      <c r="W11" s="33">
        <f>ROUND('Anexo 10'!W11*'Anexo 3'!$D$10,0)</f>
        <v>0</v>
      </c>
      <c r="X11" s="33">
        <f>ROUND('Anexo 10'!X11*'Anexo 3'!$D$10,0)</f>
        <v>0</v>
      </c>
      <c r="Y11" s="33">
        <f>ROUND('Anexo 10'!Y11*'Anexo 3'!$D$10,0)</f>
        <v>0</v>
      </c>
      <c r="Z11" s="33">
        <f>ROUND('Anexo 10'!Z11*'Anexo 3'!$D$10,0)</f>
        <v>0</v>
      </c>
      <c r="AA11" s="41">
        <f t="shared" si="0"/>
        <v>0</v>
      </c>
      <c r="AB11" s="23">
        <v>4</v>
      </c>
      <c r="AC11" s="81"/>
      <c r="AD11" s="48"/>
    </row>
    <row r="12" spans="1:30" ht="15.75" thickBot="1" x14ac:dyDescent="0.3">
      <c r="A12" s="78">
        <v>46813</v>
      </c>
      <c r="B12" s="18" t="s">
        <v>8</v>
      </c>
      <c r="C12" s="33">
        <f>ROUND('Anexo 10'!C12*'Anexo 3'!$D$10,0)</f>
        <v>0</v>
      </c>
      <c r="D12" s="33">
        <f>ROUND('Anexo 10'!D12*'Anexo 3'!$D$10,0)</f>
        <v>0</v>
      </c>
      <c r="E12" s="33">
        <f>ROUND('Anexo 10'!E12*'Anexo 3'!$D$10,0)</f>
        <v>0</v>
      </c>
      <c r="F12" s="33">
        <f>ROUND('Anexo 10'!F12*'Anexo 3'!$D$10,0)</f>
        <v>0</v>
      </c>
      <c r="G12" s="33">
        <f>ROUND('Anexo 10'!G12*'Anexo 3'!$D$10,0)</f>
        <v>0</v>
      </c>
      <c r="H12" s="33">
        <f>ROUND('Anexo 10'!H12*'Anexo 3'!$D$10,0)</f>
        <v>0</v>
      </c>
      <c r="I12" s="33">
        <f>ROUND('Anexo 10'!I12*'Anexo 3'!$D$10,0)</f>
        <v>0</v>
      </c>
      <c r="J12" s="33">
        <f>ROUND('Anexo 10'!J12*'Anexo 3'!$D$10,0)</f>
        <v>0</v>
      </c>
      <c r="K12" s="33">
        <f>ROUND('Anexo 10'!K12*'Anexo 3'!$D$10,0)</f>
        <v>0</v>
      </c>
      <c r="L12" s="33">
        <f>ROUND('Anexo 10'!L12*'Anexo 3'!$D$10,0)</f>
        <v>0</v>
      </c>
      <c r="M12" s="33">
        <f>ROUND('Anexo 10'!M12*'Anexo 3'!$D$10,0)</f>
        <v>0</v>
      </c>
      <c r="N12" s="33">
        <f>ROUND('Anexo 10'!N12*'Anexo 3'!$D$10,0)</f>
        <v>0</v>
      </c>
      <c r="O12" s="33">
        <f>ROUND('Anexo 10'!O12*'Anexo 3'!$D$10,0)</f>
        <v>0</v>
      </c>
      <c r="P12" s="33">
        <f>ROUND('Anexo 10'!P12*'Anexo 3'!$D$10,0)</f>
        <v>0</v>
      </c>
      <c r="Q12" s="33">
        <f>ROUND('Anexo 10'!Q12*'Anexo 3'!$D$10,0)</f>
        <v>0</v>
      </c>
      <c r="R12" s="33">
        <f>ROUND('Anexo 10'!R12*'Anexo 3'!$D$10,0)</f>
        <v>0</v>
      </c>
      <c r="S12" s="33">
        <f>ROUND('Anexo 10'!S12*'Anexo 3'!$D$10,0)</f>
        <v>0</v>
      </c>
      <c r="T12" s="33">
        <f>ROUND('Anexo 10'!T12*'Anexo 3'!$D$10,0)</f>
        <v>0</v>
      </c>
      <c r="U12" s="33">
        <f>ROUND('Anexo 10'!U12*'Anexo 3'!$D$10,0)</f>
        <v>0</v>
      </c>
      <c r="V12" s="33">
        <f>ROUND('Anexo 10'!V12*'Anexo 3'!$D$10,0)</f>
        <v>0</v>
      </c>
      <c r="W12" s="33">
        <f>ROUND('Anexo 10'!W12*'Anexo 3'!$D$10,0)</f>
        <v>0</v>
      </c>
      <c r="X12" s="33">
        <f>ROUND('Anexo 10'!X12*'Anexo 3'!$D$10,0)</f>
        <v>0</v>
      </c>
      <c r="Y12" s="33">
        <f>ROUND('Anexo 10'!Y12*'Anexo 3'!$D$10,0)</f>
        <v>0</v>
      </c>
      <c r="Z12" s="33">
        <f>ROUND('Anexo 10'!Z12*'Anexo 3'!$D$10,0)</f>
        <v>0</v>
      </c>
      <c r="AA12" s="35">
        <f t="shared" si="0"/>
        <v>0</v>
      </c>
      <c r="AB12" s="19">
        <v>22</v>
      </c>
      <c r="AC12" s="79">
        <f>+AA12*AB12+AA13*AB13+AA14*AB14</f>
        <v>0</v>
      </c>
    </row>
    <row r="13" spans="1:30" ht="15.75" thickBot="1" x14ac:dyDescent="0.3">
      <c r="A13" s="78"/>
      <c r="B13" s="20" t="s">
        <v>7</v>
      </c>
      <c r="C13" s="33">
        <f>ROUND('Anexo 10'!C13*'Anexo 3'!$D$10,0)</f>
        <v>0</v>
      </c>
      <c r="D13" s="33">
        <f>ROUND('Anexo 10'!D13*'Anexo 3'!$D$10,0)</f>
        <v>0</v>
      </c>
      <c r="E13" s="33">
        <f>ROUND('Anexo 10'!E13*'Anexo 3'!$D$10,0)</f>
        <v>0</v>
      </c>
      <c r="F13" s="33">
        <f>ROUND('Anexo 10'!F13*'Anexo 3'!$D$10,0)</f>
        <v>0</v>
      </c>
      <c r="G13" s="33">
        <f>ROUND('Anexo 10'!G13*'Anexo 3'!$D$10,0)</f>
        <v>0</v>
      </c>
      <c r="H13" s="33">
        <f>ROUND('Anexo 10'!H13*'Anexo 3'!$D$10,0)</f>
        <v>0</v>
      </c>
      <c r="I13" s="33">
        <f>ROUND('Anexo 10'!I13*'Anexo 3'!$D$10,0)</f>
        <v>0</v>
      </c>
      <c r="J13" s="33">
        <f>ROUND('Anexo 10'!J13*'Anexo 3'!$D$10,0)</f>
        <v>0</v>
      </c>
      <c r="K13" s="33">
        <f>ROUND('Anexo 10'!K13*'Anexo 3'!$D$10,0)</f>
        <v>0</v>
      </c>
      <c r="L13" s="33">
        <f>ROUND('Anexo 10'!L13*'Anexo 3'!$D$10,0)</f>
        <v>0</v>
      </c>
      <c r="M13" s="33">
        <f>ROUND('Anexo 10'!M13*'Anexo 3'!$D$10,0)</f>
        <v>0</v>
      </c>
      <c r="N13" s="33">
        <f>ROUND('Anexo 10'!N13*'Anexo 3'!$D$10,0)</f>
        <v>0</v>
      </c>
      <c r="O13" s="33">
        <f>ROUND('Anexo 10'!O13*'Anexo 3'!$D$10,0)</f>
        <v>0</v>
      </c>
      <c r="P13" s="33">
        <f>ROUND('Anexo 10'!P13*'Anexo 3'!$D$10,0)</f>
        <v>0</v>
      </c>
      <c r="Q13" s="33">
        <f>ROUND('Anexo 10'!Q13*'Anexo 3'!$D$10,0)</f>
        <v>0</v>
      </c>
      <c r="R13" s="33">
        <f>ROUND('Anexo 10'!R13*'Anexo 3'!$D$10,0)</f>
        <v>0</v>
      </c>
      <c r="S13" s="33">
        <f>ROUND('Anexo 10'!S13*'Anexo 3'!$D$10,0)</f>
        <v>0</v>
      </c>
      <c r="T13" s="33">
        <f>ROUND('Anexo 10'!T13*'Anexo 3'!$D$10,0)</f>
        <v>0</v>
      </c>
      <c r="U13" s="33">
        <f>ROUND('Anexo 10'!U13*'Anexo 3'!$D$10,0)</f>
        <v>0</v>
      </c>
      <c r="V13" s="33">
        <f>ROUND('Anexo 10'!V13*'Anexo 3'!$D$10,0)</f>
        <v>0</v>
      </c>
      <c r="W13" s="33">
        <f>ROUND('Anexo 10'!W13*'Anexo 3'!$D$10,0)</f>
        <v>0</v>
      </c>
      <c r="X13" s="33">
        <f>ROUND('Anexo 10'!X13*'Anexo 3'!$D$10,0)</f>
        <v>0</v>
      </c>
      <c r="Y13" s="33">
        <f>ROUND('Anexo 10'!Y13*'Anexo 3'!$D$10,0)</f>
        <v>0</v>
      </c>
      <c r="Z13" s="33">
        <f>ROUND('Anexo 10'!Z13*'Anexo 3'!$D$10,0)</f>
        <v>0</v>
      </c>
      <c r="AA13" s="38">
        <f t="shared" si="0"/>
        <v>0</v>
      </c>
      <c r="AB13" s="21">
        <v>4</v>
      </c>
      <c r="AC13" s="80"/>
      <c r="AD13" s="47"/>
    </row>
    <row r="14" spans="1:30" ht="15.75" thickBot="1" x14ac:dyDescent="0.3">
      <c r="A14" s="78"/>
      <c r="B14" s="22" t="s">
        <v>6</v>
      </c>
      <c r="C14" s="33">
        <f>ROUND('Anexo 10'!C14*'Anexo 3'!$D$10,0)</f>
        <v>0</v>
      </c>
      <c r="D14" s="33">
        <f>ROUND('Anexo 10'!D14*'Anexo 3'!$D$10,0)</f>
        <v>0</v>
      </c>
      <c r="E14" s="33">
        <f>ROUND('Anexo 10'!E14*'Anexo 3'!$D$10,0)</f>
        <v>0</v>
      </c>
      <c r="F14" s="33">
        <f>ROUND('Anexo 10'!F14*'Anexo 3'!$D$10,0)</f>
        <v>0</v>
      </c>
      <c r="G14" s="33">
        <f>ROUND('Anexo 10'!G14*'Anexo 3'!$D$10,0)</f>
        <v>0</v>
      </c>
      <c r="H14" s="33">
        <f>ROUND('Anexo 10'!H14*'Anexo 3'!$D$10,0)</f>
        <v>0</v>
      </c>
      <c r="I14" s="33">
        <f>ROUND('Anexo 10'!I14*'Anexo 3'!$D$10,0)</f>
        <v>0</v>
      </c>
      <c r="J14" s="33">
        <f>ROUND('Anexo 10'!J14*'Anexo 3'!$D$10,0)</f>
        <v>0</v>
      </c>
      <c r="K14" s="33">
        <f>ROUND('Anexo 10'!K14*'Anexo 3'!$D$10,0)</f>
        <v>0</v>
      </c>
      <c r="L14" s="33">
        <f>ROUND('Anexo 10'!L14*'Anexo 3'!$D$10,0)</f>
        <v>0</v>
      </c>
      <c r="M14" s="33">
        <f>ROUND('Anexo 10'!M14*'Anexo 3'!$D$10,0)</f>
        <v>0</v>
      </c>
      <c r="N14" s="33">
        <f>ROUND('Anexo 10'!N14*'Anexo 3'!$D$10,0)</f>
        <v>0</v>
      </c>
      <c r="O14" s="33">
        <f>ROUND('Anexo 10'!O14*'Anexo 3'!$D$10,0)</f>
        <v>0</v>
      </c>
      <c r="P14" s="33">
        <f>ROUND('Anexo 10'!P14*'Anexo 3'!$D$10,0)</f>
        <v>0</v>
      </c>
      <c r="Q14" s="33">
        <f>ROUND('Anexo 10'!Q14*'Anexo 3'!$D$10,0)</f>
        <v>0</v>
      </c>
      <c r="R14" s="33">
        <f>ROUND('Anexo 10'!R14*'Anexo 3'!$D$10,0)</f>
        <v>0</v>
      </c>
      <c r="S14" s="33">
        <f>ROUND('Anexo 10'!S14*'Anexo 3'!$D$10,0)</f>
        <v>0</v>
      </c>
      <c r="T14" s="33">
        <f>ROUND('Anexo 10'!T14*'Anexo 3'!$D$10,0)</f>
        <v>0</v>
      </c>
      <c r="U14" s="33">
        <f>ROUND('Anexo 10'!U14*'Anexo 3'!$D$10,0)</f>
        <v>0</v>
      </c>
      <c r="V14" s="33">
        <f>ROUND('Anexo 10'!V14*'Anexo 3'!$D$10,0)</f>
        <v>0</v>
      </c>
      <c r="W14" s="33">
        <f>ROUND('Anexo 10'!W14*'Anexo 3'!$D$10,0)</f>
        <v>0</v>
      </c>
      <c r="X14" s="33">
        <f>ROUND('Anexo 10'!X14*'Anexo 3'!$D$10,0)</f>
        <v>0</v>
      </c>
      <c r="Y14" s="33">
        <f>ROUND('Anexo 10'!Y14*'Anexo 3'!$D$10,0)</f>
        <v>0</v>
      </c>
      <c r="Z14" s="33">
        <f>ROUND('Anexo 10'!Z14*'Anexo 3'!$D$10,0)</f>
        <v>0</v>
      </c>
      <c r="AA14" s="41">
        <f t="shared" si="0"/>
        <v>0</v>
      </c>
      <c r="AB14" s="23">
        <v>5</v>
      </c>
      <c r="AC14" s="81"/>
      <c r="AD14" s="45"/>
    </row>
    <row r="15" spans="1:30" ht="15.75" thickBot="1" x14ac:dyDescent="0.3">
      <c r="A15" s="78">
        <v>46844</v>
      </c>
      <c r="B15" s="18" t="s">
        <v>8</v>
      </c>
      <c r="C15" s="33">
        <f>ROUND('Anexo 10'!C15*'Anexo 3'!$D$10,0)</f>
        <v>0</v>
      </c>
      <c r="D15" s="33">
        <f>ROUND('Anexo 10'!D15*'Anexo 3'!$D$10,0)</f>
        <v>0</v>
      </c>
      <c r="E15" s="33">
        <f>ROUND('Anexo 10'!E15*'Anexo 3'!$D$10,0)</f>
        <v>0</v>
      </c>
      <c r="F15" s="33">
        <f>ROUND('Anexo 10'!F15*'Anexo 3'!$D$10,0)</f>
        <v>0</v>
      </c>
      <c r="G15" s="33">
        <f>ROUND('Anexo 10'!G15*'Anexo 3'!$D$10,0)</f>
        <v>0</v>
      </c>
      <c r="H15" s="33">
        <f>ROUND('Anexo 10'!H15*'Anexo 3'!$D$10,0)</f>
        <v>0</v>
      </c>
      <c r="I15" s="33">
        <f>ROUND('Anexo 10'!I15*'Anexo 3'!$D$10,0)</f>
        <v>0</v>
      </c>
      <c r="J15" s="33">
        <f>ROUND('Anexo 10'!J15*'Anexo 3'!$D$10,0)</f>
        <v>0</v>
      </c>
      <c r="K15" s="33">
        <f>ROUND('Anexo 10'!K15*'Anexo 3'!$D$10,0)</f>
        <v>0</v>
      </c>
      <c r="L15" s="33">
        <f>ROUND('Anexo 10'!L15*'Anexo 3'!$D$10,0)</f>
        <v>0</v>
      </c>
      <c r="M15" s="33">
        <f>ROUND('Anexo 10'!M15*'Anexo 3'!$D$10,0)</f>
        <v>0</v>
      </c>
      <c r="N15" s="33">
        <f>ROUND('Anexo 10'!N15*'Anexo 3'!$D$10,0)</f>
        <v>0</v>
      </c>
      <c r="O15" s="33">
        <f>ROUND('Anexo 10'!O15*'Anexo 3'!$D$10,0)</f>
        <v>0</v>
      </c>
      <c r="P15" s="33">
        <f>ROUND('Anexo 10'!P15*'Anexo 3'!$D$10,0)</f>
        <v>0</v>
      </c>
      <c r="Q15" s="33">
        <f>ROUND('Anexo 10'!Q15*'Anexo 3'!$D$10,0)</f>
        <v>0</v>
      </c>
      <c r="R15" s="33">
        <f>ROUND('Anexo 10'!R15*'Anexo 3'!$D$10,0)</f>
        <v>0</v>
      </c>
      <c r="S15" s="33">
        <f>ROUND('Anexo 10'!S15*'Anexo 3'!$D$10,0)</f>
        <v>0</v>
      </c>
      <c r="T15" s="33">
        <f>ROUND('Anexo 10'!T15*'Anexo 3'!$D$10,0)</f>
        <v>0</v>
      </c>
      <c r="U15" s="33">
        <f>ROUND('Anexo 10'!U15*'Anexo 3'!$D$10,0)</f>
        <v>0</v>
      </c>
      <c r="V15" s="33">
        <f>ROUND('Anexo 10'!V15*'Anexo 3'!$D$10,0)</f>
        <v>0</v>
      </c>
      <c r="W15" s="33">
        <f>ROUND('Anexo 10'!W15*'Anexo 3'!$D$10,0)</f>
        <v>0</v>
      </c>
      <c r="X15" s="33">
        <f>ROUND('Anexo 10'!X15*'Anexo 3'!$D$10,0)</f>
        <v>0</v>
      </c>
      <c r="Y15" s="33">
        <f>ROUND('Anexo 10'!Y15*'Anexo 3'!$D$10,0)</f>
        <v>0</v>
      </c>
      <c r="Z15" s="33">
        <f>ROUND('Anexo 10'!Z15*'Anexo 3'!$D$10,0)</f>
        <v>0</v>
      </c>
      <c r="AA15" s="35">
        <f t="shared" si="0"/>
        <v>0</v>
      </c>
      <c r="AB15" s="19">
        <v>18</v>
      </c>
      <c r="AC15" s="79">
        <f>+AA15*AB15+AA16*AB16+AA17*AB17</f>
        <v>0</v>
      </c>
    </row>
    <row r="16" spans="1:30" ht="15.75" thickBot="1" x14ac:dyDescent="0.3">
      <c r="A16" s="78"/>
      <c r="B16" s="20" t="s">
        <v>7</v>
      </c>
      <c r="C16" s="33">
        <f>ROUND('Anexo 10'!C16*'Anexo 3'!$D$10,0)</f>
        <v>0</v>
      </c>
      <c r="D16" s="33">
        <f>ROUND('Anexo 10'!D16*'Anexo 3'!$D$10,0)</f>
        <v>0</v>
      </c>
      <c r="E16" s="33">
        <f>ROUND('Anexo 10'!E16*'Anexo 3'!$D$10,0)</f>
        <v>0</v>
      </c>
      <c r="F16" s="33">
        <f>ROUND('Anexo 10'!F16*'Anexo 3'!$D$10,0)</f>
        <v>0</v>
      </c>
      <c r="G16" s="33">
        <f>ROUND('Anexo 10'!G16*'Anexo 3'!$D$10,0)</f>
        <v>0</v>
      </c>
      <c r="H16" s="33">
        <f>ROUND('Anexo 10'!H16*'Anexo 3'!$D$10,0)</f>
        <v>0</v>
      </c>
      <c r="I16" s="33">
        <f>ROUND('Anexo 10'!I16*'Anexo 3'!$D$10,0)</f>
        <v>0</v>
      </c>
      <c r="J16" s="33">
        <f>ROUND('Anexo 10'!J16*'Anexo 3'!$D$10,0)</f>
        <v>0</v>
      </c>
      <c r="K16" s="33">
        <f>ROUND('Anexo 10'!K16*'Anexo 3'!$D$10,0)</f>
        <v>0</v>
      </c>
      <c r="L16" s="33">
        <f>ROUND('Anexo 10'!L16*'Anexo 3'!$D$10,0)</f>
        <v>0</v>
      </c>
      <c r="M16" s="33">
        <f>ROUND('Anexo 10'!M16*'Anexo 3'!$D$10,0)</f>
        <v>0</v>
      </c>
      <c r="N16" s="33">
        <f>ROUND('Anexo 10'!N16*'Anexo 3'!$D$10,0)</f>
        <v>0</v>
      </c>
      <c r="O16" s="33">
        <f>ROUND('Anexo 10'!O16*'Anexo 3'!$D$10,0)</f>
        <v>0</v>
      </c>
      <c r="P16" s="33">
        <f>ROUND('Anexo 10'!P16*'Anexo 3'!$D$10,0)</f>
        <v>0</v>
      </c>
      <c r="Q16" s="33">
        <f>ROUND('Anexo 10'!Q16*'Anexo 3'!$D$10,0)</f>
        <v>0</v>
      </c>
      <c r="R16" s="33">
        <f>ROUND('Anexo 10'!R16*'Anexo 3'!$D$10,0)</f>
        <v>0</v>
      </c>
      <c r="S16" s="33">
        <f>ROUND('Anexo 10'!S16*'Anexo 3'!$D$10,0)</f>
        <v>0</v>
      </c>
      <c r="T16" s="33">
        <f>ROUND('Anexo 10'!T16*'Anexo 3'!$D$10,0)</f>
        <v>0</v>
      </c>
      <c r="U16" s="33">
        <f>ROUND('Anexo 10'!U16*'Anexo 3'!$D$10,0)</f>
        <v>0</v>
      </c>
      <c r="V16" s="33">
        <f>ROUND('Anexo 10'!V16*'Anexo 3'!$D$10,0)</f>
        <v>0</v>
      </c>
      <c r="W16" s="33">
        <f>ROUND('Anexo 10'!W16*'Anexo 3'!$D$10,0)</f>
        <v>0</v>
      </c>
      <c r="X16" s="33">
        <f>ROUND('Anexo 10'!X16*'Anexo 3'!$D$10,0)</f>
        <v>0</v>
      </c>
      <c r="Y16" s="33">
        <f>ROUND('Anexo 10'!Y16*'Anexo 3'!$D$10,0)</f>
        <v>0</v>
      </c>
      <c r="Z16" s="33">
        <f>ROUND('Anexo 10'!Z16*'Anexo 3'!$D$10,0)</f>
        <v>0</v>
      </c>
      <c r="AA16" s="38">
        <f t="shared" si="0"/>
        <v>0</v>
      </c>
      <c r="AB16" s="21">
        <v>5</v>
      </c>
      <c r="AC16" s="80"/>
      <c r="AD16" s="47"/>
    </row>
    <row r="17" spans="1:30" ht="15.75" thickBot="1" x14ac:dyDescent="0.3">
      <c r="A17" s="78"/>
      <c r="B17" s="22" t="s">
        <v>6</v>
      </c>
      <c r="C17" s="33">
        <f>ROUND('Anexo 10'!C17*'Anexo 3'!$D$10,0)</f>
        <v>0</v>
      </c>
      <c r="D17" s="33">
        <f>ROUND('Anexo 10'!D17*'Anexo 3'!$D$10,0)</f>
        <v>0</v>
      </c>
      <c r="E17" s="33">
        <f>ROUND('Anexo 10'!E17*'Anexo 3'!$D$10,0)</f>
        <v>0</v>
      </c>
      <c r="F17" s="33">
        <f>ROUND('Anexo 10'!F17*'Anexo 3'!$D$10,0)</f>
        <v>0</v>
      </c>
      <c r="G17" s="33">
        <f>ROUND('Anexo 10'!G17*'Anexo 3'!$D$10,0)</f>
        <v>0</v>
      </c>
      <c r="H17" s="33">
        <f>ROUND('Anexo 10'!H17*'Anexo 3'!$D$10,0)</f>
        <v>0</v>
      </c>
      <c r="I17" s="33">
        <f>ROUND('Anexo 10'!I17*'Anexo 3'!$D$10,0)</f>
        <v>0</v>
      </c>
      <c r="J17" s="33">
        <f>ROUND('Anexo 10'!J17*'Anexo 3'!$D$10,0)</f>
        <v>0</v>
      </c>
      <c r="K17" s="33">
        <f>ROUND('Anexo 10'!K17*'Anexo 3'!$D$10,0)</f>
        <v>0</v>
      </c>
      <c r="L17" s="33">
        <f>ROUND('Anexo 10'!L17*'Anexo 3'!$D$10,0)</f>
        <v>0</v>
      </c>
      <c r="M17" s="33">
        <f>ROUND('Anexo 10'!M17*'Anexo 3'!$D$10,0)</f>
        <v>0</v>
      </c>
      <c r="N17" s="33">
        <f>ROUND('Anexo 10'!N17*'Anexo 3'!$D$10,0)</f>
        <v>0</v>
      </c>
      <c r="O17" s="33">
        <f>ROUND('Anexo 10'!O17*'Anexo 3'!$D$10,0)</f>
        <v>0</v>
      </c>
      <c r="P17" s="33">
        <f>ROUND('Anexo 10'!P17*'Anexo 3'!$D$10,0)</f>
        <v>0</v>
      </c>
      <c r="Q17" s="33">
        <f>ROUND('Anexo 10'!Q17*'Anexo 3'!$D$10,0)</f>
        <v>0</v>
      </c>
      <c r="R17" s="33">
        <f>ROUND('Anexo 10'!R17*'Anexo 3'!$D$10,0)</f>
        <v>0</v>
      </c>
      <c r="S17" s="33">
        <f>ROUND('Anexo 10'!S17*'Anexo 3'!$D$10,0)</f>
        <v>0</v>
      </c>
      <c r="T17" s="33">
        <f>ROUND('Anexo 10'!T17*'Anexo 3'!$D$10,0)</f>
        <v>0</v>
      </c>
      <c r="U17" s="33">
        <f>ROUND('Anexo 10'!U17*'Anexo 3'!$D$10,0)</f>
        <v>0</v>
      </c>
      <c r="V17" s="33">
        <f>ROUND('Anexo 10'!V17*'Anexo 3'!$D$10,0)</f>
        <v>0</v>
      </c>
      <c r="W17" s="33">
        <f>ROUND('Anexo 10'!W17*'Anexo 3'!$D$10,0)</f>
        <v>0</v>
      </c>
      <c r="X17" s="33">
        <f>ROUND('Anexo 10'!X17*'Anexo 3'!$D$10,0)</f>
        <v>0</v>
      </c>
      <c r="Y17" s="33">
        <f>ROUND('Anexo 10'!Y17*'Anexo 3'!$D$10,0)</f>
        <v>0</v>
      </c>
      <c r="Z17" s="33">
        <f>ROUND('Anexo 10'!Z17*'Anexo 3'!$D$10,0)</f>
        <v>0</v>
      </c>
      <c r="AA17" s="41">
        <f t="shared" si="0"/>
        <v>0</v>
      </c>
      <c r="AB17" s="23">
        <v>7</v>
      </c>
      <c r="AC17" s="81"/>
      <c r="AD17" s="48"/>
    </row>
    <row r="18" spans="1:30" ht="15.75" thickBot="1" x14ac:dyDescent="0.3">
      <c r="A18" s="78">
        <v>46874</v>
      </c>
      <c r="B18" s="18" t="s">
        <v>8</v>
      </c>
      <c r="C18" s="33">
        <f>ROUND('Anexo 10'!C18*'Anexo 3'!$D$10,0)</f>
        <v>0</v>
      </c>
      <c r="D18" s="33">
        <f>ROUND('Anexo 10'!D18*'Anexo 3'!$D$10,0)</f>
        <v>0</v>
      </c>
      <c r="E18" s="33">
        <f>ROUND('Anexo 10'!E18*'Anexo 3'!$D$10,0)</f>
        <v>0</v>
      </c>
      <c r="F18" s="33">
        <f>ROUND('Anexo 10'!F18*'Anexo 3'!$D$10,0)</f>
        <v>0</v>
      </c>
      <c r="G18" s="33">
        <f>ROUND('Anexo 10'!G18*'Anexo 3'!$D$10,0)</f>
        <v>0</v>
      </c>
      <c r="H18" s="33">
        <f>ROUND('Anexo 10'!H18*'Anexo 3'!$D$10,0)</f>
        <v>0</v>
      </c>
      <c r="I18" s="33">
        <f>ROUND('Anexo 10'!I18*'Anexo 3'!$D$10,0)</f>
        <v>0</v>
      </c>
      <c r="J18" s="33">
        <f>ROUND('Anexo 10'!J18*'Anexo 3'!$D$10,0)</f>
        <v>0</v>
      </c>
      <c r="K18" s="33">
        <f>ROUND('Anexo 10'!K18*'Anexo 3'!$D$10,0)</f>
        <v>0</v>
      </c>
      <c r="L18" s="33">
        <f>ROUND('Anexo 10'!L18*'Anexo 3'!$D$10,0)</f>
        <v>0</v>
      </c>
      <c r="M18" s="33">
        <f>ROUND('Anexo 10'!M18*'Anexo 3'!$D$10,0)</f>
        <v>0</v>
      </c>
      <c r="N18" s="33">
        <f>ROUND('Anexo 10'!N18*'Anexo 3'!$D$10,0)</f>
        <v>0</v>
      </c>
      <c r="O18" s="33">
        <f>ROUND('Anexo 10'!O18*'Anexo 3'!$D$10,0)</f>
        <v>0</v>
      </c>
      <c r="P18" s="33">
        <f>ROUND('Anexo 10'!P18*'Anexo 3'!$D$10,0)</f>
        <v>0</v>
      </c>
      <c r="Q18" s="33">
        <f>ROUND('Anexo 10'!Q18*'Anexo 3'!$D$10,0)</f>
        <v>0</v>
      </c>
      <c r="R18" s="33">
        <f>ROUND('Anexo 10'!R18*'Anexo 3'!$D$10,0)</f>
        <v>0</v>
      </c>
      <c r="S18" s="33">
        <f>ROUND('Anexo 10'!S18*'Anexo 3'!$D$10,0)</f>
        <v>0</v>
      </c>
      <c r="T18" s="33">
        <f>ROUND('Anexo 10'!T18*'Anexo 3'!$D$10,0)</f>
        <v>0</v>
      </c>
      <c r="U18" s="33">
        <f>ROUND('Anexo 10'!U18*'Anexo 3'!$D$10,0)</f>
        <v>0</v>
      </c>
      <c r="V18" s="33">
        <f>ROUND('Anexo 10'!V18*'Anexo 3'!$D$10,0)</f>
        <v>0</v>
      </c>
      <c r="W18" s="33">
        <f>ROUND('Anexo 10'!W18*'Anexo 3'!$D$10,0)</f>
        <v>0</v>
      </c>
      <c r="X18" s="33">
        <f>ROUND('Anexo 10'!X18*'Anexo 3'!$D$10,0)</f>
        <v>0</v>
      </c>
      <c r="Y18" s="33">
        <f>ROUND('Anexo 10'!Y18*'Anexo 3'!$D$10,0)</f>
        <v>0</v>
      </c>
      <c r="Z18" s="33">
        <f>ROUND('Anexo 10'!Z18*'Anexo 3'!$D$10,0)</f>
        <v>0</v>
      </c>
      <c r="AA18" s="35">
        <f t="shared" si="0"/>
        <v>0</v>
      </c>
      <c r="AB18" s="19">
        <v>21</v>
      </c>
      <c r="AC18" s="79">
        <f>+AA18*AB18+AA19*AB19+AA20*AB20</f>
        <v>0</v>
      </c>
    </row>
    <row r="19" spans="1:30" ht="15.75" thickBot="1" x14ac:dyDescent="0.3">
      <c r="A19" s="78"/>
      <c r="B19" s="20" t="s">
        <v>7</v>
      </c>
      <c r="C19" s="33">
        <f>ROUND('Anexo 10'!C19*'Anexo 3'!$D$10,0)</f>
        <v>0</v>
      </c>
      <c r="D19" s="33">
        <f>ROUND('Anexo 10'!D19*'Anexo 3'!$D$10,0)</f>
        <v>0</v>
      </c>
      <c r="E19" s="33">
        <f>ROUND('Anexo 10'!E19*'Anexo 3'!$D$10,0)</f>
        <v>0</v>
      </c>
      <c r="F19" s="33">
        <f>ROUND('Anexo 10'!F19*'Anexo 3'!$D$10,0)</f>
        <v>0</v>
      </c>
      <c r="G19" s="33">
        <f>ROUND('Anexo 10'!G19*'Anexo 3'!$D$10,0)</f>
        <v>0</v>
      </c>
      <c r="H19" s="33">
        <f>ROUND('Anexo 10'!H19*'Anexo 3'!$D$10,0)</f>
        <v>0</v>
      </c>
      <c r="I19" s="33">
        <f>ROUND('Anexo 10'!I19*'Anexo 3'!$D$10,0)</f>
        <v>0</v>
      </c>
      <c r="J19" s="33">
        <f>ROUND('Anexo 10'!J19*'Anexo 3'!$D$10,0)</f>
        <v>0</v>
      </c>
      <c r="K19" s="33">
        <f>ROUND('Anexo 10'!K19*'Anexo 3'!$D$10,0)</f>
        <v>0</v>
      </c>
      <c r="L19" s="33">
        <f>ROUND('Anexo 10'!L19*'Anexo 3'!$D$10,0)</f>
        <v>0</v>
      </c>
      <c r="M19" s="33">
        <f>ROUND('Anexo 10'!M19*'Anexo 3'!$D$10,0)</f>
        <v>0</v>
      </c>
      <c r="N19" s="33">
        <f>ROUND('Anexo 10'!N19*'Anexo 3'!$D$10,0)</f>
        <v>0</v>
      </c>
      <c r="O19" s="33">
        <f>ROUND('Anexo 10'!O19*'Anexo 3'!$D$10,0)</f>
        <v>0</v>
      </c>
      <c r="P19" s="33">
        <f>ROUND('Anexo 10'!P19*'Anexo 3'!$D$10,0)</f>
        <v>0</v>
      </c>
      <c r="Q19" s="33">
        <f>ROUND('Anexo 10'!Q19*'Anexo 3'!$D$10,0)</f>
        <v>0</v>
      </c>
      <c r="R19" s="33">
        <f>ROUND('Anexo 10'!R19*'Anexo 3'!$D$10,0)</f>
        <v>0</v>
      </c>
      <c r="S19" s="33">
        <f>ROUND('Anexo 10'!S19*'Anexo 3'!$D$10,0)</f>
        <v>0</v>
      </c>
      <c r="T19" s="33">
        <f>ROUND('Anexo 10'!T19*'Anexo 3'!$D$10,0)</f>
        <v>0</v>
      </c>
      <c r="U19" s="33">
        <f>ROUND('Anexo 10'!U19*'Anexo 3'!$D$10,0)</f>
        <v>0</v>
      </c>
      <c r="V19" s="33">
        <f>ROUND('Anexo 10'!V19*'Anexo 3'!$D$10,0)</f>
        <v>0</v>
      </c>
      <c r="W19" s="33">
        <f>ROUND('Anexo 10'!W19*'Anexo 3'!$D$10,0)</f>
        <v>0</v>
      </c>
      <c r="X19" s="33">
        <f>ROUND('Anexo 10'!X19*'Anexo 3'!$D$10,0)</f>
        <v>0</v>
      </c>
      <c r="Y19" s="33">
        <f>ROUND('Anexo 10'!Y19*'Anexo 3'!$D$10,0)</f>
        <v>0</v>
      </c>
      <c r="Z19" s="33">
        <f>ROUND('Anexo 10'!Z19*'Anexo 3'!$D$10,0)</f>
        <v>0</v>
      </c>
      <c r="AA19" s="38">
        <f t="shared" si="0"/>
        <v>0</v>
      </c>
      <c r="AB19" s="21">
        <v>4</v>
      </c>
      <c r="AC19" s="80"/>
      <c r="AD19" s="47"/>
    </row>
    <row r="20" spans="1:30" ht="15.75" thickBot="1" x14ac:dyDescent="0.3">
      <c r="A20" s="78"/>
      <c r="B20" s="22" t="s">
        <v>6</v>
      </c>
      <c r="C20" s="33">
        <f>ROUND('Anexo 10'!C20*'Anexo 3'!$D$10,0)</f>
        <v>0</v>
      </c>
      <c r="D20" s="33">
        <f>ROUND('Anexo 10'!D20*'Anexo 3'!$D$10,0)</f>
        <v>0</v>
      </c>
      <c r="E20" s="33">
        <f>ROUND('Anexo 10'!E20*'Anexo 3'!$D$10,0)</f>
        <v>0</v>
      </c>
      <c r="F20" s="33">
        <f>ROUND('Anexo 10'!F20*'Anexo 3'!$D$10,0)</f>
        <v>0</v>
      </c>
      <c r="G20" s="33">
        <f>ROUND('Anexo 10'!G20*'Anexo 3'!$D$10,0)</f>
        <v>0</v>
      </c>
      <c r="H20" s="33">
        <f>ROUND('Anexo 10'!H20*'Anexo 3'!$D$10,0)</f>
        <v>0</v>
      </c>
      <c r="I20" s="33">
        <f>ROUND('Anexo 10'!I20*'Anexo 3'!$D$10,0)</f>
        <v>0</v>
      </c>
      <c r="J20" s="33">
        <f>ROUND('Anexo 10'!J20*'Anexo 3'!$D$10,0)</f>
        <v>0</v>
      </c>
      <c r="K20" s="33">
        <f>ROUND('Anexo 10'!K20*'Anexo 3'!$D$10,0)</f>
        <v>0</v>
      </c>
      <c r="L20" s="33">
        <f>ROUND('Anexo 10'!L20*'Anexo 3'!$D$10,0)</f>
        <v>0</v>
      </c>
      <c r="M20" s="33">
        <f>ROUND('Anexo 10'!M20*'Anexo 3'!$D$10,0)</f>
        <v>0</v>
      </c>
      <c r="N20" s="33">
        <f>ROUND('Anexo 10'!N20*'Anexo 3'!$D$10,0)</f>
        <v>0</v>
      </c>
      <c r="O20" s="33">
        <f>ROUND('Anexo 10'!O20*'Anexo 3'!$D$10,0)</f>
        <v>0</v>
      </c>
      <c r="P20" s="33">
        <f>ROUND('Anexo 10'!P20*'Anexo 3'!$D$10,0)</f>
        <v>0</v>
      </c>
      <c r="Q20" s="33">
        <f>ROUND('Anexo 10'!Q20*'Anexo 3'!$D$10,0)</f>
        <v>0</v>
      </c>
      <c r="R20" s="33">
        <f>ROUND('Anexo 10'!R20*'Anexo 3'!$D$10,0)</f>
        <v>0</v>
      </c>
      <c r="S20" s="33">
        <f>ROUND('Anexo 10'!S20*'Anexo 3'!$D$10,0)</f>
        <v>0</v>
      </c>
      <c r="T20" s="33">
        <f>ROUND('Anexo 10'!T20*'Anexo 3'!$D$10,0)</f>
        <v>0</v>
      </c>
      <c r="U20" s="33">
        <f>ROUND('Anexo 10'!U20*'Anexo 3'!$D$10,0)</f>
        <v>0</v>
      </c>
      <c r="V20" s="33">
        <f>ROUND('Anexo 10'!V20*'Anexo 3'!$D$10,0)</f>
        <v>0</v>
      </c>
      <c r="W20" s="33">
        <f>ROUND('Anexo 10'!W20*'Anexo 3'!$D$10,0)</f>
        <v>0</v>
      </c>
      <c r="X20" s="33">
        <f>ROUND('Anexo 10'!X20*'Anexo 3'!$D$10,0)</f>
        <v>0</v>
      </c>
      <c r="Y20" s="33">
        <f>ROUND('Anexo 10'!Y20*'Anexo 3'!$D$10,0)</f>
        <v>0</v>
      </c>
      <c r="Z20" s="33">
        <f>ROUND('Anexo 10'!Z20*'Anexo 3'!$D$10,0)</f>
        <v>0</v>
      </c>
      <c r="AA20" s="41">
        <f t="shared" si="0"/>
        <v>0</v>
      </c>
      <c r="AB20" s="23">
        <v>6</v>
      </c>
      <c r="AC20" s="81"/>
      <c r="AD20" s="48"/>
    </row>
    <row r="21" spans="1:30" ht="15.75" thickBot="1" x14ac:dyDescent="0.3">
      <c r="A21" s="78">
        <v>46905</v>
      </c>
      <c r="B21" s="18" t="s">
        <v>8</v>
      </c>
      <c r="C21" s="33">
        <f>ROUND('Anexo 10'!C21*'Anexo 3'!$D$10,0)</f>
        <v>0</v>
      </c>
      <c r="D21" s="33">
        <f>ROUND('Anexo 10'!D21*'Anexo 3'!$D$10,0)</f>
        <v>0</v>
      </c>
      <c r="E21" s="33">
        <f>ROUND('Anexo 10'!E21*'Anexo 3'!$D$10,0)</f>
        <v>0</v>
      </c>
      <c r="F21" s="33">
        <f>ROUND('Anexo 10'!F21*'Anexo 3'!$D$10,0)</f>
        <v>0</v>
      </c>
      <c r="G21" s="33">
        <f>ROUND('Anexo 10'!G21*'Anexo 3'!$D$10,0)</f>
        <v>0</v>
      </c>
      <c r="H21" s="33">
        <f>ROUND('Anexo 10'!H21*'Anexo 3'!$D$10,0)</f>
        <v>0</v>
      </c>
      <c r="I21" s="33">
        <f>ROUND('Anexo 10'!I21*'Anexo 3'!$D$10,0)</f>
        <v>0</v>
      </c>
      <c r="J21" s="33">
        <f>ROUND('Anexo 10'!J21*'Anexo 3'!$D$10,0)</f>
        <v>0</v>
      </c>
      <c r="K21" s="33">
        <f>ROUND('Anexo 10'!K21*'Anexo 3'!$D$10,0)</f>
        <v>0</v>
      </c>
      <c r="L21" s="33">
        <f>ROUND('Anexo 10'!L21*'Anexo 3'!$D$10,0)</f>
        <v>0</v>
      </c>
      <c r="M21" s="33">
        <f>ROUND('Anexo 10'!M21*'Anexo 3'!$D$10,0)</f>
        <v>0</v>
      </c>
      <c r="N21" s="33">
        <f>ROUND('Anexo 10'!N21*'Anexo 3'!$D$10,0)</f>
        <v>0</v>
      </c>
      <c r="O21" s="33">
        <f>ROUND('Anexo 10'!O21*'Anexo 3'!$D$10,0)</f>
        <v>0</v>
      </c>
      <c r="P21" s="33">
        <f>ROUND('Anexo 10'!P21*'Anexo 3'!$D$10,0)</f>
        <v>0</v>
      </c>
      <c r="Q21" s="33">
        <f>ROUND('Anexo 10'!Q21*'Anexo 3'!$D$10,0)</f>
        <v>0</v>
      </c>
      <c r="R21" s="33">
        <f>ROUND('Anexo 10'!R21*'Anexo 3'!$D$10,0)</f>
        <v>0</v>
      </c>
      <c r="S21" s="33">
        <f>ROUND('Anexo 10'!S21*'Anexo 3'!$D$10,0)</f>
        <v>0</v>
      </c>
      <c r="T21" s="33">
        <f>ROUND('Anexo 10'!T21*'Anexo 3'!$D$10,0)</f>
        <v>0</v>
      </c>
      <c r="U21" s="33">
        <f>ROUND('Anexo 10'!U21*'Anexo 3'!$D$10,0)</f>
        <v>0</v>
      </c>
      <c r="V21" s="33">
        <f>ROUND('Anexo 10'!V21*'Anexo 3'!$D$10,0)</f>
        <v>0</v>
      </c>
      <c r="W21" s="33">
        <f>ROUND('Anexo 10'!W21*'Anexo 3'!$D$10,0)</f>
        <v>0</v>
      </c>
      <c r="X21" s="33">
        <f>ROUND('Anexo 10'!X21*'Anexo 3'!$D$10,0)</f>
        <v>0</v>
      </c>
      <c r="Y21" s="33">
        <f>ROUND('Anexo 10'!Y21*'Anexo 3'!$D$10,0)</f>
        <v>0</v>
      </c>
      <c r="Z21" s="33">
        <f>ROUND('Anexo 10'!Z21*'Anexo 3'!$D$10,0)</f>
        <v>0</v>
      </c>
      <c r="AA21" s="35">
        <f t="shared" si="0"/>
        <v>0</v>
      </c>
      <c r="AB21" s="19">
        <v>20</v>
      </c>
      <c r="AC21" s="79">
        <f>+AA21*AB21+AA22*AB22+AA23*AB23</f>
        <v>0</v>
      </c>
    </row>
    <row r="22" spans="1:30" ht="15.75" thickBot="1" x14ac:dyDescent="0.3">
      <c r="A22" s="78"/>
      <c r="B22" s="20" t="s">
        <v>7</v>
      </c>
      <c r="C22" s="33">
        <f>ROUND('Anexo 10'!C22*'Anexo 3'!$D$10,0)</f>
        <v>0</v>
      </c>
      <c r="D22" s="33">
        <f>ROUND('Anexo 10'!D22*'Anexo 3'!$D$10,0)</f>
        <v>0</v>
      </c>
      <c r="E22" s="33">
        <f>ROUND('Anexo 10'!E22*'Anexo 3'!$D$10,0)</f>
        <v>0</v>
      </c>
      <c r="F22" s="33">
        <f>ROUND('Anexo 10'!F22*'Anexo 3'!$D$10,0)</f>
        <v>0</v>
      </c>
      <c r="G22" s="33">
        <f>ROUND('Anexo 10'!G22*'Anexo 3'!$D$10,0)</f>
        <v>0</v>
      </c>
      <c r="H22" s="33">
        <f>ROUND('Anexo 10'!H22*'Anexo 3'!$D$10,0)</f>
        <v>0</v>
      </c>
      <c r="I22" s="33">
        <f>ROUND('Anexo 10'!I22*'Anexo 3'!$D$10,0)</f>
        <v>0</v>
      </c>
      <c r="J22" s="33">
        <f>ROUND('Anexo 10'!J22*'Anexo 3'!$D$10,0)</f>
        <v>0</v>
      </c>
      <c r="K22" s="33">
        <f>ROUND('Anexo 10'!K22*'Anexo 3'!$D$10,0)</f>
        <v>0</v>
      </c>
      <c r="L22" s="33">
        <f>ROUND('Anexo 10'!L22*'Anexo 3'!$D$10,0)</f>
        <v>0</v>
      </c>
      <c r="M22" s="33">
        <f>ROUND('Anexo 10'!M22*'Anexo 3'!$D$10,0)</f>
        <v>0</v>
      </c>
      <c r="N22" s="33">
        <f>ROUND('Anexo 10'!N22*'Anexo 3'!$D$10,0)</f>
        <v>0</v>
      </c>
      <c r="O22" s="33">
        <f>ROUND('Anexo 10'!O22*'Anexo 3'!$D$10,0)</f>
        <v>0</v>
      </c>
      <c r="P22" s="33">
        <f>ROUND('Anexo 10'!P22*'Anexo 3'!$D$10,0)</f>
        <v>0</v>
      </c>
      <c r="Q22" s="33">
        <f>ROUND('Anexo 10'!Q22*'Anexo 3'!$D$10,0)</f>
        <v>0</v>
      </c>
      <c r="R22" s="33">
        <f>ROUND('Anexo 10'!R22*'Anexo 3'!$D$10,0)</f>
        <v>0</v>
      </c>
      <c r="S22" s="33">
        <f>ROUND('Anexo 10'!S22*'Anexo 3'!$D$10,0)</f>
        <v>0</v>
      </c>
      <c r="T22" s="33">
        <f>ROUND('Anexo 10'!T22*'Anexo 3'!$D$10,0)</f>
        <v>0</v>
      </c>
      <c r="U22" s="33">
        <f>ROUND('Anexo 10'!U22*'Anexo 3'!$D$10,0)</f>
        <v>0</v>
      </c>
      <c r="V22" s="33">
        <f>ROUND('Anexo 10'!V22*'Anexo 3'!$D$10,0)</f>
        <v>0</v>
      </c>
      <c r="W22" s="33">
        <f>ROUND('Anexo 10'!W22*'Anexo 3'!$D$10,0)</f>
        <v>0</v>
      </c>
      <c r="X22" s="33">
        <f>ROUND('Anexo 10'!X22*'Anexo 3'!$D$10,0)</f>
        <v>0</v>
      </c>
      <c r="Y22" s="33">
        <f>ROUND('Anexo 10'!Y22*'Anexo 3'!$D$10,0)</f>
        <v>0</v>
      </c>
      <c r="Z22" s="33">
        <f>ROUND('Anexo 10'!Z22*'Anexo 3'!$D$10,0)</f>
        <v>0</v>
      </c>
      <c r="AA22" s="38">
        <f t="shared" si="0"/>
        <v>0</v>
      </c>
      <c r="AB22" s="21">
        <v>4</v>
      </c>
      <c r="AC22" s="80"/>
      <c r="AD22" s="47"/>
    </row>
    <row r="23" spans="1:30" ht="15.75" thickBot="1" x14ac:dyDescent="0.3">
      <c r="A23" s="78"/>
      <c r="B23" s="22" t="s">
        <v>6</v>
      </c>
      <c r="C23" s="33">
        <f>ROUND('Anexo 10'!C23*'Anexo 3'!$D$10,0)</f>
        <v>0</v>
      </c>
      <c r="D23" s="33">
        <f>ROUND('Anexo 10'!D23*'Anexo 3'!$D$10,0)</f>
        <v>0</v>
      </c>
      <c r="E23" s="33">
        <f>ROUND('Anexo 10'!E23*'Anexo 3'!$D$10,0)</f>
        <v>0</v>
      </c>
      <c r="F23" s="33">
        <f>ROUND('Anexo 10'!F23*'Anexo 3'!$D$10,0)</f>
        <v>0</v>
      </c>
      <c r="G23" s="33">
        <f>ROUND('Anexo 10'!G23*'Anexo 3'!$D$10,0)</f>
        <v>0</v>
      </c>
      <c r="H23" s="33">
        <f>ROUND('Anexo 10'!H23*'Anexo 3'!$D$10,0)</f>
        <v>0</v>
      </c>
      <c r="I23" s="33">
        <f>ROUND('Anexo 10'!I23*'Anexo 3'!$D$10,0)</f>
        <v>0</v>
      </c>
      <c r="J23" s="33">
        <f>ROUND('Anexo 10'!J23*'Anexo 3'!$D$10,0)</f>
        <v>0</v>
      </c>
      <c r="K23" s="33">
        <f>ROUND('Anexo 10'!K23*'Anexo 3'!$D$10,0)</f>
        <v>0</v>
      </c>
      <c r="L23" s="33">
        <f>ROUND('Anexo 10'!L23*'Anexo 3'!$D$10,0)</f>
        <v>0</v>
      </c>
      <c r="M23" s="33">
        <f>ROUND('Anexo 10'!M23*'Anexo 3'!$D$10,0)</f>
        <v>0</v>
      </c>
      <c r="N23" s="33">
        <f>ROUND('Anexo 10'!N23*'Anexo 3'!$D$10,0)</f>
        <v>0</v>
      </c>
      <c r="O23" s="33">
        <f>ROUND('Anexo 10'!O23*'Anexo 3'!$D$10,0)</f>
        <v>0</v>
      </c>
      <c r="P23" s="33">
        <f>ROUND('Anexo 10'!P23*'Anexo 3'!$D$10,0)</f>
        <v>0</v>
      </c>
      <c r="Q23" s="33">
        <f>ROUND('Anexo 10'!Q23*'Anexo 3'!$D$10,0)</f>
        <v>0</v>
      </c>
      <c r="R23" s="33">
        <f>ROUND('Anexo 10'!R23*'Anexo 3'!$D$10,0)</f>
        <v>0</v>
      </c>
      <c r="S23" s="33">
        <f>ROUND('Anexo 10'!S23*'Anexo 3'!$D$10,0)</f>
        <v>0</v>
      </c>
      <c r="T23" s="33">
        <f>ROUND('Anexo 10'!T23*'Anexo 3'!$D$10,0)</f>
        <v>0</v>
      </c>
      <c r="U23" s="33">
        <f>ROUND('Anexo 10'!U23*'Anexo 3'!$D$10,0)</f>
        <v>0</v>
      </c>
      <c r="V23" s="33">
        <f>ROUND('Anexo 10'!V23*'Anexo 3'!$D$10,0)</f>
        <v>0</v>
      </c>
      <c r="W23" s="33">
        <f>ROUND('Anexo 10'!W23*'Anexo 3'!$D$10,0)</f>
        <v>0</v>
      </c>
      <c r="X23" s="33">
        <f>ROUND('Anexo 10'!X23*'Anexo 3'!$D$10,0)</f>
        <v>0</v>
      </c>
      <c r="Y23" s="33">
        <f>ROUND('Anexo 10'!Y23*'Anexo 3'!$D$10,0)</f>
        <v>0</v>
      </c>
      <c r="Z23" s="33">
        <f>ROUND('Anexo 10'!Z23*'Anexo 3'!$D$10,0)</f>
        <v>0</v>
      </c>
      <c r="AA23" s="41">
        <f t="shared" si="0"/>
        <v>0</v>
      </c>
      <c r="AB23" s="23">
        <v>6</v>
      </c>
      <c r="AC23" s="81"/>
      <c r="AD23" s="48"/>
    </row>
    <row r="24" spans="1:30" ht="15.75" thickBot="1" x14ac:dyDescent="0.3">
      <c r="A24" s="78">
        <v>46935</v>
      </c>
      <c r="B24" s="18" t="s">
        <v>8</v>
      </c>
      <c r="C24" s="33">
        <f>ROUND('Anexo 10'!C24*'Anexo 3'!$D$10,0)</f>
        <v>0</v>
      </c>
      <c r="D24" s="33">
        <f>ROUND('Anexo 10'!D24*'Anexo 3'!$D$10,0)</f>
        <v>0</v>
      </c>
      <c r="E24" s="33">
        <f>ROUND('Anexo 10'!E24*'Anexo 3'!$D$10,0)</f>
        <v>0</v>
      </c>
      <c r="F24" s="33">
        <f>ROUND('Anexo 10'!F24*'Anexo 3'!$D$10,0)</f>
        <v>0</v>
      </c>
      <c r="G24" s="33">
        <f>ROUND('Anexo 10'!G24*'Anexo 3'!$D$10,0)</f>
        <v>0</v>
      </c>
      <c r="H24" s="33">
        <f>ROUND('Anexo 10'!H24*'Anexo 3'!$D$10,0)</f>
        <v>0</v>
      </c>
      <c r="I24" s="33">
        <f>ROUND('Anexo 10'!I24*'Anexo 3'!$D$10,0)</f>
        <v>0</v>
      </c>
      <c r="J24" s="33">
        <f>ROUND('Anexo 10'!J24*'Anexo 3'!$D$10,0)</f>
        <v>0</v>
      </c>
      <c r="K24" s="33">
        <f>ROUND('Anexo 10'!K24*'Anexo 3'!$D$10,0)</f>
        <v>0</v>
      </c>
      <c r="L24" s="33">
        <f>ROUND('Anexo 10'!L24*'Anexo 3'!$D$10,0)</f>
        <v>0</v>
      </c>
      <c r="M24" s="33">
        <f>ROUND('Anexo 10'!M24*'Anexo 3'!$D$10,0)</f>
        <v>0</v>
      </c>
      <c r="N24" s="33">
        <f>ROUND('Anexo 10'!N24*'Anexo 3'!$D$10,0)</f>
        <v>0</v>
      </c>
      <c r="O24" s="33">
        <f>ROUND('Anexo 10'!O24*'Anexo 3'!$D$10,0)</f>
        <v>0</v>
      </c>
      <c r="P24" s="33">
        <f>ROUND('Anexo 10'!P24*'Anexo 3'!$D$10,0)</f>
        <v>0</v>
      </c>
      <c r="Q24" s="33">
        <f>ROUND('Anexo 10'!Q24*'Anexo 3'!$D$10,0)</f>
        <v>0</v>
      </c>
      <c r="R24" s="33">
        <f>ROUND('Anexo 10'!R24*'Anexo 3'!$D$10,0)</f>
        <v>0</v>
      </c>
      <c r="S24" s="33">
        <f>ROUND('Anexo 10'!S24*'Anexo 3'!$D$10,0)</f>
        <v>0</v>
      </c>
      <c r="T24" s="33">
        <f>ROUND('Anexo 10'!T24*'Anexo 3'!$D$10,0)</f>
        <v>0</v>
      </c>
      <c r="U24" s="33">
        <f>ROUND('Anexo 10'!U24*'Anexo 3'!$D$10,0)</f>
        <v>0</v>
      </c>
      <c r="V24" s="33">
        <f>ROUND('Anexo 10'!V24*'Anexo 3'!$D$10,0)</f>
        <v>0</v>
      </c>
      <c r="W24" s="33">
        <f>ROUND('Anexo 10'!W24*'Anexo 3'!$D$10,0)</f>
        <v>0</v>
      </c>
      <c r="X24" s="33">
        <f>ROUND('Anexo 10'!X24*'Anexo 3'!$D$10,0)</f>
        <v>0</v>
      </c>
      <c r="Y24" s="33">
        <f>ROUND('Anexo 10'!Y24*'Anexo 3'!$D$10,0)</f>
        <v>0</v>
      </c>
      <c r="Z24" s="33">
        <f>ROUND('Anexo 10'!Z24*'Anexo 3'!$D$10,0)</f>
        <v>0</v>
      </c>
      <c r="AA24" s="35">
        <f t="shared" si="0"/>
        <v>0</v>
      </c>
      <c r="AB24" s="19">
        <v>19</v>
      </c>
      <c r="AC24" s="79">
        <f>+AA24*AB24+AA25*AB25+AA26*AB26</f>
        <v>0</v>
      </c>
    </row>
    <row r="25" spans="1:30" ht="15.75" thickBot="1" x14ac:dyDescent="0.3">
      <c r="A25" s="78"/>
      <c r="B25" s="20" t="s">
        <v>7</v>
      </c>
      <c r="C25" s="33">
        <f>ROUND('Anexo 10'!C25*'Anexo 3'!$D$10,0)</f>
        <v>0</v>
      </c>
      <c r="D25" s="33">
        <f>ROUND('Anexo 10'!D25*'Anexo 3'!$D$10,0)</f>
        <v>0</v>
      </c>
      <c r="E25" s="33">
        <f>ROUND('Anexo 10'!E25*'Anexo 3'!$D$10,0)</f>
        <v>0</v>
      </c>
      <c r="F25" s="33">
        <f>ROUND('Anexo 10'!F25*'Anexo 3'!$D$10,0)</f>
        <v>0</v>
      </c>
      <c r="G25" s="33">
        <f>ROUND('Anexo 10'!G25*'Anexo 3'!$D$10,0)</f>
        <v>0</v>
      </c>
      <c r="H25" s="33">
        <f>ROUND('Anexo 10'!H25*'Anexo 3'!$D$10,0)</f>
        <v>0</v>
      </c>
      <c r="I25" s="33">
        <f>ROUND('Anexo 10'!I25*'Anexo 3'!$D$10,0)</f>
        <v>0</v>
      </c>
      <c r="J25" s="33">
        <f>ROUND('Anexo 10'!J25*'Anexo 3'!$D$10,0)</f>
        <v>0</v>
      </c>
      <c r="K25" s="33">
        <f>ROUND('Anexo 10'!K25*'Anexo 3'!$D$10,0)</f>
        <v>0</v>
      </c>
      <c r="L25" s="33">
        <f>ROUND('Anexo 10'!L25*'Anexo 3'!$D$10,0)</f>
        <v>0</v>
      </c>
      <c r="M25" s="33">
        <f>ROUND('Anexo 10'!M25*'Anexo 3'!$D$10,0)</f>
        <v>0</v>
      </c>
      <c r="N25" s="33">
        <f>ROUND('Anexo 10'!N25*'Anexo 3'!$D$10,0)</f>
        <v>0</v>
      </c>
      <c r="O25" s="33">
        <f>ROUND('Anexo 10'!O25*'Anexo 3'!$D$10,0)</f>
        <v>0</v>
      </c>
      <c r="P25" s="33">
        <f>ROUND('Anexo 10'!P25*'Anexo 3'!$D$10,0)</f>
        <v>0</v>
      </c>
      <c r="Q25" s="33">
        <f>ROUND('Anexo 10'!Q25*'Anexo 3'!$D$10,0)</f>
        <v>0</v>
      </c>
      <c r="R25" s="33">
        <f>ROUND('Anexo 10'!R25*'Anexo 3'!$D$10,0)</f>
        <v>0</v>
      </c>
      <c r="S25" s="33">
        <f>ROUND('Anexo 10'!S25*'Anexo 3'!$D$10,0)</f>
        <v>0</v>
      </c>
      <c r="T25" s="33">
        <f>ROUND('Anexo 10'!T25*'Anexo 3'!$D$10,0)</f>
        <v>0</v>
      </c>
      <c r="U25" s="33">
        <f>ROUND('Anexo 10'!U25*'Anexo 3'!$D$10,0)</f>
        <v>0</v>
      </c>
      <c r="V25" s="33">
        <f>ROUND('Anexo 10'!V25*'Anexo 3'!$D$10,0)</f>
        <v>0</v>
      </c>
      <c r="W25" s="33">
        <f>ROUND('Anexo 10'!W25*'Anexo 3'!$D$10,0)</f>
        <v>0</v>
      </c>
      <c r="X25" s="33">
        <f>ROUND('Anexo 10'!X25*'Anexo 3'!$D$10,0)</f>
        <v>0</v>
      </c>
      <c r="Y25" s="33">
        <f>ROUND('Anexo 10'!Y25*'Anexo 3'!$D$10,0)</f>
        <v>0</v>
      </c>
      <c r="Z25" s="33">
        <f>ROUND('Anexo 10'!Z25*'Anexo 3'!$D$10,0)</f>
        <v>0</v>
      </c>
      <c r="AA25" s="38">
        <f t="shared" si="0"/>
        <v>0</v>
      </c>
      <c r="AB25" s="21">
        <v>5</v>
      </c>
      <c r="AC25" s="80"/>
      <c r="AD25" s="47"/>
    </row>
    <row r="26" spans="1:30" ht="15.75" thickBot="1" x14ac:dyDescent="0.3">
      <c r="A26" s="78"/>
      <c r="B26" s="22" t="s">
        <v>6</v>
      </c>
      <c r="C26" s="33">
        <f>ROUND('Anexo 10'!C26*'Anexo 3'!$D$10,0)</f>
        <v>0</v>
      </c>
      <c r="D26" s="33">
        <f>ROUND('Anexo 10'!D26*'Anexo 3'!$D$10,0)</f>
        <v>0</v>
      </c>
      <c r="E26" s="33">
        <f>ROUND('Anexo 10'!E26*'Anexo 3'!$D$10,0)</f>
        <v>0</v>
      </c>
      <c r="F26" s="33">
        <f>ROUND('Anexo 10'!F26*'Anexo 3'!$D$10,0)</f>
        <v>0</v>
      </c>
      <c r="G26" s="33">
        <f>ROUND('Anexo 10'!G26*'Anexo 3'!$D$10,0)</f>
        <v>0</v>
      </c>
      <c r="H26" s="33">
        <f>ROUND('Anexo 10'!H26*'Anexo 3'!$D$10,0)</f>
        <v>0</v>
      </c>
      <c r="I26" s="33">
        <f>ROUND('Anexo 10'!I26*'Anexo 3'!$D$10,0)</f>
        <v>0</v>
      </c>
      <c r="J26" s="33">
        <f>ROUND('Anexo 10'!J26*'Anexo 3'!$D$10,0)</f>
        <v>0</v>
      </c>
      <c r="K26" s="33">
        <f>ROUND('Anexo 10'!K26*'Anexo 3'!$D$10,0)</f>
        <v>0</v>
      </c>
      <c r="L26" s="33">
        <f>ROUND('Anexo 10'!L26*'Anexo 3'!$D$10,0)</f>
        <v>0</v>
      </c>
      <c r="M26" s="33">
        <f>ROUND('Anexo 10'!M26*'Anexo 3'!$D$10,0)</f>
        <v>0</v>
      </c>
      <c r="N26" s="33">
        <f>ROUND('Anexo 10'!N26*'Anexo 3'!$D$10,0)</f>
        <v>0</v>
      </c>
      <c r="O26" s="33">
        <f>ROUND('Anexo 10'!O26*'Anexo 3'!$D$10,0)</f>
        <v>0</v>
      </c>
      <c r="P26" s="33">
        <f>ROUND('Anexo 10'!P26*'Anexo 3'!$D$10,0)</f>
        <v>0</v>
      </c>
      <c r="Q26" s="33">
        <f>ROUND('Anexo 10'!Q26*'Anexo 3'!$D$10,0)</f>
        <v>0</v>
      </c>
      <c r="R26" s="33">
        <f>ROUND('Anexo 10'!R26*'Anexo 3'!$D$10,0)</f>
        <v>0</v>
      </c>
      <c r="S26" s="33">
        <f>ROUND('Anexo 10'!S26*'Anexo 3'!$D$10,0)</f>
        <v>0</v>
      </c>
      <c r="T26" s="33">
        <f>ROUND('Anexo 10'!T26*'Anexo 3'!$D$10,0)</f>
        <v>0</v>
      </c>
      <c r="U26" s="33">
        <f>ROUND('Anexo 10'!U26*'Anexo 3'!$D$10,0)</f>
        <v>0</v>
      </c>
      <c r="V26" s="33">
        <f>ROUND('Anexo 10'!V26*'Anexo 3'!$D$10,0)</f>
        <v>0</v>
      </c>
      <c r="W26" s="33">
        <f>ROUND('Anexo 10'!W26*'Anexo 3'!$D$10,0)</f>
        <v>0</v>
      </c>
      <c r="X26" s="33">
        <f>ROUND('Anexo 10'!X26*'Anexo 3'!$D$10,0)</f>
        <v>0</v>
      </c>
      <c r="Y26" s="33">
        <f>ROUND('Anexo 10'!Y26*'Anexo 3'!$D$10,0)</f>
        <v>0</v>
      </c>
      <c r="Z26" s="33">
        <f>ROUND('Anexo 10'!Z26*'Anexo 3'!$D$10,0)</f>
        <v>0</v>
      </c>
      <c r="AA26" s="41">
        <f t="shared" si="0"/>
        <v>0</v>
      </c>
      <c r="AB26" s="23">
        <v>7</v>
      </c>
      <c r="AC26" s="81"/>
      <c r="AD26" s="48"/>
    </row>
    <row r="27" spans="1:30" ht="15.75" thickBot="1" x14ac:dyDescent="0.3">
      <c r="A27" s="78">
        <v>46966</v>
      </c>
      <c r="B27" s="18" t="s">
        <v>8</v>
      </c>
      <c r="C27" s="33">
        <f>ROUND('Anexo 10'!C27*'Anexo 3'!$D$10,0)</f>
        <v>0</v>
      </c>
      <c r="D27" s="33">
        <f>ROUND('Anexo 10'!D27*'Anexo 3'!$D$10,0)</f>
        <v>0</v>
      </c>
      <c r="E27" s="33">
        <f>ROUND('Anexo 10'!E27*'Anexo 3'!$D$10,0)</f>
        <v>0</v>
      </c>
      <c r="F27" s="33">
        <f>ROUND('Anexo 10'!F27*'Anexo 3'!$D$10,0)</f>
        <v>0</v>
      </c>
      <c r="G27" s="33">
        <f>ROUND('Anexo 10'!G27*'Anexo 3'!$D$10,0)</f>
        <v>0</v>
      </c>
      <c r="H27" s="33">
        <f>ROUND('Anexo 10'!H27*'Anexo 3'!$D$10,0)</f>
        <v>0</v>
      </c>
      <c r="I27" s="33">
        <f>ROUND('Anexo 10'!I27*'Anexo 3'!$D$10,0)</f>
        <v>0</v>
      </c>
      <c r="J27" s="33">
        <f>ROUND('Anexo 10'!J27*'Anexo 3'!$D$10,0)</f>
        <v>0</v>
      </c>
      <c r="K27" s="33">
        <f>ROUND('Anexo 10'!K27*'Anexo 3'!$D$10,0)</f>
        <v>0</v>
      </c>
      <c r="L27" s="33">
        <f>ROUND('Anexo 10'!L27*'Anexo 3'!$D$10,0)</f>
        <v>0</v>
      </c>
      <c r="M27" s="33">
        <f>ROUND('Anexo 10'!M27*'Anexo 3'!$D$10,0)</f>
        <v>0</v>
      </c>
      <c r="N27" s="33">
        <f>ROUND('Anexo 10'!N27*'Anexo 3'!$D$10,0)</f>
        <v>0</v>
      </c>
      <c r="O27" s="33">
        <f>ROUND('Anexo 10'!O27*'Anexo 3'!$D$10,0)</f>
        <v>0</v>
      </c>
      <c r="P27" s="33">
        <f>ROUND('Anexo 10'!P27*'Anexo 3'!$D$10,0)</f>
        <v>0</v>
      </c>
      <c r="Q27" s="33">
        <f>ROUND('Anexo 10'!Q27*'Anexo 3'!$D$10,0)</f>
        <v>0</v>
      </c>
      <c r="R27" s="33">
        <f>ROUND('Anexo 10'!R27*'Anexo 3'!$D$10,0)</f>
        <v>0</v>
      </c>
      <c r="S27" s="33">
        <f>ROUND('Anexo 10'!S27*'Anexo 3'!$D$10,0)</f>
        <v>0</v>
      </c>
      <c r="T27" s="33">
        <f>ROUND('Anexo 10'!T27*'Anexo 3'!$D$10,0)</f>
        <v>0</v>
      </c>
      <c r="U27" s="33">
        <f>ROUND('Anexo 10'!U27*'Anexo 3'!$D$10,0)</f>
        <v>0</v>
      </c>
      <c r="V27" s="33">
        <f>ROUND('Anexo 10'!V27*'Anexo 3'!$D$10,0)</f>
        <v>0</v>
      </c>
      <c r="W27" s="33">
        <f>ROUND('Anexo 10'!W27*'Anexo 3'!$D$10,0)</f>
        <v>0</v>
      </c>
      <c r="X27" s="33">
        <f>ROUND('Anexo 10'!X27*'Anexo 3'!$D$10,0)</f>
        <v>0</v>
      </c>
      <c r="Y27" s="33">
        <f>ROUND('Anexo 10'!Y27*'Anexo 3'!$D$10,0)</f>
        <v>0</v>
      </c>
      <c r="Z27" s="33">
        <f>ROUND('Anexo 10'!Z27*'Anexo 3'!$D$10,0)</f>
        <v>0</v>
      </c>
      <c r="AA27" s="35">
        <f t="shared" si="0"/>
        <v>0</v>
      </c>
      <c r="AB27" s="19">
        <v>21</v>
      </c>
      <c r="AC27" s="79">
        <f>+AA27*AB27+AA28*AB28+AA29*AB29</f>
        <v>0</v>
      </c>
    </row>
    <row r="28" spans="1:30" ht="15.75" thickBot="1" x14ac:dyDescent="0.3">
      <c r="A28" s="78"/>
      <c r="B28" s="20" t="s">
        <v>7</v>
      </c>
      <c r="C28" s="33">
        <f>ROUND('Anexo 10'!C28*'Anexo 3'!$D$10,0)</f>
        <v>0</v>
      </c>
      <c r="D28" s="33">
        <f>ROUND('Anexo 10'!D28*'Anexo 3'!$D$10,0)</f>
        <v>0</v>
      </c>
      <c r="E28" s="33">
        <f>ROUND('Anexo 10'!E28*'Anexo 3'!$D$10,0)</f>
        <v>0</v>
      </c>
      <c r="F28" s="33">
        <f>ROUND('Anexo 10'!F28*'Anexo 3'!$D$10,0)</f>
        <v>0</v>
      </c>
      <c r="G28" s="33">
        <f>ROUND('Anexo 10'!G28*'Anexo 3'!$D$10,0)</f>
        <v>0</v>
      </c>
      <c r="H28" s="33">
        <f>ROUND('Anexo 10'!H28*'Anexo 3'!$D$10,0)</f>
        <v>0</v>
      </c>
      <c r="I28" s="33">
        <f>ROUND('Anexo 10'!I28*'Anexo 3'!$D$10,0)</f>
        <v>0</v>
      </c>
      <c r="J28" s="33">
        <f>ROUND('Anexo 10'!J28*'Anexo 3'!$D$10,0)</f>
        <v>0</v>
      </c>
      <c r="K28" s="33">
        <f>ROUND('Anexo 10'!K28*'Anexo 3'!$D$10,0)</f>
        <v>0</v>
      </c>
      <c r="L28" s="33">
        <f>ROUND('Anexo 10'!L28*'Anexo 3'!$D$10,0)</f>
        <v>0</v>
      </c>
      <c r="M28" s="33">
        <f>ROUND('Anexo 10'!M28*'Anexo 3'!$D$10,0)</f>
        <v>0</v>
      </c>
      <c r="N28" s="33">
        <f>ROUND('Anexo 10'!N28*'Anexo 3'!$D$10,0)</f>
        <v>0</v>
      </c>
      <c r="O28" s="33">
        <f>ROUND('Anexo 10'!O28*'Anexo 3'!$D$10,0)</f>
        <v>0</v>
      </c>
      <c r="P28" s="33">
        <f>ROUND('Anexo 10'!P28*'Anexo 3'!$D$10,0)</f>
        <v>0</v>
      </c>
      <c r="Q28" s="33">
        <f>ROUND('Anexo 10'!Q28*'Anexo 3'!$D$10,0)</f>
        <v>0</v>
      </c>
      <c r="R28" s="33">
        <f>ROUND('Anexo 10'!R28*'Anexo 3'!$D$10,0)</f>
        <v>0</v>
      </c>
      <c r="S28" s="33">
        <f>ROUND('Anexo 10'!S28*'Anexo 3'!$D$10,0)</f>
        <v>0</v>
      </c>
      <c r="T28" s="33">
        <f>ROUND('Anexo 10'!T28*'Anexo 3'!$D$10,0)</f>
        <v>0</v>
      </c>
      <c r="U28" s="33">
        <f>ROUND('Anexo 10'!U28*'Anexo 3'!$D$10,0)</f>
        <v>0</v>
      </c>
      <c r="V28" s="33">
        <f>ROUND('Anexo 10'!V28*'Anexo 3'!$D$10,0)</f>
        <v>0</v>
      </c>
      <c r="W28" s="33">
        <f>ROUND('Anexo 10'!W28*'Anexo 3'!$D$10,0)</f>
        <v>0</v>
      </c>
      <c r="X28" s="33">
        <f>ROUND('Anexo 10'!X28*'Anexo 3'!$D$10,0)</f>
        <v>0</v>
      </c>
      <c r="Y28" s="33">
        <f>ROUND('Anexo 10'!Y28*'Anexo 3'!$D$10,0)</f>
        <v>0</v>
      </c>
      <c r="Z28" s="33">
        <f>ROUND('Anexo 10'!Z28*'Anexo 3'!$D$10,0)</f>
        <v>0</v>
      </c>
      <c r="AA28" s="38">
        <f t="shared" si="0"/>
        <v>0</v>
      </c>
      <c r="AB28" s="21">
        <v>4</v>
      </c>
      <c r="AC28" s="80"/>
      <c r="AD28" s="47"/>
    </row>
    <row r="29" spans="1:30" ht="15.75" thickBot="1" x14ac:dyDescent="0.3">
      <c r="A29" s="78"/>
      <c r="B29" s="22" t="s">
        <v>6</v>
      </c>
      <c r="C29" s="33">
        <f>ROUND('Anexo 10'!C29*'Anexo 3'!$D$10,0)</f>
        <v>0</v>
      </c>
      <c r="D29" s="33">
        <f>ROUND('Anexo 10'!D29*'Anexo 3'!$D$10,0)</f>
        <v>0</v>
      </c>
      <c r="E29" s="33">
        <f>ROUND('Anexo 10'!E29*'Anexo 3'!$D$10,0)</f>
        <v>0</v>
      </c>
      <c r="F29" s="33">
        <f>ROUND('Anexo 10'!F29*'Anexo 3'!$D$10,0)</f>
        <v>0</v>
      </c>
      <c r="G29" s="33">
        <f>ROUND('Anexo 10'!G29*'Anexo 3'!$D$10,0)</f>
        <v>0</v>
      </c>
      <c r="H29" s="33">
        <f>ROUND('Anexo 10'!H29*'Anexo 3'!$D$10,0)</f>
        <v>0</v>
      </c>
      <c r="I29" s="33">
        <f>ROUND('Anexo 10'!I29*'Anexo 3'!$D$10,0)</f>
        <v>0</v>
      </c>
      <c r="J29" s="33">
        <f>ROUND('Anexo 10'!J29*'Anexo 3'!$D$10,0)</f>
        <v>0</v>
      </c>
      <c r="K29" s="33">
        <f>ROUND('Anexo 10'!K29*'Anexo 3'!$D$10,0)</f>
        <v>0</v>
      </c>
      <c r="L29" s="33">
        <f>ROUND('Anexo 10'!L29*'Anexo 3'!$D$10,0)</f>
        <v>0</v>
      </c>
      <c r="M29" s="33">
        <f>ROUND('Anexo 10'!M29*'Anexo 3'!$D$10,0)</f>
        <v>0</v>
      </c>
      <c r="N29" s="33">
        <f>ROUND('Anexo 10'!N29*'Anexo 3'!$D$10,0)</f>
        <v>0</v>
      </c>
      <c r="O29" s="33">
        <f>ROUND('Anexo 10'!O29*'Anexo 3'!$D$10,0)</f>
        <v>0</v>
      </c>
      <c r="P29" s="33">
        <f>ROUND('Anexo 10'!P29*'Anexo 3'!$D$10,0)</f>
        <v>0</v>
      </c>
      <c r="Q29" s="33">
        <f>ROUND('Anexo 10'!Q29*'Anexo 3'!$D$10,0)</f>
        <v>0</v>
      </c>
      <c r="R29" s="33">
        <f>ROUND('Anexo 10'!R29*'Anexo 3'!$D$10,0)</f>
        <v>0</v>
      </c>
      <c r="S29" s="33">
        <f>ROUND('Anexo 10'!S29*'Anexo 3'!$D$10,0)</f>
        <v>0</v>
      </c>
      <c r="T29" s="33">
        <f>ROUND('Anexo 10'!T29*'Anexo 3'!$D$10,0)</f>
        <v>0</v>
      </c>
      <c r="U29" s="33">
        <f>ROUND('Anexo 10'!U29*'Anexo 3'!$D$10,0)</f>
        <v>0</v>
      </c>
      <c r="V29" s="33">
        <f>ROUND('Anexo 10'!V29*'Anexo 3'!$D$10,0)</f>
        <v>0</v>
      </c>
      <c r="W29" s="33">
        <f>ROUND('Anexo 10'!W29*'Anexo 3'!$D$10,0)</f>
        <v>0</v>
      </c>
      <c r="X29" s="33">
        <f>ROUND('Anexo 10'!X29*'Anexo 3'!$D$10,0)</f>
        <v>0</v>
      </c>
      <c r="Y29" s="33">
        <f>ROUND('Anexo 10'!Y29*'Anexo 3'!$D$10,0)</f>
        <v>0</v>
      </c>
      <c r="Z29" s="33">
        <f>ROUND('Anexo 10'!Z29*'Anexo 3'!$D$10,0)</f>
        <v>0</v>
      </c>
      <c r="AA29" s="41">
        <f t="shared" si="0"/>
        <v>0</v>
      </c>
      <c r="AB29" s="23">
        <v>6</v>
      </c>
      <c r="AC29" s="81"/>
      <c r="AD29" s="49"/>
    </row>
    <row r="30" spans="1:30" ht="15.75" thickBot="1" x14ac:dyDescent="0.3">
      <c r="A30" s="78">
        <v>46997</v>
      </c>
      <c r="B30" s="18" t="s">
        <v>8</v>
      </c>
      <c r="C30" s="33">
        <f>ROUND('Anexo 10'!C30*'Anexo 3'!$D$10,0)</f>
        <v>0</v>
      </c>
      <c r="D30" s="33">
        <f>ROUND('Anexo 10'!D30*'Anexo 3'!$D$10,0)</f>
        <v>0</v>
      </c>
      <c r="E30" s="33">
        <f>ROUND('Anexo 10'!E30*'Anexo 3'!$D$10,0)</f>
        <v>0</v>
      </c>
      <c r="F30" s="33">
        <f>ROUND('Anexo 10'!F30*'Anexo 3'!$D$10,0)</f>
        <v>0</v>
      </c>
      <c r="G30" s="33">
        <f>ROUND('Anexo 10'!G30*'Anexo 3'!$D$10,0)</f>
        <v>0</v>
      </c>
      <c r="H30" s="33">
        <f>ROUND('Anexo 10'!H30*'Anexo 3'!$D$10,0)</f>
        <v>0</v>
      </c>
      <c r="I30" s="33">
        <f>ROUND('Anexo 10'!I30*'Anexo 3'!$D$10,0)</f>
        <v>0</v>
      </c>
      <c r="J30" s="33">
        <f>ROUND('Anexo 10'!J30*'Anexo 3'!$D$10,0)</f>
        <v>0</v>
      </c>
      <c r="K30" s="33">
        <f>ROUND('Anexo 10'!K30*'Anexo 3'!$D$10,0)</f>
        <v>0</v>
      </c>
      <c r="L30" s="33">
        <f>ROUND('Anexo 10'!L30*'Anexo 3'!$D$10,0)</f>
        <v>0</v>
      </c>
      <c r="M30" s="33">
        <f>ROUND('Anexo 10'!M30*'Anexo 3'!$D$10,0)</f>
        <v>0</v>
      </c>
      <c r="N30" s="33">
        <f>ROUND('Anexo 10'!N30*'Anexo 3'!$D$10,0)</f>
        <v>0</v>
      </c>
      <c r="O30" s="33">
        <f>ROUND('Anexo 10'!O30*'Anexo 3'!$D$10,0)</f>
        <v>0</v>
      </c>
      <c r="P30" s="33">
        <f>ROUND('Anexo 10'!P30*'Anexo 3'!$D$10,0)</f>
        <v>0</v>
      </c>
      <c r="Q30" s="33">
        <f>ROUND('Anexo 10'!Q30*'Anexo 3'!$D$10,0)</f>
        <v>0</v>
      </c>
      <c r="R30" s="33">
        <f>ROUND('Anexo 10'!R30*'Anexo 3'!$D$10,0)</f>
        <v>0</v>
      </c>
      <c r="S30" s="33">
        <f>ROUND('Anexo 10'!S30*'Anexo 3'!$D$10,0)</f>
        <v>0</v>
      </c>
      <c r="T30" s="33">
        <f>ROUND('Anexo 10'!T30*'Anexo 3'!$D$10,0)</f>
        <v>0</v>
      </c>
      <c r="U30" s="33">
        <f>ROUND('Anexo 10'!U30*'Anexo 3'!$D$10,0)</f>
        <v>0</v>
      </c>
      <c r="V30" s="33">
        <f>ROUND('Anexo 10'!V30*'Anexo 3'!$D$10,0)</f>
        <v>0</v>
      </c>
      <c r="W30" s="33">
        <f>ROUND('Anexo 10'!W30*'Anexo 3'!$D$10,0)</f>
        <v>0</v>
      </c>
      <c r="X30" s="33">
        <f>ROUND('Anexo 10'!X30*'Anexo 3'!$D$10,0)</f>
        <v>0</v>
      </c>
      <c r="Y30" s="33">
        <f>ROUND('Anexo 10'!Y30*'Anexo 3'!$D$10,0)</f>
        <v>0</v>
      </c>
      <c r="Z30" s="33">
        <f>ROUND('Anexo 10'!Z30*'Anexo 3'!$D$10,0)</f>
        <v>0</v>
      </c>
      <c r="AA30" s="35">
        <f t="shared" si="0"/>
        <v>0</v>
      </c>
      <c r="AB30" s="19">
        <v>21</v>
      </c>
      <c r="AC30" s="79">
        <f>+AA30*AB30+AA31*AB31+AA32*AB32</f>
        <v>0</v>
      </c>
    </row>
    <row r="31" spans="1:30" ht="15.75" thickBot="1" x14ac:dyDescent="0.3">
      <c r="A31" s="78"/>
      <c r="B31" s="20" t="s">
        <v>7</v>
      </c>
      <c r="C31" s="33">
        <f>ROUND('Anexo 10'!C31*'Anexo 3'!$D$10,0)</f>
        <v>0</v>
      </c>
      <c r="D31" s="33">
        <f>ROUND('Anexo 10'!D31*'Anexo 3'!$D$10,0)</f>
        <v>0</v>
      </c>
      <c r="E31" s="33">
        <f>ROUND('Anexo 10'!E31*'Anexo 3'!$D$10,0)</f>
        <v>0</v>
      </c>
      <c r="F31" s="33">
        <f>ROUND('Anexo 10'!F31*'Anexo 3'!$D$10,0)</f>
        <v>0</v>
      </c>
      <c r="G31" s="33">
        <f>ROUND('Anexo 10'!G31*'Anexo 3'!$D$10,0)</f>
        <v>0</v>
      </c>
      <c r="H31" s="33">
        <f>ROUND('Anexo 10'!H31*'Anexo 3'!$D$10,0)</f>
        <v>0</v>
      </c>
      <c r="I31" s="33">
        <f>ROUND('Anexo 10'!I31*'Anexo 3'!$D$10,0)</f>
        <v>0</v>
      </c>
      <c r="J31" s="33">
        <f>ROUND('Anexo 10'!J31*'Anexo 3'!$D$10,0)</f>
        <v>0</v>
      </c>
      <c r="K31" s="33">
        <f>ROUND('Anexo 10'!K31*'Anexo 3'!$D$10,0)</f>
        <v>0</v>
      </c>
      <c r="L31" s="33">
        <f>ROUND('Anexo 10'!L31*'Anexo 3'!$D$10,0)</f>
        <v>0</v>
      </c>
      <c r="M31" s="33">
        <f>ROUND('Anexo 10'!M31*'Anexo 3'!$D$10,0)</f>
        <v>0</v>
      </c>
      <c r="N31" s="33">
        <f>ROUND('Anexo 10'!N31*'Anexo 3'!$D$10,0)</f>
        <v>0</v>
      </c>
      <c r="O31" s="33">
        <f>ROUND('Anexo 10'!O31*'Anexo 3'!$D$10,0)</f>
        <v>0</v>
      </c>
      <c r="P31" s="33">
        <f>ROUND('Anexo 10'!P31*'Anexo 3'!$D$10,0)</f>
        <v>0</v>
      </c>
      <c r="Q31" s="33">
        <f>ROUND('Anexo 10'!Q31*'Anexo 3'!$D$10,0)</f>
        <v>0</v>
      </c>
      <c r="R31" s="33">
        <f>ROUND('Anexo 10'!R31*'Anexo 3'!$D$10,0)</f>
        <v>0</v>
      </c>
      <c r="S31" s="33">
        <f>ROUND('Anexo 10'!S31*'Anexo 3'!$D$10,0)</f>
        <v>0</v>
      </c>
      <c r="T31" s="33">
        <f>ROUND('Anexo 10'!T31*'Anexo 3'!$D$10,0)</f>
        <v>0</v>
      </c>
      <c r="U31" s="33">
        <f>ROUND('Anexo 10'!U31*'Anexo 3'!$D$10,0)</f>
        <v>0</v>
      </c>
      <c r="V31" s="33">
        <f>ROUND('Anexo 10'!V31*'Anexo 3'!$D$10,0)</f>
        <v>0</v>
      </c>
      <c r="W31" s="33">
        <f>ROUND('Anexo 10'!W31*'Anexo 3'!$D$10,0)</f>
        <v>0</v>
      </c>
      <c r="X31" s="33">
        <f>ROUND('Anexo 10'!X31*'Anexo 3'!$D$10,0)</f>
        <v>0</v>
      </c>
      <c r="Y31" s="33">
        <f>ROUND('Anexo 10'!Y31*'Anexo 3'!$D$10,0)</f>
        <v>0</v>
      </c>
      <c r="Z31" s="33">
        <f>ROUND('Anexo 10'!Z31*'Anexo 3'!$D$10,0)</f>
        <v>0</v>
      </c>
      <c r="AA31" s="38">
        <f t="shared" si="0"/>
        <v>0</v>
      </c>
      <c r="AB31" s="21">
        <v>5</v>
      </c>
      <c r="AC31" s="80"/>
      <c r="AD31" s="47"/>
    </row>
    <row r="32" spans="1:30" ht="15.75" thickBot="1" x14ac:dyDescent="0.3">
      <c r="A32" s="78"/>
      <c r="B32" s="22" t="s">
        <v>6</v>
      </c>
      <c r="C32" s="33">
        <f>ROUND('Anexo 10'!C32*'Anexo 3'!$D$10,0)</f>
        <v>0</v>
      </c>
      <c r="D32" s="33">
        <f>ROUND('Anexo 10'!D32*'Anexo 3'!$D$10,0)</f>
        <v>0</v>
      </c>
      <c r="E32" s="33">
        <f>ROUND('Anexo 10'!E32*'Anexo 3'!$D$10,0)</f>
        <v>0</v>
      </c>
      <c r="F32" s="33">
        <f>ROUND('Anexo 10'!F32*'Anexo 3'!$D$10,0)</f>
        <v>0</v>
      </c>
      <c r="G32" s="33">
        <f>ROUND('Anexo 10'!G32*'Anexo 3'!$D$10,0)</f>
        <v>0</v>
      </c>
      <c r="H32" s="33">
        <f>ROUND('Anexo 10'!H32*'Anexo 3'!$D$10,0)</f>
        <v>0</v>
      </c>
      <c r="I32" s="33">
        <f>ROUND('Anexo 10'!I32*'Anexo 3'!$D$10,0)</f>
        <v>0</v>
      </c>
      <c r="J32" s="33">
        <f>ROUND('Anexo 10'!J32*'Anexo 3'!$D$10,0)</f>
        <v>0</v>
      </c>
      <c r="K32" s="33">
        <f>ROUND('Anexo 10'!K32*'Anexo 3'!$D$10,0)</f>
        <v>0</v>
      </c>
      <c r="L32" s="33">
        <f>ROUND('Anexo 10'!L32*'Anexo 3'!$D$10,0)</f>
        <v>0</v>
      </c>
      <c r="M32" s="33">
        <f>ROUND('Anexo 10'!M32*'Anexo 3'!$D$10,0)</f>
        <v>0</v>
      </c>
      <c r="N32" s="33">
        <f>ROUND('Anexo 10'!N32*'Anexo 3'!$D$10,0)</f>
        <v>0</v>
      </c>
      <c r="O32" s="33">
        <f>ROUND('Anexo 10'!O32*'Anexo 3'!$D$10,0)</f>
        <v>0</v>
      </c>
      <c r="P32" s="33">
        <f>ROUND('Anexo 10'!P32*'Anexo 3'!$D$10,0)</f>
        <v>0</v>
      </c>
      <c r="Q32" s="33">
        <f>ROUND('Anexo 10'!Q32*'Anexo 3'!$D$10,0)</f>
        <v>0</v>
      </c>
      <c r="R32" s="33">
        <f>ROUND('Anexo 10'!R32*'Anexo 3'!$D$10,0)</f>
        <v>0</v>
      </c>
      <c r="S32" s="33">
        <f>ROUND('Anexo 10'!S32*'Anexo 3'!$D$10,0)</f>
        <v>0</v>
      </c>
      <c r="T32" s="33">
        <f>ROUND('Anexo 10'!T32*'Anexo 3'!$D$10,0)</f>
        <v>0</v>
      </c>
      <c r="U32" s="33">
        <f>ROUND('Anexo 10'!U32*'Anexo 3'!$D$10,0)</f>
        <v>0</v>
      </c>
      <c r="V32" s="33">
        <f>ROUND('Anexo 10'!V32*'Anexo 3'!$D$10,0)</f>
        <v>0</v>
      </c>
      <c r="W32" s="33">
        <f>ROUND('Anexo 10'!W32*'Anexo 3'!$D$10,0)</f>
        <v>0</v>
      </c>
      <c r="X32" s="33">
        <f>ROUND('Anexo 10'!X32*'Anexo 3'!$D$10,0)</f>
        <v>0</v>
      </c>
      <c r="Y32" s="33">
        <f>ROUND('Anexo 10'!Y32*'Anexo 3'!$D$10,0)</f>
        <v>0</v>
      </c>
      <c r="Z32" s="33">
        <f>ROUND('Anexo 10'!Z32*'Anexo 3'!$D$10,0)</f>
        <v>0</v>
      </c>
      <c r="AA32" s="41">
        <f t="shared" si="0"/>
        <v>0</v>
      </c>
      <c r="AB32" s="23">
        <v>4</v>
      </c>
      <c r="AC32" s="81"/>
      <c r="AD32" s="48"/>
    </row>
    <row r="33" spans="1:30" ht="15.75" thickBot="1" x14ac:dyDescent="0.3">
      <c r="A33" s="78">
        <v>47027</v>
      </c>
      <c r="B33" s="18" t="s">
        <v>8</v>
      </c>
      <c r="C33" s="33">
        <f>ROUND('Anexo 10'!C33*'Anexo 3'!$D$10,0)</f>
        <v>0</v>
      </c>
      <c r="D33" s="33">
        <f>ROUND('Anexo 10'!D33*'Anexo 3'!$D$10,0)</f>
        <v>0</v>
      </c>
      <c r="E33" s="33">
        <f>ROUND('Anexo 10'!E33*'Anexo 3'!$D$10,0)</f>
        <v>0</v>
      </c>
      <c r="F33" s="33">
        <f>ROUND('Anexo 10'!F33*'Anexo 3'!$D$10,0)</f>
        <v>0</v>
      </c>
      <c r="G33" s="33">
        <f>ROUND('Anexo 10'!G33*'Anexo 3'!$D$10,0)</f>
        <v>0</v>
      </c>
      <c r="H33" s="33">
        <f>ROUND('Anexo 10'!H33*'Anexo 3'!$D$10,0)</f>
        <v>0</v>
      </c>
      <c r="I33" s="33">
        <f>ROUND('Anexo 10'!I33*'Anexo 3'!$D$10,0)</f>
        <v>0</v>
      </c>
      <c r="J33" s="33">
        <f>ROUND('Anexo 10'!J33*'Anexo 3'!$D$10,0)</f>
        <v>0</v>
      </c>
      <c r="K33" s="33">
        <f>ROUND('Anexo 10'!K33*'Anexo 3'!$D$10,0)</f>
        <v>0</v>
      </c>
      <c r="L33" s="33">
        <f>ROUND('Anexo 10'!L33*'Anexo 3'!$D$10,0)</f>
        <v>0</v>
      </c>
      <c r="M33" s="33">
        <f>ROUND('Anexo 10'!M33*'Anexo 3'!$D$10,0)</f>
        <v>0</v>
      </c>
      <c r="N33" s="33">
        <f>ROUND('Anexo 10'!N33*'Anexo 3'!$D$10,0)</f>
        <v>0</v>
      </c>
      <c r="O33" s="33">
        <f>ROUND('Anexo 10'!O33*'Anexo 3'!$D$10,0)</f>
        <v>0</v>
      </c>
      <c r="P33" s="33">
        <f>ROUND('Anexo 10'!P33*'Anexo 3'!$D$10,0)</f>
        <v>0</v>
      </c>
      <c r="Q33" s="33">
        <f>ROUND('Anexo 10'!Q33*'Anexo 3'!$D$10,0)</f>
        <v>0</v>
      </c>
      <c r="R33" s="33">
        <f>ROUND('Anexo 10'!R33*'Anexo 3'!$D$10,0)</f>
        <v>0</v>
      </c>
      <c r="S33" s="33">
        <f>ROUND('Anexo 10'!S33*'Anexo 3'!$D$10,0)</f>
        <v>0</v>
      </c>
      <c r="T33" s="33">
        <f>ROUND('Anexo 10'!T33*'Anexo 3'!$D$10,0)</f>
        <v>0</v>
      </c>
      <c r="U33" s="33">
        <f>ROUND('Anexo 10'!U33*'Anexo 3'!$D$10,0)</f>
        <v>0</v>
      </c>
      <c r="V33" s="33">
        <f>ROUND('Anexo 10'!V33*'Anexo 3'!$D$10,0)</f>
        <v>0</v>
      </c>
      <c r="W33" s="33">
        <f>ROUND('Anexo 10'!W33*'Anexo 3'!$D$10,0)</f>
        <v>0</v>
      </c>
      <c r="X33" s="33">
        <f>ROUND('Anexo 10'!X33*'Anexo 3'!$D$10,0)</f>
        <v>0</v>
      </c>
      <c r="Y33" s="33">
        <f>ROUND('Anexo 10'!Y33*'Anexo 3'!$D$10,0)</f>
        <v>0</v>
      </c>
      <c r="Z33" s="33">
        <f>ROUND('Anexo 10'!Z33*'Anexo 3'!$D$10,0)</f>
        <v>0</v>
      </c>
      <c r="AA33" s="35">
        <f t="shared" si="0"/>
        <v>0</v>
      </c>
      <c r="AB33" s="19">
        <v>21</v>
      </c>
      <c r="AC33" s="79">
        <f>+AA33*AB33+AA34*AB34+AA35*AB35</f>
        <v>0</v>
      </c>
    </row>
    <row r="34" spans="1:30" ht="15.75" thickBot="1" x14ac:dyDescent="0.3">
      <c r="A34" s="78"/>
      <c r="B34" s="20" t="s">
        <v>7</v>
      </c>
      <c r="C34" s="33">
        <f>ROUND('Anexo 10'!C34*'Anexo 3'!$D$10,0)</f>
        <v>0</v>
      </c>
      <c r="D34" s="33">
        <f>ROUND('Anexo 10'!D34*'Anexo 3'!$D$10,0)</f>
        <v>0</v>
      </c>
      <c r="E34" s="33">
        <f>ROUND('Anexo 10'!E34*'Anexo 3'!$D$10,0)</f>
        <v>0</v>
      </c>
      <c r="F34" s="33">
        <f>ROUND('Anexo 10'!F34*'Anexo 3'!$D$10,0)</f>
        <v>0</v>
      </c>
      <c r="G34" s="33">
        <f>ROUND('Anexo 10'!G34*'Anexo 3'!$D$10,0)</f>
        <v>0</v>
      </c>
      <c r="H34" s="33">
        <f>ROUND('Anexo 10'!H34*'Anexo 3'!$D$10,0)</f>
        <v>0</v>
      </c>
      <c r="I34" s="33">
        <f>ROUND('Anexo 10'!I34*'Anexo 3'!$D$10,0)</f>
        <v>0</v>
      </c>
      <c r="J34" s="33">
        <f>ROUND('Anexo 10'!J34*'Anexo 3'!$D$10,0)</f>
        <v>0</v>
      </c>
      <c r="K34" s="33">
        <f>ROUND('Anexo 10'!K34*'Anexo 3'!$D$10,0)</f>
        <v>0</v>
      </c>
      <c r="L34" s="33">
        <f>ROUND('Anexo 10'!L34*'Anexo 3'!$D$10,0)</f>
        <v>0</v>
      </c>
      <c r="M34" s="33">
        <f>ROUND('Anexo 10'!M34*'Anexo 3'!$D$10,0)</f>
        <v>0</v>
      </c>
      <c r="N34" s="33">
        <f>ROUND('Anexo 10'!N34*'Anexo 3'!$D$10,0)</f>
        <v>0</v>
      </c>
      <c r="O34" s="33">
        <f>ROUND('Anexo 10'!O34*'Anexo 3'!$D$10,0)</f>
        <v>0</v>
      </c>
      <c r="P34" s="33">
        <f>ROUND('Anexo 10'!P34*'Anexo 3'!$D$10,0)</f>
        <v>0</v>
      </c>
      <c r="Q34" s="33">
        <f>ROUND('Anexo 10'!Q34*'Anexo 3'!$D$10,0)</f>
        <v>0</v>
      </c>
      <c r="R34" s="33">
        <f>ROUND('Anexo 10'!R34*'Anexo 3'!$D$10,0)</f>
        <v>0</v>
      </c>
      <c r="S34" s="33">
        <f>ROUND('Anexo 10'!S34*'Anexo 3'!$D$10,0)</f>
        <v>0</v>
      </c>
      <c r="T34" s="33">
        <f>ROUND('Anexo 10'!T34*'Anexo 3'!$D$10,0)</f>
        <v>0</v>
      </c>
      <c r="U34" s="33">
        <f>ROUND('Anexo 10'!U34*'Anexo 3'!$D$10,0)</f>
        <v>0</v>
      </c>
      <c r="V34" s="33">
        <f>ROUND('Anexo 10'!V34*'Anexo 3'!$D$10,0)</f>
        <v>0</v>
      </c>
      <c r="W34" s="33">
        <f>ROUND('Anexo 10'!W34*'Anexo 3'!$D$10,0)</f>
        <v>0</v>
      </c>
      <c r="X34" s="33">
        <f>ROUND('Anexo 10'!X34*'Anexo 3'!$D$10,0)</f>
        <v>0</v>
      </c>
      <c r="Y34" s="33">
        <f>ROUND('Anexo 10'!Y34*'Anexo 3'!$D$10,0)</f>
        <v>0</v>
      </c>
      <c r="Z34" s="33">
        <f>ROUND('Anexo 10'!Z34*'Anexo 3'!$D$10,0)</f>
        <v>0</v>
      </c>
      <c r="AA34" s="38">
        <f t="shared" si="0"/>
        <v>0</v>
      </c>
      <c r="AB34" s="21">
        <v>4</v>
      </c>
      <c r="AC34" s="80"/>
      <c r="AD34" s="47"/>
    </row>
    <row r="35" spans="1:30" ht="15.75" thickBot="1" x14ac:dyDescent="0.3">
      <c r="A35" s="78"/>
      <c r="B35" s="22" t="s">
        <v>6</v>
      </c>
      <c r="C35" s="33">
        <f>ROUND('Anexo 10'!C35*'Anexo 3'!$D$10,0)</f>
        <v>0</v>
      </c>
      <c r="D35" s="33">
        <f>ROUND('Anexo 10'!D35*'Anexo 3'!$D$10,0)</f>
        <v>0</v>
      </c>
      <c r="E35" s="33">
        <f>ROUND('Anexo 10'!E35*'Anexo 3'!$D$10,0)</f>
        <v>0</v>
      </c>
      <c r="F35" s="33">
        <f>ROUND('Anexo 10'!F35*'Anexo 3'!$D$10,0)</f>
        <v>0</v>
      </c>
      <c r="G35" s="33">
        <f>ROUND('Anexo 10'!G35*'Anexo 3'!$D$10,0)</f>
        <v>0</v>
      </c>
      <c r="H35" s="33">
        <f>ROUND('Anexo 10'!H35*'Anexo 3'!$D$10,0)</f>
        <v>0</v>
      </c>
      <c r="I35" s="33">
        <f>ROUND('Anexo 10'!I35*'Anexo 3'!$D$10,0)</f>
        <v>0</v>
      </c>
      <c r="J35" s="33">
        <f>ROUND('Anexo 10'!J35*'Anexo 3'!$D$10,0)</f>
        <v>0</v>
      </c>
      <c r="K35" s="33">
        <f>ROUND('Anexo 10'!K35*'Anexo 3'!$D$10,0)</f>
        <v>0</v>
      </c>
      <c r="L35" s="33">
        <f>ROUND('Anexo 10'!L35*'Anexo 3'!$D$10,0)</f>
        <v>0</v>
      </c>
      <c r="M35" s="33">
        <f>ROUND('Anexo 10'!M35*'Anexo 3'!$D$10,0)</f>
        <v>0</v>
      </c>
      <c r="N35" s="33">
        <f>ROUND('Anexo 10'!N35*'Anexo 3'!$D$10,0)</f>
        <v>0</v>
      </c>
      <c r="O35" s="33">
        <f>ROUND('Anexo 10'!O35*'Anexo 3'!$D$10,0)</f>
        <v>0</v>
      </c>
      <c r="P35" s="33">
        <f>ROUND('Anexo 10'!P35*'Anexo 3'!$D$10,0)</f>
        <v>0</v>
      </c>
      <c r="Q35" s="33">
        <f>ROUND('Anexo 10'!Q35*'Anexo 3'!$D$10,0)</f>
        <v>0</v>
      </c>
      <c r="R35" s="33">
        <f>ROUND('Anexo 10'!R35*'Anexo 3'!$D$10,0)</f>
        <v>0</v>
      </c>
      <c r="S35" s="33">
        <f>ROUND('Anexo 10'!S35*'Anexo 3'!$D$10,0)</f>
        <v>0</v>
      </c>
      <c r="T35" s="33">
        <f>ROUND('Anexo 10'!T35*'Anexo 3'!$D$10,0)</f>
        <v>0</v>
      </c>
      <c r="U35" s="33">
        <f>ROUND('Anexo 10'!U35*'Anexo 3'!$D$10,0)</f>
        <v>0</v>
      </c>
      <c r="V35" s="33">
        <f>ROUND('Anexo 10'!V35*'Anexo 3'!$D$10,0)</f>
        <v>0</v>
      </c>
      <c r="W35" s="33">
        <f>ROUND('Anexo 10'!W35*'Anexo 3'!$D$10,0)</f>
        <v>0</v>
      </c>
      <c r="X35" s="33">
        <f>ROUND('Anexo 10'!X35*'Anexo 3'!$D$10,0)</f>
        <v>0</v>
      </c>
      <c r="Y35" s="33">
        <f>ROUND('Anexo 10'!Y35*'Anexo 3'!$D$10,0)</f>
        <v>0</v>
      </c>
      <c r="Z35" s="33">
        <f>ROUND('Anexo 10'!Z35*'Anexo 3'!$D$10,0)</f>
        <v>0</v>
      </c>
      <c r="AA35" s="41">
        <f t="shared" si="0"/>
        <v>0</v>
      </c>
      <c r="AB35" s="23">
        <v>6</v>
      </c>
      <c r="AC35" s="81"/>
      <c r="AD35" s="48"/>
    </row>
    <row r="36" spans="1:30" ht="15.75" thickBot="1" x14ac:dyDescent="0.3">
      <c r="A36" s="78">
        <v>47058</v>
      </c>
      <c r="B36" s="18" t="s">
        <v>8</v>
      </c>
      <c r="C36" s="33">
        <f>ROUND('Anexo 10'!C36*'Anexo 3'!$D$10,0)</f>
        <v>0</v>
      </c>
      <c r="D36" s="33">
        <f>ROUND('Anexo 10'!D36*'Anexo 3'!$D$10,0)</f>
        <v>0</v>
      </c>
      <c r="E36" s="33">
        <f>ROUND('Anexo 10'!E36*'Anexo 3'!$D$10,0)</f>
        <v>0</v>
      </c>
      <c r="F36" s="33">
        <f>ROUND('Anexo 10'!F36*'Anexo 3'!$D$10,0)</f>
        <v>0</v>
      </c>
      <c r="G36" s="33">
        <f>ROUND('Anexo 10'!G36*'Anexo 3'!$D$10,0)</f>
        <v>0</v>
      </c>
      <c r="H36" s="33">
        <f>ROUND('Anexo 10'!H36*'Anexo 3'!$D$10,0)</f>
        <v>0</v>
      </c>
      <c r="I36" s="33">
        <f>ROUND('Anexo 10'!I36*'Anexo 3'!$D$10,0)</f>
        <v>0</v>
      </c>
      <c r="J36" s="33">
        <f>ROUND('Anexo 10'!J36*'Anexo 3'!$D$10,0)</f>
        <v>0</v>
      </c>
      <c r="K36" s="33">
        <f>ROUND('Anexo 10'!K36*'Anexo 3'!$D$10,0)</f>
        <v>0</v>
      </c>
      <c r="L36" s="33">
        <f>ROUND('Anexo 10'!L36*'Anexo 3'!$D$10,0)</f>
        <v>0</v>
      </c>
      <c r="M36" s="33">
        <f>ROUND('Anexo 10'!M36*'Anexo 3'!$D$10,0)</f>
        <v>0</v>
      </c>
      <c r="N36" s="33">
        <f>ROUND('Anexo 10'!N36*'Anexo 3'!$D$10,0)</f>
        <v>0</v>
      </c>
      <c r="O36" s="33">
        <f>ROUND('Anexo 10'!O36*'Anexo 3'!$D$10,0)</f>
        <v>0</v>
      </c>
      <c r="P36" s="33">
        <f>ROUND('Anexo 10'!P36*'Anexo 3'!$D$10,0)</f>
        <v>0</v>
      </c>
      <c r="Q36" s="33">
        <f>ROUND('Anexo 10'!Q36*'Anexo 3'!$D$10,0)</f>
        <v>0</v>
      </c>
      <c r="R36" s="33">
        <f>ROUND('Anexo 10'!R36*'Anexo 3'!$D$10,0)</f>
        <v>0</v>
      </c>
      <c r="S36" s="33">
        <f>ROUND('Anexo 10'!S36*'Anexo 3'!$D$10,0)</f>
        <v>0</v>
      </c>
      <c r="T36" s="33">
        <f>ROUND('Anexo 10'!T36*'Anexo 3'!$D$10,0)</f>
        <v>0</v>
      </c>
      <c r="U36" s="33">
        <f>ROUND('Anexo 10'!U36*'Anexo 3'!$D$10,0)</f>
        <v>0</v>
      </c>
      <c r="V36" s="33">
        <f>ROUND('Anexo 10'!V36*'Anexo 3'!$D$10,0)</f>
        <v>0</v>
      </c>
      <c r="W36" s="33">
        <f>ROUND('Anexo 10'!W36*'Anexo 3'!$D$10,0)</f>
        <v>0</v>
      </c>
      <c r="X36" s="33">
        <f>ROUND('Anexo 10'!X36*'Anexo 3'!$D$10,0)</f>
        <v>0</v>
      </c>
      <c r="Y36" s="33">
        <f>ROUND('Anexo 10'!Y36*'Anexo 3'!$D$10,0)</f>
        <v>0</v>
      </c>
      <c r="Z36" s="33">
        <f>ROUND('Anexo 10'!Z36*'Anexo 3'!$D$10,0)</f>
        <v>0</v>
      </c>
      <c r="AA36" s="35">
        <f t="shared" si="0"/>
        <v>0</v>
      </c>
      <c r="AB36" s="19">
        <v>20</v>
      </c>
      <c r="AC36" s="79">
        <f>+AA36*AB36+AA37*AB37+AA38*AB38</f>
        <v>0</v>
      </c>
    </row>
    <row r="37" spans="1:30" ht="15.75" thickBot="1" x14ac:dyDescent="0.3">
      <c r="A37" s="78"/>
      <c r="B37" s="20" t="s">
        <v>7</v>
      </c>
      <c r="C37" s="33">
        <f>ROUND('Anexo 10'!C37*'Anexo 3'!$D$10,0)</f>
        <v>0</v>
      </c>
      <c r="D37" s="33">
        <f>ROUND('Anexo 10'!D37*'Anexo 3'!$D$10,0)</f>
        <v>0</v>
      </c>
      <c r="E37" s="33">
        <f>ROUND('Anexo 10'!E37*'Anexo 3'!$D$10,0)</f>
        <v>0</v>
      </c>
      <c r="F37" s="33">
        <f>ROUND('Anexo 10'!F37*'Anexo 3'!$D$10,0)</f>
        <v>0</v>
      </c>
      <c r="G37" s="33">
        <f>ROUND('Anexo 10'!G37*'Anexo 3'!$D$10,0)</f>
        <v>0</v>
      </c>
      <c r="H37" s="33">
        <f>ROUND('Anexo 10'!H37*'Anexo 3'!$D$10,0)</f>
        <v>0</v>
      </c>
      <c r="I37" s="33">
        <f>ROUND('Anexo 10'!I37*'Anexo 3'!$D$10,0)</f>
        <v>0</v>
      </c>
      <c r="J37" s="33">
        <f>ROUND('Anexo 10'!J37*'Anexo 3'!$D$10,0)</f>
        <v>0</v>
      </c>
      <c r="K37" s="33">
        <f>ROUND('Anexo 10'!K37*'Anexo 3'!$D$10,0)</f>
        <v>0</v>
      </c>
      <c r="L37" s="33">
        <f>ROUND('Anexo 10'!L37*'Anexo 3'!$D$10,0)</f>
        <v>0</v>
      </c>
      <c r="M37" s="33">
        <f>ROUND('Anexo 10'!M37*'Anexo 3'!$D$10,0)</f>
        <v>0</v>
      </c>
      <c r="N37" s="33">
        <f>ROUND('Anexo 10'!N37*'Anexo 3'!$D$10,0)</f>
        <v>0</v>
      </c>
      <c r="O37" s="33">
        <f>ROUND('Anexo 10'!O37*'Anexo 3'!$D$10,0)</f>
        <v>0</v>
      </c>
      <c r="P37" s="33">
        <f>ROUND('Anexo 10'!P37*'Anexo 3'!$D$10,0)</f>
        <v>0</v>
      </c>
      <c r="Q37" s="33">
        <f>ROUND('Anexo 10'!Q37*'Anexo 3'!$D$10,0)</f>
        <v>0</v>
      </c>
      <c r="R37" s="33">
        <f>ROUND('Anexo 10'!R37*'Anexo 3'!$D$10,0)</f>
        <v>0</v>
      </c>
      <c r="S37" s="33">
        <f>ROUND('Anexo 10'!S37*'Anexo 3'!$D$10,0)</f>
        <v>0</v>
      </c>
      <c r="T37" s="33">
        <f>ROUND('Anexo 10'!T37*'Anexo 3'!$D$10,0)</f>
        <v>0</v>
      </c>
      <c r="U37" s="33">
        <f>ROUND('Anexo 10'!U37*'Anexo 3'!$D$10,0)</f>
        <v>0</v>
      </c>
      <c r="V37" s="33">
        <f>ROUND('Anexo 10'!V37*'Anexo 3'!$D$10,0)</f>
        <v>0</v>
      </c>
      <c r="W37" s="33">
        <f>ROUND('Anexo 10'!W37*'Anexo 3'!$D$10,0)</f>
        <v>0</v>
      </c>
      <c r="X37" s="33">
        <f>ROUND('Anexo 10'!X37*'Anexo 3'!$D$10,0)</f>
        <v>0</v>
      </c>
      <c r="Y37" s="33">
        <f>ROUND('Anexo 10'!Y37*'Anexo 3'!$D$10,0)</f>
        <v>0</v>
      </c>
      <c r="Z37" s="33">
        <f>ROUND('Anexo 10'!Z37*'Anexo 3'!$D$10,0)</f>
        <v>0</v>
      </c>
      <c r="AA37" s="38">
        <f t="shared" si="0"/>
        <v>0</v>
      </c>
      <c r="AB37" s="21">
        <v>4</v>
      </c>
      <c r="AC37" s="80"/>
      <c r="AD37" s="47"/>
    </row>
    <row r="38" spans="1:30" ht="15.75" thickBot="1" x14ac:dyDescent="0.3">
      <c r="A38" s="78"/>
      <c r="B38" s="22" t="s">
        <v>6</v>
      </c>
      <c r="C38" s="33">
        <f>ROUND('Anexo 10'!C38*'Anexo 3'!$D$10,0)</f>
        <v>0</v>
      </c>
      <c r="D38" s="33">
        <f>ROUND('Anexo 10'!D38*'Anexo 3'!$D$10,0)</f>
        <v>0</v>
      </c>
      <c r="E38" s="33">
        <f>ROUND('Anexo 10'!E38*'Anexo 3'!$D$10,0)</f>
        <v>0</v>
      </c>
      <c r="F38" s="33">
        <f>ROUND('Anexo 10'!F38*'Anexo 3'!$D$10,0)</f>
        <v>0</v>
      </c>
      <c r="G38" s="33">
        <f>ROUND('Anexo 10'!G38*'Anexo 3'!$D$10,0)</f>
        <v>0</v>
      </c>
      <c r="H38" s="33">
        <f>ROUND('Anexo 10'!H38*'Anexo 3'!$D$10,0)</f>
        <v>0</v>
      </c>
      <c r="I38" s="33">
        <f>ROUND('Anexo 10'!I38*'Anexo 3'!$D$10,0)</f>
        <v>0</v>
      </c>
      <c r="J38" s="33">
        <f>ROUND('Anexo 10'!J38*'Anexo 3'!$D$10,0)</f>
        <v>0</v>
      </c>
      <c r="K38" s="33">
        <f>ROUND('Anexo 10'!K38*'Anexo 3'!$D$10,0)</f>
        <v>0</v>
      </c>
      <c r="L38" s="33">
        <f>ROUND('Anexo 10'!L38*'Anexo 3'!$D$10,0)</f>
        <v>0</v>
      </c>
      <c r="M38" s="33">
        <f>ROUND('Anexo 10'!M38*'Anexo 3'!$D$10,0)</f>
        <v>0</v>
      </c>
      <c r="N38" s="33">
        <f>ROUND('Anexo 10'!N38*'Anexo 3'!$D$10,0)</f>
        <v>0</v>
      </c>
      <c r="O38" s="33">
        <f>ROUND('Anexo 10'!O38*'Anexo 3'!$D$10,0)</f>
        <v>0</v>
      </c>
      <c r="P38" s="33">
        <f>ROUND('Anexo 10'!P38*'Anexo 3'!$D$10,0)</f>
        <v>0</v>
      </c>
      <c r="Q38" s="33">
        <f>ROUND('Anexo 10'!Q38*'Anexo 3'!$D$10,0)</f>
        <v>0</v>
      </c>
      <c r="R38" s="33">
        <f>ROUND('Anexo 10'!R38*'Anexo 3'!$D$10,0)</f>
        <v>0</v>
      </c>
      <c r="S38" s="33">
        <f>ROUND('Anexo 10'!S38*'Anexo 3'!$D$10,0)</f>
        <v>0</v>
      </c>
      <c r="T38" s="33">
        <f>ROUND('Anexo 10'!T38*'Anexo 3'!$D$10,0)</f>
        <v>0</v>
      </c>
      <c r="U38" s="33">
        <f>ROUND('Anexo 10'!U38*'Anexo 3'!$D$10,0)</f>
        <v>0</v>
      </c>
      <c r="V38" s="33">
        <f>ROUND('Anexo 10'!V38*'Anexo 3'!$D$10,0)</f>
        <v>0</v>
      </c>
      <c r="W38" s="33">
        <f>ROUND('Anexo 10'!W38*'Anexo 3'!$D$10,0)</f>
        <v>0</v>
      </c>
      <c r="X38" s="33">
        <f>ROUND('Anexo 10'!X38*'Anexo 3'!$D$10,0)</f>
        <v>0</v>
      </c>
      <c r="Y38" s="33">
        <f>ROUND('Anexo 10'!Y38*'Anexo 3'!$D$10,0)</f>
        <v>0</v>
      </c>
      <c r="Z38" s="33">
        <f>ROUND('Anexo 10'!Z38*'Anexo 3'!$D$10,0)</f>
        <v>0</v>
      </c>
      <c r="AA38" s="41">
        <f t="shared" si="0"/>
        <v>0</v>
      </c>
      <c r="AB38" s="23">
        <v>6</v>
      </c>
      <c r="AC38" s="81"/>
      <c r="AD38" s="49"/>
    </row>
    <row r="39" spans="1:30" ht="15.75" thickBot="1" x14ac:dyDescent="0.3">
      <c r="A39" s="78">
        <v>47088</v>
      </c>
      <c r="B39" s="18" t="s">
        <v>8</v>
      </c>
      <c r="C39" s="33">
        <f>ROUND('Anexo 10'!C39*'Anexo 3'!$D$10,0)</f>
        <v>0</v>
      </c>
      <c r="D39" s="33">
        <f>ROUND('Anexo 10'!D39*'Anexo 3'!$D$10,0)</f>
        <v>0</v>
      </c>
      <c r="E39" s="33">
        <f>ROUND('Anexo 10'!E39*'Anexo 3'!$D$10,0)</f>
        <v>0</v>
      </c>
      <c r="F39" s="33">
        <f>ROUND('Anexo 10'!F39*'Anexo 3'!$D$10,0)</f>
        <v>0</v>
      </c>
      <c r="G39" s="33">
        <f>ROUND('Anexo 10'!G39*'Anexo 3'!$D$10,0)</f>
        <v>0</v>
      </c>
      <c r="H39" s="33">
        <f>ROUND('Anexo 10'!H39*'Anexo 3'!$D$10,0)</f>
        <v>0</v>
      </c>
      <c r="I39" s="33">
        <f>ROUND('Anexo 10'!I39*'Anexo 3'!$D$10,0)</f>
        <v>0</v>
      </c>
      <c r="J39" s="33">
        <f>ROUND('Anexo 10'!J39*'Anexo 3'!$D$10,0)</f>
        <v>0</v>
      </c>
      <c r="K39" s="33">
        <f>ROUND('Anexo 10'!K39*'Anexo 3'!$D$10,0)</f>
        <v>0</v>
      </c>
      <c r="L39" s="33">
        <f>ROUND('Anexo 10'!L39*'Anexo 3'!$D$10,0)</f>
        <v>0</v>
      </c>
      <c r="M39" s="33">
        <f>ROUND('Anexo 10'!M39*'Anexo 3'!$D$10,0)</f>
        <v>0</v>
      </c>
      <c r="N39" s="33">
        <f>ROUND('Anexo 10'!N39*'Anexo 3'!$D$10,0)</f>
        <v>0</v>
      </c>
      <c r="O39" s="33">
        <f>ROUND('Anexo 10'!O39*'Anexo 3'!$D$10,0)</f>
        <v>0</v>
      </c>
      <c r="P39" s="33">
        <f>ROUND('Anexo 10'!P39*'Anexo 3'!$D$10,0)</f>
        <v>0</v>
      </c>
      <c r="Q39" s="33">
        <f>ROUND('Anexo 10'!Q39*'Anexo 3'!$D$10,0)</f>
        <v>0</v>
      </c>
      <c r="R39" s="33">
        <f>ROUND('Anexo 10'!R39*'Anexo 3'!$D$10,0)</f>
        <v>0</v>
      </c>
      <c r="S39" s="33">
        <f>ROUND('Anexo 10'!S39*'Anexo 3'!$D$10,0)</f>
        <v>0</v>
      </c>
      <c r="T39" s="33">
        <f>ROUND('Anexo 10'!T39*'Anexo 3'!$D$10,0)</f>
        <v>0</v>
      </c>
      <c r="U39" s="33">
        <f>ROUND('Anexo 10'!U39*'Anexo 3'!$D$10,0)</f>
        <v>0</v>
      </c>
      <c r="V39" s="33">
        <f>ROUND('Anexo 10'!V39*'Anexo 3'!$D$10,0)</f>
        <v>0</v>
      </c>
      <c r="W39" s="33">
        <f>ROUND('Anexo 10'!W39*'Anexo 3'!$D$10,0)</f>
        <v>0</v>
      </c>
      <c r="X39" s="33">
        <f>ROUND('Anexo 10'!X39*'Anexo 3'!$D$10,0)</f>
        <v>0</v>
      </c>
      <c r="Y39" s="33">
        <f>ROUND('Anexo 10'!Y39*'Anexo 3'!$D$10,0)</f>
        <v>0</v>
      </c>
      <c r="Z39" s="33">
        <f>ROUND('Anexo 10'!Z39*'Anexo 3'!$D$10,0)</f>
        <v>0</v>
      </c>
      <c r="AA39" s="35">
        <f t="shared" si="0"/>
        <v>0</v>
      </c>
      <c r="AB39" s="19">
        <v>19</v>
      </c>
      <c r="AC39" s="79">
        <f>+AA39*AB39+AA40*AB40+AA41*AB41</f>
        <v>0</v>
      </c>
    </row>
    <row r="40" spans="1:30" ht="15.75" thickBot="1" x14ac:dyDescent="0.3">
      <c r="A40" s="78"/>
      <c r="B40" s="20" t="s">
        <v>7</v>
      </c>
      <c r="C40" s="33">
        <f>ROUND('Anexo 10'!C40*'Anexo 3'!$D$10,0)</f>
        <v>0</v>
      </c>
      <c r="D40" s="33">
        <f>ROUND('Anexo 10'!D40*'Anexo 3'!$D$10,0)</f>
        <v>0</v>
      </c>
      <c r="E40" s="33">
        <f>ROUND('Anexo 10'!E40*'Anexo 3'!$D$10,0)</f>
        <v>0</v>
      </c>
      <c r="F40" s="33">
        <f>ROUND('Anexo 10'!F40*'Anexo 3'!$D$10,0)</f>
        <v>0</v>
      </c>
      <c r="G40" s="33">
        <f>ROUND('Anexo 10'!G40*'Anexo 3'!$D$10,0)</f>
        <v>0</v>
      </c>
      <c r="H40" s="33">
        <f>ROUND('Anexo 10'!H40*'Anexo 3'!$D$10,0)</f>
        <v>0</v>
      </c>
      <c r="I40" s="33">
        <f>ROUND('Anexo 10'!I40*'Anexo 3'!$D$10,0)</f>
        <v>0</v>
      </c>
      <c r="J40" s="33">
        <f>ROUND('Anexo 10'!J40*'Anexo 3'!$D$10,0)</f>
        <v>0</v>
      </c>
      <c r="K40" s="33">
        <f>ROUND('Anexo 10'!K40*'Anexo 3'!$D$10,0)</f>
        <v>0</v>
      </c>
      <c r="L40" s="33">
        <f>ROUND('Anexo 10'!L40*'Anexo 3'!$D$10,0)</f>
        <v>0</v>
      </c>
      <c r="M40" s="33">
        <f>ROUND('Anexo 10'!M40*'Anexo 3'!$D$10,0)</f>
        <v>0</v>
      </c>
      <c r="N40" s="33">
        <f>ROUND('Anexo 10'!N40*'Anexo 3'!$D$10,0)</f>
        <v>0</v>
      </c>
      <c r="O40" s="33">
        <f>ROUND('Anexo 10'!O40*'Anexo 3'!$D$10,0)</f>
        <v>0</v>
      </c>
      <c r="P40" s="33">
        <f>ROUND('Anexo 10'!P40*'Anexo 3'!$D$10,0)</f>
        <v>0</v>
      </c>
      <c r="Q40" s="33">
        <f>ROUND('Anexo 10'!Q40*'Anexo 3'!$D$10,0)</f>
        <v>0</v>
      </c>
      <c r="R40" s="33">
        <f>ROUND('Anexo 10'!R40*'Anexo 3'!$D$10,0)</f>
        <v>0</v>
      </c>
      <c r="S40" s="33">
        <f>ROUND('Anexo 10'!S40*'Anexo 3'!$D$10,0)</f>
        <v>0</v>
      </c>
      <c r="T40" s="33">
        <f>ROUND('Anexo 10'!T40*'Anexo 3'!$D$10,0)</f>
        <v>0</v>
      </c>
      <c r="U40" s="33">
        <f>ROUND('Anexo 10'!U40*'Anexo 3'!$D$10,0)</f>
        <v>0</v>
      </c>
      <c r="V40" s="33">
        <f>ROUND('Anexo 10'!V40*'Anexo 3'!$D$10,0)</f>
        <v>0</v>
      </c>
      <c r="W40" s="33">
        <f>ROUND('Anexo 10'!W40*'Anexo 3'!$D$10,0)</f>
        <v>0</v>
      </c>
      <c r="X40" s="33">
        <f>ROUND('Anexo 10'!X40*'Anexo 3'!$D$10,0)</f>
        <v>0</v>
      </c>
      <c r="Y40" s="33">
        <f>ROUND('Anexo 10'!Y40*'Anexo 3'!$D$10,0)</f>
        <v>0</v>
      </c>
      <c r="Z40" s="33">
        <f>ROUND('Anexo 10'!Z40*'Anexo 3'!$D$10,0)</f>
        <v>0</v>
      </c>
      <c r="AA40" s="38">
        <f t="shared" si="0"/>
        <v>0</v>
      </c>
      <c r="AB40" s="21">
        <v>5</v>
      </c>
      <c r="AC40" s="80"/>
      <c r="AD40" s="47"/>
    </row>
    <row r="41" spans="1:30" ht="15.75" thickBot="1" x14ac:dyDescent="0.3">
      <c r="A41" s="78"/>
      <c r="B41" s="22" t="s">
        <v>6</v>
      </c>
      <c r="C41" s="33">
        <f>ROUND('Anexo 10'!C41*'Anexo 3'!$D$10,0)</f>
        <v>0</v>
      </c>
      <c r="D41" s="33">
        <f>ROUND('Anexo 10'!D41*'Anexo 3'!$D$10,0)</f>
        <v>0</v>
      </c>
      <c r="E41" s="33">
        <f>ROUND('Anexo 10'!E41*'Anexo 3'!$D$10,0)</f>
        <v>0</v>
      </c>
      <c r="F41" s="33">
        <f>ROUND('Anexo 10'!F41*'Anexo 3'!$D$10,0)</f>
        <v>0</v>
      </c>
      <c r="G41" s="33">
        <f>ROUND('Anexo 10'!G41*'Anexo 3'!$D$10,0)</f>
        <v>0</v>
      </c>
      <c r="H41" s="33">
        <f>ROUND('Anexo 10'!H41*'Anexo 3'!$D$10,0)</f>
        <v>0</v>
      </c>
      <c r="I41" s="33">
        <f>ROUND('Anexo 10'!I41*'Anexo 3'!$D$10,0)</f>
        <v>0</v>
      </c>
      <c r="J41" s="33">
        <f>ROUND('Anexo 10'!J41*'Anexo 3'!$D$10,0)</f>
        <v>0</v>
      </c>
      <c r="K41" s="33">
        <f>ROUND('Anexo 10'!K41*'Anexo 3'!$D$10,0)</f>
        <v>0</v>
      </c>
      <c r="L41" s="33">
        <f>ROUND('Anexo 10'!L41*'Anexo 3'!$D$10,0)</f>
        <v>0</v>
      </c>
      <c r="M41" s="33">
        <f>ROUND('Anexo 10'!M41*'Anexo 3'!$D$10,0)</f>
        <v>0</v>
      </c>
      <c r="N41" s="33">
        <f>ROUND('Anexo 10'!N41*'Anexo 3'!$D$10,0)</f>
        <v>0</v>
      </c>
      <c r="O41" s="33">
        <f>ROUND('Anexo 10'!O41*'Anexo 3'!$D$10,0)</f>
        <v>0</v>
      </c>
      <c r="P41" s="33">
        <f>ROUND('Anexo 10'!P41*'Anexo 3'!$D$10,0)</f>
        <v>0</v>
      </c>
      <c r="Q41" s="33">
        <f>ROUND('Anexo 10'!Q41*'Anexo 3'!$D$10,0)</f>
        <v>0</v>
      </c>
      <c r="R41" s="33">
        <f>ROUND('Anexo 10'!R41*'Anexo 3'!$D$10,0)</f>
        <v>0</v>
      </c>
      <c r="S41" s="33">
        <f>ROUND('Anexo 10'!S41*'Anexo 3'!$D$10,0)</f>
        <v>0</v>
      </c>
      <c r="T41" s="33">
        <f>ROUND('Anexo 10'!T41*'Anexo 3'!$D$10,0)</f>
        <v>0</v>
      </c>
      <c r="U41" s="33">
        <f>ROUND('Anexo 10'!U41*'Anexo 3'!$D$10,0)</f>
        <v>0</v>
      </c>
      <c r="V41" s="33">
        <f>ROUND('Anexo 10'!V41*'Anexo 3'!$D$10,0)</f>
        <v>0</v>
      </c>
      <c r="W41" s="33">
        <f>ROUND('Anexo 10'!W41*'Anexo 3'!$D$10,0)</f>
        <v>0</v>
      </c>
      <c r="X41" s="33">
        <f>ROUND('Anexo 10'!X41*'Anexo 3'!$D$10,0)</f>
        <v>0</v>
      </c>
      <c r="Y41" s="33">
        <f>ROUND('Anexo 10'!Y41*'Anexo 3'!$D$10,0)</f>
        <v>0</v>
      </c>
      <c r="Z41" s="33">
        <f>ROUND('Anexo 10'!Z41*'Anexo 3'!$D$10,0)</f>
        <v>0</v>
      </c>
      <c r="AA41" s="41">
        <f t="shared" si="0"/>
        <v>0</v>
      </c>
      <c r="AB41" s="23">
        <v>7</v>
      </c>
      <c r="AC41" s="81"/>
      <c r="AD41" s="42"/>
    </row>
    <row r="42" spans="1:30" ht="15.75" thickBot="1" x14ac:dyDescent="0.3">
      <c r="A42" s="76" t="s">
        <v>5</v>
      </c>
      <c r="B42" s="77"/>
      <c r="C42" s="33">
        <f>ROUND('Anexo 10'!C42*'Anexo 3'!$D$10,0)</f>
        <v>0</v>
      </c>
      <c r="D42" s="33">
        <f>ROUND('Anexo 10'!D42*'Anexo 3'!$D$10,0)</f>
        <v>0</v>
      </c>
      <c r="E42" s="33">
        <f>ROUND('Anexo 10'!E42*'Anexo 3'!$D$10,0)</f>
        <v>0</v>
      </c>
      <c r="F42" s="33">
        <f>ROUND('Anexo 10'!F42*'Anexo 3'!$D$10,0)</f>
        <v>0</v>
      </c>
      <c r="G42" s="33">
        <f>ROUND('Anexo 10'!G42*'Anexo 3'!$D$10,0)</f>
        <v>0</v>
      </c>
      <c r="H42" s="33">
        <f>ROUND('Anexo 10'!H42*'Anexo 3'!$D$10,0)</f>
        <v>0</v>
      </c>
      <c r="I42" s="33">
        <f>ROUND('Anexo 10'!I42*'Anexo 3'!$D$10,0)</f>
        <v>0</v>
      </c>
      <c r="J42" s="33">
        <f>ROUND('Anexo 10'!J42*'Anexo 3'!$D$10,0)</f>
        <v>0</v>
      </c>
      <c r="K42" s="33">
        <f>ROUND('Anexo 10'!K42*'Anexo 3'!$D$10,0)</f>
        <v>0</v>
      </c>
      <c r="L42" s="33">
        <f>ROUND('Anexo 10'!L42*'Anexo 3'!$D$10,0)</f>
        <v>0</v>
      </c>
      <c r="M42" s="33">
        <f>ROUND('Anexo 10'!M42*'Anexo 3'!$D$10,0)</f>
        <v>0</v>
      </c>
      <c r="N42" s="33">
        <f>ROUND('Anexo 10'!N42*'Anexo 3'!$D$10,0)</f>
        <v>0</v>
      </c>
      <c r="O42" s="33">
        <f>ROUND('Anexo 10'!O42*'Anexo 3'!$D$10,0)</f>
        <v>0</v>
      </c>
      <c r="P42" s="33">
        <f>ROUND('Anexo 10'!P42*'Anexo 3'!$D$10,0)</f>
        <v>0</v>
      </c>
      <c r="Q42" s="33">
        <f>ROUND('Anexo 10'!Q42*'Anexo 3'!$D$10,0)</f>
        <v>0</v>
      </c>
      <c r="R42" s="33">
        <f>ROUND('Anexo 10'!R42*'Anexo 3'!$D$10,0)</f>
        <v>0</v>
      </c>
      <c r="S42" s="33">
        <f>ROUND('Anexo 10'!S42*'Anexo 3'!$D$10,0)</f>
        <v>0</v>
      </c>
      <c r="T42" s="33">
        <f>ROUND('Anexo 10'!T42*'Anexo 3'!$D$10,0)</f>
        <v>0</v>
      </c>
      <c r="U42" s="33">
        <f>ROUND('Anexo 10'!U42*'Anexo 3'!$D$10,0)</f>
        <v>0</v>
      </c>
      <c r="V42" s="33">
        <f>ROUND('Anexo 10'!V42*'Anexo 3'!$D$10,0)</f>
        <v>0</v>
      </c>
      <c r="W42" s="33">
        <f>ROUND('Anexo 10'!W42*'Anexo 3'!$D$10,0)</f>
        <v>0</v>
      </c>
      <c r="X42" s="33">
        <f>ROUND('Anexo 10'!X42*'Anexo 3'!$D$10,0)</f>
        <v>0</v>
      </c>
      <c r="Y42" s="33">
        <f>ROUND('Anexo 10'!Y42*'Anexo 3'!$D$10,0)</f>
        <v>0</v>
      </c>
      <c r="Z42" s="33">
        <f>ROUND('Anexo 10'!Z42*'Anexo 3'!$D$10,0)</f>
        <v>0</v>
      </c>
      <c r="AA42" s="31">
        <f t="shared" ref="AA42:AC42" si="1">+SUM(AA6:AA41)</f>
        <v>0</v>
      </c>
      <c r="AB42" s="31">
        <f t="shared" si="1"/>
        <v>366</v>
      </c>
      <c r="AC42" s="46">
        <f t="shared" si="1"/>
        <v>0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/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B862A-7CD6-49EB-BF2D-69CACAA52D36}">
  <sheetPr>
    <tabColor rgb="FF00B050"/>
  </sheetPr>
  <dimension ref="A1:H37"/>
  <sheetViews>
    <sheetView showGridLines="0" topLeftCell="A8" zoomScaleNormal="100" zoomScaleSheetLayoutView="140" workbookViewId="0">
      <selection activeCell="D10" sqref="D10:D21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2:8" x14ac:dyDescent="0.25"/>
    <row r="2" spans="2:8" x14ac:dyDescent="0.25"/>
    <row r="3" spans="2:8" x14ac:dyDescent="0.25">
      <c r="B3" s="73" t="s">
        <v>63</v>
      </c>
      <c r="C3" s="73"/>
      <c r="D3" s="73"/>
      <c r="E3" s="73"/>
      <c r="F3" s="73"/>
      <c r="G3" s="29"/>
    </row>
    <row r="4" spans="2:8" x14ac:dyDescent="0.25">
      <c r="B4" s="73" t="s">
        <v>47</v>
      </c>
      <c r="C4" s="73"/>
      <c r="D4" s="73"/>
      <c r="E4" s="73"/>
      <c r="F4" s="73"/>
      <c r="G4" s="29"/>
    </row>
    <row r="5" spans="2:8" x14ac:dyDescent="0.25">
      <c r="B5" s="73" t="s">
        <v>81</v>
      </c>
      <c r="C5" s="73"/>
      <c r="D5" s="73"/>
      <c r="E5" s="73"/>
      <c r="F5" s="73"/>
      <c r="G5" s="29"/>
    </row>
    <row r="6" spans="2:8" x14ac:dyDescent="0.25">
      <c r="B6" s="5"/>
      <c r="C6" s="5"/>
      <c r="D6" s="5"/>
      <c r="E6" s="5"/>
      <c r="F6" s="5"/>
      <c r="G6" s="5"/>
    </row>
    <row r="7" spans="2:8" x14ac:dyDescent="0.25"/>
    <row r="8" spans="2:8" ht="15" customHeight="1" x14ac:dyDescent="0.25">
      <c r="B8" s="74" t="s">
        <v>4</v>
      </c>
      <c r="C8" s="74" t="s">
        <v>39</v>
      </c>
      <c r="D8" s="74" t="s">
        <v>43</v>
      </c>
      <c r="E8" s="74" t="s">
        <v>40</v>
      </c>
      <c r="F8" s="74" t="s">
        <v>45</v>
      </c>
      <c r="G8" s="28"/>
    </row>
    <row r="9" spans="2:8" ht="23.25" customHeight="1" x14ac:dyDescent="0.25">
      <c r="B9" s="75"/>
      <c r="C9" s="75"/>
      <c r="D9" s="75"/>
      <c r="E9" s="75"/>
      <c r="F9" s="75"/>
      <c r="G9" s="28"/>
    </row>
    <row r="10" spans="2:8" ht="15.75" thickBot="1" x14ac:dyDescent="0.3">
      <c r="B10" s="8">
        <v>47119</v>
      </c>
      <c r="C10" s="43">
        <f>+'Anexo 11'!AC6</f>
        <v>32216153</v>
      </c>
      <c r="D10" s="70"/>
      <c r="E10" s="57">
        <f>+'Cantidades Ofertadas Prod 4'!AC6</f>
        <v>0</v>
      </c>
      <c r="F10" s="96"/>
      <c r="G10" s="32"/>
      <c r="H10" s="51"/>
    </row>
    <row r="11" spans="2:8" ht="15.75" thickBot="1" x14ac:dyDescent="0.3">
      <c r="B11" s="8">
        <v>47150</v>
      </c>
      <c r="C11" s="43">
        <f>+'Anexo 11'!AC9</f>
        <v>29960912</v>
      </c>
      <c r="D11" s="71"/>
      <c r="E11" s="57">
        <f>+'Cantidades Ofertadas Prod 4'!AC9</f>
        <v>0</v>
      </c>
      <c r="F11" s="97"/>
      <c r="G11" s="32"/>
      <c r="H11" s="51"/>
    </row>
    <row r="12" spans="2:8" ht="15.75" thickBot="1" x14ac:dyDescent="0.3">
      <c r="B12" s="8">
        <v>47178</v>
      </c>
      <c r="C12" s="43">
        <f>+'Anexo 11'!AC12</f>
        <v>31831790</v>
      </c>
      <c r="D12" s="71"/>
      <c r="E12" s="57">
        <f>+'Cantidades Ofertadas Prod 4'!AC12</f>
        <v>0</v>
      </c>
      <c r="F12" s="97"/>
      <c r="G12" s="32"/>
      <c r="H12" s="51"/>
    </row>
    <row r="13" spans="2:8" ht="15.75" thickBot="1" x14ac:dyDescent="0.3">
      <c r="B13" s="8">
        <v>47209</v>
      </c>
      <c r="C13" s="43">
        <f>+'Anexo 11'!AC15</f>
        <v>29029635</v>
      </c>
      <c r="D13" s="71"/>
      <c r="E13" s="57">
        <f>+'Cantidades Ofertadas Prod 4'!AC15</f>
        <v>0</v>
      </c>
      <c r="F13" s="97"/>
      <c r="G13" s="32"/>
      <c r="H13" s="51"/>
    </row>
    <row r="14" spans="2:8" ht="15.75" thickBot="1" x14ac:dyDescent="0.3">
      <c r="B14" s="8">
        <v>47239</v>
      </c>
      <c r="C14" s="43">
        <f>+'Anexo 11'!AC18</f>
        <v>30547117</v>
      </c>
      <c r="D14" s="71"/>
      <c r="E14" s="57">
        <f>+'Cantidades Ofertadas Prod 4'!AC18</f>
        <v>0</v>
      </c>
      <c r="F14" s="97"/>
      <c r="G14" s="32"/>
      <c r="H14" s="51"/>
    </row>
    <row r="15" spans="2:8" ht="15.75" thickBot="1" x14ac:dyDescent="0.3">
      <c r="B15" s="8">
        <v>47270</v>
      </c>
      <c r="C15" s="43">
        <f>+'Anexo 11'!AC21</f>
        <v>29817012</v>
      </c>
      <c r="D15" s="71"/>
      <c r="E15" s="57">
        <f>+'Cantidades Ofertadas Prod 4'!AC21</f>
        <v>0</v>
      </c>
      <c r="F15" s="97"/>
      <c r="G15" s="32"/>
      <c r="H15" s="51"/>
    </row>
    <row r="16" spans="2:8" ht="15.75" thickBot="1" x14ac:dyDescent="0.3">
      <c r="B16" s="8">
        <v>47300</v>
      </c>
      <c r="C16" s="43">
        <f>+'Anexo 11'!AC24</f>
        <v>32045472</v>
      </c>
      <c r="D16" s="71"/>
      <c r="E16" s="57">
        <f>+'Cantidades Ofertadas Prod 4'!AC24</f>
        <v>0</v>
      </c>
      <c r="F16" s="97"/>
      <c r="G16" s="32"/>
      <c r="H16" s="51"/>
    </row>
    <row r="17" spans="2:8" ht="15.75" thickBot="1" x14ac:dyDescent="0.3">
      <c r="B17" s="8">
        <v>47331</v>
      </c>
      <c r="C17" s="43">
        <f>+'Anexo 11'!AC27</f>
        <v>33327487</v>
      </c>
      <c r="D17" s="71"/>
      <c r="E17" s="57">
        <f>+'Cantidades Ofertadas Prod 4'!AC27</f>
        <v>0</v>
      </c>
      <c r="F17" s="97"/>
      <c r="G17" s="32"/>
      <c r="H17" s="51"/>
    </row>
    <row r="18" spans="2:8" ht="15.75" thickBot="1" x14ac:dyDescent="0.3">
      <c r="B18" s="8">
        <v>47362</v>
      </c>
      <c r="C18" s="43">
        <f>+'Anexo 11'!AC30</f>
        <v>33440500</v>
      </c>
      <c r="D18" s="71"/>
      <c r="E18" s="57">
        <f>+'Cantidades Ofertadas Prod 4'!AC30</f>
        <v>0</v>
      </c>
      <c r="F18" s="97"/>
      <c r="G18" s="32"/>
      <c r="H18" s="51"/>
    </row>
    <row r="19" spans="2:8" ht="15.75" thickBot="1" x14ac:dyDescent="0.3">
      <c r="B19" s="8">
        <v>47392</v>
      </c>
      <c r="C19" s="43">
        <f>+'Anexo 11'!AC33</f>
        <v>32138826</v>
      </c>
      <c r="D19" s="71"/>
      <c r="E19" s="57">
        <f>+'Cantidades Ofertadas Prod 4'!AC33</f>
        <v>0</v>
      </c>
      <c r="F19" s="97"/>
      <c r="G19" s="32"/>
      <c r="H19" s="51"/>
    </row>
    <row r="20" spans="2:8" ht="15.75" thickBot="1" x14ac:dyDescent="0.3">
      <c r="B20" s="8">
        <v>47423</v>
      </c>
      <c r="C20" s="43">
        <f>+'Anexo 11'!AC36</f>
        <v>29806394</v>
      </c>
      <c r="D20" s="71"/>
      <c r="E20" s="57">
        <f>+'Cantidades Ofertadas Prod 4'!AC36</f>
        <v>0</v>
      </c>
      <c r="F20" s="97"/>
      <c r="G20" s="32"/>
      <c r="H20" s="51"/>
    </row>
    <row r="21" spans="2:8" ht="15.75" thickBot="1" x14ac:dyDescent="0.3">
      <c r="B21" s="8">
        <v>47453</v>
      </c>
      <c r="C21" s="44">
        <f>+'Anexo 11'!AC39</f>
        <v>33338048</v>
      </c>
      <c r="D21" s="72"/>
      <c r="E21" s="58">
        <f>+'Cantidades Ofertadas Prod 4'!AC39</f>
        <v>0</v>
      </c>
      <c r="F21" s="98"/>
      <c r="G21" s="32"/>
      <c r="H21" s="51"/>
    </row>
    <row r="22" spans="2:8" ht="28.5" customHeight="1" x14ac:dyDescent="0.25">
      <c r="B22" s="9" t="s">
        <v>3</v>
      </c>
      <c r="C22" s="10">
        <f>+SUM(C10:C21)</f>
        <v>377499346</v>
      </c>
      <c r="D22" s="62"/>
      <c r="E22" s="56">
        <f>SUM(E10:E21)</f>
        <v>0</v>
      </c>
      <c r="F22" s="55">
        <f>+F10</f>
        <v>0</v>
      </c>
      <c r="G22" s="50"/>
      <c r="H22" s="42"/>
    </row>
    <row r="23" spans="2:8" ht="19.5" customHeight="1" x14ac:dyDescent="0.25">
      <c r="B23" s="7" t="s">
        <v>61</v>
      </c>
      <c r="C23" s="25"/>
      <c r="D23" s="30"/>
      <c r="E23" s="25"/>
      <c r="F23" s="26"/>
      <c r="G23" s="26"/>
      <c r="H23" s="42"/>
    </row>
    <row r="24" spans="2:8" ht="15" customHeight="1" x14ac:dyDescent="0.25">
      <c r="B24" s="66" t="s">
        <v>49</v>
      </c>
      <c r="C24" s="66"/>
      <c r="D24" s="66"/>
      <c r="E24" s="66"/>
      <c r="F24" s="66"/>
      <c r="G24" s="66"/>
      <c r="H24" s="42"/>
    </row>
    <row r="25" spans="2:8" x14ac:dyDescent="0.25">
      <c r="B25" s="7" t="s">
        <v>103</v>
      </c>
      <c r="C25" s="52"/>
      <c r="D25" s="52"/>
      <c r="E25" s="52"/>
      <c r="F25" s="52"/>
      <c r="G25" s="52"/>
      <c r="H25" s="42"/>
    </row>
    <row r="26" spans="2:8" x14ac:dyDescent="0.25">
      <c r="B26" s="7" t="s">
        <v>72</v>
      </c>
      <c r="C26" s="52"/>
      <c r="D26" s="52"/>
      <c r="E26" s="52"/>
      <c r="F26" s="52"/>
      <c r="G26" s="52"/>
      <c r="H26" s="42"/>
    </row>
    <row r="27" spans="2:8" x14ac:dyDescent="0.25">
      <c r="B27" s="7" t="s">
        <v>46</v>
      </c>
      <c r="H27" s="42"/>
    </row>
    <row r="28" spans="2:8" x14ac:dyDescent="0.25">
      <c r="B28" s="7" t="s">
        <v>104</v>
      </c>
      <c r="H28" s="42"/>
    </row>
    <row r="29" spans="2:8" x14ac:dyDescent="0.25">
      <c r="B29" s="7"/>
      <c r="C29" s="25"/>
      <c r="D29" s="26"/>
      <c r="E29" s="65"/>
      <c r="F29" s="26"/>
      <c r="G29" s="26"/>
      <c r="H29" s="42"/>
    </row>
    <row r="30" spans="2:8" x14ac:dyDescent="0.25">
      <c r="B30" s="7"/>
      <c r="C30" s="25"/>
      <c r="D30" s="26"/>
      <c r="E30" s="27"/>
      <c r="F30" s="26"/>
      <c r="G30" s="26"/>
      <c r="H30" s="42"/>
    </row>
    <row r="31" spans="2:8" x14ac:dyDescent="0.25">
      <c r="B31" s="7"/>
      <c r="C31" s="45"/>
      <c r="D31" s="26"/>
      <c r="E31" s="27"/>
      <c r="F31" s="26"/>
      <c r="G31" s="26"/>
      <c r="H31" s="42"/>
    </row>
    <row r="32" spans="2:8" x14ac:dyDescent="0.25">
      <c r="B32" s="7"/>
      <c r="C32" s="25"/>
      <c r="D32" s="26"/>
      <c r="E32" s="27"/>
      <c r="F32" s="26"/>
      <c r="G32" s="26"/>
      <c r="H32" s="42"/>
    </row>
    <row r="33" spans="1:8" x14ac:dyDescent="0.25">
      <c r="B33" s="60" t="s">
        <v>56</v>
      </c>
      <c r="C33" s="60"/>
      <c r="D33" s="60"/>
      <c r="E33" s="60"/>
      <c r="F33" s="26"/>
      <c r="G33" s="26"/>
      <c r="H33" s="42"/>
    </row>
    <row r="34" spans="1:8" x14ac:dyDescent="0.25">
      <c r="B34" s="61" t="s">
        <v>57</v>
      </c>
      <c r="C34" s="61"/>
      <c r="D34" s="61"/>
      <c r="E34" s="61"/>
      <c r="F34" s="26"/>
      <c r="G34" s="26"/>
      <c r="H34" s="42"/>
    </row>
    <row r="35" spans="1:8" x14ac:dyDescent="0.25">
      <c r="B35" s="61" t="s">
        <v>58</v>
      </c>
      <c r="F35" s="26"/>
      <c r="G35" s="26"/>
      <c r="H35" s="42"/>
    </row>
    <row r="36" spans="1:8" ht="15" customHeight="1" x14ac:dyDescent="0.25">
      <c r="A36" s="2"/>
      <c r="H36" s="42">
        <f t="shared" ref="H36:H37" si="0">+C36-G36</f>
        <v>0</v>
      </c>
    </row>
    <row r="37" spans="1:8" ht="15" hidden="1" customHeight="1" x14ac:dyDescent="0.25">
      <c r="A37" s="1"/>
      <c r="H37" s="42">
        <f t="shared" si="0"/>
        <v>0</v>
      </c>
    </row>
  </sheetData>
  <mergeCells count="11">
    <mergeCell ref="B24:G24"/>
    <mergeCell ref="F10:F21"/>
    <mergeCell ref="D10:D21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decimal" allowBlank="1" showInputMessage="1" showErrorMessage="1" errorTitle="Dato No valido" error="Debe ingresar un valor entre 0 y 100_x000a_" sqref="D10:D21" xr:uid="{D8C692E0-0018-460E-88FE-104E424B83B1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8EEAF-81D4-4E1A-89F3-D8102F2DBFEA}">
  <sheetPr>
    <tabColor rgb="FF00B050"/>
  </sheetPr>
  <dimension ref="A1:H34"/>
  <sheetViews>
    <sheetView showGridLines="0" topLeftCell="A4" zoomScaleNormal="100" zoomScaleSheetLayoutView="140" workbookViewId="0">
      <selection activeCell="D10" sqref="D10:D21"/>
    </sheetView>
  </sheetViews>
  <sheetFormatPr baseColWidth="10" defaultColWidth="0" defaultRowHeight="15" customHeight="1" zeroHeight="1" x14ac:dyDescent="0.25"/>
  <cols>
    <col min="1" max="2" width="11.42578125" customWidth="1"/>
    <col min="3" max="3" width="18.28515625" customWidth="1"/>
    <col min="4" max="4" width="13.85546875" customWidth="1"/>
    <col min="5" max="5" width="16.5703125" customWidth="1"/>
    <col min="6" max="6" width="13.85546875" customWidth="1"/>
    <col min="7" max="7" width="19.7109375" customWidth="1"/>
    <col min="8" max="8" width="12.85546875" customWidth="1"/>
    <col min="9" max="16384" width="11.42578125" hidden="1"/>
  </cols>
  <sheetData>
    <row r="1" spans="1:8" x14ac:dyDescent="0.25"/>
    <row r="2" spans="1:8" x14ac:dyDescent="0.25"/>
    <row r="3" spans="1:8" x14ac:dyDescent="0.25">
      <c r="B3" s="73" t="s">
        <v>76</v>
      </c>
      <c r="C3" s="73"/>
      <c r="D3" s="73"/>
      <c r="E3" s="73"/>
      <c r="F3" s="73"/>
      <c r="G3" s="29"/>
    </row>
    <row r="4" spans="1:8" x14ac:dyDescent="0.25">
      <c r="B4" s="73" t="s">
        <v>47</v>
      </c>
      <c r="C4" s="73"/>
      <c r="D4" s="73"/>
      <c r="E4" s="73"/>
      <c r="F4" s="73"/>
      <c r="G4" s="29"/>
    </row>
    <row r="5" spans="1:8" x14ac:dyDescent="0.25">
      <c r="B5" s="73" t="s">
        <v>81</v>
      </c>
      <c r="C5" s="73"/>
      <c r="D5" s="73"/>
      <c r="E5" s="73"/>
      <c r="F5" s="73"/>
      <c r="G5" s="29"/>
    </row>
    <row r="6" spans="1:8" x14ac:dyDescent="0.25">
      <c r="B6" s="5"/>
      <c r="C6" s="5"/>
      <c r="D6" s="5"/>
      <c r="E6" s="5"/>
      <c r="F6" s="5"/>
      <c r="G6" s="5"/>
    </row>
    <row r="7" spans="1:8" x14ac:dyDescent="0.25"/>
    <row r="8" spans="1:8" ht="15" customHeight="1" x14ac:dyDescent="0.25">
      <c r="B8" s="74" t="s">
        <v>4</v>
      </c>
      <c r="C8" s="74" t="s">
        <v>59</v>
      </c>
      <c r="D8" s="74" t="s">
        <v>69</v>
      </c>
      <c r="E8" s="74" t="s">
        <v>40</v>
      </c>
      <c r="F8" s="74" t="s">
        <v>45</v>
      </c>
      <c r="G8" s="28"/>
    </row>
    <row r="9" spans="1:8" ht="23.25" customHeight="1" x14ac:dyDescent="0.25">
      <c r="A9" s="63">
        <v>20000</v>
      </c>
      <c r="B9" s="75"/>
      <c r="C9" s="75"/>
      <c r="D9" s="75"/>
      <c r="E9" s="75"/>
      <c r="F9" s="75"/>
      <c r="G9" s="28"/>
    </row>
    <row r="10" spans="1:8" ht="15.75" thickBot="1" x14ac:dyDescent="0.3">
      <c r="A10" s="59">
        <v>31</v>
      </c>
      <c r="B10" s="8">
        <v>47119</v>
      </c>
      <c r="C10" s="43">
        <f>+$A$9*A10*24</f>
        <v>14880000</v>
      </c>
      <c r="D10" s="93">
        <v>20000</v>
      </c>
      <c r="E10" s="57">
        <f>+$D$10*A10*24</f>
        <v>14880000</v>
      </c>
      <c r="F10" s="96"/>
      <c r="G10" s="32"/>
      <c r="H10" s="51"/>
    </row>
    <row r="11" spans="1:8" ht="15.75" thickBot="1" x14ac:dyDescent="0.3">
      <c r="A11" s="59">
        <v>28</v>
      </c>
      <c r="B11" s="8">
        <v>47150</v>
      </c>
      <c r="C11" s="43">
        <f t="shared" ref="C11:C21" si="0">+$A$9*A11*24</f>
        <v>13440000</v>
      </c>
      <c r="D11" s="94"/>
      <c r="E11" s="57">
        <f t="shared" ref="E11:E21" si="1">+$D$10*A11*24</f>
        <v>13440000</v>
      </c>
      <c r="F11" s="97"/>
      <c r="G11" s="32"/>
      <c r="H11" s="51"/>
    </row>
    <row r="12" spans="1:8" ht="15.75" thickBot="1" x14ac:dyDescent="0.3">
      <c r="A12" s="59">
        <v>31</v>
      </c>
      <c r="B12" s="8">
        <v>47178</v>
      </c>
      <c r="C12" s="43">
        <f t="shared" si="0"/>
        <v>14880000</v>
      </c>
      <c r="D12" s="94"/>
      <c r="E12" s="57">
        <f t="shared" si="1"/>
        <v>14880000</v>
      </c>
      <c r="F12" s="97"/>
      <c r="G12" s="32"/>
      <c r="H12" s="51"/>
    </row>
    <row r="13" spans="1:8" ht="15.75" thickBot="1" x14ac:dyDescent="0.3">
      <c r="A13" s="59">
        <v>30</v>
      </c>
      <c r="B13" s="8">
        <v>47209</v>
      </c>
      <c r="C13" s="43">
        <f t="shared" si="0"/>
        <v>14400000</v>
      </c>
      <c r="D13" s="94"/>
      <c r="E13" s="57">
        <f t="shared" si="1"/>
        <v>14400000</v>
      </c>
      <c r="F13" s="97"/>
      <c r="G13" s="32"/>
      <c r="H13" s="51"/>
    </row>
    <row r="14" spans="1:8" ht="15.75" thickBot="1" x14ac:dyDescent="0.3">
      <c r="A14" s="59">
        <v>31</v>
      </c>
      <c r="B14" s="8">
        <v>47239</v>
      </c>
      <c r="C14" s="43">
        <f t="shared" si="0"/>
        <v>14880000</v>
      </c>
      <c r="D14" s="94"/>
      <c r="E14" s="57">
        <f t="shared" si="1"/>
        <v>14880000</v>
      </c>
      <c r="F14" s="97"/>
      <c r="G14" s="32"/>
      <c r="H14" s="51"/>
    </row>
    <row r="15" spans="1:8" ht="15.75" thickBot="1" x14ac:dyDescent="0.3">
      <c r="A15" s="59">
        <v>30</v>
      </c>
      <c r="B15" s="8">
        <v>47270</v>
      </c>
      <c r="C15" s="43">
        <f t="shared" si="0"/>
        <v>14400000</v>
      </c>
      <c r="D15" s="94"/>
      <c r="E15" s="57">
        <f t="shared" si="1"/>
        <v>14400000</v>
      </c>
      <c r="F15" s="97"/>
      <c r="G15" s="32"/>
      <c r="H15" s="51"/>
    </row>
    <row r="16" spans="1:8" ht="15.75" thickBot="1" x14ac:dyDescent="0.3">
      <c r="A16" s="59">
        <v>31</v>
      </c>
      <c r="B16" s="8">
        <v>47300</v>
      </c>
      <c r="C16" s="43">
        <f t="shared" si="0"/>
        <v>14880000</v>
      </c>
      <c r="D16" s="94"/>
      <c r="E16" s="57">
        <f t="shared" si="1"/>
        <v>14880000</v>
      </c>
      <c r="F16" s="97"/>
      <c r="G16" s="32"/>
      <c r="H16" s="51"/>
    </row>
    <row r="17" spans="1:8" ht="15.75" thickBot="1" x14ac:dyDescent="0.3">
      <c r="A17" s="59">
        <v>31</v>
      </c>
      <c r="B17" s="8">
        <v>47331</v>
      </c>
      <c r="C17" s="43">
        <f t="shared" si="0"/>
        <v>14880000</v>
      </c>
      <c r="D17" s="94"/>
      <c r="E17" s="57">
        <f t="shared" si="1"/>
        <v>14880000</v>
      </c>
      <c r="F17" s="97"/>
      <c r="G17" s="32"/>
      <c r="H17" s="51"/>
    </row>
    <row r="18" spans="1:8" ht="15.75" thickBot="1" x14ac:dyDescent="0.3">
      <c r="A18" s="59">
        <v>30</v>
      </c>
      <c r="B18" s="8">
        <v>47362</v>
      </c>
      <c r="C18" s="43">
        <f t="shared" si="0"/>
        <v>14400000</v>
      </c>
      <c r="D18" s="94"/>
      <c r="E18" s="57">
        <f t="shared" si="1"/>
        <v>14400000</v>
      </c>
      <c r="F18" s="97"/>
      <c r="G18" s="32"/>
      <c r="H18" s="51"/>
    </row>
    <row r="19" spans="1:8" ht="15.75" thickBot="1" x14ac:dyDescent="0.3">
      <c r="A19" s="59">
        <v>31</v>
      </c>
      <c r="B19" s="8">
        <v>47392</v>
      </c>
      <c r="C19" s="43">
        <f t="shared" si="0"/>
        <v>14880000</v>
      </c>
      <c r="D19" s="94"/>
      <c r="E19" s="57">
        <f t="shared" si="1"/>
        <v>14880000</v>
      </c>
      <c r="F19" s="97"/>
      <c r="G19" s="32"/>
      <c r="H19" s="51"/>
    </row>
    <row r="20" spans="1:8" ht="15.75" thickBot="1" x14ac:dyDescent="0.3">
      <c r="A20" s="59">
        <v>30</v>
      </c>
      <c r="B20" s="8">
        <v>47423</v>
      </c>
      <c r="C20" s="43">
        <f t="shared" si="0"/>
        <v>14400000</v>
      </c>
      <c r="D20" s="94"/>
      <c r="E20" s="57">
        <f t="shared" si="1"/>
        <v>14400000</v>
      </c>
      <c r="F20" s="97"/>
      <c r="G20" s="32"/>
      <c r="H20" s="51"/>
    </row>
    <row r="21" spans="1:8" ht="15.75" thickBot="1" x14ac:dyDescent="0.3">
      <c r="A21" s="59">
        <v>31</v>
      </c>
      <c r="B21" s="8">
        <v>47453</v>
      </c>
      <c r="C21" s="43">
        <f t="shared" si="0"/>
        <v>14880000</v>
      </c>
      <c r="D21" s="95"/>
      <c r="E21" s="57">
        <f t="shared" si="1"/>
        <v>14880000</v>
      </c>
      <c r="F21" s="98"/>
      <c r="G21" s="32"/>
      <c r="H21" s="51"/>
    </row>
    <row r="22" spans="1:8" ht="28.5" customHeight="1" x14ac:dyDescent="0.25">
      <c r="B22" s="9" t="s">
        <v>3</v>
      </c>
      <c r="C22" s="10">
        <f>+SUM(C10:C21)</f>
        <v>175200000</v>
      </c>
      <c r="D22" s="55"/>
      <c r="E22" s="56">
        <f>SUM(E10:E21)</f>
        <v>175200000</v>
      </c>
      <c r="F22" s="55">
        <f>+F10</f>
        <v>0</v>
      </c>
      <c r="G22" s="50"/>
      <c r="H22" s="42"/>
    </row>
    <row r="23" spans="1:8" ht="19.5" customHeight="1" x14ac:dyDescent="0.25">
      <c r="B23" s="7" t="s">
        <v>61</v>
      </c>
      <c r="C23" s="25"/>
      <c r="D23" s="25"/>
      <c r="E23" s="25"/>
      <c r="F23" s="26"/>
      <c r="G23" s="26"/>
      <c r="H23" s="42"/>
    </row>
    <row r="24" spans="1:8" ht="15" customHeight="1" x14ac:dyDescent="0.25">
      <c r="B24" s="7" t="s">
        <v>82</v>
      </c>
      <c r="C24" s="7"/>
      <c r="D24" s="7"/>
      <c r="E24" s="7"/>
      <c r="F24" s="7"/>
      <c r="G24" s="7"/>
      <c r="H24" s="42"/>
    </row>
    <row r="25" spans="1:8" x14ac:dyDescent="0.25">
      <c r="B25" s="7" t="s">
        <v>46</v>
      </c>
      <c r="C25" s="7"/>
      <c r="D25" s="7"/>
      <c r="E25" s="7"/>
      <c r="F25" s="7"/>
      <c r="G25" s="7"/>
      <c r="H25" s="42"/>
    </row>
    <row r="26" spans="1:8" ht="27" customHeight="1" x14ac:dyDescent="0.25">
      <c r="B26" s="66" t="s">
        <v>71</v>
      </c>
      <c r="C26" s="66"/>
      <c r="D26" s="66"/>
      <c r="E26" s="66"/>
      <c r="F26" s="66"/>
      <c r="G26" s="66"/>
      <c r="H26" s="42"/>
    </row>
    <row r="27" spans="1:8" ht="27" customHeight="1" x14ac:dyDescent="0.25">
      <c r="B27" s="52"/>
      <c r="C27" s="52"/>
      <c r="D27" s="52"/>
      <c r="E27" s="52"/>
      <c r="F27" s="52"/>
      <c r="G27" s="52"/>
      <c r="H27" s="42"/>
    </row>
    <row r="28" spans="1:8" ht="27" customHeight="1" x14ac:dyDescent="0.25">
      <c r="B28" s="52"/>
      <c r="C28" s="52"/>
      <c r="D28" s="52"/>
      <c r="E28" s="52"/>
      <c r="F28" s="52"/>
      <c r="G28" s="52"/>
      <c r="H28" s="42"/>
    </row>
    <row r="29" spans="1:8" ht="27" customHeight="1" x14ac:dyDescent="0.25">
      <c r="B29" s="52"/>
      <c r="C29" s="52"/>
      <c r="D29" s="52"/>
      <c r="E29" s="52"/>
      <c r="F29" s="52"/>
      <c r="G29" s="52"/>
      <c r="H29" s="42"/>
    </row>
    <row r="30" spans="1:8" ht="27" customHeight="1" x14ac:dyDescent="0.25">
      <c r="B30" s="60" t="s">
        <v>56</v>
      </c>
      <c r="C30" s="52"/>
      <c r="D30" s="52"/>
      <c r="E30" s="52"/>
      <c r="F30" s="52"/>
      <c r="G30" s="52"/>
      <c r="H30" s="42"/>
    </row>
    <row r="31" spans="1:8" x14ac:dyDescent="0.25">
      <c r="B31" s="61" t="s">
        <v>57</v>
      </c>
      <c r="C31" s="7"/>
      <c r="D31" s="7"/>
      <c r="E31" s="7"/>
      <c r="F31" s="7"/>
      <c r="G31" s="7"/>
      <c r="H31" s="42"/>
    </row>
    <row r="32" spans="1:8" x14ac:dyDescent="0.25">
      <c r="B32" s="61" t="s">
        <v>58</v>
      </c>
      <c r="C32" s="25"/>
      <c r="D32" s="26"/>
      <c r="E32" s="27"/>
      <c r="F32" s="26"/>
      <c r="G32" s="26"/>
      <c r="H32" s="42"/>
    </row>
    <row r="33" spans="1:8" ht="15" customHeight="1" x14ac:dyDescent="0.25">
      <c r="A33" s="2"/>
      <c r="H33" s="42">
        <f t="shared" ref="H33:H34" si="2">+C33-G33</f>
        <v>0</v>
      </c>
    </row>
    <row r="34" spans="1:8" ht="15" hidden="1" customHeight="1" x14ac:dyDescent="0.25">
      <c r="A34" s="1"/>
      <c r="H34" s="42">
        <f t="shared" si="2"/>
        <v>0</v>
      </c>
    </row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20.000" sqref="D10:D21" xr:uid="{6A0FB580-24F9-4B4B-BE21-E61BFB9740A4}">
      <formula1>0</formula1>
      <formula2>20000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A055-D181-49D7-B7D8-A176D06E368D}">
  <sheetPr>
    <tabColor rgb="FF00B050"/>
  </sheetPr>
  <dimension ref="A1:AD46"/>
  <sheetViews>
    <sheetView showGridLines="0" zoomScale="115" zoomScaleNormal="115" zoomScaleSheetLayoutView="110" workbookViewId="0">
      <pane xSplit="2" ySplit="5" topLeftCell="C36" activePane="bottomRight" state="frozen"/>
      <selection pane="topRight" activeCell="C1" sqref="C1"/>
      <selection pane="bottomLeft" activeCell="A6" sqref="A6"/>
      <selection pane="bottomRight" sqref="A1:AC42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3" width="8.42578125" bestFit="1" customWidth="1"/>
    <col min="4" max="4" width="8" bestFit="1" customWidth="1"/>
    <col min="5" max="5" width="7.7109375" bestFit="1" customWidth="1"/>
    <col min="6" max="6" width="8" bestFit="1" customWidth="1"/>
    <col min="7" max="8" width="7.7109375" bestFit="1" customWidth="1"/>
    <col min="9" max="9" width="7.42578125" bestFit="1" customWidth="1"/>
    <col min="10" max="10" width="8" bestFit="1" customWidth="1"/>
    <col min="11" max="11" width="8.7109375" bestFit="1" customWidth="1"/>
    <col min="12" max="12" width="9" bestFit="1" customWidth="1"/>
    <col min="13" max="13" width="8.42578125" bestFit="1" customWidth="1"/>
    <col min="14" max="14" width="8.7109375" bestFit="1" customWidth="1"/>
    <col min="15" max="15" width="9" bestFit="1" customWidth="1"/>
    <col min="16" max="17" width="8.7109375" bestFit="1" customWidth="1"/>
    <col min="18" max="20" width="9" bestFit="1" customWidth="1"/>
    <col min="21" max="24" width="9.28515625" bestFit="1" customWidth="1"/>
    <col min="25" max="26" width="8.7109375" bestFit="1" customWidth="1"/>
    <col min="27" max="27" width="9.8554687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6" t="s">
        <v>65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8"/>
    </row>
    <row r="2" spans="1:30" ht="15" x14ac:dyDescent="0.25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1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5" x14ac:dyDescent="0.25">
      <c r="A4" s="92" t="s">
        <v>38</v>
      </c>
      <c r="B4" s="92" t="s">
        <v>37</v>
      </c>
      <c r="C4" s="84" t="s">
        <v>36</v>
      </c>
      <c r="D4" s="84" t="s">
        <v>35</v>
      </c>
      <c r="E4" s="84" t="s">
        <v>34</v>
      </c>
      <c r="F4" s="84" t="s">
        <v>33</v>
      </c>
      <c r="G4" s="84" t="s">
        <v>32</v>
      </c>
      <c r="H4" s="84" t="s">
        <v>31</v>
      </c>
      <c r="I4" s="84" t="s">
        <v>30</v>
      </c>
      <c r="J4" s="84" t="s">
        <v>29</v>
      </c>
      <c r="K4" s="84" t="s">
        <v>28</v>
      </c>
      <c r="L4" s="84" t="s">
        <v>27</v>
      </c>
      <c r="M4" s="84" t="s">
        <v>26</v>
      </c>
      <c r="N4" s="84" t="s">
        <v>25</v>
      </c>
      <c r="O4" s="84" t="s">
        <v>24</v>
      </c>
      <c r="P4" s="84" t="s">
        <v>23</v>
      </c>
      <c r="Q4" s="84" t="s">
        <v>22</v>
      </c>
      <c r="R4" s="84" t="s">
        <v>21</v>
      </c>
      <c r="S4" s="84" t="s">
        <v>20</v>
      </c>
      <c r="T4" s="84" t="s">
        <v>19</v>
      </c>
      <c r="U4" s="84" t="s">
        <v>18</v>
      </c>
      <c r="V4" s="84" t="s">
        <v>17</v>
      </c>
      <c r="W4" s="84" t="s">
        <v>16</v>
      </c>
      <c r="X4" s="84" t="s">
        <v>15</v>
      </c>
      <c r="Y4" s="84" t="s">
        <v>14</v>
      </c>
      <c r="Z4" s="84" t="s">
        <v>13</v>
      </c>
      <c r="AA4" s="14" t="s">
        <v>12</v>
      </c>
      <c r="AB4" s="15" t="s">
        <v>11</v>
      </c>
      <c r="AC4" s="82" t="s">
        <v>10</v>
      </c>
    </row>
    <row r="5" spans="1:30" ht="15" x14ac:dyDescent="0.25">
      <c r="A5" s="92"/>
      <c r="B5" s="92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16"/>
      <c r="AB5" s="17" t="s">
        <v>9</v>
      </c>
      <c r="AC5" s="83"/>
    </row>
    <row r="6" spans="1:30" ht="15.75" thickBot="1" x14ac:dyDescent="0.3">
      <c r="A6" s="78">
        <v>47119</v>
      </c>
      <c r="B6" s="18" t="s">
        <v>8</v>
      </c>
      <c r="C6" s="33">
        <v>27534</v>
      </c>
      <c r="D6" s="33">
        <v>23846</v>
      </c>
      <c r="E6" s="33">
        <v>21586</v>
      </c>
      <c r="F6" s="33">
        <v>20406</v>
      </c>
      <c r="G6" s="33">
        <v>21152</v>
      </c>
      <c r="H6" s="33">
        <v>24333</v>
      </c>
      <c r="I6" s="33">
        <v>27315</v>
      </c>
      <c r="J6" s="33">
        <v>29038</v>
      </c>
      <c r="K6" s="33">
        <v>35911</v>
      </c>
      <c r="L6" s="33">
        <v>41044</v>
      </c>
      <c r="M6" s="33">
        <v>46279</v>
      </c>
      <c r="N6" s="33">
        <v>51379</v>
      </c>
      <c r="O6" s="33">
        <v>50817</v>
      </c>
      <c r="P6" s="33">
        <v>51013</v>
      </c>
      <c r="Q6" s="33">
        <v>52427</v>
      </c>
      <c r="R6" s="33">
        <v>52713</v>
      </c>
      <c r="S6" s="33">
        <v>51571</v>
      </c>
      <c r="T6" s="33">
        <v>64608</v>
      </c>
      <c r="U6" s="33">
        <v>70841</v>
      </c>
      <c r="V6" s="33">
        <v>75820</v>
      </c>
      <c r="W6" s="33">
        <v>72167</v>
      </c>
      <c r="X6" s="33">
        <v>65929</v>
      </c>
      <c r="Y6" s="33">
        <v>55849</v>
      </c>
      <c r="Z6" s="34">
        <v>45607</v>
      </c>
      <c r="AA6" s="35">
        <f>SUM(C6:Z6)</f>
        <v>1079185</v>
      </c>
      <c r="AB6" s="19">
        <v>21</v>
      </c>
      <c r="AC6" s="79">
        <f>+AA6*AB6+AA7*AB7+AA8*AB8</f>
        <v>32216153</v>
      </c>
    </row>
    <row r="7" spans="1:30" ht="15.75" thickBot="1" x14ac:dyDescent="0.3">
      <c r="A7" s="78"/>
      <c r="B7" s="20" t="s">
        <v>7</v>
      </c>
      <c r="C7" s="36">
        <v>28656</v>
      </c>
      <c r="D7" s="36">
        <v>24486</v>
      </c>
      <c r="E7" s="36">
        <v>21921</v>
      </c>
      <c r="F7" s="36">
        <v>20287</v>
      </c>
      <c r="G7" s="36">
        <v>20311</v>
      </c>
      <c r="H7" s="36">
        <v>22198</v>
      </c>
      <c r="I7" s="36">
        <v>24307</v>
      </c>
      <c r="J7" s="36">
        <v>26016</v>
      </c>
      <c r="K7" s="36">
        <v>33663</v>
      </c>
      <c r="L7" s="36">
        <v>39387</v>
      </c>
      <c r="M7" s="36">
        <v>43572</v>
      </c>
      <c r="N7" s="36">
        <v>47912</v>
      </c>
      <c r="O7" s="36">
        <v>48489</v>
      </c>
      <c r="P7" s="36">
        <v>47664</v>
      </c>
      <c r="Q7" s="36">
        <v>46767</v>
      </c>
      <c r="R7" s="36">
        <v>46401</v>
      </c>
      <c r="S7" s="36">
        <v>45872</v>
      </c>
      <c r="T7" s="36">
        <v>61046</v>
      </c>
      <c r="U7" s="36">
        <v>68862</v>
      </c>
      <c r="V7" s="36">
        <v>74190</v>
      </c>
      <c r="W7" s="36">
        <v>70078</v>
      </c>
      <c r="X7" s="36">
        <v>64080</v>
      </c>
      <c r="Y7" s="36">
        <v>55759</v>
      </c>
      <c r="Z7" s="37">
        <v>47432</v>
      </c>
      <c r="AA7" s="38">
        <f t="shared" ref="AA7:AA41" si="0">SUM(C7:Z7)</f>
        <v>1029356</v>
      </c>
      <c r="AB7" s="21">
        <v>4</v>
      </c>
      <c r="AC7" s="80"/>
      <c r="AD7" s="47"/>
    </row>
    <row r="8" spans="1:30" ht="15" x14ac:dyDescent="0.25">
      <c r="A8" s="78"/>
      <c r="B8" s="22" t="s">
        <v>6</v>
      </c>
      <c r="C8" s="39">
        <v>31165</v>
      </c>
      <c r="D8" s="39">
        <v>26724</v>
      </c>
      <c r="E8" s="39">
        <v>23915</v>
      </c>
      <c r="F8" s="39">
        <v>21824</v>
      </c>
      <c r="G8" s="39">
        <v>20800</v>
      </c>
      <c r="H8" s="39">
        <v>21213</v>
      </c>
      <c r="I8" s="39">
        <v>20444</v>
      </c>
      <c r="J8" s="39">
        <v>19186</v>
      </c>
      <c r="K8" s="39">
        <v>24974</v>
      </c>
      <c r="L8" s="39">
        <v>30053</v>
      </c>
      <c r="M8" s="39">
        <v>33779</v>
      </c>
      <c r="N8" s="39">
        <v>37706</v>
      </c>
      <c r="O8" s="39">
        <v>40160</v>
      </c>
      <c r="P8" s="39">
        <v>39974</v>
      </c>
      <c r="Q8" s="39">
        <v>38594</v>
      </c>
      <c r="R8" s="39">
        <v>37789</v>
      </c>
      <c r="S8" s="39">
        <v>37426</v>
      </c>
      <c r="T8" s="39">
        <v>53042</v>
      </c>
      <c r="U8" s="39">
        <v>61450</v>
      </c>
      <c r="V8" s="39">
        <v>67395</v>
      </c>
      <c r="W8" s="39">
        <v>64826</v>
      </c>
      <c r="X8" s="39">
        <v>59433</v>
      </c>
      <c r="Y8" s="39">
        <v>51235</v>
      </c>
      <c r="Z8" s="40">
        <v>42867</v>
      </c>
      <c r="AA8" s="41">
        <f t="shared" si="0"/>
        <v>905974</v>
      </c>
      <c r="AB8" s="23">
        <v>6</v>
      </c>
      <c r="AC8" s="81"/>
      <c r="AD8" s="48"/>
    </row>
    <row r="9" spans="1:30" ht="15.75" thickBot="1" x14ac:dyDescent="0.3">
      <c r="A9" s="78">
        <v>47150</v>
      </c>
      <c r="B9" s="18" t="s">
        <v>8</v>
      </c>
      <c r="C9" s="33">
        <v>27648</v>
      </c>
      <c r="D9" s="33">
        <v>24065</v>
      </c>
      <c r="E9" s="33">
        <v>22026</v>
      </c>
      <c r="F9" s="33">
        <v>21003</v>
      </c>
      <c r="G9" s="33">
        <v>22081</v>
      </c>
      <c r="H9" s="33">
        <v>26934</v>
      </c>
      <c r="I9" s="33">
        <v>30811</v>
      </c>
      <c r="J9" s="33">
        <v>31235</v>
      </c>
      <c r="K9" s="33">
        <v>37458</v>
      </c>
      <c r="L9" s="33">
        <v>41944</v>
      </c>
      <c r="M9" s="33">
        <v>46795</v>
      </c>
      <c r="N9" s="33">
        <v>51458</v>
      </c>
      <c r="O9" s="33">
        <v>49866</v>
      </c>
      <c r="P9" s="33">
        <v>50587</v>
      </c>
      <c r="Q9" s="33">
        <v>52636</v>
      </c>
      <c r="R9" s="33">
        <v>52936</v>
      </c>
      <c r="S9" s="33">
        <v>51935</v>
      </c>
      <c r="T9" s="33">
        <v>64450</v>
      </c>
      <c r="U9" s="33">
        <v>69114</v>
      </c>
      <c r="V9" s="33">
        <v>75693</v>
      </c>
      <c r="W9" s="33">
        <v>72237</v>
      </c>
      <c r="X9" s="33">
        <v>65668</v>
      </c>
      <c r="Y9" s="33">
        <v>55468</v>
      </c>
      <c r="Z9" s="34">
        <v>45230</v>
      </c>
      <c r="AA9" s="35">
        <f t="shared" si="0"/>
        <v>1089278</v>
      </c>
      <c r="AB9" s="19">
        <v>20</v>
      </c>
      <c r="AC9" s="79">
        <f>+AA9*AB9+AA10*AB10+AA11*AB11</f>
        <v>29960912</v>
      </c>
    </row>
    <row r="10" spans="1:30" ht="15.75" thickBot="1" x14ac:dyDescent="0.3">
      <c r="A10" s="78"/>
      <c r="B10" s="20" t="s">
        <v>7</v>
      </c>
      <c r="C10" s="36">
        <v>29833</v>
      </c>
      <c r="D10" s="36">
        <v>25892</v>
      </c>
      <c r="E10" s="36">
        <v>23370</v>
      </c>
      <c r="F10" s="36">
        <v>21891</v>
      </c>
      <c r="G10" s="36">
        <v>21996</v>
      </c>
      <c r="H10" s="36">
        <v>23865</v>
      </c>
      <c r="I10" s="36">
        <v>26999</v>
      </c>
      <c r="J10" s="36">
        <v>28613</v>
      </c>
      <c r="K10" s="36">
        <v>36650</v>
      </c>
      <c r="L10" s="36">
        <v>42061</v>
      </c>
      <c r="M10" s="36">
        <v>46330</v>
      </c>
      <c r="N10" s="36">
        <v>50698</v>
      </c>
      <c r="O10" s="36">
        <v>50978</v>
      </c>
      <c r="P10" s="36">
        <v>49883</v>
      </c>
      <c r="Q10" s="36">
        <v>48936</v>
      </c>
      <c r="R10" s="36">
        <v>48399</v>
      </c>
      <c r="S10" s="36">
        <v>47804</v>
      </c>
      <c r="T10" s="36">
        <v>62752</v>
      </c>
      <c r="U10" s="36">
        <v>68898</v>
      </c>
      <c r="V10" s="36">
        <v>75527</v>
      </c>
      <c r="W10" s="36">
        <v>71538</v>
      </c>
      <c r="X10" s="36">
        <v>66007</v>
      </c>
      <c r="Y10" s="36">
        <v>58276</v>
      </c>
      <c r="Z10" s="37">
        <v>49483</v>
      </c>
      <c r="AA10" s="38">
        <f t="shared" si="0"/>
        <v>1076679</v>
      </c>
      <c r="AB10" s="21">
        <v>4</v>
      </c>
      <c r="AC10" s="80"/>
      <c r="AD10" s="47"/>
    </row>
    <row r="11" spans="1:30" ht="15" x14ac:dyDescent="0.25">
      <c r="A11" s="78"/>
      <c r="B11" s="22" t="s">
        <v>6</v>
      </c>
      <c r="C11" s="39">
        <v>32398</v>
      </c>
      <c r="D11" s="39">
        <v>27999</v>
      </c>
      <c r="E11" s="39">
        <v>25338</v>
      </c>
      <c r="F11" s="39">
        <v>23319</v>
      </c>
      <c r="G11" s="39">
        <v>22640</v>
      </c>
      <c r="H11" s="39">
        <v>23172</v>
      </c>
      <c r="I11" s="39">
        <v>23337</v>
      </c>
      <c r="J11" s="39">
        <v>22751</v>
      </c>
      <c r="K11" s="39">
        <v>29240</v>
      </c>
      <c r="L11" s="39">
        <v>34566</v>
      </c>
      <c r="M11" s="39">
        <v>37964</v>
      </c>
      <c r="N11" s="39">
        <v>41321</v>
      </c>
      <c r="O11" s="39">
        <v>43821</v>
      </c>
      <c r="P11" s="39">
        <v>43157</v>
      </c>
      <c r="Q11" s="39">
        <v>41564</v>
      </c>
      <c r="R11" s="39">
        <v>40500</v>
      </c>
      <c r="S11" s="39">
        <v>40135</v>
      </c>
      <c r="T11" s="39">
        <v>55819</v>
      </c>
      <c r="U11" s="39">
        <v>62405</v>
      </c>
      <c r="V11" s="39">
        <v>69849</v>
      </c>
      <c r="W11" s="39">
        <v>67510</v>
      </c>
      <c r="X11" s="39">
        <v>61907</v>
      </c>
      <c r="Y11" s="39">
        <v>52814</v>
      </c>
      <c r="Z11" s="40">
        <v>43633</v>
      </c>
      <c r="AA11" s="41">
        <f t="shared" si="0"/>
        <v>967159</v>
      </c>
      <c r="AB11" s="23">
        <v>4</v>
      </c>
      <c r="AC11" s="81"/>
      <c r="AD11" s="48"/>
    </row>
    <row r="12" spans="1:30" ht="15.75" thickBot="1" x14ac:dyDescent="0.3">
      <c r="A12" s="78">
        <v>47178</v>
      </c>
      <c r="B12" s="18" t="s">
        <v>8</v>
      </c>
      <c r="C12" s="33">
        <v>26801</v>
      </c>
      <c r="D12" s="33">
        <v>23399</v>
      </c>
      <c r="E12" s="33">
        <v>21547</v>
      </c>
      <c r="F12" s="33">
        <v>20586</v>
      </c>
      <c r="G12" s="33">
        <v>21796</v>
      </c>
      <c r="H12" s="33">
        <v>26695</v>
      </c>
      <c r="I12" s="33">
        <v>30104</v>
      </c>
      <c r="J12" s="33">
        <v>30950</v>
      </c>
      <c r="K12" s="33">
        <v>36977</v>
      </c>
      <c r="L12" s="33">
        <v>41350</v>
      </c>
      <c r="M12" s="33">
        <v>45894</v>
      </c>
      <c r="N12" s="33">
        <v>50150</v>
      </c>
      <c r="O12" s="33">
        <v>48560</v>
      </c>
      <c r="P12" s="33">
        <v>49009</v>
      </c>
      <c r="Q12" s="33">
        <v>50852</v>
      </c>
      <c r="R12" s="33">
        <v>51117</v>
      </c>
      <c r="S12" s="33">
        <v>50247</v>
      </c>
      <c r="T12" s="33">
        <v>63501</v>
      </c>
      <c r="U12" s="33">
        <v>69429</v>
      </c>
      <c r="V12" s="33">
        <v>75087</v>
      </c>
      <c r="W12" s="33">
        <v>71514</v>
      </c>
      <c r="X12" s="33">
        <v>64810</v>
      </c>
      <c r="Y12" s="33">
        <v>54608</v>
      </c>
      <c r="Z12" s="34">
        <v>44531</v>
      </c>
      <c r="AA12" s="35">
        <f t="shared" si="0"/>
        <v>1069514</v>
      </c>
      <c r="AB12" s="19">
        <v>19</v>
      </c>
      <c r="AC12" s="79">
        <f>+AA12*AB12+AA13*AB13+AA14*AB14</f>
        <v>31831790</v>
      </c>
    </row>
    <row r="13" spans="1:30" ht="15.75" thickBot="1" x14ac:dyDescent="0.3">
      <c r="A13" s="78"/>
      <c r="B13" s="20" t="s">
        <v>7</v>
      </c>
      <c r="C13" s="36">
        <v>28634</v>
      </c>
      <c r="D13" s="36">
        <v>24667</v>
      </c>
      <c r="E13" s="36">
        <v>22610</v>
      </c>
      <c r="F13" s="36">
        <v>21444</v>
      </c>
      <c r="G13" s="36">
        <v>21414</v>
      </c>
      <c r="H13" s="36">
        <v>23515</v>
      </c>
      <c r="I13" s="36">
        <v>25181</v>
      </c>
      <c r="J13" s="36">
        <v>27507</v>
      </c>
      <c r="K13" s="36">
        <v>34929</v>
      </c>
      <c r="L13" s="36">
        <v>40250</v>
      </c>
      <c r="M13" s="36">
        <v>44401</v>
      </c>
      <c r="N13" s="36">
        <v>47898</v>
      </c>
      <c r="O13" s="36">
        <v>47822</v>
      </c>
      <c r="P13" s="36">
        <v>46559</v>
      </c>
      <c r="Q13" s="36">
        <v>45663</v>
      </c>
      <c r="R13" s="36">
        <v>45008</v>
      </c>
      <c r="S13" s="36">
        <v>44031</v>
      </c>
      <c r="T13" s="36">
        <v>59292</v>
      </c>
      <c r="U13" s="36">
        <v>66299</v>
      </c>
      <c r="V13" s="36">
        <v>71529</v>
      </c>
      <c r="W13" s="36">
        <v>67806</v>
      </c>
      <c r="X13" s="36">
        <v>62574</v>
      </c>
      <c r="Y13" s="36">
        <v>54847</v>
      </c>
      <c r="Z13" s="37">
        <v>47021</v>
      </c>
      <c r="AA13" s="38">
        <f t="shared" si="0"/>
        <v>1020901</v>
      </c>
      <c r="AB13" s="21">
        <v>5</v>
      </c>
      <c r="AC13" s="80"/>
      <c r="AD13" s="47"/>
    </row>
    <row r="14" spans="1:30" ht="15" x14ac:dyDescent="0.25">
      <c r="A14" s="78"/>
      <c r="B14" s="22" t="s">
        <v>6</v>
      </c>
      <c r="C14" s="39">
        <v>30346</v>
      </c>
      <c r="D14" s="39">
        <v>26101</v>
      </c>
      <c r="E14" s="39">
        <v>23635</v>
      </c>
      <c r="F14" s="39">
        <v>21940</v>
      </c>
      <c r="G14" s="39">
        <v>21034</v>
      </c>
      <c r="H14" s="39">
        <v>21849</v>
      </c>
      <c r="I14" s="39">
        <v>21463</v>
      </c>
      <c r="J14" s="39">
        <v>21174</v>
      </c>
      <c r="K14" s="39">
        <v>27043</v>
      </c>
      <c r="L14" s="39">
        <v>31646</v>
      </c>
      <c r="M14" s="39">
        <v>34842</v>
      </c>
      <c r="N14" s="39">
        <v>38634</v>
      </c>
      <c r="O14" s="39">
        <v>40971</v>
      </c>
      <c r="P14" s="39">
        <v>40353</v>
      </c>
      <c r="Q14" s="39">
        <v>38656</v>
      </c>
      <c r="R14" s="39">
        <v>37994</v>
      </c>
      <c r="S14" s="39">
        <v>37568</v>
      </c>
      <c r="T14" s="39">
        <v>53334</v>
      </c>
      <c r="U14" s="39">
        <v>60982</v>
      </c>
      <c r="V14" s="39">
        <v>67271</v>
      </c>
      <c r="W14" s="39">
        <v>64731</v>
      </c>
      <c r="X14" s="39">
        <v>59563</v>
      </c>
      <c r="Y14" s="39">
        <v>51066</v>
      </c>
      <c r="Z14" s="40">
        <v>43021</v>
      </c>
      <c r="AA14" s="41">
        <f t="shared" si="0"/>
        <v>915217</v>
      </c>
      <c r="AB14" s="23">
        <v>7</v>
      </c>
      <c r="AC14" s="81"/>
      <c r="AD14" s="45"/>
    </row>
    <row r="15" spans="1:30" ht="15.75" thickBot="1" x14ac:dyDescent="0.3">
      <c r="A15" s="78">
        <v>47209</v>
      </c>
      <c r="B15" s="18" t="s">
        <v>8</v>
      </c>
      <c r="C15" s="33">
        <v>24491</v>
      </c>
      <c r="D15" s="33">
        <v>21334</v>
      </c>
      <c r="E15" s="33">
        <v>19367</v>
      </c>
      <c r="F15" s="33">
        <v>18511</v>
      </c>
      <c r="G15" s="33">
        <v>19485</v>
      </c>
      <c r="H15" s="33">
        <v>23408</v>
      </c>
      <c r="I15" s="33">
        <v>26326</v>
      </c>
      <c r="J15" s="33">
        <v>27458</v>
      </c>
      <c r="K15" s="33">
        <v>33368</v>
      </c>
      <c r="L15" s="33">
        <v>37930</v>
      </c>
      <c r="M15" s="33">
        <v>42589</v>
      </c>
      <c r="N15" s="33">
        <v>46990</v>
      </c>
      <c r="O15" s="33">
        <v>45490</v>
      </c>
      <c r="P15" s="33">
        <v>46011</v>
      </c>
      <c r="Q15" s="33">
        <v>47779</v>
      </c>
      <c r="R15" s="33">
        <v>47959</v>
      </c>
      <c r="S15" s="33">
        <v>46933</v>
      </c>
      <c r="T15" s="33">
        <v>60488</v>
      </c>
      <c r="U15" s="33">
        <v>67357</v>
      </c>
      <c r="V15" s="33">
        <v>71416</v>
      </c>
      <c r="W15" s="33">
        <v>68106</v>
      </c>
      <c r="X15" s="33">
        <v>61518</v>
      </c>
      <c r="Y15" s="33">
        <v>51486</v>
      </c>
      <c r="Z15" s="34">
        <v>41833</v>
      </c>
      <c r="AA15" s="35">
        <f t="shared" si="0"/>
        <v>997633</v>
      </c>
      <c r="AB15" s="19">
        <v>21</v>
      </c>
      <c r="AC15" s="79">
        <f>+AA15*AB15+AA16*AB16+AA17*AB17</f>
        <v>29029635</v>
      </c>
    </row>
    <row r="16" spans="1:30" ht="15.75" thickBot="1" x14ac:dyDescent="0.3">
      <c r="A16" s="78"/>
      <c r="B16" s="20" t="s">
        <v>7</v>
      </c>
      <c r="C16" s="36">
        <v>25351</v>
      </c>
      <c r="D16" s="36">
        <v>21758</v>
      </c>
      <c r="E16" s="36">
        <v>19309</v>
      </c>
      <c r="F16" s="36">
        <v>17912</v>
      </c>
      <c r="G16" s="36">
        <v>18077</v>
      </c>
      <c r="H16" s="36">
        <v>19548</v>
      </c>
      <c r="I16" s="36">
        <v>21351</v>
      </c>
      <c r="J16" s="36">
        <v>23870</v>
      </c>
      <c r="K16" s="36">
        <v>31150</v>
      </c>
      <c r="L16" s="36">
        <v>36574</v>
      </c>
      <c r="M16" s="36">
        <v>40375</v>
      </c>
      <c r="N16" s="36">
        <v>44896</v>
      </c>
      <c r="O16" s="36">
        <v>45176</v>
      </c>
      <c r="P16" s="36">
        <v>44219</v>
      </c>
      <c r="Q16" s="36">
        <v>43331</v>
      </c>
      <c r="R16" s="36">
        <v>42742</v>
      </c>
      <c r="S16" s="36">
        <v>42561</v>
      </c>
      <c r="T16" s="36">
        <v>58022</v>
      </c>
      <c r="U16" s="36">
        <v>65794</v>
      </c>
      <c r="V16" s="36">
        <v>69996</v>
      </c>
      <c r="W16" s="36">
        <v>66041</v>
      </c>
      <c r="X16" s="36">
        <v>60551</v>
      </c>
      <c r="Y16" s="36">
        <v>52930</v>
      </c>
      <c r="Z16" s="37">
        <v>44904</v>
      </c>
      <c r="AA16" s="38">
        <f t="shared" si="0"/>
        <v>956438</v>
      </c>
      <c r="AB16" s="21">
        <v>4</v>
      </c>
      <c r="AC16" s="80"/>
      <c r="AD16" s="47"/>
    </row>
    <row r="17" spans="1:30" ht="15" x14ac:dyDescent="0.25">
      <c r="A17" s="78"/>
      <c r="B17" s="22" t="s">
        <v>6</v>
      </c>
      <c r="C17" s="39">
        <v>27819</v>
      </c>
      <c r="D17" s="39">
        <v>23891</v>
      </c>
      <c r="E17" s="39">
        <v>21170</v>
      </c>
      <c r="F17" s="39">
        <v>19378</v>
      </c>
      <c r="G17" s="39">
        <v>18566</v>
      </c>
      <c r="H17" s="39">
        <v>18337</v>
      </c>
      <c r="I17" s="39">
        <v>18654</v>
      </c>
      <c r="J17" s="39">
        <v>18832</v>
      </c>
      <c r="K17" s="39">
        <v>24450</v>
      </c>
      <c r="L17" s="39">
        <v>29379</v>
      </c>
      <c r="M17" s="39">
        <v>32777</v>
      </c>
      <c r="N17" s="39">
        <v>36338</v>
      </c>
      <c r="O17" s="39">
        <v>38391</v>
      </c>
      <c r="P17" s="39">
        <v>37833</v>
      </c>
      <c r="Q17" s="39">
        <v>36014</v>
      </c>
      <c r="R17" s="39">
        <v>35297</v>
      </c>
      <c r="S17" s="39">
        <v>34850</v>
      </c>
      <c r="T17" s="39">
        <v>50678</v>
      </c>
      <c r="U17" s="39">
        <v>59010</v>
      </c>
      <c r="V17" s="39">
        <v>63950</v>
      </c>
      <c r="W17" s="39">
        <v>61207</v>
      </c>
      <c r="X17" s="39">
        <v>55970</v>
      </c>
      <c r="Y17" s="39">
        <v>48073</v>
      </c>
      <c r="Z17" s="40">
        <v>39854</v>
      </c>
      <c r="AA17" s="41">
        <f t="shared" si="0"/>
        <v>850718</v>
      </c>
      <c r="AB17" s="23">
        <v>5</v>
      </c>
      <c r="AC17" s="81"/>
      <c r="AD17" s="48"/>
    </row>
    <row r="18" spans="1:30" ht="15.75" thickBot="1" x14ac:dyDescent="0.3">
      <c r="A18" s="78">
        <v>47239</v>
      </c>
      <c r="B18" s="18" t="s">
        <v>8</v>
      </c>
      <c r="C18" s="33">
        <v>24820</v>
      </c>
      <c r="D18" s="33">
        <v>21498</v>
      </c>
      <c r="E18" s="33">
        <v>19609</v>
      </c>
      <c r="F18" s="33">
        <v>18681</v>
      </c>
      <c r="G18" s="33">
        <v>19704</v>
      </c>
      <c r="H18" s="33">
        <v>23005</v>
      </c>
      <c r="I18" s="33">
        <v>26562</v>
      </c>
      <c r="J18" s="33">
        <v>27943</v>
      </c>
      <c r="K18" s="33">
        <v>33945</v>
      </c>
      <c r="L18" s="33">
        <v>38581</v>
      </c>
      <c r="M18" s="33">
        <v>43261</v>
      </c>
      <c r="N18" s="33">
        <v>47782</v>
      </c>
      <c r="O18" s="33">
        <v>46555</v>
      </c>
      <c r="P18" s="33">
        <v>46650</v>
      </c>
      <c r="Q18" s="33">
        <v>47988</v>
      </c>
      <c r="R18" s="33">
        <v>48130</v>
      </c>
      <c r="S18" s="33">
        <v>47125</v>
      </c>
      <c r="T18" s="33">
        <v>60985</v>
      </c>
      <c r="U18" s="33">
        <v>68330</v>
      </c>
      <c r="V18" s="33">
        <v>72368</v>
      </c>
      <c r="W18" s="33">
        <v>68580</v>
      </c>
      <c r="X18" s="33">
        <v>61976</v>
      </c>
      <c r="Y18" s="33">
        <v>51742</v>
      </c>
      <c r="Z18" s="34">
        <v>42271</v>
      </c>
      <c r="AA18" s="35">
        <f t="shared" si="0"/>
        <v>1008091</v>
      </c>
      <c r="AB18" s="19">
        <v>21</v>
      </c>
      <c r="AC18" s="79">
        <f>+AA18*AB18+AA19*AB19+AA20*AB20</f>
        <v>30547117</v>
      </c>
    </row>
    <row r="19" spans="1:30" ht="15.75" thickBot="1" x14ac:dyDescent="0.3">
      <c r="A19" s="78"/>
      <c r="B19" s="20" t="s">
        <v>7</v>
      </c>
      <c r="C19" s="36">
        <v>27233</v>
      </c>
      <c r="D19" s="36">
        <v>23600</v>
      </c>
      <c r="E19" s="36">
        <v>21389</v>
      </c>
      <c r="F19" s="36">
        <v>20105</v>
      </c>
      <c r="G19" s="36">
        <v>20219</v>
      </c>
      <c r="H19" s="36">
        <v>20986</v>
      </c>
      <c r="I19" s="36">
        <v>23891</v>
      </c>
      <c r="J19" s="36">
        <v>26379</v>
      </c>
      <c r="K19" s="36">
        <v>33890</v>
      </c>
      <c r="L19" s="36">
        <v>39699</v>
      </c>
      <c r="M19" s="36">
        <v>43402</v>
      </c>
      <c r="N19" s="36">
        <v>46994</v>
      </c>
      <c r="O19" s="36">
        <v>46980</v>
      </c>
      <c r="P19" s="36">
        <v>45597</v>
      </c>
      <c r="Q19" s="36">
        <v>44183</v>
      </c>
      <c r="R19" s="36">
        <v>43284</v>
      </c>
      <c r="S19" s="36">
        <v>42761</v>
      </c>
      <c r="T19" s="36">
        <v>58541</v>
      </c>
      <c r="U19" s="36">
        <v>67398</v>
      </c>
      <c r="V19" s="36">
        <v>70577</v>
      </c>
      <c r="W19" s="36">
        <v>66710</v>
      </c>
      <c r="X19" s="36">
        <v>61015</v>
      </c>
      <c r="Y19" s="36">
        <v>53153</v>
      </c>
      <c r="Z19" s="37">
        <v>45330</v>
      </c>
      <c r="AA19" s="38">
        <f t="shared" si="0"/>
        <v>993316</v>
      </c>
      <c r="AB19" s="21">
        <v>4</v>
      </c>
      <c r="AC19" s="80"/>
      <c r="AD19" s="47"/>
    </row>
    <row r="20" spans="1:30" ht="15" x14ac:dyDescent="0.25">
      <c r="A20" s="78"/>
      <c r="B20" s="22" t="s">
        <v>6</v>
      </c>
      <c r="C20" s="39">
        <v>27928</v>
      </c>
      <c r="D20" s="39">
        <v>24044</v>
      </c>
      <c r="E20" s="39">
        <v>21563</v>
      </c>
      <c r="F20" s="39">
        <v>20000</v>
      </c>
      <c r="G20" s="39">
        <v>19424</v>
      </c>
      <c r="H20" s="39">
        <v>18652</v>
      </c>
      <c r="I20" s="39">
        <v>19549</v>
      </c>
      <c r="J20" s="39">
        <v>20338</v>
      </c>
      <c r="K20" s="39">
        <v>26277</v>
      </c>
      <c r="L20" s="39">
        <v>31650</v>
      </c>
      <c r="M20" s="39">
        <v>35188</v>
      </c>
      <c r="N20" s="39">
        <v>39108</v>
      </c>
      <c r="O20" s="39">
        <v>40788</v>
      </c>
      <c r="P20" s="39">
        <v>40586</v>
      </c>
      <c r="Q20" s="39">
        <v>38587</v>
      </c>
      <c r="R20" s="39">
        <v>41812</v>
      </c>
      <c r="S20" s="39">
        <v>37265</v>
      </c>
      <c r="T20" s="39">
        <v>53293</v>
      </c>
      <c r="U20" s="39">
        <v>62120</v>
      </c>
      <c r="V20" s="39">
        <v>67105</v>
      </c>
      <c r="W20" s="39">
        <v>64267</v>
      </c>
      <c r="X20" s="39">
        <v>58713</v>
      </c>
      <c r="Y20" s="39">
        <v>50455</v>
      </c>
      <c r="Z20" s="40">
        <v>41945</v>
      </c>
      <c r="AA20" s="41">
        <f t="shared" si="0"/>
        <v>900657</v>
      </c>
      <c r="AB20" s="23">
        <v>6</v>
      </c>
      <c r="AC20" s="81"/>
      <c r="AD20" s="48"/>
    </row>
    <row r="21" spans="1:30" ht="15.75" thickBot="1" x14ac:dyDescent="0.3">
      <c r="A21" s="78">
        <v>47270</v>
      </c>
      <c r="B21" s="18" t="s">
        <v>8</v>
      </c>
      <c r="C21" s="33">
        <v>24239</v>
      </c>
      <c r="D21" s="33">
        <v>20852</v>
      </c>
      <c r="E21" s="33">
        <v>19161</v>
      </c>
      <c r="F21" s="33">
        <v>18242</v>
      </c>
      <c r="G21" s="33">
        <v>19149</v>
      </c>
      <c r="H21" s="33">
        <v>22046</v>
      </c>
      <c r="I21" s="33">
        <v>25661</v>
      </c>
      <c r="J21" s="33">
        <v>27268</v>
      </c>
      <c r="K21" s="33">
        <v>33431</v>
      </c>
      <c r="L21" s="33">
        <v>37974</v>
      </c>
      <c r="M21" s="33">
        <v>42752</v>
      </c>
      <c r="N21" s="33">
        <v>47331</v>
      </c>
      <c r="O21" s="33">
        <v>46020</v>
      </c>
      <c r="P21" s="33">
        <v>46030</v>
      </c>
      <c r="Q21" s="33">
        <v>47704</v>
      </c>
      <c r="R21" s="33">
        <v>47798</v>
      </c>
      <c r="S21" s="33">
        <v>46795</v>
      </c>
      <c r="T21" s="33">
        <v>60478</v>
      </c>
      <c r="U21" s="33">
        <v>66665</v>
      </c>
      <c r="V21" s="33">
        <v>71856</v>
      </c>
      <c r="W21" s="33">
        <v>68258</v>
      </c>
      <c r="X21" s="33">
        <v>61618</v>
      </c>
      <c r="Y21" s="33">
        <v>51185</v>
      </c>
      <c r="Z21" s="34">
        <v>41594</v>
      </c>
      <c r="AA21" s="35">
        <f t="shared" si="0"/>
        <v>994107</v>
      </c>
      <c r="AB21" s="19">
        <v>19</v>
      </c>
      <c r="AC21" s="79">
        <f>+AA21*AB21+AA22*AB22+AA23*AB23</f>
        <v>29817012</v>
      </c>
    </row>
    <row r="22" spans="1:30" ht="15.75" thickBot="1" x14ac:dyDescent="0.3">
      <c r="A22" s="78"/>
      <c r="B22" s="20" t="s">
        <v>7</v>
      </c>
      <c r="C22" s="36">
        <v>28066</v>
      </c>
      <c r="D22" s="36">
        <v>24061</v>
      </c>
      <c r="E22" s="36">
        <v>21796</v>
      </c>
      <c r="F22" s="36">
        <v>20484</v>
      </c>
      <c r="G22" s="36">
        <v>20392</v>
      </c>
      <c r="H22" s="36">
        <v>21156</v>
      </c>
      <c r="I22" s="36">
        <v>23623</v>
      </c>
      <c r="J22" s="36">
        <v>25855</v>
      </c>
      <c r="K22" s="36">
        <v>33838</v>
      </c>
      <c r="L22" s="36">
        <v>39181</v>
      </c>
      <c r="M22" s="36">
        <v>43401</v>
      </c>
      <c r="N22" s="36">
        <v>47058</v>
      </c>
      <c r="O22" s="36">
        <v>47428</v>
      </c>
      <c r="P22" s="36">
        <v>46700</v>
      </c>
      <c r="Q22" s="36">
        <v>45938</v>
      </c>
      <c r="R22" s="36">
        <v>45951</v>
      </c>
      <c r="S22" s="36">
        <v>45493</v>
      </c>
      <c r="T22" s="36">
        <v>61339</v>
      </c>
      <c r="U22" s="36">
        <v>69166</v>
      </c>
      <c r="V22" s="36">
        <v>73612</v>
      </c>
      <c r="W22" s="36">
        <v>69406</v>
      </c>
      <c r="X22" s="36">
        <v>63787</v>
      </c>
      <c r="Y22" s="36">
        <v>55695</v>
      </c>
      <c r="Z22" s="37">
        <v>47189</v>
      </c>
      <c r="AA22" s="38">
        <f t="shared" si="0"/>
        <v>1020615</v>
      </c>
      <c r="AB22" s="21">
        <v>5</v>
      </c>
      <c r="AC22" s="80"/>
      <c r="AD22" s="47"/>
    </row>
    <row r="23" spans="1:30" ht="15" x14ac:dyDescent="0.25">
      <c r="A23" s="78"/>
      <c r="B23" s="22" t="s">
        <v>6</v>
      </c>
      <c r="C23" s="39">
        <v>30754</v>
      </c>
      <c r="D23" s="39">
        <v>26659</v>
      </c>
      <c r="E23" s="39">
        <v>24275</v>
      </c>
      <c r="F23" s="39">
        <v>22621</v>
      </c>
      <c r="G23" s="39">
        <v>22231</v>
      </c>
      <c r="H23" s="39">
        <v>22287</v>
      </c>
      <c r="I23" s="39">
        <v>22541</v>
      </c>
      <c r="J23" s="39">
        <v>23648</v>
      </c>
      <c r="K23" s="39">
        <v>30012</v>
      </c>
      <c r="L23" s="39">
        <v>34702</v>
      </c>
      <c r="M23" s="39">
        <v>38626</v>
      </c>
      <c r="N23" s="39">
        <v>42524</v>
      </c>
      <c r="O23" s="39">
        <v>43667</v>
      </c>
      <c r="P23" s="39">
        <v>43259</v>
      </c>
      <c r="Q23" s="39">
        <v>41941</v>
      </c>
      <c r="R23" s="39">
        <v>41390</v>
      </c>
      <c r="S23" s="39">
        <v>40963</v>
      </c>
      <c r="T23" s="39">
        <v>56646</v>
      </c>
      <c r="U23" s="39">
        <v>64626</v>
      </c>
      <c r="V23" s="39">
        <v>70349</v>
      </c>
      <c r="W23" s="39">
        <v>67579</v>
      </c>
      <c r="X23" s="39">
        <v>61837</v>
      </c>
      <c r="Y23" s="39">
        <v>53166</v>
      </c>
      <c r="Z23" s="40">
        <v>44681</v>
      </c>
      <c r="AA23" s="41">
        <f t="shared" si="0"/>
        <v>970984</v>
      </c>
      <c r="AB23" s="23">
        <v>6</v>
      </c>
      <c r="AC23" s="81"/>
      <c r="AD23" s="48"/>
    </row>
    <row r="24" spans="1:30" ht="15.75" thickBot="1" x14ac:dyDescent="0.3">
      <c r="A24" s="78">
        <v>47300</v>
      </c>
      <c r="B24" s="18" t="s">
        <v>8</v>
      </c>
      <c r="C24" s="33">
        <v>27824</v>
      </c>
      <c r="D24" s="33">
        <v>24216</v>
      </c>
      <c r="E24" s="33">
        <v>22122</v>
      </c>
      <c r="F24" s="33">
        <v>20949</v>
      </c>
      <c r="G24" s="33">
        <v>21778</v>
      </c>
      <c r="H24" s="33">
        <v>24597</v>
      </c>
      <c r="I24" s="33">
        <v>27366</v>
      </c>
      <c r="J24" s="33">
        <v>29777</v>
      </c>
      <c r="K24" s="33">
        <v>36453</v>
      </c>
      <c r="L24" s="33">
        <v>41634</v>
      </c>
      <c r="M24" s="33">
        <v>46653</v>
      </c>
      <c r="N24" s="33">
        <v>51224</v>
      </c>
      <c r="O24" s="33">
        <v>49754</v>
      </c>
      <c r="P24" s="33">
        <v>50079</v>
      </c>
      <c r="Q24" s="33">
        <v>51787</v>
      </c>
      <c r="R24" s="33">
        <v>51998</v>
      </c>
      <c r="S24" s="33">
        <v>50606</v>
      </c>
      <c r="T24" s="33">
        <v>63388</v>
      </c>
      <c r="U24" s="33">
        <v>68700</v>
      </c>
      <c r="V24" s="33">
        <v>74885</v>
      </c>
      <c r="W24" s="33">
        <v>71671</v>
      </c>
      <c r="X24" s="33">
        <v>65335</v>
      </c>
      <c r="Y24" s="33">
        <v>54961</v>
      </c>
      <c r="Z24" s="34">
        <v>45390</v>
      </c>
      <c r="AA24" s="35">
        <f t="shared" si="0"/>
        <v>1073147</v>
      </c>
      <c r="AB24" s="19">
        <v>20</v>
      </c>
      <c r="AC24" s="79">
        <f>+AA24*AB24+AA25*AB25+AA26*AB26</f>
        <v>32045472</v>
      </c>
    </row>
    <row r="25" spans="1:30" ht="15.75" thickBot="1" x14ac:dyDescent="0.3">
      <c r="A25" s="78"/>
      <c r="B25" s="20" t="s">
        <v>7</v>
      </c>
      <c r="C25" s="36">
        <v>26369</v>
      </c>
      <c r="D25" s="36">
        <v>22379</v>
      </c>
      <c r="E25" s="36">
        <v>20292</v>
      </c>
      <c r="F25" s="36">
        <v>18943</v>
      </c>
      <c r="G25" s="36">
        <v>18943</v>
      </c>
      <c r="H25" s="36">
        <v>19974</v>
      </c>
      <c r="I25" s="36">
        <v>22530</v>
      </c>
      <c r="J25" s="36">
        <v>26329</v>
      </c>
      <c r="K25" s="36">
        <v>34252</v>
      </c>
      <c r="L25" s="36">
        <v>39478</v>
      </c>
      <c r="M25" s="36">
        <v>43681</v>
      </c>
      <c r="N25" s="36">
        <v>47264</v>
      </c>
      <c r="O25" s="36">
        <v>47138</v>
      </c>
      <c r="P25" s="36">
        <v>45812</v>
      </c>
      <c r="Q25" s="36">
        <v>44634</v>
      </c>
      <c r="R25" s="36">
        <v>44097</v>
      </c>
      <c r="S25" s="36">
        <v>43410</v>
      </c>
      <c r="T25" s="36">
        <v>58932</v>
      </c>
      <c r="U25" s="36">
        <v>64950</v>
      </c>
      <c r="V25" s="36">
        <v>70791</v>
      </c>
      <c r="W25" s="36">
        <v>66933</v>
      </c>
      <c r="X25" s="36">
        <v>61865</v>
      </c>
      <c r="Y25" s="36">
        <v>53971</v>
      </c>
      <c r="Z25" s="37">
        <v>46186</v>
      </c>
      <c r="AA25" s="38">
        <f t="shared" si="0"/>
        <v>989153</v>
      </c>
      <c r="AB25" s="21">
        <v>4</v>
      </c>
      <c r="AC25" s="80"/>
      <c r="AD25" s="47"/>
    </row>
    <row r="26" spans="1:30" ht="15" x14ac:dyDescent="0.25">
      <c r="A26" s="78"/>
      <c r="B26" s="22" t="s">
        <v>6</v>
      </c>
      <c r="C26" s="39">
        <v>31033</v>
      </c>
      <c r="D26" s="39">
        <v>26972</v>
      </c>
      <c r="E26" s="39">
        <v>24224</v>
      </c>
      <c r="F26" s="39">
        <v>22496</v>
      </c>
      <c r="G26" s="39">
        <v>21871</v>
      </c>
      <c r="H26" s="39">
        <v>21777</v>
      </c>
      <c r="I26" s="39">
        <v>21725</v>
      </c>
      <c r="J26" s="39">
        <v>22355</v>
      </c>
      <c r="K26" s="39">
        <v>28654</v>
      </c>
      <c r="L26" s="39">
        <v>33947</v>
      </c>
      <c r="M26" s="39">
        <v>37645</v>
      </c>
      <c r="N26" s="39">
        <v>41281</v>
      </c>
      <c r="O26" s="39">
        <v>43125</v>
      </c>
      <c r="P26" s="39">
        <v>42332</v>
      </c>
      <c r="Q26" s="39">
        <v>40538</v>
      </c>
      <c r="R26" s="39">
        <v>39668</v>
      </c>
      <c r="S26" s="39">
        <v>38974</v>
      </c>
      <c r="T26" s="39">
        <v>54641</v>
      </c>
      <c r="U26" s="39">
        <v>61121</v>
      </c>
      <c r="V26" s="39">
        <v>68502</v>
      </c>
      <c r="W26" s="39">
        <v>66122</v>
      </c>
      <c r="X26" s="39">
        <v>60910</v>
      </c>
      <c r="Y26" s="39">
        <v>52426</v>
      </c>
      <c r="Z26" s="40">
        <v>44221</v>
      </c>
      <c r="AA26" s="41">
        <f t="shared" si="0"/>
        <v>946560</v>
      </c>
      <c r="AB26" s="23">
        <v>7</v>
      </c>
      <c r="AC26" s="81"/>
      <c r="AD26" s="48"/>
    </row>
    <row r="27" spans="1:30" ht="15.75" thickBot="1" x14ac:dyDescent="0.3">
      <c r="A27" s="78">
        <v>47331</v>
      </c>
      <c r="B27" s="18" t="s">
        <v>8</v>
      </c>
      <c r="C27" s="33">
        <v>28385</v>
      </c>
      <c r="D27" s="33">
        <v>24987</v>
      </c>
      <c r="E27" s="33">
        <v>23130</v>
      </c>
      <c r="F27" s="33">
        <v>21976</v>
      </c>
      <c r="G27" s="33">
        <v>22883</v>
      </c>
      <c r="H27" s="33">
        <v>26682</v>
      </c>
      <c r="I27" s="33">
        <v>29819</v>
      </c>
      <c r="J27" s="33">
        <v>31492</v>
      </c>
      <c r="K27" s="33">
        <v>37909</v>
      </c>
      <c r="L27" s="33">
        <v>42763</v>
      </c>
      <c r="M27" s="33">
        <v>47842</v>
      </c>
      <c r="N27" s="33">
        <v>52497</v>
      </c>
      <c r="O27" s="33">
        <v>51139</v>
      </c>
      <c r="P27" s="33">
        <v>52062</v>
      </c>
      <c r="Q27" s="33">
        <v>53901</v>
      </c>
      <c r="R27" s="33">
        <v>54066</v>
      </c>
      <c r="S27" s="33">
        <v>52582</v>
      </c>
      <c r="T27" s="33">
        <v>65308</v>
      </c>
      <c r="U27" s="33">
        <v>71570</v>
      </c>
      <c r="V27" s="33">
        <v>76826</v>
      </c>
      <c r="W27" s="33">
        <v>73258</v>
      </c>
      <c r="X27" s="33">
        <v>66541</v>
      </c>
      <c r="Y27" s="33">
        <v>55998</v>
      </c>
      <c r="Z27" s="34">
        <v>46573</v>
      </c>
      <c r="AA27" s="35">
        <f t="shared" si="0"/>
        <v>1110189</v>
      </c>
      <c r="AB27" s="19">
        <v>21</v>
      </c>
      <c r="AC27" s="79">
        <f>+AA27*AB27+AA28*AB28+AA29*AB29</f>
        <v>33327487</v>
      </c>
    </row>
    <row r="28" spans="1:30" ht="15.75" thickBot="1" x14ac:dyDescent="0.3">
      <c r="A28" s="78"/>
      <c r="B28" s="20" t="s">
        <v>7</v>
      </c>
      <c r="C28" s="36">
        <v>30478</v>
      </c>
      <c r="D28" s="36">
        <v>26907</v>
      </c>
      <c r="E28" s="36">
        <v>24584</v>
      </c>
      <c r="F28" s="36">
        <v>22827</v>
      </c>
      <c r="G28" s="36">
        <v>22580</v>
      </c>
      <c r="H28" s="36">
        <v>23983</v>
      </c>
      <c r="I28" s="36">
        <v>25302</v>
      </c>
      <c r="J28" s="36">
        <v>28642</v>
      </c>
      <c r="K28" s="36">
        <v>36532</v>
      </c>
      <c r="L28" s="36">
        <v>41980</v>
      </c>
      <c r="M28" s="36">
        <v>46606</v>
      </c>
      <c r="N28" s="36">
        <v>50222</v>
      </c>
      <c r="O28" s="36">
        <v>50304</v>
      </c>
      <c r="P28" s="36">
        <v>49454</v>
      </c>
      <c r="Q28" s="36">
        <v>48526</v>
      </c>
      <c r="R28" s="36">
        <v>48067</v>
      </c>
      <c r="S28" s="36">
        <v>46895</v>
      </c>
      <c r="T28" s="36">
        <v>61959</v>
      </c>
      <c r="U28" s="36">
        <v>69557</v>
      </c>
      <c r="V28" s="36">
        <v>73834</v>
      </c>
      <c r="W28" s="36">
        <v>69950</v>
      </c>
      <c r="X28" s="36">
        <v>64678</v>
      </c>
      <c r="Y28" s="36">
        <v>57060</v>
      </c>
      <c r="Z28" s="37">
        <v>48937</v>
      </c>
      <c r="AA28" s="38">
        <f t="shared" si="0"/>
        <v>1069864</v>
      </c>
      <c r="AB28" s="21">
        <v>4</v>
      </c>
      <c r="AC28" s="80"/>
      <c r="AD28" s="47"/>
    </row>
    <row r="29" spans="1:30" ht="15" x14ac:dyDescent="0.25">
      <c r="A29" s="78"/>
      <c r="B29" s="22" t="s">
        <v>6</v>
      </c>
      <c r="C29" s="39">
        <v>31847</v>
      </c>
      <c r="D29" s="39">
        <v>27687</v>
      </c>
      <c r="E29" s="39">
        <v>24921</v>
      </c>
      <c r="F29" s="39">
        <v>23143</v>
      </c>
      <c r="G29" s="39">
        <v>22514</v>
      </c>
      <c r="H29" s="39">
        <v>22612</v>
      </c>
      <c r="I29" s="39">
        <v>22153</v>
      </c>
      <c r="J29" s="39">
        <v>23112</v>
      </c>
      <c r="K29" s="39">
        <v>29277</v>
      </c>
      <c r="L29" s="39">
        <v>34275</v>
      </c>
      <c r="M29" s="39">
        <v>37854</v>
      </c>
      <c r="N29" s="39">
        <v>41631</v>
      </c>
      <c r="O29" s="39">
        <v>43711</v>
      </c>
      <c r="P29" s="39">
        <v>43027</v>
      </c>
      <c r="Q29" s="39">
        <v>40895</v>
      </c>
      <c r="R29" s="39">
        <v>39539</v>
      </c>
      <c r="S29" s="39">
        <v>39080</v>
      </c>
      <c r="T29" s="39">
        <v>54549</v>
      </c>
      <c r="U29" s="39">
        <v>62452</v>
      </c>
      <c r="V29" s="39">
        <v>68834</v>
      </c>
      <c r="W29" s="39">
        <v>66069</v>
      </c>
      <c r="X29" s="39">
        <v>60564</v>
      </c>
      <c r="Y29" s="39">
        <v>52191</v>
      </c>
      <c r="Z29" s="40">
        <v>43740</v>
      </c>
      <c r="AA29" s="41">
        <f t="shared" si="0"/>
        <v>955677</v>
      </c>
      <c r="AB29" s="23">
        <v>6</v>
      </c>
      <c r="AC29" s="81"/>
      <c r="AD29" s="49"/>
    </row>
    <row r="30" spans="1:30" ht="15.75" thickBot="1" x14ac:dyDescent="0.3">
      <c r="A30" s="78">
        <v>47362</v>
      </c>
      <c r="B30" s="18" t="s">
        <v>8</v>
      </c>
      <c r="C30" s="33">
        <v>30371</v>
      </c>
      <c r="D30" s="33">
        <v>26697</v>
      </c>
      <c r="E30" s="33">
        <v>24412</v>
      </c>
      <c r="F30" s="33">
        <v>23363</v>
      </c>
      <c r="G30" s="33">
        <v>24127</v>
      </c>
      <c r="H30" s="33">
        <v>27755</v>
      </c>
      <c r="I30" s="33">
        <v>31047</v>
      </c>
      <c r="J30" s="33">
        <v>33008</v>
      </c>
      <c r="K30" s="33">
        <v>39366</v>
      </c>
      <c r="L30" s="33">
        <v>44595</v>
      </c>
      <c r="M30" s="33">
        <v>49816</v>
      </c>
      <c r="N30" s="33">
        <v>54703</v>
      </c>
      <c r="O30" s="33">
        <v>53334</v>
      </c>
      <c r="P30" s="33">
        <v>54144</v>
      </c>
      <c r="Q30" s="33">
        <v>56393</v>
      </c>
      <c r="R30" s="33">
        <v>57018</v>
      </c>
      <c r="S30" s="33">
        <v>55594</v>
      </c>
      <c r="T30" s="33">
        <v>68456</v>
      </c>
      <c r="U30" s="33">
        <v>76859</v>
      </c>
      <c r="V30" s="33">
        <v>78845</v>
      </c>
      <c r="W30" s="33">
        <v>75047</v>
      </c>
      <c r="X30" s="33">
        <v>68228</v>
      </c>
      <c r="Y30" s="33">
        <v>57421</v>
      </c>
      <c r="Z30" s="34">
        <v>47977</v>
      </c>
      <c r="AA30" s="35">
        <f t="shared" si="0"/>
        <v>1158576</v>
      </c>
      <c r="AB30" s="19">
        <v>20</v>
      </c>
      <c r="AC30" s="79">
        <f>+AA30*AB30+AA31*AB31+AA32*AB32</f>
        <v>33440500</v>
      </c>
    </row>
    <row r="31" spans="1:30" ht="15.75" thickBot="1" x14ac:dyDescent="0.3">
      <c r="A31" s="78"/>
      <c r="B31" s="20" t="s">
        <v>7</v>
      </c>
      <c r="C31" s="36">
        <v>32168</v>
      </c>
      <c r="D31" s="36">
        <v>27776</v>
      </c>
      <c r="E31" s="36">
        <v>25407</v>
      </c>
      <c r="F31" s="36">
        <v>24077</v>
      </c>
      <c r="G31" s="36">
        <v>23956</v>
      </c>
      <c r="H31" s="36">
        <v>24215</v>
      </c>
      <c r="I31" s="36">
        <v>26797</v>
      </c>
      <c r="J31" s="36">
        <v>30674</v>
      </c>
      <c r="K31" s="36">
        <v>38849</v>
      </c>
      <c r="L31" s="36">
        <v>44560</v>
      </c>
      <c r="M31" s="36">
        <v>48994</v>
      </c>
      <c r="N31" s="36">
        <v>52759</v>
      </c>
      <c r="O31" s="36">
        <v>52552</v>
      </c>
      <c r="P31" s="36">
        <v>51526</v>
      </c>
      <c r="Q31" s="36">
        <v>50519</v>
      </c>
      <c r="R31" s="36">
        <v>49844</v>
      </c>
      <c r="S31" s="36">
        <v>49240</v>
      </c>
      <c r="T31" s="36">
        <v>64945</v>
      </c>
      <c r="U31" s="36">
        <v>73834</v>
      </c>
      <c r="V31" s="36">
        <v>75486</v>
      </c>
      <c r="W31" s="36">
        <v>71050</v>
      </c>
      <c r="X31" s="36">
        <v>65648</v>
      </c>
      <c r="Y31" s="36">
        <v>57797</v>
      </c>
      <c r="Z31" s="37">
        <v>49657</v>
      </c>
      <c r="AA31" s="38">
        <f t="shared" si="0"/>
        <v>1112330</v>
      </c>
      <c r="AB31" s="21">
        <v>5</v>
      </c>
      <c r="AC31" s="80"/>
      <c r="AD31" s="47"/>
    </row>
    <row r="32" spans="1:30" ht="15" x14ac:dyDescent="0.25">
      <c r="A32" s="78"/>
      <c r="B32" s="22" t="s">
        <v>6</v>
      </c>
      <c r="C32" s="39">
        <v>32373</v>
      </c>
      <c r="D32" s="39">
        <v>28327</v>
      </c>
      <c r="E32" s="39">
        <v>25649</v>
      </c>
      <c r="F32" s="39">
        <v>23597</v>
      </c>
      <c r="G32" s="39">
        <v>22502</v>
      </c>
      <c r="H32" s="39">
        <v>21616</v>
      </c>
      <c r="I32" s="39">
        <v>21436</v>
      </c>
      <c r="J32" s="39">
        <v>22139</v>
      </c>
      <c r="K32" s="39">
        <v>28210</v>
      </c>
      <c r="L32" s="39">
        <v>33111</v>
      </c>
      <c r="M32" s="39">
        <v>36480</v>
      </c>
      <c r="N32" s="39">
        <v>39809</v>
      </c>
      <c r="O32" s="39">
        <v>41847</v>
      </c>
      <c r="P32" s="39">
        <v>41409</v>
      </c>
      <c r="Q32" s="39">
        <v>39670</v>
      </c>
      <c r="R32" s="39">
        <v>39114</v>
      </c>
      <c r="S32" s="39">
        <v>38635</v>
      </c>
      <c r="T32" s="39">
        <v>54375</v>
      </c>
      <c r="U32" s="39">
        <v>64427</v>
      </c>
      <c r="V32" s="39">
        <v>67463</v>
      </c>
      <c r="W32" s="39">
        <v>64949</v>
      </c>
      <c r="X32" s="39">
        <v>59610</v>
      </c>
      <c r="Y32" s="39">
        <v>51410</v>
      </c>
      <c r="Z32" s="40">
        <v>43308</v>
      </c>
      <c r="AA32" s="41">
        <f t="shared" si="0"/>
        <v>941466</v>
      </c>
      <c r="AB32" s="23">
        <v>5</v>
      </c>
      <c r="AC32" s="81"/>
      <c r="AD32" s="48"/>
    </row>
    <row r="33" spans="1:30" ht="15.75" thickBot="1" x14ac:dyDescent="0.3">
      <c r="A33" s="78">
        <v>47392</v>
      </c>
      <c r="B33" s="18" t="s">
        <v>8</v>
      </c>
      <c r="C33" s="33">
        <v>26597</v>
      </c>
      <c r="D33" s="33">
        <v>23285</v>
      </c>
      <c r="E33" s="33">
        <v>21422</v>
      </c>
      <c r="F33" s="33">
        <v>20368</v>
      </c>
      <c r="G33" s="33">
        <v>21332</v>
      </c>
      <c r="H33" s="33">
        <v>24285</v>
      </c>
      <c r="I33" s="33">
        <v>27689</v>
      </c>
      <c r="J33" s="33">
        <v>29073</v>
      </c>
      <c r="K33" s="33">
        <v>35065</v>
      </c>
      <c r="L33" s="33">
        <v>39657</v>
      </c>
      <c r="M33" s="33">
        <v>44442</v>
      </c>
      <c r="N33" s="33">
        <v>49114</v>
      </c>
      <c r="O33" s="33">
        <v>47828</v>
      </c>
      <c r="P33" s="33">
        <v>48485</v>
      </c>
      <c r="Q33" s="33">
        <v>50529</v>
      </c>
      <c r="R33" s="33">
        <v>51018</v>
      </c>
      <c r="S33" s="33">
        <v>50007</v>
      </c>
      <c r="T33" s="33">
        <v>65171</v>
      </c>
      <c r="U33" s="33">
        <v>74612</v>
      </c>
      <c r="V33" s="33">
        <v>73925</v>
      </c>
      <c r="W33" s="33">
        <v>69566</v>
      </c>
      <c r="X33" s="33">
        <v>62742</v>
      </c>
      <c r="Y33" s="33">
        <v>52714</v>
      </c>
      <c r="Z33" s="34">
        <v>43899</v>
      </c>
      <c r="AA33" s="35">
        <f t="shared" si="0"/>
        <v>1052825</v>
      </c>
      <c r="AB33" s="19">
        <v>22</v>
      </c>
      <c r="AC33" s="79">
        <f>+AA33*AB33+AA34*AB34+AA35*AB35</f>
        <v>32138826</v>
      </c>
    </row>
    <row r="34" spans="1:30" ht="15.75" thickBot="1" x14ac:dyDescent="0.3">
      <c r="A34" s="78"/>
      <c r="B34" s="20" t="s">
        <v>7</v>
      </c>
      <c r="C34" s="36">
        <v>30787</v>
      </c>
      <c r="D34" s="36">
        <v>27036</v>
      </c>
      <c r="E34" s="36">
        <v>24713</v>
      </c>
      <c r="F34" s="36">
        <v>23158</v>
      </c>
      <c r="G34" s="36">
        <v>23354</v>
      </c>
      <c r="H34" s="36">
        <v>24111</v>
      </c>
      <c r="I34" s="36">
        <v>27209</v>
      </c>
      <c r="J34" s="36">
        <v>30371</v>
      </c>
      <c r="K34" s="36">
        <v>38089</v>
      </c>
      <c r="L34" s="36">
        <v>43473</v>
      </c>
      <c r="M34" s="36">
        <v>48013</v>
      </c>
      <c r="N34" s="36">
        <v>51894</v>
      </c>
      <c r="O34" s="36">
        <v>52208</v>
      </c>
      <c r="P34" s="36">
        <v>51306</v>
      </c>
      <c r="Q34" s="36">
        <v>50355</v>
      </c>
      <c r="R34" s="36">
        <v>49686</v>
      </c>
      <c r="S34" s="36">
        <v>48911</v>
      </c>
      <c r="T34" s="36">
        <v>66727</v>
      </c>
      <c r="U34" s="36">
        <v>77844</v>
      </c>
      <c r="V34" s="36">
        <v>77412</v>
      </c>
      <c r="W34" s="36">
        <v>72976</v>
      </c>
      <c r="X34" s="36">
        <v>66580</v>
      </c>
      <c r="Y34" s="36">
        <v>58865</v>
      </c>
      <c r="Z34" s="37">
        <v>50191</v>
      </c>
      <c r="AA34" s="38">
        <f t="shared" si="0"/>
        <v>1115269</v>
      </c>
      <c r="AB34" s="21">
        <v>4</v>
      </c>
      <c r="AC34" s="80"/>
      <c r="AD34" s="47"/>
    </row>
    <row r="35" spans="1:30" ht="15" x14ac:dyDescent="0.25">
      <c r="A35" s="78"/>
      <c r="B35" s="22" t="s">
        <v>6</v>
      </c>
      <c r="C35" s="39">
        <v>29392</v>
      </c>
      <c r="D35" s="39">
        <v>25511</v>
      </c>
      <c r="E35" s="39">
        <v>22727</v>
      </c>
      <c r="F35" s="39">
        <v>20811</v>
      </c>
      <c r="G35" s="39">
        <v>20086</v>
      </c>
      <c r="H35" s="39">
        <v>19216</v>
      </c>
      <c r="I35" s="39">
        <v>19741</v>
      </c>
      <c r="J35" s="39">
        <v>20137</v>
      </c>
      <c r="K35" s="39">
        <v>25920</v>
      </c>
      <c r="L35" s="39">
        <v>31071</v>
      </c>
      <c r="M35" s="39">
        <v>34660</v>
      </c>
      <c r="N35" s="39">
        <v>38342</v>
      </c>
      <c r="O35" s="39">
        <v>40503</v>
      </c>
      <c r="P35" s="39">
        <v>39881</v>
      </c>
      <c r="Q35" s="39">
        <v>38449</v>
      </c>
      <c r="R35" s="39">
        <v>37902</v>
      </c>
      <c r="S35" s="39">
        <v>37548</v>
      </c>
      <c r="T35" s="39">
        <v>55163</v>
      </c>
      <c r="U35" s="39">
        <v>65900</v>
      </c>
      <c r="V35" s="39">
        <v>66551</v>
      </c>
      <c r="W35" s="39">
        <v>63651</v>
      </c>
      <c r="X35" s="39">
        <v>58111</v>
      </c>
      <c r="Y35" s="39">
        <v>49945</v>
      </c>
      <c r="Z35" s="40">
        <v>41902</v>
      </c>
      <c r="AA35" s="41">
        <f t="shared" si="0"/>
        <v>903120</v>
      </c>
      <c r="AB35" s="23">
        <v>5</v>
      </c>
      <c r="AC35" s="81"/>
      <c r="AD35" s="48"/>
    </row>
    <row r="36" spans="1:30" ht="15.75" thickBot="1" x14ac:dyDescent="0.3">
      <c r="A36" s="78">
        <v>47423</v>
      </c>
      <c r="B36" s="18" t="s">
        <v>8</v>
      </c>
      <c r="C36" s="33">
        <v>25291</v>
      </c>
      <c r="D36" s="33">
        <v>21981</v>
      </c>
      <c r="E36" s="33">
        <v>20124</v>
      </c>
      <c r="F36" s="33">
        <v>19258</v>
      </c>
      <c r="G36" s="33">
        <v>20385</v>
      </c>
      <c r="H36" s="33">
        <v>23776</v>
      </c>
      <c r="I36" s="33">
        <v>27602</v>
      </c>
      <c r="J36" s="33">
        <v>29201</v>
      </c>
      <c r="K36" s="33">
        <v>35136</v>
      </c>
      <c r="L36" s="33">
        <v>39674</v>
      </c>
      <c r="M36" s="33">
        <v>44570</v>
      </c>
      <c r="N36" s="33">
        <v>49389</v>
      </c>
      <c r="O36" s="33">
        <v>47719</v>
      </c>
      <c r="P36" s="33">
        <v>47847</v>
      </c>
      <c r="Q36" s="33">
        <v>49980</v>
      </c>
      <c r="R36" s="33">
        <v>49673</v>
      </c>
      <c r="S36" s="33">
        <v>48894</v>
      </c>
      <c r="T36" s="33">
        <v>64958</v>
      </c>
      <c r="U36" s="33">
        <v>75080</v>
      </c>
      <c r="V36" s="33">
        <v>74302</v>
      </c>
      <c r="W36" s="33">
        <v>69953</v>
      </c>
      <c r="X36" s="33">
        <v>62635</v>
      </c>
      <c r="Y36" s="33">
        <v>52147</v>
      </c>
      <c r="Z36" s="34">
        <v>42891</v>
      </c>
      <c r="AA36" s="35">
        <f t="shared" si="0"/>
        <v>1042466</v>
      </c>
      <c r="AB36" s="19">
        <v>20</v>
      </c>
      <c r="AC36" s="79">
        <f>+AA36*AB36+AA37*AB37+AA38*AB38</f>
        <v>29806394</v>
      </c>
    </row>
    <row r="37" spans="1:30" ht="15.75" thickBot="1" x14ac:dyDescent="0.3">
      <c r="A37" s="78"/>
      <c r="B37" s="20" t="s">
        <v>7</v>
      </c>
      <c r="C37" s="36">
        <v>26529</v>
      </c>
      <c r="D37" s="36">
        <v>23055</v>
      </c>
      <c r="E37" s="36">
        <v>20904</v>
      </c>
      <c r="F37" s="36">
        <v>19488</v>
      </c>
      <c r="G37" s="36">
        <v>19664</v>
      </c>
      <c r="H37" s="36">
        <v>20158</v>
      </c>
      <c r="I37" s="36">
        <v>22605</v>
      </c>
      <c r="J37" s="36">
        <v>25028</v>
      </c>
      <c r="K37" s="36">
        <v>32480</v>
      </c>
      <c r="L37" s="36">
        <v>37687</v>
      </c>
      <c r="M37" s="36">
        <v>41699</v>
      </c>
      <c r="N37" s="36">
        <v>45543</v>
      </c>
      <c r="O37" s="36">
        <v>45377</v>
      </c>
      <c r="P37" s="36">
        <v>43699</v>
      </c>
      <c r="Q37" s="36">
        <v>43355</v>
      </c>
      <c r="R37" s="36">
        <v>43110</v>
      </c>
      <c r="S37" s="36">
        <v>42790</v>
      </c>
      <c r="T37" s="36">
        <v>60761</v>
      </c>
      <c r="U37" s="36">
        <v>71819</v>
      </c>
      <c r="V37" s="36">
        <v>71415</v>
      </c>
      <c r="W37" s="36">
        <v>67080</v>
      </c>
      <c r="X37" s="36">
        <v>61487</v>
      </c>
      <c r="Y37" s="36">
        <v>53300</v>
      </c>
      <c r="Z37" s="37">
        <v>45037</v>
      </c>
      <c r="AA37" s="38">
        <f t="shared" si="0"/>
        <v>984070</v>
      </c>
      <c r="AB37" s="21">
        <v>4</v>
      </c>
      <c r="AC37" s="80"/>
      <c r="AD37" s="47"/>
    </row>
    <row r="38" spans="1:30" ht="15" x14ac:dyDescent="0.25">
      <c r="A38" s="78"/>
      <c r="B38" s="22" t="s">
        <v>6</v>
      </c>
      <c r="C38" s="39">
        <v>25823</v>
      </c>
      <c r="D38" s="39">
        <v>22187</v>
      </c>
      <c r="E38" s="39">
        <v>19637</v>
      </c>
      <c r="F38" s="39">
        <v>17753</v>
      </c>
      <c r="G38" s="39">
        <v>17480</v>
      </c>
      <c r="H38" s="39">
        <v>16771</v>
      </c>
      <c r="I38" s="39">
        <v>17412</v>
      </c>
      <c r="J38" s="39">
        <v>18032</v>
      </c>
      <c r="K38" s="39">
        <v>23778</v>
      </c>
      <c r="L38" s="39">
        <v>28728</v>
      </c>
      <c r="M38" s="39">
        <v>32197</v>
      </c>
      <c r="N38" s="39">
        <v>35916</v>
      </c>
      <c r="O38" s="39">
        <v>37839</v>
      </c>
      <c r="P38" s="39">
        <v>37257</v>
      </c>
      <c r="Q38" s="39">
        <v>35464</v>
      </c>
      <c r="R38" s="39">
        <v>34235</v>
      </c>
      <c r="S38" s="39">
        <v>34099</v>
      </c>
      <c r="T38" s="39">
        <v>51868</v>
      </c>
      <c r="U38" s="39">
        <v>63075</v>
      </c>
      <c r="V38" s="39">
        <v>64053</v>
      </c>
      <c r="W38" s="39">
        <v>61219</v>
      </c>
      <c r="X38" s="39">
        <v>55667</v>
      </c>
      <c r="Y38" s="39">
        <v>47228</v>
      </c>
      <c r="Z38" s="40">
        <v>39081</v>
      </c>
      <c r="AA38" s="41">
        <f t="shared" si="0"/>
        <v>836799</v>
      </c>
      <c r="AB38" s="23">
        <v>6</v>
      </c>
      <c r="AC38" s="81"/>
      <c r="AD38" s="49"/>
    </row>
    <row r="39" spans="1:30" ht="15.75" thickBot="1" x14ac:dyDescent="0.3">
      <c r="A39" s="78">
        <v>47453</v>
      </c>
      <c r="B39" s="18" t="s">
        <v>8</v>
      </c>
      <c r="C39" s="33">
        <v>30256</v>
      </c>
      <c r="D39" s="33">
        <v>26236</v>
      </c>
      <c r="E39" s="33">
        <v>23920</v>
      </c>
      <c r="F39" s="33">
        <v>22652</v>
      </c>
      <c r="G39" s="33">
        <v>23360</v>
      </c>
      <c r="H39" s="33">
        <v>25765</v>
      </c>
      <c r="I39" s="33">
        <v>28210</v>
      </c>
      <c r="J39" s="33">
        <v>31331</v>
      </c>
      <c r="K39" s="33">
        <v>38420</v>
      </c>
      <c r="L39" s="33">
        <v>43623</v>
      </c>
      <c r="M39" s="33">
        <v>48377</v>
      </c>
      <c r="N39" s="33">
        <v>53358</v>
      </c>
      <c r="O39" s="33">
        <v>52657</v>
      </c>
      <c r="P39" s="33">
        <v>52620</v>
      </c>
      <c r="Q39" s="33">
        <v>54017</v>
      </c>
      <c r="R39" s="33">
        <v>53800</v>
      </c>
      <c r="S39" s="33">
        <v>52328</v>
      </c>
      <c r="T39" s="33">
        <v>66673</v>
      </c>
      <c r="U39" s="33">
        <v>76423</v>
      </c>
      <c r="V39" s="33">
        <v>77644</v>
      </c>
      <c r="W39" s="33">
        <v>73641</v>
      </c>
      <c r="X39" s="33">
        <v>67456</v>
      </c>
      <c r="Y39" s="33">
        <v>58039</v>
      </c>
      <c r="Z39" s="34">
        <v>49157</v>
      </c>
      <c r="AA39" s="35">
        <f t="shared" si="0"/>
        <v>1129963</v>
      </c>
      <c r="AB39" s="19">
        <v>20</v>
      </c>
      <c r="AC39" s="79">
        <f>+AA39*AB39+AA40*AB40+AA41*AB41</f>
        <v>33338048</v>
      </c>
    </row>
    <row r="40" spans="1:30" ht="15.75" thickBot="1" x14ac:dyDescent="0.3">
      <c r="A40" s="78"/>
      <c r="B40" s="20" t="s">
        <v>7</v>
      </c>
      <c r="C40" s="36">
        <v>29753</v>
      </c>
      <c r="D40" s="36">
        <v>25969</v>
      </c>
      <c r="E40" s="36">
        <v>23723</v>
      </c>
      <c r="F40" s="36">
        <v>22116</v>
      </c>
      <c r="G40" s="36">
        <v>22117</v>
      </c>
      <c r="H40" s="36">
        <v>23392</v>
      </c>
      <c r="I40" s="36">
        <v>24725</v>
      </c>
      <c r="J40" s="36">
        <v>27191</v>
      </c>
      <c r="K40" s="36">
        <v>34375</v>
      </c>
      <c r="L40" s="36">
        <v>39198</v>
      </c>
      <c r="M40" s="36">
        <v>43168</v>
      </c>
      <c r="N40" s="36">
        <v>46430</v>
      </c>
      <c r="O40" s="36">
        <v>46479</v>
      </c>
      <c r="P40" s="36">
        <v>45131</v>
      </c>
      <c r="Q40" s="36">
        <v>44408</v>
      </c>
      <c r="R40" s="36">
        <v>43518</v>
      </c>
      <c r="S40" s="36">
        <v>42958</v>
      </c>
      <c r="T40" s="36">
        <v>59582</v>
      </c>
      <c r="U40" s="36">
        <v>70242</v>
      </c>
      <c r="V40" s="36">
        <v>70921</v>
      </c>
      <c r="W40" s="36">
        <v>66917</v>
      </c>
      <c r="X40" s="36">
        <v>61476</v>
      </c>
      <c r="Y40" s="36">
        <v>53810</v>
      </c>
      <c r="Z40" s="37">
        <v>46688</v>
      </c>
      <c r="AA40" s="38">
        <f t="shared" si="0"/>
        <v>1014287</v>
      </c>
      <c r="AB40" s="21">
        <v>4</v>
      </c>
      <c r="AC40" s="80"/>
      <c r="AD40" s="47"/>
    </row>
    <row r="41" spans="1:30" ht="15" x14ac:dyDescent="0.25">
      <c r="A41" s="78"/>
      <c r="B41" s="22" t="s">
        <v>6</v>
      </c>
      <c r="C41" s="39">
        <v>32459</v>
      </c>
      <c r="D41" s="39">
        <v>28389</v>
      </c>
      <c r="E41" s="39">
        <v>25474</v>
      </c>
      <c r="F41" s="39">
        <v>23423</v>
      </c>
      <c r="G41" s="39">
        <v>22583</v>
      </c>
      <c r="H41" s="39">
        <v>22173</v>
      </c>
      <c r="I41" s="39">
        <v>21630</v>
      </c>
      <c r="J41" s="39">
        <v>21637</v>
      </c>
      <c r="K41" s="39">
        <v>27407</v>
      </c>
      <c r="L41" s="39">
        <v>32460</v>
      </c>
      <c r="M41" s="39">
        <v>36280</v>
      </c>
      <c r="N41" s="39">
        <v>39863</v>
      </c>
      <c r="O41" s="39">
        <v>41892</v>
      </c>
      <c r="P41" s="39">
        <v>41949</v>
      </c>
      <c r="Q41" s="39">
        <v>40738</v>
      </c>
      <c r="R41" s="39">
        <v>39990</v>
      </c>
      <c r="S41" s="39">
        <v>39679</v>
      </c>
      <c r="T41" s="39">
        <v>56304</v>
      </c>
      <c r="U41" s="39">
        <v>67121</v>
      </c>
      <c r="V41" s="39">
        <v>69051</v>
      </c>
      <c r="W41" s="39">
        <v>65810</v>
      </c>
      <c r="X41" s="39">
        <v>60438</v>
      </c>
      <c r="Y41" s="39">
        <v>52771</v>
      </c>
      <c r="Z41" s="40">
        <v>44999</v>
      </c>
      <c r="AA41" s="41">
        <f t="shared" si="0"/>
        <v>954520</v>
      </c>
      <c r="AB41" s="23">
        <v>7</v>
      </c>
      <c r="AC41" s="81"/>
      <c r="AD41" s="42"/>
    </row>
    <row r="42" spans="1:30" ht="15" x14ac:dyDescent="0.25">
      <c r="A42" s="76" t="s">
        <v>5</v>
      </c>
      <c r="B42" s="77"/>
      <c r="C42" s="31">
        <f t="shared" ref="C42:AC42" si="1">+SUM(C6:C41)</f>
        <v>1031451</v>
      </c>
      <c r="D42" s="31">
        <f t="shared" si="1"/>
        <v>894473</v>
      </c>
      <c r="E42" s="31">
        <f t="shared" si="1"/>
        <v>810972</v>
      </c>
      <c r="F42" s="31">
        <f t="shared" si="1"/>
        <v>759032</v>
      </c>
      <c r="G42" s="31">
        <f t="shared" si="1"/>
        <v>761986</v>
      </c>
      <c r="H42" s="31">
        <f t="shared" si="1"/>
        <v>816057</v>
      </c>
      <c r="I42" s="31">
        <f t="shared" si="1"/>
        <v>883117</v>
      </c>
      <c r="J42" s="31">
        <f t="shared" si="1"/>
        <v>937590</v>
      </c>
      <c r="K42" s="31">
        <f t="shared" si="1"/>
        <v>1177378</v>
      </c>
      <c r="L42" s="31">
        <f t="shared" si="1"/>
        <v>1359885</v>
      </c>
      <c r="M42" s="31">
        <f t="shared" si="1"/>
        <v>1511204</v>
      </c>
      <c r="N42" s="31">
        <f t="shared" si="1"/>
        <v>1657416</v>
      </c>
      <c r="O42" s="31">
        <f t="shared" si="1"/>
        <v>1667385</v>
      </c>
      <c r="P42" s="31">
        <f t="shared" si="1"/>
        <v>1653104</v>
      </c>
      <c r="Q42" s="31">
        <f t="shared" si="1"/>
        <v>1643718</v>
      </c>
      <c r="R42" s="31">
        <f t="shared" si="1"/>
        <v>1633563</v>
      </c>
      <c r="S42" s="31">
        <f t="shared" si="1"/>
        <v>1603565</v>
      </c>
      <c r="T42" s="31">
        <f t="shared" si="1"/>
        <v>2152074</v>
      </c>
      <c r="U42" s="31">
        <f t="shared" si="1"/>
        <v>2444332</v>
      </c>
      <c r="V42" s="31">
        <f t="shared" si="1"/>
        <v>2584330</v>
      </c>
      <c r="W42" s="31">
        <f t="shared" si="1"/>
        <v>2458423</v>
      </c>
      <c r="X42" s="31">
        <f t="shared" si="1"/>
        <v>2246927</v>
      </c>
      <c r="Y42" s="31">
        <f t="shared" si="1"/>
        <v>1929861</v>
      </c>
      <c r="Z42" s="31">
        <f t="shared" si="1"/>
        <v>1618260</v>
      </c>
      <c r="AA42" s="31">
        <f t="shared" si="1"/>
        <v>36236103</v>
      </c>
      <c r="AB42" s="31">
        <f t="shared" si="1"/>
        <v>365</v>
      </c>
      <c r="AC42" s="46">
        <f t="shared" si="1"/>
        <v>377499346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>
      <c r="AA46" s="45"/>
      <c r="AC46" s="45"/>
    </row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B6AD-1EE8-45A9-999F-8E6EF3323DE6}">
  <sheetPr>
    <tabColor rgb="FF00B050"/>
  </sheetPr>
  <dimension ref="A1:AD46"/>
  <sheetViews>
    <sheetView showGridLines="0" zoomScale="115" zoomScaleNormal="115" zoomScaleSheetLayoutView="110" workbookViewId="0">
      <pane xSplit="2" ySplit="5" topLeftCell="C36" activePane="bottomRight" state="frozen"/>
      <selection pane="topRight" activeCell="C1" sqref="C1"/>
      <selection pane="bottomLeft" activeCell="A6" sqref="A6"/>
      <selection pane="bottomRight" activeCell="I18" sqref="I18"/>
    </sheetView>
  </sheetViews>
  <sheetFormatPr baseColWidth="10" defaultColWidth="0" defaultRowHeight="0" customHeight="1" zeroHeight="1" x14ac:dyDescent="0.25"/>
  <cols>
    <col min="1" max="1" width="6.5703125" bestFit="1" customWidth="1"/>
    <col min="2" max="2" width="8.7109375" bestFit="1" customWidth="1"/>
    <col min="3" max="4" width="7.7109375" bestFit="1" customWidth="1"/>
    <col min="5" max="5" width="7.85546875" customWidth="1"/>
    <col min="6" max="10" width="7.7109375" bestFit="1" customWidth="1"/>
    <col min="11" max="11" width="7.7109375" customWidth="1"/>
    <col min="12" max="14" width="7.7109375" bestFit="1" customWidth="1"/>
    <col min="15" max="16" width="8" bestFit="1" customWidth="1"/>
    <col min="17" max="18" width="7.7109375" bestFit="1" customWidth="1"/>
    <col min="19" max="19" width="8" bestFit="1" customWidth="1"/>
    <col min="20" max="20" width="8.7109375" bestFit="1" customWidth="1"/>
    <col min="21" max="21" width="9" bestFit="1" customWidth="1"/>
    <col min="22" max="22" width="8.7109375" bestFit="1" customWidth="1"/>
    <col min="23" max="23" width="9" bestFit="1" customWidth="1"/>
    <col min="24" max="24" width="9.28515625" bestFit="1" customWidth="1"/>
    <col min="25" max="25" width="9" bestFit="1" customWidth="1"/>
    <col min="26" max="26" width="8.7109375" bestFit="1" customWidth="1"/>
    <col min="27" max="27" width="9.5703125" bestFit="1" customWidth="1"/>
    <col min="28" max="28" width="6.4257812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6" t="s">
        <v>85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8"/>
    </row>
    <row r="2" spans="1:30" ht="15" x14ac:dyDescent="0.25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1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5" x14ac:dyDescent="0.25">
      <c r="A4" s="92" t="s">
        <v>38</v>
      </c>
      <c r="B4" s="92" t="s">
        <v>37</v>
      </c>
      <c r="C4" s="84" t="s">
        <v>36</v>
      </c>
      <c r="D4" s="84" t="s">
        <v>35</v>
      </c>
      <c r="E4" s="84" t="s">
        <v>34</v>
      </c>
      <c r="F4" s="84" t="s">
        <v>33</v>
      </c>
      <c r="G4" s="84" t="s">
        <v>32</v>
      </c>
      <c r="H4" s="84" t="s">
        <v>31</v>
      </c>
      <c r="I4" s="84" t="s">
        <v>30</v>
      </c>
      <c r="J4" s="84" t="s">
        <v>29</v>
      </c>
      <c r="K4" s="84" t="s">
        <v>28</v>
      </c>
      <c r="L4" s="84" t="s">
        <v>27</v>
      </c>
      <c r="M4" s="84" t="s">
        <v>26</v>
      </c>
      <c r="N4" s="84" t="s">
        <v>25</v>
      </c>
      <c r="O4" s="84" t="s">
        <v>24</v>
      </c>
      <c r="P4" s="84" t="s">
        <v>23</v>
      </c>
      <c r="Q4" s="84" t="s">
        <v>22</v>
      </c>
      <c r="R4" s="84" t="s">
        <v>21</v>
      </c>
      <c r="S4" s="84" t="s">
        <v>20</v>
      </c>
      <c r="T4" s="84" t="s">
        <v>19</v>
      </c>
      <c r="U4" s="84" t="s">
        <v>18</v>
      </c>
      <c r="V4" s="84" t="s">
        <v>17</v>
      </c>
      <c r="W4" s="84" t="s">
        <v>16</v>
      </c>
      <c r="X4" s="84" t="s">
        <v>15</v>
      </c>
      <c r="Y4" s="84" t="s">
        <v>14</v>
      </c>
      <c r="Z4" s="84" t="s">
        <v>13</v>
      </c>
      <c r="AA4" s="14" t="s">
        <v>12</v>
      </c>
      <c r="AB4" s="15" t="s">
        <v>11</v>
      </c>
      <c r="AC4" s="82" t="s">
        <v>10</v>
      </c>
    </row>
    <row r="5" spans="1:30" ht="15" x14ac:dyDescent="0.25">
      <c r="A5" s="92"/>
      <c r="B5" s="92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16"/>
      <c r="AB5" s="17" t="s">
        <v>9</v>
      </c>
      <c r="AC5" s="83"/>
    </row>
    <row r="6" spans="1:30" ht="15.75" thickBot="1" x14ac:dyDescent="0.3">
      <c r="A6" s="78">
        <v>47119</v>
      </c>
      <c r="B6" s="18" t="s">
        <v>8</v>
      </c>
      <c r="C6" s="33">
        <f>ROUND('Anexo 11'!C6*'Anexo 4'!$D$10,0)</f>
        <v>0</v>
      </c>
      <c r="D6" s="33">
        <f>ROUND('Anexo 11'!D6*'Anexo 4'!$D$10,0)</f>
        <v>0</v>
      </c>
      <c r="E6" s="33">
        <f>ROUND('Anexo 11'!E6*'Anexo 4'!$D$10,0)</f>
        <v>0</v>
      </c>
      <c r="F6" s="33">
        <f>ROUND('Anexo 11'!F6*'Anexo 4'!$D$10,0)</f>
        <v>0</v>
      </c>
      <c r="G6" s="33">
        <f>ROUND('Anexo 11'!G6*'Anexo 4'!$D$10,0)</f>
        <v>0</v>
      </c>
      <c r="H6" s="33">
        <f>ROUND('Anexo 11'!H6*'Anexo 4'!$D$10,0)</f>
        <v>0</v>
      </c>
      <c r="I6" s="33">
        <f>ROUND('Anexo 11'!I6*'Anexo 4'!$D$10,0)</f>
        <v>0</v>
      </c>
      <c r="J6" s="33">
        <f>ROUND('Anexo 11'!J6*'Anexo 4'!$D$10,0)</f>
        <v>0</v>
      </c>
      <c r="K6" s="33">
        <f>ROUND('Anexo 11'!K6*'Anexo 4'!$D$10,0)</f>
        <v>0</v>
      </c>
      <c r="L6" s="33">
        <f>ROUND('Anexo 11'!L6*'Anexo 4'!$D$10,0)</f>
        <v>0</v>
      </c>
      <c r="M6" s="33">
        <f>ROUND('Anexo 11'!M6*'Anexo 4'!$D$10,0)</f>
        <v>0</v>
      </c>
      <c r="N6" s="33">
        <f>ROUND('Anexo 11'!N6*'Anexo 4'!$D$10,0)</f>
        <v>0</v>
      </c>
      <c r="O6" s="33">
        <f>ROUND('Anexo 11'!O6*'Anexo 4'!$D$10,0)</f>
        <v>0</v>
      </c>
      <c r="P6" s="33">
        <f>ROUND('Anexo 11'!P6*'Anexo 4'!$D$10,0)</f>
        <v>0</v>
      </c>
      <c r="Q6" s="33">
        <f>ROUND('Anexo 11'!Q6*'Anexo 4'!$D$10,0)</f>
        <v>0</v>
      </c>
      <c r="R6" s="33">
        <f>ROUND('Anexo 11'!R6*'Anexo 4'!$D$10,0)</f>
        <v>0</v>
      </c>
      <c r="S6" s="33">
        <f>ROUND('Anexo 11'!S6*'Anexo 4'!$D$10,0)</f>
        <v>0</v>
      </c>
      <c r="T6" s="33">
        <f>ROUND('Anexo 11'!T6*'Anexo 4'!$D$10,0)</f>
        <v>0</v>
      </c>
      <c r="U6" s="33">
        <f>ROUND('Anexo 11'!U6*'Anexo 4'!$D$10,0)</f>
        <v>0</v>
      </c>
      <c r="V6" s="33">
        <f>ROUND('Anexo 11'!V6*'Anexo 4'!$D$10,0)</f>
        <v>0</v>
      </c>
      <c r="W6" s="33">
        <f>ROUND('Anexo 11'!W6*'Anexo 4'!$D$10,0)</f>
        <v>0</v>
      </c>
      <c r="X6" s="33">
        <f>ROUND('Anexo 11'!X6*'Anexo 4'!$D$10,0)</f>
        <v>0</v>
      </c>
      <c r="Y6" s="33">
        <f>ROUND('Anexo 11'!Y6*'Anexo 4'!$D$10,0)</f>
        <v>0</v>
      </c>
      <c r="Z6" s="33">
        <f>ROUND('Anexo 11'!Z6*'Anexo 4'!$D$10,0)</f>
        <v>0</v>
      </c>
      <c r="AA6" s="35">
        <f>SUM(C6:Z6)</f>
        <v>0</v>
      </c>
      <c r="AB6" s="19">
        <v>21</v>
      </c>
      <c r="AC6" s="79">
        <f>+AA6*AB6+AA7*AB7+AA8*AB8</f>
        <v>0</v>
      </c>
    </row>
    <row r="7" spans="1:30" ht="15.75" thickBot="1" x14ac:dyDescent="0.3">
      <c r="A7" s="78"/>
      <c r="B7" s="20" t="s">
        <v>7</v>
      </c>
      <c r="C7" s="33">
        <f>ROUND('Anexo 11'!C7*'Anexo 4'!$D$10,0)</f>
        <v>0</v>
      </c>
      <c r="D7" s="33">
        <f>ROUND('Anexo 11'!D7*'Anexo 4'!$D$10,0)</f>
        <v>0</v>
      </c>
      <c r="E7" s="33">
        <f>ROUND('Anexo 11'!E7*'Anexo 4'!$D$10,0)</f>
        <v>0</v>
      </c>
      <c r="F7" s="33">
        <f>ROUND('Anexo 11'!F7*'Anexo 4'!$D$10,0)</f>
        <v>0</v>
      </c>
      <c r="G7" s="33">
        <f>ROUND('Anexo 11'!G7*'Anexo 4'!$D$10,0)</f>
        <v>0</v>
      </c>
      <c r="H7" s="33">
        <f>ROUND('Anexo 11'!H7*'Anexo 4'!$D$10,0)</f>
        <v>0</v>
      </c>
      <c r="I7" s="33">
        <f>ROUND('Anexo 11'!I7*'Anexo 4'!$D$10,0)</f>
        <v>0</v>
      </c>
      <c r="J7" s="33">
        <f>ROUND('Anexo 11'!J7*'Anexo 4'!$D$10,0)</f>
        <v>0</v>
      </c>
      <c r="K7" s="33">
        <f>ROUND('Anexo 11'!K7*'Anexo 4'!$D$10,0)</f>
        <v>0</v>
      </c>
      <c r="L7" s="33">
        <f>ROUND('Anexo 11'!L7*'Anexo 4'!$D$10,0)</f>
        <v>0</v>
      </c>
      <c r="M7" s="33">
        <f>ROUND('Anexo 11'!M7*'Anexo 4'!$D$10,0)</f>
        <v>0</v>
      </c>
      <c r="N7" s="33">
        <f>ROUND('Anexo 11'!N7*'Anexo 4'!$D$10,0)</f>
        <v>0</v>
      </c>
      <c r="O7" s="33">
        <f>ROUND('Anexo 11'!O7*'Anexo 4'!$D$10,0)</f>
        <v>0</v>
      </c>
      <c r="P7" s="33">
        <f>ROUND('Anexo 11'!P7*'Anexo 4'!$D$10,0)</f>
        <v>0</v>
      </c>
      <c r="Q7" s="33">
        <f>ROUND('Anexo 11'!Q7*'Anexo 4'!$D$10,0)</f>
        <v>0</v>
      </c>
      <c r="R7" s="33">
        <f>ROUND('Anexo 11'!R7*'Anexo 4'!$D$10,0)</f>
        <v>0</v>
      </c>
      <c r="S7" s="33">
        <f>ROUND('Anexo 11'!S7*'Anexo 4'!$D$10,0)</f>
        <v>0</v>
      </c>
      <c r="T7" s="33">
        <f>ROUND('Anexo 11'!T7*'Anexo 4'!$D$10,0)</f>
        <v>0</v>
      </c>
      <c r="U7" s="33">
        <f>ROUND('Anexo 11'!U7*'Anexo 4'!$D$10,0)</f>
        <v>0</v>
      </c>
      <c r="V7" s="33">
        <f>ROUND('Anexo 11'!V7*'Anexo 4'!$D$10,0)</f>
        <v>0</v>
      </c>
      <c r="W7" s="33">
        <f>ROUND('Anexo 11'!W7*'Anexo 4'!$D$10,0)</f>
        <v>0</v>
      </c>
      <c r="X7" s="33">
        <f>ROUND('Anexo 11'!X7*'Anexo 4'!$D$10,0)</f>
        <v>0</v>
      </c>
      <c r="Y7" s="33">
        <f>ROUND('Anexo 11'!Y7*'Anexo 4'!$D$10,0)</f>
        <v>0</v>
      </c>
      <c r="Z7" s="33">
        <f>ROUND('Anexo 11'!Z7*'Anexo 4'!$D$10,0)</f>
        <v>0</v>
      </c>
      <c r="AA7" s="38">
        <f t="shared" ref="AA7:AA41" si="0">SUM(C7:Z7)</f>
        <v>0</v>
      </c>
      <c r="AB7" s="21">
        <v>4</v>
      </c>
      <c r="AC7" s="80"/>
      <c r="AD7" s="47"/>
    </row>
    <row r="8" spans="1:30" ht="15.75" thickBot="1" x14ac:dyDescent="0.3">
      <c r="A8" s="78"/>
      <c r="B8" s="22" t="s">
        <v>6</v>
      </c>
      <c r="C8" s="33">
        <f>ROUND('Anexo 11'!C8*'Anexo 4'!$D$10,0)</f>
        <v>0</v>
      </c>
      <c r="D8" s="33">
        <f>ROUND('Anexo 11'!D8*'Anexo 4'!$D$10,0)</f>
        <v>0</v>
      </c>
      <c r="E8" s="33">
        <f>ROUND('Anexo 11'!E8*'Anexo 4'!$D$10,0)</f>
        <v>0</v>
      </c>
      <c r="F8" s="33">
        <f>ROUND('Anexo 11'!F8*'Anexo 4'!$D$10,0)</f>
        <v>0</v>
      </c>
      <c r="G8" s="33">
        <f>ROUND('Anexo 11'!G8*'Anexo 4'!$D$10,0)</f>
        <v>0</v>
      </c>
      <c r="H8" s="33">
        <f>ROUND('Anexo 11'!H8*'Anexo 4'!$D$10,0)</f>
        <v>0</v>
      </c>
      <c r="I8" s="33">
        <f>ROUND('Anexo 11'!I8*'Anexo 4'!$D$10,0)</f>
        <v>0</v>
      </c>
      <c r="J8" s="33">
        <f>ROUND('Anexo 11'!J8*'Anexo 4'!$D$10,0)</f>
        <v>0</v>
      </c>
      <c r="K8" s="33">
        <f>ROUND('Anexo 11'!K8*'Anexo 4'!$D$10,0)</f>
        <v>0</v>
      </c>
      <c r="L8" s="33">
        <f>ROUND('Anexo 11'!L8*'Anexo 4'!$D$10,0)</f>
        <v>0</v>
      </c>
      <c r="M8" s="33">
        <f>ROUND('Anexo 11'!M8*'Anexo 4'!$D$10,0)</f>
        <v>0</v>
      </c>
      <c r="N8" s="33">
        <f>ROUND('Anexo 11'!N8*'Anexo 4'!$D$10,0)</f>
        <v>0</v>
      </c>
      <c r="O8" s="33">
        <f>ROUND('Anexo 11'!O8*'Anexo 4'!$D$10,0)</f>
        <v>0</v>
      </c>
      <c r="P8" s="33">
        <f>ROUND('Anexo 11'!P8*'Anexo 4'!$D$10,0)</f>
        <v>0</v>
      </c>
      <c r="Q8" s="33">
        <f>ROUND('Anexo 11'!Q8*'Anexo 4'!$D$10,0)</f>
        <v>0</v>
      </c>
      <c r="R8" s="33">
        <f>ROUND('Anexo 11'!R8*'Anexo 4'!$D$10,0)</f>
        <v>0</v>
      </c>
      <c r="S8" s="33">
        <f>ROUND('Anexo 11'!S8*'Anexo 4'!$D$10,0)</f>
        <v>0</v>
      </c>
      <c r="T8" s="33">
        <f>ROUND('Anexo 11'!T8*'Anexo 4'!$D$10,0)</f>
        <v>0</v>
      </c>
      <c r="U8" s="33">
        <f>ROUND('Anexo 11'!U8*'Anexo 4'!$D$10,0)</f>
        <v>0</v>
      </c>
      <c r="V8" s="33">
        <f>ROUND('Anexo 11'!V8*'Anexo 4'!$D$10,0)</f>
        <v>0</v>
      </c>
      <c r="W8" s="33">
        <f>ROUND('Anexo 11'!W8*'Anexo 4'!$D$10,0)</f>
        <v>0</v>
      </c>
      <c r="X8" s="33">
        <f>ROUND('Anexo 11'!X8*'Anexo 4'!$D$10,0)</f>
        <v>0</v>
      </c>
      <c r="Y8" s="33">
        <f>ROUND('Anexo 11'!Y8*'Anexo 4'!$D$10,0)</f>
        <v>0</v>
      </c>
      <c r="Z8" s="33">
        <f>ROUND('Anexo 11'!Z8*'Anexo 4'!$D$10,0)</f>
        <v>0</v>
      </c>
      <c r="AA8" s="41">
        <f t="shared" si="0"/>
        <v>0</v>
      </c>
      <c r="AB8" s="23">
        <v>6</v>
      </c>
      <c r="AC8" s="81"/>
      <c r="AD8" s="48"/>
    </row>
    <row r="9" spans="1:30" ht="15.75" thickBot="1" x14ac:dyDescent="0.3">
      <c r="A9" s="78">
        <v>47150</v>
      </c>
      <c r="B9" s="18" t="s">
        <v>8</v>
      </c>
      <c r="C9" s="33">
        <f>ROUND('Anexo 11'!C9*'Anexo 4'!$D$10,0)</f>
        <v>0</v>
      </c>
      <c r="D9" s="33">
        <f>ROUND('Anexo 11'!D9*'Anexo 4'!$D$10,0)</f>
        <v>0</v>
      </c>
      <c r="E9" s="33">
        <f>ROUND('Anexo 11'!E9*'Anexo 4'!$D$10,0)</f>
        <v>0</v>
      </c>
      <c r="F9" s="33">
        <f>ROUND('Anexo 11'!F9*'Anexo 4'!$D$10,0)</f>
        <v>0</v>
      </c>
      <c r="G9" s="33">
        <f>ROUND('Anexo 11'!G9*'Anexo 4'!$D$10,0)</f>
        <v>0</v>
      </c>
      <c r="H9" s="33">
        <f>ROUND('Anexo 11'!H9*'Anexo 4'!$D$10,0)</f>
        <v>0</v>
      </c>
      <c r="I9" s="33">
        <f>ROUND('Anexo 11'!I9*'Anexo 4'!$D$10,0)</f>
        <v>0</v>
      </c>
      <c r="J9" s="33">
        <f>ROUND('Anexo 11'!J9*'Anexo 4'!$D$10,0)</f>
        <v>0</v>
      </c>
      <c r="K9" s="33">
        <f>ROUND('Anexo 11'!K9*'Anexo 4'!$D$10,0)</f>
        <v>0</v>
      </c>
      <c r="L9" s="33">
        <f>ROUND('Anexo 11'!L9*'Anexo 4'!$D$10,0)</f>
        <v>0</v>
      </c>
      <c r="M9" s="33">
        <f>ROUND('Anexo 11'!M9*'Anexo 4'!$D$10,0)</f>
        <v>0</v>
      </c>
      <c r="N9" s="33">
        <f>ROUND('Anexo 11'!N9*'Anexo 4'!$D$10,0)</f>
        <v>0</v>
      </c>
      <c r="O9" s="33">
        <f>ROUND('Anexo 11'!O9*'Anexo 4'!$D$10,0)</f>
        <v>0</v>
      </c>
      <c r="P9" s="33">
        <f>ROUND('Anexo 11'!P9*'Anexo 4'!$D$10,0)</f>
        <v>0</v>
      </c>
      <c r="Q9" s="33">
        <f>ROUND('Anexo 11'!Q9*'Anexo 4'!$D$10,0)</f>
        <v>0</v>
      </c>
      <c r="R9" s="33">
        <f>ROUND('Anexo 11'!R9*'Anexo 4'!$D$10,0)</f>
        <v>0</v>
      </c>
      <c r="S9" s="33">
        <f>ROUND('Anexo 11'!S9*'Anexo 4'!$D$10,0)</f>
        <v>0</v>
      </c>
      <c r="T9" s="33">
        <f>ROUND('Anexo 11'!T9*'Anexo 4'!$D$10,0)</f>
        <v>0</v>
      </c>
      <c r="U9" s="33">
        <f>ROUND('Anexo 11'!U9*'Anexo 4'!$D$10,0)</f>
        <v>0</v>
      </c>
      <c r="V9" s="33">
        <f>ROUND('Anexo 11'!V9*'Anexo 4'!$D$10,0)</f>
        <v>0</v>
      </c>
      <c r="W9" s="33">
        <f>ROUND('Anexo 11'!W9*'Anexo 4'!$D$10,0)</f>
        <v>0</v>
      </c>
      <c r="X9" s="33">
        <f>ROUND('Anexo 11'!X9*'Anexo 4'!$D$10,0)</f>
        <v>0</v>
      </c>
      <c r="Y9" s="33">
        <f>ROUND('Anexo 11'!Y9*'Anexo 4'!$D$10,0)</f>
        <v>0</v>
      </c>
      <c r="Z9" s="33">
        <f>ROUND('Anexo 11'!Z9*'Anexo 4'!$D$10,0)</f>
        <v>0</v>
      </c>
      <c r="AA9" s="35">
        <f t="shared" si="0"/>
        <v>0</v>
      </c>
      <c r="AB9" s="19">
        <v>20</v>
      </c>
      <c r="AC9" s="79">
        <f>+AA9*AB9+AA10*AB10+AA11*AB11</f>
        <v>0</v>
      </c>
    </row>
    <row r="10" spans="1:30" ht="15.75" thickBot="1" x14ac:dyDescent="0.3">
      <c r="A10" s="78"/>
      <c r="B10" s="20" t="s">
        <v>7</v>
      </c>
      <c r="C10" s="33">
        <f>ROUND('Anexo 11'!C10*'Anexo 4'!$D$10,0)</f>
        <v>0</v>
      </c>
      <c r="D10" s="33">
        <f>ROUND('Anexo 11'!D10*'Anexo 4'!$D$10,0)</f>
        <v>0</v>
      </c>
      <c r="E10" s="33">
        <f>ROUND('Anexo 11'!E10*'Anexo 4'!$D$10,0)</f>
        <v>0</v>
      </c>
      <c r="F10" s="33">
        <f>ROUND('Anexo 11'!F10*'Anexo 4'!$D$10,0)</f>
        <v>0</v>
      </c>
      <c r="G10" s="33">
        <f>ROUND('Anexo 11'!G10*'Anexo 4'!$D$10,0)</f>
        <v>0</v>
      </c>
      <c r="H10" s="33">
        <f>ROUND('Anexo 11'!H10*'Anexo 4'!$D$10,0)</f>
        <v>0</v>
      </c>
      <c r="I10" s="33">
        <f>ROUND('Anexo 11'!I10*'Anexo 4'!$D$10,0)</f>
        <v>0</v>
      </c>
      <c r="J10" s="33">
        <f>ROUND('Anexo 11'!J10*'Anexo 4'!$D$10,0)</f>
        <v>0</v>
      </c>
      <c r="K10" s="33">
        <f>ROUND('Anexo 11'!K10*'Anexo 4'!$D$10,0)</f>
        <v>0</v>
      </c>
      <c r="L10" s="33">
        <f>ROUND('Anexo 11'!L10*'Anexo 4'!$D$10,0)</f>
        <v>0</v>
      </c>
      <c r="M10" s="33">
        <f>ROUND('Anexo 11'!M10*'Anexo 4'!$D$10,0)</f>
        <v>0</v>
      </c>
      <c r="N10" s="33">
        <f>ROUND('Anexo 11'!N10*'Anexo 4'!$D$10,0)</f>
        <v>0</v>
      </c>
      <c r="O10" s="33">
        <f>ROUND('Anexo 11'!O10*'Anexo 4'!$D$10,0)</f>
        <v>0</v>
      </c>
      <c r="P10" s="33">
        <f>ROUND('Anexo 11'!P10*'Anexo 4'!$D$10,0)</f>
        <v>0</v>
      </c>
      <c r="Q10" s="33">
        <f>ROUND('Anexo 11'!Q10*'Anexo 4'!$D$10,0)</f>
        <v>0</v>
      </c>
      <c r="R10" s="33">
        <f>ROUND('Anexo 11'!R10*'Anexo 4'!$D$10,0)</f>
        <v>0</v>
      </c>
      <c r="S10" s="33">
        <f>ROUND('Anexo 11'!S10*'Anexo 4'!$D$10,0)</f>
        <v>0</v>
      </c>
      <c r="T10" s="33">
        <f>ROUND('Anexo 11'!T10*'Anexo 4'!$D$10,0)</f>
        <v>0</v>
      </c>
      <c r="U10" s="33">
        <f>ROUND('Anexo 11'!U10*'Anexo 4'!$D$10,0)</f>
        <v>0</v>
      </c>
      <c r="V10" s="33">
        <f>ROUND('Anexo 11'!V10*'Anexo 4'!$D$10,0)</f>
        <v>0</v>
      </c>
      <c r="W10" s="33">
        <f>ROUND('Anexo 11'!W10*'Anexo 4'!$D$10,0)</f>
        <v>0</v>
      </c>
      <c r="X10" s="33">
        <f>ROUND('Anexo 11'!X10*'Anexo 4'!$D$10,0)</f>
        <v>0</v>
      </c>
      <c r="Y10" s="33">
        <f>ROUND('Anexo 11'!Y10*'Anexo 4'!$D$10,0)</f>
        <v>0</v>
      </c>
      <c r="Z10" s="33">
        <f>ROUND('Anexo 11'!Z10*'Anexo 4'!$D$10,0)</f>
        <v>0</v>
      </c>
      <c r="AA10" s="38">
        <f t="shared" si="0"/>
        <v>0</v>
      </c>
      <c r="AB10" s="21">
        <v>4</v>
      </c>
      <c r="AC10" s="80"/>
      <c r="AD10" s="47"/>
    </row>
    <row r="11" spans="1:30" ht="15.75" thickBot="1" x14ac:dyDescent="0.3">
      <c r="A11" s="78"/>
      <c r="B11" s="22" t="s">
        <v>6</v>
      </c>
      <c r="C11" s="33">
        <f>ROUND('Anexo 11'!C11*'Anexo 4'!$D$10,0)</f>
        <v>0</v>
      </c>
      <c r="D11" s="33">
        <f>ROUND('Anexo 11'!D11*'Anexo 4'!$D$10,0)</f>
        <v>0</v>
      </c>
      <c r="E11" s="33">
        <f>ROUND('Anexo 11'!E11*'Anexo 4'!$D$10,0)</f>
        <v>0</v>
      </c>
      <c r="F11" s="33">
        <f>ROUND('Anexo 11'!F11*'Anexo 4'!$D$10,0)</f>
        <v>0</v>
      </c>
      <c r="G11" s="33">
        <f>ROUND('Anexo 11'!G11*'Anexo 4'!$D$10,0)</f>
        <v>0</v>
      </c>
      <c r="H11" s="33">
        <f>ROUND('Anexo 11'!H11*'Anexo 4'!$D$10,0)</f>
        <v>0</v>
      </c>
      <c r="I11" s="33">
        <f>ROUND('Anexo 11'!I11*'Anexo 4'!$D$10,0)</f>
        <v>0</v>
      </c>
      <c r="J11" s="33">
        <f>ROUND('Anexo 11'!J11*'Anexo 4'!$D$10,0)</f>
        <v>0</v>
      </c>
      <c r="K11" s="33">
        <f>ROUND('Anexo 11'!K11*'Anexo 4'!$D$10,0)</f>
        <v>0</v>
      </c>
      <c r="L11" s="33">
        <f>ROUND('Anexo 11'!L11*'Anexo 4'!$D$10,0)</f>
        <v>0</v>
      </c>
      <c r="M11" s="33">
        <f>ROUND('Anexo 11'!M11*'Anexo 4'!$D$10,0)</f>
        <v>0</v>
      </c>
      <c r="N11" s="33">
        <f>ROUND('Anexo 11'!N11*'Anexo 4'!$D$10,0)</f>
        <v>0</v>
      </c>
      <c r="O11" s="33">
        <f>ROUND('Anexo 11'!O11*'Anexo 4'!$D$10,0)</f>
        <v>0</v>
      </c>
      <c r="P11" s="33">
        <f>ROUND('Anexo 11'!P11*'Anexo 4'!$D$10,0)</f>
        <v>0</v>
      </c>
      <c r="Q11" s="33">
        <f>ROUND('Anexo 11'!Q11*'Anexo 4'!$D$10,0)</f>
        <v>0</v>
      </c>
      <c r="R11" s="33">
        <f>ROUND('Anexo 11'!R11*'Anexo 4'!$D$10,0)</f>
        <v>0</v>
      </c>
      <c r="S11" s="33">
        <f>ROUND('Anexo 11'!S11*'Anexo 4'!$D$10,0)</f>
        <v>0</v>
      </c>
      <c r="T11" s="33">
        <f>ROUND('Anexo 11'!T11*'Anexo 4'!$D$10,0)</f>
        <v>0</v>
      </c>
      <c r="U11" s="33">
        <f>ROUND('Anexo 11'!U11*'Anexo 4'!$D$10,0)</f>
        <v>0</v>
      </c>
      <c r="V11" s="33">
        <f>ROUND('Anexo 11'!V11*'Anexo 4'!$D$10,0)</f>
        <v>0</v>
      </c>
      <c r="W11" s="33">
        <f>ROUND('Anexo 11'!W11*'Anexo 4'!$D$10,0)</f>
        <v>0</v>
      </c>
      <c r="X11" s="33">
        <f>ROUND('Anexo 11'!X11*'Anexo 4'!$D$10,0)</f>
        <v>0</v>
      </c>
      <c r="Y11" s="33">
        <f>ROUND('Anexo 11'!Y11*'Anexo 4'!$D$10,0)</f>
        <v>0</v>
      </c>
      <c r="Z11" s="33">
        <f>ROUND('Anexo 11'!Z11*'Anexo 4'!$D$10,0)</f>
        <v>0</v>
      </c>
      <c r="AA11" s="41">
        <f t="shared" si="0"/>
        <v>0</v>
      </c>
      <c r="AB11" s="23">
        <v>4</v>
      </c>
      <c r="AC11" s="81"/>
      <c r="AD11" s="48"/>
    </row>
    <row r="12" spans="1:30" ht="15.75" thickBot="1" x14ac:dyDescent="0.3">
      <c r="A12" s="78">
        <v>47178</v>
      </c>
      <c r="B12" s="18" t="s">
        <v>8</v>
      </c>
      <c r="C12" s="33">
        <f>ROUND('Anexo 11'!C12*'Anexo 4'!$D$10,0)</f>
        <v>0</v>
      </c>
      <c r="D12" s="33">
        <f>ROUND('Anexo 11'!D12*'Anexo 4'!$D$10,0)</f>
        <v>0</v>
      </c>
      <c r="E12" s="33">
        <f>ROUND('Anexo 11'!E12*'Anexo 4'!$D$10,0)</f>
        <v>0</v>
      </c>
      <c r="F12" s="33">
        <f>ROUND('Anexo 11'!F12*'Anexo 4'!$D$10,0)</f>
        <v>0</v>
      </c>
      <c r="G12" s="33">
        <f>ROUND('Anexo 11'!G12*'Anexo 4'!$D$10,0)</f>
        <v>0</v>
      </c>
      <c r="H12" s="33">
        <f>ROUND('Anexo 11'!H12*'Anexo 4'!$D$10,0)</f>
        <v>0</v>
      </c>
      <c r="I12" s="33">
        <f>ROUND('Anexo 11'!I12*'Anexo 4'!$D$10,0)</f>
        <v>0</v>
      </c>
      <c r="J12" s="33">
        <f>ROUND('Anexo 11'!J12*'Anexo 4'!$D$10,0)</f>
        <v>0</v>
      </c>
      <c r="K12" s="33">
        <f>ROUND('Anexo 11'!K12*'Anexo 4'!$D$10,0)</f>
        <v>0</v>
      </c>
      <c r="L12" s="33">
        <f>ROUND('Anexo 11'!L12*'Anexo 4'!$D$10,0)</f>
        <v>0</v>
      </c>
      <c r="M12" s="33">
        <f>ROUND('Anexo 11'!M12*'Anexo 4'!$D$10,0)</f>
        <v>0</v>
      </c>
      <c r="N12" s="33">
        <f>ROUND('Anexo 11'!N12*'Anexo 4'!$D$10,0)</f>
        <v>0</v>
      </c>
      <c r="O12" s="33">
        <f>ROUND('Anexo 11'!O12*'Anexo 4'!$D$10,0)</f>
        <v>0</v>
      </c>
      <c r="P12" s="33">
        <f>ROUND('Anexo 11'!P12*'Anexo 4'!$D$10,0)</f>
        <v>0</v>
      </c>
      <c r="Q12" s="33">
        <f>ROUND('Anexo 11'!Q12*'Anexo 4'!$D$10,0)</f>
        <v>0</v>
      </c>
      <c r="R12" s="33">
        <f>ROUND('Anexo 11'!R12*'Anexo 4'!$D$10,0)</f>
        <v>0</v>
      </c>
      <c r="S12" s="33">
        <f>ROUND('Anexo 11'!S12*'Anexo 4'!$D$10,0)</f>
        <v>0</v>
      </c>
      <c r="T12" s="33">
        <f>ROUND('Anexo 11'!T12*'Anexo 4'!$D$10,0)</f>
        <v>0</v>
      </c>
      <c r="U12" s="33">
        <f>ROUND('Anexo 11'!U12*'Anexo 4'!$D$10,0)</f>
        <v>0</v>
      </c>
      <c r="V12" s="33">
        <f>ROUND('Anexo 11'!V12*'Anexo 4'!$D$10,0)</f>
        <v>0</v>
      </c>
      <c r="W12" s="33">
        <f>ROUND('Anexo 11'!W12*'Anexo 4'!$D$10,0)</f>
        <v>0</v>
      </c>
      <c r="X12" s="33">
        <f>ROUND('Anexo 11'!X12*'Anexo 4'!$D$10,0)</f>
        <v>0</v>
      </c>
      <c r="Y12" s="33">
        <f>ROUND('Anexo 11'!Y12*'Anexo 4'!$D$10,0)</f>
        <v>0</v>
      </c>
      <c r="Z12" s="33">
        <f>ROUND('Anexo 11'!Z12*'Anexo 4'!$D$10,0)</f>
        <v>0</v>
      </c>
      <c r="AA12" s="35">
        <f t="shared" si="0"/>
        <v>0</v>
      </c>
      <c r="AB12" s="19">
        <v>19</v>
      </c>
      <c r="AC12" s="79">
        <f>+AA12*AB12+AA13*AB13+AA14*AB14</f>
        <v>0</v>
      </c>
    </row>
    <row r="13" spans="1:30" ht="15.75" thickBot="1" x14ac:dyDescent="0.3">
      <c r="A13" s="78"/>
      <c r="B13" s="20" t="s">
        <v>7</v>
      </c>
      <c r="C13" s="33">
        <f>ROUND('Anexo 11'!C13*'Anexo 4'!$D$10,0)</f>
        <v>0</v>
      </c>
      <c r="D13" s="33">
        <f>ROUND('Anexo 11'!D13*'Anexo 4'!$D$10,0)</f>
        <v>0</v>
      </c>
      <c r="E13" s="33">
        <f>ROUND('Anexo 11'!E13*'Anexo 4'!$D$10,0)</f>
        <v>0</v>
      </c>
      <c r="F13" s="33">
        <f>ROUND('Anexo 11'!F13*'Anexo 4'!$D$10,0)</f>
        <v>0</v>
      </c>
      <c r="G13" s="33">
        <f>ROUND('Anexo 11'!G13*'Anexo 4'!$D$10,0)</f>
        <v>0</v>
      </c>
      <c r="H13" s="33">
        <f>ROUND('Anexo 11'!H13*'Anexo 4'!$D$10,0)</f>
        <v>0</v>
      </c>
      <c r="I13" s="33">
        <f>ROUND('Anexo 11'!I13*'Anexo 4'!$D$10,0)</f>
        <v>0</v>
      </c>
      <c r="J13" s="33">
        <f>ROUND('Anexo 11'!J13*'Anexo 4'!$D$10,0)</f>
        <v>0</v>
      </c>
      <c r="K13" s="33">
        <f>ROUND('Anexo 11'!K13*'Anexo 4'!$D$10,0)</f>
        <v>0</v>
      </c>
      <c r="L13" s="33">
        <f>ROUND('Anexo 11'!L13*'Anexo 4'!$D$10,0)</f>
        <v>0</v>
      </c>
      <c r="M13" s="33">
        <f>ROUND('Anexo 11'!M13*'Anexo 4'!$D$10,0)</f>
        <v>0</v>
      </c>
      <c r="N13" s="33">
        <f>ROUND('Anexo 11'!N13*'Anexo 4'!$D$10,0)</f>
        <v>0</v>
      </c>
      <c r="O13" s="33">
        <f>ROUND('Anexo 11'!O13*'Anexo 4'!$D$10,0)</f>
        <v>0</v>
      </c>
      <c r="P13" s="33">
        <f>ROUND('Anexo 11'!P13*'Anexo 4'!$D$10,0)</f>
        <v>0</v>
      </c>
      <c r="Q13" s="33">
        <f>ROUND('Anexo 11'!Q13*'Anexo 4'!$D$10,0)</f>
        <v>0</v>
      </c>
      <c r="R13" s="33">
        <f>ROUND('Anexo 11'!R13*'Anexo 4'!$D$10,0)</f>
        <v>0</v>
      </c>
      <c r="S13" s="33">
        <f>ROUND('Anexo 11'!S13*'Anexo 4'!$D$10,0)</f>
        <v>0</v>
      </c>
      <c r="T13" s="33">
        <f>ROUND('Anexo 11'!T13*'Anexo 4'!$D$10,0)</f>
        <v>0</v>
      </c>
      <c r="U13" s="33">
        <f>ROUND('Anexo 11'!U13*'Anexo 4'!$D$10,0)</f>
        <v>0</v>
      </c>
      <c r="V13" s="33">
        <f>ROUND('Anexo 11'!V13*'Anexo 4'!$D$10,0)</f>
        <v>0</v>
      </c>
      <c r="W13" s="33">
        <f>ROUND('Anexo 11'!W13*'Anexo 4'!$D$10,0)</f>
        <v>0</v>
      </c>
      <c r="X13" s="33">
        <f>ROUND('Anexo 11'!X13*'Anexo 4'!$D$10,0)</f>
        <v>0</v>
      </c>
      <c r="Y13" s="33">
        <f>ROUND('Anexo 11'!Y13*'Anexo 4'!$D$10,0)</f>
        <v>0</v>
      </c>
      <c r="Z13" s="33">
        <f>ROUND('Anexo 11'!Z13*'Anexo 4'!$D$10,0)</f>
        <v>0</v>
      </c>
      <c r="AA13" s="38">
        <f t="shared" si="0"/>
        <v>0</v>
      </c>
      <c r="AB13" s="21">
        <v>5</v>
      </c>
      <c r="AC13" s="80"/>
      <c r="AD13" s="47"/>
    </row>
    <row r="14" spans="1:30" ht="15.75" thickBot="1" x14ac:dyDescent="0.3">
      <c r="A14" s="78"/>
      <c r="B14" s="22" t="s">
        <v>6</v>
      </c>
      <c r="C14" s="33">
        <f>ROUND('Anexo 11'!C14*'Anexo 4'!$D$10,0)</f>
        <v>0</v>
      </c>
      <c r="D14" s="33">
        <f>ROUND('Anexo 11'!D14*'Anexo 4'!$D$10,0)</f>
        <v>0</v>
      </c>
      <c r="E14" s="33">
        <f>ROUND('Anexo 11'!E14*'Anexo 4'!$D$10,0)</f>
        <v>0</v>
      </c>
      <c r="F14" s="33">
        <f>ROUND('Anexo 11'!F14*'Anexo 4'!$D$10,0)</f>
        <v>0</v>
      </c>
      <c r="G14" s="33">
        <f>ROUND('Anexo 11'!G14*'Anexo 4'!$D$10,0)</f>
        <v>0</v>
      </c>
      <c r="H14" s="33">
        <f>ROUND('Anexo 11'!H14*'Anexo 4'!$D$10,0)</f>
        <v>0</v>
      </c>
      <c r="I14" s="33">
        <f>ROUND('Anexo 11'!I14*'Anexo 4'!$D$10,0)</f>
        <v>0</v>
      </c>
      <c r="J14" s="33">
        <f>ROUND('Anexo 11'!J14*'Anexo 4'!$D$10,0)</f>
        <v>0</v>
      </c>
      <c r="K14" s="33">
        <f>ROUND('Anexo 11'!K14*'Anexo 4'!$D$10,0)</f>
        <v>0</v>
      </c>
      <c r="L14" s="33">
        <f>ROUND('Anexo 11'!L14*'Anexo 4'!$D$10,0)</f>
        <v>0</v>
      </c>
      <c r="M14" s="33">
        <f>ROUND('Anexo 11'!M14*'Anexo 4'!$D$10,0)</f>
        <v>0</v>
      </c>
      <c r="N14" s="33">
        <f>ROUND('Anexo 11'!N14*'Anexo 4'!$D$10,0)</f>
        <v>0</v>
      </c>
      <c r="O14" s="33">
        <f>ROUND('Anexo 11'!O14*'Anexo 4'!$D$10,0)</f>
        <v>0</v>
      </c>
      <c r="P14" s="33">
        <f>ROUND('Anexo 11'!P14*'Anexo 4'!$D$10,0)</f>
        <v>0</v>
      </c>
      <c r="Q14" s="33">
        <f>ROUND('Anexo 11'!Q14*'Anexo 4'!$D$10,0)</f>
        <v>0</v>
      </c>
      <c r="R14" s="33">
        <f>ROUND('Anexo 11'!R14*'Anexo 4'!$D$10,0)</f>
        <v>0</v>
      </c>
      <c r="S14" s="33">
        <f>ROUND('Anexo 11'!S14*'Anexo 4'!$D$10,0)</f>
        <v>0</v>
      </c>
      <c r="T14" s="33">
        <f>ROUND('Anexo 11'!T14*'Anexo 4'!$D$10,0)</f>
        <v>0</v>
      </c>
      <c r="U14" s="33">
        <f>ROUND('Anexo 11'!U14*'Anexo 4'!$D$10,0)</f>
        <v>0</v>
      </c>
      <c r="V14" s="33">
        <f>ROUND('Anexo 11'!V14*'Anexo 4'!$D$10,0)</f>
        <v>0</v>
      </c>
      <c r="W14" s="33">
        <f>ROUND('Anexo 11'!W14*'Anexo 4'!$D$10,0)</f>
        <v>0</v>
      </c>
      <c r="X14" s="33">
        <f>ROUND('Anexo 11'!X14*'Anexo 4'!$D$10,0)</f>
        <v>0</v>
      </c>
      <c r="Y14" s="33">
        <f>ROUND('Anexo 11'!Y14*'Anexo 4'!$D$10,0)</f>
        <v>0</v>
      </c>
      <c r="Z14" s="33">
        <f>ROUND('Anexo 11'!Z14*'Anexo 4'!$D$10,0)</f>
        <v>0</v>
      </c>
      <c r="AA14" s="41">
        <f t="shared" si="0"/>
        <v>0</v>
      </c>
      <c r="AB14" s="23">
        <v>7</v>
      </c>
      <c r="AC14" s="81"/>
      <c r="AD14" s="45"/>
    </row>
    <row r="15" spans="1:30" ht="15.75" thickBot="1" x14ac:dyDescent="0.3">
      <c r="A15" s="78">
        <v>47209</v>
      </c>
      <c r="B15" s="18" t="s">
        <v>8</v>
      </c>
      <c r="C15" s="33">
        <f>ROUND('Anexo 11'!C15*'Anexo 4'!$D$10,0)</f>
        <v>0</v>
      </c>
      <c r="D15" s="33">
        <f>ROUND('Anexo 11'!D15*'Anexo 4'!$D$10,0)</f>
        <v>0</v>
      </c>
      <c r="E15" s="33">
        <f>ROUND('Anexo 11'!E15*'Anexo 4'!$D$10,0)</f>
        <v>0</v>
      </c>
      <c r="F15" s="33">
        <f>ROUND('Anexo 11'!F15*'Anexo 4'!$D$10,0)</f>
        <v>0</v>
      </c>
      <c r="G15" s="33">
        <f>ROUND('Anexo 11'!G15*'Anexo 4'!$D$10,0)</f>
        <v>0</v>
      </c>
      <c r="H15" s="33">
        <f>ROUND('Anexo 11'!H15*'Anexo 4'!$D$10,0)</f>
        <v>0</v>
      </c>
      <c r="I15" s="33">
        <f>ROUND('Anexo 11'!I15*'Anexo 4'!$D$10,0)</f>
        <v>0</v>
      </c>
      <c r="J15" s="33">
        <f>ROUND('Anexo 11'!J15*'Anexo 4'!$D$10,0)</f>
        <v>0</v>
      </c>
      <c r="K15" s="33">
        <f>ROUND('Anexo 11'!K15*'Anexo 4'!$D$10,0)</f>
        <v>0</v>
      </c>
      <c r="L15" s="33">
        <f>ROUND('Anexo 11'!L15*'Anexo 4'!$D$10,0)</f>
        <v>0</v>
      </c>
      <c r="M15" s="33">
        <f>ROUND('Anexo 11'!M15*'Anexo 4'!$D$10,0)</f>
        <v>0</v>
      </c>
      <c r="N15" s="33">
        <f>ROUND('Anexo 11'!N15*'Anexo 4'!$D$10,0)</f>
        <v>0</v>
      </c>
      <c r="O15" s="33">
        <f>ROUND('Anexo 11'!O15*'Anexo 4'!$D$10,0)</f>
        <v>0</v>
      </c>
      <c r="P15" s="33">
        <f>ROUND('Anexo 11'!P15*'Anexo 4'!$D$10,0)</f>
        <v>0</v>
      </c>
      <c r="Q15" s="33">
        <f>ROUND('Anexo 11'!Q15*'Anexo 4'!$D$10,0)</f>
        <v>0</v>
      </c>
      <c r="R15" s="33">
        <f>ROUND('Anexo 11'!R15*'Anexo 4'!$D$10,0)</f>
        <v>0</v>
      </c>
      <c r="S15" s="33">
        <f>ROUND('Anexo 11'!S15*'Anexo 4'!$D$10,0)</f>
        <v>0</v>
      </c>
      <c r="T15" s="33">
        <f>ROUND('Anexo 11'!T15*'Anexo 4'!$D$10,0)</f>
        <v>0</v>
      </c>
      <c r="U15" s="33">
        <f>ROUND('Anexo 11'!U15*'Anexo 4'!$D$10,0)</f>
        <v>0</v>
      </c>
      <c r="V15" s="33">
        <f>ROUND('Anexo 11'!V15*'Anexo 4'!$D$10,0)</f>
        <v>0</v>
      </c>
      <c r="W15" s="33">
        <f>ROUND('Anexo 11'!W15*'Anexo 4'!$D$10,0)</f>
        <v>0</v>
      </c>
      <c r="X15" s="33">
        <f>ROUND('Anexo 11'!X15*'Anexo 4'!$D$10,0)</f>
        <v>0</v>
      </c>
      <c r="Y15" s="33">
        <f>ROUND('Anexo 11'!Y15*'Anexo 4'!$D$10,0)</f>
        <v>0</v>
      </c>
      <c r="Z15" s="33">
        <f>ROUND('Anexo 11'!Z15*'Anexo 4'!$D$10,0)</f>
        <v>0</v>
      </c>
      <c r="AA15" s="35">
        <f t="shared" si="0"/>
        <v>0</v>
      </c>
      <c r="AB15" s="19">
        <v>21</v>
      </c>
      <c r="AC15" s="79">
        <f>+AA15*AB15+AA16*AB16+AA17*AB17</f>
        <v>0</v>
      </c>
    </row>
    <row r="16" spans="1:30" ht="15.75" thickBot="1" x14ac:dyDescent="0.3">
      <c r="A16" s="78"/>
      <c r="B16" s="20" t="s">
        <v>7</v>
      </c>
      <c r="C16" s="33">
        <f>ROUND('Anexo 11'!C16*'Anexo 4'!$D$10,0)</f>
        <v>0</v>
      </c>
      <c r="D16" s="33">
        <f>ROUND('Anexo 11'!D16*'Anexo 4'!$D$10,0)</f>
        <v>0</v>
      </c>
      <c r="E16" s="33">
        <f>ROUND('Anexo 11'!E16*'Anexo 4'!$D$10,0)</f>
        <v>0</v>
      </c>
      <c r="F16" s="33">
        <f>ROUND('Anexo 11'!F16*'Anexo 4'!$D$10,0)</f>
        <v>0</v>
      </c>
      <c r="G16" s="33">
        <f>ROUND('Anexo 11'!G16*'Anexo 4'!$D$10,0)</f>
        <v>0</v>
      </c>
      <c r="H16" s="33">
        <f>ROUND('Anexo 11'!H16*'Anexo 4'!$D$10,0)</f>
        <v>0</v>
      </c>
      <c r="I16" s="33">
        <f>ROUND('Anexo 11'!I16*'Anexo 4'!$D$10,0)</f>
        <v>0</v>
      </c>
      <c r="J16" s="33">
        <f>ROUND('Anexo 11'!J16*'Anexo 4'!$D$10,0)</f>
        <v>0</v>
      </c>
      <c r="K16" s="33">
        <f>ROUND('Anexo 11'!K16*'Anexo 4'!$D$10,0)</f>
        <v>0</v>
      </c>
      <c r="L16" s="33">
        <f>ROUND('Anexo 11'!L16*'Anexo 4'!$D$10,0)</f>
        <v>0</v>
      </c>
      <c r="M16" s="33">
        <f>ROUND('Anexo 11'!M16*'Anexo 4'!$D$10,0)</f>
        <v>0</v>
      </c>
      <c r="N16" s="33">
        <f>ROUND('Anexo 11'!N16*'Anexo 4'!$D$10,0)</f>
        <v>0</v>
      </c>
      <c r="O16" s="33">
        <f>ROUND('Anexo 11'!O16*'Anexo 4'!$D$10,0)</f>
        <v>0</v>
      </c>
      <c r="P16" s="33">
        <f>ROUND('Anexo 11'!P16*'Anexo 4'!$D$10,0)</f>
        <v>0</v>
      </c>
      <c r="Q16" s="33">
        <f>ROUND('Anexo 11'!Q16*'Anexo 4'!$D$10,0)</f>
        <v>0</v>
      </c>
      <c r="R16" s="33">
        <f>ROUND('Anexo 11'!R16*'Anexo 4'!$D$10,0)</f>
        <v>0</v>
      </c>
      <c r="S16" s="33">
        <f>ROUND('Anexo 11'!S16*'Anexo 4'!$D$10,0)</f>
        <v>0</v>
      </c>
      <c r="T16" s="33">
        <f>ROUND('Anexo 11'!T16*'Anexo 4'!$D$10,0)</f>
        <v>0</v>
      </c>
      <c r="U16" s="33">
        <f>ROUND('Anexo 11'!U16*'Anexo 4'!$D$10,0)</f>
        <v>0</v>
      </c>
      <c r="V16" s="33">
        <f>ROUND('Anexo 11'!V16*'Anexo 4'!$D$10,0)</f>
        <v>0</v>
      </c>
      <c r="W16" s="33">
        <f>ROUND('Anexo 11'!W16*'Anexo 4'!$D$10,0)</f>
        <v>0</v>
      </c>
      <c r="X16" s="33">
        <f>ROUND('Anexo 11'!X16*'Anexo 4'!$D$10,0)</f>
        <v>0</v>
      </c>
      <c r="Y16" s="33">
        <f>ROUND('Anexo 11'!Y16*'Anexo 4'!$D$10,0)</f>
        <v>0</v>
      </c>
      <c r="Z16" s="33">
        <f>ROUND('Anexo 11'!Z16*'Anexo 4'!$D$10,0)</f>
        <v>0</v>
      </c>
      <c r="AA16" s="38">
        <f t="shared" si="0"/>
        <v>0</v>
      </c>
      <c r="AB16" s="21">
        <v>4</v>
      </c>
      <c r="AC16" s="80"/>
      <c r="AD16" s="47"/>
    </row>
    <row r="17" spans="1:30" ht="15.75" thickBot="1" x14ac:dyDescent="0.3">
      <c r="A17" s="78"/>
      <c r="B17" s="22" t="s">
        <v>6</v>
      </c>
      <c r="C17" s="33">
        <f>ROUND('Anexo 11'!C17*'Anexo 4'!$D$10,0)</f>
        <v>0</v>
      </c>
      <c r="D17" s="33">
        <f>ROUND('Anexo 11'!D17*'Anexo 4'!$D$10,0)</f>
        <v>0</v>
      </c>
      <c r="E17" s="33">
        <f>ROUND('Anexo 11'!E17*'Anexo 4'!$D$10,0)</f>
        <v>0</v>
      </c>
      <c r="F17" s="33">
        <f>ROUND('Anexo 11'!F17*'Anexo 4'!$D$10,0)</f>
        <v>0</v>
      </c>
      <c r="G17" s="33">
        <f>ROUND('Anexo 11'!G17*'Anexo 4'!$D$10,0)</f>
        <v>0</v>
      </c>
      <c r="H17" s="33">
        <f>ROUND('Anexo 11'!H17*'Anexo 4'!$D$10,0)</f>
        <v>0</v>
      </c>
      <c r="I17" s="33">
        <f>ROUND('Anexo 11'!I17*'Anexo 4'!$D$10,0)</f>
        <v>0</v>
      </c>
      <c r="J17" s="33">
        <f>ROUND('Anexo 11'!J17*'Anexo 4'!$D$10,0)</f>
        <v>0</v>
      </c>
      <c r="K17" s="33">
        <f>ROUND('Anexo 11'!K17*'Anexo 4'!$D$10,0)</f>
        <v>0</v>
      </c>
      <c r="L17" s="33">
        <f>ROUND('Anexo 11'!L17*'Anexo 4'!$D$10,0)</f>
        <v>0</v>
      </c>
      <c r="M17" s="33">
        <f>ROUND('Anexo 11'!M17*'Anexo 4'!$D$10,0)</f>
        <v>0</v>
      </c>
      <c r="N17" s="33">
        <f>ROUND('Anexo 11'!N17*'Anexo 4'!$D$10,0)</f>
        <v>0</v>
      </c>
      <c r="O17" s="33">
        <f>ROUND('Anexo 11'!O17*'Anexo 4'!$D$10,0)</f>
        <v>0</v>
      </c>
      <c r="P17" s="33">
        <f>ROUND('Anexo 11'!P17*'Anexo 4'!$D$10,0)</f>
        <v>0</v>
      </c>
      <c r="Q17" s="33">
        <f>ROUND('Anexo 11'!Q17*'Anexo 4'!$D$10,0)</f>
        <v>0</v>
      </c>
      <c r="R17" s="33">
        <f>ROUND('Anexo 11'!R17*'Anexo 4'!$D$10,0)</f>
        <v>0</v>
      </c>
      <c r="S17" s="33">
        <f>ROUND('Anexo 11'!S17*'Anexo 4'!$D$10,0)</f>
        <v>0</v>
      </c>
      <c r="T17" s="33">
        <f>ROUND('Anexo 11'!T17*'Anexo 4'!$D$10,0)</f>
        <v>0</v>
      </c>
      <c r="U17" s="33">
        <f>ROUND('Anexo 11'!U17*'Anexo 4'!$D$10,0)</f>
        <v>0</v>
      </c>
      <c r="V17" s="33">
        <f>ROUND('Anexo 11'!V17*'Anexo 4'!$D$10,0)</f>
        <v>0</v>
      </c>
      <c r="W17" s="33">
        <f>ROUND('Anexo 11'!W17*'Anexo 4'!$D$10,0)</f>
        <v>0</v>
      </c>
      <c r="X17" s="33">
        <f>ROUND('Anexo 11'!X17*'Anexo 4'!$D$10,0)</f>
        <v>0</v>
      </c>
      <c r="Y17" s="33">
        <f>ROUND('Anexo 11'!Y17*'Anexo 4'!$D$10,0)</f>
        <v>0</v>
      </c>
      <c r="Z17" s="33">
        <f>ROUND('Anexo 11'!Z17*'Anexo 4'!$D$10,0)</f>
        <v>0</v>
      </c>
      <c r="AA17" s="41">
        <f t="shared" si="0"/>
        <v>0</v>
      </c>
      <c r="AB17" s="23">
        <v>5</v>
      </c>
      <c r="AC17" s="81"/>
      <c r="AD17" s="48"/>
    </row>
    <row r="18" spans="1:30" ht="15.75" thickBot="1" x14ac:dyDescent="0.3">
      <c r="A18" s="78">
        <v>47239</v>
      </c>
      <c r="B18" s="18" t="s">
        <v>8</v>
      </c>
      <c r="C18" s="33">
        <f>ROUND('Anexo 11'!C18*'Anexo 4'!$D$10,0)</f>
        <v>0</v>
      </c>
      <c r="D18" s="33">
        <f>ROUND('Anexo 11'!D18*'Anexo 4'!$D$10,0)</f>
        <v>0</v>
      </c>
      <c r="E18" s="33">
        <f>ROUND('Anexo 11'!E18*'Anexo 4'!$D$10,0)</f>
        <v>0</v>
      </c>
      <c r="F18" s="33">
        <f>ROUND('Anexo 11'!F18*'Anexo 4'!$D$10,0)</f>
        <v>0</v>
      </c>
      <c r="G18" s="33">
        <f>ROUND('Anexo 11'!G18*'Anexo 4'!$D$10,0)</f>
        <v>0</v>
      </c>
      <c r="H18" s="33">
        <f>ROUND('Anexo 11'!H18*'Anexo 4'!$D$10,0)</f>
        <v>0</v>
      </c>
      <c r="I18" s="33">
        <f>ROUND('Anexo 11'!I18*'Anexo 4'!$D$10,0)</f>
        <v>0</v>
      </c>
      <c r="J18" s="33">
        <f>ROUND('Anexo 11'!J18*'Anexo 4'!$D$10,0)</f>
        <v>0</v>
      </c>
      <c r="K18" s="33">
        <f>ROUND('Anexo 11'!K18*'Anexo 4'!$D$10,0)</f>
        <v>0</v>
      </c>
      <c r="L18" s="33">
        <f>ROUND('Anexo 11'!L18*'Anexo 4'!$D$10,0)</f>
        <v>0</v>
      </c>
      <c r="M18" s="33">
        <f>ROUND('Anexo 11'!M18*'Anexo 4'!$D$10,0)</f>
        <v>0</v>
      </c>
      <c r="N18" s="33">
        <f>ROUND('Anexo 11'!N18*'Anexo 4'!$D$10,0)</f>
        <v>0</v>
      </c>
      <c r="O18" s="33">
        <f>ROUND('Anexo 11'!O18*'Anexo 4'!$D$10,0)</f>
        <v>0</v>
      </c>
      <c r="P18" s="33">
        <f>ROUND('Anexo 11'!P18*'Anexo 4'!$D$10,0)</f>
        <v>0</v>
      </c>
      <c r="Q18" s="33">
        <f>ROUND('Anexo 11'!Q18*'Anexo 4'!$D$10,0)</f>
        <v>0</v>
      </c>
      <c r="R18" s="33">
        <f>ROUND('Anexo 11'!R18*'Anexo 4'!$D$10,0)</f>
        <v>0</v>
      </c>
      <c r="S18" s="33">
        <f>ROUND('Anexo 11'!S18*'Anexo 4'!$D$10,0)</f>
        <v>0</v>
      </c>
      <c r="T18" s="33">
        <f>ROUND('Anexo 11'!T18*'Anexo 4'!$D$10,0)</f>
        <v>0</v>
      </c>
      <c r="U18" s="33">
        <f>ROUND('Anexo 11'!U18*'Anexo 4'!$D$10,0)</f>
        <v>0</v>
      </c>
      <c r="V18" s="33">
        <f>ROUND('Anexo 11'!V18*'Anexo 4'!$D$10,0)</f>
        <v>0</v>
      </c>
      <c r="W18" s="33">
        <f>ROUND('Anexo 11'!W18*'Anexo 4'!$D$10,0)</f>
        <v>0</v>
      </c>
      <c r="X18" s="33">
        <f>ROUND('Anexo 11'!X18*'Anexo 4'!$D$10,0)</f>
        <v>0</v>
      </c>
      <c r="Y18" s="33">
        <f>ROUND('Anexo 11'!Y18*'Anexo 4'!$D$10,0)</f>
        <v>0</v>
      </c>
      <c r="Z18" s="33">
        <f>ROUND('Anexo 11'!Z18*'Anexo 4'!$D$10,0)</f>
        <v>0</v>
      </c>
      <c r="AA18" s="35">
        <f t="shared" si="0"/>
        <v>0</v>
      </c>
      <c r="AB18" s="19">
        <v>21</v>
      </c>
      <c r="AC18" s="79">
        <f>+AA18*AB18+AA19*AB19+AA20*AB20</f>
        <v>0</v>
      </c>
    </row>
    <row r="19" spans="1:30" ht="15.75" thickBot="1" x14ac:dyDescent="0.3">
      <c r="A19" s="78"/>
      <c r="B19" s="20" t="s">
        <v>7</v>
      </c>
      <c r="C19" s="33">
        <f>ROUND('Anexo 11'!C19*'Anexo 4'!$D$10,0)</f>
        <v>0</v>
      </c>
      <c r="D19" s="33">
        <f>ROUND('Anexo 11'!D19*'Anexo 4'!$D$10,0)</f>
        <v>0</v>
      </c>
      <c r="E19" s="33">
        <f>ROUND('Anexo 11'!E19*'Anexo 4'!$D$10,0)</f>
        <v>0</v>
      </c>
      <c r="F19" s="33">
        <f>ROUND('Anexo 11'!F19*'Anexo 4'!$D$10,0)</f>
        <v>0</v>
      </c>
      <c r="G19" s="33">
        <f>ROUND('Anexo 11'!G19*'Anexo 4'!$D$10,0)</f>
        <v>0</v>
      </c>
      <c r="H19" s="33">
        <f>ROUND('Anexo 11'!H19*'Anexo 4'!$D$10,0)</f>
        <v>0</v>
      </c>
      <c r="I19" s="33">
        <f>ROUND('Anexo 11'!I19*'Anexo 4'!$D$10,0)</f>
        <v>0</v>
      </c>
      <c r="J19" s="33">
        <f>ROUND('Anexo 11'!J19*'Anexo 4'!$D$10,0)</f>
        <v>0</v>
      </c>
      <c r="K19" s="33">
        <f>ROUND('Anexo 11'!K19*'Anexo 4'!$D$10,0)</f>
        <v>0</v>
      </c>
      <c r="L19" s="33">
        <f>ROUND('Anexo 11'!L19*'Anexo 4'!$D$10,0)</f>
        <v>0</v>
      </c>
      <c r="M19" s="33">
        <f>ROUND('Anexo 11'!M19*'Anexo 4'!$D$10,0)</f>
        <v>0</v>
      </c>
      <c r="N19" s="33">
        <f>ROUND('Anexo 11'!N19*'Anexo 4'!$D$10,0)</f>
        <v>0</v>
      </c>
      <c r="O19" s="33">
        <f>ROUND('Anexo 11'!O19*'Anexo 4'!$D$10,0)</f>
        <v>0</v>
      </c>
      <c r="P19" s="33">
        <f>ROUND('Anexo 11'!P19*'Anexo 4'!$D$10,0)</f>
        <v>0</v>
      </c>
      <c r="Q19" s="33">
        <f>ROUND('Anexo 11'!Q19*'Anexo 4'!$D$10,0)</f>
        <v>0</v>
      </c>
      <c r="R19" s="33">
        <f>ROUND('Anexo 11'!R19*'Anexo 4'!$D$10,0)</f>
        <v>0</v>
      </c>
      <c r="S19" s="33">
        <f>ROUND('Anexo 11'!S19*'Anexo 4'!$D$10,0)</f>
        <v>0</v>
      </c>
      <c r="T19" s="33">
        <f>ROUND('Anexo 11'!T19*'Anexo 4'!$D$10,0)</f>
        <v>0</v>
      </c>
      <c r="U19" s="33">
        <f>ROUND('Anexo 11'!U19*'Anexo 4'!$D$10,0)</f>
        <v>0</v>
      </c>
      <c r="V19" s="33">
        <f>ROUND('Anexo 11'!V19*'Anexo 4'!$D$10,0)</f>
        <v>0</v>
      </c>
      <c r="W19" s="33">
        <f>ROUND('Anexo 11'!W19*'Anexo 4'!$D$10,0)</f>
        <v>0</v>
      </c>
      <c r="X19" s="33">
        <f>ROUND('Anexo 11'!X19*'Anexo 4'!$D$10,0)</f>
        <v>0</v>
      </c>
      <c r="Y19" s="33">
        <f>ROUND('Anexo 11'!Y19*'Anexo 4'!$D$10,0)</f>
        <v>0</v>
      </c>
      <c r="Z19" s="33">
        <f>ROUND('Anexo 11'!Z19*'Anexo 4'!$D$10,0)</f>
        <v>0</v>
      </c>
      <c r="AA19" s="38">
        <f t="shared" si="0"/>
        <v>0</v>
      </c>
      <c r="AB19" s="21">
        <v>4</v>
      </c>
      <c r="AC19" s="80"/>
      <c r="AD19" s="47"/>
    </row>
    <row r="20" spans="1:30" ht="15.75" thickBot="1" x14ac:dyDescent="0.3">
      <c r="A20" s="78"/>
      <c r="B20" s="22" t="s">
        <v>6</v>
      </c>
      <c r="C20" s="33">
        <f>ROUND('Anexo 11'!C20*'Anexo 4'!$D$10,0)</f>
        <v>0</v>
      </c>
      <c r="D20" s="33">
        <f>ROUND('Anexo 11'!D20*'Anexo 4'!$D$10,0)</f>
        <v>0</v>
      </c>
      <c r="E20" s="33">
        <f>ROUND('Anexo 11'!E20*'Anexo 4'!$D$10,0)</f>
        <v>0</v>
      </c>
      <c r="F20" s="33">
        <f>ROUND('Anexo 11'!F20*'Anexo 4'!$D$10,0)</f>
        <v>0</v>
      </c>
      <c r="G20" s="33">
        <f>ROUND('Anexo 11'!G20*'Anexo 4'!$D$10,0)</f>
        <v>0</v>
      </c>
      <c r="H20" s="33">
        <f>ROUND('Anexo 11'!H20*'Anexo 4'!$D$10,0)</f>
        <v>0</v>
      </c>
      <c r="I20" s="33">
        <f>ROUND('Anexo 11'!I20*'Anexo 4'!$D$10,0)</f>
        <v>0</v>
      </c>
      <c r="J20" s="33">
        <f>ROUND('Anexo 11'!J20*'Anexo 4'!$D$10,0)</f>
        <v>0</v>
      </c>
      <c r="K20" s="33">
        <f>ROUND('Anexo 11'!K20*'Anexo 4'!$D$10,0)</f>
        <v>0</v>
      </c>
      <c r="L20" s="33">
        <f>ROUND('Anexo 11'!L20*'Anexo 4'!$D$10,0)</f>
        <v>0</v>
      </c>
      <c r="M20" s="33">
        <f>ROUND('Anexo 11'!M20*'Anexo 4'!$D$10,0)</f>
        <v>0</v>
      </c>
      <c r="N20" s="33">
        <f>ROUND('Anexo 11'!N20*'Anexo 4'!$D$10,0)</f>
        <v>0</v>
      </c>
      <c r="O20" s="33">
        <f>ROUND('Anexo 11'!O20*'Anexo 4'!$D$10,0)</f>
        <v>0</v>
      </c>
      <c r="P20" s="33">
        <f>ROUND('Anexo 11'!P20*'Anexo 4'!$D$10,0)</f>
        <v>0</v>
      </c>
      <c r="Q20" s="33">
        <f>ROUND('Anexo 11'!Q20*'Anexo 4'!$D$10,0)</f>
        <v>0</v>
      </c>
      <c r="R20" s="33">
        <f>ROUND('Anexo 11'!R20*'Anexo 4'!$D$10,0)</f>
        <v>0</v>
      </c>
      <c r="S20" s="33">
        <f>ROUND('Anexo 11'!S20*'Anexo 4'!$D$10,0)</f>
        <v>0</v>
      </c>
      <c r="T20" s="33">
        <f>ROUND('Anexo 11'!T20*'Anexo 4'!$D$10,0)</f>
        <v>0</v>
      </c>
      <c r="U20" s="33">
        <f>ROUND('Anexo 11'!U20*'Anexo 4'!$D$10,0)</f>
        <v>0</v>
      </c>
      <c r="V20" s="33">
        <f>ROUND('Anexo 11'!V20*'Anexo 4'!$D$10,0)</f>
        <v>0</v>
      </c>
      <c r="W20" s="33">
        <f>ROUND('Anexo 11'!W20*'Anexo 4'!$D$10,0)</f>
        <v>0</v>
      </c>
      <c r="X20" s="33">
        <f>ROUND('Anexo 11'!X20*'Anexo 4'!$D$10,0)</f>
        <v>0</v>
      </c>
      <c r="Y20" s="33">
        <f>ROUND('Anexo 11'!Y20*'Anexo 4'!$D$10,0)</f>
        <v>0</v>
      </c>
      <c r="Z20" s="33">
        <f>ROUND('Anexo 11'!Z20*'Anexo 4'!$D$10,0)</f>
        <v>0</v>
      </c>
      <c r="AA20" s="41">
        <f t="shared" si="0"/>
        <v>0</v>
      </c>
      <c r="AB20" s="23">
        <v>6</v>
      </c>
      <c r="AC20" s="81"/>
      <c r="AD20" s="48"/>
    </row>
    <row r="21" spans="1:30" ht="15.75" thickBot="1" x14ac:dyDescent="0.3">
      <c r="A21" s="78">
        <v>47270</v>
      </c>
      <c r="B21" s="18" t="s">
        <v>8</v>
      </c>
      <c r="C21" s="33">
        <f>ROUND('Anexo 11'!C21*'Anexo 4'!$D$10,0)</f>
        <v>0</v>
      </c>
      <c r="D21" s="33">
        <f>ROUND('Anexo 11'!D21*'Anexo 4'!$D$10,0)</f>
        <v>0</v>
      </c>
      <c r="E21" s="33">
        <f>ROUND('Anexo 11'!E21*'Anexo 4'!$D$10,0)</f>
        <v>0</v>
      </c>
      <c r="F21" s="33">
        <f>ROUND('Anexo 11'!F21*'Anexo 4'!$D$10,0)</f>
        <v>0</v>
      </c>
      <c r="G21" s="33">
        <f>ROUND('Anexo 11'!G21*'Anexo 4'!$D$10,0)</f>
        <v>0</v>
      </c>
      <c r="H21" s="33">
        <f>ROUND('Anexo 11'!H21*'Anexo 4'!$D$10,0)</f>
        <v>0</v>
      </c>
      <c r="I21" s="33">
        <f>ROUND('Anexo 11'!I21*'Anexo 4'!$D$10,0)</f>
        <v>0</v>
      </c>
      <c r="J21" s="33">
        <f>ROUND('Anexo 11'!J21*'Anexo 4'!$D$10,0)</f>
        <v>0</v>
      </c>
      <c r="K21" s="33">
        <f>ROUND('Anexo 11'!K21*'Anexo 4'!$D$10,0)</f>
        <v>0</v>
      </c>
      <c r="L21" s="33">
        <f>ROUND('Anexo 11'!L21*'Anexo 4'!$D$10,0)</f>
        <v>0</v>
      </c>
      <c r="M21" s="33">
        <f>ROUND('Anexo 11'!M21*'Anexo 4'!$D$10,0)</f>
        <v>0</v>
      </c>
      <c r="N21" s="33">
        <f>ROUND('Anexo 11'!N21*'Anexo 4'!$D$10,0)</f>
        <v>0</v>
      </c>
      <c r="O21" s="33">
        <f>ROUND('Anexo 11'!O21*'Anexo 4'!$D$10,0)</f>
        <v>0</v>
      </c>
      <c r="P21" s="33">
        <f>ROUND('Anexo 11'!P21*'Anexo 4'!$D$10,0)</f>
        <v>0</v>
      </c>
      <c r="Q21" s="33">
        <f>ROUND('Anexo 11'!Q21*'Anexo 4'!$D$10,0)</f>
        <v>0</v>
      </c>
      <c r="R21" s="33">
        <f>ROUND('Anexo 11'!R21*'Anexo 4'!$D$10,0)</f>
        <v>0</v>
      </c>
      <c r="S21" s="33">
        <f>ROUND('Anexo 11'!S21*'Anexo 4'!$D$10,0)</f>
        <v>0</v>
      </c>
      <c r="T21" s="33">
        <f>ROUND('Anexo 11'!T21*'Anexo 4'!$D$10,0)</f>
        <v>0</v>
      </c>
      <c r="U21" s="33">
        <f>ROUND('Anexo 11'!U21*'Anexo 4'!$D$10,0)</f>
        <v>0</v>
      </c>
      <c r="V21" s="33">
        <f>ROUND('Anexo 11'!V21*'Anexo 4'!$D$10,0)</f>
        <v>0</v>
      </c>
      <c r="W21" s="33">
        <f>ROUND('Anexo 11'!W21*'Anexo 4'!$D$10,0)</f>
        <v>0</v>
      </c>
      <c r="X21" s="33">
        <f>ROUND('Anexo 11'!X21*'Anexo 4'!$D$10,0)</f>
        <v>0</v>
      </c>
      <c r="Y21" s="33">
        <f>ROUND('Anexo 11'!Y21*'Anexo 4'!$D$10,0)</f>
        <v>0</v>
      </c>
      <c r="Z21" s="33">
        <f>ROUND('Anexo 11'!Z21*'Anexo 4'!$D$10,0)</f>
        <v>0</v>
      </c>
      <c r="AA21" s="35">
        <f t="shared" si="0"/>
        <v>0</v>
      </c>
      <c r="AB21" s="19">
        <v>19</v>
      </c>
      <c r="AC21" s="79">
        <f>+AA21*AB21+AA22*AB22+AA23*AB23</f>
        <v>0</v>
      </c>
    </row>
    <row r="22" spans="1:30" ht="15.75" thickBot="1" x14ac:dyDescent="0.3">
      <c r="A22" s="78"/>
      <c r="B22" s="20" t="s">
        <v>7</v>
      </c>
      <c r="C22" s="33">
        <f>ROUND('Anexo 11'!C22*'Anexo 4'!$D$10,0)</f>
        <v>0</v>
      </c>
      <c r="D22" s="33">
        <f>ROUND('Anexo 11'!D22*'Anexo 4'!$D$10,0)</f>
        <v>0</v>
      </c>
      <c r="E22" s="33">
        <f>ROUND('Anexo 11'!E22*'Anexo 4'!$D$10,0)</f>
        <v>0</v>
      </c>
      <c r="F22" s="33">
        <f>ROUND('Anexo 11'!F22*'Anexo 4'!$D$10,0)</f>
        <v>0</v>
      </c>
      <c r="G22" s="33">
        <f>ROUND('Anexo 11'!G22*'Anexo 4'!$D$10,0)</f>
        <v>0</v>
      </c>
      <c r="H22" s="33">
        <f>ROUND('Anexo 11'!H22*'Anexo 4'!$D$10,0)</f>
        <v>0</v>
      </c>
      <c r="I22" s="33">
        <f>ROUND('Anexo 11'!I22*'Anexo 4'!$D$10,0)</f>
        <v>0</v>
      </c>
      <c r="J22" s="33">
        <f>ROUND('Anexo 11'!J22*'Anexo 4'!$D$10,0)</f>
        <v>0</v>
      </c>
      <c r="K22" s="33">
        <f>ROUND('Anexo 11'!K22*'Anexo 4'!$D$10,0)</f>
        <v>0</v>
      </c>
      <c r="L22" s="33">
        <f>ROUND('Anexo 11'!L22*'Anexo 4'!$D$10,0)</f>
        <v>0</v>
      </c>
      <c r="M22" s="33">
        <f>ROUND('Anexo 11'!M22*'Anexo 4'!$D$10,0)</f>
        <v>0</v>
      </c>
      <c r="N22" s="33">
        <f>ROUND('Anexo 11'!N22*'Anexo 4'!$D$10,0)</f>
        <v>0</v>
      </c>
      <c r="O22" s="33">
        <f>ROUND('Anexo 11'!O22*'Anexo 4'!$D$10,0)</f>
        <v>0</v>
      </c>
      <c r="P22" s="33">
        <f>ROUND('Anexo 11'!P22*'Anexo 4'!$D$10,0)</f>
        <v>0</v>
      </c>
      <c r="Q22" s="33">
        <f>ROUND('Anexo 11'!Q22*'Anexo 4'!$D$10,0)</f>
        <v>0</v>
      </c>
      <c r="R22" s="33">
        <f>ROUND('Anexo 11'!R22*'Anexo 4'!$D$10,0)</f>
        <v>0</v>
      </c>
      <c r="S22" s="33">
        <f>ROUND('Anexo 11'!S22*'Anexo 4'!$D$10,0)</f>
        <v>0</v>
      </c>
      <c r="T22" s="33">
        <f>ROUND('Anexo 11'!T22*'Anexo 4'!$D$10,0)</f>
        <v>0</v>
      </c>
      <c r="U22" s="33">
        <f>ROUND('Anexo 11'!U22*'Anexo 4'!$D$10,0)</f>
        <v>0</v>
      </c>
      <c r="V22" s="33">
        <f>ROUND('Anexo 11'!V22*'Anexo 4'!$D$10,0)</f>
        <v>0</v>
      </c>
      <c r="W22" s="33">
        <f>ROUND('Anexo 11'!W22*'Anexo 4'!$D$10,0)</f>
        <v>0</v>
      </c>
      <c r="X22" s="33">
        <f>ROUND('Anexo 11'!X22*'Anexo 4'!$D$10,0)</f>
        <v>0</v>
      </c>
      <c r="Y22" s="33">
        <f>ROUND('Anexo 11'!Y22*'Anexo 4'!$D$10,0)</f>
        <v>0</v>
      </c>
      <c r="Z22" s="33">
        <f>ROUND('Anexo 11'!Z22*'Anexo 4'!$D$10,0)</f>
        <v>0</v>
      </c>
      <c r="AA22" s="38">
        <f t="shared" si="0"/>
        <v>0</v>
      </c>
      <c r="AB22" s="21">
        <v>5</v>
      </c>
      <c r="AC22" s="80"/>
      <c r="AD22" s="47"/>
    </row>
    <row r="23" spans="1:30" ht="15.75" thickBot="1" x14ac:dyDescent="0.3">
      <c r="A23" s="78"/>
      <c r="B23" s="22" t="s">
        <v>6</v>
      </c>
      <c r="C23" s="33">
        <f>ROUND('Anexo 11'!C23*'Anexo 4'!$D$10,0)</f>
        <v>0</v>
      </c>
      <c r="D23" s="33">
        <f>ROUND('Anexo 11'!D23*'Anexo 4'!$D$10,0)</f>
        <v>0</v>
      </c>
      <c r="E23" s="33">
        <f>ROUND('Anexo 11'!E23*'Anexo 4'!$D$10,0)</f>
        <v>0</v>
      </c>
      <c r="F23" s="33">
        <f>ROUND('Anexo 11'!F23*'Anexo 4'!$D$10,0)</f>
        <v>0</v>
      </c>
      <c r="G23" s="33">
        <f>ROUND('Anexo 11'!G23*'Anexo 4'!$D$10,0)</f>
        <v>0</v>
      </c>
      <c r="H23" s="33">
        <f>ROUND('Anexo 11'!H23*'Anexo 4'!$D$10,0)</f>
        <v>0</v>
      </c>
      <c r="I23" s="33">
        <f>ROUND('Anexo 11'!I23*'Anexo 4'!$D$10,0)</f>
        <v>0</v>
      </c>
      <c r="J23" s="33">
        <f>ROUND('Anexo 11'!J23*'Anexo 4'!$D$10,0)</f>
        <v>0</v>
      </c>
      <c r="K23" s="33">
        <f>ROUND('Anexo 11'!K23*'Anexo 4'!$D$10,0)</f>
        <v>0</v>
      </c>
      <c r="L23" s="33">
        <f>ROUND('Anexo 11'!L23*'Anexo 4'!$D$10,0)</f>
        <v>0</v>
      </c>
      <c r="M23" s="33">
        <f>ROUND('Anexo 11'!M23*'Anexo 4'!$D$10,0)</f>
        <v>0</v>
      </c>
      <c r="N23" s="33">
        <f>ROUND('Anexo 11'!N23*'Anexo 4'!$D$10,0)</f>
        <v>0</v>
      </c>
      <c r="O23" s="33">
        <f>ROUND('Anexo 11'!O23*'Anexo 4'!$D$10,0)</f>
        <v>0</v>
      </c>
      <c r="P23" s="33">
        <f>ROUND('Anexo 11'!P23*'Anexo 4'!$D$10,0)</f>
        <v>0</v>
      </c>
      <c r="Q23" s="33">
        <f>ROUND('Anexo 11'!Q23*'Anexo 4'!$D$10,0)</f>
        <v>0</v>
      </c>
      <c r="R23" s="33">
        <f>ROUND('Anexo 11'!R23*'Anexo 4'!$D$10,0)</f>
        <v>0</v>
      </c>
      <c r="S23" s="33">
        <f>ROUND('Anexo 11'!S23*'Anexo 4'!$D$10,0)</f>
        <v>0</v>
      </c>
      <c r="T23" s="33">
        <f>ROUND('Anexo 11'!T23*'Anexo 4'!$D$10,0)</f>
        <v>0</v>
      </c>
      <c r="U23" s="33">
        <f>ROUND('Anexo 11'!U23*'Anexo 4'!$D$10,0)</f>
        <v>0</v>
      </c>
      <c r="V23" s="33">
        <f>ROUND('Anexo 11'!V23*'Anexo 4'!$D$10,0)</f>
        <v>0</v>
      </c>
      <c r="W23" s="33">
        <f>ROUND('Anexo 11'!W23*'Anexo 4'!$D$10,0)</f>
        <v>0</v>
      </c>
      <c r="X23" s="33">
        <f>ROUND('Anexo 11'!X23*'Anexo 4'!$D$10,0)</f>
        <v>0</v>
      </c>
      <c r="Y23" s="33">
        <f>ROUND('Anexo 11'!Y23*'Anexo 4'!$D$10,0)</f>
        <v>0</v>
      </c>
      <c r="Z23" s="33">
        <f>ROUND('Anexo 11'!Z23*'Anexo 4'!$D$10,0)</f>
        <v>0</v>
      </c>
      <c r="AA23" s="41">
        <f t="shared" si="0"/>
        <v>0</v>
      </c>
      <c r="AB23" s="23">
        <v>6</v>
      </c>
      <c r="AC23" s="81"/>
      <c r="AD23" s="48"/>
    </row>
    <row r="24" spans="1:30" ht="15.75" thickBot="1" x14ac:dyDescent="0.3">
      <c r="A24" s="78">
        <v>47300</v>
      </c>
      <c r="B24" s="18" t="s">
        <v>8</v>
      </c>
      <c r="C24" s="33">
        <f>ROUND('Anexo 11'!C24*'Anexo 4'!$D$10,0)</f>
        <v>0</v>
      </c>
      <c r="D24" s="33">
        <f>ROUND('Anexo 11'!D24*'Anexo 4'!$D$10,0)</f>
        <v>0</v>
      </c>
      <c r="E24" s="33">
        <f>ROUND('Anexo 11'!E24*'Anexo 4'!$D$10,0)</f>
        <v>0</v>
      </c>
      <c r="F24" s="33">
        <f>ROUND('Anexo 11'!F24*'Anexo 4'!$D$10,0)</f>
        <v>0</v>
      </c>
      <c r="G24" s="33">
        <f>ROUND('Anexo 11'!G24*'Anexo 4'!$D$10,0)</f>
        <v>0</v>
      </c>
      <c r="H24" s="33">
        <f>ROUND('Anexo 11'!H24*'Anexo 4'!$D$10,0)</f>
        <v>0</v>
      </c>
      <c r="I24" s="33">
        <f>ROUND('Anexo 11'!I24*'Anexo 4'!$D$10,0)</f>
        <v>0</v>
      </c>
      <c r="J24" s="33">
        <f>ROUND('Anexo 11'!J24*'Anexo 4'!$D$10,0)</f>
        <v>0</v>
      </c>
      <c r="K24" s="33">
        <f>ROUND('Anexo 11'!K24*'Anexo 4'!$D$10,0)</f>
        <v>0</v>
      </c>
      <c r="L24" s="33">
        <f>ROUND('Anexo 11'!L24*'Anexo 4'!$D$10,0)</f>
        <v>0</v>
      </c>
      <c r="M24" s="33">
        <f>ROUND('Anexo 11'!M24*'Anexo 4'!$D$10,0)</f>
        <v>0</v>
      </c>
      <c r="N24" s="33">
        <f>ROUND('Anexo 11'!N24*'Anexo 4'!$D$10,0)</f>
        <v>0</v>
      </c>
      <c r="O24" s="33">
        <f>ROUND('Anexo 11'!O24*'Anexo 4'!$D$10,0)</f>
        <v>0</v>
      </c>
      <c r="P24" s="33">
        <f>ROUND('Anexo 11'!P24*'Anexo 4'!$D$10,0)</f>
        <v>0</v>
      </c>
      <c r="Q24" s="33">
        <f>ROUND('Anexo 11'!Q24*'Anexo 4'!$D$10,0)</f>
        <v>0</v>
      </c>
      <c r="R24" s="33">
        <f>ROUND('Anexo 11'!R24*'Anexo 4'!$D$10,0)</f>
        <v>0</v>
      </c>
      <c r="S24" s="33">
        <f>ROUND('Anexo 11'!S24*'Anexo 4'!$D$10,0)</f>
        <v>0</v>
      </c>
      <c r="T24" s="33">
        <f>ROUND('Anexo 11'!T24*'Anexo 4'!$D$10,0)</f>
        <v>0</v>
      </c>
      <c r="U24" s="33">
        <f>ROUND('Anexo 11'!U24*'Anexo 4'!$D$10,0)</f>
        <v>0</v>
      </c>
      <c r="V24" s="33">
        <f>ROUND('Anexo 11'!V24*'Anexo 4'!$D$10,0)</f>
        <v>0</v>
      </c>
      <c r="W24" s="33">
        <f>ROUND('Anexo 11'!W24*'Anexo 4'!$D$10,0)</f>
        <v>0</v>
      </c>
      <c r="X24" s="33">
        <f>ROUND('Anexo 11'!X24*'Anexo 4'!$D$10,0)</f>
        <v>0</v>
      </c>
      <c r="Y24" s="33">
        <f>ROUND('Anexo 11'!Y24*'Anexo 4'!$D$10,0)</f>
        <v>0</v>
      </c>
      <c r="Z24" s="33">
        <f>ROUND('Anexo 11'!Z24*'Anexo 4'!$D$10,0)</f>
        <v>0</v>
      </c>
      <c r="AA24" s="35">
        <f t="shared" si="0"/>
        <v>0</v>
      </c>
      <c r="AB24" s="19">
        <v>20</v>
      </c>
      <c r="AC24" s="79">
        <f>+AA24*AB24+AA25*AB25+AA26*AB26</f>
        <v>0</v>
      </c>
    </row>
    <row r="25" spans="1:30" ht="15.75" thickBot="1" x14ac:dyDescent="0.3">
      <c r="A25" s="78"/>
      <c r="B25" s="20" t="s">
        <v>7</v>
      </c>
      <c r="C25" s="33">
        <f>ROUND('Anexo 11'!C25*'Anexo 4'!$D$10,0)</f>
        <v>0</v>
      </c>
      <c r="D25" s="33">
        <f>ROUND('Anexo 11'!D25*'Anexo 4'!$D$10,0)</f>
        <v>0</v>
      </c>
      <c r="E25" s="33">
        <f>ROUND('Anexo 11'!E25*'Anexo 4'!$D$10,0)</f>
        <v>0</v>
      </c>
      <c r="F25" s="33">
        <f>ROUND('Anexo 11'!F25*'Anexo 4'!$D$10,0)</f>
        <v>0</v>
      </c>
      <c r="G25" s="33">
        <f>ROUND('Anexo 11'!G25*'Anexo 4'!$D$10,0)</f>
        <v>0</v>
      </c>
      <c r="H25" s="33">
        <f>ROUND('Anexo 11'!H25*'Anexo 4'!$D$10,0)</f>
        <v>0</v>
      </c>
      <c r="I25" s="33">
        <f>ROUND('Anexo 11'!I25*'Anexo 4'!$D$10,0)</f>
        <v>0</v>
      </c>
      <c r="J25" s="33">
        <f>ROUND('Anexo 11'!J25*'Anexo 4'!$D$10,0)</f>
        <v>0</v>
      </c>
      <c r="K25" s="33">
        <f>ROUND('Anexo 11'!K25*'Anexo 4'!$D$10,0)</f>
        <v>0</v>
      </c>
      <c r="L25" s="33">
        <f>ROUND('Anexo 11'!L25*'Anexo 4'!$D$10,0)</f>
        <v>0</v>
      </c>
      <c r="M25" s="33">
        <f>ROUND('Anexo 11'!M25*'Anexo 4'!$D$10,0)</f>
        <v>0</v>
      </c>
      <c r="N25" s="33">
        <f>ROUND('Anexo 11'!N25*'Anexo 4'!$D$10,0)</f>
        <v>0</v>
      </c>
      <c r="O25" s="33">
        <f>ROUND('Anexo 11'!O25*'Anexo 4'!$D$10,0)</f>
        <v>0</v>
      </c>
      <c r="P25" s="33">
        <f>ROUND('Anexo 11'!P25*'Anexo 4'!$D$10,0)</f>
        <v>0</v>
      </c>
      <c r="Q25" s="33">
        <f>ROUND('Anexo 11'!Q25*'Anexo 4'!$D$10,0)</f>
        <v>0</v>
      </c>
      <c r="R25" s="33">
        <f>ROUND('Anexo 11'!R25*'Anexo 4'!$D$10,0)</f>
        <v>0</v>
      </c>
      <c r="S25" s="33">
        <f>ROUND('Anexo 11'!S25*'Anexo 4'!$D$10,0)</f>
        <v>0</v>
      </c>
      <c r="T25" s="33">
        <f>ROUND('Anexo 11'!T25*'Anexo 4'!$D$10,0)</f>
        <v>0</v>
      </c>
      <c r="U25" s="33">
        <f>ROUND('Anexo 11'!U25*'Anexo 4'!$D$10,0)</f>
        <v>0</v>
      </c>
      <c r="V25" s="33">
        <f>ROUND('Anexo 11'!V25*'Anexo 4'!$D$10,0)</f>
        <v>0</v>
      </c>
      <c r="W25" s="33">
        <f>ROUND('Anexo 11'!W25*'Anexo 4'!$D$10,0)</f>
        <v>0</v>
      </c>
      <c r="X25" s="33">
        <f>ROUND('Anexo 11'!X25*'Anexo 4'!$D$10,0)</f>
        <v>0</v>
      </c>
      <c r="Y25" s="33">
        <f>ROUND('Anexo 11'!Y25*'Anexo 4'!$D$10,0)</f>
        <v>0</v>
      </c>
      <c r="Z25" s="33">
        <f>ROUND('Anexo 11'!Z25*'Anexo 4'!$D$10,0)</f>
        <v>0</v>
      </c>
      <c r="AA25" s="38">
        <f t="shared" si="0"/>
        <v>0</v>
      </c>
      <c r="AB25" s="21">
        <v>4</v>
      </c>
      <c r="AC25" s="80"/>
      <c r="AD25" s="47"/>
    </row>
    <row r="26" spans="1:30" ht="15.75" thickBot="1" x14ac:dyDescent="0.3">
      <c r="A26" s="78"/>
      <c r="B26" s="22" t="s">
        <v>6</v>
      </c>
      <c r="C26" s="33">
        <f>ROUND('Anexo 11'!C26*'Anexo 4'!$D$10,0)</f>
        <v>0</v>
      </c>
      <c r="D26" s="33">
        <f>ROUND('Anexo 11'!D26*'Anexo 4'!$D$10,0)</f>
        <v>0</v>
      </c>
      <c r="E26" s="33">
        <f>ROUND('Anexo 11'!E26*'Anexo 4'!$D$10,0)</f>
        <v>0</v>
      </c>
      <c r="F26" s="33">
        <f>ROUND('Anexo 11'!F26*'Anexo 4'!$D$10,0)</f>
        <v>0</v>
      </c>
      <c r="G26" s="33">
        <f>ROUND('Anexo 11'!G26*'Anexo 4'!$D$10,0)</f>
        <v>0</v>
      </c>
      <c r="H26" s="33">
        <f>ROUND('Anexo 11'!H26*'Anexo 4'!$D$10,0)</f>
        <v>0</v>
      </c>
      <c r="I26" s="33">
        <f>ROUND('Anexo 11'!I26*'Anexo 4'!$D$10,0)</f>
        <v>0</v>
      </c>
      <c r="J26" s="33">
        <f>ROUND('Anexo 11'!J26*'Anexo 4'!$D$10,0)</f>
        <v>0</v>
      </c>
      <c r="K26" s="33">
        <f>ROUND('Anexo 11'!K26*'Anexo 4'!$D$10,0)</f>
        <v>0</v>
      </c>
      <c r="L26" s="33">
        <f>ROUND('Anexo 11'!L26*'Anexo 4'!$D$10,0)</f>
        <v>0</v>
      </c>
      <c r="M26" s="33">
        <f>ROUND('Anexo 11'!M26*'Anexo 4'!$D$10,0)</f>
        <v>0</v>
      </c>
      <c r="N26" s="33">
        <f>ROUND('Anexo 11'!N26*'Anexo 4'!$D$10,0)</f>
        <v>0</v>
      </c>
      <c r="O26" s="33">
        <f>ROUND('Anexo 11'!O26*'Anexo 4'!$D$10,0)</f>
        <v>0</v>
      </c>
      <c r="P26" s="33">
        <f>ROUND('Anexo 11'!P26*'Anexo 4'!$D$10,0)</f>
        <v>0</v>
      </c>
      <c r="Q26" s="33">
        <f>ROUND('Anexo 11'!Q26*'Anexo 4'!$D$10,0)</f>
        <v>0</v>
      </c>
      <c r="R26" s="33">
        <f>ROUND('Anexo 11'!R26*'Anexo 4'!$D$10,0)</f>
        <v>0</v>
      </c>
      <c r="S26" s="33">
        <f>ROUND('Anexo 11'!S26*'Anexo 4'!$D$10,0)</f>
        <v>0</v>
      </c>
      <c r="T26" s="33">
        <f>ROUND('Anexo 11'!T26*'Anexo 4'!$D$10,0)</f>
        <v>0</v>
      </c>
      <c r="U26" s="33">
        <f>ROUND('Anexo 11'!U26*'Anexo 4'!$D$10,0)</f>
        <v>0</v>
      </c>
      <c r="V26" s="33">
        <f>ROUND('Anexo 11'!V26*'Anexo 4'!$D$10,0)</f>
        <v>0</v>
      </c>
      <c r="W26" s="33">
        <f>ROUND('Anexo 11'!W26*'Anexo 4'!$D$10,0)</f>
        <v>0</v>
      </c>
      <c r="X26" s="33">
        <f>ROUND('Anexo 11'!X26*'Anexo 4'!$D$10,0)</f>
        <v>0</v>
      </c>
      <c r="Y26" s="33">
        <f>ROUND('Anexo 11'!Y26*'Anexo 4'!$D$10,0)</f>
        <v>0</v>
      </c>
      <c r="Z26" s="33">
        <f>ROUND('Anexo 11'!Z26*'Anexo 4'!$D$10,0)</f>
        <v>0</v>
      </c>
      <c r="AA26" s="41">
        <f t="shared" si="0"/>
        <v>0</v>
      </c>
      <c r="AB26" s="23">
        <v>7</v>
      </c>
      <c r="AC26" s="81"/>
      <c r="AD26" s="48"/>
    </row>
    <row r="27" spans="1:30" ht="15.75" thickBot="1" x14ac:dyDescent="0.3">
      <c r="A27" s="78">
        <v>47331</v>
      </c>
      <c r="B27" s="18" t="s">
        <v>8</v>
      </c>
      <c r="C27" s="33">
        <f>ROUND('Anexo 11'!C27*'Anexo 4'!$D$10,0)</f>
        <v>0</v>
      </c>
      <c r="D27" s="33">
        <f>ROUND('Anexo 11'!D27*'Anexo 4'!$D$10,0)</f>
        <v>0</v>
      </c>
      <c r="E27" s="33">
        <f>ROUND('Anexo 11'!E27*'Anexo 4'!$D$10,0)</f>
        <v>0</v>
      </c>
      <c r="F27" s="33">
        <f>ROUND('Anexo 11'!F27*'Anexo 4'!$D$10,0)</f>
        <v>0</v>
      </c>
      <c r="G27" s="33">
        <f>ROUND('Anexo 11'!G27*'Anexo 4'!$D$10,0)</f>
        <v>0</v>
      </c>
      <c r="H27" s="33">
        <f>ROUND('Anexo 11'!H27*'Anexo 4'!$D$10,0)</f>
        <v>0</v>
      </c>
      <c r="I27" s="33">
        <f>ROUND('Anexo 11'!I27*'Anexo 4'!$D$10,0)</f>
        <v>0</v>
      </c>
      <c r="J27" s="33">
        <f>ROUND('Anexo 11'!J27*'Anexo 4'!$D$10,0)</f>
        <v>0</v>
      </c>
      <c r="K27" s="33">
        <f>ROUND('Anexo 11'!K27*'Anexo 4'!$D$10,0)</f>
        <v>0</v>
      </c>
      <c r="L27" s="33">
        <f>ROUND('Anexo 11'!L27*'Anexo 4'!$D$10,0)</f>
        <v>0</v>
      </c>
      <c r="M27" s="33">
        <f>ROUND('Anexo 11'!M27*'Anexo 4'!$D$10,0)</f>
        <v>0</v>
      </c>
      <c r="N27" s="33">
        <f>ROUND('Anexo 11'!N27*'Anexo 4'!$D$10,0)</f>
        <v>0</v>
      </c>
      <c r="O27" s="33">
        <f>ROUND('Anexo 11'!O27*'Anexo 4'!$D$10,0)</f>
        <v>0</v>
      </c>
      <c r="P27" s="33">
        <f>ROUND('Anexo 11'!P27*'Anexo 4'!$D$10,0)</f>
        <v>0</v>
      </c>
      <c r="Q27" s="33">
        <f>ROUND('Anexo 11'!Q27*'Anexo 4'!$D$10,0)</f>
        <v>0</v>
      </c>
      <c r="R27" s="33">
        <f>ROUND('Anexo 11'!R27*'Anexo 4'!$D$10,0)</f>
        <v>0</v>
      </c>
      <c r="S27" s="33">
        <f>ROUND('Anexo 11'!S27*'Anexo 4'!$D$10,0)</f>
        <v>0</v>
      </c>
      <c r="T27" s="33">
        <f>ROUND('Anexo 11'!T27*'Anexo 4'!$D$10,0)</f>
        <v>0</v>
      </c>
      <c r="U27" s="33">
        <f>ROUND('Anexo 11'!U27*'Anexo 4'!$D$10,0)</f>
        <v>0</v>
      </c>
      <c r="V27" s="33">
        <f>ROUND('Anexo 11'!V27*'Anexo 4'!$D$10,0)</f>
        <v>0</v>
      </c>
      <c r="W27" s="33">
        <f>ROUND('Anexo 11'!W27*'Anexo 4'!$D$10,0)</f>
        <v>0</v>
      </c>
      <c r="X27" s="33">
        <f>ROUND('Anexo 11'!X27*'Anexo 4'!$D$10,0)</f>
        <v>0</v>
      </c>
      <c r="Y27" s="33">
        <f>ROUND('Anexo 11'!Y27*'Anexo 4'!$D$10,0)</f>
        <v>0</v>
      </c>
      <c r="Z27" s="33">
        <f>ROUND('Anexo 11'!Z27*'Anexo 4'!$D$10,0)</f>
        <v>0</v>
      </c>
      <c r="AA27" s="35">
        <f t="shared" si="0"/>
        <v>0</v>
      </c>
      <c r="AB27" s="19">
        <v>21</v>
      </c>
      <c r="AC27" s="79">
        <f>+AA27*AB27+AA28*AB28+AA29*AB29</f>
        <v>0</v>
      </c>
    </row>
    <row r="28" spans="1:30" ht="15.75" thickBot="1" x14ac:dyDescent="0.3">
      <c r="A28" s="78"/>
      <c r="B28" s="20" t="s">
        <v>7</v>
      </c>
      <c r="C28" s="33">
        <f>ROUND('Anexo 11'!C28*'Anexo 4'!$D$10,0)</f>
        <v>0</v>
      </c>
      <c r="D28" s="33">
        <f>ROUND('Anexo 11'!D28*'Anexo 4'!$D$10,0)</f>
        <v>0</v>
      </c>
      <c r="E28" s="33">
        <f>ROUND('Anexo 11'!E28*'Anexo 4'!$D$10,0)</f>
        <v>0</v>
      </c>
      <c r="F28" s="33">
        <f>ROUND('Anexo 11'!F28*'Anexo 4'!$D$10,0)</f>
        <v>0</v>
      </c>
      <c r="G28" s="33">
        <f>ROUND('Anexo 11'!G28*'Anexo 4'!$D$10,0)</f>
        <v>0</v>
      </c>
      <c r="H28" s="33">
        <f>ROUND('Anexo 11'!H28*'Anexo 4'!$D$10,0)</f>
        <v>0</v>
      </c>
      <c r="I28" s="33">
        <f>ROUND('Anexo 11'!I28*'Anexo 4'!$D$10,0)</f>
        <v>0</v>
      </c>
      <c r="J28" s="33">
        <f>ROUND('Anexo 11'!J28*'Anexo 4'!$D$10,0)</f>
        <v>0</v>
      </c>
      <c r="K28" s="33">
        <f>ROUND('Anexo 11'!K28*'Anexo 4'!$D$10,0)</f>
        <v>0</v>
      </c>
      <c r="L28" s="33">
        <f>ROUND('Anexo 11'!L28*'Anexo 4'!$D$10,0)</f>
        <v>0</v>
      </c>
      <c r="M28" s="33">
        <f>ROUND('Anexo 11'!M28*'Anexo 4'!$D$10,0)</f>
        <v>0</v>
      </c>
      <c r="N28" s="33">
        <f>ROUND('Anexo 11'!N28*'Anexo 4'!$D$10,0)</f>
        <v>0</v>
      </c>
      <c r="O28" s="33">
        <f>ROUND('Anexo 11'!O28*'Anexo 4'!$D$10,0)</f>
        <v>0</v>
      </c>
      <c r="P28" s="33">
        <f>ROUND('Anexo 11'!P28*'Anexo 4'!$D$10,0)</f>
        <v>0</v>
      </c>
      <c r="Q28" s="33">
        <f>ROUND('Anexo 11'!Q28*'Anexo 4'!$D$10,0)</f>
        <v>0</v>
      </c>
      <c r="R28" s="33">
        <f>ROUND('Anexo 11'!R28*'Anexo 4'!$D$10,0)</f>
        <v>0</v>
      </c>
      <c r="S28" s="33">
        <f>ROUND('Anexo 11'!S28*'Anexo 4'!$D$10,0)</f>
        <v>0</v>
      </c>
      <c r="T28" s="33">
        <f>ROUND('Anexo 11'!T28*'Anexo 4'!$D$10,0)</f>
        <v>0</v>
      </c>
      <c r="U28" s="33">
        <f>ROUND('Anexo 11'!U28*'Anexo 4'!$D$10,0)</f>
        <v>0</v>
      </c>
      <c r="V28" s="33">
        <f>ROUND('Anexo 11'!V28*'Anexo 4'!$D$10,0)</f>
        <v>0</v>
      </c>
      <c r="W28" s="33">
        <f>ROUND('Anexo 11'!W28*'Anexo 4'!$D$10,0)</f>
        <v>0</v>
      </c>
      <c r="X28" s="33">
        <f>ROUND('Anexo 11'!X28*'Anexo 4'!$D$10,0)</f>
        <v>0</v>
      </c>
      <c r="Y28" s="33">
        <f>ROUND('Anexo 11'!Y28*'Anexo 4'!$D$10,0)</f>
        <v>0</v>
      </c>
      <c r="Z28" s="33">
        <f>ROUND('Anexo 11'!Z28*'Anexo 4'!$D$10,0)</f>
        <v>0</v>
      </c>
      <c r="AA28" s="38">
        <f t="shared" si="0"/>
        <v>0</v>
      </c>
      <c r="AB28" s="21">
        <v>4</v>
      </c>
      <c r="AC28" s="80"/>
      <c r="AD28" s="47"/>
    </row>
    <row r="29" spans="1:30" ht="15.75" thickBot="1" x14ac:dyDescent="0.3">
      <c r="A29" s="78"/>
      <c r="B29" s="22" t="s">
        <v>6</v>
      </c>
      <c r="C29" s="33">
        <f>ROUND('Anexo 11'!C29*'Anexo 4'!$D$10,0)</f>
        <v>0</v>
      </c>
      <c r="D29" s="33">
        <f>ROUND('Anexo 11'!D29*'Anexo 4'!$D$10,0)</f>
        <v>0</v>
      </c>
      <c r="E29" s="33">
        <f>ROUND('Anexo 11'!E29*'Anexo 4'!$D$10,0)</f>
        <v>0</v>
      </c>
      <c r="F29" s="33">
        <f>ROUND('Anexo 11'!F29*'Anexo 4'!$D$10,0)</f>
        <v>0</v>
      </c>
      <c r="G29" s="33">
        <f>ROUND('Anexo 11'!G29*'Anexo 4'!$D$10,0)</f>
        <v>0</v>
      </c>
      <c r="H29" s="33">
        <f>ROUND('Anexo 11'!H29*'Anexo 4'!$D$10,0)</f>
        <v>0</v>
      </c>
      <c r="I29" s="33">
        <f>ROUND('Anexo 11'!I29*'Anexo 4'!$D$10,0)</f>
        <v>0</v>
      </c>
      <c r="J29" s="33">
        <f>ROUND('Anexo 11'!J29*'Anexo 4'!$D$10,0)</f>
        <v>0</v>
      </c>
      <c r="K29" s="33">
        <f>ROUND('Anexo 11'!K29*'Anexo 4'!$D$10,0)</f>
        <v>0</v>
      </c>
      <c r="L29" s="33">
        <f>ROUND('Anexo 11'!L29*'Anexo 4'!$D$10,0)</f>
        <v>0</v>
      </c>
      <c r="M29" s="33">
        <f>ROUND('Anexo 11'!M29*'Anexo 4'!$D$10,0)</f>
        <v>0</v>
      </c>
      <c r="N29" s="33">
        <f>ROUND('Anexo 11'!N29*'Anexo 4'!$D$10,0)</f>
        <v>0</v>
      </c>
      <c r="O29" s="33">
        <f>ROUND('Anexo 11'!O29*'Anexo 4'!$D$10,0)</f>
        <v>0</v>
      </c>
      <c r="P29" s="33">
        <f>ROUND('Anexo 11'!P29*'Anexo 4'!$D$10,0)</f>
        <v>0</v>
      </c>
      <c r="Q29" s="33">
        <f>ROUND('Anexo 11'!Q29*'Anexo 4'!$D$10,0)</f>
        <v>0</v>
      </c>
      <c r="R29" s="33">
        <f>ROUND('Anexo 11'!R29*'Anexo 4'!$D$10,0)</f>
        <v>0</v>
      </c>
      <c r="S29" s="33">
        <f>ROUND('Anexo 11'!S29*'Anexo 4'!$D$10,0)</f>
        <v>0</v>
      </c>
      <c r="T29" s="33">
        <f>ROUND('Anexo 11'!T29*'Anexo 4'!$D$10,0)</f>
        <v>0</v>
      </c>
      <c r="U29" s="33">
        <f>ROUND('Anexo 11'!U29*'Anexo 4'!$D$10,0)</f>
        <v>0</v>
      </c>
      <c r="V29" s="33">
        <f>ROUND('Anexo 11'!V29*'Anexo 4'!$D$10,0)</f>
        <v>0</v>
      </c>
      <c r="W29" s="33">
        <f>ROUND('Anexo 11'!W29*'Anexo 4'!$D$10,0)</f>
        <v>0</v>
      </c>
      <c r="X29" s="33">
        <f>ROUND('Anexo 11'!X29*'Anexo 4'!$D$10,0)</f>
        <v>0</v>
      </c>
      <c r="Y29" s="33">
        <f>ROUND('Anexo 11'!Y29*'Anexo 4'!$D$10,0)</f>
        <v>0</v>
      </c>
      <c r="Z29" s="33">
        <f>ROUND('Anexo 11'!Z29*'Anexo 4'!$D$10,0)</f>
        <v>0</v>
      </c>
      <c r="AA29" s="41">
        <f t="shared" si="0"/>
        <v>0</v>
      </c>
      <c r="AB29" s="23">
        <v>6</v>
      </c>
      <c r="AC29" s="81"/>
      <c r="AD29" s="49"/>
    </row>
    <row r="30" spans="1:30" ht="15.75" thickBot="1" x14ac:dyDescent="0.3">
      <c r="A30" s="78">
        <v>47362</v>
      </c>
      <c r="B30" s="18" t="s">
        <v>8</v>
      </c>
      <c r="C30" s="33">
        <f>ROUND('Anexo 11'!C30*'Anexo 4'!$D$10,0)</f>
        <v>0</v>
      </c>
      <c r="D30" s="33">
        <f>ROUND('Anexo 11'!D30*'Anexo 4'!$D$10,0)</f>
        <v>0</v>
      </c>
      <c r="E30" s="33">
        <f>ROUND('Anexo 11'!E30*'Anexo 4'!$D$10,0)</f>
        <v>0</v>
      </c>
      <c r="F30" s="33">
        <f>ROUND('Anexo 11'!F30*'Anexo 4'!$D$10,0)</f>
        <v>0</v>
      </c>
      <c r="G30" s="33">
        <f>ROUND('Anexo 11'!G30*'Anexo 4'!$D$10,0)</f>
        <v>0</v>
      </c>
      <c r="H30" s="33">
        <f>ROUND('Anexo 11'!H30*'Anexo 4'!$D$10,0)</f>
        <v>0</v>
      </c>
      <c r="I30" s="33">
        <f>ROUND('Anexo 11'!I30*'Anexo 4'!$D$10,0)</f>
        <v>0</v>
      </c>
      <c r="J30" s="33">
        <f>ROUND('Anexo 11'!J30*'Anexo 4'!$D$10,0)</f>
        <v>0</v>
      </c>
      <c r="K30" s="33">
        <f>ROUND('Anexo 11'!K30*'Anexo 4'!$D$10,0)</f>
        <v>0</v>
      </c>
      <c r="L30" s="33">
        <f>ROUND('Anexo 11'!L30*'Anexo 4'!$D$10,0)</f>
        <v>0</v>
      </c>
      <c r="M30" s="33">
        <f>ROUND('Anexo 11'!M30*'Anexo 4'!$D$10,0)</f>
        <v>0</v>
      </c>
      <c r="N30" s="33">
        <f>ROUND('Anexo 11'!N30*'Anexo 4'!$D$10,0)</f>
        <v>0</v>
      </c>
      <c r="O30" s="33">
        <f>ROUND('Anexo 11'!O30*'Anexo 4'!$D$10,0)</f>
        <v>0</v>
      </c>
      <c r="P30" s="33">
        <f>ROUND('Anexo 11'!P30*'Anexo 4'!$D$10,0)</f>
        <v>0</v>
      </c>
      <c r="Q30" s="33">
        <f>ROUND('Anexo 11'!Q30*'Anexo 4'!$D$10,0)</f>
        <v>0</v>
      </c>
      <c r="R30" s="33">
        <f>ROUND('Anexo 11'!R30*'Anexo 4'!$D$10,0)</f>
        <v>0</v>
      </c>
      <c r="S30" s="33">
        <f>ROUND('Anexo 11'!S30*'Anexo 4'!$D$10,0)</f>
        <v>0</v>
      </c>
      <c r="T30" s="33">
        <f>ROUND('Anexo 11'!T30*'Anexo 4'!$D$10,0)</f>
        <v>0</v>
      </c>
      <c r="U30" s="33">
        <f>ROUND('Anexo 11'!U30*'Anexo 4'!$D$10,0)</f>
        <v>0</v>
      </c>
      <c r="V30" s="33">
        <f>ROUND('Anexo 11'!V30*'Anexo 4'!$D$10,0)</f>
        <v>0</v>
      </c>
      <c r="W30" s="33">
        <f>ROUND('Anexo 11'!W30*'Anexo 4'!$D$10,0)</f>
        <v>0</v>
      </c>
      <c r="X30" s="33">
        <f>ROUND('Anexo 11'!X30*'Anexo 4'!$D$10,0)</f>
        <v>0</v>
      </c>
      <c r="Y30" s="33">
        <f>ROUND('Anexo 11'!Y30*'Anexo 4'!$D$10,0)</f>
        <v>0</v>
      </c>
      <c r="Z30" s="33">
        <f>ROUND('Anexo 11'!Z30*'Anexo 4'!$D$10,0)</f>
        <v>0</v>
      </c>
      <c r="AA30" s="35">
        <f t="shared" si="0"/>
        <v>0</v>
      </c>
      <c r="AB30" s="19">
        <v>20</v>
      </c>
      <c r="AC30" s="79">
        <f>+AA30*AB30+AA31*AB31+AA32*AB32</f>
        <v>0</v>
      </c>
    </row>
    <row r="31" spans="1:30" ht="15.75" thickBot="1" x14ac:dyDescent="0.3">
      <c r="A31" s="78"/>
      <c r="B31" s="20" t="s">
        <v>7</v>
      </c>
      <c r="C31" s="33">
        <f>ROUND('Anexo 11'!C31*'Anexo 4'!$D$10,0)</f>
        <v>0</v>
      </c>
      <c r="D31" s="33">
        <f>ROUND('Anexo 11'!D31*'Anexo 4'!$D$10,0)</f>
        <v>0</v>
      </c>
      <c r="E31" s="33">
        <f>ROUND('Anexo 11'!E31*'Anexo 4'!$D$10,0)</f>
        <v>0</v>
      </c>
      <c r="F31" s="33">
        <f>ROUND('Anexo 11'!F31*'Anexo 4'!$D$10,0)</f>
        <v>0</v>
      </c>
      <c r="G31" s="33">
        <f>ROUND('Anexo 11'!G31*'Anexo 4'!$D$10,0)</f>
        <v>0</v>
      </c>
      <c r="H31" s="33">
        <f>ROUND('Anexo 11'!H31*'Anexo 4'!$D$10,0)</f>
        <v>0</v>
      </c>
      <c r="I31" s="33">
        <f>ROUND('Anexo 11'!I31*'Anexo 4'!$D$10,0)</f>
        <v>0</v>
      </c>
      <c r="J31" s="33">
        <f>ROUND('Anexo 11'!J31*'Anexo 4'!$D$10,0)</f>
        <v>0</v>
      </c>
      <c r="K31" s="33">
        <f>ROUND('Anexo 11'!K31*'Anexo 4'!$D$10,0)</f>
        <v>0</v>
      </c>
      <c r="L31" s="33">
        <f>ROUND('Anexo 11'!L31*'Anexo 4'!$D$10,0)</f>
        <v>0</v>
      </c>
      <c r="M31" s="33">
        <f>ROUND('Anexo 11'!M31*'Anexo 4'!$D$10,0)</f>
        <v>0</v>
      </c>
      <c r="N31" s="33">
        <f>ROUND('Anexo 11'!N31*'Anexo 4'!$D$10,0)</f>
        <v>0</v>
      </c>
      <c r="O31" s="33">
        <f>ROUND('Anexo 11'!O31*'Anexo 4'!$D$10,0)</f>
        <v>0</v>
      </c>
      <c r="P31" s="33">
        <f>ROUND('Anexo 11'!P31*'Anexo 4'!$D$10,0)</f>
        <v>0</v>
      </c>
      <c r="Q31" s="33">
        <f>ROUND('Anexo 11'!Q31*'Anexo 4'!$D$10,0)</f>
        <v>0</v>
      </c>
      <c r="R31" s="33">
        <f>ROUND('Anexo 11'!R31*'Anexo 4'!$D$10,0)</f>
        <v>0</v>
      </c>
      <c r="S31" s="33">
        <f>ROUND('Anexo 11'!S31*'Anexo 4'!$D$10,0)</f>
        <v>0</v>
      </c>
      <c r="T31" s="33">
        <f>ROUND('Anexo 11'!T31*'Anexo 4'!$D$10,0)</f>
        <v>0</v>
      </c>
      <c r="U31" s="33">
        <f>ROUND('Anexo 11'!U31*'Anexo 4'!$D$10,0)</f>
        <v>0</v>
      </c>
      <c r="V31" s="33">
        <f>ROUND('Anexo 11'!V31*'Anexo 4'!$D$10,0)</f>
        <v>0</v>
      </c>
      <c r="W31" s="33">
        <f>ROUND('Anexo 11'!W31*'Anexo 4'!$D$10,0)</f>
        <v>0</v>
      </c>
      <c r="X31" s="33">
        <f>ROUND('Anexo 11'!X31*'Anexo 4'!$D$10,0)</f>
        <v>0</v>
      </c>
      <c r="Y31" s="33">
        <f>ROUND('Anexo 11'!Y31*'Anexo 4'!$D$10,0)</f>
        <v>0</v>
      </c>
      <c r="Z31" s="33">
        <f>ROUND('Anexo 11'!Z31*'Anexo 4'!$D$10,0)</f>
        <v>0</v>
      </c>
      <c r="AA31" s="38">
        <f t="shared" si="0"/>
        <v>0</v>
      </c>
      <c r="AB31" s="21">
        <v>5</v>
      </c>
      <c r="AC31" s="80"/>
      <c r="AD31" s="47"/>
    </row>
    <row r="32" spans="1:30" ht="15.75" thickBot="1" x14ac:dyDescent="0.3">
      <c r="A32" s="78"/>
      <c r="B32" s="22" t="s">
        <v>6</v>
      </c>
      <c r="C32" s="33">
        <f>ROUND('Anexo 11'!C32*'Anexo 4'!$D$10,0)</f>
        <v>0</v>
      </c>
      <c r="D32" s="33">
        <f>ROUND('Anexo 11'!D32*'Anexo 4'!$D$10,0)</f>
        <v>0</v>
      </c>
      <c r="E32" s="33">
        <f>ROUND('Anexo 11'!E32*'Anexo 4'!$D$10,0)</f>
        <v>0</v>
      </c>
      <c r="F32" s="33">
        <f>ROUND('Anexo 11'!F32*'Anexo 4'!$D$10,0)</f>
        <v>0</v>
      </c>
      <c r="G32" s="33">
        <f>ROUND('Anexo 11'!G32*'Anexo 4'!$D$10,0)</f>
        <v>0</v>
      </c>
      <c r="H32" s="33">
        <f>ROUND('Anexo 11'!H32*'Anexo 4'!$D$10,0)</f>
        <v>0</v>
      </c>
      <c r="I32" s="33">
        <f>ROUND('Anexo 11'!I32*'Anexo 4'!$D$10,0)</f>
        <v>0</v>
      </c>
      <c r="J32" s="33">
        <f>ROUND('Anexo 11'!J32*'Anexo 4'!$D$10,0)</f>
        <v>0</v>
      </c>
      <c r="K32" s="33">
        <f>ROUND('Anexo 11'!K32*'Anexo 4'!$D$10,0)</f>
        <v>0</v>
      </c>
      <c r="L32" s="33">
        <f>ROUND('Anexo 11'!L32*'Anexo 4'!$D$10,0)</f>
        <v>0</v>
      </c>
      <c r="M32" s="33">
        <f>ROUND('Anexo 11'!M32*'Anexo 4'!$D$10,0)</f>
        <v>0</v>
      </c>
      <c r="N32" s="33">
        <f>ROUND('Anexo 11'!N32*'Anexo 4'!$D$10,0)</f>
        <v>0</v>
      </c>
      <c r="O32" s="33">
        <f>ROUND('Anexo 11'!O32*'Anexo 4'!$D$10,0)</f>
        <v>0</v>
      </c>
      <c r="P32" s="33">
        <f>ROUND('Anexo 11'!P32*'Anexo 4'!$D$10,0)</f>
        <v>0</v>
      </c>
      <c r="Q32" s="33">
        <f>ROUND('Anexo 11'!Q32*'Anexo 4'!$D$10,0)</f>
        <v>0</v>
      </c>
      <c r="R32" s="33">
        <f>ROUND('Anexo 11'!R32*'Anexo 4'!$D$10,0)</f>
        <v>0</v>
      </c>
      <c r="S32" s="33">
        <f>ROUND('Anexo 11'!S32*'Anexo 4'!$D$10,0)</f>
        <v>0</v>
      </c>
      <c r="T32" s="33">
        <f>ROUND('Anexo 11'!T32*'Anexo 4'!$D$10,0)</f>
        <v>0</v>
      </c>
      <c r="U32" s="33">
        <f>ROUND('Anexo 11'!U32*'Anexo 4'!$D$10,0)</f>
        <v>0</v>
      </c>
      <c r="V32" s="33">
        <f>ROUND('Anexo 11'!V32*'Anexo 4'!$D$10,0)</f>
        <v>0</v>
      </c>
      <c r="W32" s="33">
        <f>ROUND('Anexo 11'!W32*'Anexo 4'!$D$10,0)</f>
        <v>0</v>
      </c>
      <c r="X32" s="33">
        <f>ROUND('Anexo 11'!X32*'Anexo 4'!$D$10,0)</f>
        <v>0</v>
      </c>
      <c r="Y32" s="33">
        <f>ROUND('Anexo 11'!Y32*'Anexo 4'!$D$10,0)</f>
        <v>0</v>
      </c>
      <c r="Z32" s="33">
        <f>ROUND('Anexo 11'!Z32*'Anexo 4'!$D$10,0)</f>
        <v>0</v>
      </c>
      <c r="AA32" s="41">
        <f t="shared" si="0"/>
        <v>0</v>
      </c>
      <c r="AB32" s="23">
        <v>5</v>
      </c>
      <c r="AC32" s="81"/>
      <c r="AD32" s="48"/>
    </row>
    <row r="33" spans="1:30" ht="15.75" thickBot="1" x14ac:dyDescent="0.3">
      <c r="A33" s="78">
        <v>47392</v>
      </c>
      <c r="B33" s="18" t="s">
        <v>8</v>
      </c>
      <c r="C33" s="33">
        <f>ROUND('Anexo 11'!C33*'Anexo 4'!$D$10,0)</f>
        <v>0</v>
      </c>
      <c r="D33" s="33">
        <f>ROUND('Anexo 11'!D33*'Anexo 4'!$D$10,0)</f>
        <v>0</v>
      </c>
      <c r="E33" s="33">
        <f>ROUND('Anexo 11'!E33*'Anexo 4'!$D$10,0)</f>
        <v>0</v>
      </c>
      <c r="F33" s="33">
        <f>ROUND('Anexo 11'!F33*'Anexo 4'!$D$10,0)</f>
        <v>0</v>
      </c>
      <c r="G33" s="33">
        <f>ROUND('Anexo 11'!G33*'Anexo 4'!$D$10,0)</f>
        <v>0</v>
      </c>
      <c r="H33" s="33">
        <f>ROUND('Anexo 11'!H33*'Anexo 4'!$D$10,0)</f>
        <v>0</v>
      </c>
      <c r="I33" s="33">
        <f>ROUND('Anexo 11'!I33*'Anexo 4'!$D$10,0)</f>
        <v>0</v>
      </c>
      <c r="J33" s="33">
        <f>ROUND('Anexo 11'!J33*'Anexo 4'!$D$10,0)</f>
        <v>0</v>
      </c>
      <c r="K33" s="33">
        <f>ROUND('Anexo 11'!K33*'Anexo 4'!$D$10,0)</f>
        <v>0</v>
      </c>
      <c r="L33" s="33">
        <f>ROUND('Anexo 11'!L33*'Anexo 4'!$D$10,0)</f>
        <v>0</v>
      </c>
      <c r="M33" s="33">
        <f>ROUND('Anexo 11'!M33*'Anexo 4'!$D$10,0)</f>
        <v>0</v>
      </c>
      <c r="N33" s="33">
        <f>ROUND('Anexo 11'!N33*'Anexo 4'!$D$10,0)</f>
        <v>0</v>
      </c>
      <c r="O33" s="33">
        <f>ROUND('Anexo 11'!O33*'Anexo 4'!$D$10,0)</f>
        <v>0</v>
      </c>
      <c r="P33" s="33">
        <f>ROUND('Anexo 11'!P33*'Anexo 4'!$D$10,0)</f>
        <v>0</v>
      </c>
      <c r="Q33" s="33">
        <f>ROUND('Anexo 11'!Q33*'Anexo 4'!$D$10,0)</f>
        <v>0</v>
      </c>
      <c r="R33" s="33">
        <f>ROUND('Anexo 11'!R33*'Anexo 4'!$D$10,0)</f>
        <v>0</v>
      </c>
      <c r="S33" s="33">
        <f>ROUND('Anexo 11'!S33*'Anexo 4'!$D$10,0)</f>
        <v>0</v>
      </c>
      <c r="T33" s="33">
        <f>ROUND('Anexo 11'!T33*'Anexo 4'!$D$10,0)</f>
        <v>0</v>
      </c>
      <c r="U33" s="33">
        <f>ROUND('Anexo 11'!U33*'Anexo 4'!$D$10,0)</f>
        <v>0</v>
      </c>
      <c r="V33" s="33">
        <f>ROUND('Anexo 11'!V33*'Anexo 4'!$D$10,0)</f>
        <v>0</v>
      </c>
      <c r="W33" s="33">
        <f>ROUND('Anexo 11'!W33*'Anexo 4'!$D$10,0)</f>
        <v>0</v>
      </c>
      <c r="X33" s="33">
        <f>ROUND('Anexo 11'!X33*'Anexo 4'!$D$10,0)</f>
        <v>0</v>
      </c>
      <c r="Y33" s="33">
        <f>ROUND('Anexo 11'!Y33*'Anexo 4'!$D$10,0)</f>
        <v>0</v>
      </c>
      <c r="Z33" s="33">
        <f>ROUND('Anexo 11'!Z33*'Anexo 4'!$D$10,0)</f>
        <v>0</v>
      </c>
      <c r="AA33" s="35">
        <f t="shared" si="0"/>
        <v>0</v>
      </c>
      <c r="AB33" s="19">
        <v>22</v>
      </c>
      <c r="AC33" s="79">
        <f>+AA33*AB33+AA34*AB34+AA35*AB35</f>
        <v>0</v>
      </c>
    </row>
    <row r="34" spans="1:30" ht="15.75" thickBot="1" x14ac:dyDescent="0.3">
      <c r="A34" s="78"/>
      <c r="B34" s="20" t="s">
        <v>7</v>
      </c>
      <c r="C34" s="33">
        <f>ROUND('Anexo 11'!C34*'Anexo 4'!$D$10,0)</f>
        <v>0</v>
      </c>
      <c r="D34" s="33">
        <f>ROUND('Anexo 11'!D34*'Anexo 4'!$D$10,0)</f>
        <v>0</v>
      </c>
      <c r="E34" s="33">
        <f>ROUND('Anexo 11'!E34*'Anexo 4'!$D$10,0)</f>
        <v>0</v>
      </c>
      <c r="F34" s="33">
        <f>ROUND('Anexo 11'!F34*'Anexo 4'!$D$10,0)</f>
        <v>0</v>
      </c>
      <c r="G34" s="33">
        <f>ROUND('Anexo 11'!G34*'Anexo 4'!$D$10,0)</f>
        <v>0</v>
      </c>
      <c r="H34" s="33">
        <f>ROUND('Anexo 11'!H34*'Anexo 4'!$D$10,0)</f>
        <v>0</v>
      </c>
      <c r="I34" s="33">
        <f>ROUND('Anexo 11'!I34*'Anexo 4'!$D$10,0)</f>
        <v>0</v>
      </c>
      <c r="J34" s="33">
        <f>ROUND('Anexo 11'!J34*'Anexo 4'!$D$10,0)</f>
        <v>0</v>
      </c>
      <c r="K34" s="33">
        <f>ROUND('Anexo 11'!K34*'Anexo 4'!$D$10,0)</f>
        <v>0</v>
      </c>
      <c r="L34" s="33">
        <f>ROUND('Anexo 11'!L34*'Anexo 4'!$D$10,0)</f>
        <v>0</v>
      </c>
      <c r="M34" s="33">
        <f>ROUND('Anexo 11'!M34*'Anexo 4'!$D$10,0)</f>
        <v>0</v>
      </c>
      <c r="N34" s="33">
        <f>ROUND('Anexo 11'!N34*'Anexo 4'!$D$10,0)</f>
        <v>0</v>
      </c>
      <c r="O34" s="33">
        <f>ROUND('Anexo 11'!O34*'Anexo 4'!$D$10,0)</f>
        <v>0</v>
      </c>
      <c r="P34" s="33">
        <f>ROUND('Anexo 11'!P34*'Anexo 4'!$D$10,0)</f>
        <v>0</v>
      </c>
      <c r="Q34" s="33">
        <f>ROUND('Anexo 11'!Q34*'Anexo 4'!$D$10,0)</f>
        <v>0</v>
      </c>
      <c r="R34" s="33">
        <f>ROUND('Anexo 11'!R34*'Anexo 4'!$D$10,0)</f>
        <v>0</v>
      </c>
      <c r="S34" s="33">
        <f>ROUND('Anexo 11'!S34*'Anexo 4'!$D$10,0)</f>
        <v>0</v>
      </c>
      <c r="T34" s="33">
        <f>ROUND('Anexo 11'!T34*'Anexo 4'!$D$10,0)</f>
        <v>0</v>
      </c>
      <c r="U34" s="33">
        <f>ROUND('Anexo 11'!U34*'Anexo 4'!$D$10,0)</f>
        <v>0</v>
      </c>
      <c r="V34" s="33">
        <f>ROUND('Anexo 11'!V34*'Anexo 4'!$D$10,0)</f>
        <v>0</v>
      </c>
      <c r="W34" s="33">
        <f>ROUND('Anexo 11'!W34*'Anexo 4'!$D$10,0)</f>
        <v>0</v>
      </c>
      <c r="X34" s="33">
        <f>ROUND('Anexo 11'!X34*'Anexo 4'!$D$10,0)</f>
        <v>0</v>
      </c>
      <c r="Y34" s="33">
        <f>ROUND('Anexo 11'!Y34*'Anexo 4'!$D$10,0)</f>
        <v>0</v>
      </c>
      <c r="Z34" s="33">
        <f>ROUND('Anexo 11'!Z34*'Anexo 4'!$D$10,0)</f>
        <v>0</v>
      </c>
      <c r="AA34" s="38">
        <f t="shared" si="0"/>
        <v>0</v>
      </c>
      <c r="AB34" s="21">
        <v>4</v>
      </c>
      <c r="AC34" s="80"/>
      <c r="AD34" s="47"/>
    </row>
    <row r="35" spans="1:30" ht="15.75" thickBot="1" x14ac:dyDescent="0.3">
      <c r="A35" s="78"/>
      <c r="B35" s="22" t="s">
        <v>6</v>
      </c>
      <c r="C35" s="33">
        <f>ROUND('Anexo 11'!C35*'Anexo 4'!$D$10,0)</f>
        <v>0</v>
      </c>
      <c r="D35" s="33">
        <f>ROUND('Anexo 11'!D35*'Anexo 4'!$D$10,0)</f>
        <v>0</v>
      </c>
      <c r="E35" s="33">
        <f>ROUND('Anexo 11'!E35*'Anexo 4'!$D$10,0)</f>
        <v>0</v>
      </c>
      <c r="F35" s="33">
        <f>ROUND('Anexo 11'!F35*'Anexo 4'!$D$10,0)</f>
        <v>0</v>
      </c>
      <c r="G35" s="33">
        <f>ROUND('Anexo 11'!G35*'Anexo 4'!$D$10,0)</f>
        <v>0</v>
      </c>
      <c r="H35" s="33">
        <f>ROUND('Anexo 11'!H35*'Anexo 4'!$D$10,0)</f>
        <v>0</v>
      </c>
      <c r="I35" s="33">
        <f>ROUND('Anexo 11'!I35*'Anexo 4'!$D$10,0)</f>
        <v>0</v>
      </c>
      <c r="J35" s="33">
        <f>ROUND('Anexo 11'!J35*'Anexo 4'!$D$10,0)</f>
        <v>0</v>
      </c>
      <c r="K35" s="33">
        <f>ROUND('Anexo 11'!K35*'Anexo 4'!$D$10,0)</f>
        <v>0</v>
      </c>
      <c r="L35" s="33">
        <f>ROUND('Anexo 11'!L35*'Anexo 4'!$D$10,0)</f>
        <v>0</v>
      </c>
      <c r="M35" s="33">
        <f>ROUND('Anexo 11'!M35*'Anexo 4'!$D$10,0)</f>
        <v>0</v>
      </c>
      <c r="N35" s="33">
        <f>ROUND('Anexo 11'!N35*'Anexo 4'!$D$10,0)</f>
        <v>0</v>
      </c>
      <c r="O35" s="33">
        <f>ROUND('Anexo 11'!O35*'Anexo 4'!$D$10,0)</f>
        <v>0</v>
      </c>
      <c r="P35" s="33">
        <f>ROUND('Anexo 11'!P35*'Anexo 4'!$D$10,0)</f>
        <v>0</v>
      </c>
      <c r="Q35" s="33">
        <f>ROUND('Anexo 11'!Q35*'Anexo 4'!$D$10,0)</f>
        <v>0</v>
      </c>
      <c r="R35" s="33">
        <f>ROUND('Anexo 11'!R35*'Anexo 4'!$D$10,0)</f>
        <v>0</v>
      </c>
      <c r="S35" s="33">
        <f>ROUND('Anexo 11'!S35*'Anexo 4'!$D$10,0)</f>
        <v>0</v>
      </c>
      <c r="T35" s="33">
        <f>ROUND('Anexo 11'!T35*'Anexo 4'!$D$10,0)</f>
        <v>0</v>
      </c>
      <c r="U35" s="33">
        <f>ROUND('Anexo 11'!U35*'Anexo 4'!$D$10,0)</f>
        <v>0</v>
      </c>
      <c r="V35" s="33">
        <f>ROUND('Anexo 11'!V35*'Anexo 4'!$D$10,0)</f>
        <v>0</v>
      </c>
      <c r="W35" s="33">
        <f>ROUND('Anexo 11'!W35*'Anexo 4'!$D$10,0)</f>
        <v>0</v>
      </c>
      <c r="X35" s="33">
        <f>ROUND('Anexo 11'!X35*'Anexo 4'!$D$10,0)</f>
        <v>0</v>
      </c>
      <c r="Y35" s="33">
        <f>ROUND('Anexo 11'!Y35*'Anexo 4'!$D$10,0)</f>
        <v>0</v>
      </c>
      <c r="Z35" s="33">
        <f>ROUND('Anexo 11'!Z35*'Anexo 4'!$D$10,0)</f>
        <v>0</v>
      </c>
      <c r="AA35" s="41">
        <f t="shared" si="0"/>
        <v>0</v>
      </c>
      <c r="AB35" s="23">
        <v>5</v>
      </c>
      <c r="AC35" s="81"/>
      <c r="AD35" s="48"/>
    </row>
    <row r="36" spans="1:30" ht="15.75" thickBot="1" x14ac:dyDescent="0.3">
      <c r="A36" s="78">
        <v>47423</v>
      </c>
      <c r="B36" s="18" t="s">
        <v>8</v>
      </c>
      <c r="C36" s="33">
        <f>ROUND('Anexo 11'!C36*'Anexo 4'!$D$10,0)</f>
        <v>0</v>
      </c>
      <c r="D36" s="33">
        <f>ROUND('Anexo 11'!D36*'Anexo 4'!$D$10,0)</f>
        <v>0</v>
      </c>
      <c r="E36" s="33">
        <f>ROUND('Anexo 11'!E36*'Anexo 4'!$D$10,0)</f>
        <v>0</v>
      </c>
      <c r="F36" s="33">
        <f>ROUND('Anexo 11'!F36*'Anexo 4'!$D$10,0)</f>
        <v>0</v>
      </c>
      <c r="G36" s="33">
        <f>ROUND('Anexo 11'!G36*'Anexo 4'!$D$10,0)</f>
        <v>0</v>
      </c>
      <c r="H36" s="33">
        <f>ROUND('Anexo 11'!H36*'Anexo 4'!$D$10,0)</f>
        <v>0</v>
      </c>
      <c r="I36" s="33">
        <f>ROUND('Anexo 11'!I36*'Anexo 4'!$D$10,0)</f>
        <v>0</v>
      </c>
      <c r="J36" s="33">
        <f>ROUND('Anexo 11'!J36*'Anexo 4'!$D$10,0)</f>
        <v>0</v>
      </c>
      <c r="K36" s="33">
        <f>ROUND('Anexo 11'!K36*'Anexo 4'!$D$10,0)</f>
        <v>0</v>
      </c>
      <c r="L36" s="33">
        <f>ROUND('Anexo 11'!L36*'Anexo 4'!$D$10,0)</f>
        <v>0</v>
      </c>
      <c r="M36" s="33">
        <f>ROUND('Anexo 11'!M36*'Anexo 4'!$D$10,0)</f>
        <v>0</v>
      </c>
      <c r="N36" s="33">
        <f>ROUND('Anexo 11'!N36*'Anexo 4'!$D$10,0)</f>
        <v>0</v>
      </c>
      <c r="O36" s="33">
        <f>ROUND('Anexo 11'!O36*'Anexo 4'!$D$10,0)</f>
        <v>0</v>
      </c>
      <c r="P36" s="33">
        <f>ROUND('Anexo 11'!P36*'Anexo 4'!$D$10,0)</f>
        <v>0</v>
      </c>
      <c r="Q36" s="33">
        <f>ROUND('Anexo 11'!Q36*'Anexo 4'!$D$10,0)</f>
        <v>0</v>
      </c>
      <c r="R36" s="33">
        <f>ROUND('Anexo 11'!R36*'Anexo 4'!$D$10,0)</f>
        <v>0</v>
      </c>
      <c r="S36" s="33">
        <f>ROUND('Anexo 11'!S36*'Anexo 4'!$D$10,0)</f>
        <v>0</v>
      </c>
      <c r="T36" s="33">
        <f>ROUND('Anexo 11'!T36*'Anexo 4'!$D$10,0)</f>
        <v>0</v>
      </c>
      <c r="U36" s="33">
        <f>ROUND('Anexo 11'!U36*'Anexo 4'!$D$10,0)</f>
        <v>0</v>
      </c>
      <c r="V36" s="33">
        <f>ROUND('Anexo 11'!V36*'Anexo 4'!$D$10,0)</f>
        <v>0</v>
      </c>
      <c r="W36" s="33">
        <f>ROUND('Anexo 11'!W36*'Anexo 4'!$D$10,0)</f>
        <v>0</v>
      </c>
      <c r="X36" s="33">
        <f>ROUND('Anexo 11'!X36*'Anexo 4'!$D$10,0)</f>
        <v>0</v>
      </c>
      <c r="Y36" s="33">
        <f>ROUND('Anexo 11'!Y36*'Anexo 4'!$D$10,0)</f>
        <v>0</v>
      </c>
      <c r="Z36" s="33">
        <f>ROUND('Anexo 11'!Z36*'Anexo 4'!$D$10,0)</f>
        <v>0</v>
      </c>
      <c r="AA36" s="35">
        <f t="shared" si="0"/>
        <v>0</v>
      </c>
      <c r="AB36" s="19">
        <v>20</v>
      </c>
      <c r="AC36" s="79">
        <f>+AA36*AB36+AA37*AB37+AA38*AB38</f>
        <v>0</v>
      </c>
    </row>
    <row r="37" spans="1:30" ht="15.75" thickBot="1" x14ac:dyDescent="0.3">
      <c r="A37" s="78"/>
      <c r="B37" s="20" t="s">
        <v>7</v>
      </c>
      <c r="C37" s="33">
        <f>ROUND('Anexo 11'!C37*'Anexo 4'!$D$10,0)</f>
        <v>0</v>
      </c>
      <c r="D37" s="33">
        <f>ROUND('Anexo 11'!D37*'Anexo 4'!$D$10,0)</f>
        <v>0</v>
      </c>
      <c r="E37" s="33">
        <f>ROUND('Anexo 11'!E37*'Anexo 4'!$D$10,0)</f>
        <v>0</v>
      </c>
      <c r="F37" s="33">
        <f>ROUND('Anexo 11'!F37*'Anexo 4'!$D$10,0)</f>
        <v>0</v>
      </c>
      <c r="G37" s="33">
        <f>ROUND('Anexo 11'!G37*'Anexo 4'!$D$10,0)</f>
        <v>0</v>
      </c>
      <c r="H37" s="33">
        <f>ROUND('Anexo 11'!H37*'Anexo 4'!$D$10,0)</f>
        <v>0</v>
      </c>
      <c r="I37" s="33">
        <f>ROUND('Anexo 11'!I37*'Anexo 4'!$D$10,0)</f>
        <v>0</v>
      </c>
      <c r="J37" s="33">
        <f>ROUND('Anexo 11'!J37*'Anexo 4'!$D$10,0)</f>
        <v>0</v>
      </c>
      <c r="K37" s="33">
        <f>ROUND('Anexo 11'!K37*'Anexo 4'!$D$10,0)</f>
        <v>0</v>
      </c>
      <c r="L37" s="33">
        <f>ROUND('Anexo 11'!L37*'Anexo 4'!$D$10,0)</f>
        <v>0</v>
      </c>
      <c r="M37" s="33">
        <f>ROUND('Anexo 11'!M37*'Anexo 4'!$D$10,0)</f>
        <v>0</v>
      </c>
      <c r="N37" s="33">
        <f>ROUND('Anexo 11'!N37*'Anexo 4'!$D$10,0)</f>
        <v>0</v>
      </c>
      <c r="O37" s="33">
        <f>ROUND('Anexo 11'!O37*'Anexo 4'!$D$10,0)</f>
        <v>0</v>
      </c>
      <c r="P37" s="33">
        <f>ROUND('Anexo 11'!P37*'Anexo 4'!$D$10,0)</f>
        <v>0</v>
      </c>
      <c r="Q37" s="33">
        <f>ROUND('Anexo 11'!Q37*'Anexo 4'!$D$10,0)</f>
        <v>0</v>
      </c>
      <c r="R37" s="33">
        <f>ROUND('Anexo 11'!R37*'Anexo 4'!$D$10,0)</f>
        <v>0</v>
      </c>
      <c r="S37" s="33">
        <f>ROUND('Anexo 11'!S37*'Anexo 4'!$D$10,0)</f>
        <v>0</v>
      </c>
      <c r="T37" s="33">
        <f>ROUND('Anexo 11'!T37*'Anexo 4'!$D$10,0)</f>
        <v>0</v>
      </c>
      <c r="U37" s="33">
        <f>ROUND('Anexo 11'!U37*'Anexo 4'!$D$10,0)</f>
        <v>0</v>
      </c>
      <c r="V37" s="33">
        <f>ROUND('Anexo 11'!V37*'Anexo 4'!$D$10,0)</f>
        <v>0</v>
      </c>
      <c r="W37" s="33">
        <f>ROUND('Anexo 11'!W37*'Anexo 4'!$D$10,0)</f>
        <v>0</v>
      </c>
      <c r="X37" s="33">
        <f>ROUND('Anexo 11'!X37*'Anexo 4'!$D$10,0)</f>
        <v>0</v>
      </c>
      <c r="Y37" s="33">
        <f>ROUND('Anexo 11'!Y37*'Anexo 4'!$D$10,0)</f>
        <v>0</v>
      </c>
      <c r="Z37" s="33">
        <f>ROUND('Anexo 11'!Z37*'Anexo 4'!$D$10,0)</f>
        <v>0</v>
      </c>
      <c r="AA37" s="38">
        <f t="shared" si="0"/>
        <v>0</v>
      </c>
      <c r="AB37" s="21">
        <v>4</v>
      </c>
      <c r="AC37" s="80"/>
      <c r="AD37" s="47"/>
    </row>
    <row r="38" spans="1:30" ht="15.75" thickBot="1" x14ac:dyDescent="0.3">
      <c r="A38" s="78"/>
      <c r="B38" s="22" t="s">
        <v>6</v>
      </c>
      <c r="C38" s="33">
        <f>ROUND('Anexo 11'!C38*'Anexo 4'!$D$10,0)</f>
        <v>0</v>
      </c>
      <c r="D38" s="33">
        <f>ROUND('Anexo 11'!D38*'Anexo 4'!$D$10,0)</f>
        <v>0</v>
      </c>
      <c r="E38" s="33">
        <f>ROUND('Anexo 11'!E38*'Anexo 4'!$D$10,0)</f>
        <v>0</v>
      </c>
      <c r="F38" s="33">
        <f>ROUND('Anexo 11'!F38*'Anexo 4'!$D$10,0)</f>
        <v>0</v>
      </c>
      <c r="G38" s="33">
        <f>ROUND('Anexo 11'!G38*'Anexo 4'!$D$10,0)</f>
        <v>0</v>
      </c>
      <c r="H38" s="33">
        <f>ROUND('Anexo 11'!H38*'Anexo 4'!$D$10,0)</f>
        <v>0</v>
      </c>
      <c r="I38" s="33">
        <f>ROUND('Anexo 11'!I38*'Anexo 4'!$D$10,0)</f>
        <v>0</v>
      </c>
      <c r="J38" s="33">
        <f>ROUND('Anexo 11'!J38*'Anexo 4'!$D$10,0)</f>
        <v>0</v>
      </c>
      <c r="K38" s="33">
        <f>ROUND('Anexo 11'!K38*'Anexo 4'!$D$10,0)</f>
        <v>0</v>
      </c>
      <c r="L38" s="33">
        <f>ROUND('Anexo 11'!L38*'Anexo 4'!$D$10,0)</f>
        <v>0</v>
      </c>
      <c r="M38" s="33">
        <f>ROUND('Anexo 11'!M38*'Anexo 4'!$D$10,0)</f>
        <v>0</v>
      </c>
      <c r="N38" s="33">
        <f>ROUND('Anexo 11'!N38*'Anexo 4'!$D$10,0)</f>
        <v>0</v>
      </c>
      <c r="O38" s="33">
        <f>ROUND('Anexo 11'!O38*'Anexo 4'!$D$10,0)</f>
        <v>0</v>
      </c>
      <c r="P38" s="33">
        <f>ROUND('Anexo 11'!P38*'Anexo 4'!$D$10,0)</f>
        <v>0</v>
      </c>
      <c r="Q38" s="33">
        <f>ROUND('Anexo 11'!Q38*'Anexo 4'!$D$10,0)</f>
        <v>0</v>
      </c>
      <c r="R38" s="33">
        <f>ROUND('Anexo 11'!R38*'Anexo 4'!$D$10,0)</f>
        <v>0</v>
      </c>
      <c r="S38" s="33">
        <f>ROUND('Anexo 11'!S38*'Anexo 4'!$D$10,0)</f>
        <v>0</v>
      </c>
      <c r="T38" s="33">
        <f>ROUND('Anexo 11'!T38*'Anexo 4'!$D$10,0)</f>
        <v>0</v>
      </c>
      <c r="U38" s="33">
        <f>ROUND('Anexo 11'!U38*'Anexo 4'!$D$10,0)</f>
        <v>0</v>
      </c>
      <c r="V38" s="33">
        <f>ROUND('Anexo 11'!V38*'Anexo 4'!$D$10,0)</f>
        <v>0</v>
      </c>
      <c r="W38" s="33">
        <f>ROUND('Anexo 11'!W38*'Anexo 4'!$D$10,0)</f>
        <v>0</v>
      </c>
      <c r="X38" s="33">
        <f>ROUND('Anexo 11'!X38*'Anexo 4'!$D$10,0)</f>
        <v>0</v>
      </c>
      <c r="Y38" s="33">
        <f>ROUND('Anexo 11'!Y38*'Anexo 4'!$D$10,0)</f>
        <v>0</v>
      </c>
      <c r="Z38" s="33">
        <f>ROUND('Anexo 11'!Z38*'Anexo 4'!$D$10,0)</f>
        <v>0</v>
      </c>
      <c r="AA38" s="41">
        <f t="shared" si="0"/>
        <v>0</v>
      </c>
      <c r="AB38" s="23">
        <v>6</v>
      </c>
      <c r="AC38" s="81"/>
      <c r="AD38" s="49"/>
    </row>
    <row r="39" spans="1:30" ht="15.75" thickBot="1" x14ac:dyDescent="0.3">
      <c r="A39" s="78">
        <v>47453</v>
      </c>
      <c r="B39" s="18" t="s">
        <v>8</v>
      </c>
      <c r="C39" s="33">
        <f>ROUND('Anexo 11'!C39*'Anexo 4'!$D$10,0)</f>
        <v>0</v>
      </c>
      <c r="D39" s="33">
        <f>ROUND('Anexo 11'!D39*'Anexo 4'!$D$10,0)</f>
        <v>0</v>
      </c>
      <c r="E39" s="33">
        <f>ROUND('Anexo 11'!E39*'Anexo 4'!$D$10,0)</f>
        <v>0</v>
      </c>
      <c r="F39" s="33">
        <f>ROUND('Anexo 11'!F39*'Anexo 4'!$D$10,0)</f>
        <v>0</v>
      </c>
      <c r="G39" s="33">
        <f>ROUND('Anexo 11'!G39*'Anexo 4'!$D$10,0)</f>
        <v>0</v>
      </c>
      <c r="H39" s="33">
        <f>ROUND('Anexo 11'!H39*'Anexo 4'!$D$10,0)</f>
        <v>0</v>
      </c>
      <c r="I39" s="33">
        <f>ROUND('Anexo 11'!I39*'Anexo 4'!$D$10,0)</f>
        <v>0</v>
      </c>
      <c r="J39" s="33">
        <f>ROUND('Anexo 11'!J39*'Anexo 4'!$D$10,0)</f>
        <v>0</v>
      </c>
      <c r="K39" s="33">
        <f>ROUND('Anexo 11'!K39*'Anexo 4'!$D$10,0)</f>
        <v>0</v>
      </c>
      <c r="L39" s="33">
        <f>ROUND('Anexo 11'!L39*'Anexo 4'!$D$10,0)</f>
        <v>0</v>
      </c>
      <c r="M39" s="33">
        <f>ROUND('Anexo 11'!M39*'Anexo 4'!$D$10,0)</f>
        <v>0</v>
      </c>
      <c r="N39" s="33">
        <f>ROUND('Anexo 11'!N39*'Anexo 4'!$D$10,0)</f>
        <v>0</v>
      </c>
      <c r="O39" s="33">
        <f>ROUND('Anexo 11'!O39*'Anexo 4'!$D$10,0)</f>
        <v>0</v>
      </c>
      <c r="P39" s="33">
        <f>ROUND('Anexo 11'!P39*'Anexo 4'!$D$10,0)</f>
        <v>0</v>
      </c>
      <c r="Q39" s="33">
        <f>ROUND('Anexo 11'!Q39*'Anexo 4'!$D$10,0)</f>
        <v>0</v>
      </c>
      <c r="R39" s="33">
        <f>ROUND('Anexo 11'!R39*'Anexo 4'!$D$10,0)</f>
        <v>0</v>
      </c>
      <c r="S39" s="33">
        <f>ROUND('Anexo 11'!S39*'Anexo 4'!$D$10,0)</f>
        <v>0</v>
      </c>
      <c r="T39" s="33">
        <f>ROUND('Anexo 11'!T39*'Anexo 4'!$D$10,0)</f>
        <v>0</v>
      </c>
      <c r="U39" s="33">
        <f>ROUND('Anexo 11'!U39*'Anexo 4'!$D$10,0)</f>
        <v>0</v>
      </c>
      <c r="V39" s="33">
        <f>ROUND('Anexo 11'!V39*'Anexo 4'!$D$10,0)</f>
        <v>0</v>
      </c>
      <c r="W39" s="33">
        <f>ROUND('Anexo 11'!W39*'Anexo 4'!$D$10,0)</f>
        <v>0</v>
      </c>
      <c r="X39" s="33">
        <f>ROUND('Anexo 11'!X39*'Anexo 4'!$D$10,0)</f>
        <v>0</v>
      </c>
      <c r="Y39" s="33">
        <f>ROUND('Anexo 11'!Y39*'Anexo 4'!$D$10,0)</f>
        <v>0</v>
      </c>
      <c r="Z39" s="33">
        <f>ROUND('Anexo 11'!Z39*'Anexo 4'!$D$10,0)</f>
        <v>0</v>
      </c>
      <c r="AA39" s="35">
        <f t="shared" si="0"/>
        <v>0</v>
      </c>
      <c r="AB39" s="19">
        <v>20</v>
      </c>
      <c r="AC39" s="79">
        <f>+AA39*AB39+AA40*AB40+AA41*AB41</f>
        <v>0</v>
      </c>
    </row>
    <row r="40" spans="1:30" ht="15.75" thickBot="1" x14ac:dyDescent="0.3">
      <c r="A40" s="78"/>
      <c r="B40" s="20" t="s">
        <v>7</v>
      </c>
      <c r="C40" s="33">
        <f>ROUND('Anexo 11'!C40*'Anexo 4'!$D$10,0)</f>
        <v>0</v>
      </c>
      <c r="D40" s="33">
        <f>ROUND('Anexo 11'!D40*'Anexo 4'!$D$10,0)</f>
        <v>0</v>
      </c>
      <c r="E40" s="33">
        <f>ROUND('Anexo 11'!E40*'Anexo 4'!$D$10,0)</f>
        <v>0</v>
      </c>
      <c r="F40" s="33">
        <f>ROUND('Anexo 11'!F40*'Anexo 4'!$D$10,0)</f>
        <v>0</v>
      </c>
      <c r="G40" s="33">
        <f>ROUND('Anexo 11'!G40*'Anexo 4'!$D$10,0)</f>
        <v>0</v>
      </c>
      <c r="H40" s="33">
        <f>ROUND('Anexo 11'!H40*'Anexo 4'!$D$10,0)</f>
        <v>0</v>
      </c>
      <c r="I40" s="33">
        <f>ROUND('Anexo 11'!I40*'Anexo 4'!$D$10,0)</f>
        <v>0</v>
      </c>
      <c r="J40" s="33">
        <f>ROUND('Anexo 11'!J40*'Anexo 4'!$D$10,0)</f>
        <v>0</v>
      </c>
      <c r="K40" s="33">
        <f>ROUND('Anexo 11'!K40*'Anexo 4'!$D$10,0)</f>
        <v>0</v>
      </c>
      <c r="L40" s="33">
        <f>ROUND('Anexo 11'!L40*'Anexo 4'!$D$10,0)</f>
        <v>0</v>
      </c>
      <c r="M40" s="33">
        <f>ROUND('Anexo 11'!M40*'Anexo 4'!$D$10,0)</f>
        <v>0</v>
      </c>
      <c r="N40" s="33">
        <f>ROUND('Anexo 11'!N40*'Anexo 4'!$D$10,0)</f>
        <v>0</v>
      </c>
      <c r="O40" s="33">
        <f>ROUND('Anexo 11'!O40*'Anexo 4'!$D$10,0)</f>
        <v>0</v>
      </c>
      <c r="P40" s="33">
        <f>ROUND('Anexo 11'!P40*'Anexo 4'!$D$10,0)</f>
        <v>0</v>
      </c>
      <c r="Q40" s="33">
        <f>ROUND('Anexo 11'!Q40*'Anexo 4'!$D$10,0)</f>
        <v>0</v>
      </c>
      <c r="R40" s="33">
        <f>ROUND('Anexo 11'!R40*'Anexo 4'!$D$10,0)</f>
        <v>0</v>
      </c>
      <c r="S40" s="33">
        <f>ROUND('Anexo 11'!S40*'Anexo 4'!$D$10,0)</f>
        <v>0</v>
      </c>
      <c r="T40" s="33">
        <f>ROUND('Anexo 11'!T40*'Anexo 4'!$D$10,0)</f>
        <v>0</v>
      </c>
      <c r="U40" s="33">
        <f>ROUND('Anexo 11'!U40*'Anexo 4'!$D$10,0)</f>
        <v>0</v>
      </c>
      <c r="V40" s="33">
        <f>ROUND('Anexo 11'!V40*'Anexo 4'!$D$10,0)</f>
        <v>0</v>
      </c>
      <c r="W40" s="33">
        <f>ROUND('Anexo 11'!W40*'Anexo 4'!$D$10,0)</f>
        <v>0</v>
      </c>
      <c r="X40" s="33">
        <f>ROUND('Anexo 11'!X40*'Anexo 4'!$D$10,0)</f>
        <v>0</v>
      </c>
      <c r="Y40" s="33">
        <f>ROUND('Anexo 11'!Y40*'Anexo 4'!$D$10,0)</f>
        <v>0</v>
      </c>
      <c r="Z40" s="33">
        <f>ROUND('Anexo 11'!Z40*'Anexo 4'!$D$10,0)</f>
        <v>0</v>
      </c>
      <c r="AA40" s="38">
        <f t="shared" si="0"/>
        <v>0</v>
      </c>
      <c r="AB40" s="21">
        <v>4</v>
      </c>
      <c r="AC40" s="80"/>
      <c r="AD40" s="47"/>
    </row>
    <row r="41" spans="1:30" ht="15.75" thickBot="1" x14ac:dyDescent="0.3">
      <c r="A41" s="78"/>
      <c r="B41" s="22" t="s">
        <v>6</v>
      </c>
      <c r="C41" s="33">
        <f>ROUND('Anexo 11'!C41*'Anexo 4'!$D$10,0)</f>
        <v>0</v>
      </c>
      <c r="D41" s="33">
        <f>ROUND('Anexo 11'!D41*'Anexo 4'!$D$10,0)</f>
        <v>0</v>
      </c>
      <c r="E41" s="33">
        <f>ROUND('Anexo 11'!E41*'Anexo 4'!$D$10,0)</f>
        <v>0</v>
      </c>
      <c r="F41" s="33">
        <f>ROUND('Anexo 11'!F41*'Anexo 4'!$D$10,0)</f>
        <v>0</v>
      </c>
      <c r="G41" s="33">
        <f>ROUND('Anexo 11'!G41*'Anexo 4'!$D$10,0)</f>
        <v>0</v>
      </c>
      <c r="H41" s="33">
        <f>ROUND('Anexo 11'!H41*'Anexo 4'!$D$10,0)</f>
        <v>0</v>
      </c>
      <c r="I41" s="33">
        <f>ROUND('Anexo 11'!I41*'Anexo 4'!$D$10,0)</f>
        <v>0</v>
      </c>
      <c r="J41" s="33">
        <f>ROUND('Anexo 11'!J41*'Anexo 4'!$D$10,0)</f>
        <v>0</v>
      </c>
      <c r="K41" s="33">
        <f>ROUND('Anexo 11'!K41*'Anexo 4'!$D$10,0)</f>
        <v>0</v>
      </c>
      <c r="L41" s="33">
        <f>ROUND('Anexo 11'!L41*'Anexo 4'!$D$10,0)</f>
        <v>0</v>
      </c>
      <c r="M41" s="33">
        <f>ROUND('Anexo 11'!M41*'Anexo 4'!$D$10,0)</f>
        <v>0</v>
      </c>
      <c r="N41" s="33">
        <f>ROUND('Anexo 11'!N41*'Anexo 4'!$D$10,0)</f>
        <v>0</v>
      </c>
      <c r="O41" s="33">
        <f>ROUND('Anexo 11'!O41*'Anexo 4'!$D$10,0)</f>
        <v>0</v>
      </c>
      <c r="P41" s="33">
        <f>ROUND('Anexo 11'!P41*'Anexo 4'!$D$10,0)</f>
        <v>0</v>
      </c>
      <c r="Q41" s="33">
        <f>ROUND('Anexo 11'!Q41*'Anexo 4'!$D$10,0)</f>
        <v>0</v>
      </c>
      <c r="R41" s="33">
        <f>ROUND('Anexo 11'!R41*'Anexo 4'!$D$10,0)</f>
        <v>0</v>
      </c>
      <c r="S41" s="33">
        <f>ROUND('Anexo 11'!S41*'Anexo 4'!$D$10,0)</f>
        <v>0</v>
      </c>
      <c r="T41" s="33">
        <f>ROUND('Anexo 11'!T41*'Anexo 4'!$D$10,0)</f>
        <v>0</v>
      </c>
      <c r="U41" s="33">
        <f>ROUND('Anexo 11'!U41*'Anexo 4'!$D$10,0)</f>
        <v>0</v>
      </c>
      <c r="V41" s="33">
        <f>ROUND('Anexo 11'!V41*'Anexo 4'!$D$10,0)</f>
        <v>0</v>
      </c>
      <c r="W41" s="33">
        <f>ROUND('Anexo 11'!W41*'Anexo 4'!$D$10,0)</f>
        <v>0</v>
      </c>
      <c r="X41" s="33">
        <f>ROUND('Anexo 11'!X41*'Anexo 4'!$D$10,0)</f>
        <v>0</v>
      </c>
      <c r="Y41" s="33">
        <f>ROUND('Anexo 11'!Y41*'Anexo 4'!$D$10,0)</f>
        <v>0</v>
      </c>
      <c r="Z41" s="33">
        <f>ROUND('Anexo 11'!Z41*'Anexo 4'!$D$10,0)</f>
        <v>0</v>
      </c>
      <c r="AA41" s="41">
        <f t="shared" si="0"/>
        <v>0</v>
      </c>
      <c r="AB41" s="23">
        <v>7</v>
      </c>
      <c r="AC41" s="81"/>
      <c r="AD41" s="42"/>
    </row>
    <row r="42" spans="1:30" ht="15.75" thickBot="1" x14ac:dyDescent="0.3">
      <c r="A42" s="76" t="s">
        <v>5</v>
      </c>
      <c r="B42" s="77"/>
      <c r="C42" s="33">
        <f>ROUND('Anexo 10'!C42*'Anexo 3'!$D$10,0)</f>
        <v>0</v>
      </c>
      <c r="D42" s="33">
        <f>ROUND('Anexo 10'!D42*'Anexo 3'!$D$10,0)</f>
        <v>0</v>
      </c>
      <c r="E42" s="33">
        <f>ROUND('Anexo 10'!E42*'Anexo 3'!$D$10,0)</f>
        <v>0</v>
      </c>
      <c r="F42" s="33">
        <f>ROUND('Anexo 10'!F42*'Anexo 3'!$D$10,0)</f>
        <v>0</v>
      </c>
      <c r="G42" s="33">
        <f>ROUND('Anexo 10'!G42*'Anexo 3'!$D$10,0)</f>
        <v>0</v>
      </c>
      <c r="H42" s="33">
        <f>ROUND('Anexo 10'!H42*'Anexo 3'!$D$10,0)</f>
        <v>0</v>
      </c>
      <c r="I42" s="33">
        <f>ROUND('Anexo 10'!I42*'Anexo 3'!$D$10,0)</f>
        <v>0</v>
      </c>
      <c r="J42" s="33">
        <f>ROUND('Anexo 10'!J42*'Anexo 3'!$D$10,0)</f>
        <v>0</v>
      </c>
      <c r="K42" s="33">
        <f>ROUND('Anexo 10'!K42*'Anexo 3'!$D$10,0)</f>
        <v>0</v>
      </c>
      <c r="L42" s="33">
        <f>ROUND('Anexo 10'!L42*'Anexo 3'!$D$10,0)</f>
        <v>0</v>
      </c>
      <c r="M42" s="33">
        <f>ROUND('Anexo 10'!M42*'Anexo 3'!$D$10,0)</f>
        <v>0</v>
      </c>
      <c r="N42" s="33">
        <f>ROUND('Anexo 10'!N42*'Anexo 3'!$D$10,0)</f>
        <v>0</v>
      </c>
      <c r="O42" s="33">
        <f>ROUND('Anexo 10'!O42*'Anexo 3'!$D$10,0)</f>
        <v>0</v>
      </c>
      <c r="P42" s="33">
        <f>ROUND('Anexo 10'!P42*'Anexo 3'!$D$10,0)</f>
        <v>0</v>
      </c>
      <c r="Q42" s="33">
        <f>ROUND('Anexo 10'!Q42*'Anexo 3'!$D$10,0)</f>
        <v>0</v>
      </c>
      <c r="R42" s="33">
        <f>ROUND('Anexo 10'!R42*'Anexo 3'!$D$10,0)</f>
        <v>0</v>
      </c>
      <c r="S42" s="33">
        <f>ROUND('Anexo 10'!S42*'Anexo 3'!$D$10,0)</f>
        <v>0</v>
      </c>
      <c r="T42" s="33">
        <f>ROUND('Anexo 10'!T42*'Anexo 3'!$D$10,0)</f>
        <v>0</v>
      </c>
      <c r="U42" s="33">
        <f>ROUND('Anexo 10'!U42*'Anexo 3'!$D$10,0)</f>
        <v>0</v>
      </c>
      <c r="V42" s="33">
        <f>ROUND('Anexo 10'!V42*'Anexo 3'!$D$10,0)</f>
        <v>0</v>
      </c>
      <c r="W42" s="33">
        <f>ROUND('Anexo 10'!W42*'Anexo 3'!$D$10,0)</f>
        <v>0</v>
      </c>
      <c r="X42" s="33">
        <f>ROUND('Anexo 10'!X42*'Anexo 3'!$D$10,0)</f>
        <v>0</v>
      </c>
      <c r="Y42" s="33">
        <f>ROUND('Anexo 10'!Y42*'Anexo 3'!$D$10,0)</f>
        <v>0</v>
      </c>
      <c r="Z42" s="33">
        <f>ROUND('Anexo 10'!Z42*'Anexo 3'!$D$10,0)</f>
        <v>0</v>
      </c>
      <c r="AA42" s="31">
        <f t="shared" ref="AA42:AC42" si="1">+SUM(AA6:AA41)</f>
        <v>0</v>
      </c>
      <c r="AB42" s="31">
        <f t="shared" si="1"/>
        <v>365</v>
      </c>
      <c r="AC42" s="46">
        <f t="shared" si="1"/>
        <v>0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/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701E-77FB-4B66-8D04-18F03EABCD13}">
  <sheetPr codeName="Hoja1">
    <tabColor theme="5" tint="0.79998168889431442"/>
  </sheetPr>
  <dimension ref="A1:XFC36"/>
  <sheetViews>
    <sheetView showGridLines="0" topLeftCell="A9" zoomScaleNormal="100" zoomScaleSheetLayoutView="140" workbookViewId="0">
      <selection activeCell="D10" sqref="D10:D21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7.28515625" customWidth="1"/>
    <col min="6" max="6" width="13.85546875" customWidth="1"/>
    <col min="7" max="7" width="19.7109375" customWidth="1"/>
    <col min="8" max="8" width="12.85546875" hidden="1"/>
    <col min="9" max="16383" width="11.42578125" hidden="1"/>
    <col min="16384" max="16384" width="23.42578125" customWidth="1"/>
  </cols>
  <sheetData>
    <row r="1" spans="1:8" x14ac:dyDescent="0.25"/>
    <row r="2" spans="1:8" x14ac:dyDescent="0.25"/>
    <row r="3" spans="1:8" x14ac:dyDescent="0.25">
      <c r="B3" s="73" t="s">
        <v>91</v>
      </c>
      <c r="C3" s="73"/>
      <c r="D3" s="73"/>
      <c r="E3" s="73"/>
      <c r="F3" s="73"/>
      <c r="G3" s="29"/>
    </row>
    <row r="4" spans="1:8" x14ac:dyDescent="0.25">
      <c r="B4" s="73" t="s">
        <v>66</v>
      </c>
      <c r="C4" s="73"/>
      <c r="D4" s="73"/>
      <c r="E4" s="73"/>
      <c r="F4" s="73"/>
      <c r="G4" s="29"/>
    </row>
    <row r="5" spans="1:8" x14ac:dyDescent="0.25">
      <c r="B5" s="73" t="s">
        <v>81</v>
      </c>
      <c r="C5" s="73"/>
      <c r="D5" s="73"/>
      <c r="E5" s="73"/>
      <c r="F5" s="73"/>
      <c r="G5" s="29"/>
    </row>
    <row r="6" spans="1:8" x14ac:dyDescent="0.25">
      <c r="B6" s="5"/>
      <c r="C6" s="5"/>
      <c r="D6" s="5"/>
      <c r="E6" s="5"/>
      <c r="F6" s="5"/>
      <c r="G6" s="5"/>
    </row>
    <row r="7" spans="1:8" x14ac:dyDescent="0.25"/>
    <row r="8" spans="1:8" ht="15" customHeight="1" x14ac:dyDescent="0.25">
      <c r="B8" s="74" t="s">
        <v>4</v>
      </c>
      <c r="C8" s="74" t="s">
        <v>39</v>
      </c>
      <c r="D8" s="74" t="s">
        <v>43</v>
      </c>
      <c r="E8" s="74" t="s">
        <v>40</v>
      </c>
      <c r="F8" s="74" t="s">
        <v>45</v>
      </c>
      <c r="G8" s="28"/>
    </row>
    <row r="9" spans="1:8" ht="23.25" customHeight="1" x14ac:dyDescent="0.25">
      <c r="B9" s="75"/>
      <c r="C9" s="75"/>
      <c r="D9" s="75"/>
      <c r="E9" s="75"/>
      <c r="F9" s="75"/>
      <c r="G9" s="28"/>
    </row>
    <row r="10" spans="1:8" ht="15.75" thickBot="1" x14ac:dyDescent="0.3">
      <c r="A10" s="59">
        <v>31</v>
      </c>
      <c r="B10" s="8">
        <v>47484</v>
      </c>
      <c r="C10" s="43">
        <f>+'Anexo 12'!AC6</f>
        <v>44870367</v>
      </c>
      <c r="D10" s="70"/>
      <c r="E10" s="57">
        <f>+'Cantidades Ofertadas Prod 5'!AC6</f>
        <v>0</v>
      </c>
      <c r="F10" s="96"/>
      <c r="G10" s="32"/>
      <c r="H10" s="51"/>
    </row>
    <row r="11" spans="1:8" ht="15.75" thickBot="1" x14ac:dyDescent="0.3">
      <c r="A11" s="59">
        <v>29</v>
      </c>
      <c r="B11" s="8">
        <v>47515</v>
      </c>
      <c r="C11" s="43">
        <f>+'Anexo 12'!AC9</f>
        <v>41246296</v>
      </c>
      <c r="D11" s="71"/>
      <c r="E11" s="57">
        <f>+'Cantidades Ofertadas Prod 5'!AC9</f>
        <v>0</v>
      </c>
      <c r="F11" s="97"/>
      <c r="G11" s="32"/>
      <c r="H11" s="51"/>
    </row>
    <row r="12" spans="1:8" ht="15.75" thickBot="1" x14ac:dyDescent="0.3">
      <c r="A12" s="59">
        <v>31</v>
      </c>
      <c r="B12" s="8">
        <v>47543</v>
      </c>
      <c r="C12" s="43">
        <f>+'Anexo 12'!AC12</f>
        <v>44307539</v>
      </c>
      <c r="D12" s="71"/>
      <c r="E12" s="57">
        <f>+'Cantidades Ofertadas Prod 5'!AC12</f>
        <v>0</v>
      </c>
      <c r="F12" s="97"/>
      <c r="G12" s="32"/>
      <c r="H12" s="51"/>
    </row>
    <row r="13" spans="1:8" ht="15.75" thickBot="1" x14ac:dyDescent="0.3">
      <c r="A13" s="59">
        <v>30</v>
      </c>
      <c r="B13" s="8">
        <v>47574</v>
      </c>
      <c r="C13" s="43">
        <f>+'Anexo 12'!AC15</f>
        <v>41015990</v>
      </c>
      <c r="D13" s="71"/>
      <c r="E13" s="57">
        <f>+'Cantidades Ofertadas Prod 5'!AC15</f>
        <v>0</v>
      </c>
      <c r="F13" s="97"/>
      <c r="G13" s="32"/>
      <c r="H13" s="51"/>
    </row>
    <row r="14" spans="1:8" ht="15.75" thickBot="1" x14ac:dyDescent="0.3">
      <c r="A14" s="59">
        <v>31</v>
      </c>
      <c r="B14" s="8">
        <v>47604</v>
      </c>
      <c r="C14" s="43">
        <f>+'Anexo 12'!AC18</f>
        <v>43313823</v>
      </c>
      <c r="D14" s="71"/>
      <c r="E14" s="57">
        <f>+'Cantidades Ofertadas Prod 5'!AC18</f>
        <v>0</v>
      </c>
      <c r="F14" s="97"/>
      <c r="G14" s="32"/>
      <c r="H14" s="51"/>
    </row>
    <row r="15" spans="1:8" ht="15.75" thickBot="1" x14ac:dyDescent="0.3">
      <c r="A15" s="59">
        <v>30</v>
      </c>
      <c r="B15" s="8">
        <v>47635</v>
      </c>
      <c r="C15" s="43">
        <f>+'Anexo 12'!AC21</f>
        <v>41564362</v>
      </c>
      <c r="D15" s="71"/>
      <c r="E15" s="57">
        <f>+'Cantidades Ofertadas Prod 5'!AC21</f>
        <v>0</v>
      </c>
      <c r="F15" s="97"/>
      <c r="G15" s="32"/>
      <c r="H15" s="51"/>
    </row>
    <row r="16" spans="1:8" ht="15.75" thickBot="1" x14ac:dyDescent="0.3">
      <c r="A16" s="59">
        <v>31</v>
      </c>
      <c r="B16" s="8">
        <v>47665</v>
      </c>
      <c r="C16" s="43">
        <f>+'Anexo 12'!AC24</f>
        <v>44855576</v>
      </c>
      <c r="D16" s="71"/>
      <c r="E16" s="57">
        <f>+'Cantidades Ofertadas Prod 5'!AC24</f>
        <v>0</v>
      </c>
      <c r="F16" s="97"/>
      <c r="G16" s="32"/>
      <c r="H16" s="51"/>
    </row>
    <row r="17" spans="1:8" ht="15.75" thickBot="1" x14ac:dyDescent="0.3">
      <c r="A17" s="59">
        <v>31</v>
      </c>
      <c r="B17" s="8">
        <v>47696</v>
      </c>
      <c r="C17" s="43">
        <f>+'Anexo 12'!AC27</f>
        <v>45957986</v>
      </c>
      <c r="D17" s="71"/>
      <c r="E17" s="57">
        <f>+'Cantidades Ofertadas Prod 5'!AC27</f>
        <v>0</v>
      </c>
      <c r="F17" s="97"/>
      <c r="G17" s="32"/>
      <c r="H17" s="51"/>
    </row>
    <row r="18" spans="1:8" ht="15.75" thickBot="1" x14ac:dyDescent="0.3">
      <c r="A18" s="59">
        <v>30</v>
      </c>
      <c r="B18" s="8">
        <v>47727</v>
      </c>
      <c r="C18" s="43">
        <f>+'Anexo 12'!AC30</f>
        <v>45619149</v>
      </c>
      <c r="D18" s="71"/>
      <c r="E18" s="57">
        <f>+'Cantidades Ofertadas Prod 5'!AC30</f>
        <v>0</v>
      </c>
      <c r="F18" s="97"/>
      <c r="G18" s="32"/>
      <c r="H18" s="51"/>
    </row>
    <row r="19" spans="1:8" ht="15.75" thickBot="1" x14ac:dyDescent="0.3">
      <c r="A19" s="59">
        <v>31</v>
      </c>
      <c r="B19" s="8">
        <v>47757</v>
      </c>
      <c r="C19" s="43">
        <f>+'Anexo 12'!AC33</f>
        <v>44418452</v>
      </c>
      <c r="D19" s="71"/>
      <c r="E19" s="57">
        <f>+'Cantidades Ofertadas Prod 5'!AC33</f>
        <v>0</v>
      </c>
      <c r="F19" s="97"/>
      <c r="G19" s="32"/>
      <c r="H19" s="45"/>
    </row>
    <row r="20" spans="1:8" ht="15.75" thickBot="1" x14ac:dyDescent="0.3">
      <c r="A20" s="59">
        <v>30</v>
      </c>
      <c r="B20" s="8">
        <v>47788</v>
      </c>
      <c r="C20" s="43">
        <f>+'Anexo 12'!AC36</f>
        <v>41542151</v>
      </c>
      <c r="D20" s="71"/>
      <c r="E20" s="57">
        <f>+'Cantidades Ofertadas Prod 5'!AC36</f>
        <v>0</v>
      </c>
      <c r="F20" s="97"/>
      <c r="G20" s="32"/>
      <c r="H20" s="45"/>
    </row>
    <row r="21" spans="1:8" ht="15.75" thickBot="1" x14ac:dyDescent="0.3">
      <c r="A21" s="59">
        <v>31</v>
      </c>
      <c r="B21" s="8">
        <v>47818</v>
      </c>
      <c r="C21" s="43">
        <f>+'Anexo 12'!AC39</f>
        <v>45850786</v>
      </c>
      <c r="D21" s="72"/>
      <c r="E21" s="57">
        <f>+'Cantidades Ofertadas Prod 5'!AC39</f>
        <v>0</v>
      </c>
      <c r="F21" s="98"/>
      <c r="G21" s="32"/>
      <c r="H21" s="45"/>
    </row>
    <row r="22" spans="1:8" ht="28.5" customHeight="1" x14ac:dyDescent="0.25">
      <c r="B22" s="9" t="s">
        <v>3</v>
      </c>
      <c r="C22" s="10">
        <f>+SUM(C10:C21)</f>
        <v>524562477</v>
      </c>
      <c r="D22" s="62"/>
      <c r="E22" s="56">
        <f>SUM(E10:E21)</f>
        <v>0</v>
      </c>
      <c r="F22" s="55">
        <f>+F10</f>
        <v>0</v>
      </c>
      <c r="G22" s="50"/>
      <c r="H22" s="42"/>
    </row>
    <row r="23" spans="1:8" ht="19.5" customHeight="1" x14ac:dyDescent="0.25">
      <c r="B23" s="24"/>
      <c r="C23" s="25"/>
      <c r="D23" s="30"/>
      <c r="E23" s="25"/>
      <c r="F23" s="26"/>
      <c r="G23" s="26"/>
      <c r="H23" s="42"/>
    </row>
    <row r="24" spans="1:8" ht="15" customHeight="1" x14ac:dyDescent="0.25">
      <c r="B24" s="7" t="s">
        <v>61</v>
      </c>
      <c r="C24" s="25"/>
      <c r="D24" s="30"/>
      <c r="E24" s="25"/>
      <c r="F24" s="26"/>
      <c r="G24" s="26"/>
      <c r="H24" s="42"/>
    </row>
    <row r="25" spans="1:8" x14ac:dyDescent="0.25">
      <c r="B25" s="66" t="s">
        <v>49</v>
      </c>
      <c r="C25" s="66"/>
      <c r="D25" s="66"/>
      <c r="E25" s="66"/>
      <c r="F25" s="66"/>
      <c r="G25" s="66"/>
      <c r="H25" s="42"/>
    </row>
    <row r="26" spans="1:8" x14ac:dyDescent="0.25">
      <c r="B26" s="7" t="s">
        <v>96</v>
      </c>
      <c r="C26" s="52"/>
      <c r="D26" s="52"/>
      <c r="E26" s="52"/>
      <c r="F26" s="52"/>
      <c r="G26" s="52"/>
      <c r="H26" s="42"/>
    </row>
    <row r="27" spans="1:8" x14ac:dyDescent="0.25">
      <c r="B27" s="7" t="s">
        <v>73</v>
      </c>
      <c r="C27" s="52"/>
      <c r="D27" s="52"/>
      <c r="E27" s="52"/>
      <c r="F27" s="52"/>
      <c r="G27" s="52"/>
      <c r="H27" s="42"/>
    </row>
    <row r="28" spans="1:8" x14ac:dyDescent="0.25">
      <c r="B28" s="7" t="s">
        <v>46</v>
      </c>
      <c r="H28" s="42"/>
    </row>
    <row r="29" spans="1:8" x14ac:dyDescent="0.25">
      <c r="B29" s="7" t="s">
        <v>104</v>
      </c>
      <c r="H29" s="42"/>
    </row>
    <row r="30" spans="1:8" ht="15" customHeight="1" x14ac:dyDescent="0.25">
      <c r="A30" s="2"/>
      <c r="B30" s="2"/>
      <c r="H30" s="42">
        <f t="shared" ref="H30:H32" si="0">+C30-G30</f>
        <v>0</v>
      </c>
    </row>
    <row r="31" spans="1:8" ht="15" customHeight="1" x14ac:dyDescent="0.25">
      <c r="A31" s="1"/>
      <c r="B31" s="1"/>
      <c r="C31" s="45"/>
      <c r="H31" s="42">
        <f t="shared" si="0"/>
        <v>0</v>
      </c>
    </row>
    <row r="32" spans="1:8" ht="15" customHeight="1" x14ac:dyDescent="0.25">
      <c r="A32" s="1"/>
      <c r="H32" s="42">
        <f t="shared" si="0"/>
        <v>0</v>
      </c>
    </row>
    <row r="33" spans="1:8" ht="15" customHeight="1" x14ac:dyDescent="0.25">
      <c r="A33" s="1"/>
      <c r="B33" s="60" t="s">
        <v>56</v>
      </c>
      <c r="H33" s="42"/>
    </row>
    <row r="34" spans="1:8" ht="15" customHeight="1" x14ac:dyDescent="0.25">
      <c r="A34" s="1"/>
      <c r="B34" s="61" t="s">
        <v>57</v>
      </c>
      <c r="H34" s="42"/>
    </row>
    <row r="35" spans="1:8" x14ac:dyDescent="0.25">
      <c r="B35" s="61" t="s">
        <v>58</v>
      </c>
    </row>
    <row r="36" spans="1:8" x14ac:dyDescent="0.25"/>
  </sheetData>
  <mergeCells count="11">
    <mergeCell ref="F10:F21"/>
    <mergeCell ref="D10:D21"/>
    <mergeCell ref="B25:G25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decimal" allowBlank="1" showInputMessage="1" showErrorMessage="1" errorTitle="Dato No valido" error="Debe ingresar un valor entre 0 y 100_x000a_" sqref="D10:D21" xr:uid="{1C57C6E5-60C0-4D4B-B5F0-CDB71C317BB0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C271-1390-4645-9346-4D2A569B6105}">
  <sheetPr>
    <tabColor theme="5" tint="0.79998168889431442"/>
  </sheetPr>
  <dimension ref="A1:XFC34"/>
  <sheetViews>
    <sheetView showGridLines="0" topLeftCell="A20" zoomScaleNormal="100" zoomScaleSheetLayoutView="140" workbookViewId="0">
      <selection activeCell="E11" sqref="E11"/>
    </sheetView>
  </sheetViews>
  <sheetFormatPr baseColWidth="10" defaultColWidth="0" defaultRowHeight="15" customHeight="1" zeroHeight="1" x14ac:dyDescent="0.25"/>
  <cols>
    <col min="1" max="2" width="11.42578125" customWidth="1"/>
    <col min="3" max="3" width="18.5703125" customWidth="1"/>
    <col min="4" max="4" width="13.85546875" customWidth="1"/>
    <col min="5" max="5" width="17.28515625" customWidth="1"/>
    <col min="6" max="6" width="13.85546875" customWidth="1"/>
    <col min="7" max="7" width="19.7109375" customWidth="1"/>
    <col min="8" max="8" width="12.85546875" hidden="1"/>
    <col min="9" max="16383" width="11.42578125" hidden="1"/>
    <col min="16384" max="16384" width="23.42578125" customWidth="1"/>
  </cols>
  <sheetData>
    <row r="1" spans="1:8" x14ac:dyDescent="0.25"/>
    <row r="2" spans="1:8" x14ac:dyDescent="0.25"/>
    <row r="3" spans="1:8" x14ac:dyDescent="0.25">
      <c r="B3" s="73" t="s">
        <v>74</v>
      </c>
      <c r="C3" s="73"/>
      <c r="D3" s="73"/>
      <c r="E3" s="73"/>
      <c r="F3" s="73"/>
      <c r="G3" s="29"/>
    </row>
    <row r="4" spans="1:8" x14ac:dyDescent="0.25">
      <c r="B4" s="73" t="s">
        <v>66</v>
      </c>
      <c r="C4" s="73"/>
      <c r="D4" s="73"/>
      <c r="E4" s="73"/>
      <c r="F4" s="73"/>
      <c r="G4" s="29"/>
    </row>
    <row r="5" spans="1:8" x14ac:dyDescent="0.25">
      <c r="B5" s="73" t="s">
        <v>81</v>
      </c>
      <c r="C5" s="73"/>
      <c r="D5" s="73"/>
      <c r="E5" s="73"/>
      <c r="F5" s="73"/>
      <c r="G5" s="29"/>
    </row>
    <row r="6" spans="1:8" x14ac:dyDescent="0.25">
      <c r="B6" s="5"/>
      <c r="C6" s="5"/>
      <c r="D6" s="5"/>
      <c r="E6" s="5"/>
      <c r="F6" s="5"/>
      <c r="G6" s="5"/>
    </row>
    <row r="7" spans="1:8" x14ac:dyDescent="0.25"/>
    <row r="8" spans="1:8" ht="15" customHeight="1" x14ac:dyDescent="0.25">
      <c r="B8" s="74" t="s">
        <v>4</v>
      </c>
      <c r="C8" s="74" t="s">
        <v>59</v>
      </c>
      <c r="D8" s="74" t="s">
        <v>69</v>
      </c>
      <c r="E8" s="74" t="s">
        <v>40</v>
      </c>
      <c r="F8" s="74" t="s">
        <v>45</v>
      </c>
      <c r="G8" s="28"/>
    </row>
    <row r="9" spans="1:8" ht="23.25" customHeight="1" x14ac:dyDescent="0.25">
      <c r="A9" s="63">
        <v>20000</v>
      </c>
      <c r="B9" s="75"/>
      <c r="C9" s="75"/>
      <c r="D9" s="75"/>
      <c r="E9" s="75"/>
      <c r="F9" s="75"/>
      <c r="G9" s="28"/>
    </row>
    <row r="10" spans="1:8" ht="15.75" thickBot="1" x14ac:dyDescent="0.3">
      <c r="A10" s="59">
        <v>31</v>
      </c>
      <c r="B10" s="8">
        <v>47484</v>
      </c>
      <c r="C10" s="43">
        <f>+$A$9*A10*24</f>
        <v>14880000</v>
      </c>
      <c r="D10" s="93"/>
      <c r="E10" s="57">
        <f>+$D$10*A10*24</f>
        <v>0</v>
      </c>
      <c r="F10" s="96"/>
      <c r="G10" s="32"/>
      <c r="H10" s="51"/>
    </row>
    <row r="11" spans="1:8" ht="15.75" thickBot="1" x14ac:dyDescent="0.3">
      <c r="A11" s="59">
        <v>28</v>
      </c>
      <c r="B11" s="8">
        <v>47515</v>
      </c>
      <c r="C11" s="43">
        <f t="shared" ref="C11:C21" si="0">+$A$9*A11*24</f>
        <v>13440000</v>
      </c>
      <c r="D11" s="94"/>
      <c r="E11" s="57">
        <f t="shared" ref="E11:E21" si="1">+$D$10*A11*24</f>
        <v>0</v>
      </c>
      <c r="F11" s="97"/>
      <c r="G11" s="32"/>
      <c r="H11" s="51"/>
    </row>
    <row r="12" spans="1:8" ht="15.75" thickBot="1" x14ac:dyDescent="0.3">
      <c r="A12" s="59">
        <v>31</v>
      </c>
      <c r="B12" s="8">
        <v>47543</v>
      </c>
      <c r="C12" s="43">
        <f t="shared" si="0"/>
        <v>14880000</v>
      </c>
      <c r="D12" s="94"/>
      <c r="E12" s="57">
        <f t="shared" si="1"/>
        <v>0</v>
      </c>
      <c r="F12" s="97"/>
      <c r="G12" s="32"/>
      <c r="H12" s="51"/>
    </row>
    <row r="13" spans="1:8" ht="15.75" thickBot="1" x14ac:dyDescent="0.3">
      <c r="A13" s="59">
        <v>30</v>
      </c>
      <c r="B13" s="8">
        <v>47574</v>
      </c>
      <c r="C13" s="43">
        <f t="shared" si="0"/>
        <v>14400000</v>
      </c>
      <c r="D13" s="94"/>
      <c r="E13" s="57">
        <f t="shared" si="1"/>
        <v>0</v>
      </c>
      <c r="F13" s="97"/>
      <c r="G13" s="32"/>
      <c r="H13" s="51"/>
    </row>
    <row r="14" spans="1:8" ht="15.75" thickBot="1" x14ac:dyDescent="0.3">
      <c r="A14" s="59">
        <v>31</v>
      </c>
      <c r="B14" s="8">
        <v>47604</v>
      </c>
      <c r="C14" s="43">
        <f t="shared" si="0"/>
        <v>14880000</v>
      </c>
      <c r="D14" s="94"/>
      <c r="E14" s="57">
        <f t="shared" si="1"/>
        <v>0</v>
      </c>
      <c r="F14" s="97"/>
      <c r="G14" s="32"/>
      <c r="H14" s="51"/>
    </row>
    <row r="15" spans="1:8" ht="15.75" thickBot="1" x14ac:dyDescent="0.3">
      <c r="A15" s="59">
        <v>30</v>
      </c>
      <c r="B15" s="8">
        <v>47635</v>
      </c>
      <c r="C15" s="43">
        <f t="shared" si="0"/>
        <v>14400000</v>
      </c>
      <c r="D15" s="94"/>
      <c r="E15" s="57">
        <f t="shared" si="1"/>
        <v>0</v>
      </c>
      <c r="F15" s="97"/>
      <c r="G15" s="32"/>
      <c r="H15" s="51"/>
    </row>
    <row r="16" spans="1:8" ht="15.75" thickBot="1" x14ac:dyDescent="0.3">
      <c r="A16" s="59">
        <v>31</v>
      </c>
      <c r="B16" s="8">
        <v>47665</v>
      </c>
      <c r="C16" s="43">
        <f t="shared" si="0"/>
        <v>14880000</v>
      </c>
      <c r="D16" s="94"/>
      <c r="E16" s="57">
        <f t="shared" si="1"/>
        <v>0</v>
      </c>
      <c r="F16" s="97"/>
      <c r="G16" s="32"/>
      <c r="H16" s="51"/>
    </row>
    <row r="17" spans="1:8" ht="15.75" thickBot="1" x14ac:dyDescent="0.3">
      <c r="A17" s="59">
        <v>31</v>
      </c>
      <c r="B17" s="8">
        <v>47696</v>
      </c>
      <c r="C17" s="43">
        <f t="shared" si="0"/>
        <v>14880000</v>
      </c>
      <c r="D17" s="94"/>
      <c r="E17" s="57">
        <f t="shared" si="1"/>
        <v>0</v>
      </c>
      <c r="F17" s="97"/>
      <c r="G17" s="32"/>
      <c r="H17" s="51"/>
    </row>
    <row r="18" spans="1:8" ht="15.75" thickBot="1" x14ac:dyDescent="0.3">
      <c r="A18" s="59">
        <v>30</v>
      </c>
      <c r="B18" s="8">
        <v>47727</v>
      </c>
      <c r="C18" s="43">
        <f t="shared" si="0"/>
        <v>14400000</v>
      </c>
      <c r="D18" s="94"/>
      <c r="E18" s="57">
        <f t="shared" si="1"/>
        <v>0</v>
      </c>
      <c r="F18" s="97"/>
      <c r="G18" s="32"/>
      <c r="H18" s="51"/>
    </row>
    <row r="19" spans="1:8" ht="15.75" thickBot="1" x14ac:dyDescent="0.3">
      <c r="A19" s="59">
        <v>31</v>
      </c>
      <c r="B19" s="8">
        <v>47757</v>
      </c>
      <c r="C19" s="43">
        <f t="shared" si="0"/>
        <v>14880000</v>
      </c>
      <c r="D19" s="94"/>
      <c r="E19" s="57">
        <f t="shared" si="1"/>
        <v>0</v>
      </c>
      <c r="F19" s="97"/>
      <c r="G19" s="32"/>
      <c r="H19" s="45"/>
    </row>
    <row r="20" spans="1:8" ht="15.75" thickBot="1" x14ac:dyDescent="0.3">
      <c r="A20" s="59">
        <v>30</v>
      </c>
      <c r="B20" s="8">
        <v>47788</v>
      </c>
      <c r="C20" s="43">
        <f t="shared" si="0"/>
        <v>14400000</v>
      </c>
      <c r="D20" s="94"/>
      <c r="E20" s="57">
        <f t="shared" si="1"/>
        <v>0</v>
      </c>
      <c r="F20" s="97"/>
      <c r="G20" s="32"/>
      <c r="H20" s="45"/>
    </row>
    <row r="21" spans="1:8" ht="15.75" thickBot="1" x14ac:dyDescent="0.3">
      <c r="A21" s="59">
        <v>31</v>
      </c>
      <c r="B21" s="8">
        <v>47818</v>
      </c>
      <c r="C21" s="43">
        <f t="shared" si="0"/>
        <v>14880000</v>
      </c>
      <c r="D21" s="95"/>
      <c r="E21" s="57">
        <f t="shared" si="1"/>
        <v>0</v>
      </c>
      <c r="F21" s="98"/>
      <c r="G21" s="32"/>
      <c r="H21" s="45"/>
    </row>
    <row r="22" spans="1:8" ht="28.5" customHeight="1" x14ac:dyDescent="0.25">
      <c r="B22" s="9" t="s">
        <v>3</v>
      </c>
      <c r="C22" s="10">
        <f>+SUM(C10:C21)</f>
        <v>175200000</v>
      </c>
      <c r="D22" s="11"/>
      <c r="E22" s="56">
        <f>SUM(E10:E21)</f>
        <v>0</v>
      </c>
      <c r="F22" s="55">
        <f>+F10</f>
        <v>0</v>
      </c>
      <c r="G22" s="50"/>
      <c r="H22" s="42"/>
    </row>
    <row r="23" spans="1:8" ht="19.5" customHeight="1" x14ac:dyDescent="0.25">
      <c r="B23" s="7" t="s">
        <v>61</v>
      </c>
      <c r="C23" s="25"/>
      <c r="D23" s="30"/>
      <c r="E23" s="25"/>
      <c r="F23" s="26"/>
      <c r="G23" s="26"/>
      <c r="H23" s="42"/>
    </row>
    <row r="24" spans="1:8" ht="15" customHeight="1" x14ac:dyDescent="0.25">
      <c r="B24" s="7" t="s">
        <v>78</v>
      </c>
      <c r="C24" s="54"/>
      <c r="D24" s="54"/>
      <c r="E24" s="54"/>
      <c r="F24" s="54"/>
      <c r="G24" s="54"/>
      <c r="H24" s="42"/>
    </row>
    <row r="25" spans="1:8" x14ac:dyDescent="0.25">
      <c r="B25" s="7" t="s">
        <v>46</v>
      </c>
      <c r="C25" s="54"/>
      <c r="D25" s="54"/>
      <c r="E25" s="54"/>
      <c r="F25" s="54"/>
      <c r="G25" s="54"/>
      <c r="H25" s="42"/>
    </row>
    <row r="26" spans="1:8" ht="33" customHeight="1" x14ac:dyDescent="0.25">
      <c r="B26" s="66" t="s">
        <v>71</v>
      </c>
      <c r="C26" s="66"/>
      <c r="D26" s="66"/>
      <c r="E26" s="66"/>
      <c r="F26" s="66"/>
      <c r="G26" s="66"/>
      <c r="H26" s="42"/>
    </row>
    <row r="27" spans="1:8" x14ac:dyDescent="0.25">
      <c r="B27" s="7"/>
      <c r="C27" s="54"/>
      <c r="D27" s="54"/>
      <c r="E27" s="54"/>
      <c r="F27" s="54"/>
      <c r="G27" s="54"/>
      <c r="H27" s="42"/>
    </row>
    <row r="28" spans="1:8" x14ac:dyDescent="0.25">
      <c r="B28" s="7"/>
      <c r="C28" s="54"/>
      <c r="D28" s="54"/>
      <c r="E28" s="54"/>
      <c r="F28" s="54"/>
      <c r="G28" s="54"/>
      <c r="H28" s="42"/>
    </row>
    <row r="29" spans="1:8" x14ac:dyDescent="0.25">
      <c r="B29" s="7"/>
      <c r="C29" s="4"/>
      <c r="D29" s="3"/>
      <c r="E29" s="3"/>
      <c r="F29" s="3"/>
      <c r="G29" s="3"/>
      <c r="H29" s="42"/>
    </row>
    <row r="30" spans="1:8" ht="15" customHeight="1" x14ac:dyDescent="0.25">
      <c r="A30" s="2"/>
      <c r="H30" s="42"/>
    </row>
    <row r="31" spans="1:8" ht="15" customHeight="1" x14ac:dyDescent="0.25">
      <c r="A31" s="1"/>
      <c r="B31" s="60" t="s">
        <v>56</v>
      </c>
      <c r="H31" s="42"/>
    </row>
    <row r="32" spans="1:8" ht="15" customHeight="1" x14ac:dyDescent="0.25">
      <c r="A32" s="1"/>
      <c r="B32" s="61" t="s">
        <v>57</v>
      </c>
      <c r="H32" s="42"/>
    </row>
    <row r="33" spans="2:2" x14ac:dyDescent="0.25">
      <c r="B33" s="61" t="s">
        <v>58</v>
      </c>
    </row>
    <row r="34" spans="2:2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20.000" sqref="D10:D21" xr:uid="{866DA3E8-5A74-4B40-9889-E43639967D4F}">
      <formula1>0</formula1>
      <formula2>20000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CB67-858D-4069-925E-3F8524FB6B85}">
  <sheetPr codeName="Hoja4">
    <tabColor theme="5" tint="0.79998168889431442"/>
  </sheetPr>
  <dimension ref="A1:AD44"/>
  <sheetViews>
    <sheetView showGridLines="0" zoomScale="115" zoomScaleNormal="115" zoomScaleSheetLayoutView="110" workbookViewId="0">
      <pane xSplit="2" ySplit="5" topLeftCell="N36" activePane="bottomRight" state="frozen"/>
      <selection pane="topRight" activeCell="C1" sqref="C1"/>
      <selection pane="bottomLeft" activeCell="A6" sqref="A6"/>
      <selection pane="bottomRight" sqref="A1:AC42"/>
    </sheetView>
  </sheetViews>
  <sheetFormatPr baseColWidth="10" defaultColWidth="0" defaultRowHeight="15" x14ac:dyDescent="0.25"/>
  <cols>
    <col min="1" max="1" width="6.42578125" bestFit="1" customWidth="1"/>
    <col min="2" max="3" width="8.7109375" bestFit="1" customWidth="1"/>
    <col min="4" max="8" width="9" bestFit="1" customWidth="1"/>
    <col min="9" max="10" width="8.7109375" bestFit="1" customWidth="1"/>
    <col min="11" max="11" width="9" bestFit="1" customWidth="1"/>
    <col min="12" max="12" width="8.7109375" bestFit="1" customWidth="1"/>
    <col min="13" max="14" width="9" bestFit="1" customWidth="1"/>
    <col min="15" max="15" width="9.28515625" bestFit="1" customWidth="1"/>
    <col min="16" max="16" width="8.7109375" bestFit="1" customWidth="1"/>
    <col min="17" max="17" width="9.28515625" bestFit="1" customWidth="1"/>
    <col min="18" max="18" width="9" bestFit="1" customWidth="1"/>
    <col min="19" max="20" width="9.28515625" bestFit="1" customWidth="1"/>
    <col min="21" max="21" width="8.7109375" bestFit="1" customWidth="1"/>
    <col min="22" max="22" width="9.28515625" bestFit="1" customWidth="1"/>
    <col min="23" max="24" width="8.7109375" bestFit="1" customWidth="1"/>
    <col min="25" max="25" width="9.28515625" bestFit="1" customWidth="1"/>
    <col min="26" max="26" width="9" bestFit="1" customWidth="1"/>
    <col min="27" max="27" width="9.8554687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x14ac:dyDescent="0.25">
      <c r="A1" s="86" t="s">
        <v>70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8"/>
    </row>
    <row r="2" spans="1:30" x14ac:dyDescent="0.25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1"/>
    </row>
    <row r="3" spans="1:3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x14ac:dyDescent="0.25">
      <c r="A4" s="92" t="s">
        <v>38</v>
      </c>
      <c r="B4" s="92" t="s">
        <v>37</v>
      </c>
      <c r="C4" s="84" t="s">
        <v>36</v>
      </c>
      <c r="D4" s="84" t="s">
        <v>35</v>
      </c>
      <c r="E4" s="84" t="s">
        <v>34</v>
      </c>
      <c r="F4" s="84" t="s">
        <v>33</v>
      </c>
      <c r="G4" s="84" t="s">
        <v>32</v>
      </c>
      <c r="H4" s="84" t="s">
        <v>31</v>
      </c>
      <c r="I4" s="84" t="s">
        <v>30</v>
      </c>
      <c r="J4" s="84" t="s">
        <v>29</v>
      </c>
      <c r="K4" s="84" t="s">
        <v>28</v>
      </c>
      <c r="L4" s="84" t="s">
        <v>27</v>
      </c>
      <c r="M4" s="84" t="s">
        <v>26</v>
      </c>
      <c r="N4" s="84" t="s">
        <v>25</v>
      </c>
      <c r="O4" s="84" t="s">
        <v>24</v>
      </c>
      <c r="P4" s="84" t="s">
        <v>23</v>
      </c>
      <c r="Q4" s="84" t="s">
        <v>22</v>
      </c>
      <c r="R4" s="84" t="s">
        <v>21</v>
      </c>
      <c r="S4" s="84" t="s">
        <v>20</v>
      </c>
      <c r="T4" s="84" t="s">
        <v>19</v>
      </c>
      <c r="U4" s="84" t="s">
        <v>18</v>
      </c>
      <c r="V4" s="84" t="s">
        <v>17</v>
      </c>
      <c r="W4" s="84" t="s">
        <v>16</v>
      </c>
      <c r="X4" s="84" t="s">
        <v>15</v>
      </c>
      <c r="Y4" s="84" t="s">
        <v>14</v>
      </c>
      <c r="Z4" s="84" t="s">
        <v>13</v>
      </c>
      <c r="AA4" s="14" t="s">
        <v>12</v>
      </c>
      <c r="AB4" s="15" t="s">
        <v>11</v>
      </c>
      <c r="AC4" s="82" t="s">
        <v>10</v>
      </c>
    </row>
    <row r="5" spans="1:30" x14ac:dyDescent="0.25">
      <c r="A5" s="92"/>
      <c r="B5" s="92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16"/>
      <c r="AB5" s="17" t="s">
        <v>9</v>
      </c>
      <c r="AC5" s="83"/>
    </row>
    <row r="6" spans="1:30" ht="15.75" thickBot="1" x14ac:dyDescent="0.3">
      <c r="A6" s="78">
        <v>47484</v>
      </c>
      <c r="B6" s="18" t="s">
        <v>8</v>
      </c>
      <c r="C6" s="33">
        <v>41614</v>
      </c>
      <c r="D6" s="33">
        <v>37352</v>
      </c>
      <c r="E6" s="33">
        <v>34788</v>
      </c>
      <c r="F6" s="33">
        <v>33464</v>
      </c>
      <c r="G6" s="33">
        <v>34380</v>
      </c>
      <c r="H6" s="33">
        <v>38341</v>
      </c>
      <c r="I6" s="33">
        <v>42107</v>
      </c>
      <c r="J6" s="33">
        <v>44506</v>
      </c>
      <c r="K6" s="33">
        <v>52436</v>
      </c>
      <c r="L6" s="33">
        <v>58444</v>
      </c>
      <c r="M6" s="33">
        <v>64561</v>
      </c>
      <c r="N6" s="33">
        <v>70332</v>
      </c>
      <c r="O6" s="33">
        <v>69353</v>
      </c>
      <c r="P6" s="33">
        <v>69478</v>
      </c>
      <c r="Q6" s="33">
        <v>71249</v>
      </c>
      <c r="R6" s="33">
        <v>71587</v>
      </c>
      <c r="S6" s="33">
        <v>70347</v>
      </c>
      <c r="T6" s="33">
        <v>83247</v>
      </c>
      <c r="U6" s="33">
        <v>90949</v>
      </c>
      <c r="V6" s="33">
        <v>97363</v>
      </c>
      <c r="W6" s="33">
        <v>93051</v>
      </c>
      <c r="X6" s="33">
        <v>85488</v>
      </c>
      <c r="Y6" s="33">
        <v>73334</v>
      </c>
      <c r="Z6" s="34">
        <v>61056</v>
      </c>
      <c r="AA6" s="35">
        <f>SUM(C6:Z6)</f>
        <v>1488827</v>
      </c>
      <c r="AB6" s="19">
        <v>21</v>
      </c>
      <c r="AC6" s="79">
        <f>+AA6*AB6+AA7*AB7+AA8*AB8</f>
        <v>44870367</v>
      </c>
    </row>
    <row r="7" spans="1:30" ht="15.75" thickBot="1" x14ac:dyDescent="0.3">
      <c r="A7" s="78"/>
      <c r="B7" s="20" t="s">
        <v>7</v>
      </c>
      <c r="C7" s="36">
        <v>43393</v>
      </c>
      <c r="D7" s="36">
        <v>38580</v>
      </c>
      <c r="E7" s="36">
        <v>35643</v>
      </c>
      <c r="F7" s="36">
        <v>33791</v>
      </c>
      <c r="G7" s="36">
        <v>33850</v>
      </c>
      <c r="H7" s="36">
        <v>36067</v>
      </c>
      <c r="I7" s="36">
        <v>38650</v>
      </c>
      <c r="J7" s="36">
        <v>41168</v>
      </c>
      <c r="K7" s="36">
        <v>50032</v>
      </c>
      <c r="L7" s="36">
        <v>56723</v>
      </c>
      <c r="M7" s="36">
        <v>61735</v>
      </c>
      <c r="N7" s="36">
        <v>66692</v>
      </c>
      <c r="O7" s="36">
        <v>67229</v>
      </c>
      <c r="P7" s="36">
        <v>66208</v>
      </c>
      <c r="Q7" s="36">
        <v>65088</v>
      </c>
      <c r="R7" s="36">
        <v>64542</v>
      </c>
      <c r="S7" s="36">
        <v>63780</v>
      </c>
      <c r="T7" s="36">
        <v>78900</v>
      </c>
      <c r="U7" s="36">
        <v>88556</v>
      </c>
      <c r="V7" s="36">
        <v>95434</v>
      </c>
      <c r="W7" s="36">
        <v>90730</v>
      </c>
      <c r="X7" s="36">
        <v>83720</v>
      </c>
      <c r="Y7" s="36">
        <v>73771</v>
      </c>
      <c r="Z7" s="37">
        <v>63801</v>
      </c>
      <c r="AA7" s="38">
        <f t="shared" ref="AA7:AA41" si="0">SUM(C7:Z7)</f>
        <v>1438083</v>
      </c>
      <c r="AB7" s="21">
        <v>4</v>
      </c>
      <c r="AC7" s="80"/>
      <c r="AD7" s="47"/>
    </row>
    <row r="8" spans="1:30" x14ac:dyDescent="0.25">
      <c r="A8" s="78"/>
      <c r="B8" s="22" t="s">
        <v>6</v>
      </c>
      <c r="C8" s="39">
        <v>47041</v>
      </c>
      <c r="D8" s="39">
        <v>41842</v>
      </c>
      <c r="E8" s="39">
        <v>38393</v>
      </c>
      <c r="F8" s="39">
        <v>35958</v>
      </c>
      <c r="G8" s="39">
        <v>34771</v>
      </c>
      <c r="H8" s="39">
        <v>35237</v>
      </c>
      <c r="I8" s="39">
        <v>34578</v>
      </c>
      <c r="J8" s="39">
        <v>33866</v>
      </c>
      <c r="K8" s="39">
        <v>40610</v>
      </c>
      <c r="L8" s="39">
        <v>46553</v>
      </c>
      <c r="M8" s="39">
        <v>50940</v>
      </c>
      <c r="N8" s="39">
        <v>55506</v>
      </c>
      <c r="O8" s="39">
        <v>58210</v>
      </c>
      <c r="P8" s="39">
        <v>57889</v>
      </c>
      <c r="Q8" s="39">
        <v>56169</v>
      </c>
      <c r="R8" s="39">
        <v>55178</v>
      </c>
      <c r="S8" s="39">
        <v>54680</v>
      </c>
      <c r="T8" s="39">
        <v>70397</v>
      </c>
      <c r="U8" s="39">
        <v>80929</v>
      </c>
      <c r="V8" s="39">
        <v>88449</v>
      </c>
      <c r="W8" s="39">
        <v>85381</v>
      </c>
      <c r="X8" s="39">
        <v>78825</v>
      </c>
      <c r="Y8" s="39">
        <v>68715</v>
      </c>
      <c r="Z8" s="40">
        <v>58661</v>
      </c>
      <c r="AA8" s="41">
        <f t="shared" si="0"/>
        <v>1308778</v>
      </c>
      <c r="AB8" s="23">
        <v>6</v>
      </c>
      <c r="AC8" s="81"/>
      <c r="AD8" s="48"/>
    </row>
    <row r="9" spans="1:30" ht="15.75" thickBot="1" x14ac:dyDescent="0.3">
      <c r="A9" s="78">
        <v>47515</v>
      </c>
      <c r="B9" s="18" t="s">
        <v>8</v>
      </c>
      <c r="C9" s="33">
        <v>41485</v>
      </c>
      <c r="D9" s="33">
        <v>37415</v>
      </c>
      <c r="E9" s="33">
        <v>35076</v>
      </c>
      <c r="F9" s="33">
        <v>33927</v>
      </c>
      <c r="G9" s="33">
        <v>35256</v>
      </c>
      <c r="H9" s="33">
        <v>41357</v>
      </c>
      <c r="I9" s="33">
        <v>46217</v>
      </c>
      <c r="J9" s="33">
        <v>46845</v>
      </c>
      <c r="K9" s="33">
        <v>53849</v>
      </c>
      <c r="L9" s="33">
        <v>59095</v>
      </c>
      <c r="M9" s="33">
        <v>64827</v>
      </c>
      <c r="N9" s="33">
        <v>70140</v>
      </c>
      <c r="O9" s="33">
        <v>68007</v>
      </c>
      <c r="P9" s="33">
        <v>68819</v>
      </c>
      <c r="Q9" s="33">
        <v>71286</v>
      </c>
      <c r="R9" s="33">
        <v>71732</v>
      </c>
      <c r="S9" s="33">
        <v>70520</v>
      </c>
      <c r="T9" s="33">
        <v>82937</v>
      </c>
      <c r="U9" s="33">
        <v>88771</v>
      </c>
      <c r="V9" s="33">
        <v>97124</v>
      </c>
      <c r="W9" s="33">
        <v>93008</v>
      </c>
      <c r="X9" s="33">
        <v>85150</v>
      </c>
      <c r="Y9" s="33">
        <v>72750</v>
      </c>
      <c r="Z9" s="34">
        <v>60412</v>
      </c>
      <c r="AA9" s="35">
        <f t="shared" si="0"/>
        <v>1496005</v>
      </c>
      <c r="AB9" s="19">
        <v>20</v>
      </c>
      <c r="AC9" s="79">
        <f>+AA9*AB9+AA10*AB10+AA11*AB11</f>
        <v>41246296</v>
      </c>
    </row>
    <row r="10" spans="1:30" ht="15.75" thickBot="1" x14ac:dyDescent="0.3">
      <c r="A10" s="78"/>
      <c r="B10" s="20" t="s">
        <v>7</v>
      </c>
      <c r="C10" s="36">
        <v>44210</v>
      </c>
      <c r="D10" s="36">
        <v>39696</v>
      </c>
      <c r="E10" s="36">
        <v>36794</v>
      </c>
      <c r="F10" s="36">
        <v>35128</v>
      </c>
      <c r="G10" s="36">
        <v>35325</v>
      </c>
      <c r="H10" s="36">
        <v>37690</v>
      </c>
      <c r="I10" s="36">
        <v>41476</v>
      </c>
      <c r="J10" s="36">
        <v>43936</v>
      </c>
      <c r="K10" s="36">
        <v>53074</v>
      </c>
      <c r="L10" s="36">
        <v>59438</v>
      </c>
      <c r="M10" s="36">
        <v>64497</v>
      </c>
      <c r="N10" s="36">
        <v>69408</v>
      </c>
      <c r="O10" s="36">
        <v>69544</v>
      </c>
      <c r="P10" s="36">
        <v>68181</v>
      </c>
      <c r="Q10" s="36">
        <v>67015</v>
      </c>
      <c r="R10" s="36">
        <v>66376</v>
      </c>
      <c r="S10" s="36">
        <v>65500</v>
      </c>
      <c r="T10" s="36">
        <v>80398</v>
      </c>
      <c r="U10" s="36">
        <v>88150</v>
      </c>
      <c r="V10" s="36">
        <v>96550</v>
      </c>
      <c r="W10" s="36">
        <v>91925</v>
      </c>
      <c r="X10" s="36">
        <v>85352</v>
      </c>
      <c r="Y10" s="36">
        <v>75957</v>
      </c>
      <c r="Z10" s="37">
        <v>65516</v>
      </c>
      <c r="AA10" s="38">
        <f t="shared" si="0"/>
        <v>1481136</v>
      </c>
      <c r="AB10" s="21">
        <v>4</v>
      </c>
      <c r="AC10" s="80"/>
      <c r="AD10" s="47"/>
    </row>
    <row r="11" spans="1:30" x14ac:dyDescent="0.25">
      <c r="A11" s="78"/>
      <c r="B11" s="22" t="s">
        <v>6</v>
      </c>
      <c r="C11" s="39">
        <v>47157</v>
      </c>
      <c r="D11" s="39">
        <v>42035</v>
      </c>
      <c r="E11" s="39">
        <v>38913</v>
      </c>
      <c r="F11" s="39">
        <v>36569</v>
      </c>
      <c r="G11" s="39">
        <v>35820</v>
      </c>
      <c r="H11" s="39">
        <v>36523</v>
      </c>
      <c r="I11" s="39">
        <v>37084</v>
      </c>
      <c r="J11" s="39">
        <v>37019</v>
      </c>
      <c r="K11" s="39">
        <v>44360</v>
      </c>
      <c r="L11" s="39">
        <v>50370</v>
      </c>
      <c r="M11" s="39">
        <v>54352</v>
      </c>
      <c r="N11" s="39">
        <v>58657</v>
      </c>
      <c r="O11" s="39">
        <v>61069</v>
      </c>
      <c r="P11" s="39">
        <v>60282</v>
      </c>
      <c r="Q11" s="39">
        <v>58361</v>
      </c>
      <c r="R11" s="39">
        <v>57195</v>
      </c>
      <c r="S11" s="39">
        <v>56608</v>
      </c>
      <c r="T11" s="39">
        <v>72320</v>
      </c>
      <c r="U11" s="39">
        <v>80657</v>
      </c>
      <c r="V11" s="39">
        <v>89936</v>
      </c>
      <c r="W11" s="39">
        <v>87104</v>
      </c>
      <c r="X11" s="39">
        <v>80361</v>
      </c>
      <c r="Y11" s="39">
        <v>69289</v>
      </c>
      <c r="Z11" s="40">
        <v>58372</v>
      </c>
      <c r="AA11" s="41">
        <f t="shared" si="0"/>
        <v>1350413</v>
      </c>
      <c r="AB11" s="23">
        <v>4</v>
      </c>
      <c r="AC11" s="81"/>
      <c r="AD11" s="48"/>
    </row>
    <row r="12" spans="1:30" ht="15.75" thickBot="1" x14ac:dyDescent="0.3">
      <c r="A12" s="78">
        <v>47543</v>
      </c>
      <c r="B12" s="18" t="s">
        <v>8</v>
      </c>
      <c r="C12" s="33">
        <v>40511</v>
      </c>
      <c r="D12" s="33">
        <v>36582</v>
      </c>
      <c r="E12" s="33">
        <v>34407</v>
      </c>
      <c r="F12" s="33">
        <v>33317</v>
      </c>
      <c r="G12" s="33">
        <v>34762</v>
      </c>
      <c r="H12" s="33">
        <v>40795</v>
      </c>
      <c r="I12" s="33">
        <v>45020</v>
      </c>
      <c r="J12" s="33">
        <v>46258</v>
      </c>
      <c r="K12" s="33">
        <v>53037</v>
      </c>
      <c r="L12" s="33">
        <v>58116</v>
      </c>
      <c r="M12" s="33">
        <v>63528</v>
      </c>
      <c r="N12" s="33">
        <v>68409</v>
      </c>
      <c r="O12" s="33">
        <v>66464</v>
      </c>
      <c r="P12" s="33">
        <v>66894</v>
      </c>
      <c r="Q12" s="33">
        <v>69034</v>
      </c>
      <c r="R12" s="33">
        <v>69382</v>
      </c>
      <c r="S12" s="33">
        <v>68453</v>
      </c>
      <c r="T12" s="33">
        <v>81683</v>
      </c>
      <c r="U12" s="33">
        <v>89023</v>
      </c>
      <c r="V12" s="33">
        <v>96208</v>
      </c>
      <c r="W12" s="33">
        <v>91929</v>
      </c>
      <c r="X12" s="33">
        <v>83874</v>
      </c>
      <c r="Y12" s="33">
        <v>71623</v>
      </c>
      <c r="Z12" s="34">
        <v>59529</v>
      </c>
      <c r="AA12" s="35">
        <f t="shared" si="0"/>
        <v>1468838</v>
      </c>
      <c r="AB12" s="19">
        <v>20</v>
      </c>
      <c r="AC12" s="79">
        <f>+AA12*AB12+AA13*AB13+AA14*AB14</f>
        <v>44307539</v>
      </c>
    </row>
    <row r="13" spans="1:30" ht="15.75" thickBot="1" x14ac:dyDescent="0.3">
      <c r="A13" s="78"/>
      <c r="B13" s="20" t="s">
        <v>7</v>
      </c>
      <c r="C13" s="36">
        <v>42800</v>
      </c>
      <c r="D13" s="36">
        <v>38262</v>
      </c>
      <c r="E13" s="36">
        <v>35850</v>
      </c>
      <c r="F13" s="36">
        <v>34471</v>
      </c>
      <c r="G13" s="36">
        <v>34553</v>
      </c>
      <c r="H13" s="36">
        <v>37085</v>
      </c>
      <c r="I13" s="36">
        <v>39293</v>
      </c>
      <c r="J13" s="36">
        <v>42505</v>
      </c>
      <c r="K13" s="36">
        <v>51053</v>
      </c>
      <c r="L13" s="36">
        <v>57248</v>
      </c>
      <c r="M13" s="36">
        <v>62169</v>
      </c>
      <c r="N13" s="36">
        <v>66270</v>
      </c>
      <c r="O13" s="36">
        <v>66189</v>
      </c>
      <c r="P13" s="36">
        <v>64726</v>
      </c>
      <c r="Q13" s="36">
        <v>63632</v>
      </c>
      <c r="R13" s="36">
        <v>62808</v>
      </c>
      <c r="S13" s="36">
        <v>61741</v>
      </c>
      <c r="T13" s="36">
        <v>77033</v>
      </c>
      <c r="U13" s="36">
        <v>85953</v>
      </c>
      <c r="V13" s="36">
        <v>92727</v>
      </c>
      <c r="W13" s="36">
        <v>88299</v>
      </c>
      <c r="X13" s="36">
        <v>81963</v>
      </c>
      <c r="Y13" s="36">
        <v>72538</v>
      </c>
      <c r="Z13" s="37">
        <v>63017</v>
      </c>
      <c r="AA13" s="38">
        <f t="shared" si="0"/>
        <v>1422185</v>
      </c>
      <c r="AB13" s="21">
        <v>5</v>
      </c>
      <c r="AC13" s="80"/>
      <c r="AD13" s="47"/>
    </row>
    <row r="14" spans="1:30" x14ac:dyDescent="0.25">
      <c r="A14" s="78"/>
      <c r="B14" s="22" t="s">
        <v>6</v>
      </c>
      <c r="C14" s="39">
        <v>45090</v>
      </c>
      <c r="D14" s="39">
        <v>40097</v>
      </c>
      <c r="E14" s="39">
        <v>37160</v>
      </c>
      <c r="F14" s="39">
        <v>35168</v>
      </c>
      <c r="G14" s="39">
        <v>34341</v>
      </c>
      <c r="H14" s="39">
        <v>35321</v>
      </c>
      <c r="I14" s="39">
        <v>35076</v>
      </c>
      <c r="J14" s="39">
        <v>35420</v>
      </c>
      <c r="K14" s="39">
        <v>42222</v>
      </c>
      <c r="L14" s="39">
        <v>47705</v>
      </c>
      <c r="M14" s="39">
        <v>51528</v>
      </c>
      <c r="N14" s="39">
        <v>55874</v>
      </c>
      <c r="O14" s="39">
        <v>58462</v>
      </c>
      <c r="P14" s="39">
        <v>57738</v>
      </c>
      <c r="Q14" s="39">
        <v>55753</v>
      </c>
      <c r="R14" s="39">
        <v>54866</v>
      </c>
      <c r="S14" s="39">
        <v>54290</v>
      </c>
      <c r="T14" s="39">
        <v>70221</v>
      </c>
      <c r="U14" s="39">
        <v>79850</v>
      </c>
      <c r="V14" s="39">
        <v>87834</v>
      </c>
      <c r="W14" s="39">
        <v>84756</v>
      </c>
      <c r="X14" s="39">
        <v>78384</v>
      </c>
      <c r="Y14" s="39">
        <v>68017</v>
      </c>
      <c r="Z14" s="40">
        <v>58136</v>
      </c>
      <c r="AA14" s="41">
        <f t="shared" si="0"/>
        <v>1303309</v>
      </c>
      <c r="AB14" s="23">
        <v>6</v>
      </c>
      <c r="AC14" s="81"/>
      <c r="AD14" s="45"/>
    </row>
    <row r="15" spans="1:30" ht="15.75" thickBot="1" x14ac:dyDescent="0.3">
      <c r="A15" s="78">
        <v>47574</v>
      </c>
      <c r="B15" s="18" t="s">
        <v>8</v>
      </c>
      <c r="C15" s="33">
        <v>38385</v>
      </c>
      <c r="D15" s="33">
        <v>34648</v>
      </c>
      <c r="E15" s="33">
        <v>32400</v>
      </c>
      <c r="F15" s="33">
        <v>31355</v>
      </c>
      <c r="G15" s="33">
        <v>32676</v>
      </c>
      <c r="H15" s="33">
        <v>37509</v>
      </c>
      <c r="I15" s="33">
        <v>41067</v>
      </c>
      <c r="J15" s="33">
        <v>42865</v>
      </c>
      <c r="K15" s="33">
        <v>49600</v>
      </c>
      <c r="L15" s="33">
        <v>54876</v>
      </c>
      <c r="M15" s="33">
        <v>60444</v>
      </c>
      <c r="N15" s="33">
        <v>65491</v>
      </c>
      <c r="O15" s="33">
        <v>63687</v>
      </c>
      <c r="P15" s="33">
        <v>64151</v>
      </c>
      <c r="Q15" s="33">
        <v>66147</v>
      </c>
      <c r="R15" s="33">
        <v>66352</v>
      </c>
      <c r="S15" s="33">
        <v>65314</v>
      </c>
      <c r="T15" s="33">
        <v>79023</v>
      </c>
      <c r="U15" s="33">
        <v>87804</v>
      </c>
      <c r="V15" s="33">
        <v>93025</v>
      </c>
      <c r="W15" s="33">
        <v>88993</v>
      </c>
      <c r="X15" s="33">
        <v>80912</v>
      </c>
      <c r="Y15" s="33">
        <v>68679</v>
      </c>
      <c r="Z15" s="34">
        <v>56980</v>
      </c>
      <c r="AA15" s="35">
        <f t="shared" si="0"/>
        <v>1402383</v>
      </c>
      <c r="AB15" s="19">
        <v>20</v>
      </c>
      <c r="AC15" s="79">
        <f>+AA15*AB15+AA16*AB16+AA17*AB17</f>
        <v>41015990</v>
      </c>
    </row>
    <row r="16" spans="1:30" ht="15.75" thickBot="1" x14ac:dyDescent="0.3">
      <c r="A16" s="78"/>
      <c r="B16" s="20" t="s">
        <v>7</v>
      </c>
      <c r="C16" s="36">
        <v>39888</v>
      </c>
      <c r="D16" s="36">
        <v>35623</v>
      </c>
      <c r="E16" s="36">
        <v>32880</v>
      </c>
      <c r="F16" s="36">
        <v>31261</v>
      </c>
      <c r="G16" s="36">
        <v>31559</v>
      </c>
      <c r="H16" s="36">
        <v>33387</v>
      </c>
      <c r="I16" s="36">
        <v>35688</v>
      </c>
      <c r="J16" s="36">
        <v>39193</v>
      </c>
      <c r="K16" s="36">
        <v>47556</v>
      </c>
      <c r="L16" s="36">
        <v>53901</v>
      </c>
      <c r="M16" s="36">
        <v>58487</v>
      </c>
      <c r="N16" s="36">
        <v>63692</v>
      </c>
      <c r="O16" s="36">
        <v>64010</v>
      </c>
      <c r="P16" s="36">
        <v>62798</v>
      </c>
      <c r="Q16" s="36">
        <v>61695</v>
      </c>
      <c r="R16" s="36">
        <v>60936</v>
      </c>
      <c r="S16" s="36">
        <v>60659</v>
      </c>
      <c r="T16" s="36">
        <v>76346</v>
      </c>
      <c r="U16" s="36">
        <v>86331</v>
      </c>
      <c r="V16" s="36">
        <v>91854</v>
      </c>
      <c r="W16" s="36">
        <v>87212</v>
      </c>
      <c r="X16" s="36">
        <v>80477</v>
      </c>
      <c r="Y16" s="36">
        <v>70991</v>
      </c>
      <c r="Z16" s="37">
        <v>61311</v>
      </c>
      <c r="AA16" s="38">
        <f t="shared" si="0"/>
        <v>1367735</v>
      </c>
      <c r="AB16" s="21">
        <v>4</v>
      </c>
      <c r="AC16" s="80"/>
      <c r="AD16" s="47"/>
    </row>
    <row r="17" spans="1:30" x14ac:dyDescent="0.25">
      <c r="A17" s="78"/>
      <c r="B17" s="22" t="s">
        <v>6</v>
      </c>
      <c r="C17" s="39">
        <v>42921</v>
      </c>
      <c r="D17" s="39">
        <v>38134</v>
      </c>
      <c r="E17" s="39">
        <v>35037</v>
      </c>
      <c r="F17" s="39">
        <v>32932</v>
      </c>
      <c r="G17" s="39">
        <v>32115</v>
      </c>
      <c r="H17" s="39">
        <v>32007</v>
      </c>
      <c r="I17" s="39">
        <v>32506</v>
      </c>
      <c r="J17" s="39">
        <v>33454</v>
      </c>
      <c r="K17" s="39">
        <v>40006</v>
      </c>
      <c r="L17" s="39">
        <v>45755</v>
      </c>
      <c r="M17" s="39">
        <v>49846</v>
      </c>
      <c r="N17" s="39">
        <v>54018</v>
      </c>
      <c r="O17" s="39">
        <v>56442</v>
      </c>
      <c r="P17" s="39">
        <v>55773</v>
      </c>
      <c r="Q17" s="39">
        <v>53679</v>
      </c>
      <c r="R17" s="39">
        <v>52692</v>
      </c>
      <c r="S17" s="39">
        <v>52125</v>
      </c>
      <c r="T17" s="39">
        <v>68148</v>
      </c>
      <c r="U17" s="39">
        <v>78813</v>
      </c>
      <c r="V17" s="39">
        <v>85196</v>
      </c>
      <c r="W17" s="39">
        <v>81853</v>
      </c>
      <c r="X17" s="39">
        <v>75337</v>
      </c>
      <c r="Y17" s="39">
        <v>65360</v>
      </c>
      <c r="Z17" s="40">
        <v>55416</v>
      </c>
      <c r="AA17" s="41">
        <f t="shared" si="0"/>
        <v>1249565</v>
      </c>
      <c r="AB17" s="23">
        <v>6</v>
      </c>
      <c r="AC17" s="81"/>
      <c r="AD17" s="48"/>
    </row>
    <row r="18" spans="1:30" ht="15.75" thickBot="1" x14ac:dyDescent="0.3">
      <c r="A18" s="78">
        <v>47604</v>
      </c>
      <c r="B18" s="18" t="s">
        <v>8</v>
      </c>
      <c r="C18" s="33">
        <v>38850</v>
      </c>
      <c r="D18" s="33">
        <v>34965</v>
      </c>
      <c r="E18" s="33">
        <v>32803</v>
      </c>
      <c r="F18" s="33">
        <v>31713</v>
      </c>
      <c r="G18" s="33">
        <v>32995</v>
      </c>
      <c r="H18" s="33">
        <v>37161</v>
      </c>
      <c r="I18" s="33">
        <v>41517</v>
      </c>
      <c r="J18" s="33">
        <v>43673</v>
      </c>
      <c r="K18" s="33">
        <v>50629</v>
      </c>
      <c r="L18" s="33">
        <v>56092</v>
      </c>
      <c r="M18" s="33">
        <v>61586</v>
      </c>
      <c r="N18" s="33">
        <v>66800</v>
      </c>
      <c r="O18" s="33">
        <v>65230</v>
      </c>
      <c r="P18" s="33">
        <v>65210</v>
      </c>
      <c r="Q18" s="33">
        <v>66783</v>
      </c>
      <c r="R18" s="33">
        <v>66967</v>
      </c>
      <c r="S18" s="33">
        <v>65907</v>
      </c>
      <c r="T18" s="33">
        <v>79886</v>
      </c>
      <c r="U18" s="33">
        <v>89101</v>
      </c>
      <c r="V18" s="33">
        <v>94324</v>
      </c>
      <c r="W18" s="33">
        <v>89792</v>
      </c>
      <c r="X18" s="33">
        <v>81644</v>
      </c>
      <c r="Y18" s="33">
        <v>69152</v>
      </c>
      <c r="Z18" s="34">
        <v>57581</v>
      </c>
      <c r="AA18" s="35">
        <f t="shared" si="0"/>
        <v>1420361</v>
      </c>
      <c r="AB18" s="19">
        <v>22</v>
      </c>
      <c r="AC18" s="79">
        <f>+AA18*AB18+AA19*AB19+AA20*AB20</f>
        <v>43313823</v>
      </c>
    </row>
    <row r="19" spans="1:30" ht="15.75" thickBot="1" x14ac:dyDescent="0.3">
      <c r="A19" s="78"/>
      <c r="B19" s="20" t="s">
        <v>7</v>
      </c>
      <c r="C19" s="36">
        <v>41495</v>
      </c>
      <c r="D19" s="36">
        <v>37237</v>
      </c>
      <c r="E19" s="36">
        <v>34666</v>
      </c>
      <c r="F19" s="36">
        <v>33150</v>
      </c>
      <c r="G19" s="36">
        <v>33413</v>
      </c>
      <c r="H19" s="36">
        <v>34485</v>
      </c>
      <c r="I19" s="36">
        <v>37976</v>
      </c>
      <c r="J19" s="36">
        <v>41568</v>
      </c>
      <c r="K19" s="36">
        <v>50168</v>
      </c>
      <c r="L19" s="36">
        <v>56814</v>
      </c>
      <c r="M19" s="36">
        <v>61369</v>
      </c>
      <c r="N19" s="36">
        <v>65524</v>
      </c>
      <c r="O19" s="36">
        <v>65538</v>
      </c>
      <c r="P19" s="36">
        <v>63909</v>
      </c>
      <c r="Q19" s="36">
        <v>62252</v>
      </c>
      <c r="R19" s="36">
        <v>61251</v>
      </c>
      <c r="S19" s="36">
        <v>60524</v>
      </c>
      <c r="T19" s="36">
        <v>76640</v>
      </c>
      <c r="U19" s="36">
        <v>87553</v>
      </c>
      <c r="V19" s="36">
        <v>91978</v>
      </c>
      <c r="W19" s="36">
        <v>87477</v>
      </c>
      <c r="X19" s="36">
        <v>80579</v>
      </c>
      <c r="Y19" s="36">
        <v>70985</v>
      </c>
      <c r="Z19" s="37">
        <v>61418</v>
      </c>
      <c r="AA19" s="38">
        <f t="shared" si="0"/>
        <v>1397969</v>
      </c>
      <c r="AB19" s="21">
        <v>4</v>
      </c>
      <c r="AC19" s="80"/>
      <c r="AD19" s="47"/>
    </row>
    <row r="20" spans="1:30" x14ac:dyDescent="0.25">
      <c r="A20" s="78"/>
      <c r="B20" s="22" t="s">
        <v>6</v>
      </c>
      <c r="C20" s="39">
        <v>42783</v>
      </c>
      <c r="D20" s="39">
        <v>38128</v>
      </c>
      <c r="E20" s="39">
        <v>35238</v>
      </c>
      <c r="F20" s="39">
        <v>33315</v>
      </c>
      <c r="G20" s="39">
        <v>32725</v>
      </c>
      <c r="H20" s="39">
        <v>31992</v>
      </c>
      <c r="I20" s="39">
        <v>33309</v>
      </c>
      <c r="J20" s="39">
        <v>34929</v>
      </c>
      <c r="K20" s="39">
        <v>41903</v>
      </c>
      <c r="L20" s="39">
        <v>48097</v>
      </c>
      <c r="M20" s="39">
        <v>52330</v>
      </c>
      <c r="N20" s="39">
        <v>56753</v>
      </c>
      <c r="O20" s="39">
        <v>58694</v>
      </c>
      <c r="P20" s="39">
        <v>58305</v>
      </c>
      <c r="Q20" s="39">
        <v>56000</v>
      </c>
      <c r="R20" s="39">
        <v>58589</v>
      </c>
      <c r="S20" s="39">
        <v>54377</v>
      </c>
      <c r="T20" s="39">
        <v>70601</v>
      </c>
      <c r="U20" s="39">
        <v>81682</v>
      </c>
      <c r="V20" s="39">
        <v>88121</v>
      </c>
      <c r="W20" s="39">
        <v>84661</v>
      </c>
      <c r="X20" s="39">
        <v>77699</v>
      </c>
      <c r="Y20" s="39">
        <v>67385</v>
      </c>
      <c r="Z20" s="40">
        <v>57185</v>
      </c>
      <c r="AA20" s="41">
        <f t="shared" si="0"/>
        <v>1294801</v>
      </c>
      <c r="AB20" s="23">
        <v>5</v>
      </c>
      <c r="AC20" s="81"/>
      <c r="AD20" s="48"/>
    </row>
    <row r="21" spans="1:30" ht="15.75" thickBot="1" x14ac:dyDescent="0.3">
      <c r="A21" s="78">
        <v>47635</v>
      </c>
      <c r="B21" s="18" t="s">
        <v>8</v>
      </c>
      <c r="C21" s="33">
        <v>37789</v>
      </c>
      <c r="D21" s="33">
        <v>33883</v>
      </c>
      <c r="E21" s="33">
        <v>31888</v>
      </c>
      <c r="F21" s="33">
        <v>30835</v>
      </c>
      <c r="G21" s="33">
        <v>31985</v>
      </c>
      <c r="H21" s="33">
        <v>35550</v>
      </c>
      <c r="I21" s="33">
        <v>39973</v>
      </c>
      <c r="J21" s="33">
        <v>42450</v>
      </c>
      <c r="K21" s="33">
        <v>49620</v>
      </c>
      <c r="L21" s="33">
        <v>54951</v>
      </c>
      <c r="M21" s="33">
        <v>60538</v>
      </c>
      <c r="N21" s="33">
        <v>65787</v>
      </c>
      <c r="O21" s="33">
        <v>64089</v>
      </c>
      <c r="P21" s="33">
        <v>64006</v>
      </c>
      <c r="Q21" s="33">
        <v>65934</v>
      </c>
      <c r="R21" s="33">
        <v>66073</v>
      </c>
      <c r="S21" s="33">
        <v>64998</v>
      </c>
      <c r="T21" s="33">
        <v>78636</v>
      </c>
      <c r="U21" s="33">
        <v>86131</v>
      </c>
      <c r="V21" s="33">
        <v>92800</v>
      </c>
      <c r="W21" s="33">
        <v>88551</v>
      </c>
      <c r="X21" s="33">
        <v>80584</v>
      </c>
      <c r="Y21" s="33">
        <v>68100</v>
      </c>
      <c r="Z21" s="34">
        <v>56486</v>
      </c>
      <c r="AA21" s="35">
        <f t="shared" si="0"/>
        <v>1391637</v>
      </c>
      <c r="AB21" s="19">
        <v>18</v>
      </c>
      <c r="AC21" s="79">
        <f>+AA21*AB21+AA22*AB22+AA23*AB23</f>
        <v>41564362</v>
      </c>
    </row>
    <row r="22" spans="1:30" ht="15.75" thickBot="1" x14ac:dyDescent="0.3">
      <c r="A22" s="78"/>
      <c r="B22" s="20" t="s">
        <v>7</v>
      </c>
      <c r="C22" s="36">
        <v>41879</v>
      </c>
      <c r="D22" s="36">
        <v>37326</v>
      </c>
      <c r="E22" s="36">
        <v>34728</v>
      </c>
      <c r="F22" s="36">
        <v>33228</v>
      </c>
      <c r="G22" s="36">
        <v>33287</v>
      </c>
      <c r="H22" s="36">
        <v>34366</v>
      </c>
      <c r="I22" s="36">
        <v>37423</v>
      </c>
      <c r="J22" s="36">
        <v>40778</v>
      </c>
      <c r="K22" s="36">
        <v>49884</v>
      </c>
      <c r="L22" s="36">
        <v>56111</v>
      </c>
      <c r="M22" s="36">
        <v>61056</v>
      </c>
      <c r="N22" s="36">
        <v>65283</v>
      </c>
      <c r="O22" s="36">
        <v>65587</v>
      </c>
      <c r="P22" s="36">
        <v>64596</v>
      </c>
      <c r="Q22" s="36">
        <v>63599</v>
      </c>
      <c r="R22" s="36">
        <v>63493</v>
      </c>
      <c r="S22" s="36">
        <v>62819</v>
      </c>
      <c r="T22" s="36">
        <v>78738</v>
      </c>
      <c r="U22" s="36">
        <v>88258</v>
      </c>
      <c r="V22" s="36">
        <v>94239</v>
      </c>
      <c r="W22" s="36">
        <v>89499</v>
      </c>
      <c r="X22" s="36">
        <v>82758</v>
      </c>
      <c r="Y22" s="36">
        <v>72975</v>
      </c>
      <c r="Z22" s="37">
        <v>62857</v>
      </c>
      <c r="AA22" s="38">
        <f t="shared" si="0"/>
        <v>1414767</v>
      </c>
      <c r="AB22" s="21">
        <v>5</v>
      </c>
      <c r="AC22" s="80"/>
      <c r="AD22" s="47"/>
    </row>
    <row r="23" spans="1:30" x14ac:dyDescent="0.25">
      <c r="A23" s="78"/>
      <c r="B23" s="22" t="s">
        <v>6</v>
      </c>
      <c r="C23" s="39">
        <v>45145</v>
      </c>
      <c r="D23" s="39">
        <v>40326</v>
      </c>
      <c r="E23" s="39">
        <v>37498</v>
      </c>
      <c r="F23" s="39">
        <v>35551</v>
      </c>
      <c r="G23" s="39">
        <v>35153</v>
      </c>
      <c r="H23" s="39">
        <v>35200</v>
      </c>
      <c r="I23" s="39">
        <v>35762</v>
      </c>
      <c r="J23" s="39">
        <v>37619</v>
      </c>
      <c r="K23" s="39">
        <v>44859</v>
      </c>
      <c r="L23" s="39">
        <v>50352</v>
      </c>
      <c r="M23" s="39">
        <v>54941</v>
      </c>
      <c r="N23" s="39">
        <v>59407</v>
      </c>
      <c r="O23" s="39">
        <v>60803</v>
      </c>
      <c r="P23" s="39">
        <v>60226</v>
      </c>
      <c r="Q23" s="39">
        <v>58562</v>
      </c>
      <c r="R23" s="39">
        <v>57780</v>
      </c>
      <c r="S23" s="39">
        <v>57249</v>
      </c>
      <c r="T23" s="39">
        <v>73126</v>
      </c>
      <c r="U23" s="39">
        <v>82836</v>
      </c>
      <c r="V23" s="39">
        <v>90292</v>
      </c>
      <c r="W23" s="39">
        <v>87031</v>
      </c>
      <c r="X23" s="39">
        <v>80038</v>
      </c>
      <c r="Y23" s="39">
        <v>69564</v>
      </c>
      <c r="Z23" s="40">
        <v>59403</v>
      </c>
      <c r="AA23" s="41">
        <f t="shared" si="0"/>
        <v>1348723</v>
      </c>
      <c r="AB23" s="23">
        <v>7</v>
      </c>
      <c r="AC23" s="81"/>
      <c r="AD23" s="48"/>
    </row>
    <row r="24" spans="1:30" ht="15.75" thickBot="1" x14ac:dyDescent="0.3">
      <c r="A24" s="78">
        <v>47665</v>
      </c>
      <c r="B24" s="18" t="s">
        <v>8</v>
      </c>
      <c r="C24" s="33">
        <v>41737</v>
      </c>
      <c r="D24" s="33">
        <v>37574</v>
      </c>
      <c r="E24" s="33">
        <v>35159</v>
      </c>
      <c r="F24" s="33">
        <v>33834</v>
      </c>
      <c r="G24" s="33">
        <v>34903</v>
      </c>
      <c r="H24" s="33">
        <v>38458</v>
      </c>
      <c r="I24" s="33">
        <v>41980</v>
      </c>
      <c r="J24" s="33">
        <v>45295</v>
      </c>
      <c r="K24" s="33">
        <v>53006</v>
      </c>
      <c r="L24" s="33">
        <v>59065</v>
      </c>
      <c r="M24" s="33">
        <v>64955</v>
      </c>
      <c r="N24" s="33">
        <v>70176</v>
      </c>
      <c r="O24" s="33">
        <v>68336</v>
      </c>
      <c r="P24" s="33">
        <v>68617</v>
      </c>
      <c r="Q24" s="33">
        <v>70623</v>
      </c>
      <c r="R24" s="33">
        <v>70881</v>
      </c>
      <c r="S24" s="33">
        <v>69358</v>
      </c>
      <c r="T24" s="33">
        <v>81920</v>
      </c>
      <c r="U24" s="33">
        <v>88219</v>
      </c>
      <c r="V24" s="33">
        <v>96249</v>
      </c>
      <c r="W24" s="33">
        <v>92461</v>
      </c>
      <c r="X24" s="33">
        <v>84829</v>
      </c>
      <c r="Y24" s="33">
        <v>72263</v>
      </c>
      <c r="Z24" s="34">
        <v>60685</v>
      </c>
      <c r="AA24" s="35">
        <f t="shared" si="0"/>
        <v>1480583</v>
      </c>
      <c r="AB24" s="19">
        <v>22</v>
      </c>
      <c r="AC24" s="79">
        <f>+AA24*AB24+AA25*AB25+AA26*AB26</f>
        <v>44855576</v>
      </c>
    </row>
    <row r="25" spans="1:30" ht="15.75" thickBot="1" x14ac:dyDescent="0.3">
      <c r="A25" s="78"/>
      <c r="B25" s="20" t="s">
        <v>7</v>
      </c>
      <c r="C25" s="36">
        <v>41211</v>
      </c>
      <c r="D25" s="36">
        <v>36486</v>
      </c>
      <c r="E25" s="36">
        <v>34052</v>
      </c>
      <c r="F25" s="36">
        <v>32445</v>
      </c>
      <c r="G25" s="36">
        <v>32598</v>
      </c>
      <c r="H25" s="36">
        <v>33960</v>
      </c>
      <c r="I25" s="36">
        <v>37039</v>
      </c>
      <c r="J25" s="36">
        <v>42011</v>
      </c>
      <c r="K25" s="36">
        <v>51184</v>
      </c>
      <c r="L25" s="36">
        <v>57441</v>
      </c>
      <c r="M25" s="36">
        <v>62389</v>
      </c>
      <c r="N25" s="36">
        <v>66540</v>
      </c>
      <c r="O25" s="36">
        <v>66343</v>
      </c>
      <c r="P25" s="36">
        <v>64753</v>
      </c>
      <c r="Q25" s="36">
        <v>63324</v>
      </c>
      <c r="R25" s="36">
        <v>62604</v>
      </c>
      <c r="S25" s="36">
        <v>61745</v>
      </c>
      <c r="T25" s="36">
        <v>77284</v>
      </c>
      <c r="U25" s="36">
        <v>84755</v>
      </c>
      <c r="V25" s="36">
        <v>92501</v>
      </c>
      <c r="W25" s="36">
        <v>88130</v>
      </c>
      <c r="X25" s="36">
        <v>81913</v>
      </c>
      <c r="Y25" s="36">
        <v>72212</v>
      </c>
      <c r="Z25" s="37">
        <v>62610</v>
      </c>
      <c r="AA25" s="38">
        <f t="shared" si="0"/>
        <v>1405530</v>
      </c>
      <c r="AB25" s="21">
        <v>3</v>
      </c>
      <c r="AC25" s="80"/>
      <c r="AD25" s="47"/>
    </row>
    <row r="26" spans="1:30" x14ac:dyDescent="0.25">
      <c r="A26" s="78"/>
      <c r="B26" s="22" t="s">
        <v>6</v>
      </c>
      <c r="C26" s="39">
        <v>46080</v>
      </c>
      <c r="D26" s="39">
        <v>41314</v>
      </c>
      <c r="E26" s="39">
        <v>38143</v>
      </c>
      <c r="F26" s="39">
        <v>36087</v>
      </c>
      <c r="G26" s="39">
        <v>35432</v>
      </c>
      <c r="H26" s="39">
        <v>35419</v>
      </c>
      <c r="I26" s="39">
        <v>35645</v>
      </c>
      <c r="J26" s="39">
        <v>37153</v>
      </c>
      <c r="K26" s="39">
        <v>44478</v>
      </c>
      <c r="L26" s="39">
        <v>50579</v>
      </c>
      <c r="M26" s="39">
        <v>55073</v>
      </c>
      <c r="N26" s="39">
        <v>59215</v>
      </c>
      <c r="O26" s="39">
        <v>61265</v>
      </c>
      <c r="P26" s="39">
        <v>60253</v>
      </c>
      <c r="Q26" s="39">
        <v>58134</v>
      </c>
      <c r="R26" s="39">
        <v>57049</v>
      </c>
      <c r="S26" s="39">
        <v>56191</v>
      </c>
      <c r="T26" s="39">
        <v>71839</v>
      </c>
      <c r="U26" s="39">
        <v>79837</v>
      </c>
      <c r="V26" s="39">
        <v>89322</v>
      </c>
      <c r="W26" s="39">
        <v>86481</v>
      </c>
      <c r="X26" s="39">
        <v>80081</v>
      </c>
      <c r="Y26" s="39">
        <v>69606</v>
      </c>
      <c r="Z26" s="40">
        <v>59684</v>
      </c>
      <c r="AA26" s="41">
        <f t="shared" si="0"/>
        <v>1344360</v>
      </c>
      <c r="AB26" s="23">
        <v>6</v>
      </c>
      <c r="AC26" s="81"/>
      <c r="AD26" s="48"/>
    </row>
    <row r="27" spans="1:30" ht="15.75" thickBot="1" x14ac:dyDescent="0.3">
      <c r="A27" s="78">
        <v>47696</v>
      </c>
      <c r="B27" s="18" t="s">
        <v>8</v>
      </c>
      <c r="C27" s="33">
        <v>42513</v>
      </c>
      <c r="D27" s="33">
        <v>38558</v>
      </c>
      <c r="E27" s="33">
        <v>36393</v>
      </c>
      <c r="F27" s="33">
        <v>35079</v>
      </c>
      <c r="G27" s="33">
        <v>36229</v>
      </c>
      <c r="H27" s="33">
        <v>40938</v>
      </c>
      <c r="I27" s="33">
        <v>44852</v>
      </c>
      <c r="J27" s="33">
        <v>47343</v>
      </c>
      <c r="K27" s="33">
        <v>54766</v>
      </c>
      <c r="L27" s="33">
        <v>60467</v>
      </c>
      <c r="M27" s="33">
        <v>66464</v>
      </c>
      <c r="N27" s="33">
        <v>71763</v>
      </c>
      <c r="O27" s="33">
        <v>69907</v>
      </c>
      <c r="P27" s="33">
        <v>70825</v>
      </c>
      <c r="Q27" s="33">
        <v>73015</v>
      </c>
      <c r="R27" s="33">
        <v>73226</v>
      </c>
      <c r="S27" s="33">
        <v>71621</v>
      </c>
      <c r="T27" s="33">
        <v>84086</v>
      </c>
      <c r="U27" s="33">
        <v>91627</v>
      </c>
      <c r="V27" s="33">
        <v>98384</v>
      </c>
      <c r="W27" s="33">
        <v>94215</v>
      </c>
      <c r="X27" s="33">
        <v>86217</v>
      </c>
      <c r="Y27" s="33">
        <v>73470</v>
      </c>
      <c r="Z27" s="34">
        <v>61997</v>
      </c>
      <c r="AA27" s="35">
        <f t="shared" si="0"/>
        <v>1523955</v>
      </c>
      <c r="AB27" s="19">
        <v>20</v>
      </c>
      <c r="AC27" s="79">
        <f>+AA27*AB27+AA28*AB28+AA29*AB29</f>
        <v>45957986</v>
      </c>
    </row>
    <row r="28" spans="1:30" ht="15.75" thickBot="1" x14ac:dyDescent="0.3">
      <c r="A28" s="78"/>
      <c r="B28" s="20" t="s">
        <v>7</v>
      </c>
      <c r="C28" s="36">
        <v>45022</v>
      </c>
      <c r="D28" s="36">
        <v>40771</v>
      </c>
      <c r="E28" s="36">
        <v>38111</v>
      </c>
      <c r="F28" s="36">
        <v>36146</v>
      </c>
      <c r="G28" s="36">
        <v>36016</v>
      </c>
      <c r="H28" s="36">
        <v>37744</v>
      </c>
      <c r="I28" s="36">
        <v>39631</v>
      </c>
      <c r="J28" s="36">
        <v>44073</v>
      </c>
      <c r="K28" s="36">
        <v>53168</v>
      </c>
      <c r="L28" s="36">
        <v>59512</v>
      </c>
      <c r="M28" s="36">
        <v>64927</v>
      </c>
      <c r="N28" s="36">
        <v>69081</v>
      </c>
      <c r="O28" s="36">
        <v>69104</v>
      </c>
      <c r="P28" s="36">
        <v>67971</v>
      </c>
      <c r="Q28" s="36">
        <v>66860</v>
      </c>
      <c r="R28" s="36">
        <v>66273</v>
      </c>
      <c r="S28" s="36">
        <v>64898</v>
      </c>
      <c r="T28" s="36">
        <v>79935</v>
      </c>
      <c r="U28" s="36">
        <v>89238</v>
      </c>
      <c r="V28" s="36">
        <v>95147</v>
      </c>
      <c r="W28" s="36">
        <v>90684</v>
      </c>
      <c r="X28" s="36">
        <v>84293</v>
      </c>
      <c r="Y28" s="36">
        <v>74996</v>
      </c>
      <c r="Z28" s="37">
        <v>65121</v>
      </c>
      <c r="AA28" s="38">
        <f t="shared" si="0"/>
        <v>1478722</v>
      </c>
      <c r="AB28" s="21">
        <v>5</v>
      </c>
      <c r="AC28" s="80"/>
      <c r="AD28" s="47"/>
    </row>
    <row r="29" spans="1:30" x14ac:dyDescent="0.25">
      <c r="A29" s="78"/>
      <c r="B29" s="22" t="s">
        <v>6</v>
      </c>
      <c r="C29" s="39">
        <v>46615</v>
      </c>
      <c r="D29" s="39">
        <v>41756</v>
      </c>
      <c r="E29" s="39">
        <v>38575</v>
      </c>
      <c r="F29" s="39">
        <v>36521</v>
      </c>
      <c r="G29" s="39">
        <v>35869</v>
      </c>
      <c r="H29" s="39">
        <v>36083</v>
      </c>
      <c r="I29" s="39">
        <v>35831</v>
      </c>
      <c r="J29" s="39">
        <v>37575</v>
      </c>
      <c r="K29" s="39">
        <v>44740</v>
      </c>
      <c r="L29" s="39">
        <v>50634</v>
      </c>
      <c r="M29" s="39">
        <v>54905</v>
      </c>
      <c r="N29" s="39">
        <v>59269</v>
      </c>
      <c r="O29" s="39">
        <v>61535</v>
      </c>
      <c r="P29" s="39">
        <v>60667</v>
      </c>
      <c r="Q29" s="39">
        <v>58251</v>
      </c>
      <c r="R29" s="39">
        <v>56756</v>
      </c>
      <c r="S29" s="39">
        <v>56107</v>
      </c>
      <c r="T29" s="39">
        <v>71598</v>
      </c>
      <c r="U29" s="39">
        <v>81219</v>
      </c>
      <c r="V29" s="39">
        <v>89362</v>
      </c>
      <c r="W29" s="39">
        <v>86131</v>
      </c>
      <c r="X29" s="39">
        <v>79406</v>
      </c>
      <c r="Y29" s="39">
        <v>69145</v>
      </c>
      <c r="Z29" s="40">
        <v>58996</v>
      </c>
      <c r="AA29" s="41">
        <f t="shared" si="0"/>
        <v>1347546</v>
      </c>
      <c r="AB29" s="23">
        <v>6</v>
      </c>
      <c r="AC29" s="81"/>
      <c r="AD29" s="49"/>
    </row>
    <row r="30" spans="1:30" ht="15.75" thickBot="1" x14ac:dyDescent="0.3">
      <c r="A30" s="78">
        <v>47727</v>
      </c>
      <c r="B30" s="18" t="s">
        <v>8</v>
      </c>
      <c r="C30" s="33">
        <v>44179</v>
      </c>
      <c r="D30" s="33">
        <v>40014</v>
      </c>
      <c r="E30" s="33">
        <v>37421</v>
      </c>
      <c r="F30" s="33">
        <v>36238</v>
      </c>
      <c r="G30" s="33">
        <v>37291</v>
      </c>
      <c r="H30" s="33">
        <v>41751</v>
      </c>
      <c r="I30" s="33">
        <v>45820</v>
      </c>
      <c r="J30" s="33">
        <v>48579</v>
      </c>
      <c r="K30" s="33">
        <v>55934</v>
      </c>
      <c r="L30" s="33">
        <v>62012</v>
      </c>
      <c r="M30" s="33">
        <v>68110</v>
      </c>
      <c r="N30" s="33">
        <v>73683</v>
      </c>
      <c r="O30" s="33">
        <v>71773</v>
      </c>
      <c r="P30" s="33">
        <v>72623</v>
      </c>
      <c r="Q30" s="33">
        <v>75217</v>
      </c>
      <c r="R30" s="33">
        <v>75891</v>
      </c>
      <c r="S30" s="33">
        <v>74313</v>
      </c>
      <c r="T30" s="33">
        <v>87153</v>
      </c>
      <c r="U30" s="33">
        <v>97434</v>
      </c>
      <c r="V30" s="33">
        <v>100144</v>
      </c>
      <c r="W30" s="33">
        <v>95654</v>
      </c>
      <c r="X30" s="33">
        <v>87498</v>
      </c>
      <c r="Y30" s="33">
        <v>74522</v>
      </c>
      <c r="Z30" s="34">
        <v>63077</v>
      </c>
      <c r="AA30" s="35">
        <f t="shared" si="0"/>
        <v>1566331</v>
      </c>
      <c r="AB30" s="19">
        <v>21</v>
      </c>
      <c r="AC30" s="79">
        <f>+AA30*AB30+AA31*AB31+AA32*AB32</f>
        <v>45619149</v>
      </c>
    </row>
    <row r="31" spans="1:30" ht="15.75" thickBot="1" x14ac:dyDescent="0.3">
      <c r="A31" s="78"/>
      <c r="B31" s="20" t="s">
        <v>7</v>
      </c>
      <c r="C31" s="36">
        <v>46220</v>
      </c>
      <c r="D31" s="36">
        <v>41251</v>
      </c>
      <c r="E31" s="36">
        <v>38566</v>
      </c>
      <c r="F31" s="36">
        <v>37036</v>
      </c>
      <c r="G31" s="36">
        <v>37081</v>
      </c>
      <c r="H31" s="36">
        <v>37643</v>
      </c>
      <c r="I31" s="36">
        <v>40828</v>
      </c>
      <c r="J31" s="36">
        <v>45958</v>
      </c>
      <c r="K31" s="36">
        <v>55277</v>
      </c>
      <c r="L31" s="36">
        <v>61929</v>
      </c>
      <c r="M31" s="36">
        <v>67125</v>
      </c>
      <c r="N31" s="36">
        <v>71338</v>
      </c>
      <c r="O31" s="36">
        <v>71028</v>
      </c>
      <c r="P31" s="36">
        <v>69708</v>
      </c>
      <c r="Q31" s="36">
        <v>68477</v>
      </c>
      <c r="R31" s="36">
        <v>67669</v>
      </c>
      <c r="S31" s="36">
        <v>66835</v>
      </c>
      <c r="T31" s="36">
        <v>82752</v>
      </c>
      <c r="U31" s="36">
        <v>93973</v>
      </c>
      <c r="V31" s="36">
        <v>96392</v>
      </c>
      <c r="W31" s="36">
        <v>91267</v>
      </c>
      <c r="X31" s="36">
        <v>84666</v>
      </c>
      <c r="Y31" s="36">
        <v>75136</v>
      </c>
      <c r="Z31" s="37">
        <v>65382</v>
      </c>
      <c r="AA31" s="38">
        <f t="shared" si="0"/>
        <v>1513537</v>
      </c>
      <c r="AB31" s="21">
        <v>4</v>
      </c>
      <c r="AC31" s="80"/>
      <c r="AD31" s="47"/>
    </row>
    <row r="32" spans="1:30" x14ac:dyDescent="0.25">
      <c r="A32" s="78"/>
      <c r="B32" s="22" t="s">
        <v>6</v>
      </c>
      <c r="C32" s="39">
        <v>47282</v>
      </c>
      <c r="D32" s="39">
        <v>42560</v>
      </c>
      <c r="E32" s="39">
        <v>39454</v>
      </c>
      <c r="F32" s="39">
        <v>37050</v>
      </c>
      <c r="G32" s="39">
        <v>35910</v>
      </c>
      <c r="H32" s="39">
        <v>35033</v>
      </c>
      <c r="I32" s="39">
        <v>35183</v>
      </c>
      <c r="J32" s="39">
        <v>36824</v>
      </c>
      <c r="K32" s="39">
        <v>43856</v>
      </c>
      <c r="L32" s="39">
        <v>49576</v>
      </c>
      <c r="M32" s="39">
        <v>53610</v>
      </c>
      <c r="N32" s="39">
        <v>57443</v>
      </c>
      <c r="O32" s="39">
        <v>59717</v>
      </c>
      <c r="P32" s="39">
        <v>59112</v>
      </c>
      <c r="Q32" s="39">
        <v>57100</v>
      </c>
      <c r="R32" s="39">
        <v>56269</v>
      </c>
      <c r="S32" s="39">
        <v>55633</v>
      </c>
      <c r="T32" s="39">
        <v>71514</v>
      </c>
      <c r="U32" s="39">
        <v>83814</v>
      </c>
      <c r="V32" s="39">
        <v>87878</v>
      </c>
      <c r="W32" s="39">
        <v>84864</v>
      </c>
      <c r="X32" s="39">
        <v>78314</v>
      </c>
      <c r="Y32" s="39">
        <v>68128</v>
      </c>
      <c r="Z32" s="40">
        <v>58286</v>
      </c>
      <c r="AA32" s="41">
        <f t="shared" si="0"/>
        <v>1334410</v>
      </c>
      <c r="AB32" s="23">
        <v>5</v>
      </c>
      <c r="AC32" s="81"/>
      <c r="AD32" s="48"/>
    </row>
    <row r="33" spans="1:30" ht="15.75" thickBot="1" x14ac:dyDescent="0.3">
      <c r="A33" s="78">
        <v>47757</v>
      </c>
      <c r="B33" s="18" t="s">
        <v>8</v>
      </c>
      <c r="C33" s="33">
        <v>40070</v>
      </c>
      <c r="D33" s="33">
        <v>36237</v>
      </c>
      <c r="E33" s="33">
        <v>34095</v>
      </c>
      <c r="F33" s="33">
        <v>32936</v>
      </c>
      <c r="G33" s="33">
        <v>34184</v>
      </c>
      <c r="H33" s="33">
        <v>37857</v>
      </c>
      <c r="I33" s="33">
        <v>42117</v>
      </c>
      <c r="J33" s="33">
        <v>44348</v>
      </c>
      <c r="K33" s="33">
        <v>51271</v>
      </c>
      <c r="L33" s="33">
        <v>56687</v>
      </c>
      <c r="M33" s="33">
        <v>62313</v>
      </c>
      <c r="N33" s="33">
        <v>67592</v>
      </c>
      <c r="O33" s="33">
        <v>65785</v>
      </c>
      <c r="P33" s="33">
        <v>66431</v>
      </c>
      <c r="Q33" s="33">
        <v>68837</v>
      </c>
      <c r="R33" s="33">
        <v>69368</v>
      </c>
      <c r="S33" s="33">
        <v>68249</v>
      </c>
      <c r="T33" s="33">
        <v>83757</v>
      </c>
      <c r="U33" s="33">
        <v>95530</v>
      </c>
      <c r="V33" s="33">
        <v>94942</v>
      </c>
      <c r="W33" s="33">
        <v>89851</v>
      </c>
      <c r="X33" s="33">
        <v>81598</v>
      </c>
      <c r="Y33" s="33">
        <v>69431</v>
      </c>
      <c r="Z33" s="34">
        <v>58637</v>
      </c>
      <c r="AA33" s="35">
        <f t="shared" si="0"/>
        <v>1452123</v>
      </c>
      <c r="AB33" s="19">
        <v>22</v>
      </c>
      <c r="AC33" s="79">
        <f>+AA33*AB33+AA34*AB34+AA35*AB35</f>
        <v>44418452</v>
      </c>
    </row>
    <row r="34" spans="1:30" ht="15.75" thickBot="1" x14ac:dyDescent="0.3">
      <c r="A34" s="78"/>
      <c r="B34" s="20" t="s">
        <v>7</v>
      </c>
      <c r="C34" s="36">
        <v>44471</v>
      </c>
      <c r="D34" s="36">
        <v>40132</v>
      </c>
      <c r="E34" s="36">
        <v>37467</v>
      </c>
      <c r="F34" s="36">
        <v>35727</v>
      </c>
      <c r="G34" s="36">
        <v>36077</v>
      </c>
      <c r="H34" s="36">
        <v>37069</v>
      </c>
      <c r="I34" s="36">
        <v>40712</v>
      </c>
      <c r="J34" s="36">
        <v>45038</v>
      </c>
      <c r="K34" s="36">
        <v>53915</v>
      </c>
      <c r="L34" s="36">
        <v>60087</v>
      </c>
      <c r="M34" s="36">
        <v>65352</v>
      </c>
      <c r="N34" s="36">
        <v>69777</v>
      </c>
      <c r="O34" s="36">
        <v>69986</v>
      </c>
      <c r="P34" s="36">
        <v>68753</v>
      </c>
      <c r="Q34" s="36">
        <v>67551</v>
      </c>
      <c r="R34" s="36">
        <v>66806</v>
      </c>
      <c r="S34" s="36">
        <v>65901</v>
      </c>
      <c r="T34" s="36">
        <v>84251</v>
      </c>
      <c r="U34" s="36">
        <v>97803</v>
      </c>
      <c r="V34" s="36">
        <v>97560</v>
      </c>
      <c r="W34" s="36">
        <v>92497</v>
      </c>
      <c r="X34" s="36">
        <v>84938</v>
      </c>
      <c r="Y34" s="36">
        <v>75612</v>
      </c>
      <c r="Z34" s="37">
        <v>65422</v>
      </c>
      <c r="AA34" s="38">
        <f t="shared" si="0"/>
        <v>1502904</v>
      </c>
      <c r="AB34" s="21">
        <v>4</v>
      </c>
      <c r="AC34" s="80"/>
      <c r="AD34" s="47"/>
    </row>
    <row r="35" spans="1:30" x14ac:dyDescent="0.25">
      <c r="A35" s="78"/>
      <c r="B35" s="22" t="s">
        <v>6</v>
      </c>
      <c r="C35" s="39">
        <v>43988</v>
      </c>
      <c r="D35" s="39">
        <v>39414</v>
      </c>
      <c r="E35" s="39">
        <v>36246</v>
      </c>
      <c r="F35" s="39">
        <v>34007</v>
      </c>
      <c r="G35" s="39">
        <v>33273</v>
      </c>
      <c r="H35" s="39">
        <v>32368</v>
      </c>
      <c r="I35" s="39">
        <v>33283</v>
      </c>
      <c r="J35" s="39">
        <v>34585</v>
      </c>
      <c r="K35" s="39">
        <v>41358</v>
      </c>
      <c r="L35" s="39">
        <v>47306</v>
      </c>
      <c r="M35" s="39">
        <v>51544</v>
      </c>
      <c r="N35" s="39">
        <v>55772</v>
      </c>
      <c r="O35" s="39">
        <v>58126</v>
      </c>
      <c r="P35" s="39">
        <v>57360</v>
      </c>
      <c r="Q35" s="39">
        <v>55602</v>
      </c>
      <c r="R35" s="39">
        <v>54767</v>
      </c>
      <c r="S35" s="39">
        <v>54302</v>
      </c>
      <c r="T35" s="39">
        <v>72366</v>
      </c>
      <c r="U35" s="39">
        <v>85893</v>
      </c>
      <c r="V35" s="39">
        <v>86967</v>
      </c>
      <c r="W35" s="39">
        <v>83480</v>
      </c>
      <c r="X35" s="39">
        <v>76666</v>
      </c>
      <c r="Y35" s="39">
        <v>66542</v>
      </c>
      <c r="Z35" s="40">
        <v>56811</v>
      </c>
      <c r="AA35" s="41">
        <f t="shared" si="0"/>
        <v>1292026</v>
      </c>
      <c r="AB35" s="23">
        <v>5</v>
      </c>
      <c r="AC35" s="81"/>
      <c r="AD35" s="48"/>
    </row>
    <row r="36" spans="1:30" ht="15.75" thickBot="1" x14ac:dyDescent="0.3">
      <c r="A36" s="78">
        <v>47788</v>
      </c>
      <c r="B36" s="18" t="s">
        <v>8</v>
      </c>
      <c r="C36" s="33">
        <v>38566</v>
      </c>
      <c r="D36" s="33">
        <v>34745</v>
      </c>
      <c r="E36" s="33">
        <v>32620</v>
      </c>
      <c r="F36" s="33">
        <v>31620</v>
      </c>
      <c r="G36" s="33">
        <v>33076</v>
      </c>
      <c r="H36" s="33">
        <v>37212</v>
      </c>
      <c r="I36" s="33">
        <v>41883</v>
      </c>
      <c r="J36" s="33">
        <v>44264</v>
      </c>
      <c r="K36" s="33">
        <v>51096</v>
      </c>
      <c r="L36" s="33">
        <v>56362</v>
      </c>
      <c r="M36" s="33">
        <v>62017</v>
      </c>
      <c r="N36" s="33">
        <v>67470</v>
      </c>
      <c r="O36" s="33">
        <v>65322</v>
      </c>
      <c r="P36" s="33">
        <v>65409</v>
      </c>
      <c r="Q36" s="33">
        <v>67788</v>
      </c>
      <c r="R36" s="33">
        <v>67651</v>
      </c>
      <c r="S36" s="33">
        <v>66811</v>
      </c>
      <c r="T36" s="33">
        <v>83379</v>
      </c>
      <c r="U36" s="33">
        <v>95671</v>
      </c>
      <c r="V36" s="33">
        <v>95012</v>
      </c>
      <c r="W36" s="33">
        <v>89851</v>
      </c>
      <c r="X36" s="33">
        <v>81099</v>
      </c>
      <c r="Y36" s="33">
        <v>68538</v>
      </c>
      <c r="Z36" s="34">
        <v>57335</v>
      </c>
      <c r="AA36" s="35">
        <f t="shared" si="0"/>
        <v>1434797</v>
      </c>
      <c r="AB36" s="19">
        <v>19</v>
      </c>
      <c r="AC36" s="79">
        <f>+AA36*AB36+AA37*AB37+AA38*AB38</f>
        <v>41542151</v>
      </c>
    </row>
    <row r="37" spans="1:30" ht="15.75" thickBot="1" x14ac:dyDescent="0.3">
      <c r="A37" s="78"/>
      <c r="B37" s="20" t="s">
        <v>7</v>
      </c>
      <c r="C37" s="36">
        <v>40382</v>
      </c>
      <c r="D37" s="36">
        <v>36361</v>
      </c>
      <c r="E37" s="36">
        <v>33850</v>
      </c>
      <c r="F37" s="36">
        <v>32289</v>
      </c>
      <c r="G37" s="36">
        <v>32562</v>
      </c>
      <c r="H37" s="36">
        <v>33397</v>
      </c>
      <c r="I37" s="36">
        <v>36593</v>
      </c>
      <c r="J37" s="36">
        <v>40147</v>
      </c>
      <c r="K37" s="36">
        <v>48767</v>
      </c>
      <c r="L37" s="36">
        <v>54741</v>
      </c>
      <c r="M37" s="36">
        <v>59559</v>
      </c>
      <c r="N37" s="36">
        <v>63954</v>
      </c>
      <c r="O37" s="36">
        <v>63634</v>
      </c>
      <c r="P37" s="36">
        <v>61743</v>
      </c>
      <c r="Q37" s="36">
        <v>61212</v>
      </c>
      <c r="R37" s="36">
        <v>60859</v>
      </c>
      <c r="S37" s="36">
        <v>60410</v>
      </c>
      <c r="T37" s="36">
        <v>79021</v>
      </c>
      <c r="U37" s="36">
        <v>92774</v>
      </c>
      <c r="V37" s="36">
        <v>92440</v>
      </c>
      <c r="W37" s="36">
        <v>87332</v>
      </c>
      <c r="X37" s="36">
        <v>80619</v>
      </c>
      <c r="Y37" s="36">
        <v>70763</v>
      </c>
      <c r="Z37" s="37">
        <v>60845</v>
      </c>
      <c r="AA37" s="38">
        <f t="shared" si="0"/>
        <v>1384254</v>
      </c>
      <c r="AB37" s="21">
        <v>5</v>
      </c>
      <c r="AC37" s="80"/>
      <c r="AD37" s="47"/>
    </row>
    <row r="38" spans="1:30" x14ac:dyDescent="0.25">
      <c r="A38" s="78"/>
      <c r="B38" s="22" t="s">
        <v>6</v>
      </c>
      <c r="C38" s="39">
        <v>40331</v>
      </c>
      <c r="D38" s="39">
        <v>36016</v>
      </c>
      <c r="E38" s="39">
        <v>33042</v>
      </c>
      <c r="F38" s="39">
        <v>30868</v>
      </c>
      <c r="G38" s="39">
        <v>30595</v>
      </c>
      <c r="H38" s="39">
        <v>29881</v>
      </c>
      <c r="I38" s="39">
        <v>31008</v>
      </c>
      <c r="J38" s="39">
        <v>32532</v>
      </c>
      <c r="K38" s="39">
        <v>39255</v>
      </c>
      <c r="L38" s="39">
        <v>45003</v>
      </c>
      <c r="M38" s="39">
        <v>49173</v>
      </c>
      <c r="N38" s="39">
        <v>53483</v>
      </c>
      <c r="O38" s="39">
        <v>55609</v>
      </c>
      <c r="P38" s="39">
        <v>54834</v>
      </c>
      <c r="Q38" s="39">
        <v>52756</v>
      </c>
      <c r="R38" s="39">
        <v>51340</v>
      </c>
      <c r="S38" s="39">
        <v>50999</v>
      </c>
      <c r="T38" s="39">
        <v>69381</v>
      </c>
      <c r="U38" s="39">
        <v>83169</v>
      </c>
      <c r="V38" s="39">
        <v>84420</v>
      </c>
      <c r="W38" s="39">
        <v>80955</v>
      </c>
      <c r="X38" s="39">
        <v>74124</v>
      </c>
      <c r="Y38" s="39">
        <v>63808</v>
      </c>
      <c r="Z38" s="40">
        <v>54041</v>
      </c>
      <c r="AA38" s="41">
        <f t="shared" si="0"/>
        <v>1226623</v>
      </c>
      <c r="AB38" s="23">
        <v>6</v>
      </c>
      <c r="AC38" s="81"/>
      <c r="AD38" s="49"/>
    </row>
    <row r="39" spans="1:30" ht="15.75" thickBot="1" x14ac:dyDescent="0.3">
      <c r="A39" s="78">
        <v>47818</v>
      </c>
      <c r="B39" s="18" t="s">
        <v>8</v>
      </c>
      <c r="C39" s="33">
        <v>44063</v>
      </c>
      <c r="D39" s="33">
        <v>39466</v>
      </c>
      <c r="E39" s="33">
        <v>36807</v>
      </c>
      <c r="F39" s="33">
        <v>35418</v>
      </c>
      <c r="G39" s="33">
        <v>36344</v>
      </c>
      <c r="H39" s="33">
        <v>39293</v>
      </c>
      <c r="I39" s="33">
        <v>42399</v>
      </c>
      <c r="J39" s="33">
        <v>46529</v>
      </c>
      <c r="K39" s="33">
        <v>54717</v>
      </c>
      <c r="L39" s="33">
        <v>60741</v>
      </c>
      <c r="M39" s="33">
        <v>66277</v>
      </c>
      <c r="N39" s="33">
        <v>71891</v>
      </c>
      <c r="O39" s="33">
        <v>70845</v>
      </c>
      <c r="P39" s="33">
        <v>70744</v>
      </c>
      <c r="Q39" s="33">
        <v>72346</v>
      </c>
      <c r="R39" s="33">
        <v>72170</v>
      </c>
      <c r="S39" s="33">
        <v>70556</v>
      </c>
      <c r="T39" s="33">
        <v>85052</v>
      </c>
      <c r="U39" s="33">
        <v>97043</v>
      </c>
      <c r="V39" s="33">
        <v>98829</v>
      </c>
      <c r="W39" s="33">
        <v>94166</v>
      </c>
      <c r="X39" s="33">
        <v>86724</v>
      </c>
      <c r="Y39" s="33">
        <v>75342</v>
      </c>
      <c r="Z39" s="34">
        <v>64480</v>
      </c>
      <c r="AA39" s="35">
        <f t="shared" si="0"/>
        <v>1532242</v>
      </c>
      <c r="AB39" s="19">
        <v>21</v>
      </c>
      <c r="AC39" s="79">
        <f>+AA39*AB39+AA40*AB40+AA41*AB41</f>
        <v>45850786</v>
      </c>
    </row>
    <row r="40" spans="1:30" ht="15.75" thickBot="1" x14ac:dyDescent="0.3">
      <c r="A40" s="78"/>
      <c r="B40" s="20" t="s">
        <v>7</v>
      </c>
      <c r="C40" s="36">
        <v>44217</v>
      </c>
      <c r="D40" s="36">
        <v>39718</v>
      </c>
      <c r="E40" s="36">
        <v>37048</v>
      </c>
      <c r="F40" s="36">
        <v>35272</v>
      </c>
      <c r="G40" s="36">
        <v>35375</v>
      </c>
      <c r="H40" s="36">
        <v>37035</v>
      </c>
      <c r="I40" s="36">
        <v>38872</v>
      </c>
      <c r="J40" s="36">
        <v>42348</v>
      </c>
      <c r="K40" s="36">
        <v>50638</v>
      </c>
      <c r="L40" s="36">
        <v>56346</v>
      </c>
      <c r="M40" s="36">
        <v>60945</v>
      </c>
      <c r="N40" s="36">
        <v>64793</v>
      </c>
      <c r="O40" s="36">
        <v>64786</v>
      </c>
      <c r="P40" s="36">
        <v>63310</v>
      </c>
      <c r="Q40" s="36">
        <v>62395</v>
      </c>
      <c r="R40" s="36">
        <v>61389</v>
      </c>
      <c r="S40" s="36">
        <v>60692</v>
      </c>
      <c r="T40" s="36">
        <v>77585</v>
      </c>
      <c r="U40" s="36">
        <v>90916</v>
      </c>
      <c r="V40" s="36">
        <v>92410</v>
      </c>
      <c r="W40" s="36">
        <v>87815</v>
      </c>
      <c r="X40" s="36">
        <v>81319</v>
      </c>
      <c r="Y40" s="36">
        <v>72068</v>
      </c>
      <c r="Z40" s="37">
        <v>63152</v>
      </c>
      <c r="AA40" s="38">
        <f t="shared" si="0"/>
        <v>1420444</v>
      </c>
      <c r="AB40" s="21">
        <v>4</v>
      </c>
      <c r="AC40" s="80"/>
      <c r="AD40" s="47"/>
    </row>
    <row r="41" spans="1:30" x14ac:dyDescent="0.25">
      <c r="A41" s="78"/>
      <c r="B41" s="22" t="s">
        <v>6</v>
      </c>
      <c r="C41" s="39">
        <v>46898</v>
      </c>
      <c r="D41" s="39">
        <v>42143</v>
      </c>
      <c r="E41" s="39">
        <v>38735</v>
      </c>
      <c r="F41" s="39">
        <v>36364</v>
      </c>
      <c r="G41" s="39">
        <v>35422</v>
      </c>
      <c r="H41" s="39">
        <v>35086</v>
      </c>
      <c r="I41" s="39">
        <v>34725</v>
      </c>
      <c r="J41" s="39">
        <v>35454</v>
      </c>
      <c r="K41" s="39">
        <v>42141</v>
      </c>
      <c r="L41" s="39">
        <v>48000</v>
      </c>
      <c r="M41" s="39">
        <v>52431</v>
      </c>
      <c r="N41" s="39">
        <v>56575</v>
      </c>
      <c r="O41" s="39">
        <v>58837</v>
      </c>
      <c r="P41" s="39">
        <v>58805</v>
      </c>
      <c r="Q41" s="39">
        <v>57326</v>
      </c>
      <c r="R41" s="39">
        <v>56402</v>
      </c>
      <c r="S41" s="39">
        <v>55911</v>
      </c>
      <c r="T41" s="39">
        <v>72826</v>
      </c>
      <c r="U41" s="39">
        <v>86129</v>
      </c>
      <c r="V41" s="39">
        <v>88825</v>
      </c>
      <c r="W41" s="39">
        <v>85081</v>
      </c>
      <c r="X41" s="39">
        <v>78682</v>
      </c>
      <c r="Y41" s="39">
        <v>69292</v>
      </c>
      <c r="Z41" s="40">
        <v>59898</v>
      </c>
      <c r="AA41" s="41">
        <f t="shared" si="0"/>
        <v>1331988</v>
      </c>
      <c r="AB41" s="23">
        <v>6</v>
      </c>
      <c r="AC41" s="81"/>
      <c r="AD41" s="42"/>
    </row>
    <row r="42" spans="1:30" x14ac:dyDescent="0.25">
      <c r="A42" s="76" t="s">
        <v>5</v>
      </c>
      <c r="B42" s="77"/>
      <c r="C42" s="31">
        <f t="shared" ref="C42:AC42" si="1">+SUM(C6:C41)</f>
        <v>1546281</v>
      </c>
      <c r="D42" s="31">
        <f t="shared" si="1"/>
        <v>1386647</v>
      </c>
      <c r="E42" s="31">
        <f t="shared" si="1"/>
        <v>1289946</v>
      </c>
      <c r="F42" s="31">
        <f t="shared" si="1"/>
        <v>1230070</v>
      </c>
      <c r="G42" s="31">
        <f t="shared" si="1"/>
        <v>1237203</v>
      </c>
      <c r="H42" s="31">
        <f t="shared" si="1"/>
        <v>1306300</v>
      </c>
      <c r="I42" s="31">
        <f t="shared" si="1"/>
        <v>1393123</v>
      </c>
      <c r="J42" s="31">
        <f t="shared" si="1"/>
        <v>1478108</v>
      </c>
      <c r="K42" s="31">
        <f t="shared" si="1"/>
        <v>1754465</v>
      </c>
      <c r="L42" s="31">
        <f t="shared" si="1"/>
        <v>1967129</v>
      </c>
      <c r="M42" s="31">
        <f t="shared" si="1"/>
        <v>2145903</v>
      </c>
      <c r="N42" s="31">
        <f t="shared" si="1"/>
        <v>2313858</v>
      </c>
      <c r="O42" s="31">
        <f t="shared" si="1"/>
        <v>2320545</v>
      </c>
      <c r="P42" s="31">
        <f t="shared" si="1"/>
        <v>2301107</v>
      </c>
      <c r="Q42" s="31">
        <f t="shared" si="1"/>
        <v>2289052</v>
      </c>
      <c r="R42" s="31">
        <f t="shared" si="1"/>
        <v>2275169</v>
      </c>
      <c r="S42" s="31">
        <f t="shared" si="1"/>
        <v>2240423</v>
      </c>
      <c r="T42" s="31">
        <f t="shared" si="1"/>
        <v>2793979</v>
      </c>
      <c r="U42" s="31">
        <f t="shared" si="1"/>
        <v>3156391</v>
      </c>
      <c r="V42" s="31">
        <f t="shared" si="1"/>
        <v>3340238</v>
      </c>
      <c r="W42" s="31">
        <f t="shared" si="1"/>
        <v>3192167</v>
      </c>
      <c r="X42" s="31">
        <f t="shared" si="1"/>
        <v>2936131</v>
      </c>
      <c r="Y42" s="31">
        <f t="shared" si="1"/>
        <v>2550059</v>
      </c>
      <c r="Z42" s="31">
        <f t="shared" si="1"/>
        <v>2173596</v>
      </c>
      <c r="AA42" s="31">
        <f t="shared" si="1"/>
        <v>50617890</v>
      </c>
      <c r="AB42" s="31">
        <f t="shared" si="1"/>
        <v>365</v>
      </c>
      <c r="AC42" s="46">
        <f t="shared" si="1"/>
        <v>524562477</v>
      </c>
    </row>
    <row r="43" spans="1:30" x14ac:dyDescent="0.25">
      <c r="AB43" s="6"/>
      <c r="AC43" s="6"/>
    </row>
    <row r="44" spans="1:30" x14ac:dyDescent="0.25">
      <c r="C44" s="49"/>
      <c r="AA44" s="48"/>
    </row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F99A-5221-45C2-B43E-7FD7B0826FBD}">
  <sheetPr codeName="Hoja7">
    <tabColor theme="5" tint="0.79998168889431442"/>
  </sheetPr>
  <dimension ref="A1:AD46"/>
  <sheetViews>
    <sheetView showGridLines="0" zoomScale="115" zoomScaleNormal="115" zoomScaleSheetLayoutView="110" workbookViewId="0">
      <pane xSplit="2" ySplit="5" topLeftCell="N41" activePane="bottomRight" state="frozen"/>
      <selection pane="topRight" activeCell="C1" sqref="C1"/>
      <selection pane="bottomLeft" activeCell="A6" sqref="A6"/>
      <selection pane="bottomRight" activeCell="N6" sqref="N6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4" width="9" bestFit="1" customWidth="1"/>
    <col min="5" max="7" width="8" bestFit="1" customWidth="1"/>
    <col min="8" max="8" width="8.7109375" bestFit="1" customWidth="1"/>
    <col min="9" max="9" width="9" bestFit="1" customWidth="1"/>
    <col min="10" max="10" width="8" bestFit="1" customWidth="1"/>
    <col min="11" max="11" width="9" bestFit="1" customWidth="1"/>
    <col min="12" max="13" width="8.7109375" bestFit="1" customWidth="1"/>
    <col min="14" max="19" width="9" bestFit="1" customWidth="1"/>
    <col min="20" max="27" width="9.42578125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6" t="s">
        <v>86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8"/>
    </row>
    <row r="2" spans="1:30" ht="15" x14ac:dyDescent="0.25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1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8" x14ac:dyDescent="0.25">
      <c r="A4" s="92" t="s">
        <v>38</v>
      </c>
      <c r="B4" s="92" t="s">
        <v>37</v>
      </c>
      <c r="C4" s="84" t="s">
        <v>36</v>
      </c>
      <c r="D4" s="84" t="s">
        <v>35</v>
      </c>
      <c r="E4" s="84" t="s">
        <v>34</v>
      </c>
      <c r="F4" s="84" t="s">
        <v>33</v>
      </c>
      <c r="G4" s="84" t="s">
        <v>32</v>
      </c>
      <c r="H4" s="84" t="s">
        <v>31</v>
      </c>
      <c r="I4" s="84" t="s">
        <v>30</v>
      </c>
      <c r="J4" s="84" t="s">
        <v>29</v>
      </c>
      <c r="K4" s="84" t="s">
        <v>28</v>
      </c>
      <c r="L4" s="84" t="s">
        <v>27</v>
      </c>
      <c r="M4" s="84" t="s">
        <v>26</v>
      </c>
      <c r="N4" s="84" t="s">
        <v>25</v>
      </c>
      <c r="O4" s="84" t="s">
        <v>24</v>
      </c>
      <c r="P4" s="84" t="s">
        <v>23</v>
      </c>
      <c r="Q4" s="84" t="s">
        <v>22</v>
      </c>
      <c r="R4" s="84" t="s">
        <v>21</v>
      </c>
      <c r="S4" s="84" t="s">
        <v>20</v>
      </c>
      <c r="T4" s="84" t="s">
        <v>19</v>
      </c>
      <c r="U4" s="84" t="s">
        <v>18</v>
      </c>
      <c r="V4" s="84" t="s">
        <v>17</v>
      </c>
      <c r="W4" s="84" t="s">
        <v>16</v>
      </c>
      <c r="X4" s="84" t="s">
        <v>15</v>
      </c>
      <c r="Y4" s="84" t="s">
        <v>14</v>
      </c>
      <c r="Z4" s="84" t="s">
        <v>13</v>
      </c>
      <c r="AA4" s="14" t="s">
        <v>12</v>
      </c>
      <c r="AB4" s="15" t="s">
        <v>11</v>
      </c>
      <c r="AC4" s="82" t="s">
        <v>10</v>
      </c>
    </row>
    <row r="5" spans="1:30" ht="15" x14ac:dyDescent="0.25">
      <c r="A5" s="92"/>
      <c r="B5" s="92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16"/>
      <c r="AB5" s="17" t="s">
        <v>9</v>
      </c>
      <c r="AC5" s="83"/>
    </row>
    <row r="6" spans="1:30" ht="15.75" thickBot="1" x14ac:dyDescent="0.3">
      <c r="A6" s="78">
        <v>47484</v>
      </c>
      <c r="B6" s="18" t="s">
        <v>8</v>
      </c>
      <c r="C6" s="33">
        <f>ROUND('Anexo 12'!C6*'Anexo 5'!$D$10,0)</f>
        <v>0</v>
      </c>
      <c r="D6" s="33">
        <f>ROUND('Anexo 12'!D6*'Anexo 5'!$D$10,0)</f>
        <v>0</v>
      </c>
      <c r="E6" s="33">
        <f>ROUND('Anexo 12'!E6*'Anexo 5'!$D$10,0)</f>
        <v>0</v>
      </c>
      <c r="F6" s="33">
        <f>ROUND('Anexo 12'!F6*'Anexo 5'!$D$10,0)</f>
        <v>0</v>
      </c>
      <c r="G6" s="33">
        <f>ROUND('Anexo 12'!G6*'Anexo 5'!$D$10,0)</f>
        <v>0</v>
      </c>
      <c r="H6" s="33">
        <f>ROUND('Anexo 12'!H6*'Anexo 5'!$D$10,0)</f>
        <v>0</v>
      </c>
      <c r="I6" s="33">
        <f>ROUND('Anexo 12'!I6*'Anexo 5'!$D$10,0)</f>
        <v>0</v>
      </c>
      <c r="J6" s="33">
        <f>ROUND('Anexo 12'!J6*'Anexo 5'!$D$10,0)</f>
        <v>0</v>
      </c>
      <c r="K6" s="33">
        <f>ROUND('Anexo 12'!K6*'Anexo 5'!$D$10,0)</f>
        <v>0</v>
      </c>
      <c r="L6" s="33">
        <f>ROUND('Anexo 12'!L6*'Anexo 5'!$D$10,0)</f>
        <v>0</v>
      </c>
      <c r="M6" s="33">
        <f>ROUND('Anexo 12'!M6*'Anexo 5'!$D$10,0)</f>
        <v>0</v>
      </c>
      <c r="N6" s="33">
        <f>ROUND('Anexo 12'!N6*'Anexo 5'!$D$10,0)</f>
        <v>0</v>
      </c>
      <c r="O6" s="33">
        <f>ROUND('Anexo 12'!O6*'Anexo 5'!$D$10,0)</f>
        <v>0</v>
      </c>
      <c r="P6" s="33">
        <f>ROUND('Anexo 12'!P6*'Anexo 5'!$D$10,0)</f>
        <v>0</v>
      </c>
      <c r="Q6" s="33">
        <f>ROUND('Anexo 12'!Q6*'Anexo 5'!$D$10,0)</f>
        <v>0</v>
      </c>
      <c r="R6" s="33">
        <f>ROUND('Anexo 12'!R6*'Anexo 5'!$D$10,0)</f>
        <v>0</v>
      </c>
      <c r="S6" s="33">
        <f>ROUND('Anexo 12'!S6*'Anexo 5'!$D$10,0)</f>
        <v>0</v>
      </c>
      <c r="T6" s="33">
        <f>ROUND('Anexo 12'!T6*'Anexo 5'!$D$10,0)</f>
        <v>0</v>
      </c>
      <c r="U6" s="33">
        <f>ROUND('Anexo 12'!U6*'Anexo 5'!$D$10,0)</f>
        <v>0</v>
      </c>
      <c r="V6" s="33">
        <f>ROUND('Anexo 12'!V6*'Anexo 5'!$D$10,0)</f>
        <v>0</v>
      </c>
      <c r="W6" s="33">
        <f>ROUND('Anexo 12'!W6*'Anexo 5'!$D$10,0)</f>
        <v>0</v>
      </c>
      <c r="X6" s="33">
        <f>ROUND('Anexo 12'!X6*'Anexo 5'!$D$10,0)</f>
        <v>0</v>
      </c>
      <c r="Y6" s="33">
        <f>ROUND('Anexo 12'!Y6*'Anexo 5'!$D$10,0)</f>
        <v>0</v>
      </c>
      <c r="Z6" s="34">
        <f>ROUND('Anexo 12'!Z6*'Anexo 5'!$D$10,0)</f>
        <v>0</v>
      </c>
      <c r="AA6" s="35">
        <f>SUM(C6:Z6)</f>
        <v>0</v>
      </c>
      <c r="AB6" s="19">
        <v>21</v>
      </c>
      <c r="AC6" s="79">
        <f>+AA6*AB6+AA7*AB7+AA8*AB8</f>
        <v>0</v>
      </c>
    </row>
    <row r="7" spans="1:30" ht="15.75" thickBot="1" x14ac:dyDescent="0.3">
      <c r="A7" s="78"/>
      <c r="B7" s="20" t="s">
        <v>7</v>
      </c>
      <c r="C7" s="36">
        <f>ROUND('Anexo 12'!C7*'Anexo 5'!$D$10,0)</f>
        <v>0</v>
      </c>
      <c r="D7" s="36">
        <f>ROUND('Anexo 12'!D7*'Anexo 5'!$D$10,0)</f>
        <v>0</v>
      </c>
      <c r="E7" s="36">
        <f>ROUND('Anexo 12'!E7*'Anexo 5'!$D$10,0)</f>
        <v>0</v>
      </c>
      <c r="F7" s="36">
        <f>ROUND('Anexo 12'!F7*'Anexo 5'!$D$10,0)</f>
        <v>0</v>
      </c>
      <c r="G7" s="36">
        <f>ROUND('Anexo 12'!G7*'Anexo 5'!$D$10,0)</f>
        <v>0</v>
      </c>
      <c r="H7" s="36">
        <f>ROUND('Anexo 12'!H7*'Anexo 5'!$D$10,0)</f>
        <v>0</v>
      </c>
      <c r="I7" s="36">
        <f>ROUND('Anexo 12'!I7*'Anexo 5'!$D$10,0)</f>
        <v>0</v>
      </c>
      <c r="J7" s="36">
        <f>ROUND('Anexo 12'!J7*'Anexo 5'!$D$10,0)</f>
        <v>0</v>
      </c>
      <c r="K7" s="36">
        <f>ROUND('Anexo 12'!K7*'Anexo 5'!$D$10,0)</f>
        <v>0</v>
      </c>
      <c r="L7" s="36">
        <f>ROUND('Anexo 12'!L7*'Anexo 5'!$D$10,0)</f>
        <v>0</v>
      </c>
      <c r="M7" s="36">
        <f>ROUND('Anexo 12'!M7*'Anexo 5'!$D$10,0)</f>
        <v>0</v>
      </c>
      <c r="N7" s="36">
        <f>ROUND('Anexo 12'!N7*'Anexo 5'!$D$10,0)</f>
        <v>0</v>
      </c>
      <c r="O7" s="36">
        <f>ROUND('Anexo 12'!O7*'Anexo 5'!$D$10,0)</f>
        <v>0</v>
      </c>
      <c r="P7" s="36">
        <f>ROUND('Anexo 12'!P7*'Anexo 5'!$D$10,0)</f>
        <v>0</v>
      </c>
      <c r="Q7" s="36">
        <f>ROUND('Anexo 12'!Q7*'Anexo 5'!$D$10,0)</f>
        <v>0</v>
      </c>
      <c r="R7" s="36">
        <f>ROUND('Anexo 12'!R7*'Anexo 5'!$D$10,0)</f>
        <v>0</v>
      </c>
      <c r="S7" s="36">
        <f>ROUND('Anexo 12'!S7*'Anexo 5'!$D$10,0)</f>
        <v>0</v>
      </c>
      <c r="T7" s="36">
        <f>ROUND('Anexo 12'!T7*'Anexo 5'!$D$10,0)</f>
        <v>0</v>
      </c>
      <c r="U7" s="36">
        <f>ROUND('Anexo 12'!U7*'Anexo 5'!$D$10,0)</f>
        <v>0</v>
      </c>
      <c r="V7" s="36">
        <f>ROUND('Anexo 12'!V7*'Anexo 5'!$D$10,0)</f>
        <v>0</v>
      </c>
      <c r="W7" s="36">
        <f>ROUND('Anexo 12'!W7*'Anexo 5'!$D$10,0)</f>
        <v>0</v>
      </c>
      <c r="X7" s="36">
        <f>ROUND('Anexo 12'!X7*'Anexo 5'!$D$10,0)</f>
        <v>0</v>
      </c>
      <c r="Y7" s="36">
        <f>ROUND('Anexo 12'!Y7*'Anexo 5'!$D$10,0)</f>
        <v>0</v>
      </c>
      <c r="Z7" s="37">
        <f>ROUND('Anexo 12'!Z7*'Anexo 5'!$D$10,0)</f>
        <v>0</v>
      </c>
      <c r="AA7" s="38">
        <f t="shared" ref="AA7:AA41" si="0">SUM(C7:Z7)</f>
        <v>0</v>
      </c>
      <c r="AB7" s="21">
        <v>4</v>
      </c>
      <c r="AC7" s="80"/>
      <c r="AD7" s="47"/>
    </row>
    <row r="8" spans="1:30" ht="15" x14ac:dyDescent="0.25">
      <c r="A8" s="78"/>
      <c r="B8" s="22" t="s">
        <v>6</v>
      </c>
      <c r="C8" s="39">
        <f>ROUND('Anexo 12'!C8*'Anexo 5'!$D$10,0)</f>
        <v>0</v>
      </c>
      <c r="D8" s="39">
        <f>ROUND('Anexo 12'!D8*'Anexo 5'!$D$10,0)</f>
        <v>0</v>
      </c>
      <c r="E8" s="39">
        <f>ROUND('Anexo 12'!E8*'Anexo 5'!$D$10,0)</f>
        <v>0</v>
      </c>
      <c r="F8" s="39">
        <f>ROUND('Anexo 12'!F8*'Anexo 5'!$D$10,0)</f>
        <v>0</v>
      </c>
      <c r="G8" s="39">
        <f>ROUND('Anexo 12'!G8*'Anexo 5'!$D$10,0)</f>
        <v>0</v>
      </c>
      <c r="H8" s="39">
        <f>ROUND('Anexo 12'!H8*'Anexo 5'!$D$10,0)</f>
        <v>0</v>
      </c>
      <c r="I8" s="39">
        <f>ROUND('Anexo 12'!I8*'Anexo 5'!$D$10,0)</f>
        <v>0</v>
      </c>
      <c r="J8" s="39">
        <f>ROUND('Anexo 12'!J8*'Anexo 5'!$D$10,0)</f>
        <v>0</v>
      </c>
      <c r="K8" s="39">
        <f>ROUND('Anexo 12'!K8*'Anexo 5'!$D$10,0)</f>
        <v>0</v>
      </c>
      <c r="L8" s="39">
        <f>ROUND('Anexo 12'!L8*'Anexo 5'!$D$10,0)</f>
        <v>0</v>
      </c>
      <c r="M8" s="39">
        <f>ROUND('Anexo 12'!M8*'Anexo 5'!$D$10,0)</f>
        <v>0</v>
      </c>
      <c r="N8" s="39">
        <f>ROUND('Anexo 12'!N8*'Anexo 5'!$D$10,0)</f>
        <v>0</v>
      </c>
      <c r="O8" s="39">
        <f>ROUND('Anexo 12'!O8*'Anexo 5'!$D$10,0)</f>
        <v>0</v>
      </c>
      <c r="P8" s="39">
        <f>ROUND('Anexo 12'!P8*'Anexo 5'!$D$10,0)</f>
        <v>0</v>
      </c>
      <c r="Q8" s="39">
        <f>ROUND('Anexo 12'!Q8*'Anexo 5'!$D$10,0)</f>
        <v>0</v>
      </c>
      <c r="R8" s="39">
        <f>ROUND('Anexo 12'!R8*'Anexo 5'!$D$10,0)</f>
        <v>0</v>
      </c>
      <c r="S8" s="39">
        <f>ROUND('Anexo 12'!S8*'Anexo 5'!$D$10,0)</f>
        <v>0</v>
      </c>
      <c r="T8" s="39">
        <f>ROUND('Anexo 12'!T8*'Anexo 5'!$D$10,0)</f>
        <v>0</v>
      </c>
      <c r="U8" s="39">
        <f>ROUND('Anexo 12'!U8*'Anexo 5'!$D$10,0)</f>
        <v>0</v>
      </c>
      <c r="V8" s="39">
        <f>ROUND('Anexo 12'!V8*'Anexo 5'!$D$10,0)</f>
        <v>0</v>
      </c>
      <c r="W8" s="39">
        <f>ROUND('Anexo 12'!W8*'Anexo 5'!$D$10,0)</f>
        <v>0</v>
      </c>
      <c r="X8" s="39">
        <f>ROUND('Anexo 12'!X8*'Anexo 5'!$D$10,0)</f>
        <v>0</v>
      </c>
      <c r="Y8" s="39">
        <f>ROUND('Anexo 12'!Y8*'Anexo 5'!$D$10,0)</f>
        <v>0</v>
      </c>
      <c r="Z8" s="40">
        <f>ROUND('Anexo 12'!Z8*'Anexo 5'!$D$10,0)</f>
        <v>0</v>
      </c>
      <c r="AA8" s="41">
        <f t="shared" si="0"/>
        <v>0</v>
      </c>
      <c r="AB8" s="23">
        <v>6</v>
      </c>
      <c r="AC8" s="81"/>
      <c r="AD8" s="48"/>
    </row>
    <row r="9" spans="1:30" ht="15.75" thickBot="1" x14ac:dyDescent="0.3">
      <c r="A9" s="78">
        <v>47515</v>
      </c>
      <c r="B9" s="18" t="s">
        <v>8</v>
      </c>
      <c r="C9" s="33">
        <f>ROUND('Anexo 12'!C9*'Anexo 5'!$D$10,0)</f>
        <v>0</v>
      </c>
      <c r="D9" s="33">
        <f>ROUND('Anexo 12'!D9*'Anexo 5'!$D$10,0)</f>
        <v>0</v>
      </c>
      <c r="E9" s="33">
        <f>ROUND('Anexo 12'!E9*'Anexo 5'!$D$10,0)</f>
        <v>0</v>
      </c>
      <c r="F9" s="33">
        <f>ROUND('Anexo 12'!F9*'Anexo 5'!$D$10,0)</f>
        <v>0</v>
      </c>
      <c r="G9" s="33">
        <f>ROUND('Anexo 12'!G9*'Anexo 5'!$D$10,0)</f>
        <v>0</v>
      </c>
      <c r="H9" s="33">
        <f>ROUND('Anexo 12'!H9*'Anexo 5'!$D$10,0)</f>
        <v>0</v>
      </c>
      <c r="I9" s="33">
        <f>ROUND('Anexo 12'!I9*'Anexo 5'!$D$10,0)</f>
        <v>0</v>
      </c>
      <c r="J9" s="33">
        <f>ROUND('Anexo 12'!J9*'Anexo 5'!$D$10,0)</f>
        <v>0</v>
      </c>
      <c r="K9" s="33">
        <f>ROUND('Anexo 12'!K9*'Anexo 5'!$D$10,0)</f>
        <v>0</v>
      </c>
      <c r="L9" s="33">
        <f>ROUND('Anexo 12'!L9*'Anexo 5'!$D$10,0)</f>
        <v>0</v>
      </c>
      <c r="M9" s="33">
        <f>ROUND('Anexo 12'!M9*'Anexo 5'!$D$10,0)</f>
        <v>0</v>
      </c>
      <c r="N9" s="33">
        <f>ROUND('Anexo 12'!N9*'Anexo 5'!$D$10,0)</f>
        <v>0</v>
      </c>
      <c r="O9" s="33">
        <f>ROUND('Anexo 12'!O9*'Anexo 5'!$D$10,0)</f>
        <v>0</v>
      </c>
      <c r="P9" s="33">
        <f>ROUND('Anexo 12'!P9*'Anexo 5'!$D$10,0)</f>
        <v>0</v>
      </c>
      <c r="Q9" s="33">
        <f>ROUND('Anexo 12'!Q9*'Anexo 5'!$D$10,0)</f>
        <v>0</v>
      </c>
      <c r="R9" s="33">
        <f>ROUND('Anexo 12'!R9*'Anexo 5'!$D$10,0)</f>
        <v>0</v>
      </c>
      <c r="S9" s="33">
        <f>ROUND('Anexo 12'!S9*'Anexo 5'!$D$10,0)</f>
        <v>0</v>
      </c>
      <c r="T9" s="33">
        <f>ROUND('Anexo 12'!T9*'Anexo 5'!$D$10,0)</f>
        <v>0</v>
      </c>
      <c r="U9" s="33">
        <f>ROUND('Anexo 12'!U9*'Anexo 5'!$D$10,0)</f>
        <v>0</v>
      </c>
      <c r="V9" s="33">
        <f>ROUND('Anexo 12'!V9*'Anexo 5'!$D$10,0)</f>
        <v>0</v>
      </c>
      <c r="W9" s="33">
        <f>ROUND('Anexo 12'!W9*'Anexo 5'!$D$10,0)</f>
        <v>0</v>
      </c>
      <c r="X9" s="33">
        <f>ROUND('Anexo 12'!X9*'Anexo 5'!$D$10,0)</f>
        <v>0</v>
      </c>
      <c r="Y9" s="33">
        <f>ROUND('Anexo 12'!Y9*'Anexo 5'!$D$10,0)</f>
        <v>0</v>
      </c>
      <c r="Z9" s="33">
        <f>ROUND('Anexo 12'!Z9*'Anexo 5'!$D$10,0)</f>
        <v>0</v>
      </c>
      <c r="AA9" s="35">
        <f t="shared" si="0"/>
        <v>0</v>
      </c>
      <c r="AB9" s="19">
        <v>20</v>
      </c>
      <c r="AC9" s="79">
        <f>+AA9*AB9+AA10*AB10+AA11*AB11</f>
        <v>0</v>
      </c>
    </row>
    <row r="10" spans="1:30" ht="15.75" thickBot="1" x14ac:dyDescent="0.3">
      <c r="A10" s="78"/>
      <c r="B10" s="20" t="s">
        <v>7</v>
      </c>
      <c r="C10" s="33">
        <f>ROUND('Anexo 12'!C10*'Anexo 5'!$D$10,0)</f>
        <v>0</v>
      </c>
      <c r="D10" s="33">
        <f>ROUND('Anexo 12'!D10*'Anexo 5'!$D$10,0)</f>
        <v>0</v>
      </c>
      <c r="E10" s="33">
        <f>ROUND('Anexo 12'!E10*'Anexo 5'!$D$10,0)</f>
        <v>0</v>
      </c>
      <c r="F10" s="33">
        <f>ROUND('Anexo 12'!F10*'Anexo 5'!$D$10,0)</f>
        <v>0</v>
      </c>
      <c r="G10" s="33">
        <f>ROUND('Anexo 12'!G10*'Anexo 5'!$D$10,0)</f>
        <v>0</v>
      </c>
      <c r="H10" s="33">
        <f>ROUND('Anexo 12'!H10*'Anexo 5'!$D$10,0)</f>
        <v>0</v>
      </c>
      <c r="I10" s="33">
        <f>ROUND('Anexo 12'!I10*'Anexo 5'!$D$10,0)</f>
        <v>0</v>
      </c>
      <c r="J10" s="33">
        <f>ROUND('Anexo 12'!J10*'Anexo 5'!$D$10,0)</f>
        <v>0</v>
      </c>
      <c r="K10" s="33">
        <f>ROUND('Anexo 12'!K10*'Anexo 5'!$D$10,0)</f>
        <v>0</v>
      </c>
      <c r="L10" s="33">
        <f>ROUND('Anexo 12'!L10*'Anexo 5'!$D$10,0)</f>
        <v>0</v>
      </c>
      <c r="M10" s="33">
        <f>ROUND('Anexo 12'!M10*'Anexo 5'!$D$10,0)</f>
        <v>0</v>
      </c>
      <c r="N10" s="33">
        <f>ROUND('Anexo 12'!N10*'Anexo 5'!$D$10,0)</f>
        <v>0</v>
      </c>
      <c r="O10" s="33">
        <f>ROUND('Anexo 12'!O10*'Anexo 5'!$D$10,0)</f>
        <v>0</v>
      </c>
      <c r="P10" s="33">
        <f>ROUND('Anexo 12'!P10*'Anexo 5'!$D$10,0)</f>
        <v>0</v>
      </c>
      <c r="Q10" s="33">
        <f>ROUND('Anexo 12'!Q10*'Anexo 5'!$D$10,0)</f>
        <v>0</v>
      </c>
      <c r="R10" s="33">
        <f>ROUND('Anexo 12'!R10*'Anexo 5'!$D$10,0)</f>
        <v>0</v>
      </c>
      <c r="S10" s="33">
        <f>ROUND('Anexo 12'!S10*'Anexo 5'!$D$10,0)</f>
        <v>0</v>
      </c>
      <c r="T10" s="33">
        <f>ROUND('Anexo 12'!T10*'Anexo 5'!$D$10,0)</f>
        <v>0</v>
      </c>
      <c r="U10" s="33">
        <f>ROUND('Anexo 12'!U10*'Anexo 5'!$D$10,0)</f>
        <v>0</v>
      </c>
      <c r="V10" s="33">
        <f>ROUND('Anexo 12'!V10*'Anexo 5'!$D$10,0)</f>
        <v>0</v>
      </c>
      <c r="W10" s="33">
        <f>ROUND('Anexo 12'!W10*'Anexo 5'!$D$10,0)</f>
        <v>0</v>
      </c>
      <c r="X10" s="33">
        <f>ROUND('Anexo 12'!X10*'Anexo 5'!$D$10,0)</f>
        <v>0</v>
      </c>
      <c r="Y10" s="33">
        <f>ROUND('Anexo 12'!Y10*'Anexo 5'!$D$10,0)</f>
        <v>0</v>
      </c>
      <c r="Z10" s="33">
        <f>ROUND('Anexo 12'!Z10*'Anexo 5'!$D$10,0)</f>
        <v>0</v>
      </c>
      <c r="AA10" s="38">
        <f t="shared" si="0"/>
        <v>0</v>
      </c>
      <c r="AB10" s="21">
        <v>4</v>
      </c>
      <c r="AC10" s="80"/>
      <c r="AD10" s="47"/>
    </row>
    <row r="11" spans="1:30" ht="15.75" thickBot="1" x14ac:dyDescent="0.3">
      <c r="A11" s="78"/>
      <c r="B11" s="22" t="s">
        <v>6</v>
      </c>
      <c r="C11" s="33">
        <f>ROUND('Anexo 12'!C11*'Anexo 5'!$D$10,0)</f>
        <v>0</v>
      </c>
      <c r="D11" s="33">
        <f>ROUND('Anexo 12'!D11*'Anexo 5'!$D$10,0)</f>
        <v>0</v>
      </c>
      <c r="E11" s="33">
        <f>ROUND('Anexo 12'!E11*'Anexo 5'!$D$10,0)</f>
        <v>0</v>
      </c>
      <c r="F11" s="33">
        <f>ROUND('Anexo 12'!F11*'Anexo 5'!$D$10,0)</f>
        <v>0</v>
      </c>
      <c r="G11" s="33">
        <f>ROUND('Anexo 12'!G11*'Anexo 5'!$D$10,0)</f>
        <v>0</v>
      </c>
      <c r="H11" s="33">
        <f>ROUND('Anexo 12'!H11*'Anexo 5'!$D$10,0)</f>
        <v>0</v>
      </c>
      <c r="I11" s="33">
        <f>ROUND('Anexo 12'!I11*'Anexo 5'!$D$10,0)</f>
        <v>0</v>
      </c>
      <c r="J11" s="33">
        <f>ROUND('Anexo 12'!J11*'Anexo 5'!$D$10,0)</f>
        <v>0</v>
      </c>
      <c r="K11" s="33">
        <f>ROUND('Anexo 12'!K11*'Anexo 5'!$D$10,0)</f>
        <v>0</v>
      </c>
      <c r="L11" s="33">
        <f>ROUND('Anexo 12'!L11*'Anexo 5'!$D$10,0)</f>
        <v>0</v>
      </c>
      <c r="M11" s="33">
        <f>ROUND('Anexo 12'!M11*'Anexo 5'!$D$10,0)</f>
        <v>0</v>
      </c>
      <c r="N11" s="33">
        <f>ROUND('Anexo 12'!N11*'Anexo 5'!$D$10,0)</f>
        <v>0</v>
      </c>
      <c r="O11" s="33">
        <f>ROUND('Anexo 12'!O11*'Anexo 5'!$D$10,0)</f>
        <v>0</v>
      </c>
      <c r="P11" s="33">
        <f>ROUND('Anexo 12'!P11*'Anexo 5'!$D$10,0)</f>
        <v>0</v>
      </c>
      <c r="Q11" s="33">
        <f>ROUND('Anexo 12'!Q11*'Anexo 5'!$D$10,0)</f>
        <v>0</v>
      </c>
      <c r="R11" s="33">
        <f>ROUND('Anexo 12'!R11*'Anexo 5'!$D$10,0)</f>
        <v>0</v>
      </c>
      <c r="S11" s="33">
        <f>ROUND('Anexo 12'!S11*'Anexo 5'!$D$10,0)</f>
        <v>0</v>
      </c>
      <c r="T11" s="33">
        <f>ROUND('Anexo 12'!T11*'Anexo 5'!$D$10,0)</f>
        <v>0</v>
      </c>
      <c r="U11" s="33">
        <f>ROUND('Anexo 12'!U11*'Anexo 5'!$D$10,0)</f>
        <v>0</v>
      </c>
      <c r="V11" s="33">
        <f>ROUND('Anexo 12'!V11*'Anexo 5'!$D$10,0)</f>
        <v>0</v>
      </c>
      <c r="W11" s="33">
        <f>ROUND('Anexo 12'!W11*'Anexo 5'!$D$10,0)</f>
        <v>0</v>
      </c>
      <c r="X11" s="33">
        <f>ROUND('Anexo 12'!X11*'Anexo 5'!$D$10,0)</f>
        <v>0</v>
      </c>
      <c r="Y11" s="33">
        <f>ROUND('Anexo 12'!Y11*'Anexo 5'!$D$10,0)</f>
        <v>0</v>
      </c>
      <c r="Z11" s="33">
        <f>ROUND('Anexo 12'!Z11*'Anexo 5'!$D$10,0)</f>
        <v>0</v>
      </c>
      <c r="AA11" s="41">
        <f t="shared" si="0"/>
        <v>0</v>
      </c>
      <c r="AB11" s="23">
        <v>4</v>
      </c>
      <c r="AC11" s="81"/>
      <c r="AD11" s="48"/>
    </row>
    <row r="12" spans="1:30" ht="15.75" thickBot="1" x14ac:dyDescent="0.3">
      <c r="A12" s="78">
        <v>47543</v>
      </c>
      <c r="B12" s="18" t="s">
        <v>8</v>
      </c>
      <c r="C12" s="33">
        <f>ROUND('Anexo 12'!C12*'Anexo 5'!$D$10,0)</f>
        <v>0</v>
      </c>
      <c r="D12" s="33">
        <f>ROUND('Anexo 12'!D12*'Anexo 5'!$D$10,0)</f>
        <v>0</v>
      </c>
      <c r="E12" s="33">
        <f>ROUND('Anexo 12'!E12*'Anexo 5'!$D$10,0)</f>
        <v>0</v>
      </c>
      <c r="F12" s="33">
        <f>ROUND('Anexo 12'!F12*'Anexo 5'!$D$10,0)</f>
        <v>0</v>
      </c>
      <c r="G12" s="33">
        <f>ROUND('Anexo 12'!G12*'Anexo 5'!$D$10,0)</f>
        <v>0</v>
      </c>
      <c r="H12" s="33">
        <f>ROUND('Anexo 12'!H12*'Anexo 5'!$D$10,0)</f>
        <v>0</v>
      </c>
      <c r="I12" s="33">
        <f>ROUND('Anexo 12'!I12*'Anexo 5'!$D$10,0)</f>
        <v>0</v>
      </c>
      <c r="J12" s="33">
        <f>ROUND('Anexo 12'!J12*'Anexo 5'!$D$10,0)</f>
        <v>0</v>
      </c>
      <c r="K12" s="33">
        <f>ROUND('Anexo 12'!K12*'Anexo 5'!$D$10,0)</f>
        <v>0</v>
      </c>
      <c r="L12" s="33">
        <f>ROUND('Anexo 12'!L12*'Anexo 5'!$D$10,0)</f>
        <v>0</v>
      </c>
      <c r="M12" s="33">
        <f>ROUND('Anexo 12'!M12*'Anexo 5'!$D$10,0)</f>
        <v>0</v>
      </c>
      <c r="N12" s="33">
        <f>ROUND('Anexo 12'!N12*'Anexo 5'!$D$10,0)</f>
        <v>0</v>
      </c>
      <c r="O12" s="33">
        <f>ROUND('Anexo 12'!O12*'Anexo 5'!$D$10,0)</f>
        <v>0</v>
      </c>
      <c r="P12" s="33">
        <f>ROUND('Anexo 12'!P12*'Anexo 5'!$D$10,0)</f>
        <v>0</v>
      </c>
      <c r="Q12" s="33">
        <f>ROUND('Anexo 12'!Q12*'Anexo 5'!$D$10,0)</f>
        <v>0</v>
      </c>
      <c r="R12" s="33">
        <f>ROUND('Anexo 12'!R12*'Anexo 5'!$D$10,0)</f>
        <v>0</v>
      </c>
      <c r="S12" s="33">
        <f>ROUND('Anexo 12'!S12*'Anexo 5'!$D$10,0)</f>
        <v>0</v>
      </c>
      <c r="T12" s="33">
        <f>ROUND('Anexo 12'!T12*'Anexo 5'!$D$10,0)</f>
        <v>0</v>
      </c>
      <c r="U12" s="33">
        <f>ROUND('Anexo 12'!U12*'Anexo 5'!$D$10,0)</f>
        <v>0</v>
      </c>
      <c r="V12" s="33">
        <f>ROUND('Anexo 12'!V12*'Anexo 5'!$D$10,0)</f>
        <v>0</v>
      </c>
      <c r="W12" s="33">
        <f>ROUND('Anexo 12'!W12*'Anexo 5'!$D$10,0)</f>
        <v>0</v>
      </c>
      <c r="X12" s="33">
        <f>ROUND('Anexo 12'!X12*'Anexo 5'!$D$10,0)</f>
        <v>0</v>
      </c>
      <c r="Y12" s="33">
        <f>ROUND('Anexo 12'!Y12*'Anexo 5'!$D$10,0)</f>
        <v>0</v>
      </c>
      <c r="Z12" s="33">
        <f>ROUND('Anexo 12'!Z12*'Anexo 5'!$D$10,0)</f>
        <v>0</v>
      </c>
      <c r="AA12" s="35">
        <f t="shared" si="0"/>
        <v>0</v>
      </c>
      <c r="AB12" s="19">
        <v>20</v>
      </c>
      <c r="AC12" s="79">
        <f>+AA12*AB12+AA13*AB13+AA14*AB14</f>
        <v>0</v>
      </c>
    </row>
    <row r="13" spans="1:30" ht="15.75" thickBot="1" x14ac:dyDescent="0.3">
      <c r="A13" s="78"/>
      <c r="B13" s="20" t="s">
        <v>7</v>
      </c>
      <c r="C13" s="33">
        <f>ROUND('Anexo 12'!C13*'Anexo 5'!$D$10,0)</f>
        <v>0</v>
      </c>
      <c r="D13" s="33">
        <f>ROUND('Anexo 12'!D13*'Anexo 5'!$D$10,0)</f>
        <v>0</v>
      </c>
      <c r="E13" s="33">
        <f>ROUND('Anexo 12'!E13*'Anexo 5'!$D$10,0)</f>
        <v>0</v>
      </c>
      <c r="F13" s="33">
        <f>ROUND('Anexo 12'!F13*'Anexo 5'!$D$10,0)</f>
        <v>0</v>
      </c>
      <c r="G13" s="33">
        <f>ROUND('Anexo 12'!G13*'Anexo 5'!$D$10,0)</f>
        <v>0</v>
      </c>
      <c r="H13" s="33">
        <f>ROUND('Anexo 12'!H13*'Anexo 5'!$D$10,0)</f>
        <v>0</v>
      </c>
      <c r="I13" s="33">
        <f>ROUND('Anexo 12'!I13*'Anexo 5'!$D$10,0)</f>
        <v>0</v>
      </c>
      <c r="J13" s="33">
        <f>ROUND('Anexo 12'!J13*'Anexo 5'!$D$10,0)</f>
        <v>0</v>
      </c>
      <c r="K13" s="33">
        <f>ROUND('Anexo 12'!K13*'Anexo 5'!$D$10,0)</f>
        <v>0</v>
      </c>
      <c r="L13" s="33">
        <f>ROUND('Anexo 12'!L13*'Anexo 5'!$D$10,0)</f>
        <v>0</v>
      </c>
      <c r="M13" s="33">
        <f>ROUND('Anexo 12'!M13*'Anexo 5'!$D$10,0)</f>
        <v>0</v>
      </c>
      <c r="N13" s="33">
        <f>ROUND('Anexo 12'!N13*'Anexo 5'!$D$10,0)</f>
        <v>0</v>
      </c>
      <c r="O13" s="33">
        <f>ROUND('Anexo 12'!O13*'Anexo 5'!$D$10,0)</f>
        <v>0</v>
      </c>
      <c r="P13" s="33">
        <f>ROUND('Anexo 12'!P13*'Anexo 5'!$D$10,0)</f>
        <v>0</v>
      </c>
      <c r="Q13" s="33">
        <f>ROUND('Anexo 12'!Q13*'Anexo 5'!$D$10,0)</f>
        <v>0</v>
      </c>
      <c r="R13" s="33">
        <f>ROUND('Anexo 12'!R13*'Anexo 5'!$D$10,0)</f>
        <v>0</v>
      </c>
      <c r="S13" s="33">
        <f>ROUND('Anexo 12'!S13*'Anexo 5'!$D$10,0)</f>
        <v>0</v>
      </c>
      <c r="T13" s="33">
        <f>ROUND('Anexo 12'!T13*'Anexo 5'!$D$10,0)</f>
        <v>0</v>
      </c>
      <c r="U13" s="33">
        <f>ROUND('Anexo 12'!U13*'Anexo 5'!$D$10,0)</f>
        <v>0</v>
      </c>
      <c r="V13" s="33">
        <f>ROUND('Anexo 12'!V13*'Anexo 5'!$D$10,0)</f>
        <v>0</v>
      </c>
      <c r="W13" s="33">
        <f>ROUND('Anexo 12'!W13*'Anexo 5'!$D$10,0)</f>
        <v>0</v>
      </c>
      <c r="X13" s="33">
        <f>ROUND('Anexo 12'!X13*'Anexo 5'!$D$10,0)</f>
        <v>0</v>
      </c>
      <c r="Y13" s="33">
        <f>ROUND('Anexo 12'!Y13*'Anexo 5'!$D$10,0)</f>
        <v>0</v>
      </c>
      <c r="Z13" s="33">
        <f>ROUND('Anexo 12'!Z13*'Anexo 5'!$D$10,0)</f>
        <v>0</v>
      </c>
      <c r="AA13" s="38">
        <f t="shared" si="0"/>
        <v>0</v>
      </c>
      <c r="AB13" s="21">
        <v>5</v>
      </c>
      <c r="AC13" s="80"/>
      <c r="AD13" s="47"/>
    </row>
    <row r="14" spans="1:30" ht="15.75" thickBot="1" x14ac:dyDescent="0.3">
      <c r="A14" s="78"/>
      <c r="B14" s="22" t="s">
        <v>6</v>
      </c>
      <c r="C14" s="33">
        <f>ROUND('Anexo 12'!C14*'Anexo 5'!$D$10,0)</f>
        <v>0</v>
      </c>
      <c r="D14" s="33">
        <f>ROUND('Anexo 12'!D14*'Anexo 5'!$D$10,0)</f>
        <v>0</v>
      </c>
      <c r="E14" s="33">
        <f>ROUND('Anexo 12'!E14*'Anexo 5'!$D$10,0)</f>
        <v>0</v>
      </c>
      <c r="F14" s="33">
        <f>ROUND('Anexo 12'!F14*'Anexo 5'!$D$10,0)</f>
        <v>0</v>
      </c>
      <c r="G14" s="33">
        <f>ROUND('Anexo 12'!G14*'Anexo 5'!$D$10,0)</f>
        <v>0</v>
      </c>
      <c r="H14" s="33">
        <f>ROUND('Anexo 12'!H14*'Anexo 5'!$D$10,0)</f>
        <v>0</v>
      </c>
      <c r="I14" s="33">
        <f>ROUND('Anexo 12'!I14*'Anexo 5'!$D$10,0)</f>
        <v>0</v>
      </c>
      <c r="J14" s="33">
        <f>ROUND('Anexo 12'!J14*'Anexo 5'!$D$10,0)</f>
        <v>0</v>
      </c>
      <c r="K14" s="33">
        <f>ROUND('Anexo 12'!K14*'Anexo 5'!$D$10,0)</f>
        <v>0</v>
      </c>
      <c r="L14" s="33">
        <f>ROUND('Anexo 12'!L14*'Anexo 5'!$D$10,0)</f>
        <v>0</v>
      </c>
      <c r="M14" s="33">
        <f>ROUND('Anexo 12'!M14*'Anexo 5'!$D$10,0)</f>
        <v>0</v>
      </c>
      <c r="N14" s="33">
        <f>ROUND('Anexo 12'!N14*'Anexo 5'!$D$10,0)</f>
        <v>0</v>
      </c>
      <c r="O14" s="33">
        <f>ROUND('Anexo 12'!O14*'Anexo 5'!$D$10,0)</f>
        <v>0</v>
      </c>
      <c r="P14" s="33">
        <f>ROUND('Anexo 12'!P14*'Anexo 5'!$D$10,0)</f>
        <v>0</v>
      </c>
      <c r="Q14" s="33">
        <f>ROUND('Anexo 12'!Q14*'Anexo 5'!$D$10,0)</f>
        <v>0</v>
      </c>
      <c r="R14" s="33">
        <f>ROUND('Anexo 12'!R14*'Anexo 5'!$D$10,0)</f>
        <v>0</v>
      </c>
      <c r="S14" s="33">
        <f>ROUND('Anexo 12'!S14*'Anexo 5'!$D$10,0)</f>
        <v>0</v>
      </c>
      <c r="T14" s="33">
        <f>ROUND('Anexo 12'!T14*'Anexo 5'!$D$10,0)</f>
        <v>0</v>
      </c>
      <c r="U14" s="33">
        <f>ROUND('Anexo 12'!U14*'Anexo 5'!$D$10,0)</f>
        <v>0</v>
      </c>
      <c r="V14" s="33">
        <f>ROUND('Anexo 12'!V14*'Anexo 5'!$D$10,0)</f>
        <v>0</v>
      </c>
      <c r="W14" s="33">
        <f>ROUND('Anexo 12'!W14*'Anexo 5'!$D$10,0)</f>
        <v>0</v>
      </c>
      <c r="X14" s="33">
        <f>ROUND('Anexo 12'!X14*'Anexo 5'!$D$10,0)</f>
        <v>0</v>
      </c>
      <c r="Y14" s="33">
        <f>ROUND('Anexo 12'!Y14*'Anexo 5'!$D$10,0)</f>
        <v>0</v>
      </c>
      <c r="Z14" s="33">
        <f>ROUND('Anexo 12'!Z14*'Anexo 5'!$D$10,0)</f>
        <v>0</v>
      </c>
      <c r="AA14" s="41">
        <f t="shared" si="0"/>
        <v>0</v>
      </c>
      <c r="AB14" s="23">
        <v>6</v>
      </c>
      <c r="AC14" s="81"/>
      <c r="AD14" s="45"/>
    </row>
    <row r="15" spans="1:30" ht="15.75" thickBot="1" x14ac:dyDescent="0.3">
      <c r="A15" s="78">
        <v>47574</v>
      </c>
      <c r="B15" s="18" t="s">
        <v>8</v>
      </c>
      <c r="C15" s="33">
        <f>ROUND('Anexo 12'!C15*'Anexo 5'!$D$10,0)</f>
        <v>0</v>
      </c>
      <c r="D15" s="33">
        <f>ROUND('Anexo 12'!D15*'Anexo 5'!$D$10,0)</f>
        <v>0</v>
      </c>
      <c r="E15" s="33">
        <f>ROUND('Anexo 12'!E15*'Anexo 5'!$D$10,0)</f>
        <v>0</v>
      </c>
      <c r="F15" s="33">
        <f>ROUND('Anexo 12'!F15*'Anexo 5'!$D$10,0)</f>
        <v>0</v>
      </c>
      <c r="G15" s="33">
        <f>ROUND('Anexo 12'!G15*'Anexo 5'!$D$10,0)</f>
        <v>0</v>
      </c>
      <c r="H15" s="33">
        <f>ROUND('Anexo 12'!H15*'Anexo 5'!$D$10,0)</f>
        <v>0</v>
      </c>
      <c r="I15" s="33">
        <f>ROUND('Anexo 12'!I15*'Anexo 5'!$D$10,0)</f>
        <v>0</v>
      </c>
      <c r="J15" s="33">
        <f>ROUND('Anexo 12'!J15*'Anexo 5'!$D$10,0)</f>
        <v>0</v>
      </c>
      <c r="K15" s="33">
        <f>ROUND('Anexo 12'!K15*'Anexo 5'!$D$10,0)</f>
        <v>0</v>
      </c>
      <c r="L15" s="33">
        <f>ROUND('Anexo 12'!L15*'Anexo 5'!$D$10,0)</f>
        <v>0</v>
      </c>
      <c r="M15" s="33">
        <f>ROUND('Anexo 12'!M15*'Anexo 5'!$D$10,0)</f>
        <v>0</v>
      </c>
      <c r="N15" s="33">
        <f>ROUND('Anexo 12'!N15*'Anexo 5'!$D$10,0)</f>
        <v>0</v>
      </c>
      <c r="O15" s="33">
        <f>ROUND('Anexo 12'!O15*'Anexo 5'!$D$10,0)</f>
        <v>0</v>
      </c>
      <c r="P15" s="33">
        <f>ROUND('Anexo 12'!P15*'Anexo 5'!$D$10,0)</f>
        <v>0</v>
      </c>
      <c r="Q15" s="33">
        <f>ROUND('Anexo 12'!Q15*'Anexo 5'!$D$10,0)</f>
        <v>0</v>
      </c>
      <c r="R15" s="33">
        <f>ROUND('Anexo 12'!R15*'Anexo 5'!$D$10,0)</f>
        <v>0</v>
      </c>
      <c r="S15" s="33">
        <f>ROUND('Anexo 12'!S15*'Anexo 5'!$D$10,0)</f>
        <v>0</v>
      </c>
      <c r="T15" s="33">
        <f>ROUND('Anexo 12'!T15*'Anexo 5'!$D$10,0)</f>
        <v>0</v>
      </c>
      <c r="U15" s="33">
        <f>ROUND('Anexo 12'!U15*'Anexo 5'!$D$10,0)</f>
        <v>0</v>
      </c>
      <c r="V15" s="33">
        <f>ROUND('Anexo 12'!V15*'Anexo 5'!$D$10,0)</f>
        <v>0</v>
      </c>
      <c r="W15" s="33">
        <f>ROUND('Anexo 12'!W15*'Anexo 5'!$D$10,0)</f>
        <v>0</v>
      </c>
      <c r="X15" s="33">
        <f>ROUND('Anexo 12'!X15*'Anexo 5'!$D$10,0)</f>
        <v>0</v>
      </c>
      <c r="Y15" s="33">
        <f>ROUND('Anexo 12'!Y15*'Anexo 5'!$D$10,0)</f>
        <v>0</v>
      </c>
      <c r="Z15" s="33">
        <f>ROUND('Anexo 12'!Z15*'Anexo 5'!$D$10,0)</f>
        <v>0</v>
      </c>
      <c r="AA15" s="35">
        <f t="shared" si="0"/>
        <v>0</v>
      </c>
      <c r="AB15" s="19">
        <v>20</v>
      </c>
      <c r="AC15" s="79">
        <f>+AA15*AB15+AA16*AB16+AA17*AB17</f>
        <v>0</v>
      </c>
    </row>
    <row r="16" spans="1:30" ht="15.75" thickBot="1" x14ac:dyDescent="0.3">
      <c r="A16" s="78"/>
      <c r="B16" s="20" t="s">
        <v>7</v>
      </c>
      <c r="C16" s="33">
        <f>ROUND('Anexo 12'!C16*'Anexo 5'!$D$10,0)</f>
        <v>0</v>
      </c>
      <c r="D16" s="33">
        <f>ROUND('Anexo 12'!D16*'Anexo 5'!$D$10,0)</f>
        <v>0</v>
      </c>
      <c r="E16" s="33">
        <f>ROUND('Anexo 12'!E16*'Anexo 5'!$D$10,0)</f>
        <v>0</v>
      </c>
      <c r="F16" s="33">
        <f>ROUND('Anexo 12'!F16*'Anexo 5'!$D$10,0)</f>
        <v>0</v>
      </c>
      <c r="G16" s="33">
        <f>ROUND('Anexo 12'!G16*'Anexo 5'!$D$10,0)</f>
        <v>0</v>
      </c>
      <c r="H16" s="33">
        <f>ROUND('Anexo 12'!H16*'Anexo 5'!$D$10,0)</f>
        <v>0</v>
      </c>
      <c r="I16" s="33">
        <f>ROUND('Anexo 12'!I16*'Anexo 5'!$D$10,0)</f>
        <v>0</v>
      </c>
      <c r="J16" s="33">
        <f>ROUND('Anexo 12'!J16*'Anexo 5'!$D$10,0)</f>
        <v>0</v>
      </c>
      <c r="K16" s="33">
        <f>ROUND('Anexo 12'!K16*'Anexo 5'!$D$10,0)</f>
        <v>0</v>
      </c>
      <c r="L16" s="33">
        <f>ROUND('Anexo 12'!L16*'Anexo 5'!$D$10,0)</f>
        <v>0</v>
      </c>
      <c r="M16" s="33">
        <f>ROUND('Anexo 12'!M16*'Anexo 5'!$D$10,0)</f>
        <v>0</v>
      </c>
      <c r="N16" s="33">
        <f>ROUND('Anexo 12'!N16*'Anexo 5'!$D$10,0)</f>
        <v>0</v>
      </c>
      <c r="O16" s="33">
        <f>ROUND('Anexo 12'!O16*'Anexo 5'!$D$10,0)</f>
        <v>0</v>
      </c>
      <c r="P16" s="33">
        <f>ROUND('Anexo 12'!P16*'Anexo 5'!$D$10,0)</f>
        <v>0</v>
      </c>
      <c r="Q16" s="33">
        <f>ROUND('Anexo 12'!Q16*'Anexo 5'!$D$10,0)</f>
        <v>0</v>
      </c>
      <c r="R16" s="33">
        <f>ROUND('Anexo 12'!R16*'Anexo 5'!$D$10,0)</f>
        <v>0</v>
      </c>
      <c r="S16" s="33">
        <f>ROUND('Anexo 12'!S16*'Anexo 5'!$D$10,0)</f>
        <v>0</v>
      </c>
      <c r="T16" s="33">
        <f>ROUND('Anexo 12'!T16*'Anexo 5'!$D$10,0)</f>
        <v>0</v>
      </c>
      <c r="U16" s="33">
        <f>ROUND('Anexo 12'!U16*'Anexo 5'!$D$10,0)</f>
        <v>0</v>
      </c>
      <c r="V16" s="33">
        <f>ROUND('Anexo 12'!V16*'Anexo 5'!$D$10,0)</f>
        <v>0</v>
      </c>
      <c r="W16" s="33">
        <f>ROUND('Anexo 12'!W16*'Anexo 5'!$D$10,0)</f>
        <v>0</v>
      </c>
      <c r="X16" s="33">
        <f>ROUND('Anexo 12'!X16*'Anexo 5'!$D$10,0)</f>
        <v>0</v>
      </c>
      <c r="Y16" s="33">
        <f>ROUND('Anexo 12'!Y16*'Anexo 5'!$D$10,0)</f>
        <v>0</v>
      </c>
      <c r="Z16" s="33">
        <f>ROUND('Anexo 12'!Z16*'Anexo 5'!$D$10,0)</f>
        <v>0</v>
      </c>
      <c r="AA16" s="38">
        <f t="shared" si="0"/>
        <v>0</v>
      </c>
      <c r="AB16" s="21">
        <v>4</v>
      </c>
      <c r="AC16" s="80"/>
      <c r="AD16" s="47"/>
    </row>
    <row r="17" spans="1:30" ht="15.75" thickBot="1" x14ac:dyDescent="0.3">
      <c r="A17" s="78"/>
      <c r="B17" s="22" t="s">
        <v>6</v>
      </c>
      <c r="C17" s="33">
        <f>ROUND('Anexo 12'!C17*'Anexo 5'!$D$10,0)</f>
        <v>0</v>
      </c>
      <c r="D17" s="33">
        <f>ROUND('Anexo 12'!D17*'Anexo 5'!$D$10,0)</f>
        <v>0</v>
      </c>
      <c r="E17" s="33">
        <f>ROUND('Anexo 12'!E17*'Anexo 5'!$D$10,0)</f>
        <v>0</v>
      </c>
      <c r="F17" s="33">
        <f>ROUND('Anexo 12'!F17*'Anexo 5'!$D$10,0)</f>
        <v>0</v>
      </c>
      <c r="G17" s="33">
        <f>ROUND('Anexo 12'!G17*'Anexo 5'!$D$10,0)</f>
        <v>0</v>
      </c>
      <c r="H17" s="33">
        <f>ROUND('Anexo 12'!H17*'Anexo 5'!$D$10,0)</f>
        <v>0</v>
      </c>
      <c r="I17" s="33">
        <f>ROUND('Anexo 12'!I17*'Anexo 5'!$D$10,0)</f>
        <v>0</v>
      </c>
      <c r="J17" s="33">
        <f>ROUND('Anexo 12'!J17*'Anexo 5'!$D$10,0)</f>
        <v>0</v>
      </c>
      <c r="K17" s="33">
        <f>ROUND('Anexo 12'!K17*'Anexo 5'!$D$10,0)</f>
        <v>0</v>
      </c>
      <c r="L17" s="33">
        <f>ROUND('Anexo 12'!L17*'Anexo 5'!$D$10,0)</f>
        <v>0</v>
      </c>
      <c r="M17" s="33">
        <f>ROUND('Anexo 12'!M17*'Anexo 5'!$D$10,0)</f>
        <v>0</v>
      </c>
      <c r="N17" s="33">
        <f>ROUND('Anexo 12'!N17*'Anexo 5'!$D$10,0)</f>
        <v>0</v>
      </c>
      <c r="O17" s="33">
        <f>ROUND('Anexo 12'!O17*'Anexo 5'!$D$10,0)</f>
        <v>0</v>
      </c>
      <c r="P17" s="33">
        <f>ROUND('Anexo 12'!P17*'Anexo 5'!$D$10,0)</f>
        <v>0</v>
      </c>
      <c r="Q17" s="33">
        <f>ROUND('Anexo 12'!Q17*'Anexo 5'!$D$10,0)</f>
        <v>0</v>
      </c>
      <c r="R17" s="33">
        <f>ROUND('Anexo 12'!R17*'Anexo 5'!$D$10,0)</f>
        <v>0</v>
      </c>
      <c r="S17" s="33">
        <f>ROUND('Anexo 12'!S17*'Anexo 5'!$D$10,0)</f>
        <v>0</v>
      </c>
      <c r="T17" s="33">
        <f>ROUND('Anexo 12'!T17*'Anexo 5'!$D$10,0)</f>
        <v>0</v>
      </c>
      <c r="U17" s="33">
        <f>ROUND('Anexo 12'!U17*'Anexo 5'!$D$10,0)</f>
        <v>0</v>
      </c>
      <c r="V17" s="33">
        <f>ROUND('Anexo 12'!V17*'Anexo 5'!$D$10,0)</f>
        <v>0</v>
      </c>
      <c r="W17" s="33">
        <f>ROUND('Anexo 12'!W17*'Anexo 5'!$D$10,0)</f>
        <v>0</v>
      </c>
      <c r="X17" s="33">
        <f>ROUND('Anexo 12'!X17*'Anexo 5'!$D$10,0)</f>
        <v>0</v>
      </c>
      <c r="Y17" s="33">
        <f>ROUND('Anexo 12'!Y17*'Anexo 5'!$D$10,0)</f>
        <v>0</v>
      </c>
      <c r="Z17" s="33">
        <f>ROUND('Anexo 12'!Z17*'Anexo 5'!$D$10,0)</f>
        <v>0</v>
      </c>
      <c r="AA17" s="41">
        <f t="shared" si="0"/>
        <v>0</v>
      </c>
      <c r="AB17" s="23">
        <v>6</v>
      </c>
      <c r="AC17" s="81"/>
      <c r="AD17" s="48"/>
    </row>
    <row r="18" spans="1:30" ht="15.75" thickBot="1" x14ac:dyDescent="0.3">
      <c r="A18" s="78">
        <v>47604</v>
      </c>
      <c r="B18" s="18" t="s">
        <v>8</v>
      </c>
      <c r="C18" s="33">
        <f>ROUND('Anexo 12'!C18*'Anexo 5'!$D$10,0)</f>
        <v>0</v>
      </c>
      <c r="D18" s="33">
        <f>ROUND('Anexo 12'!D18*'Anexo 5'!$D$10,0)</f>
        <v>0</v>
      </c>
      <c r="E18" s="33">
        <f>ROUND('Anexo 12'!E18*'Anexo 5'!$D$10,0)</f>
        <v>0</v>
      </c>
      <c r="F18" s="33">
        <f>ROUND('Anexo 12'!F18*'Anexo 5'!$D$10,0)</f>
        <v>0</v>
      </c>
      <c r="G18" s="33">
        <f>ROUND('Anexo 12'!G18*'Anexo 5'!$D$10,0)</f>
        <v>0</v>
      </c>
      <c r="H18" s="33">
        <f>ROUND('Anexo 12'!H18*'Anexo 5'!$D$10,0)</f>
        <v>0</v>
      </c>
      <c r="I18" s="33">
        <f>ROUND('Anexo 12'!I18*'Anexo 5'!$D$10,0)</f>
        <v>0</v>
      </c>
      <c r="J18" s="33">
        <f>ROUND('Anexo 12'!J18*'Anexo 5'!$D$10,0)</f>
        <v>0</v>
      </c>
      <c r="K18" s="33">
        <f>ROUND('Anexo 12'!K18*'Anexo 5'!$D$10,0)</f>
        <v>0</v>
      </c>
      <c r="L18" s="33">
        <f>ROUND('Anexo 12'!L18*'Anexo 5'!$D$10,0)</f>
        <v>0</v>
      </c>
      <c r="M18" s="33">
        <f>ROUND('Anexo 12'!M18*'Anexo 5'!$D$10,0)</f>
        <v>0</v>
      </c>
      <c r="N18" s="33">
        <f>ROUND('Anexo 12'!N18*'Anexo 5'!$D$10,0)</f>
        <v>0</v>
      </c>
      <c r="O18" s="33">
        <f>ROUND('Anexo 12'!O18*'Anexo 5'!$D$10,0)</f>
        <v>0</v>
      </c>
      <c r="P18" s="33">
        <f>ROUND('Anexo 12'!P18*'Anexo 5'!$D$10,0)</f>
        <v>0</v>
      </c>
      <c r="Q18" s="33">
        <f>ROUND('Anexo 12'!Q18*'Anexo 5'!$D$10,0)</f>
        <v>0</v>
      </c>
      <c r="R18" s="33">
        <f>ROUND('Anexo 12'!R18*'Anexo 5'!$D$10,0)</f>
        <v>0</v>
      </c>
      <c r="S18" s="33">
        <f>ROUND('Anexo 12'!S18*'Anexo 5'!$D$10,0)</f>
        <v>0</v>
      </c>
      <c r="T18" s="33">
        <f>ROUND('Anexo 12'!T18*'Anexo 5'!$D$10,0)</f>
        <v>0</v>
      </c>
      <c r="U18" s="33">
        <f>ROUND('Anexo 12'!U18*'Anexo 5'!$D$10,0)</f>
        <v>0</v>
      </c>
      <c r="V18" s="33">
        <f>ROUND('Anexo 12'!V18*'Anexo 5'!$D$10,0)</f>
        <v>0</v>
      </c>
      <c r="W18" s="33">
        <f>ROUND('Anexo 12'!W18*'Anexo 5'!$D$10,0)</f>
        <v>0</v>
      </c>
      <c r="X18" s="33">
        <f>ROUND('Anexo 12'!X18*'Anexo 5'!$D$10,0)</f>
        <v>0</v>
      </c>
      <c r="Y18" s="33">
        <f>ROUND('Anexo 12'!Y18*'Anexo 5'!$D$10,0)</f>
        <v>0</v>
      </c>
      <c r="Z18" s="33">
        <f>ROUND('Anexo 12'!Z18*'Anexo 5'!$D$10,0)</f>
        <v>0</v>
      </c>
      <c r="AA18" s="35">
        <f t="shared" si="0"/>
        <v>0</v>
      </c>
      <c r="AB18" s="19">
        <v>22</v>
      </c>
      <c r="AC18" s="79">
        <f>+AA18*AB18+AA19*AB19+AA20*AB20</f>
        <v>0</v>
      </c>
    </row>
    <row r="19" spans="1:30" ht="15.75" thickBot="1" x14ac:dyDescent="0.3">
      <c r="A19" s="78"/>
      <c r="B19" s="20" t="s">
        <v>7</v>
      </c>
      <c r="C19" s="33">
        <f>ROUND('Anexo 12'!C19*'Anexo 5'!$D$10,0)</f>
        <v>0</v>
      </c>
      <c r="D19" s="33">
        <f>ROUND('Anexo 12'!D19*'Anexo 5'!$D$10,0)</f>
        <v>0</v>
      </c>
      <c r="E19" s="33">
        <f>ROUND('Anexo 12'!E19*'Anexo 5'!$D$10,0)</f>
        <v>0</v>
      </c>
      <c r="F19" s="33">
        <f>ROUND('Anexo 12'!F19*'Anexo 5'!$D$10,0)</f>
        <v>0</v>
      </c>
      <c r="G19" s="33">
        <f>ROUND('Anexo 12'!G19*'Anexo 5'!$D$10,0)</f>
        <v>0</v>
      </c>
      <c r="H19" s="33">
        <f>ROUND('Anexo 12'!H19*'Anexo 5'!$D$10,0)</f>
        <v>0</v>
      </c>
      <c r="I19" s="33">
        <f>ROUND('Anexo 12'!I19*'Anexo 5'!$D$10,0)</f>
        <v>0</v>
      </c>
      <c r="J19" s="33">
        <f>ROUND('Anexo 12'!J19*'Anexo 5'!$D$10,0)</f>
        <v>0</v>
      </c>
      <c r="K19" s="33">
        <f>ROUND('Anexo 12'!K19*'Anexo 5'!$D$10,0)</f>
        <v>0</v>
      </c>
      <c r="L19" s="33">
        <f>ROUND('Anexo 12'!L19*'Anexo 5'!$D$10,0)</f>
        <v>0</v>
      </c>
      <c r="M19" s="33">
        <f>ROUND('Anexo 12'!M19*'Anexo 5'!$D$10,0)</f>
        <v>0</v>
      </c>
      <c r="N19" s="33">
        <f>ROUND('Anexo 12'!N19*'Anexo 5'!$D$10,0)</f>
        <v>0</v>
      </c>
      <c r="O19" s="33">
        <f>ROUND('Anexo 12'!O19*'Anexo 5'!$D$10,0)</f>
        <v>0</v>
      </c>
      <c r="P19" s="33">
        <f>ROUND('Anexo 12'!P19*'Anexo 5'!$D$10,0)</f>
        <v>0</v>
      </c>
      <c r="Q19" s="33">
        <f>ROUND('Anexo 12'!Q19*'Anexo 5'!$D$10,0)</f>
        <v>0</v>
      </c>
      <c r="R19" s="33">
        <f>ROUND('Anexo 12'!R19*'Anexo 5'!$D$10,0)</f>
        <v>0</v>
      </c>
      <c r="S19" s="33">
        <f>ROUND('Anexo 12'!S19*'Anexo 5'!$D$10,0)</f>
        <v>0</v>
      </c>
      <c r="T19" s="33">
        <f>ROUND('Anexo 12'!T19*'Anexo 5'!$D$10,0)</f>
        <v>0</v>
      </c>
      <c r="U19" s="33">
        <f>ROUND('Anexo 12'!U19*'Anexo 5'!$D$10,0)</f>
        <v>0</v>
      </c>
      <c r="V19" s="33">
        <f>ROUND('Anexo 12'!V19*'Anexo 5'!$D$10,0)</f>
        <v>0</v>
      </c>
      <c r="W19" s="33">
        <f>ROUND('Anexo 12'!W19*'Anexo 5'!$D$10,0)</f>
        <v>0</v>
      </c>
      <c r="X19" s="33">
        <f>ROUND('Anexo 12'!X19*'Anexo 5'!$D$10,0)</f>
        <v>0</v>
      </c>
      <c r="Y19" s="33">
        <f>ROUND('Anexo 12'!Y19*'Anexo 5'!$D$10,0)</f>
        <v>0</v>
      </c>
      <c r="Z19" s="33">
        <f>ROUND('Anexo 12'!Z19*'Anexo 5'!$D$10,0)</f>
        <v>0</v>
      </c>
      <c r="AA19" s="38">
        <f t="shared" si="0"/>
        <v>0</v>
      </c>
      <c r="AB19" s="21">
        <v>4</v>
      </c>
      <c r="AC19" s="80"/>
      <c r="AD19" s="47"/>
    </row>
    <row r="20" spans="1:30" ht="15.75" thickBot="1" x14ac:dyDescent="0.3">
      <c r="A20" s="78"/>
      <c r="B20" s="22" t="s">
        <v>6</v>
      </c>
      <c r="C20" s="33">
        <f>ROUND('Anexo 12'!C20*'Anexo 5'!$D$10,0)</f>
        <v>0</v>
      </c>
      <c r="D20" s="33">
        <f>ROUND('Anexo 12'!D20*'Anexo 5'!$D$10,0)</f>
        <v>0</v>
      </c>
      <c r="E20" s="33">
        <f>ROUND('Anexo 12'!E20*'Anexo 5'!$D$10,0)</f>
        <v>0</v>
      </c>
      <c r="F20" s="33">
        <f>ROUND('Anexo 12'!F20*'Anexo 5'!$D$10,0)</f>
        <v>0</v>
      </c>
      <c r="G20" s="33">
        <f>ROUND('Anexo 12'!G20*'Anexo 5'!$D$10,0)</f>
        <v>0</v>
      </c>
      <c r="H20" s="33">
        <f>ROUND('Anexo 12'!H20*'Anexo 5'!$D$10,0)</f>
        <v>0</v>
      </c>
      <c r="I20" s="33">
        <f>ROUND('Anexo 12'!I20*'Anexo 5'!$D$10,0)</f>
        <v>0</v>
      </c>
      <c r="J20" s="33">
        <f>ROUND('Anexo 12'!J20*'Anexo 5'!$D$10,0)</f>
        <v>0</v>
      </c>
      <c r="K20" s="33">
        <f>ROUND('Anexo 12'!K20*'Anexo 5'!$D$10,0)</f>
        <v>0</v>
      </c>
      <c r="L20" s="33">
        <f>ROUND('Anexo 12'!L20*'Anexo 5'!$D$10,0)</f>
        <v>0</v>
      </c>
      <c r="M20" s="33">
        <f>ROUND('Anexo 12'!M20*'Anexo 5'!$D$10,0)</f>
        <v>0</v>
      </c>
      <c r="N20" s="33">
        <f>ROUND('Anexo 12'!N20*'Anexo 5'!$D$10,0)</f>
        <v>0</v>
      </c>
      <c r="O20" s="33">
        <f>ROUND('Anexo 12'!O20*'Anexo 5'!$D$10,0)</f>
        <v>0</v>
      </c>
      <c r="P20" s="33">
        <f>ROUND('Anexo 12'!P20*'Anexo 5'!$D$10,0)</f>
        <v>0</v>
      </c>
      <c r="Q20" s="33">
        <f>ROUND('Anexo 12'!Q20*'Anexo 5'!$D$10,0)</f>
        <v>0</v>
      </c>
      <c r="R20" s="33">
        <f>ROUND('Anexo 12'!R20*'Anexo 5'!$D$10,0)</f>
        <v>0</v>
      </c>
      <c r="S20" s="33">
        <f>ROUND('Anexo 12'!S20*'Anexo 5'!$D$10,0)</f>
        <v>0</v>
      </c>
      <c r="T20" s="33">
        <f>ROUND('Anexo 12'!T20*'Anexo 5'!$D$10,0)</f>
        <v>0</v>
      </c>
      <c r="U20" s="33">
        <f>ROUND('Anexo 12'!U20*'Anexo 5'!$D$10,0)</f>
        <v>0</v>
      </c>
      <c r="V20" s="33">
        <f>ROUND('Anexo 12'!V20*'Anexo 5'!$D$10,0)</f>
        <v>0</v>
      </c>
      <c r="W20" s="33">
        <f>ROUND('Anexo 12'!W20*'Anexo 5'!$D$10,0)</f>
        <v>0</v>
      </c>
      <c r="X20" s="33">
        <f>ROUND('Anexo 12'!X20*'Anexo 5'!$D$10,0)</f>
        <v>0</v>
      </c>
      <c r="Y20" s="33">
        <f>ROUND('Anexo 12'!Y20*'Anexo 5'!$D$10,0)</f>
        <v>0</v>
      </c>
      <c r="Z20" s="33">
        <f>ROUND('Anexo 12'!Z20*'Anexo 5'!$D$10,0)</f>
        <v>0</v>
      </c>
      <c r="AA20" s="41">
        <f t="shared" si="0"/>
        <v>0</v>
      </c>
      <c r="AB20" s="23">
        <v>5</v>
      </c>
      <c r="AC20" s="81"/>
      <c r="AD20" s="48"/>
    </row>
    <row r="21" spans="1:30" ht="15.75" thickBot="1" x14ac:dyDescent="0.3">
      <c r="A21" s="78">
        <v>47635</v>
      </c>
      <c r="B21" s="18" t="s">
        <v>8</v>
      </c>
      <c r="C21" s="33">
        <f>ROUND('Anexo 12'!C21*'Anexo 5'!$D$10,0)</f>
        <v>0</v>
      </c>
      <c r="D21" s="33">
        <f>ROUND('Anexo 12'!D21*'Anexo 5'!$D$10,0)</f>
        <v>0</v>
      </c>
      <c r="E21" s="33">
        <f>ROUND('Anexo 12'!E21*'Anexo 5'!$D$10,0)</f>
        <v>0</v>
      </c>
      <c r="F21" s="33">
        <f>ROUND('Anexo 12'!F21*'Anexo 5'!$D$10,0)</f>
        <v>0</v>
      </c>
      <c r="G21" s="33">
        <f>ROUND('Anexo 12'!G21*'Anexo 5'!$D$10,0)</f>
        <v>0</v>
      </c>
      <c r="H21" s="33">
        <f>ROUND('Anexo 12'!H21*'Anexo 5'!$D$10,0)</f>
        <v>0</v>
      </c>
      <c r="I21" s="33">
        <f>ROUND('Anexo 12'!I21*'Anexo 5'!$D$10,0)</f>
        <v>0</v>
      </c>
      <c r="J21" s="33">
        <f>ROUND('Anexo 12'!J21*'Anexo 5'!$D$10,0)</f>
        <v>0</v>
      </c>
      <c r="K21" s="33">
        <f>ROUND('Anexo 12'!K21*'Anexo 5'!$D$10,0)</f>
        <v>0</v>
      </c>
      <c r="L21" s="33">
        <f>ROUND('Anexo 12'!L21*'Anexo 5'!$D$10,0)</f>
        <v>0</v>
      </c>
      <c r="M21" s="33">
        <f>ROUND('Anexo 12'!M21*'Anexo 5'!$D$10,0)</f>
        <v>0</v>
      </c>
      <c r="N21" s="33">
        <f>ROUND('Anexo 12'!N21*'Anexo 5'!$D$10,0)</f>
        <v>0</v>
      </c>
      <c r="O21" s="33">
        <f>ROUND('Anexo 12'!O21*'Anexo 5'!$D$10,0)</f>
        <v>0</v>
      </c>
      <c r="P21" s="33">
        <f>ROUND('Anexo 12'!P21*'Anexo 5'!$D$10,0)</f>
        <v>0</v>
      </c>
      <c r="Q21" s="33">
        <f>ROUND('Anexo 12'!Q21*'Anexo 5'!$D$10,0)</f>
        <v>0</v>
      </c>
      <c r="R21" s="33">
        <f>ROUND('Anexo 12'!R21*'Anexo 5'!$D$10,0)</f>
        <v>0</v>
      </c>
      <c r="S21" s="33">
        <f>ROUND('Anexo 12'!S21*'Anexo 5'!$D$10,0)</f>
        <v>0</v>
      </c>
      <c r="T21" s="33">
        <f>ROUND('Anexo 12'!T21*'Anexo 5'!$D$10,0)</f>
        <v>0</v>
      </c>
      <c r="U21" s="33">
        <f>ROUND('Anexo 12'!U21*'Anexo 5'!$D$10,0)</f>
        <v>0</v>
      </c>
      <c r="V21" s="33">
        <f>ROUND('Anexo 12'!V21*'Anexo 5'!$D$10,0)</f>
        <v>0</v>
      </c>
      <c r="W21" s="33">
        <f>ROUND('Anexo 12'!W21*'Anexo 5'!$D$10,0)</f>
        <v>0</v>
      </c>
      <c r="X21" s="33">
        <f>ROUND('Anexo 12'!X21*'Anexo 5'!$D$10,0)</f>
        <v>0</v>
      </c>
      <c r="Y21" s="33">
        <f>ROUND('Anexo 12'!Y21*'Anexo 5'!$D$10,0)</f>
        <v>0</v>
      </c>
      <c r="Z21" s="33">
        <f>ROUND('Anexo 12'!Z21*'Anexo 5'!$D$10,0)</f>
        <v>0</v>
      </c>
      <c r="AA21" s="35">
        <f t="shared" si="0"/>
        <v>0</v>
      </c>
      <c r="AB21" s="19">
        <v>18</v>
      </c>
      <c r="AC21" s="79">
        <f>+AA21*AB21+AA22*AB22+AA23*AB23</f>
        <v>0</v>
      </c>
    </row>
    <row r="22" spans="1:30" ht="15.75" thickBot="1" x14ac:dyDescent="0.3">
      <c r="A22" s="78"/>
      <c r="B22" s="20" t="s">
        <v>7</v>
      </c>
      <c r="C22" s="33">
        <f>ROUND('Anexo 12'!C22*'Anexo 5'!$D$10,0)</f>
        <v>0</v>
      </c>
      <c r="D22" s="33">
        <f>ROUND('Anexo 12'!D22*'Anexo 5'!$D$10,0)</f>
        <v>0</v>
      </c>
      <c r="E22" s="33">
        <f>ROUND('Anexo 12'!E22*'Anexo 5'!$D$10,0)</f>
        <v>0</v>
      </c>
      <c r="F22" s="33">
        <f>ROUND('Anexo 12'!F22*'Anexo 5'!$D$10,0)</f>
        <v>0</v>
      </c>
      <c r="G22" s="33">
        <f>ROUND('Anexo 12'!G22*'Anexo 5'!$D$10,0)</f>
        <v>0</v>
      </c>
      <c r="H22" s="33">
        <f>ROUND('Anexo 12'!H22*'Anexo 5'!$D$10,0)</f>
        <v>0</v>
      </c>
      <c r="I22" s="33">
        <f>ROUND('Anexo 12'!I22*'Anexo 5'!$D$10,0)</f>
        <v>0</v>
      </c>
      <c r="J22" s="33">
        <f>ROUND('Anexo 12'!J22*'Anexo 5'!$D$10,0)</f>
        <v>0</v>
      </c>
      <c r="K22" s="33">
        <f>ROUND('Anexo 12'!K22*'Anexo 5'!$D$10,0)</f>
        <v>0</v>
      </c>
      <c r="L22" s="33">
        <f>ROUND('Anexo 12'!L22*'Anexo 5'!$D$10,0)</f>
        <v>0</v>
      </c>
      <c r="M22" s="33">
        <f>ROUND('Anexo 12'!M22*'Anexo 5'!$D$10,0)</f>
        <v>0</v>
      </c>
      <c r="N22" s="33">
        <f>ROUND('Anexo 12'!N22*'Anexo 5'!$D$10,0)</f>
        <v>0</v>
      </c>
      <c r="O22" s="33">
        <f>ROUND('Anexo 12'!O22*'Anexo 5'!$D$10,0)</f>
        <v>0</v>
      </c>
      <c r="P22" s="33">
        <f>ROUND('Anexo 12'!P22*'Anexo 5'!$D$10,0)</f>
        <v>0</v>
      </c>
      <c r="Q22" s="33">
        <f>ROUND('Anexo 12'!Q22*'Anexo 5'!$D$10,0)</f>
        <v>0</v>
      </c>
      <c r="R22" s="33">
        <f>ROUND('Anexo 12'!R22*'Anexo 5'!$D$10,0)</f>
        <v>0</v>
      </c>
      <c r="S22" s="33">
        <f>ROUND('Anexo 12'!S22*'Anexo 5'!$D$10,0)</f>
        <v>0</v>
      </c>
      <c r="T22" s="33">
        <f>ROUND('Anexo 12'!T22*'Anexo 5'!$D$10,0)</f>
        <v>0</v>
      </c>
      <c r="U22" s="33">
        <f>ROUND('Anexo 12'!U22*'Anexo 5'!$D$10,0)</f>
        <v>0</v>
      </c>
      <c r="V22" s="33">
        <f>ROUND('Anexo 12'!V22*'Anexo 5'!$D$10,0)</f>
        <v>0</v>
      </c>
      <c r="W22" s="33">
        <f>ROUND('Anexo 12'!W22*'Anexo 5'!$D$10,0)</f>
        <v>0</v>
      </c>
      <c r="X22" s="33">
        <f>ROUND('Anexo 12'!X22*'Anexo 5'!$D$10,0)</f>
        <v>0</v>
      </c>
      <c r="Y22" s="33">
        <f>ROUND('Anexo 12'!Y22*'Anexo 5'!$D$10,0)</f>
        <v>0</v>
      </c>
      <c r="Z22" s="33">
        <f>ROUND('Anexo 12'!Z22*'Anexo 5'!$D$10,0)</f>
        <v>0</v>
      </c>
      <c r="AA22" s="38">
        <f t="shared" si="0"/>
        <v>0</v>
      </c>
      <c r="AB22" s="21">
        <v>5</v>
      </c>
      <c r="AC22" s="80"/>
      <c r="AD22" s="47"/>
    </row>
    <row r="23" spans="1:30" ht="15.75" thickBot="1" x14ac:dyDescent="0.3">
      <c r="A23" s="78"/>
      <c r="B23" s="22" t="s">
        <v>6</v>
      </c>
      <c r="C23" s="33">
        <f>ROUND('Anexo 12'!C23*'Anexo 5'!$D$10,0)</f>
        <v>0</v>
      </c>
      <c r="D23" s="33">
        <f>ROUND('Anexo 12'!D23*'Anexo 5'!$D$10,0)</f>
        <v>0</v>
      </c>
      <c r="E23" s="33">
        <f>ROUND('Anexo 12'!E23*'Anexo 5'!$D$10,0)</f>
        <v>0</v>
      </c>
      <c r="F23" s="33">
        <f>ROUND('Anexo 12'!F23*'Anexo 5'!$D$10,0)</f>
        <v>0</v>
      </c>
      <c r="G23" s="33">
        <f>ROUND('Anexo 12'!G23*'Anexo 5'!$D$10,0)</f>
        <v>0</v>
      </c>
      <c r="H23" s="33">
        <f>ROUND('Anexo 12'!H23*'Anexo 5'!$D$10,0)</f>
        <v>0</v>
      </c>
      <c r="I23" s="33">
        <f>ROUND('Anexo 12'!I23*'Anexo 5'!$D$10,0)</f>
        <v>0</v>
      </c>
      <c r="J23" s="33">
        <f>ROUND('Anexo 12'!J23*'Anexo 5'!$D$10,0)</f>
        <v>0</v>
      </c>
      <c r="K23" s="33">
        <f>ROUND('Anexo 12'!K23*'Anexo 5'!$D$10,0)</f>
        <v>0</v>
      </c>
      <c r="L23" s="33">
        <f>ROUND('Anexo 12'!L23*'Anexo 5'!$D$10,0)</f>
        <v>0</v>
      </c>
      <c r="M23" s="33">
        <f>ROUND('Anexo 12'!M23*'Anexo 5'!$D$10,0)</f>
        <v>0</v>
      </c>
      <c r="N23" s="33">
        <f>ROUND('Anexo 12'!N23*'Anexo 5'!$D$10,0)</f>
        <v>0</v>
      </c>
      <c r="O23" s="33">
        <f>ROUND('Anexo 12'!O23*'Anexo 5'!$D$10,0)</f>
        <v>0</v>
      </c>
      <c r="P23" s="33">
        <f>ROUND('Anexo 12'!P23*'Anexo 5'!$D$10,0)</f>
        <v>0</v>
      </c>
      <c r="Q23" s="33">
        <f>ROUND('Anexo 12'!Q23*'Anexo 5'!$D$10,0)</f>
        <v>0</v>
      </c>
      <c r="R23" s="33">
        <f>ROUND('Anexo 12'!R23*'Anexo 5'!$D$10,0)</f>
        <v>0</v>
      </c>
      <c r="S23" s="33">
        <f>ROUND('Anexo 12'!S23*'Anexo 5'!$D$10,0)</f>
        <v>0</v>
      </c>
      <c r="T23" s="33">
        <f>ROUND('Anexo 12'!T23*'Anexo 5'!$D$10,0)</f>
        <v>0</v>
      </c>
      <c r="U23" s="33">
        <f>ROUND('Anexo 12'!U23*'Anexo 5'!$D$10,0)</f>
        <v>0</v>
      </c>
      <c r="V23" s="33">
        <f>ROUND('Anexo 12'!V23*'Anexo 5'!$D$10,0)</f>
        <v>0</v>
      </c>
      <c r="W23" s="33">
        <f>ROUND('Anexo 12'!W23*'Anexo 5'!$D$10,0)</f>
        <v>0</v>
      </c>
      <c r="X23" s="33">
        <f>ROUND('Anexo 12'!X23*'Anexo 5'!$D$10,0)</f>
        <v>0</v>
      </c>
      <c r="Y23" s="33">
        <f>ROUND('Anexo 12'!Y23*'Anexo 5'!$D$10,0)</f>
        <v>0</v>
      </c>
      <c r="Z23" s="33">
        <f>ROUND('Anexo 12'!Z23*'Anexo 5'!$D$10,0)</f>
        <v>0</v>
      </c>
      <c r="AA23" s="41">
        <f t="shared" si="0"/>
        <v>0</v>
      </c>
      <c r="AB23" s="23">
        <v>7</v>
      </c>
      <c r="AC23" s="81"/>
      <c r="AD23" s="48"/>
    </row>
    <row r="24" spans="1:30" ht="15.75" thickBot="1" x14ac:dyDescent="0.3">
      <c r="A24" s="78">
        <v>47665</v>
      </c>
      <c r="B24" s="18" t="s">
        <v>8</v>
      </c>
      <c r="C24" s="33">
        <f>ROUND('Anexo 12'!C24*'Anexo 5'!$D$10,0)</f>
        <v>0</v>
      </c>
      <c r="D24" s="33">
        <f>ROUND('Anexo 12'!D24*'Anexo 5'!$D$10,0)</f>
        <v>0</v>
      </c>
      <c r="E24" s="33">
        <f>ROUND('Anexo 12'!E24*'Anexo 5'!$D$10,0)</f>
        <v>0</v>
      </c>
      <c r="F24" s="33">
        <f>ROUND('Anexo 12'!F24*'Anexo 5'!$D$10,0)</f>
        <v>0</v>
      </c>
      <c r="G24" s="33">
        <f>ROUND('Anexo 12'!G24*'Anexo 5'!$D$10,0)</f>
        <v>0</v>
      </c>
      <c r="H24" s="33">
        <f>ROUND('Anexo 12'!H24*'Anexo 5'!$D$10,0)</f>
        <v>0</v>
      </c>
      <c r="I24" s="33">
        <f>ROUND('Anexo 12'!I24*'Anexo 5'!$D$10,0)</f>
        <v>0</v>
      </c>
      <c r="J24" s="33">
        <f>ROUND('Anexo 12'!J24*'Anexo 5'!$D$10,0)</f>
        <v>0</v>
      </c>
      <c r="K24" s="33">
        <f>ROUND('Anexo 12'!K24*'Anexo 5'!$D$10,0)</f>
        <v>0</v>
      </c>
      <c r="L24" s="33">
        <f>ROUND('Anexo 12'!L24*'Anexo 5'!$D$10,0)</f>
        <v>0</v>
      </c>
      <c r="M24" s="33">
        <f>ROUND('Anexo 12'!M24*'Anexo 5'!$D$10,0)</f>
        <v>0</v>
      </c>
      <c r="N24" s="33">
        <f>ROUND('Anexo 12'!N24*'Anexo 5'!$D$10,0)</f>
        <v>0</v>
      </c>
      <c r="O24" s="33">
        <f>ROUND('Anexo 12'!O24*'Anexo 5'!$D$10,0)</f>
        <v>0</v>
      </c>
      <c r="P24" s="33">
        <f>ROUND('Anexo 12'!P24*'Anexo 5'!$D$10,0)</f>
        <v>0</v>
      </c>
      <c r="Q24" s="33">
        <f>ROUND('Anexo 12'!Q24*'Anexo 5'!$D$10,0)</f>
        <v>0</v>
      </c>
      <c r="R24" s="33">
        <f>ROUND('Anexo 12'!R24*'Anexo 5'!$D$10,0)</f>
        <v>0</v>
      </c>
      <c r="S24" s="33">
        <f>ROUND('Anexo 12'!S24*'Anexo 5'!$D$10,0)</f>
        <v>0</v>
      </c>
      <c r="T24" s="33">
        <f>ROUND('Anexo 12'!T24*'Anexo 5'!$D$10,0)</f>
        <v>0</v>
      </c>
      <c r="U24" s="33">
        <f>ROUND('Anexo 12'!U24*'Anexo 5'!$D$10,0)</f>
        <v>0</v>
      </c>
      <c r="V24" s="33">
        <f>ROUND('Anexo 12'!V24*'Anexo 5'!$D$10,0)</f>
        <v>0</v>
      </c>
      <c r="W24" s="33">
        <f>ROUND('Anexo 12'!W24*'Anexo 5'!$D$10,0)</f>
        <v>0</v>
      </c>
      <c r="X24" s="33">
        <f>ROUND('Anexo 12'!X24*'Anexo 5'!$D$10,0)</f>
        <v>0</v>
      </c>
      <c r="Y24" s="33">
        <f>ROUND('Anexo 12'!Y24*'Anexo 5'!$D$10,0)</f>
        <v>0</v>
      </c>
      <c r="Z24" s="33">
        <f>ROUND('Anexo 12'!Z24*'Anexo 5'!$D$10,0)</f>
        <v>0</v>
      </c>
      <c r="AA24" s="35">
        <f t="shared" si="0"/>
        <v>0</v>
      </c>
      <c r="AB24" s="19">
        <v>22</v>
      </c>
      <c r="AC24" s="79">
        <f>+AA24*AB24+AA25*AB25+AA26*AB26</f>
        <v>0</v>
      </c>
    </row>
    <row r="25" spans="1:30" ht="15.75" thickBot="1" x14ac:dyDescent="0.3">
      <c r="A25" s="78"/>
      <c r="B25" s="20" t="s">
        <v>7</v>
      </c>
      <c r="C25" s="33">
        <f>ROUND('Anexo 12'!C25*'Anexo 5'!$D$10,0)</f>
        <v>0</v>
      </c>
      <c r="D25" s="33">
        <f>ROUND('Anexo 12'!D25*'Anexo 5'!$D$10,0)</f>
        <v>0</v>
      </c>
      <c r="E25" s="33">
        <f>ROUND('Anexo 12'!E25*'Anexo 5'!$D$10,0)</f>
        <v>0</v>
      </c>
      <c r="F25" s="33">
        <f>ROUND('Anexo 12'!F25*'Anexo 5'!$D$10,0)</f>
        <v>0</v>
      </c>
      <c r="G25" s="33">
        <f>ROUND('Anexo 12'!G25*'Anexo 5'!$D$10,0)</f>
        <v>0</v>
      </c>
      <c r="H25" s="33">
        <f>ROUND('Anexo 12'!H25*'Anexo 5'!$D$10,0)</f>
        <v>0</v>
      </c>
      <c r="I25" s="33">
        <f>ROUND('Anexo 12'!I25*'Anexo 5'!$D$10,0)</f>
        <v>0</v>
      </c>
      <c r="J25" s="33">
        <f>ROUND('Anexo 12'!J25*'Anexo 5'!$D$10,0)</f>
        <v>0</v>
      </c>
      <c r="K25" s="33">
        <f>ROUND('Anexo 12'!K25*'Anexo 5'!$D$10,0)</f>
        <v>0</v>
      </c>
      <c r="L25" s="33">
        <f>ROUND('Anexo 12'!L25*'Anexo 5'!$D$10,0)</f>
        <v>0</v>
      </c>
      <c r="M25" s="33">
        <f>ROUND('Anexo 12'!M25*'Anexo 5'!$D$10,0)</f>
        <v>0</v>
      </c>
      <c r="N25" s="33">
        <f>ROUND('Anexo 12'!N25*'Anexo 5'!$D$10,0)</f>
        <v>0</v>
      </c>
      <c r="O25" s="33">
        <f>ROUND('Anexo 12'!O25*'Anexo 5'!$D$10,0)</f>
        <v>0</v>
      </c>
      <c r="P25" s="33">
        <f>ROUND('Anexo 12'!P25*'Anexo 5'!$D$10,0)</f>
        <v>0</v>
      </c>
      <c r="Q25" s="33">
        <f>ROUND('Anexo 12'!Q25*'Anexo 5'!$D$10,0)</f>
        <v>0</v>
      </c>
      <c r="R25" s="33">
        <f>ROUND('Anexo 12'!R25*'Anexo 5'!$D$10,0)</f>
        <v>0</v>
      </c>
      <c r="S25" s="33">
        <f>ROUND('Anexo 12'!S25*'Anexo 5'!$D$10,0)</f>
        <v>0</v>
      </c>
      <c r="T25" s="33">
        <f>ROUND('Anexo 12'!T25*'Anexo 5'!$D$10,0)</f>
        <v>0</v>
      </c>
      <c r="U25" s="33">
        <f>ROUND('Anexo 12'!U25*'Anexo 5'!$D$10,0)</f>
        <v>0</v>
      </c>
      <c r="V25" s="33">
        <f>ROUND('Anexo 12'!V25*'Anexo 5'!$D$10,0)</f>
        <v>0</v>
      </c>
      <c r="W25" s="33">
        <f>ROUND('Anexo 12'!W25*'Anexo 5'!$D$10,0)</f>
        <v>0</v>
      </c>
      <c r="X25" s="33">
        <f>ROUND('Anexo 12'!X25*'Anexo 5'!$D$10,0)</f>
        <v>0</v>
      </c>
      <c r="Y25" s="33">
        <f>ROUND('Anexo 12'!Y25*'Anexo 5'!$D$10,0)</f>
        <v>0</v>
      </c>
      <c r="Z25" s="33">
        <f>ROUND('Anexo 12'!Z25*'Anexo 5'!$D$10,0)</f>
        <v>0</v>
      </c>
      <c r="AA25" s="38">
        <f t="shared" si="0"/>
        <v>0</v>
      </c>
      <c r="AB25" s="21">
        <v>3</v>
      </c>
      <c r="AC25" s="80"/>
      <c r="AD25" s="47"/>
    </row>
    <row r="26" spans="1:30" ht="15.75" thickBot="1" x14ac:dyDescent="0.3">
      <c r="A26" s="78"/>
      <c r="B26" s="22" t="s">
        <v>6</v>
      </c>
      <c r="C26" s="33">
        <f>ROUND('Anexo 12'!C26*'Anexo 5'!$D$10,0)</f>
        <v>0</v>
      </c>
      <c r="D26" s="33">
        <f>ROUND('Anexo 12'!D26*'Anexo 5'!$D$10,0)</f>
        <v>0</v>
      </c>
      <c r="E26" s="33">
        <f>ROUND('Anexo 12'!E26*'Anexo 5'!$D$10,0)</f>
        <v>0</v>
      </c>
      <c r="F26" s="33">
        <f>ROUND('Anexo 12'!F26*'Anexo 5'!$D$10,0)</f>
        <v>0</v>
      </c>
      <c r="G26" s="33">
        <f>ROUND('Anexo 12'!G26*'Anexo 5'!$D$10,0)</f>
        <v>0</v>
      </c>
      <c r="H26" s="33">
        <f>ROUND('Anexo 12'!H26*'Anexo 5'!$D$10,0)</f>
        <v>0</v>
      </c>
      <c r="I26" s="33">
        <f>ROUND('Anexo 12'!I26*'Anexo 5'!$D$10,0)</f>
        <v>0</v>
      </c>
      <c r="J26" s="33">
        <f>ROUND('Anexo 12'!J26*'Anexo 5'!$D$10,0)</f>
        <v>0</v>
      </c>
      <c r="K26" s="33">
        <f>ROUND('Anexo 12'!K26*'Anexo 5'!$D$10,0)</f>
        <v>0</v>
      </c>
      <c r="L26" s="33">
        <f>ROUND('Anexo 12'!L26*'Anexo 5'!$D$10,0)</f>
        <v>0</v>
      </c>
      <c r="M26" s="33">
        <f>ROUND('Anexo 12'!M26*'Anexo 5'!$D$10,0)</f>
        <v>0</v>
      </c>
      <c r="N26" s="33">
        <f>ROUND('Anexo 12'!N26*'Anexo 5'!$D$10,0)</f>
        <v>0</v>
      </c>
      <c r="O26" s="33">
        <f>ROUND('Anexo 12'!O26*'Anexo 5'!$D$10,0)</f>
        <v>0</v>
      </c>
      <c r="P26" s="33">
        <f>ROUND('Anexo 12'!P26*'Anexo 5'!$D$10,0)</f>
        <v>0</v>
      </c>
      <c r="Q26" s="33">
        <f>ROUND('Anexo 12'!Q26*'Anexo 5'!$D$10,0)</f>
        <v>0</v>
      </c>
      <c r="R26" s="33">
        <f>ROUND('Anexo 12'!R26*'Anexo 5'!$D$10,0)</f>
        <v>0</v>
      </c>
      <c r="S26" s="33">
        <f>ROUND('Anexo 12'!S26*'Anexo 5'!$D$10,0)</f>
        <v>0</v>
      </c>
      <c r="T26" s="33">
        <f>ROUND('Anexo 12'!T26*'Anexo 5'!$D$10,0)</f>
        <v>0</v>
      </c>
      <c r="U26" s="33">
        <f>ROUND('Anexo 12'!U26*'Anexo 5'!$D$10,0)</f>
        <v>0</v>
      </c>
      <c r="V26" s="33">
        <f>ROUND('Anexo 12'!V26*'Anexo 5'!$D$10,0)</f>
        <v>0</v>
      </c>
      <c r="W26" s="33">
        <f>ROUND('Anexo 12'!W26*'Anexo 5'!$D$10,0)</f>
        <v>0</v>
      </c>
      <c r="X26" s="33">
        <f>ROUND('Anexo 12'!X26*'Anexo 5'!$D$10,0)</f>
        <v>0</v>
      </c>
      <c r="Y26" s="33">
        <f>ROUND('Anexo 12'!Y26*'Anexo 5'!$D$10,0)</f>
        <v>0</v>
      </c>
      <c r="Z26" s="33">
        <f>ROUND('Anexo 12'!Z26*'Anexo 5'!$D$10,0)</f>
        <v>0</v>
      </c>
      <c r="AA26" s="41">
        <f t="shared" si="0"/>
        <v>0</v>
      </c>
      <c r="AB26" s="23">
        <v>6</v>
      </c>
      <c r="AC26" s="81"/>
      <c r="AD26" s="48"/>
    </row>
    <row r="27" spans="1:30" ht="15.75" thickBot="1" x14ac:dyDescent="0.3">
      <c r="A27" s="78">
        <v>47696</v>
      </c>
      <c r="B27" s="18" t="s">
        <v>8</v>
      </c>
      <c r="C27" s="33">
        <f>ROUND('Anexo 12'!C27*'Anexo 5'!$D$10,0)</f>
        <v>0</v>
      </c>
      <c r="D27" s="33">
        <f>ROUND('Anexo 12'!D27*'Anexo 5'!$D$10,0)</f>
        <v>0</v>
      </c>
      <c r="E27" s="33">
        <f>ROUND('Anexo 12'!E27*'Anexo 5'!$D$10,0)</f>
        <v>0</v>
      </c>
      <c r="F27" s="33">
        <f>ROUND('Anexo 12'!F27*'Anexo 5'!$D$10,0)</f>
        <v>0</v>
      </c>
      <c r="G27" s="33">
        <f>ROUND('Anexo 12'!G27*'Anexo 5'!$D$10,0)</f>
        <v>0</v>
      </c>
      <c r="H27" s="33">
        <f>ROUND('Anexo 12'!H27*'Anexo 5'!$D$10,0)</f>
        <v>0</v>
      </c>
      <c r="I27" s="33">
        <f>ROUND('Anexo 12'!I27*'Anexo 5'!$D$10,0)</f>
        <v>0</v>
      </c>
      <c r="J27" s="33">
        <f>ROUND('Anexo 12'!J27*'Anexo 5'!$D$10,0)</f>
        <v>0</v>
      </c>
      <c r="K27" s="33">
        <f>ROUND('Anexo 12'!K27*'Anexo 5'!$D$10,0)</f>
        <v>0</v>
      </c>
      <c r="L27" s="33">
        <f>ROUND('Anexo 12'!L27*'Anexo 5'!$D$10,0)</f>
        <v>0</v>
      </c>
      <c r="M27" s="33">
        <f>ROUND('Anexo 12'!M27*'Anexo 5'!$D$10,0)</f>
        <v>0</v>
      </c>
      <c r="N27" s="33">
        <f>ROUND('Anexo 12'!N27*'Anexo 5'!$D$10,0)</f>
        <v>0</v>
      </c>
      <c r="O27" s="33">
        <f>ROUND('Anexo 12'!O27*'Anexo 5'!$D$10,0)</f>
        <v>0</v>
      </c>
      <c r="P27" s="33">
        <f>ROUND('Anexo 12'!P27*'Anexo 5'!$D$10,0)</f>
        <v>0</v>
      </c>
      <c r="Q27" s="33">
        <f>ROUND('Anexo 12'!Q27*'Anexo 5'!$D$10,0)</f>
        <v>0</v>
      </c>
      <c r="R27" s="33">
        <f>ROUND('Anexo 12'!R27*'Anexo 5'!$D$10,0)</f>
        <v>0</v>
      </c>
      <c r="S27" s="33">
        <f>ROUND('Anexo 12'!S27*'Anexo 5'!$D$10,0)</f>
        <v>0</v>
      </c>
      <c r="T27" s="33">
        <f>ROUND('Anexo 12'!T27*'Anexo 5'!$D$10,0)</f>
        <v>0</v>
      </c>
      <c r="U27" s="33">
        <f>ROUND('Anexo 12'!U27*'Anexo 5'!$D$10,0)</f>
        <v>0</v>
      </c>
      <c r="V27" s="33">
        <f>ROUND('Anexo 12'!V27*'Anexo 5'!$D$10,0)</f>
        <v>0</v>
      </c>
      <c r="W27" s="33">
        <f>ROUND('Anexo 12'!W27*'Anexo 5'!$D$10,0)</f>
        <v>0</v>
      </c>
      <c r="X27" s="33">
        <f>ROUND('Anexo 12'!X27*'Anexo 5'!$D$10,0)</f>
        <v>0</v>
      </c>
      <c r="Y27" s="33">
        <f>ROUND('Anexo 12'!Y27*'Anexo 5'!$D$10,0)</f>
        <v>0</v>
      </c>
      <c r="Z27" s="33">
        <f>ROUND('Anexo 12'!Z27*'Anexo 5'!$D$10,0)</f>
        <v>0</v>
      </c>
      <c r="AA27" s="35">
        <f t="shared" si="0"/>
        <v>0</v>
      </c>
      <c r="AB27" s="19">
        <v>20</v>
      </c>
      <c r="AC27" s="79">
        <f>+AA27*AB27+AA28*AB28+AA29*AB29</f>
        <v>0</v>
      </c>
    </row>
    <row r="28" spans="1:30" ht="15.75" thickBot="1" x14ac:dyDescent="0.3">
      <c r="A28" s="78"/>
      <c r="B28" s="20" t="s">
        <v>7</v>
      </c>
      <c r="C28" s="33">
        <f>ROUND('Anexo 12'!C28*'Anexo 5'!$D$10,0)</f>
        <v>0</v>
      </c>
      <c r="D28" s="33">
        <f>ROUND('Anexo 12'!D28*'Anexo 5'!$D$10,0)</f>
        <v>0</v>
      </c>
      <c r="E28" s="33">
        <f>ROUND('Anexo 12'!E28*'Anexo 5'!$D$10,0)</f>
        <v>0</v>
      </c>
      <c r="F28" s="33">
        <f>ROUND('Anexo 12'!F28*'Anexo 5'!$D$10,0)</f>
        <v>0</v>
      </c>
      <c r="G28" s="33">
        <f>ROUND('Anexo 12'!G28*'Anexo 5'!$D$10,0)</f>
        <v>0</v>
      </c>
      <c r="H28" s="33">
        <f>ROUND('Anexo 12'!H28*'Anexo 5'!$D$10,0)</f>
        <v>0</v>
      </c>
      <c r="I28" s="33">
        <f>ROUND('Anexo 12'!I28*'Anexo 5'!$D$10,0)</f>
        <v>0</v>
      </c>
      <c r="J28" s="33">
        <f>ROUND('Anexo 12'!J28*'Anexo 5'!$D$10,0)</f>
        <v>0</v>
      </c>
      <c r="K28" s="33">
        <f>ROUND('Anexo 12'!K28*'Anexo 5'!$D$10,0)</f>
        <v>0</v>
      </c>
      <c r="L28" s="33">
        <f>ROUND('Anexo 12'!L28*'Anexo 5'!$D$10,0)</f>
        <v>0</v>
      </c>
      <c r="M28" s="33">
        <f>ROUND('Anexo 12'!M28*'Anexo 5'!$D$10,0)</f>
        <v>0</v>
      </c>
      <c r="N28" s="33">
        <f>ROUND('Anexo 12'!N28*'Anexo 5'!$D$10,0)</f>
        <v>0</v>
      </c>
      <c r="O28" s="33">
        <f>ROUND('Anexo 12'!O28*'Anexo 5'!$D$10,0)</f>
        <v>0</v>
      </c>
      <c r="P28" s="33">
        <f>ROUND('Anexo 12'!P28*'Anexo 5'!$D$10,0)</f>
        <v>0</v>
      </c>
      <c r="Q28" s="33">
        <f>ROUND('Anexo 12'!Q28*'Anexo 5'!$D$10,0)</f>
        <v>0</v>
      </c>
      <c r="R28" s="33">
        <f>ROUND('Anexo 12'!R28*'Anexo 5'!$D$10,0)</f>
        <v>0</v>
      </c>
      <c r="S28" s="33">
        <f>ROUND('Anexo 12'!S28*'Anexo 5'!$D$10,0)</f>
        <v>0</v>
      </c>
      <c r="T28" s="33">
        <f>ROUND('Anexo 12'!T28*'Anexo 5'!$D$10,0)</f>
        <v>0</v>
      </c>
      <c r="U28" s="33">
        <f>ROUND('Anexo 12'!U28*'Anexo 5'!$D$10,0)</f>
        <v>0</v>
      </c>
      <c r="V28" s="33">
        <f>ROUND('Anexo 12'!V28*'Anexo 5'!$D$10,0)</f>
        <v>0</v>
      </c>
      <c r="W28" s="33">
        <f>ROUND('Anexo 12'!W28*'Anexo 5'!$D$10,0)</f>
        <v>0</v>
      </c>
      <c r="X28" s="33">
        <f>ROUND('Anexo 12'!X28*'Anexo 5'!$D$10,0)</f>
        <v>0</v>
      </c>
      <c r="Y28" s="33">
        <f>ROUND('Anexo 12'!Y28*'Anexo 5'!$D$10,0)</f>
        <v>0</v>
      </c>
      <c r="Z28" s="33">
        <f>ROUND('Anexo 12'!Z28*'Anexo 5'!$D$10,0)</f>
        <v>0</v>
      </c>
      <c r="AA28" s="38">
        <f t="shared" si="0"/>
        <v>0</v>
      </c>
      <c r="AB28" s="21">
        <v>5</v>
      </c>
      <c r="AC28" s="80"/>
      <c r="AD28" s="47"/>
    </row>
    <row r="29" spans="1:30" ht="15.75" thickBot="1" x14ac:dyDescent="0.3">
      <c r="A29" s="78"/>
      <c r="B29" s="22" t="s">
        <v>6</v>
      </c>
      <c r="C29" s="33">
        <f>ROUND('Anexo 12'!C29*'Anexo 5'!$D$10,0)</f>
        <v>0</v>
      </c>
      <c r="D29" s="33">
        <f>ROUND('Anexo 12'!D29*'Anexo 5'!$D$10,0)</f>
        <v>0</v>
      </c>
      <c r="E29" s="33">
        <f>ROUND('Anexo 12'!E29*'Anexo 5'!$D$10,0)</f>
        <v>0</v>
      </c>
      <c r="F29" s="33">
        <f>ROUND('Anexo 12'!F29*'Anexo 5'!$D$10,0)</f>
        <v>0</v>
      </c>
      <c r="G29" s="33">
        <f>ROUND('Anexo 12'!G29*'Anexo 5'!$D$10,0)</f>
        <v>0</v>
      </c>
      <c r="H29" s="33">
        <f>ROUND('Anexo 12'!H29*'Anexo 5'!$D$10,0)</f>
        <v>0</v>
      </c>
      <c r="I29" s="33">
        <f>ROUND('Anexo 12'!I29*'Anexo 5'!$D$10,0)</f>
        <v>0</v>
      </c>
      <c r="J29" s="33">
        <f>ROUND('Anexo 12'!J29*'Anexo 5'!$D$10,0)</f>
        <v>0</v>
      </c>
      <c r="K29" s="33">
        <f>ROUND('Anexo 12'!K29*'Anexo 5'!$D$10,0)</f>
        <v>0</v>
      </c>
      <c r="L29" s="33">
        <f>ROUND('Anexo 12'!L29*'Anexo 5'!$D$10,0)</f>
        <v>0</v>
      </c>
      <c r="M29" s="33">
        <f>ROUND('Anexo 12'!M29*'Anexo 5'!$D$10,0)</f>
        <v>0</v>
      </c>
      <c r="N29" s="33">
        <f>ROUND('Anexo 12'!N29*'Anexo 5'!$D$10,0)</f>
        <v>0</v>
      </c>
      <c r="O29" s="33">
        <f>ROUND('Anexo 12'!O29*'Anexo 5'!$D$10,0)</f>
        <v>0</v>
      </c>
      <c r="P29" s="33">
        <f>ROUND('Anexo 12'!P29*'Anexo 5'!$D$10,0)</f>
        <v>0</v>
      </c>
      <c r="Q29" s="33">
        <f>ROUND('Anexo 12'!Q29*'Anexo 5'!$D$10,0)</f>
        <v>0</v>
      </c>
      <c r="R29" s="33">
        <f>ROUND('Anexo 12'!R29*'Anexo 5'!$D$10,0)</f>
        <v>0</v>
      </c>
      <c r="S29" s="33">
        <f>ROUND('Anexo 12'!S29*'Anexo 5'!$D$10,0)</f>
        <v>0</v>
      </c>
      <c r="T29" s="33">
        <f>ROUND('Anexo 12'!T29*'Anexo 5'!$D$10,0)</f>
        <v>0</v>
      </c>
      <c r="U29" s="33">
        <f>ROUND('Anexo 12'!U29*'Anexo 5'!$D$10,0)</f>
        <v>0</v>
      </c>
      <c r="V29" s="33">
        <f>ROUND('Anexo 12'!V29*'Anexo 5'!$D$10,0)</f>
        <v>0</v>
      </c>
      <c r="W29" s="33">
        <f>ROUND('Anexo 12'!W29*'Anexo 5'!$D$10,0)</f>
        <v>0</v>
      </c>
      <c r="X29" s="33">
        <f>ROUND('Anexo 12'!X29*'Anexo 5'!$D$10,0)</f>
        <v>0</v>
      </c>
      <c r="Y29" s="33">
        <f>ROUND('Anexo 12'!Y29*'Anexo 5'!$D$10,0)</f>
        <v>0</v>
      </c>
      <c r="Z29" s="33">
        <f>ROUND('Anexo 12'!Z29*'Anexo 5'!$D$10,0)</f>
        <v>0</v>
      </c>
      <c r="AA29" s="41">
        <f t="shared" si="0"/>
        <v>0</v>
      </c>
      <c r="AB29" s="23">
        <v>6</v>
      </c>
      <c r="AC29" s="81"/>
      <c r="AD29" s="49"/>
    </row>
    <row r="30" spans="1:30" ht="15.75" thickBot="1" x14ac:dyDescent="0.3">
      <c r="A30" s="78">
        <v>47727</v>
      </c>
      <c r="B30" s="18" t="s">
        <v>8</v>
      </c>
      <c r="C30" s="33">
        <f>ROUND('Anexo 12'!C30*'Anexo 5'!$D$10,0)</f>
        <v>0</v>
      </c>
      <c r="D30" s="33">
        <f>ROUND('Anexo 12'!D30*'Anexo 5'!$D$10,0)</f>
        <v>0</v>
      </c>
      <c r="E30" s="33">
        <f>ROUND('Anexo 12'!E30*'Anexo 5'!$D$10,0)</f>
        <v>0</v>
      </c>
      <c r="F30" s="33">
        <f>ROUND('Anexo 12'!F30*'Anexo 5'!$D$10,0)</f>
        <v>0</v>
      </c>
      <c r="G30" s="33">
        <f>ROUND('Anexo 12'!G30*'Anexo 5'!$D$10,0)</f>
        <v>0</v>
      </c>
      <c r="H30" s="33">
        <f>ROUND('Anexo 12'!H30*'Anexo 5'!$D$10,0)</f>
        <v>0</v>
      </c>
      <c r="I30" s="33">
        <f>ROUND('Anexo 12'!I30*'Anexo 5'!$D$10,0)</f>
        <v>0</v>
      </c>
      <c r="J30" s="33">
        <f>ROUND('Anexo 12'!J30*'Anexo 5'!$D$10,0)</f>
        <v>0</v>
      </c>
      <c r="K30" s="33">
        <f>ROUND('Anexo 12'!K30*'Anexo 5'!$D$10,0)</f>
        <v>0</v>
      </c>
      <c r="L30" s="33">
        <f>ROUND('Anexo 12'!L30*'Anexo 5'!$D$10,0)</f>
        <v>0</v>
      </c>
      <c r="M30" s="33">
        <f>ROUND('Anexo 12'!M30*'Anexo 5'!$D$10,0)</f>
        <v>0</v>
      </c>
      <c r="N30" s="33">
        <f>ROUND('Anexo 12'!N30*'Anexo 5'!$D$10,0)</f>
        <v>0</v>
      </c>
      <c r="O30" s="33">
        <f>ROUND('Anexo 12'!O30*'Anexo 5'!$D$10,0)</f>
        <v>0</v>
      </c>
      <c r="P30" s="33">
        <f>ROUND('Anexo 12'!P30*'Anexo 5'!$D$10,0)</f>
        <v>0</v>
      </c>
      <c r="Q30" s="33">
        <f>ROUND('Anexo 12'!Q30*'Anexo 5'!$D$10,0)</f>
        <v>0</v>
      </c>
      <c r="R30" s="33">
        <f>ROUND('Anexo 12'!R30*'Anexo 5'!$D$10,0)</f>
        <v>0</v>
      </c>
      <c r="S30" s="33">
        <f>ROUND('Anexo 12'!S30*'Anexo 5'!$D$10,0)</f>
        <v>0</v>
      </c>
      <c r="T30" s="33">
        <f>ROUND('Anexo 12'!T30*'Anexo 5'!$D$10,0)</f>
        <v>0</v>
      </c>
      <c r="U30" s="33">
        <f>ROUND('Anexo 12'!U30*'Anexo 5'!$D$10,0)</f>
        <v>0</v>
      </c>
      <c r="V30" s="33">
        <f>ROUND('Anexo 12'!V30*'Anexo 5'!$D$10,0)</f>
        <v>0</v>
      </c>
      <c r="W30" s="33">
        <f>ROUND('Anexo 12'!W30*'Anexo 5'!$D$10,0)</f>
        <v>0</v>
      </c>
      <c r="X30" s="33">
        <f>ROUND('Anexo 12'!X30*'Anexo 5'!$D$10,0)</f>
        <v>0</v>
      </c>
      <c r="Y30" s="33">
        <f>ROUND('Anexo 12'!Y30*'Anexo 5'!$D$10,0)</f>
        <v>0</v>
      </c>
      <c r="Z30" s="33">
        <f>ROUND('Anexo 12'!Z30*'Anexo 5'!$D$10,0)</f>
        <v>0</v>
      </c>
      <c r="AA30" s="35">
        <f t="shared" si="0"/>
        <v>0</v>
      </c>
      <c r="AB30" s="19">
        <v>21</v>
      </c>
      <c r="AC30" s="79">
        <f>+AA30*AB30+AA31*AB31+AA32*AB32</f>
        <v>0</v>
      </c>
    </row>
    <row r="31" spans="1:30" ht="15.75" thickBot="1" x14ac:dyDescent="0.3">
      <c r="A31" s="78"/>
      <c r="B31" s="20" t="s">
        <v>7</v>
      </c>
      <c r="C31" s="33">
        <f>ROUND('Anexo 12'!C31*'Anexo 5'!$D$10,0)</f>
        <v>0</v>
      </c>
      <c r="D31" s="33">
        <f>ROUND('Anexo 12'!D31*'Anexo 5'!$D$10,0)</f>
        <v>0</v>
      </c>
      <c r="E31" s="33">
        <f>ROUND('Anexo 12'!E31*'Anexo 5'!$D$10,0)</f>
        <v>0</v>
      </c>
      <c r="F31" s="33">
        <f>ROUND('Anexo 12'!F31*'Anexo 5'!$D$10,0)</f>
        <v>0</v>
      </c>
      <c r="G31" s="33">
        <f>ROUND('Anexo 12'!G31*'Anexo 5'!$D$10,0)</f>
        <v>0</v>
      </c>
      <c r="H31" s="33">
        <f>ROUND('Anexo 12'!H31*'Anexo 5'!$D$10,0)</f>
        <v>0</v>
      </c>
      <c r="I31" s="33">
        <f>ROUND('Anexo 12'!I31*'Anexo 5'!$D$10,0)</f>
        <v>0</v>
      </c>
      <c r="J31" s="33">
        <f>ROUND('Anexo 12'!J31*'Anexo 5'!$D$10,0)</f>
        <v>0</v>
      </c>
      <c r="K31" s="33">
        <f>ROUND('Anexo 12'!K31*'Anexo 5'!$D$10,0)</f>
        <v>0</v>
      </c>
      <c r="L31" s="33">
        <f>ROUND('Anexo 12'!L31*'Anexo 5'!$D$10,0)</f>
        <v>0</v>
      </c>
      <c r="M31" s="33">
        <f>ROUND('Anexo 12'!M31*'Anexo 5'!$D$10,0)</f>
        <v>0</v>
      </c>
      <c r="N31" s="33">
        <f>ROUND('Anexo 12'!N31*'Anexo 5'!$D$10,0)</f>
        <v>0</v>
      </c>
      <c r="O31" s="33">
        <f>ROUND('Anexo 12'!O31*'Anexo 5'!$D$10,0)</f>
        <v>0</v>
      </c>
      <c r="P31" s="33">
        <f>ROUND('Anexo 12'!P31*'Anexo 5'!$D$10,0)</f>
        <v>0</v>
      </c>
      <c r="Q31" s="33">
        <f>ROUND('Anexo 12'!Q31*'Anexo 5'!$D$10,0)</f>
        <v>0</v>
      </c>
      <c r="R31" s="33">
        <f>ROUND('Anexo 12'!R31*'Anexo 5'!$D$10,0)</f>
        <v>0</v>
      </c>
      <c r="S31" s="33">
        <f>ROUND('Anexo 12'!S31*'Anexo 5'!$D$10,0)</f>
        <v>0</v>
      </c>
      <c r="T31" s="33">
        <f>ROUND('Anexo 12'!T31*'Anexo 5'!$D$10,0)</f>
        <v>0</v>
      </c>
      <c r="U31" s="33">
        <f>ROUND('Anexo 12'!U31*'Anexo 5'!$D$10,0)</f>
        <v>0</v>
      </c>
      <c r="V31" s="33">
        <f>ROUND('Anexo 12'!V31*'Anexo 5'!$D$10,0)</f>
        <v>0</v>
      </c>
      <c r="W31" s="33">
        <f>ROUND('Anexo 12'!W31*'Anexo 5'!$D$10,0)</f>
        <v>0</v>
      </c>
      <c r="X31" s="33">
        <f>ROUND('Anexo 12'!X31*'Anexo 5'!$D$10,0)</f>
        <v>0</v>
      </c>
      <c r="Y31" s="33">
        <f>ROUND('Anexo 12'!Y31*'Anexo 5'!$D$10,0)</f>
        <v>0</v>
      </c>
      <c r="Z31" s="33">
        <f>ROUND('Anexo 12'!Z31*'Anexo 5'!$D$10,0)</f>
        <v>0</v>
      </c>
      <c r="AA31" s="38">
        <f t="shared" si="0"/>
        <v>0</v>
      </c>
      <c r="AB31" s="21">
        <v>4</v>
      </c>
      <c r="AC31" s="80"/>
      <c r="AD31" s="47"/>
    </row>
    <row r="32" spans="1:30" ht="15.75" thickBot="1" x14ac:dyDescent="0.3">
      <c r="A32" s="78"/>
      <c r="B32" s="22" t="s">
        <v>6</v>
      </c>
      <c r="C32" s="33">
        <f>ROUND('Anexo 12'!C32*'Anexo 5'!$D$10,0)</f>
        <v>0</v>
      </c>
      <c r="D32" s="33">
        <f>ROUND('Anexo 12'!D32*'Anexo 5'!$D$10,0)</f>
        <v>0</v>
      </c>
      <c r="E32" s="33">
        <f>ROUND('Anexo 12'!E32*'Anexo 5'!$D$10,0)</f>
        <v>0</v>
      </c>
      <c r="F32" s="33">
        <f>ROUND('Anexo 12'!F32*'Anexo 5'!$D$10,0)</f>
        <v>0</v>
      </c>
      <c r="G32" s="33">
        <f>ROUND('Anexo 12'!G32*'Anexo 5'!$D$10,0)</f>
        <v>0</v>
      </c>
      <c r="H32" s="33">
        <f>ROUND('Anexo 12'!H32*'Anexo 5'!$D$10,0)</f>
        <v>0</v>
      </c>
      <c r="I32" s="33">
        <f>ROUND('Anexo 12'!I32*'Anexo 5'!$D$10,0)</f>
        <v>0</v>
      </c>
      <c r="J32" s="33">
        <f>ROUND('Anexo 12'!J32*'Anexo 5'!$D$10,0)</f>
        <v>0</v>
      </c>
      <c r="K32" s="33">
        <f>ROUND('Anexo 12'!K32*'Anexo 5'!$D$10,0)</f>
        <v>0</v>
      </c>
      <c r="L32" s="33">
        <f>ROUND('Anexo 12'!L32*'Anexo 5'!$D$10,0)</f>
        <v>0</v>
      </c>
      <c r="M32" s="33">
        <f>ROUND('Anexo 12'!M32*'Anexo 5'!$D$10,0)</f>
        <v>0</v>
      </c>
      <c r="N32" s="33">
        <f>ROUND('Anexo 12'!N32*'Anexo 5'!$D$10,0)</f>
        <v>0</v>
      </c>
      <c r="O32" s="33">
        <f>ROUND('Anexo 12'!O32*'Anexo 5'!$D$10,0)</f>
        <v>0</v>
      </c>
      <c r="P32" s="33">
        <f>ROUND('Anexo 12'!P32*'Anexo 5'!$D$10,0)</f>
        <v>0</v>
      </c>
      <c r="Q32" s="33">
        <f>ROUND('Anexo 12'!Q32*'Anexo 5'!$D$10,0)</f>
        <v>0</v>
      </c>
      <c r="R32" s="33">
        <f>ROUND('Anexo 12'!R32*'Anexo 5'!$D$10,0)</f>
        <v>0</v>
      </c>
      <c r="S32" s="33">
        <f>ROUND('Anexo 12'!S32*'Anexo 5'!$D$10,0)</f>
        <v>0</v>
      </c>
      <c r="T32" s="33">
        <f>ROUND('Anexo 12'!T32*'Anexo 5'!$D$10,0)</f>
        <v>0</v>
      </c>
      <c r="U32" s="33">
        <f>ROUND('Anexo 12'!U32*'Anexo 5'!$D$10,0)</f>
        <v>0</v>
      </c>
      <c r="V32" s="33">
        <f>ROUND('Anexo 12'!V32*'Anexo 5'!$D$10,0)</f>
        <v>0</v>
      </c>
      <c r="W32" s="33">
        <f>ROUND('Anexo 12'!W32*'Anexo 5'!$D$10,0)</f>
        <v>0</v>
      </c>
      <c r="X32" s="33">
        <f>ROUND('Anexo 12'!X32*'Anexo 5'!$D$10,0)</f>
        <v>0</v>
      </c>
      <c r="Y32" s="33">
        <f>ROUND('Anexo 12'!Y32*'Anexo 5'!$D$10,0)</f>
        <v>0</v>
      </c>
      <c r="Z32" s="33">
        <f>ROUND('Anexo 12'!Z32*'Anexo 5'!$D$10,0)</f>
        <v>0</v>
      </c>
      <c r="AA32" s="41">
        <f t="shared" si="0"/>
        <v>0</v>
      </c>
      <c r="AB32" s="23">
        <v>5</v>
      </c>
      <c r="AC32" s="81"/>
      <c r="AD32" s="48"/>
    </row>
    <row r="33" spans="1:30" ht="15.75" thickBot="1" x14ac:dyDescent="0.3">
      <c r="A33" s="78">
        <v>47757</v>
      </c>
      <c r="B33" s="18" t="s">
        <v>8</v>
      </c>
      <c r="C33" s="33">
        <f>ROUND('Anexo 12'!C33*'Anexo 5'!$D$10,0)</f>
        <v>0</v>
      </c>
      <c r="D33" s="33">
        <f>ROUND('Anexo 12'!D33*'Anexo 5'!$D$10,0)</f>
        <v>0</v>
      </c>
      <c r="E33" s="33">
        <f>ROUND('Anexo 12'!E33*'Anexo 5'!$D$10,0)</f>
        <v>0</v>
      </c>
      <c r="F33" s="33">
        <f>ROUND('Anexo 12'!F33*'Anexo 5'!$D$10,0)</f>
        <v>0</v>
      </c>
      <c r="G33" s="33">
        <f>ROUND('Anexo 12'!G33*'Anexo 5'!$D$10,0)</f>
        <v>0</v>
      </c>
      <c r="H33" s="33">
        <f>ROUND('Anexo 12'!H33*'Anexo 5'!$D$10,0)</f>
        <v>0</v>
      </c>
      <c r="I33" s="33">
        <f>ROUND('Anexo 12'!I33*'Anexo 5'!$D$10,0)</f>
        <v>0</v>
      </c>
      <c r="J33" s="33">
        <f>ROUND('Anexo 12'!J33*'Anexo 5'!$D$10,0)</f>
        <v>0</v>
      </c>
      <c r="K33" s="33">
        <f>ROUND('Anexo 12'!K33*'Anexo 5'!$D$10,0)</f>
        <v>0</v>
      </c>
      <c r="L33" s="33">
        <f>ROUND('Anexo 12'!L33*'Anexo 5'!$D$10,0)</f>
        <v>0</v>
      </c>
      <c r="M33" s="33">
        <f>ROUND('Anexo 12'!M33*'Anexo 5'!$D$10,0)</f>
        <v>0</v>
      </c>
      <c r="N33" s="33">
        <f>ROUND('Anexo 12'!N33*'Anexo 5'!$D$10,0)</f>
        <v>0</v>
      </c>
      <c r="O33" s="33">
        <f>ROUND('Anexo 12'!O33*'Anexo 5'!$D$10,0)</f>
        <v>0</v>
      </c>
      <c r="P33" s="33">
        <f>ROUND('Anexo 12'!P33*'Anexo 5'!$D$10,0)</f>
        <v>0</v>
      </c>
      <c r="Q33" s="33">
        <f>ROUND('Anexo 12'!Q33*'Anexo 5'!$D$10,0)</f>
        <v>0</v>
      </c>
      <c r="R33" s="33">
        <f>ROUND('Anexo 12'!R33*'Anexo 5'!$D$10,0)</f>
        <v>0</v>
      </c>
      <c r="S33" s="33">
        <f>ROUND('Anexo 12'!S33*'Anexo 5'!$D$10,0)</f>
        <v>0</v>
      </c>
      <c r="T33" s="33">
        <f>ROUND('Anexo 12'!T33*'Anexo 5'!$D$10,0)</f>
        <v>0</v>
      </c>
      <c r="U33" s="33">
        <f>ROUND('Anexo 12'!U33*'Anexo 5'!$D$10,0)</f>
        <v>0</v>
      </c>
      <c r="V33" s="33">
        <f>ROUND('Anexo 12'!V33*'Anexo 5'!$D$10,0)</f>
        <v>0</v>
      </c>
      <c r="W33" s="33">
        <f>ROUND('Anexo 12'!W33*'Anexo 5'!$D$10,0)</f>
        <v>0</v>
      </c>
      <c r="X33" s="33">
        <f>ROUND('Anexo 12'!X33*'Anexo 5'!$D$10,0)</f>
        <v>0</v>
      </c>
      <c r="Y33" s="33">
        <f>ROUND('Anexo 12'!Y33*'Anexo 5'!$D$10,0)</f>
        <v>0</v>
      </c>
      <c r="Z33" s="33">
        <f>ROUND('Anexo 12'!Z33*'Anexo 5'!$D$10,0)</f>
        <v>0</v>
      </c>
      <c r="AA33" s="35">
        <f t="shared" si="0"/>
        <v>0</v>
      </c>
      <c r="AB33" s="19">
        <v>22</v>
      </c>
      <c r="AC33" s="79">
        <f>+AA33*AB33+AA34*AB34+AA35*AB35</f>
        <v>0</v>
      </c>
    </row>
    <row r="34" spans="1:30" ht="15.75" thickBot="1" x14ac:dyDescent="0.3">
      <c r="A34" s="78"/>
      <c r="B34" s="20" t="s">
        <v>7</v>
      </c>
      <c r="C34" s="33">
        <f>ROUND('Anexo 12'!C34*'Anexo 5'!$D$10,0)</f>
        <v>0</v>
      </c>
      <c r="D34" s="33">
        <f>ROUND('Anexo 12'!D34*'Anexo 5'!$D$10,0)</f>
        <v>0</v>
      </c>
      <c r="E34" s="33">
        <f>ROUND('Anexo 12'!E34*'Anexo 5'!$D$10,0)</f>
        <v>0</v>
      </c>
      <c r="F34" s="33">
        <f>ROUND('Anexo 12'!F34*'Anexo 5'!$D$10,0)</f>
        <v>0</v>
      </c>
      <c r="G34" s="33">
        <f>ROUND('Anexo 12'!G34*'Anexo 5'!$D$10,0)</f>
        <v>0</v>
      </c>
      <c r="H34" s="33">
        <f>ROUND('Anexo 12'!H34*'Anexo 5'!$D$10,0)</f>
        <v>0</v>
      </c>
      <c r="I34" s="33">
        <f>ROUND('Anexo 12'!I34*'Anexo 5'!$D$10,0)</f>
        <v>0</v>
      </c>
      <c r="J34" s="33">
        <f>ROUND('Anexo 12'!J34*'Anexo 5'!$D$10,0)</f>
        <v>0</v>
      </c>
      <c r="K34" s="33">
        <f>ROUND('Anexo 12'!K34*'Anexo 5'!$D$10,0)</f>
        <v>0</v>
      </c>
      <c r="L34" s="33">
        <f>ROUND('Anexo 12'!L34*'Anexo 5'!$D$10,0)</f>
        <v>0</v>
      </c>
      <c r="M34" s="33">
        <f>ROUND('Anexo 12'!M34*'Anexo 5'!$D$10,0)</f>
        <v>0</v>
      </c>
      <c r="N34" s="33">
        <f>ROUND('Anexo 12'!N34*'Anexo 5'!$D$10,0)</f>
        <v>0</v>
      </c>
      <c r="O34" s="33">
        <f>ROUND('Anexo 12'!O34*'Anexo 5'!$D$10,0)</f>
        <v>0</v>
      </c>
      <c r="P34" s="33">
        <f>ROUND('Anexo 12'!P34*'Anexo 5'!$D$10,0)</f>
        <v>0</v>
      </c>
      <c r="Q34" s="33">
        <f>ROUND('Anexo 12'!Q34*'Anexo 5'!$D$10,0)</f>
        <v>0</v>
      </c>
      <c r="R34" s="33">
        <f>ROUND('Anexo 12'!R34*'Anexo 5'!$D$10,0)</f>
        <v>0</v>
      </c>
      <c r="S34" s="33">
        <f>ROUND('Anexo 12'!S34*'Anexo 5'!$D$10,0)</f>
        <v>0</v>
      </c>
      <c r="T34" s="33">
        <f>ROUND('Anexo 12'!T34*'Anexo 5'!$D$10,0)</f>
        <v>0</v>
      </c>
      <c r="U34" s="33">
        <f>ROUND('Anexo 12'!U34*'Anexo 5'!$D$10,0)</f>
        <v>0</v>
      </c>
      <c r="V34" s="33">
        <f>ROUND('Anexo 12'!V34*'Anexo 5'!$D$10,0)</f>
        <v>0</v>
      </c>
      <c r="W34" s="33">
        <f>ROUND('Anexo 12'!W34*'Anexo 5'!$D$10,0)</f>
        <v>0</v>
      </c>
      <c r="X34" s="33">
        <f>ROUND('Anexo 12'!X34*'Anexo 5'!$D$10,0)</f>
        <v>0</v>
      </c>
      <c r="Y34" s="33">
        <f>ROUND('Anexo 12'!Y34*'Anexo 5'!$D$10,0)</f>
        <v>0</v>
      </c>
      <c r="Z34" s="33">
        <f>ROUND('Anexo 12'!Z34*'Anexo 5'!$D$10,0)</f>
        <v>0</v>
      </c>
      <c r="AA34" s="38">
        <f t="shared" si="0"/>
        <v>0</v>
      </c>
      <c r="AB34" s="21">
        <v>4</v>
      </c>
      <c r="AC34" s="80"/>
      <c r="AD34" s="47"/>
    </row>
    <row r="35" spans="1:30" ht="15.75" thickBot="1" x14ac:dyDescent="0.3">
      <c r="A35" s="78"/>
      <c r="B35" s="22" t="s">
        <v>6</v>
      </c>
      <c r="C35" s="33">
        <f>ROUND('Anexo 12'!C35*'Anexo 5'!$D$10,0)</f>
        <v>0</v>
      </c>
      <c r="D35" s="33">
        <f>ROUND('Anexo 12'!D35*'Anexo 5'!$D$10,0)</f>
        <v>0</v>
      </c>
      <c r="E35" s="33">
        <f>ROUND('Anexo 12'!E35*'Anexo 5'!$D$10,0)</f>
        <v>0</v>
      </c>
      <c r="F35" s="33">
        <f>ROUND('Anexo 12'!F35*'Anexo 5'!$D$10,0)</f>
        <v>0</v>
      </c>
      <c r="G35" s="33">
        <f>ROUND('Anexo 12'!G35*'Anexo 5'!$D$10,0)</f>
        <v>0</v>
      </c>
      <c r="H35" s="33">
        <f>ROUND('Anexo 12'!H35*'Anexo 5'!$D$10,0)</f>
        <v>0</v>
      </c>
      <c r="I35" s="33">
        <f>ROUND('Anexo 12'!I35*'Anexo 5'!$D$10,0)</f>
        <v>0</v>
      </c>
      <c r="J35" s="33">
        <f>ROUND('Anexo 12'!J35*'Anexo 5'!$D$10,0)</f>
        <v>0</v>
      </c>
      <c r="K35" s="33">
        <f>ROUND('Anexo 12'!K35*'Anexo 5'!$D$10,0)</f>
        <v>0</v>
      </c>
      <c r="L35" s="33">
        <f>ROUND('Anexo 12'!L35*'Anexo 5'!$D$10,0)</f>
        <v>0</v>
      </c>
      <c r="M35" s="33">
        <f>ROUND('Anexo 12'!M35*'Anexo 5'!$D$10,0)</f>
        <v>0</v>
      </c>
      <c r="N35" s="33">
        <f>ROUND('Anexo 12'!N35*'Anexo 5'!$D$10,0)</f>
        <v>0</v>
      </c>
      <c r="O35" s="33">
        <f>ROUND('Anexo 12'!O35*'Anexo 5'!$D$10,0)</f>
        <v>0</v>
      </c>
      <c r="P35" s="33">
        <f>ROUND('Anexo 12'!P35*'Anexo 5'!$D$10,0)</f>
        <v>0</v>
      </c>
      <c r="Q35" s="33">
        <f>ROUND('Anexo 12'!Q35*'Anexo 5'!$D$10,0)</f>
        <v>0</v>
      </c>
      <c r="R35" s="33">
        <f>ROUND('Anexo 12'!R35*'Anexo 5'!$D$10,0)</f>
        <v>0</v>
      </c>
      <c r="S35" s="33">
        <f>ROUND('Anexo 12'!S35*'Anexo 5'!$D$10,0)</f>
        <v>0</v>
      </c>
      <c r="T35" s="33">
        <f>ROUND('Anexo 12'!T35*'Anexo 5'!$D$10,0)</f>
        <v>0</v>
      </c>
      <c r="U35" s="33">
        <f>ROUND('Anexo 12'!U35*'Anexo 5'!$D$10,0)</f>
        <v>0</v>
      </c>
      <c r="V35" s="33">
        <f>ROUND('Anexo 12'!V35*'Anexo 5'!$D$10,0)</f>
        <v>0</v>
      </c>
      <c r="W35" s="33">
        <f>ROUND('Anexo 12'!W35*'Anexo 5'!$D$10,0)</f>
        <v>0</v>
      </c>
      <c r="X35" s="33">
        <f>ROUND('Anexo 12'!X35*'Anexo 5'!$D$10,0)</f>
        <v>0</v>
      </c>
      <c r="Y35" s="33">
        <f>ROUND('Anexo 12'!Y35*'Anexo 5'!$D$10,0)</f>
        <v>0</v>
      </c>
      <c r="Z35" s="33">
        <f>ROUND('Anexo 12'!Z35*'Anexo 5'!$D$10,0)</f>
        <v>0</v>
      </c>
      <c r="AA35" s="41">
        <f t="shared" si="0"/>
        <v>0</v>
      </c>
      <c r="AB35" s="23">
        <v>5</v>
      </c>
      <c r="AC35" s="81"/>
      <c r="AD35" s="48"/>
    </row>
    <row r="36" spans="1:30" ht="15.75" thickBot="1" x14ac:dyDescent="0.3">
      <c r="A36" s="78">
        <v>47788</v>
      </c>
      <c r="B36" s="18" t="s">
        <v>8</v>
      </c>
      <c r="C36" s="33">
        <f>ROUND('Anexo 12'!C36*'Anexo 5'!$D$10,0)</f>
        <v>0</v>
      </c>
      <c r="D36" s="33">
        <f>ROUND('Anexo 12'!D36*'Anexo 5'!$D$10,0)</f>
        <v>0</v>
      </c>
      <c r="E36" s="33">
        <f>ROUND('Anexo 12'!E36*'Anexo 5'!$D$10,0)</f>
        <v>0</v>
      </c>
      <c r="F36" s="33">
        <f>ROUND('Anexo 12'!F36*'Anexo 5'!$D$10,0)</f>
        <v>0</v>
      </c>
      <c r="G36" s="33">
        <f>ROUND('Anexo 12'!G36*'Anexo 5'!$D$10,0)</f>
        <v>0</v>
      </c>
      <c r="H36" s="33">
        <f>ROUND('Anexo 12'!H36*'Anexo 5'!$D$10,0)</f>
        <v>0</v>
      </c>
      <c r="I36" s="33">
        <f>ROUND('Anexo 12'!I36*'Anexo 5'!$D$10,0)</f>
        <v>0</v>
      </c>
      <c r="J36" s="33">
        <f>ROUND('Anexo 12'!J36*'Anexo 5'!$D$10,0)</f>
        <v>0</v>
      </c>
      <c r="K36" s="33">
        <f>ROUND('Anexo 12'!K36*'Anexo 5'!$D$10,0)</f>
        <v>0</v>
      </c>
      <c r="L36" s="33">
        <f>ROUND('Anexo 12'!L36*'Anexo 5'!$D$10,0)</f>
        <v>0</v>
      </c>
      <c r="M36" s="33">
        <f>ROUND('Anexo 12'!M36*'Anexo 5'!$D$10,0)</f>
        <v>0</v>
      </c>
      <c r="N36" s="33">
        <f>ROUND('Anexo 12'!N36*'Anexo 5'!$D$10,0)</f>
        <v>0</v>
      </c>
      <c r="O36" s="33">
        <f>ROUND('Anexo 12'!O36*'Anexo 5'!$D$10,0)</f>
        <v>0</v>
      </c>
      <c r="P36" s="33">
        <f>ROUND('Anexo 12'!P36*'Anexo 5'!$D$10,0)</f>
        <v>0</v>
      </c>
      <c r="Q36" s="33">
        <f>ROUND('Anexo 12'!Q36*'Anexo 5'!$D$10,0)</f>
        <v>0</v>
      </c>
      <c r="R36" s="33">
        <f>ROUND('Anexo 12'!R36*'Anexo 5'!$D$10,0)</f>
        <v>0</v>
      </c>
      <c r="S36" s="33">
        <f>ROUND('Anexo 12'!S36*'Anexo 5'!$D$10,0)</f>
        <v>0</v>
      </c>
      <c r="T36" s="33">
        <f>ROUND('Anexo 12'!T36*'Anexo 5'!$D$10,0)</f>
        <v>0</v>
      </c>
      <c r="U36" s="33">
        <f>ROUND('Anexo 12'!U36*'Anexo 5'!$D$10,0)</f>
        <v>0</v>
      </c>
      <c r="V36" s="33">
        <f>ROUND('Anexo 12'!V36*'Anexo 5'!$D$10,0)</f>
        <v>0</v>
      </c>
      <c r="W36" s="33">
        <f>ROUND('Anexo 12'!W36*'Anexo 5'!$D$10,0)</f>
        <v>0</v>
      </c>
      <c r="X36" s="33">
        <f>ROUND('Anexo 12'!X36*'Anexo 5'!$D$10,0)</f>
        <v>0</v>
      </c>
      <c r="Y36" s="33">
        <f>ROUND('Anexo 12'!Y36*'Anexo 5'!$D$10,0)</f>
        <v>0</v>
      </c>
      <c r="Z36" s="33">
        <f>ROUND('Anexo 12'!Z36*'Anexo 5'!$D$10,0)</f>
        <v>0</v>
      </c>
      <c r="AA36" s="35">
        <f t="shared" si="0"/>
        <v>0</v>
      </c>
      <c r="AB36" s="19">
        <v>19</v>
      </c>
      <c r="AC36" s="79">
        <f>+AA36*AB36+AA37*AB37+AA38*AB38</f>
        <v>0</v>
      </c>
    </row>
    <row r="37" spans="1:30" ht="15.75" thickBot="1" x14ac:dyDescent="0.3">
      <c r="A37" s="78"/>
      <c r="B37" s="20" t="s">
        <v>7</v>
      </c>
      <c r="C37" s="33">
        <f>ROUND('Anexo 12'!C37*'Anexo 5'!$D$10,0)</f>
        <v>0</v>
      </c>
      <c r="D37" s="33">
        <f>ROUND('Anexo 12'!D37*'Anexo 5'!$D$10,0)</f>
        <v>0</v>
      </c>
      <c r="E37" s="33">
        <f>ROUND('Anexo 12'!E37*'Anexo 5'!$D$10,0)</f>
        <v>0</v>
      </c>
      <c r="F37" s="33">
        <f>ROUND('Anexo 12'!F37*'Anexo 5'!$D$10,0)</f>
        <v>0</v>
      </c>
      <c r="G37" s="33">
        <f>ROUND('Anexo 12'!G37*'Anexo 5'!$D$10,0)</f>
        <v>0</v>
      </c>
      <c r="H37" s="33">
        <f>ROUND('Anexo 12'!H37*'Anexo 5'!$D$10,0)</f>
        <v>0</v>
      </c>
      <c r="I37" s="33">
        <f>ROUND('Anexo 12'!I37*'Anexo 5'!$D$10,0)</f>
        <v>0</v>
      </c>
      <c r="J37" s="33">
        <f>ROUND('Anexo 12'!J37*'Anexo 5'!$D$10,0)</f>
        <v>0</v>
      </c>
      <c r="K37" s="33">
        <f>ROUND('Anexo 12'!K37*'Anexo 5'!$D$10,0)</f>
        <v>0</v>
      </c>
      <c r="L37" s="33">
        <f>ROUND('Anexo 12'!L37*'Anexo 5'!$D$10,0)</f>
        <v>0</v>
      </c>
      <c r="M37" s="33">
        <f>ROUND('Anexo 12'!M37*'Anexo 5'!$D$10,0)</f>
        <v>0</v>
      </c>
      <c r="N37" s="33">
        <f>ROUND('Anexo 12'!N37*'Anexo 5'!$D$10,0)</f>
        <v>0</v>
      </c>
      <c r="O37" s="33">
        <f>ROUND('Anexo 12'!O37*'Anexo 5'!$D$10,0)</f>
        <v>0</v>
      </c>
      <c r="P37" s="33">
        <f>ROUND('Anexo 12'!P37*'Anexo 5'!$D$10,0)</f>
        <v>0</v>
      </c>
      <c r="Q37" s="33">
        <f>ROUND('Anexo 12'!Q37*'Anexo 5'!$D$10,0)</f>
        <v>0</v>
      </c>
      <c r="R37" s="33">
        <f>ROUND('Anexo 12'!R37*'Anexo 5'!$D$10,0)</f>
        <v>0</v>
      </c>
      <c r="S37" s="33">
        <f>ROUND('Anexo 12'!S37*'Anexo 5'!$D$10,0)</f>
        <v>0</v>
      </c>
      <c r="T37" s="33">
        <f>ROUND('Anexo 12'!T37*'Anexo 5'!$D$10,0)</f>
        <v>0</v>
      </c>
      <c r="U37" s="33">
        <f>ROUND('Anexo 12'!U37*'Anexo 5'!$D$10,0)</f>
        <v>0</v>
      </c>
      <c r="V37" s="33">
        <f>ROUND('Anexo 12'!V37*'Anexo 5'!$D$10,0)</f>
        <v>0</v>
      </c>
      <c r="W37" s="33">
        <f>ROUND('Anexo 12'!W37*'Anexo 5'!$D$10,0)</f>
        <v>0</v>
      </c>
      <c r="X37" s="33">
        <f>ROUND('Anexo 12'!X37*'Anexo 5'!$D$10,0)</f>
        <v>0</v>
      </c>
      <c r="Y37" s="33">
        <f>ROUND('Anexo 12'!Y37*'Anexo 5'!$D$10,0)</f>
        <v>0</v>
      </c>
      <c r="Z37" s="33">
        <f>ROUND('Anexo 12'!Z37*'Anexo 5'!$D$10,0)</f>
        <v>0</v>
      </c>
      <c r="AA37" s="38">
        <f t="shared" si="0"/>
        <v>0</v>
      </c>
      <c r="AB37" s="21">
        <v>5</v>
      </c>
      <c r="AC37" s="80"/>
      <c r="AD37" s="47"/>
    </row>
    <row r="38" spans="1:30" ht="15.75" thickBot="1" x14ac:dyDescent="0.3">
      <c r="A38" s="78"/>
      <c r="B38" s="22" t="s">
        <v>6</v>
      </c>
      <c r="C38" s="33">
        <f>ROUND('Anexo 12'!C38*'Anexo 5'!$D$10,0)</f>
        <v>0</v>
      </c>
      <c r="D38" s="33">
        <f>ROUND('Anexo 12'!D38*'Anexo 5'!$D$10,0)</f>
        <v>0</v>
      </c>
      <c r="E38" s="33">
        <f>ROUND('Anexo 12'!E38*'Anexo 5'!$D$10,0)</f>
        <v>0</v>
      </c>
      <c r="F38" s="33">
        <f>ROUND('Anexo 12'!F38*'Anexo 5'!$D$10,0)</f>
        <v>0</v>
      </c>
      <c r="G38" s="33">
        <f>ROUND('Anexo 12'!G38*'Anexo 5'!$D$10,0)</f>
        <v>0</v>
      </c>
      <c r="H38" s="33">
        <f>ROUND('Anexo 12'!H38*'Anexo 5'!$D$10,0)</f>
        <v>0</v>
      </c>
      <c r="I38" s="33">
        <f>ROUND('Anexo 12'!I38*'Anexo 5'!$D$10,0)</f>
        <v>0</v>
      </c>
      <c r="J38" s="33">
        <f>ROUND('Anexo 12'!J38*'Anexo 5'!$D$10,0)</f>
        <v>0</v>
      </c>
      <c r="K38" s="33">
        <f>ROUND('Anexo 12'!K38*'Anexo 5'!$D$10,0)</f>
        <v>0</v>
      </c>
      <c r="L38" s="33">
        <f>ROUND('Anexo 12'!L38*'Anexo 5'!$D$10,0)</f>
        <v>0</v>
      </c>
      <c r="M38" s="33">
        <f>ROUND('Anexo 12'!M38*'Anexo 5'!$D$10,0)</f>
        <v>0</v>
      </c>
      <c r="N38" s="33">
        <f>ROUND('Anexo 12'!N38*'Anexo 5'!$D$10,0)</f>
        <v>0</v>
      </c>
      <c r="O38" s="33">
        <f>ROUND('Anexo 12'!O38*'Anexo 5'!$D$10,0)</f>
        <v>0</v>
      </c>
      <c r="P38" s="33">
        <f>ROUND('Anexo 12'!P38*'Anexo 5'!$D$10,0)</f>
        <v>0</v>
      </c>
      <c r="Q38" s="33">
        <f>ROUND('Anexo 12'!Q38*'Anexo 5'!$D$10,0)</f>
        <v>0</v>
      </c>
      <c r="R38" s="33">
        <f>ROUND('Anexo 12'!R38*'Anexo 5'!$D$10,0)</f>
        <v>0</v>
      </c>
      <c r="S38" s="33">
        <f>ROUND('Anexo 12'!S38*'Anexo 5'!$D$10,0)</f>
        <v>0</v>
      </c>
      <c r="T38" s="33">
        <f>ROUND('Anexo 12'!T38*'Anexo 5'!$D$10,0)</f>
        <v>0</v>
      </c>
      <c r="U38" s="33">
        <f>ROUND('Anexo 12'!U38*'Anexo 5'!$D$10,0)</f>
        <v>0</v>
      </c>
      <c r="V38" s="33">
        <f>ROUND('Anexo 12'!V38*'Anexo 5'!$D$10,0)</f>
        <v>0</v>
      </c>
      <c r="W38" s="33">
        <f>ROUND('Anexo 12'!W38*'Anexo 5'!$D$10,0)</f>
        <v>0</v>
      </c>
      <c r="X38" s="33">
        <f>ROUND('Anexo 12'!X38*'Anexo 5'!$D$10,0)</f>
        <v>0</v>
      </c>
      <c r="Y38" s="33">
        <f>ROUND('Anexo 12'!Y38*'Anexo 5'!$D$10,0)</f>
        <v>0</v>
      </c>
      <c r="Z38" s="33">
        <f>ROUND('Anexo 12'!Z38*'Anexo 5'!$D$10,0)</f>
        <v>0</v>
      </c>
      <c r="AA38" s="41">
        <f t="shared" si="0"/>
        <v>0</v>
      </c>
      <c r="AB38" s="23">
        <v>6</v>
      </c>
      <c r="AC38" s="81"/>
      <c r="AD38" s="49"/>
    </row>
    <row r="39" spans="1:30" ht="15.75" thickBot="1" x14ac:dyDescent="0.3">
      <c r="A39" s="78">
        <v>47818</v>
      </c>
      <c r="B39" s="18" t="s">
        <v>8</v>
      </c>
      <c r="C39" s="33">
        <f>ROUND('Anexo 12'!C39*'Anexo 5'!$D$10,0)</f>
        <v>0</v>
      </c>
      <c r="D39" s="33">
        <f>ROUND('Anexo 12'!D39*'Anexo 5'!$D$10,0)</f>
        <v>0</v>
      </c>
      <c r="E39" s="33">
        <f>ROUND('Anexo 12'!E39*'Anexo 5'!$D$10,0)</f>
        <v>0</v>
      </c>
      <c r="F39" s="33">
        <f>ROUND('Anexo 12'!F39*'Anexo 5'!$D$10,0)</f>
        <v>0</v>
      </c>
      <c r="G39" s="33">
        <f>ROUND('Anexo 12'!G39*'Anexo 5'!$D$10,0)</f>
        <v>0</v>
      </c>
      <c r="H39" s="33">
        <f>ROUND('Anexo 12'!H39*'Anexo 5'!$D$10,0)</f>
        <v>0</v>
      </c>
      <c r="I39" s="33">
        <f>ROUND('Anexo 12'!I39*'Anexo 5'!$D$10,0)</f>
        <v>0</v>
      </c>
      <c r="J39" s="33">
        <f>ROUND('Anexo 12'!J39*'Anexo 5'!$D$10,0)</f>
        <v>0</v>
      </c>
      <c r="K39" s="33">
        <f>ROUND('Anexo 12'!K39*'Anexo 5'!$D$10,0)</f>
        <v>0</v>
      </c>
      <c r="L39" s="33">
        <f>ROUND('Anexo 12'!L39*'Anexo 5'!$D$10,0)</f>
        <v>0</v>
      </c>
      <c r="M39" s="33">
        <f>ROUND('Anexo 12'!M39*'Anexo 5'!$D$10,0)</f>
        <v>0</v>
      </c>
      <c r="N39" s="33">
        <f>ROUND('Anexo 12'!N39*'Anexo 5'!$D$10,0)</f>
        <v>0</v>
      </c>
      <c r="O39" s="33">
        <f>ROUND('Anexo 12'!O39*'Anexo 5'!$D$10,0)</f>
        <v>0</v>
      </c>
      <c r="P39" s="33">
        <f>ROUND('Anexo 12'!P39*'Anexo 5'!$D$10,0)</f>
        <v>0</v>
      </c>
      <c r="Q39" s="33">
        <f>ROUND('Anexo 12'!Q39*'Anexo 5'!$D$10,0)</f>
        <v>0</v>
      </c>
      <c r="R39" s="33">
        <f>ROUND('Anexo 12'!R39*'Anexo 5'!$D$10,0)</f>
        <v>0</v>
      </c>
      <c r="S39" s="33">
        <f>ROUND('Anexo 12'!S39*'Anexo 5'!$D$10,0)</f>
        <v>0</v>
      </c>
      <c r="T39" s="33">
        <f>ROUND('Anexo 12'!T39*'Anexo 5'!$D$10,0)</f>
        <v>0</v>
      </c>
      <c r="U39" s="33">
        <f>ROUND('Anexo 12'!U39*'Anexo 5'!$D$10,0)</f>
        <v>0</v>
      </c>
      <c r="V39" s="33">
        <f>ROUND('Anexo 12'!V39*'Anexo 5'!$D$10,0)</f>
        <v>0</v>
      </c>
      <c r="W39" s="33">
        <f>ROUND('Anexo 12'!W39*'Anexo 5'!$D$10,0)</f>
        <v>0</v>
      </c>
      <c r="X39" s="33">
        <f>ROUND('Anexo 12'!X39*'Anexo 5'!$D$10,0)</f>
        <v>0</v>
      </c>
      <c r="Y39" s="33">
        <f>ROUND('Anexo 12'!Y39*'Anexo 5'!$D$10,0)</f>
        <v>0</v>
      </c>
      <c r="Z39" s="33">
        <f>ROUND('Anexo 12'!Z39*'Anexo 5'!$D$10,0)</f>
        <v>0</v>
      </c>
      <c r="AA39" s="35">
        <f t="shared" si="0"/>
        <v>0</v>
      </c>
      <c r="AB39" s="19">
        <v>21</v>
      </c>
      <c r="AC39" s="79">
        <f>+AA39*AB39+AA40*AB40+AA41*AB41</f>
        <v>0</v>
      </c>
    </row>
    <row r="40" spans="1:30" ht="15.75" thickBot="1" x14ac:dyDescent="0.3">
      <c r="A40" s="78"/>
      <c r="B40" s="20" t="s">
        <v>7</v>
      </c>
      <c r="C40" s="33">
        <f>ROUND('Anexo 12'!C40*'Anexo 5'!$D$10,0)</f>
        <v>0</v>
      </c>
      <c r="D40" s="33">
        <f>ROUND('Anexo 12'!D40*'Anexo 5'!$D$10,0)</f>
        <v>0</v>
      </c>
      <c r="E40" s="33">
        <f>ROUND('Anexo 12'!E40*'Anexo 5'!$D$10,0)</f>
        <v>0</v>
      </c>
      <c r="F40" s="33">
        <f>ROUND('Anexo 12'!F40*'Anexo 5'!$D$10,0)</f>
        <v>0</v>
      </c>
      <c r="G40" s="33">
        <f>ROUND('Anexo 12'!G40*'Anexo 5'!$D$10,0)</f>
        <v>0</v>
      </c>
      <c r="H40" s="33">
        <f>ROUND('Anexo 12'!H40*'Anexo 5'!$D$10,0)</f>
        <v>0</v>
      </c>
      <c r="I40" s="33">
        <f>ROUND('Anexo 12'!I40*'Anexo 5'!$D$10,0)</f>
        <v>0</v>
      </c>
      <c r="J40" s="33">
        <f>ROUND('Anexo 12'!J40*'Anexo 5'!$D$10,0)</f>
        <v>0</v>
      </c>
      <c r="K40" s="33">
        <f>ROUND('Anexo 12'!K40*'Anexo 5'!$D$10,0)</f>
        <v>0</v>
      </c>
      <c r="L40" s="33">
        <f>ROUND('Anexo 12'!L40*'Anexo 5'!$D$10,0)</f>
        <v>0</v>
      </c>
      <c r="M40" s="33">
        <f>ROUND('Anexo 12'!M40*'Anexo 5'!$D$10,0)</f>
        <v>0</v>
      </c>
      <c r="N40" s="33">
        <f>ROUND('Anexo 12'!N40*'Anexo 5'!$D$10,0)</f>
        <v>0</v>
      </c>
      <c r="O40" s="33">
        <f>ROUND('Anexo 12'!O40*'Anexo 5'!$D$10,0)</f>
        <v>0</v>
      </c>
      <c r="P40" s="33">
        <f>ROUND('Anexo 12'!P40*'Anexo 5'!$D$10,0)</f>
        <v>0</v>
      </c>
      <c r="Q40" s="33">
        <f>ROUND('Anexo 12'!Q40*'Anexo 5'!$D$10,0)</f>
        <v>0</v>
      </c>
      <c r="R40" s="33">
        <f>ROUND('Anexo 12'!R40*'Anexo 5'!$D$10,0)</f>
        <v>0</v>
      </c>
      <c r="S40" s="33">
        <f>ROUND('Anexo 12'!S40*'Anexo 5'!$D$10,0)</f>
        <v>0</v>
      </c>
      <c r="T40" s="33">
        <f>ROUND('Anexo 12'!T40*'Anexo 5'!$D$10,0)</f>
        <v>0</v>
      </c>
      <c r="U40" s="33">
        <f>ROUND('Anexo 12'!U40*'Anexo 5'!$D$10,0)</f>
        <v>0</v>
      </c>
      <c r="V40" s="33">
        <f>ROUND('Anexo 12'!V40*'Anexo 5'!$D$10,0)</f>
        <v>0</v>
      </c>
      <c r="W40" s="33">
        <f>ROUND('Anexo 12'!W40*'Anexo 5'!$D$10,0)</f>
        <v>0</v>
      </c>
      <c r="X40" s="33">
        <f>ROUND('Anexo 12'!X40*'Anexo 5'!$D$10,0)</f>
        <v>0</v>
      </c>
      <c r="Y40" s="33">
        <f>ROUND('Anexo 12'!Y40*'Anexo 5'!$D$10,0)</f>
        <v>0</v>
      </c>
      <c r="Z40" s="33">
        <f>ROUND('Anexo 12'!Z40*'Anexo 5'!$D$10,0)</f>
        <v>0</v>
      </c>
      <c r="AA40" s="38">
        <f t="shared" si="0"/>
        <v>0</v>
      </c>
      <c r="AB40" s="21">
        <v>4</v>
      </c>
      <c r="AC40" s="80"/>
      <c r="AD40" s="47"/>
    </row>
    <row r="41" spans="1:30" ht="15.75" thickBot="1" x14ac:dyDescent="0.3">
      <c r="A41" s="78"/>
      <c r="B41" s="22" t="s">
        <v>6</v>
      </c>
      <c r="C41" s="33">
        <f>ROUND('Anexo 12'!C41*'Anexo 5'!$D$10,0)</f>
        <v>0</v>
      </c>
      <c r="D41" s="33">
        <f>ROUND('Anexo 12'!D41*'Anexo 5'!$D$10,0)</f>
        <v>0</v>
      </c>
      <c r="E41" s="33">
        <f>ROUND('Anexo 12'!E41*'Anexo 5'!$D$10,0)</f>
        <v>0</v>
      </c>
      <c r="F41" s="33">
        <f>ROUND('Anexo 12'!F41*'Anexo 5'!$D$10,0)</f>
        <v>0</v>
      </c>
      <c r="G41" s="33">
        <f>ROUND('Anexo 12'!G41*'Anexo 5'!$D$10,0)</f>
        <v>0</v>
      </c>
      <c r="H41" s="33">
        <f>ROUND('Anexo 12'!H41*'Anexo 5'!$D$10,0)</f>
        <v>0</v>
      </c>
      <c r="I41" s="33">
        <f>ROUND('Anexo 12'!I41*'Anexo 5'!$D$10,0)</f>
        <v>0</v>
      </c>
      <c r="J41" s="33">
        <f>ROUND('Anexo 12'!J41*'Anexo 5'!$D$10,0)</f>
        <v>0</v>
      </c>
      <c r="K41" s="33">
        <f>ROUND('Anexo 12'!K41*'Anexo 5'!$D$10,0)</f>
        <v>0</v>
      </c>
      <c r="L41" s="33">
        <f>ROUND('Anexo 12'!L41*'Anexo 5'!$D$10,0)</f>
        <v>0</v>
      </c>
      <c r="M41" s="33">
        <f>ROUND('Anexo 12'!M41*'Anexo 5'!$D$10,0)</f>
        <v>0</v>
      </c>
      <c r="N41" s="33">
        <f>ROUND('Anexo 12'!N41*'Anexo 5'!$D$10,0)</f>
        <v>0</v>
      </c>
      <c r="O41" s="33">
        <f>ROUND('Anexo 12'!O41*'Anexo 5'!$D$10,0)</f>
        <v>0</v>
      </c>
      <c r="P41" s="33">
        <f>ROUND('Anexo 12'!P41*'Anexo 5'!$D$10,0)</f>
        <v>0</v>
      </c>
      <c r="Q41" s="33">
        <f>ROUND('Anexo 12'!Q41*'Anexo 5'!$D$10,0)</f>
        <v>0</v>
      </c>
      <c r="R41" s="33">
        <f>ROUND('Anexo 12'!R41*'Anexo 5'!$D$10,0)</f>
        <v>0</v>
      </c>
      <c r="S41" s="33">
        <f>ROUND('Anexo 12'!S41*'Anexo 5'!$D$10,0)</f>
        <v>0</v>
      </c>
      <c r="T41" s="33">
        <f>ROUND('Anexo 12'!T41*'Anexo 5'!$D$10,0)</f>
        <v>0</v>
      </c>
      <c r="U41" s="33">
        <f>ROUND('Anexo 12'!U41*'Anexo 5'!$D$10,0)</f>
        <v>0</v>
      </c>
      <c r="V41" s="33">
        <f>ROUND('Anexo 12'!V41*'Anexo 5'!$D$10,0)</f>
        <v>0</v>
      </c>
      <c r="W41" s="33">
        <f>ROUND('Anexo 12'!W41*'Anexo 5'!$D$10,0)</f>
        <v>0</v>
      </c>
      <c r="X41" s="33">
        <f>ROUND('Anexo 12'!X41*'Anexo 5'!$D$10,0)</f>
        <v>0</v>
      </c>
      <c r="Y41" s="33">
        <f>ROUND('Anexo 12'!Y41*'Anexo 5'!$D$10,0)</f>
        <v>0</v>
      </c>
      <c r="Z41" s="33">
        <f>ROUND('Anexo 12'!Z41*'Anexo 5'!$D$10,0)</f>
        <v>0</v>
      </c>
      <c r="AA41" s="41">
        <f t="shared" si="0"/>
        <v>0</v>
      </c>
      <c r="AB41" s="23">
        <v>6</v>
      </c>
      <c r="AC41" s="81"/>
      <c r="AD41" s="42"/>
    </row>
    <row r="42" spans="1:30" ht="15" x14ac:dyDescent="0.25">
      <c r="A42" s="76" t="s">
        <v>5</v>
      </c>
      <c r="B42" s="77"/>
      <c r="C42" s="31">
        <f t="shared" ref="C42:AC42" si="1">+SUM(C6:C41)</f>
        <v>0</v>
      </c>
      <c r="D42" s="31">
        <f t="shared" si="1"/>
        <v>0</v>
      </c>
      <c r="E42" s="31">
        <f t="shared" si="1"/>
        <v>0</v>
      </c>
      <c r="F42" s="31">
        <f t="shared" si="1"/>
        <v>0</v>
      </c>
      <c r="G42" s="31">
        <f t="shared" si="1"/>
        <v>0</v>
      </c>
      <c r="H42" s="31">
        <f t="shared" si="1"/>
        <v>0</v>
      </c>
      <c r="I42" s="31">
        <f t="shared" si="1"/>
        <v>0</v>
      </c>
      <c r="J42" s="31">
        <f t="shared" si="1"/>
        <v>0</v>
      </c>
      <c r="K42" s="31">
        <f t="shared" si="1"/>
        <v>0</v>
      </c>
      <c r="L42" s="31">
        <f t="shared" si="1"/>
        <v>0</v>
      </c>
      <c r="M42" s="31">
        <f t="shared" si="1"/>
        <v>0</v>
      </c>
      <c r="N42" s="31">
        <f t="shared" si="1"/>
        <v>0</v>
      </c>
      <c r="O42" s="31">
        <f t="shared" si="1"/>
        <v>0</v>
      </c>
      <c r="P42" s="31">
        <f t="shared" si="1"/>
        <v>0</v>
      </c>
      <c r="Q42" s="31">
        <f t="shared" si="1"/>
        <v>0</v>
      </c>
      <c r="R42" s="31">
        <f t="shared" si="1"/>
        <v>0</v>
      </c>
      <c r="S42" s="31">
        <f t="shared" si="1"/>
        <v>0</v>
      </c>
      <c r="T42" s="31">
        <f t="shared" si="1"/>
        <v>0</v>
      </c>
      <c r="U42" s="31">
        <f t="shared" si="1"/>
        <v>0</v>
      </c>
      <c r="V42" s="31">
        <f t="shared" si="1"/>
        <v>0</v>
      </c>
      <c r="W42" s="31">
        <f t="shared" si="1"/>
        <v>0</v>
      </c>
      <c r="X42" s="31">
        <f t="shared" si="1"/>
        <v>0</v>
      </c>
      <c r="Y42" s="31">
        <f t="shared" si="1"/>
        <v>0</v>
      </c>
      <c r="Z42" s="31">
        <f t="shared" si="1"/>
        <v>0</v>
      </c>
      <c r="AA42" s="31">
        <f t="shared" si="1"/>
        <v>0</v>
      </c>
      <c r="AB42" s="31">
        <f t="shared" si="1"/>
        <v>365</v>
      </c>
      <c r="AC42" s="46">
        <f t="shared" si="1"/>
        <v>0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/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35E0-29B2-4565-9B1E-79BFC59CE816}">
  <sheetPr>
    <tabColor theme="7" tint="-0.249977111117893"/>
  </sheetPr>
  <dimension ref="A1:XFC36"/>
  <sheetViews>
    <sheetView showGridLines="0" topLeftCell="A8" zoomScaleNormal="100" zoomScaleSheetLayoutView="140" workbookViewId="0">
      <selection activeCell="D10" sqref="D10:D21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7.28515625" customWidth="1"/>
    <col min="6" max="6" width="13.85546875" customWidth="1"/>
    <col min="7" max="7" width="19.7109375" customWidth="1"/>
    <col min="8" max="8" width="12.85546875" hidden="1"/>
    <col min="9" max="16383" width="11.42578125" hidden="1"/>
    <col min="16384" max="16384" width="23.42578125" customWidth="1"/>
  </cols>
  <sheetData>
    <row r="1" spans="1:8" x14ac:dyDescent="0.25"/>
    <row r="2" spans="1:8" x14ac:dyDescent="0.25"/>
    <row r="3" spans="1:8" x14ac:dyDescent="0.25">
      <c r="B3" s="73" t="s">
        <v>92</v>
      </c>
      <c r="C3" s="73"/>
      <c r="D3" s="73"/>
      <c r="E3" s="73"/>
      <c r="F3" s="73"/>
      <c r="G3" s="29"/>
    </row>
    <row r="4" spans="1:8" x14ac:dyDescent="0.25">
      <c r="B4" s="73" t="s">
        <v>90</v>
      </c>
      <c r="C4" s="73"/>
      <c r="D4" s="73"/>
      <c r="E4" s="73"/>
      <c r="F4" s="73"/>
      <c r="G4" s="29"/>
    </row>
    <row r="5" spans="1:8" x14ac:dyDescent="0.25">
      <c r="B5" s="73" t="s">
        <v>81</v>
      </c>
      <c r="C5" s="73"/>
      <c r="D5" s="73"/>
      <c r="E5" s="73"/>
      <c r="F5" s="73"/>
      <c r="G5" s="29"/>
    </row>
    <row r="6" spans="1:8" x14ac:dyDescent="0.25">
      <c r="B6" s="5"/>
      <c r="C6" s="5"/>
      <c r="D6" s="5"/>
      <c r="E6" s="5"/>
      <c r="F6" s="5"/>
      <c r="G6" s="5"/>
    </row>
    <row r="7" spans="1:8" x14ac:dyDescent="0.25"/>
    <row r="8" spans="1:8" ht="15" customHeight="1" x14ac:dyDescent="0.25">
      <c r="B8" s="74" t="s">
        <v>4</v>
      </c>
      <c r="C8" s="74" t="s">
        <v>39</v>
      </c>
      <c r="D8" s="74" t="s">
        <v>43</v>
      </c>
      <c r="E8" s="74" t="s">
        <v>40</v>
      </c>
      <c r="F8" s="74" t="s">
        <v>45</v>
      </c>
      <c r="G8" s="28"/>
    </row>
    <row r="9" spans="1:8" ht="23.25" customHeight="1" x14ac:dyDescent="0.25">
      <c r="B9" s="75"/>
      <c r="C9" s="75"/>
      <c r="D9" s="75"/>
      <c r="E9" s="75"/>
      <c r="F9" s="75"/>
      <c r="G9" s="28"/>
    </row>
    <row r="10" spans="1:8" ht="15.75" thickBot="1" x14ac:dyDescent="0.3">
      <c r="A10" s="59">
        <v>31</v>
      </c>
      <c r="B10" s="8">
        <v>47849</v>
      </c>
      <c r="C10" s="43">
        <f>+'Anexo 13'!AC6</f>
        <v>73685361</v>
      </c>
      <c r="D10" s="70"/>
      <c r="E10" s="57">
        <f>+'Cantidades Ofertadas Prod 6'!AC6</f>
        <v>0</v>
      </c>
      <c r="F10" s="96"/>
      <c r="G10" s="32"/>
      <c r="H10" s="51"/>
    </row>
    <row r="11" spans="1:8" ht="15.75" thickBot="1" x14ac:dyDescent="0.3">
      <c r="A11" s="59">
        <v>29</v>
      </c>
      <c r="B11" s="8">
        <v>47880</v>
      </c>
      <c r="C11" s="43">
        <f>+'Anexo 13'!AC9</f>
        <v>68393756</v>
      </c>
      <c r="D11" s="71"/>
      <c r="E11" s="57">
        <f>+'Cantidades Ofertadas Prod 6'!AC9</f>
        <v>0</v>
      </c>
      <c r="F11" s="97"/>
      <c r="G11" s="32"/>
      <c r="H11" s="51"/>
    </row>
    <row r="12" spans="1:8" ht="15.75" thickBot="1" x14ac:dyDescent="0.3">
      <c r="A12" s="59">
        <v>31</v>
      </c>
      <c r="B12" s="8">
        <v>47908</v>
      </c>
      <c r="C12" s="43">
        <f>+'Anexo 13'!AC12</f>
        <v>72757227</v>
      </c>
      <c r="D12" s="71"/>
      <c r="E12" s="57">
        <f>+'Cantidades Ofertadas Prod 6'!AC12</f>
        <v>0</v>
      </c>
      <c r="F12" s="97"/>
      <c r="G12" s="32"/>
      <c r="H12" s="51"/>
    </row>
    <row r="13" spans="1:8" ht="15.75" thickBot="1" x14ac:dyDescent="0.3">
      <c r="A13" s="59">
        <v>30</v>
      </c>
      <c r="B13" s="8">
        <v>47939</v>
      </c>
      <c r="C13" s="43">
        <f>+'Anexo 13'!AC15</f>
        <v>68160812</v>
      </c>
      <c r="D13" s="71"/>
      <c r="E13" s="57">
        <f>+'Cantidades Ofertadas Prod 6'!AC15</f>
        <v>0</v>
      </c>
      <c r="F13" s="97"/>
      <c r="G13" s="32"/>
      <c r="H13" s="51"/>
    </row>
    <row r="14" spans="1:8" ht="15.75" thickBot="1" x14ac:dyDescent="0.3">
      <c r="A14" s="59">
        <v>31</v>
      </c>
      <c r="B14" s="8">
        <v>47969</v>
      </c>
      <c r="C14" s="43">
        <f>+'Anexo 13'!AC18</f>
        <v>71115117</v>
      </c>
      <c r="D14" s="71"/>
      <c r="E14" s="57">
        <f>+'Cantidades Ofertadas Prod 6'!AC18</f>
        <v>0</v>
      </c>
      <c r="F14" s="97"/>
      <c r="G14" s="32"/>
      <c r="H14" s="51"/>
    </row>
    <row r="15" spans="1:8" ht="15.75" thickBot="1" x14ac:dyDescent="0.3">
      <c r="A15" s="59">
        <v>30</v>
      </c>
      <c r="B15" s="8">
        <v>48000</v>
      </c>
      <c r="C15" s="43">
        <f>+'Anexo 13'!AC21</f>
        <v>68567058</v>
      </c>
      <c r="D15" s="71"/>
      <c r="E15" s="57">
        <f>+'Cantidades Ofertadas Prod 6'!AC21</f>
        <v>0</v>
      </c>
      <c r="F15" s="97"/>
      <c r="G15" s="32"/>
      <c r="H15" s="51"/>
    </row>
    <row r="16" spans="1:8" ht="15.75" thickBot="1" x14ac:dyDescent="0.3">
      <c r="A16" s="59">
        <v>31</v>
      </c>
      <c r="B16" s="8">
        <v>48030</v>
      </c>
      <c r="C16" s="43">
        <f>+'Anexo 13'!AC24</f>
        <v>73997820</v>
      </c>
      <c r="D16" s="71"/>
      <c r="E16" s="57">
        <f>+'Cantidades Ofertadas Prod 6'!AC24</f>
        <v>0</v>
      </c>
      <c r="F16" s="97"/>
      <c r="G16" s="32"/>
      <c r="H16" s="51"/>
    </row>
    <row r="17" spans="1:8" ht="15.75" thickBot="1" x14ac:dyDescent="0.3">
      <c r="A17" s="59">
        <v>31</v>
      </c>
      <c r="B17" s="8">
        <v>48061</v>
      </c>
      <c r="C17" s="43">
        <f>+'Anexo 13'!AC27</f>
        <v>75265988</v>
      </c>
      <c r="D17" s="71"/>
      <c r="E17" s="57">
        <f>+'Cantidades Ofertadas Prod 6'!AC27</f>
        <v>0</v>
      </c>
      <c r="F17" s="97"/>
      <c r="G17" s="32"/>
      <c r="H17" s="51"/>
    </row>
    <row r="18" spans="1:8" ht="15.75" thickBot="1" x14ac:dyDescent="0.3">
      <c r="A18" s="59">
        <v>30</v>
      </c>
      <c r="B18" s="8">
        <v>48092</v>
      </c>
      <c r="C18" s="43">
        <f>+'Anexo 13'!AC30</f>
        <v>74770582</v>
      </c>
      <c r="D18" s="71"/>
      <c r="E18" s="57">
        <f>+'Cantidades Ofertadas Prod 6'!AC30</f>
        <v>0</v>
      </c>
      <c r="F18" s="97"/>
      <c r="G18" s="32"/>
      <c r="H18" s="51"/>
    </row>
    <row r="19" spans="1:8" ht="15.75" thickBot="1" x14ac:dyDescent="0.3">
      <c r="A19" s="59">
        <v>31</v>
      </c>
      <c r="B19" s="8">
        <v>48122</v>
      </c>
      <c r="C19" s="43">
        <f>+'Anexo 13'!AC33</f>
        <v>72651108</v>
      </c>
      <c r="D19" s="71"/>
      <c r="E19" s="57">
        <f>+'Cantidades Ofertadas Prod 6'!AC33</f>
        <v>0</v>
      </c>
      <c r="F19" s="97"/>
      <c r="G19" s="32"/>
      <c r="H19" s="45"/>
    </row>
    <row r="20" spans="1:8" ht="15.75" thickBot="1" x14ac:dyDescent="0.3">
      <c r="A20" s="59">
        <v>30</v>
      </c>
      <c r="B20" s="8">
        <v>48153</v>
      </c>
      <c r="C20" s="43">
        <f>+'Anexo 13'!AC36</f>
        <v>68099975</v>
      </c>
      <c r="D20" s="71"/>
      <c r="E20" s="57">
        <f>+'Cantidades Ofertadas Prod 6'!AC36</f>
        <v>0</v>
      </c>
      <c r="F20" s="97"/>
      <c r="G20" s="32"/>
      <c r="H20" s="45"/>
    </row>
    <row r="21" spans="1:8" ht="15.75" thickBot="1" x14ac:dyDescent="0.3">
      <c r="A21" s="59">
        <v>31</v>
      </c>
      <c r="B21" s="8">
        <v>48183</v>
      </c>
      <c r="C21" s="43">
        <f>+'Anexo 13'!AC39</f>
        <v>74650363</v>
      </c>
      <c r="D21" s="72"/>
      <c r="E21" s="57">
        <f>+'Cantidades Ofertadas Prod 6'!AC39</f>
        <v>0</v>
      </c>
      <c r="F21" s="98"/>
      <c r="G21" s="32"/>
      <c r="H21" s="45"/>
    </row>
    <row r="22" spans="1:8" ht="28.5" customHeight="1" x14ac:dyDescent="0.25">
      <c r="B22" s="9" t="s">
        <v>3</v>
      </c>
      <c r="C22" s="10">
        <f>+SUM(C10:C21)</f>
        <v>862115167</v>
      </c>
      <c r="D22" s="62"/>
      <c r="E22" s="56">
        <f>SUM(E10:E21)</f>
        <v>0</v>
      </c>
      <c r="F22" s="55">
        <f>+F10</f>
        <v>0</v>
      </c>
      <c r="G22" s="50"/>
      <c r="H22" s="42"/>
    </row>
    <row r="23" spans="1:8" ht="19.5" customHeight="1" x14ac:dyDescent="0.25">
      <c r="B23" s="24"/>
      <c r="C23" s="25"/>
      <c r="D23" s="30"/>
      <c r="E23" s="25"/>
      <c r="F23" s="26"/>
      <c r="G23" s="26"/>
      <c r="H23" s="42"/>
    </row>
    <row r="24" spans="1:8" ht="15" customHeight="1" x14ac:dyDescent="0.25">
      <c r="B24" s="7" t="s">
        <v>61</v>
      </c>
      <c r="C24" s="25"/>
      <c r="D24" s="30"/>
      <c r="E24" s="25"/>
      <c r="F24" s="26"/>
      <c r="G24" s="26"/>
      <c r="H24" s="42"/>
    </row>
    <row r="25" spans="1:8" x14ac:dyDescent="0.25">
      <c r="B25" s="66" t="s">
        <v>49</v>
      </c>
      <c r="C25" s="66"/>
      <c r="D25" s="66"/>
      <c r="E25" s="66"/>
      <c r="F25" s="66"/>
      <c r="G25" s="66"/>
      <c r="H25" s="42"/>
    </row>
    <row r="26" spans="1:8" x14ac:dyDescent="0.25">
      <c r="B26" s="7" t="s">
        <v>97</v>
      </c>
      <c r="C26" s="52"/>
      <c r="D26" s="52"/>
      <c r="E26" s="52"/>
      <c r="F26" s="52"/>
      <c r="G26" s="52"/>
      <c r="H26" s="42"/>
    </row>
    <row r="27" spans="1:8" x14ac:dyDescent="0.25">
      <c r="B27" s="7" t="s">
        <v>98</v>
      </c>
      <c r="C27" s="52"/>
      <c r="D27" s="52"/>
      <c r="E27" s="52"/>
      <c r="F27" s="52"/>
      <c r="G27" s="52"/>
      <c r="H27" s="42"/>
    </row>
    <row r="28" spans="1:8" x14ac:dyDescent="0.25">
      <c r="B28" s="7" t="s">
        <v>46</v>
      </c>
      <c r="H28" s="42"/>
    </row>
    <row r="29" spans="1:8" x14ac:dyDescent="0.25">
      <c r="B29" s="7" t="s">
        <v>107</v>
      </c>
      <c r="H29" s="42"/>
    </row>
    <row r="30" spans="1:8" ht="15" customHeight="1" x14ac:dyDescent="0.25">
      <c r="A30" s="2"/>
      <c r="B30" s="2"/>
      <c r="H30" s="42">
        <f t="shared" ref="H30:H32" si="0">+C30-G30</f>
        <v>0</v>
      </c>
    </row>
    <row r="31" spans="1:8" ht="15" customHeight="1" x14ac:dyDescent="0.25">
      <c r="A31" s="1"/>
      <c r="B31" s="1"/>
      <c r="C31" s="45"/>
      <c r="H31" s="42">
        <f t="shared" si="0"/>
        <v>0</v>
      </c>
    </row>
    <row r="32" spans="1:8" ht="15" customHeight="1" x14ac:dyDescent="0.25">
      <c r="A32" s="1"/>
      <c r="H32" s="42">
        <f t="shared" si="0"/>
        <v>0</v>
      </c>
    </row>
    <row r="33" spans="1:8" ht="15" customHeight="1" x14ac:dyDescent="0.25">
      <c r="A33" s="1"/>
      <c r="B33" s="60" t="s">
        <v>56</v>
      </c>
      <c r="H33" s="42"/>
    </row>
    <row r="34" spans="1:8" ht="15" customHeight="1" x14ac:dyDescent="0.25">
      <c r="A34" s="1"/>
      <c r="B34" s="61" t="s">
        <v>57</v>
      </c>
      <c r="H34" s="42"/>
    </row>
    <row r="35" spans="1:8" x14ac:dyDescent="0.25">
      <c r="B35" s="61" t="s">
        <v>58</v>
      </c>
    </row>
    <row r="36" spans="1:8" x14ac:dyDescent="0.25"/>
  </sheetData>
  <mergeCells count="11">
    <mergeCell ref="D10:D21"/>
    <mergeCell ref="F10:F21"/>
    <mergeCell ref="B25:G25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decimal" allowBlank="1" showInputMessage="1" showErrorMessage="1" errorTitle="Dato No valido" error="Debe ingresar un valor entre 0 y 100_x000a_" sqref="D10:D21" xr:uid="{83D15ABA-9ACF-45C5-844A-B21EB694D032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47D0A-9FF2-4711-BF60-837DA3138EF2}">
  <sheetPr>
    <tabColor theme="7" tint="-0.249977111117893"/>
  </sheetPr>
  <dimension ref="A1:XFC34"/>
  <sheetViews>
    <sheetView showGridLines="0" zoomScaleNormal="100" zoomScaleSheetLayoutView="140" workbookViewId="0">
      <selection activeCell="A13" sqref="A13"/>
    </sheetView>
  </sheetViews>
  <sheetFormatPr baseColWidth="10" defaultColWidth="0" defaultRowHeight="0" customHeight="1" zeroHeight="1" x14ac:dyDescent="0.25"/>
  <cols>
    <col min="1" max="2" width="11.42578125" customWidth="1"/>
    <col min="3" max="3" width="18.5703125" customWidth="1"/>
    <col min="4" max="4" width="13.85546875" customWidth="1"/>
    <col min="5" max="5" width="17.28515625" customWidth="1"/>
    <col min="6" max="6" width="13.85546875" customWidth="1"/>
    <col min="7" max="7" width="19.7109375" customWidth="1"/>
    <col min="8" max="8" width="12.85546875" hidden="1"/>
    <col min="9" max="16383" width="11.42578125" hidden="1"/>
    <col min="16384" max="16384" width="23.42578125" customWidth="1"/>
  </cols>
  <sheetData>
    <row r="1" spans="1:8" ht="15" x14ac:dyDescent="0.25"/>
    <row r="2" spans="1:8" ht="15" x14ac:dyDescent="0.25"/>
    <row r="3" spans="1:8" ht="15" x14ac:dyDescent="0.25">
      <c r="B3" s="73" t="s">
        <v>88</v>
      </c>
      <c r="C3" s="73"/>
      <c r="D3" s="73"/>
      <c r="E3" s="73"/>
      <c r="F3" s="73"/>
      <c r="G3" s="29"/>
    </row>
    <row r="4" spans="1:8" ht="15" x14ac:dyDescent="0.25">
      <c r="B4" s="73" t="s">
        <v>90</v>
      </c>
      <c r="C4" s="73"/>
      <c r="D4" s="73"/>
      <c r="E4" s="73"/>
      <c r="F4" s="73"/>
      <c r="G4" s="29"/>
    </row>
    <row r="5" spans="1:8" ht="15" x14ac:dyDescent="0.25">
      <c r="B5" s="73" t="s">
        <v>81</v>
      </c>
      <c r="C5" s="73"/>
      <c r="D5" s="73"/>
      <c r="E5" s="73"/>
      <c r="F5" s="73"/>
      <c r="G5" s="29"/>
    </row>
    <row r="6" spans="1:8" ht="15" x14ac:dyDescent="0.25">
      <c r="B6" s="5"/>
      <c r="C6" s="5"/>
      <c r="D6" s="5"/>
      <c r="E6" s="5"/>
      <c r="F6" s="5"/>
      <c r="G6" s="5"/>
    </row>
    <row r="7" spans="1:8" ht="15" x14ac:dyDescent="0.25"/>
    <row r="8" spans="1:8" ht="15" customHeight="1" x14ac:dyDescent="0.25">
      <c r="B8" s="74" t="s">
        <v>4</v>
      </c>
      <c r="C8" s="74" t="s">
        <v>59</v>
      </c>
      <c r="D8" s="74" t="s">
        <v>69</v>
      </c>
      <c r="E8" s="74" t="s">
        <v>40</v>
      </c>
      <c r="F8" s="74" t="s">
        <v>45</v>
      </c>
      <c r="G8" s="28"/>
    </row>
    <row r="9" spans="1:8" ht="23.25" customHeight="1" x14ac:dyDescent="0.25">
      <c r="A9" s="63">
        <v>20000</v>
      </c>
      <c r="B9" s="75"/>
      <c r="C9" s="75"/>
      <c r="D9" s="75"/>
      <c r="E9" s="75"/>
      <c r="F9" s="75"/>
      <c r="G9" s="28"/>
    </row>
    <row r="10" spans="1:8" ht="15.75" thickBot="1" x14ac:dyDescent="0.3">
      <c r="A10" s="59">
        <v>31</v>
      </c>
      <c r="B10" s="8">
        <v>47849</v>
      </c>
      <c r="C10" s="43">
        <f>+$A$9*A10*24</f>
        <v>14880000</v>
      </c>
      <c r="D10" s="93"/>
      <c r="E10" s="57">
        <f>+$D$10*A10*24</f>
        <v>0</v>
      </c>
      <c r="F10" s="96"/>
      <c r="G10" s="32"/>
      <c r="H10" s="51"/>
    </row>
    <row r="11" spans="1:8" ht="15.75" thickBot="1" x14ac:dyDescent="0.3">
      <c r="A11" s="59">
        <v>28</v>
      </c>
      <c r="B11" s="8">
        <v>47880</v>
      </c>
      <c r="C11" s="43">
        <f t="shared" ref="C11:C21" si="0">+$A$9*A11*24</f>
        <v>13440000</v>
      </c>
      <c r="D11" s="94"/>
      <c r="E11" s="57">
        <f t="shared" ref="E11:E21" si="1">+$D$10*A11*24</f>
        <v>0</v>
      </c>
      <c r="F11" s="97"/>
      <c r="G11" s="32"/>
      <c r="H11" s="51"/>
    </row>
    <row r="12" spans="1:8" ht="15.75" thickBot="1" x14ac:dyDescent="0.3">
      <c r="A12" s="59">
        <v>31</v>
      </c>
      <c r="B12" s="8">
        <v>47908</v>
      </c>
      <c r="C12" s="43">
        <f t="shared" si="0"/>
        <v>14880000</v>
      </c>
      <c r="D12" s="94"/>
      <c r="E12" s="57">
        <f t="shared" si="1"/>
        <v>0</v>
      </c>
      <c r="F12" s="97"/>
      <c r="G12" s="32"/>
      <c r="H12" s="51"/>
    </row>
    <row r="13" spans="1:8" ht="15.75" thickBot="1" x14ac:dyDescent="0.3">
      <c r="A13" s="59">
        <v>30</v>
      </c>
      <c r="B13" s="8">
        <v>47939</v>
      </c>
      <c r="C13" s="43">
        <f t="shared" si="0"/>
        <v>14400000</v>
      </c>
      <c r="D13" s="94"/>
      <c r="E13" s="57">
        <f t="shared" si="1"/>
        <v>0</v>
      </c>
      <c r="F13" s="97"/>
      <c r="G13" s="32"/>
      <c r="H13" s="51"/>
    </row>
    <row r="14" spans="1:8" ht="15.75" thickBot="1" x14ac:dyDescent="0.3">
      <c r="A14" s="59">
        <v>31</v>
      </c>
      <c r="B14" s="8">
        <v>47969</v>
      </c>
      <c r="C14" s="43">
        <f t="shared" si="0"/>
        <v>14880000</v>
      </c>
      <c r="D14" s="94"/>
      <c r="E14" s="57">
        <f t="shared" si="1"/>
        <v>0</v>
      </c>
      <c r="F14" s="97"/>
      <c r="G14" s="32"/>
      <c r="H14" s="51"/>
    </row>
    <row r="15" spans="1:8" ht="15.75" thickBot="1" x14ac:dyDescent="0.3">
      <c r="A15" s="59">
        <v>30</v>
      </c>
      <c r="B15" s="8">
        <v>48000</v>
      </c>
      <c r="C15" s="43">
        <f t="shared" si="0"/>
        <v>14400000</v>
      </c>
      <c r="D15" s="94"/>
      <c r="E15" s="57">
        <f t="shared" si="1"/>
        <v>0</v>
      </c>
      <c r="F15" s="97"/>
      <c r="G15" s="32"/>
      <c r="H15" s="51"/>
    </row>
    <row r="16" spans="1:8" ht="15.75" thickBot="1" x14ac:dyDescent="0.3">
      <c r="A16" s="59">
        <v>31</v>
      </c>
      <c r="B16" s="8">
        <v>48030</v>
      </c>
      <c r="C16" s="43">
        <f t="shared" si="0"/>
        <v>14880000</v>
      </c>
      <c r="D16" s="94"/>
      <c r="E16" s="57">
        <f t="shared" si="1"/>
        <v>0</v>
      </c>
      <c r="F16" s="97"/>
      <c r="G16" s="32"/>
      <c r="H16" s="51"/>
    </row>
    <row r="17" spans="1:8" ht="15.75" thickBot="1" x14ac:dyDescent="0.3">
      <c r="A17" s="59">
        <v>31</v>
      </c>
      <c r="B17" s="8">
        <v>48061</v>
      </c>
      <c r="C17" s="43">
        <f t="shared" si="0"/>
        <v>14880000</v>
      </c>
      <c r="D17" s="94"/>
      <c r="E17" s="57">
        <f t="shared" si="1"/>
        <v>0</v>
      </c>
      <c r="F17" s="97"/>
      <c r="G17" s="32"/>
      <c r="H17" s="51"/>
    </row>
    <row r="18" spans="1:8" ht="15.75" thickBot="1" x14ac:dyDescent="0.3">
      <c r="A18" s="59">
        <v>30</v>
      </c>
      <c r="B18" s="8">
        <v>48092</v>
      </c>
      <c r="C18" s="43">
        <f t="shared" si="0"/>
        <v>14400000</v>
      </c>
      <c r="D18" s="94"/>
      <c r="E18" s="57">
        <f t="shared" si="1"/>
        <v>0</v>
      </c>
      <c r="F18" s="97"/>
      <c r="G18" s="32"/>
      <c r="H18" s="51"/>
    </row>
    <row r="19" spans="1:8" ht="15.75" thickBot="1" x14ac:dyDescent="0.3">
      <c r="A19" s="59">
        <v>31</v>
      </c>
      <c r="B19" s="8">
        <v>48122</v>
      </c>
      <c r="C19" s="43">
        <f t="shared" si="0"/>
        <v>14880000</v>
      </c>
      <c r="D19" s="94"/>
      <c r="E19" s="57">
        <f t="shared" si="1"/>
        <v>0</v>
      </c>
      <c r="F19" s="97"/>
      <c r="G19" s="32"/>
      <c r="H19" s="45"/>
    </row>
    <row r="20" spans="1:8" ht="15.75" thickBot="1" x14ac:dyDescent="0.3">
      <c r="A20" s="59">
        <v>30</v>
      </c>
      <c r="B20" s="8">
        <v>48153</v>
      </c>
      <c r="C20" s="43">
        <f t="shared" si="0"/>
        <v>14400000</v>
      </c>
      <c r="D20" s="94"/>
      <c r="E20" s="57">
        <f t="shared" si="1"/>
        <v>0</v>
      </c>
      <c r="F20" s="97"/>
      <c r="G20" s="32"/>
      <c r="H20" s="45"/>
    </row>
    <row r="21" spans="1:8" ht="15.75" thickBot="1" x14ac:dyDescent="0.3">
      <c r="A21" s="59">
        <v>31</v>
      </c>
      <c r="B21" s="8">
        <v>48183</v>
      </c>
      <c r="C21" s="43">
        <f t="shared" si="0"/>
        <v>14880000</v>
      </c>
      <c r="D21" s="95"/>
      <c r="E21" s="57">
        <f t="shared" si="1"/>
        <v>0</v>
      </c>
      <c r="F21" s="98"/>
      <c r="G21" s="32"/>
      <c r="H21" s="45"/>
    </row>
    <row r="22" spans="1:8" ht="28.5" customHeight="1" x14ac:dyDescent="0.25">
      <c r="B22" s="9" t="s">
        <v>3</v>
      </c>
      <c r="C22" s="10">
        <f>+SUM(C10:C21)</f>
        <v>175200000</v>
      </c>
      <c r="D22" s="11"/>
      <c r="E22" s="56">
        <f>SUM(E10:E21)</f>
        <v>0</v>
      </c>
      <c r="F22" s="55">
        <f>+F10</f>
        <v>0</v>
      </c>
      <c r="G22" s="50"/>
      <c r="H22" s="42"/>
    </row>
    <row r="23" spans="1:8" ht="19.5" customHeight="1" x14ac:dyDescent="0.25">
      <c r="B23" s="7" t="s">
        <v>61</v>
      </c>
      <c r="C23" s="25"/>
      <c r="D23" s="30"/>
      <c r="E23" s="25"/>
      <c r="F23" s="26"/>
      <c r="G23" s="26"/>
      <c r="H23" s="42"/>
    </row>
    <row r="24" spans="1:8" ht="15" customHeight="1" x14ac:dyDescent="0.25">
      <c r="B24" s="7" t="s">
        <v>78</v>
      </c>
      <c r="C24" s="54"/>
      <c r="D24" s="54"/>
      <c r="E24" s="54"/>
      <c r="F24" s="54"/>
      <c r="G24" s="54"/>
      <c r="H24" s="42"/>
    </row>
    <row r="25" spans="1:8" ht="15" x14ac:dyDescent="0.25">
      <c r="B25" s="7" t="s">
        <v>46</v>
      </c>
      <c r="C25" s="54"/>
      <c r="D25" s="54"/>
      <c r="E25" s="54"/>
      <c r="F25" s="54"/>
      <c r="G25" s="54"/>
      <c r="H25" s="42"/>
    </row>
    <row r="26" spans="1:8" ht="33" customHeight="1" x14ac:dyDescent="0.25">
      <c r="B26" s="66" t="s">
        <v>71</v>
      </c>
      <c r="C26" s="66"/>
      <c r="D26" s="66"/>
      <c r="E26" s="66"/>
      <c r="F26" s="66"/>
      <c r="G26" s="66"/>
      <c r="H26" s="42"/>
    </row>
    <row r="27" spans="1:8" ht="15" x14ac:dyDescent="0.25">
      <c r="B27" s="7"/>
      <c r="C27" s="54"/>
      <c r="D27" s="54"/>
      <c r="E27" s="54"/>
      <c r="F27" s="54"/>
      <c r="G27" s="54"/>
      <c r="H27" s="42"/>
    </row>
    <row r="28" spans="1:8" ht="15" x14ac:dyDescent="0.25">
      <c r="B28" s="7"/>
      <c r="C28" s="54"/>
      <c r="D28" s="54"/>
      <c r="E28" s="54"/>
      <c r="F28" s="54"/>
      <c r="G28" s="54"/>
      <c r="H28" s="42"/>
    </row>
    <row r="29" spans="1:8" ht="15" x14ac:dyDescent="0.25">
      <c r="B29" s="7"/>
      <c r="C29" s="4"/>
      <c r="D29" s="3"/>
      <c r="E29" s="3"/>
      <c r="F29" s="3"/>
      <c r="G29" s="3"/>
      <c r="H29" s="42"/>
    </row>
    <row r="30" spans="1:8" ht="15" customHeight="1" x14ac:dyDescent="0.25">
      <c r="A30" s="2"/>
      <c r="H30" s="42"/>
    </row>
    <row r="31" spans="1:8" ht="15" customHeight="1" x14ac:dyDescent="0.25">
      <c r="A31" s="1"/>
      <c r="B31" s="60" t="s">
        <v>56</v>
      </c>
      <c r="H31" s="42"/>
    </row>
    <row r="32" spans="1:8" ht="15" customHeight="1" x14ac:dyDescent="0.25">
      <c r="A32" s="1"/>
      <c r="B32" s="61" t="s">
        <v>57</v>
      </c>
      <c r="H32" s="42"/>
    </row>
    <row r="33" spans="2:2" ht="15" x14ac:dyDescent="0.25">
      <c r="B33" s="61" t="s">
        <v>58</v>
      </c>
    </row>
    <row r="34" spans="2:2" ht="15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20.000" sqref="D10:D21" xr:uid="{2C3FE6E4-0D9D-4F2F-A14B-ABA8819DD33A}">
      <formula1>0</formula1>
      <formula2>20000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B97C-E805-4999-AE4C-42ACE0510DD7}">
  <sheetPr>
    <tabColor theme="7" tint="-0.249977111117893"/>
  </sheetPr>
  <dimension ref="A1:AD45"/>
  <sheetViews>
    <sheetView showGridLines="0" zoomScale="115" zoomScaleNormal="115" zoomScaleSheetLayoutView="110" workbookViewId="0">
      <pane xSplit="2" ySplit="5" topLeftCell="L37" activePane="bottomRight" state="frozen"/>
      <selection pane="topRight" activeCell="C1" sqref="C1"/>
      <selection pane="bottomLeft" activeCell="A6" sqref="A6"/>
      <selection pane="bottomRight" sqref="A1:AC42"/>
    </sheetView>
  </sheetViews>
  <sheetFormatPr baseColWidth="10" defaultColWidth="0" defaultRowHeight="15" x14ac:dyDescent="0.25"/>
  <cols>
    <col min="1" max="1" width="6.42578125" bestFit="1" customWidth="1"/>
    <col min="2" max="2" width="8.7109375" bestFit="1" customWidth="1"/>
    <col min="3" max="4" width="9.28515625" bestFit="1" customWidth="1"/>
    <col min="5" max="6" width="9" bestFit="1" customWidth="1"/>
    <col min="7" max="11" width="9.28515625" bestFit="1" customWidth="1"/>
    <col min="12" max="12" width="8.7109375" bestFit="1" customWidth="1"/>
    <col min="13" max="13" width="9" bestFit="1" customWidth="1"/>
    <col min="14" max="14" width="9.28515625" bestFit="1" customWidth="1"/>
    <col min="15" max="15" width="9" bestFit="1" customWidth="1"/>
    <col min="16" max="21" width="9.28515625" bestFit="1" customWidth="1"/>
    <col min="22" max="23" width="9" bestFit="1" customWidth="1"/>
    <col min="24" max="26" width="9.28515625" bestFit="1" customWidth="1"/>
    <col min="27" max="27" width="10.14062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x14ac:dyDescent="0.25">
      <c r="A1" s="86" t="s">
        <v>83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8"/>
    </row>
    <row r="2" spans="1:30" x14ac:dyDescent="0.25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1"/>
    </row>
    <row r="3" spans="1:3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x14ac:dyDescent="0.25">
      <c r="A4" s="92" t="s">
        <v>38</v>
      </c>
      <c r="B4" s="92" t="s">
        <v>37</v>
      </c>
      <c r="C4" s="84" t="s">
        <v>36</v>
      </c>
      <c r="D4" s="84" t="s">
        <v>35</v>
      </c>
      <c r="E4" s="84" t="s">
        <v>34</v>
      </c>
      <c r="F4" s="84" t="s">
        <v>33</v>
      </c>
      <c r="G4" s="84" t="s">
        <v>32</v>
      </c>
      <c r="H4" s="84" t="s">
        <v>31</v>
      </c>
      <c r="I4" s="84" t="s">
        <v>30</v>
      </c>
      <c r="J4" s="84" t="s">
        <v>29</v>
      </c>
      <c r="K4" s="84" t="s">
        <v>28</v>
      </c>
      <c r="L4" s="84" t="s">
        <v>27</v>
      </c>
      <c r="M4" s="84" t="s">
        <v>26</v>
      </c>
      <c r="N4" s="84" t="s">
        <v>25</v>
      </c>
      <c r="O4" s="84" t="s">
        <v>24</v>
      </c>
      <c r="P4" s="84" t="s">
        <v>23</v>
      </c>
      <c r="Q4" s="84" t="s">
        <v>22</v>
      </c>
      <c r="R4" s="84" t="s">
        <v>21</v>
      </c>
      <c r="S4" s="84" t="s">
        <v>20</v>
      </c>
      <c r="T4" s="84" t="s">
        <v>19</v>
      </c>
      <c r="U4" s="84" t="s">
        <v>18</v>
      </c>
      <c r="V4" s="84" t="s">
        <v>17</v>
      </c>
      <c r="W4" s="84" t="s">
        <v>16</v>
      </c>
      <c r="X4" s="84" t="s">
        <v>15</v>
      </c>
      <c r="Y4" s="84" t="s">
        <v>14</v>
      </c>
      <c r="Z4" s="84" t="s">
        <v>13</v>
      </c>
      <c r="AA4" s="14" t="s">
        <v>12</v>
      </c>
      <c r="AB4" s="15" t="s">
        <v>11</v>
      </c>
      <c r="AC4" s="82" t="s">
        <v>10</v>
      </c>
    </row>
    <row r="5" spans="1:30" x14ac:dyDescent="0.25">
      <c r="A5" s="92"/>
      <c r="B5" s="92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16"/>
      <c r="AB5" s="17" t="s">
        <v>9</v>
      </c>
      <c r="AC5" s="83"/>
    </row>
    <row r="6" spans="1:30" ht="15.75" thickBot="1" x14ac:dyDescent="0.3">
      <c r="A6" s="78">
        <v>47849</v>
      </c>
      <c r="B6" s="18" t="s">
        <v>8</v>
      </c>
      <c r="C6" s="33">
        <v>69643</v>
      </c>
      <c r="D6" s="33">
        <v>63060</v>
      </c>
      <c r="E6" s="33">
        <v>59100</v>
      </c>
      <c r="F6" s="33">
        <v>57054</v>
      </c>
      <c r="G6" s="33">
        <v>58468</v>
      </c>
      <c r="H6" s="33">
        <v>64586</v>
      </c>
      <c r="I6" s="33">
        <v>70403</v>
      </c>
      <c r="J6" s="33">
        <v>71991</v>
      </c>
      <c r="K6" s="33">
        <v>84239</v>
      </c>
      <c r="L6" s="33">
        <v>93518</v>
      </c>
      <c r="M6" s="33">
        <v>102967</v>
      </c>
      <c r="N6" s="33">
        <v>111880</v>
      </c>
      <c r="O6" s="33">
        <v>110366</v>
      </c>
      <c r="P6" s="33">
        <v>110561</v>
      </c>
      <c r="Q6" s="33">
        <v>113296</v>
      </c>
      <c r="R6" s="33">
        <v>113819</v>
      </c>
      <c r="S6" s="33">
        <v>111903</v>
      </c>
      <c r="T6" s="33">
        <v>138759</v>
      </c>
      <c r="U6" s="33">
        <v>150655</v>
      </c>
      <c r="V6" s="33">
        <v>160562</v>
      </c>
      <c r="W6" s="33">
        <v>153901</v>
      </c>
      <c r="X6" s="33">
        <v>142220</v>
      </c>
      <c r="Y6" s="33">
        <v>123447</v>
      </c>
      <c r="Z6" s="34">
        <v>104485</v>
      </c>
      <c r="AA6" s="35">
        <f>SUM(C6:Z6)</f>
        <v>2440883</v>
      </c>
      <c r="AB6" s="19">
        <v>21</v>
      </c>
      <c r="AC6" s="79">
        <f>+AA6*AB6+AA7*AB7+AA8*AB8</f>
        <v>73685361</v>
      </c>
    </row>
    <row r="7" spans="1:30" ht="15.75" thickBot="1" x14ac:dyDescent="0.3">
      <c r="A7" s="78"/>
      <c r="B7" s="20" t="s">
        <v>7</v>
      </c>
      <c r="C7" s="36">
        <v>72390</v>
      </c>
      <c r="D7" s="36">
        <v>64957</v>
      </c>
      <c r="E7" s="36">
        <v>60420</v>
      </c>
      <c r="F7" s="36">
        <v>57560</v>
      </c>
      <c r="G7" s="36">
        <v>57651</v>
      </c>
      <c r="H7" s="36">
        <v>61074</v>
      </c>
      <c r="I7" s="36">
        <v>65064</v>
      </c>
      <c r="J7" s="36">
        <v>66835</v>
      </c>
      <c r="K7" s="36">
        <v>80525</v>
      </c>
      <c r="L7" s="36">
        <v>90859</v>
      </c>
      <c r="M7" s="36">
        <v>98601</v>
      </c>
      <c r="N7" s="36">
        <v>106259</v>
      </c>
      <c r="O7" s="36">
        <v>107087</v>
      </c>
      <c r="P7" s="36">
        <v>105511</v>
      </c>
      <c r="Q7" s="36">
        <v>103780</v>
      </c>
      <c r="R7" s="36">
        <v>102938</v>
      </c>
      <c r="S7" s="36">
        <v>101758</v>
      </c>
      <c r="T7" s="36">
        <v>132046</v>
      </c>
      <c r="U7" s="36">
        <v>146960</v>
      </c>
      <c r="V7" s="36">
        <v>157582</v>
      </c>
      <c r="W7" s="36">
        <v>150317</v>
      </c>
      <c r="X7" s="36">
        <v>139490</v>
      </c>
      <c r="Y7" s="36">
        <v>124123</v>
      </c>
      <c r="Z7" s="37">
        <v>108725</v>
      </c>
      <c r="AA7" s="38">
        <f t="shared" ref="AA7:AA41" si="0">SUM(C7:Z7)</f>
        <v>2362512</v>
      </c>
      <c r="AB7" s="21">
        <v>4</v>
      </c>
      <c r="AC7" s="80"/>
      <c r="AD7" s="47"/>
    </row>
    <row r="8" spans="1:30" x14ac:dyDescent="0.25">
      <c r="A8" s="78"/>
      <c r="B8" s="22" t="s">
        <v>6</v>
      </c>
      <c r="C8" s="39">
        <v>78025</v>
      </c>
      <c r="D8" s="39">
        <v>69993</v>
      </c>
      <c r="E8" s="39">
        <v>64667</v>
      </c>
      <c r="F8" s="39">
        <v>60907</v>
      </c>
      <c r="G8" s="39">
        <v>59074</v>
      </c>
      <c r="H8" s="39">
        <v>59793</v>
      </c>
      <c r="I8" s="39">
        <v>58774</v>
      </c>
      <c r="J8" s="39">
        <v>55557</v>
      </c>
      <c r="K8" s="39">
        <v>65973</v>
      </c>
      <c r="L8" s="39">
        <v>75153</v>
      </c>
      <c r="M8" s="39">
        <v>81928</v>
      </c>
      <c r="N8" s="39">
        <v>88980</v>
      </c>
      <c r="O8" s="39">
        <v>93157</v>
      </c>
      <c r="P8" s="39">
        <v>92660</v>
      </c>
      <c r="Q8" s="39">
        <v>90005</v>
      </c>
      <c r="R8" s="39">
        <v>88474</v>
      </c>
      <c r="S8" s="39">
        <v>87706</v>
      </c>
      <c r="T8" s="39">
        <v>118911</v>
      </c>
      <c r="U8" s="39">
        <v>135178</v>
      </c>
      <c r="V8" s="39">
        <v>146794</v>
      </c>
      <c r="W8" s="39">
        <v>142056</v>
      </c>
      <c r="X8" s="39">
        <v>131929</v>
      </c>
      <c r="Y8" s="39">
        <v>116315</v>
      </c>
      <c r="Z8" s="40">
        <v>100786</v>
      </c>
      <c r="AA8" s="41">
        <f t="shared" si="0"/>
        <v>2162795</v>
      </c>
      <c r="AB8" s="23">
        <v>6</v>
      </c>
      <c r="AC8" s="81"/>
      <c r="AD8" s="48"/>
    </row>
    <row r="9" spans="1:30" ht="15.75" thickBot="1" x14ac:dyDescent="0.3">
      <c r="A9" s="78">
        <v>47880</v>
      </c>
      <c r="B9" s="18" t="s">
        <v>8</v>
      </c>
      <c r="C9" s="33">
        <v>70310</v>
      </c>
      <c r="D9" s="33">
        <v>63975</v>
      </c>
      <c r="E9" s="33">
        <v>60333</v>
      </c>
      <c r="F9" s="33">
        <v>58543</v>
      </c>
      <c r="G9" s="33">
        <v>60615</v>
      </c>
      <c r="H9" s="33">
        <v>70110</v>
      </c>
      <c r="I9" s="33">
        <v>77674</v>
      </c>
      <c r="J9" s="33">
        <v>76588</v>
      </c>
      <c r="K9" s="33">
        <v>87486</v>
      </c>
      <c r="L9" s="33">
        <v>95651</v>
      </c>
      <c r="M9" s="33">
        <v>104573</v>
      </c>
      <c r="N9" s="33">
        <v>112840</v>
      </c>
      <c r="O9" s="33">
        <v>109520</v>
      </c>
      <c r="P9" s="33">
        <v>110782</v>
      </c>
      <c r="Q9" s="33">
        <v>114622</v>
      </c>
      <c r="R9" s="33">
        <v>115314</v>
      </c>
      <c r="S9" s="33">
        <v>113430</v>
      </c>
      <c r="T9" s="33">
        <v>139510</v>
      </c>
      <c r="U9" s="33">
        <v>148588</v>
      </c>
      <c r="V9" s="33">
        <v>161587</v>
      </c>
      <c r="W9" s="33">
        <v>155183</v>
      </c>
      <c r="X9" s="33">
        <v>142954</v>
      </c>
      <c r="Y9" s="33">
        <v>123657</v>
      </c>
      <c r="Z9" s="34">
        <v>104457</v>
      </c>
      <c r="AA9" s="35">
        <f t="shared" si="0"/>
        <v>2478302</v>
      </c>
      <c r="AB9" s="19">
        <v>20</v>
      </c>
      <c r="AC9" s="79">
        <f>+AA9*AB9+AA10*AB10+AA11*AB11</f>
        <v>68393756</v>
      </c>
    </row>
    <row r="10" spans="1:30" ht="15.75" thickBot="1" x14ac:dyDescent="0.3">
      <c r="A10" s="78"/>
      <c r="B10" s="20" t="s">
        <v>7</v>
      </c>
      <c r="C10" s="36">
        <v>74550</v>
      </c>
      <c r="D10" s="36">
        <v>67526</v>
      </c>
      <c r="E10" s="36">
        <v>63010</v>
      </c>
      <c r="F10" s="36">
        <v>60416</v>
      </c>
      <c r="G10" s="36">
        <v>60723</v>
      </c>
      <c r="H10" s="36">
        <v>64403</v>
      </c>
      <c r="I10" s="36">
        <v>70295</v>
      </c>
      <c r="J10" s="36">
        <v>72059</v>
      </c>
      <c r="K10" s="36">
        <v>86280</v>
      </c>
      <c r="L10" s="36">
        <v>96184</v>
      </c>
      <c r="M10" s="36">
        <v>104057</v>
      </c>
      <c r="N10" s="36">
        <v>111701</v>
      </c>
      <c r="O10" s="36">
        <v>111913</v>
      </c>
      <c r="P10" s="36">
        <v>109791</v>
      </c>
      <c r="Q10" s="36">
        <v>107976</v>
      </c>
      <c r="R10" s="36">
        <v>106982</v>
      </c>
      <c r="S10" s="36">
        <v>105617</v>
      </c>
      <c r="T10" s="36">
        <v>135556</v>
      </c>
      <c r="U10" s="36">
        <v>147620</v>
      </c>
      <c r="V10" s="36">
        <v>160693</v>
      </c>
      <c r="W10" s="36">
        <v>153495</v>
      </c>
      <c r="X10" s="36">
        <v>143267</v>
      </c>
      <c r="Y10" s="36">
        <v>128646</v>
      </c>
      <c r="Z10" s="37">
        <v>112398</v>
      </c>
      <c r="AA10" s="38">
        <f t="shared" si="0"/>
        <v>2455158</v>
      </c>
      <c r="AB10" s="21">
        <v>4</v>
      </c>
      <c r="AC10" s="80"/>
      <c r="AD10" s="47"/>
    </row>
    <row r="11" spans="1:30" x14ac:dyDescent="0.25">
      <c r="A11" s="78"/>
      <c r="B11" s="22" t="s">
        <v>6</v>
      </c>
      <c r="C11" s="39">
        <v>79137</v>
      </c>
      <c r="D11" s="39">
        <v>71167</v>
      </c>
      <c r="E11" s="39">
        <v>66308</v>
      </c>
      <c r="F11" s="39">
        <v>62660</v>
      </c>
      <c r="G11" s="39">
        <v>61494</v>
      </c>
      <c r="H11" s="39">
        <v>62588</v>
      </c>
      <c r="I11" s="39">
        <v>63462</v>
      </c>
      <c r="J11" s="39">
        <v>61297</v>
      </c>
      <c r="K11" s="39">
        <v>72722</v>
      </c>
      <c r="L11" s="39">
        <v>82075</v>
      </c>
      <c r="M11" s="39">
        <v>88272</v>
      </c>
      <c r="N11" s="39">
        <v>94971</v>
      </c>
      <c r="O11" s="39">
        <v>98725</v>
      </c>
      <c r="P11" s="39">
        <v>97500</v>
      </c>
      <c r="Q11" s="39">
        <v>94510</v>
      </c>
      <c r="R11" s="39">
        <v>92696</v>
      </c>
      <c r="S11" s="39">
        <v>91783</v>
      </c>
      <c r="T11" s="39">
        <v>122989</v>
      </c>
      <c r="U11" s="39">
        <v>135962</v>
      </c>
      <c r="V11" s="39">
        <v>150402</v>
      </c>
      <c r="W11" s="39">
        <v>145995</v>
      </c>
      <c r="X11" s="39">
        <v>135503</v>
      </c>
      <c r="Y11" s="39">
        <v>118271</v>
      </c>
      <c r="Z11" s="40">
        <v>101282</v>
      </c>
      <c r="AA11" s="41">
        <f t="shared" si="0"/>
        <v>2251771</v>
      </c>
      <c r="AB11" s="23">
        <v>4</v>
      </c>
      <c r="AC11" s="81"/>
      <c r="AD11" s="48"/>
    </row>
    <row r="12" spans="1:30" ht="15.75" thickBot="1" x14ac:dyDescent="0.3">
      <c r="A12" s="78">
        <v>47908</v>
      </c>
      <c r="B12" s="18" t="s">
        <v>8</v>
      </c>
      <c r="C12" s="33">
        <v>67875</v>
      </c>
      <c r="D12" s="33">
        <v>61810</v>
      </c>
      <c r="E12" s="33">
        <v>58453</v>
      </c>
      <c r="F12" s="33">
        <v>56770</v>
      </c>
      <c r="G12" s="33">
        <v>59001</v>
      </c>
      <c r="H12" s="33">
        <v>68313</v>
      </c>
      <c r="I12" s="33">
        <v>74836</v>
      </c>
      <c r="J12" s="33">
        <v>74624</v>
      </c>
      <c r="K12" s="33">
        <v>85089</v>
      </c>
      <c r="L12" s="33">
        <v>92930</v>
      </c>
      <c r="M12" s="33">
        <v>101284</v>
      </c>
      <c r="N12" s="33">
        <v>108818</v>
      </c>
      <c r="O12" s="33">
        <v>105816</v>
      </c>
      <c r="P12" s="33">
        <v>106480</v>
      </c>
      <c r="Q12" s="33">
        <v>109781</v>
      </c>
      <c r="R12" s="33">
        <v>110319</v>
      </c>
      <c r="S12" s="33">
        <v>108885</v>
      </c>
      <c r="T12" s="33">
        <v>136253</v>
      </c>
      <c r="U12" s="33">
        <v>147584</v>
      </c>
      <c r="V12" s="33">
        <v>158675</v>
      </c>
      <c r="W12" s="33">
        <v>152070</v>
      </c>
      <c r="X12" s="33">
        <v>139635</v>
      </c>
      <c r="Y12" s="33">
        <v>120725</v>
      </c>
      <c r="Z12" s="34">
        <v>102056</v>
      </c>
      <c r="AA12" s="35">
        <f t="shared" si="0"/>
        <v>2408082</v>
      </c>
      <c r="AB12" s="19">
        <v>20</v>
      </c>
      <c r="AC12" s="79">
        <f>+AA12*AB12+AA13*AB13+AA14*AB14</f>
        <v>72757227</v>
      </c>
    </row>
    <row r="13" spans="1:30" ht="15.75" thickBot="1" x14ac:dyDescent="0.3">
      <c r="A13" s="78"/>
      <c r="B13" s="20" t="s">
        <v>7</v>
      </c>
      <c r="C13" s="36">
        <v>71407</v>
      </c>
      <c r="D13" s="36">
        <v>64403</v>
      </c>
      <c r="E13" s="36">
        <v>60680</v>
      </c>
      <c r="F13" s="36">
        <v>58551</v>
      </c>
      <c r="G13" s="36">
        <v>58678</v>
      </c>
      <c r="H13" s="36">
        <v>62587</v>
      </c>
      <c r="I13" s="36">
        <v>65995</v>
      </c>
      <c r="J13" s="36">
        <v>68830</v>
      </c>
      <c r="K13" s="36">
        <v>82026</v>
      </c>
      <c r="L13" s="36">
        <v>91589</v>
      </c>
      <c r="M13" s="36">
        <v>99184</v>
      </c>
      <c r="N13" s="36">
        <v>105516</v>
      </c>
      <c r="O13" s="36">
        <v>105389</v>
      </c>
      <c r="P13" s="36">
        <v>103133</v>
      </c>
      <c r="Q13" s="36">
        <v>101444</v>
      </c>
      <c r="R13" s="36">
        <v>100173</v>
      </c>
      <c r="S13" s="36">
        <v>98524</v>
      </c>
      <c r="T13" s="36">
        <v>129075</v>
      </c>
      <c r="U13" s="36">
        <v>142843</v>
      </c>
      <c r="V13" s="36">
        <v>153301</v>
      </c>
      <c r="W13" s="36">
        <v>146465</v>
      </c>
      <c r="X13" s="36">
        <v>136686</v>
      </c>
      <c r="Y13" s="36">
        <v>122137</v>
      </c>
      <c r="Z13" s="37">
        <v>107439</v>
      </c>
      <c r="AA13" s="38">
        <f t="shared" si="0"/>
        <v>2336055</v>
      </c>
      <c r="AB13" s="21">
        <v>5</v>
      </c>
      <c r="AC13" s="80"/>
      <c r="AD13" s="47"/>
    </row>
    <row r="14" spans="1:30" x14ac:dyDescent="0.25">
      <c r="A14" s="78"/>
      <c r="B14" s="22" t="s">
        <v>6</v>
      </c>
      <c r="C14" s="39">
        <v>74943</v>
      </c>
      <c r="D14" s="39">
        <v>67235</v>
      </c>
      <c r="E14" s="39">
        <v>62702</v>
      </c>
      <c r="F14" s="39">
        <v>59627</v>
      </c>
      <c r="G14" s="39">
        <v>58352</v>
      </c>
      <c r="H14" s="39">
        <v>59864</v>
      </c>
      <c r="I14" s="39">
        <v>59485</v>
      </c>
      <c r="J14" s="39">
        <v>57893</v>
      </c>
      <c r="K14" s="39">
        <v>68393</v>
      </c>
      <c r="L14" s="39">
        <v>76857</v>
      </c>
      <c r="M14" s="39">
        <v>82759</v>
      </c>
      <c r="N14" s="39">
        <v>89467</v>
      </c>
      <c r="O14" s="39">
        <v>93462</v>
      </c>
      <c r="P14" s="39">
        <v>92346</v>
      </c>
      <c r="Q14" s="39">
        <v>89281</v>
      </c>
      <c r="R14" s="39">
        <v>87912</v>
      </c>
      <c r="S14" s="39">
        <v>87023</v>
      </c>
      <c r="T14" s="39">
        <v>118559</v>
      </c>
      <c r="U14" s="39">
        <v>133424</v>
      </c>
      <c r="V14" s="39">
        <v>145749</v>
      </c>
      <c r="W14" s="39">
        <v>140997</v>
      </c>
      <c r="X14" s="39">
        <v>131160</v>
      </c>
      <c r="Y14" s="39">
        <v>115157</v>
      </c>
      <c r="Z14" s="40">
        <v>99905</v>
      </c>
      <c r="AA14" s="41">
        <f t="shared" si="0"/>
        <v>2152552</v>
      </c>
      <c r="AB14" s="23">
        <v>6</v>
      </c>
      <c r="AC14" s="81"/>
      <c r="AD14" s="45"/>
    </row>
    <row r="15" spans="1:30" ht="15.75" thickBot="1" x14ac:dyDescent="0.3">
      <c r="A15" s="78">
        <v>47939</v>
      </c>
      <c r="B15" s="18" t="s">
        <v>8</v>
      </c>
      <c r="C15" s="33">
        <v>65290</v>
      </c>
      <c r="D15" s="33">
        <v>59484</v>
      </c>
      <c r="E15" s="33">
        <v>55991</v>
      </c>
      <c r="F15" s="33">
        <v>54369</v>
      </c>
      <c r="G15" s="33">
        <v>56421</v>
      </c>
      <c r="H15" s="33">
        <v>63929</v>
      </c>
      <c r="I15" s="33">
        <v>69457</v>
      </c>
      <c r="J15" s="33">
        <v>70173</v>
      </c>
      <c r="K15" s="33">
        <v>80637</v>
      </c>
      <c r="L15" s="33">
        <v>88833</v>
      </c>
      <c r="M15" s="33">
        <v>97483</v>
      </c>
      <c r="N15" s="33">
        <v>105323</v>
      </c>
      <c r="O15" s="33">
        <v>102522</v>
      </c>
      <c r="P15" s="33">
        <v>103240</v>
      </c>
      <c r="Q15" s="33">
        <v>106341</v>
      </c>
      <c r="R15" s="33">
        <v>106660</v>
      </c>
      <c r="S15" s="33">
        <v>105048</v>
      </c>
      <c r="T15" s="33">
        <v>133141</v>
      </c>
      <c r="U15" s="33">
        <v>146782</v>
      </c>
      <c r="V15" s="33">
        <v>154893</v>
      </c>
      <c r="W15" s="33">
        <v>148629</v>
      </c>
      <c r="X15" s="33">
        <v>136074</v>
      </c>
      <c r="Y15" s="33">
        <v>117071</v>
      </c>
      <c r="Z15" s="34">
        <v>98895</v>
      </c>
      <c r="AA15" s="35">
        <f t="shared" si="0"/>
        <v>2326686</v>
      </c>
      <c r="AB15" s="19">
        <v>20</v>
      </c>
      <c r="AC15" s="79">
        <f>+AA15*AB15+AA16*AB16+AA17*AB17</f>
        <v>68160812</v>
      </c>
    </row>
    <row r="16" spans="1:30" ht="15.75" thickBot="1" x14ac:dyDescent="0.3">
      <c r="A16" s="78"/>
      <c r="B16" s="20" t="s">
        <v>7</v>
      </c>
      <c r="C16" s="36">
        <v>67625</v>
      </c>
      <c r="D16" s="36">
        <v>60998</v>
      </c>
      <c r="E16" s="36">
        <v>56737</v>
      </c>
      <c r="F16" s="36">
        <v>54222</v>
      </c>
      <c r="G16" s="36">
        <v>54685</v>
      </c>
      <c r="H16" s="36">
        <v>57525</v>
      </c>
      <c r="I16" s="36">
        <v>61100</v>
      </c>
      <c r="J16" s="36">
        <v>64468</v>
      </c>
      <c r="K16" s="36">
        <v>77460</v>
      </c>
      <c r="L16" s="36">
        <v>87319</v>
      </c>
      <c r="M16" s="36">
        <v>94443</v>
      </c>
      <c r="N16" s="36">
        <v>102527</v>
      </c>
      <c r="O16" s="36">
        <v>103023</v>
      </c>
      <c r="P16" s="36">
        <v>101139</v>
      </c>
      <c r="Q16" s="36">
        <v>99427</v>
      </c>
      <c r="R16" s="36">
        <v>98246</v>
      </c>
      <c r="S16" s="36">
        <v>97817</v>
      </c>
      <c r="T16" s="36">
        <v>128981</v>
      </c>
      <c r="U16" s="36">
        <v>144495</v>
      </c>
      <c r="V16" s="36">
        <v>153075</v>
      </c>
      <c r="W16" s="36">
        <v>145862</v>
      </c>
      <c r="X16" s="36">
        <v>135398</v>
      </c>
      <c r="Y16" s="36">
        <v>120661</v>
      </c>
      <c r="Z16" s="37">
        <v>105623</v>
      </c>
      <c r="AA16" s="38">
        <f t="shared" si="0"/>
        <v>2272856</v>
      </c>
      <c r="AB16" s="21">
        <v>4</v>
      </c>
      <c r="AC16" s="80"/>
      <c r="AD16" s="47"/>
    </row>
    <row r="17" spans="1:30" x14ac:dyDescent="0.25">
      <c r="A17" s="78"/>
      <c r="B17" s="22" t="s">
        <v>6</v>
      </c>
      <c r="C17" s="39">
        <v>72337</v>
      </c>
      <c r="D17" s="39">
        <v>64899</v>
      </c>
      <c r="E17" s="39">
        <v>60089</v>
      </c>
      <c r="F17" s="39">
        <v>56818</v>
      </c>
      <c r="G17" s="39">
        <v>55549</v>
      </c>
      <c r="H17" s="39">
        <v>55381</v>
      </c>
      <c r="I17" s="39">
        <v>56156</v>
      </c>
      <c r="J17" s="39">
        <v>55554</v>
      </c>
      <c r="K17" s="39">
        <v>65731</v>
      </c>
      <c r="L17" s="39">
        <v>74663</v>
      </c>
      <c r="M17" s="39">
        <v>81019</v>
      </c>
      <c r="N17" s="39">
        <v>87498</v>
      </c>
      <c r="O17" s="39">
        <v>91266</v>
      </c>
      <c r="P17" s="39">
        <v>90226</v>
      </c>
      <c r="Q17" s="39">
        <v>86973</v>
      </c>
      <c r="R17" s="39">
        <v>85439</v>
      </c>
      <c r="S17" s="39">
        <v>84559</v>
      </c>
      <c r="T17" s="39">
        <v>116247</v>
      </c>
      <c r="U17" s="39">
        <v>132813</v>
      </c>
      <c r="V17" s="39">
        <v>142729</v>
      </c>
      <c r="W17" s="39">
        <v>137536</v>
      </c>
      <c r="X17" s="39">
        <v>127414</v>
      </c>
      <c r="Y17" s="39">
        <v>111915</v>
      </c>
      <c r="Z17" s="40">
        <v>96467</v>
      </c>
      <c r="AA17" s="41">
        <f t="shared" si="0"/>
        <v>2089278</v>
      </c>
      <c r="AB17" s="23">
        <v>6</v>
      </c>
      <c r="AC17" s="81"/>
      <c r="AD17" s="48"/>
    </row>
    <row r="18" spans="1:30" ht="15.75" thickBot="1" x14ac:dyDescent="0.3">
      <c r="A18" s="78">
        <v>47969</v>
      </c>
      <c r="B18" s="18" t="s">
        <v>8</v>
      </c>
      <c r="C18" s="33">
        <v>65452</v>
      </c>
      <c r="D18" s="33">
        <v>59448</v>
      </c>
      <c r="E18" s="33">
        <v>56105</v>
      </c>
      <c r="F18" s="33">
        <v>54431</v>
      </c>
      <c r="G18" s="33">
        <v>56409</v>
      </c>
      <c r="H18" s="33">
        <v>62847</v>
      </c>
      <c r="I18" s="33">
        <v>69578</v>
      </c>
      <c r="J18" s="33">
        <v>70795</v>
      </c>
      <c r="K18" s="33">
        <v>81545</v>
      </c>
      <c r="L18" s="33">
        <v>89987</v>
      </c>
      <c r="M18" s="33">
        <v>98476</v>
      </c>
      <c r="N18" s="33">
        <v>106535</v>
      </c>
      <c r="O18" s="33">
        <v>104101</v>
      </c>
      <c r="P18" s="33">
        <v>104068</v>
      </c>
      <c r="Q18" s="33">
        <v>106499</v>
      </c>
      <c r="R18" s="33">
        <v>106784</v>
      </c>
      <c r="S18" s="33">
        <v>105147</v>
      </c>
      <c r="T18" s="33">
        <v>133668</v>
      </c>
      <c r="U18" s="33">
        <v>147911</v>
      </c>
      <c r="V18" s="33">
        <v>155982</v>
      </c>
      <c r="W18" s="33">
        <v>148979</v>
      </c>
      <c r="X18" s="33">
        <v>136387</v>
      </c>
      <c r="Y18" s="33">
        <v>117083</v>
      </c>
      <c r="Z18" s="34">
        <v>99201</v>
      </c>
      <c r="AA18" s="35">
        <f t="shared" si="0"/>
        <v>2337418</v>
      </c>
      <c r="AB18" s="19">
        <v>20</v>
      </c>
      <c r="AC18" s="79">
        <f>+AA18*AB18+AA19*AB19+AA20*AB20</f>
        <v>71115117</v>
      </c>
    </row>
    <row r="19" spans="1:30" ht="15.75" thickBot="1" x14ac:dyDescent="0.3">
      <c r="A19" s="78"/>
      <c r="B19" s="20" t="s">
        <v>7</v>
      </c>
      <c r="C19" s="36">
        <v>69515</v>
      </c>
      <c r="D19" s="36">
        <v>62936</v>
      </c>
      <c r="E19" s="36">
        <v>58962</v>
      </c>
      <c r="F19" s="36">
        <v>56620</v>
      </c>
      <c r="G19" s="36">
        <v>57026</v>
      </c>
      <c r="H19" s="36">
        <v>58683</v>
      </c>
      <c r="I19" s="36">
        <v>64078</v>
      </c>
      <c r="J19" s="36">
        <v>67512</v>
      </c>
      <c r="K19" s="36">
        <v>80801</v>
      </c>
      <c r="L19" s="36">
        <v>91071</v>
      </c>
      <c r="M19" s="36">
        <v>98107</v>
      </c>
      <c r="N19" s="36">
        <v>104529</v>
      </c>
      <c r="O19" s="36">
        <v>104550</v>
      </c>
      <c r="P19" s="36">
        <v>102034</v>
      </c>
      <c r="Q19" s="36">
        <v>99473</v>
      </c>
      <c r="R19" s="36">
        <v>97926</v>
      </c>
      <c r="S19" s="36">
        <v>96804</v>
      </c>
      <c r="T19" s="36">
        <v>128628</v>
      </c>
      <c r="U19" s="36">
        <v>145490</v>
      </c>
      <c r="V19" s="36">
        <v>152328</v>
      </c>
      <c r="W19" s="36">
        <v>145373</v>
      </c>
      <c r="X19" s="36">
        <v>134715</v>
      </c>
      <c r="Y19" s="36">
        <v>119889</v>
      </c>
      <c r="Z19" s="37">
        <v>105107</v>
      </c>
      <c r="AA19" s="38">
        <f t="shared" si="0"/>
        <v>2302157</v>
      </c>
      <c r="AB19" s="21">
        <v>5</v>
      </c>
      <c r="AC19" s="80"/>
      <c r="AD19" s="47"/>
    </row>
    <row r="20" spans="1:30" x14ac:dyDescent="0.25">
      <c r="A20" s="78"/>
      <c r="B20" s="22" t="s">
        <v>6</v>
      </c>
      <c r="C20" s="39">
        <v>71502</v>
      </c>
      <c r="D20" s="39">
        <v>64309</v>
      </c>
      <c r="E20" s="39">
        <v>59844</v>
      </c>
      <c r="F20" s="39">
        <v>56873</v>
      </c>
      <c r="G20" s="39">
        <v>55961</v>
      </c>
      <c r="H20" s="39">
        <v>54829</v>
      </c>
      <c r="I20" s="39">
        <v>56864</v>
      </c>
      <c r="J20" s="39">
        <v>57251</v>
      </c>
      <c r="K20" s="39">
        <v>68028</v>
      </c>
      <c r="L20" s="39">
        <v>77597</v>
      </c>
      <c r="M20" s="39">
        <v>84139</v>
      </c>
      <c r="N20" s="39">
        <v>90973</v>
      </c>
      <c r="O20" s="39">
        <v>93972</v>
      </c>
      <c r="P20" s="39">
        <v>93370</v>
      </c>
      <c r="Q20" s="39">
        <v>89809</v>
      </c>
      <c r="R20" s="39">
        <v>93810</v>
      </c>
      <c r="S20" s="39">
        <v>87302</v>
      </c>
      <c r="T20" s="39">
        <v>119291</v>
      </c>
      <c r="U20" s="39">
        <v>136414</v>
      </c>
      <c r="V20" s="39">
        <v>146363</v>
      </c>
      <c r="W20" s="39">
        <v>141017</v>
      </c>
      <c r="X20" s="39">
        <v>130259</v>
      </c>
      <c r="Y20" s="39">
        <v>114322</v>
      </c>
      <c r="Z20" s="40">
        <v>98563</v>
      </c>
      <c r="AA20" s="41">
        <f t="shared" si="0"/>
        <v>2142662</v>
      </c>
      <c r="AB20" s="23">
        <v>6</v>
      </c>
      <c r="AC20" s="81"/>
      <c r="AD20" s="48"/>
    </row>
    <row r="21" spans="1:30" ht="15.75" thickBot="1" x14ac:dyDescent="0.3">
      <c r="A21" s="78">
        <v>48000</v>
      </c>
      <c r="B21" s="18" t="s">
        <v>8</v>
      </c>
      <c r="C21" s="33">
        <v>64159</v>
      </c>
      <c r="D21" s="33">
        <v>58028</v>
      </c>
      <c r="E21" s="33">
        <v>54963</v>
      </c>
      <c r="F21" s="33">
        <v>53318</v>
      </c>
      <c r="G21" s="33">
        <v>55135</v>
      </c>
      <c r="H21" s="33">
        <v>60662</v>
      </c>
      <c r="I21" s="33">
        <v>67953</v>
      </c>
      <c r="J21" s="33">
        <v>69751</v>
      </c>
      <c r="K21" s="33">
        <v>80963</v>
      </c>
      <c r="L21" s="33">
        <v>89325</v>
      </c>
      <c r="M21" s="33">
        <v>98063</v>
      </c>
      <c r="N21" s="33">
        <v>106220</v>
      </c>
      <c r="O21" s="33">
        <v>103588</v>
      </c>
      <c r="P21" s="33">
        <v>103411</v>
      </c>
      <c r="Q21" s="33">
        <v>106411</v>
      </c>
      <c r="R21" s="33">
        <v>106579</v>
      </c>
      <c r="S21" s="33">
        <v>104946</v>
      </c>
      <c r="T21" s="33">
        <v>132931</v>
      </c>
      <c r="U21" s="33">
        <v>144285</v>
      </c>
      <c r="V21" s="33">
        <v>154884</v>
      </c>
      <c r="W21" s="33">
        <v>148244</v>
      </c>
      <c r="X21" s="33">
        <v>135764</v>
      </c>
      <c r="Y21" s="33">
        <v>116178</v>
      </c>
      <c r="Z21" s="34">
        <v>98022</v>
      </c>
      <c r="AA21" s="35">
        <f t="shared" si="0"/>
        <v>2313783</v>
      </c>
      <c r="AB21" s="19">
        <v>18</v>
      </c>
      <c r="AC21" s="79">
        <f>+AA21*AB21+AA22*AB22+AA23*AB23</f>
        <v>68567058</v>
      </c>
    </row>
    <row r="22" spans="1:30" ht="15.75" thickBot="1" x14ac:dyDescent="0.3">
      <c r="A22" s="78"/>
      <c r="B22" s="20" t="s">
        <v>7</v>
      </c>
      <c r="C22" s="36">
        <v>69399</v>
      </c>
      <c r="D22" s="36">
        <v>62322</v>
      </c>
      <c r="E22" s="36">
        <v>58268</v>
      </c>
      <c r="F22" s="36">
        <v>55978</v>
      </c>
      <c r="G22" s="36">
        <v>56180</v>
      </c>
      <c r="H22" s="36">
        <v>57809</v>
      </c>
      <c r="I22" s="36">
        <v>63139</v>
      </c>
      <c r="J22" s="36">
        <v>66434</v>
      </c>
      <c r="K22" s="36">
        <v>80647</v>
      </c>
      <c r="L22" s="36">
        <v>90403</v>
      </c>
      <c r="M22" s="36">
        <v>98021</v>
      </c>
      <c r="N22" s="36">
        <v>104624</v>
      </c>
      <c r="O22" s="36">
        <v>105058</v>
      </c>
      <c r="P22" s="36">
        <v>103435</v>
      </c>
      <c r="Q22" s="36">
        <v>101760</v>
      </c>
      <c r="R22" s="36">
        <v>101469</v>
      </c>
      <c r="S22" s="36">
        <v>100312</v>
      </c>
      <c r="T22" s="36">
        <v>131903</v>
      </c>
      <c r="U22" s="36">
        <v>146374</v>
      </c>
      <c r="V22" s="36">
        <v>155662</v>
      </c>
      <c r="W22" s="36">
        <v>148330</v>
      </c>
      <c r="X22" s="36">
        <v>137863</v>
      </c>
      <c r="Y22" s="36">
        <v>122362</v>
      </c>
      <c r="Z22" s="37">
        <v>106591</v>
      </c>
      <c r="AA22" s="38">
        <f t="shared" si="0"/>
        <v>2324343</v>
      </c>
      <c r="AB22" s="21">
        <v>4</v>
      </c>
      <c r="AC22" s="80"/>
      <c r="AD22" s="47"/>
    </row>
    <row r="23" spans="1:30" x14ac:dyDescent="0.25">
      <c r="A23" s="78"/>
      <c r="B23" s="22" t="s">
        <v>6</v>
      </c>
      <c r="C23" s="39">
        <v>74026</v>
      </c>
      <c r="D23" s="39">
        <v>66488</v>
      </c>
      <c r="E23" s="39">
        <v>62110</v>
      </c>
      <c r="F23" s="39">
        <v>59125</v>
      </c>
      <c r="G23" s="39">
        <v>58420</v>
      </c>
      <c r="H23" s="39">
        <v>58302</v>
      </c>
      <c r="I23" s="39">
        <v>59667</v>
      </c>
      <c r="J23" s="39">
        <v>60463</v>
      </c>
      <c r="K23" s="39">
        <v>71686</v>
      </c>
      <c r="L23" s="39">
        <v>80350</v>
      </c>
      <c r="M23" s="39">
        <v>87478</v>
      </c>
      <c r="N23" s="39">
        <v>94371</v>
      </c>
      <c r="O23" s="39">
        <v>96830</v>
      </c>
      <c r="P23" s="39">
        <v>95788</v>
      </c>
      <c r="Q23" s="39">
        <v>92901</v>
      </c>
      <c r="R23" s="39">
        <v>91539</v>
      </c>
      <c r="S23" s="39">
        <v>90798</v>
      </c>
      <c r="T23" s="39">
        <v>122417</v>
      </c>
      <c r="U23" s="39">
        <v>137093</v>
      </c>
      <c r="V23" s="39">
        <v>148874</v>
      </c>
      <c r="W23" s="39">
        <v>143806</v>
      </c>
      <c r="X23" s="39">
        <v>132913</v>
      </c>
      <c r="Y23" s="39">
        <v>116547</v>
      </c>
      <c r="Z23" s="40">
        <v>100707</v>
      </c>
      <c r="AA23" s="41">
        <f t="shared" si="0"/>
        <v>2202699</v>
      </c>
      <c r="AB23" s="23">
        <v>8</v>
      </c>
      <c r="AC23" s="81"/>
      <c r="AD23" s="48"/>
    </row>
    <row r="24" spans="1:30" ht="15.75" thickBot="1" x14ac:dyDescent="0.3">
      <c r="A24" s="78">
        <v>48030</v>
      </c>
      <c r="B24" s="18" t="s">
        <v>8</v>
      </c>
      <c r="C24" s="33">
        <v>69254</v>
      </c>
      <c r="D24" s="33">
        <v>62796</v>
      </c>
      <c r="E24" s="33">
        <v>59071</v>
      </c>
      <c r="F24" s="33">
        <v>57043</v>
      </c>
      <c r="G24" s="33">
        <v>58772</v>
      </c>
      <c r="H24" s="33">
        <v>64274</v>
      </c>
      <c r="I24" s="33">
        <v>70193</v>
      </c>
      <c r="J24" s="33">
        <v>73284</v>
      </c>
      <c r="K24" s="33">
        <v>85324</v>
      </c>
      <c r="L24" s="33">
        <v>94763</v>
      </c>
      <c r="M24" s="33">
        <v>103900</v>
      </c>
      <c r="N24" s="33">
        <v>112003</v>
      </c>
      <c r="O24" s="33">
        <v>109136</v>
      </c>
      <c r="P24" s="33">
        <v>109485</v>
      </c>
      <c r="Q24" s="33">
        <v>112475</v>
      </c>
      <c r="R24" s="33">
        <v>112807</v>
      </c>
      <c r="S24" s="33">
        <v>110453</v>
      </c>
      <c r="T24" s="33">
        <v>136793</v>
      </c>
      <c r="U24" s="33">
        <v>146177</v>
      </c>
      <c r="V24" s="33">
        <v>158771</v>
      </c>
      <c r="W24" s="33">
        <v>152885</v>
      </c>
      <c r="X24" s="33">
        <v>141025</v>
      </c>
      <c r="Y24" s="33">
        <v>121457</v>
      </c>
      <c r="Z24" s="34">
        <v>103447</v>
      </c>
      <c r="AA24" s="35">
        <f t="shared" si="0"/>
        <v>2425588</v>
      </c>
      <c r="AB24" s="19">
        <v>23</v>
      </c>
      <c r="AC24" s="79">
        <f>+AA24*AB24+AA25*AB25+AA26*AB26</f>
        <v>73997820</v>
      </c>
    </row>
    <row r="25" spans="1:30" ht="15.75" thickBot="1" x14ac:dyDescent="0.3">
      <c r="A25" s="78"/>
      <c r="B25" s="20" t="s">
        <v>7</v>
      </c>
      <c r="C25" s="36">
        <v>69507</v>
      </c>
      <c r="D25" s="36">
        <v>62094</v>
      </c>
      <c r="E25" s="36">
        <v>58318</v>
      </c>
      <c r="F25" s="36">
        <v>55793</v>
      </c>
      <c r="G25" s="36">
        <v>56035</v>
      </c>
      <c r="H25" s="36">
        <v>58143</v>
      </c>
      <c r="I25" s="36">
        <v>63235</v>
      </c>
      <c r="J25" s="36">
        <v>68935</v>
      </c>
      <c r="K25" s="36">
        <v>83215</v>
      </c>
      <c r="L25" s="36">
        <v>92991</v>
      </c>
      <c r="M25" s="36">
        <v>100675</v>
      </c>
      <c r="N25" s="36">
        <v>107174</v>
      </c>
      <c r="O25" s="36">
        <v>106873</v>
      </c>
      <c r="P25" s="36">
        <v>104361</v>
      </c>
      <c r="Q25" s="36">
        <v>102074</v>
      </c>
      <c r="R25" s="36">
        <v>100888</v>
      </c>
      <c r="S25" s="36">
        <v>99520</v>
      </c>
      <c r="T25" s="36">
        <v>130416</v>
      </c>
      <c r="U25" s="36">
        <v>141882</v>
      </c>
      <c r="V25" s="36">
        <v>154009</v>
      </c>
      <c r="W25" s="36">
        <v>147243</v>
      </c>
      <c r="X25" s="36">
        <v>137565</v>
      </c>
      <c r="Y25" s="36">
        <v>122410</v>
      </c>
      <c r="Z25" s="37">
        <v>107414</v>
      </c>
      <c r="AA25" s="38">
        <f t="shared" si="0"/>
        <v>2330770</v>
      </c>
      <c r="AB25" s="21">
        <v>4</v>
      </c>
      <c r="AC25" s="80"/>
      <c r="AD25" s="47"/>
    </row>
    <row r="26" spans="1:30" x14ac:dyDescent="0.25">
      <c r="A26" s="78"/>
      <c r="B26" s="22" t="s">
        <v>6</v>
      </c>
      <c r="C26" s="39">
        <v>76470</v>
      </c>
      <c r="D26" s="39">
        <v>69057</v>
      </c>
      <c r="E26" s="39">
        <v>64164</v>
      </c>
      <c r="F26" s="39">
        <v>60966</v>
      </c>
      <c r="G26" s="39">
        <v>59970</v>
      </c>
      <c r="H26" s="39">
        <v>60003</v>
      </c>
      <c r="I26" s="39">
        <v>60687</v>
      </c>
      <c r="J26" s="39">
        <v>60925</v>
      </c>
      <c r="K26" s="39">
        <v>72368</v>
      </c>
      <c r="L26" s="39">
        <v>81861</v>
      </c>
      <c r="M26" s="39">
        <v>88768</v>
      </c>
      <c r="N26" s="39">
        <v>95174</v>
      </c>
      <c r="O26" s="39">
        <v>98349</v>
      </c>
      <c r="P26" s="39">
        <v>96680</v>
      </c>
      <c r="Q26" s="39">
        <v>93359</v>
      </c>
      <c r="R26" s="39">
        <v>91598</v>
      </c>
      <c r="S26" s="39">
        <v>90234</v>
      </c>
      <c r="T26" s="39">
        <v>121301</v>
      </c>
      <c r="U26" s="39">
        <v>133457</v>
      </c>
      <c r="V26" s="39">
        <v>148406</v>
      </c>
      <c r="W26" s="39">
        <v>144036</v>
      </c>
      <c r="X26" s="39">
        <v>133977</v>
      </c>
      <c r="Y26" s="39">
        <v>117626</v>
      </c>
      <c r="Z26" s="40">
        <v>102118</v>
      </c>
      <c r="AA26" s="41">
        <f t="shared" si="0"/>
        <v>2221554</v>
      </c>
      <c r="AB26" s="23">
        <v>4</v>
      </c>
      <c r="AC26" s="81"/>
      <c r="AD26" s="48"/>
    </row>
    <row r="27" spans="1:30" ht="15.75" thickBot="1" x14ac:dyDescent="0.3">
      <c r="A27" s="78">
        <v>48061</v>
      </c>
      <c r="B27" s="18" t="s">
        <v>8</v>
      </c>
      <c r="C27" s="33">
        <v>70590</v>
      </c>
      <c r="D27" s="33">
        <v>64469</v>
      </c>
      <c r="E27" s="33">
        <v>61092</v>
      </c>
      <c r="F27" s="33">
        <v>59091</v>
      </c>
      <c r="G27" s="33">
        <v>60901</v>
      </c>
      <c r="H27" s="33">
        <v>68191</v>
      </c>
      <c r="I27" s="33">
        <v>74685</v>
      </c>
      <c r="J27" s="33">
        <v>76416</v>
      </c>
      <c r="K27" s="33">
        <v>87957</v>
      </c>
      <c r="L27" s="33">
        <v>96794</v>
      </c>
      <c r="M27" s="33">
        <v>106156</v>
      </c>
      <c r="N27" s="33">
        <v>114361</v>
      </c>
      <c r="O27" s="33">
        <v>111473</v>
      </c>
      <c r="P27" s="33">
        <v>112780</v>
      </c>
      <c r="Q27" s="33">
        <v>116155</v>
      </c>
      <c r="R27" s="33">
        <v>116424</v>
      </c>
      <c r="S27" s="33">
        <v>113979</v>
      </c>
      <c r="T27" s="33">
        <v>140179</v>
      </c>
      <c r="U27" s="33">
        <v>151607</v>
      </c>
      <c r="V27" s="33">
        <v>162190</v>
      </c>
      <c r="W27" s="33">
        <v>155722</v>
      </c>
      <c r="X27" s="33">
        <v>143220</v>
      </c>
      <c r="Y27" s="33">
        <v>123405</v>
      </c>
      <c r="Z27" s="34">
        <v>105520</v>
      </c>
      <c r="AA27" s="35">
        <f t="shared" si="0"/>
        <v>2493357</v>
      </c>
      <c r="AB27" s="19">
        <v>19</v>
      </c>
      <c r="AC27" s="79">
        <f>+AA27*AB27+AA28*AB28+AA29*AB29</f>
        <v>75265988</v>
      </c>
    </row>
    <row r="28" spans="1:30" ht="15.75" thickBot="1" x14ac:dyDescent="0.3">
      <c r="A28" s="78"/>
      <c r="B28" s="20" t="s">
        <v>7</v>
      </c>
      <c r="C28" s="36">
        <v>75284</v>
      </c>
      <c r="D28" s="36">
        <v>68646</v>
      </c>
      <c r="E28" s="36">
        <v>64494</v>
      </c>
      <c r="F28" s="36">
        <v>61384</v>
      </c>
      <c r="G28" s="36">
        <v>61153</v>
      </c>
      <c r="H28" s="36">
        <v>64080</v>
      </c>
      <c r="I28" s="36">
        <v>67551</v>
      </c>
      <c r="J28" s="36">
        <v>72400</v>
      </c>
      <c r="K28" s="36">
        <v>86709</v>
      </c>
      <c r="L28" s="36">
        <v>96516</v>
      </c>
      <c r="M28" s="36">
        <v>105110</v>
      </c>
      <c r="N28" s="36">
        <v>111614</v>
      </c>
      <c r="O28" s="36">
        <v>111661</v>
      </c>
      <c r="P28" s="36">
        <v>109886</v>
      </c>
      <c r="Q28" s="36">
        <v>108177</v>
      </c>
      <c r="R28" s="36">
        <v>107193</v>
      </c>
      <c r="S28" s="36">
        <v>105038</v>
      </c>
      <c r="T28" s="36">
        <v>135179</v>
      </c>
      <c r="U28" s="36">
        <v>149329</v>
      </c>
      <c r="V28" s="36">
        <v>158672</v>
      </c>
      <c r="W28" s="36">
        <v>151793</v>
      </c>
      <c r="X28" s="36">
        <v>141803</v>
      </c>
      <c r="Y28" s="36">
        <v>127255</v>
      </c>
      <c r="Z28" s="37">
        <v>111601</v>
      </c>
      <c r="AA28" s="38">
        <f t="shared" si="0"/>
        <v>2452528</v>
      </c>
      <c r="AB28" s="21">
        <v>5</v>
      </c>
      <c r="AC28" s="80"/>
      <c r="AD28" s="47"/>
    </row>
    <row r="29" spans="1:30" x14ac:dyDescent="0.25">
      <c r="A29" s="78"/>
      <c r="B29" s="22" t="s">
        <v>6</v>
      </c>
      <c r="C29" s="39">
        <v>77516</v>
      </c>
      <c r="D29" s="39">
        <v>69964</v>
      </c>
      <c r="E29" s="39">
        <v>64987</v>
      </c>
      <c r="F29" s="39">
        <v>61819</v>
      </c>
      <c r="G29" s="39">
        <v>60787</v>
      </c>
      <c r="H29" s="39">
        <v>61136</v>
      </c>
      <c r="I29" s="39">
        <v>61120</v>
      </c>
      <c r="J29" s="39">
        <v>61746</v>
      </c>
      <c r="K29" s="39">
        <v>72954</v>
      </c>
      <c r="L29" s="39">
        <v>82196</v>
      </c>
      <c r="M29" s="39">
        <v>88739</v>
      </c>
      <c r="N29" s="39">
        <v>95520</v>
      </c>
      <c r="O29" s="39">
        <v>99021</v>
      </c>
      <c r="P29" s="39">
        <v>97652</v>
      </c>
      <c r="Q29" s="39">
        <v>93943</v>
      </c>
      <c r="R29" s="39">
        <v>91459</v>
      </c>
      <c r="S29" s="39">
        <v>90517</v>
      </c>
      <c r="T29" s="39">
        <v>121357</v>
      </c>
      <c r="U29" s="39">
        <v>136034</v>
      </c>
      <c r="V29" s="39">
        <v>148783</v>
      </c>
      <c r="W29" s="39">
        <v>143686</v>
      </c>
      <c r="X29" s="39">
        <v>133214</v>
      </c>
      <c r="Y29" s="39">
        <v>117260</v>
      </c>
      <c r="Z29" s="40">
        <v>101385</v>
      </c>
      <c r="AA29" s="41">
        <f t="shared" si="0"/>
        <v>2232795</v>
      </c>
      <c r="AB29" s="23">
        <v>7</v>
      </c>
      <c r="AC29" s="81"/>
      <c r="AD29" s="49"/>
    </row>
    <row r="30" spans="1:30" ht="15.75" thickBot="1" x14ac:dyDescent="0.3">
      <c r="A30" s="78">
        <v>48092</v>
      </c>
      <c r="B30" s="18" t="s">
        <v>8</v>
      </c>
      <c r="C30" s="33">
        <v>72642</v>
      </c>
      <c r="D30" s="33">
        <v>66204</v>
      </c>
      <c r="E30" s="33">
        <v>62181</v>
      </c>
      <c r="F30" s="33">
        <v>60422</v>
      </c>
      <c r="G30" s="33">
        <v>62122</v>
      </c>
      <c r="H30" s="33">
        <v>69092</v>
      </c>
      <c r="I30" s="33">
        <v>75807</v>
      </c>
      <c r="J30" s="33">
        <v>77890</v>
      </c>
      <c r="K30" s="33">
        <v>89331</v>
      </c>
      <c r="L30" s="33">
        <v>98839</v>
      </c>
      <c r="M30" s="33">
        <v>108279</v>
      </c>
      <c r="N30" s="33">
        <v>116930</v>
      </c>
      <c r="O30" s="33">
        <v>113960</v>
      </c>
      <c r="P30" s="33">
        <v>115173</v>
      </c>
      <c r="Q30" s="33">
        <v>119118</v>
      </c>
      <c r="R30" s="33">
        <v>120103</v>
      </c>
      <c r="S30" s="33">
        <v>117609</v>
      </c>
      <c r="T30" s="33">
        <v>144535</v>
      </c>
      <c r="U30" s="33">
        <v>160223</v>
      </c>
      <c r="V30" s="33">
        <v>164460</v>
      </c>
      <c r="W30" s="33">
        <v>157413</v>
      </c>
      <c r="X30" s="33">
        <v>144688</v>
      </c>
      <c r="Y30" s="33">
        <v>124466</v>
      </c>
      <c r="Z30" s="34">
        <v>106626</v>
      </c>
      <c r="AA30" s="35">
        <f t="shared" si="0"/>
        <v>2548113</v>
      </c>
      <c r="AB30" s="19">
        <v>22</v>
      </c>
      <c r="AC30" s="79">
        <f>+AA30*AB30+AA31*AB31+AA32*AB32</f>
        <v>74770582</v>
      </c>
    </row>
    <row r="31" spans="1:30" ht="15.75" thickBot="1" x14ac:dyDescent="0.3">
      <c r="A31" s="78"/>
      <c r="B31" s="20" t="s">
        <v>7</v>
      </c>
      <c r="C31" s="36">
        <v>75763</v>
      </c>
      <c r="D31" s="36">
        <v>68103</v>
      </c>
      <c r="E31" s="36">
        <v>63956</v>
      </c>
      <c r="F31" s="36">
        <v>61684</v>
      </c>
      <c r="G31" s="36">
        <v>61778</v>
      </c>
      <c r="H31" s="36">
        <v>62758</v>
      </c>
      <c r="I31" s="36">
        <v>68120</v>
      </c>
      <c r="J31" s="36">
        <v>74069</v>
      </c>
      <c r="K31" s="36">
        <v>88606</v>
      </c>
      <c r="L31" s="36">
        <v>98982</v>
      </c>
      <c r="M31" s="36">
        <v>107188</v>
      </c>
      <c r="N31" s="36">
        <v>113764</v>
      </c>
      <c r="O31" s="36">
        <v>113352</v>
      </c>
      <c r="P31" s="36">
        <v>111220</v>
      </c>
      <c r="Q31" s="36">
        <v>109241</v>
      </c>
      <c r="R31" s="36">
        <v>107812</v>
      </c>
      <c r="S31" s="36">
        <v>106424</v>
      </c>
      <c r="T31" s="36">
        <v>138052</v>
      </c>
      <c r="U31" s="36">
        <v>155260</v>
      </c>
      <c r="V31" s="36">
        <v>159107</v>
      </c>
      <c r="W31" s="36">
        <v>151111</v>
      </c>
      <c r="X31" s="36">
        <v>140890</v>
      </c>
      <c r="Y31" s="36">
        <v>125963</v>
      </c>
      <c r="Z31" s="37">
        <v>110714</v>
      </c>
      <c r="AA31" s="38">
        <f t="shared" si="0"/>
        <v>2473917</v>
      </c>
      <c r="AB31" s="21">
        <v>4</v>
      </c>
      <c r="AC31" s="80"/>
      <c r="AD31" s="47"/>
    </row>
    <row r="32" spans="1:30" x14ac:dyDescent="0.25">
      <c r="A32" s="78"/>
      <c r="B32" s="22" t="s">
        <v>6</v>
      </c>
      <c r="C32" s="39">
        <v>77942</v>
      </c>
      <c r="D32" s="39">
        <v>70609</v>
      </c>
      <c r="E32" s="39">
        <v>65792</v>
      </c>
      <c r="F32" s="39">
        <v>62064</v>
      </c>
      <c r="G32" s="39">
        <v>60377</v>
      </c>
      <c r="H32" s="39">
        <v>59098</v>
      </c>
      <c r="I32" s="39">
        <v>59886</v>
      </c>
      <c r="J32" s="39">
        <v>60330</v>
      </c>
      <c r="K32" s="39">
        <v>71317</v>
      </c>
      <c r="L32" s="39">
        <v>80329</v>
      </c>
      <c r="M32" s="39">
        <v>86611</v>
      </c>
      <c r="N32" s="39">
        <v>92609</v>
      </c>
      <c r="O32" s="39">
        <v>96080</v>
      </c>
      <c r="P32" s="39">
        <v>95020</v>
      </c>
      <c r="Q32" s="39">
        <v>91885</v>
      </c>
      <c r="R32" s="39">
        <v>90360</v>
      </c>
      <c r="S32" s="39">
        <v>89374</v>
      </c>
      <c r="T32" s="39">
        <v>120954</v>
      </c>
      <c r="U32" s="39">
        <v>139731</v>
      </c>
      <c r="V32" s="39">
        <v>146128</v>
      </c>
      <c r="W32" s="39">
        <v>141445</v>
      </c>
      <c r="X32" s="39">
        <v>131188</v>
      </c>
      <c r="Y32" s="39">
        <v>115170</v>
      </c>
      <c r="Z32" s="40">
        <v>99808</v>
      </c>
      <c r="AA32" s="41">
        <f t="shared" si="0"/>
        <v>2204107</v>
      </c>
      <c r="AB32" s="23">
        <v>4</v>
      </c>
      <c r="AC32" s="81"/>
      <c r="AD32" s="48"/>
    </row>
    <row r="33" spans="1:30" ht="15.75" thickBot="1" x14ac:dyDescent="0.3">
      <c r="A33" s="78">
        <v>48122</v>
      </c>
      <c r="B33" s="18" t="s">
        <v>8</v>
      </c>
      <c r="C33" s="33">
        <v>66520</v>
      </c>
      <c r="D33" s="33">
        <v>60585</v>
      </c>
      <c r="E33" s="33">
        <v>57285</v>
      </c>
      <c r="F33" s="33">
        <v>55515</v>
      </c>
      <c r="G33" s="33">
        <v>57473</v>
      </c>
      <c r="H33" s="33">
        <v>63088</v>
      </c>
      <c r="I33" s="33">
        <v>70240</v>
      </c>
      <c r="J33" s="33">
        <v>71659</v>
      </c>
      <c r="K33" s="33">
        <v>82423</v>
      </c>
      <c r="L33" s="33">
        <v>90913</v>
      </c>
      <c r="M33" s="33">
        <v>99711</v>
      </c>
      <c r="N33" s="33">
        <v>107865</v>
      </c>
      <c r="O33" s="33">
        <v>105031</v>
      </c>
      <c r="P33" s="33">
        <v>105903</v>
      </c>
      <c r="Q33" s="33">
        <v>109557</v>
      </c>
      <c r="R33" s="33">
        <v>110340</v>
      </c>
      <c r="S33" s="33">
        <v>108526</v>
      </c>
      <c r="T33" s="33">
        <v>139439</v>
      </c>
      <c r="U33" s="33">
        <v>157414</v>
      </c>
      <c r="V33" s="33">
        <v>156492</v>
      </c>
      <c r="W33" s="33">
        <v>148605</v>
      </c>
      <c r="X33" s="33">
        <v>135737</v>
      </c>
      <c r="Y33" s="33">
        <v>116836</v>
      </c>
      <c r="Z33" s="34">
        <v>100028</v>
      </c>
      <c r="AA33" s="35">
        <f t="shared" si="0"/>
        <v>2377185</v>
      </c>
      <c r="AB33" s="19">
        <v>22</v>
      </c>
      <c r="AC33" s="79">
        <f>+AA33*AB33+AA34*AB34+AA35*AB35</f>
        <v>72651108</v>
      </c>
    </row>
    <row r="34" spans="1:30" ht="15.75" thickBot="1" x14ac:dyDescent="0.3">
      <c r="A34" s="78"/>
      <c r="B34" s="20" t="s">
        <v>7</v>
      </c>
      <c r="C34" s="36">
        <v>72362</v>
      </c>
      <c r="D34" s="36">
        <v>65714</v>
      </c>
      <c r="E34" s="36">
        <v>61678</v>
      </c>
      <c r="F34" s="36">
        <v>59000</v>
      </c>
      <c r="G34" s="36">
        <v>59539</v>
      </c>
      <c r="H34" s="36">
        <v>61150</v>
      </c>
      <c r="I34" s="36">
        <v>67106</v>
      </c>
      <c r="J34" s="36">
        <v>71515</v>
      </c>
      <c r="K34" s="36">
        <v>85177</v>
      </c>
      <c r="L34" s="36">
        <v>94668</v>
      </c>
      <c r="M34" s="36">
        <v>102744</v>
      </c>
      <c r="N34" s="36">
        <v>109515</v>
      </c>
      <c r="O34" s="36">
        <v>109783</v>
      </c>
      <c r="P34" s="36">
        <v>107936</v>
      </c>
      <c r="Q34" s="36">
        <v>105973</v>
      </c>
      <c r="R34" s="36">
        <v>104755</v>
      </c>
      <c r="S34" s="36">
        <v>103330</v>
      </c>
      <c r="T34" s="36">
        <v>138712</v>
      </c>
      <c r="U34" s="36">
        <v>159252</v>
      </c>
      <c r="V34" s="36">
        <v>158929</v>
      </c>
      <c r="W34" s="36">
        <v>151219</v>
      </c>
      <c r="X34" s="36">
        <v>139544</v>
      </c>
      <c r="Y34" s="36">
        <v>125153</v>
      </c>
      <c r="Z34" s="37">
        <v>109503</v>
      </c>
      <c r="AA34" s="38">
        <f t="shared" si="0"/>
        <v>2424257</v>
      </c>
      <c r="AB34" s="21">
        <v>4</v>
      </c>
      <c r="AC34" s="80"/>
      <c r="AD34" s="47"/>
    </row>
    <row r="35" spans="1:30" x14ac:dyDescent="0.25">
      <c r="A35" s="78"/>
      <c r="B35" s="22" t="s">
        <v>6</v>
      </c>
      <c r="C35" s="39">
        <v>72756</v>
      </c>
      <c r="D35" s="39">
        <v>65674</v>
      </c>
      <c r="E35" s="39">
        <v>60787</v>
      </c>
      <c r="F35" s="39">
        <v>57373</v>
      </c>
      <c r="G35" s="39">
        <v>56285</v>
      </c>
      <c r="H35" s="39">
        <v>54871</v>
      </c>
      <c r="I35" s="39">
        <v>56766</v>
      </c>
      <c r="J35" s="39">
        <v>56740</v>
      </c>
      <c r="K35" s="39">
        <v>67255</v>
      </c>
      <c r="L35" s="39">
        <v>76494</v>
      </c>
      <c r="M35" s="39">
        <v>83043</v>
      </c>
      <c r="N35" s="39">
        <v>89488</v>
      </c>
      <c r="O35" s="39">
        <v>93101</v>
      </c>
      <c r="P35" s="39">
        <v>91897</v>
      </c>
      <c r="Q35" s="39">
        <v>89135</v>
      </c>
      <c r="R35" s="39">
        <v>87734</v>
      </c>
      <c r="S35" s="39">
        <v>86927</v>
      </c>
      <c r="T35" s="39">
        <v>121698</v>
      </c>
      <c r="U35" s="39">
        <v>142388</v>
      </c>
      <c r="V35" s="39">
        <v>144083</v>
      </c>
      <c r="W35" s="39">
        <v>138721</v>
      </c>
      <c r="X35" s="39">
        <v>128153</v>
      </c>
      <c r="Y35" s="39">
        <v>112463</v>
      </c>
      <c r="Z35" s="40">
        <v>97370</v>
      </c>
      <c r="AA35" s="41">
        <f t="shared" si="0"/>
        <v>2131202</v>
      </c>
      <c r="AB35" s="23">
        <v>5</v>
      </c>
      <c r="AC35" s="81"/>
      <c r="AD35" s="48"/>
    </row>
    <row r="36" spans="1:30" ht="15.75" thickBot="1" x14ac:dyDescent="0.3">
      <c r="A36" s="78">
        <v>48153</v>
      </c>
      <c r="B36" s="18" t="s">
        <v>8</v>
      </c>
      <c r="C36" s="33">
        <v>64476</v>
      </c>
      <c r="D36" s="33">
        <v>58550</v>
      </c>
      <c r="E36" s="33">
        <v>55265</v>
      </c>
      <c r="F36" s="33">
        <v>53725</v>
      </c>
      <c r="G36" s="33">
        <v>56004</v>
      </c>
      <c r="H36" s="33">
        <v>62408</v>
      </c>
      <c r="I36" s="33">
        <v>70019</v>
      </c>
      <c r="J36" s="33">
        <v>71606</v>
      </c>
      <c r="K36" s="33">
        <v>82174</v>
      </c>
      <c r="L36" s="33">
        <v>90348</v>
      </c>
      <c r="M36" s="33">
        <v>99100</v>
      </c>
      <c r="N36" s="33">
        <v>107486</v>
      </c>
      <c r="O36" s="33">
        <v>104198</v>
      </c>
      <c r="P36" s="33">
        <v>104290</v>
      </c>
      <c r="Q36" s="33">
        <v>107860</v>
      </c>
      <c r="R36" s="33">
        <v>107702</v>
      </c>
      <c r="S36" s="33">
        <v>106378</v>
      </c>
      <c r="T36" s="33">
        <v>138996</v>
      </c>
      <c r="U36" s="33">
        <v>157767</v>
      </c>
      <c r="V36" s="33">
        <v>156768</v>
      </c>
      <c r="W36" s="33">
        <v>148769</v>
      </c>
      <c r="X36" s="33">
        <v>135216</v>
      </c>
      <c r="Y36" s="33">
        <v>115755</v>
      </c>
      <c r="Z36" s="34">
        <v>98344</v>
      </c>
      <c r="AA36" s="35">
        <f t="shared" si="0"/>
        <v>2353204</v>
      </c>
      <c r="AB36" s="19">
        <v>18</v>
      </c>
      <c r="AC36" s="79">
        <f>+AA36*AB36+AA37*AB37+AA38*AB38</f>
        <v>68099975</v>
      </c>
    </row>
    <row r="37" spans="1:30" ht="15.75" thickBot="1" x14ac:dyDescent="0.3">
      <c r="A37" s="78"/>
      <c r="B37" s="20" t="s">
        <v>7</v>
      </c>
      <c r="C37" s="36">
        <v>67396</v>
      </c>
      <c r="D37" s="36">
        <v>61099</v>
      </c>
      <c r="E37" s="36">
        <v>57253</v>
      </c>
      <c r="F37" s="36">
        <v>54796</v>
      </c>
      <c r="G37" s="36">
        <v>55228</v>
      </c>
      <c r="H37" s="36">
        <v>56470</v>
      </c>
      <c r="I37" s="36">
        <v>61957</v>
      </c>
      <c r="J37" s="36">
        <v>65285</v>
      </c>
      <c r="K37" s="36">
        <v>78642</v>
      </c>
      <c r="L37" s="36">
        <v>87955</v>
      </c>
      <c r="M37" s="36">
        <v>95399</v>
      </c>
      <c r="N37" s="36">
        <v>102245</v>
      </c>
      <c r="O37" s="36">
        <v>101607</v>
      </c>
      <c r="P37" s="36">
        <v>98718</v>
      </c>
      <c r="Q37" s="36">
        <v>97870</v>
      </c>
      <c r="R37" s="36">
        <v>97386</v>
      </c>
      <c r="S37" s="36">
        <v>96502</v>
      </c>
      <c r="T37" s="36">
        <v>132316</v>
      </c>
      <c r="U37" s="36">
        <v>153212</v>
      </c>
      <c r="V37" s="36">
        <v>152686</v>
      </c>
      <c r="W37" s="36">
        <v>144632</v>
      </c>
      <c r="X37" s="36">
        <v>134336</v>
      </c>
      <c r="Y37" s="36">
        <v>119099</v>
      </c>
      <c r="Z37" s="37">
        <v>103783</v>
      </c>
      <c r="AA37" s="38">
        <f t="shared" si="0"/>
        <v>2275872</v>
      </c>
      <c r="AB37" s="21">
        <v>5</v>
      </c>
      <c r="AC37" s="80"/>
      <c r="AD37" s="47"/>
    </row>
    <row r="38" spans="1:30" x14ac:dyDescent="0.25">
      <c r="A38" s="78"/>
      <c r="B38" s="22" t="s">
        <v>6</v>
      </c>
      <c r="C38" s="39">
        <v>67850</v>
      </c>
      <c r="D38" s="39">
        <v>61101</v>
      </c>
      <c r="E38" s="39">
        <v>56531</v>
      </c>
      <c r="F38" s="39">
        <v>53183</v>
      </c>
      <c r="G38" s="39">
        <v>52734</v>
      </c>
      <c r="H38" s="39">
        <v>51536</v>
      </c>
      <c r="I38" s="39">
        <v>53814</v>
      </c>
      <c r="J38" s="39">
        <v>54176</v>
      </c>
      <c r="K38" s="39">
        <v>64714</v>
      </c>
      <c r="L38" s="39">
        <v>73767</v>
      </c>
      <c r="M38" s="39">
        <v>80350</v>
      </c>
      <c r="N38" s="39">
        <v>87041</v>
      </c>
      <c r="O38" s="39">
        <v>90353</v>
      </c>
      <c r="P38" s="39">
        <v>89042</v>
      </c>
      <c r="Q38" s="39">
        <v>85877</v>
      </c>
      <c r="R38" s="39">
        <v>83635</v>
      </c>
      <c r="S38" s="39">
        <v>82993</v>
      </c>
      <c r="T38" s="39">
        <v>118303</v>
      </c>
      <c r="U38" s="39">
        <v>139368</v>
      </c>
      <c r="V38" s="39">
        <v>141327</v>
      </c>
      <c r="W38" s="39">
        <v>135912</v>
      </c>
      <c r="X38" s="39">
        <v>125180</v>
      </c>
      <c r="Y38" s="39">
        <v>109129</v>
      </c>
      <c r="Z38" s="40">
        <v>93933</v>
      </c>
      <c r="AA38" s="41">
        <f t="shared" si="0"/>
        <v>2051849</v>
      </c>
      <c r="AB38" s="23">
        <v>7</v>
      </c>
      <c r="AC38" s="81"/>
      <c r="AD38" s="49"/>
    </row>
    <row r="39" spans="1:30" ht="15.75" thickBot="1" x14ac:dyDescent="0.3">
      <c r="A39" s="78">
        <v>48183</v>
      </c>
      <c r="B39" s="18" t="s">
        <v>8</v>
      </c>
      <c r="C39" s="33">
        <v>72233</v>
      </c>
      <c r="D39" s="33">
        <v>65186</v>
      </c>
      <c r="E39" s="33">
        <v>61113</v>
      </c>
      <c r="F39" s="33">
        <v>59022</v>
      </c>
      <c r="G39" s="33">
        <v>60462</v>
      </c>
      <c r="H39" s="33">
        <v>65053</v>
      </c>
      <c r="I39" s="33">
        <v>70165</v>
      </c>
      <c r="J39" s="33">
        <v>74326</v>
      </c>
      <c r="K39" s="33">
        <v>86898</v>
      </c>
      <c r="L39" s="33">
        <v>96192</v>
      </c>
      <c r="M39" s="33">
        <v>104670</v>
      </c>
      <c r="N39" s="33">
        <v>113268</v>
      </c>
      <c r="O39" s="33">
        <v>111625</v>
      </c>
      <c r="P39" s="33">
        <v>111492</v>
      </c>
      <c r="Q39" s="33">
        <v>113930</v>
      </c>
      <c r="R39" s="33">
        <v>113720</v>
      </c>
      <c r="S39" s="33">
        <v>111311</v>
      </c>
      <c r="T39" s="33">
        <v>140650</v>
      </c>
      <c r="U39" s="33">
        <v>158914</v>
      </c>
      <c r="V39" s="33">
        <v>161735</v>
      </c>
      <c r="W39" s="33">
        <v>154566</v>
      </c>
      <c r="X39" s="33">
        <v>143101</v>
      </c>
      <c r="Y39" s="33">
        <v>125512</v>
      </c>
      <c r="Z39" s="34">
        <v>108675</v>
      </c>
      <c r="AA39" s="35">
        <f t="shared" si="0"/>
        <v>2483819</v>
      </c>
      <c r="AB39" s="19">
        <v>21</v>
      </c>
      <c r="AC39" s="79">
        <f>+AA39*AB39+AA40*AB40+AA41*AB41</f>
        <v>74650363</v>
      </c>
    </row>
    <row r="40" spans="1:30" ht="15.75" thickBot="1" x14ac:dyDescent="0.3">
      <c r="A40" s="78"/>
      <c r="B40" s="20" t="s">
        <v>7</v>
      </c>
      <c r="C40" s="36">
        <v>73348</v>
      </c>
      <c r="D40" s="36">
        <v>66243</v>
      </c>
      <c r="E40" s="36">
        <v>62183</v>
      </c>
      <c r="F40" s="36">
        <v>59498</v>
      </c>
      <c r="G40" s="36">
        <v>59644</v>
      </c>
      <c r="H40" s="36">
        <v>62232</v>
      </c>
      <c r="I40" s="36">
        <v>65362</v>
      </c>
      <c r="J40" s="36">
        <v>68650</v>
      </c>
      <c r="K40" s="36">
        <v>81487</v>
      </c>
      <c r="L40" s="36">
        <v>90437</v>
      </c>
      <c r="M40" s="36">
        <v>97631</v>
      </c>
      <c r="N40" s="36">
        <v>103627</v>
      </c>
      <c r="O40" s="36">
        <v>103621</v>
      </c>
      <c r="P40" s="36">
        <v>101376</v>
      </c>
      <c r="Q40" s="36">
        <v>99931</v>
      </c>
      <c r="R40" s="36">
        <v>98331</v>
      </c>
      <c r="S40" s="36">
        <v>97193</v>
      </c>
      <c r="T40" s="36">
        <v>130331</v>
      </c>
      <c r="U40" s="36">
        <v>150726</v>
      </c>
      <c r="V40" s="36">
        <v>153117</v>
      </c>
      <c r="W40" s="36">
        <v>146065</v>
      </c>
      <c r="X40" s="36">
        <v>135986</v>
      </c>
      <c r="Y40" s="36">
        <v>121599</v>
      </c>
      <c r="Z40" s="37">
        <v>107702</v>
      </c>
      <c r="AA40" s="38">
        <f t="shared" si="0"/>
        <v>2336320</v>
      </c>
      <c r="AB40" s="21">
        <v>4</v>
      </c>
      <c r="AC40" s="80"/>
      <c r="AD40" s="47"/>
    </row>
    <row r="41" spans="1:30" x14ac:dyDescent="0.25">
      <c r="A41" s="78"/>
      <c r="B41" s="22" t="s">
        <v>6</v>
      </c>
      <c r="C41" s="39">
        <v>77239</v>
      </c>
      <c r="D41" s="39">
        <v>69836</v>
      </c>
      <c r="E41" s="39">
        <v>64667</v>
      </c>
      <c r="F41" s="39">
        <v>60999</v>
      </c>
      <c r="G41" s="39">
        <v>59560</v>
      </c>
      <c r="H41" s="39">
        <v>59037</v>
      </c>
      <c r="I41" s="39">
        <v>58870</v>
      </c>
      <c r="J41" s="39">
        <v>57918</v>
      </c>
      <c r="K41" s="39">
        <v>68292</v>
      </c>
      <c r="L41" s="39">
        <v>77410</v>
      </c>
      <c r="M41" s="39">
        <v>84235</v>
      </c>
      <c r="N41" s="39">
        <v>90647</v>
      </c>
      <c r="O41" s="39">
        <v>94101</v>
      </c>
      <c r="P41" s="39">
        <v>93917</v>
      </c>
      <c r="Q41" s="39">
        <v>91583</v>
      </c>
      <c r="R41" s="39">
        <v>90108</v>
      </c>
      <c r="S41" s="39">
        <v>89257</v>
      </c>
      <c r="T41" s="39">
        <v>122400</v>
      </c>
      <c r="U41" s="39">
        <v>142778</v>
      </c>
      <c r="V41" s="39">
        <v>146914</v>
      </c>
      <c r="W41" s="39">
        <v>141102</v>
      </c>
      <c r="X41" s="39">
        <v>131174</v>
      </c>
      <c r="Y41" s="39">
        <v>116658</v>
      </c>
      <c r="Z41" s="40">
        <v>102112</v>
      </c>
      <c r="AA41" s="41">
        <f t="shared" si="0"/>
        <v>2190814</v>
      </c>
      <c r="AB41" s="23">
        <v>6</v>
      </c>
      <c r="AC41" s="81"/>
      <c r="AD41" s="42"/>
    </row>
    <row r="42" spans="1:30" x14ac:dyDescent="0.25">
      <c r="A42" s="76" t="s">
        <v>5</v>
      </c>
      <c r="B42" s="77"/>
      <c r="C42" s="31">
        <f t="shared" ref="C42:AC42" si="1">+SUM(C6:C41)</f>
        <v>2576733</v>
      </c>
      <c r="D42" s="31">
        <f t="shared" si="1"/>
        <v>2328968</v>
      </c>
      <c r="E42" s="31">
        <f t="shared" si="1"/>
        <v>2179559</v>
      </c>
      <c r="F42" s="31">
        <f t="shared" si="1"/>
        <v>2087219</v>
      </c>
      <c r="G42" s="31">
        <f t="shared" si="1"/>
        <v>2098666</v>
      </c>
      <c r="H42" s="31">
        <f t="shared" si="1"/>
        <v>2205905</v>
      </c>
      <c r="I42" s="31">
        <f t="shared" si="1"/>
        <v>2349563</v>
      </c>
      <c r="J42" s="31">
        <f t="shared" si="1"/>
        <v>2405945</v>
      </c>
      <c r="K42" s="31">
        <f t="shared" si="1"/>
        <v>2835074</v>
      </c>
      <c r="L42" s="31">
        <f t="shared" si="1"/>
        <v>3165819</v>
      </c>
      <c r="M42" s="31">
        <f t="shared" si="1"/>
        <v>3443163</v>
      </c>
      <c r="N42" s="31">
        <f t="shared" si="1"/>
        <v>3703363</v>
      </c>
      <c r="O42" s="31">
        <f t="shared" si="1"/>
        <v>3713670</v>
      </c>
      <c r="P42" s="31">
        <f t="shared" si="1"/>
        <v>3682303</v>
      </c>
      <c r="Q42" s="31">
        <f t="shared" si="1"/>
        <v>3662432</v>
      </c>
      <c r="R42" s="31">
        <f t="shared" si="1"/>
        <v>3639434</v>
      </c>
      <c r="S42" s="31">
        <f t="shared" si="1"/>
        <v>3584927</v>
      </c>
      <c r="T42" s="31">
        <f t="shared" si="1"/>
        <v>4690476</v>
      </c>
      <c r="U42" s="31">
        <f t="shared" si="1"/>
        <v>5245990</v>
      </c>
      <c r="V42" s="31">
        <f t="shared" si="1"/>
        <v>5532712</v>
      </c>
      <c r="W42" s="31">
        <f t="shared" si="1"/>
        <v>5303180</v>
      </c>
      <c r="X42" s="31">
        <f t="shared" si="1"/>
        <v>4905628</v>
      </c>
      <c r="Y42" s="31">
        <f t="shared" si="1"/>
        <v>4305722</v>
      </c>
      <c r="Z42" s="31">
        <f t="shared" si="1"/>
        <v>3720792</v>
      </c>
      <c r="AA42" s="31">
        <f t="shared" si="1"/>
        <v>83367243</v>
      </c>
      <c r="AB42" s="31">
        <f t="shared" si="1"/>
        <v>365</v>
      </c>
      <c r="AC42" s="46">
        <f t="shared" si="1"/>
        <v>862115167</v>
      </c>
    </row>
    <row r="43" spans="1:30" x14ac:dyDescent="0.25">
      <c r="AB43" s="6"/>
      <c r="AC43" s="6"/>
    </row>
    <row r="44" spans="1:30" x14ac:dyDescent="0.25">
      <c r="C44" s="49"/>
    </row>
    <row r="45" spans="1:30" x14ac:dyDescent="0.25">
      <c r="AC45" s="48"/>
    </row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1EDF8-B73D-4B08-91CE-CBF3686E8764}">
  <sheetPr>
    <tabColor theme="7" tint="-0.249977111117893"/>
  </sheetPr>
  <dimension ref="A1:AD46"/>
  <sheetViews>
    <sheetView showGridLines="0" zoomScale="115" zoomScaleNormal="115" zoomScaleSheetLayoutView="11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4" width="9" bestFit="1" customWidth="1"/>
    <col min="5" max="7" width="8" bestFit="1" customWidth="1"/>
    <col min="8" max="8" width="8.7109375" bestFit="1" customWidth="1"/>
    <col min="9" max="9" width="9" bestFit="1" customWidth="1"/>
    <col min="10" max="10" width="8" bestFit="1" customWidth="1"/>
    <col min="11" max="11" width="9" bestFit="1" customWidth="1"/>
    <col min="12" max="13" width="8.7109375" bestFit="1" customWidth="1"/>
    <col min="14" max="19" width="9" bestFit="1" customWidth="1"/>
    <col min="20" max="27" width="9.42578125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6" t="s">
        <v>87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8"/>
    </row>
    <row r="2" spans="1:30" ht="15" x14ac:dyDescent="0.25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1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8" x14ac:dyDescent="0.25">
      <c r="A4" s="92" t="s">
        <v>38</v>
      </c>
      <c r="B4" s="92" t="s">
        <v>37</v>
      </c>
      <c r="C4" s="84" t="s">
        <v>36</v>
      </c>
      <c r="D4" s="84" t="s">
        <v>35</v>
      </c>
      <c r="E4" s="84" t="s">
        <v>34</v>
      </c>
      <c r="F4" s="84" t="s">
        <v>33</v>
      </c>
      <c r="G4" s="84" t="s">
        <v>32</v>
      </c>
      <c r="H4" s="84" t="s">
        <v>31</v>
      </c>
      <c r="I4" s="84" t="s">
        <v>30</v>
      </c>
      <c r="J4" s="84" t="s">
        <v>29</v>
      </c>
      <c r="K4" s="84" t="s">
        <v>28</v>
      </c>
      <c r="L4" s="84" t="s">
        <v>27</v>
      </c>
      <c r="M4" s="84" t="s">
        <v>26</v>
      </c>
      <c r="N4" s="84" t="s">
        <v>25</v>
      </c>
      <c r="O4" s="84" t="s">
        <v>24</v>
      </c>
      <c r="P4" s="84" t="s">
        <v>23</v>
      </c>
      <c r="Q4" s="84" t="s">
        <v>22</v>
      </c>
      <c r="R4" s="84" t="s">
        <v>21</v>
      </c>
      <c r="S4" s="84" t="s">
        <v>20</v>
      </c>
      <c r="T4" s="84" t="s">
        <v>19</v>
      </c>
      <c r="U4" s="84" t="s">
        <v>18</v>
      </c>
      <c r="V4" s="84" t="s">
        <v>17</v>
      </c>
      <c r="W4" s="84" t="s">
        <v>16</v>
      </c>
      <c r="X4" s="84" t="s">
        <v>15</v>
      </c>
      <c r="Y4" s="84" t="s">
        <v>14</v>
      </c>
      <c r="Z4" s="84" t="s">
        <v>13</v>
      </c>
      <c r="AA4" s="14" t="s">
        <v>12</v>
      </c>
      <c r="AB4" s="15" t="s">
        <v>11</v>
      </c>
      <c r="AC4" s="82" t="s">
        <v>10</v>
      </c>
    </row>
    <row r="5" spans="1:30" ht="15" x14ac:dyDescent="0.25">
      <c r="A5" s="92"/>
      <c r="B5" s="92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16"/>
      <c r="AB5" s="17" t="s">
        <v>9</v>
      </c>
      <c r="AC5" s="83"/>
    </row>
    <row r="6" spans="1:30" ht="15.75" thickBot="1" x14ac:dyDescent="0.3">
      <c r="A6" s="78">
        <v>47849</v>
      </c>
      <c r="B6" s="18" t="s">
        <v>8</v>
      </c>
      <c r="C6" s="33">
        <f>+'Anexo 13'!C6*'Anexo 6'!$D$10</f>
        <v>0</v>
      </c>
      <c r="D6" s="33">
        <f>+'Anexo 13'!D6*'Anexo 6'!$D$10</f>
        <v>0</v>
      </c>
      <c r="E6" s="33">
        <f>+'Anexo 13'!E6*'Anexo 6'!$D$10</f>
        <v>0</v>
      </c>
      <c r="F6" s="33">
        <f>+'Anexo 13'!F6*'Anexo 6'!$D$10</f>
        <v>0</v>
      </c>
      <c r="G6" s="33">
        <f>+'Anexo 13'!G6*'Anexo 6'!$D$10</f>
        <v>0</v>
      </c>
      <c r="H6" s="33">
        <f>+'Anexo 13'!H6*'Anexo 6'!$D$10</f>
        <v>0</v>
      </c>
      <c r="I6" s="33">
        <f>+'Anexo 13'!I6*'Anexo 6'!$D$10</f>
        <v>0</v>
      </c>
      <c r="J6" s="33">
        <f>+'Anexo 13'!J6*'Anexo 6'!$D$10</f>
        <v>0</v>
      </c>
      <c r="K6" s="33">
        <f>+'Anexo 13'!K6*'Anexo 6'!$D$10</f>
        <v>0</v>
      </c>
      <c r="L6" s="33">
        <f>+'Anexo 13'!L6*'Anexo 6'!$D$10</f>
        <v>0</v>
      </c>
      <c r="M6" s="33">
        <f>+'Anexo 13'!M6*'Anexo 6'!$D$10</f>
        <v>0</v>
      </c>
      <c r="N6" s="33">
        <f>+'Anexo 13'!N6*'Anexo 6'!$D$10</f>
        <v>0</v>
      </c>
      <c r="O6" s="33">
        <f>+'Anexo 13'!O6*'Anexo 6'!$D$10</f>
        <v>0</v>
      </c>
      <c r="P6" s="33">
        <f>+'Anexo 13'!P6*'Anexo 6'!$D$10</f>
        <v>0</v>
      </c>
      <c r="Q6" s="33">
        <f>+'Anexo 13'!Q6*'Anexo 6'!$D$10</f>
        <v>0</v>
      </c>
      <c r="R6" s="33">
        <f>+'Anexo 13'!R6*'Anexo 6'!$D$10</f>
        <v>0</v>
      </c>
      <c r="S6" s="33">
        <f>+'Anexo 13'!S6*'Anexo 6'!$D$10</f>
        <v>0</v>
      </c>
      <c r="T6" s="33">
        <f>+'Anexo 13'!T6*'Anexo 6'!$D$10</f>
        <v>0</v>
      </c>
      <c r="U6" s="33">
        <f>+'Anexo 13'!U6*'Anexo 6'!$D$10</f>
        <v>0</v>
      </c>
      <c r="V6" s="33">
        <f>+'Anexo 13'!V6*'Anexo 6'!$D$10</f>
        <v>0</v>
      </c>
      <c r="W6" s="33">
        <f>+'Anexo 13'!W6*'Anexo 6'!$D$10</f>
        <v>0</v>
      </c>
      <c r="X6" s="33">
        <f>+'Anexo 13'!X6*'Anexo 6'!$D$10</f>
        <v>0</v>
      </c>
      <c r="Y6" s="33">
        <f>+'Anexo 13'!Y6*'Anexo 6'!$D$10</f>
        <v>0</v>
      </c>
      <c r="Z6" s="33">
        <f>+'Anexo 13'!Z6*'Anexo 6'!$D$10</f>
        <v>0</v>
      </c>
      <c r="AA6" s="35">
        <f>SUM(C6:Z6)</f>
        <v>0</v>
      </c>
      <c r="AB6" s="19">
        <v>21</v>
      </c>
      <c r="AC6" s="79">
        <f>+AA6*AB6+AA7*AB7+AA8*AB8</f>
        <v>0</v>
      </c>
    </row>
    <row r="7" spans="1:30" ht="15.75" thickBot="1" x14ac:dyDescent="0.3">
      <c r="A7" s="78"/>
      <c r="B7" s="20" t="s">
        <v>7</v>
      </c>
      <c r="C7" s="33">
        <f>+'Anexo 13'!C7*'Anexo 6'!$D$10</f>
        <v>0</v>
      </c>
      <c r="D7" s="33">
        <f>+'Anexo 13'!D7*'Anexo 6'!$D$10</f>
        <v>0</v>
      </c>
      <c r="E7" s="33">
        <f>+'Anexo 13'!E7*'Anexo 6'!$D$10</f>
        <v>0</v>
      </c>
      <c r="F7" s="33">
        <f>+'Anexo 13'!F7*'Anexo 6'!$D$10</f>
        <v>0</v>
      </c>
      <c r="G7" s="33">
        <f>+'Anexo 13'!G7*'Anexo 6'!$D$10</f>
        <v>0</v>
      </c>
      <c r="H7" s="33">
        <f>+'Anexo 13'!H7*'Anexo 6'!$D$10</f>
        <v>0</v>
      </c>
      <c r="I7" s="33">
        <f>+'Anexo 13'!I7*'Anexo 6'!$D$10</f>
        <v>0</v>
      </c>
      <c r="J7" s="33">
        <f>+'Anexo 13'!J7*'Anexo 6'!$D$10</f>
        <v>0</v>
      </c>
      <c r="K7" s="33">
        <f>+'Anexo 13'!K7*'Anexo 6'!$D$10</f>
        <v>0</v>
      </c>
      <c r="L7" s="33">
        <f>+'Anexo 13'!L7*'Anexo 6'!$D$10</f>
        <v>0</v>
      </c>
      <c r="M7" s="33">
        <f>+'Anexo 13'!M7*'Anexo 6'!$D$10</f>
        <v>0</v>
      </c>
      <c r="N7" s="33">
        <f>+'Anexo 13'!N7*'Anexo 6'!$D$10</f>
        <v>0</v>
      </c>
      <c r="O7" s="33">
        <f>+'Anexo 13'!O7*'Anexo 6'!$D$10</f>
        <v>0</v>
      </c>
      <c r="P7" s="33">
        <f>+'Anexo 13'!P7*'Anexo 6'!$D$10</f>
        <v>0</v>
      </c>
      <c r="Q7" s="33">
        <f>+'Anexo 13'!Q7*'Anexo 6'!$D$10</f>
        <v>0</v>
      </c>
      <c r="R7" s="33">
        <f>+'Anexo 13'!R7*'Anexo 6'!$D$10</f>
        <v>0</v>
      </c>
      <c r="S7" s="33">
        <f>+'Anexo 13'!S7*'Anexo 6'!$D$10</f>
        <v>0</v>
      </c>
      <c r="T7" s="33">
        <f>+'Anexo 13'!T7*'Anexo 6'!$D$10</f>
        <v>0</v>
      </c>
      <c r="U7" s="33">
        <f>+'Anexo 13'!U7*'Anexo 6'!$D$10</f>
        <v>0</v>
      </c>
      <c r="V7" s="33">
        <f>+'Anexo 13'!V7*'Anexo 6'!$D$10</f>
        <v>0</v>
      </c>
      <c r="W7" s="33">
        <f>+'Anexo 13'!W7*'Anexo 6'!$D$10</f>
        <v>0</v>
      </c>
      <c r="X7" s="33">
        <f>+'Anexo 13'!X7*'Anexo 6'!$D$10</f>
        <v>0</v>
      </c>
      <c r="Y7" s="33">
        <f>+'Anexo 13'!Y7*'Anexo 6'!$D$10</f>
        <v>0</v>
      </c>
      <c r="Z7" s="33">
        <f>+'Anexo 13'!Z7*'Anexo 6'!$D$10</f>
        <v>0</v>
      </c>
      <c r="AA7" s="38">
        <f t="shared" ref="AA7:AA41" si="0">SUM(C7:Z7)</f>
        <v>0</v>
      </c>
      <c r="AB7" s="21">
        <v>4</v>
      </c>
      <c r="AC7" s="80"/>
      <c r="AD7" s="47"/>
    </row>
    <row r="8" spans="1:30" ht="15.75" thickBot="1" x14ac:dyDescent="0.3">
      <c r="A8" s="78"/>
      <c r="B8" s="22" t="s">
        <v>6</v>
      </c>
      <c r="C8" s="33">
        <f>+'Anexo 13'!C8*'Anexo 6'!$D$10</f>
        <v>0</v>
      </c>
      <c r="D8" s="33">
        <f>+'Anexo 13'!D8*'Anexo 6'!$D$10</f>
        <v>0</v>
      </c>
      <c r="E8" s="33">
        <f>+'Anexo 13'!E8*'Anexo 6'!$D$10</f>
        <v>0</v>
      </c>
      <c r="F8" s="33">
        <f>+'Anexo 13'!F8*'Anexo 6'!$D$10</f>
        <v>0</v>
      </c>
      <c r="G8" s="33">
        <f>+'Anexo 13'!G8*'Anexo 6'!$D$10</f>
        <v>0</v>
      </c>
      <c r="H8" s="33">
        <f>+'Anexo 13'!H8*'Anexo 6'!$D$10</f>
        <v>0</v>
      </c>
      <c r="I8" s="33">
        <f>+'Anexo 13'!I8*'Anexo 6'!$D$10</f>
        <v>0</v>
      </c>
      <c r="J8" s="33">
        <f>+'Anexo 13'!J8*'Anexo 6'!$D$10</f>
        <v>0</v>
      </c>
      <c r="K8" s="33">
        <f>+'Anexo 13'!K8*'Anexo 6'!$D$10</f>
        <v>0</v>
      </c>
      <c r="L8" s="33">
        <f>+'Anexo 13'!L8*'Anexo 6'!$D$10</f>
        <v>0</v>
      </c>
      <c r="M8" s="33">
        <f>+'Anexo 13'!M8*'Anexo 6'!$D$10</f>
        <v>0</v>
      </c>
      <c r="N8" s="33">
        <f>+'Anexo 13'!N8*'Anexo 6'!$D$10</f>
        <v>0</v>
      </c>
      <c r="O8" s="33">
        <f>+'Anexo 13'!O8*'Anexo 6'!$D$10</f>
        <v>0</v>
      </c>
      <c r="P8" s="33">
        <f>+'Anexo 13'!P8*'Anexo 6'!$D$10</f>
        <v>0</v>
      </c>
      <c r="Q8" s="33">
        <f>+'Anexo 13'!Q8*'Anexo 6'!$D$10</f>
        <v>0</v>
      </c>
      <c r="R8" s="33">
        <f>+'Anexo 13'!R8*'Anexo 6'!$D$10</f>
        <v>0</v>
      </c>
      <c r="S8" s="33">
        <f>+'Anexo 13'!S8*'Anexo 6'!$D$10</f>
        <v>0</v>
      </c>
      <c r="T8" s="33">
        <f>+'Anexo 13'!T8*'Anexo 6'!$D$10</f>
        <v>0</v>
      </c>
      <c r="U8" s="33">
        <f>+'Anexo 13'!U8*'Anexo 6'!$D$10</f>
        <v>0</v>
      </c>
      <c r="V8" s="33">
        <f>+'Anexo 13'!V8*'Anexo 6'!$D$10</f>
        <v>0</v>
      </c>
      <c r="W8" s="33">
        <f>+'Anexo 13'!W8*'Anexo 6'!$D$10</f>
        <v>0</v>
      </c>
      <c r="X8" s="33">
        <f>+'Anexo 13'!X8*'Anexo 6'!$D$10</f>
        <v>0</v>
      </c>
      <c r="Y8" s="33">
        <f>+'Anexo 13'!Y8*'Anexo 6'!$D$10</f>
        <v>0</v>
      </c>
      <c r="Z8" s="33">
        <f>+'Anexo 13'!Z8*'Anexo 6'!$D$10</f>
        <v>0</v>
      </c>
      <c r="AA8" s="41">
        <f t="shared" si="0"/>
        <v>0</v>
      </c>
      <c r="AB8" s="23">
        <v>6</v>
      </c>
      <c r="AC8" s="81"/>
      <c r="AD8" s="48"/>
    </row>
    <row r="9" spans="1:30" ht="15.75" thickBot="1" x14ac:dyDescent="0.3">
      <c r="A9" s="78">
        <v>47880</v>
      </c>
      <c r="B9" s="18" t="s">
        <v>8</v>
      </c>
      <c r="C9" s="33">
        <f>+'Anexo 13'!C9*'Anexo 6'!$D$10</f>
        <v>0</v>
      </c>
      <c r="D9" s="33">
        <f>+'Anexo 13'!D9*'Anexo 6'!$D$10</f>
        <v>0</v>
      </c>
      <c r="E9" s="33">
        <f>+'Anexo 13'!E9*'Anexo 6'!$D$10</f>
        <v>0</v>
      </c>
      <c r="F9" s="33">
        <f>+'Anexo 13'!F9*'Anexo 6'!$D$10</f>
        <v>0</v>
      </c>
      <c r="G9" s="33">
        <f>+'Anexo 13'!G9*'Anexo 6'!$D$10</f>
        <v>0</v>
      </c>
      <c r="H9" s="33">
        <f>+'Anexo 13'!H9*'Anexo 6'!$D$10</f>
        <v>0</v>
      </c>
      <c r="I9" s="33">
        <f>+'Anexo 13'!I9*'Anexo 6'!$D$10</f>
        <v>0</v>
      </c>
      <c r="J9" s="33">
        <f>+'Anexo 13'!J9*'Anexo 6'!$D$10</f>
        <v>0</v>
      </c>
      <c r="K9" s="33">
        <f>+'Anexo 13'!K9*'Anexo 6'!$D$10</f>
        <v>0</v>
      </c>
      <c r="L9" s="33">
        <f>+'Anexo 13'!L9*'Anexo 6'!$D$10</f>
        <v>0</v>
      </c>
      <c r="M9" s="33">
        <f>+'Anexo 13'!M9*'Anexo 6'!$D$10</f>
        <v>0</v>
      </c>
      <c r="N9" s="33">
        <f>+'Anexo 13'!N9*'Anexo 6'!$D$10</f>
        <v>0</v>
      </c>
      <c r="O9" s="33">
        <f>+'Anexo 13'!O9*'Anexo 6'!$D$10</f>
        <v>0</v>
      </c>
      <c r="P9" s="33">
        <f>+'Anexo 13'!P9*'Anexo 6'!$D$10</f>
        <v>0</v>
      </c>
      <c r="Q9" s="33">
        <f>+'Anexo 13'!Q9*'Anexo 6'!$D$10</f>
        <v>0</v>
      </c>
      <c r="R9" s="33">
        <f>+'Anexo 13'!R9*'Anexo 6'!$D$10</f>
        <v>0</v>
      </c>
      <c r="S9" s="33">
        <f>+'Anexo 13'!S9*'Anexo 6'!$D$10</f>
        <v>0</v>
      </c>
      <c r="T9" s="33">
        <f>+'Anexo 13'!T9*'Anexo 6'!$D$10</f>
        <v>0</v>
      </c>
      <c r="U9" s="33">
        <f>+'Anexo 13'!U9*'Anexo 6'!$D$10</f>
        <v>0</v>
      </c>
      <c r="V9" s="33">
        <f>+'Anexo 13'!V9*'Anexo 6'!$D$10</f>
        <v>0</v>
      </c>
      <c r="W9" s="33">
        <f>+'Anexo 13'!W9*'Anexo 6'!$D$10</f>
        <v>0</v>
      </c>
      <c r="X9" s="33">
        <f>+'Anexo 13'!X9*'Anexo 6'!$D$10</f>
        <v>0</v>
      </c>
      <c r="Y9" s="33">
        <f>+'Anexo 13'!Y9*'Anexo 6'!$D$10</f>
        <v>0</v>
      </c>
      <c r="Z9" s="33">
        <f>+'Anexo 13'!Z9*'Anexo 6'!$D$10</f>
        <v>0</v>
      </c>
      <c r="AA9" s="35">
        <f t="shared" si="0"/>
        <v>0</v>
      </c>
      <c r="AB9" s="19">
        <v>20</v>
      </c>
      <c r="AC9" s="79">
        <f>+AA9*AB9+AA10*AB10+AA11*AB11</f>
        <v>0</v>
      </c>
    </row>
    <row r="10" spans="1:30" ht="15.75" thickBot="1" x14ac:dyDescent="0.3">
      <c r="A10" s="78"/>
      <c r="B10" s="20" t="s">
        <v>7</v>
      </c>
      <c r="C10" s="33">
        <f>+'Anexo 13'!C10*'Anexo 6'!$D$10</f>
        <v>0</v>
      </c>
      <c r="D10" s="33">
        <f>+'Anexo 13'!D10*'Anexo 6'!$D$10</f>
        <v>0</v>
      </c>
      <c r="E10" s="33">
        <f>+'Anexo 13'!E10*'Anexo 6'!$D$10</f>
        <v>0</v>
      </c>
      <c r="F10" s="33">
        <f>+'Anexo 13'!F10*'Anexo 6'!$D$10</f>
        <v>0</v>
      </c>
      <c r="G10" s="33">
        <f>+'Anexo 13'!G10*'Anexo 6'!$D$10</f>
        <v>0</v>
      </c>
      <c r="H10" s="33">
        <f>+'Anexo 13'!H10*'Anexo 6'!$D$10</f>
        <v>0</v>
      </c>
      <c r="I10" s="33">
        <f>+'Anexo 13'!I10*'Anexo 6'!$D$10</f>
        <v>0</v>
      </c>
      <c r="J10" s="33">
        <f>+'Anexo 13'!J10*'Anexo 6'!$D$10</f>
        <v>0</v>
      </c>
      <c r="K10" s="33">
        <f>+'Anexo 13'!K10*'Anexo 6'!$D$10</f>
        <v>0</v>
      </c>
      <c r="L10" s="33">
        <f>+'Anexo 13'!L10*'Anexo 6'!$D$10</f>
        <v>0</v>
      </c>
      <c r="M10" s="33">
        <f>+'Anexo 13'!M10*'Anexo 6'!$D$10</f>
        <v>0</v>
      </c>
      <c r="N10" s="33">
        <f>+'Anexo 13'!N10*'Anexo 6'!$D$10</f>
        <v>0</v>
      </c>
      <c r="O10" s="33">
        <f>+'Anexo 13'!O10*'Anexo 6'!$D$10</f>
        <v>0</v>
      </c>
      <c r="P10" s="33">
        <f>+'Anexo 13'!P10*'Anexo 6'!$D$10</f>
        <v>0</v>
      </c>
      <c r="Q10" s="33">
        <f>+'Anexo 13'!Q10*'Anexo 6'!$D$10</f>
        <v>0</v>
      </c>
      <c r="R10" s="33">
        <f>+'Anexo 13'!R10*'Anexo 6'!$D$10</f>
        <v>0</v>
      </c>
      <c r="S10" s="33">
        <f>+'Anexo 13'!S10*'Anexo 6'!$D$10</f>
        <v>0</v>
      </c>
      <c r="T10" s="33">
        <f>+'Anexo 13'!T10*'Anexo 6'!$D$10</f>
        <v>0</v>
      </c>
      <c r="U10" s="33">
        <f>+'Anexo 13'!U10*'Anexo 6'!$D$10</f>
        <v>0</v>
      </c>
      <c r="V10" s="33">
        <f>+'Anexo 13'!V10*'Anexo 6'!$D$10</f>
        <v>0</v>
      </c>
      <c r="W10" s="33">
        <f>+'Anexo 13'!W10*'Anexo 6'!$D$10</f>
        <v>0</v>
      </c>
      <c r="X10" s="33">
        <f>+'Anexo 13'!X10*'Anexo 6'!$D$10</f>
        <v>0</v>
      </c>
      <c r="Y10" s="33">
        <f>+'Anexo 13'!Y10*'Anexo 6'!$D$10</f>
        <v>0</v>
      </c>
      <c r="Z10" s="33">
        <f>+'Anexo 13'!Z10*'Anexo 6'!$D$10</f>
        <v>0</v>
      </c>
      <c r="AA10" s="38">
        <f t="shared" si="0"/>
        <v>0</v>
      </c>
      <c r="AB10" s="21">
        <v>4</v>
      </c>
      <c r="AC10" s="80"/>
      <c r="AD10" s="47"/>
    </row>
    <row r="11" spans="1:30" ht="15.75" thickBot="1" x14ac:dyDescent="0.3">
      <c r="A11" s="78"/>
      <c r="B11" s="22" t="s">
        <v>6</v>
      </c>
      <c r="C11" s="33">
        <f>+'Anexo 13'!C11*'Anexo 6'!$D$10</f>
        <v>0</v>
      </c>
      <c r="D11" s="33">
        <f>+'Anexo 13'!D11*'Anexo 6'!$D$10</f>
        <v>0</v>
      </c>
      <c r="E11" s="33">
        <f>+'Anexo 13'!E11*'Anexo 6'!$D$10</f>
        <v>0</v>
      </c>
      <c r="F11" s="33">
        <f>+'Anexo 13'!F11*'Anexo 6'!$D$10</f>
        <v>0</v>
      </c>
      <c r="G11" s="33">
        <f>+'Anexo 13'!G11*'Anexo 6'!$D$10</f>
        <v>0</v>
      </c>
      <c r="H11" s="33">
        <f>+'Anexo 13'!H11*'Anexo 6'!$D$10</f>
        <v>0</v>
      </c>
      <c r="I11" s="33">
        <f>+'Anexo 13'!I11*'Anexo 6'!$D$10</f>
        <v>0</v>
      </c>
      <c r="J11" s="33">
        <f>+'Anexo 13'!J11*'Anexo 6'!$D$10</f>
        <v>0</v>
      </c>
      <c r="K11" s="33">
        <f>+'Anexo 13'!K11*'Anexo 6'!$D$10</f>
        <v>0</v>
      </c>
      <c r="L11" s="33">
        <f>+'Anexo 13'!L11*'Anexo 6'!$D$10</f>
        <v>0</v>
      </c>
      <c r="M11" s="33">
        <f>+'Anexo 13'!M11*'Anexo 6'!$D$10</f>
        <v>0</v>
      </c>
      <c r="N11" s="33">
        <f>+'Anexo 13'!N11*'Anexo 6'!$D$10</f>
        <v>0</v>
      </c>
      <c r="O11" s="33">
        <f>+'Anexo 13'!O11*'Anexo 6'!$D$10</f>
        <v>0</v>
      </c>
      <c r="P11" s="33">
        <f>+'Anexo 13'!P11*'Anexo 6'!$D$10</f>
        <v>0</v>
      </c>
      <c r="Q11" s="33">
        <f>+'Anexo 13'!Q11*'Anexo 6'!$D$10</f>
        <v>0</v>
      </c>
      <c r="R11" s="33">
        <f>+'Anexo 13'!R11*'Anexo 6'!$D$10</f>
        <v>0</v>
      </c>
      <c r="S11" s="33">
        <f>+'Anexo 13'!S11*'Anexo 6'!$D$10</f>
        <v>0</v>
      </c>
      <c r="T11" s="33">
        <f>+'Anexo 13'!T11*'Anexo 6'!$D$10</f>
        <v>0</v>
      </c>
      <c r="U11" s="33">
        <f>+'Anexo 13'!U11*'Anexo 6'!$D$10</f>
        <v>0</v>
      </c>
      <c r="V11" s="33">
        <f>+'Anexo 13'!V11*'Anexo 6'!$D$10</f>
        <v>0</v>
      </c>
      <c r="W11" s="33">
        <f>+'Anexo 13'!W11*'Anexo 6'!$D$10</f>
        <v>0</v>
      </c>
      <c r="X11" s="33">
        <f>+'Anexo 13'!X11*'Anexo 6'!$D$10</f>
        <v>0</v>
      </c>
      <c r="Y11" s="33">
        <f>+'Anexo 13'!Y11*'Anexo 6'!$D$10</f>
        <v>0</v>
      </c>
      <c r="Z11" s="33">
        <f>+'Anexo 13'!Z11*'Anexo 6'!$D$10</f>
        <v>0</v>
      </c>
      <c r="AA11" s="41">
        <f t="shared" si="0"/>
        <v>0</v>
      </c>
      <c r="AB11" s="23">
        <v>4</v>
      </c>
      <c r="AC11" s="81"/>
      <c r="AD11" s="48"/>
    </row>
    <row r="12" spans="1:30" ht="15.75" thickBot="1" x14ac:dyDescent="0.3">
      <c r="A12" s="78">
        <v>47908</v>
      </c>
      <c r="B12" s="18" t="s">
        <v>8</v>
      </c>
      <c r="C12" s="33">
        <f>+'Anexo 13'!C12*'Anexo 6'!$D$10</f>
        <v>0</v>
      </c>
      <c r="D12" s="33">
        <f>+'Anexo 13'!D12*'Anexo 6'!$D$10</f>
        <v>0</v>
      </c>
      <c r="E12" s="33">
        <f>+'Anexo 13'!E12*'Anexo 6'!$D$10</f>
        <v>0</v>
      </c>
      <c r="F12" s="33">
        <f>+'Anexo 13'!F12*'Anexo 6'!$D$10</f>
        <v>0</v>
      </c>
      <c r="G12" s="33">
        <f>+'Anexo 13'!G12*'Anexo 6'!$D$10</f>
        <v>0</v>
      </c>
      <c r="H12" s="33">
        <f>+'Anexo 13'!H12*'Anexo 6'!$D$10</f>
        <v>0</v>
      </c>
      <c r="I12" s="33">
        <f>+'Anexo 13'!I12*'Anexo 6'!$D$10</f>
        <v>0</v>
      </c>
      <c r="J12" s="33">
        <f>+'Anexo 13'!J12*'Anexo 6'!$D$10</f>
        <v>0</v>
      </c>
      <c r="K12" s="33">
        <f>+'Anexo 13'!K12*'Anexo 6'!$D$10</f>
        <v>0</v>
      </c>
      <c r="L12" s="33">
        <f>+'Anexo 13'!L12*'Anexo 6'!$D$10</f>
        <v>0</v>
      </c>
      <c r="M12" s="33">
        <f>+'Anexo 13'!M12*'Anexo 6'!$D$10</f>
        <v>0</v>
      </c>
      <c r="N12" s="33">
        <f>+'Anexo 13'!N12*'Anexo 6'!$D$10</f>
        <v>0</v>
      </c>
      <c r="O12" s="33">
        <f>+'Anexo 13'!O12*'Anexo 6'!$D$10</f>
        <v>0</v>
      </c>
      <c r="P12" s="33">
        <f>+'Anexo 13'!P12*'Anexo 6'!$D$10</f>
        <v>0</v>
      </c>
      <c r="Q12" s="33">
        <f>+'Anexo 13'!Q12*'Anexo 6'!$D$10</f>
        <v>0</v>
      </c>
      <c r="R12" s="33">
        <f>+'Anexo 13'!R12*'Anexo 6'!$D$10</f>
        <v>0</v>
      </c>
      <c r="S12" s="33">
        <f>+'Anexo 13'!S12*'Anexo 6'!$D$10</f>
        <v>0</v>
      </c>
      <c r="T12" s="33">
        <f>+'Anexo 13'!T12*'Anexo 6'!$D$10</f>
        <v>0</v>
      </c>
      <c r="U12" s="33">
        <f>+'Anexo 13'!U12*'Anexo 6'!$D$10</f>
        <v>0</v>
      </c>
      <c r="V12" s="33">
        <f>+'Anexo 13'!V12*'Anexo 6'!$D$10</f>
        <v>0</v>
      </c>
      <c r="W12" s="33">
        <f>+'Anexo 13'!W12*'Anexo 6'!$D$10</f>
        <v>0</v>
      </c>
      <c r="X12" s="33">
        <f>+'Anexo 13'!X12*'Anexo 6'!$D$10</f>
        <v>0</v>
      </c>
      <c r="Y12" s="33">
        <f>+'Anexo 13'!Y12*'Anexo 6'!$D$10</f>
        <v>0</v>
      </c>
      <c r="Z12" s="33">
        <f>+'Anexo 13'!Z12*'Anexo 6'!$D$10</f>
        <v>0</v>
      </c>
      <c r="AA12" s="35">
        <f t="shared" si="0"/>
        <v>0</v>
      </c>
      <c r="AB12" s="19">
        <v>20</v>
      </c>
      <c r="AC12" s="79">
        <f>+AA12*AB12+AA13*AB13+AA14*AB14</f>
        <v>0</v>
      </c>
    </row>
    <row r="13" spans="1:30" ht="15.75" thickBot="1" x14ac:dyDescent="0.3">
      <c r="A13" s="78"/>
      <c r="B13" s="20" t="s">
        <v>7</v>
      </c>
      <c r="C13" s="33">
        <f>+'Anexo 13'!C13*'Anexo 6'!$D$10</f>
        <v>0</v>
      </c>
      <c r="D13" s="33">
        <f>+'Anexo 13'!D13*'Anexo 6'!$D$10</f>
        <v>0</v>
      </c>
      <c r="E13" s="33">
        <f>+'Anexo 13'!E13*'Anexo 6'!$D$10</f>
        <v>0</v>
      </c>
      <c r="F13" s="33">
        <f>+'Anexo 13'!F13*'Anexo 6'!$D$10</f>
        <v>0</v>
      </c>
      <c r="G13" s="33">
        <f>+'Anexo 13'!G13*'Anexo 6'!$D$10</f>
        <v>0</v>
      </c>
      <c r="H13" s="33">
        <f>+'Anexo 13'!H13*'Anexo 6'!$D$10</f>
        <v>0</v>
      </c>
      <c r="I13" s="33">
        <f>+'Anexo 13'!I13*'Anexo 6'!$D$10</f>
        <v>0</v>
      </c>
      <c r="J13" s="33">
        <f>+'Anexo 13'!J13*'Anexo 6'!$D$10</f>
        <v>0</v>
      </c>
      <c r="K13" s="33">
        <f>+'Anexo 13'!K13*'Anexo 6'!$D$10</f>
        <v>0</v>
      </c>
      <c r="L13" s="33">
        <f>+'Anexo 13'!L13*'Anexo 6'!$D$10</f>
        <v>0</v>
      </c>
      <c r="M13" s="33">
        <f>+'Anexo 13'!M13*'Anexo 6'!$D$10</f>
        <v>0</v>
      </c>
      <c r="N13" s="33">
        <f>+'Anexo 13'!N13*'Anexo 6'!$D$10</f>
        <v>0</v>
      </c>
      <c r="O13" s="33">
        <f>+'Anexo 13'!O13*'Anexo 6'!$D$10</f>
        <v>0</v>
      </c>
      <c r="P13" s="33">
        <f>+'Anexo 13'!P13*'Anexo 6'!$D$10</f>
        <v>0</v>
      </c>
      <c r="Q13" s="33">
        <f>+'Anexo 13'!Q13*'Anexo 6'!$D$10</f>
        <v>0</v>
      </c>
      <c r="R13" s="33">
        <f>+'Anexo 13'!R13*'Anexo 6'!$D$10</f>
        <v>0</v>
      </c>
      <c r="S13" s="33">
        <f>+'Anexo 13'!S13*'Anexo 6'!$D$10</f>
        <v>0</v>
      </c>
      <c r="T13" s="33">
        <f>+'Anexo 13'!T13*'Anexo 6'!$D$10</f>
        <v>0</v>
      </c>
      <c r="U13" s="33">
        <f>+'Anexo 13'!U13*'Anexo 6'!$D$10</f>
        <v>0</v>
      </c>
      <c r="V13" s="33">
        <f>+'Anexo 13'!V13*'Anexo 6'!$D$10</f>
        <v>0</v>
      </c>
      <c r="W13" s="33">
        <f>+'Anexo 13'!W13*'Anexo 6'!$D$10</f>
        <v>0</v>
      </c>
      <c r="X13" s="33">
        <f>+'Anexo 13'!X13*'Anexo 6'!$D$10</f>
        <v>0</v>
      </c>
      <c r="Y13" s="33">
        <f>+'Anexo 13'!Y13*'Anexo 6'!$D$10</f>
        <v>0</v>
      </c>
      <c r="Z13" s="33">
        <f>+'Anexo 13'!Z13*'Anexo 6'!$D$10</f>
        <v>0</v>
      </c>
      <c r="AA13" s="38">
        <f t="shared" si="0"/>
        <v>0</v>
      </c>
      <c r="AB13" s="21">
        <v>5</v>
      </c>
      <c r="AC13" s="80"/>
      <c r="AD13" s="47"/>
    </row>
    <row r="14" spans="1:30" ht="15.75" thickBot="1" x14ac:dyDescent="0.3">
      <c r="A14" s="78"/>
      <c r="B14" s="22" t="s">
        <v>6</v>
      </c>
      <c r="C14" s="33">
        <f>+'Anexo 13'!C14*'Anexo 6'!$D$10</f>
        <v>0</v>
      </c>
      <c r="D14" s="33">
        <f>+'Anexo 13'!D14*'Anexo 6'!$D$10</f>
        <v>0</v>
      </c>
      <c r="E14" s="33">
        <f>+'Anexo 13'!E14*'Anexo 6'!$D$10</f>
        <v>0</v>
      </c>
      <c r="F14" s="33">
        <f>+'Anexo 13'!F14*'Anexo 6'!$D$10</f>
        <v>0</v>
      </c>
      <c r="G14" s="33">
        <f>+'Anexo 13'!G14*'Anexo 6'!$D$10</f>
        <v>0</v>
      </c>
      <c r="H14" s="33">
        <f>+'Anexo 13'!H14*'Anexo 6'!$D$10</f>
        <v>0</v>
      </c>
      <c r="I14" s="33">
        <f>+'Anexo 13'!I14*'Anexo 6'!$D$10</f>
        <v>0</v>
      </c>
      <c r="J14" s="33">
        <f>+'Anexo 13'!J14*'Anexo 6'!$D$10</f>
        <v>0</v>
      </c>
      <c r="K14" s="33">
        <f>+'Anexo 13'!K14*'Anexo 6'!$D$10</f>
        <v>0</v>
      </c>
      <c r="L14" s="33">
        <f>+'Anexo 13'!L14*'Anexo 6'!$D$10</f>
        <v>0</v>
      </c>
      <c r="M14" s="33">
        <f>+'Anexo 13'!M14*'Anexo 6'!$D$10</f>
        <v>0</v>
      </c>
      <c r="N14" s="33">
        <f>+'Anexo 13'!N14*'Anexo 6'!$D$10</f>
        <v>0</v>
      </c>
      <c r="O14" s="33">
        <f>+'Anexo 13'!O14*'Anexo 6'!$D$10</f>
        <v>0</v>
      </c>
      <c r="P14" s="33">
        <f>+'Anexo 13'!P14*'Anexo 6'!$D$10</f>
        <v>0</v>
      </c>
      <c r="Q14" s="33">
        <f>+'Anexo 13'!Q14*'Anexo 6'!$D$10</f>
        <v>0</v>
      </c>
      <c r="R14" s="33">
        <f>+'Anexo 13'!R14*'Anexo 6'!$D$10</f>
        <v>0</v>
      </c>
      <c r="S14" s="33">
        <f>+'Anexo 13'!S14*'Anexo 6'!$D$10</f>
        <v>0</v>
      </c>
      <c r="T14" s="33">
        <f>+'Anexo 13'!T14*'Anexo 6'!$D$10</f>
        <v>0</v>
      </c>
      <c r="U14" s="33">
        <f>+'Anexo 13'!U14*'Anexo 6'!$D$10</f>
        <v>0</v>
      </c>
      <c r="V14" s="33">
        <f>+'Anexo 13'!V14*'Anexo 6'!$D$10</f>
        <v>0</v>
      </c>
      <c r="W14" s="33">
        <f>+'Anexo 13'!W14*'Anexo 6'!$D$10</f>
        <v>0</v>
      </c>
      <c r="X14" s="33">
        <f>+'Anexo 13'!X14*'Anexo 6'!$D$10</f>
        <v>0</v>
      </c>
      <c r="Y14" s="33">
        <f>+'Anexo 13'!Y14*'Anexo 6'!$D$10</f>
        <v>0</v>
      </c>
      <c r="Z14" s="33">
        <f>+'Anexo 13'!Z14*'Anexo 6'!$D$10</f>
        <v>0</v>
      </c>
      <c r="AA14" s="41">
        <f t="shared" si="0"/>
        <v>0</v>
      </c>
      <c r="AB14" s="23">
        <v>6</v>
      </c>
      <c r="AC14" s="81"/>
      <c r="AD14" s="45"/>
    </row>
    <row r="15" spans="1:30" ht="15.75" thickBot="1" x14ac:dyDescent="0.3">
      <c r="A15" s="78">
        <v>47939</v>
      </c>
      <c r="B15" s="18" t="s">
        <v>8</v>
      </c>
      <c r="C15" s="33">
        <f>+'Anexo 13'!C15*'Anexo 6'!$D$10</f>
        <v>0</v>
      </c>
      <c r="D15" s="33">
        <f>+'Anexo 13'!D15*'Anexo 6'!$D$10</f>
        <v>0</v>
      </c>
      <c r="E15" s="33">
        <f>+'Anexo 13'!E15*'Anexo 6'!$D$10</f>
        <v>0</v>
      </c>
      <c r="F15" s="33">
        <f>+'Anexo 13'!F15*'Anexo 6'!$D$10</f>
        <v>0</v>
      </c>
      <c r="G15" s="33">
        <f>+'Anexo 13'!G15*'Anexo 6'!$D$10</f>
        <v>0</v>
      </c>
      <c r="H15" s="33">
        <f>+'Anexo 13'!H15*'Anexo 6'!$D$10</f>
        <v>0</v>
      </c>
      <c r="I15" s="33">
        <f>+'Anexo 13'!I15*'Anexo 6'!$D$10</f>
        <v>0</v>
      </c>
      <c r="J15" s="33">
        <f>+'Anexo 13'!J15*'Anexo 6'!$D$10</f>
        <v>0</v>
      </c>
      <c r="K15" s="33">
        <f>+'Anexo 13'!K15*'Anexo 6'!$D$10</f>
        <v>0</v>
      </c>
      <c r="L15" s="33">
        <f>+'Anexo 13'!L15*'Anexo 6'!$D$10</f>
        <v>0</v>
      </c>
      <c r="M15" s="33">
        <f>+'Anexo 13'!M15*'Anexo 6'!$D$10</f>
        <v>0</v>
      </c>
      <c r="N15" s="33">
        <f>+'Anexo 13'!N15*'Anexo 6'!$D$10</f>
        <v>0</v>
      </c>
      <c r="O15" s="33">
        <f>+'Anexo 13'!O15*'Anexo 6'!$D$10</f>
        <v>0</v>
      </c>
      <c r="P15" s="33">
        <f>+'Anexo 13'!P15*'Anexo 6'!$D$10</f>
        <v>0</v>
      </c>
      <c r="Q15" s="33">
        <f>+'Anexo 13'!Q15*'Anexo 6'!$D$10</f>
        <v>0</v>
      </c>
      <c r="R15" s="33">
        <f>+'Anexo 13'!R15*'Anexo 6'!$D$10</f>
        <v>0</v>
      </c>
      <c r="S15" s="33">
        <f>+'Anexo 13'!S15*'Anexo 6'!$D$10</f>
        <v>0</v>
      </c>
      <c r="T15" s="33">
        <f>+'Anexo 13'!T15*'Anexo 6'!$D$10</f>
        <v>0</v>
      </c>
      <c r="U15" s="33">
        <f>+'Anexo 13'!U15*'Anexo 6'!$D$10</f>
        <v>0</v>
      </c>
      <c r="V15" s="33">
        <f>+'Anexo 13'!V15*'Anexo 6'!$D$10</f>
        <v>0</v>
      </c>
      <c r="W15" s="33">
        <f>+'Anexo 13'!W15*'Anexo 6'!$D$10</f>
        <v>0</v>
      </c>
      <c r="X15" s="33">
        <f>+'Anexo 13'!X15*'Anexo 6'!$D$10</f>
        <v>0</v>
      </c>
      <c r="Y15" s="33">
        <f>+'Anexo 13'!Y15*'Anexo 6'!$D$10</f>
        <v>0</v>
      </c>
      <c r="Z15" s="33">
        <f>+'Anexo 13'!Z15*'Anexo 6'!$D$10</f>
        <v>0</v>
      </c>
      <c r="AA15" s="35">
        <f t="shared" si="0"/>
        <v>0</v>
      </c>
      <c r="AB15" s="19">
        <v>20</v>
      </c>
      <c r="AC15" s="79">
        <f>+AA15*AB15+AA16*AB16+AA17*AB17</f>
        <v>0</v>
      </c>
    </row>
    <row r="16" spans="1:30" ht="15.75" thickBot="1" x14ac:dyDescent="0.3">
      <c r="A16" s="78"/>
      <c r="B16" s="20" t="s">
        <v>7</v>
      </c>
      <c r="C16" s="33">
        <f>+'Anexo 13'!C16*'Anexo 6'!$D$10</f>
        <v>0</v>
      </c>
      <c r="D16" s="33">
        <f>+'Anexo 13'!D16*'Anexo 6'!$D$10</f>
        <v>0</v>
      </c>
      <c r="E16" s="33">
        <f>+'Anexo 13'!E16*'Anexo 6'!$D$10</f>
        <v>0</v>
      </c>
      <c r="F16" s="33">
        <f>+'Anexo 13'!F16*'Anexo 6'!$D$10</f>
        <v>0</v>
      </c>
      <c r="G16" s="33">
        <f>+'Anexo 13'!G16*'Anexo 6'!$D$10</f>
        <v>0</v>
      </c>
      <c r="H16" s="33">
        <f>+'Anexo 13'!H16*'Anexo 6'!$D$10</f>
        <v>0</v>
      </c>
      <c r="I16" s="33">
        <f>+'Anexo 13'!I16*'Anexo 6'!$D$10</f>
        <v>0</v>
      </c>
      <c r="J16" s="33">
        <f>+'Anexo 13'!J16*'Anexo 6'!$D$10</f>
        <v>0</v>
      </c>
      <c r="K16" s="33">
        <f>+'Anexo 13'!K16*'Anexo 6'!$D$10</f>
        <v>0</v>
      </c>
      <c r="L16" s="33">
        <f>+'Anexo 13'!L16*'Anexo 6'!$D$10</f>
        <v>0</v>
      </c>
      <c r="M16" s="33">
        <f>+'Anexo 13'!M16*'Anexo 6'!$D$10</f>
        <v>0</v>
      </c>
      <c r="N16" s="33">
        <f>+'Anexo 13'!N16*'Anexo 6'!$D$10</f>
        <v>0</v>
      </c>
      <c r="O16" s="33">
        <f>+'Anexo 13'!O16*'Anexo 6'!$D$10</f>
        <v>0</v>
      </c>
      <c r="P16" s="33">
        <f>+'Anexo 13'!P16*'Anexo 6'!$D$10</f>
        <v>0</v>
      </c>
      <c r="Q16" s="33">
        <f>+'Anexo 13'!Q16*'Anexo 6'!$D$10</f>
        <v>0</v>
      </c>
      <c r="R16" s="33">
        <f>+'Anexo 13'!R16*'Anexo 6'!$D$10</f>
        <v>0</v>
      </c>
      <c r="S16" s="33">
        <f>+'Anexo 13'!S16*'Anexo 6'!$D$10</f>
        <v>0</v>
      </c>
      <c r="T16" s="33">
        <f>+'Anexo 13'!T16*'Anexo 6'!$D$10</f>
        <v>0</v>
      </c>
      <c r="U16" s="33">
        <f>+'Anexo 13'!U16*'Anexo 6'!$D$10</f>
        <v>0</v>
      </c>
      <c r="V16" s="33">
        <f>+'Anexo 13'!V16*'Anexo 6'!$D$10</f>
        <v>0</v>
      </c>
      <c r="W16" s="33">
        <f>+'Anexo 13'!W16*'Anexo 6'!$D$10</f>
        <v>0</v>
      </c>
      <c r="X16" s="33">
        <f>+'Anexo 13'!X16*'Anexo 6'!$D$10</f>
        <v>0</v>
      </c>
      <c r="Y16" s="33">
        <f>+'Anexo 13'!Y16*'Anexo 6'!$D$10</f>
        <v>0</v>
      </c>
      <c r="Z16" s="33">
        <f>+'Anexo 13'!Z16*'Anexo 6'!$D$10</f>
        <v>0</v>
      </c>
      <c r="AA16" s="38">
        <f t="shared" si="0"/>
        <v>0</v>
      </c>
      <c r="AB16" s="21">
        <v>4</v>
      </c>
      <c r="AC16" s="80"/>
      <c r="AD16" s="47"/>
    </row>
    <row r="17" spans="1:30" ht="15.75" thickBot="1" x14ac:dyDescent="0.3">
      <c r="A17" s="78"/>
      <c r="B17" s="22" t="s">
        <v>6</v>
      </c>
      <c r="C17" s="33">
        <f>+'Anexo 13'!C17*'Anexo 6'!$D$10</f>
        <v>0</v>
      </c>
      <c r="D17" s="33">
        <f>+'Anexo 13'!D17*'Anexo 6'!$D$10</f>
        <v>0</v>
      </c>
      <c r="E17" s="33">
        <f>+'Anexo 13'!E17*'Anexo 6'!$D$10</f>
        <v>0</v>
      </c>
      <c r="F17" s="33">
        <f>+'Anexo 13'!F17*'Anexo 6'!$D$10</f>
        <v>0</v>
      </c>
      <c r="G17" s="33">
        <f>+'Anexo 13'!G17*'Anexo 6'!$D$10</f>
        <v>0</v>
      </c>
      <c r="H17" s="33">
        <f>+'Anexo 13'!H17*'Anexo 6'!$D$10</f>
        <v>0</v>
      </c>
      <c r="I17" s="33">
        <f>+'Anexo 13'!I17*'Anexo 6'!$D$10</f>
        <v>0</v>
      </c>
      <c r="J17" s="33">
        <f>+'Anexo 13'!J17*'Anexo 6'!$D$10</f>
        <v>0</v>
      </c>
      <c r="K17" s="33">
        <f>+'Anexo 13'!K17*'Anexo 6'!$D$10</f>
        <v>0</v>
      </c>
      <c r="L17" s="33">
        <f>+'Anexo 13'!L17*'Anexo 6'!$D$10</f>
        <v>0</v>
      </c>
      <c r="M17" s="33">
        <f>+'Anexo 13'!M17*'Anexo 6'!$D$10</f>
        <v>0</v>
      </c>
      <c r="N17" s="33">
        <f>+'Anexo 13'!N17*'Anexo 6'!$D$10</f>
        <v>0</v>
      </c>
      <c r="O17" s="33">
        <f>+'Anexo 13'!O17*'Anexo 6'!$D$10</f>
        <v>0</v>
      </c>
      <c r="P17" s="33">
        <f>+'Anexo 13'!P17*'Anexo 6'!$D$10</f>
        <v>0</v>
      </c>
      <c r="Q17" s="33">
        <f>+'Anexo 13'!Q17*'Anexo 6'!$D$10</f>
        <v>0</v>
      </c>
      <c r="R17" s="33">
        <f>+'Anexo 13'!R17*'Anexo 6'!$D$10</f>
        <v>0</v>
      </c>
      <c r="S17" s="33">
        <f>+'Anexo 13'!S17*'Anexo 6'!$D$10</f>
        <v>0</v>
      </c>
      <c r="T17" s="33">
        <f>+'Anexo 13'!T17*'Anexo 6'!$D$10</f>
        <v>0</v>
      </c>
      <c r="U17" s="33">
        <f>+'Anexo 13'!U17*'Anexo 6'!$D$10</f>
        <v>0</v>
      </c>
      <c r="V17" s="33">
        <f>+'Anexo 13'!V17*'Anexo 6'!$D$10</f>
        <v>0</v>
      </c>
      <c r="W17" s="33">
        <f>+'Anexo 13'!W17*'Anexo 6'!$D$10</f>
        <v>0</v>
      </c>
      <c r="X17" s="33">
        <f>+'Anexo 13'!X17*'Anexo 6'!$D$10</f>
        <v>0</v>
      </c>
      <c r="Y17" s="33">
        <f>+'Anexo 13'!Y17*'Anexo 6'!$D$10</f>
        <v>0</v>
      </c>
      <c r="Z17" s="33">
        <f>+'Anexo 13'!Z17*'Anexo 6'!$D$10</f>
        <v>0</v>
      </c>
      <c r="AA17" s="41">
        <f t="shared" si="0"/>
        <v>0</v>
      </c>
      <c r="AB17" s="23">
        <v>6</v>
      </c>
      <c r="AC17" s="81"/>
      <c r="AD17" s="48"/>
    </row>
    <row r="18" spans="1:30" ht="15.75" thickBot="1" x14ac:dyDescent="0.3">
      <c r="A18" s="78">
        <v>47969</v>
      </c>
      <c r="B18" s="18" t="s">
        <v>8</v>
      </c>
      <c r="C18" s="33">
        <f>+'Anexo 13'!C18*'Anexo 6'!$D$10</f>
        <v>0</v>
      </c>
      <c r="D18" s="33">
        <f>+'Anexo 13'!D18*'Anexo 6'!$D$10</f>
        <v>0</v>
      </c>
      <c r="E18" s="33">
        <f>+'Anexo 13'!E18*'Anexo 6'!$D$10</f>
        <v>0</v>
      </c>
      <c r="F18" s="33">
        <f>+'Anexo 13'!F18*'Anexo 6'!$D$10</f>
        <v>0</v>
      </c>
      <c r="G18" s="33">
        <f>+'Anexo 13'!G18*'Anexo 6'!$D$10</f>
        <v>0</v>
      </c>
      <c r="H18" s="33">
        <f>+'Anexo 13'!H18*'Anexo 6'!$D$10</f>
        <v>0</v>
      </c>
      <c r="I18" s="33">
        <f>+'Anexo 13'!I18*'Anexo 6'!$D$10</f>
        <v>0</v>
      </c>
      <c r="J18" s="33">
        <f>+'Anexo 13'!J18*'Anexo 6'!$D$10</f>
        <v>0</v>
      </c>
      <c r="K18" s="33">
        <f>+'Anexo 13'!K18*'Anexo 6'!$D$10</f>
        <v>0</v>
      </c>
      <c r="L18" s="33">
        <f>+'Anexo 13'!L18*'Anexo 6'!$D$10</f>
        <v>0</v>
      </c>
      <c r="M18" s="33">
        <f>+'Anexo 13'!M18*'Anexo 6'!$D$10</f>
        <v>0</v>
      </c>
      <c r="N18" s="33">
        <f>+'Anexo 13'!N18*'Anexo 6'!$D$10</f>
        <v>0</v>
      </c>
      <c r="O18" s="33">
        <f>+'Anexo 13'!O18*'Anexo 6'!$D$10</f>
        <v>0</v>
      </c>
      <c r="P18" s="33">
        <f>+'Anexo 13'!P18*'Anexo 6'!$D$10</f>
        <v>0</v>
      </c>
      <c r="Q18" s="33">
        <f>+'Anexo 13'!Q18*'Anexo 6'!$D$10</f>
        <v>0</v>
      </c>
      <c r="R18" s="33">
        <f>+'Anexo 13'!R18*'Anexo 6'!$D$10</f>
        <v>0</v>
      </c>
      <c r="S18" s="33">
        <f>+'Anexo 13'!S18*'Anexo 6'!$D$10</f>
        <v>0</v>
      </c>
      <c r="T18" s="33">
        <f>+'Anexo 13'!T18*'Anexo 6'!$D$10</f>
        <v>0</v>
      </c>
      <c r="U18" s="33">
        <f>+'Anexo 13'!U18*'Anexo 6'!$D$10</f>
        <v>0</v>
      </c>
      <c r="V18" s="33">
        <f>+'Anexo 13'!V18*'Anexo 6'!$D$10</f>
        <v>0</v>
      </c>
      <c r="W18" s="33">
        <f>+'Anexo 13'!W18*'Anexo 6'!$D$10</f>
        <v>0</v>
      </c>
      <c r="X18" s="33">
        <f>+'Anexo 13'!X18*'Anexo 6'!$D$10</f>
        <v>0</v>
      </c>
      <c r="Y18" s="33">
        <f>+'Anexo 13'!Y18*'Anexo 6'!$D$10</f>
        <v>0</v>
      </c>
      <c r="Z18" s="33">
        <f>+'Anexo 13'!Z18*'Anexo 6'!$D$10</f>
        <v>0</v>
      </c>
      <c r="AA18" s="35">
        <f t="shared" si="0"/>
        <v>0</v>
      </c>
      <c r="AB18" s="19">
        <v>20</v>
      </c>
      <c r="AC18" s="79">
        <f>+AA18*AB18+AA19*AB19+AA20*AB20</f>
        <v>0</v>
      </c>
    </row>
    <row r="19" spans="1:30" ht="15.75" thickBot="1" x14ac:dyDescent="0.3">
      <c r="A19" s="78"/>
      <c r="B19" s="20" t="s">
        <v>7</v>
      </c>
      <c r="C19" s="33">
        <f>+'Anexo 13'!C19*'Anexo 6'!$D$10</f>
        <v>0</v>
      </c>
      <c r="D19" s="33">
        <f>+'Anexo 13'!D19*'Anexo 6'!$D$10</f>
        <v>0</v>
      </c>
      <c r="E19" s="33">
        <f>+'Anexo 13'!E19*'Anexo 6'!$D$10</f>
        <v>0</v>
      </c>
      <c r="F19" s="33">
        <f>+'Anexo 13'!F19*'Anexo 6'!$D$10</f>
        <v>0</v>
      </c>
      <c r="G19" s="33">
        <f>+'Anexo 13'!G19*'Anexo 6'!$D$10</f>
        <v>0</v>
      </c>
      <c r="H19" s="33">
        <f>+'Anexo 13'!H19*'Anexo 6'!$D$10</f>
        <v>0</v>
      </c>
      <c r="I19" s="33">
        <f>+'Anexo 13'!I19*'Anexo 6'!$D$10</f>
        <v>0</v>
      </c>
      <c r="J19" s="33">
        <f>+'Anexo 13'!J19*'Anexo 6'!$D$10</f>
        <v>0</v>
      </c>
      <c r="K19" s="33">
        <f>+'Anexo 13'!K19*'Anexo 6'!$D$10</f>
        <v>0</v>
      </c>
      <c r="L19" s="33">
        <f>+'Anexo 13'!L19*'Anexo 6'!$D$10</f>
        <v>0</v>
      </c>
      <c r="M19" s="33">
        <f>+'Anexo 13'!M19*'Anexo 6'!$D$10</f>
        <v>0</v>
      </c>
      <c r="N19" s="33">
        <f>+'Anexo 13'!N19*'Anexo 6'!$D$10</f>
        <v>0</v>
      </c>
      <c r="O19" s="33">
        <f>+'Anexo 13'!O19*'Anexo 6'!$D$10</f>
        <v>0</v>
      </c>
      <c r="P19" s="33">
        <f>+'Anexo 13'!P19*'Anexo 6'!$D$10</f>
        <v>0</v>
      </c>
      <c r="Q19" s="33">
        <f>+'Anexo 13'!Q19*'Anexo 6'!$D$10</f>
        <v>0</v>
      </c>
      <c r="R19" s="33">
        <f>+'Anexo 13'!R19*'Anexo 6'!$D$10</f>
        <v>0</v>
      </c>
      <c r="S19" s="33">
        <f>+'Anexo 13'!S19*'Anexo 6'!$D$10</f>
        <v>0</v>
      </c>
      <c r="T19" s="33">
        <f>+'Anexo 13'!T19*'Anexo 6'!$D$10</f>
        <v>0</v>
      </c>
      <c r="U19" s="33">
        <f>+'Anexo 13'!U19*'Anexo 6'!$D$10</f>
        <v>0</v>
      </c>
      <c r="V19" s="33">
        <f>+'Anexo 13'!V19*'Anexo 6'!$D$10</f>
        <v>0</v>
      </c>
      <c r="W19" s="33">
        <f>+'Anexo 13'!W19*'Anexo 6'!$D$10</f>
        <v>0</v>
      </c>
      <c r="X19" s="33">
        <f>+'Anexo 13'!X19*'Anexo 6'!$D$10</f>
        <v>0</v>
      </c>
      <c r="Y19" s="33">
        <f>+'Anexo 13'!Y19*'Anexo 6'!$D$10</f>
        <v>0</v>
      </c>
      <c r="Z19" s="33">
        <f>+'Anexo 13'!Z19*'Anexo 6'!$D$10</f>
        <v>0</v>
      </c>
      <c r="AA19" s="38">
        <f t="shared" si="0"/>
        <v>0</v>
      </c>
      <c r="AB19" s="21">
        <v>5</v>
      </c>
      <c r="AC19" s="80"/>
      <c r="AD19" s="47"/>
    </row>
    <row r="20" spans="1:30" ht="15.75" thickBot="1" x14ac:dyDescent="0.3">
      <c r="A20" s="78"/>
      <c r="B20" s="22" t="s">
        <v>6</v>
      </c>
      <c r="C20" s="33">
        <f>+'Anexo 13'!C20*'Anexo 6'!$D$10</f>
        <v>0</v>
      </c>
      <c r="D20" s="33">
        <f>+'Anexo 13'!D20*'Anexo 6'!$D$10</f>
        <v>0</v>
      </c>
      <c r="E20" s="33">
        <f>+'Anexo 13'!E20*'Anexo 6'!$D$10</f>
        <v>0</v>
      </c>
      <c r="F20" s="33">
        <f>+'Anexo 13'!F20*'Anexo 6'!$D$10</f>
        <v>0</v>
      </c>
      <c r="G20" s="33">
        <f>+'Anexo 13'!G20*'Anexo 6'!$D$10</f>
        <v>0</v>
      </c>
      <c r="H20" s="33">
        <f>+'Anexo 13'!H20*'Anexo 6'!$D$10</f>
        <v>0</v>
      </c>
      <c r="I20" s="33">
        <f>+'Anexo 13'!I20*'Anexo 6'!$D$10</f>
        <v>0</v>
      </c>
      <c r="J20" s="33">
        <f>+'Anexo 13'!J20*'Anexo 6'!$D$10</f>
        <v>0</v>
      </c>
      <c r="K20" s="33">
        <f>+'Anexo 13'!K20*'Anexo 6'!$D$10</f>
        <v>0</v>
      </c>
      <c r="L20" s="33">
        <f>+'Anexo 13'!L20*'Anexo 6'!$D$10</f>
        <v>0</v>
      </c>
      <c r="M20" s="33">
        <f>+'Anexo 13'!M20*'Anexo 6'!$D$10</f>
        <v>0</v>
      </c>
      <c r="N20" s="33">
        <f>+'Anexo 13'!N20*'Anexo 6'!$D$10</f>
        <v>0</v>
      </c>
      <c r="O20" s="33">
        <f>+'Anexo 13'!O20*'Anexo 6'!$D$10</f>
        <v>0</v>
      </c>
      <c r="P20" s="33">
        <f>+'Anexo 13'!P20*'Anexo 6'!$D$10</f>
        <v>0</v>
      </c>
      <c r="Q20" s="33">
        <f>+'Anexo 13'!Q20*'Anexo 6'!$D$10</f>
        <v>0</v>
      </c>
      <c r="R20" s="33">
        <f>+'Anexo 13'!R20*'Anexo 6'!$D$10</f>
        <v>0</v>
      </c>
      <c r="S20" s="33">
        <f>+'Anexo 13'!S20*'Anexo 6'!$D$10</f>
        <v>0</v>
      </c>
      <c r="T20" s="33">
        <f>+'Anexo 13'!T20*'Anexo 6'!$D$10</f>
        <v>0</v>
      </c>
      <c r="U20" s="33">
        <f>+'Anexo 13'!U20*'Anexo 6'!$D$10</f>
        <v>0</v>
      </c>
      <c r="V20" s="33">
        <f>+'Anexo 13'!V20*'Anexo 6'!$D$10</f>
        <v>0</v>
      </c>
      <c r="W20" s="33">
        <f>+'Anexo 13'!W20*'Anexo 6'!$D$10</f>
        <v>0</v>
      </c>
      <c r="X20" s="33">
        <f>+'Anexo 13'!X20*'Anexo 6'!$D$10</f>
        <v>0</v>
      </c>
      <c r="Y20" s="33">
        <f>+'Anexo 13'!Y20*'Anexo 6'!$D$10</f>
        <v>0</v>
      </c>
      <c r="Z20" s="33">
        <f>+'Anexo 13'!Z20*'Anexo 6'!$D$10</f>
        <v>0</v>
      </c>
      <c r="AA20" s="41">
        <f t="shared" si="0"/>
        <v>0</v>
      </c>
      <c r="AB20" s="23">
        <v>6</v>
      </c>
      <c r="AC20" s="81"/>
      <c r="AD20" s="48"/>
    </row>
    <row r="21" spans="1:30" ht="15.75" thickBot="1" x14ac:dyDescent="0.3">
      <c r="A21" s="78">
        <v>48000</v>
      </c>
      <c r="B21" s="18" t="s">
        <v>8</v>
      </c>
      <c r="C21" s="33">
        <f>+'Anexo 13'!C21*'Anexo 6'!$D$10</f>
        <v>0</v>
      </c>
      <c r="D21" s="33">
        <f>+'Anexo 13'!D21*'Anexo 6'!$D$10</f>
        <v>0</v>
      </c>
      <c r="E21" s="33">
        <f>+'Anexo 13'!E21*'Anexo 6'!$D$10</f>
        <v>0</v>
      </c>
      <c r="F21" s="33">
        <f>+'Anexo 13'!F21*'Anexo 6'!$D$10</f>
        <v>0</v>
      </c>
      <c r="G21" s="33">
        <f>+'Anexo 13'!G21*'Anexo 6'!$D$10</f>
        <v>0</v>
      </c>
      <c r="H21" s="33">
        <f>+'Anexo 13'!H21*'Anexo 6'!$D$10</f>
        <v>0</v>
      </c>
      <c r="I21" s="33">
        <f>+'Anexo 13'!I21*'Anexo 6'!$D$10</f>
        <v>0</v>
      </c>
      <c r="J21" s="33">
        <f>+'Anexo 13'!J21*'Anexo 6'!$D$10</f>
        <v>0</v>
      </c>
      <c r="K21" s="33">
        <f>+'Anexo 13'!K21*'Anexo 6'!$D$10</f>
        <v>0</v>
      </c>
      <c r="L21" s="33">
        <f>+'Anexo 13'!L21*'Anexo 6'!$D$10</f>
        <v>0</v>
      </c>
      <c r="M21" s="33">
        <f>+'Anexo 13'!M21*'Anexo 6'!$D$10</f>
        <v>0</v>
      </c>
      <c r="N21" s="33">
        <f>+'Anexo 13'!N21*'Anexo 6'!$D$10</f>
        <v>0</v>
      </c>
      <c r="O21" s="33">
        <f>+'Anexo 13'!O21*'Anexo 6'!$D$10</f>
        <v>0</v>
      </c>
      <c r="P21" s="33">
        <f>+'Anexo 13'!P21*'Anexo 6'!$D$10</f>
        <v>0</v>
      </c>
      <c r="Q21" s="33">
        <f>+'Anexo 13'!Q21*'Anexo 6'!$D$10</f>
        <v>0</v>
      </c>
      <c r="R21" s="33">
        <f>+'Anexo 13'!R21*'Anexo 6'!$D$10</f>
        <v>0</v>
      </c>
      <c r="S21" s="33">
        <f>+'Anexo 13'!S21*'Anexo 6'!$D$10</f>
        <v>0</v>
      </c>
      <c r="T21" s="33">
        <f>+'Anexo 13'!T21*'Anexo 6'!$D$10</f>
        <v>0</v>
      </c>
      <c r="U21" s="33">
        <f>+'Anexo 13'!U21*'Anexo 6'!$D$10</f>
        <v>0</v>
      </c>
      <c r="V21" s="33">
        <f>+'Anexo 13'!V21*'Anexo 6'!$D$10</f>
        <v>0</v>
      </c>
      <c r="W21" s="33">
        <f>+'Anexo 13'!W21*'Anexo 6'!$D$10</f>
        <v>0</v>
      </c>
      <c r="X21" s="33">
        <f>+'Anexo 13'!X21*'Anexo 6'!$D$10</f>
        <v>0</v>
      </c>
      <c r="Y21" s="33">
        <f>+'Anexo 13'!Y21*'Anexo 6'!$D$10</f>
        <v>0</v>
      </c>
      <c r="Z21" s="33">
        <f>+'Anexo 13'!Z21*'Anexo 6'!$D$10</f>
        <v>0</v>
      </c>
      <c r="AA21" s="35">
        <f t="shared" si="0"/>
        <v>0</v>
      </c>
      <c r="AB21" s="19">
        <v>18</v>
      </c>
      <c r="AC21" s="79">
        <f>+AA21*AB21+AA22*AB22+AA23*AB23</f>
        <v>0</v>
      </c>
    </row>
    <row r="22" spans="1:30" ht="15.75" thickBot="1" x14ac:dyDescent="0.3">
      <c r="A22" s="78"/>
      <c r="B22" s="20" t="s">
        <v>7</v>
      </c>
      <c r="C22" s="33">
        <f>+'Anexo 13'!C22*'Anexo 6'!$D$10</f>
        <v>0</v>
      </c>
      <c r="D22" s="33">
        <f>+'Anexo 13'!D22*'Anexo 6'!$D$10</f>
        <v>0</v>
      </c>
      <c r="E22" s="33">
        <f>+'Anexo 13'!E22*'Anexo 6'!$D$10</f>
        <v>0</v>
      </c>
      <c r="F22" s="33">
        <f>+'Anexo 13'!F22*'Anexo 6'!$D$10</f>
        <v>0</v>
      </c>
      <c r="G22" s="33">
        <f>+'Anexo 13'!G22*'Anexo 6'!$D$10</f>
        <v>0</v>
      </c>
      <c r="H22" s="33">
        <f>+'Anexo 13'!H22*'Anexo 6'!$D$10</f>
        <v>0</v>
      </c>
      <c r="I22" s="33">
        <f>+'Anexo 13'!I22*'Anexo 6'!$D$10</f>
        <v>0</v>
      </c>
      <c r="J22" s="33">
        <f>+'Anexo 13'!J22*'Anexo 6'!$D$10</f>
        <v>0</v>
      </c>
      <c r="K22" s="33">
        <f>+'Anexo 13'!K22*'Anexo 6'!$D$10</f>
        <v>0</v>
      </c>
      <c r="L22" s="33">
        <f>+'Anexo 13'!L22*'Anexo 6'!$D$10</f>
        <v>0</v>
      </c>
      <c r="M22" s="33">
        <f>+'Anexo 13'!M22*'Anexo 6'!$D$10</f>
        <v>0</v>
      </c>
      <c r="N22" s="33">
        <f>+'Anexo 13'!N22*'Anexo 6'!$D$10</f>
        <v>0</v>
      </c>
      <c r="O22" s="33">
        <f>+'Anexo 13'!O22*'Anexo 6'!$D$10</f>
        <v>0</v>
      </c>
      <c r="P22" s="33">
        <f>+'Anexo 13'!P22*'Anexo 6'!$D$10</f>
        <v>0</v>
      </c>
      <c r="Q22" s="33">
        <f>+'Anexo 13'!Q22*'Anexo 6'!$D$10</f>
        <v>0</v>
      </c>
      <c r="R22" s="33">
        <f>+'Anexo 13'!R22*'Anexo 6'!$D$10</f>
        <v>0</v>
      </c>
      <c r="S22" s="33">
        <f>+'Anexo 13'!S22*'Anexo 6'!$D$10</f>
        <v>0</v>
      </c>
      <c r="T22" s="33">
        <f>+'Anexo 13'!T22*'Anexo 6'!$D$10</f>
        <v>0</v>
      </c>
      <c r="U22" s="33">
        <f>+'Anexo 13'!U22*'Anexo 6'!$D$10</f>
        <v>0</v>
      </c>
      <c r="V22" s="33">
        <f>+'Anexo 13'!V22*'Anexo 6'!$D$10</f>
        <v>0</v>
      </c>
      <c r="W22" s="33">
        <f>+'Anexo 13'!W22*'Anexo 6'!$D$10</f>
        <v>0</v>
      </c>
      <c r="X22" s="33">
        <f>+'Anexo 13'!X22*'Anexo 6'!$D$10</f>
        <v>0</v>
      </c>
      <c r="Y22" s="33">
        <f>+'Anexo 13'!Y22*'Anexo 6'!$D$10</f>
        <v>0</v>
      </c>
      <c r="Z22" s="33">
        <f>+'Anexo 13'!Z22*'Anexo 6'!$D$10</f>
        <v>0</v>
      </c>
      <c r="AA22" s="38">
        <f t="shared" si="0"/>
        <v>0</v>
      </c>
      <c r="AB22" s="21">
        <v>4</v>
      </c>
      <c r="AC22" s="80"/>
      <c r="AD22" s="47"/>
    </row>
    <row r="23" spans="1:30" ht="15.75" thickBot="1" x14ac:dyDescent="0.3">
      <c r="A23" s="78"/>
      <c r="B23" s="22" t="s">
        <v>6</v>
      </c>
      <c r="C23" s="33">
        <f>+'Anexo 13'!C23*'Anexo 6'!$D$10</f>
        <v>0</v>
      </c>
      <c r="D23" s="33">
        <f>+'Anexo 13'!D23*'Anexo 6'!$D$10</f>
        <v>0</v>
      </c>
      <c r="E23" s="33">
        <f>+'Anexo 13'!E23*'Anexo 6'!$D$10</f>
        <v>0</v>
      </c>
      <c r="F23" s="33">
        <f>+'Anexo 13'!F23*'Anexo 6'!$D$10</f>
        <v>0</v>
      </c>
      <c r="G23" s="33">
        <f>+'Anexo 13'!G23*'Anexo 6'!$D$10</f>
        <v>0</v>
      </c>
      <c r="H23" s="33">
        <f>+'Anexo 13'!H23*'Anexo 6'!$D$10</f>
        <v>0</v>
      </c>
      <c r="I23" s="33">
        <f>+'Anexo 13'!I23*'Anexo 6'!$D$10</f>
        <v>0</v>
      </c>
      <c r="J23" s="33">
        <f>+'Anexo 13'!J23*'Anexo 6'!$D$10</f>
        <v>0</v>
      </c>
      <c r="K23" s="33">
        <f>+'Anexo 13'!K23*'Anexo 6'!$D$10</f>
        <v>0</v>
      </c>
      <c r="L23" s="33">
        <f>+'Anexo 13'!L23*'Anexo 6'!$D$10</f>
        <v>0</v>
      </c>
      <c r="M23" s="33">
        <f>+'Anexo 13'!M23*'Anexo 6'!$D$10</f>
        <v>0</v>
      </c>
      <c r="N23" s="33">
        <f>+'Anexo 13'!N23*'Anexo 6'!$D$10</f>
        <v>0</v>
      </c>
      <c r="O23" s="33">
        <f>+'Anexo 13'!O23*'Anexo 6'!$D$10</f>
        <v>0</v>
      </c>
      <c r="P23" s="33">
        <f>+'Anexo 13'!P23*'Anexo 6'!$D$10</f>
        <v>0</v>
      </c>
      <c r="Q23" s="33">
        <f>+'Anexo 13'!Q23*'Anexo 6'!$D$10</f>
        <v>0</v>
      </c>
      <c r="R23" s="33">
        <f>+'Anexo 13'!R23*'Anexo 6'!$D$10</f>
        <v>0</v>
      </c>
      <c r="S23" s="33">
        <f>+'Anexo 13'!S23*'Anexo 6'!$D$10</f>
        <v>0</v>
      </c>
      <c r="T23" s="33">
        <f>+'Anexo 13'!T23*'Anexo 6'!$D$10</f>
        <v>0</v>
      </c>
      <c r="U23" s="33">
        <f>+'Anexo 13'!U23*'Anexo 6'!$D$10</f>
        <v>0</v>
      </c>
      <c r="V23" s="33">
        <f>+'Anexo 13'!V23*'Anexo 6'!$D$10</f>
        <v>0</v>
      </c>
      <c r="W23" s="33">
        <f>+'Anexo 13'!W23*'Anexo 6'!$D$10</f>
        <v>0</v>
      </c>
      <c r="X23" s="33">
        <f>+'Anexo 13'!X23*'Anexo 6'!$D$10</f>
        <v>0</v>
      </c>
      <c r="Y23" s="33">
        <f>+'Anexo 13'!Y23*'Anexo 6'!$D$10</f>
        <v>0</v>
      </c>
      <c r="Z23" s="33">
        <f>+'Anexo 13'!Z23*'Anexo 6'!$D$10</f>
        <v>0</v>
      </c>
      <c r="AA23" s="41">
        <f t="shared" si="0"/>
        <v>0</v>
      </c>
      <c r="AB23" s="23">
        <v>8</v>
      </c>
      <c r="AC23" s="81"/>
      <c r="AD23" s="48"/>
    </row>
    <row r="24" spans="1:30" ht="15.75" thickBot="1" x14ac:dyDescent="0.3">
      <c r="A24" s="78">
        <v>48030</v>
      </c>
      <c r="B24" s="18" t="s">
        <v>8</v>
      </c>
      <c r="C24" s="33">
        <f>+'Anexo 13'!C24*'Anexo 6'!$D$10</f>
        <v>0</v>
      </c>
      <c r="D24" s="33">
        <f>+'Anexo 13'!D24*'Anexo 6'!$D$10</f>
        <v>0</v>
      </c>
      <c r="E24" s="33">
        <f>+'Anexo 13'!E24*'Anexo 6'!$D$10</f>
        <v>0</v>
      </c>
      <c r="F24" s="33">
        <f>+'Anexo 13'!F24*'Anexo 6'!$D$10</f>
        <v>0</v>
      </c>
      <c r="G24" s="33">
        <f>+'Anexo 13'!G24*'Anexo 6'!$D$10</f>
        <v>0</v>
      </c>
      <c r="H24" s="33">
        <f>+'Anexo 13'!H24*'Anexo 6'!$D$10</f>
        <v>0</v>
      </c>
      <c r="I24" s="33">
        <f>+'Anexo 13'!I24*'Anexo 6'!$D$10</f>
        <v>0</v>
      </c>
      <c r="J24" s="33">
        <f>+'Anexo 13'!J24*'Anexo 6'!$D$10</f>
        <v>0</v>
      </c>
      <c r="K24" s="33">
        <f>+'Anexo 13'!K24*'Anexo 6'!$D$10</f>
        <v>0</v>
      </c>
      <c r="L24" s="33">
        <f>+'Anexo 13'!L24*'Anexo 6'!$D$10</f>
        <v>0</v>
      </c>
      <c r="M24" s="33">
        <f>+'Anexo 13'!M24*'Anexo 6'!$D$10</f>
        <v>0</v>
      </c>
      <c r="N24" s="33">
        <f>+'Anexo 13'!N24*'Anexo 6'!$D$10</f>
        <v>0</v>
      </c>
      <c r="O24" s="33">
        <f>+'Anexo 13'!O24*'Anexo 6'!$D$10</f>
        <v>0</v>
      </c>
      <c r="P24" s="33">
        <f>+'Anexo 13'!P24*'Anexo 6'!$D$10</f>
        <v>0</v>
      </c>
      <c r="Q24" s="33">
        <f>+'Anexo 13'!Q24*'Anexo 6'!$D$10</f>
        <v>0</v>
      </c>
      <c r="R24" s="33">
        <f>+'Anexo 13'!R24*'Anexo 6'!$D$10</f>
        <v>0</v>
      </c>
      <c r="S24" s="33">
        <f>+'Anexo 13'!S24*'Anexo 6'!$D$10</f>
        <v>0</v>
      </c>
      <c r="T24" s="33">
        <f>+'Anexo 13'!T24*'Anexo 6'!$D$10</f>
        <v>0</v>
      </c>
      <c r="U24" s="33">
        <f>+'Anexo 13'!U24*'Anexo 6'!$D$10</f>
        <v>0</v>
      </c>
      <c r="V24" s="33">
        <f>+'Anexo 13'!V24*'Anexo 6'!$D$10</f>
        <v>0</v>
      </c>
      <c r="W24" s="33">
        <f>+'Anexo 13'!W24*'Anexo 6'!$D$10</f>
        <v>0</v>
      </c>
      <c r="X24" s="33">
        <f>+'Anexo 13'!X24*'Anexo 6'!$D$10</f>
        <v>0</v>
      </c>
      <c r="Y24" s="33">
        <f>+'Anexo 13'!Y24*'Anexo 6'!$D$10</f>
        <v>0</v>
      </c>
      <c r="Z24" s="33">
        <f>+'Anexo 13'!Z24*'Anexo 6'!$D$10</f>
        <v>0</v>
      </c>
      <c r="AA24" s="35">
        <f t="shared" si="0"/>
        <v>0</v>
      </c>
      <c r="AB24" s="19">
        <v>23</v>
      </c>
      <c r="AC24" s="79">
        <f>+AA24*AB24+AA25*AB25+AA26*AB26</f>
        <v>0</v>
      </c>
    </row>
    <row r="25" spans="1:30" ht="15.75" thickBot="1" x14ac:dyDescent="0.3">
      <c r="A25" s="78"/>
      <c r="B25" s="20" t="s">
        <v>7</v>
      </c>
      <c r="C25" s="33">
        <f>+'Anexo 13'!C25*'Anexo 6'!$D$10</f>
        <v>0</v>
      </c>
      <c r="D25" s="33">
        <f>+'Anexo 13'!D25*'Anexo 6'!$D$10</f>
        <v>0</v>
      </c>
      <c r="E25" s="33">
        <f>+'Anexo 13'!E25*'Anexo 6'!$D$10</f>
        <v>0</v>
      </c>
      <c r="F25" s="33">
        <f>+'Anexo 13'!F25*'Anexo 6'!$D$10</f>
        <v>0</v>
      </c>
      <c r="G25" s="33">
        <f>+'Anexo 13'!G25*'Anexo 6'!$D$10</f>
        <v>0</v>
      </c>
      <c r="H25" s="33">
        <f>+'Anexo 13'!H25*'Anexo 6'!$D$10</f>
        <v>0</v>
      </c>
      <c r="I25" s="33">
        <f>+'Anexo 13'!I25*'Anexo 6'!$D$10</f>
        <v>0</v>
      </c>
      <c r="J25" s="33">
        <f>+'Anexo 13'!J25*'Anexo 6'!$D$10</f>
        <v>0</v>
      </c>
      <c r="K25" s="33">
        <f>+'Anexo 13'!K25*'Anexo 6'!$D$10</f>
        <v>0</v>
      </c>
      <c r="L25" s="33">
        <f>+'Anexo 13'!L25*'Anexo 6'!$D$10</f>
        <v>0</v>
      </c>
      <c r="M25" s="33">
        <f>+'Anexo 13'!M25*'Anexo 6'!$D$10</f>
        <v>0</v>
      </c>
      <c r="N25" s="33">
        <f>+'Anexo 13'!N25*'Anexo 6'!$D$10</f>
        <v>0</v>
      </c>
      <c r="O25" s="33">
        <f>+'Anexo 13'!O25*'Anexo 6'!$D$10</f>
        <v>0</v>
      </c>
      <c r="P25" s="33">
        <f>+'Anexo 13'!P25*'Anexo 6'!$D$10</f>
        <v>0</v>
      </c>
      <c r="Q25" s="33">
        <f>+'Anexo 13'!Q25*'Anexo 6'!$D$10</f>
        <v>0</v>
      </c>
      <c r="R25" s="33">
        <f>+'Anexo 13'!R25*'Anexo 6'!$D$10</f>
        <v>0</v>
      </c>
      <c r="S25" s="33">
        <f>+'Anexo 13'!S25*'Anexo 6'!$D$10</f>
        <v>0</v>
      </c>
      <c r="T25" s="33">
        <f>+'Anexo 13'!T25*'Anexo 6'!$D$10</f>
        <v>0</v>
      </c>
      <c r="U25" s="33">
        <f>+'Anexo 13'!U25*'Anexo 6'!$D$10</f>
        <v>0</v>
      </c>
      <c r="V25" s="33">
        <f>+'Anexo 13'!V25*'Anexo 6'!$D$10</f>
        <v>0</v>
      </c>
      <c r="W25" s="33">
        <f>+'Anexo 13'!W25*'Anexo 6'!$D$10</f>
        <v>0</v>
      </c>
      <c r="X25" s="33">
        <f>+'Anexo 13'!X25*'Anexo 6'!$D$10</f>
        <v>0</v>
      </c>
      <c r="Y25" s="33">
        <f>+'Anexo 13'!Y25*'Anexo 6'!$D$10</f>
        <v>0</v>
      </c>
      <c r="Z25" s="33">
        <f>+'Anexo 13'!Z25*'Anexo 6'!$D$10</f>
        <v>0</v>
      </c>
      <c r="AA25" s="38">
        <f t="shared" si="0"/>
        <v>0</v>
      </c>
      <c r="AB25" s="21">
        <v>4</v>
      </c>
      <c r="AC25" s="80"/>
      <c r="AD25" s="47"/>
    </row>
    <row r="26" spans="1:30" ht="15.75" thickBot="1" x14ac:dyDescent="0.3">
      <c r="A26" s="78"/>
      <c r="B26" s="22" t="s">
        <v>6</v>
      </c>
      <c r="C26" s="33">
        <f>+'Anexo 13'!C26*'Anexo 6'!$D$10</f>
        <v>0</v>
      </c>
      <c r="D26" s="33">
        <f>+'Anexo 13'!D26*'Anexo 6'!$D$10</f>
        <v>0</v>
      </c>
      <c r="E26" s="33">
        <f>+'Anexo 13'!E26*'Anexo 6'!$D$10</f>
        <v>0</v>
      </c>
      <c r="F26" s="33">
        <f>+'Anexo 13'!F26*'Anexo 6'!$D$10</f>
        <v>0</v>
      </c>
      <c r="G26" s="33">
        <f>+'Anexo 13'!G26*'Anexo 6'!$D$10</f>
        <v>0</v>
      </c>
      <c r="H26" s="33">
        <f>+'Anexo 13'!H26*'Anexo 6'!$D$10</f>
        <v>0</v>
      </c>
      <c r="I26" s="33">
        <f>+'Anexo 13'!I26*'Anexo 6'!$D$10</f>
        <v>0</v>
      </c>
      <c r="J26" s="33">
        <f>+'Anexo 13'!J26*'Anexo 6'!$D$10</f>
        <v>0</v>
      </c>
      <c r="K26" s="33">
        <f>+'Anexo 13'!K26*'Anexo 6'!$D$10</f>
        <v>0</v>
      </c>
      <c r="L26" s="33">
        <f>+'Anexo 13'!L26*'Anexo 6'!$D$10</f>
        <v>0</v>
      </c>
      <c r="M26" s="33">
        <f>+'Anexo 13'!M26*'Anexo 6'!$D$10</f>
        <v>0</v>
      </c>
      <c r="N26" s="33">
        <f>+'Anexo 13'!N26*'Anexo 6'!$D$10</f>
        <v>0</v>
      </c>
      <c r="O26" s="33">
        <f>+'Anexo 13'!O26*'Anexo 6'!$D$10</f>
        <v>0</v>
      </c>
      <c r="P26" s="33">
        <f>+'Anexo 13'!P26*'Anexo 6'!$D$10</f>
        <v>0</v>
      </c>
      <c r="Q26" s="33">
        <f>+'Anexo 13'!Q26*'Anexo 6'!$D$10</f>
        <v>0</v>
      </c>
      <c r="R26" s="33">
        <f>+'Anexo 13'!R26*'Anexo 6'!$D$10</f>
        <v>0</v>
      </c>
      <c r="S26" s="33">
        <f>+'Anexo 13'!S26*'Anexo 6'!$D$10</f>
        <v>0</v>
      </c>
      <c r="T26" s="33">
        <f>+'Anexo 13'!T26*'Anexo 6'!$D$10</f>
        <v>0</v>
      </c>
      <c r="U26" s="33">
        <f>+'Anexo 13'!U26*'Anexo 6'!$D$10</f>
        <v>0</v>
      </c>
      <c r="V26" s="33">
        <f>+'Anexo 13'!V26*'Anexo 6'!$D$10</f>
        <v>0</v>
      </c>
      <c r="W26" s="33">
        <f>+'Anexo 13'!W26*'Anexo 6'!$D$10</f>
        <v>0</v>
      </c>
      <c r="X26" s="33">
        <f>+'Anexo 13'!X26*'Anexo 6'!$D$10</f>
        <v>0</v>
      </c>
      <c r="Y26" s="33">
        <f>+'Anexo 13'!Y26*'Anexo 6'!$D$10</f>
        <v>0</v>
      </c>
      <c r="Z26" s="33">
        <f>+'Anexo 13'!Z26*'Anexo 6'!$D$10</f>
        <v>0</v>
      </c>
      <c r="AA26" s="41">
        <f t="shared" si="0"/>
        <v>0</v>
      </c>
      <c r="AB26" s="23">
        <v>4</v>
      </c>
      <c r="AC26" s="81"/>
      <c r="AD26" s="48"/>
    </row>
    <row r="27" spans="1:30" ht="15.75" thickBot="1" x14ac:dyDescent="0.3">
      <c r="A27" s="78">
        <v>48061</v>
      </c>
      <c r="B27" s="18" t="s">
        <v>8</v>
      </c>
      <c r="C27" s="33">
        <f>+'Anexo 13'!C27*'Anexo 6'!$D$10</f>
        <v>0</v>
      </c>
      <c r="D27" s="33">
        <f>+'Anexo 13'!D27*'Anexo 6'!$D$10</f>
        <v>0</v>
      </c>
      <c r="E27" s="33">
        <f>+'Anexo 13'!E27*'Anexo 6'!$D$10</f>
        <v>0</v>
      </c>
      <c r="F27" s="33">
        <f>+'Anexo 13'!F27*'Anexo 6'!$D$10</f>
        <v>0</v>
      </c>
      <c r="G27" s="33">
        <f>+'Anexo 13'!G27*'Anexo 6'!$D$10</f>
        <v>0</v>
      </c>
      <c r="H27" s="33">
        <f>+'Anexo 13'!H27*'Anexo 6'!$D$10</f>
        <v>0</v>
      </c>
      <c r="I27" s="33">
        <f>+'Anexo 13'!I27*'Anexo 6'!$D$10</f>
        <v>0</v>
      </c>
      <c r="J27" s="33">
        <f>+'Anexo 13'!J27*'Anexo 6'!$D$10</f>
        <v>0</v>
      </c>
      <c r="K27" s="33">
        <f>+'Anexo 13'!K27*'Anexo 6'!$D$10</f>
        <v>0</v>
      </c>
      <c r="L27" s="33">
        <f>+'Anexo 13'!L27*'Anexo 6'!$D$10</f>
        <v>0</v>
      </c>
      <c r="M27" s="33">
        <f>+'Anexo 13'!M27*'Anexo 6'!$D$10</f>
        <v>0</v>
      </c>
      <c r="N27" s="33">
        <f>+'Anexo 13'!N27*'Anexo 6'!$D$10</f>
        <v>0</v>
      </c>
      <c r="O27" s="33">
        <f>+'Anexo 13'!O27*'Anexo 6'!$D$10</f>
        <v>0</v>
      </c>
      <c r="P27" s="33">
        <f>+'Anexo 13'!P27*'Anexo 6'!$D$10</f>
        <v>0</v>
      </c>
      <c r="Q27" s="33">
        <f>+'Anexo 13'!Q27*'Anexo 6'!$D$10</f>
        <v>0</v>
      </c>
      <c r="R27" s="33">
        <f>+'Anexo 13'!R27*'Anexo 6'!$D$10</f>
        <v>0</v>
      </c>
      <c r="S27" s="33">
        <f>+'Anexo 13'!S27*'Anexo 6'!$D$10</f>
        <v>0</v>
      </c>
      <c r="T27" s="33">
        <f>+'Anexo 13'!T27*'Anexo 6'!$D$10</f>
        <v>0</v>
      </c>
      <c r="U27" s="33">
        <f>+'Anexo 13'!U27*'Anexo 6'!$D$10</f>
        <v>0</v>
      </c>
      <c r="V27" s="33">
        <f>+'Anexo 13'!V27*'Anexo 6'!$D$10</f>
        <v>0</v>
      </c>
      <c r="W27" s="33">
        <f>+'Anexo 13'!W27*'Anexo 6'!$D$10</f>
        <v>0</v>
      </c>
      <c r="X27" s="33">
        <f>+'Anexo 13'!X27*'Anexo 6'!$D$10</f>
        <v>0</v>
      </c>
      <c r="Y27" s="33">
        <f>+'Anexo 13'!Y27*'Anexo 6'!$D$10</f>
        <v>0</v>
      </c>
      <c r="Z27" s="33">
        <f>+'Anexo 13'!Z27*'Anexo 6'!$D$10</f>
        <v>0</v>
      </c>
      <c r="AA27" s="35">
        <f t="shared" si="0"/>
        <v>0</v>
      </c>
      <c r="AB27" s="19">
        <v>19</v>
      </c>
      <c r="AC27" s="79">
        <f>+AA27*AB27+AA28*AB28+AA29*AB29</f>
        <v>0</v>
      </c>
    </row>
    <row r="28" spans="1:30" ht="15.75" thickBot="1" x14ac:dyDescent="0.3">
      <c r="A28" s="78"/>
      <c r="B28" s="20" t="s">
        <v>7</v>
      </c>
      <c r="C28" s="33">
        <f>+'Anexo 13'!C28*'Anexo 6'!$D$10</f>
        <v>0</v>
      </c>
      <c r="D28" s="33">
        <f>+'Anexo 13'!D28*'Anexo 6'!$D$10</f>
        <v>0</v>
      </c>
      <c r="E28" s="33">
        <f>+'Anexo 13'!E28*'Anexo 6'!$D$10</f>
        <v>0</v>
      </c>
      <c r="F28" s="33">
        <f>+'Anexo 13'!F28*'Anexo 6'!$D$10</f>
        <v>0</v>
      </c>
      <c r="G28" s="33">
        <f>+'Anexo 13'!G28*'Anexo 6'!$D$10</f>
        <v>0</v>
      </c>
      <c r="H28" s="33">
        <f>+'Anexo 13'!H28*'Anexo 6'!$D$10</f>
        <v>0</v>
      </c>
      <c r="I28" s="33">
        <f>+'Anexo 13'!I28*'Anexo 6'!$D$10</f>
        <v>0</v>
      </c>
      <c r="J28" s="33">
        <f>+'Anexo 13'!J28*'Anexo 6'!$D$10</f>
        <v>0</v>
      </c>
      <c r="K28" s="33">
        <f>+'Anexo 13'!K28*'Anexo 6'!$D$10</f>
        <v>0</v>
      </c>
      <c r="L28" s="33">
        <f>+'Anexo 13'!L28*'Anexo 6'!$D$10</f>
        <v>0</v>
      </c>
      <c r="M28" s="33">
        <f>+'Anexo 13'!M28*'Anexo 6'!$D$10</f>
        <v>0</v>
      </c>
      <c r="N28" s="33">
        <f>+'Anexo 13'!N28*'Anexo 6'!$D$10</f>
        <v>0</v>
      </c>
      <c r="O28" s="33">
        <f>+'Anexo 13'!O28*'Anexo 6'!$D$10</f>
        <v>0</v>
      </c>
      <c r="P28" s="33">
        <f>+'Anexo 13'!P28*'Anexo 6'!$D$10</f>
        <v>0</v>
      </c>
      <c r="Q28" s="33">
        <f>+'Anexo 13'!Q28*'Anexo 6'!$D$10</f>
        <v>0</v>
      </c>
      <c r="R28" s="33">
        <f>+'Anexo 13'!R28*'Anexo 6'!$D$10</f>
        <v>0</v>
      </c>
      <c r="S28" s="33">
        <f>+'Anexo 13'!S28*'Anexo 6'!$D$10</f>
        <v>0</v>
      </c>
      <c r="T28" s="33">
        <f>+'Anexo 13'!T28*'Anexo 6'!$D$10</f>
        <v>0</v>
      </c>
      <c r="U28" s="33">
        <f>+'Anexo 13'!U28*'Anexo 6'!$D$10</f>
        <v>0</v>
      </c>
      <c r="V28" s="33">
        <f>+'Anexo 13'!V28*'Anexo 6'!$D$10</f>
        <v>0</v>
      </c>
      <c r="W28" s="33">
        <f>+'Anexo 13'!W28*'Anexo 6'!$D$10</f>
        <v>0</v>
      </c>
      <c r="X28" s="33">
        <f>+'Anexo 13'!X28*'Anexo 6'!$D$10</f>
        <v>0</v>
      </c>
      <c r="Y28" s="33">
        <f>+'Anexo 13'!Y28*'Anexo 6'!$D$10</f>
        <v>0</v>
      </c>
      <c r="Z28" s="33">
        <f>+'Anexo 13'!Z28*'Anexo 6'!$D$10</f>
        <v>0</v>
      </c>
      <c r="AA28" s="38">
        <f t="shared" si="0"/>
        <v>0</v>
      </c>
      <c r="AB28" s="21">
        <v>5</v>
      </c>
      <c r="AC28" s="80"/>
      <c r="AD28" s="47"/>
    </row>
    <row r="29" spans="1:30" ht="15.75" thickBot="1" x14ac:dyDescent="0.3">
      <c r="A29" s="78"/>
      <c r="B29" s="22" t="s">
        <v>6</v>
      </c>
      <c r="C29" s="33">
        <f>+'Anexo 13'!C29*'Anexo 6'!$D$10</f>
        <v>0</v>
      </c>
      <c r="D29" s="33">
        <f>+'Anexo 13'!D29*'Anexo 6'!$D$10</f>
        <v>0</v>
      </c>
      <c r="E29" s="33">
        <f>+'Anexo 13'!E29*'Anexo 6'!$D$10</f>
        <v>0</v>
      </c>
      <c r="F29" s="33">
        <f>+'Anexo 13'!F29*'Anexo 6'!$D$10</f>
        <v>0</v>
      </c>
      <c r="G29" s="33">
        <f>+'Anexo 13'!G29*'Anexo 6'!$D$10</f>
        <v>0</v>
      </c>
      <c r="H29" s="33">
        <f>+'Anexo 13'!H29*'Anexo 6'!$D$10</f>
        <v>0</v>
      </c>
      <c r="I29" s="33">
        <f>+'Anexo 13'!I29*'Anexo 6'!$D$10</f>
        <v>0</v>
      </c>
      <c r="J29" s="33">
        <f>+'Anexo 13'!J29*'Anexo 6'!$D$10</f>
        <v>0</v>
      </c>
      <c r="K29" s="33">
        <f>+'Anexo 13'!K29*'Anexo 6'!$D$10</f>
        <v>0</v>
      </c>
      <c r="L29" s="33">
        <f>+'Anexo 13'!L29*'Anexo 6'!$D$10</f>
        <v>0</v>
      </c>
      <c r="M29" s="33">
        <f>+'Anexo 13'!M29*'Anexo 6'!$D$10</f>
        <v>0</v>
      </c>
      <c r="N29" s="33">
        <f>+'Anexo 13'!N29*'Anexo 6'!$D$10</f>
        <v>0</v>
      </c>
      <c r="O29" s="33">
        <f>+'Anexo 13'!O29*'Anexo 6'!$D$10</f>
        <v>0</v>
      </c>
      <c r="P29" s="33">
        <f>+'Anexo 13'!P29*'Anexo 6'!$D$10</f>
        <v>0</v>
      </c>
      <c r="Q29" s="33">
        <f>+'Anexo 13'!Q29*'Anexo 6'!$D$10</f>
        <v>0</v>
      </c>
      <c r="R29" s="33">
        <f>+'Anexo 13'!R29*'Anexo 6'!$D$10</f>
        <v>0</v>
      </c>
      <c r="S29" s="33">
        <f>+'Anexo 13'!S29*'Anexo 6'!$D$10</f>
        <v>0</v>
      </c>
      <c r="T29" s="33">
        <f>+'Anexo 13'!T29*'Anexo 6'!$D$10</f>
        <v>0</v>
      </c>
      <c r="U29" s="33">
        <f>+'Anexo 13'!U29*'Anexo 6'!$D$10</f>
        <v>0</v>
      </c>
      <c r="V29" s="33">
        <f>+'Anexo 13'!V29*'Anexo 6'!$D$10</f>
        <v>0</v>
      </c>
      <c r="W29" s="33">
        <f>+'Anexo 13'!W29*'Anexo 6'!$D$10</f>
        <v>0</v>
      </c>
      <c r="X29" s="33">
        <f>+'Anexo 13'!X29*'Anexo 6'!$D$10</f>
        <v>0</v>
      </c>
      <c r="Y29" s="33">
        <f>+'Anexo 13'!Y29*'Anexo 6'!$D$10</f>
        <v>0</v>
      </c>
      <c r="Z29" s="33">
        <f>+'Anexo 13'!Z29*'Anexo 6'!$D$10</f>
        <v>0</v>
      </c>
      <c r="AA29" s="41">
        <f t="shared" si="0"/>
        <v>0</v>
      </c>
      <c r="AB29" s="23">
        <v>7</v>
      </c>
      <c r="AC29" s="81"/>
      <c r="AD29" s="49"/>
    </row>
    <row r="30" spans="1:30" ht="15.75" thickBot="1" x14ac:dyDescent="0.3">
      <c r="A30" s="78">
        <v>48092</v>
      </c>
      <c r="B30" s="18" t="s">
        <v>8</v>
      </c>
      <c r="C30" s="33">
        <f>+'Anexo 13'!C30*'Anexo 6'!$D$10</f>
        <v>0</v>
      </c>
      <c r="D30" s="33">
        <f>+'Anexo 13'!D30*'Anexo 6'!$D$10</f>
        <v>0</v>
      </c>
      <c r="E30" s="33">
        <f>+'Anexo 13'!E30*'Anexo 6'!$D$10</f>
        <v>0</v>
      </c>
      <c r="F30" s="33">
        <f>+'Anexo 13'!F30*'Anexo 6'!$D$10</f>
        <v>0</v>
      </c>
      <c r="G30" s="33">
        <f>+'Anexo 13'!G30*'Anexo 6'!$D$10</f>
        <v>0</v>
      </c>
      <c r="H30" s="33">
        <f>+'Anexo 13'!H30*'Anexo 6'!$D$10</f>
        <v>0</v>
      </c>
      <c r="I30" s="33">
        <f>+'Anexo 13'!I30*'Anexo 6'!$D$10</f>
        <v>0</v>
      </c>
      <c r="J30" s="33">
        <f>+'Anexo 13'!J30*'Anexo 6'!$D$10</f>
        <v>0</v>
      </c>
      <c r="K30" s="33">
        <f>+'Anexo 13'!K30*'Anexo 6'!$D$10</f>
        <v>0</v>
      </c>
      <c r="L30" s="33">
        <f>+'Anexo 13'!L30*'Anexo 6'!$D$10</f>
        <v>0</v>
      </c>
      <c r="M30" s="33">
        <f>+'Anexo 13'!M30*'Anexo 6'!$D$10</f>
        <v>0</v>
      </c>
      <c r="N30" s="33">
        <f>+'Anexo 13'!N30*'Anexo 6'!$D$10</f>
        <v>0</v>
      </c>
      <c r="O30" s="33">
        <f>+'Anexo 13'!O30*'Anexo 6'!$D$10</f>
        <v>0</v>
      </c>
      <c r="P30" s="33">
        <f>+'Anexo 13'!P30*'Anexo 6'!$D$10</f>
        <v>0</v>
      </c>
      <c r="Q30" s="33">
        <f>+'Anexo 13'!Q30*'Anexo 6'!$D$10</f>
        <v>0</v>
      </c>
      <c r="R30" s="33">
        <f>+'Anexo 13'!R30*'Anexo 6'!$D$10</f>
        <v>0</v>
      </c>
      <c r="S30" s="33">
        <f>+'Anexo 13'!S30*'Anexo 6'!$D$10</f>
        <v>0</v>
      </c>
      <c r="T30" s="33">
        <f>+'Anexo 13'!T30*'Anexo 6'!$D$10</f>
        <v>0</v>
      </c>
      <c r="U30" s="33">
        <f>+'Anexo 13'!U30*'Anexo 6'!$D$10</f>
        <v>0</v>
      </c>
      <c r="V30" s="33">
        <f>+'Anexo 13'!V30*'Anexo 6'!$D$10</f>
        <v>0</v>
      </c>
      <c r="W30" s="33">
        <f>+'Anexo 13'!W30*'Anexo 6'!$D$10</f>
        <v>0</v>
      </c>
      <c r="X30" s="33">
        <f>+'Anexo 13'!X30*'Anexo 6'!$D$10</f>
        <v>0</v>
      </c>
      <c r="Y30" s="33">
        <f>+'Anexo 13'!Y30*'Anexo 6'!$D$10</f>
        <v>0</v>
      </c>
      <c r="Z30" s="33">
        <f>+'Anexo 13'!Z30*'Anexo 6'!$D$10</f>
        <v>0</v>
      </c>
      <c r="AA30" s="35">
        <f t="shared" si="0"/>
        <v>0</v>
      </c>
      <c r="AB30" s="19">
        <v>22</v>
      </c>
      <c r="AC30" s="79">
        <f>+AA30*AB30+AA31*AB31+AA32*AB32</f>
        <v>0</v>
      </c>
    </row>
    <row r="31" spans="1:30" ht="15.75" thickBot="1" x14ac:dyDescent="0.3">
      <c r="A31" s="78"/>
      <c r="B31" s="20" t="s">
        <v>7</v>
      </c>
      <c r="C31" s="33">
        <f>+'Anexo 13'!C31*'Anexo 6'!$D$10</f>
        <v>0</v>
      </c>
      <c r="D31" s="33">
        <f>+'Anexo 13'!D31*'Anexo 6'!$D$10</f>
        <v>0</v>
      </c>
      <c r="E31" s="33">
        <f>+'Anexo 13'!E31*'Anexo 6'!$D$10</f>
        <v>0</v>
      </c>
      <c r="F31" s="33">
        <f>+'Anexo 13'!F31*'Anexo 6'!$D$10</f>
        <v>0</v>
      </c>
      <c r="G31" s="33">
        <f>+'Anexo 13'!G31*'Anexo 6'!$D$10</f>
        <v>0</v>
      </c>
      <c r="H31" s="33">
        <f>+'Anexo 13'!H31*'Anexo 6'!$D$10</f>
        <v>0</v>
      </c>
      <c r="I31" s="33">
        <f>+'Anexo 13'!I31*'Anexo 6'!$D$10</f>
        <v>0</v>
      </c>
      <c r="J31" s="33">
        <f>+'Anexo 13'!J31*'Anexo 6'!$D$10</f>
        <v>0</v>
      </c>
      <c r="K31" s="33">
        <f>+'Anexo 13'!K31*'Anexo 6'!$D$10</f>
        <v>0</v>
      </c>
      <c r="L31" s="33">
        <f>+'Anexo 13'!L31*'Anexo 6'!$D$10</f>
        <v>0</v>
      </c>
      <c r="M31" s="33">
        <f>+'Anexo 13'!M31*'Anexo 6'!$D$10</f>
        <v>0</v>
      </c>
      <c r="N31" s="33">
        <f>+'Anexo 13'!N31*'Anexo 6'!$D$10</f>
        <v>0</v>
      </c>
      <c r="O31" s="33">
        <f>+'Anexo 13'!O31*'Anexo 6'!$D$10</f>
        <v>0</v>
      </c>
      <c r="P31" s="33">
        <f>+'Anexo 13'!P31*'Anexo 6'!$D$10</f>
        <v>0</v>
      </c>
      <c r="Q31" s="33">
        <f>+'Anexo 13'!Q31*'Anexo 6'!$D$10</f>
        <v>0</v>
      </c>
      <c r="R31" s="33">
        <f>+'Anexo 13'!R31*'Anexo 6'!$D$10</f>
        <v>0</v>
      </c>
      <c r="S31" s="33">
        <f>+'Anexo 13'!S31*'Anexo 6'!$D$10</f>
        <v>0</v>
      </c>
      <c r="T31" s="33">
        <f>+'Anexo 13'!T31*'Anexo 6'!$D$10</f>
        <v>0</v>
      </c>
      <c r="U31" s="33">
        <f>+'Anexo 13'!U31*'Anexo 6'!$D$10</f>
        <v>0</v>
      </c>
      <c r="V31" s="33">
        <f>+'Anexo 13'!V31*'Anexo 6'!$D$10</f>
        <v>0</v>
      </c>
      <c r="W31" s="33">
        <f>+'Anexo 13'!W31*'Anexo 6'!$D$10</f>
        <v>0</v>
      </c>
      <c r="X31" s="33">
        <f>+'Anexo 13'!X31*'Anexo 6'!$D$10</f>
        <v>0</v>
      </c>
      <c r="Y31" s="33">
        <f>+'Anexo 13'!Y31*'Anexo 6'!$D$10</f>
        <v>0</v>
      </c>
      <c r="Z31" s="33">
        <f>+'Anexo 13'!Z31*'Anexo 6'!$D$10</f>
        <v>0</v>
      </c>
      <c r="AA31" s="38">
        <f t="shared" si="0"/>
        <v>0</v>
      </c>
      <c r="AB31" s="21">
        <v>4</v>
      </c>
      <c r="AC31" s="80"/>
      <c r="AD31" s="47"/>
    </row>
    <row r="32" spans="1:30" ht="15.75" thickBot="1" x14ac:dyDescent="0.3">
      <c r="A32" s="78"/>
      <c r="B32" s="22" t="s">
        <v>6</v>
      </c>
      <c r="C32" s="33">
        <f>+'Anexo 13'!C32*'Anexo 6'!$D$10</f>
        <v>0</v>
      </c>
      <c r="D32" s="33">
        <f>+'Anexo 13'!D32*'Anexo 6'!$D$10</f>
        <v>0</v>
      </c>
      <c r="E32" s="33">
        <f>+'Anexo 13'!E32*'Anexo 6'!$D$10</f>
        <v>0</v>
      </c>
      <c r="F32" s="33">
        <f>+'Anexo 13'!F32*'Anexo 6'!$D$10</f>
        <v>0</v>
      </c>
      <c r="G32" s="33">
        <f>+'Anexo 13'!G32*'Anexo 6'!$D$10</f>
        <v>0</v>
      </c>
      <c r="H32" s="33">
        <f>+'Anexo 13'!H32*'Anexo 6'!$D$10</f>
        <v>0</v>
      </c>
      <c r="I32" s="33">
        <f>+'Anexo 13'!I32*'Anexo 6'!$D$10</f>
        <v>0</v>
      </c>
      <c r="J32" s="33">
        <f>+'Anexo 13'!J32*'Anexo 6'!$D$10</f>
        <v>0</v>
      </c>
      <c r="K32" s="33">
        <f>+'Anexo 13'!K32*'Anexo 6'!$D$10</f>
        <v>0</v>
      </c>
      <c r="L32" s="33">
        <f>+'Anexo 13'!L32*'Anexo 6'!$D$10</f>
        <v>0</v>
      </c>
      <c r="M32" s="33">
        <f>+'Anexo 13'!M32*'Anexo 6'!$D$10</f>
        <v>0</v>
      </c>
      <c r="N32" s="33">
        <f>+'Anexo 13'!N32*'Anexo 6'!$D$10</f>
        <v>0</v>
      </c>
      <c r="O32" s="33">
        <f>+'Anexo 13'!O32*'Anexo 6'!$D$10</f>
        <v>0</v>
      </c>
      <c r="P32" s="33">
        <f>+'Anexo 13'!P32*'Anexo 6'!$D$10</f>
        <v>0</v>
      </c>
      <c r="Q32" s="33">
        <f>+'Anexo 13'!Q32*'Anexo 6'!$D$10</f>
        <v>0</v>
      </c>
      <c r="R32" s="33">
        <f>+'Anexo 13'!R32*'Anexo 6'!$D$10</f>
        <v>0</v>
      </c>
      <c r="S32" s="33">
        <f>+'Anexo 13'!S32*'Anexo 6'!$D$10</f>
        <v>0</v>
      </c>
      <c r="T32" s="33">
        <f>+'Anexo 13'!T32*'Anexo 6'!$D$10</f>
        <v>0</v>
      </c>
      <c r="U32" s="33">
        <f>+'Anexo 13'!U32*'Anexo 6'!$D$10</f>
        <v>0</v>
      </c>
      <c r="V32" s="33">
        <f>+'Anexo 13'!V32*'Anexo 6'!$D$10</f>
        <v>0</v>
      </c>
      <c r="W32" s="33">
        <f>+'Anexo 13'!W32*'Anexo 6'!$D$10</f>
        <v>0</v>
      </c>
      <c r="X32" s="33">
        <f>+'Anexo 13'!X32*'Anexo 6'!$D$10</f>
        <v>0</v>
      </c>
      <c r="Y32" s="33">
        <f>+'Anexo 13'!Y32*'Anexo 6'!$D$10</f>
        <v>0</v>
      </c>
      <c r="Z32" s="33">
        <f>+'Anexo 13'!Z32*'Anexo 6'!$D$10</f>
        <v>0</v>
      </c>
      <c r="AA32" s="41">
        <f t="shared" si="0"/>
        <v>0</v>
      </c>
      <c r="AB32" s="23">
        <v>4</v>
      </c>
      <c r="AC32" s="81"/>
      <c r="AD32" s="48"/>
    </row>
    <row r="33" spans="1:30" ht="15.75" thickBot="1" x14ac:dyDescent="0.3">
      <c r="A33" s="78">
        <v>48122</v>
      </c>
      <c r="B33" s="18" t="s">
        <v>8</v>
      </c>
      <c r="C33" s="33">
        <f>+'Anexo 13'!C33*'Anexo 6'!$D$10</f>
        <v>0</v>
      </c>
      <c r="D33" s="33">
        <f>+'Anexo 13'!D33*'Anexo 6'!$D$10</f>
        <v>0</v>
      </c>
      <c r="E33" s="33">
        <f>+'Anexo 13'!E33*'Anexo 6'!$D$10</f>
        <v>0</v>
      </c>
      <c r="F33" s="33">
        <f>+'Anexo 13'!F33*'Anexo 6'!$D$10</f>
        <v>0</v>
      </c>
      <c r="G33" s="33">
        <f>+'Anexo 13'!G33*'Anexo 6'!$D$10</f>
        <v>0</v>
      </c>
      <c r="H33" s="33">
        <f>+'Anexo 13'!H33*'Anexo 6'!$D$10</f>
        <v>0</v>
      </c>
      <c r="I33" s="33">
        <f>+'Anexo 13'!I33*'Anexo 6'!$D$10</f>
        <v>0</v>
      </c>
      <c r="J33" s="33">
        <f>+'Anexo 13'!J33*'Anexo 6'!$D$10</f>
        <v>0</v>
      </c>
      <c r="K33" s="33">
        <f>+'Anexo 13'!K33*'Anexo 6'!$D$10</f>
        <v>0</v>
      </c>
      <c r="L33" s="33">
        <f>+'Anexo 13'!L33*'Anexo 6'!$D$10</f>
        <v>0</v>
      </c>
      <c r="M33" s="33">
        <f>+'Anexo 13'!M33*'Anexo 6'!$D$10</f>
        <v>0</v>
      </c>
      <c r="N33" s="33">
        <f>+'Anexo 13'!N33*'Anexo 6'!$D$10</f>
        <v>0</v>
      </c>
      <c r="O33" s="33">
        <f>+'Anexo 13'!O33*'Anexo 6'!$D$10</f>
        <v>0</v>
      </c>
      <c r="P33" s="33">
        <f>+'Anexo 13'!P33*'Anexo 6'!$D$10</f>
        <v>0</v>
      </c>
      <c r="Q33" s="33">
        <f>+'Anexo 13'!Q33*'Anexo 6'!$D$10</f>
        <v>0</v>
      </c>
      <c r="R33" s="33">
        <f>+'Anexo 13'!R33*'Anexo 6'!$D$10</f>
        <v>0</v>
      </c>
      <c r="S33" s="33">
        <f>+'Anexo 13'!S33*'Anexo 6'!$D$10</f>
        <v>0</v>
      </c>
      <c r="T33" s="33">
        <f>+'Anexo 13'!T33*'Anexo 6'!$D$10</f>
        <v>0</v>
      </c>
      <c r="U33" s="33">
        <f>+'Anexo 13'!U33*'Anexo 6'!$D$10</f>
        <v>0</v>
      </c>
      <c r="V33" s="33">
        <f>+'Anexo 13'!V33*'Anexo 6'!$D$10</f>
        <v>0</v>
      </c>
      <c r="W33" s="33">
        <f>+'Anexo 13'!W33*'Anexo 6'!$D$10</f>
        <v>0</v>
      </c>
      <c r="X33" s="33">
        <f>+'Anexo 13'!X33*'Anexo 6'!$D$10</f>
        <v>0</v>
      </c>
      <c r="Y33" s="33">
        <f>+'Anexo 13'!Y33*'Anexo 6'!$D$10</f>
        <v>0</v>
      </c>
      <c r="Z33" s="33">
        <f>+'Anexo 13'!Z33*'Anexo 6'!$D$10</f>
        <v>0</v>
      </c>
      <c r="AA33" s="35">
        <f t="shared" si="0"/>
        <v>0</v>
      </c>
      <c r="AB33" s="19">
        <v>22</v>
      </c>
      <c r="AC33" s="79">
        <f>+AA33*AB33+AA34*AB34+AA35*AB35</f>
        <v>0</v>
      </c>
    </row>
    <row r="34" spans="1:30" ht="15.75" thickBot="1" x14ac:dyDescent="0.3">
      <c r="A34" s="78"/>
      <c r="B34" s="20" t="s">
        <v>7</v>
      </c>
      <c r="C34" s="33">
        <f>+'Anexo 13'!C34*'Anexo 6'!$D$10</f>
        <v>0</v>
      </c>
      <c r="D34" s="33">
        <f>+'Anexo 13'!D34*'Anexo 6'!$D$10</f>
        <v>0</v>
      </c>
      <c r="E34" s="33">
        <f>+'Anexo 13'!E34*'Anexo 6'!$D$10</f>
        <v>0</v>
      </c>
      <c r="F34" s="33">
        <f>+'Anexo 13'!F34*'Anexo 6'!$D$10</f>
        <v>0</v>
      </c>
      <c r="G34" s="33">
        <f>+'Anexo 13'!G34*'Anexo 6'!$D$10</f>
        <v>0</v>
      </c>
      <c r="H34" s="33">
        <f>+'Anexo 13'!H34*'Anexo 6'!$D$10</f>
        <v>0</v>
      </c>
      <c r="I34" s="33">
        <f>+'Anexo 13'!I34*'Anexo 6'!$D$10</f>
        <v>0</v>
      </c>
      <c r="J34" s="33">
        <f>+'Anexo 13'!J34*'Anexo 6'!$D$10</f>
        <v>0</v>
      </c>
      <c r="K34" s="33">
        <f>+'Anexo 13'!K34*'Anexo 6'!$D$10</f>
        <v>0</v>
      </c>
      <c r="L34" s="33">
        <f>+'Anexo 13'!L34*'Anexo 6'!$D$10</f>
        <v>0</v>
      </c>
      <c r="M34" s="33">
        <f>+'Anexo 13'!M34*'Anexo 6'!$D$10</f>
        <v>0</v>
      </c>
      <c r="N34" s="33">
        <f>+'Anexo 13'!N34*'Anexo 6'!$D$10</f>
        <v>0</v>
      </c>
      <c r="O34" s="33">
        <f>+'Anexo 13'!O34*'Anexo 6'!$D$10</f>
        <v>0</v>
      </c>
      <c r="P34" s="33">
        <f>+'Anexo 13'!P34*'Anexo 6'!$D$10</f>
        <v>0</v>
      </c>
      <c r="Q34" s="33">
        <f>+'Anexo 13'!Q34*'Anexo 6'!$D$10</f>
        <v>0</v>
      </c>
      <c r="R34" s="33">
        <f>+'Anexo 13'!R34*'Anexo 6'!$D$10</f>
        <v>0</v>
      </c>
      <c r="S34" s="33">
        <f>+'Anexo 13'!S34*'Anexo 6'!$D$10</f>
        <v>0</v>
      </c>
      <c r="T34" s="33">
        <f>+'Anexo 13'!T34*'Anexo 6'!$D$10</f>
        <v>0</v>
      </c>
      <c r="U34" s="33">
        <f>+'Anexo 13'!U34*'Anexo 6'!$D$10</f>
        <v>0</v>
      </c>
      <c r="V34" s="33">
        <f>+'Anexo 13'!V34*'Anexo 6'!$D$10</f>
        <v>0</v>
      </c>
      <c r="W34" s="33">
        <f>+'Anexo 13'!W34*'Anexo 6'!$D$10</f>
        <v>0</v>
      </c>
      <c r="X34" s="33">
        <f>+'Anexo 13'!X34*'Anexo 6'!$D$10</f>
        <v>0</v>
      </c>
      <c r="Y34" s="33">
        <f>+'Anexo 13'!Y34*'Anexo 6'!$D$10</f>
        <v>0</v>
      </c>
      <c r="Z34" s="33">
        <f>+'Anexo 13'!Z34*'Anexo 6'!$D$10</f>
        <v>0</v>
      </c>
      <c r="AA34" s="38">
        <f t="shared" si="0"/>
        <v>0</v>
      </c>
      <c r="AB34" s="21">
        <v>4</v>
      </c>
      <c r="AC34" s="80"/>
      <c r="AD34" s="47"/>
    </row>
    <row r="35" spans="1:30" ht="15.75" thickBot="1" x14ac:dyDescent="0.3">
      <c r="A35" s="78"/>
      <c r="B35" s="22" t="s">
        <v>6</v>
      </c>
      <c r="C35" s="33">
        <f>+'Anexo 13'!C35*'Anexo 6'!$D$10</f>
        <v>0</v>
      </c>
      <c r="D35" s="33">
        <f>+'Anexo 13'!D35*'Anexo 6'!$D$10</f>
        <v>0</v>
      </c>
      <c r="E35" s="33">
        <f>+'Anexo 13'!E35*'Anexo 6'!$D$10</f>
        <v>0</v>
      </c>
      <c r="F35" s="33">
        <f>+'Anexo 13'!F35*'Anexo 6'!$D$10</f>
        <v>0</v>
      </c>
      <c r="G35" s="33">
        <f>+'Anexo 13'!G35*'Anexo 6'!$D$10</f>
        <v>0</v>
      </c>
      <c r="H35" s="33">
        <f>+'Anexo 13'!H35*'Anexo 6'!$D$10</f>
        <v>0</v>
      </c>
      <c r="I35" s="33">
        <f>+'Anexo 13'!I35*'Anexo 6'!$D$10</f>
        <v>0</v>
      </c>
      <c r="J35" s="33">
        <f>+'Anexo 13'!J35*'Anexo 6'!$D$10</f>
        <v>0</v>
      </c>
      <c r="K35" s="33">
        <f>+'Anexo 13'!K35*'Anexo 6'!$D$10</f>
        <v>0</v>
      </c>
      <c r="L35" s="33">
        <f>+'Anexo 13'!L35*'Anexo 6'!$D$10</f>
        <v>0</v>
      </c>
      <c r="M35" s="33">
        <f>+'Anexo 13'!M35*'Anexo 6'!$D$10</f>
        <v>0</v>
      </c>
      <c r="N35" s="33">
        <f>+'Anexo 13'!N35*'Anexo 6'!$D$10</f>
        <v>0</v>
      </c>
      <c r="O35" s="33">
        <f>+'Anexo 13'!O35*'Anexo 6'!$D$10</f>
        <v>0</v>
      </c>
      <c r="P35" s="33">
        <f>+'Anexo 13'!P35*'Anexo 6'!$D$10</f>
        <v>0</v>
      </c>
      <c r="Q35" s="33">
        <f>+'Anexo 13'!Q35*'Anexo 6'!$D$10</f>
        <v>0</v>
      </c>
      <c r="R35" s="33">
        <f>+'Anexo 13'!R35*'Anexo 6'!$D$10</f>
        <v>0</v>
      </c>
      <c r="S35" s="33">
        <f>+'Anexo 13'!S35*'Anexo 6'!$D$10</f>
        <v>0</v>
      </c>
      <c r="T35" s="33">
        <f>+'Anexo 13'!T35*'Anexo 6'!$D$10</f>
        <v>0</v>
      </c>
      <c r="U35" s="33">
        <f>+'Anexo 13'!U35*'Anexo 6'!$D$10</f>
        <v>0</v>
      </c>
      <c r="V35" s="33">
        <f>+'Anexo 13'!V35*'Anexo 6'!$D$10</f>
        <v>0</v>
      </c>
      <c r="W35" s="33">
        <f>+'Anexo 13'!W35*'Anexo 6'!$D$10</f>
        <v>0</v>
      </c>
      <c r="X35" s="33">
        <f>+'Anexo 13'!X35*'Anexo 6'!$D$10</f>
        <v>0</v>
      </c>
      <c r="Y35" s="33">
        <f>+'Anexo 13'!Y35*'Anexo 6'!$D$10</f>
        <v>0</v>
      </c>
      <c r="Z35" s="33">
        <f>+'Anexo 13'!Z35*'Anexo 6'!$D$10</f>
        <v>0</v>
      </c>
      <c r="AA35" s="41">
        <f t="shared" si="0"/>
        <v>0</v>
      </c>
      <c r="AB35" s="23">
        <v>5</v>
      </c>
      <c r="AC35" s="81"/>
      <c r="AD35" s="48"/>
    </row>
    <row r="36" spans="1:30" ht="15.75" thickBot="1" x14ac:dyDescent="0.3">
      <c r="A36" s="78">
        <v>48153</v>
      </c>
      <c r="B36" s="18" t="s">
        <v>8</v>
      </c>
      <c r="C36" s="33">
        <f>+'Anexo 13'!C36*'Anexo 6'!$D$10</f>
        <v>0</v>
      </c>
      <c r="D36" s="33">
        <f>+'Anexo 13'!D36*'Anexo 6'!$D$10</f>
        <v>0</v>
      </c>
      <c r="E36" s="33">
        <f>+'Anexo 13'!E36*'Anexo 6'!$D$10</f>
        <v>0</v>
      </c>
      <c r="F36" s="33">
        <f>+'Anexo 13'!F36*'Anexo 6'!$D$10</f>
        <v>0</v>
      </c>
      <c r="G36" s="33">
        <f>+'Anexo 13'!G36*'Anexo 6'!$D$10</f>
        <v>0</v>
      </c>
      <c r="H36" s="33">
        <f>+'Anexo 13'!H36*'Anexo 6'!$D$10</f>
        <v>0</v>
      </c>
      <c r="I36" s="33">
        <f>+'Anexo 13'!I36*'Anexo 6'!$D$10</f>
        <v>0</v>
      </c>
      <c r="J36" s="33">
        <f>+'Anexo 13'!J36*'Anexo 6'!$D$10</f>
        <v>0</v>
      </c>
      <c r="K36" s="33">
        <f>+'Anexo 13'!K36*'Anexo 6'!$D$10</f>
        <v>0</v>
      </c>
      <c r="L36" s="33">
        <f>+'Anexo 13'!L36*'Anexo 6'!$D$10</f>
        <v>0</v>
      </c>
      <c r="M36" s="33">
        <f>+'Anexo 13'!M36*'Anexo 6'!$D$10</f>
        <v>0</v>
      </c>
      <c r="N36" s="33">
        <f>+'Anexo 13'!N36*'Anexo 6'!$D$10</f>
        <v>0</v>
      </c>
      <c r="O36" s="33">
        <f>+'Anexo 13'!O36*'Anexo 6'!$D$10</f>
        <v>0</v>
      </c>
      <c r="P36" s="33">
        <f>+'Anexo 13'!P36*'Anexo 6'!$D$10</f>
        <v>0</v>
      </c>
      <c r="Q36" s="33">
        <f>+'Anexo 13'!Q36*'Anexo 6'!$D$10</f>
        <v>0</v>
      </c>
      <c r="R36" s="33">
        <f>+'Anexo 13'!R36*'Anexo 6'!$D$10</f>
        <v>0</v>
      </c>
      <c r="S36" s="33">
        <f>+'Anexo 13'!S36*'Anexo 6'!$D$10</f>
        <v>0</v>
      </c>
      <c r="T36" s="33">
        <f>+'Anexo 13'!T36*'Anexo 6'!$D$10</f>
        <v>0</v>
      </c>
      <c r="U36" s="33">
        <f>+'Anexo 13'!U36*'Anexo 6'!$D$10</f>
        <v>0</v>
      </c>
      <c r="V36" s="33">
        <f>+'Anexo 13'!V36*'Anexo 6'!$D$10</f>
        <v>0</v>
      </c>
      <c r="W36" s="33">
        <f>+'Anexo 13'!W36*'Anexo 6'!$D$10</f>
        <v>0</v>
      </c>
      <c r="X36" s="33">
        <f>+'Anexo 13'!X36*'Anexo 6'!$D$10</f>
        <v>0</v>
      </c>
      <c r="Y36" s="33">
        <f>+'Anexo 13'!Y36*'Anexo 6'!$D$10</f>
        <v>0</v>
      </c>
      <c r="Z36" s="33">
        <f>+'Anexo 13'!Z36*'Anexo 6'!$D$10</f>
        <v>0</v>
      </c>
      <c r="AA36" s="35">
        <f t="shared" si="0"/>
        <v>0</v>
      </c>
      <c r="AB36" s="19">
        <v>18</v>
      </c>
      <c r="AC36" s="79">
        <f>+AA36*AB36+AA37*AB37+AA38*AB38</f>
        <v>0</v>
      </c>
    </row>
    <row r="37" spans="1:30" ht="15.75" thickBot="1" x14ac:dyDescent="0.3">
      <c r="A37" s="78"/>
      <c r="B37" s="20" t="s">
        <v>7</v>
      </c>
      <c r="C37" s="33">
        <f>+'Anexo 13'!C37*'Anexo 6'!$D$10</f>
        <v>0</v>
      </c>
      <c r="D37" s="33">
        <f>+'Anexo 13'!D37*'Anexo 6'!$D$10</f>
        <v>0</v>
      </c>
      <c r="E37" s="33">
        <f>+'Anexo 13'!E37*'Anexo 6'!$D$10</f>
        <v>0</v>
      </c>
      <c r="F37" s="33">
        <f>+'Anexo 13'!F37*'Anexo 6'!$D$10</f>
        <v>0</v>
      </c>
      <c r="G37" s="33">
        <f>+'Anexo 13'!G37*'Anexo 6'!$D$10</f>
        <v>0</v>
      </c>
      <c r="H37" s="33">
        <f>+'Anexo 13'!H37*'Anexo 6'!$D$10</f>
        <v>0</v>
      </c>
      <c r="I37" s="33">
        <f>+'Anexo 13'!I37*'Anexo 6'!$D$10</f>
        <v>0</v>
      </c>
      <c r="J37" s="33">
        <f>+'Anexo 13'!J37*'Anexo 6'!$D$10</f>
        <v>0</v>
      </c>
      <c r="K37" s="33">
        <f>+'Anexo 13'!K37*'Anexo 6'!$D$10</f>
        <v>0</v>
      </c>
      <c r="L37" s="33">
        <f>+'Anexo 13'!L37*'Anexo 6'!$D$10</f>
        <v>0</v>
      </c>
      <c r="M37" s="33">
        <f>+'Anexo 13'!M37*'Anexo 6'!$D$10</f>
        <v>0</v>
      </c>
      <c r="N37" s="33">
        <f>+'Anexo 13'!N37*'Anexo 6'!$D$10</f>
        <v>0</v>
      </c>
      <c r="O37" s="33">
        <f>+'Anexo 13'!O37*'Anexo 6'!$D$10</f>
        <v>0</v>
      </c>
      <c r="P37" s="33">
        <f>+'Anexo 13'!P37*'Anexo 6'!$D$10</f>
        <v>0</v>
      </c>
      <c r="Q37" s="33">
        <f>+'Anexo 13'!Q37*'Anexo 6'!$D$10</f>
        <v>0</v>
      </c>
      <c r="R37" s="33">
        <f>+'Anexo 13'!R37*'Anexo 6'!$D$10</f>
        <v>0</v>
      </c>
      <c r="S37" s="33">
        <f>+'Anexo 13'!S37*'Anexo 6'!$D$10</f>
        <v>0</v>
      </c>
      <c r="T37" s="33">
        <f>+'Anexo 13'!T37*'Anexo 6'!$D$10</f>
        <v>0</v>
      </c>
      <c r="U37" s="33">
        <f>+'Anexo 13'!U37*'Anexo 6'!$D$10</f>
        <v>0</v>
      </c>
      <c r="V37" s="33">
        <f>+'Anexo 13'!V37*'Anexo 6'!$D$10</f>
        <v>0</v>
      </c>
      <c r="W37" s="33">
        <f>+'Anexo 13'!W37*'Anexo 6'!$D$10</f>
        <v>0</v>
      </c>
      <c r="X37" s="33">
        <f>+'Anexo 13'!X37*'Anexo 6'!$D$10</f>
        <v>0</v>
      </c>
      <c r="Y37" s="33">
        <f>+'Anexo 13'!Y37*'Anexo 6'!$D$10</f>
        <v>0</v>
      </c>
      <c r="Z37" s="33">
        <f>+'Anexo 13'!Z37*'Anexo 6'!$D$10</f>
        <v>0</v>
      </c>
      <c r="AA37" s="38">
        <f t="shared" si="0"/>
        <v>0</v>
      </c>
      <c r="AB37" s="21">
        <v>5</v>
      </c>
      <c r="AC37" s="80"/>
      <c r="AD37" s="47"/>
    </row>
    <row r="38" spans="1:30" ht="15.75" thickBot="1" x14ac:dyDescent="0.3">
      <c r="A38" s="78"/>
      <c r="B38" s="22" t="s">
        <v>6</v>
      </c>
      <c r="C38" s="33">
        <f>+'Anexo 13'!C38*'Anexo 6'!$D$10</f>
        <v>0</v>
      </c>
      <c r="D38" s="33">
        <f>+'Anexo 13'!D38*'Anexo 6'!$D$10</f>
        <v>0</v>
      </c>
      <c r="E38" s="33">
        <f>+'Anexo 13'!E38*'Anexo 6'!$D$10</f>
        <v>0</v>
      </c>
      <c r="F38" s="33">
        <f>+'Anexo 13'!F38*'Anexo 6'!$D$10</f>
        <v>0</v>
      </c>
      <c r="G38" s="33">
        <f>+'Anexo 13'!G38*'Anexo 6'!$D$10</f>
        <v>0</v>
      </c>
      <c r="H38" s="33">
        <f>+'Anexo 13'!H38*'Anexo 6'!$D$10</f>
        <v>0</v>
      </c>
      <c r="I38" s="33">
        <f>+'Anexo 13'!I38*'Anexo 6'!$D$10</f>
        <v>0</v>
      </c>
      <c r="J38" s="33">
        <f>+'Anexo 13'!J38*'Anexo 6'!$D$10</f>
        <v>0</v>
      </c>
      <c r="K38" s="33">
        <f>+'Anexo 13'!K38*'Anexo 6'!$D$10</f>
        <v>0</v>
      </c>
      <c r="L38" s="33">
        <f>+'Anexo 13'!L38*'Anexo 6'!$D$10</f>
        <v>0</v>
      </c>
      <c r="M38" s="33">
        <f>+'Anexo 13'!M38*'Anexo 6'!$D$10</f>
        <v>0</v>
      </c>
      <c r="N38" s="33">
        <f>+'Anexo 13'!N38*'Anexo 6'!$D$10</f>
        <v>0</v>
      </c>
      <c r="O38" s="33">
        <f>+'Anexo 13'!O38*'Anexo 6'!$D$10</f>
        <v>0</v>
      </c>
      <c r="P38" s="33">
        <f>+'Anexo 13'!P38*'Anexo 6'!$D$10</f>
        <v>0</v>
      </c>
      <c r="Q38" s="33">
        <f>+'Anexo 13'!Q38*'Anexo 6'!$D$10</f>
        <v>0</v>
      </c>
      <c r="R38" s="33">
        <f>+'Anexo 13'!R38*'Anexo 6'!$D$10</f>
        <v>0</v>
      </c>
      <c r="S38" s="33">
        <f>+'Anexo 13'!S38*'Anexo 6'!$D$10</f>
        <v>0</v>
      </c>
      <c r="T38" s="33">
        <f>+'Anexo 13'!T38*'Anexo 6'!$D$10</f>
        <v>0</v>
      </c>
      <c r="U38" s="33">
        <f>+'Anexo 13'!U38*'Anexo 6'!$D$10</f>
        <v>0</v>
      </c>
      <c r="V38" s="33">
        <f>+'Anexo 13'!V38*'Anexo 6'!$D$10</f>
        <v>0</v>
      </c>
      <c r="W38" s="33">
        <f>+'Anexo 13'!W38*'Anexo 6'!$D$10</f>
        <v>0</v>
      </c>
      <c r="X38" s="33">
        <f>+'Anexo 13'!X38*'Anexo 6'!$D$10</f>
        <v>0</v>
      </c>
      <c r="Y38" s="33">
        <f>+'Anexo 13'!Y38*'Anexo 6'!$D$10</f>
        <v>0</v>
      </c>
      <c r="Z38" s="33">
        <f>+'Anexo 13'!Z38*'Anexo 6'!$D$10</f>
        <v>0</v>
      </c>
      <c r="AA38" s="41">
        <f t="shared" si="0"/>
        <v>0</v>
      </c>
      <c r="AB38" s="23">
        <v>7</v>
      </c>
      <c r="AC38" s="81"/>
      <c r="AD38" s="49"/>
    </row>
    <row r="39" spans="1:30" ht="15.75" thickBot="1" x14ac:dyDescent="0.3">
      <c r="A39" s="78">
        <v>48183</v>
      </c>
      <c r="B39" s="18" t="s">
        <v>8</v>
      </c>
      <c r="C39" s="33">
        <f>+'Anexo 13'!C39*'Anexo 6'!$D$10</f>
        <v>0</v>
      </c>
      <c r="D39" s="33">
        <f>+'Anexo 13'!D39*'Anexo 6'!$D$10</f>
        <v>0</v>
      </c>
      <c r="E39" s="33">
        <f>+'Anexo 13'!E39*'Anexo 6'!$D$10</f>
        <v>0</v>
      </c>
      <c r="F39" s="33">
        <f>+'Anexo 13'!F39*'Anexo 6'!$D$10</f>
        <v>0</v>
      </c>
      <c r="G39" s="33">
        <f>+'Anexo 13'!G39*'Anexo 6'!$D$10</f>
        <v>0</v>
      </c>
      <c r="H39" s="33">
        <f>+'Anexo 13'!H39*'Anexo 6'!$D$10</f>
        <v>0</v>
      </c>
      <c r="I39" s="33">
        <f>+'Anexo 13'!I39*'Anexo 6'!$D$10</f>
        <v>0</v>
      </c>
      <c r="J39" s="33">
        <f>+'Anexo 13'!J39*'Anexo 6'!$D$10</f>
        <v>0</v>
      </c>
      <c r="K39" s="33">
        <f>+'Anexo 13'!K39*'Anexo 6'!$D$10</f>
        <v>0</v>
      </c>
      <c r="L39" s="33">
        <f>+'Anexo 13'!L39*'Anexo 6'!$D$10</f>
        <v>0</v>
      </c>
      <c r="M39" s="33">
        <f>+'Anexo 13'!M39*'Anexo 6'!$D$10</f>
        <v>0</v>
      </c>
      <c r="N39" s="33">
        <f>+'Anexo 13'!N39*'Anexo 6'!$D$10</f>
        <v>0</v>
      </c>
      <c r="O39" s="33">
        <f>+'Anexo 13'!O39*'Anexo 6'!$D$10</f>
        <v>0</v>
      </c>
      <c r="P39" s="33">
        <f>+'Anexo 13'!P39*'Anexo 6'!$D$10</f>
        <v>0</v>
      </c>
      <c r="Q39" s="33">
        <f>+'Anexo 13'!Q39*'Anexo 6'!$D$10</f>
        <v>0</v>
      </c>
      <c r="R39" s="33">
        <f>+'Anexo 13'!R39*'Anexo 6'!$D$10</f>
        <v>0</v>
      </c>
      <c r="S39" s="33">
        <f>+'Anexo 13'!S39*'Anexo 6'!$D$10</f>
        <v>0</v>
      </c>
      <c r="T39" s="33">
        <f>+'Anexo 13'!T39*'Anexo 6'!$D$10</f>
        <v>0</v>
      </c>
      <c r="U39" s="33">
        <f>+'Anexo 13'!U39*'Anexo 6'!$D$10</f>
        <v>0</v>
      </c>
      <c r="V39" s="33">
        <f>+'Anexo 13'!V39*'Anexo 6'!$D$10</f>
        <v>0</v>
      </c>
      <c r="W39" s="33">
        <f>+'Anexo 13'!W39*'Anexo 6'!$D$10</f>
        <v>0</v>
      </c>
      <c r="X39" s="33">
        <f>+'Anexo 13'!X39*'Anexo 6'!$D$10</f>
        <v>0</v>
      </c>
      <c r="Y39" s="33">
        <f>+'Anexo 13'!Y39*'Anexo 6'!$D$10</f>
        <v>0</v>
      </c>
      <c r="Z39" s="33">
        <f>+'Anexo 13'!Z39*'Anexo 6'!$D$10</f>
        <v>0</v>
      </c>
      <c r="AA39" s="35">
        <f t="shared" si="0"/>
        <v>0</v>
      </c>
      <c r="AB39" s="19">
        <v>21</v>
      </c>
      <c r="AC39" s="79">
        <f>+AA39*AB39+AA40*AB40+AA41*AB41</f>
        <v>0</v>
      </c>
    </row>
    <row r="40" spans="1:30" ht="15.75" thickBot="1" x14ac:dyDescent="0.3">
      <c r="A40" s="78"/>
      <c r="B40" s="20" t="s">
        <v>7</v>
      </c>
      <c r="C40" s="33">
        <f>+'Anexo 13'!C40*'Anexo 6'!$D$10</f>
        <v>0</v>
      </c>
      <c r="D40" s="33">
        <f>+'Anexo 13'!D40*'Anexo 6'!$D$10</f>
        <v>0</v>
      </c>
      <c r="E40" s="33">
        <f>+'Anexo 13'!E40*'Anexo 6'!$D$10</f>
        <v>0</v>
      </c>
      <c r="F40" s="33">
        <f>+'Anexo 13'!F40*'Anexo 6'!$D$10</f>
        <v>0</v>
      </c>
      <c r="G40" s="33">
        <f>+'Anexo 13'!G40*'Anexo 6'!$D$10</f>
        <v>0</v>
      </c>
      <c r="H40" s="33">
        <f>+'Anexo 13'!H40*'Anexo 6'!$D$10</f>
        <v>0</v>
      </c>
      <c r="I40" s="33">
        <f>+'Anexo 13'!I40*'Anexo 6'!$D$10</f>
        <v>0</v>
      </c>
      <c r="J40" s="33">
        <f>+'Anexo 13'!J40*'Anexo 6'!$D$10</f>
        <v>0</v>
      </c>
      <c r="K40" s="33">
        <f>+'Anexo 13'!K40*'Anexo 6'!$D$10</f>
        <v>0</v>
      </c>
      <c r="L40" s="33">
        <f>+'Anexo 13'!L40*'Anexo 6'!$D$10</f>
        <v>0</v>
      </c>
      <c r="M40" s="33">
        <f>+'Anexo 13'!M40*'Anexo 6'!$D$10</f>
        <v>0</v>
      </c>
      <c r="N40" s="33">
        <f>+'Anexo 13'!N40*'Anexo 6'!$D$10</f>
        <v>0</v>
      </c>
      <c r="O40" s="33">
        <f>+'Anexo 13'!O40*'Anexo 6'!$D$10</f>
        <v>0</v>
      </c>
      <c r="P40" s="33">
        <f>+'Anexo 13'!P40*'Anexo 6'!$D$10</f>
        <v>0</v>
      </c>
      <c r="Q40" s="33">
        <f>+'Anexo 13'!Q40*'Anexo 6'!$D$10</f>
        <v>0</v>
      </c>
      <c r="R40" s="33">
        <f>+'Anexo 13'!R40*'Anexo 6'!$D$10</f>
        <v>0</v>
      </c>
      <c r="S40" s="33">
        <f>+'Anexo 13'!S40*'Anexo 6'!$D$10</f>
        <v>0</v>
      </c>
      <c r="T40" s="33">
        <f>+'Anexo 13'!T40*'Anexo 6'!$D$10</f>
        <v>0</v>
      </c>
      <c r="U40" s="33">
        <f>+'Anexo 13'!U40*'Anexo 6'!$D$10</f>
        <v>0</v>
      </c>
      <c r="V40" s="33">
        <f>+'Anexo 13'!V40*'Anexo 6'!$D$10</f>
        <v>0</v>
      </c>
      <c r="W40" s="33">
        <f>+'Anexo 13'!W40*'Anexo 6'!$D$10</f>
        <v>0</v>
      </c>
      <c r="X40" s="33">
        <f>+'Anexo 13'!X40*'Anexo 6'!$D$10</f>
        <v>0</v>
      </c>
      <c r="Y40" s="33">
        <f>+'Anexo 13'!Y40*'Anexo 6'!$D$10</f>
        <v>0</v>
      </c>
      <c r="Z40" s="33">
        <f>+'Anexo 13'!Z40*'Anexo 6'!$D$10</f>
        <v>0</v>
      </c>
      <c r="AA40" s="38">
        <f t="shared" si="0"/>
        <v>0</v>
      </c>
      <c r="AB40" s="21">
        <v>4</v>
      </c>
      <c r="AC40" s="80"/>
      <c r="AD40" s="47"/>
    </row>
    <row r="41" spans="1:30" ht="15.75" thickBot="1" x14ac:dyDescent="0.3">
      <c r="A41" s="78"/>
      <c r="B41" s="22" t="s">
        <v>6</v>
      </c>
      <c r="C41" s="33">
        <f>+'Anexo 13'!C41*'Anexo 6'!$D$10</f>
        <v>0</v>
      </c>
      <c r="D41" s="33">
        <f>+'Anexo 13'!D41*'Anexo 6'!$D$10</f>
        <v>0</v>
      </c>
      <c r="E41" s="33">
        <f>+'Anexo 13'!E41*'Anexo 6'!$D$10</f>
        <v>0</v>
      </c>
      <c r="F41" s="33">
        <f>+'Anexo 13'!F41*'Anexo 6'!$D$10</f>
        <v>0</v>
      </c>
      <c r="G41" s="33">
        <f>+'Anexo 13'!G41*'Anexo 6'!$D$10</f>
        <v>0</v>
      </c>
      <c r="H41" s="33">
        <f>+'Anexo 13'!H41*'Anexo 6'!$D$10</f>
        <v>0</v>
      </c>
      <c r="I41" s="33">
        <f>+'Anexo 13'!I41*'Anexo 6'!$D$10</f>
        <v>0</v>
      </c>
      <c r="J41" s="33">
        <f>+'Anexo 13'!J41*'Anexo 6'!$D$10</f>
        <v>0</v>
      </c>
      <c r="K41" s="33">
        <f>+'Anexo 13'!K41*'Anexo 6'!$D$10</f>
        <v>0</v>
      </c>
      <c r="L41" s="33">
        <f>+'Anexo 13'!L41*'Anexo 6'!$D$10</f>
        <v>0</v>
      </c>
      <c r="M41" s="33">
        <f>+'Anexo 13'!M41*'Anexo 6'!$D$10</f>
        <v>0</v>
      </c>
      <c r="N41" s="33">
        <f>+'Anexo 13'!N41*'Anexo 6'!$D$10</f>
        <v>0</v>
      </c>
      <c r="O41" s="33">
        <f>+'Anexo 13'!O41*'Anexo 6'!$D$10</f>
        <v>0</v>
      </c>
      <c r="P41" s="33">
        <f>+'Anexo 13'!P41*'Anexo 6'!$D$10</f>
        <v>0</v>
      </c>
      <c r="Q41" s="33">
        <f>+'Anexo 13'!Q41*'Anexo 6'!$D$10</f>
        <v>0</v>
      </c>
      <c r="R41" s="33">
        <f>+'Anexo 13'!R41*'Anexo 6'!$D$10</f>
        <v>0</v>
      </c>
      <c r="S41" s="33">
        <f>+'Anexo 13'!S41*'Anexo 6'!$D$10</f>
        <v>0</v>
      </c>
      <c r="T41" s="33">
        <f>+'Anexo 13'!T41*'Anexo 6'!$D$10</f>
        <v>0</v>
      </c>
      <c r="U41" s="33">
        <f>+'Anexo 13'!U41*'Anexo 6'!$D$10</f>
        <v>0</v>
      </c>
      <c r="V41" s="33">
        <f>+'Anexo 13'!V41*'Anexo 6'!$D$10</f>
        <v>0</v>
      </c>
      <c r="W41" s="33">
        <f>+'Anexo 13'!W41*'Anexo 6'!$D$10</f>
        <v>0</v>
      </c>
      <c r="X41" s="33">
        <f>+'Anexo 13'!X41*'Anexo 6'!$D$10</f>
        <v>0</v>
      </c>
      <c r="Y41" s="33">
        <f>+'Anexo 13'!Y41*'Anexo 6'!$D$10</f>
        <v>0</v>
      </c>
      <c r="Z41" s="33">
        <f>+'Anexo 13'!Z41*'Anexo 6'!$D$10</f>
        <v>0</v>
      </c>
      <c r="AA41" s="41">
        <f t="shared" si="0"/>
        <v>0</v>
      </c>
      <c r="AB41" s="23">
        <v>6</v>
      </c>
      <c r="AC41" s="81"/>
      <c r="AD41" s="42"/>
    </row>
    <row r="42" spans="1:30" ht="15" x14ac:dyDescent="0.25">
      <c r="A42" s="76" t="s">
        <v>5</v>
      </c>
      <c r="B42" s="77"/>
      <c r="C42" s="31">
        <f t="shared" ref="C42:AC42" si="1">+SUM(C6:C41)</f>
        <v>0</v>
      </c>
      <c r="D42" s="31">
        <f t="shared" si="1"/>
        <v>0</v>
      </c>
      <c r="E42" s="31">
        <f t="shared" si="1"/>
        <v>0</v>
      </c>
      <c r="F42" s="31">
        <f t="shared" si="1"/>
        <v>0</v>
      </c>
      <c r="G42" s="31">
        <f t="shared" si="1"/>
        <v>0</v>
      </c>
      <c r="H42" s="31">
        <f t="shared" si="1"/>
        <v>0</v>
      </c>
      <c r="I42" s="31">
        <f t="shared" si="1"/>
        <v>0</v>
      </c>
      <c r="J42" s="31">
        <f t="shared" si="1"/>
        <v>0</v>
      </c>
      <c r="K42" s="31">
        <f t="shared" si="1"/>
        <v>0</v>
      </c>
      <c r="L42" s="31">
        <f t="shared" si="1"/>
        <v>0</v>
      </c>
      <c r="M42" s="31">
        <f t="shared" si="1"/>
        <v>0</v>
      </c>
      <c r="N42" s="31">
        <f t="shared" si="1"/>
        <v>0</v>
      </c>
      <c r="O42" s="31">
        <f t="shared" si="1"/>
        <v>0</v>
      </c>
      <c r="P42" s="31">
        <f t="shared" si="1"/>
        <v>0</v>
      </c>
      <c r="Q42" s="31">
        <f t="shared" si="1"/>
        <v>0</v>
      </c>
      <c r="R42" s="31">
        <f t="shared" si="1"/>
        <v>0</v>
      </c>
      <c r="S42" s="31">
        <f t="shared" si="1"/>
        <v>0</v>
      </c>
      <c r="T42" s="31">
        <f t="shared" si="1"/>
        <v>0</v>
      </c>
      <c r="U42" s="31">
        <f t="shared" si="1"/>
        <v>0</v>
      </c>
      <c r="V42" s="31">
        <f t="shared" si="1"/>
        <v>0</v>
      </c>
      <c r="W42" s="31">
        <f t="shared" si="1"/>
        <v>0</v>
      </c>
      <c r="X42" s="31">
        <f t="shared" si="1"/>
        <v>0</v>
      </c>
      <c r="Y42" s="31">
        <f t="shared" si="1"/>
        <v>0</v>
      </c>
      <c r="Z42" s="31">
        <f t="shared" si="1"/>
        <v>0</v>
      </c>
      <c r="AA42" s="31">
        <f t="shared" si="1"/>
        <v>0</v>
      </c>
      <c r="AB42" s="31">
        <f t="shared" si="1"/>
        <v>365</v>
      </c>
      <c r="AC42" s="46">
        <f t="shared" si="1"/>
        <v>0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/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19C02-EFE5-4A32-85C8-2423083F2E66}">
  <sheetPr>
    <tabColor theme="9" tint="-0.499984740745262"/>
  </sheetPr>
  <dimension ref="A1:XFC36"/>
  <sheetViews>
    <sheetView showGridLines="0" topLeftCell="A9" zoomScaleNormal="100" zoomScaleSheetLayoutView="140" workbookViewId="0">
      <selection activeCell="B8" sqref="B8:F22"/>
    </sheetView>
  </sheetViews>
  <sheetFormatPr baseColWidth="10" defaultColWidth="0" defaultRowHeight="15" zeroHeight="1" x14ac:dyDescent="0.25"/>
  <cols>
    <col min="1" max="2" width="11.42578125" customWidth="1"/>
    <col min="3" max="3" width="14.7109375" customWidth="1"/>
    <col min="4" max="4" width="13.85546875" customWidth="1"/>
    <col min="5" max="5" width="17.28515625" customWidth="1"/>
    <col min="6" max="6" width="13.85546875" customWidth="1"/>
    <col min="7" max="7" width="19.7109375" customWidth="1"/>
    <col min="8" max="8" width="12.85546875" hidden="1"/>
    <col min="9" max="16383" width="11.42578125" hidden="1"/>
    <col min="16384" max="16384" width="23.42578125" customWidth="1"/>
  </cols>
  <sheetData>
    <row r="1" spans="1:8" x14ac:dyDescent="0.25"/>
    <row r="2" spans="1:8" x14ac:dyDescent="0.25"/>
    <row r="3" spans="1:8" x14ac:dyDescent="0.25">
      <c r="B3" s="73" t="s">
        <v>95</v>
      </c>
      <c r="C3" s="73"/>
      <c r="D3" s="73"/>
      <c r="E3" s="73"/>
      <c r="F3" s="73"/>
      <c r="G3" s="29"/>
    </row>
    <row r="4" spans="1:8" x14ac:dyDescent="0.25">
      <c r="B4" s="73" t="s">
        <v>89</v>
      </c>
      <c r="C4" s="73"/>
      <c r="D4" s="73"/>
      <c r="E4" s="73"/>
      <c r="F4" s="73"/>
      <c r="G4" s="29"/>
    </row>
    <row r="5" spans="1:8" x14ac:dyDescent="0.25">
      <c r="B5" s="73" t="s">
        <v>81</v>
      </c>
      <c r="C5" s="73"/>
      <c r="D5" s="73"/>
      <c r="E5" s="73"/>
      <c r="F5" s="73"/>
      <c r="G5" s="29"/>
    </row>
    <row r="6" spans="1:8" x14ac:dyDescent="0.25">
      <c r="B6" s="5"/>
      <c r="C6" s="5"/>
      <c r="D6" s="5"/>
      <c r="E6" s="5"/>
      <c r="F6" s="5"/>
      <c r="G6" s="5"/>
    </row>
    <row r="7" spans="1:8" x14ac:dyDescent="0.25"/>
    <row r="8" spans="1:8" ht="15" customHeight="1" x14ac:dyDescent="0.25">
      <c r="B8" s="74" t="s">
        <v>4</v>
      </c>
      <c r="C8" s="74" t="s">
        <v>39</v>
      </c>
      <c r="D8" s="74" t="s">
        <v>43</v>
      </c>
      <c r="E8" s="74" t="s">
        <v>40</v>
      </c>
      <c r="F8" s="74" t="s">
        <v>45</v>
      </c>
      <c r="G8" s="28"/>
    </row>
    <row r="9" spans="1:8" ht="23.25" customHeight="1" x14ac:dyDescent="0.25">
      <c r="B9" s="75"/>
      <c r="C9" s="75"/>
      <c r="D9" s="75"/>
      <c r="E9" s="75"/>
      <c r="F9" s="75"/>
      <c r="G9" s="28"/>
    </row>
    <row r="10" spans="1:8" ht="15.75" thickBot="1" x14ac:dyDescent="0.3">
      <c r="A10" s="59">
        <v>31</v>
      </c>
      <c r="B10" s="8">
        <v>48214</v>
      </c>
      <c r="C10" s="43">
        <f>+'Anexo 14'!AC6</f>
        <v>75619546</v>
      </c>
      <c r="D10" s="70"/>
      <c r="E10" s="57">
        <f>+'Cantidades Ofertadas Prod 7'!AC6</f>
        <v>0</v>
      </c>
      <c r="F10" s="96"/>
      <c r="G10" s="32"/>
      <c r="H10" s="51"/>
    </row>
    <row r="11" spans="1:8" ht="15.75" thickBot="1" x14ac:dyDescent="0.3">
      <c r="A11" s="59">
        <v>29</v>
      </c>
      <c r="B11" s="8">
        <v>48245</v>
      </c>
      <c r="C11" s="43">
        <f>+'Anexo 14'!AC9</f>
        <v>72562599</v>
      </c>
      <c r="D11" s="71"/>
      <c r="E11" s="57">
        <f>+'Cantidades Ofertadas Prod 7'!AC9</f>
        <v>0</v>
      </c>
      <c r="F11" s="97"/>
      <c r="G11" s="32"/>
      <c r="H11" s="51"/>
    </row>
    <row r="12" spans="1:8" ht="15.75" thickBot="1" x14ac:dyDescent="0.3">
      <c r="A12" s="59">
        <v>31</v>
      </c>
      <c r="B12" s="8">
        <v>48274</v>
      </c>
      <c r="C12" s="43">
        <f>+'Anexo 14'!AC12</f>
        <v>74566464</v>
      </c>
      <c r="D12" s="71"/>
      <c r="E12" s="57">
        <f>+'Cantidades Ofertadas Prod 7'!AC12</f>
        <v>0</v>
      </c>
      <c r="F12" s="97"/>
      <c r="G12" s="32"/>
      <c r="H12" s="51"/>
    </row>
    <row r="13" spans="1:8" ht="15.75" thickBot="1" x14ac:dyDescent="0.3">
      <c r="A13" s="59">
        <v>30</v>
      </c>
      <c r="B13" s="8">
        <v>48305</v>
      </c>
      <c r="C13" s="43">
        <f>+'Anexo 14'!AC15</f>
        <v>70533360</v>
      </c>
      <c r="D13" s="71"/>
      <c r="E13" s="57">
        <f>+'Cantidades Ofertadas Prod 7'!AC15</f>
        <v>0</v>
      </c>
      <c r="F13" s="97"/>
      <c r="G13" s="32"/>
      <c r="H13" s="51"/>
    </row>
    <row r="14" spans="1:8" ht="15.75" thickBot="1" x14ac:dyDescent="0.3">
      <c r="A14" s="59">
        <v>31</v>
      </c>
      <c r="B14" s="8">
        <v>48335</v>
      </c>
      <c r="C14" s="43">
        <f>+'Anexo 14'!AC18</f>
        <v>72718743</v>
      </c>
      <c r="D14" s="71"/>
      <c r="E14" s="57">
        <f>+'Cantidades Ofertadas Prod 7'!AC18</f>
        <v>0</v>
      </c>
      <c r="F14" s="97"/>
      <c r="G14" s="32"/>
      <c r="H14" s="51"/>
    </row>
    <row r="15" spans="1:8" ht="15.75" thickBot="1" x14ac:dyDescent="0.3">
      <c r="A15" s="59">
        <v>30</v>
      </c>
      <c r="B15" s="8">
        <v>48366</v>
      </c>
      <c r="C15" s="43">
        <f>+'Anexo 14'!AC21</f>
        <v>70803084</v>
      </c>
      <c r="D15" s="71"/>
      <c r="E15" s="57">
        <f>+'Cantidades Ofertadas Prod 7'!AC21</f>
        <v>0</v>
      </c>
      <c r="F15" s="97"/>
      <c r="G15" s="32"/>
      <c r="H15" s="51"/>
    </row>
    <row r="16" spans="1:8" ht="15.75" thickBot="1" x14ac:dyDescent="0.3">
      <c r="A16" s="59">
        <v>31</v>
      </c>
      <c r="B16" s="8">
        <v>48396</v>
      </c>
      <c r="C16" s="43">
        <f>+'Anexo 14'!AC24</f>
        <v>75505325</v>
      </c>
      <c r="D16" s="71"/>
      <c r="E16" s="57">
        <f>+'Cantidades Ofertadas Prod 7'!AC24</f>
        <v>0</v>
      </c>
      <c r="F16" s="97"/>
      <c r="G16" s="32"/>
      <c r="H16" s="51"/>
    </row>
    <row r="17" spans="1:8" ht="15.75" thickBot="1" x14ac:dyDescent="0.3">
      <c r="A17" s="59">
        <v>31</v>
      </c>
      <c r="B17" s="8">
        <v>48427</v>
      </c>
      <c r="C17" s="43">
        <f>+'Anexo 14'!AC27</f>
        <v>77393628</v>
      </c>
      <c r="D17" s="71"/>
      <c r="E17" s="57">
        <f>+'Cantidades Ofertadas Prod 7'!AC27</f>
        <v>0</v>
      </c>
      <c r="F17" s="97"/>
      <c r="G17" s="32"/>
      <c r="H17" s="51"/>
    </row>
    <row r="18" spans="1:8" ht="15.75" thickBot="1" x14ac:dyDescent="0.3">
      <c r="A18" s="59">
        <v>30</v>
      </c>
      <c r="B18" s="8">
        <v>48458</v>
      </c>
      <c r="C18" s="43">
        <f>+'Anexo 14'!AC30</f>
        <v>76786154</v>
      </c>
      <c r="D18" s="71"/>
      <c r="E18" s="57">
        <f>+'Cantidades Ofertadas Prod 7'!AC30</f>
        <v>0</v>
      </c>
      <c r="F18" s="97"/>
      <c r="G18" s="32"/>
      <c r="H18" s="51"/>
    </row>
    <row r="19" spans="1:8" ht="15.75" thickBot="1" x14ac:dyDescent="0.3">
      <c r="A19" s="59">
        <v>31</v>
      </c>
      <c r="B19" s="8">
        <v>48488</v>
      </c>
      <c r="C19" s="43">
        <f>+'Anexo 14'!AC33</f>
        <v>74442566</v>
      </c>
      <c r="D19" s="71"/>
      <c r="E19" s="57">
        <f>+'Cantidades Ofertadas Prod 7'!AC33</f>
        <v>0</v>
      </c>
      <c r="F19" s="97"/>
      <c r="G19" s="32"/>
      <c r="H19" s="45"/>
    </row>
    <row r="20" spans="1:8" ht="15.75" thickBot="1" x14ac:dyDescent="0.3">
      <c r="A20" s="59">
        <v>30</v>
      </c>
      <c r="B20" s="8">
        <v>48519</v>
      </c>
      <c r="C20" s="43">
        <f>+'Anexo 14'!AC36</f>
        <v>70373426</v>
      </c>
      <c r="D20" s="71"/>
      <c r="E20" s="57">
        <f>+'Cantidades Ofertadas Prod 7'!AC36</f>
        <v>0</v>
      </c>
      <c r="F20" s="97"/>
      <c r="G20" s="32"/>
      <c r="H20" s="45"/>
    </row>
    <row r="21" spans="1:8" ht="15.75" thickBot="1" x14ac:dyDescent="0.3">
      <c r="A21" s="59">
        <v>31</v>
      </c>
      <c r="B21" s="8">
        <v>48549</v>
      </c>
      <c r="C21" s="43">
        <f>+'Anexo 14'!AC39</f>
        <v>76833248</v>
      </c>
      <c r="D21" s="72"/>
      <c r="E21" s="57">
        <f>+'Cantidades Ofertadas Prod 7'!AC39</f>
        <v>0</v>
      </c>
      <c r="F21" s="98"/>
      <c r="G21" s="32"/>
      <c r="H21" s="45"/>
    </row>
    <row r="22" spans="1:8" ht="28.5" customHeight="1" x14ac:dyDescent="0.25">
      <c r="B22" s="9" t="s">
        <v>3</v>
      </c>
      <c r="C22" s="10">
        <f>+SUM(C10:C21)</f>
        <v>888138143</v>
      </c>
      <c r="D22" s="62"/>
      <c r="E22" s="56">
        <f>SUM(E10:E21)</f>
        <v>0</v>
      </c>
      <c r="F22" s="55">
        <f>+F10</f>
        <v>0</v>
      </c>
      <c r="G22" s="50"/>
      <c r="H22" s="42"/>
    </row>
    <row r="23" spans="1:8" ht="19.5" customHeight="1" x14ac:dyDescent="0.25">
      <c r="B23" s="24"/>
      <c r="C23" s="25"/>
      <c r="D23" s="30"/>
      <c r="E23" s="25"/>
      <c r="F23" s="26"/>
      <c r="G23" s="26"/>
      <c r="H23" s="42"/>
    </row>
    <row r="24" spans="1:8" ht="15" customHeight="1" x14ac:dyDescent="0.25">
      <c r="B24" s="7" t="s">
        <v>61</v>
      </c>
      <c r="C24" s="25"/>
      <c r="D24" s="30"/>
      <c r="E24" s="25"/>
      <c r="F24" s="26"/>
      <c r="G24" s="26"/>
      <c r="H24" s="42"/>
    </row>
    <row r="25" spans="1:8" x14ac:dyDescent="0.25">
      <c r="B25" s="66" t="s">
        <v>49</v>
      </c>
      <c r="C25" s="66"/>
      <c r="D25" s="66"/>
      <c r="E25" s="66"/>
      <c r="F25" s="66"/>
      <c r="G25" s="66"/>
      <c r="H25" s="42"/>
    </row>
    <row r="26" spans="1:8" x14ac:dyDescent="0.25">
      <c r="B26" s="7" t="s">
        <v>106</v>
      </c>
      <c r="C26" s="52"/>
      <c r="D26" s="52"/>
      <c r="E26" s="52"/>
      <c r="F26" s="52"/>
      <c r="G26" s="52"/>
      <c r="H26" s="42"/>
    </row>
    <row r="27" spans="1:8" x14ac:dyDescent="0.25">
      <c r="B27" s="7" t="s">
        <v>99</v>
      </c>
      <c r="C27" s="52"/>
      <c r="D27" s="52"/>
      <c r="E27" s="52"/>
      <c r="F27" s="52"/>
      <c r="G27" s="52"/>
      <c r="H27" s="42"/>
    </row>
    <row r="28" spans="1:8" x14ac:dyDescent="0.25">
      <c r="B28" s="7" t="s">
        <v>46</v>
      </c>
      <c r="H28" s="42"/>
    </row>
    <row r="29" spans="1:8" x14ac:dyDescent="0.25">
      <c r="B29" s="7" t="s">
        <v>105</v>
      </c>
      <c r="H29" s="42"/>
    </row>
    <row r="30" spans="1:8" ht="15" customHeight="1" x14ac:dyDescent="0.25">
      <c r="A30" s="2"/>
      <c r="B30" s="2"/>
      <c r="H30" s="42">
        <f t="shared" ref="H30:H32" si="0">+C30-G30</f>
        <v>0</v>
      </c>
    </row>
    <row r="31" spans="1:8" ht="15" customHeight="1" x14ac:dyDescent="0.25">
      <c r="A31" s="1"/>
      <c r="B31" s="1"/>
      <c r="C31" s="45"/>
      <c r="H31" s="42">
        <f t="shared" si="0"/>
        <v>0</v>
      </c>
    </row>
    <row r="32" spans="1:8" ht="15" customHeight="1" x14ac:dyDescent="0.25">
      <c r="A32" s="1"/>
      <c r="H32" s="42">
        <f t="shared" si="0"/>
        <v>0</v>
      </c>
    </row>
    <row r="33" spans="1:8" ht="15" customHeight="1" x14ac:dyDescent="0.25">
      <c r="A33" s="1"/>
      <c r="B33" s="60" t="s">
        <v>56</v>
      </c>
      <c r="H33" s="42"/>
    </row>
    <row r="34" spans="1:8" ht="15" customHeight="1" x14ac:dyDescent="0.25">
      <c r="A34" s="1"/>
      <c r="B34" s="61" t="s">
        <v>57</v>
      </c>
      <c r="H34" s="42"/>
    </row>
    <row r="35" spans="1:8" x14ac:dyDescent="0.25">
      <c r="B35" s="61" t="s">
        <v>58</v>
      </c>
    </row>
    <row r="36" spans="1:8" x14ac:dyDescent="0.25"/>
  </sheetData>
  <mergeCells count="11">
    <mergeCell ref="D10:D21"/>
    <mergeCell ref="F10:F21"/>
    <mergeCell ref="B25:G25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decimal" allowBlank="1" showInputMessage="1" showErrorMessage="1" errorTitle="Dato No valido" error="Debe ingresar un valor entre 0 y 100_x000a_" sqref="D10:D21" xr:uid="{F4B5ED03-4EF3-45E6-8A22-61591D5894B4}">
      <formula1>0</formula1>
      <formula2>1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50A41-17AE-4256-920A-0B11B7E036D1}">
  <sheetPr>
    <tabColor theme="9" tint="-0.499984740745262"/>
  </sheetPr>
  <dimension ref="A1:XFC34"/>
  <sheetViews>
    <sheetView showGridLines="0" topLeftCell="A8" zoomScaleNormal="100" zoomScaleSheetLayoutView="140" workbookViewId="0">
      <selection activeCell="B8" sqref="B8:F22"/>
    </sheetView>
  </sheetViews>
  <sheetFormatPr baseColWidth="10" defaultColWidth="0" defaultRowHeight="0" customHeight="1" zeroHeight="1" x14ac:dyDescent="0.25"/>
  <cols>
    <col min="1" max="2" width="11.42578125" customWidth="1"/>
    <col min="3" max="3" width="18.5703125" customWidth="1"/>
    <col min="4" max="4" width="13.85546875" customWidth="1"/>
    <col min="5" max="5" width="17.28515625" customWidth="1"/>
    <col min="6" max="6" width="13.85546875" customWidth="1"/>
    <col min="7" max="7" width="19.7109375" customWidth="1"/>
    <col min="8" max="8" width="12.85546875" hidden="1"/>
    <col min="9" max="16383" width="11.42578125" hidden="1"/>
    <col min="16384" max="16384" width="23.42578125" customWidth="1"/>
  </cols>
  <sheetData>
    <row r="1" spans="1:8" ht="15" x14ac:dyDescent="0.25"/>
    <row r="2" spans="1:8" ht="15" x14ac:dyDescent="0.25"/>
    <row r="3" spans="1:8" ht="15" x14ac:dyDescent="0.25">
      <c r="B3" s="73" t="s">
        <v>93</v>
      </c>
      <c r="C3" s="73"/>
      <c r="D3" s="73"/>
      <c r="E3" s="73"/>
      <c r="F3" s="73"/>
      <c r="G3" s="29"/>
    </row>
    <row r="4" spans="1:8" ht="15" x14ac:dyDescent="0.25">
      <c r="B4" s="73" t="s">
        <v>89</v>
      </c>
      <c r="C4" s="73"/>
      <c r="D4" s="73"/>
      <c r="E4" s="73"/>
      <c r="F4" s="73"/>
      <c r="G4" s="29"/>
    </row>
    <row r="5" spans="1:8" ht="15" x14ac:dyDescent="0.25">
      <c r="B5" s="73" t="s">
        <v>81</v>
      </c>
      <c r="C5" s="73"/>
      <c r="D5" s="73"/>
      <c r="E5" s="73"/>
      <c r="F5" s="73"/>
      <c r="G5" s="29"/>
    </row>
    <row r="6" spans="1:8" ht="15" x14ac:dyDescent="0.25">
      <c r="B6" s="5"/>
      <c r="C6" s="5"/>
      <c r="D6" s="5"/>
      <c r="E6" s="5"/>
      <c r="F6" s="5"/>
      <c r="G6" s="5"/>
    </row>
    <row r="7" spans="1:8" ht="15" x14ac:dyDescent="0.25"/>
    <row r="8" spans="1:8" ht="15" customHeight="1" x14ac:dyDescent="0.25">
      <c r="B8" s="74" t="s">
        <v>4</v>
      </c>
      <c r="C8" s="74" t="s">
        <v>59</v>
      </c>
      <c r="D8" s="74" t="s">
        <v>69</v>
      </c>
      <c r="E8" s="74" t="s">
        <v>40</v>
      </c>
      <c r="F8" s="74" t="s">
        <v>45</v>
      </c>
      <c r="G8" s="28"/>
    </row>
    <row r="9" spans="1:8" ht="23.25" customHeight="1" x14ac:dyDescent="0.25">
      <c r="A9" s="63">
        <v>20000</v>
      </c>
      <c r="B9" s="75"/>
      <c r="C9" s="75"/>
      <c r="D9" s="75"/>
      <c r="E9" s="75"/>
      <c r="F9" s="75"/>
      <c r="G9" s="28"/>
    </row>
    <row r="10" spans="1:8" ht="15.75" thickBot="1" x14ac:dyDescent="0.3">
      <c r="A10" s="59">
        <v>31</v>
      </c>
      <c r="B10" s="8">
        <v>48214</v>
      </c>
      <c r="C10" s="43">
        <f>+$A$9*A10*24</f>
        <v>14880000</v>
      </c>
      <c r="D10" s="93"/>
      <c r="E10" s="57">
        <f>+$D$10*A10*24</f>
        <v>0</v>
      </c>
      <c r="F10" s="96"/>
      <c r="G10" s="32"/>
      <c r="H10" s="51"/>
    </row>
    <row r="11" spans="1:8" ht="15.75" thickBot="1" x14ac:dyDescent="0.3">
      <c r="A11" s="59">
        <v>29</v>
      </c>
      <c r="B11" s="8">
        <v>48245</v>
      </c>
      <c r="C11" s="43">
        <f t="shared" ref="C11:C21" si="0">+$A$9*A11*24</f>
        <v>13920000</v>
      </c>
      <c r="D11" s="94"/>
      <c r="E11" s="57">
        <f t="shared" ref="E11:E21" si="1">+$D$10*A11*24</f>
        <v>0</v>
      </c>
      <c r="F11" s="97"/>
      <c r="G11" s="32"/>
      <c r="H11" s="51"/>
    </row>
    <row r="12" spans="1:8" ht="15.75" thickBot="1" x14ac:dyDescent="0.3">
      <c r="A12" s="59">
        <v>31</v>
      </c>
      <c r="B12" s="8">
        <v>48274</v>
      </c>
      <c r="C12" s="43">
        <f t="shared" si="0"/>
        <v>14880000</v>
      </c>
      <c r="D12" s="94"/>
      <c r="E12" s="57">
        <f t="shared" si="1"/>
        <v>0</v>
      </c>
      <c r="F12" s="97"/>
      <c r="G12" s="32"/>
      <c r="H12" s="51"/>
    </row>
    <row r="13" spans="1:8" ht="15.75" thickBot="1" x14ac:dyDescent="0.3">
      <c r="A13" s="59">
        <v>30</v>
      </c>
      <c r="B13" s="8">
        <v>48305</v>
      </c>
      <c r="C13" s="43">
        <f t="shared" si="0"/>
        <v>14400000</v>
      </c>
      <c r="D13" s="94"/>
      <c r="E13" s="57">
        <f t="shared" si="1"/>
        <v>0</v>
      </c>
      <c r="F13" s="97"/>
      <c r="G13" s="32"/>
      <c r="H13" s="51"/>
    </row>
    <row r="14" spans="1:8" ht="15.75" thickBot="1" x14ac:dyDescent="0.3">
      <c r="A14" s="59">
        <v>31</v>
      </c>
      <c r="B14" s="8">
        <v>48335</v>
      </c>
      <c r="C14" s="43">
        <f t="shared" si="0"/>
        <v>14880000</v>
      </c>
      <c r="D14" s="94"/>
      <c r="E14" s="57">
        <f t="shared" si="1"/>
        <v>0</v>
      </c>
      <c r="F14" s="97"/>
      <c r="G14" s="32"/>
      <c r="H14" s="51"/>
    </row>
    <row r="15" spans="1:8" ht="15.75" thickBot="1" x14ac:dyDescent="0.3">
      <c r="A15" s="59">
        <v>30</v>
      </c>
      <c r="B15" s="8">
        <v>48366</v>
      </c>
      <c r="C15" s="43">
        <f t="shared" si="0"/>
        <v>14400000</v>
      </c>
      <c r="D15" s="94"/>
      <c r="E15" s="57">
        <f t="shared" si="1"/>
        <v>0</v>
      </c>
      <c r="F15" s="97"/>
      <c r="G15" s="32"/>
      <c r="H15" s="51"/>
    </row>
    <row r="16" spans="1:8" ht="15.75" thickBot="1" x14ac:dyDescent="0.3">
      <c r="A16" s="59">
        <v>31</v>
      </c>
      <c r="B16" s="8">
        <v>48396</v>
      </c>
      <c r="C16" s="43">
        <f t="shared" si="0"/>
        <v>14880000</v>
      </c>
      <c r="D16" s="94"/>
      <c r="E16" s="57">
        <f t="shared" si="1"/>
        <v>0</v>
      </c>
      <c r="F16" s="97"/>
      <c r="G16" s="32"/>
      <c r="H16" s="51"/>
    </row>
    <row r="17" spans="1:8" ht="15.75" thickBot="1" x14ac:dyDescent="0.3">
      <c r="A17" s="59">
        <v>31</v>
      </c>
      <c r="B17" s="8">
        <v>48427</v>
      </c>
      <c r="C17" s="43">
        <f t="shared" si="0"/>
        <v>14880000</v>
      </c>
      <c r="D17" s="94"/>
      <c r="E17" s="57">
        <f t="shared" si="1"/>
        <v>0</v>
      </c>
      <c r="F17" s="97"/>
      <c r="G17" s="32"/>
      <c r="H17" s="51"/>
    </row>
    <row r="18" spans="1:8" ht="15.75" thickBot="1" x14ac:dyDescent="0.3">
      <c r="A18" s="59">
        <v>30</v>
      </c>
      <c r="B18" s="8">
        <v>48458</v>
      </c>
      <c r="C18" s="43">
        <f t="shared" si="0"/>
        <v>14400000</v>
      </c>
      <c r="D18" s="94"/>
      <c r="E18" s="57">
        <f t="shared" si="1"/>
        <v>0</v>
      </c>
      <c r="F18" s="97"/>
      <c r="G18" s="32"/>
      <c r="H18" s="51"/>
    </row>
    <row r="19" spans="1:8" ht="15.75" thickBot="1" x14ac:dyDescent="0.3">
      <c r="A19" s="59">
        <v>31</v>
      </c>
      <c r="B19" s="8">
        <v>48488</v>
      </c>
      <c r="C19" s="43">
        <f t="shared" si="0"/>
        <v>14880000</v>
      </c>
      <c r="D19" s="94"/>
      <c r="E19" s="57">
        <f t="shared" si="1"/>
        <v>0</v>
      </c>
      <c r="F19" s="97"/>
      <c r="G19" s="32"/>
      <c r="H19" s="45"/>
    </row>
    <row r="20" spans="1:8" ht="15.75" thickBot="1" x14ac:dyDescent="0.3">
      <c r="A20" s="59">
        <v>30</v>
      </c>
      <c r="B20" s="8">
        <v>48519</v>
      </c>
      <c r="C20" s="43">
        <f t="shared" si="0"/>
        <v>14400000</v>
      </c>
      <c r="D20" s="94"/>
      <c r="E20" s="57">
        <f t="shared" si="1"/>
        <v>0</v>
      </c>
      <c r="F20" s="97"/>
      <c r="G20" s="32"/>
      <c r="H20" s="45"/>
    </row>
    <row r="21" spans="1:8" ht="15.75" thickBot="1" x14ac:dyDescent="0.3">
      <c r="A21" s="59">
        <v>31</v>
      </c>
      <c r="B21" s="8">
        <v>48549</v>
      </c>
      <c r="C21" s="43">
        <f t="shared" si="0"/>
        <v>14880000</v>
      </c>
      <c r="D21" s="95"/>
      <c r="E21" s="57">
        <f t="shared" si="1"/>
        <v>0</v>
      </c>
      <c r="F21" s="98"/>
      <c r="G21" s="32"/>
      <c r="H21" s="45"/>
    </row>
    <row r="22" spans="1:8" ht="28.5" customHeight="1" x14ac:dyDescent="0.25">
      <c r="B22" s="9" t="s">
        <v>3</v>
      </c>
      <c r="C22" s="10">
        <f>+SUM(C10:C21)</f>
        <v>175680000</v>
      </c>
      <c r="D22" s="11"/>
      <c r="E22" s="56">
        <f>SUM(E10:E21)</f>
        <v>0</v>
      </c>
      <c r="F22" s="55">
        <f>+F10</f>
        <v>0</v>
      </c>
      <c r="G22" s="50"/>
      <c r="H22" s="42"/>
    </row>
    <row r="23" spans="1:8" ht="19.5" customHeight="1" x14ac:dyDescent="0.25">
      <c r="B23" s="7" t="s">
        <v>61</v>
      </c>
      <c r="C23" s="25"/>
      <c r="D23" s="30"/>
      <c r="E23" s="25"/>
      <c r="F23" s="26"/>
      <c r="G23" s="26"/>
      <c r="H23" s="42"/>
    </row>
    <row r="24" spans="1:8" ht="15" customHeight="1" x14ac:dyDescent="0.25">
      <c r="B24" s="7" t="s">
        <v>78</v>
      </c>
      <c r="C24" s="54"/>
      <c r="D24" s="54"/>
      <c r="E24" s="54"/>
      <c r="F24" s="54"/>
      <c r="G24" s="54"/>
      <c r="H24" s="42"/>
    </row>
    <row r="25" spans="1:8" ht="15" x14ac:dyDescent="0.25">
      <c r="B25" s="7" t="s">
        <v>46</v>
      </c>
      <c r="C25" s="54"/>
      <c r="D25" s="54"/>
      <c r="E25" s="54"/>
      <c r="F25" s="54"/>
      <c r="G25" s="54"/>
      <c r="H25" s="42"/>
    </row>
    <row r="26" spans="1:8" ht="33" customHeight="1" x14ac:dyDescent="0.25">
      <c r="B26" s="66" t="s">
        <v>71</v>
      </c>
      <c r="C26" s="66"/>
      <c r="D26" s="66"/>
      <c r="E26" s="66"/>
      <c r="F26" s="66"/>
      <c r="G26" s="66"/>
      <c r="H26" s="42"/>
    </row>
    <row r="27" spans="1:8" ht="15" x14ac:dyDescent="0.25">
      <c r="B27" s="7"/>
      <c r="C27" s="54"/>
      <c r="D27" s="54"/>
      <c r="E27" s="54"/>
      <c r="F27" s="54"/>
      <c r="G27" s="54"/>
      <c r="H27" s="42"/>
    </row>
    <row r="28" spans="1:8" ht="15" x14ac:dyDescent="0.25">
      <c r="B28" s="7"/>
      <c r="C28" s="54"/>
      <c r="D28" s="54"/>
      <c r="E28" s="54"/>
      <c r="F28" s="54"/>
      <c r="G28" s="54"/>
      <c r="H28" s="42"/>
    </row>
    <row r="29" spans="1:8" ht="15" x14ac:dyDescent="0.25">
      <c r="B29" s="7"/>
      <c r="C29" s="4"/>
      <c r="D29" s="3"/>
      <c r="E29" s="3"/>
      <c r="F29" s="3"/>
      <c r="G29" s="3"/>
      <c r="H29" s="42"/>
    </row>
    <row r="30" spans="1:8" ht="15" customHeight="1" x14ac:dyDescent="0.25">
      <c r="A30" s="2"/>
      <c r="H30" s="42"/>
    </row>
    <row r="31" spans="1:8" ht="15" customHeight="1" x14ac:dyDescent="0.25">
      <c r="A31" s="1"/>
      <c r="B31" s="60" t="s">
        <v>56</v>
      </c>
      <c r="H31" s="42"/>
    </row>
    <row r="32" spans="1:8" ht="15" customHeight="1" x14ac:dyDescent="0.25">
      <c r="A32" s="1"/>
      <c r="B32" s="61" t="s">
        <v>57</v>
      </c>
      <c r="H32" s="42"/>
    </row>
    <row r="33" spans="2:2" ht="15" x14ac:dyDescent="0.25">
      <c r="B33" s="61" t="s">
        <v>58</v>
      </c>
    </row>
    <row r="34" spans="2:2" ht="15" x14ac:dyDescent="0.25"/>
  </sheetData>
  <mergeCells count="11">
    <mergeCell ref="D10:D21"/>
    <mergeCell ref="F10:F21"/>
    <mergeCell ref="B26:G26"/>
    <mergeCell ref="B3:F3"/>
    <mergeCell ref="B4:F4"/>
    <mergeCell ref="B5:F5"/>
    <mergeCell ref="B8:B9"/>
    <mergeCell ref="C8:C9"/>
    <mergeCell ref="D8:D9"/>
    <mergeCell ref="E8:E9"/>
    <mergeCell ref="F8:F9"/>
  </mergeCells>
  <dataValidations count="1">
    <dataValidation type="whole" errorStyle="warning" allowBlank="1" showInputMessage="1" showErrorMessage="1" errorTitle="Dato no valido" error="Debe ingresar un valor entre 0 y 20.000" sqref="D10:D21" xr:uid="{ABC4C5BD-677A-4930-97C6-EA17270A8824}">
      <formula1>0</formula1>
      <formula2>20000</formula2>
    </dataValidation>
  </dataValidations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2B5CB-58BF-4DB4-AA0A-7B9250A38166}">
  <sheetPr>
    <tabColor theme="9" tint="-0.499984740745262"/>
  </sheetPr>
  <dimension ref="A1:AD45"/>
  <sheetViews>
    <sheetView showGridLines="0" zoomScale="115" zoomScaleNormal="115" zoomScaleSheetLayoutView="110" workbookViewId="0">
      <pane xSplit="2" ySplit="5" topLeftCell="O37" activePane="bottomRight" state="frozen"/>
      <selection pane="topRight" activeCell="C1" sqref="C1"/>
      <selection pane="bottomLeft" activeCell="A6" sqref="A6"/>
      <selection pane="bottomRight" activeCell="O37" sqref="O37"/>
    </sheetView>
  </sheetViews>
  <sheetFormatPr baseColWidth="10" defaultColWidth="0" defaultRowHeight="15" x14ac:dyDescent="0.25"/>
  <cols>
    <col min="1" max="1" width="6.42578125" bestFit="1" customWidth="1"/>
    <col min="2" max="2" width="8.7109375" bestFit="1" customWidth="1"/>
    <col min="3" max="4" width="9.28515625" bestFit="1" customWidth="1"/>
    <col min="5" max="8" width="9" bestFit="1" customWidth="1"/>
    <col min="9" max="9" width="9.28515625" bestFit="1" customWidth="1"/>
    <col min="10" max="13" width="9" bestFit="1" customWidth="1"/>
    <col min="14" max="14" width="8.7109375" bestFit="1" customWidth="1"/>
    <col min="15" max="16" width="9" bestFit="1" customWidth="1"/>
    <col min="17" max="17" width="9.28515625" bestFit="1" customWidth="1"/>
    <col min="18" max="18" width="9" bestFit="1" customWidth="1"/>
    <col min="19" max="21" width="9.28515625" bestFit="1" customWidth="1"/>
    <col min="22" max="22" width="8.7109375" bestFit="1" customWidth="1"/>
    <col min="23" max="23" width="9.28515625" bestFit="1" customWidth="1"/>
    <col min="24" max="24" width="9" bestFit="1" customWidth="1"/>
    <col min="25" max="26" width="9.28515625" bestFit="1" customWidth="1"/>
    <col min="27" max="27" width="10.140625" bestFit="1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x14ac:dyDescent="0.25">
      <c r="A1" s="86" t="s">
        <v>84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8"/>
    </row>
    <row r="2" spans="1:30" x14ac:dyDescent="0.25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1"/>
    </row>
    <row r="3" spans="1:3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x14ac:dyDescent="0.25">
      <c r="A4" s="92" t="s">
        <v>38</v>
      </c>
      <c r="B4" s="92" t="s">
        <v>37</v>
      </c>
      <c r="C4" s="84" t="s">
        <v>36</v>
      </c>
      <c r="D4" s="84" t="s">
        <v>35</v>
      </c>
      <c r="E4" s="84" t="s">
        <v>34</v>
      </c>
      <c r="F4" s="84" t="s">
        <v>33</v>
      </c>
      <c r="G4" s="84" t="s">
        <v>32</v>
      </c>
      <c r="H4" s="84" t="s">
        <v>31</v>
      </c>
      <c r="I4" s="84" t="s">
        <v>30</v>
      </c>
      <c r="J4" s="84" t="s">
        <v>29</v>
      </c>
      <c r="K4" s="84" t="s">
        <v>28</v>
      </c>
      <c r="L4" s="84" t="s">
        <v>27</v>
      </c>
      <c r="M4" s="84" t="s">
        <v>26</v>
      </c>
      <c r="N4" s="84" t="s">
        <v>25</v>
      </c>
      <c r="O4" s="84" t="s">
        <v>24</v>
      </c>
      <c r="P4" s="84" t="s">
        <v>23</v>
      </c>
      <c r="Q4" s="84" t="s">
        <v>22</v>
      </c>
      <c r="R4" s="84" t="s">
        <v>21</v>
      </c>
      <c r="S4" s="84" t="s">
        <v>20</v>
      </c>
      <c r="T4" s="84" t="s">
        <v>19</v>
      </c>
      <c r="U4" s="84" t="s">
        <v>18</v>
      </c>
      <c r="V4" s="84" t="s">
        <v>17</v>
      </c>
      <c r="W4" s="84" t="s">
        <v>16</v>
      </c>
      <c r="X4" s="84" t="s">
        <v>15</v>
      </c>
      <c r="Y4" s="84" t="s">
        <v>14</v>
      </c>
      <c r="Z4" s="84" t="s">
        <v>13</v>
      </c>
      <c r="AA4" s="14" t="s">
        <v>12</v>
      </c>
      <c r="AB4" s="15" t="s">
        <v>11</v>
      </c>
      <c r="AC4" s="82" t="s">
        <v>10</v>
      </c>
    </row>
    <row r="5" spans="1:30" x14ac:dyDescent="0.25">
      <c r="A5" s="92"/>
      <c r="B5" s="92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16"/>
      <c r="AB5" s="17" t="s">
        <v>9</v>
      </c>
      <c r="AC5" s="83"/>
    </row>
    <row r="6" spans="1:30" ht="15.75" thickBot="1" x14ac:dyDescent="0.3">
      <c r="A6" s="78">
        <v>48214</v>
      </c>
      <c r="B6" s="18" t="s">
        <v>8</v>
      </c>
      <c r="C6" s="33">
        <v>71829</v>
      </c>
      <c r="D6" s="33">
        <v>65120</v>
      </c>
      <c r="E6" s="33">
        <v>61084</v>
      </c>
      <c r="F6" s="33">
        <v>58999</v>
      </c>
      <c r="G6" s="33">
        <v>60440</v>
      </c>
      <c r="H6" s="33">
        <v>66676</v>
      </c>
      <c r="I6" s="33">
        <v>72604</v>
      </c>
      <c r="J6" s="33">
        <v>74401</v>
      </c>
      <c r="K6" s="33">
        <v>86885</v>
      </c>
      <c r="L6" s="33">
        <v>96342</v>
      </c>
      <c r="M6" s="33">
        <v>105972</v>
      </c>
      <c r="N6" s="33">
        <v>115056</v>
      </c>
      <c r="O6" s="33">
        <v>113513</v>
      </c>
      <c r="P6" s="33">
        <v>113712</v>
      </c>
      <c r="Q6" s="33">
        <v>116499</v>
      </c>
      <c r="R6" s="33">
        <v>117032</v>
      </c>
      <c r="S6" s="33">
        <v>115080</v>
      </c>
      <c r="T6" s="33">
        <v>141867</v>
      </c>
      <c r="U6" s="33">
        <v>153991</v>
      </c>
      <c r="V6" s="33">
        <v>164089</v>
      </c>
      <c r="W6" s="33">
        <v>157300</v>
      </c>
      <c r="X6" s="33">
        <v>145394</v>
      </c>
      <c r="Y6" s="33">
        <v>126261</v>
      </c>
      <c r="Z6" s="34">
        <v>106935</v>
      </c>
      <c r="AA6" s="35">
        <f>SUM(C6:Z6)</f>
        <v>2507081</v>
      </c>
      <c r="AB6" s="19">
        <v>20</v>
      </c>
      <c r="AC6" s="79">
        <f>+AA6*AB6+AA7*AB7+AA8*AB8</f>
        <v>75619546</v>
      </c>
    </row>
    <row r="7" spans="1:30" ht="15.75" thickBot="1" x14ac:dyDescent="0.3">
      <c r="A7" s="78"/>
      <c r="B7" s="20" t="s">
        <v>7</v>
      </c>
      <c r="C7" s="36">
        <v>74630</v>
      </c>
      <c r="D7" s="36">
        <v>67053</v>
      </c>
      <c r="E7" s="36">
        <v>62430</v>
      </c>
      <c r="F7" s="36">
        <v>59515</v>
      </c>
      <c r="G7" s="36">
        <v>59608</v>
      </c>
      <c r="H7" s="36">
        <v>63096</v>
      </c>
      <c r="I7" s="36">
        <v>67162</v>
      </c>
      <c r="J7" s="36">
        <v>69146</v>
      </c>
      <c r="K7" s="36">
        <v>83099</v>
      </c>
      <c r="L7" s="36">
        <v>93632</v>
      </c>
      <c r="M7" s="36">
        <v>101522</v>
      </c>
      <c r="N7" s="36">
        <v>109327</v>
      </c>
      <c r="O7" s="36">
        <v>110171</v>
      </c>
      <c r="P7" s="36">
        <v>108564</v>
      </c>
      <c r="Q7" s="36">
        <v>106801</v>
      </c>
      <c r="R7" s="36">
        <v>105942</v>
      </c>
      <c r="S7" s="36">
        <v>104740</v>
      </c>
      <c r="T7" s="36">
        <v>135025</v>
      </c>
      <c r="U7" s="36">
        <v>150226</v>
      </c>
      <c r="V7" s="36">
        <v>161051</v>
      </c>
      <c r="W7" s="36">
        <v>153647</v>
      </c>
      <c r="X7" s="36">
        <v>142611</v>
      </c>
      <c r="Y7" s="36">
        <v>126950</v>
      </c>
      <c r="Z7" s="37">
        <v>111256</v>
      </c>
      <c r="AA7" s="38">
        <f t="shared" ref="AA7:AA41" si="0">SUM(C7:Z7)</f>
        <v>2427204</v>
      </c>
      <c r="AB7" s="21">
        <v>5</v>
      </c>
      <c r="AC7" s="80"/>
      <c r="AD7" s="47"/>
    </row>
    <row r="8" spans="1:30" x14ac:dyDescent="0.25">
      <c r="A8" s="78"/>
      <c r="B8" s="22" t="s">
        <v>6</v>
      </c>
      <c r="C8" s="39">
        <v>80372</v>
      </c>
      <c r="D8" s="39">
        <v>72187</v>
      </c>
      <c r="E8" s="39">
        <v>66758</v>
      </c>
      <c r="F8" s="39">
        <v>62926</v>
      </c>
      <c r="G8" s="39">
        <v>61057</v>
      </c>
      <c r="H8" s="39">
        <v>61791</v>
      </c>
      <c r="I8" s="39">
        <v>60752</v>
      </c>
      <c r="J8" s="39">
        <v>57652</v>
      </c>
      <c r="K8" s="39">
        <v>68268</v>
      </c>
      <c r="L8" s="39">
        <v>77624</v>
      </c>
      <c r="M8" s="39">
        <v>84529</v>
      </c>
      <c r="N8" s="39">
        <v>91717</v>
      </c>
      <c r="O8" s="39">
        <v>95974</v>
      </c>
      <c r="P8" s="39">
        <v>95467</v>
      </c>
      <c r="Q8" s="39">
        <v>92761</v>
      </c>
      <c r="R8" s="39">
        <v>91201</v>
      </c>
      <c r="S8" s="39">
        <v>90418</v>
      </c>
      <c r="T8" s="39">
        <v>121637</v>
      </c>
      <c r="U8" s="39">
        <v>138217</v>
      </c>
      <c r="V8" s="39">
        <v>150056</v>
      </c>
      <c r="W8" s="39">
        <v>145227</v>
      </c>
      <c r="X8" s="39">
        <v>134905</v>
      </c>
      <c r="Y8" s="39">
        <v>118991</v>
      </c>
      <c r="Z8" s="40">
        <v>103164</v>
      </c>
      <c r="AA8" s="41">
        <f t="shared" si="0"/>
        <v>2223651</v>
      </c>
      <c r="AB8" s="23">
        <v>6</v>
      </c>
      <c r="AC8" s="81"/>
      <c r="AD8" s="48"/>
    </row>
    <row r="9" spans="1:30" ht="15.75" thickBot="1" x14ac:dyDescent="0.3">
      <c r="A9" s="78">
        <v>48245</v>
      </c>
      <c r="B9" s="18" t="s">
        <v>8</v>
      </c>
      <c r="C9" s="33">
        <v>72509</v>
      </c>
      <c r="D9" s="33">
        <v>66052</v>
      </c>
      <c r="E9" s="33">
        <v>62341</v>
      </c>
      <c r="F9" s="33">
        <v>60517</v>
      </c>
      <c r="G9" s="33">
        <v>62628</v>
      </c>
      <c r="H9" s="33">
        <v>72306</v>
      </c>
      <c r="I9" s="33">
        <v>80015</v>
      </c>
      <c r="J9" s="33">
        <v>79087</v>
      </c>
      <c r="K9" s="33">
        <v>90194</v>
      </c>
      <c r="L9" s="33">
        <v>98516</v>
      </c>
      <c r="M9" s="33">
        <v>107609</v>
      </c>
      <c r="N9" s="33">
        <v>116035</v>
      </c>
      <c r="O9" s="33">
        <v>112651</v>
      </c>
      <c r="P9" s="33">
        <v>113937</v>
      </c>
      <c r="Q9" s="33">
        <v>117851</v>
      </c>
      <c r="R9" s="33">
        <v>118556</v>
      </c>
      <c r="S9" s="33">
        <v>116636</v>
      </c>
      <c r="T9" s="33">
        <v>142632</v>
      </c>
      <c r="U9" s="33">
        <v>151884</v>
      </c>
      <c r="V9" s="33">
        <v>165133</v>
      </c>
      <c r="W9" s="33">
        <v>158607</v>
      </c>
      <c r="X9" s="33">
        <v>146142</v>
      </c>
      <c r="Y9" s="33">
        <v>126475</v>
      </c>
      <c r="Z9" s="34">
        <v>106906</v>
      </c>
      <c r="AA9" s="35">
        <f t="shared" si="0"/>
        <v>2545219</v>
      </c>
      <c r="AB9" s="19">
        <v>20</v>
      </c>
      <c r="AC9" s="79">
        <f>+AA9*AB9+AA10*AB10+AA11*AB11</f>
        <v>72562599</v>
      </c>
    </row>
    <row r="10" spans="1:30" ht="15.75" thickBot="1" x14ac:dyDescent="0.3">
      <c r="A10" s="78"/>
      <c r="B10" s="20" t="s">
        <v>7</v>
      </c>
      <c r="C10" s="36">
        <v>76831</v>
      </c>
      <c r="D10" s="36">
        <v>69672</v>
      </c>
      <c r="E10" s="36">
        <v>65069</v>
      </c>
      <c r="F10" s="36">
        <v>62426</v>
      </c>
      <c r="G10" s="36">
        <v>62739</v>
      </c>
      <c r="H10" s="36">
        <v>66489</v>
      </c>
      <c r="I10" s="36">
        <v>72494</v>
      </c>
      <c r="J10" s="36">
        <v>74471</v>
      </c>
      <c r="K10" s="36">
        <v>88965</v>
      </c>
      <c r="L10" s="36">
        <v>99058</v>
      </c>
      <c r="M10" s="36">
        <v>107083</v>
      </c>
      <c r="N10" s="36">
        <v>114874</v>
      </c>
      <c r="O10" s="36">
        <v>115089</v>
      </c>
      <c r="P10" s="36">
        <v>112927</v>
      </c>
      <c r="Q10" s="36">
        <v>111077</v>
      </c>
      <c r="R10" s="36">
        <v>110064</v>
      </c>
      <c r="S10" s="36">
        <v>108673</v>
      </c>
      <c r="T10" s="36">
        <v>138603</v>
      </c>
      <c r="U10" s="36">
        <v>150898</v>
      </c>
      <c r="V10" s="36">
        <v>164222</v>
      </c>
      <c r="W10" s="36">
        <v>156886</v>
      </c>
      <c r="X10" s="36">
        <v>146462</v>
      </c>
      <c r="Y10" s="36">
        <v>131559</v>
      </c>
      <c r="Z10" s="37">
        <v>115000</v>
      </c>
      <c r="AA10" s="38">
        <f t="shared" si="0"/>
        <v>2521631</v>
      </c>
      <c r="AB10" s="21">
        <v>4</v>
      </c>
      <c r="AC10" s="80"/>
      <c r="AD10" s="47"/>
    </row>
    <row r="11" spans="1:30" x14ac:dyDescent="0.25">
      <c r="A11" s="78"/>
      <c r="B11" s="22" t="s">
        <v>6</v>
      </c>
      <c r="C11" s="39">
        <v>81506</v>
      </c>
      <c r="D11" s="39">
        <v>73383</v>
      </c>
      <c r="E11" s="39">
        <v>68431</v>
      </c>
      <c r="F11" s="39">
        <v>64712</v>
      </c>
      <c r="G11" s="39">
        <v>63525</v>
      </c>
      <c r="H11" s="39">
        <v>64640</v>
      </c>
      <c r="I11" s="39">
        <v>65529</v>
      </c>
      <c r="J11" s="39">
        <v>63502</v>
      </c>
      <c r="K11" s="39">
        <v>75146</v>
      </c>
      <c r="L11" s="39">
        <v>84679</v>
      </c>
      <c r="M11" s="39">
        <v>90995</v>
      </c>
      <c r="N11" s="39">
        <v>97823</v>
      </c>
      <c r="O11" s="39">
        <v>101649</v>
      </c>
      <c r="P11" s="39">
        <v>100400</v>
      </c>
      <c r="Q11" s="39">
        <v>97352</v>
      </c>
      <c r="R11" s="39">
        <v>95504</v>
      </c>
      <c r="S11" s="39">
        <v>94573</v>
      </c>
      <c r="T11" s="39">
        <v>125794</v>
      </c>
      <c r="U11" s="39">
        <v>139016</v>
      </c>
      <c r="V11" s="39">
        <v>153734</v>
      </c>
      <c r="W11" s="39">
        <v>149242</v>
      </c>
      <c r="X11" s="39">
        <v>138548</v>
      </c>
      <c r="Y11" s="39">
        <v>120986</v>
      </c>
      <c r="Z11" s="40">
        <v>103670</v>
      </c>
      <c r="AA11" s="41">
        <f t="shared" si="0"/>
        <v>2314339</v>
      </c>
      <c r="AB11" s="23">
        <v>5</v>
      </c>
      <c r="AC11" s="81"/>
      <c r="AD11" s="48"/>
    </row>
    <row r="12" spans="1:30" ht="15.75" thickBot="1" x14ac:dyDescent="0.3">
      <c r="A12" s="78">
        <v>48274</v>
      </c>
      <c r="B12" s="18" t="s">
        <v>8</v>
      </c>
      <c r="C12" s="33">
        <v>70028</v>
      </c>
      <c r="D12" s="33">
        <v>63847</v>
      </c>
      <c r="E12" s="33">
        <v>60424</v>
      </c>
      <c r="F12" s="33">
        <v>58710</v>
      </c>
      <c r="G12" s="33">
        <v>60984</v>
      </c>
      <c r="H12" s="33">
        <v>70474</v>
      </c>
      <c r="I12" s="33">
        <v>77122</v>
      </c>
      <c r="J12" s="33">
        <v>77085</v>
      </c>
      <c r="K12" s="33">
        <v>87751</v>
      </c>
      <c r="L12" s="33">
        <v>95742</v>
      </c>
      <c r="M12" s="33">
        <v>104256</v>
      </c>
      <c r="N12" s="33">
        <v>111935</v>
      </c>
      <c r="O12" s="33">
        <v>108875</v>
      </c>
      <c r="P12" s="33">
        <v>109552</v>
      </c>
      <c r="Q12" s="33">
        <v>112917</v>
      </c>
      <c r="R12" s="33">
        <v>113465</v>
      </c>
      <c r="S12" s="33">
        <v>112003</v>
      </c>
      <c r="T12" s="33">
        <v>139313</v>
      </c>
      <c r="U12" s="33">
        <v>150862</v>
      </c>
      <c r="V12" s="33">
        <v>162165</v>
      </c>
      <c r="W12" s="33">
        <v>155434</v>
      </c>
      <c r="X12" s="33">
        <v>142759</v>
      </c>
      <c r="Y12" s="33">
        <v>123487</v>
      </c>
      <c r="Z12" s="34">
        <v>104459</v>
      </c>
      <c r="AA12" s="35">
        <f t="shared" si="0"/>
        <v>2473649</v>
      </c>
      <c r="AB12" s="19">
        <v>20</v>
      </c>
      <c r="AC12" s="79">
        <f>+AA12*AB12+AA13*AB13+AA14*AB14</f>
        <v>74566464</v>
      </c>
    </row>
    <row r="13" spans="1:30" ht="15.75" thickBot="1" x14ac:dyDescent="0.3">
      <c r="A13" s="78"/>
      <c r="B13" s="20" t="s">
        <v>7</v>
      </c>
      <c r="C13" s="36">
        <v>73628</v>
      </c>
      <c r="D13" s="36">
        <v>66489</v>
      </c>
      <c r="E13" s="36">
        <v>62694</v>
      </c>
      <c r="F13" s="36">
        <v>60525</v>
      </c>
      <c r="G13" s="36">
        <v>60654</v>
      </c>
      <c r="H13" s="36">
        <v>64638</v>
      </c>
      <c r="I13" s="36">
        <v>68112</v>
      </c>
      <c r="J13" s="36">
        <v>71180</v>
      </c>
      <c r="K13" s="36">
        <v>84629</v>
      </c>
      <c r="L13" s="36">
        <v>94376</v>
      </c>
      <c r="M13" s="36">
        <v>102117</v>
      </c>
      <c r="N13" s="36">
        <v>108570</v>
      </c>
      <c r="O13" s="36">
        <v>108441</v>
      </c>
      <c r="P13" s="36">
        <v>106142</v>
      </c>
      <c r="Q13" s="36">
        <v>104420</v>
      </c>
      <c r="R13" s="36">
        <v>103124</v>
      </c>
      <c r="S13" s="36">
        <v>101444</v>
      </c>
      <c r="T13" s="36">
        <v>131997</v>
      </c>
      <c r="U13" s="36">
        <v>146029</v>
      </c>
      <c r="V13" s="36">
        <v>156688</v>
      </c>
      <c r="W13" s="36">
        <v>149721</v>
      </c>
      <c r="X13" s="36">
        <v>139754</v>
      </c>
      <c r="Y13" s="36">
        <v>124926</v>
      </c>
      <c r="Z13" s="37">
        <v>109945</v>
      </c>
      <c r="AA13" s="38">
        <f t="shared" si="0"/>
        <v>2400243</v>
      </c>
      <c r="AB13" s="21">
        <v>4</v>
      </c>
      <c r="AC13" s="80"/>
      <c r="AD13" s="47"/>
    </row>
    <row r="14" spans="1:30" x14ac:dyDescent="0.25">
      <c r="A14" s="78"/>
      <c r="B14" s="22" t="s">
        <v>6</v>
      </c>
      <c r="C14" s="39">
        <v>77231</v>
      </c>
      <c r="D14" s="39">
        <v>69376</v>
      </c>
      <c r="E14" s="39">
        <v>64755</v>
      </c>
      <c r="F14" s="39">
        <v>61622</v>
      </c>
      <c r="G14" s="39">
        <v>60321</v>
      </c>
      <c r="H14" s="39">
        <v>61863</v>
      </c>
      <c r="I14" s="39">
        <v>61477</v>
      </c>
      <c r="J14" s="39">
        <v>60033</v>
      </c>
      <c r="K14" s="39">
        <v>70735</v>
      </c>
      <c r="L14" s="39">
        <v>79361</v>
      </c>
      <c r="M14" s="39">
        <v>85376</v>
      </c>
      <c r="N14" s="39">
        <v>92213</v>
      </c>
      <c r="O14" s="39">
        <v>96285</v>
      </c>
      <c r="P14" s="39">
        <v>95147</v>
      </c>
      <c r="Q14" s="39">
        <v>92023</v>
      </c>
      <c r="R14" s="39">
        <v>90628</v>
      </c>
      <c r="S14" s="39">
        <v>89722</v>
      </c>
      <c r="T14" s="39">
        <v>121279</v>
      </c>
      <c r="U14" s="39">
        <v>136430</v>
      </c>
      <c r="V14" s="39">
        <v>148991</v>
      </c>
      <c r="W14" s="39">
        <v>144147</v>
      </c>
      <c r="X14" s="39">
        <v>134122</v>
      </c>
      <c r="Y14" s="39">
        <v>117812</v>
      </c>
      <c r="Z14" s="40">
        <v>102267</v>
      </c>
      <c r="AA14" s="41">
        <f t="shared" si="0"/>
        <v>2213216</v>
      </c>
      <c r="AB14" s="23">
        <v>7</v>
      </c>
      <c r="AC14" s="81"/>
      <c r="AD14" s="45"/>
    </row>
    <row r="15" spans="1:30" ht="15.75" thickBot="1" x14ac:dyDescent="0.3">
      <c r="A15" s="78">
        <v>48305</v>
      </c>
      <c r="B15" s="18" t="s">
        <v>8</v>
      </c>
      <c r="C15" s="33">
        <v>67393</v>
      </c>
      <c r="D15" s="33">
        <v>61475</v>
      </c>
      <c r="E15" s="33">
        <v>57915</v>
      </c>
      <c r="F15" s="33">
        <v>56263</v>
      </c>
      <c r="G15" s="33">
        <v>58353</v>
      </c>
      <c r="H15" s="33">
        <v>66006</v>
      </c>
      <c r="I15" s="33">
        <v>71640</v>
      </c>
      <c r="J15" s="33">
        <v>72548</v>
      </c>
      <c r="K15" s="33">
        <v>83213</v>
      </c>
      <c r="L15" s="33">
        <v>91566</v>
      </c>
      <c r="M15" s="33">
        <v>100383</v>
      </c>
      <c r="N15" s="33">
        <v>108373</v>
      </c>
      <c r="O15" s="33">
        <v>105518</v>
      </c>
      <c r="P15" s="33">
        <v>106250</v>
      </c>
      <c r="Q15" s="33">
        <v>109411</v>
      </c>
      <c r="R15" s="33">
        <v>109736</v>
      </c>
      <c r="S15" s="33">
        <v>108093</v>
      </c>
      <c r="T15" s="33">
        <v>136141</v>
      </c>
      <c r="U15" s="33">
        <v>150043</v>
      </c>
      <c r="V15" s="33">
        <v>158311</v>
      </c>
      <c r="W15" s="33">
        <v>151927</v>
      </c>
      <c r="X15" s="33">
        <v>139131</v>
      </c>
      <c r="Y15" s="33">
        <v>119762</v>
      </c>
      <c r="Z15" s="34">
        <v>101237</v>
      </c>
      <c r="AA15" s="35">
        <f t="shared" si="0"/>
        <v>2390688</v>
      </c>
      <c r="AB15" s="19">
        <v>22</v>
      </c>
      <c r="AC15" s="79">
        <f>+AA15*AB15+AA16*AB16+AA17*AB17</f>
        <v>70533360</v>
      </c>
    </row>
    <row r="16" spans="1:30" ht="15.75" thickBot="1" x14ac:dyDescent="0.3">
      <c r="A16" s="78"/>
      <c r="B16" s="20" t="s">
        <v>7</v>
      </c>
      <c r="C16" s="36">
        <v>69773</v>
      </c>
      <c r="D16" s="36">
        <v>63019</v>
      </c>
      <c r="E16" s="36">
        <v>58676</v>
      </c>
      <c r="F16" s="36">
        <v>56113</v>
      </c>
      <c r="G16" s="36">
        <v>56585</v>
      </c>
      <c r="H16" s="36">
        <v>59479</v>
      </c>
      <c r="I16" s="36">
        <v>63123</v>
      </c>
      <c r="J16" s="36">
        <v>66734</v>
      </c>
      <c r="K16" s="36">
        <v>79975</v>
      </c>
      <c r="L16" s="36">
        <v>90023</v>
      </c>
      <c r="M16" s="36">
        <v>97285</v>
      </c>
      <c r="N16" s="36">
        <v>105524</v>
      </c>
      <c r="O16" s="36">
        <v>106029</v>
      </c>
      <c r="P16" s="36">
        <v>104109</v>
      </c>
      <c r="Q16" s="36">
        <v>102364</v>
      </c>
      <c r="R16" s="36">
        <v>101161</v>
      </c>
      <c r="S16" s="36">
        <v>100723</v>
      </c>
      <c r="T16" s="36">
        <v>131901</v>
      </c>
      <c r="U16" s="36">
        <v>147713</v>
      </c>
      <c r="V16" s="36">
        <v>156457</v>
      </c>
      <c r="W16" s="36">
        <v>149106</v>
      </c>
      <c r="X16" s="36">
        <v>138442</v>
      </c>
      <c r="Y16" s="36">
        <v>123422</v>
      </c>
      <c r="Z16" s="37">
        <v>108095</v>
      </c>
      <c r="AA16" s="38">
        <f t="shared" si="0"/>
        <v>2335831</v>
      </c>
      <c r="AB16" s="21">
        <v>4</v>
      </c>
      <c r="AC16" s="80"/>
      <c r="AD16" s="47"/>
    </row>
    <row r="17" spans="1:30" x14ac:dyDescent="0.25">
      <c r="A17" s="78"/>
      <c r="B17" s="22" t="s">
        <v>6</v>
      </c>
      <c r="C17" s="39">
        <v>74575</v>
      </c>
      <c r="D17" s="39">
        <v>66995</v>
      </c>
      <c r="E17" s="39">
        <v>62092</v>
      </c>
      <c r="F17" s="39">
        <v>58758</v>
      </c>
      <c r="G17" s="39">
        <v>57465</v>
      </c>
      <c r="H17" s="39">
        <v>57294</v>
      </c>
      <c r="I17" s="39">
        <v>58084</v>
      </c>
      <c r="J17" s="39">
        <v>57648</v>
      </c>
      <c r="K17" s="39">
        <v>68021</v>
      </c>
      <c r="L17" s="39">
        <v>77125</v>
      </c>
      <c r="M17" s="39">
        <v>83603</v>
      </c>
      <c r="N17" s="39">
        <v>90206</v>
      </c>
      <c r="O17" s="39">
        <v>94046</v>
      </c>
      <c r="P17" s="39">
        <v>92987</v>
      </c>
      <c r="Q17" s="39">
        <v>89671</v>
      </c>
      <c r="R17" s="39">
        <v>88107</v>
      </c>
      <c r="S17" s="39">
        <v>87211</v>
      </c>
      <c r="T17" s="39">
        <v>118922</v>
      </c>
      <c r="U17" s="39">
        <v>135807</v>
      </c>
      <c r="V17" s="39">
        <v>145913</v>
      </c>
      <c r="W17" s="39">
        <v>140621</v>
      </c>
      <c r="X17" s="39">
        <v>130304</v>
      </c>
      <c r="Y17" s="39">
        <v>114507</v>
      </c>
      <c r="Z17" s="40">
        <v>98763</v>
      </c>
      <c r="AA17" s="41">
        <f t="shared" si="0"/>
        <v>2148725</v>
      </c>
      <c r="AB17" s="23">
        <v>4</v>
      </c>
      <c r="AC17" s="81"/>
      <c r="AD17" s="48"/>
    </row>
    <row r="18" spans="1:30" ht="15.75" thickBot="1" x14ac:dyDescent="0.3">
      <c r="A18" s="78">
        <v>48335</v>
      </c>
      <c r="B18" s="18" t="s">
        <v>8</v>
      </c>
      <c r="C18" s="33">
        <v>67558</v>
      </c>
      <c r="D18" s="33">
        <v>61439</v>
      </c>
      <c r="E18" s="33">
        <v>58032</v>
      </c>
      <c r="F18" s="33">
        <v>56325</v>
      </c>
      <c r="G18" s="33">
        <v>58342</v>
      </c>
      <c r="H18" s="33">
        <v>64903</v>
      </c>
      <c r="I18" s="33">
        <v>71763</v>
      </c>
      <c r="J18" s="33">
        <v>73183</v>
      </c>
      <c r="K18" s="33">
        <v>84139</v>
      </c>
      <c r="L18" s="33">
        <v>92743</v>
      </c>
      <c r="M18" s="33">
        <v>101395</v>
      </c>
      <c r="N18" s="33">
        <v>109609</v>
      </c>
      <c r="O18" s="33">
        <v>107127</v>
      </c>
      <c r="P18" s="33">
        <v>107095</v>
      </c>
      <c r="Q18" s="33">
        <v>109572</v>
      </c>
      <c r="R18" s="33">
        <v>109862</v>
      </c>
      <c r="S18" s="33">
        <v>108193</v>
      </c>
      <c r="T18" s="33">
        <v>136678</v>
      </c>
      <c r="U18" s="33">
        <v>151194</v>
      </c>
      <c r="V18" s="33">
        <v>159421</v>
      </c>
      <c r="W18" s="33">
        <v>152283</v>
      </c>
      <c r="X18" s="33">
        <v>139449</v>
      </c>
      <c r="Y18" s="33">
        <v>119775</v>
      </c>
      <c r="Z18" s="34">
        <v>101549</v>
      </c>
      <c r="AA18" s="35">
        <f t="shared" si="0"/>
        <v>2401629</v>
      </c>
      <c r="AB18" s="19">
        <v>19</v>
      </c>
      <c r="AC18" s="79">
        <f>+AA18*AB18+AA19*AB19+AA20*AB20</f>
        <v>72718743</v>
      </c>
    </row>
    <row r="19" spans="1:30" ht="15.75" thickBot="1" x14ac:dyDescent="0.3">
      <c r="A19" s="78"/>
      <c r="B19" s="20" t="s">
        <v>7</v>
      </c>
      <c r="C19" s="36">
        <v>71699</v>
      </c>
      <c r="D19" s="36">
        <v>64993</v>
      </c>
      <c r="E19" s="36">
        <v>60944</v>
      </c>
      <c r="F19" s="36">
        <v>58557</v>
      </c>
      <c r="G19" s="36">
        <v>58971</v>
      </c>
      <c r="H19" s="36">
        <v>60660</v>
      </c>
      <c r="I19" s="36">
        <v>66157</v>
      </c>
      <c r="J19" s="36">
        <v>69836</v>
      </c>
      <c r="K19" s="36">
        <v>83380</v>
      </c>
      <c r="L19" s="36">
        <v>93847</v>
      </c>
      <c r="M19" s="36">
        <v>101019</v>
      </c>
      <c r="N19" s="36">
        <v>107564</v>
      </c>
      <c r="O19" s="36">
        <v>107585</v>
      </c>
      <c r="P19" s="36">
        <v>105021</v>
      </c>
      <c r="Q19" s="36">
        <v>102411</v>
      </c>
      <c r="R19" s="36">
        <v>100835</v>
      </c>
      <c r="S19" s="36">
        <v>99691</v>
      </c>
      <c r="T19" s="36">
        <v>131541</v>
      </c>
      <c r="U19" s="36">
        <v>148727</v>
      </c>
      <c r="V19" s="36">
        <v>155697</v>
      </c>
      <c r="W19" s="36">
        <v>148608</v>
      </c>
      <c r="X19" s="36">
        <v>137745</v>
      </c>
      <c r="Y19" s="36">
        <v>122634</v>
      </c>
      <c r="Z19" s="37">
        <v>107568</v>
      </c>
      <c r="AA19" s="38">
        <f t="shared" si="0"/>
        <v>2365690</v>
      </c>
      <c r="AB19" s="21">
        <v>4</v>
      </c>
      <c r="AC19" s="80"/>
      <c r="AD19" s="47"/>
    </row>
    <row r="20" spans="1:30" x14ac:dyDescent="0.25">
      <c r="A20" s="78"/>
      <c r="B20" s="22" t="s">
        <v>6</v>
      </c>
      <c r="C20" s="39">
        <v>73724</v>
      </c>
      <c r="D20" s="39">
        <v>66393</v>
      </c>
      <c r="E20" s="39">
        <v>61842</v>
      </c>
      <c r="F20" s="39">
        <v>58814</v>
      </c>
      <c r="G20" s="39">
        <v>57885</v>
      </c>
      <c r="H20" s="39">
        <v>56731</v>
      </c>
      <c r="I20" s="39">
        <v>58805</v>
      </c>
      <c r="J20" s="39">
        <v>59378</v>
      </c>
      <c r="K20" s="39">
        <v>70362</v>
      </c>
      <c r="L20" s="39">
        <v>80115</v>
      </c>
      <c r="M20" s="39">
        <v>86782</v>
      </c>
      <c r="N20" s="39">
        <v>93747</v>
      </c>
      <c r="O20" s="39">
        <v>96804</v>
      </c>
      <c r="P20" s="39">
        <v>96190</v>
      </c>
      <c r="Q20" s="39">
        <v>92561</v>
      </c>
      <c r="R20" s="39">
        <v>96639</v>
      </c>
      <c r="S20" s="39">
        <v>90006</v>
      </c>
      <c r="T20" s="39">
        <v>122025</v>
      </c>
      <c r="U20" s="39">
        <v>139477</v>
      </c>
      <c r="V20" s="39">
        <v>149617</v>
      </c>
      <c r="W20" s="39">
        <v>144168</v>
      </c>
      <c r="X20" s="39">
        <v>133204</v>
      </c>
      <c r="Y20" s="39">
        <v>116961</v>
      </c>
      <c r="Z20" s="40">
        <v>100899</v>
      </c>
      <c r="AA20" s="41">
        <f t="shared" si="0"/>
        <v>2203129</v>
      </c>
      <c r="AB20" s="23">
        <v>8</v>
      </c>
      <c r="AC20" s="81"/>
      <c r="AD20" s="48"/>
    </row>
    <row r="21" spans="1:30" ht="15.75" thickBot="1" x14ac:dyDescent="0.3">
      <c r="A21" s="78">
        <v>48366</v>
      </c>
      <c r="B21" s="18" t="s">
        <v>8</v>
      </c>
      <c r="C21" s="33">
        <v>66240</v>
      </c>
      <c r="D21" s="33">
        <v>59992</v>
      </c>
      <c r="E21" s="33">
        <v>56867</v>
      </c>
      <c r="F21" s="33">
        <v>55191</v>
      </c>
      <c r="G21" s="33">
        <v>57043</v>
      </c>
      <c r="H21" s="33">
        <v>62676</v>
      </c>
      <c r="I21" s="33">
        <v>70107</v>
      </c>
      <c r="J21" s="33">
        <v>72118</v>
      </c>
      <c r="K21" s="33">
        <v>83546</v>
      </c>
      <c r="L21" s="33">
        <v>92068</v>
      </c>
      <c r="M21" s="33">
        <v>100973</v>
      </c>
      <c r="N21" s="33">
        <v>109287</v>
      </c>
      <c r="O21" s="33">
        <v>106605</v>
      </c>
      <c r="P21" s="33">
        <v>106425</v>
      </c>
      <c r="Q21" s="33">
        <v>109482</v>
      </c>
      <c r="R21" s="33">
        <v>109653</v>
      </c>
      <c r="S21" s="33">
        <v>107989</v>
      </c>
      <c r="T21" s="33">
        <v>135927</v>
      </c>
      <c r="U21" s="33">
        <v>147499</v>
      </c>
      <c r="V21" s="33">
        <v>158301</v>
      </c>
      <c r="W21" s="33">
        <v>151534</v>
      </c>
      <c r="X21" s="33">
        <v>138814</v>
      </c>
      <c r="Y21" s="33">
        <v>118852</v>
      </c>
      <c r="Z21" s="34">
        <v>100348</v>
      </c>
      <c r="AA21" s="35">
        <f t="shared" si="0"/>
        <v>2377537</v>
      </c>
      <c r="AB21" s="19">
        <v>21</v>
      </c>
      <c r="AC21" s="79">
        <f>+AA21*AB21+AA22*AB22+AA23*AB23</f>
        <v>70803084</v>
      </c>
    </row>
    <row r="22" spans="1:30" ht="15.75" thickBot="1" x14ac:dyDescent="0.3">
      <c r="A22" s="78"/>
      <c r="B22" s="20" t="s">
        <v>7</v>
      </c>
      <c r="C22" s="36">
        <v>71581</v>
      </c>
      <c r="D22" s="36">
        <v>64369</v>
      </c>
      <c r="E22" s="36">
        <v>60236</v>
      </c>
      <c r="F22" s="36">
        <v>57902</v>
      </c>
      <c r="G22" s="36">
        <v>58109</v>
      </c>
      <c r="H22" s="36">
        <v>59768</v>
      </c>
      <c r="I22" s="36">
        <v>65201</v>
      </c>
      <c r="J22" s="36">
        <v>68737</v>
      </c>
      <c r="K22" s="36">
        <v>83224</v>
      </c>
      <c r="L22" s="36">
        <v>93167</v>
      </c>
      <c r="M22" s="36">
        <v>100931</v>
      </c>
      <c r="N22" s="36">
        <v>107661</v>
      </c>
      <c r="O22" s="36">
        <v>108103</v>
      </c>
      <c r="P22" s="36">
        <v>106449</v>
      </c>
      <c r="Q22" s="36">
        <v>104742</v>
      </c>
      <c r="R22" s="36">
        <v>104445</v>
      </c>
      <c r="S22" s="36">
        <v>103266</v>
      </c>
      <c r="T22" s="36">
        <v>134879</v>
      </c>
      <c r="U22" s="36">
        <v>149628</v>
      </c>
      <c r="V22" s="36">
        <v>159094</v>
      </c>
      <c r="W22" s="36">
        <v>151622</v>
      </c>
      <c r="X22" s="36">
        <v>140953</v>
      </c>
      <c r="Y22" s="36">
        <v>125155</v>
      </c>
      <c r="Z22" s="37">
        <v>109081</v>
      </c>
      <c r="AA22" s="38">
        <f t="shared" si="0"/>
        <v>2388303</v>
      </c>
      <c r="AB22" s="21">
        <v>4</v>
      </c>
      <c r="AC22" s="80"/>
      <c r="AD22" s="47"/>
    </row>
    <row r="23" spans="1:30" x14ac:dyDescent="0.25">
      <c r="A23" s="78"/>
      <c r="B23" s="22" t="s">
        <v>6</v>
      </c>
      <c r="C23" s="39">
        <v>76297</v>
      </c>
      <c r="D23" s="39">
        <v>68614</v>
      </c>
      <c r="E23" s="39">
        <v>64151</v>
      </c>
      <c r="F23" s="39">
        <v>61110</v>
      </c>
      <c r="G23" s="39">
        <v>60391</v>
      </c>
      <c r="H23" s="39">
        <v>60271</v>
      </c>
      <c r="I23" s="39">
        <v>61662</v>
      </c>
      <c r="J23" s="39">
        <v>62652</v>
      </c>
      <c r="K23" s="39">
        <v>74090</v>
      </c>
      <c r="L23" s="39">
        <v>82921</v>
      </c>
      <c r="M23" s="39">
        <v>90185</v>
      </c>
      <c r="N23" s="39">
        <v>97211</v>
      </c>
      <c r="O23" s="39">
        <v>99717</v>
      </c>
      <c r="P23" s="39">
        <v>98655</v>
      </c>
      <c r="Q23" s="39">
        <v>95713</v>
      </c>
      <c r="R23" s="39">
        <v>94324</v>
      </c>
      <c r="S23" s="39">
        <v>93569</v>
      </c>
      <c r="T23" s="39">
        <v>125211</v>
      </c>
      <c r="U23" s="39">
        <v>140169</v>
      </c>
      <c r="V23" s="39">
        <v>152176</v>
      </c>
      <c r="W23" s="39">
        <v>147010</v>
      </c>
      <c r="X23" s="39">
        <v>135908</v>
      </c>
      <c r="Y23" s="39">
        <v>119228</v>
      </c>
      <c r="Z23" s="40">
        <v>103084</v>
      </c>
      <c r="AA23" s="41">
        <f t="shared" si="0"/>
        <v>2264319</v>
      </c>
      <c r="AB23" s="23">
        <v>5</v>
      </c>
      <c r="AC23" s="81"/>
      <c r="AD23" s="48"/>
    </row>
    <row r="24" spans="1:30" ht="15.75" thickBot="1" x14ac:dyDescent="0.3">
      <c r="A24" s="78">
        <v>48396</v>
      </c>
      <c r="B24" s="18" t="s">
        <v>8</v>
      </c>
      <c r="C24" s="33">
        <v>71433</v>
      </c>
      <c r="D24" s="33">
        <v>64851</v>
      </c>
      <c r="E24" s="33">
        <v>61055</v>
      </c>
      <c r="F24" s="33">
        <v>58988</v>
      </c>
      <c r="G24" s="33">
        <v>60750</v>
      </c>
      <c r="H24" s="33">
        <v>66358</v>
      </c>
      <c r="I24" s="33">
        <v>72391</v>
      </c>
      <c r="J24" s="33">
        <v>75719</v>
      </c>
      <c r="K24" s="33">
        <v>87990</v>
      </c>
      <c r="L24" s="33">
        <v>97611</v>
      </c>
      <c r="M24" s="33">
        <v>106922</v>
      </c>
      <c r="N24" s="33">
        <v>115181</v>
      </c>
      <c r="O24" s="33">
        <v>112259</v>
      </c>
      <c r="P24" s="33">
        <v>112615</v>
      </c>
      <c r="Q24" s="33">
        <v>115662</v>
      </c>
      <c r="R24" s="33">
        <v>116001</v>
      </c>
      <c r="S24" s="33">
        <v>113602</v>
      </c>
      <c r="T24" s="33">
        <v>139863</v>
      </c>
      <c r="U24" s="33">
        <v>149427</v>
      </c>
      <c r="V24" s="33">
        <v>162263</v>
      </c>
      <c r="W24" s="33">
        <v>156264</v>
      </c>
      <c r="X24" s="33">
        <v>144176</v>
      </c>
      <c r="Y24" s="33">
        <v>124233</v>
      </c>
      <c r="Z24" s="34">
        <v>105877</v>
      </c>
      <c r="AA24" s="35">
        <f t="shared" si="0"/>
        <v>2491491</v>
      </c>
      <c r="AB24" s="19">
        <v>20</v>
      </c>
      <c r="AC24" s="79">
        <f>+AA24*AB24+AA25*AB25+AA26*AB26</f>
        <v>75505325</v>
      </c>
    </row>
    <row r="25" spans="1:30" ht="15.75" thickBot="1" x14ac:dyDescent="0.3">
      <c r="A25" s="78"/>
      <c r="B25" s="20" t="s">
        <v>7</v>
      </c>
      <c r="C25" s="36">
        <v>71691</v>
      </c>
      <c r="D25" s="36">
        <v>64136</v>
      </c>
      <c r="E25" s="36">
        <v>60288</v>
      </c>
      <c r="F25" s="36">
        <v>57714</v>
      </c>
      <c r="G25" s="36">
        <v>57961</v>
      </c>
      <c r="H25" s="36">
        <v>60108</v>
      </c>
      <c r="I25" s="36">
        <v>65299</v>
      </c>
      <c r="J25" s="36">
        <v>71286</v>
      </c>
      <c r="K25" s="36">
        <v>85841</v>
      </c>
      <c r="L25" s="36">
        <v>95805</v>
      </c>
      <c r="M25" s="36">
        <v>103636</v>
      </c>
      <c r="N25" s="36">
        <v>110259</v>
      </c>
      <c r="O25" s="36">
        <v>109953</v>
      </c>
      <c r="P25" s="36">
        <v>107393</v>
      </c>
      <c r="Q25" s="36">
        <v>105062</v>
      </c>
      <c r="R25" s="36">
        <v>103853</v>
      </c>
      <c r="S25" s="36">
        <v>102459</v>
      </c>
      <c r="T25" s="36">
        <v>133363</v>
      </c>
      <c r="U25" s="36">
        <v>145050</v>
      </c>
      <c r="V25" s="36">
        <v>157410</v>
      </c>
      <c r="W25" s="36">
        <v>150513</v>
      </c>
      <c r="X25" s="36">
        <v>140650</v>
      </c>
      <c r="Y25" s="36">
        <v>125203</v>
      </c>
      <c r="Z25" s="37">
        <v>109920</v>
      </c>
      <c r="AA25" s="38">
        <f t="shared" si="0"/>
        <v>2394853</v>
      </c>
      <c r="AB25" s="21">
        <v>5</v>
      </c>
      <c r="AC25" s="80"/>
      <c r="AD25" s="47"/>
    </row>
    <row r="26" spans="1:30" x14ac:dyDescent="0.25">
      <c r="A26" s="78"/>
      <c r="B26" s="22" t="s">
        <v>6</v>
      </c>
      <c r="C26" s="39">
        <v>78788</v>
      </c>
      <c r="D26" s="39">
        <v>71232</v>
      </c>
      <c r="E26" s="39">
        <v>66245</v>
      </c>
      <c r="F26" s="39">
        <v>62986</v>
      </c>
      <c r="G26" s="39">
        <v>61970</v>
      </c>
      <c r="H26" s="39">
        <v>62005</v>
      </c>
      <c r="I26" s="39">
        <v>62701</v>
      </c>
      <c r="J26" s="39">
        <v>63123</v>
      </c>
      <c r="K26" s="39">
        <v>74785</v>
      </c>
      <c r="L26" s="39">
        <v>84461</v>
      </c>
      <c r="M26" s="39">
        <v>91500</v>
      </c>
      <c r="N26" s="39">
        <v>98030</v>
      </c>
      <c r="O26" s="39">
        <v>101265</v>
      </c>
      <c r="P26" s="39">
        <v>99565</v>
      </c>
      <c r="Q26" s="39">
        <v>96180</v>
      </c>
      <c r="R26" s="39">
        <v>94385</v>
      </c>
      <c r="S26" s="39">
        <v>92995</v>
      </c>
      <c r="T26" s="39">
        <v>124073</v>
      </c>
      <c r="U26" s="39">
        <v>136463</v>
      </c>
      <c r="V26" s="39">
        <v>151699</v>
      </c>
      <c r="W26" s="39">
        <v>147245</v>
      </c>
      <c r="X26" s="39">
        <v>136993</v>
      </c>
      <c r="Y26" s="39">
        <v>120328</v>
      </c>
      <c r="Z26" s="40">
        <v>104523</v>
      </c>
      <c r="AA26" s="41">
        <f t="shared" si="0"/>
        <v>2283540</v>
      </c>
      <c r="AB26" s="23">
        <v>6</v>
      </c>
      <c r="AC26" s="81"/>
      <c r="AD26" s="48"/>
    </row>
    <row r="27" spans="1:30" ht="15.75" thickBot="1" x14ac:dyDescent="0.3">
      <c r="A27" s="78">
        <v>48427</v>
      </c>
      <c r="B27" s="18" t="s">
        <v>8</v>
      </c>
      <c r="C27" s="33">
        <v>72794</v>
      </c>
      <c r="D27" s="33">
        <v>66556</v>
      </c>
      <c r="E27" s="33">
        <v>63114</v>
      </c>
      <c r="F27" s="33">
        <v>61075</v>
      </c>
      <c r="G27" s="33">
        <v>62920</v>
      </c>
      <c r="H27" s="33">
        <v>70350</v>
      </c>
      <c r="I27" s="33">
        <v>76969</v>
      </c>
      <c r="J27" s="33">
        <v>78911</v>
      </c>
      <c r="K27" s="33">
        <v>90674</v>
      </c>
      <c r="L27" s="33">
        <v>99680</v>
      </c>
      <c r="M27" s="33">
        <v>109223</v>
      </c>
      <c r="N27" s="33">
        <v>117584</v>
      </c>
      <c r="O27" s="33">
        <v>114642</v>
      </c>
      <c r="P27" s="33">
        <v>115973</v>
      </c>
      <c r="Q27" s="33">
        <v>119414</v>
      </c>
      <c r="R27" s="33">
        <v>119688</v>
      </c>
      <c r="S27" s="33">
        <v>117195</v>
      </c>
      <c r="T27" s="33">
        <v>143314</v>
      </c>
      <c r="U27" s="33">
        <v>154961</v>
      </c>
      <c r="V27" s="33">
        <v>165748</v>
      </c>
      <c r="W27" s="33">
        <v>159156</v>
      </c>
      <c r="X27" s="33">
        <v>146414</v>
      </c>
      <c r="Y27" s="33">
        <v>126218</v>
      </c>
      <c r="Z27" s="34">
        <v>107989</v>
      </c>
      <c r="AA27" s="35">
        <f t="shared" si="0"/>
        <v>2560562</v>
      </c>
      <c r="AB27" s="19">
        <v>21</v>
      </c>
      <c r="AC27" s="79">
        <f>+AA27*AB27+AA28*AB28+AA29*AB29</f>
        <v>77393628</v>
      </c>
    </row>
    <row r="28" spans="1:30" ht="15.75" thickBot="1" x14ac:dyDescent="0.3">
      <c r="A28" s="78"/>
      <c r="B28" s="20" t="s">
        <v>7</v>
      </c>
      <c r="C28" s="36">
        <v>77578</v>
      </c>
      <c r="D28" s="36">
        <v>70814</v>
      </c>
      <c r="E28" s="36">
        <v>66582</v>
      </c>
      <c r="F28" s="36">
        <v>63412</v>
      </c>
      <c r="G28" s="36">
        <v>63177</v>
      </c>
      <c r="H28" s="36">
        <v>66159</v>
      </c>
      <c r="I28" s="36">
        <v>69698</v>
      </c>
      <c r="J28" s="36">
        <v>74818</v>
      </c>
      <c r="K28" s="36">
        <v>89402</v>
      </c>
      <c r="L28" s="36">
        <v>99397</v>
      </c>
      <c r="M28" s="36">
        <v>108156</v>
      </c>
      <c r="N28" s="36">
        <v>114786</v>
      </c>
      <c r="O28" s="36">
        <v>114833</v>
      </c>
      <c r="P28" s="36">
        <v>113024</v>
      </c>
      <c r="Q28" s="36">
        <v>111282</v>
      </c>
      <c r="R28" s="36">
        <v>110279</v>
      </c>
      <c r="S28" s="36">
        <v>108083</v>
      </c>
      <c r="T28" s="36">
        <v>138218</v>
      </c>
      <c r="U28" s="36">
        <v>152640</v>
      </c>
      <c r="V28" s="36">
        <v>162162</v>
      </c>
      <c r="W28" s="36">
        <v>155151</v>
      </c>
      <c r="X28" s="36">
        <v>144969</v>
      </c>
      <c r="Y28" s="36">
        <v>130142</v>
      </c>
      <c r="Z28" s="37">
        <v>114187</v>
      </c>
      <c r="AA28" s="38">
        <f t="shared" si="0"/>
        <v>2518949</v>
      </c>
      <c r="AB28" s="21">
        <v>3</v>
      </c>
      <c r="AC28" s="80"/>
      <c r="AD28" s="47"/>
    </row>
    <row r="29" spans="1:30" x14ac:dyDescent="0.25">
      <c r="A29" s="78"/>
      <c r="B29" s="22" t="s">
        <v>6</v>
      </c>
      <c r="C29" s="39">
        <v>79854</v>
      </c>
      <c r="D29" s="39">
        <v>72157</v>
      </c>
      <c r="E29" s="39">
        <v>67085</v>
      </c>
      <c r="F29" s="39">
        <v>63855</v>
      </c>
      <c r="G29" s="39">
        <v>62804</v>
      </c>
      <c r="H29" s="39">
        <v>63159</v>
      </c>
      <c r="I29" s="39">
        <v>63143</v>
      </c>
      <c r="J29" s="39">
        <v>63960</v>
      </c>
      <c r="K29" s="39">
        <v>75383</v>
      </c>
      <c r="L29" s="39">
        <v>84802</v>
      </c>
      <c r="M29" s="39">
        <v>91471</v>
      </c>
      <c r="N29" s="39">
        <v>98382</v>
      </c>
      <c r="O29" s="39">
        <v>101950</v>
      </c>
      <c r="P29" s="39">
        <v>100555</v>
      </c>
      <c r="Q29" s="39">
        <v>96775</v>
      </c>
      <c r="R29" s="39">
        <v>94243</v>
      </c>
      <c r="S29" s="39">
        <v>93283</v>
      </c>
      <c r="T29" s="39">
        <v>124130</v>
      </c>
      <c r="U29" s="39">
        <v>139089</v>
      </c>
      <c r="V29" s="39">
        <v>152083</v>
      </c>
      <c r="W29" s="39">
        <v>146888</v>
      </c>
      <c r="X29" s="39">
        <v>136215</v>
      </c>
      <c r="Y29" s="39">
        <v>119955</v>
      </c>
      <c r="Z29" s="40">
        <v>103776</v>
      </c>
      <c r="AA29" s="41">
        <f t="shared" si="0"/>
        <v>2294997</v>
      </c>
      <c r="AB29" s="23">
        <v>7</v>
      </c>
      <c r="AC29" s="81"/>
      <c r="AD29" s="49"/>
    </row>
    <row r="30" spans="1:30" ht="15.75" thickBot="1" x14ac:dyDescent="0.3">
      <c r="A30" s="78">
        <v>48458</v>
      </c>
      <c r="B30" s="18" t="s">
        <v>8</v>
      </c>
      <c r="C30" s="33">
        <v>74886</v>
      </c>
      <c r="D30" s="33">
        <v>68324</v>
      </c>
      <c r="E30" s="33">
        <v>64225</v>
      </c>
      <c r="F30" s="33">
        <v>62431</v>
      </c>
      <c r="G30" s="33">
        <v>64164</v>
      </c>
      <c r="H30" s="33">
        <v>71268</v>
      </c>
      <c r="I30" s="33">
        <v>78112</v>
      </c>
      <c r="J30" s="33">
        <v>80414</v>
      </c>
      <c r="K30" s="33">
        <v>92074</v>
      </c>
      <c r="L30" s="33">
        <v>101764</v>
      </c>
      <c r="M30" s="33">
        <v>111386</v>
      </c>
      <c r="N30" s="33">
        <v>120204</v>
      </c>
      <c r="O30" s="33">
        <v>117176</v>
      </c>
      <c r="P30" s="33">
        <v>118412</v>
      </c>
      <c r="Q30" s="33">
        <v>122433</v>
      </c>
      <c r="R30" s="33">
        <v>123438</v>
      </c>
      <c r="S30" s="33">
        <v>120895</v>
      </c>
      <c r="T30" s="33">
        <v>147754</v>
      </c>
      <c r="U30" s="33">
        <v>163743</v>
      </c>
      <c r="V30" s="33">
        <v>168061</v>
      </c>
      <c r="W30" s="33">
        <v>160879</v>
      </c>
      <c r="X30" s="33">
        <v>147910</v>
      </c>
      <c r="Y30" s="33">
        <v>127299</v>
      </c>
      <c r="Z30" s="34">
        <v>109117</v>
      </c>
      <c r="AA30" s="35">
        <f t="shared" si="0"/>
        <v>2616369</v>
      </c>
      <c r="AB30" s="19">
        <v>22</v>
      </c>
      <c r="AC30" s="79">
        <f>+AA30*AB30+AA31*AB31+AA32*AB32</f>
        <v>76786154</v>
      </c>
    </row>
    <row r="31" spans="1:30" ht="15.75" thickBot="1" x14ac:dyDescent="0.3">
      <c r="A31" s="78"/>
      <c r="B31" s="20" t="s">
        <v>7</v>
      </c>
      <c r="C31" s="36">
        <v>78067</v>
      </c>
      <c r="D31" s="36">
        <v>70260</v>
      </c>
      <c r="E31" s="36">
        <v>66034</v>
      </c>
      <c r="F31" s="36">
        <v>63718</v>
      </c>
      <c r="G31" s="36">
        <v>63813</v>
      </c>
      <c r="H31" s="36">
        <v>64812</v>
      </c>
      <c r="I31" s="36">
        <v>70278</v>
      </c>
      <c r="J31" s="36">
        <v>76519</v>
      </c>
      <c r="K31" s="36">
        <v>91335</v>
      </c>
      <c r="L31" s="36">
        <v>101911</v>
      </c>
      <c r="M31" s="36">
        <v>110274</v>
      </c>
      <c r="N31" s="36">
        <v>116976</v>
      </c>
      <c r="O31" s="36">
        <v>116557</v>
      </c>
      <c r="P31" s="36">
        <v>114383</v>
      </c>
      <c r="Q31" s="36">
        <v>112367</v>
      </c>
      <c r="R31" s="36">
        <v>110910</v>
      </c>
      <c r="S31" s="36">
        <v>109495</v>
      </c>
      <c r="T31" s="36">
        <v>141147</v>
      </c>
      <c r="U31" s="36">
        <v>158685</v>
      </c>
      <c r="V31" s="36">
        <v>162605</v>
      </c>
      <c r="W31" s="36">
        <v>154456</v>
      </c>
      <c r="X31" s="36">
        <v>144039</v>
      </c>
      <c r="Y31" s="36">
        <v>128825</v>
      </c>
      <c r="Z31" s="37">
        <v>113284</v>
      </c>
      <c r="AA31" s="38">
        <f t="shared" si="0"/>
        <v>2540750</v>
      </c>
      <c r="AB31" s="21">
        <v>4</v>
      </c>
      <c r="AC31" s="80"/>
      <c r="AD31" s="47"/>
    </row>
    <row r="32" spans="1:30" x14ac:dyDescent="0.25">
      <c r="A32" s="78"/>
      <c r="B32" s="22" t="s">
        <v>6</v>
      </c>
      <c r="C32" s="39">
        <v>80288</v>
      </c>
      <c r="D32" s="39">
        <v>72814</v>
      </c>
      <c r="E32" s="39">
        <v>67905</v>
      </c>
      <c r="F32" s="39">
        <v>64105</v>
      </c>
      <c r="G32" s="39">
        <v>62385</v>
      </c>
      <c r="H32" s="39">
        <v>61082</v>
      </c>
      <c r="I32" s="39">
        <v>61886</v>
      </c>
      <c r="J32" s="39">
        <v>62516</v>
      </c>
      <c r="K32" s="39">
        <v>73714</v>
      </c>
      <c r="L32" s="39">
        <v>82900</v>
      </c>
      <c r="M32" s="39">
        <v>89302</v>
      </c>
      <c r="N32" s="39">
        <v>95415</v>
      </c>
      <c r="O32" s="39">
        <v>98953</v>
      </c>
      <c r="P32" s="39">
        <v>97873</v>
      </c>
      <c r="Q32" s="39">
        <v>94677</v>
      </c>
      <c r="R32" s="39">
        <v>93123</v>
      </c>
      <c r="S32" s="39">
        <v>92118</v>
      </c>
      <c r="T32" s="39">
        <v>123720</v>
      </c>
      <c r="U32" s="39">
        <v>142858</v>
      </c>
      <c r="V32" s="39">
        <v>149377</v>
      </c>
      <c r="W32" s="39">
        <v>144605</v>
      </c>
      <c r="X32" s="39">
        <v>134150</v>
      </c>
      <c r="Y32" s="39">
        <v>117825</v>
      </c>
      <c r="Z32" s="40">
        <v>102168</v>
      </c>
      <c r="AA32" s="41">
        <f t="shared" si="0"/>
        <v>2265759</v>
      </c>
      <c r="AB32" s="23">
        <v>4</v>
      </c>
      <c r="AC32" s="81"/>
      <c r="AD32" s="48"/>
    </row>
    <row r="33" spans="1:30" ht="15.75" thickBot="1" x14ac:dyDescent="0.3">
      <c r="A33" s="78">
        <v>48488</v>
      </c>
      <c r="B33" s="18" t="s">
        <v>8</v>
      </c>
      <c r="C33" s="33">
        <v>68647</v>
      </c>
      <c r="D33" s="33">
        <v>62597</v>
      </c>
      <c r="E33" s="33">
        <v>59234</v>
      </c>
      <c r="F33" s="33">
        <v>57431</v>
      </c>
      <c r="G33" s="33">
        <v>59426</v>
      </c>
      <c r="H33" s="33">
        <v>65149</v>
      </c>
      <c r="I33" s="33">
        <v>72438</v>
      </c>
      <c r="J33" s="33">
        <v>74063</v>
      </c>
      <c r="K33" s="33">
        <v>85033</v>
      </c>
      <c r="L33" s="33">
        <v>93686</v>
      </c>
      <c r="M33" s="33">
        <v>102653</v>
      </c>
      <c r="N33" s="33">
        <v>110964</v>
      </c>
      <c r="O33" s="33">
        <v>108076</v>
      </c>
      <c r="P33" s="33">
        <v>108964</v>
      </c>
      <c r="Q33" s="33">
        <v>112689</v>
      </c>
      <c r="R33" s="33">
        <v>113486</v>
      </c>
      <c r="S33" s="33">
        <v>111638</v>
      </c>
      <c r="T33" s="33">
        <v>142560</v>
      </c>
      <c r="U33" s="33">
        <v>160880</v>
      </c>
      <c r="V33" s="33">
        <v>159940</v>
      </c>
      <c r="W33" s="33">
        <v>151902</v>
      </c>
      <c r="X33" s="33">
        <v>138787</v>
      </c>
      <c r="Y33" s="33">
        <v>119523</v>
      </c>
      <c r="Z33" s="34">
        <v>102392</v>
      </c>
      <c r="AA33" s="35">
        <f t="shared" si="0"/>
        <v>2442158</v>
      </c>
      <c r="AB33" s="19">
        <v>20</v>
      </c>
      <c r="AC33" s="79">
        <f>+AA33*AB33+AA34*AB34+AA35*AB35</f>
        <v>74442566</v>
      </c>
    </row>
    <row r="34" spans="1:30" ht="15.75" thickBot="1" x14ac:dyDescent="0.3">
      <c r="A34" s="78"/>
      <c r="B34" s="20" t="s">
        <v>7</v>
      </c>
      <c r="C34" s="36">
        <v>74600</v>
      </c>
      <c r="D34" s="36">
        <v>67825</v>
      </c>
      <c r="E34" s="36">
        <v>63712</v>
      </c>
      <c r="F34" s="36">
        <v>60982</v>
      </c>
      <c r="G34" s="36">
        <v>61532</v>
      </c>
      <c r="H34" s="36">
        <v>63174</v>
      </c>
      <c r="I34" s="36">
        <v>69244</v>
      </c>
      <c r="J34" s="36">
        <v>73916</v>
      </c>
      <c r="K34" s="36">
        <v>87840</v>
      </c>
      <c r="L34" s="36">
        <v>97513</v>
      </c>
      <c r="M34" s="36">
        <v>105745</v>
      </c>
      <c r="N34" s="36">
        <v>112646</v>
      </c>
      <c r="O34" s="36">
        <v>112919</v>
      </c>
      <c r="P34" s="36">
        <v>111036</v>
      </c>
      <c r="Q34" s="36">
        <v>109036</v>
      </c>
      <c r="R34" s="36">
        <v>107795</v>
      </c>
      <c r="S34" s="36">
        <v>106342</v>
      </c>
      <c r="T34" s="36">
        <v>141818</v>
      </c>
      <c r="U34" s="36">
        <v>162753</v>
      </c>
      <c r="V34" s="36">
        <v>162424</v>
      </c>
      <c r="W34" s="36">
        <v>154566</v>
      </c>
      <c r="X34" s="36">
        <v>142667</v>
      </c>
      <c r="Y34" s="36">
        <v>128000</v>
      </c>
      <c r="Z34" s="37">
        <v>112049</v>
      </c>
      <c r="AA34" s="38">
        <f t="shared" si="0"/>
        <v>2490134</v>
      </c>
      <c r="AB34" s="21">
        <v>5</v>
      </c>
      <c r="AC34" s="80"/>
      <c r="AD34" s="47"/>
    </row>
    <row r="35" spans="1:30" x14ac:dyDescent="0.25">
      <c r="A35" s="78"/>
      <c r="B35" s="22" t="s">
        <v>6</v>
      </c>
      <c r="C35" s="39">
        <v>75002</v>
      </c>
      <c r="D35" s="39">
        <v>67784</v>
      </c>
      <c r="E35" s="39">
        <v>62804</v>
      </c>
      <c r="F35" s="39">
        <v>59324</v>
      </c>
      <c r="G35" s="39">
        <v>58216</v>
      </c>
      <c r="H35" s="39">
        <v>56774</v>
      </c>
      <c r="I35" s="39">
        <v>58705</v>
      </c>
      <c r="J35" s="39">
        <v>58857</v>
      </c>
      <c r="K35" s="39">
        <v>69575</v>
      </c>
      <c r="L35" s="39">
        <v>78991</v>
      </c>
      <c r="M35" s="39">
        <v>85666</v>
      </c>
      <c r="N35" s="39">
        <v>92234</v>
      </c>
      <c r="O35" s="39">
        <v>95917</v>
      </c>
      <c r="P35" s="39">
        <v>94690</v>
      </c>
      <c r="Q35" s="39">
        <v>91875</v>
      </c>
      <c r="R35" s="39">
        <v>90447</v>
      </c>
      <c r="S35" s="39">
        <v>89624</v>
      </c>
      <c r="T35" s="39">
        <v>124478</v>
      </c>
      <c r="U35" s="39">
        <v>145565</v>
      </c>
      <c r="V35" s="39">
        <v>147293</v>
      </c>
      <c r="W35" s="39">
        <v>141828</v>
      </c>
      <c r="X35" s="39">
        <v>131058</v>
      </c>
      <c r="Y35" s="39">
        <v>115066</v>
      </c>
      <c r="Z35" s="40">
        <v>99683</v>
      </c>
      <c r="AA35" s="41">
        <f t="shared" si="0"/>
        <v>2191456</v>
      </c>
      <c r="AB35" s="23">
        <v>6</v>
      </c>
      <c r="AC35" s="81"/>
      <c r="AD35" s="48"/>
    </row>
    <row r="36" spans="1:30" ht="15.75" thickBot="1" x14ac:dyDescent="0.3">
      <c r="A36" s="78">
        <v>48519</v>
      </c>
      <c r="B36" s="18" t="s">
        <v>8</v>
      </c>
      <c r="C36" s="33">
        <v>66563</v>
      </c>
      <c r="D36" s="33">
        <v>60524</v>
      </c>
      <c r="E36" s="33">
        <v>57176</v>
      </c>
      <c r="F36" s="33">
        <v>55606</v>
      </c>
      <c r="G36" s="33">
        <v>57929</v>
      </c>
      <c r="H36" s="33">
        <v>64456</v>
      </c>
      <c r="I36" s="33">
        <v>72213</v>
      </c>
      <c r="J36" s="33">
        <v>74009</v>
      </c>
      <c r="K36" s="33">
        <v>84780</v>
      </c>
      <c r="L36" s="33">
        <v>93111</v>
      </c>
      <c r="M36" s="33">
        <v>102031</v>
      </c>
      <c r="N36" s="33">
        <v>110578</v>
      </c>
      <c r="O36" s="33">
        <v>107227</v>
      </c>
      <c r="P36" s="33">
        <v>107320</v>
      </c>
      <c r="Q36" s="33">
        <v>110959</v>
      </c>
      <c r="R36" s="33">
        <v>110797</v>
      </c>
      <c r="S36" s="33">
        <v>109448</v>
      </c>
      <c r="T36" s="33">
        <v>142108</v>
      </c>
      <c r="U36" s="33">
        <v>161240</v>
      </c>
      <c r="V36" s="33">
        <v>160221</v>
      </c>
      <c r="W36" s="33">
        <v>152069</v>
      </c>
      <c r="X36" s="33">
        <v>138256</v>
      </c>
      <c r="Y36" s="33">
        <v>118421</v>
      </c>
      <c r="Z36" s="34">
        <v>100676</v>
      </c>
      <c r="AA36" s="35">
        <f t="shared" si="0"/>
        <v>2417718</v>
      </c>
      <c r="AB36" s="19">
        <v>20</v>
      </c>
      <c r="AC36" s="79">
        <f>+AA36*AB36+AA37*AB37+AA38*AB38</f>
        <v>70373426</v>
      </c>
    </row>
    <row r="37" spans="1:30" ht="15.75" thickBot="1" x14ac:dyDescent="0.3">
      <c r="A37" s="78"/>
      <c r="B37" s="20" t="s">
        <v>7</v>
      </c>
      <c r="C37" s="36">
        <v>69539</v>
      </c>
      <c r="D37" s="36">
        <v>63122</v>
      </c>
      <c r="E37" s="36">
        <v>59202</v>
      </c>
      <c r="F37" s="36">
        <v>56697</v>
      </c>
      <c r="G37" s="36">
        <v>57138</v>
      </c>
      <c r="H37" s="36">
        <v>58404</v>
      </c>
      <c r="I37" s="36">
        <v>63996</v>
      </c>
      <c r="J37" s="36">
        <v>67567</v>
      </c>
      <c r="K37" s="36">
        <v>81180</v>
      </c>
      <c r="L37" s="36">
        <v>90671</v>
      </c>
      <c r="M37" s="36">
        <v>98258</v>
      </c>
      <c r="N37" s="36">
        <v>105236</v>
      </c>
      <c r="O37" s="36">
        <v>104586</v>
      </c>
      <c r="P37" s="36">
        <v>101641</v>
      </c>
      <c r="Q37" s="36">
        <v>100778</v>
      </c>
      <c r="R37" s="36">
        <v>100284</v>
      </c>
      <c r="S37" s="36">
        <v>99382</v>
      </c>
      <c r="T37" s="36">
        <v>135300</v>
      </c>
      <c r="U37" s="36">
        <v>156597</v>
      </c>
      <c r="V37" s="36">
        <v>156061</v>
      </c>
      <c r="W37" s="36">
        <v>147852</v>
      </c>
      <c r="X37" s="36">
        <v>137359</v>
      </c>
      <c r="Y37" s="36">
        <v>121829</v>
      </c>
      <c r="Z37" s="37">
        <v>106219</v>
      </c>
      <c r="AA37" s="38">
        <f t="shared" si="0"/>
        <v>2338898</v>
      </c>
      <c r="AB37" s="21">
        <v>4</v>
      </c>
      <c r="AC37" s="80"/>
      <c r="AD37" s="47"/>
    </row>
    <row r="38" spans="1:30" x14ac:dyDescent="0.25">
      <c r="A38" s="78"/>
      <c r="B38" s="22" t="s">
        <v>6</v>
      </c>
      <c r="C38" s="39">
        <v>70002</v>
      </c>
      <c r="D38" s="39">
        <v>63124</v>
      </c>
      <c r="E38" s="39">
        <v>58466</v>
      </c>
      <c r="F38" s="39">
        <v>55053</v>
      </c>
      <c r="G38" s="39">
        <v>54596</v>
      </c>
      <c r="H38" s="39">
        <v>53375</v>
      </c>
      <c r="I38" s="39">
        <v>55697</v>
      </c>
      <c r="J38" s="39">
        <v>56244</v>
      </c>
      <c r="K38" s="39">
        <v>66984</v>
      </c>
      <c r="L38" s="39">
        <v>76212</v>
      </c>
      <c r="M38" s="39">
        <v>82921</v>
      </c>
      <c r="N38" s="39">
        <v>89740</v>
      </c>
      <c r="O38" s="39">
        <v>93115</v>
      </c>
      <c r="P38" s="39">
        <v>91780</v>
      </c>
      <c r="Q38" s="39">
        <v>88554</v>
      </c>
      <c r="R38" s="39">
        <v>86269</v>
      </c>
      <c r="S38" s="39">
        <v>85615</v>
      </c>
      <c r="T38" s="39">
        <v>121018</v>
      </c>
      <c r="U38" s="39">
        <v>142488</v>
      </c>
      <c r="V38" s="39">
        <v>144485</v>
      </c>
      <c r="W38" s="39">
        <v>138965</v>
      </c>
      <c r="X38" s="39">
        <v>128028</v>
      </c>
      <c r="Y38" s="39">
        <v>111668</v>
      </c>
      <c r="Z38" s="40">
        <v>96180</v>
      </c>
      <c r="AA38" s="41">
        <f t="shared" si="0"/>
        <v>2110579</v>
      </c>
      <c r="AB38" s="23">
        <v>6</v>
      </c>
      <c r="AC38" s="81"/>
      <c r="AD38" s="49"/>
    </row>
    <row r="39" spans="1:30" ht="15.75" thickBot="1" x14ac:dyDescent="0.3">
      <c r="A39" s="78">
        <v>48549</v>
      </c>
      <c r="B39" s="18" t="s">
        <v>8</v>
      </c>
      <c r="C39" s="33">
        <v>74469</v>
      </c>
      <c r="D39" s="33">
        <v>67287</v>
      </c>
      <c r="E39" s="33">
        <v>63136</v>
      </c>
      <c r="F39" s="33">
        <v>61005</v>
      </c>
      <c r="G39" s="33">
        <v>62473</v>
      </c>
      <c r="H39" s="33">
        <v>67151</v>
      </c>
      <c r="I39" s="33">
        <v>72361</v>
      </c>
      <c r="J39" s="33">
        <v>76781</v>
      </c>
      <c r="K39" s="33">
        <v>89594</v>
      </c>
      <c r="L39" s="33">
        <v>99067</v>
      </c>
      <c r="M39" s="33">
        <v>107708</v>
      </c>
      <c r="N39" s="33">
        <v>116470</v>
      </c>
      <c r="O39" s="33">
        <v>114796</v>
      </c>
      <c r="P39" s="33">
        <v>114661</v>
      </c>
      <c r="Q39" s="33">
        <v>117145</v>
      </c>
      <c r="R39" s="33">
        <v>116932</v>
      </c>
      <c r="S39" s="33">
        <v>114476</v>
      </c>
      <c r="T39" s="33">
        <v>143794</v>
      </c>
      <c r="U39" s="33">
        <v>162409</v>
      </c>
      <c r="V39" s="33">
        <v>165284</v>
      </c>
      <c r="W39" s="33">
        <v>157977</v>
      </c>
      <c r="X39" s="33">
        <v>146292</v>
      </c>
      <c r="Y39" s="33">
        <v>128366</v>
      </c>
      <c r="Z39" s="34">
        <v>111205</v>
      </c>
      <c r="AA39" s="35">
        <f t="shared" si="0"/>
        <v>2550839</v>
      </c>
      <c r="AB39" s="19">
        <v>22</v>
      </c>
      <c r="AC39" s="79">
        <f>+AA39*AB39+AA40*AB40+AA41*AB41</f>
        <v>76833248</v>
      </c>
    </row>
    <row r="40" spans="1:30" ht="15.75" thickBot="1" x14ac:dyDescent="0.3">
      <c r="A40" s="78"/>
      <c r="B40" s="20" t="s">
        <v>7</v>
      </c>
      <c r="C40" s="36">
        <v>75606</v>
      </c>
      <c r="D40" s="36">
        <v>68365</v>
      </c>
      <c r="E40" s="36">
        <v>64226</v>
      </c>
      <c r="F40" s="36">
        <v>61490</v>
      </c>
      <c r="G40" s="36">
        <v>61639</v>
      </c>
      <c r="H40" s="36">
        <v>64276</v>
      </c>
      <c r="I40" s="36">
        <v>67467</v>
      </c>
      <c r="J40" s="36">
        <v>70997</v>
      </c>
      <c r="K40" s="36">
        <v>84080</v>
      </c>
      <c r="L40" s="36">
        <v>93201</v>
      </c>
      <c r="M40" s="36">
        <v>100533</v>
      </c>
      <c r="N40" s="36">
        <v>106645</v>
      </c>
      <c r="O40" s="36">
        <v>106638</v>
      </c>
      <c r="P40" s="36">
        <v>104351</v>
      </c>
      <c r="Q40" s="36">
        <v>102878</v>
      </c>
      <c r="R40" s="36">
        <v>101247</v>
      </c>
      <c r="S40" s="36">
        <v>100087</v>
      </c>
      <c r="T40" s="36">
        <v>133277</v>
      </c>
      <c r="U40" s="36">
        <v>154064</v>
      </c>
      <c r="V40" s="36">
        <v>156500</v>
      </c>
      <c r="W40" s="36">
        <v>149313</v>
      </c>
      <c r="X40" s="36">
        <v>139041</v>
      </c>
      <c r="Y40" s="36">
        <v>124378</v>
      </c>
      <c r="Z40" s="37">
        <v>110213</v>
      </c>
      <c r="AA40" s="38">
        <f t="shared" si="0"/>
        <v>2400512</v>
      </c>
      <c r="AB40" s="21">
        <v>3</v>
      </c>
      <c r="AC40" s="80"/>
      <c r="AD40" s="47"/>
    </row>
    <row r="41" spans="1:30" x14ac:dyDescent="0.25">
      <c r="A41" s="78"/>
      <c r="B41" s="22" t="s">
        <v>6</v>
      </c>
      <c r="C41" s="39">
        <v>79572</v>
      </c>
      <c r="D41" s="39">
        <v>72026</v>
      </c>
      <c r="E41" s="39">
        <v>66758</v>
      </c>
      <c r="F41" s="39">
        <v>63019</v>
      </c>
      <c r="G41" s="39">
        <v>61553</v>
      </c>
      <c r="H41" s="39">
        <v>61020</v>
      </c>
      <c r="I41" s="39">
        <v>60850</v>
      </c>
      <c r="J41" s="39">
        <v>60058</v>
      </c>
      <c r="K41" s="39">
        <v>70631</v>
      </c>
      <c r="L41" s="39">
        <v>79924</v>
      </c>
      <c r="M41" s="39">
        <v>86881</v>
      </c>
      <c r="N41" s="39">
        <v>93415</v>
      </c>
      <c r="O41" s="39">
        <v>96936</v>
      </c>
      <c r="P41" s="39">
        <v>96749</v>
      </c>
      <c r="Q41" s="39">
        <v>94370</v>
      </c>
      <c r="R41" s="39">
        <v>92866</v>
      </c>
      <c r="S41" s="39">
        <v>91998</v>
      </c>
      <c r="T41" s="39">
        <v>125193</v>
      </c>
      <c r="U41" s="39">
        <v>145963</v>
      </c>
      <c r="V41" s="39">
        <v>150179</v>
      </c>
      <c r="W41" s="39">
        <v>144255</v>
      </c>
      <c r="X41" s="39">
        <v>134136</v>
      </c>
      <c r="Y41" s="39">
        <v>119341</v>
      </c>
      <c r="Z41" s="40">
        <v>104516</v>
      </c>
      <c r="AA41" s="41">
        <f t="shared" si="0"/>
        <v>2252209</v>
      </c>
      <c r="AB41" s="23">
        <v>6</v>
      </c>
      <c r="AC41" s="81"/>
      <c r="AD41" s="42"/>
    </row>
    <row r="42" spans="1:30" x14ac:dyDescent="0.25">
      <c r="A42" s="76" t="s">
        <v>5</v>
      </c>
      <c r="B42" s="77"/>
      <c r="C42" s="31">
        <f t="shared" ref="C42:AC42" si="1">+SUM(C6:C41)</f>
        <v>2656783</v>
      </c>
      <c r="D42" s="31">
        <f t="shared" si="1"/>
        <v>2404266</v>
      </c>
      <c r="E42" s="31">
        <f t="shared" si="1"/>
        <v>2251988</v>
      </c>
      <c r="F42" s="31">
        <f t="shared" si="1"/>
        <v>2157876</v>
      </c>
      <c r="G42" s="31">
        <f t="shared" si="1"/>
        <v>2169546</v>
      </c>
      <c r="H42" s="31">
        <f t="shared" si="1"/>
        <v>2278841</v>
      </c>
      <c r="I42" s="31">
        <f t="shared" si="1"/>
        <v>2425257</v>
      </c>
      <c r="J42" s="31">
        <f t="shared" si="1"/>
        <v>2489149</v>
      </c>
      <c r="K42" s="31">
        <f t="shared" si="1"/>
        <v>2926517</v>
      </c>
      <c r="L42" s="31">
        <f t="shared" si="1"/>
        <v>3263612</v>
      </c>
      <c r="M42" s="31">
        <f t="shared" si="1"/>
        <v>3546281</v>
      </c>
      <c r="N42" s="31">
        <f t="shared" si="1"/>
        <v>3811477</v>
      </c>
      <c r="O42" s="31">
        <f t="shared" si="1"/>
        <v>3821980</v>
      </c>
      <c r="P42" s="31">
        <f t="shared" si="1"/>
        <v>3790014</v>
      </c>
      <c r="Q42" s="31">
        <f t="shared" si="1"/>
        <v>3769764</v>
      </c>
      <c r="R42" s="31">
        <f t="shared" si="1"/>
        <v>3746321</v>
      </c>
      <c r="S42" s="31">
        <f t="shared" si="1"/>
        <v>3690765</v>
      </c>
      <c r="T42" s="31">
        <f t="shared" si="1"/>
        <v>4796500</v>
      </c>
      <c r="U42" s="31">
        <f t="shared" si="1"/>
        <v>5362685</v>
      </c>
      <c r="V42" s="31">
        <f t="shared" si="1"/>
        <v>5654911</v>
      </c>
      <c r="W42" s="31">
        <f t="shared" si="1"/>
        <v>5420974</v>
      </c>
      <c r="X42" s="31">
        <f t="shared" si="1"/>
        <v>5015787</v>
      </c>
      <c r="Y42" s="31">
        <f t="shared" si="1"/>
        <v>4404363</v>
      </c>
      <c r="Z42" s="31">
        <f t="shared" si="1"/>
        <v>3808200</v>
      </c>
      <c r="AA42" s="31">
        <f t="shared" si="1"/>
        <v>85663857</v>
      </c>
      <c r="AB42" s="31">
        <f t="shared" si="1"/>
        <v>366</v>
      </c>
      <c r="AC42" s="46">
        <f t="shared" si="1"/>
        <v>888138143</v>
      </c>
    </row>
    <row r="43" spans="1:30" x14ac:dyDescent="0.25">
      <c r="AB43" s="6"/>
      <c r="AC43" s="6"/>
    </row>
    <row r="44" spans="1:30" x14ac:dyDescent="0.25">
      <c r="C44" s="49"/>
    </row>
    <row r="45" spans="1:30" x14ac:dyDescent="0.25">
      <c r="AC45" s="48"/>
    </row>
  </sheetData>
  <mergeCells count="53"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6:A8"/>
    <mergeCell ref="AC6:AC8"/>
    <mergeCell ref="A9:A11"/>
    <mergeCell ref="AC9:AC11"/>
    <mergeCell ref="A12:A14"/>
    <mergeCell ref="AC12:AC14"/>
    <mergeCell ref="A15:A17"/>
    <mergeCell ref="AC15:AC17"/>
    <mergeCell ref="A18:A20"/>
    <mergeCell ref="AC18:AC20"/>
    <mergeCell ref="A21:A23"/>
    <mergeCell ref="AC21:AC23"/>
    <mergeCell ref="A24:A26"/>
    <mergeCell ref="AC24:AC26"/>
    <mergeCell ref="A27:A29"/>
    <mergeCell ref="AC27:AC29"/>
    <mergeCell ref="A30:A32"/>
    <mergeCell ref="AC30:AC32"/>
    <mergeCell ref="A42:B42"/>
    <mergeCell ref="A33:A35"/>
    <mergeCell ref="AC33:AC35"/>
    <mergeCell ref="A36:A38"/>
    <mergeCell ref="AC36:AC38"/>
    <mergeCell ref="A39:A41"/>
    <mergeCell ref="AC39:AC41"/>
  </mergeCells>
  <pageMargins left="0.7" right="0.7" top="0.75" bottom="0.75" header="0.3" footer="0.3"/>
  <pageSetup scale="32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7A35-6482-4FAF-BE7B-A586066D4577}">
  <sheetPr>
    <tabColor theme="9" tint="-0.499984740745262"/>
  </sheetPr>
  <dimension ref="A1:AD46"/>
  <sheetViews>
    <sheetView showGridLines="0" zoomScale="115" zoomScaleNormal="115" zoomScaleSheetLayoutView="110" workbookViewId="0">
      <pane xSplit="2" ySplit="5" topLeftCell="N35" activePane="bottomRight" state="frozen"/>
      <selection pane="topRight" activeCell="C1" sqref="C1"/>
      <selection pane="bottomLeft" activeCell="A6" sqref="A6"/>
      <selection pane="bottomRight" activeCell="C6" sqref="C6:Z41"/>
    </sheetView>
  </sheetViews>
  <sheetFormatPr baseColWidth="10" defaultColWidth="0" defaultRowHeight="0" customHeight="1" zeroHeight="1" x14ac:dyDescent="0.25"/>
  <cols>
    <col min="1" max="1" width="6.42578125" bestFit="1" customWidth="1"/>
    <col min="2" max="2" width="8.7109375" bestFit="1" customWidth="1"/>
    <col min="3" max="4" width="9" bestFit="1" customWidth="1"/>
    <col min="5" max="7" width="8" bestFit="1" customWidth="1"/>
    <col min="8" max="8" width="8.7109375" bestFit="1" customWidth="1"/>
    <col min="9" max="9" width="9" bestFit="1" customWidth="1"/>
    <col min="10" max="10" width="8" bestFit="1" customWidth="1"/>
    <col min="11" max="11" width="9" bestFit="1" customWidth="1"/>
    <col min="12" max="13" width="8.7109375" bestFit="1" customWidth="1"/>
    <col min="14" max="19" width="9" bestFit="1" customWidth="1"/>
    <col min="20" max="27" width="9.42578125" customWidth="1"/>
    <col min="28" max="28" width="5" bestFit="1" customWidth="1"/>
    <col min="29" max="29" width="10.28515625" bestFit="1" customWidth="1"/>
    <col min="30" max="30" width="9.140625" customWidth="1"/>
    <col min="31" max="16384" width="9.140625" hidden="1"/>
  </cols>
  <sheetData>
    <row r="1" spans="1:30" ht="15" x14ac:dyDescent="0.25">
      <c r="A1" s="86" t="s">
        <v>94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8"/>
    </row>
    <row r="2" spans="1:30" ht="15" x14ac:dyDescent="0.25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1"/>
    </row>
    <row r="3" spans="1:30" ht="1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3"/>
    </row>
    <row r="4" spans="1:30" ht="18" x14ac:dyDescent="0.25">
      <c r="A4" s="92" t="s">
        <v>38</v>
      </c>
      <c r="B4" s="92" t="s">
        <v>37</v>
      </c>
      <c r="C4" s="84" t="s">
        <v>36</v>
      </c>
      <c r="D4" s="84" t="s">
        <v>35</v>
      </c>
      <c r="E4" s="84" t="s">
        <v>34</v>
      </c>
      <c r="F4" s="84" t="s">
        <v>33</v>
      </c>
      <c r="G4" s="84" t="s">
        <v>32</v>
      </c>
      <c r="H4" s="84" t="s">
        <v>31</v>
      </c>
      <c r="I4" s="84" t="s">
        <v>30</v>
      </c>
      <c r="J4" s="84" t="s">
        <v>29</v>
      </c>
      <c r="K4" s="84" t="s">
        <v>28</v>
      </c>
      <c r="L4" s="84" t="s">
        <v>27</v>
      </c>
      <c r="M4" s="84" t="s">
        <v>26</v>
      </c>
      <c r="N4" s="84" t="s">
        <v>25</v>
      </c>
      <c r="O4" s="84" t="s">
        <v>24</v>
      </c>
      <c r="P4" s="84" t="s">
        <v>23</v>
      </c>
      <c r="Q4" s="84" t="s">
        <v>22</v>
      </c>
      <c r="R4" s="84" t="s">
        <v>21</v>
      </c>
      <c r="S4" s="84" t="s">
        <v>20</v>
      </c>
      <c r="T4" s="84" t="s">
        <v>19</v>
      </c>
      <c r="U4" s="84" t="s">
        <v>18</v>
      </c>
      <c r="V4" s="84" t="s">
        <v>17</v>
      </c>
      <c r="W4" s="84" t="s">
        <v>16</v>
      </c>
      <c r="X4" s="84" t="s">
        <v>15</v>
      </c>
      <c r="Y4" s="84" t="s">
        <v>14</v>
      </c>
      <c r="Z4" s="84" t="s">
        <v>13</v>
      </c>
      <c r="AA4" s="14" t="s">
        <v>12</v>
      </c>
      <c r="AB4" s="15" t="s">
        <v>11</v>
      </c>
      <c r="AC4" s="82" t="s">
        <v>10</v>
      </c>
    </row>
    <row r="5" spans="1:30" ht="15" x14ac:dyDescent="0.25">
      <c r="A5" s="92"/>
      <c r="B5" s="92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16"/>
      <c r="AB5" s="17" t="s">
        <v>9</v>
      </c>
      <c r="AC5" s="83"/>
    </row>
    <row r="6" spans="1:30" ht="15.75" thickBot="1" x14ac:dyDescent="0.3">
      <c r="A6" s="78">
        <v>48214</v>
      </c>
      <c r="B6" s="18" t="s">
        <v>8</v>
      </c>
      <c r="C6" s="33">
        <f>+'Anexo 14'!C6*'Anexo 7'!$D$10</f>
        <v>0</v>
      </c>
      <c r="D6" s="33">
        <f>+'Anexo 14'!D6*'Anexo 7'!$D$10</f>
        <v>0</v>
      </c>
      <c r="E6" s="33">
        <f>+'Anexo 14'!E6*'Anexo 7'!$D$10</f>
        <v>0</v>
      </c>
      <c r="F6" s="33">
        <f>+'Anexo 14'!F6*'Anexo 7'!$D$10</f>
        <v>0</v>
      </c>
      <c r="G6" s="33">
        <f>+'Anexo 14'!G6*'Anexo 7'!$D$10</f>
        <v>0</v>
      </c>
      <c r="H6" s="33">
        <f>+'Anexo 14'!H6*'Anexo 7'!$D$10</f>
        <v>0</v>
      </c>
      <c r="I6" s="33">
        <f>+'Anexo 14'!I6*'Anexo 7'!$D$10</f>
        <v>0</v>
      </c>
      <c r="J6" s="33">
        <f>+'Anexo 14'!J6*'Anexo 7'!$D$10</f>
        <v>0</v>
      </c>
      <c r="K6" s="33">
        <f>+'Anexo 14'!K6*'Anexo 7'!$D$10</f>
        <v>0</v>
      </c>
      <c r="L6" s="33">
        <f>+'Anexo 14'!L6*'Anexo 7'!$D$10</f>
        <v>0</v>
      </c>
      <c r="M6" s="33">
        <f>+'Anexo 14'!M6*'Anexo 7'!$D$10</f>
        <v>0</v>
      </c>
      <c r="N6" s="33">
        <f>+'Anexo 14'!N6*'Anexo 7'!$D$10</f>
        <v>0</v>
      </c>
      <c r="O6" s="33">
        <f>+'Anexo 14'!O6*'Anexo 7'!$D$10</f>
        <v>0</v>
      </c>
      <c r="P6" s="33">
        <f>+'Anexo 14'!P6*'Anexo 7'!$D$10</f>
        <v>0</v>
      </c>
      <c r="Q6" s="33">
        <f>+'Anexo 14'!Q6*'Anexo 7'!$D$10</f>
        <v>0</v>
      </c>
      <c r="R6" s="33">
        <f>+'Anexo 14'!R6*'Anexo 7'!$D$10</f>
        <v>0</v>
      </c>
      <c r="S6" s="33">
        <f>+'Anexo 14'!S6*'Anexo 7'!$D$10</f>
        <v>0</v>
      </c>
      <c r="T6" s="33">
        <f>+'Anexo 14'!T6*'Anexo 7'!$D$10</f>
        <v>0</v>
      </c>
      <c r="U6" s="33">
        <f>+'Anexo 14'!U6*'Anexo 7'!$D$10</f>
        <v>0</v>
      </c>
      <c r="V6" s="33">
        <f>+'Anexo 14'!V6*'Anexo 7'!$D$10</f>
        <v>0</v>
      </c>
      <c r="W6" s="33">
        <f>+'Anexo 14'!W6*'Anexo 7'!$D$10</f>
        <v>0</v>
      </c>
      <c r="X6" s="33">
        <f>+'Anexo 14'!X6*'Anexo 7'!$D$10</f>
        <v>0</v>
      </c>
      <c r="Y6" s="33">
        <f>+'Anexo 14'!Y6*'Anexo 7'!$D$10</f>
        <v>0</v>
      </c>
      <c r="Z6" s="33">
        <f>+'Anexo 14'!Z6*'Anexo 7'!$D$10</f>
        <v>0</v>
      </c>
      <c r="AA6" s="35">
        <f>SUM(C6:Z6)</f>
        <v>0</v>
      </c>
      <c r="AB6" s="19">
        <v>20</v>
      </c>
      <c r="AC6" s="79">
        <f>+AA6*AB6+AA7*AB7+AA8*AB8</f>
        <v>0</v>
      </c>
    </row>
    <row r="7" spans="1:30" ht="15.75" thickBot="1" x14ac:dyDescent="0.3">
      <c r="A7" s="78"/>
      <c r="B7" s="20" t="s">
        <v>7</v>
      </c>
      <c r="C7" s="33">
        <f>+'Anexo 14'!C7*'Anexo 7'!$D$10</f>
        <v>0</v>
      </c>
      <c r="D7" s="33">
        <f>+'Anexo 14'!D7*'Anexo 7'!$D$10</f>
        <v>0</v>
      </c>
      <c r="E7" s="33">
        <f>+'Anexo 14'!E7*'Anexo 7'!$D$10</f>
        <v>0</v>
      </c>
      <c r="F7" s="33">
        <f>+'Anexo 14'!F7*'Anexo 7'!$D$10</f>
        <v>0</v>
      </c>
      <c r="G7" s="33">
        <f>+'Anexo 14'!G7*'Anexo 7'!$D$10</f>
        <v>0</v>
      </c>
      <c r="H7" s="33">
        <f>+'Anexo 14'!H7*'Anexo 7'!$D$10</f>
        <v>0</v>
      </c>
      <c r="I7" s="33">
        <f>+'Anexo 14'!I7*'Anexo 7'!$D$10</f>
        <v>0</v>
      </c>
      <c r="J7" s="33">
        <f>+'Anexo 14'!J7*'Anexo 7'!$D$10</f>
        <v>0</v>
      </c>
      <c r="K7" s="33">
        <f>+'Anexo 14'!K7*'Anexo 7'!$D$10</f>
        <v>0</v>
      </c>
      <c r="L7" s="33">
        <f>+'Anexo 14'!L7*'Anexo 7'!$D$10</f>
        <v>0</v>
      </c>
      <c r="M7" s="33">
        <f>+'Anexo 14'!M7*'Anexo 7'!$D$10</f>
        <v>0</v>
      </c>
      <c r="N7" s="33">
        <f>+'Anexo 14'!N7*'Anexo 7'!$D$10</f>
        <v>0</v>
      </c>
      <c r="O7" s="33">
        <f>+'Anexo 14'!O7*'Anexo 7'!$D$10</f>
        <v>0</v>
      </c>
      <c r="P7" s="33">
        <f>+'Anexo 14'!P7*'Anexo 7'!$D$10</f>
        <v>0</v>
      </c>
      <c r="Q7" s="33">
        <f>+'Anexo 14'!Q7*'Anexo 7'!$D$10</f>
        <v>0</v>
      </c>
      <c r="R7" s="33">
        <f>+'Anexo 14'!R7*'Anexo 7'!$D$10</f>
        <v>0</v>
      </c>
      <c r="S7" s="33">
        <f>+'Anexo 14'!S7*'Anexo 7'!$D$10</f>
        <v>0</v>
      </c>
      <c r="T7" s="33">
        <f>+'Anexo 14'!T7*'Anexo 7'!$D$10</f>
        <v>0</v>
      </c>
      <c r="U7" s="33">
        <f>+'Anexo 14'!U7*'Anexo 7'!$D$10</f>
        <v>0</v>
      </c>
      <c r="V7" s="33">
        <f>+'Anexo 14'!V7*'Anexo 7'!$D$10</f>
        <v>0</v>
      </c>
      <c r="W7" s="33">
        <f>+'Anexo 14'!W7*'Anexo 7'!$D$10</f>
        <v>0</v>
      </c>
      <c r="X7" s="33">
        <f>+'Anexo 14'!X7*'Anexo 7'!$D$10</f>
        <v>0</v>
      </c>
      <c r="Y7" s="33">
        <f>+'Anexo 14'!Y7*'Anexo 7'!$D$10</f>
        <v>0</v>
      </c>
      <c r="Z7" s="33">
        <f>+'Anexo 14'!Z7*'Anexo 7'!$D$10</f>
        <v>0</v>
      </c>
      <c r="AA7" s="38">
        <f t="shared" ref="AA7:AA41" si="0">SUM(C7:Z7)</f>
        <v>0</v>
      </c>
      <c r="AB7" s="21">
        <v>5</v>
      </c>
      <c r="AC7" s="80"/>
      <c r="AD7" s="47"/>
    </row>
    <row r="8" spans="1:30" ht="15.75" thickBot="1" x14ac:dyDescent="0.3">
      <c r="A8" s="78"/>
      <c r="B8" s="22" t="s">
        <v>6</v>
      </c>
      <c r="C8" s="33">
        <f>+'Anexo 14'!C8*'Anexo 7'!$D$10</f>
        <v>0</v>
      </c>
      <c r="D8" s="33">
        <f>+'Anexo 14'!D8*'Anexo 7'!$D$10</f>
        <v>0</v>
      </c>
      <c r="E8" s="33">
        <f>+'Anexo 14'!E8*'Anexo 7'!$D$10</f>
        <v>0</v>
      </c>
      <c r="F8" s="33">
        <f>+'Anexo 14'!F8*'Anexo 7'!$D$10</f>
        <v>0</v>
      </c>
      <c r="G8" s="33">
        <f>+'Anexo 14'!G8*'Anexo 7'!$D$10</f>
        <v>0</v>
      </c>
      <c r="H8" s="33">
        <f>+'Anexo 14'!H8*'Anexo 7'!$D$10</f>
        <v>0</v>
      </c>
      <c r="I8" s="33">
        <f>+'Anexo 14'!I8*'Anexo 7'!$D$10</f>
        <v>0</v>
      </c>
      <c r="J8" s="33">
        <f>+'Anexo 14'!J8*'Anexo 7'!$D$10</f>
        <v>0</v>
      </c>
      <c r="K8" s="33">
        <f>+'Anexo 14'!K8*'Anexo 7'!$D$10</f>
        <v>0</v>
      </c>
      <c r="L8" s="33">
        <f>+'Anexo 14'!L8*'Anexo 7'!$D$10</f>
        <v>0</v>
      </c>
      <c r="M8" s="33">
        <f>+'Anexo 14'!M8*'Anexo 7'!$D$10</f>
        <v>0</v>
      </c>
      <c r="N8" s="33">
        <f>+'Anexo 14'!N8*'Anexo 7'!$D$10</f>
        <v>0</v>
      </c>
      <c r="O8" s="33">
        <f>+'Anexo 14'!O8*'Anexo 7'!$D$10</f>
        <v>0</v>
      </c>
      <c r="P8" s="33">
        <f>+'Anexo 14'!P8*'Anexo 7'!$D$10</f>
        <v>0</v>
      </c>
      <c r="Q8" s="33">
        <f>+'Anexo 14'!Q8*'Anexo 7'!$D$10</f>
        <v>0</v>
      </c>
      <c r="R8" s="33">
        <f>+'Anexo 14'!R8*'Anexo 7'!$D$10</f>
        <v>0</v>
      </c>
      <c r="S8" s="33">
        <f>+'Anexo 14'!S8*'Anexo 7'!$D$10</f>
        <v>0</v>
      </c>
      <c r="T8" s="33">
        <f>+'Anexo 14'!T8*'Anexo 7'!$D$10</f>
        <v>0</v>
      </c>
      <c r="U8" s="33">
        <f>+'Anexo 14'!U8*'Anexo 7'!$D$10</f>
        <v>0</v>
      </c>
      <c r="V8" s="33">
        <f>+'Anexo 14'!V8*'Anexo 7'!$D$10</f>
        <v>0</v>
      </c>
      <c r="W8" s="33">
        <f>+'Anexo 14'!W8*'Anexo 7'!$D$10</f>
        <v>0</v>
      </c>
      <c r="X8" s="33">
        <f>+'Anexo 14'!X8*'Anexo 7'!$D$10</f>
        <v>0</v>
      </c>
      <c r="Y8" s="33">
        <f>+'Anexo 14'!Y8*'Anexo 7'!$D$10</f>
        <v>0</v>
      </c>
      <c r="Z8" s="33">
        <f>+'Anexo 14'!Z8*'Anexo 7'!$D$10</f>
        <v>0</v>
      </c>
      <c r="AA8" s="41">
        <f t="shared" si="0"/>
        <v>0</v>
      </c>
      <c r="AB8" s="23">
        <v>6</v>
      </c>
      <c r="AC8" s="81"/>
      <c r="AD8" s="48"/>
    </row>
    <row r="9" spans="1:30" ht="15.75" thickBot="1" x14ac:dyDescent="0.3">
      <c r="A9" s="78">
        <v>48245</v>
      </c>
      <c r="B9" s="18" t="s">
        <v>8</v>
      </c>
      <c r="C9" s="33">
        <f>+'Anexo 14'!C9*'Anexo 7'!$D$10</f>
        <v>0</v>
      </c>
      <c r="D9" s="33">
        <f>+'Anexo 14'!D9*'Anexo 7'!$D$10</f>
        <v>0</v>
      </c>
      <c r="E9" s="33">
        <f>+'Anexo 14'!E9*'Anexo 7'!$D$10</f>
        <v>0</v>
      </c>
      <c r="F9" s="33">
        <f>+'Anexo 14'!F9*'Anexo 7'!$D$10</f>
        <v>0</v>
      </c>
      <c r="G9" s="33">
        <f>+'Anexo 14'!G9*'Anexo 7'!$D$10</f>
        <v>0</v>
      </c>
      <c r="H9" s="33">
        <f>+'Anexo 14'!H9*'Anexo 7'!$D$10</f>
        <v>0</v>
      </c>
      <c r="I9" s="33">
        <f>+'Anexo 14'!I9*'Anexo 7'!$D$10</f>
        <v>0</v>
      </c>
      <c r="J9" s="33">
        <f>+'Anexo 14'!J9*'Anexo 7'!$D$10</f>
        <v>0</v>
      </c>
      <c r="K9" s="33">
        <f>+'Anexo 14'!K9*'Anexo 7'!$D$10</f>
        <v>0</v>
      </c>
      <c r="L9" s="33">
        <f>+'Anexo 14'!L9*'Anexo 7'!$D$10</f>
        <v>0</v>
      </c>
      <c r="M9" s="33">
        <f>+'Anexo 14'!M9*'Anexo 7'!$D$10</f>
        <v>0</v>
      </c>
      <c r="N9" s="33">
        <f>+'Anexo 14'!N9*'Anexo 7'!$D$10</f>
        <v>0</v>
      </c>
      <c r="O9" s="33">
        <f>+'Anexo 14'!O9*'Anexo 7'!$D$10</f>
        <v>0</v>
      </c>
      <c r="P9" s="33">
        <f>+'Anexo 14'!P9*'Anexo 7'!$D$10</f>
        <v>0</v>
      </c>
      <c r="Q9" s="33">
        <f>+'Anexo 14'!Q9*'Anexo 7'!$D$10</f>
        <v>0</v>
      </c>
      <c r="R9" s="33">
        <f>+'Anexo 14'!R9*'Anexo 7'!$D$10</f>
        <v>0</v>
      </c>
      <c r="S9" s="33">
        <f>+'Anexo 14'!S9*'Anexo 7'!$D$10</f>
        <v>0</v>
      </c>
      <c r="T9" s="33">
        <f>+'Anexo 14'!T9*'Anexo 7'!$D$10</f>
        <v>0</v>
      </c>
      <c r="U9" s="33">
        <f>+'Anexo 14'!U9*'Anexo 7'!$D$10</f>
        <v>0</v>
      </c>
      <c r="V9" s="33">
        <f>+'Anexo 14'!V9*'Anexo 7'!$D$10</f>
        <v>0</v>
      </c>
      <c r="W9" s="33">
        <f>+'Anexo 14'!W9*'Anexo 7'!$D$10</f>
        <v>0</v>
      </c>
      <c r="X9" s="33">
        <f>+'Anexo 14'!X9*'Anexo 7'!$D$10</f>
        <v>0</v>
      </c>
      <c r="Y9" s="33">
        <f>+'Anexo 14'!Y9*'Anexo 7'!$D$10</f>
        <v>0</v>
      </c>
      <c r="Z9" s="33">
        <f>+'Anexo 14'!Z9*'Anexo 7'!$D$10</f>
        <v>0</v>
      </c>
      <c r="AA9" s="35">
        <f t="shared" si="0"/>
        <v>0</v>
      </c>
      <c r="AB9" s="19">
        <v>20</v>
      </c>
      <c r="AC9" s="79">
        <f>+AA9*AB9+AA10*AB10+AA11*AB11</f>
        <v>0</v>
      </c>
    </row>
    <row r="10" spans="1:30" ht="15.75" thickBot="1" x14ac:dyDescent="0.3">
      <c r="A10" s="78"/>
      <c r="B10" s="20" t="s">
        <v>7</v>
      </c>
      <c r="C10" s="33">
        <f>+'Anexo 14'!C10*'Anexo 7'!$D$10</f>
        <v>0</v>
      </c>
      <c r="D10" s="33">
        <f>+'Anexo 14'!D10*'Anexo 7'!$D$10</f>
        <v>0</v>
      </c>
      <c r="E10" s="33">
        <f>+'Anexo 14'!E10*'Anexo 7'!$D$10</f>
        <v>0</v>
      </c>
      <c r="F10" s="33">
        <f>+'Anexo 14'!F10*'Anexo 7'!$D$10</f>
        <v>0</v>
      </c>
      <c r="G10" s="33">
        <f>+'Anexo 14'!G10*'Anexo 7'!$D$10</f>
        <v>0</v>
      </c>
      <c r="H10" s="33">
        <f>+'Anexo 14'!H10*'Anexo 7'!$D$10</f>
        <v>0</v>
      </c>
      <c r="I10" s="33">
        <f>+'Anexo 14'!I10*'Anexo 7'!$D$10</f>
        <v>0</v>
      </c>
      <c r="J10" s="33">
        <f>+'Anexo 14'!J10*'Anexo 7'!$D$10</f>
        <v>0</v>
      </c>
      <c r="K10" s="33">
        <f>+'Anexo 14'!K10*'Anexo 7'!$D$10</f>
        <v>0</v>
      </c>
      <c r="L10" s="33">
        <f>+'Anexo 14'!L10*'Anexo 7'!$D$10</f>
        <v>0</v>
      </c>
      <c r="M10" s="33">
        <f>+'Anexo 14'!M10*'Anexo 7'!$D$10</f>
        <v>0</v>
      </c>
      <c r="N10" s="33">
        <f>+'Anexo 14'!N10*'Anexo 7'!$D$10</f>
        <v>0</v>
      </c>
      <c r="O10" s="33">
        <f>+'Anexo 14'!O10*'Anexo 7'!$D$10</f>
        <v>0</v>
      </c>
      <c r="P10" s="33">
        <f>+'Anexo 14'!P10*'Anexo 7'!$D$10</f>
        <v>0</v>
      </c>
      <c r="Q10" s="33">
        <f>+'Anexo 14'!Q10*'Anexo 7'!$D$10</f>
        <v>0</v>
      </c>
      <c r="R10" s="33">
        <f>+'Anexo 14'!R10*'Anexo 7'!$D$10</f>
        <v>0</v>
      </c>
      <c r="S10" s="33">
        <f>+'Anexo 14'!S10*'Anexo 7'!$D$10</f>
        <v>0</v>
      </c>
      <c r="T10" s="33">
        <f>+'Anexo 14'!T10*'Anexo 7'!$D$10</f>
        <v>0</v>
      </c>
      <c r="U10" s="33">
        <f>+'Anexo 14'!U10*'Anexo 7'!$D$10</f>
        <v>0</v>
      </c>
      <c r="V10" s="33">
        <f>+'Anexo 14'!V10*'Anexo 7'!$D$10</f>
        <v>0</v>
      </c>
      <c r="W10" s="33">
        <f>+'Anexo 14'!W10*'Anexo 7'!$D$10</f>
        <v>0</v>
      </c>
      <c r="X10" s="33">
        <f>+'Anexo 14'!X10*'Anexo 7'!$D$10</f>
        <v>0</v>
      </c>
      <c r="Y10" s="33">
        <f>+'Anexo 14'!Y10*'Anexo 7'!$D$10</f>
        <v>0</v>
      </c>
      <c r="Z10" s="33">
        <f>+'Anexo 14'!Z10*'Anexo 7'!$D$10</f>
        <v>0</v>
      </c>
      <c r="AA10" s="38">
        <f t="shared" si="0"/>
        <v>0</v>
      </c>
      <c r="AB10" s="21">
        <v>4</v>
      </c>
      <c r="AC10" s="80"/>
      <c r="AD10" s="47"/>
    </row>
    <row r="11" spans="1:30" ht="15.75" thickBot="1" x14ac:dyDescent="0.3">
      <c r="A11" s="78"/>
      <c r="B11" s="22" t="s">
        <v>6</v>
      </c>
      <c r="C11" s="33">
        <f>+'Anexo 14'!C11*'Anexo 7'!$D$10</f>
        <v>0</v>
      </c>
      <c r="D11" s="33">
        <f>+'Anexo 14'!D11*'Anexo 7'!$D$10</f>
        <v>0</v>
      </c>
      <c r="E11" s="33">
        <f>+'Anexo 14'!E11*'Anexo 7'!$D$10</f>
        <v>0</v>
      </c>
      <c r="F11" s="33">
        <f>+'Anexo 14'!F11*'Anexo 7'!$D$10</f>
        <v>0</v>
      </c>
      <c r="G11" s="33">
        <f>+'Anexo 14'!G11*'Anexo 7'!$D$10</f>
        <v>0</v>
      </c>
      <c r="H11" s="33">
        <f>+'Anexo 14'!H11*'Anexo 7'!$D$10</f>
        <v>0</v>
      </c>
      <c r="I11" s="33">
        <f>+'Anexo 14'!I11*'Anexo 7'!$D$10</f>
        <v>0</v>
      </c>
      <c r="J11" s="33">
        <f>+'Anexo 14'!J11*'Anexo 7'!$D$10</f>
        <v>0</v>
      </c>
      <c r="K11" s="33">
        <f>+'Anexo 14'!K11*'Anexo 7'!$D$10</f>
        <v>0</v>
      </c>
      <c r="L11" s="33">
        <f>+'Anexo 14'!L11*'Anexo 7'!$D$10</f>
        <v>0</v>
      </c>
      <c r="M11" s="33">
        <f>+'Anexo 14'!M11*'Anexo 7'!$D$10</f>
        <v>0</v>
      </c>
      <c r="N11" s="33">
        <f>+'Anexo 14'!N11*'Anexo 7'!$D$10</f>
        <v>0</v>
      </c>
      <c r="O11" s="33">
        <f>+'Anexo 14'!O11*'Anexo 7'!$D$10</f>
        <v>0</v>
      </c>
      <c r="P11" s="33">
        <f>+'Anexo 14'!P11*'Anexo 7'!$D$10</f>
        <v>0</v>
      </c>
      <c r="Q11" s="33">
        <f>+'Anexo 14'!Q11*'Anexo 7'!$D$10</f>
        <v>0</v>
      </c>
      <c r="R11" s="33">
        <f>+'Anexo 14'!R11*'Anexo 7'!$D$10</f>
        <v>0</v>
      </c>
      <c r="S11" s="33">
        <f>+'Anexo 14'!S11*'Anexo 7'!$D$10</f>
        <v>0</v>
      </c>
      <c r="T11" s="33">
        <f>+'Anexo 14'!T11*'Anexo 7'!$D$10</f>
        <v>0</v>
      </c>
      <c r="U11" s="33">
        <f>+'Anexo 14'!U11*'Anexo 7'!$D$10</f>
        <v>0</v>
      </c>
      <c r="V11" s="33">
        <f>+'Anexo 14'!V11*'Anexo 7'!$D$10</f>
        <v>0</v>
      </c>
      <c r="W11" s="33">
        <f>+'Anexo 14'!W11*'Anexo 7'!$D$10</f>
        <v>0</v>
      </c>
      <c r="X11" s="33">
        <f>+'Anexo 14'!X11*'Anexo 7'!$D$10</f>
        <v>0</v>
      </c>
      <c r="Y11" s="33">
        <f>+'Anexo 14'!Y11*'Anexo 7'!$D$10</f>
        <v>0</v>
      </c>
      <c r="Z11" s="33">
        <f>+'Anexo 14'!Z11*'Anexo 7'!$D$10</f>
        <v>0</v>
      </c>
      <c r="AA11" s="41">
        <f t="shared" si="0"/>
        <v>0</v>
      </c>
      <c r="AB11" s="23">
        <v>5</v>
      </c>
      <c r="AC11" s="81"/>
      <c r="AD11" s="48"/>
    </row>
    <row r="12" spans="1:30" ht="15.75" thickBot="1" x14ac:dyDescent="0.3">
      <c r="A12" s="78">
        <v>48274</v>
      </c>
      <c r="B12" s="18" t="s">
        <v>8</v>
      </c>
      <c r="C12" s="33">
        <f>+'Anexo 14'!C12*'Anexo 7'!$D$10</f>
        <v>0</v>
      </c>
      <c r="D12" s="33">
        <f>+'Anexo 14'!D12*'Anexo 7'!$D$10</f>
        <v>0</v>
      </c>
      <c r="E12" s="33">
        <f>+'Anexo 14'!E12*'Anexo 7'!$D$10</f>
        <v>0</v>
      </c>
      <c r="F12" s="33">
        <f>+'Anexo 14'!F12*'Anexo 7'!$D$10</f>
        <v>0</v>
      </c>
      <c r="G12" s="33">
        <f>+'Anexo 14'!G12*'Anexo 7'!$D$10</f>
        <v>0</v>
      </c>
      <c r="H12" s="33">
        <f>+'Anexo 14'!H12*'Anexo 7'!$D$10</f>
        <v>0</v>
      </c>
      <c r="I12" s="33">
        <f>+'Anexo 14'!I12*'Anexo 7'!$D$10</f>
        <v>0</v>
      </c>
      <c r="J12" s="33">
        <f>+'Anexo 14'!J12*'Anexo 7'!$D$10</f>
        <v>0</v>
      </c>
      <c r="K12" s="33">
        <f>+'Anexo 14'!K12*'Anexo 7'!$D$10</f>
        <v>0</v>
      </c>
      <c r="L12" s="33">
        <f>+'Anexo 14'!L12*'Anexo 7'!$D$10</f>
        <v>0</v>
      </c>
      <c r="M12" s="33">
        <f>+'Anexo 14'!M12*'Anexo 7'!$D$10</f>
        <v>0</v>
      </c>
      <c r="N12" s="33">
        <f>+'Anexo 14'!N12*'Anexo 7'!$D$10</f>
        <v>0</v>
      </c>
      <c r="O12" s="33">
        <f>+'Anexo 14'!O12*'Anexo 7'!$D$10</f>
        <v>0</v>
      </c>
      <c r="P12" s="33">
        <f>+'Anexo 14'!P12*'Anexo 7'!$D$10</f>
        <v>0</v>
      </c>
      <c r="Q12" s="33">
        <f>+'Anexo 14'!Q12*'Anexo 7'!$D$10</f>
        <v>0</v>
      </c>
      <c r="R12" s="33">
        <f>+'Anexo 14'!R12*'Anexo 7'!$D$10</f>
        <v>0</v>
      </c>
      <c r="S12" s="33">
        <f>+'Anexo 14'!S12*'Anexo 7'!$D$10</f>
        <v>0</v>
      </c>
      <c r="T12" s="33">
        <f>+'Anexo 14'!T12*'Anexo 7'!$D$10</f>
        <v>0</v>
      </c>
      <c r="U12" s="33">
        <f>+'Anexo 14'!U12*'Anexo 7'!$D$10</f>
        <v>0</v>
      </c>
      <c r="V12" s="33">
        <f>+'Anexo 14'!V12*'Anexo 7'!$D$10</f>
        <v>0</v>
      </c>
      <c r="W12" s="33">
        <f>+'Anexo 14'!W12*'Anexo 7'!$D$10</f>
        <v>0</v>
      </c>
      <c r="X12" s="33">
        <f>+'Anexo 14'!X12*'Anexo 7'!$D$10</f>
        <v>0</v>
      </c>
      <c r="Y12" s="33">
        <f>+'Anexo 14'!Y12*'Anexo 7'!$D$10</f>
        <v>0</v>
      </c>
      <c r="Z12" s="33">
        <f>+'Anexo 14'!Z12*'Anexo 7'!$D$10</f>
        <v>0</v>
      </c>
      <c r="AA12" s="35">
        <f t="shared" si="0"/>
        <v>0</v>
      </c>
      <c r="AB12" s="19">
        <v>20</v>
      </c>
      <c r="AC12" s="79">
        <f>+AA12*AB12+AA13*AB13+AA14*AB14</f>
        <v>0</v>
      </c>
    </row>
    <row r="13" spans="1:30" ht="15.75" thickBot="1" x14ac:dyDescent="0.3">
      <c r="A13" s="78"/>
      <c r="B13" s="20" t="s">
        <v>7</v>
      </c>
      <c r="C13" s="33">
        <f>+'Anexo 14'!C13*'Anexo 7'!$D$10</f>
        <v>0</v>
      </c>
      <c r="D13" s="33">
        <f>+'Anexo 14'!D13*'Anexo 7'!$D$10</f>
        <v>0</v>
      </c>
      <c r="E13" s="33">
        <f>+'Anexo 14'!E13*'Anexo 7'!$D$10</f>
        <v>0</v>
      </c>
      <c r="F13" s="33">
        <f>+'Anexo 14'!F13*'Anexo 7'!$D$10</f>
        <v>0</v>
      </c>
      <c r="G13" s="33">
        <f>+'Anexo 14'!G13*'Anexo 7'!$D$10</f>
        <v>0</v>
      </c>
      <c r="H13" s="33">
        <f>+'Anexo 14'!H13*'Anexo 7'!$D$10</f>
        <v>0</v>
      </c>
      <c r="I13" s="33">
        <f>+'Anexo 14'!I13*'Anexo 7'!$D$10</f>
        <v>0</v>
      </c>
      <c r="J13" s="33">
        <f>+'Anexo 14'!J13*'Anexo 7'!$D$10</f>
        <v>0</v>
      </c>
      <c r="K13" s="33">
        <f>+'Anexo 14'!K13*'Anexo 7'!$D$10</f>
        <v>0</v>
      </c>
      <c r="L13" s="33">
        <f>+'Anexo 14'!L13*'Anexo 7'!$D$10</f>
        <v>0</v>
      </c>
      <c r="M13" s="33">
        <f>+'Anexo 14'!M13*'Anexo 7'!$D$10</f>
        <v>0</v>
      </c>
      <c r="N13" s="33">
        <f>+'Anexo 14'!N13*'Anexo 7'!$D$10</f>
        <v>0</v>
      </c>
      <c r="O13" s="33">
        <f>+'Anexo 14'!O13*'Anexo 7'!$D$10</f>
        <v>0</v>
      </c>
      <c r="P13" s="33">
        <f>+'Anexo 14'!P13*'Anexo 7'!$D$10</f>
        <v>0</v>
      </c>
      <c r="Q13" s="33">
        <f>+'Anexo 14'!Q13*'Anexo 7'!$D$10</f>
        <v>0</v>
      </c>
      <c r="R13" s="33">
        <f>+'Anexo 14'!R13*'Anexo 7'!$D$10</f>
        <v>0</v>
      </c>
      <c r="S13" s="33">
        <f>+'Anexo 14'!S13*'Anexo 7'!$D$10</f>
        <v>0</v>
      </c>
      <c r="T13" s="33">
        <f>+'Anexo 14'!T13*'Anexo 7'!$D$10</f>
        <v>0</v>
      </c>
      <c r="U13" s="33">
        <f>+'Anexo 14'!U13*'Anexo 7'!$D$10</f>
        <v>0</v>
      </c>
      <c r="V13" s="33">
        <f>+'Anexo 14'!V13*'Anexo 7'!$D$10</f>
        <v>0</v>
      </c>
      <c r="W13" s="33">
        <f>+'Anexo 14'!W13*'Anexo 7'!$D$10</f>
        <v>0</v>
      </c>
      <c r="X13" s="33">
        <f>+'Anexo 14'!X13*'Anexo 7'!$D$10</f>
        <v>0</v>
      </c>
      <c r="Y13" s="33">
        <f>+'Anexo 14'!Y13*'Anexo 7'!$D$10</f>
        <v>0</v>
      </c>
      <c r="Z13" s="33">
        <f>+'Anexo 14'!Z13*'Anexo 7'!$D$10</f>
        <v>0</v>
      </c>
      <c r="AA13" s="38">
        <f t="shared" si="0"/>
        <v>0</v>
      </c>
      <c r="AB13" s="21">
        <v>4</v>
      </c>
      <c r="AC13" s="80"/>
      <c r="AD13" s="47"/>
    </row>
    <row r="14" spans="1:30" ht="15.75" thickBot="1" x14ac:dyDescent="0.3">
      <c r="A14" s="78"/>
      <c r="B14" s="22" t="s">
        <v>6</v>
      </c>
      <c r="C14" s="33">
        <f>+'Anexo 14'!C14*'Anexo 7'!$D$10</f>
        <v>0</v>
      </c>
      <c r="D14" s="33">
        <f>+'Anexo 14'!D14*'Anexo 7'!$D$10</f>
        <v>0</v>
      </c>
      <c r="E14" s="33">
        <f>+'Anexo 14'!E14*'Anexo 7'!$D$10</f>
        <v>0</v>
      </c>
      <c r="F14" s="33">
        <f>+'Anexo 14'!F14*'Anexo 7'!$D$10</f>
        <v>0</v>
      </c>
      <c r="G14" s="33">
        <f>+'Anexo 14'!G14*'Anexo 7'!$D$10</f>
        <v>0</v>
      </c>
      <c r="H14" s="33">
        <f>+'Anexo 14'!H14*'Anexo 7'!$D$10</f>
        <v>0</v>
      </c>
      <c r="I14" s="33">
        <f>+'Anexo 14'!I14*'Anexo 7'!$D$10</f>
        <v>0</v>
      </c>
      <c r="J14" s="33">
        <f>+'Anexo 14'!J14*'Anexo 7'!$D$10</f>
        <v>0</v>
      </c>
      <c r="K14" s="33">
        <f>+'Anexo 14'!K14*'Anexo 7'!$D$10</f>
        <v>0</v>
      </c>
      <c r="L14" s="33">
        <f>+'Anexo 14'!L14*'Anexo 7'!$D$10</f>
        <v>0</v>
      </c>
      <c r="M14" s="33">
        <f>+'Anexo 14'!M14*'Anexo 7'!$D$10</f>
        <v>0</v>
      </c>
      <c r="N14" s="33">
        <f>+'Anexo 14'!N14*'Anexo 7'!$D$10</f>
        <v>0</v>
      </c>
      <c r="O14" s="33">
        <f>+'Anexo 14'!O14*'Anexo 7'!$D$10</f>
        <v>0</v>
      </c>
      <c r="P14" s="33">
        <f>+'Anexo 14'!P14*'Anexo 7'!$D$10</f>
        <v>0</v>
      </c>
      <c r="Q14" s="33">
        <f>+'Anexo 14'!Q14*'Anexo 7'!$D$10</f>
        <v>0</v>
      </c>
      <c r="R14" s="33">
        <f>+'Anexo 14'!R14*'Anexo 7'!$D$10</f>
        <v>0</v>
      </c>
      <c r="S14" s="33">
        <f>+'Anexo 14'!S14*'Anexo 7'!$D$10</f>
        <v>0</v>
      </c>
      <c r="T14" s="33">
        <f>+'Anexo 14'!T14*'Anexo 7'!$D$10</f>
        <v>0</v>
      </c>
      <c r="U14" s="33">
        <f>+'Anexo 14'!U14*'Anexo 7'!$D$10</f>
        <v>0</v>
      </c>
      <c r="V14" s="33">
        <f>+'Anexo 14'!V14*'Anexo 7'!$D$10</f>
        <v>0</v>
      </c>
      <c r="W14" s="33">
        <f>+'Anexo 14'!W14*'Anexo 7'!$D$10</f>
        <v>0</v>
      </c>
      <c r="X14" s="33">
        <f>+'Anexo 14'!X14*'Anexo 7'!$D$10</f>
        <v>0</v>
      </c>
      <c r="Y14" s="33">
        <f>+'Anexo 14'!Y14*'Anexo 7'!$D$10</f>
        <v>0</v>
      </c>
      <c r="Z14" s="33">
        <f>+'Anexo 14'!Z14*'Anexo 7'!$D$10</f>
        <v>0</v>
      </c>
      <c r="AA14" s="41">
        <f t="shared" si="0"/>
        <v>0</v>
      </c>
      <c r="AB14" s="23">
        <v>7</v>
      </c>
      <c r="AC14" s="81"/>
      <c r="AD14" s="45"/>
    </row>
    <row r="15" spans="1:30" ht="15.75" thickBot="1" x14ac:dyDescent="0.3">
      <c r="A15" s="78">
        <v>48305</v>
      </c>
      <c r="B15" s="18" t="s">
        <v>8</v>
      </c>
      <c r="C15" s="33">
        <f>+'Anexo 14'!C15*'Anexo 7'!$D$10</f>
        <v>0</v>
      </c>
      <c r="D15" s="33">
        <f>+'Anexo 14'!D15*'Anexo 7'!$D$10</f>
        <v>0</v>
      </c>
      <c r="E15" s="33">
        <f>+'Anexo 14'!E15*'Anexo 7'!$D$10</f>
        <v>0</v>
      </c>
      <c r="F15" s="33">
        <f>+'Anexo 14'!F15*'Anexo 7'!$D$10</f>
        <v>0</v>
      </c>
      <c r="G15" s="33">
        <f>+'Anexo 14'!G15*'Anexo 7'!$D$10</f>
        <v>0</v>
      </c>
      <c r="H15" s="33">
        <f>+'Anexo 14'!H15*'Anexo 7'!$D$10</f>
        <v>0</v>
      </c>
      <c r="I15" s="33">
        <f>+'Anexo 14'!I15*'Anexo 7'!$D$10</f>
        <v>0</v>
      </c>
      <c r="J15" s="33">
        <f>+'Anexo 14'!J15*'Anexo 7'!$D$10</f>
        <v>0</v>
      </c>
      <c r="K15" s="33">
        <f>+'Anexo 14'!K15*'Anexo 7'!$D$10</f>
        <v>0</v>
      </c>
      <c r="L15" s="33">
        <f>+'Anexo 14'!L15*'Anexo 7'!$D$10</f>
        <v>0</v>
      </c>
      <c r="M15" s="33">
        <f>+'Anexo 14'!M15*'Anexo 7'!$D$10</f>
        <v>0</v>
      </c>
      <c r="N15" s="33">
        <f>+'Anexo 14'!N15*'Anexo 7'!$D$10</f>
        <v>0</v>
      </c>
      <c r="O15" s="33">
        <f>+'Anexo 14'!O15*'Anexo 7'!$D$10</f>
        <v>0</v>
      </c>
      <c r="P15" s="33">
        <f>+'Anexo 14'!P15*'Anexo 7'!$D$10</f>
        <v>0</v>
      </c>
      <c r="Q15" s="33">
        <f>+'Anexo 14'!Q15*'Anexo 7'!$D$10</f>
        <v>0</v>
      </c>
      <c r="R15" s="33">
        <f>+'Anexo 14'!R15*'Anexo 7'!$D$10</f>
        <v>0</v>
      </c>
      <c r="S15" s="33">
        <f>+'Anexo 14'!S15*'Anexo 7'!$D$10</f>
        <v>0</v>
      </c>
      <c r="T15" s="33">
        <f>+'Anexo 14'!T15*'Anexo 7'!$D$10</f>
        <v>0</v>
      </c>
      <c r="U15" s="33">
        <f>+'Anexo 14'!U15*'Anexo 7'!$D$10</f>
        <v>0</v>
      </c>
      <c r="V15" s="33">
        <f>+'Anexo 14'!V15*'Anexo 7'!$D$10</f>
        <v>0</v>
      </c>
      <c r="W15" s="33">
        <f>+'Anexo 14'!W15*'Anexo 7'!$D$10</f>
        <v>0</v>
      </c>
      <c r="X15" s="33">
        <f>+'Anexo 14'!X15*'Anexo 7'!$D$10</f>
        <v>0</v>
      </c>
      <c r="Y15" s="33">
        <f>+'Anexo 14'!Y15*'Anexo 7'!$D$10</f>
        <v>0</v>
      </c>
      <c r="Z15" s="33">
        <f>+'Anexo 14'!Z15*'Anexo 7'!$D$10</f>
        <v>0</v>
      </c>
      <c r="AA15" s="35">
        <f t="shared" si="0"/>
        <v>0</v>
      </c>
      <c r="AB15" s="19">
        <v>22</v>
      </c>
      <c r="AC15" s="79">
        <f>+AA15*AB15+AA16*AB16+AA17*AB17</f>
        <v>0</v>
      </c>
    </row>
    <row r="16" spans="1:30" ht="15.75" thickBot="1" x14ac:dyDescent="0.3">
      <c r="A16" s="78"/>
      <c r="B16" s="20" t="s">
        <v>7</v>
      </c>
      <c r="C16" s="33">
        <f>+'Anexo 14'!C16*'Anexo 7'!$D$10</f>
        <v>0</v>
      </c>
      <c r="D16" s="33">
        <f>+'Anexo 14'!D16*'Anexo 7'!$D$10</f>
        <v>0</v>
      </c>
      <c r="E16" s="33">
        <f>+'Anexo 14'!E16*'Anexo 7'!$D$10</f>
        <v>0</v>
      </c>
      <c r="F16" s="33">
        <f>+'Anexo 14'!F16*'Anexo 7'!$D$10</f>
        <v>0</v>
      </c>
      <c r="G16" s="33">
        <f>+'Anexo 14'!G16*'Anexo 7'!$D$10</f>
        <v>0</v>
      </c>
      <c r="H16" s="33">
        <f>+'Anexo 14'!H16*'Anexo 7'!$D$10</f>
        <v>0</v>
      </c>
      <c r="I16" s="33">
        <f>+'Anexo 14'!I16*'Anexo 7'!$D$10</f>
        <v>0</v>
      </c>
      <c r="J16" s="33">
        <f>+'Anexo 14'!J16*'Anexo 7'!$D$10</f>
        <v>0</v>
      </c>
      <c r="K16" s="33">
        <f>+'Anexo 14'!K16*'Anexo 7'!$D$10</f>
        <v>0</v>
      </c>
      <c r="L16" s="33">
        <f>+'Anexo 14'!L16*'Anexo 7'!$D$10</f>
        <v>0</v>
      </c>
      <c r="M16" s="33">
        <f>+'Anexo 14'!M16*'Anexo 7'!$D$10</f>
        <v>0</v>
      </c>
      <c r="N16" s="33">
        <f>+'Anexo 14'!N16*'Anexo 7'!$D$10</f>
        <v>0</v>
      </c>
      <c r="O16" s="33">
        <f>+'Anexo 14'!O16*'Anexo 7'!$D$10</f>
        <v>0</v>
      </c>
      <c r="P16" s="33">
        <f>+'Anexo 14'!P16*'Anexo 7'!$D$10</f>
        <v>0</v>
      </c>
      <c r="Q16" s="33">
        <f>+'Anexo 14'!Q16*'Anexo 7'!$D$10</f>
        <v>0</v>
      </c>
      <c r="R16" s="33">
        <f>+'Anexo 14'!R16*'Anexo 7'!$D$10</f>
        <v>0</v>
      </c>
      <c r="S16" s="33">
        <f>+'Anexo 14'!S16*'Anexo 7'!$D$10</f>
        <v>0</v>
      </c>
      <c r="T16" s="33">
        <f>+'Anexo 14'!T16*'Anexo 7'!$D$10</f>
        <v>0</v>
      </c>
      <c r="U16" s="33">
        <f>+'Anexo 14'!U16*'Anexo 7'!$D$10</f>
        <v>0</v>
      </c>
      <c r="V16" s="33">
        <f>+'Anexo 14'!V16*'Anexo 7'!$D$10</f>
        <v>0</v>
      </c>
      <c r="W16" s="33">
        <f>+'Anexo 14'!W16*'Anexo 7'!$D$10</f>
        <v>0</v>
      </c>
      <c r="X16" s="33">
        <f>+'Anexo 14'!X16*'Anexo 7'!$D$10</f>
        <v>0</v>
      </c>
      <c r="Y16" s="33">
        <f>+'Anexo 14'!Y16*'Anexo 7'!$D$10</f>
        <v>0</v>
      </c>
      <c r="Z16" s="33">
        <f>+'Anexo 14'!Z16*'Anexo 7'!$D$10</f>
        <v>0</v>
      </c>
      <c r="AA16" s="38">
        <f t="shared" si="0"/>
        <v>0</v>
      </c>
      <c r="AB16" s="21">
        <v>4</v>
      </c>
      <c r="AC16" s="80"/>
      <c r="AD16" s="47"/>
    </row>
    <row r="17" spans="1:30" ht="15.75" thickBot="1" x14ac:dyDescent="0.3">
      <c r="A17" s="78"/>
      <c r="B17" s="22" t="s">
        <v>6</v>
      </c>
      <c r="C17" s="33">
        <f>+'Anexo 14'!C17*'Anexo 7'!$D$10</f>
        <v>0</v>
      </c>
      <c r="D17" s="33">
        <f>+'Anexo 14'!D17*'Anexo 7'!$D$10</f>
        <v>0</v>
      </c>
      <c r="E17" s="33">
        <f>+'Anexo 14'!E17*'Anexo 7'!$D$10</f>
        <v>0</v>
      </c>
      <c r="F17" s="33">
        <f>+'Anexo 14'!F17*'Anexo 7'!$D$10</f>
        <v>0</v>
      </c>
      <c r="G17" s="33">
        <f>+'Anexo 14'!G17*'Anexo 7'!$D$10</f>
        <v>0</v>
      </c>
      <c r="H17" s="33">
        <f>+'Anexo 14'!H17*'Anexo 7'!$D$10</f>
        <v>0</v>
      </c>
      <c r="I17" s="33">
        <f>+'Anexo 14'!I17*'Anexo 7'!$D$10</f>
        <v>0</v>
      </c>
      <c r="J17" s="33">
        <f>+'Anexo 14'!J17*'Anexo 7'!$D$10</f>
        <v>0</v>
      </c>
      <c r="K17" s="33">
        <f>+'Anexo 14'!K17*'Anexo 7'!$D$10</f>
        <v>0</v>
      </c>
      <c r="L17" s="33">
        <f>+'Anexo 14'!L17*'Anexo 7'!$D$10</f>
        <v>0</v>
      </c>
      <c r="M17" s="33">
        <f>+'Anexo 14'!M17*'Anexo 7'!$D$10</f>
        <v>0</v>
      </c>
      <c r="N17" s="33">
        <f>+'Anexo 14'!N17*'Anexo 7'!$D$10</f>
        <v>0</v>
      </c>
      <c r="O17" s="33">
        <f>+'Anexo 14'!O17*'Anexo 7'!$D$10</f>
        <v>0</v>
      </c>
      <c r="P17" s="33">
        <f>+'Anexo 14'!P17*'Anexo 7'!$D$10</f>
        <v>0</v>
      </c>
      <c r="Q17" s="33">
        <f>+'Anexo 14'!Q17*'Anexo 7'!$D$10</f>
        <v>0</v>
      </c>
      <c r="R17" s="33">
        <f>+'Anexo 14'!R17*'Anexo 7'!$D$10</f>
        <v>0</v>
      </c>
      <c r="S17" s="33">
        <f>+'Anexo 14'!S17*'Anexo 7'!$D$10</f>
        <v>0</v>
      </c>
      <c r="T17" s="33">
        <f>+'Anexo 14'!T17*'Anexo 7'!$D$10</f>
        <v>0</v>
      </c>
      <c r="U17" s="33">
        <f>+'Anexo 14'!U17*'Anexo 7'!$D$10</f>
        <v>0</v>
      </c>
      <c r="V17" s="33">
        <f>+'Anexo 14'!V17*'Anexo 7'!$D$10</f>
        <v>0</v>
      </c>
      <c r="W17" s="33">
        <f>+'Anexo 14'!W17*'Anexo 7'!$D$10</f>
        <v>0</v>
      </c>
      <c r="X17" s="33">
        <f>+'Anexo 14'!X17*'Anexo 7'!$D$10</f>
        <v>0</v>
      </c>
      <c r="Y17" s="33">
        <f>+'Anexo 14'!Y17*'Anexo 7'!$D$10</f>
        <v>0</v>
      </c>
      <c r="Z17" s="33">
        <f>+'Anexo 14'!Z17*'Anexo 7'!$D$10</f>
        <v>0</v>
      </c>
      <c r="AA17" s="41">
        <f t="shared" si="0"/>
        <v>0</v>
      </c>
      <c r="AB17" s="23">
        <v>4</v>
      </c>
      <c r="AC17" s="81"/>
      <c r="AD17" s="48"/>
    </row>
    <row r="18" spans="1:30" ht="15.75" thickBot="1" x14ac:dyDescent="0.3">
      <c r="A18" s="78">
        <v>48335</v>
      </c>
      <c r="B18" s="18" t="s">
        <v>8</v>
      </c>
      <c r="C18" s="33">
        <f>+'Anexo 14'!C18*'Anexo 7'!$D$10</f>
        <v>0</v>
      </c>
      <c r="D18" s="33">
        <f>+'Anexo 14'!D18*'Anexo 7'!$D$10</f>
        <v>0</v>
      </c>
      <c r="E18" s="33">
        <f>+'Anexo 14'!E18*'Anexo 7'!$D$10</f>
        <v>0</v>
      </c>
      <c r="F18" s="33">
        <f>+'Anexo 14'!F18*'Anexo 7'!$D$10</f>
        <v>0</v>
      </c>
      <c r="G18" s="33">
        <f>+'Anexo 14'!G18*'Anexo 7'!$D$10</f>
        <v>0</v>
      </c>
      <c r="H18" s="33">
        <f>+'Anexo 14'!H18*'Anexo 7'!$D$10</f>
        <v>0</v>
      </c>
      <c r="I18" s="33">
        <f>+'Anexo 14'!I18*'Anexo 7'!$D$10</f>
        <v>0</v>
      </c>
      <c r="J18" s="33">
        <f>+'Anexo 14'!J18*'Anexo 7'!$D$10</f>
        <v>0</v>
      </c>
      <c r="K18" s="33">
        <f>+'Anexo 14'!K18*'Anexo 7'!$D$10</f>
        <v>0</v>
      </c>
      <c r="L18" s="33">
        <f>+'Anexo 14'!L18*'Anexo 7'!$D$10</f>
        <v>0</v>
      </c>
      <c r="M18" s="33">
        <f>+'Anexo 14'!M18*'Anexo 7'!$D$10</f>
        <v>0</v>
      </c>
      <c r="N18" s="33">
        <f>+'Anexo 14'!N18*'Anexo 7'!$D$10</f>
        <v>0</v>
      </c>
      <c r="O18" s="33">
        <f>+'Anexo 14'!O18*'Anexo 7'!$D$10</f>
        <v>0</v>
      </c>
      <c r="P18" s="33">
        <f>+'Anexo 14'!P18*'Anexo 7'!$D$10</f>
        <v>0</v>
      </c>
      <c r="Q18" s="33">
        <f>+'Anexo 14'!Q18*'Anexo 7'!$D$10</f>
        <v>0</v>
      </c>
      <c r="R18" s="33">
        <f>+'Anexo 14'!R18*'Anexo 7'!$D$10</f>
        <v>0</v>
      </c>
      <c r="S18" s="33">
        <f>+'Anexo 14'!S18*'Anexo 7'!$D$10</f>
        <v>0</v>
      </c>
      <c r="T18" s="33">
        <f>+'Anexo 14'!T18*'Anexo 7'!$D$10</f>
        <v>0</v>
      </c>
      <c r="U18" s="33">
        <f>+'Anexo 14'!U18*'Anexo 7'!$D$10</f>
        <v>0</v>
      </c>
      <c r="V18" s="33">
        <f>+'Anexo 14'!V18*'Anexo 7'!$D$10</f>
        <v>0</v>
      </c>
      <c r="W18" s="33">
        <f>+'Anexo 14'!W18*'Anexo 7'!$D$10</f>
        <v>0</v>
      </c>
      <c r="X18" s="33">
        <f>+'Anexo 14'!X18*'Anexo 7'!$D$10</f>
        <v>0</v>
      </c>
      <c r="Y18" s="33">
        <f>+'Anexo 14'!Y18*'Anexo 7'!$D$10</f>
        <v>0</v>
      </c>
      <c r="Z18" s="33">
        <f>+'Anexo 14'!Z18*'Anexo 7'!$D$10</f>
        <v>0</v>
      </c>
      <c r="AA18" s="35">
        <f t="shared" si="0"/>
        <v>0</v>
      </c>
      <c r="AB18" s="19">
        <v>19</v>
      </c>
      <c r="AC18" s="79">
        <f>+AA18*AB18+AA19*AB19+AA20*AB20</f>
        <v>0</v>
      </c>
    </row>
    <row r="19" spans="1:30" ht="15.75" thickBot="1" x14ac:dyDescent="0.3">
      <c r="A19" s="78"/>
      <c r="B19" s="20" t="s">
        <v>7</v>
      </c>
      <c r="C19" s="33">
        <f>+'Anexo 14'!C19*'Anexo 7'!$D$10</f>
        <v>0</v>
      </c>
      <c r="D19" s="33">
        <f>+'Anexo 14'!D19*'Anexo 7'!$D$10</f>
        <v>0</v>
      </c>
      <c r="E19" s="33">
        <f>+'Anexo 14'!E19*'Anexo 7'!$D$10</f>
        <v>0</v>
      </c>
      <c r="F19" s="33">
        <f>+'Anexo 14'!F19*'Anexo 7'!$D$10</f>
        <v>0</v>
      </c>
      <c r="G19" s="33">
        <f>+'Anexo 14'!G19*'Anexo 7'!$D$10</f>
        <v>0</v>
      </c>
      <c r="H19" s="33">
        <f>+'Anexo 14'!H19*'Anexo 7'!$D$10</f>
        <v>0</v>
      </c>
      <c r="I19" s="33">
        <f>+'Anexo 14'!I19*'Anexo 7'!$D$10</f>
        <v>0</v>
      </c>
      <c r="J19" s="33">
        <f>+'Anexo 14'!J19*'Anexo 7'!$D$10</f>
        <v>0</v>
      </c>
      <c r="K19" s="33">
        <f>+'Anexo 14'!K19*'Anexo 7'!$D$10</f>
        <v>0</v>
      </c>
      <c r="L19" s="33">
        <f>+'Anexo 14'!L19*'Anexo 7'!$D$10</f>
        <v>0</v>
      </c>
      <c r="M19" s="33">
        <f>+'Anexo 14'!M19*'Anexo 7'!$D$10</f>
        <v>0</v>
      </c>
      <c r="N19" s="33">
        <f>+'Anexo 14'!N19*'Anexo 7'!$D$10</f>
        <v>0</v>
      </c>
      <c r="O19" s="33">
        <f>+'Anexo 14'!O19*'Anexo 7'!$D$10</f>
        <v>0</v>
      </c>
      <c r="P19" s="33">
        <f>+'Anexo 14'!P19*'Anexo 7'!$D$10</f>
        <v>0</v>
      </c>
      <c r="Q19" s="33">
        <f>+'Anexo 14'!Q19*'Anexo 7'!$D$10</f>
        <v>0</v>
      </c>
      <c r="R19" s="33">
        <f>+'Anexo 14'!R19*'Anexo 7'!$D$10</f>
        <v>0</v>
      </c>
      <c r="S19" s="33">
        <f>+'Anexo 14'!S19*'Anexo 7'!$D$10</f>
        <v>0</v>
      </c>
      <c r="T19" s="33">
        <f>+'Anexo 14'!T19*'Anexo 7'!$D$10</f>
        <v>0</v>
      </c>
      <c r="U19" s="33">
        <f>+'Anexo 14'!U19*'Anexo 7'!$D$10</f>
        <v>0</v>
      </c>
      <c r="V19" s="33">
        <f>+'Anexo 14'!V19*'Anexo 7'!$D$10</f>
        <v>0</v>
      </c>
      <c r="W19" s="33">
        <f>+'Anexo 14'!W19*'Anexo 7'!$D$10</f>
        <v>0</v>
      </c>
      <c r="X19" s="33">
        <f>+'Anexo 14'!X19*'Anexo 7'!$D$10</f>
        <v>0</v>
      </c>
      <c r="Y19" s="33">
        <f>+'Anexo 14'!Y19*'Anexo 7'!$D$10</f>
        <v>0</v>
      </c>
      <c r="Z19" s="33">
        <f>+'Anexo 14'!Z19*'Anexo 7'!$D$10</f>
        <v>0</v>
      </c>
      <c r="AA19" s="38">
        <f t="shared" si="0"/>
        <v>0</v>
      </c>
      <c r="AB19" s="21">
        <v>4</v>
      </c>
      <c r="AC19" s="80"/>
      <c r="AD19" s="47"/>
    </row>
    <row r="20" spans="1:30" ht="15.75" thickBot="1" x14ac:dyDescent="0.3">
      <c r="A20" s="78"/>
      <c r="B20" s="22" t="s">
        <v>6</v>
      </c>
      <c r="C20" s="33">
        <f>+'Anexo 14'!C20*'Anexo 7'!$D$10</f>
        <v>0</v>
      </c>
      <c r="D20" s="33">
        <f>+'Anexo 14'!D20*'Anexo 7'!$D$10</f>
        <v>0</v>
      </c>
      <c r="E20" s="33">
        <f>+'Anexo 14'!E20*'Anexo 7'!$D$10</f>
        <v>0</v>
      </c>
      <c r="F20" s="33">
        <f>+'Anexo 14'!F20*'Anexo 7'!$D$10</f>
        <v>0</v>
      </c>
      <c r="G20" s="33">
        <f>+'Anexo 14'!G20*'Anexo 7'!$D$10</f>
        <v>0</v>
      </c>
      <c r="H20" s="33">
        <f>+'Anexo 14'!H20*'Anexo 7'!$D$10</f>
        <v>0</v>
      </c>
      <c r="I20" s="33">
        <f>+'Anexo 14'!I20*'Anexo 7'!$D$10</f>
        <v>0</v>
      </c>
      <c r="J20" s="33">
        <f>+'Anexo 14'!J20*'Anexo 7'!$D$10</f>
        <v>0</v>
      </c>
      <c r="K20" s="33">
        <f>+'Anexo 14'!K20*'Anexo 7'!$D$10</f>
        <v>0</v>
      </c>
      <c r="L20" s="33">
        <f>+'Anexo 14'!L20*'Anexo 7'!$D$10</f>
        <v>0</v>
      </c>
      <c r="M20" s="33">
        <f>+'Anexo 14'!M20*'Anexo 7'!$D$10</f>
        <v>0</v>
      </c>
      <c r="N20" s="33">
        <f>+'Anexo 14'!N20*'Anexo 7'!$D$10</f>
        <v>0</v>
      </c>
      <c r="O20" s="33">
        <f>+'Anexo 14'!O20*'Anexo 7'!$D$10</f>
        <v>0</v>
      </c>
      <c r="P20" s="33">
        <f>+'Anexo 14'!P20*'Anexo 7'!$D$10</f>
        <v>0</v>
      </c>
      <c r="Q20" s="33">
        <f>+'Anexo 14'!Q20*'Anexo 7'!$D$10</f>
        <v>0</v>
      </c>
      <c r="R20" s="33">
        <f>+'Anexo 14'!R20*'Anexo 7'!$D$10</f>
        <v>0</v>
      </c>
      <c r="S20" s="33">
        <f>+'Anexo 14'!S20*'Anexo 7'!$D$10</f>
        <v>0</v>
      </c>
      <c r="T20" s="33">
        <f>+'Anexo 14'!T20*'Anexo 7'!$D$10</f>
        <v>0</v>
      </c>
      <c r="U20" s="33">
        <f>+'Anexo 14'!U20*'Anexo 7'!$D$10</f>
        <v>0</v>
      </c>
      <c r="V20" s="33">
        <f>+'Anexo 14'!V20*'Anexo 7'!$D$10</f>
        <v>0</v>
      </c>
      <c r="W20" s="33">
        <f>+'Anexo 14'!W20*'Anexo 7'!$D$10</f>
        <v>0</v>
      </c>
      <c r="X20" s="33">
        <f>+'Anexo 14'!X20*'Anexo 7'!$D$10</f>
        <v>0</v>
      </c>
      <c r="Y20" s="33">
        <f>+'Anexo 14'!Y20*'Anexo 7'!$D$10</f>
        <v>0</v>
      </c>
      <c r="Z20" s="33">
        <f>+'Anexo 14'!Z20*'Anexo 7'!$D$10</f>
        <v>0</v>
      </c>
      <c r="AA20" s="41">
        <f t="shared" si="0"/>
        <v>0</v>
      </c>
      <c r="AB20" s="23">
        <v>8</v>
      </c>
      <c r="AC20" s="81"/>
      <c r="AD20" s="48"/>
    </row>
    <row r="21" spans="1:30" ht="15.75" thickBot="1" x14ac:dyDescent="0.3">
      <c r="A21" s="78">
        <v>48366</v>
      </c>
      <c r="B21" s="18" t="s">
        <v>8</v>
      </c>
      <c r="C21" s="33">
        <f>+'Anexo 14'!C21*'Anexo 7'!$D$10</f>
        <v>0</v>
      </c>
      <c r="D21" s="33">
        <f>+'Anexo 14'!D21*'Anexo 7'!$D$10</f>
        <v>0</v>
      </c>
      <c r="E21" s="33">
        <f>+'Anexo 14'!E21*'Anexo 7'!$D$10</f>
        <v>0</v>
      </c>
      <c r="F21" s="33">
        <f>+'Anexo 14'!F21*'Anexo 7'!$D$10</f>
        <v>0</v>
      </c>
      <c r="G21" s="33">
        <f>+'Anexo 14'!G21*'Anexo 7'!$D$10</f>
        <v>0</v>
      </c>
      <c r="H21" s="33">
        <f>+'Anexo 14'!H21*'Anexo 7'!$D$10</f>
        <v>0</v>
      </c>
      <c r="I21" s="33">
        <f>+'Anexo 14'!I21*'Anexo 7'!$D$10</f>
        <v>0</v>
      </c>
      <c r="J21" s="33">
        <f>+'Anexo 14'!J21*'Anexo 7'!$D$10</f>
        <v>0</v>
      </c>
      <c r="K21" s="33">
        <f>+'Anexo 14'!K21*'Anexo 7'!$D$10</f>
        <v>0</v>
      </c>
      <c r="L21" s="33">
        <f>+'Anexo 14'!L21*'Anexo 7'!$D$10</f>
        <v>0</v>
      </c>
      <c r="M21" s="33">
        <f>+'Anexo 14'!M21*'Anexo 7'!$D$10</f>
        <v>0</v>
      </c>
      <c r="N21" s="33">
        <f>+'Anexo 14'!N21*'Anexo 7'!$D$10</f>
        <v>0</v>
      </c>
      <c r="O21" s="33">
        <f>+'Anexo 14'!O21*'Anexo 7'!$D$10</f>
        <v>0</v>
      </c>
      <c r="P21" s="33">
        <f>+'Anexo 14'!P21*'Anexo 7'!$D$10</f>
        <v>0</v>
      </c>
      <c r="Q21" s="33">
        <f>+'Anexo 14'!Q21*'Anexo 7'!$D$10</f>
        <v>0</v>
      </c>
      <c r="R21" s="33">
        <f>+'Anexo 14'!R21*'Anexo 7'!$D$10</f>
        <v>0</v>
      </c>
      <c r="S21" s="33">
        <f>+'Anexo 14'!S21*'Anexo 7'!$D$10</f>
        <v>0</v>
      </c>
      <c r="T21" s="33">
        <f>+'Anexo 14'!T21*'Anexo 7'!$D$10</f>
        <v>0</v>
      </c>
      <c r="U21" s="33">
        <f>+'Anexo 14'!U21*'Anexo 7'!$D$10</f>
        <v>0</v>
      </c>
      <c r="V21" s="33">
        <f>+'Anexo 14'!V21*'Anexo 7'!$D$10</f>
        <v>0</v>
      </c>
      <c r="W21" s="33">
        <f>+'Anexo 14'!W21*'Anexo 7'!$D$10</f>
        <v>0</v>
      </c>
      <c r="X21" s="33">
        <f>+'Anexo 14'!X21*'Anexo 7'!$D$10</f>
        <v>0</v>
      </c>
      <c r="Y21" s="33">
        <f>+'Anexo 14'!Y21*'Anexo 7'!$D$10</f>
        <v>0</v>
      </c>
      <c r="Z21" s="33">
        <f>+'Anexo 14'!Z21*'Anexo 7'!$D$10</f>
        <v>0</v>
      </c>
      <c r="AA21" s="35">
        <f t="shared" si="0"/>
        <v>0</v>
      </c>
      <c r="AB21" s="19">
        <v>21</v>
      </c>
      <c r="AC21" s="79">
        <f>+AA21*AB21+AA22*AB22+AA23*AB23</f>
        <v>0</v>
      </c>
    </row>
    <row r="22" spans="1:30" ht="15.75" thickBot="1" x14ac:dyDescent="0.3">
      <c r="A22" s="78"/>
      <c r="B22" s="20" t="s">
        <v>7</v>
      </c>
      <c r="C22" s="33">
        <f>+'Anexo 14'!C22*'Anexo 7'!$D$10</f>
        <v>0</v>
      </c>
      <c r="D22" s="33">
        <f>+'Anexo 14'!D22*'Anexo 7'!$D$10</f>
        <v>0</v>
      </c>
      <c r="E22" s="33">
        <f>+'Anexo 14'!E22*'Anexo 7'!$D$10</f>
        <v>0</v>
      </c>
      <c r="F22" s="33">
        <f>+'Anexo 14'!F22*'Anexo 7'!$D$10</f>
        <v>0</v>
      </c>
      <c r="G22" s="33">
        <f>+'Anexo 14'!G22*'Anexo 7'!$D$10</f>
        <v>0</v>
      </c>
      <c r="H22" s="33">
        <f>+'Anexo 14'!H22*'Anexo 7'!$D$10</f>
        <v>0</v>
      </c>
      <c r="I22" s="33">
        <f>+'Anexo 14'!I22*'Anexo 7'!$D$10</f>
        <v>0</v>
      </c>
      <c r="J22" s="33">
        <f>+'Anexo 14'!J22*'Anexo 7'!$D$10</f>
        <v>0</v>
      </c>
      <c r="K22" s="33">
        <f>+'Anexo 14'!K22*'Anexo 7'!$D$10</f>
        <v>0</v>
      </c>
      <c r="L22" s="33">
        <f>+'Anexo 14'!L22*'Anexo 7'!$D$10</f>
        <v>0</v>
      </c>
      <c r="M22" s="33">
        <f>+'Anexo 14'!M22*'Anexo 7'!$D$10</f>
        <v>0</v>
      </c>
      <c r="N22" s="33">
        <f>+'Anexo 14'!N22*'Anexo 7'!$D$10</f>
        <v>0</v>
      </c>
      <c r="O22" s="33">
        <f>+'Anexo 14'!O22*'Anexo 7'!$D$10</f>
        <v>0</v>
      </c>
      <c r="P22" s="33">
        <f>+'Anexo 14'!P22*'Anexo 7'!$D$10</f>
        <v>0</v>
      </c>
      <c r="Q22" s="33">
        <f>+'Anexo 14'!Q22*'Anexo 7'!$D$10</f>
        <v>0</v>
      </c>
      <c r="R22" s="33">
        <f>+'Anexo 14'!R22*'Anexo 7'!$D$10</f>
        <v>0</v>
      </c>
      <c r="S22" s="33">
        <f>+'Anexo 14'!S22*'Anexo 7'!$D$10</f>
        <v>0</v>
      </c>
      <c r="T22" s="33">
        <f>+'Anexo 14'!T22*'Anexo 7'!$D$10</f>
        <v>0</v>
      </c>
      <c r="U22" s="33">
        <f>+'Anexo 14'!U22*'Anexo 7'!$D$10</f>
        <v>0</v>
      </c>
      <c r="V22" s="33">
        <f>+'Anexo 14'!V22*'Anexo 7'!$D$10</f>
        <v>0</v>
      </c>
      <c r="W22" s="33">
        <f>+'Anexo 14'!W22*'Anexo 7'!$D$10</f>
        <v>0</v>
      </c>
      <c r="X22" s="33">
        <f>+'Anexo 14'!X22*'Anexo 7'!$D$10</f>
        <v>0</v>
      </c>
      <c r="Y22" s="33">
        <f>+'Anexo 14'!Y22*'Anexo 7'!$D$10</f>
        <v>0</v>
      </c>
      <c r="Z22" s="33">
        <f>+'Anexo 14'!Z22*'Anexo 7'!$D$10</f>
        <v>0</v>
      </c>
      <c r="AA22" s="38">
        <f t="shared" si="0"/>
        <v>0</v>
      </c>
      <c r="AB22" s="21">
        <v>4</v>
      </c>
      <c r="AC22" s="80"/>
      <c r="AD22" s="47"/>
    </row>
    <row r="23" spans="1:30" ht="15.75" thickBot="1" x14ac:dyDescent="0.3">
      <c r="A23" s="78"/>
      <c r="B23" s="22" t="s">
        <v>6</v>
      </c>
      <c r="C23" s="33">
        <f>+'Anexo 14'!C23*'Anexo 7'!$D$10</f>
        <v>0</v>
      </c>
      <c r="D23" s="33">
        <f>+'Anexo 14'!D23*'Anexo 7'!$D$10</f>
        <v>0</v>
      </c>
      <c r="E23" s="33">
        <f>+'Anexo 14'!E23*'Anexo 7'!$D$10</f>
        <v>0</v>
      </c>
      <c r="F23" s="33">
        <f>+'Anexo 14'!F23*'Anexo 7'!$D$10</f>
        <v>0</v>
      </c>
      <c r="G23" s="33">
        <f>+'Anexo 14'!G23*'Anexo 7'!$D$10</f>
        <v>0</v>
      </c>
      <c r="H23" s="33">
        <f>+'Anexo 14'!H23*'Anexo 7'!$D$10</f>
        <v>0</v>
      </c>
      <c r="I23" s="33">
        <f>+'Anexo 14'!I23*'Anexo 7'!$D$10</f>
        <v>0</v>
      </c>
      <c r="J23" s="33">
        <f>+'Anexo 14'!J23*'Anexo 7'!$D$10</f>
        <v>0</v>
      </c>
      <c r="K23" s="33">
        <f>+'Anexo 14'!K23*'Anexo 7'!$D$10</f>
        <v>0</v>
      </c>
      <c r="L23" s="33">
        <f>+'Anexo 14'!L23*'Anexo 7'!$D$10</f>
        <v>0</v>
      </c>
      <c r="M23" s="33">
        <f>+'Anexo 14'!M23*'Anexo 7'!$D$10</f>
        <v>0</v>
      </c>
      <c r="N23" s="33">
        <f>+'Anexo 14'!N23*'Anexo 7'!$D$10</f>
        <v>0</v>
      </c>
      <c r="O23" s="33">
        <f>+'Anexo 14'!O23*'Anexo 7'!$D$10</f>
        <v>0</v>
      </c>
      <c r="P23" s="33">
        <f>+'Anexo 14'!P23*'Anexo 7'!$D$10</f>
        <v>0</v>
      </c>
      <c r="Q23" s="33">
        <f>+'Anexo 14'!Q23*'Anexo 7'!$D$10</f>
        <v>0</v>
      </c>
      <c r="R23" s="33">
        <f>+'Anexo 14'!R23*'Anexo 7'!$D$10</f>
        <v>0</v>
      </c>
      <c r="S23" s="33">
        <f>+'Anexo 14'!S23*'Anexo 7'!$D$10</f>
        <v>0</v>
      </c>
      <c r="T23" s="33">
        <f>+'Anexo 14'!T23*'Anexo 7'!$D$10</f>
        <v>0</v>
      </c>
      <c r="U23" s="33">
        <f>+'Anexo 14'!U23*'Anexo 7'!$D$10</f>
        <v>0</v>
      </c>
      <c r="V23" s="33">
        <f>+'Anexo 14'!V23*'Anexo 7'!$D$10</f>
        <v>0</v>
      </c>
      <c r="W23" s="33">
        <f>+'Anexo 14'!W23*'Anexo 7'!$D$10</f>
        <v>0</v>
      </c>
      <c r="X23" s="33">
        <f>+'Anexo 14'!X23*'Anexo 7'!$D$10</f>
        <v>0</v>
      </c>
      <c r="Y23" s="33">
        <f>+'Anexo 14'!Y23*'Anexo 7'!$D$10</f>
        <v>0</v>
      </c>
      <c r="Z23" s="33">
        <f>+'Anexo 14'!Z23*'Anexo 7'!$D$10</f>
        <v>0</v>
      </c>
      <c r="AA23" s="41">
        <f t="shared" si="0"/>
        <v>0</v>
      </c>
      <c r="AB23" s="23">
        <v>5</v>
      </c>
      <c r="AC23" s="81"/>
      <c r="AD23" s="48"/>
    </row>
    <row r="24" spans="1:30" ht="15.75" thickBot="1" x14ac:dyDescent="0.3">
      <c r="A24" s="78">
        <v>48396</v>
      </c>
      <c r="B24" s="18" t="s">
        <v>8</v>
      </c>
      <c r="C24" s="33">
        <f>+'Anexo 14'!C24*'Anexo 7'!$D$10</f>
        <v>0</v>
      </c>
      <c r="D24" s="33">
        <f>+'Anexo 14'!D24*'Anexo 7'!$D$10</f>
        <v>0</v>
      </c>
      <c r="E24" s="33">
        <f>+'Anexo 14'!E24*'Anexo 7'!$D$10</f>
        <v>0</v>
      </c>
      <c r="F24" s="33">
        <f>+'Anexo 14'!F24*'Anexo 7'!$D$10</f>
        <v>0</v>
      </c>
      <c r="G24" s="33">
        <f>+'Anexo 14'!G24*'Anexo 7'!$D$10</f>
        <v>0</v>
      </c>
      <c r="H24" s="33">
        <f>+'Anexo 14'!H24*'Anexo 7'!$D$10</f>
        <v>0</v>
      </c>
      <c r="I24" s="33">
        <f>+'Anexo 14'!I24*'Anexo 7'!$D$10</f>
        <v>0</v>
      </c>
      <c r="J24" s="33">
        <f>+'Anexo 14'!J24*'Anexo 7'!$D$10</f>
        <v>0</v>
      </c>
      <c r="K24" s="33">
        <f>+'Anexo 14'!K24*'Anexo 7'!$D$10</f>
        <v>0</v>
      </c>
      <c r="L24" s="33">
        <f>+'Anexo 14'!L24*'Anexo 7'!$D$10</f>
        <v>0</v>
      </c>
      <c r="M24" s="33">
        <f>+'Anexo 14'!M24*'Anexo 7'!$D$10</f>
        <v>0</v>
      </c>
      <c r="N24" s="33">
        <f>+'Anexo 14'!N24*'Anexo 7'!$D$10</f>
        <v>0</v>
      </c>
      <c r="O24" s="33">
        <f>+'Anexo 14'!O24*'Anexo 7'!$D$10</f>
        <v>0</v>
      </c>
      <c r="P24" s="33">
        <f>+'Anexo 14'!P24*'Anexo 7'!$D$10</f>
        <v>0</v>
      </c>
      <c r="Q24" s="33">
        <f>+'Anexo 14'!Q24*'Anexo 7'!$D$10</f>
        <v>0</v>
      </c>
      <c r="R24" s="33">
        <f>+'Anexo 14'!R24*'Anexo 7'!$D$10</f>
        <v>0</v>
      </c>
      <c r="S24" s="33">
        <f>+'Anexo 14'!S24*'Anexo 7'!$D$10</f>
        <v>0</v>
      </c>
      <c r="T24" s="33">
        <f>+'Anexo 14'!T24*'Anexo 7'!$D$10</f>
        <v>0</v>
      </c>
      <c r="U24" s="33">
        <f>+'Anexo 14'!U24*'Anexo 7'!$D$10</f>
        <v>0</v>
      </c>
      <c r="V24" s="33">
        <f>+'Anexo 14'!V24*'Anexo 7'!$D$10</f>
        <v>0</v>
      </c>
      <c r="W24" s="33">
        <f>+'Anexo 14'!W24*'Anexo 7'!$D$10</f>
        <v>0</v>
      </c>
      <c r="X24" s="33">
        <f>+'Anexo 14'!X24*'Anexo 7'!$D$10</f>
        <v>0</v>
      </c>
      <c r="Y24" s="33">
        <f>+'Anexo 14'!Y24*'Anexo 7'!$D$10</f>
        <v>0</v>
      </c>
      <c r="Z24" s="33">
        <f>+'Anexo 14'!Z24*'Anexo 7'!$D$10</f>
        <v>0</v>
      </c>
      <c r="AA24" s="35">
        <f t="shared" si="0"/>
        <v>0</v>
      </c>
      <c r="AB24" s="19">
        <v>20</v>
      </c>
      <c r="AC24" s="79">
        <f>+AA24*AB24+AA25*AB25+AA26*AB26</f>
        <v>0</v>
      </c>
    </row>
    <row r="25" spans="1:30" ht="15.75" thickBot="1" x14ac:dyDescent="0.3">
      <c r="A25" s="78"/>
      <c r="B25" s="20" t="s">
        <v>7</v>
      </c>
      <c r="C25" s="33">
        <f>+'Anexo 14'!C25*'Anexo 7'!$D$10</f>
        <v>0</v>
      </c>
      <c r="D25" s="33">
        <f>+'Anexo 14'!D25*'Anexo 7'!$D$10</f>
        <v>0</v>
      </c>
      <c r="E25" s="33">
        <f>+'Anexo 14'!E25*'Anexo 7'!$D$10</f>
        <v>0</v>
      </c>
      <c r="F25" s="33">
        <f>+'Anexo 14'!F25*'Anexo 7'!$D$10</f>
        <v>0</v>
      </c>
      <c r="G25" s="33">
        <f>+'Anexo 14'!G25*'Anexo 7'!$D$10</f>
        <v>0</v>
      </c>
      <c r="H25" s="33">
        <f>+'Anexo 14'!H25*'Anexo 7'!$D$10</f>
        <v>0</v>
      </c>
      <c r="I25" s="33">
        <f>+'Anexo 14'!I25*'Anexo 7'!$D$10</f>
        <v>0</v>
      </c>
      <c r="J25" s="33">
        <f>+'Anexo 14'!J25*'Anexo 7'!$D$10</f>
        <v>0</v>
      </c>
      <c r="K25" s="33">
        <f>+'Anexo 14'!K25*'Anexo 7'!$D$10</f>
        <v>0</v>
      </c>
      <c r="L25" s="33">
        <f>+'Anexo 14'!L25*'Anexo 7'!$D$10</f>
        <v>0</v>
      </c>
      <c r="M25" s="33">
        <f>+'Anexo 14'!M25*'Anexo 7'!$D$10</f>
        <v>0</v>
      </c>
      <c r="N25" s="33">
        <f>+'Anexo 14'!N25*'Anexo 7'!$D$10</f>
        <v>0</v>
      </c>
      <c r="O25" s="33">
        <f>+'Anexo 14'!O25*'Anexo 7'!$D$10</f>
        <v>0</v>
      </c>
      <c r="P25" s="33">
        <f>+'Anexo 14'!P25*'Anexo 7'!$D$10</f>
        <v>0</v>
      </c>
      <c r="Q25" s="33">
        <f>+'Anexo 14'!Q25*'Anexo 7'!$D$10</f>
        <v>0</v>
      </c>
      <c r="R25" s="33">
        <f>+'Anexo 14'!R25*'Anexo 7'!$D$10</f>
        <v>0</v>
      </c>
      <c r="S25" s="33">
        <f>+'Anexo 14'!S25*'Anexo 7'!$D$10</f>
        <v>0</v>
      </c>
      <c r="T25" s="33">
        <f>+'Anexo 14'!T25*'Anexo 7'!$D$10</f>
        <v>0</v>
      </c>
      <c r="U25" s="33">
        <f>+'Anexo 14'!U25*'Anexo 7'!$D$10</f>
        <v>0</v>
      </c>
      <c r="V25" s="33">
        <f>+'Anexo 14'!V25*'Anexo 7'!$D$10</f>
        <v>0</v>
      </c>
      <c r="W25" s="33">
        <f>+'Anexo 14'!W25*'Anexo 7'!$D$10</f>
        <v>0</v>
      </c>
      <c r="X25" s="33">
        <f>+'Anexo 14'!X25*'Anexo 7'!$D$10</f>
        <v>0</v>
      </c>
      <c r="Y25" s="33">
        <f>+'Anexo 14'!Y25*'Anexo 7'!$D$10</f>
        <v>0</v>
      </c>
      <c r="Z25" s="33">
        <f>+'Anexo 14'!Z25*'Anexo 7'!$D$10</f>
        <v>0</v>
      </c>
      <c r="AA25" s="38">
        <f t="shared" si="0"/>
        <v>0</v>
      </c>
      <c r="AB25" s="21">
        <v>5</v>
      </c>
      <c r="AC25" s="80"/>
      <c r="AD25" s="47"/>
    </row>
    <row r="26" spans="1:30" ht="15.75" thickBot="1" x14ac:dyDescent="0.3">
      <c r="A26" s="78"/>
      <c r="B26" s="22" t="s">
        <v>6</v>
      </c>
      <c r="C26" s="33">
        <f>+'Anexo 14'!C26*'Anexo 7'!$D$10</f>
        <v>0</v>
      </c>
      <c r="D26" s="33">
        <f>+'Anexo 14'!D26*'Anexo 7'!$D$10</f>
        <v>0</v>
      </c>
      <c r="E26" s="33">
        <f>+'Anexo 14'!E26*'Anexo 7'!$D$10</f>
        <v>0</v>
      </c>
      <c r="F26" s="33">
        <f>+'Anexo 14'!F26*'Anexo 7'!$D$10</f>
        <v>0</v>
      </c>
      <c r="G26" s="33">
        <f>+'Anexo 14'!G26*'Anexo 7'!$D$10</f>
        <v>0</v>
      </c>
      <c r="H26" s="33">
        <f>+'Anexo 14'!H26*'Anexo 7'!$D$10</f>
        <v>0</v>
      </c>
      <c r="I26" s="33">
        <f>+'Anexo 14'!I26*'Anexo 7'!$D$10</f>
        <v>0</v>
      </c>
      <c r="J26" s="33">
        <f>+'Anexo 14'!J26*'Anexo 7'!$D$10</f>
        <v>0</v>
      </c>
      <c r="K26" s="33">
        <f>+'Anexo 14'!K26*'Anexo 7'!$D$10</f>
        <v>0</v>
      </c>
      <c r="L26" s="33">
        <f>+'Anexo 14'!L26*'Anexo 7'!$D$10</f>
        <v>0</v>
      </c>
      <c r="M26" s="33">
        <f>+'Anexo 14'!M26*'Anexo 7'!$D$10</f>
        <v>0</v>
      </c>
      <c r="N26" s="33">
        <f>+'Anexo 14'!N26*'Anexo 7'!$D$10</f>
        <v>0</v>
      </c>
      <c r="O26" s="33">
        <f>+'Anexo 14'!O26*'Anexo 7'!$D$10</f>
        <v>0</v>
      </c>
      <c r="P26" s="33">
        <f>+'Anexo 14'!P26*'Anexo 7'!$D$10</f>
        <v>0</v>
      </c>
      <c r="Q26" s="33">
        <f>+'Anexo 14'!Q26*'Anexo 7'!$D$10</f>
        <v>0</v>
      </c>
      <c r="R26" s="33">
        <f>+'Anexo 14'!R26*'Anexo 7'!$D$10</f>
        <v>0</v>
      </c>
      <c r="S26" s="33">
        <f>+'Anexo 14'!S26*'Anexo 7'!$D$10</f>
        <v>0</v>
      </c>
      <c r="T26" s="33">
        <f>+'Anexo 14'!T26*'Anexo 7'!$D$10</f>
        <v>0</v>
      </c>
      <c r="U26" s="33">
        <f>+'Anexo 14'!U26*'Anexo 7'!$D$10</f>
        <v>0</v>
      </c>
      <c r="V26" s="33">
        <f>+'Anexo 14'!V26*'Anexo 7'!$D$10</f>
        <v>0</v>
      </c>
      <c r="W26" s="33">
        <f>+'Anexo 14'!W26*'Anexo 7'!$D$10</f>
        <v>0</v>
      </c>
      <c r="X26" s="33">
        <f>+'Anexo 14'!X26*'Anexo 7'!$D$10</f>
        <v>0</v>
      </c>
      <c r="Y26" s="33">
        <f>+'Anexo 14'!Y26*'Anexo 7'!$D$10</f>
        <v>0</v>
      </c>
      <c r="Z26" s="33">
        <f>+'Anexo 14'!Z26*'Anexo 7'!$D$10</f>
        <v>0</v>
      </c>
      <c r="AA26" s="41">
        <f t="shared" si="0"/>
        <v>0</v>
      </c>
      <c r="AB26" s="23">
        <v>6</v>
      </c>
      <c r="AC26" s="81"/>
      <c r="AD26" s="48"/>
    </row>
    <row r="27" spans="1:30" ht="15.75" thickBot="1" x14ac:dyDescent="0.3">
      <c r="A27" s="78">
        <v>48427</v>
      </c>
      <c r="B27" s="18" t="s">
        <v>8</v>
      </c>
      <c r="C27" s="33">
        <f>+'Anexo 14'!C27*'Anexo 7'!$D$10</f>
        <v>0</v>
      </c>
      <c r="D27" s="33">
        <f>+'Anexo 14'!D27*'Anexo 7'!$D$10</f>
        <v>0</v>
      </c>
      <c r="E27" s="33">
        <f>+'Anexo 14'!E27*'Anexo 7'!$D$10</f>
        <v>0</v>
      </c>
      <c r="F27" s="33">
        <f>+'Anexo 14'!F27*'Anexo 7'!$D$10</f>
        <v>0</v>
      </c>
      <c r="G27" s="33">
        <f>+'Anexo 14'!G27*'Anexo 7'!$D$10</f>
        <v>0</v>
      </c>
      <c r="H27" s="33">
        <f>+'Anexo 14'!H27*'Anexo 7'!$D$10</f>
        <v>0</v>
      </c>
      <c r="I27" s="33">
        <f>+'Anexo 14'!I27*'Anexo 7'!$D$10</f>
        <v>0</v>
      </c>
      <c r="J27" s="33">
        <f>+'Anexo 14'!J27*'Anexo 7'!$D$10</f>
        <v>0</v>
      </c>
      <c r="K27" s="33">
        <f>+'Anexo 14'!K27*'Anexo 7'!$D$10</f>
        <v>0</v>
      </c>
      <c r="L27" s="33">
        <f>+'Anexo 14'!L27*'Anexo 7'!$D$10</f>
        <v>0</v>
      </c>
      <c r="M27" s="33">
        <f>+'Anexo 14'!M27*'Anexo 7'!$D$10</f>
        <v>0</v>
      </c>
      <c r="N27" s="33">
        <f>+'Anexo 14'!N27*'Anexo 7'!$D$10</f>
        <v>0</v>
      </c>
      <c r="O27" s="33">
        <f>+'Anexo 14'!O27*'Anexo 7'!$D$10</f>
        <v>0</v>
      </c>
      <c r="P27" s="33">
        <f>+'Anexo 14'!P27*'Anexo 7'!$D$10</f>
        <v>0</v>
      </c>
      <c r="Q27" s="33">
        <f>+'Anexo 14'!Q27*'Anexo 7'!$D$10</f>
        <v>0</v>
      </c>
      <c r="R27" s="33">
        <f>+'Anexo 14'!R27*'Anexo 7'!$D$10</f>
        <v>0</v>
      </c>
      <c r="S27" s="33">
        <f>+'Anexo 14'!S27*'Anexo 7'!$D$10</f>
        <v>0</v>
      </c>
      <c r="T27" s="33">
        <f>+'Anexo 14'!T27*'Anexo 7'!$D$10</f>
        <v>0</v>
      </c>
      <c r="U27" s="33">
        <f>+'Anexo 14'!U27*'Anexo 7'!$D$10</f>
        <v>0</v>
      </c>
      <c r="V27" s="33">
        <f>+'Anexo 14'!V27*'Anexo 7'!$D$10</f>
        <v>0</v>
      </c>
      <c r="W27" s="33">
        <f>+'Anexo 14'!W27*'Anexo 7'!$D$10</f>
        <v>0</v>
      </c>
      <c r="X27" s="33">
        <f>+'Anexo 14'!X27*'Anexo 7'!$D$10</f>
        <v>0</v>
      </c>
      <c r="Y27" s="33">
        <f>+'Anexo 14'!Y27*'Anexo 7'!$D$10</f>
        <v>0</v>
      </c>
      <c r="Z27" s="33">
        <f>+'Anexo 14'!Z27*'Anexo 7'!$D$10</f>
        <v>0</v>
      </c>
      <c r="AA27" s="35">
        <f t="shared" si="0"/>
        <v>0</v>
      </c>
      <c r="AB27" s="19">
        <v>21</v>
      </c>
      <c r="AC27" s="79">
        <f>+AA27*AB27+AA28*AB28+AA29*AB29</f>
        <v>0</v>
      </c>
    </row>
    <row r="28" spans="1:30" ht="15.75" thickBot="1" x14ac:dyDescent="0.3">
      <c r="A28" s="78"/>
      <c r="B28" s="20" t="s">
        <v>7</v>
      </c>
      <c r="C28" s="33">
        <f>+'Anexo 14'!C28*'Anexo 7'!$D$10</f>
        <v>0</v>
      </c>
      <c r="D28" s="33">
        <f>+'Anexo 14'!D28*'Anexo 7'!$D$10</f>
        <v>0</v>
      </c>
      <c r="E28" s="33">
        <f>+'Anexo 14'!E28*'Anexo 7'!$D$10</f>
        <v>0</v>
      </c>
      <c r="F28" s="33">
        <f>+'Anexo 14'!F28*'Anexo 7'!$D$10</f>
        <v>0</v>
      </c>
      <c r="G28" s="33">
        <f>+'Anexo 14'!G28*'Anexo 7'!$D$10</f>
        <v>0</v>
      </c>
      <c r="H28" s="33">
        <f>+'Anexo 14'!H28*'Anexo 7'!$D$10</f>
        <v>0</v>
      </c>
      <c r="I28" s="33">
        <f>+'Anexo 14'!I28*'Anexo 7'!$D$10</f>
        <v>0</v>
      </c>
      <c r="J28" s="33">
        <f>+'Anexo 14'!J28*'Anexo 7'!$D$10</f>
        <v>0</v>
      </c>
      <c r="K28" s="33">
        <f>+'Anexo 14'!K28*'Anexo 7'!$D$10</f>
        <v>0</v>
      </c>
      <c r="L28" s="33">
        <f>+'Anexo 14'!L28*'Anexo 7'!$D$10</f>
        <v>0</v>
      </c>
      <c r="M28" s="33">
        <f>+'Anexo 14'!M28*'Anexo 7'!$D$10</f>
        <v>0</v>
      </c>
      <c r="N28" s="33">
        <f>+'Anexo 14'!N28*'Anexo 7'!$D$10</f>
        <v>0</v>
      </c>
      <c r="O28" s="33">
        <f>+'Anexo 14'!O28*'Anexo 7'!$D$10</f>
        <v>0</v>
      </c>
      <c r="P28" s="33">
        <f>+'Anexo 14'!P28*'Anexo 7'!$D$10</f>
        <v>0</v>
      </c>
      <c r="Q28" s="33">
        <f>+'Anexo 14'!Q28*'Anexo 7'!$D$10</f>
        <v>0</v>
      </c>
      <c r="R28" s="33">
        <f>+'Anexo 14'!R28*'Anexo 7'!$D$10</f>
        <v>0</v>
      </c>
      <c r="S28" s="33">
        <f>+'Anexo 14'!S28*'Anexo 7'!$D$10</f>
        <v>0</v>
      </c>
      <c r="T28" s="33">
        <f>+'Anexo 14'!T28*'Anexo 7'!$D$10</f>
        <v>0</v>
      </c>
      <c r="U28" s="33">
        <f>+'Anexo 14'!U28*'Anexo 7'!$D$10</f>
        <v>0</v>
      </c>
      <c r="V28" s="33">
        <f>+'Anexo 14'!V28*'Anexo 7'!$D$10</f>
        <v>0</v>
      </c>
      <c r="W28" s="33">
        <f>+'Anexo 14'!W28*'Anexo 7'!$D$10</f>
        <v>0</v>
      </c>
      <c r="X28" s="33">
        <f>+'Anexo 14'!X28*'Anexo 7'!$D$10</f>
        <v>0</v>
      </c>
      <c r="Y28" s="33">
        <f>+'Anexo 14'!Y28*'Anexo 7'!$D$10</f>
        <v>0</v>
      </c>
      <c r="Z28" s="33">
        <f>+'Anexo 14'!Z28*'Anexo 7'!$D$10</f>
        <v>0</v>
      </c>
      <c r="AA28" s="38">
        <f t="shared" si="0"/>
        <v>0</v>
      </c>
      <c r="AB28" s="21">
        <v>3</v>
      </c>
      <c r="AC28" s="80"/>
      <c r="AD28" s="47"/>
    </row>
    <row r="29" spans="1:30" ht="15.75" thickBot="1" x14ac:dyDescent="0.3">
      <c r="A29" s="78"/>
      <c r="B29" s="22" t="s">
        <v>6</v>
      </c>
      <c r="C29" s="33">
        <f>+'Anexo 14'!C29*'Anexo 7'!$D$10</f>
        <v>0</v>
      </c>
      <c r="D29" s="33">
        <f>+'Anexo 14'!D29*'Anexo 7'!$D$10</f>
        <v>0</v>
      </c>
      <c r="E29" s="33">
        <f>+'Anexo 14'!E29*'Anexo 7'!$D$10</f>
        <v>0</v>
      </c>
      <c r="F29" s="33">
        <f>+'Anexo 14'!F29*'Anexo 7'!$D$10</f>
        <v>0</v>
      </c>
      <c r="G29" s="33">
        <f>+'Anexo 14'!G29*'Anexo 7'!$D$10</f>
        <v>0</v>
      </c>
      <c r="H29" s="33">
        <f>+'Anexo 14'!H29*'Anexo 7'!$D$10</f>
        <v>0</v>
      </c>
      <c r="I29" s="33">
        <f>+'Anexo 14'!I29*'Anexo 7'!$D$10</f>
        <v>0</v>
      </c>
      <c r="J29" s="33">
        <f>+'Anexo 14'!J29*'Anexo 7'!$D$10</f>
        <v>0</v>
      </c>
      <c r="K29" s="33">
        <f>+'Anexo 14'!K29*'Anexo 7'!$D$10</f>
        <v>0</v>
      </c>
      <c r="L29" s="33">
        <f>+'Anexo 14'!L29*'Anexo 7'!$D$10</f>
        <v>0</v>
      </c>
      <c r="M29" s="33">
        <f>+'Anexo 14'!M29*'Anexo 7'!$D$10</f>
        <v>0</v>
      </c>
      <c r="N29" s="33">
        <f>+'Anexo 14'!N29*'Anexo 7'!$D$10</f>
        <v>0</v>
      </c>
      <c r="O29" s="33">
        <f>+'Anexo 14'!O29*'Anexo 7'!$D$10</f>
        <v>0</v>
      </c>
      <c r="P29" s="33">
        <f>+'Anexo 14'!P29*'Anexo 7'!$D$10</f>
        <v>0</v>
      </c>
      <c r="Q29" s="33">
        <f>+'Anexo 14'!Q29*'Anexo 7'!$D$10</f>
        <v>0</v>
      </c>
      <c r="R29" s="33">
        <f>+'Anexo 14'!R29*'Anexo 7'!$D$10</f>
        <v>0</v>
      </c>
      <c r="S29" s="33">
        <f>+'Anexo 14'!S29*'Anexo 7'!$D$10</f>
        <v>0</v>
      </c>
      <c r="T29" s="33">
        <f>+'Anexo 14'!T29*'Anexo 7'!$D$10</f>
        <v>0</v>
      </c>
      <c r="U29" s="33">
        <f>+'Anexo 14'!U29*'Anexo 7'!$D$10</f>
        <v>0</v>
      </c>
      <c r="V29" s="33">
        <f>+'Anexo 14'!V29*'Anexo 7'!$D$10</f>
        <v>0</v>
      </c>
      <c r="W29" s="33">
        <f>+'Anexo 14'!W29*'Anexo 7'!$D$10</f>
        <v>0</v>
      </c>
      <c r="X29" s="33">
        <f>+'Anexo 14'!X29*'Anexo 7'!$D$10</f>
        <v>0</v>
      </c>
      <c r="Y29" s="33">
        <f>+'Anexo 14'!Y29*'Anexo 7'!$D$10</f>
        <v>0</v>
      </c>
      <c r="Z29" s="33">
        <f>+'Anexo 14'!Z29*'Anexo 7'!$D$10</f>
        <v>0</v>
      </c>
      <c r="AA29" s="41">
        <f t="shared" si="0"/>
        <v>0</v>
      </c>
      <c r="AB29" s="23">
        <v>7</v>
      </c>
      <c r="AC29" s="81"/>
      <c r="AD29" s="49"/>
    </row>
    <row r="30" spans="1:30" ht="15.75" thickBot="1" x14ac:dyDescent="0.3">
      <c r="A30" s="78">
        <v>48458</v>
      </c>
      <c r="B30" s="18" t="s">
        <v>8</v>
      </c>
      <c r="C30" s="33">
        <f>+'Anexo 14'!C30*'Anexo 7'!$D$10</f>
        <v>0</v>
      </c>
      <c r="D30" s="33">
        <f>+'Anexo 14'!D30*'Anexo 7'!$D$10</f>
        <v>0</v>
      </c>
      <c r="E30" s="33">
        <f>+'Anexo 14'!E30*'Anexo 7'!$D$10</f>
        <v>0</v>
      </c>
      <c r="F30" s="33">
        <f>+'Anexo 14'!F30*'Anexo 7'!$D$10</f>
        <v>0</v>
      </c>
      <c r="G30" s="33">
        <f>+'Anexo 14'!G30*'Anexo 7'!$D$10</f>
        <v>0</v>
      </c>
      <c r="H30" s="33">
        <f>+'Anexo 14'!H30*'Anexo 7'!$D$10</f>
        <v>0</v>
      </c>
      <c r="I30" s="33">
        <f>+'Anexo 14'!I30*'Anexo 7'!$D$10</f>
        <v>0</v>
      </c>
      <c r="J30" s="33">
        <f>+'Anexo 14'!J30*'Anexo 7'!$D$10</f>
        <v>0</v>
      </c>
      <c r="K30" s="33">
        <f>+'Anexo 14'!K30*'Anexo 7'!$D$10</f>
        <v>0</v>
      </c>
      <c r="L30" s="33">
        <f>+'Anexo 14'!L30*'Anexo 7'!$D$10</f>
        <v>0</v>
      </c>
      <c r="M30" s="33">
        <f>+'Anexo 14'!M30*'Anexo 7'!$D$10</f>
        <v>0</v>
      </c>
      <c r="N30" s="33">
        <f>+'Anexo 14'!N30*'Anexo 7'!$D$10</f>
        <v>0</v>
      </c>
      <c r="O30" s="33">
        <f>+'Anexo 14'!O30*'Anexo 7'!$D$10</f>
        <v>0</v>
      </c>
      <c r="P30" s="33">
        <f>+'Anexo 14'!P30*'Anexo 7'!$D$10</f>
        <v>0</v>
      </c>
      <c r="Q30" s="33">
        <f>+'Anexo 14'!Q30*'Anexo 7'!$D$10</f>
        <v>0</v>
      </c>
      <c r="R30" s="33">
        <f>+'Anexo 14'!R30*'Anexo 7'!$D$10</f>
        <v>0</v>
      </c>
      <c r="S30" s="33">
        <f>+'Anexo 14'!S30*'Anexo 7'!$D$10</f>
        <v>0</v>
      </c>
      <c r="T30" s="33">
        <f>+'Anexo 14'!T30*'Anexo 7'!$D$10</f>
        <v>0</v>
      </c>
      <c r="U30" s="33">
        <f>+'Anexo 14'!U30*'Anexo 7'!$D$10</f>
        <v>0</v>
      </c>
      <c r="V30" s="33">
        <f>+'Anexo 14'!V30*'Anexo 7'!$D$10</f>
        <v>0</v>
      </c>
      <c r="W30" s="33">
        <f>+'Anexo 14'!W30*'Anexo 7'!$D$10</f>
        <v>0</v>
      </c>
      <c r="X30" s="33">
        <f>+'Anexo 14'!X30*'Anexo 7'!$D$10</f>
        <v>0</v>
      </c>
      <c r="Y30" s="33">
        <f>+'Anexo 14'!Y30*'Anexo 7'!$D$10</f>
        <v>0</v>
      </c>
      <c r="Z30" s="33">
        <f>+'Anexo 14'!Z30*'Anexo 7'!$D$10</f>
        <v>0</v>
      </c>
      <c r="AA30" s="35">
        <f t="shared" si="0"/>
        <v>0</v>
      </c>
      <c r="AB30" s="19">
        <v>22</v>
      </c>
      <c r="AC30" s="79">
        <f>+AA30*AB30+AA31*AB31+AA32*AB32</f>
        <v>0</v>
      </c>
    </row>
    <row r="31" spans="1:30" ht="15.75" thickBot="1" x14ac:dyDescent="0.3">
      <c r="A31" s="78"/>
      <c r="B31" s="20" t="s">
        <v>7</v>
      </c>
      <c r="C31" s="33">
        <f>+'Anexo 14'!C31*'Anexo 7'!$D$10</f>
        <v>0</v>
      </c>
      <c r="D31" s="33">
        <f>+'Anexo 14'!D31*'Anexo 7'!$D$10</f>
        <v>0</v>
      </c>
      <c r="E31" s="33">
        <f>+'Anexo 14'!E31*'Anexo 7'!$D$10</f>
        <v>0</v>
      </c>
      <c r="F31" s="33">
        <f>+'Anexo 14'!F31*'Anexo 7'!$D$10</f>
        <v>0</v>
      </c>
      <c r="G31" s="33">
        <f>+'Anexo 14'!G31*'Anexo 7'!$D$10</f>
        <v>0</v>
      </c>
      <c r="H31" s="33">
        <f>+'Anexo 14'!H31*'Anexo 7'!$D$10</f>
        <v>0</v>
      </c>
      <c r="I31" s="33">
        <f>+'Anexo 14'!I31*'Anexo 7'!$D$10</f>
        <v>0</v>
      </c>
      <c r="J31" s="33">
        <f>+'Anexo 14'!J31*'Anexo 7'!$D$10</f>
        <v>0</v>
      </c>
      <c r="K31" s="33">
        <f>+'Anexo 14'!K31*'Anexo 7'!$D$10</f>
        <v>0</v>
      </c>
      <c r="L31" s="33">
        <f>+'Anexo 14'!L31*'Anexo 7'!$D$10</f>
        <v>0</v>
      </c>
      <c r="M31" s="33">
        <f>+'Anexo 14'!M31*'Anexo 7'!$D$10</f>
        <v>0</v>
      </c>
      <c r="N31" s="33">
        <f>+'Anexo 14'!N31*'Anexo 7'!$D$10</f>
        <v>0</v>
      </c>
      <c r="O31" s="33">
        <f>+'Anexo 14'!O31*'Anexo 7'!$D$10</f>
        <v>0</v>
      </c>
      <c r="P31" s="33">
        <f>+'Anexo 14'!P31*'Anexo 7'!$D$10</f>
        <v>0</v>
      </c>
      <c r="Q31" s="33">
        <f>+'Anexo 14'!Q31*'Anexo 7'!$D$10</f>
        <v>0</v>
      </c>
      <c r="R31" s="33">
        <f>+'Anexo 14'!R31*'Anexo 7'!$D$10</f>
        <v>0</v>
      </c>
      <c r="S31" s="33">
        <f>+'Anexo 14'!S31*'Anexo 7'!$D$10</f>
        <v>0</v>
      </c>
      <c r="T31" s="33">
        <f>+'Anexo 14'!T31*'Anexo 7'!$D$10</f>
        <v>0</v>
      </c>
      <c r="U31" s="33">
        <f>+'Anexo 14'!U31*'Anexo 7'!$D$10</f>
        <v>0</v>
      </c>
      <c r="V31" s="33">
        <f>+'Anexo 14'!V31*'Anexo 7'!$D$10</f>
        <v>0</v>
      </c>
      <c r="W31" s="33">
        <f>+'Anexo 14'!W31*'Anexo 7'!$D$10</f>
        <v>0</v>
      </c>
      <c r="X31" s="33">
        <f>+'Anexo 14'!X31*'Anexo 7'!$D$10</f>
        <v>0</v>
      </c>
      <c r="Y31" s="33">
        <f>+'Anexo 14'!Y31*'Anexo 7'!$D$10</f>
        <v>0</v>
      </c>
      <c r="Z31" s="33">
        <f>+'Anexo 14'!Z31*'Anexo 7'!$D$10</f>
        <v>0</v>
      </c>
      <c r="AA31" s="38">
        <f t="shared" si="0"/>
        <v>0</v>
      </c>
      <c r="AB31" s="21">
        <v>4</v>
      </c>
      <c r="AC31" s="80"/>
      <c r="AD31" s="47"/>
    </row>
    <row r="32" spans="1:30" ht="15.75" thickBot="1" x14ac:dyDescent="0.3">
      <c r="A32" s="78"/>
      <c r="B32" s="22" t="s">
        <v>6</v>
      </c>
      <c r="C32" s="33">
        <f>+'Anexo 14'!C32*'Anexo 7'!$D$10</f>
        <v>0</v>
      </c>
      <c r="D32" s="33">
        <f>+'Anexo 14'!D32*'Anexo 7'!$D$10</f>
        <v>0</v>
      </c>
      <c r="E32" s="33">
        <f>+'Anexo 14'!E32*'Anexo 7'!$D$10</f>
        <v>0</v>
      </c>
      <c r="F32" s="33">
        <f>+'Anexo 14'!F32*'Anexo 7'!$D$10</f>
        <v>0</v>
      </c>
      <c r="G32" s="33">
        <f>+'Anexo 14'!G32*'Anexo 7'!$D$10</f>
        <v>0</v>
      </c>
      <c r="H32" s="33">
        <f>+'Anexo 14'!H32*'Anexo 7'!$D$10</f>
        <v>0</v>
      </c>
      <c r="I32" s="33">
        <f>+'Anexo 14'!I32*'Anexo 7'!$D$10</f>
        <v>0</v>
      </c>
      <c r="J32" s="33">
        <f>+'Anexo 14'!J32*'Anexo 7'!$D$10</f>
        <v>0</v>
      </c>
      <c r="K32" s="33">
        <f>+'Anexo 14'!K32*'Anexo 7'!$D$10</f>
        <v>0</v>
      </c>
      <c r="L32" s="33">
        <f>+'Anexo 14'!L32*'Anexo 7'!$D$10</f>
        <v>0</v>
      </c>
      <c r="M32" s="33">
        <f>+'Anexo 14'!M32*'Anexo 7'!$D$10</f>
        <v>0</v>
      </c>
      <c r="N32" s="33">
        <f>+'Anexo 14'!N32*'Anexo 7'!$D$10</f>
        <v>0</v>
      </c>
      <c r="O32" s="33">
        <f>+'Anexo 14'!O32*'Anexo 7'!$D$10</f>
        <v>0</v>
      </c>
      <c r="P32" s="33">
        <f>+'Anexo 14'!P32*'Anexo 7'!$D$10</f>
        <v>0</v>
      </c>
      <c r="Q32" s="33">
        <f>+'Anexo 14'!Q32*'Anexo 7'!$D$10</f>
        <v>0</v>
      </c>
      <c r="R32" s="33">
        <f>+'Anexo 14'!R32*'Anexo 7'!$D$10</f>
        <v>0</v>
      </c>
      <c r="S32" s="33">
        <f>+'Anexo 14'!S32*'Anexo 7'!$D$10</f>
        <v>0</v>
      </c>
      <c r="T32" s="33">
        <f>+'Anexo 14'!T32*'Anexo 7'!$D$10</f>
        <v>0</v>
      </c>
      <c r="U32" s="33">
        <f>+'Anexo 14'!U32*'Anexo 7'!$D$10</f>
        <v>0</v>
      </c>
      <c r="V32" s="33">
        <f>+'Anexo 14'!V32*'Anexo 7'!$D$10</f>
        <v>0</v>
      </c>
      <c r="W32" s="33">
        <f>+'Anexo 14'!W32*'Anexo 7'!$D$10</f>
        <v>0</v>
      </c>
      <c r="X32" s="33">
        <f>+'Anexo 14'!X32*'Anexo 7'!$D$10</f>
        <v>0</v>
      </c>
      <c r="Y32" s="33">
        <f>+'Anexo 14'!Y32*'Anexo 7'!$D$10</f>
        <v>0</v>
      </c>
      <c r="Z32" s="33">
        <f>+'Anexo 14'!Z32*'Anexo 7'!$D$10</f>
        <v>0</v>
      </c>
      <c r="AA32" s="41">
        <f t="shared" si="0"/>
        <v>0</v>
      </c>
      <c r="AB32" s="23">
        <v>4</v>
      </c>
      <c r="AC32" s="81"/>
      <c r="AD32" s="48"/>
    </row>
    <row r="33" spans="1:30" ht="15.75" thickBot="1" x14ac:dyDescent="0.3">
      <c r="A33" s="78">
        <v>48488</v>
      </c>
      <c r="B33" s="18" t="s">
        <v>8</v>
      </c>
      <c r="C33" s="33">
        <f>+'Anexo 14'!C33*'Anexo 7'!$D$10</f>
        <v>0</v>
      </c>
      <c r="D33" s="33">
        <f>+'Anexo 14'!D33*'Anexo 7'!$D$10</f>
        <v>0</v>
      </c>
      <c r="E33" s="33">
        <f>+'Anexo 14'!E33*'Anexo 7'!$D$10</f>
        <v>0</v>
      </c>
      <c r="F33" s="33">
        <f>+'Anexo 14'!F33*'Anexo 7'!$D$10</f>
        <v>0</v>
      </c>
      <c r="G33" s="33">
        <f>+'Anexo 14'!G33*'Anexo 7'!$D$10</f>
        <v>0</v>
      </c>
      <c r="H33" s="33">
        <f>+'Anexo 14'!H33*'Anexo 7'!$D$10</f>
        <v>0</v>
      </c>
      <c r="I33" s="33">
        <f>+'Anexo 14'!I33*'Anexo 7'!$D$10</f>
        <v>0</v>
      </c>
      <c r="J33" s="33">
        <f>+'Anexo 14'!J33*'Anexo 7'!$D$10</f>
        <v>0</v>
      </c>
      <c r="K33" s="33">
        <f>+'Anexo 14'!K33*'Anexo 7'!$D$10</f>
        <v>0</v>
      </c>
      <c r="L33" s="33">
        <f>+'Anexo 14'!L33*'Anexo 7'!$D$10</f>
        <v>0</v>
      </c>
      <c r="M33" s="33">
        <f>+'Anexo 14'!M33*'Anexo 7'!$D$10</f>
        <v>0</v>
      </c>
      <c r="N33" s="33">
        <f>+'Anexo 14'!N33*'Anexo 7'!$D$10</f>
        <v>0</v>
      </c>
      <c r="O33" s="33">
        <f>+'Anexo 14'!O33*'Anexo 7'!$D$10</f>
        <v>0</v>
      </c>
      <c r="P33" s="33">
        <f>+'Anexo 14'!P33*'Anexo 7'!$D$10</f>
        <v>0</v>
      </c>
      <c r="Q33" s="33">
        <f>+'Anexo 14'!Q33*'Anexo 7'!$D$10</f>
        <v>0</v>
      </c>
      <c r="R33" s="33">
        <f>+'Anexo 14'!R33*'Anexo 7'!$D$10</f>
        <v>0</v>
      </c>
      <c r="S33" s="33">
        <f>+'Anexo 14'!S33*'Anexo 7'!$D$10</f>
        <v>0</v>
      </c>
      <c r="T33" s="33">
        <f>+'Anexo 14'!T33*'Anexo 7'!$D$10</f>
        <v>0</v>
      </c>
      <c r="U33" s="33">
        <f>+'Anexo 14'!U33*'Anexo 7'!$D$10</f>
        <v>0</v>
      </c>
      <c r="V33" s="33">
        <f>+'Anexo 14'!V33*'Anexo 7'!$D$10</f>
        <v>0</v>
      </c>
      <c r="W33" s="33">
        <f>+'Anexo 14'!W33*'Anexo 7'!$D$10</f>
        <v>0</v>
      </c>
      <c r="X33" s="33">
        <f>+'Anexo 14'!X33*'Anexo 7'!$D$10</f>
        <v>0</v>
      </c>
      <c r="Y33" s="33">
        <f>+'Anexo 14'!Y33*'Anexo 7'!$D$10</f>
        <v>0</v>
      </c>
      <c r="Z33" s="33">
        <f>+'Anexo 14'!Z33*'Anexo 7'!$D$10</f>
        <v>0</v>
      </c>
      <c r="AA33" s="35">
        <f t="shared" si="0"/>
        <v>0</v>
      </c>
      <c r="AB33" s="19">
        <v>20</v>
      </c>
      <c r="AC33" s="79">
        <f>+AA33*AB33+AA34*AB34+AA35*AB35</f>
        <v>0</v>
      </c>
    </row>
    <row r="34" spans="1:30" ht="15.75" thickBot="1" x14ac:dyDescent="0.3">
      <c r="A34" s="78"/>
      <c r="B34" s="20" t="s">
        <v>7</v>
      </c>
      <c r="C34" s="33">
        <f>+'Anexo 14'!C34*'Anexo 7'!$D$10</f>
        <v>0</v>
      </c>
      <c r="D34" s="33">
        <f>+'Anexo 14'!D34*'Anexo 7'!$D$10</f>
        <v>0</v>
      </c>
      <c r="E34" s="33">
        <f>+'Anexo 14'!E34*'Anexo 7'!$D$10</f>
        <v>0</v>
      </c>
      <c r="F34" s="33">
        <f>+'Anexo 14'!F34*'Anexo 7'!$D$10</f>
        <v>0</v>
      </c>
      <c r="G34" s="33">
        <f>+'Anexo 14'!G34*'Anexo 7'!$D$10</f>
        <v>0</v>
      </c>
      <c r="H34" s="33">
        <f>+'Anexo 14'!H34*'Anexo 7'!$D$10</f>
        <v>0</v>
      </c>
      <c r="I34" s="33">
        <f>+'Anexo 14'!I34*'Anexo 7'!$D$10</f>
        <v>0</v>
      </c>
      <c r="J34" s="33">
        <f>+'Anexo 14'!J34*'Anexo 7'!$D$10</f>
        <v>0</v>
      </c>
      <c r="K34" s="33">
        <f>+'Anexo 14'!K34*'Anexo 7'!$D$10</f>
        <v>0</v>
      </c>
      <c r="L34" s="33">
        <f>+'Anexo 14'!L34*'Anexo 7'!$D$10</f>
        <v>0</v>
      </c>
      <c r="M34" s="33">
        <f>+'Anexo 14'!M34*'Anexo 7'!$D$10</f>
        <v>0</v>
      </c>
      <c r="N34" s="33">
        <f>+'Anexo 14'!N34*'Anexo 7'!$D$10</f>
        <v>0</v>
      </c>
      <c r="O34" s="33">
        <f>+'Anexo 14'!O34*'Anexo 7'!$D$10</f>
        <v>0</v>
      </c>
      <c r="P34" s="33">
        <f>+'Anexo 14'!P34*'Anexo 7'!$D$10</f>
        <v>0</v>
      </c>
      <c r="Q34" s="33">
        <f>+'Anexo 14'!Q34*'Anexo 7'!$D$10</f>
        <v>0</v>
      </c>
      <c r="R34" s="33">
        <f>+'Anexo 14'!R34*'Anexo 7'!$D$10</f>
        <v>0</v>
      </c>
      <c r="S34" s="33">
        <f>+'Anexo 14'!S34*'Anexo 7'!$D$10</f>
        <v>0</v>
      </c>
      <c r="T34" s="33">
        <f>+'Anexo 14'!T34*'Anexo 7'!$D$10</f>
        <v>0</v>
      </c>
      <c r="U34" s="33">
        <f>+'Anexo 14'!U34*'Anexo 7'!$D$10</f>
        <v>0</v>
      </c>
      <c r="V34" s="33">
        <f>+'Anexo 14'!V34*'Anexo 7'!$D$10</f>
        <v>0</v>
      </c>
      <c r="W34" s="33">
        <f>+'Anexo 14'!W34*'Anexo 7'!$D$10</f>
        <v>0</v>
      </c>
      <c r="X34" s="33">
        <f>+'Anexo 14'!X34*'Anexo 7'!$D$10</f>
        <v>0</v>
      </c>
      <c r="Y34" s="33">
        <f>+'Anexo 14'!Y34*'Anexo 7'!$D$10</f>
        <v>0</v>
      </c>
      <c r="Z34" s="33">
        <f>+'Anexo 14'!Z34*'Anexo 7'!$D$10</f>
        <v>0</v>
      </c>
      <c r="AA34" s="38">
        <f t="shared" si="0"/>
        <v>0</v>
      </c>
      <c r="AB34" s="21">
        <v>5</v>
      </c>
      <c r="AC34" s="80"/>
      <c r="AD34" s="47"/>
    </row>
    <row r="35" spans="1:30" ht="15.75" thickBot="1" x14ac:dyDescent="0.3">
      <c r="A35" s="78"/>
      <c r="B35" s="22" t="s">
        <v>6</v>
      </c>
      <c r="C35" s="33">
        <f>+'Anexo 14'!C35*'Anexo 7'!$D$10</f>
        <v>0</v>
      </c>
      <c r="D35" s="33">
        <f>+'Anexo 14'!D35*'Anexo 7'!$D$10</f>
        <v>0</v>
      </c>
      <c r="E35" s="33">
        <f>+'Anexo 14'!E35*'Anexo 7'!$D$10</f>
        <v>0</v>
      </c>
      <c r="F35" s="33">
        <f>+'Anexo 14'!F35*'Anexo 7'!$D$10</f>
        <v>0</v>
      </c>
      <c r="G35" s="33">
        <f>+'Anexo 14'!G35*'Anexo 7'!$D$10</f>
        <v>0</v>
      </c>
      <c r="H35" s="33">
        <f>+'Anexo 14'!H35*'Anexo 7'!$D$10</f>
        <v>0</v>
      </c>
      <c r="I35" s="33">
        <f>+'Anexo 14'!I35*'Anexo 7'!$D$10</f>
        <v>0</v>
      </c>
      <c r="J35" s="33">
        <f>+'Anexo 14'!J35*'Anexo 7'!$D$10</f>
        <v>0</v>
      </c>
      <c r="K35" s="33">
        <f>+'Anexo 14'!K35*'Anexo 7'!$D$10</f>
        <v>0</v>
      </c>
      <c r="L35" s="33">
        <f>+'Anexo 14'!L35*'Anexo 7'!$D$10</f>
        <v>0</v>
      </c>
      <c r="M35" s="33">
        <f>+'Anexo 14'!M35*'Anexo 7'!$D$10</f>
        <v>0</v>
      </c>
      <c r="N35" s="33">
        <f>+'Anexo 14'!N35*'Anexo 7'!$D$10</f>
        <v>0</v>
      </c>
      <c r="O35" s="33">
        <f>+'Anexo 14'!O35*'Anexo 7'!$D$10</f>
        <v>0</v>
      </c>
      <c r="P35" s="33">
        <f>+'Anexo 14'!P35*'Anexo 7'!$D$10</f>
        <v>0</v>
      </c>
      <c r="Q35" s="33">
        <f>+'Anexo 14'!Q35*'Anexo 7'!$D$10</f>
        <v>0</v>
      </c>
      <c r="R35" s="33">
        <f>+'Anexo 14'!R35*'Anexo 7'!$D$10</f>
        <v>0</v>
      </c>
      <c r="S35" s="33">
        <f>+'Anexo 14'!S35*'Anexo 7'!$D$10</f>
        <v>0</v>
      </c>
      <c r="T35" s="33">
        <f>+'Anexo 14'!T35*'Anexo 7'!$D$10</f>
        <v>0</v>
      </c>
      <c r="U35" s="33">
        <f>+'Anexo 14'!U35*'Anexo 7'!$D$10</f>
        <v>0</v>
      </c>
      <c r="V35" s="33">
        <f>+'Anexo 14'!V35*'Anexo 7'!$D$10</f>
        <v>0</v>
      </c>
      <c r="W35" s="33">
        <f>+'Anexo 14'!W35*'Anexo 7'!$D$10</f>
        <v>0</v>
      </c>
      <c r="X35" s="33">
        <f>+'Anexo 14'!X35*'Anexo 7'!$D$10</f>
        <v>0</v>
      </c>
      <c r="Y35" s="33">
        <f>+'Anexo 14'!Y35*'Anexo 7'!$D$10</f>
        <v>0</v>
      </c>
      <c r="Z35" s="33">
        <f>+'Anexo 14'!Z35*'Anexo 7'!$D$10</f>
        <v>0</v>
      </c>
      <c r="AA35" s="41">
        <f t="shared" si="0"/>
        <v>0</v>
      </c>
      <c r="AB35" s="23">
        <v>6</v>
      </c>
      <c r="AC35" s="81"/>
      <c r="AD35" s="48"/>
    </row>
    <row r="36" spans="1:30" ht="15.75" thickBot="1" x14ac:dyDescent="0.3">
      <c r="A36" s="78">
        <v>48519</v>
      </c>
      <c r="B36" s="18" t="s">
        <v>8</v>
      </c>
      <c r="C36" s="33">
        <f>+'Anexo 14'!C36*'Anexo 7'!$D$10</f>
        <v>0</v>
      </c>
      <c r="D36" s="33">
        <f>+'Anexo 14'!D36*'Anexo 7'!$D$10</f>
        <v>0</v>
      </c>
      <c r="E36" s="33">
        <f>+'Anexo 14'!E36*'Anexo 7'!$D$10</f>
        <v>0</v>
      </c>
      <c r="F36" s="33">
        <f>+'Anexo 14'!F36*'Anexo 7'!$D$10</f>
        <v>0</v>
      </c>
      <c r="G36" s="33">
        <f>+'Anexo 14'!G36*'Anexo 7'!$D$10</f>
        <v>0</v>
      </c>
      <c r="H36" s="33">
        <f>+'Anexo 14'!H36*'Anexo 7'!$D$10</f>
        <v>0</v>
      </c>
      <c r="I36" s="33">
        <f>+'Anexo 14'!I36*'Anexo 7'!$D$10</f>
        <v>0</v>
      </c>
      <c r="J36" s="33">
        <f>+'Anexo 14'!J36*'Anexo 7'!$D$10</f>
        <v>0</v>
      </c>
      <c r="K36" s="33">
        <f>+'Anexo 14'!K36*'Anexo 7'!$D$10</f>
        <v>0</v>
      </c>
      <c r="L36" s="33">
        <f>+'Anexo 14'!L36*'Anexo 7'!$D$10</f>
        <v>0</v>
      </c>
      <c r="M36" s="33">
        <f>+'Anexo 14'!M36*'Anexo 7'!$D$10</f>
        <v>0</v>
      </c>
      <c r="N36" s="33">
        <f>+'Anexo 14'!N36*'Anexo 7'!$D$10</f>
        <v>0</v>
      </c>
      <c r="O36" s="33">
        <f>+'Anexo 14'!O36*'Anexo 7'!$D$10</f>
        <v>0</v>
      </c>
      <c r="P36" s="33">
        <f>+'Anexo 14'!P36*'Anexo 7'!$D$10</f>
        <v>0</v>
      </c>
      <c r="Q36" s="33">
        <f>+'Anexo 14'!Q36*'Anexo 7'!$D$10</f>
        <v>0</v>
      </c>
      <c r="R36" s="33">
        <f>+'Anexo 14'!R36*'Anexo 7'!$D$10</f>
        <v>0</v>
      </c>
      <c r="S36" s="33">
        <f>+'Anexo 14'!S36*'Anexo 7'!$D$10</f>
        <v>0</v>
      </c>
      <c r="T36" s="33">
        <f>+'Anexo 14'!T36*'Anexo 7'!$D$10</f>
        <v>0</v>
      </c>
      <c r="U36" s="33">
        <f>+'Anexo 14'!U36*'Anexo 7'!$D$10</f>
        <v>0</v>
      </c>
      <c r="V36" s="33">
        <f>+'Anexo 14'!V36*'Anexo 7'!$D$10</f>
        <v>0</v>
      </c>
      <c r="W36" s="33">
        <f>+'Anexo 14'!W36*'Anexo 7'!$D$10</f>
        <v>0</v>
      </c>
      <c r="X36" s="33">
        <f>+'Anexo 14'!X36*'Anexo 7'!$D$10</f>
        <v>0</v>
      </c>
      <c r="Y36" s="33">
        <f>+'Anexo 14'!Y36*'Anexo 7'!$D$10</f>
        <v>0</v>
      </c>
      <c r="Z36" s="33">
        <f>+'Anexo 14'!Z36*'Anexo 7'!$D$10</f>
        <v>0</v>
      </c>
      <c r="AA36" s="35">
        <f t="shared" si="0"/>
        <v>0</v>
      </c>
      <c r="AB36" s="19">
        <v>20</v>
      </c>
      <c r="AC36" s="79">
        <f>+AA36*AB36+AA37*AB37+AA38*AB38</f>
        <v>0</v>
      </c>
    </row>
    <row r="37" spans="1:30" ht="15.75" thickBot="1" x14ac:dyDescent="0.3">
      <c r="A37" s="78"/>
      <c r="B37" s="20" t="s">
        <v>7</v>
      </c>
      <c r="C37" s="33">
        <f>+'Anexo 14'!C37*'Anexo 7'!$D$10</f>
        <v>0</v>
      </c>
      <c r="D37" s="33">
        <f>+'Anexo 14'!D37*'Anexo 7'!$D$10</f>
        <v>0</v>
      </c>
      <c r="E37" s="33">
        <f>+'Anexo 14'!E37*'Anexo 7'!$D$10</f>
        <v>0</v>
      </c>
      <c r="F37" s="33">
        <f>+'Anexo 14'!F37*'Anexo 7'!$D$10</f>
        <v>0</v>
      </c>
      <c r="G37" s="33">
        <f>+'Anexo 14'!G37*'Anexo 7'!$D$10</f>
        <v>0</v>
      </c>
      <c r="H37" s="33">
        <f>+'Anexo 14'!H37*'Anexo 7'!$D$10</f>
        <v>0</v>
      </c>
      <c r="I37" s="33">
        <f>+'Anexo 14'!I37*'Anexo 7'!$D$10</f>
        <v>0</v>
      </c>
      <c r="J37" s="33">
        <f>+'Anexo 14'!J37*'Anexo 7'!$D$10</f>
        <v>0</v>
      </c>
      <c r="K37" s="33">
        <f>+'Anexo 14'!K37*'Anexo 7'!$D$10</f>
        <v>0</v>
      </c>
      <c r="L37" s="33">
        <f>+'Anexo 14'!L37*'Anexo 7'!$D$10</f>
        <v>0</v>
      </c>
      <c r="M37" s="33">
        <f>+'Anexo 14'!M37*'Anexo 7'!$D$10</f>
        <v>0</v>
      </c>
      <c r="N37" s="33">
        <f>+'Anexo 14'!N37*'Anexo 7'!$D$10</f>
        <v>0</v>
      </c>
      <c r="O37" s="33">
        <f>+'Anexo 14'!O37*'Anexo 7'!$D$10</f>
        <v>0</v>
      </c>
      <c r="P37" s="33">
        <f>+'Anexo 14'!P37*'Anexo 7'!$D$10</f>
        <v>0</v>
      </c>
      <c r="Q37" s="33">
        <f>+'Anexo 14'!Q37*'Anexo 7'!$D$10</f>
        <v>0</v>
      </c>
      <c r="R37" s="33">
        <f>+'Anexo 14'!R37*'Anexo 7'!$D$10</f>
        <v>0</v>
      </c>
      <c r="S37" s="33">
        <f>+'Anexo 14'!S37*'Anexo 7'!$D$10</f>
        <v>0</v>
      </c>
      <c r="T37" s="33">
        <f>+'Anexo 14'!T37*'Anexo 7'!$D$10</f>
        <v>0</v>
      </c>
      <c r="U37" s="33">
        <f>+'Anexo 14'!U37*'Anexo 7'!$D$10</f>
        <v>0</v>
      </c>
      <c r="V37" s="33">
        <f>+'Anexo 14'!V37*'Anexo 7'!$D$10</f>
        <v>0</v>
      </c>
      <c r="W37" s="33">
        <f>+'Anexo 14'!W37*'Anexo 7'!$D$10</f>
        <v>0</v>
      </c>
      <c r="X37" s="33">
        <f>+'Anexo 14'!X37*'Anexo 7'!$D$10</f>
        <v>0</v>
      </c>
      <c r="Y37" s="33">
        <f>+'Anexo 14'!Y37*'Anexo 7'!$D$10</f>
        <v>0</v>
      </c>
      <c r="Z37" s="33">
        <f>+'Anexo 14'!Z37*'Anexo 7'!$D$10</f>
        <v>0</v>
      </c>
      <c r="AA37" s="38">
        <f t="shared" si="0"/>
        <v>0</v>
      </c>
      <c r="AB37" s="21">
        <v>4</v>
      </c>
      <c r="AC37" s="80"/>
      <c r="AD37" s="47"/>
    </row>
    <row r="38" spans="1:30" ht="15.75" thickBot="1" x14ac:dyDescent="0.3">
      <c r="A38" s="78"/>
      <c r="B38" s="22" t="s">
        <v>6</v>
      </c>
      <c r="C38" s="33">
        <f>+'Anexo 14'!C38*'Anexo 7'!$D$10</f>
        <v>0</v>
      </c>
      <c r="D38" s="33">
        <f>+'Anexo 14'!D38*'Anexo 7'!$D$10</f>
        <v>0</v>
      </c>
      <c r="E38" s="33">
        <f>+'Anexo 14'!E38*'Anexo 7'!$D$10</f>
        <v>0</v>
      </c>
      <c r="F38" s="33">
        <f>+'Anexo 14'!F38*'Anexo 7'!$D$10</f>
        <v>0</v>
      </c>
      <c r="G38" s="33">
        <f>+'Anexo 14'!G38*'Anexo 7'!$D$10</f>
        <v>0</v>
      </c>
      <c r="H38" s="33">
        <f>+'Anexo 14'!H38*'Anexo 7'!$D$10</f>
        <v>0</v>
      </c>
      <c r="I38" s="33">
        <f>+'Anexo 14'!I38*'Anexo 7'!$D$10</f>
        <v>0</v>
      </c>
      <c r="J38" s="33">
        <f>+'Anexo 14'!J38*'Anexo 7'!$D$10</f>
        <v>0</v>
      </c>
      <c r="K38" s="33">
        <f>+'Anexo 14'!K38*'Anexo 7'!$D$10</f>
        <v>0</v>
      </c>
      <c r="L38" s="33">
        <f>+'Anexo 14'!L38*'Anexo 7'!$D$10</f>
        <v>0</v>
      </c>
      <c r="M38" s="33">
        <f>+'Anexo 14'!M38*'Anexo 7'!$D$10</f>
        <v>0</v>
      </c>
      <c r="N38" s="33">
        <f>+'Anexo 14'!N38*'Anexo 7'!$D$10</f>
        <v>0</v>
      </c>
      <c r="O38" s="33">
        <f>+'Anexo 14'!O38*'Anexo 7'!$D$10</f>
        <v>0</v>
      </c>
      <c r="P38" s="33">
        <f>+'Anexo 14'!P38*'Anexo 7'!$D$10</f>
        <v>0</v>
      </c>
      <c r="Q38" s="33">
        <f>+'Anexo 14'!Q38*'Anexo 7'!$D$10</f>
        <v>0</v>
      </c>
      <c r="R38" s="33">
        <f>+'Anexo 14'!R38*'Anexo 7'!$D$10</f>
        <v>0</v>
      </c>
      <c r="S38" s="33">
        <f>+'Anexo 14'!S38*'Anexo 7'!$D$10</f>
        <v>0</v>
      </c>
      <c r="T38" s="33">
        <f>+'Anexo 14'!T38*'Anexo 7'!$D$10</f>
        <v>0</v>
      </c>
      <c r="U38" s="33">
        <f>+'Anexo 14'!U38*'Anexo 7'!$D$10</f>
        <v>0</v>
      </c>
      <c r="V38" s="33">
        <f>+'Anexo 14'!V38*'Anexo 7'!$D$10</f>
        <v>0</v>
      </c>
      <c r="W38" s="33">
        <f>+'Anexo 14'!W38*'Anexo 7'!$D$10</f>
        <v>0</v>
      </c>
      <c r="X38" s="33">
        <f>+'Anexo 14'!X38*'Anexo 7'!$D$10</f>
        <v>0</v>
      </c>
      <c r="Y38" s="33">
        <f>+'Anexo 14'!Y38*'Anexo 7'!$D$10</f>
        <v>0</v>
      </c>
      <c r="Z38" s="33">
        <f>+'Anexo 14'!Z38*'Anexo 7'!$D$10</f>
        <v>0</v>
      </c>
      <c r="AA38" s="41">
        <f t="shared" si="0"/>
        <v>0</v>
      </c>
      <c r="AB38" s="23">
        <v>6</v>
      </c>
      <c r="AC38" s="81"/>
      <c r="AD38" s="49"/>
    </row>
    <row r="39" spans="1:30" ht="15.75" thickBot="1" x14ac:dyDescent="0.3">
      <c r="A39" s="78">
        <v>48549</v>
      </c>
      <c r="B39" s="18" t="s">
        <v>8</v>
      </c>
      <c r="C39" s="33">
        <f>+'Anexo 14'!C39*'Anexo 7'!$D$10</f>
        <v>0</v>
      </c>
      <c r="D39" s="33">
        <f>+'Anexo 14'!D39*'Anexo 7'!$D$10</f>
        <v>0</v>
      </c>
      <c r="E39" s="33">
        <f>+'Anexo 14'!E39*'Anexo 7'!$D$10</f>
        <v>0</v>
      </c>
      <c r="F39" s="33">
        <f>+'Anexo 14'!F39*'Anexo 7'!$D$10</f>
        <v>0</v>
      </c>
      <c r="G39" s="33">
        <f>+'Anexo 14'!G39*'Anexo 7'!$D$10</f>
        <v>0</v>
      </c>
      <c r="H39" s="33">
        <f>+'Anexo 14'!H39*'Anexo 7'!$D$10</f>
        <v>0</v>
      </c>
      <c r="I39" s="33">
        <f>+'Anexo 14'!I39*'Anexo 7'!$D$10</f>
        <v>0</v>
      </c>
      <c r="J39" s="33">
        <f>+'Anexo 14'!J39*'Anexo 7'!$D$10</f>
        <v>0</v>
      </c>
      <c r="K39" s="33">
        <f>+'Anexo 14'!K39*'Anexo 7'!$D$10</f>
        <v>0</v>
      </c>
      <c r="L39" s="33">
        <f>+'Anexo 14'!L39*'Anexo 7'!$D$10</f>
        <v>0</v>
      </c>
      <c r="M39" s="33">
        <f>+'Anexo 14'!M39*'Anexo 7'!$D$10</f>
        <v>0</v>
      </c>
      <c r="N39" s="33">
        <f>+'Anexo 14'!N39*'Anexo 7'!$D$10</f>
        <v>0</v>
      </c>
      <c r="O39" s="33">
        <f>+'Anexo 14'!O39*'Anexo 7'!$D$10</f>
        <v>0</v>
      </c>
      <c r="P39" s="33">
        <f>+'Anexo 14'!P39*'Anexo 7'!$D$10</f>
        <v>0</v>
      </c>
      <c r="Q39" s="33">
        <f>+'Anexo 14'!Q39*'Anexo 7'!$D$10</f>
        <v>0</v>
      </c>
      <c r="R39" s="33">
        <f>+'Anexo 14'!R39*'Anexo 7'!$D$10</f>
        <v>0</v>
      </c>
      <c r="S39" s="33">
        <f>+'Anexo 14'!S39*'Anexo 7'!$D$10</f>
        <v>0</v>
      </c>
      <c r="T39" s="33">
        <f>+'Anexo 14'!T39*'Anexo 7'!$D$10</f>
        <v>0</v>
      </c>
      <c r="U39" s="33">
        <f>+'Anexo 14'!U39*'Anexo 7'!$D$10</f>
        <v>0</v>
      </c>
      <c r="V39" s="33">
        <f>+'Anexo 14'!V39*'Anexo 7'!$D$10</f>
        <v>0</v>
      </c>
      <c r="W39" s="33">
        <f>+'Anexo 14'!W39*'Anexo 7'!$D$10</f>
        <v>0</v>
      </c>
      <c r="X39" s="33">
        <f>+'Anexo 14'!X39*'Anexo 7'!$D$10</f>
        <v>0</v>
      </c>
      <c r="Y39" s="33">
        <f>+'Anexo 14'!Y39*'Anexo 7'!$D$10</f>
        <v>0</v>
      </c>
      <c r="Z39" s="33">
        <f>+'Anexo 14'!Z39*'Anexo 7'!$D$10</f>
        <v>0</v>
      </c>
      <c r="AA39" s="35">
        <f t="shared" si="0"/>
        <v>0</v>
      </c>
      <c r="AB39" s="19">
        <v>22</v>
      </c>
      <c r="AC39" s="79">
        <f>+AA39*AB39+AA40*AB40+AA41*AB41</f>
        <v>0</v>
      </c>
    </row>
    <row r="40" spans="1:30" ht="15.75" thickBot="1" x14ac:dyDescent="0.3">
      <c r="A40" s="78"/>
      <c r="B40" s="20" t="s">
        <v>7</v>
      </c>
      <c r="C40" s="33">
        <f>+'Anexo 14'!C40*'Anexo 7'!$D$10</f>
        <v>0</v>
      </c>
      <c r="D40" s="33">
        <f>+'Anexo 14'!D40*'Anexo 7'!$D$10</f>
        <v>0</v>
      </c>
      <c r="E40" s="33">
        <f>+'Anexo 14'!E40*'Anexo 7'!$D$10</f>
        <v>0</v>
      </c>
      <c r="F40" s="33">
        <f>+'Anexo 14'!F40*'Anexo 7'!$D$10</f>
        <v>0</v>
      </c>
      <c r="G40" s="33">
        <f>+'Anexo 14'!G40*'Anexo 7'!$D$10</f>
        <v>0</v>
      </c>
      <c r="H40" s="33">
        <f>+'Anexo 14'!H40*'Anexo 7'!$D$10</f>
        <v>0</v>
      </c>
      <c r="I40" s="33">
        <f>+'Anexo 14'!I40*'Anexo 7'!$D$10</f>
        <v>0</v>
      </c>
      <c r="J40" s="33">
        <f>+'Anexo 14'!J40*'Anexo 7'!$D$10</f>
        <v>0</v>
      </c>
      <c r="K40" s="33">
        <f>+'Anexo 14'!K40*'Anexo 7'!$D$10</f>
        <v>0</v>
      </c>
      <c r="L40" s="33">
        <f>+'Anexo 14'!L40*'Anexo 7'!$D$10</f>
        <v>0</v>
      </c>
      <c r="M40" s="33">
        <f>+'Anexo 14'!M40*'Anexo 7'!$D$10</f>
        <v>0</v>
      </c>
      <c r="N40" s="33">
        <f>+'Anexo 14'!N40*'Anexo 7'!$D$10</f>
        <v>0</v>
      </c>
      <c r="O40" s="33">
        <f>+'Anexo 14'!O40*'Anexo 7'!$D$10</f>
        <v>0</v>
      </c>
      <c r="P40" s="33">
        <f>+'Anexo 14'!P40*'Anexo 7'!$D$10</f>
        <v>0</v>
      </c>
      <c r="Q40" s="33">
        <f>+'Anexo 14'!Q40*'Anexo 7'!$D$10</f>
        <v>0</v>
      </c>
      <c r="R40" s="33">
        <f>+'Anexo 14'!R40*'Anexo 7'!$D$10</f>
        <v>0</v>
      </c>
      <c r="S40" s="33">
        <f>+'Anexo 14'!S40*'Anexo 7'!$D$10</f>
        <v>0</v>
      </c>
      <c r="T40" s="33">
        <f>+'Anexo 14'!T40*'Anexo 7'!$D$10</f>
        <v>0</v>
      </c>
      <c r="U40" s="33">
        <f>+'Anexo 14'!U40*'Anexo 7'!$D$10</f>
        <v>0</v>
      </c>
      <c r="V40" s="33">
        <f>+'Anexo 14'!V40*'Anexo 7'!$D$10</f>
        <v>0</v>
      </c>
      <c r="W40" s="33">
        <f>+'Anexo 14'!W40*'Anexo 7'!$D$10</f>
        <v>0</v>
      </c>
      <c r="X40" s="33">
        <f>+'Anexo 14'!X40*'Anexo 7'!$D$10</f>
        <v>0</v>
      </c>
      <c r="Y40" s="33">
        <f>+'Anexo 14'!Y40*'Anexo 7'!$D$10</f>
        <v>0</v>
      </c>
      <c r="Z40" s="33">
        <f>+'Anexo 14'!Z40*'Anexo 7'!$D$10</f>
        <v>0</v>
      </c>
      <c r="AA40" s="38">
        <f t="shared" si="0"/>
        <v>0</v>
      </c>
      <c r="AB40" s="21">
        <v>3</v>
      </c>
      <c r="AC40" s="80"/>
      <c r="AD40" s="47"/>
    </row>
    <row r="41" spans="1:30" ht="15.75" thickBot="1" x14ac:dyDescent="0.3">
      <c r="A41" s="78"/>
      <c r="B41" s="22" t="s">
        <v>6</v>
      </c>
      <c r="C41" s="33">
        <f>+'Anexo 14'!C41*'Anexo 7'!$D$10</f>
        <v>0</v>
      </c>
      <c r="D41" s="33">
        <f>+'Anexo 14'!D41*'Anexo 7'!$D$10</f>
        <v>0</v>
      </c>
      <c r="E41" s="33">
        <f>+'Anexo 14'!E41*'Anexo 7'!$D$10</f>
        <v>0</v>
      </c>
      <c r="F41" s="33">
        <f>+'Anexo 14'!F41*'Anexo 7'!$D$10</f>
        <v>0</v>
      </c>
      <c r="G41" s="33">
        <f>+'Anexo 14'!G41*'Anexo 7'!$D$10</f>
        <v>0</v>
      </c>
      <c r="H41" s="33">
        <f>+'Anexo 14'!H41*'Anexo 7'!$D$10</f>
        <v>0</v>
      </c>
      <c r="I41" s="33">
        <f>+'Anexo 14'!I41*'Anexo 7'!$D$10</f>
        <v>0</v>
      </c>
      <c r="J41" s="33">
        <f>+'Anexo 14'!J41*'Anexo 7'!$D$10</f>
        <v>0</v>
      </c>
      <c r="K41" s="33">
        <f>+'Anexo 14'!K41*'Anexo 7'!$D$10</f>
        <v>0</v>
      </c>
      <c r="L41" s="33">
        <f>+'Anexo 14'!L41*'Anexo 7'!$D$10</f>
        <v>0</v>
      </c>
      <c r="M41" s="33">
        <f>+'Anexo 14'!M41*'Anexo 7'!$D$10</f>
        <v>0</v>
      </c>
      <c r="N41" s="33">
        <f>+'Anexo 14'!N41*'Anexo 7'!$D$10</f>
        <v>0</v>
      </c>
      <c r="O41" s="33">
        <f>+'Anexo 14'!O41*'Anexo 7'!$D$10</f>
        <v>0</v>
      </c>
      <c r="P41" s="33">
        <f>+'Anexo 14'!P41*'Anexo 7'!$D$10</f>
        <v>0</v>
      </c>
      <c r="Q41" s="33">
        <f>+'Anexo 14'!Q41*'Anexo 7'!$D$10</f>
        <v>0</v>
      </c>
      <c r="R41" s="33">
        <f>+'Anexo 14'!R41*'Anexo 7'!$D$10</f>
        <v>0</v>
      </c>
      <c r="S41" s="33">
        <f>+'Anexo 14'!S41*'Anexo 7'!$D$10</f>
        <v>0</v>
      </c>
      <c r="T41" s="33">
        <f>+'Anexo 14'!T41*'Anexo 7'!$D$10</f>
        <v>0</v>
      </c>
      <c r="U41" s="33">
        <f>+'Anexo 14'!U41*'Anexo 7'!$D$10</f>
        <v>0</v>
      </c>
      <c r="V41" s="33">
        <f>+'Anexo 14'!V41*'Anexo 7'!$D$10</f>
        <v>0</v>
      </c>
      <c r="W41" s="33">
        <f>+'Anexo 14'!W41*'Anexo 7'!$D$10</f>
        <v>0</v>
      </c>
      <c r="X41" s="33">
        <f>+'Anexo 14'!X41*'Anexo 7'!$D$10</f>
        <v>0</v>
      </c>
      <c r="Y41" s="33">
        <f>+'Anexo 14'!Y41*'Anexo 7'!$D$10</f>
        <v>0</v>
      </c>
      <c r="Z41" s="33">
        <f>+'Anexo 14'!Z41*'Anexo 7'!$D$10</f>
        <v>0</v>
      </c>
      <c r="AA41" s="41">
        <f t="shared" si="0"/>
        <v>0</v>
      </c>
      <c r="AB41" s="23">
        <v>6</v>
      </c>
      <c r="AC41" s="81"/>
      <c r="AD41" s="42"/>
    </row>
    <row r="42" spans="1:30" ht="15" x14ac:dyDescent="0.25">
      <c r="A42" s="76" t="s">
        <v>5</v>
      </c>
      <c r="B42" s="77"/>
      <c r="C42" s="31">
        <f t="shared" ref="C42:AC42" si="1">+SUM(C6:C41)</f>
        <v>0</v>
      </c>
      <c r="D42" s="31">
        <f t="shared" si="1"/>
        <v>0</v>
      </c>
      <c r="E42" s="31">
        <f t="shared" si="1"/>
        <v>0</v>
      </c>
      <c r="F42" s="31">
        <f t="shared" si="1"/>
        <v>0</v>
      </c>
      <c r="G42" s="31">
        <f t="shared" si="1"/>
        <v>0</v>
      </c>
      <c r="H42" s="31">
        <f t="shared" si="1"/>
        <v>0</v>
      </c>
      <c r="I42" s="31">
        <f t="shared" si="1"/>
        <v>0</v>
      </c>
      <c r="J42" s="31">
        <f t="shared" si="1"/>
        <v>0</v>
      </c>
      <c r="K42" s="31">
        <f t="shared" si="1"/>
        <v>0</v>
      </c>
      <c r="L42" s="31">
        <f t="shared" si="1"/>
        <v>0</v>
      </c>
      <c r="M42" s="31">
        <f t="shared" si="1"/>
        <v>0</v>
      </c>
      <c r="N42" s="31">
        <f t="shared" si="1"/>
        <v>0</v>
      </c>
      <c r="O42" s="31">
        <f t="shared" si="1"/>
        <v>0</v>
      </c>
      <c r="P42" s="31">
        <f t="shared" si="1"/>
        <v>0</v>
      </c>
      <c r="Q42" s="31">
        <f t="shared" si="1"/>
        <v>0</v>
      </c>
      <c r="R42" s="31">
        <f t="shared" si="1"/>
        <v>0</v>
      </c>
      <c r="S42" s="31">
        <f t="shared" si="1"/>
        <v>0</v>
      </c>
      <c r="T42" s="31">
        <f t="shared" si="1"/>
        <v>0</v>
      </c>
      <c r="U42" s="31">
        <f t="shared" si="1"/>
        <v>0</v>
      </c>
      <c r="V42" s="31">
        <f t="shared" si="1"/>
        <v>0</v>
      </c>
      <c r="W42" s="31">
        <f t="shared" si="1"/>
        <v>0</v>
      </c>
      <c r="X42" s="31">
        <f t="shared" si="1"/>
        <v>0</v>
      </c>
      <c r="Y42" s="31">
        <f t="shared" si="1"/>
        <v>0</v>
      </c>
      <c r="Z42" s="31">
        <f t="shared" si="1"/>
        <v>0</v>
      </c>
      <c r="AA42" s="31">
        <f t="shared" si="1"/>
        <v>0</v>
      </c>
      <c r="AB42" s="31">
        <f t="shared" si="1"/>
        <v>366</v>
      </c>
      <c r="AC42" s="46">
        <f t="shared" si="1"/>
        <v>0</v>
      </c>
    </row>
    <row r="43" spans="1:30" ht="15" x14ac:dyDescent="0.25">
      <c r="AB43" s="6"/>
      <c r="AC43" s="6"/>
    </row>
    <row r="44" spans="1:30" ht="15" x14ac:dyDescent="0.25"/>
    <row r="45" spans="1:30" ht="15" x14ac:dyDescent="0.25"/>
    <row r="46" spans="1:30" ht="15" x14ac:dyDescent="0.25"/>
  </sheetData>
  <mergeCells count="53">
    <mergeCell ref="A42:B42"/>
    <mergeCell ref="A33:A35"/>
    <mergeCell ref="AC33:AC35"/>
    <mergeCell ref="A36:A38"/>
    <mergeCell ref="AC36:AC38"/>
    <mergeCell ref="A39:A41"/>
    <mergeCell ref="AC39:AC41"/>
    <mergeCell ref="A24:A26"/>
    <mergeCell ref="AC24:AC26"/>
    <mergeCell ref="A27:A29"/>
    <mergeCell ref="AC27:AC29"/>
    <mergeCell ref="A30:A32"/>
    <mergeCell ref="AC30:AC32"/>
    <mergeCell ref="A15:A17"/>
    <mergeCell ref="AC15:AC17"/>
    <mergeCell ref="A18:A20"/>
    <mergeCell ref="AC18:AC20"/>
    <mergeCell ref="A21:A23"/>
    <mergeCell ref="AC21:AC23"/>
    <mergeCell ref="A6:A8"/>
    <mergeCell ref="AC6:AC8"/>
    <mergeCell ref="A9:A11"/>
    <mergeCell ref="AC9:AC11"/>
    <mergeCell ref="A12:A14"/>
    <mergeCell ref="AC12:AC14"/>
    <mergeCell ref="AC4:AC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O4:O5"/>
    <mergeCell ref="A1:AC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ageMargins left="0.7" right="0.7" top="0.75" bottom="0.75" header="0.3" footer="0.3"/>
  <pageSetup scale="32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e65c24-12eb-4ae4-9f0f-cdc0d03995d7" xsi:nil="true"/>
    <lcf76f155ced4ddcb4097134ff3c332f xmlns="e20b9708-8d05-44bf-aa29-bb25ddc2688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9C34A9485AA54DBC3FD82BBAFDFE2A" ma:contentTypeVersion="14" ma:contentTypeDescription="Crear nuevo documento." ma:contentTypeScope="" ma:versionID="0d568d63776b3296d279a2710bae19ff">
  <xsd:schema xmlns:xsd="http://www.w3.org/2001/XMLSchema" xmlns:xs="http://www.w3.org/2001/XMLSchema" xmlns:p="http://schemas.microsoft.com/office/2006/metadata/properties" xmlns:ns2="e20b9708-8d05-44bf-aa29-bb25ddc26887" xmlns:ns3="19e65c24-12eb-4ae4-9f0f-cdc0d03995d7" targetNamespace="http://schemas.microsoft.com/office/2006/metadata/properties" ma:root="true" ma:fieldsID="57f1b09d93d2b158516f9eeb8d48c009" ns2:_="" ns3:_="">
    <xsd:import namespace="e20b9708-8d05-44bf-aa29-bb25ddc26887"/>
    <xsd:import namespace="19e65c24-12eb-4ae4-9f0f-cdc0d03995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0b9708-8d05-44bf-aa29-bb25ddc268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b1d78a8-738e-47a1-8bbf-6fb1ef3f43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e65c24-12eb-4ae4-9f0f-cdc0d03995d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9fbd2e-5e08-46c7-a885-1613e557d3ee}" ma:internalName="TaxCatchAll" ma:showField="CatchAllData" ma:web="19e65c24-12eb-4ae4-9f0f-cdc0d03995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E31244-003A-4FCC-86CD-3F916DE4FC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60754C-9832-432C-86F4-4FB09D58D93F}">
  <ds:schemaRefs>
    <ds:schemaRef ds:uri="http://schemas.microsoft.com/office/2006/metadata/properties"/>
    <ds:schemaRef ds:uri="http://schemas.microsoft.com/office/infopath/2007/PartnerControls"/>
    <ds:schemaRef ds:uri="19e65c24-12eb-4ae4-9f0f-cdc0d03995d7"/>
    <ds:schemaRef ds:uri="e20b9708-8d05-44bf-aa29-bb25ddc26887"/>
  </ds:schemaRefs>
</ds:datastoreItem>
</file>

<file path=customXml/itemProps3.xml><?xml version="1.0" encoding="utf-8"?>
<ds:datastoreItem xmlns:ds="http://schemas.openxmlformats.org/officeDocument/2006/customXml" ds:itemID="{A82C6250-BA99-4307-9F0E-E796BDB372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0b9708-8d05-44bf-aa29-bb25ddc26887"/>
    <ds:schemaRef ds:uri="19e65c24-12eb-4ae4-9f0f-cdc0d03995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27</vt:i4>
      </vt:variant>
    </vt:vector>
  </HeadingPairs>
  <TitlesOfParts>
    <vt:vector size="27" baseType="lpstr">
      <vt:lpstr>Anexo 1</vt:lpstr>
      <vt:lpstr>Anexo 8</vt:lpstr>
      <vt:lpstr>Cantidades Ofertadas Prod 1</vt:lpstr>
      <vt:lpstr>Anexo 2</vt:lpstr>
      <vt:lpstr>Anexo 2A</vt:lpstr>
      <vt:lpstr>Anexo 9</vt:lpstr>
      <vt:lpstr>Cantidades Ofertadas Prod 2</vt:lpstr>
      <vt:lpstr>Anexo 3</vt:lpstr>
      <vt:lpstr>Anexo 3A</vt:lpstr>
      <vt:lpstr>Anexo 10</vt:lpstr>
      <vt:lpstr>Cantidades Ofertadas Prod 3</vt:lpstr>
      <vt:lpstr>Anexo 4</vt:lpstr>
      <vt:lpstr>Anexo 4A</vt:lpstr>
      <vt:lpstr>Anexo 11</vt:lpstr>
      <vt:lpstr>Cantidades Ofertadas Prod 4</vt:lpstr>
      <vt:lpstr>Anexo 5</vt:lpstr>
      <vt:lpstr>Anexo 5A</vt:lpstr>
      <vt:lpstr>Anexo 12</vt:lpstr>
      <vt:lpstr>Cantidades Ofertadas Prod 5</vt:lpstr>
      <vt:lpstr>Anexo 6</vt:lpstr>
      <vt:lpstr>Anexo 6A</vt:lpstr>
      <vt:lpstr>Anexo 13</vt:lpstr>
      <vt:lpstr>Cantidades Ofertadas Prod 6</vt:lpstr>
      <vt:lpstr>Anexo 7</vt:lpstr>
      <vt:lpstr>Anexo 7A</vt:lpstr>
      <vt:lpstr>Anexo 14</vt:lpstr>
      <vt:lpstr>Cantidades Ofertadas Prod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Giraldo Macias</dc:creator>
  <cp:lastModifiedBy>Etelberto Sanchez Blanco</cp:lastModifiedBy>
  <dcterms:created xsi:type="dcterms:W3CDTF">2020-01-31T19:26:26Z</dcterms:created>
  <dcterms:modified xsi:type="dcterms:W3CDTF">2025-02-17T13:41:33Z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0x010100B59C34A9485AA54DBC3FD82BBAFDFE2A</vt:lpwstr>
  </property>
  <property fmtid="{D5CDD505-2E9C-101B-9397-08002B2CF9AE}" pid="3" name="MediaServiceImageTags">
    <vt:lpwstr/>
  </property>
</Properties>
</file>