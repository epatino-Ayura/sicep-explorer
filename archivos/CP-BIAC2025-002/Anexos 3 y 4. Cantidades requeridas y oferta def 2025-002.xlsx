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  <sheet state="visible" name="Cant. Requeridas Producto 2" sheetId="3" r:id="rId6"/>
    <sheet state="visible" name="Oferta Producto 2" sheetId="4" r:id="rId7"/>
    <sheet state="visible" name="Cant. Requeridas Producto 3" sheetId="5" r:id="rId8"/>
    <sheet state="visible" name="Oferta Producto 3" sheetId="6" r:id="rId9"/>
    <sheet state="visible" name="Cant. Requeridas Producto 4" sheetId="7" r:id="rId10"/>
    <sheet state="visible" name="Oferta Producto 4" sheetId="8" r:id="rId11"/>
    <sheet state="visible" name="Cant. Requeridas Producto 5" sheetId="9" r:id="rId12"/>
    <sheet state="visible" name="Oferta Producto 5" sheetId="10" r:id="rId13"/>
    <sheet state="visible" name="Cant. Requeridas Producto 6" sheetId="11" r:id="rId14"/>
    <sheet state="visible" name="Oferta Producto 6" sheetId="12" r:id="rId15"/>
  </sheets>
  <definedNames/>
  <calcPr/>
  <extLst>
    <ext uri="GoogleSheetsCustomDataVersion2">
      <go:sheetsCustomData xmlns:go="http://customooxmlschemas.google.com/" r:id="rId16" roundtripDataChecksum="i7fL2pR7SUtEl5oFjS1Zprbtyr6UU33g3ev4wv6plAQ="/>
    </ext>
  </extLst>
</workbook>
</file>

<file path=xl/sharedStrings.xml><?xml version="1.0" encoding="utf-8"?>
<sst xmlns="http://schemas.openxmlformats.org/spreadsheetml/2006/main" count="300" uniqueCount="66">
  <si>
    <t>ANEXO 3 - CANTIDADES DE  ENERGÍA SOLICITADA EN kWh</t>
  </si>
  <si>
    <t>PRODUCTO 1 - PAGUE LO CONTRATADO</t>
  </si>
  <si>
    <t>Periodo: 1 de enero 2026 a 31 diciembre de 2026</t>
  </si>
  <si>
    <t>CONVOCATORIA PÚBLICA N° CP-BIAC2025-002 - BIA ENERGY S.A.S. E.S.P.</t>
  </si>
  <si>
    <t>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</si>
  <si>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</si>
  <si>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</si>
  <si>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</si>
  <si>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</si>
  <si>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</si>
  <si>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</si>
  <si>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</si>
  <si>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</si>
  <si>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</si>
  <si>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</si>
  <si>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</si>
  <si>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</si>
  <si>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</si>
  <si>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</si>
  <si>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</si>
  <si>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</si>
  <si>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</si>
  <si>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</si>
  <si>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</si>
  <si>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</si>
  <si>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</si>
  <si>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</si>
  <si>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</si>
  <si>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</si>
  <si>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</si>
  <si>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</si>
  <si>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 MES</t>
  </si>
  <si>
    <t>TOTAL</t>
  </si>
  <si>
    <t>ANEXO 4. FORMATO DE OFERTA - PRODUCTO 1</t>
  </si>
  <si>
    <t>NOMBRE DEL OFERENTE</t>
  </si>
  <si>
    <t>Precios y cantidades de la energía ofertada</t>
  </si>
  <si>
    <t>En pesos de febrero de 2025</t>
  </si>
  <si>
    <t>OPCIÓN 24 HORAS</t>
  </si>
  <si>
    <t>E. Solicitada
[kWh-mes]</t>
  </si>
  <si>
    <t>% E. Ofertado</t>
  </si>
  <si>
    <t>E. Ofertada
[kWh]</t>
  </si>
  <si>
    <t>$/kWh</t>
  </si>
  <si>
    <t>El oferente debe indicar si acepta adjudicaciones parciales o no</t>
  </si>
  <si>
    <t>• Para el año 2026, se debe presentar oferta con un único porcentaje.</t>
  </si>
  <si>
    <t>• El precio ofertado debe ser único para el año del producto, expresado en $/kWh, con hasta dos (2) decimales.</t>
  </si>
  <si>
    <t>Representante legal</t>
  </si>
  <si>
    <t>Nombre Oferente</t>
  </si>
  <si>
    <t>PRODUCTO 2 - PAGUE LO CONTRATADO</t>
  </si>
  <si>
    <t>Total producto</t>
  </si>
  <si>
    <t>ANEXO 4. FORMATO DE OFERTA - PRODUCTO 2</t>
  </si>
  <si>
    <t>• Para el 2026, se puede presentar oferta con diferente porcentaje cada mes.</t>
  </si>
  <si>
    <t>• El precio ofertado podra ser diferente para cada mes del producto, expresado en $/kWh, con hasta dos (2) decimales.</t>
  </si>
  <si>
    <t>PRODUCTO 3 - PAGUE LO CONTRATADO</t>
  </si>
  <si>
    <t>Periodo: 1 de enero 2027 a 31 diciembre de 2027</t>
  </si>
  <si>
    <t>ANEXO 4. FORMATO DE OFERTA - PRODUCTO 3</t>
  </si>
  <si>
    <t>• Se debe presentar oferta con un único porcentaje de energía para el año solicitado</t>
  </si>
  <si>
    <t>• El precio ofertado debe ser único para el año del producto, expresado en $/kWh, con hasta dos (2) decimales</t>
  </si>
  <si>
    <t>PRODUCTO 4 - PAGUE LO CONTRATADO</t>
  </si>
  <si>
    <t>Periodo: 1 de enero 2028 a 31 diciembre de 2028</t>
  </si>
  <si>
    <t>ANEXO 4. FORMATO DE OFERTA - PRODUCTO 4</t>
  </si>
  <si>
    <t>PRODUCTO 5 - PAGUE LO CONTRATADO</t>
  </si>
  <si>
    <t>Periodo: 1 de enero 2029 a 31 diciembre de 2029</t>
  </si>
  <si>
    <t>ANEXO 4. FORMATO DE OFERTA - PRODUCTO 5</t>
  </si>
  <si>
    <t>PRODUCTO 6 - PAGUE LO CONTRATADO</t>
  </si>
  <si>
    <t>Periodo: 1 de enero 2030 a 31 diciembre de 2030</t>
  </si>
  <si>
    <t>ANEXO 4. FORMATO DE OFERTA - PRODUCTO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</si>
</sst>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  <numFmt numFmtId="167" formatCode="_-* #,##0.00_-;\-* #,##0.00_-;_-* &quot;-&quot;??_-;_-@"/>
  </numFmts>
  <fonts count="1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/>
    <font>
      <color theme="1"/>
      <name val="Din-regular"/>
    </font>
    <font>
      <b/>
      <sz val="11.0"/>
      <color theme="1"/>
      <name val="Calibri"/>
    </font>
    <font>
      <b/>
      <color theme="1"/>
      <name val="Din-regular"/>
    </font>
  </fonts>
  <fills count="2">
    <fill>
      <patternFill patternType="none"/>
    </fill>
    <fill>
      <patternFill patternType="lightGray"/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164" xfId="0" applyBorder="1" applyFont="1" applyNumberFormat="1"/>
    <xf borderId="2" fillId="0" fontId="3" numFmtId="164" xfId="0" applyBorder="1" applyFont="1" applyNumberFormat="1"/>
    <xf borderId="1" fillId="0" fontId="4" numFmtId="0" xfId="0" applyAlignment="1" applyBorder="1" applyFont="1">
      <alignment horizontal="center"/>
    </xf>
    <xf borderId="1" fillId="0" fontId="5" numFmtId="164" xfId="0" applyBorder="1" applyFont="1" applyNumberFormat="1"/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3" fillId="0" fontId="8" numFmtId="0" xfId="0" applyAlignment="1" applyBorder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6" fillId="0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8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8" numFmtId="17" xfId="0" applyAlignment="1" applyBorder="1" applyFont="1" applyNumberFormat="1">
      <alignment horizontal="center" vertical="center"/>
    </xf>
    <xf borderId="10" fillId="0" fontId="11" numFmtId="165" xfId="0" applyAlignment="1" applyBorder="1" applyFont="1" applyNumberFormat="1">
      <alignment horizontal="center"/>
    </xf>
    <xf borderId="11" fillId="0" fontId="12" numFmtId="10" xfId="0" applyBorder="1" applyFont="1" applyNumberFormat="1"/>
    <xf borderId="11" fillId="0" fontId="6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8" numFmtId="17" xfId="0" applyAlignment="1" applyBorder="1" applyFont="1" applyNumberFormat="1">
      <alignment horizontal="left" vertical="center"/>
    </xf>
    <xf borderId="14" fillId="0" fontId="8" numFmtId="166" xfId="0" applyAlignment="1" applyBorder="1" applyFont="1" applyNumberFormat="1">
      <alignment horizontal="center" vertical="center"/>
    </xf>
    <xf borderId="14" fillId="0" fontId="12" numFmtId="164" xfId="0" applyBorder="1" applyFont="1" applyNumberFormat="1"/>
    <xf borderId="14" fillId="0" fontId="6" numFmtId="0" xfId="0" applyBorder="1" applyFont="1"/>
    <xf borderId="0" fillId="0" fontId="8" numFmtId="4" xfId="0" applyAlignment="1" applyFont="1" applyNumberFormat="1">
      <alignment horizontal="center"/>
    </xf>
    <xf borderId="0" fillId="0" fontId="5" numFmtId="4" xfId="0" applyFont="1" applyNumberFormat="1"/>
    <xf borderId="0" fillId="0" fontId="3" numFmtId="4" xfId="0" applyFont="1" applyNumberFormat="1"/>
    <xf borderId="0" fillId="0" fontId="3" numFmtId="0" xfId="0" applyAlignment="1" applyFont="1">
      <alignment horizontal="left"/>
    </xf>
    <xf borderId="15" fillId="0" fontId="3" numFmtId="0" xfId="0" applyBorder="1" applyFont="1"/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16" fillId="0" fontId="3" numFmtId="0" xfId="0" applyBorder="1" applyFont="1"/>
    <xf borderId="17" fillId="0" fontId="12" numFmtId="0" xfId="0" applyAlignment="1" applyBorder="1" applyFont="1">
      <alignment horizontal="center"/>
    </xf>
    <xf borderId="18" fillId="0" fontId="10" numFmtId="0" xfId="0" applyBorder="1" applyFont="1"/>
    <xf borderId="19" fillId="0" fontId="12" numFmtId="164" xfId="0" applyBorder="1" applyFont="1" applyNumberFormat="1"/>
    <xf borderId="20" fillId="0" fontId="7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shrinkToFit="0" vertical="center" wrapText="1"/>
    </xf>
    <xf borderId="21" fillId="0" fontId="8" numFmtId="165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3" fillId="0" fontId="13" numFmtId="17" xfId="0" applyAlignment="1" applyBorder="1" applyFont="1" applyNumberFormat="1">
      <alignment horizontal="center"/>
    </xf>
    <xf borderId="24" fillId="0" fontId="11" numFmtId="165" xfId="0" applyAlignment="1" applyBorder="1" applyFont="1" applyNumberFormat="1">
      <alignment horizontal="center"/>
    </xf>
    <xf borderId="25" fillId="0" fontId="11" numFmtId="165" xfId="0" applyAlignment="1" applyBorder="1" applyFont="1" applyNumberFormat="1">
      <alignment horizontal="center"/>
    </xf>
    <xf borderId="24" fillId="0" fontId="11" numFmtId="164" xfId="0" applyAlignment="1" applyBorder="1" applyFont="1" applyNumberFormat="1">
      <alignment horizontal="right"/>
    </xf>
    <xf borderId="0" fillId="0" fontId="3" numFmtId="3" xfId="0" applyAlignment="1" applyFont="1" applyNumberFormat="1">
      <alignment horizontal="right" shrinkToFit="0" wrapText="1"/>
    </xf>
    <xf borderId="0" fillId="0" fontId="3" numFmtId="167" xfId="0" applyFont="1" applyNumberFormat="1"/>
    <xf borderId="26" fillId="0" fontId="13" numFmtId="17" xfId="0" applyAlignment="1" applyBorder="1" applyFont="1" applyNumberFormat="1">
      <alignment horizontal="center"/>
    </xf>
    <xf borderId="18" fillId="0" fontId="11" numFmtId="165" xfId="0" applyAlignment="1" applyBorder="1" applyFont="1" applyNumberFormat="1">
      <alignment horizontal="center"/>
    </xf>
    <xf borderId="27" fillId="0" fontId="11" numFmtId="165" xfId="0" applyAlignment="1" applyBorder="1" applyFont="1" applyNumberFormat="1">
      <alignment horizontal="center"/>
    </xf>
    <xf borderId="18" fillId="0" fontId="11" numFmtId="164" xfId="0" applyAlignment="1" applyBorder="1" applyFont="1" applyNumberFormat="1">
      <alignment horizontal="right"/>
    </xf>
    <xf borderId="9" fillId="0" fontId="13" numFmtId="17" xfId="0" applyAlignment="1" applyBorder="1" applyFont="1" applyNumberFormat="1">
      <alignment horizontal="center"/>
    </xf>
    <xf borderId="28" fillId="0" fontId="13" numFmtId="17" xfId="0" applyAlignment="1" applyBorder="1" applyFont="1" applyNumberFormat="1">
      <alignment horizontal="center"/>
    </xf>
    <xf borderId="29" fillId="0" fontId="11" numFmtId="165" xfId="0" applyAlignment="1" applyBorder="1" applyFont="1" applyNumberFormat="1">
      <alignment horizontal="center"/>
    </xf>
    <xf borderId="30" fillId="0" fontId="11" numFmtId="165" xfId="0" applyAlignment="1" applyBorder="1" applyFont="1" applyNumberFormat="1">
      <alignment horizontal="center"/>
    </xf>
    <xf borderId="29" fillId="0" fontId="11" numFmtId="164" xfId="0" applyAlignment="1" applyBorder="1" applyFont="1" applyNumberFormat="1">
      <alignment horizontal="right"/>
    </xf>
    <xf borderId="13" fillId="0" fontId="8" numFmtId="17" xfId="0" applyAlignment="1" applyBorder="1" applyFont="1" applyNumberFormat="1">
      <alignment horizontal="left" vertical="center"/>
    </xf>
    <xf borderId="13" fillId="0" fontId="8" numFmtId="166" xfId="0" applyAlignment="1" applyBorder="1" applyFont="1" applyNumberFormat="1">
      <alignment horizontal="center" vertical="center"/>
    </xf>
    <xf borderId="13" fillId="0" fontId="12" numFmtId="164" xfId="0" applyBorder="1" applyFont="1" applyNumberFormat="1"/>
    <xf borderId="13" fillId="0" fontId="6" numFmtId="0" xfId="0" applyBorder="1" applyFont="1"/>
    <xf borderId="0" fillId="0" fontId="7" numFmtId="0" xfId="0" applyAlignment="1" applyFont="1">
      <alignment horizontal="center"/>
    </xf>
    <xf borderId="31" fillId="0" fontId="3" numFmtId="9" xfId="0" applyAlignment="1" applyBorder="1" applyFont="1" applyNumberFormat="1">
      <alignment readingOrder="0" vertical="center"/>
    </xf>
    <xf borderId="10" fillId="0" fontId="11" numFmtId="164" xfId="0" applyAlignment="1" applyBorder="1" applyFont="1" applyNumberFormat="1">
      <alignment horizontal="right"/>
    </xf>
    <xf borderId="31" fillId="0" fontId="3" numFmtId="4" xfId="0" applyAlignment="1" applyBorder="1" applyFont="1" applyNumberFormat="1">
      <alignment vertical="center"/>
    </xf>
    <xf borderId="32" fillId="0" fontId="10" numFmtId="0" xfId="0" applyBorder="1" applyFont="1"/>
    <xf borderId="33" fillId="0" fontId="10" numFmtId="0" xfId="0" applyBorder="1" applyFont="1"/>
    <xf borderId="31" fillId="0" fontId="3" numFmtId="4" xfId="0" applyAlignment="1" applyBorder="1" applyFont="1" applyNumberFormat="1">
      <alignment readingOrder="0" vertical="center"/>
    </xf>
    <xf borderId="34" fillId="0" fontId="11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7.86"/>
    <col customWidth="1" min="28" max="28" width="18.4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</row>
    <row r="6" ht="14.25" customHeight="1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  <c r="AA6" s="5"/>
    </row>
    <row r="7" ht="14.25" customHeight="1">
      <c r="A7" s="3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</row>
    <row r="10" ht="14.25" customHeight="1">
      <c r="A10" s="8">
        <v>46023.0</v>
      </c>
      <c r="B10" s="9">
        <v>1400.0</v>
      </c>
      <c r="C10" s="10">
        <f t="shared" ref="C10:Y10" si="1">B10</f>
        <v>1400</v>
      </c>
      <c r="D10" s="10">
        <f t="shared" si="1"/>
        <v>1400</v>
      </c>
      <c r="E10" s="10">
        <f t="shared" si="1"/>
        <v>1400</v>
      </c>
      <c r="F10" s="10">
        <f t="shared" si="1"/>
        <v>1400</v>
      </c>
      <c r="G10" s="10">
        <f t="shared" si="1"/>
        <v>1400</v>
      </c>
      <c r="H10" s="10">
        <f t="shared" si="1"/>
        <v>1400</v>
      </c>
      <c r="I10" s="10">
        <f t="shared" si="1"/>
        <v>1400</v>
      </c>
      <c r="J10" s="10">
        <f t="shared" si="1"/>
        <v>1400</v>
      </c>
      <c r="K10" s="10">
        <f t="shared" si="1"/>
        <v>1400</v>
      </c>
      <c r="L10" s="10">
        <f t="shared" si="1"/>
        <v>1400</v>
      </c>
      <c r="M10" s="10">
        <f t="shared" si="1"/>
        <v>1400</v>
      </c>
      <c r="N10" s="10">
        <f t="shared" si="1"/>
        <v>1400</v>
      </c>
      <c r="O10" s="10">
        <f t="shared" si="1"/>
        <v>1400</v>
      </c>
      <c r="P10" s="10">
        <f t="shared" si="1"/>
        <v>1400</v>
      </c>
      <c r="Q10" s="10">
        <f t="shared" si="1"/>
        <v>1400</v>
      </c>
      <c r="R10" s="10">
        <f t="shared" si="1"/>
        <v>1400</v>
      </c>
      <c r="S10" s="10">
        <f t="shared" si="1"/>
        <v>1400</v>
      </c>
      <c r="T10" s="10">
        <f t="shared" si="1"/>
        <v>1400</v>
      </c>
      <c r="U10" s="10">
        <f t="shared" si="1"/>
        <v>1400</v>
      </c>
      <c r="V10" s="10">
        <f t="shared" si="1"/>
        <v>1400</v>
      </c>
      <c r="W10" s="10">
        <f t="shared" si="1"/>
        <v>1400</v>
      </c>
      <c r="X10" s="10">
        <f t="shared" si="1"/>
        <v>1400</v>
      </c>
      <c r="Y10" s="10">
        <f t="shared" si="1"/>
        <v>1400</v>
      </c>
      <c r="Z10" s="11">
        <f t="shared" ref="Z10:Z21" si="3">SUM(B10:Y10)</f>
        <v>33600</v>
      </c>
      <c r="AA10" s="12">
        <v>31.0</v>
      </c>
      <c r="AB10" s="11">
        <f t="shared" ref="AB10:AB21" si="4">Z10*AA10</f>
        <v>1041600</v>
      </c>
    </row>
    <row r="11" ht="14.25" customHeight="1">
      <c r="A11" s="8">
        <v>46054.0</v>
      </c>
      <c r="B11" s="9">
        <v>1400.0</v>
      </c>
      <c r="C11" s="10">
        <f t="shared" ref="C11:Y11" si="2">B11</f>
        <v>1400</v>
      </c>
      <c r="D11" s="10">
        <f t="shared" si="2"/>
        <v>1400</v>
      </c>
      <c r="E11" s="10">
        <f t="shared" si="2"/>
        <v>1400</v>
      </c>
      <c r="F11" s="10">
        <f t="shared" si="2"/>
        <v>1400</v>
      </c>
      <c r="G11" s="10">
        <f t="shared" si="2"/>
        <v>1400</v>
      </c>
      <c r="H11" s="10">
        <f t="shared" si="2"/>
        <v>1400</v>
      </c>
      <c r="I11" s="10">
        <f t="shared" si="2"/>
        <v>1400</v>
      </c>
      <c r="J11" s="10">
        <f t="shared" si="2"/>
        <v>1400</v>
      </c>
      <c r="K11" s="10">
        <f t="shared" si="2"/>
        <v>1400</v>
      </c>
      <c r="L11" s="10">
        <f t="shared" si="2"/>
        <v>1400</v>
      </c>
      <c r="M11" s="10">
        <f t="shared" si="2"/>
        <v>1400</v>
      </c>
      <c r="N11" s="10">
        <f t="shared" si="2"/>
        <v>1400</v>
      </c>
      <c r="O11" s="10">
        <f t="shared" si="2"/>
        <v>1400</v>
      </c>
      <c r="P11" s="10">
        <f t="shared" si="2"/>
        <v>1400</v>
      </c>
      <c r="Q11" s="10">
        <f t="shared" si="2"/>
        <v>1400</v>
      </c>
      <c r="R11" s="10">
        <f t="shared" si="2"/>
        <v>1400</v>
      </c>
      <c r="S11" s="10">
        <f t="shared" si="2"/>
        <v>1400</v>
      </c>
      <c r="T11" s="10">
        <f t="shared" si="2"/>
        <v>1400</v>
      </c>
      <c r="U11" s="10">
        <f t="shared" si="2"/>
        <v>1400</v>
      </c>
      <c r="V11" s="10">
        <f t="shared" si="2"/>
        <v>1400</v>
      </c>
      <c r="W11" s="10">
        <f t="shared" si="2"/>
        <v>1400</v>
      </c>
      <c r="X11" s="10">
        <f t="shared" si="2"/>
        <v>1400</v>
      </c>
      <c r="Y11" s="10">
        <f t="shared" si="2"/>
        <v>1400</v>
      </c>
      <c r="Z11" s="11">
        <f t="shared" si="3"/>
        <v>33600</v>
      </c>
      <c r="AA11" s="11">
        <v>28.0</v>
      </c>
      <c r="AB11" s="11">
        <f t="shared" si="4"/>
        <v>940800</v>
      </c>
    </row>
    <row r="12" ht="14.25" customHeight="1">
      <c r="A12" s="8">
        <v>46082.0</v>
      </c>
      <c r="B12" s="9">
        <v>1400.0</v>
      </c>
      <c r="C12" s="10">
        <f t="shared" ref="C12:Y12" si="5">B12</f>
        <v>1400</v>
      </c>
      <c r="D12" s="10">
        <f t="shared" si="5"/>
        <v>1400</v>
      </c>
      <c r="E12" s="10">
        <f t="shared" si="5"/>
        <v>1400</v>
      </c>
      <c r="F12" s="10">
        <f t="shared" si="5"/>
        <v>1400</v>
      </c>
      <c r="G12" s="10">
        <f t="shared" si="5"/>
        <v>1400</v>
      </c>
      <c r="H12" s="10">
        <f t="shared" si="5"/>
        <v>1400</v>
      </c>
      <c r="I12" s="10">
        <f t="shared" si="5"/>
        <v>1400</v>
      </c>
      <c r="J12" s="10">
        <f t="shared" si="5"/>
        <v>1400</v>
      </c>
      <c r="K12" s="10">
        <f t="shared" si="5"/>
        <v>1400</v>
      </c>
      <c r="L12" s="10">
        <f t="shared" si="5"/>
        <v>1400</v>
      </c>
      <c r="M12" s="10">
        <f t="shared" si="5"/>
        <v>1400</v>
      </c>
      <c r="N12" s="10">
        <f t="shared" si="5"/>
        <v>1400</v>
      </c>
      <c r="O12" s="10">
        <f t="shared" si="5"/>
        <v>1400</v>
      </c>
      <c r="P12" s="10">
        <f t="shared" si="5"/>
        <v>1400</v>
      </c>
      <c r="Q12" s="10">
        <f t="shared" si="5"/>
        <v>1400</v>
      </c>
      <c r="R12" s="10">
        <f t="shared" si="5"/>
        <v>1400</v>
      </c>
      <c r="S12" s="10">
        <f t="shared" si="5"/>
        <v>1400</v>
      </c>
      <c r="T12" s="10">
        <f t="shared" si="5"/>
        <v>1400</v>
      </c>
      <c r="U12" s="10">
        <f t="shared" si="5"/>
        <v>1400</v>
      </c>
      <c r="V12" s="10">
        <f t="shared" si="5"/>
        <v>1400</v>
      </c>
      <c r="W12" s="10">
        <f t="shared" si="5"/>
        <v>1400</v>
      </c>
      <c r="X12" s="10">
        <f t="shared" si="5"/>
        <v>1400</v>
      </c>
      <c r="Y12" s="10">
        <f t="shared" si="5"/>
        <v>1400</v>
      </c>
      <c r="Z12" s="11">
        <f t="shared" si="3"/>
        <v>33600</v>
      </c>
      <c r="AA12" s="11">
        <v>31.0</v>
      </c>
      <c r="AB12" s="11">
        <f t="shared" si="4"/>
        <v>1041600</v>
      </c>
    </row>
    <row r="13" ht="14.25" customHeight="1">
      <c r="A13" s="8">
        <v>46113.0</v>
      </c>
      <c r="B13" s="9">
        <v>1400.0</v>
      </c>
      <c r="C13" s="10">
        <f t="shared" ref="C13:Y13" si="6">B13</f>
        <v>1400</v>
      </c>
      <c r="D13" s="10">
        <f t="shared" si="6"/>
        <v>1400</v>
      </c>
      <c r="E13" s="10">
        <f t="shared" si="6"/>
        <v>1400</v>
      </c>
      <c r="F13" s="10">
        <f t="shared" si="6"/>
        <v>1400</v>
      </c>
      <c r="G13" s="10">
        <f t="shared" si="6"/>
        <v>1400</v>
      </c>
      <c r="H13" s="10">
        <f t="shared" si="6"/>
        <v>1400</v>
      </c>
      <c r="I13" s="10">
        <f t="shared" si="6"/>
        <v>1400</v>
      </c>
      <c r="J13" s="10">
        <f t="shared" si="6"/>
        <v>1400</v>
      </c>
      <c r="K13" s="10">
        <f t="shared" si="6"/>
        <v>1400</v>
      </c>
      <c r="L13" s="10">
        <f t="shared" si="6"/>
        <v>1400</v>
      </c>
      <c r="M13" s="10">
        <f t="shared" si="6"/>
        <v>1400</v>
      </c>
      <c r="N13" s="10">
        <f t="shared" si="6"/>
        <v>1400</v>
      </c>
      <c r="O13" s="10">
        <f t="shared" si="6"/>
        <v>1400</v>
      </c>
      <c r="P13" s="10">
        <f t="shared" si="6"/>
        <v>1400</v>
      </c>
      <c r="Q13" s="10">
        <f t="shared" si="6"/>
        <v>1400</v>
      </c>
      <c r="R13" s="10">
        <f t="shared" si="6"/>
        <v>1400</v>
      </c>
      <c r="S13" s="10">
        <f t="shared" si="6"/>
        <v>1400</v>
      </c>
      <c r="T13" s="10">
        <f t="shared" si="6"/>
        <v>1400</v>
      </c>
      <c r="U13" s="10">
        <f t="shared" si="6"/>
        <v>1400</v>
      </c>
      <c r="V13" s="10">
        <f t="shared" si="6"/>
        <v>1400</v>
      </c>
      <c r="W13" s="10">
        <f t="shared" si="6"/>
        <v>1400</v>
      </c>
      <c r="X13" s="10">
        <f t="shared" si="6"/>
        <v>1400</v>
      </c>
      <c r="Y13" s="10">
        <f t="shared" si="6"/>
        <v>1400</v>
      </c>
      <c r="Z13" s="11">
        <f t="shared" si="3"/>
        <v>33600</v>
      </c>
      <c r="AA13" s="11">
        <v>30.0</v>
      </c>
      <c r="AB13" s="11">
        <f t="shared" si="4"/>
        <v>1008000</v>
      </c>
    </row>
    <row r="14" ht="14.25" customHeight="1">
      <c r="A14" s="8">
        <v>46143.0</v>
      </c>
      <c r="B14" s="9">
        <v>1400.0</v>
      </c>
      <c r="C14" s="10">
        <f t="shared" ref="C14:Y14" si="7">B14</f>
        <v>1400</v>
      </c>
      <c r="D14" s="10">
        <f t="shared" si="7"/>
        <v>1400</v>
      </c>
      <c r="E14" s="10">
        <f t="shared" si="7"/>
        <v>1400</v>
      </c>
      <c r="F14" s="10">
        <f t="shared" si="7"/>
        <v>1400</v>
      </c>
      <c r="G14" s="10">
        <f t="shared" si="7"/>
        <v>1400</v>
      </c>
      <c r="H14" s="10">
        <f t="shared" si="7"/>
        <v>1400</v>
      </c>
      <c r="I14" s="10">
        <f t="shared" si="7"/>
        <v>1400</v>
      </c>
      <c r="J14" s="10">
        <f t="shared" si="7"/>
        <v>1400</v>
      </c>
      <c r="K14" s="10">
        <f t="shared" si="7"/>
        <v>1400</v>
      </c>
      <c r="L14" s="10">
        <f t="shared" si="7"/>
        <v>1400</v>
      </c>
      <c r="M14" s="10">
        <f t="shared" si="7"/>
        <v>1400</v>
      </c>
      <c r="N14" s="10">
        <f t="shared" si="7"/>
        <v>1400</v>
      </c>
      <c r="O14" s="10">
        <f t="shared" si="7"/>
        <v>1400</v>
      </c>
      <c r="P14" s="10">
        <f t="shared" si="7"/>
        <v>1400</v>
      </c>
      <c r="Q14" s="10">
        <f t="shared" si="7"/>
        <v>1400</v>
      </c>
      <c r="R14" s="10">
        <f t="shared" si="7"/>
        <v>1400</v>
      </c>
      <c r="S14" s="10">
        <f t="shared" si="7"/>
        <v>1400</v>
      </c>
      <c r="T14" s="10">
        <f t="shared" si="7"/>
        <v>1400</v>
      </c>
      <c r="U14" s="10">
        <f t="shared" si="7"/>
        <v>1400</v>
      </c>
      <c r="V14" s="10">
        <f t="shared" si="7"/>
        <v>1400</v>
      </c>
      <c r="W14" s="10">
        <f t="shared" si="7"/>
        <v>1400</v>
      </c>
      <c r="X14" s="10">
        <f t="shared" si="7"/>
        <v>1400</v>
      </c>
      <c r="Y14" s="10">
        <f t="shared" si="7"/>
        <v>1400</v>
      </c>
      <c r="Z14" s="11">
        <f t="shared" si="3"/>
        <v>33600</v>
      </c>
      <c r="AA14" s="11">
        <v>31.0</v>
      </c>
      <c r="AB14" s="11">
        <f t="shared" si="4"/>
        <v>1041600</v>
      </c>
    </row>
    <row r="15" ht="14.25" customHeight="1">
      <c r="A15" s="8">
        <v>46174.0</v>
      </c>
      <c r="B15" s="9">
        <v>1400.0</v>
      </c>
      <c r="C15" s="10">
        <f t="shared" ref="C15:Y15" si="8">B15</f>
        <v>1400</v>
      </c>
      <c r="D15" s="10">
        <f t="shared" si="8"/>
        <v>1400</v>
      </c>
      <c r="E15" s="10">
        <f t="shared" si="8"/>
        <v>1400</v>
      </c>
      <c r="F15" s="10">
        <f t="shared" si="8"/>
        <v>1400</v>
      </c>
      <c r="G15" s="10">
        <f t="shared" si="8"/>
        <v>1400</v>
      </c>
      <c r="H15" s="10">
        <f t="shared" si="8"/>
        <v>1400</v>
      </c>
      <c r="I15" s="10">
        <f t="shared" si="8"/>
        <v>1400</v>
      </c>
      <c r="J15" s="10">
        <f t="shared" si="8"/>
        <v>1400</v>
      </c>
      <c r="K15" s="10">
        <f t="shared" si="8"/>
        <v>1400</v>
      </c>
      <c r="L15" s="10">
        <f t="shared" si="8"/>
        <v>1400</v>
      </c>
      <c r="M15" s="10">
        <f t="shared" si="8"/>
        <v>1400</v>
      </c>
      <c r="N15" s="10">
        <f t="shared" si="8"/>
        <v>1400</v>
      </c>
      <c r="O15" s="10">
        <f t="shared" si="8"/>
        <v>1400</v>
      </c>
      <c r="P15" s="10">
        <f t="shared" si="8"/>
        <v>1400</v>
      </c>
      <c r="Q15" s="10">
        <f t="shared" si="8"/>
        <v>1400</v>
      </c>
      <c r="R15" s="10">
        <f t="shared" si="8"/>
        <v>1400</v>
      </c>
      <c r="S15" s="10">
        <f t="shared" si="8"/>
        <v>1400</v>
      </c>
      <c r="T15" s="10">
        <f t="shared" si="8"/>
        <v>1400</v>
      </c>
      <c r="U15" s="10">
        <f t="shared" si="8"/>
        <v>1400</v>
      </c>
      <c r="V15" s="10">
        <f t="shared" si="8"/>
        <v>1400</v>
      </c>
      <c r="W15" s="10">
        <f t="shared" si="8"/>
        <v>1400</v>
      </c>
      <c r="X15" s="10">
        <f t="shared" si="8"/>
        <v>1400</v>
      </c>
      <c r="Y15" s="10">
        <f t="shared" si="8"/>
        <v>1400</v>
      </c>
      <c r="Z15" s="11">
        <f t="shared" si="3"/>
        <v>33600</v>
      </c>
      <c r="AA15" s="11">
        <v>30.0</v>
      </c>
      <c r="AB15" s="11">
        <f t="shared" si="4"/>
        <v>1008000</v>
      </c>
    </row>
    <row r="16" ht="14.25" customHeight="1">
      <c r="A16" s="8">
        <v>46204.0</v>
      </c>
      <c r="B16" s="9">
        <v>1400.0</v>
      </c>
      <c r="C16" s="10">
        <f t="shared" ref="C16:Y16" si="9">B16</f>
        <v>1400</v>
      </c>
      <c r="D16" s="10">
        <f t="shared" si="9"/>
        <v>1400</v>
      </c>
      <c r="E16" s="10">
        <f t="shared" si="9"/>
        <v>1400</v>
      </c>
      <c r="F16" s="10">
        <f t="shared" si="9"/>
        <v>1400</v>
      </c>
      <c r="G16" s="10">
        <f t="shared" si="9"/>
        <v>1400</v>
      </c>
      <c r="H16" s="10">
        <f t="shared" si="9"/>
        <v>1400</v>
      </c>
      <c r="I16" s="10">
        <f t="shared" si="9"/>
        <v>1400</v>
      </c>
      <c r="J16" s="10">
        <f t="shared" si="9"/>
        <v>1400</v>
      </c>
      <c r="K16" s="10">
        <f t="shared" si="9"/>
        <v>1400</v>
      </c>
      <c r="L16" s="10">
        <f t="shared" si="9"/>
        <v>1400</v>
      </c>
      <c r="M16" s="10">
        <f t="shared" si="9"/>
        <v>1400</v>
      </c>
      <c r="N16" s="10">
        <f t="shared" si="9"/>
        <v>1400</v>
      </c>
      <c r="O16" s="10">
        <f t="shared" si="9"/>
        <v>1400</v>
      </c>
      <c r="P16" s="10">
        <f t="shared" si="9"/>
        <v>1400</v>
      </c>
      <c r="Q16" s="10">
        <f t="shared" si="9"/>
        <v>1400</v>
      </c>
      <c r="R16" s="10">
        <f t="shared" si="9"/>
        <v>1400</v>
      </c>
      <c r="S16" s="10">
        <f t="shared" si="9"/>
        <v>1400</v>
      </c>
      <c r="T16" s="10">
        <f t="shared" si="9"/>
        <v>1400</v>
      </c>
      <c r="U16" s="10">
        <f t="shared" si="9"/>
        <v>1400</v>
      </c>
      <c r="V16" s="10">
        <f t="shared" si="9"/>
        <v>1400</v>
      </c>
      <c r="W16" s="10">
        <f t="shared" si="9"/>
        <v>1400</v>
      </c>
      <c r="X16" s="10">
        <f t="shared" si="9"/>
        <v>1400</v>
      </c>
      <c r="Y16" s="10">
        <f t="shared" si="9"/>
        <v>1400</v>
      </c>
      <c r="Z16" s="11">
        <f t="shared" si="3"/>
        <v>33600</v>
      </c>
      <c r="AA16" s="11">
        <v>31.0</v>
      </c>
      <c r="AB16" s="11">
        <f t="shared" si="4"/>
        <v>1041600</v>
      </c>
    </row>
    <row r="17" ht="14.25" customHeight="1">
      <c r="A17" s="8">
        <v>46235.0</v>
      </c>
      <c r="B17" s="9">
        <v>1400.0</v>
      </c>
      <c r="C17" s="10">
        <f t="shared" ref="C17:Y17" si="10">B17</f>
        <v>1400</v>
      </c>
      <c r="D17" s="10">
        <f t="shared" si="10"/>
        <v>1400</v>
      </c>
      <c r="E17" s="10">
        <f t="shared" si="10"/>
        <v>1400</v>
      </c>
      <c r="F17" s="10">
        <f t="shared" si="10"/>
        <v>1400</v>
      </c>
      <c r="G17" s="10">
        <f t="shared" si="10"/>
        <v>1400</v>
      </c>
      <c r="H17" s="10">
        <f t="shared" si="10"/>
        <v>1400</v>
      </c>
      <c r="I17" s="10">
        <f t="shared" si="10"/>
        <v>1400</v>
      </c>
      <c r="J17" s="10">
        <f t="shared" si="10"/>
        <v>1400</v>
      </c>
      <c r="K17" s="10">
        <f t="shared" si="10"/>
        <v>1400</v>
      </c>
      <c r="L17" s="10">
        <f t="shared" si="10"/>
        <v>1400</v>
      </c>
      <c r="M17" s="10">
        <f t="shared" si="10"/>
        <v>1400</v>
      </c>
      <c r="N17" s="10">
        <f t="shared" si="10"/>
        <v>1400</v>
      </c>
      <c r="O17" s="10">
        <f t="shared" si="10"/>
        <v>1400</v>
      </c>
      <c r="P17" s="10">
        <f t="shared" si="10"/>
        <v>1400</v>
      </c>
      <c r="Q17" s="10">
        <f t="shared" si="10"/>
        <v>1400</v>
      </c>
      <c r="R17" s="10">
        <f t="shared" si="10"/>
        <v>1400</v>
      </c>
      <c r="S17" s="10">
        <f t="shared" si="10"/>
        <v>1400</v>
      </c>
      <c r="T17" s="10">
        <f t="shared" si="10"/>
        <v>1400</v>
      </c>
      <c r="U17" s="10">
        <f t="shared" si="10"/>
        <v>1400</v>
      </c>
      <c r="V17" s="10">
        <f t="shared" si="10"/>
        <v>1400</v>
      </c>
      <c r="W17" s="10">
        <f t="shared" si="10"/>
        <v>1400</v>
      </c>
      <c r="X17" s="10">
        <f t="shared" si="10"/>
        <v>1400</v>
      </c>
      <c r="Y17" s="10">
        <f t="shared" si="10"/>
        <v>1400</v>
      </c>
      <c r="Z17" s="11">
        <f t="shared" si="3"/>
        <v>33600</v>
      </c>
      <c r="AA17" s="11">
        <v>31.0</v>
      </c>
      <c r="AB17" s="11">
        <f t="shared" si="4"/>
        <v>1041600</v>
      </c>
    </row>
    <row r="18" ht="14.25" customHeight="1">
      <c r="A18" s="8">
        <v>46266.0</v>
      </c>
      <c r="B18" s="9">
        <v>1400.0</v>
      </c>
      <c r="C18" s="10">
        <f t="shared" ref="C18:Y18" si="11">B18</f>
        <v>1400</v>
      </c>
      <c r="D18" s="10">
        <f t="shared" si="11"/>
        <v>1400</v>
      </c>
      <c r="E18" s="10">
        <f t="shared" si="11"/>
        <v>1400</v>
      </c>
      <c r="F18" s="10">
        <f t="shared" si="11"/>
        <v>1400</v>
      </c>
      <c r="G18" s="10">
        <f t="shared" si="11"/>
        <v>1400</v>
      </c>
      <c r="H18" s="10">
        <f t="shared" si="11"/>
        <v>1400</v>
      </c>
      <c r="I18" s="10">
        <f t="shared" si="11"/>
        <v>1400</v>
      </c>
      <c r="J18" s="10">
        <f t="shared" si="11"/>
        <v>1400</v>
      </c>
      <c r="K18" s="10">
        <f t="shared" si="11"/>
        <v>1400</v>
      </c>
      <c r="L18" s="10">
        <f t="shared" si="11"/>
        <v>1400</v>
      </c>
      <c r="M18" s="10">
        <f t="shared" si="11"/>
        <v>1400</v>
      </c>
      <c r="N18" s="10">
        <f t="shared" si="11"/>
        <v>1400</v>
      </c>
      <c r="O18" s="10">
        <f t="shared" si="11"/>
        <v>1400</v>
      </c>
      <c r="P18" s="10">
        <f t="shared" si="11"/>
        <v>1400</v>
      </c>
      <c r="Q18" s="10">
        <f t="shared" si="11"/>
        <v>1400</v>
      </c>
      <c r="R18" s="10">
        <f t="shared" si="11"/>
        <v>1400</v>
      </c>
      <c r="S18" s="10">
        <f t="shared" si="11"/>
        <v>1400</v>
      </c>
      <c r="T18" s="10">
        <f t="shared" si="11"/>
        <v>1400</v>
      </c>
      <c r="U18" s="10">
        <f t="shared" si="11"/>
        <v>1400</v>
      </c>
      <c r="V18" s="10">
        <f t="shared" si="11"/>
        <v>1400</v>
      </c>
      <c r="W18" s="10">
        <f t="shared" si="11"/>
        <v>1400</v>
      </c>
      <c r="X18" s="10">
        <f t="shared" si="11"/>
        <v>1400</v>
      </c>
      <c r="Y18" s="10">
        <f t="shared" si="11"/>
        <v>1400</v>
      </c>
      <c r="Z18" s="11">
        <f t="shared" si="3"/>
        <v>33600</v>
      </c>
      <c r="AA18" s="11">
        <v>30.0</v>
      </c>
      <c r="AB18" s="11">
        <f t="shared" si="4"/>
        <v>1008000</v>
      </c>
    </row>
    <row r="19" ht="14.25" customHeight="1">
      <c r="A19" s="8">
        <v>46296.0</v>
      </c>
      <c r="B19" s="9">
        <v>1400.0</v>
      </c>
      <c r="C19" s="10">
        <f t="shared" ref="C19:Y19" si="12">B19</f>
        <v>1400</v>
      </c>
      <c r="D19" s="10">
        <f t="shared" si="12"/>
        <v>1400</v>
      </c>
      <c r="E19" s="10">
        <f t="shared" si="12"/>
        <v>1400</v>
      </c>
      <c r="F19" s="10">
        <f t="shared" si="12"/>
        <v>1400</v>
      </c>
      <c r="G19" s="10">
        <f t="shared" si="12"/>
        <v>1400</v>
      </c>
      <c r="H19" s="10">
        <f t="shared" si="12"/>
        <v>1400</v>
      </c>
      <c r="I19" s="10">
        <f t="shared" si="12"/>
        <v>1400</v>
      </c>
      <c r="J19" s="10">
        <f t="shared" si="12"/>
        <v>1400</v>
      </c>
      <c r="K19" s="10">
        <f t="shared" si="12"/>
        <v>1400</v>
      </c>
      <c r="L19" s="10">
        <f t="shared" si="12"/>
        <v>1400</v>
      </c>
      <c r="M19" s="10">
        <f t="shared" si="12"/>
        <v>1400</v>
      </c>
      <c r="N19" s="10">
        <f t="shared" si="12"/>
        <v>1400</v>
      </c>
      <c r="O19" s="10">
        <f t="shared" si="12"/>
        <v>1400</v>
      </c>
      <c r="P19" s="10">
        <f t="shared" si="12"/>
        <v>1400</v>
      </c>
      <c r="Q19" s="10">
        <f t="shared" si="12"/>
        <v>1400</v>
      </c>
      <c r="R19" s="10">
        <f t="shared" si="12"/>
        <v>1400</v>
      </c>
      <c r="S19" s="10">
        <f t="shared" si="12"/>
        <v>1400</v>
      </c>
      <c r="T19" s="10">
        <f t="shared" si="12"/>
        <v>1400</v>
      </c>
      <c r="U19" s="10">
        <f t="shared" si="12"/>
        <v>1400</v>
      </c>
      <c r="V19" s="10">
        <f t="shared" si="12"/>
        <v>1400</v>
      </c>
      <c r="W19" s="10">
        <f t="shared" si="12"/>
        <v>1400</v>
      </c>
      <c r="X19" s="10">
        <f t="shared" si="12"/>
        <v>1400</v>
      </c>
      <c r="Y19" s="10">
        <f t="shared" si="12"/>
        <v>1400</v>
      </c>
      <c r="Z19" s="11">
        <f t="shared" si="3"/>
        <v>33600</v>
      </c>
      <c r="AA19" s="11">
        <v>31.0</v>
      </c>
      <c r="AB19" s="11">
        <f t="shared" si="4"/>
        <v>1041600</v>
      </c>
    </row>
    <row r="20" ht="14.25" customHeight="1">
      <c r="A20" s="8">
        <v>46327.0</v>
      </c>
      <c r="B20" s="9">
        <v>1400.0</v>
      </c>
      <c r="C20" s="10">
        <f t="shared" ref="C20:Y20" si="13">B20</f>
        <v>1400</v>
      </c>
      <c r="D20" s="10">
        <f t="shared" si="13"/>
        <v>1400</v>
      </c>
      <c r="E20" s="10">
        <f t="shared" si="13"/>
        <v>1400</v>
      </c>
      <c r="F20" s="10">
        <f t="shared" si="13"/>
        <v>1400</v>
      </c>
      <c r="G20" s="10">
        <f t="shared" si="13"/>
        <v>1400</v>
      </c>
      <c r="H20" s="10">
        <f t="shared" si="13"/>
        <v>1400</v>
      </c>
      <c r="I20" s="10">
        <f t="shared" si="13"/>
        <v>1400</v>
      </c>
      <c r="J20" s="10">
        <f t="shared" si="13"/>
        <v>1400</v>
      </c>
      <c r="K20" s="10">
        <f t="shared" si="13"/>
        <v>1400</v>
      </c>
      <c r="L20" s="10">
        <f t="shared" si="13"/>
        <v>1400</v>
      </c>
      <c r="M20" s="10">
        <f t="shared" si="13"/>
        <v>1400</v>
      </c>
      <c r="N20" s="10">
        <f t="shared" si="13"/>
        <v>1400</v>
      </c>
      <c r="O20" s="10">
        <f t="shared" si="13"/>
        <v>1400</v>
      </c>
      <c r="P20" s="10">
        <f t="shared" si="13"/>
        <v>1400</v>
      </c>
      <c r="Q20" s="10">
        <f t="shared" si="13"/>
        <v>1400</v>
      </c>
      <c r="R20" s="10">
        <f t="shared" si="13"/>
        <v>1400</v>
      </c>
      <c r="S20" s="10">
        <f t="shared" si="13"/>
        <v>1400</v>
      </c>
      <c r="T20" s="10">
        <f t="shared" si="13"/>
        <v>1400</v>
      </c>
      <c r="U20" s="10">
        <f t="shared" si="13"/>
        <v>1400</v>
      </c>
      <c r="V20" s="10">
        <f t="shared" si="13"/>
        <v>1400</v>
      </c>
      <c r="W20" s="10">
        <f t="shared" si="13"/>
        <v>1400</v>
      </c>
      <c r="X20" s="10">
        <f t="shared" si="13"/>
        <v>1400</v>
      </c>
      <c r="Y20" s="10">
        <f t="shared" si="13"/>
        <v>1400</v>
      </c>
      <c r="Z20" s="11">
        <f t="shared" si="3"/>
        <v>33600</v>
      </c>
      <c r="AA20" s="11">
        <v>30.0</v>
      </c>
      <c r="AB20" s="11">
        <f t="shared" si="4"/>
        <v>1008000</v>
      </c>
    </row>
    <row r="21" ht="14.25" customHeight="1">
      <c r="A21" s="8">
        <v>46357.0</v>
      </c>
      <c r="B21" s="9">
        <v>1400.0</v>
      </c>
      <c r="C21" s="10">
        <f t="shared" ref="C21:Y21" si="14">B21</f>
        <v>1400</v>
      </c>
      <c r="D21" s="10">
        <f t="shared" si="14"/>
        <v>1400</v>
      </c>
      <c r="E21" s="10">
        <f t="shared" si="14"/>
        <v>1400</v>
      </c>
      <c r="F21" s="10">
        <f t="shared" si="14"/>
        <v>1400</v>
      </c>
      <c r="G21" s="10">
        <f t="shared" si="14"/>
        <v>1400</v>
      </c>
      <c r="H21" s="10">
        <f t="shared" si="14"/>
        <v>1400</v>
      </c>
      <c r="I21" s="10">
        <f t="shared" si="14"/>
        <v>1400</v>
      </c>
      <c r="J21" s="10">
        <f t="shared" si="14"/>
        <v>1400</v>
      </c>
      <c r="K21" s="10">
        <f t="shared" si="14"/>
        <v>1400</v>
      </c>
      <c r="L21" s="10">
        <f t="shared" si="14"/>
        <v>1400</v>
      </c>
      <c r="M21" s="10">
        <f t="shared" si="14"/>
        <v>1400</v>
      </c>
      <c r="N21" s="10">
        <f t="shared" si="14"/>
        <v>1400</v>
      </c>
      <c r="O21" s="10">
        <f t="shared" si="14"/>
        <v>1400</v>
      </c>
      <c r="P21" s="10">
        <f t="shared" si="14"/>
        <v>1400</v>
      </c>
      <c r="Q21" s="10">
        <f t="shared" si="14"/>
        <v>1400</v>
      </c>
      <c r="R21" s="10">
        <f t="shared" si="14"/>
        <v>1400</v>
      </c>
      <c r="S21" s="10">
        <f t="shared" si="14"/>
        <v>1400</v>
      </c>
      <c r="T21" s="10">
        <f t="shared" si="14"/>
        <v>1400</v>
      </c>
      <c r="U21" s="10">
        <f t="shared" si="14"/>
        <v>1400</v>
      </c>
      <c r="V21" s="10">
        <f t="shared" si="14"/>
        <v>1400</v>
      </c>
      <c r="W21" s="10">
        <f t="shared" si="14"/>
        <v>1400</v>
      </c>
      <c r="X21" s="10">
        <f t="shared" si="14"/>
        <v>1400</v>
      </c>
      <c r="Y21" s="10">
        <f t="shared" si="14"/>
        <v>1400</v>
      </c>
      <c r="Z21" s="11">
        <f t="shared" si="3"/>
        <v>33600</v>
      </c>
      <c r="AA21" s="11">
        <v>31.0</v>
      </c>
      <c r="AB21" s="11">
        <f t="shared" si="4"/>
        <v>1041600</v>
      </c>
    </row>
    <row r="22" ht="14.25" customHeight="1">
      <c r="AA22" s="13" t="s">
        <v>32</v>
      </c>
      <c r="AB22" s="14">
        <f>SUM(AB10:AB21)</f>
        <v>12264000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</sheetData>
  <mergeCells count="4">
    <mergeCell ref="A1:AB1"/>
    <mergeCell ref="A2:AB2"/>
    <mergeCell ref="A3:AB3"/>
    <mergeCell ref="A4:AB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4" width="16.0"/>
    <col customWidth="1" min="5" max="5" width="12.43"/>
    <col customWidth="1" min="6" max="6" width="13.0"/>
    <col customWidth="1" min="7" max="8" width="10.71"/>
    <col customWidth="1" min="9" max="9" width="14.86"/>
    <col customWidth="1" min="10" max="21" width="10.71"/>
  </cols>
  <sheetData>
    <row r="1" ht="14.25" customHeight="1"/>
    <row r="2" ht="14.25" customHeight="1"/>
    <row r="3" ht="14.25" customHeight="1"/>
    <row r="4" ht="14.25" customHeight="1">
      <c r="A4" s="15"/>
      <c r="B4" s="16" t="s">
        <v>3</v>
      </c>
    </row>
    <row r="5" ht="14.25" customHeight="1">
      <c r="A5" s="15"/>
      <c r="B5" s="17" t="s">
        <v>33</v>
      </c>
    </row>
    <row r="6" ht="14.25" customHeight="1">
      <c r="A6" s="15"/>
      <c r="B6" s="17" t="s">
        <v>34</v>
      </c>
    </row>
    <row r="7" ht="14.25" customHeight="1">
      <c r="A7" s="15"/>
      <c r="B7" s="17" t="s">
        <v>35</v>
      </c>
    </row>
    <row r="8" ht="14.25" customHeight="1">
      <c r="A8" s="15"/>
      <c r="B8" s="18" t="s">
        <v>36</v>
      </c>
    </row>
    <row r="9" ht="14.25" customHeight="1">
      <c r="A9" s="15"/>
      <c r="B9" s="17"/>
      <c r="C9" s="17"/>
      <c r="D9" s="17"/>
      <c r="E9" s="17"/>
      <c r="F9" s="17"/>
      <c r="G9" s="17"/>
    </row>
    <row r="10" ht="14.25" customHeight="1">
      <c r="A10" s="15"/>
      <c r="B10" s="19" t="s">
        <v>37</v>
      </c>
      <c r="C10" s="20"/>
      <c r="D10" s="20"/>
      <c r="E10" s="20"/>
      <c r="F10" s="21"/>
      <c r="G10" s="17"/>
    </row>
    <row r="11">
      <c r="A11" s="15"/>
      <c r="B11" s="22" t="s">
        <v>4</v>
      </c>
      <c r="C11" s="23" t="s">
        <v>38</v>
      </c>
      <c r="D11" s="23" t="s">
        <v>39</v>
      </c>
      <c r="E11" s="24" t="s">
        <v>40</v>
      </c>
      <c r="F11" s="25" t="s">
        <v>41</v>
      </c>
      <c r="G11" s="17"/>
    </row>
    <row r="12" ht="14.25" customHeight="1">
      <c r="A12" s="15"/>
      <c r="B12" s="26">
        <v>46023.0</v>
      </c>
      <c r="C12" s="27">
        <f>'Cant. Requeridas Producto 1'!AB10</f>
        <v>1041600</v>
      </c>
      <c r="D12" s="28"/>
      <c r="E12" s="27">
        <f t="shared" ref="E12:E23" si="1">C12*D12</f>
        <v>0</v>
      </c>
      <c r="F12" s="29"/>
      <c r="G12" s="17"/>
    </row>
    <row r="13" ht="14.25" customHeight="1">
      <c r="A13" s="15"/>
      <c r="B13" s="26">
        <v>46054.0</v>
      </c>
      <c r="C13" s="27">
        <f>'Cant. Requeridas Producto 1'!AB11</f>
        <v>940800</v>
      </c>
      <c r="D13" s="30"/>
      <c r="E13" s="27">
        <f t="shared" si="1"/>
        <v>0</v>
      </c>
      <c r="F13" s="30"/>
      <c r="G13" s="17"/>
    </row>
    <row r="14" ht="14.25" customHeight="1">
      <c r="A14" s="15"/>
      <c r="B14" s="26">
        <v>46082.0</v>
      </c>
      <c r="C14" s="27">
        <f>'Cant. Requeridas Producto 1'!AB12</f>
        <v>1041600</v>
      </c>
      <c r="D14" s="30"/>
      <c r="E14" s="27">
        <f t="shared" si="1"/>
        <v>0</v>
      </c>
      <c r="F14" s="30"/>
      <c r="G14" s="17"/>
    </row>
    <row r="15" ht="14.25" customHeight="1">
      <c r="A15" s="15"/>
      <c r="B15" s="26">
        <v>46113.0</v>
      </c>
      <c r="C15" s="27">
        <f>'Cant. Requeridas Producto 1'!AB13</f>
        <v>1008000</v>
      </c>
      <c r="D15" s="30"/>
      <c r="E15" s="27">
        <f t="shared" si="1"/>
        <v>0</v>
      </c>
      <c r="F15" s="30"/>
      <c r="G15" s="17"/>
    </row>
    <row r="16" ht="14.25" customHeight="1">
      <c r="A16" s="15"/>
      <c r="B16" s="26">
        <v>46143.0</v>
      </c>
      <c r="C16" s="27">
        <f>'Cant. Requeridas Producto 1'!AB14</f>
        <v>1041600</v>
      </c>
      <c r="D16" s="30"/>
      <c r="E16" s="27">
        <f t="shared" si="1"/>
        <v>0</v>
      </c>
      <c r="F16" s="30"/>
      <c r="G16" s="17"/>
    </row>
    <row r="17" ht="14.25" customHeight="1">
      <c r="A17" s="15"/>
      <c r="B17" s="26">
        <v>46174.0</v>
      </c>
      <c r="C17" s="27">
        <f>'Cant. Requeridas Producto 1'!AB15</f>
        <v>1008000</v>
      </c>
      <c r="D17" s="30"/>
      <c r="E17" s="27">
        <f t="shared" si="1"/>
        <v>0</v>
      </c>
      <c r="F17" s="30"/>
      <c r="G17" s="17"/>
    </row>
    <row r="18" ht="14.25" customHeight="1">
      <c r="A18" s="15"/>
      <c r="B18" s="26">
        <v>46204.0</v>
      </c>
      <c r="C18" s="27">
        <f>'Cant. Requeridas Producto 1'!AB16</f>
        <v>1041600</v>
      </c>
      <c r="D18" s="30"/>
      <c r="E18" s="27">
        <f t="shared" si="1"/>
        <v>0</v>
      </c>
      <c r="F18" s="30"/>
      <c r="G18" s="17"/>
    </row>
    <row r="19" ht="14.25" customHeight="1">
      <c r="A19" s="15"/>
      <c r="B19" s="26">
        <v>46235.0</v>
      </c>
      <c r="C19" s="27">
        <f>'Cant. Requeridas Producto 1'!AB17</f>
        <v>1041600</v>
      </c>
      <c r="D19" s="30"/>
      <c r="E19" s="27">
        <f t="shared" si="1"/>
        <v>0</v>
      </c>
      <c r="F19" s="30"/>
      <c r="G19" s="17"/>
    </row>
    <row r="20" ht="14.25" customHeight="1">
      <c r="A20" s="15"/>
      <c r="B20" s="26">
        <v>46266.0</v>
      </c>
      <c r="C20" s="27">
        <f>'Cant. Requeridas Producto 1'!AB18</f>
        <v>1008000</v>
      </c>
      <c r="D20" s="30"/>
      <c r="E20" s="27">
        <f t="shared" si="1"/>
        <v>0</v>
      </c>
      <c r="F20" s="30"/>
      <c r="G20" s="17"/>
    </row>
    <row r="21" ht="14.25" customHeight="1">
      <c r="A21" s="15"/>
      <c r="B21" s="26">
        <v>46296.0</v>
      </c>
      <c r="C21" s="27">
        <f>'Cant. Requeridas Producto 1'!AB19</f>
        <v>1041600</v>
      </c>
      <c r="D21" s="30"/>
      <c r="E21" s="27">
        <f t="shared" si="1"/>
        <v>0</v>
      </c>
      <c r="F21" s="30"/>
      <c r="G21" s="17"/>
    </row>
    <row r="22" ht="14.25" customHeight="1">
      <c r="A22" s="15"/>
      <c r="B22" s="26">
        <v>46327.0</v>
      </c>
      <c r="C22" s="27">
        <f>'Cant. Requeridas Producto 1'!AB20</f>
        <v>1008000</v>
      </c>
      <c r="D22" s="30"/>
      <c r="E22" s="27">
        <f t="shared" si="1"/>
        <v>0</v>
      </c>
      <c r="F22" s="30"/>
      <c r="G22" s="17"/>
    </row>
    <row r="23" ht="14.25" customHeight="1">
      <c r="A23" s="15"/>
      <c r="B23" s="26">
        <v>46357.0</v>
      </c>
      <c r="C23" s="27">
        <f>'Cant. Requeridas Producto 1'!AB21</f>
        <v>1041600</v>
      </c>
      <c r="D23" s="31"/>
      <c r="E23" s="27">
        <f t="shared" si="1"/>
        <v>0</v>
      </c>
      <c r="F23" s="31"/>
      <c r="G23" s="17"/>
    </row>
    <row r="24" ht="14.25" customHeight="1">
      <c r="A24" s="15"/>
      <c r="B24" s="32" t="s">
        <v>32</v>
      </c>
      <c r="C24" s="33">
        <f>SUM(C12:C23)</f>
        <v>12264000</v>
      </c>
      <c r="D24" s="34"/>
      <c r="E24" s="33">
        <f>SUM(E12:E23)</f>
        <v>0</v>
      </c>
      <c r="F24" s="35"/>
      <c r="G24" s="17"/>
    </row>
    <row r="25" ht="14.25" customHeight="1">
      <c r="A25" s="15"/>
      <c r="B25" s="17"/>
      <c r="C25" s="36"/>
      <c r="D25" s="36"/>
      <c r="E25" s="17"/>
      <c r="F25" s="17"/>
      <c r="G25" s="17"/>
    </row>
    <row r="26" ht="14.25" customHeight="1">
      <c r="C26" s="37"/>
      <c r="E26" s="38"/>
    </row>
    <row r="27" ht="14.25" customHeight="1">
      <c r="B27" s="39" t="s">
        <v>42</v>
      </c>
      <c r="G27" s="40"/>
    </row>
    <row r="28">
      <c r="B28" s="41" t="s">
        <v>43</v>
      </c>
      <c r="K28" s="42"/>
    </row>
    <row r="29" ht="32.25" customHeight="1">
      <c r="B29" s="42" t="s">
        <v>44</v>
      </c>
      <c r="K29" s="42"/>
    </row>
    <row r="30" ht="14.25" customHeight="1">
      <c r="B30" s="43"/>
    </row>
    <row r="31" ht="14.25" customHeight="1"/>
    <row r="32" ht="14.25" customHeight="1"/>
    <row r="33" ht="14.25" customHeight="1">
      <c r="B33" s="44"/>
      <c r="C33" s="44"/>
    </row>
    <row r="34" ht="14.25" customHeight="1">
      <c r="B34" s="5" t="s">
        <v>45</v>
      </c>
    </row>
    <row r="35" ht="14.25" customHeight="1">
      <c r="B35" s="5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F12:F23"/>
    <mergeCell ref="B27:F27"/>
    <mergeCell ref="B28:G28"/>
    <mergeCell ref="K28:P28"/>
    <mergeCell ref="B29:G29"/>
    <mergeCell ref="K29:P29"/>
    <mergeCell ref="B30:G30"/>
    <mergeCell ref="B4:G4"/>
    <mergeCell ref="B5:G5"/>
    <mergeCell ref="B6:G6"/>
    <mergeCell ref="B7:G7"/>
    <mergeCell ref="B8:G8"/>
    <mergeCell ref="B10:F10"/>
    <mergeCell ref="D12:D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47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</row>
    <row r="6" ht="14.25" customHeight="1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  <c r="AA6" s="5"/>
    </row>
    <row r="7" ht="14.25" customHeight="1">
      <c r="A7" s="3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</row>
    <row r="10" ht="14.25" customHeight="1">
      <c r="A10" s="8">
        <v>46023.0</v>
      </c>
      <c r="B10" s="9">
        <v>2800.0</v>
      </c>
      <c r="C10" s="10">
        <f t="shared" ref="C10:Y10" si="1">B10</f>
        <v>2800</v>
      </c>
      <c r="D10" s="10">
        <f t="shared" si="1"/>
        <v>2800</v>
      </c>
      <c r="E10" s="10">
        <f t="shared" si="1"/>
        <v>2800</v>
      </c>
      <c r="F10" s="10">
        <f t="shared" si="1"/>
        <v>2800</v>
      </c>
      <c r="G10" s="10">
        <f t="shared" si="1"/>
        <v>2800</v>
      </c>
      <c r="H10" s="10">
        <f t="shared" si="1"/>
        <v>2800</v>
      </c>
      <c r="I10" s="10">
        <f t="shared" si="1"/>
        <v>2800</v>
      </c>
      <c r="J10" s="10">
        <f t="shared" si="1"/>
        <v>2800</v>
      </c>
      <c r="K10" s="10">
        <f t="shared" si="1"/>
        <v>2800</v>
      </c>
      <c r="L10" s="10">
        <f t="shared" si="1"/>
        <v>2800</v>
      </c>
      <c r="M10" s="10">
        <f t="shared" si="1"/>
        <v>2800</v>
      </c>
      <c r="N10" s="10">
        <f t="shared" si="1"/>
        <v>2800</v>
      </c>
      <c r="O10" s="10">
        <f t="shared" si="1"/>
        <v>2800</v>
      </c>
      <c r="P10" s="10">
        <f t="shared" si="1"/>
        <v>2800</v>
      </c>
      <c r="Q10" s="10">
        <f t="shared" si="1"/>
        <v>2800</v>
      </c>
      <c r="R10" s="10">
        <f t="shared" si="1"/>
        <v>2800</v>
      </c>
      <c r="S10" s="10">
        <f t="shared" si="1"/>
        <v>2800</v>
      </c>
      <c r="T10" s="10">
        <f t="shared" si="1"/>
        <v>2800</v>
      </c>
      <c r="U10" s="10">
        <f t="shared" si="1"/>
        <v>2800</v>
      </c>
      <c r="V10" s="10">
        <f t="shared" si="1"/>
        <v>2800</v>
      </c>
      <c r="W10" s="10">
        <f t="shared" si="1"/>
        <v>2800</v>
      </c>
      <c r="X10" s="10">
        <f t="shared" si="1"/>
        <v>2800</v>
      </c>
      <c r="Y10" s="10">
        <f t="shared" si="1"/>
        <v>2800</v>
      </c>
      <c r="Z10" s="11">
        <f t="shared" ref="Z10:Z21" si="3">SUM(B10:Y10)</f>
        <v>67200</v>
      </c>
      <c r="AA10" s="12">
        <v>31.0</v>
      </c>
      <c r="AB10" s="11">
        <f t="shared" ref="AB10:AB21" si="4">Z10*AA10</f>
        <v>2083200</v>
      </c>
    </row>
    <row r="11" ht="14.25" customHeight="1">
      <c r="A11" s="8">
        <v>46054.0</v>
      </c>
      <c r="B11" s="9">
        <v>2800.0</v>
      </c>
      <c r="C11" s="10">
        <f t="shared" ref="C11:Y11" si="2">B11</f>
        <v>2800</v>
      </c>
      <c r="D11" s="10">
        <f t="shared" si="2"/>
        <v>2800</v>
      </c>
      <c r="E11" s="10">
        <f t="shared" si="2"/>
        <v>2800</v>
      </c>
      <c r="F11" s="10">
        <f t="shared" si="2"/>
        <v>2800</v>
      </c>
      <c r="G11" s="10">
        <f t="shared" si="2"/>
        <v>2800</v>
      </c>
      <c r="H11" s="10">
        <f t="shared" si="2"/>
        <v>2800</v>
      </c>
      <c r="I11" s="10">
        <f t="shared" si="2"/>
        <v>2800</v>
      </c>
      <c r="J11" s="10">
        <f t="shared" si="2"/>
        <v>2800</v>
      </c>
      <c r="K11" s="10">
        <f t="shared" si="2"/>
        <v>2800</v>
      </c>
      <c r="L11" s="10">
        <f t="shared" si="2"/>
        <v>2800</v>
      </c>
      <c r="M11" s="10">
        <f t="shared" si="2"/>
        <v>2800</v>
      </c>
      <c r="N11" s="10">
        <f t="shared" si="2"/>
        <v>2800</v>
      </c>
      <c r="O11" s="10">
        <f t="shared" si="2"/>
        <v>2800</v>
      </c>
      <c r="P11" s="10">
        <f t="shared" si="2"/>
        <v>2800</v>
      </c>
      <c r="Q11" s="10">
        <f t="shared" si="2"/>
        <v>2800</v>
      </c>
      <c r="R11" s="10">
        <f t="shared" si="2"/>
        <v>2800</v>
      </c>
      <c r="S11" s="10">
        <f t="shared" si="2"/>
        <v>2800</v>
      </c>
      <c r="T11" s="10">
        <f t="shared" si="2"/>
        <v>2800</v>
      </c>
      <c r="U11" s="10">
        <f t="shared" si="2"/>
        <v>2800</v>
      </c>
      <c r="V11" s="10">
        <f t="shared" si="2"/>
        <v>2800</v>
      </c>
      <c r="W11" s="10">
        <f t="shared" si="2"/>
        <v>2800</v>
      </c>
      <c r="X11" s="10">
        <f t="shared" si="2"/>
        <v>2800</v>
      </c>
      <c r="Y11" s="10">
        <f t="shared" si="2"/>
        <v>2800</v>
      </c>
      <c r="Z11" s="11">
        <f t="shared" si="3"/>
        <v>67200</v>
      </c>
      <c r="AA11" s="11">
        <v>28.0</v>
      </c>
      <c r="AB11" s="11">
        <f t="shared" si="4"/>
        <v>1881600</v>
      </c>
    </row>
    <row r="12" ht="14.25" customHeight="1">
      <c r="A12" s="8">
        <v>46082.0</v>
      </c>
      <c r="B12" s="9">
        <v>2800.0</v>
      </c>
      <c r="C12" s="10">
        <f t="shared" ref="C12:Y12" si="5">B12</f>
        <v>2800</v>
      </c>
      <c r="D12" s="10">
        <f t="shared" si="5"/>
        <v>2800</v>
      </c>
      <c r="E12" s="10">
        <f t="shared" si="5"/>
        <v>2800</v>
      </c>
      <c r="F12" s="10">
        <f t="shared" si="5"/>
        <v>2800</v>
      </c>
      <c r="G12" s="10">
        <f t="shared" si="5"/>
        <v>2800</v>
      </c>
      <c r="H12" s="10">
        <f t="shared" si="5"/>
        <v>2800</v>
      </c>
      <c r="I12" s="10">
        <f t="shared" si="5"/>
        <v>2800</v>
      </c>
      <c r="J12" s="10">
        <f t="shared" si="5"/>
        <v>2800</v>
      </c>
      <c r="K12" s="10">
        <f t="shared" si="5"/>
        <v>2800</v>
      </c>
      <c r="L12" s="10">
        <f t="shared" si="5"/>
        <v>2800</v>
      </c>
      <c r="M12" s="10">
        <f t="shared" si="5"/>
        <v>2800</v>
      </c>
      <c r="N12" s="10">
        <f t="shared" si="5"/>
        <v>2800</v>
      </c>
      <c r="O12" s="10">
        <f t="shared" si="5"/>
        <v>2800</v>
      </c>
      <c r="P12" s="10">
        <f t="shared" si="5"/>
        <v>2800</v>
      </c>
      <c r="Q12" s="10">
        <f t="shared" si="5"/>
        <v>2800</v>
      </c>
      <c r="R12" s="10">
        <f t="shared" si="5"/>
        <v>2800</v>
      </c>
      <c r="S12" s="10">
        <f t="shared" si="5"/>
        <v>2800</v>
      </c>
      <c r="T12" s="10">
        <f t="shared" si="5"/>
        <v>2800</v>
      </c>
      <c r="U12" s="10">
        <f t="shared" si="5"/>
        <v>2800</v>
      </c>
      <c r="V12" s="10">
        <f t="shared" si="5"/>
        <v>2800</v>
      </c>
      <c r="W12" s="10">
        <f t="shared" si="5"/>
        <v>2800</v>
      </c>
      <c r="X12" s="10">
        <f t="shared" si="5"/>
        <v>2800</v>
      </c>
      <c r="Y12" s="10">
        <f t="shared" si="5"/>
        <v>2800</v>
      </c>
      <c r="Z12" s="11">
        <f t="shared" si="3"/>
        <v>67200</v>
      </c>
      <c r="AA12" s="11">
        <v>31.0</v>
      </c>
      <c r="AB12" s="11">
        <f t="shared" si="4"/>
        <v>2083200</v>
      </c>
    </row>
    <row r="13" ht="14.25" customHeight="1">
      <c r="A13" s="8">
        <v>46113.0</v>
      </c>
      <c r="B13" s="9">
        <v>2800.0</v>
      </c>
      <c r="C13" s="10">
        <f t="shared" ref="C13:Y13" si="6">B13</f>
        <v>2800</v>
      </c>
      <c r="D13" s="10">
        <f t="shared" si="6"/>
        <v>2800</v>
      </c>
      <c r="E13" s="10">
        <f t="shared" si="6"/>
        <v>2800</v>
      </c>
      <c r="F13" s="10">
        <f t="shared" si="6"/>
        <v>2800</v>
      </c>
      <c r="G13" s="10">
        <f t="shared" si="6"/>
        <v>2800</v>
      </c>
      <c r="H13" s="10">
        <f t="shared" si="6"/>
        <v>2800</v>
      </c>
      <c r="I13" s="10">
        <f t="shared" si="6"/>
        <v>2800</v>
      </c>
      <c r="J13" s="10">
        <f t="shared" si="6"/>
        <v>2800</v>
      </c>
      <c r="K13" s="10">
        <f t="shared" si="6"/>
        <v>2800</v>
      </c>
      <c r="L13" s="10">
        <f t="shared" si="6"/>
        <v>2800</v>
      </c>
      <c r="M13" s="10">
        <f t="shared" si="6"/>
        <v>2800</v>
      </c>
      <c r="N13" s="10">
        <f t="shared" si="6"/>
        <v>2800</v>
      </c>
      <c r="O13" s="10">
        <f t="shared" si="6"/>
        <v>2800</v>
      </c>
      <c r="P13" s="10">
        <f t="shared" si="6"/>
        <v>2800</v>
      </c>
      <c r="Q13" s="10">
        <f t="shared" si="6"/>
        <v>2800</v>
      </c>
      <c r="R13" s="10">
        <f t="shared" si="6"/>
        <v>2800</v>
      </c>
      <c r="S13" s="10">
        <f t="shared" si="6"/>
        <v>2800</v>
      </c>
      <c r="T13" s="10">
        <f t="shared" si="6"/>
        <v>2800</v>
      </c>
      <c r="U13" s="10">
        <f t="shared" si="6"/>
        <v>2800</v>
      </c>
      <c r="V13" s="10">
        <f t="shared" si="6"/>
        <v>2800</v>
      </c>
      <c r="W13" s="10">
        <f t="shared" si="6"/>
        <v>2800</v>
      </c>
      <c r="X13" s="10">
        <f t="shared" si="6"/>
        <v>2800</v>
      </c>
      <c r="Y13" s="10">
        <f t="shared" si="6"/>
        <v>2800</v>
      </c>
      <c r="Z13" s="11">
        <f t="shared" si="3"/>
        <v>67200</v>
      </c>
      <c r="AA13" s="11">
        <v>30.0</v>
      </c>
      <c r="AB13" s="11">
        <f t="shared" si="4"/>
        <v>2016000</v>
      </c>
    </row>
    <row r="14" ht="14.25" customHeight="1">
      <c r="A14" s="8">
        <v>46143.0</v>
      </c>
      <c r="B14" s="9">
        <v>0.0</v>
      </c>
      <c r="C14" s="10">
        <f t="shared" ref="C14:Y14" si="7">B14</f>
        <v>0</v>
      </c>
      <c r="D14" s="10">
        <f t="shared" si="7"/>
        <v>0</v>
      </c>
      <c r="E14" s="10">
        <f t="shared" si="7"/>
        <v>0</v>
      </c>
      <c r="F14" s="10">
        <f t="shared" si="7"/>
        <v>0</v>
      </c>
      <c r="G14" s="10">
        <f t="shared" si="7"/>
        <v>0</v>
      </c>
      <c r="H14" s="10">
        <f t="shared" si="7"/>
        <v>0</v>
      </c>
      <c r="I14" s="10">
        <f t="shared" si="7"/>
        <v>0</v>
      </c>
      <c r="J14" s="10">
        <f t="shared" si="7"/>
        <v>0</v>
      </c>
      <c r="K14" s="10">
        <f t="shared" si="7"/>
        <v>0</v>
      </c>
      <c r="L14" s="10">
        <f t="shared" si="7"/>
        <v>0</v>
      </c>
      <c r="M14" s="10">
        <f t="shared" si="7"/>
        <v>0</v>
      </c>
      <c r="N14" s="10">
        <f t="shared" si="7"/>
        <v>0</v>
      </c>
      <c r="O14" s="10">
        <f t="shared" si="7"/>
        <v>0</v>
      </c>
      <c r="P14" s="10">
        <f t="shared" si="7"/>
        <v>0</v>
      </c>
      <c r="Q14" s="10">
        <f t="shared" si="7"/>
        <v>0</v>
      </c>
      <c r="R14" s="10">
        <f t="shared" si="7"/>
        <v>0</v>
      </c>
      <c r="S14" s="10">
        <f t="shared" si="7"/>
        <v>0</v>
      </c>
      <c r="T14" s="10">
        <f t="shared" si="7"/>
        <v>0</v>
      </c>
      <c r="U14" s="10">
        <f t="shared" si="7"/>
        <v>0</v>
      </c>
      <c r="V14" s="10">
        <f t="shared" si="7"/>
        <v>0</v>
      </c>
      <c r="W14" s="10">
        <f t="shared" si="7"/>
        <v>0</v>
      </c>
      <c r="X14" s="10">
        <f t="shared" si="7"/>
        <v>0</v>
      </c>
      <c r="Y14" s="10">
        <f t="shared" si="7"/>
        <v>0</v>
      </c>
      <c r="Z14" s="11">
        <f t="shared" si="3"/>
        <v>0</v>
      </c>
      <c r="AA14" s="11">
        <v>31.0</v>
      </c>
      <c r="AB14" s="11">
        <f t="shared" si="4"/>
        <v>0</v>
      </c>
    </row>
    <row r="15" ht="14.25" customHeight="1">
      <c r="A15" s="8">
        <v>46174.0</v>
      </c>
      <c r="B15" s="9">
        <v>0.0</v>
      </c>
      <c r="C15" s="10">
        <f t="shared" ref="C15:Y15" si="8">B15</f>
        <v>0</v>
      </c>
      <c r="D15" s="10">
        <f t="shared" si="8"/>
        <v>0</v>
      </c>
      <c r="E15" s="10">
        <f t="shared" si="8"/>
        <v>0</v>
      </c>
      <c r="F15" s="10">
        <f t="shared" si="8"/>
        <v>0</v>
      </c>
      <c r="G15" s="10">
        <f t="shared" si="8"/>
        <v>0</v>
      </c>
      <c r="H15" s="10">
        <f t="shared" si="8"/>
        <v>0</v>
      </c>
      <c r="I15" s="10">
        <f t="shared" si="8"/>
        <v>0</v>
      </c>
      <c r="J15" s="10">
        <f t="shared" si="8"/>
        <v>0</v>
      </c>
      <c r="K15" s="10">
        <f t="shared" si="8"/>
        <v>0</v>
      </c>
      <c r="L15" s="10">
        <f t="shared" si="8"/>
        <v>0</v>
      </c>
      <c r="M15" s="10">
        <f t="shared" si="8"/>
        <v>0</v>
      </c>
      <c r="N15" s="10">
        <f t="shared" si="8"/>
        <v>0</v>
      </c>
      <c r="O15" s="10">
        <f t="shared" si="8"/>
        <v>0</v>
      </c>
      <c r="P15" s="10">
        <f t="shared" si="8"/>
        <v>0</v>
      </c>
      <c r="Q15" s="10">
        <f t="shared" si="8"/>
        <v>0</v>
      </c>
      <c r="R15" s="10">
        <f t="shared" si="8"/>
        <v>0</v>
      </c>
      <c r="S15" s="10">
        <f t="shared" si="8"/>
        <v>0</v>
      </c>
      <c r="T15" s="10">
        <f t="shared" si="8"/>
        <v>0</v>
      </c>
      <c r="U15" s="10">
        <f t="shared" si="8"/>
        <v>0</v>
      </c>
      <c r="V15" s="10">
        <f t="shared" si="8"/>
        <v>0</v>
      </c>
      <c r="W15" s="10">
        <f t="shared" si="8"/>
        <v>0</v>
      </c>
      <c r="X15" s="10">
        <f t="shared" si="8"/>
        <v>0</v>
      </c>
      <c r="Y15" s="10">
        <f t="shared" si="8"/>
        <v>0</v>
      </c>
      <c r="Z15" s="11">
        <f t="shared" si="3"/>
        <v>0</v>
      </c>
      <c r="AA15" s="11">
        <v>30.0</v>
      </c>
      <c r="AB15" s="11">
        <f t="shared" si="4"/>
        <v>0</v>
      </c>
    </row>
    <row r="16" ht="14.25" customHeight="1">
      <c r="A16" s="8">
        <v>46204.0</v>
      </c>
      <c r="B16" s="9">
        <v>0.0</v>
      </c>
      <c r="C16" s="10">
        <f t="shared" ref="C16:Y16" si="9">B16</f>
        <v>0</v>
      </c>
      <c r="D16" s="10">
        <f t="shared" si="9"/>
        <v>0</v>
      </c>
      <c r="E16" s="10">
        <f t="shared" si="9"/>
        <v>0</v>
      </c>
      <c r="F16" s="10">
        <f t="shared" si="9"/>
        <v>0</v>
      </c>
      <c r="G16" s="10">
        <f t="shared" si="9"/>
        <v>0</v>
      </c>
      <c r="H16" s="10">
        <f t="shared" si="9"/>
        <v>0</v>
      </c>
      <c r="I16" s="10">
        <f t="shared" si="9"/>
        <v>0</v>
      </c>
      <c r="J16" s="10">
        <f t="shared" si="9"/>
        <v>0</v>
      </c>
      <c r="K16" s="10">
        <f t="shared" si="9"/>
        <v>0</v>
      </c>
      <c r="L16" s="10">
        <f t="shared" si="9"/>
        <v>0</v>
      </c>
      <c r="M16" s="10">
        <f t="shared" si="9"/>
        <v>0</v>
      </c>
      <c r="N16" s="10">
        <f t="shared" si="9"/>
        <v>0</v>
      </c>
      <c r="O16" s="10">
        <f t="shared" si="9"/>
        <v>0</v>
      </c>
      <c r="P16" s="10">
        <f t="shared" si="9"/>
        <v>0</v>
      </c>
      <c r="Q16" s="10">
        <f t="shared" si="9"/>
        <v>0</v>
      </c>
      <c r="R16" s="10">
        <f t="shared" si="9"/>
        <v>0</v>
      </c>
      <c r="S16" s="10">
        <f t="shared" si="9"/>
        <v>0</v>
      </c>
      <c r="T16" s="10">
        <f t="shared" si="9"/>
        <v>0</v>
      </c>
      <c r="U16" s="10">
        <f t="shared" si="9"/>
        <v>0</v>
      </c>
      <c r="V16" s="10">
        <f t="shared" si="9"/>
        <v>0</v>
      </c>
      <c r="W16" s="10">
        <f t="shared" si="9"/>
        <v>0</v>
      </c>
      <c r="X16" s="10">
        <f t="shared" si="9"/>
        <v>0</v>
      </c>
      <c r="Y16" s="10">
        <f t="shared" si="9"/>
        <v>0</v>
      </c>
      <c r="Z16" s="11">
        <f t="shared" si="3"/>
        <v>0</v>
      </c>
      <c r="AA16" s="11">
        <v>31.0</v>
      </c>
      <c r="AB16" s="11">
        <f t="shared" si="4"/>
        <v>0</v>
      </c>
    </row>
    <row r="17" ht="14.25" customHeight="1">
      <c r="A17" s="8">
        <v>46235.0</v>
      </c>
      <c r="B17" s="9">
        <v>0.0</v>
      </c>
      <c r="C17" s="10">
        <f t="shared" ref="C17:Y17" si="10">B17</f>
        <v>0</v>
      </c>
      <c r="D17" s="10">
        <f t="shared" si="10"/>
        <v>0</v>
      </c>
      <c r="E17" s="10">
        <f t="shared" si="10"/>
        <v>0</v>
      </c>
      <c r="F17" s="10">
        <f t="shared" si="10"/>
        <v>0</v>
      </c>
      <c r="G17" s="10">
        <f t="shared" si="10"/>
        <v>0</v>
      </c>
      <c r="H17" s="10">
        <f t="shared" si="10"/>
        <v>0</v>
      </c>
      <c r="I17" s="10">
        <f t="shared" si="10"/>
        <v>0</v>
      </c>
      <c r="J17" s="10">
        <f t="shared" si="10"/>
        <v>0</v>
      </c>
      <c r="K17" s="10">
        <f t="shared" si="10"/>
        <v>0</v>
      </c>
      <c r="L17" s="10">
        <f t="shared" si="10"/>
        <v>0</v>
      </c>
      <c r="M17" s="10">
        <f t="shared" si="10"/>
        <v>0</v>
      </c>
      <c r="N17" s="10">
        <f t="shared" si="10"/>
        <v>0</v>
      </c>
      <c r="O17" s="10">
        <f t="shared" si="10"/>
        <v>0</v>
      </c>
      <c r="P17" s="10">
        <f t="shared" si="10"/>
        <v>0</v>
      </c>
      <c r="Q17" s="10">
        <f t="shared" si="10"/>
        <v>0</v>
      </c>
      <c r="R17" s="10">
        <f t="shared" si="10"/>
        <v>0</v>
      </c>
      <c r="S17" s="10">
        <f t="shared" si="10"/>
        <v>0</v>
      </c>
      <c r="T17" s="10">
        <f t="shared" si="10"/>
        <v>0</v>
      </c>
      <c r="U17" s="10">
        <f t="shared" si="10"/>
        <v>0</v>
      </c>
      <c r="V17" s="10">
        <f t="shared" si="10"/>
        <v>0</v>
      </c>
      <c r="W17" s="10">
        <f t="shared" si="10"/>
        <v>0</v>
      </c>
      <c r="X17" s="10">
        <f t="shared" si="10"/>
        <v>0</v>
      </c>
      <c r="Y17" s="10">
        <f t="shared" si="10"/>
        <v>0</v>
      </c>
      <c r="Z17" s="11">
        <f t="shared" si="3"/>
        <v>0</v>
      </c>
      <c r="AA17" s="11">
        <v>31.0</v>
      </c>
      <c r="AB17" s="11">
        <f t="shared" si="4"/>
        <v>0</v>
      </c>
    </row>
    <row r="18" ht="14.25" customHeight="1">
      <c r="A18" s="8">
        <v>46266.0</v>
      </c>
      <c r="B18" s="9">
        <v>0.0</v>
      </c>
      <c r="C18" s="10">
        <f t="shared" ref="C18:Y18" si="11">B18</f>
        <v>0</v>
      </c>
      <c r="D18" s="10">
        <f t="shared" si="11"/>
        <v>0</v>
      </c>
      <c r="E18" s="10">
        <f t="shared" si="11"/>
        <v>0</v>
      </c>
      <c r="F18" s="10">
        <f t="shared" si="11"/>
        <v>0</v>
      </c>
      <c r="G18" s="10">
        <f t="shared" si="11"/>
        <v>0</v>
      </c>
      <c r="H18" s="10">
        <f t="shared" si="11"/>
        <v>0</v>
      </c>
      <c r="I18" s="10">
        <f t="shared" si="11"/>
        <v>0</v>
      </c>
      <c r="J18" s="10">
        <f t="shared" si="11"/>
        <v>0</v>
      </c>
      <c r="K18" s="10">
        <f t="shared" si="11"/>
        <v>0</v>
      </c>
      <c r="L18" s="10">
        <f t="shared" si="11"/>
        <v>0</v>
      </c>
      <c r="M18" s="10">
        <f t="shared" si="11"/>
        <v>0</v>
      </c>
      <c r="N18" s="10">
        <f t="shared" si="11"/>
        <v>0</v>
      </c>
      <c r="O18" s="10">
        <f t="shared" si="11"/>
        <v>0</v>
      </c>
      <c r="P18" s="10">
        <f t="shared" si="11"/>
        <v>0</v>
      </c>
      <c r="Q18" s="10">
        <f t="shared" si="11"/>
        <v>0</v>
      </c>
      <c r="R18" s="10">
        <f t="shared" si="11"/>
        <v>0</v>
      </c>
      <c r="S18" s="10">
        <f t="shared" si="11"/>
        <v>0</v>
      </c>
      <c r="T18" s="10">
        <f t="shared" si="11"/>
        <v>0</v>
      </c>
      <c r="U18" s="10">
        <f t="shared" si="11"/>
        <v>0</v>
      </c>
      <c r="V18" s="10">
        <f t="shared" si="11"/>
        <v>0</v>
      </c>
      <c r="W18" s="10">
        <f t="shared" si="11"/>
        <v>0</v>
      </c>
      <c r="X18" s="10">
        <f t="shared" si="11"/>
        <v>0</v>
      </c>
      <c r="Y18" s="10">
        <f t="shared" si="11"/>
        <v>0</v>
      </c>
      <c r="Z18" s="11">
        <f t="shared" si="3"/>
        <v>0</v>
      </c>
      <c r="AA18" s="11">
        <v>30.0</v>
      </c>
      <c r="AB18" s="11">
        <f t="shared" si="4"/>
        <v>0</v>
      </c>
    </row>
    <row r="19" ht="14.25" customHeight="1">
      <c r="A19" s="8">
        <v>46296.0</v>
      </c>
      <c r="B19" s="9">
        <v>0.0</v>
      </c>
      <c r="C19" s="10">
        <f t="shared" ref="C19:Y19" si="12">B19</f>
        <v>0</v>
      </c>
      <c r="D19" s="10">
        <f t="shared" si="12"/>
        <v>0</v>
      </c>
      <c r="E19" s="10">
        <f t="shared" si="12"/>
        <v>0</v>
      </c>
      <c r="F19" s="10">
        <f t="shared" si="12"/>
        <v>0</v>
      </c>
      <c r="G19" s="10">
        <f t="shared" si="12"/>
        <v>0</v>
      </c>
      <c r="H19" s="10">
        <f t="shared" si="12"/>
        <v>0</v>
      </c>
      <c r="I19" s="10">
        <f t="shared" si="12"/>
        <v>0</v>
      </c>
      <c r="J19" s="10">
        <f t="shared" si="12"/>
        <v>0</v>
      </c>
      <c r="K19" s="10">
        <f t="shared" si="12"/>
        <v>0</v>
      </c>
      <c r="L19" s="10">
        <f t="shared" si="12"/>
        <v>0</v>
      </c>
      <c r="M19" s="10">
        <f t="shared" si="12"/>
        <v>0</v>
      </c>
      <c r="N19" s="10">
        <f t="shared" si="12"/>
        <v>0</v>
      </c>
      <c r="O19" s="10">
        <f t="shared" si="12"/>
        <v>0</v>
      </c>
      <c r="P19" s="10">
        <f t="shared" si="12"/>
        <v>0</v>
      </c>
      <c r="Q19" s="10">
        <f t="shared" si="12"/>
        <v>0</v>
      </c>
      <c r="R19" s="10">
        <f t="shared" si="12"/>
        <v>0</v>
      </c>
      <c r="S19" s="10">
        <f t="shared" si="12"/>
        <v>0</v>
      </c>
      <c r="T19" s="10">
        <f t="shared" si="12"/>
        <v>0</v>
      </c>
      <c r="U19" s="10">
        <f t="shared" si="12"/>
        <v>0</v>
      </c>
      <c r="V19" s="10">
        <f t="shared" si="12"/>
        <v>0</v>
      </c>
      <c r="W19" s="10">
        <f t="shared" si="12"/>
        <v>0</v>
      </c>
      <c r="X19" s="10">
        <f t="shared" si="12"/>
        <v>0</v>
      </c>
      <c r="Y19" s="10">
        <f t="shared" si="12"/>
        <v>0</v>
      </c>
      <c r="Z19" s="11">
        <f t="shared" si="3"/>
        <v>0</v>
      </c>
      <c r="AA19" s="11">
        <v>31.0</v>
      </c>
      <c r="AB19" s="11">
        <f t="shared" si="4"/>
        <v>0</v>
      </c>
    </row>
    <row r="20" ht="14.25" customHeight="1">
      <c r="A20" s="8">
        <v>46327.0</v>
      </c>
      <c r="B20" s="9">
        <v>2800.0</v>
      </c>
      <c r="C20" s="10">
        <f t="shared" ref="C20:Y20" si="13">B20</f>
        <v>2800</v>
      </c>
      <c r="D20" s="10">
        <f t="shared" si="13"/>
        <v>2800</v>
      </c>
      <c r="E20" s="10">
        <f t="shared" si="13"/>
        <v>2800</v>
      </c>
      <c r="F20" s="10">
        <f t="shared" si="13"/>
        <v>2800</v>
      </c>
      <c r="G20" s="10">
        <f t="shared" si="13"/>
        <v>2800</v>
      </c>
      <c r="H20" s="10">
        <f t="shared" si="13"/>
        <v>2800</v>
      </c>
      <c r="I20" s="10">
        <f t="shared" si="13"/>
        <v>2800</v>
      </c>
      <c r="J20" s="10">
        <f t="shared" si="13"/>
        <v>2800</v>
      </c>
      <c r="K20" s="10">
        <f t="shared" si="13"/>
        <v>2800</v>
      </c>
      <c r="L20" s="10">
        <f t="shared" si="13"/>
        <v>2800</v>
      </c>
      <c r="M20" s="10">
        <f t="shared" si="13"/>
        <v>2800</v>
      </c>
      <c r="N20" s="10">
        <f t="shared" si="13"/>
        <v>2800</v>
      </c>
      <c r="O20" s="10">
        <f t="shared" si="13"/>
        <v>2800</v>
      </c>
      <c r="P20" s="10">
        <f t="shared" si="13"/>
        <v>2800</v>
      </c>
      <c r="Q20" s="10">
        <f t="shared" si="13"/>
        <v>2800</v>
      </c>
      <c r="R20" s="10">
        <f t="shared" si="13"/>
        <v>2800</v>
      </c>
      <c r="S20" s="10">
        <f t="shared" si="13"/>
        <v>2800</v>
      </c>
      <c r="T20" s="10">
        <f t="shared" si="13"/>
        <v>2800</v>
      </c>
      <c r="U20" s="10">
        <f t="shared" si="13"/>
        <v>2800</v>
      </c>
      <c r="V20" s="10">
        <f t="shared" si="13"/>
        <v>2800</v>
      </c>
      <c r="W20" s="10">
        <f t="shared" si="13"/>
        <v>2800</v>
      </c>
      <c r="X20" s="10">
        <f t="shared" si="13"/>
        <v>2800</v>
      </c>
      <c r="Y20" s="10">
        <f t="shared" si="13"/>
        <v>2800</v>
      </c>
      <c r="Z20" s="11">
        <f t="shared" si="3"/>
        <v>67200</v>
      </c>
      <c r="AA20" s="11">
        <v>30.0</v>
      </c>
      <c r="AB20" s="11">
        <f t="shared" si="4"/>
        <v>2016000</v>
      </c>
    </row>
    <row r="21" ht="14.25" customHeight="1">
      <c r="A21" s="8">
        <v>46357.0</v>
      </c>
      <c r="B21" s="9">
        <v>2800.0</v>
      </c>
      <c r="C21" s="10">
        <f t="shared" ref="C21:Y21" si="14">B21</f>
        <v>2800</v>
      </c>
      <c r="D21" s="10">
        <f t="shared" si="14"/>
        <v>2800</v>
      </c>
      <c r="E21" s="10">
        <f t="shared" si="14"/>
        <v>2800</v>
      </c>
      <c r="F21" s="10">
        <f t="shared" si="14"/>
        <v>2800</v>
      </c>
      <c r="G21" s="10">
        <f t="shared" si="14"/>
        <v>2800</v>
      </c>
      <c r="H21" s="10">
        <f t="shared" si="14"/>
        <v>2800</v>
      </c>
      <c r="I21" s="10">
        <f t="shared" si="14"/>
        <v>2800</v>
      </c>
      <c r="J21" s="10">
        <f t="shared" si="14"/>
        <v>2800</v>
      </c>
      <c r="K21" s="10">
        <f t="shared" si="14"/>
        <v>2800</v>
      </c>
      <c r="L21" s="10">
        <f t="shared" si="14"/>
        <v>2800</v>
      </c>
      <c r="M21" s="10">
        <f t="shared" si="14"/>
        <v>2800</v>
      </c>
      <c r="N21" s="10">
        <f t="shared" si="14"/>
        <v>2800</v>
      </c>
      <c r="O21" s="10">
        <f t="shared" si="14"/>
        <v>2800</v>
      </c>
      <c r="P21" s="10">
        <f t="shared" si="14"/>
        <v>2800</v>
      </c>
      <c r="Q21" s="10">
        <f t="shared" si="14"/>
        <v>2800</v>
      </c>
      <c r="R21" s="10">
        <f t="shared" si="14"/>
        <v>2800</v>
      </c>
      <c r="S21" s="10">
        <f t="shared" si="14"/>
        <v>2800</v>
      </c>
      <c r="T21" s="10">
        <f t="shared" si="14"/>
        <v>2800</v>
      </c>
      <c r="U21" s="10">
        <f t="shared" si="14"/>
        <v>2800</v>
      </c>
      <c r="V21" s="10">
        <f t="shared" si="14"/>
        <v>2800</v>
      </c>
      <c r="W21" s="10">
        <f t="shared" si="14"/>
        <v>2800</v>
      </c>
      <c r="X21" s="10">
        <f t="shared" si="14"/>
        <v>2800</v>
      </c>
      <c r="Y21" s="10">
        <f t="shared" si="14"/>
        <v>2800</v>
      </c>
      <c r="Z21" s="11">
        <f t="shared" si="3"/>
        <v>67200</v>
      </c>
      <c r="AA21" s="11">
        <v>31.0</v>
      </c>
      <c r="AB21" s="11">
        <f t="shared" si="4"/>
        <v>2083200</v>
      </c>
    </row>
    <row r="22" ht="14.25" customHeight="1">
      <c r="Z22" s="45" t="s">
        <v>48</v>
      </c>
      <c r="AA22" s="46"/>
      <c r="AB22" s="47">
        <f>SUM(AB10:AB21)</f>
        <v>12163200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17.0"/>
    <col customWidth="1" min="4" max="4" width="16.0"/>
    <col customWidth="1" min="5" max="5" width="12.43"/>
    <col customWidth="1" min="6" max="6" width="13.0"/>
    <col customWidth="1" min="7" max="21" width="10.71"/>
  </cols>
  <sheetData>
    <row r="1" ht="14.25" customHeight="1"/>
    <row r="2" ht="14.25" customHeight="1"/>
    <row r="3" ht="14.25" customHeight="1"/>
    <row r="4" ht="14.25" customHeight="1">
      <c r="A4" s="15"/>
      <c r="B4" s="16" t="s">
        <v>3</v>
      </c>
    </row>
    <row r="5" ht="14.25" customHeight="1">
      <c r="A5" s="15"/>
      <c r="B5" s="17" t="s">
        <v>49</v>
      </c>
    </row>
    <row r="6" ht="14.25" customHeight="1">
      <c r="A6" s="15"/>
      <c r="B6" s="17" t="s">
        <v>34</v>
      </c>
    </row>
    <row r="7" ht="14.25" customHeight="1">
      <c r="A7" s="15"/>
      <c r="B7" s="17" t="s">
        <v>35</v>
      </c>
    </row>
    <row r="8" ht="14.25" customHeight="1">
      <c r="A8" s="15"/>
      <c r="B8" s="18" t="s">
        <v>36</v>
      </c>
    </row>
    <row r="9" ht="14.25" customHeight="1">
      <c r="A9" s="15"/>
      <c r="B9" s="17"/>
      <c r="C9" s="17"/>
      <c r="D9" s="17"/>
      <c r="E9" s="17"/>
      <c r="F9" s="17"/>
      <c r="G9" s="17"/>
    </row>
    <row r="10" ht="14.25" customHeight="1">
      <c r="A10" s="15"/>
      <c r="B10" s="19" t="s">
        <v>37</v>
      </c>
      <c r="C10" s="20"/>
      <c r="D10" s="20"/>
      <c r="E10" s="20"/>
      <c r="F10" s="21"/>
      <c r="G10" s="17"/>
    </row>
    <row r="11">
      <c r="A11" s="15"/>
      <c r="B11" s="48" t="s">
        <v>4</v>
      </c>
      <c r="C11" s="49" t="s">
        <v>38</v>
      </c>
      <c r="D11" s="49" t="s">
        <v>39</v>
      </c>
      <c r="E11" s="50" t="s">
        <v>40</v>
      </c>
      <c r="F11" s="51" t="s">
        <v>41</v>
      </c>
      <c r="G11" s="17"/>
    </row>
    <row r="12" ht="14.25" customHeight="1">
      <c r="A12" s="15"/>
      <c r="B12" s="52">
        <v>46023.0</v>
      </c>
      <c r="C12" s="53">
        <f>'Cant. Requeridas Producto 2'!AB10</f>
        <v>2083200</v>
      </c>
      <c r="D12" s="54"/>
      <c r="E12" s="55">
        <f t="shared" ref="E12:E23" si="1">C12*$D$12</f>
        <v>0</v>
      </c>
      <c r="F12" s="54"/>
      <c r="G12" s="17"/>
      <c r="H12" s="56"/>
      <c r="I12" s="57"/>
    </row>
    <row r="13" ht="14.25" customHeight="1">
      <c r="A13" s="15"/>
      <c r="B13" s="58">
        <v>46054.0</v>
      </c>
      <c r="C13" s="59">
        <f>'Cant. Requeridas Producto 2'!AB11</f>
        <v>1881600</v>
      </c>
      <c r="D13" s="60"/>
      <c r="E13" s="61">
        <f t="shared" si="1"/>
        <v>0</v>
      </c>
      <c r="F13" s="60"/>
      <c r="G13" s="17"/>
      <c r="H13" s="56"/>
      <c r="I13" s="57"/>
    </row>
    <row r="14" ht="14.25" customHeight="1">
      <c r="A14" s="15"/>
      <c r="B14" s="62">
        <v>46082.0</v>
      </c>
      <c r="C14" s="59">
        <f>'Cant. Requeridas Producto 2'!AB12</f>
        <v>2083200</v>
      </c>
      <c r="D14" s="60"/>
      <c r="E14" s="61">
        <f t="shared" si="1"/>
        <v>0</v>
      </c>
      <c r="F14" s="60"/>
      <c r="G14" s="17"/>
      <c r="H14" s="56"/>
      <c r="I14" s="57"/>
    </row>
    <row r="15" ht="14.25" customHeight="1">
      <c r="A15" s="15"/>
      <c r="B15" s="58">
        <v>46113.0</v>
      </c>
      <c r="C15" s="59">
        <f>'Cant. Requeridas Producto 2'!AB13</f>
        <v>2016000</v>
      </c>
      <c r="D15" s="60"/>
      <c r="E15" s="61">
        <f t="shared" si="1"/>
        <v>0</v>
      </c>
      <c r="F15" s="60"/>
      <c r="G15" s="17"/>
      <c r="H15" s="56"/>
      <c r="I15" s="57"/>
    </row>
    <row r="16" ht="14.25" customHeight="1">
      <c r="A16" s="15"/>
      <c r="B16" s="62">
        <v>46143.0</v>
      </c>
      <c r="C16" s="59">
        <f>'Cant. Requeridas Producto 2'!AB14</f>
        <v>0</v>
      </c>
      <c r="D16" s="60"/>
      <c r="E16" s="61">
        <f t="shared" si="1"/>
        <v>0</v>
      </c>
      <c r="F16" s="60"/>
      <c r="G16" s="17"/>
      <c r="H16" s="56"/>
      <c r="I16" s="57"/>
    </row>
    <row r="17" ht="14.25" customHeight="1">
      <c r="A17" s="15"/>
      <c r="B17" s="58">
        <v>46174.0</v>
      </c>
      <c r="C17" s="59">
        <f>'Cant. Requeridas Producto 2'!AB15</f>
        <v>0</v>
      </c>
      <c r="D17" s="60"/>
      <c r="E17" s="61">
        <f t="shared" si="1"/>
        <v>0</v>
      </c>
      <c r="F17" s="60"/>
      <c r="G17" s="17"/>
      <c r="H17" s="56"/>
      <c r="I17" s="57"/>
    </row>
    <row r="18" ht="14.25" customHeight="1">
      <c r="A18" s="15"/>
      <c r="B18" s="62">
        <v>46204.0</v>
      </c>
      <c r="C18" s="59">
        <f>'Cant. Requeridas Producto 2'!AB16</f>
        <v>0</v>
      </c>
      <c r="D18" s="60"/>
      <c r="E18" s="61">
        <f t="shared" si="1"/>
        <v>0</v>
      </c>
      <c r="F18" s="60"/>
      <c r="G18" s="17"/>
      <c r="H18" s="56"/>
      <c r="I18" s="57"/>
    </row>
    <row r="19" ht="14.25" customHeight="1">
      <c r="A19" s="15"/>
      <c r="B19" s="58">
        <v>46235.0</v>
      </c>
      <c r="C19" s="59">
        <f>'Cant. Requeridas Producto 2'!AB17</f>
        <v>0</v>
      </c>
      <c r="D19" s="60"/>
      <c r="E19" s="61">
        <f t="shared" si="1"/>
        <v>0</v>
      </c>
      <c r="F19" s="60"/>
      <c r="G19" s="17"/>
      <c r="H19" s="56"/>
      <c r="I19" s="57"/>
    </row>
    <row r="20" ht="14.25" customHeight="1">
      <c r="A20" s="15"/>
      <c r="B20" s="62">
        <v>46266.0</v>
      </c>
      <c r="C20" s="59">
        <f>'Cant. Requeridas Producto 2'!AB18</f>
        <v>0</v>
      </c>
      <c r="D20" s="60"/>
      <c r="E20" s="61">
        <f t="shared" si="1"/>
        <v>0</v>
      </c>
      <c r="F20" s="60"/>
      <c r="G20" s="17"/>
      <c r="H20" s="56"/>
      <c r="I20" s="57"/>
    </row>
    <row r="21" ht="14.25" customHeight="1">
      <c r="A21" s="15"/>
      <c r="B21" s="58">
        <v>46296.0</v>
      </c>
      <c r="C21" s="59">
        <f>'Cant. Requeridas Producto 2'!AB19</f>
        <v>0</v>
      </c>
      <c r="D21" s="60"/>
      <c r="E21" s="61">
        <f t="shared" si="1"/>
        <v>0</v>
      </c>
      <c r="F21" s="60"/>
      <c r="G21" s="17"/>
      <c r="H21" s="56"/>
      <c r="I21" s="57"/>
    </row>
    <row r="22" ht="14.25" customHeight="1">
      <c r="A22" s="15"/>
      <c r="B22" s="62">
        <v>46327.0</v>
      </c>
      <c r="C22" s="59">
        <f>'Cant. Requeridas Producto 2'!AB20</f>
        <v>2016000</v>
      </c>
      <c r="D22" s="60"/>
      <c r="E22" s="61">
        <f t="shared" si="1"/>
        <v>0</v>
      </c>
      <c r="F22" s="60"/>
      <c r="G22" s="17"/>
      <c r="H22" s="56"/>
      <c r="I22" s="57"/>
    </row>
    <row r="23" ht="14.25" customHeight="1">
      <c r="A23" s="15"/>
      <c r="B23" s="63">
        <v>46357.0</v>
      </c>
      <c r="C23" s="64">
        <f>'Cant. Requeridas Producto 2'!AB21</f>
        <v>2083200</v>
      </c>
      <c r="D23" s="65"/>
      <c r="E23" s="66">
        <f t="shared" si="1"/>
        <v>0</v>
      </c>
      <c r="F23" s="65"/>
      <c r="G23" s="17"/>
      <c r="H23" s="56"/>
      <c r="I23" s="57"/>
    </row>
    <row r="24" ht="14.25" customHeight="1">
      <c r="A24" s="15"/>
      <c r="B24" s="67" t="s">
        <v>32</v>
      </c>
      <c r="C24" s="68">
        <f>SUM(C12:C23)</f>
        <v>12163200</v>
      </c>
      <c r="D24" s="69"/>
      <c r="E24" s="68">
        <f>SUM(E12:E23)</f>
        <v>0</v>
      </c>
      <c r="F24" s="70"/>
      <c r="G24" s="17"/>
    </row>
    <row r="25" ht="14.25" customHeight="1">
      <c r="A25" s="15"/>
      <c r="B25" s="17"/>
      <c r="C25" s="36"/>
      <c r="D25" s="36"/>
      <c r="E25" s="17"/>
      <c r="F25" s="17"/>
      <c r="G25" s="17"/>
    </row>
    <row r="26" ht="14.25" customHeight="1">
      <c r="C26" s="37"/>
      <c r="E26" s="38"/>
    </row>
    <row r="27" ht="14.25" customHeight="1">
      <c r="B27" s="39" t="s">
        <v>42</v>
      </c>
      <c r="G27" s="40"/>
    </row>
    <row r="28">
      <c r="B28" s="41" t="s">
        <v>50</v>
      </c>
    </row>
    <row r="29" ht="32.25" customHeight="1">
      <c r="B29" s="42" t="s">
        <v>51</v>
      </c>
    </row>
    <row r="30" ht="14.25" customHeight="1">
      <c r="B30" s="43"/>
    </row>
    <row r="31" ht="14.25" customHeight="1"/>
    <row r="32" ht="14.25" customHeight="1"/>
    <row r="33" ht="14.25" customHeight="1">
      <c r="B33" s="44"/>
      <c r="C33" s="44"/>
    </row>
    <row r="34" ht="14.25" customHeight="1">
      <c r="B34" s="5" t="s">
        <v>45</v>
      </c>
    </row>
    <row r="35" ht="14.25" customHeight="1">
      <c r="B35" s="5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0">
    <mergeCell ref="B28:G28"/>
    <mergeCell ref="B29:G29"/>
    <mergeCell ref="B30:G30"/>
    <mergeCell ref="B4:G4"/>
    <mergeCell ref="B5:G5"/>
    <mergeCell ref="B6:G6"/>
    <mergeCell ref="B7:G7"/>
    <mergeCell ref="B8:G8"/>
    <mergeCell ref="B10:F10"/>
    <mergeCell ref="B27:F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52</v>
      </c>
    </row>
    <row r="3" ht="14.25" customHeight="1">
      <c r="A3" s="2" t="s">
        <v>53</v>
      </c>
    </row>
    <row r="4" ht="14.25" customHeight="1">
      <c r="A4" s="2" t="s">
        <v>3</v>
      </c>
    </row>
    <row r="5" ht="14.25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</row>
    <row r="6" ht="14.25" customHeight="1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  <c r="AA6" s="5"/>
    </row>
    <row r="7" ht="14.25" customHeight="1">
      <c r="A7" s="3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</row>
    <row r="10" ht="14.25" customHeight="1">
      <c r="A10" s="8">
        <v>46388.0</v>
      </c>
      <c r="B10" s="9">
        <v>4000.0</v>
      </c>
      <c r="C10" s="10">
        <f t="shared" ref="C10:Y10" si="1">B10</f>
        <v>4000</v>
      </c>
      <c r="D10" s="10">
        <f t="shared" si="1"/>
        <v>4000</v>
      </c>
      <c r="E10" s="10">
        <f t="shared" si="1"/>
        <v>4000</v>
      </c>
      <c r="F10" s="10">
        <f t="shared" si="1"/>
        <v>4000</v>
      </c>
      <c r="G10" s="10">
        <f t="shared" si="1"/>
        <v>4000</v>
      </c>
      <c r="H10" s="10">
        <f t="shared" si="1"/>
        <v>4000</v>
      </c>
      <c r="I10" s="10">
        <f t="shared" si="1"/>
        <v>4000</v>
      </c>
      <c r="J10" s="10">
        <f t="shared" si="1"/>
        <v>4000</v>
      </c>
      <c r="K10" s="10">
        <f t="shared" si="1"/>
        <v>4000</v>
      </c>
      <c r="L10" s="10">
        <f t="shared" si="1"/>
        <v>4000</v>
      </c>
      <c r="M10" s="10">
        <f t="shared" si="1"/>
        <v>4000</v>
      </c>
      <c r="N10" s="10">
        <f t="shared" si="1"/>
        <v>4000</v>
      </c>
      <c r="O10" s="10">
        <f t="shared" si="1"/>
        <v>4000</v>
      </c>
      <c r="P10" s="10">
        <f t="shared" si="1"/>
        <v>4000</v>
      </c>
      <c r="Q10" s="10">
        <f t="shared" si="1"/>
        <v>4000</v>
      </c>
      <c r="R10" s="10">
        <f t="shared" si="1"/>
        <v>4000</v>
      </c>
      <c r="S10" s="10">
        <f t="shared" si="1"/>
        <v>4000</v>
      </c>
      <c r="T10" s="10">
        <f t="shared" si="1"/>
        <v>4000</v>
      </c>
      <c r="U10" s="10">
        <f t="shared" si="1"/>
        <v>4000</v>
      </c>
      <c r="V10" s="10">
        <f t="shared" si="1"/>
        <v>4000</v>
      </c>
      <c r="W10" s="10">
        <f t="shared" si="1"/>
        <v>4000</v>
      </c>
      <c r="X10" s="10">
        <f t="shared" si="1"/>
        <v>4000</v>
      </c>
      <c r="Y10" s="10">
        <f t="shared" si="1"/>
        <v>4000</v>
      </c>
      <c r="Z10" s="11">
        <f t="shared" ref="Z10:Z21" si="3">SUM(B10:Y10)</f>
        <v>96000</v>
      </c>
      <c r="AA10" s="12">
        <v>31.0</v>
      </c>
      <c r="AB10" s="11">
        <f t="shared" ref="AB10:AB21" si="4">Z10*AA10</f>
        <v>2976000</v>
      </c>
    </row>
    <row r="11" ht="14.25" customHeight="1">
      <c r="A11" s="8">
        <v>46419.0</v>
      </c>
      <c r="B11" s="9">
        <v>4000.0</v>
      </c>
      <c r="C11" s="10">
        <f t="shared" ref="C11:Y11" si="2">B11</f>
        <v>4000</v>
      </c>
      <c r="D11" s="10">
        <f t="shared" si="2"/>
        <v>4000</v>
      </c>
      <c r="E11" s="10">
        <f t="shared" si="2"/>
        <v>4000</v>
      </c>
      <c r="F11" s="10">
        <f t="shared" si="2"/>
        <v>4000</v>
      </c>
      <c r="G11" s="10">
        <f t="shared" si="2"/>
        <v>4000</v>
      </c>
      <c r="H11" s="10">
        <f t="shared" si="2"/>
        <v>4000</v>
      </c>
      <c r="I11" s="10">
        <f t="shared" si="2"/>
        <v>4000</v>
      </c>
      <c r="J11" s="10">
        <f t="shared" si="2"/>
        <v>4000</v>
      </c>
      <c r="K11" s="10">
        <f t="shared" si="2"/>
        <v>4000</v>
      </c>
      <c r="L11" s="10">
        <f t="shared" si="2"/>
        <v>4000</v>
      </c>
      <c r="M11" s="10">
        <f t="shared" si="2"/>
        <v>4000</v>
      </c>
      <c r="N11" s="10">
        <f t="shared" si="2"/>
        <v>4000</v>
      </c>
      <c r="O11" s="10">
        <f t="shared" si="2"/>
        <v>4000</v>
      </c>
      <c r="P11" s="10">
        <f t="shared" si="2"/>
        <v>4000</v>
      </c>
      <c r="Q11" s="10">
        <f t="shared" si="2"/>
        <v>4000</v>
      </c>
      <c r="R11" s="10">
        <f t="shared" si="2"/>
        <v>4000</v>
      </c>
      <c r="S11" s="10">
        <f t="shared" si="2"/>
        <v>4000</v>
      </c>
      <c r="T11" s="10">
        <f t="shared" si="2"/>
        <v>4000</v>
      </c>
      <c r="U11" s="10">
        <f t="shared" si="2"/>
        <v>4000</v>
      </c>
      <c r="V11" s="10">
        <f t="shared" si="2"/>
        <v>4000</v>
      </c>
      <c r="W11" s="10">
        <f t="shared" si="2"/>
        <v>4000</v>
      </c>
      <c r="X11" s="10">
        <f t="shared" si="2"/>
        <v>4000</v>
      </c>
      <c r="Y11" s="10">
        <f t="shared" si="2"/>
        <v>4000</v>
      </c>
      <c r="Z11" s="11">
        <f t="shared" si="3"/>
        <v>96000</v>
      </c>
      <c r="AA11" s="11">
        <v>28.0</v>
      </c>
      <c r="AB11" s="11">
        <f t="shared" si="4"/>
        <v>2688000</v>
      </c>
    </row>
    <row r="12" ht="14.25" customHeight="1">
      <c r="A12" s="8">
        <v>46447.0</v>
      </c>
      <c r="B12" s="9">
        <v>4000.0</v>
      </c>
      <c r="C12" s="10">
        <f t="shared" ref="C12:Y12" si="5">B12</f>
        <v>4000</v>
      </c>
      <c r="D12" s="10">
        <f t="shared" si="5"/>
        <v>4000</v>
      </c>
      <c r="E12" s="10">
        <f t="shared" si="5"/>
        <v>4000</v>
      </c>
      <c r="F12" s="10">
        <f t="shared" si="5"/>
        <v>4000</v>
      </c>
      <c r="G12" s="10">
        <f t="shared" si="5"/>
        <v>4000</v>
      </c>
      <c r="H12" s="10">
        <f t="shared" si="5"/>
        <v>4000</v>
      </c>
      <c r="I12" s="10">
        <f t="shared" si="5"/>
        <v>4000</v>
      </c>
      <c r="J12" s="10">
        <f t="shared" si="5"/>
        <v>4000</v>
      </c>
      <c r="K12" s="10">
        <f t="shared" si="5"/>
        <v>4000</v>
      </c>
      <c r="L12" s="10">
        <f t="shared" si="5"/>
        <v>4000</v>
      </c>
      <c r="M12" s="10">
        <f t="shared" si="5"/>
        <v>4000</v>
      </c>
      <c r="N12" s="10">
        <f t="shared" si="5"/>
        <v>4000</v>
      </c>
      <c r="O12" s="10">
        <f t="shared" si="5"/>
        <v>4000</v>
      </c>
      <c r="P12" s="10">
        <f t="shared" si="5"/>
        <v>4000</v>
      </c>
      <c r="Q12" s="10">
        <f t="shared" si="5"/>
        <v>4000</v>
      </c>
      <c r="R12" s="10">
        <f t="shared" si="5"/>
        <v>4000</v>
      </c>
      <c r="S12" s="10">
        <f t="shared" si="5"/>
        <v>4000</v>
      </c>
      <c r="T12" s="10">
        <f t="shared" si="5"/>
        <v>4000</v>
      </c>
      <c r="U12" s="10">
        <f t="shared" si="5"/>
        <v>4000</v>
      </c>
      <c r="V12" s="10">
        <f t="shared" si="5"/>
        <v>4000</v>
      </c>
      <c r="W12" s="10">
        <f t="shared" si="5"/>
        <v>4000</v>
      </c>
      <c r="X12" s="10">
        <f t="shared" si="5"/>
        <v>4000</v>
      </c>
      <c r="Y12" s="10">
        <f t="shared" si="5"/>
        <v>4000</v>
      </c>
      <c r="Z12" s="11">
        <f t="shared" si="3"/>
        <v>96000</v>
      </c>
      <c r="AA12" s="11">
        <v>31.0</v>
      </c>
      <c r="AB12" s="11">
        <f t="shared" si="4"/>
        <v>2976000</v>
      </c>
    </row>
    <row r="13" ht="14.25" customHeight="1">
      <c r="A13" s="8">
        <v>46478.0</v>
      </c>
      <c r="B13" s="9">
        <v>4000.0</v>
      </c>
      <c r="C13" s="10">
        <f t="shared" ref="C13:Y13" si="6">B13</f>
        <v>4000</v>
      </c>
      <c r="D13" s="10">
        <f t="shared" si="6"/>
        <v>4000</v>
      </c>
      <c r="E13" s="10">
        <f t="shared" si="6"/>
        <v>4000</v>
      </c>
      <c r="F13" s="10">
        <f t="shared" si="6"/>
        <v>4000</v>
      </c>
      <c r="G13" s="10">
        <f t="shared" si="6"/>
        <v>4000</v>
      </c>
      <c r="H13" s="10">
        <f t="shared" si="6"/>
        <v>4000</v>
      </c>
      <c r="I13" s="10">
        <f t="shared" si="6"/>
        <v>4000</v>
      </c>
      <c r="J13" s="10">
        <f t="shared" si="6"/>
        <v>4000</v>
      </c>
      <c r="K13" s="10">
        <f t="shared" si="6"/>
        <v>4000</v>
      </c>
      <c r="L13" s="10">
        <f t="shared" si="6"/>
        <v>4000</v>
      </c>
      <c r="M13" s="10">
        <f t="shared" si="6"/>
        <v>4000</v>
      </c>
      <c r="N13" s="10">
        <f t="shared" si="6"/>
        <v>4000</v>
      </c>
      <c r="O13" s="10">
        <f t="shared" si="6"/>
        <v>4000</v>
      </c>
      <c r="P13" s="10">
        <f t="shared" si="6"/>
        <v>4000</v>
      </c>
      <c r="Q13" s="10">
        <f t="shared" si="6"/>
        <v>4000</v>
      </c>
      <c r="R13" s="10">
        <f t="shared" si="6"/>
        <v>4000</v>
      </c>
      <c r="S13" s="10">
        <f t="shared" si="6"/>
        <v>4000</v>
      </c>
      <c r="T13" s="10">
        <f t="shared" si="6"/>
        <v>4000</v>
      </c>
      <c r="U13" s="10">
        <f t="shared" si="6"/>
        <v>4000</v>
      </c>
      <c r="V13" s="10">
        <f t="shared" si="6"/>
        <v>4000</v>
      </c>
      <c r="W13" s="10">
        <f t="shared" si="6"/>
        <v>4000</v>
      </c>
      <c r="X13" s="10">
        <f t="shared" si="6"/>
        <v>4000</v>
      </c>
      <c r="Y13" s="10">
        <f t="shared" si="6"/>
        <v>4000</v>
      </c>
      <c r="Z13" s="11">
        <f t="shared" si="3"/>
        <v>96000</v>
      </c>
      <c r="AA13" s="11">
        <v>30.0</v>
      </c>
      <c r="AB13" s="11">
        <f t="shared" si="4"/>
        <v>2880000</v>
      </c>
    </row>
    <row r="14" ht="14.25" customHeight="1">
      <c r="A14" s="8">
        <v>46508.0</v>
      </c>
      <c r="B14" s="9">
        <v>4000.0</v>
      </c>
      <c r="C14" s="10">
        <f t="shared" ref="C14:Y14" si="7">B14</f>
        <v>4000</v>
      </c>
      <c r="D14" s="10">
        <f t="shared" si="7"/>
        <v>4000</v>
      </c>
      <c r="E14" s="10">
        <f t="shared" si="7"/>
        <v>4000</v>
      </c>
      <c r="F14" s="10">
        <f t="shared" si="7"/>
        <v>4000</v>
      </c>
      <c r="G14" s="10">
        <f t="shared" si="7"/>
        <v>4000</v>
      </c>
      <c r="H14" s="10">
        <f t="shared" si="7"/>
        <v>4000</v>
      </c>
      <c r="I14" s="10">
        <f t="shared" si="7"/>
        <v>4000</v>
      </c>
      <c r="J14" s="10">
        <f t="shared" si="7"/>
        <v>4000</v>
      </c>
      <c r="K14" s="10">
        <f t="shared" si="7"/>
        <v>4000</v>
      </c>
      <c r="L14" s="10">
        <f t="shared" si="7"/>
        <v>4000</v>
      </c>
      <c r="M14" s="10">
        <f t="shared" si="7"/>
        <v>4000</v>
      </c>
      <c r="N14" s="10">
        <f t="shared" si="7"/>
        <v>4000</v>
      </c>
      <c r="O14" s="10">
        <f t="shared" si="7"/>
        <v>4000</v>
      </c>
      <c r="P14" s="10">
        <f t="shared" si="7"/>
        <v>4000</v>
      </c>
      <c r="Q14" s="10">
        <f t="shared" si="7"/>
        <v>4000</v>
      </c>
      <c r="R14" s="10">
        <f t="shared" si="7"/>
        <v>4000</v>
      </c>
      <c r="S14" s="10">
        <f t="shared" si="7"/>
        <v>4000</v>
      </c>
      <c r="T14" s="10">
        <f t="shared" si="7"/>
        <v>4000</v>
      </c>
      <c r="U14" s="10">
        <f t="shared" si="7"/>
        <v>4000</v>
      </c>
      <c r="V14" s="10">
        <f t="shared" si="7"/>
        <v>4000</v>
      </c>
      <c r="W14" s="10">
        <f t="shared" si="7"/>
        <v>4000</v>
      </c>
      <c r="X14" s="10">
        <f t="shared" si="7"/>
        <v>4000</v>
      </c>
      <c r="Y14" s="10">
        <f t="shared" si="7"/>
        <v>4000</v>
      </c>
      <c r="Z14" s="11">
        <f t="shared" si="3"/>
        <v>96000</v>
      </c>
      <c r="AA14" s="11">
        <v>31.0</v>
      </c>
      <c r="AB14" s="11">
        <f t="shared" si="4"/>
        <v>2976000</v>
      </c>
    </row>
    <row r="15" ht="14.25" customHeight="1">
      <c r="A15" s="8">
        <v>46539.0</v>
      </c>
      <c r="B15" s="9">
        <v>4000.0</v>
      </c>
      <c r="C15" s="10">
        <f t="shared" ref="C15:Y15" si="8">B15</f>
        <v>4000</v>
      </c>
      <c r="D15" s="10">
        <f t="shared" si="8"/>
        <v>4000</v>
      </c>
      <c r="E15" s="10">
        <f t="shared" si="8"/>
        <v>4000</v>
      </c>
      <c r="F15" s="10">
        <f t="shared" si="8"/>
        <v>4000</v>
      </c>
      <c r="G15" s="10">
        <f t="shared" si="8"/>
        <v>4000</v>
      </c>
      <c r="H15" s="10">
        <f t="shared" si="8"/>
        <v>4000</v>
      </c>
      <c r="I15" s="10">
        <f t="shared" si="8"/>
        <v>4000</v>
      </c>
      <c r="J15" s="10">
        <f t="shared" si="8"/>
        <v>4000</v>
      </c>
      <c r="K15" s="10">
        <f t="shared" si="8"/>
        <v>4000</v>
      </c>
      <c r="L15" s="10">
        <f t="shared" si="8"/>
        <v>4000</v>
      </c>
      <c r="M15" s="10">
        <f t="shared" si="8"/>
        <v>4000</v>
      </c>
      <c r="N15" s="10">
        <f t="shared" si="8"/>
        <v>4000</v>
      </c>
      <c r="O15" s="10">
        <f t="shared" si="8"/>
        <v>4000</v>
      </c>
      <c r="P15" s="10">
        <f t="shared" si="8"/>
        <v>4000</v>
      </c>
      <c r="Q15" s="10">
        <f t="shared" si="8"/>
        <v>4000</v>
      </c>
      <c r="R15" s="10">
        <f t="shared" si="8"/>
        <v>4000</v>
      </c>
      <c r="S15" s="10">
        <f t="shared" si="8"/>
        <v>4000</v>
      </c>
      <c r="T15" s="10">
        <f t="shared" si="8"/>
        <v>4000</v>
      </c>
      <c r="U15" s="10">
        <f t="shared" si="8"/>
        <v>4000</v>
      </c>
      <c r="V15" s="10">
        <f t="shared" si="8"/>
        <v>4000</v>
      </c>
      <c r="W15" s="10">
        <f t="shared" si="8"/>
        <v>4000</v>
      </c>
      <c r="X15" s="10">
        <f t="shared" si="8"/>
        <v>4000</v>
      </c>
      <c r="Y15" s="10">
        <f t="shared" si="8"/>
        <v>4000</v>
      </c>
      <c r="Z15" s="11">
        <f t="shared" si="3"/>
        <v>96000</v>
      </c>
      <c r="AA15" s="11">
        <v>30.0</v>
      </c>
      <c r="AB15" s="11">
        <f t="shared" si="4"/>
        <v>2880000</v>
      </c>
    </row>
    <row r="16" ht="14.25" customHeight="1">
      <c r="A16" s="8">
        <v>46569.0</v>
      </c>
      <c r="B16" s="9">
        <v>4000.0</v>
      </c>
      <c r="C16" s="10">
        <f t="shared" ref="C16:Y16" si="9">B16</f>
        <v>4000</v>
      </c>
      <c r="D16" s="10">
        <f t="shared" si="9"/>
        <v>4000</v>
      </c>
      <c r="E16" s="10">
        <f t="shared" si="9"/>
        <v>4000</v>
      </c>
      <c r="F16" s="10">
        <f t="shared" si="9"/>
        <v>4000</v>
      </c>
      <c r="G16" s="10">
        <f t="shared" si="9"/>
        <v>4000</v>
      </c>
      <c r="H16" s="10">
        <f t="shared" si="9"/>
        <v>4000</v>
      </c>
      <c r="I16" s="10">
        <f t="shared" si="9"/>
        <v>4000</v>
      </c>
      <c r="J16" s="10">
        <f t="shared" si="9"/>
        <v>4000</v>
      </c>
      <c r="K16" s="10">
        <f t="shared" si="9"/>
        <v>4000</v>
      </c>
      <c r="L16" s="10">
        <f t="shared" si="9"/>
        <v>4000</v>
      </c>
      <c r="M16" s="10">
        <f t="shared" si="9"/>
        <v>4000</v>
      </c>
      <c r="N16" s="10">
        <f t="shared" si="9"/>
        <v>4000</v>
      </c>
      <c r="O16" s="10">
        <f t="shared" si="9"/>
        <v>4000</v>
      </c>
      <c r="P16" s="10">
        <f t="shared" si="9"/>
        <v>4000</v>
      </c>
      <c r="Q16" s="10">
        <f t="shared" si="9"/>
        <v>4000</v>
      </c>
      <c r="R16" s="10">
        <f t="shared" si="9"/>
        <v>4000</v>
      </c>
      <c r="S16" s="10">
        <f t="shared" si="9"/>
        <v>4000</v>
      </c>
      <c r="T16" s="10">
        <f t="shared" si="9"/>
        <v>4000</v>
      </c>
      <c r="U16" s="10">
        <f t="shared" si="9"/>
        <v>4000</v>
      </c>
      <c r="V16" s="10">
        <f t="shared" si="9"/>
        <v>4000</v>
      </c>
      <c r="W16" s="10">
        <f t="shared" si="9"/>
        <v>4000</v>
      </c>
      <c r="X16" s="10">
        <f t="shared" si="9"/>
        <v>4000</v>
      </c>
      <c r="Y16" s="10">
        <f t="shared" si="9"/>
        <v>4000</v>
      </c>
      <c r="Z16" s="11">
        <f t="shared" si="3"/>
        <v>96000</v>
      </c>
      <c r="AA16" s="11">
        <v>31.0</v>
      </c>
      <c r="AB16" s="11">
        <f t="shared" si="4"/>
        <v>2976000</v>
      </c>
    </row>
    <row r="17" ht="14.25" customHeight="1">
      <c r="A17" s="8">
        <v>46600.0</v>
      </c>
      <c r="B17" s="9">
        <v>4000.0</v>
      </c>
      <c r="C17" s="10">
        <f t="shared" ref="C17:Y17" si="10">B17</f>
        <v>4000</v>
      </c>
      <c r="D17" s="10">
        <f t="shared" si="10"/>
        <v>4000</v>
      </c>
      <c r="E17" s="10">
        <f t="shared" si="10"/>
        <v>4000</v>
      </c>
      <c r="F17" s="10">
        <f t="shared" si="10"/>
        <v>4000</v>
      </c>
      <c r="G17" s="10">
        <f t="shared" si="10"/>
        <v>4000</v>
      </c>
      <c r="H17" s="10">
        <f t="shared" si="10"/>
        <v>4000</v>
      </c>
      <c r="I17" s="10">
        <f t="shared" si="10"/>
        <v>4000</v>
      </c>
      <c r="J17" s="10">
        <f t="shared" si="10"/>
        <v>4000</v>
      </c>
      <c r="K17" s="10">
        <f t="shared" si="10"/>
        <v>4000</v>
      </c>
      <c r="L17" s="10">
        <f t="shared" si="10"/>
        <v>4000</v>
      </c>
      <c r="M17" s="10">
        <f t="shared" si="10"/>
        <v>4000</v>
      </c>
      <c r="N17" s="10">
        <f t="shared" si="10"/>
        <v>4000</v>
      </c>
      <c r="O17" s="10">
        <f t="shared" si="10"/>
        <v>4000</v>
      </c>
      <c r="P17" s="10">
        <f t="shared" si="10"/>
        <v>4000</v>
      </c>
      <c r="Q17" s="10">
        <f t="shared" si="10"/>
        <v>4000</v>
      </c>
      <c r="R17" s="10">
        <f t="shared" si="10"/>
        <v>4000</v>
      </c>
      <c r="S17" s="10">
        <f t="shared" si="10"/>
        <v>4000</v>
      </c>
      <c r="T17" s="10">
        <f t="shared" si="10"/>
        <v>4000</v>
      </c>
      <c r="U17" s="10">
        <f t="shared" si="10"/>
        <v>4000</v>
      </c>
      <c r="V17" s="10">
        <f t="shared" si="10"/>
        <v>4000</v>
      </c>
      <c r="W17" s="10">
        <f t="shared" si="10"/>
        <v>4000</v>
      </c>
      <c r="X17" s="10">
        <f t="shared" si="10"/>
        <v>4000</v>
      </c>
      <c r="Y17" s="10">
        <f t="shared" si="10"/>
        <v>4000</v>
      </c>
      <c r="Z17" s="11">
        <f t="shared" si="3"/>
        <v>96000</v>
      </c>
      <c r="AA17" s="11">
        <v>31.0</v>
      </c>
      <c r="AB17" s="11">
        <f t="shared" si="4"/>
        <v>2976000</v>
      </c>
    </row>
    <row r="18" ht="14.25" customHeight="1">
      <c r="A18" s="8">
        <v>46631.0</v>
      </c>
      <c r="B18" s="9">
        <v>4000.0</v>
      </c>
      <c r="C18" s="10">
        <f t="shared" ref="C18:Y18" si="11">B18</f>
        <v>4000</v>
      </c>
      <c r="D18" s="10">
        <f t="shared" si="11"/>
        <v>4000</v>
      </c>
      <c r="E18" s="10">
        <f t="shared" si="11"/>
        <v>4000</v>
      </c>
      <c r="F18" s="10">
        <f t="shared" si="11"/>
        <v>4000</v>
      </c>
      <c r="G18" s="10">
        <f t="shared" si="11"/>
        <v>4000</v>
      </c>
      <c r="H18" s="10">
        <f t="shared" si="11"/>
        <v>4000</v>
      </c>
      <c r="I18" s="10">
        <f t="shared" si="11"/>
        <v>4000</v>
      </c>
      <c r="J18" s="10">
        <f t="shared" si="11"/>
        <v>4000</v>
      </c>
      <c r="K18" s="10">
        <f t="shared" si="11"/>
        <v>4000</v>
      </c>
      <c r="L18" s="10">
        <f t="shared" si="11"/>
        <v>4000</v>
      </c>
      <c r="M18" s="10">
        <f t="shared" si="11"/>
        <v>4000</v>
      </c>
      <c r="N18" s="10">
        <f t="shared" si="11"/>
        <v>4000</v>
      </c>
      <c r="O18" s="10">
        <f t="shared" si="11"/>
        <v>4000</v>
      </c>
      <c r="P18" s="10">
        <f t="shared" si="11"/>
        <v>4000</v>
      </c>
      <c r="Q18" s="10">
        <f t="shared" si="11"/>
        <v>4000</v>
      </c>
      <c r="R18" s="10">
        <f t="shared" si="11"/>
        <v>4000</v>
      </c>
      <c r="S18" s="10">
        <f t="shared" si="11"/>
        <v>4000</v>
      </c>
      <c r="T18" s="10">
        <f t="shared" si="11"/>
        <v>4000</v>
      </c>
      <c r="U18" s="10">
        <f t="shared" si="11"/>
        <v>4000</v>
      </c>
      <c r="V18" s="10">
        <f t="shared" si="11"/>
        <v>4000</v>
      </c>
      <c r="W18" s="10">
        <f t="shared" si="11"/>
        <v>4000</v>
      </c>
      <c r="X18" s="10">
        <f t="shared" si="11"/>
        <v>4000</v>
      </c>
      <c r="Y18" s="10">
        <f t="shared" si="11"/>
        <v>4000</v>
      </c>
      <c r="Z18" s="11">
        <f t="shared" si="3"/>
        <v>96000</v>
      </c>
      <c r="AA18" s="11">
        <v>30.0</v>
      </c>
      <c r="AB18" s="11">
        <f t="shared" si="4"/>
        <v>2880000</v>
      </c>
    </row>
    <row r="19" ht="14.25" customHeight="1">
      <c r="A19" s="8">
        <v>46661.0</v>
      </c>
      <c r="B19" s="9">
        <v>4000.0</v>
      </c>
      <c r="C19" s="10">
        <f t="shared" ref="C19:Y19" si="12">B19</f>
        <v>4000</v>
      </c>
      <c r="D19" s="10">
        <f t="shared" si="12"/>
        <v>4000</v>
      </c>
      <c r="E19" s="10">
        <f t="shared" si="12"/>
        <v>4000</v>
      </c>
      <c r="F19" s="10">
        <f t="shared" si="12"/>
        <v>4000</v>
      </c>
      <c r="G19" s="10">
        <f t="shared" si="12"/>
        <v>4000</v>
      </c>
      <c r="H19" s="10">
        <f t="shared" si="12"/>
        <v>4000</v>
      </c>
      <c r="I19" s="10">
        <f t="shared" si="12"/>
        <v>4000</v>
      </c>
      <c r="J19" s="10">
        <f t="shared" si="12"/>
        <v>4000</v>
      </c>
      <c r="K19" s="10">
        <f t="shared" si="12"/>
        <v>4000</v>
      </c>
      <c r="L19" s="10">
        <f t="shared" si="12"/>
        <v>4000</v>
      </c>
      <c r="M19" s="10">
        <f t="shared" si="12"/>
        <v>4000</v>
      </c>
      <c r="N19" s="10">
        <f t="shared" si="12"/>
        <v>4000</v>
      </c>
      <c r="O19" s="10">
        <f t="shared" si="12"/>
        <v>4000</v>
      </c>
      <c r="P19" s="10">
        <f t="shared" si="12"/>
        <v>4000</v>
      </c>
      <c r="Q19" s="10">
        <f t="shared" si="12"/>
        <v>4000</v>
      </c>
      <c r="R19" s="10">
        <f t="shared" si="12"/>
        <v>4000</v>
      </c>
      <c r="S19" s="10">
        <f t="shared" si="12"/>
        <v>4000</v>
      </c>
      <c r="T19" s="10">
        <f t="shared" si="12"/>
        <v>4000</v>
      </c>
      <c r="U19" s="10">
        <f t="shared" si="12"/>
        <v>4000</v>
      </c>
      <c r="V19" s="10">
        <f t="shared" si="12"/>
        <v>4000</v>
      </c>
      <c r="W19" s="10">
        <f t="shared" si="12"/>
        <v>4000</v>
      </c>
      <c r="X19" s="10">
        <f t="shared" si="12"/>
        <v>4000</v>
      </c>
      <c r="Y19" s="10">
        <f t="shared" si="12"/>
        <v>4000</v>
      </c>
      <c r="Z19" s="11">
        <f t="shared" si="3"/>
        <v>96000</v>
      </c>
      <c r="AA19" s="11">
        <v>31.0</v>
      </c>
      <c r="AB19" s="11">
        <f t="shared" si="4"/>
        <v>2976000</v>
      </c>
    </row>
    <row r="20" ht="14.25" customHeight="1">
      <c r="A20" s="8">
        <v>46692.0</v>
      </c>
      <c r="B20" s="9">
        <v>4000.0</v>
      </c>
      <c r="C20" s="10">
        <f t="shared" ref="C20:Y20" si="13">B20</f>
        <v>4000</v>
      </c>
      <c r="D20" s="10">
        <f t="shared" si="13"/>
        <v>4000</v>
      </c>
      <c r="E20" s="10">
        <f t="shared" si="13"/>
        <v>4000</v>
      </c>
      <c r="F20" s="10">
        <f t="shared" si="13"/>
        <v>4000</v>
      </c>
      <c r="G20" s="10">
        <f t="shared" si="13"/>
        <v>4000</v>
      </c>
      <c r="H20" s="10">
        <f t="shared" si="13"/>
        <v>4000</v>
      </c>
      <c r="I20" s="10">
        <f t="shared" si="13"/>
        <v>4000</v>
      </c>
      <c r="J20" s="10">
        <f t="shared" si="13"/>
        <v>4000</v>
      </c>
      <c r="K20" s="10">
        <f t="shared" si="13"/>
        <v>4000</v>
      </c>
      <c r="L20" s="10">
        <f t="shared" si="13"/>
        <v>4000</v>
      </c>
      <c r="M20" s="10">
        <f t="shared" si="13"/>
        <v>4000</v>
      </c>
      <c r="N20" s="10">
        <f t="shared" si="13"/>
        <v>4000</v>
      </c>
      <c r="O20" s="10">
        <f t="shared" si="13"/>
        <v>4000</v>
      </c>
      <c r="P20" s="10">
        <f t="shared" si="13"/>
        <v>4000</v>
      </c>
      <c r="Q20" s="10">
        <f t="shared" si="13"/>
        <v>4000</v>
      </c>
      <c r="R20" s="10">
        <f t="shared" si="13"/>
        <v>4000</v>
      </c>
      <c r="S20" s="10">
        <f t="shared" si="13"/>
        <v>4000</v>
      </c>
      <c r="T20" s="10">
        <f t="shared" si="13"/>
        <v>4000</v>
      </c>
      <c r="U20" s="10">
        <f t="shared" si="13"/>
        <v>4000</v>
      </c>
      <c r="V20" s="10">
        <f t="shared" si="13"/>
        <v>4000</v>
      </c>
      <c r="W20" s="10">
        <f t="shared" si="13"/>
        <v>4000</v>
      </c>
      <c r="X20" s="10">
        <f t="shared" si="13"/>
        <v>4000</v>
      </c>
      <c r="Y20" s="10">
        <f t="shared" si="13"/>
        <v>4000</v>
      </c>
      <c r="Z20" s="11">
        <f t="shared" si="3"/>
        <v>96000</v>
      </c>
      <c r="AA20" s="11">
        <v>30.0</v>
      </c>
      <c r="AB20" s="11">
        <f t="shared" si="4"/>
        <v>2880000</v>
      </c>
    </row>
    <row r="21" ht="14.25" customHeight="1">
      <c r="A21" s="8">
        <v>46722.0</v>
      </c>
      <c r="B21" s="9">
        <v>4000.0</v>
      </c>
      <c r="C21" s="10">
        <f t="shared" ref="C21:Y21" si="14">B21</f>
        <v>4000</v>
      </c>
      <c r="D21" s="10">
        <f t="shared" si="14"/>
        <v>4000</v>
      </c>
      <c r="E21" s="10">
        <f t="shared" si="14"/>
        <v>4000</v>
      </c>
      <c r="F21" s="10">
        <f t="shared" si="14"/>
        <v>4000</v>
      </c>
      <c r="G21" s="10">
        <f t="shared" si="14"/>
        <v>4000</v>
      </c>
      <c r="H21" s="10">
        <f t="shared" si="14"/>
        <v>4000</v>
      </c>
      <c r="I21" s="10">
        <f t="shared" si="14"/>
        <v>4000</v>
      </c>
      <c r="J21" s="10">
        <f t="shared" si="14"/>
        <v>4000</v>
      </c>
      <c r="K21" s="10">
        <f t="shared" si="14"/>
        <v>4000</v>
      </c>
      <c r="L21" s="10">
        <f t="shared" si="14"/>
        <v>4000</v>
      </c>
      <c r="M21" s="10">
        <f t="shared" si="14"/>
        <v>4000</v>
      </c>
      <c r="N21" s="10">
        <f t="shared" si="14"/>
        <v>4000</v>
      </c>
      <c r="O21" s="10">
        <f t="shared" si="14"/>
        <v>4000</v>
      </c>
      <c r="P21" s="10">
        <f t="shared" si="14"/>
        <v>4000</v>
      </c>
      <c r="Q21" s="10">
        <f t="shared" si="14"/>
        <v>4000</v>
      </c>
      <c r="R21" s="10">
        <f t="shared" si="14"/>
        <v>4000</v>
      </c>
      <c r="S21" s="10">
        <f t="shared" si="14"/>
        <v>4000</v>
      </c>
      <c r="T21" s="10">
        <f t="shared" si="14"/>
        <v>4000</v>
      </c>
      <c r="U21" s="10">
        <f t="shared" si="14"/>
        <v>4000</v>
      </c>
      <c r="V21" s="10">
        <f t="shared" si="14"/>
        <v>4000</v>
      </c>
      <c r="W21" s="10">
        <f t="shared" si="14"/>
        <v>4000</v>
      </c>
      <c r="X21" s="10">
        <f t="shared" si="14"/>
        <v>4000</v>
      </c>
      <c r="Y21" s="10">
        <f t="shared" si="14"/>
        <v>4000</v>
      </c>
      <c r="Z21" s="11">
        <f t="shared" si="3"/>
        <v>96000</v>
      </c>
      <c r="AA21" s="11">
        <v>31.0</v>
      </c>
      <c r="AB21" s="11">
        <f t="shared" si="4"/>
        <v>2976000</v>
      </c>
    </row>
    <row r="22" ht="14.25" customHeight="1">
      <c r="Z22" s="45" t="s">
        <v>48</v>
      </c>
      <c r="AA22" s="46"/>
      <c r="AB22" s="47">
        <f>SUM(AB10:AB21)</f>
        <v>35040000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17.0"/>
    <col customWidth="1" min="4" max="4" width="16.0"/>
    <col customWidth="1" min="5" max="5" width="12.43"/>
    <col customWidth="1" min="6" max="6" width="13.0"/>
    <col customWidth="1" min="7" max="21" width="10.71"/>
  </cols>
  <sheetData>
    <row r="1" ht="14.25" customHeight="1"/>
    <row r="2" ht="14.25" customHeight="1"/>
    <row r="3" ht="14.25" customHeight="1"/>
    <row r="4" ht="14.25" customHeight="1">
      <c r="A4" s="15"/>
      <c r="B4" s="16" t="s">
        <v>3</v>
      </c>
    </row>
    <row r="5" ht="14.25" customHeight="1">
      <c r="A5" s="15"/>
      <c r="B5" s="71" t="s">
        <v>54</v>
      </c>
    </row>
    <row r="6" ht="14.25" customHeight="1">
      <c r="A6" s="15"/>
      <c r="B6" s="17" t="s">
        <v>34</v>
      </c>
    </row>
    <row r="7" ht="14.25" customHeight="1">
      <c r="A7" s="15"/>
      <c r="B7" s="17" t="s">
        <v>35</v>
      </c>
    </row>
    <row r="8" ht="14.25" customHeight="1">
      <c r="A8" s="15"/>
      <c r="B8" s="18" t="s">
        <v>36</v>
      </c>
    </row>
    <row r="9" ht="14.25" customHeight="1">
      <c r="A9" s="15"/>
      <c r="B9" s="17"/>
      <c r="C9" s="17"/>
      <c r="D9" s="17"/>
      <c r="E9" s="17"/>
      <c r="F9" s="17"/>
      <c r="G9" s="17"/>
    </row>
    <row r="10" ht="14.25" customHeight="1">
      <c r="A10" s="15"/>
      <c r="B10" s="19" t="s">
        <v>37</v>
      </c>
      <c r="C10" s="20"/>
      <c r="D10" s="20"/>
      <c r="E10" s="20"/>
      <c r="F10" s="21"/>
      <c r="G10" s="17"/>
    </row>
    <row r="11">
      <c r="A11" s="15"/>
      <c r="B11" s="22" t="s">
        <v>4</v>
      </c>
      <c r="C11" s="23" t="s">
        <v>38</v>
      </c>
      <c r="D11" s="23" t="s">
        <v>39</v>
      </c>
      <c r="E11" s="24" t="s">
        <v>40</v>
      </c>
      <c r="F11" s="25" t="s">
        <v>41</v>
      </c>
      <c r="G11" s="17"/>
    </row>
    <row r="12" ht="14.25" customHeight="1">
      <c r="A12" s="15"/>
      <c r="B12" s="62">
        <v>46388.0</v>
      </c>
      <c r="C12" s="27">
        <f>'Cant. Requeridas Producto 3'!AB10</f>
        <v>2976000</v>
      </c>
      <c r="D12" s="72"/>
      <c r="E12" s="73">
        <f t="shared" ref="E12:E23" si="1">C12*$D$12</f>
        <v>0</v>
      </c>
      <c r="F12" s="74"/>
      <c r="G12" s="17"/>
      <c r="H12" s="56"/>
      <c r="I12" s="57"/>
    </row>
    <row r="13" ht="14.25" customHeight="1">
      <c r="A13" s="15"/>
      <c r="B13" s="58">
        <v>46419.0</v>
      </c>
      <c r="C13" s="27">
        <f>'Cant. Requeridas Producto 3'!AB11</f>
        <v>2688000</v>
      </c>
      <c r="D13" s="75"/>
      <c r="E13" s="73">
        <f t="shared" si="1"/>
        <v>0</v>
      </c>
      <c r="F13" s="75"/>
      <c r="G13" s="17"/>
      <c r="H13" s="56"/>
      <c r="I13" s="57"/>
    </row>
    <row r="14" ht="14.25" customHeight="1">
      <c r="A14" s="15"/>
      <c r="B14" s="62">
        <v>46447.0</v>
      </c>
      <c r="C14" s="27">
        <f>'Cant. Requeridas Producto 3'!AB12</f>
        <v>2976000</v>
      </c>
      <c r="D14" s="75"/>
      <c r="E14" s="73">
        <f t="shared" si="1"/>
        <v>0</v>
      </c>
      <c r="F14" s="75"/>
      <c r="G14" s="17"/>
      <c r="H14" s="56"/>
      <c r="I14" s="57"/>
    </row>
    <row r="15" ht="14.25" customHeight="1">
      <c r="A15" s="15"/>
      <c r="B15" s="58">
        <v>46478.0</v>
      </c>
      <c r="C15" s="27">
        <f>'Cant. Requeridas Producto 3'!AB13</f>
        <v>2880000</v>
      </c>
      <c r="D15" s="75"/>
      <c r="E15" s="73">
        <f t="shared" si="1"/>
        <v>0</v>
      </c>
      <c r="F15" s="75"/>
      <c r="G15" s="17"/>
      <c r="H15" s="56"/>
      <c r="I15" s="57"/>
    </row>
    <row r="16" ht="14.25" customHeight="1">
      <c r="A16" s="15"/>
      <c r="B16" s="62">
        <v>46508.0</v>
      </c>
      <c r="C16" s="27">
        <f>'Cant. Requeridas Producto 3'!AB14</f>
        <v>2976000</v>
      </c>
      <c r="D16" s="75"/>
      <c r="E16" s="73">
        <f t="shared" si="1"/>
        <v>0</v>
      </c>
      <c r="F16" s="75"/>
      <c r="G16" s="17"/>
      <c r="H16" s="56"/>
      <c r="I16" s="57"/>
    </row>
    <row r="17" ht="14.25" customHeight="1">
      <c r="A17" s="15"/>
      <c r="B17" s="58">
        <v>46539.0</v>
      </c>
      <c r="C17" s="27">
        <f>'Cant. Requeridas Producto 3'!AB15</f>
        <v>2880000</v>
      </c>
      <c r="D17" s="75"/>
      <c r="E17" s="73">
        <f t="shared" si="1"/>
        <v>0</v>
      </c>
      <c r="F17" s="75"/>
      <c r="G17" s="17"/>
      <c r="H17" s="56"/>
      <c r="I17" s="57"/>
    </row>
    <row r="18" ht="14.25" customHeight="1">
      <c r="A18" s="15"/>
      <c r="B18" s="62">
        <v>46569.0</v>
      </c>
      <c r="C18" s="27">
        <f>'Cant. Requeridas Producto 3'!AB16</f>
        <v>2976000</v>
      </c>
      <c r="D18" s="75"/>
      <c r="E18" s="73">
        <f t="shared" si="1"/>
        <v>0</v>
      </c>
      <c r="F18" s="75"/>
      <c r="G18" s="17"/>
      <c r="H18" s="56"/>
      <c r="I18" s="57"/>
    </row>
    <row r="19" ht="14.25" customHeight="1">
      <c r="A19" s="15"/>
      <c r="B19" s="58">
        <v>46600.0</v>
      </c>
      <c r="C19" s="27">
        <f>'Cant. Requeridas Producto 3'!AB17</f>
        <v>2976000</v>
      </c>
      <c r="D19" s="75"/>
      <c r="E19" s="73">
        <f t="shared" si="1"/>
        <v>0</v>
      </c>
      <c r="F19" s="75"/>
      <c r="G19" s="17"/>
      <c r="H19" s="56"/>
      <c r="I19" s="57"/>
    </row>
    <row r="20" ht="14.25" customHeight="1">
      <c r="A20" s="15"/>
      <c r="B20" s="62">
        <v>46631.0</v>
      </c>
      <c r="C20" s="27">
        <f>'Cant. Requeridas Producto 3'!AB18</f>
        <v>2880000</v>
      </c>
      <c r="D20" s="75"/>
      <c r="E20" s="73">
        <f t="shared" si="1"/>
        <v>0</v>
      </c>
      <c r="F20" s="75"/>
      <c r="G20" s="17"/>
      <c r="H20" s="56"/>
      <c r="I20" s="57"/>
    </row>
    <row r="21" ht="14.25" customHeight="1">
      <c r="A21" s="15"/>
      <c r="B21" s="58">
        <v>46661.0</v>
      </c>
      <c r="C21" s="27">
        <f>'Cant. Requeridas Producto 3'!AB19</f>
        <v>2976000</v>
      </c>
      <c r="D21" s="75"/>
      <c r="E21" s="73">
        <f t="shared" si="1"/>
        <v>0</v>
      </c>
      <c r="F21" s="75"/>
      <c r="G21" s="17"/>
      <c r="H21" s="56"/>
      <c r="I21" s="57"/>
    </row>
    <row r="22" ht="14.25" customHeight="1">
      <c r="A22" s="15"/>
      <c r="B22" s="62">
        <v>46692.0</v>
      </c>
      <c r="C22" s="27">
        <f>'Cant. Requeridas Producto 3'!AB20</f>
        <v>2880000</v>
      </c>
      <c r="D22" s="75"/>
      <c r="E22" s="73">
        <f t="shared" si="1"/>
        <v>0</v>
      </c>
      <c r="F22" s="75"/>
      <c r="G22" s="17"/>
      <c r="H22" s="56"/>
      <c r="I22" s="57"/>
    </row>
    <row r="23" ht="14.25" customHeight="1">
      <c r="A23" s="15"/>
      <c r="B23" s="58">
        <v>46722.0</v>
      </c>
      <c r="C23" s="27">
        <f>'Cant. Requeridas Producto 3'!AB21</f>
        <v>2976000</v>
      </c>
      <c r="D23" s="76"/>
      <c r="E23" s="73">
        <f t="shared" si="1"/>
        <v>0</v>
      </c>
      <c r="F23" s="76"/>
      <c r="G23" s="17"/>
      <c r="H23" s="56"/>
      <c r="I23" s="57"/>
    </row>
    <row r="24" ht="14.25" customHeight="1">
      <c r="A24" s="15"/>
      <c r="B24" s="32" t="s">
        <v>32</v>
      </c>
      <c r="C24" s="33">
        <f>SUM(C12:C23)</f>
        <v>35040000</v>
      </c>
      <c r="D24" s="34"/>
      <c r="E24" s="33">
        <f>SUM(E12:E23)</f>
        <v>0</v>
      </c>
      <c r="F24" s="35"/>
      <c r="G24" s="17"/>
    </row>
    <row r="25" ht="14.25" customHeight="1">
      <c r="A25" s="15"/>
      <c r="B25" s="17"/>
      <c r="C25" s="36"/>
      <c r="D25" s="36"/>
      <c r="E25" s="17"/>
      <c r="F25" s="17"/>
      <c r="G25" s="17"/>
    </row>
    <row r="26" ht="14.25" customHeight="1">
      <c r="C26" s="37"/>
      <c r="E26" s="38"/>
    </row>
    <row r="27" ht="14.25" customHeight="1">
      <c r="B27" s="39" t="s">
        <v>42</v>
      </c>
      <c r="G27" s="40"/>
    </row>
    <row r="28">
      <c r="B28" s="41" t="s">
        <v>55</v>
      </c>
    </row>
    <row r="29" ht="27.0" customHeight="1">
      <c r="B29" s="41" t="s">
        <v>56</v>
      </c>
    </row>
    <row r="30">
      <c r="B30" s="42"/>
    </row>
    <row r="31" ht="14.25" customHeight="1"/>
    <row r="32" ht="14.25" customHeight="1"/>
    <row r="33" ht="14.25" customHeight="1">
      <c r="B33" s="44"/>
      <c r="C33" s="44"/>
    </row>
    <row r="34" ht="14.25" customHeight="1">
      <c r="B34" s="5" t="s">
        <v>45</v>
      </c>
    </row>
    <row r="35" ht="14.25" customHeight="1">
      <c r="B35" s="5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2">
    <mergeCell ref="B4:G4"/>
    <mergeCell ref="B5:G5"/>
    <mergeCell ref="B6:G6"/>
    <mergeCell ref="B7:G7"/>
    <mergeCell ref="B8:G8"/>
    <mergeCell ref="B10:F10"/>
    <mergeCell ref="F12:F23"/>
    <mergeCell ref="B27:F27"/>
    <mergeCell ref="B28:G28"/>
    <mergeCell ref="B29:G29"/>
    <mergeCell ref="B30:G30"/>
    <mergeCell ref="D12:D2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2" t="s">
        <v>57</v>
      </c>
    </row>
    <row r="3" ht="14.25" customHeight="1">
      <c r="A3" s="2" t="s">
        <v>58</v>
      </c>
    </row>
    <row r="4" ht="14.25" customHeight="1">
      <c r="A4" s="2" t="s">
        <v>3</v>
      </c>
    </row>
    <row r="5" ht="14.25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</row>
    <row r="6" ht="14.25" customHeight="1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  <c r="AA6" s="5"/>
    </row>
    <row r="7" ht="14.25" customHeight="1">
      <c r="A7" s="3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</row>
    <row r="10" ht="14.25" customHeight="1">
      <c r="A10" s="8">
        <v>46753.0</v>
      </c>
      <c r="B10" s="9">
        <v>1400.0</v>
      </c>
      <c r="C10" s="10">
        <f t="shared" ref="C10:Y10" si="1">B10</f>
        <v>1400</v>
      </c>
      <c r="D10" s="10">
        <f t="shared" si="1"/>
        <v>1400</v>
      </c>
      <c r="E10" s="10">
        <f t="shared" si="1"/>
        <v>1400</v>
      </c>
      <c r="F10" s="10">
        <f t="shared" si="1"/>
        <v>1400</v>
      </c>
      <c r="G10" s="10">
        <f t="shared" si="1"/>
        <v>1400</v>
      </c>
      <c r="H10" s="10">
        <f t="shared" si="1"/>
        <v>1400</v>
      </c>
      <c r="I10" s="10">
        <f t="shared" si="1"/>
        <v>1400</v>
      </c>
      <c r="J10" s="10">
        <f t="shared" si="1"/>
        <v>1400</v>
      </c>
      <c r="K10" s="10">
        <f t="shared" si="1"/>
        <v>1400</v>
      </c>
      <c r="L10" s="10">
        <f t="shared" si="1"/>
        <v>1400</v>
      </c>
      <c r="M10" s="10">
        <f t="shared" si="1"/>
        <v>1400</v>
      </c>
      <c r="N10" s="10">
        <f t="shared" si="1"/>
        <v>1400</v>
      </c>
      <c r="O10" s="10">
        <f t="shared" si="1"/>
        <v>1400</v>
      </c>
      <c r="P10" s="10">
        <f t="shared" si="1"/>
        <v>1400</v>
      </c>
      <c r="Q10" s="10">
        <f t="shared" si="1"/>
        <v>1400</v>
      </c>
      <c r="R10" s="10">
        <f t="shared" si="1"/>
        <v>1400</v>
      </c>
      <c r="S10" s="10">
        <f t="shared" si="1"/>
        <v>1400</v>
      </c>
      <c r="T10" s="10">
        <f t="shared" si="1"/>
        <v>1400</v>
      </c>
      <c r="U10" s="10">
        <f t="shared" si="1"/>
        <v>1400</v>
      </c>
      <c r="V10" s="10">
        <f t="shared" si="1"/>
        <v>1400</v>
      </c>
      <c r="W10" s="10">
        <f t="shared" si="1"/>
        <v>1400</v>
      </c>
      <c r="X10" s="10">
        <f t="shared" si="1"/>
        <v>1400</v>
      </c>
      <c r="Y10" s="10">
        <f t="shared" si="1"/>
        <v>1400</v>
      </c>
      <c r="Z10" s="11">
        <f t="shared" ref="Z10:Z21" si="3">SUM(B10:Y10)</f>
        <v>33600</v>
      </c>
      <c r="AA10" s="12">
        <v>31.0</v>
      </c>
      <c r="AB10" s="11">
        <f t="shared" ref="AB10:AB21" si="4">Z10*AA10</f>
        <v>1041600</v>
      </c>
    </row>
    <row r="11" ht="14.25" customHeight="1">
      <c r="A11" s="8">
        <v>46784.0</v>
      </c>
      <c r="B11" s="9">
        <v>1400.0</v>
      </c>
      <c r="C11" s="10">
        <f t="shared" ref="C11:Y11" si="2">B11</f>
        <v>1400</v>
      </c>
      <c r="D11" s="10">
        <f t="shared" si="2"/>
        <v>1400</v>
      </c>
      <c r="E11" s="10">
        <f t="shared" si="2"/>
        <v>1400</v>
      </c>
      <c r="F11" s="10">
        <f t="shared" si="2"/>
        <v>1400</v>
      </c>
      <c r="G11" s="10">
        <f t="shared" si="2"/>
        <v>1400</v>
      </c>
      <c r="H11" s="10">
        <f t="shared" si="2"/>
        <v>1400</v>
      </c>
      <c r="I11" s="10">
        <f t="shared" si="2"/>
        <v>1400</v>
      </c>
      <c r="J11" s="10">
        <f t="shared" si="2"/>
        <v>1400</v>
      </c>
      <c r="K11" s="10">
        <f t="shared" si="2"/>
        <v>1400</v>
      </c>
      <c r="L11" s="10">
        <f t="shared" si="2"/>
        <v>1400</v>
      </c>
      <c r="M11" s="10">
        <f t="shared" si="2"/>
        <v>1400</v>
      </c>
      <c r="N11" s="10">
        <f t="shared" si="2"/>
        <v>1400</v>
      </c>
      <c r="O11" s="10">
        <f t="shared" si="2"/>
        <v>1400</v>
      </c>
      <c r="P11" s="10">
        <f t="shared" si="2"/>
        <v>1400</v>
      </c>
      <c r="Q11" s="10">
        <f t="shared" si="2"/>
        <v>1400</v>
      </c>
      <c r="R11" s="10">
        <f t="shared" si="2"/>
        <v>1400</v>
      </c>
      <c r="S11" s="10">
        <f t="shared" si="2"/>
        <v>1400</v>
      </c>
      <c r="T11" s="10">
        <f t="shared" si="2"/>
        <v>1400</v>
      </c>
      <c r="U11" s="10">
        <f t="shared" si="2"/>
        <v>1400</v>
      </c>
      <c r="V11" s="10">
        <f t="shared" si="2"/>
        <v>1400</v>
      </c>
      <c r="W11" s="10">
        <f t="shared" si="2"/>
        <v>1400</v>
      </c>
      <c r="X11" s="10">
        <f t="shared" si="2"/>
        <v>1400</v>
      </c>
      <c r="Y11" s="10">
        <f t="shared" si="2"/>
        <v>1400</v>
      </c>
      <c r="Z11" s="11">
        <f t="shared" si="3"/>
        <v>33600</v>
      </c>
      <c r="AA11" s="11">
        <v>29.0</v>
      </c>
      <c r="AB11" s="11">
        <f t="shared" si="4"/>
        <v>974400</v>
      </c>
    </row>
    <row r="12" ht="14.25" customHeight="1">
      <c r="A12" s="8">
        <v>46813.0</v>
      </c>
      <c r="B12" s="9">
        <v>1400.0</v>
      </c>
      <c r="C12" s="10">
        <f t="shared" ref="C12:Y12" si="5">B12</f>
        <v>1400</v>
      </c>
      <c r="D12" s="10">
        <f t="shared" si="5"/>
        <v>1400</v>
      </c>
      <c r="E12" s="10">
        <f t="shared" si="5"/>
        <v>1400</v>
      </c>
      <c r="F12" s="10">
        <f t="shared" si="5"/>
        <v>1400</v>
      </c>
      <c r="G12" s="10">
        <f t="shared" si="5"/>
        <v>1400</v>
      </c>
      <c r="H12" s="10">
        <f t="shared" si="5"/>
        <v>1400</v>
      </c>
      <c r="I12" s="10">
        <f t="shared" si="5"/>
        <v>1400</v>
      </c>
      <c r="J12" s="10">
        <f t="shared" si="5"/>
        <v>1400</v>
      </c>
      <c r="K12" s="10">
        <f t="shared" si="5"/>
        <v>1400</v>
      </c>
      <c r="L12" s="10">
        <f t="shared" si="5"/>
        <v>1400</v>
      </c>
      <c r="M12" s="10">
        <f t="shared" si="5"/>
        <v>1400</v>
      </c>
      <c r="N12" s="10">
        <f t="shared" si="5"/>
        <v>1400</v>
      </c>
      <c r="O12" s="10">
        <f t="shared" si="5"/>
        <v>1400</v>
      </c>
      <c r="P12" s="10">
        <f t="shared" si="5"/>
        <v>1400</v>
      </c>
      <c r="Q12" s="10">
        <f t="shared" si="5"/>
        <v>1400</v>
      </c>
      <c r="R12" s="10">
        <f t="shared" si="5"/>
        <v>1400</v>
      </c>
      <c r="S12" s="10">
        <f t="shared" si="5"/>
        <v>1400</v>
      </c>
      <c r="T12" s="10">
        <f t="shared" si="5"/>
        <v>1400</v>
      </c>
      <c r="U12" s="10">
        <f t="shared" si="5"/>
        <v>1400</v>
      </c>
      <c r="V12" s="10">
        <f t="shared" si="5"/>
        <v>1400</v>
      </c>
      <c r="W12" s="10">
        <f t="shared" si="5"/>
        <v>1400</v>
      </c>
      <c r="X12" s="10">
        <f t="shared" si="5"/>
        <v>1400</v>
      </c>
      <c r="Y12" s="10">
        <f t="shared" si="5"/>
        <v>1400</v>
      </c>
      <c r="Z12" s="11">
        <f t="shared" si="3"/>
        <v>33600</v>
      </c>
      <c r="AA12" s="11">
        <v>31.0</v>
      </c>
      <c r="AB12" s="11">
        <f t="shared" si="4"/>
        <v>1041600</v>
      </c>
    </row>
    <row r="13" ht="14.25" customHeight="1">
      <c r="A13" s="8">
        <v>46844.0</v>
      </c>
      <c r="B13" s="9">
        <v>1400.0</v>
      </c>
      <c r="C13" s="10">
        <f t="shared" ref="C13:Y13" si="6">B13</f>
        <v>1400</v>
      </c>
      <c r="D13" s="10">
        <f t="shared" si="6"/>
        <v>1400</v>
      </c>
      <c r="E13" s="10">
        <f t="shared" si="6"/>
        <v>1400</v>
      </c>
      <c r="F13" s="10">
        <f t="shared" si="6"/>
        <v>1400</v>
      </c>
      <c r="G13" s="10">
        <f t="shared" si="6"/>
        <v>1400</v>
      </c>
      <c r="H13" s="10">
        <f t="shared" si="6"/>
        <v>1400</v>
      </c>
      <c r="I13" s="10">
        <f t="shared" si="6"/>
        <v>1400</v>
      </c>
      <c r="J13" s="10">
        <f t="shared" si="6"/>
        <v>1400</v>
      </c>
      <c r="K13" s="10">
        <f t="shared" si="6"/>
        <v>1400</v>
      </c>
      <c r="L13" s="10">
        <f t="shared" si="6"/>
        <v>1400</v>
      </c>
      <c r="M13" s="10">
        <f t="shared" si="6"/>
        <v>1400</v>
      </c>
      <c r="N13" s="10">
        <f t="shared" si="6"/>
        <v>1400</v>
      </c>
      <c r="O13" s="10">
        <f t="shared" si="6"/>
        <v>1400</v>
      </c>
      <c r="P13" s="10">
        <f t="shared" si="6"/>
        <v>1400</v>
      </c>
      <c r="Q13" s="10">
        <f t="shared" si="6"/>
        <v>1400</v>
      </c>
      <c r="R13" s="10">
        <f t="shared" si="6"/>
        <v>1400</v>
      </c>
      <c r="S13" s="10">
        <f t="shared" si="6"/>
        <v>1400</v>
      </c>
      <c r="T13" s="10">
        <f t="shared" si="6"/>
        <v>1400</v>
      </c>
      <c r="U13" s="10">
        <f t="shared" si="6"/>
        <v>1400</v>
      </c>
      <c r="V13" s="10">
        <f t="shared" si="6"/>
        <v>1400</v>
      </c>
      <c r="W13" s="10">
        <f t="shared" si="6"/>
        <v>1400</v>
      </c>
      <c r="X13" s="10">
        <f t="shared" si="6"/>
        <v>1400</v>
      </c>
      <c r="Y13" s="10">
        <f t="shared" si="6"/>
        <v>1400</v>
      </c>
      <c r="Z13" s="11">
        <f t="shared" si="3"/>
        <v>33600</v>
      </c>
      <c r="AA13" s="11">
        <v>30.0</v>
      </c>
      <c r="AB13" s="11">
        <f t="shared" si="4"/>
        <v>1008000</v>
      </c>
    </row>
    <row r="14" ht="14.25" customHeight="1">
      <c r="A14" s="8">
        <v>46874.0</v>
      </c>
      <c r="B14" s="9">
        <v>1400.0</v>
      </c>
      <c r="C14" s="10">
        <f t="shared" ref="C14:Y14" si="7">B14</f>
        <v>1400</v>
      </c>
      <c r="D14" s="10">
        <f t="shared" si="7"/>
        <v>1400</v>
      </c>
      <c r="E14" s="10">
        <f t="shared" si="7"/>
        <v>1400</v>
      </c>
      <c r="F14" s="10">
        <f t="shared" si="7"/>
        <v>1400</v>
      </c>
      <c r="G14" s="10">
        <f t="shared" si="7"/>
        <v>1400</v>
      </c>
      <c r="H14" s="10">
        <f t="shared" si="7"/>
        <v>1400</v>
      </c>
      <c r="I14" s="10">
        <f t="shared" si="7"/>
        <v>1400</v>
      </c>
      <c r="J14" s="10">
        <f t="shared" si="7"/>
        <v>1400</v>
      </c>
      <c r="K14" s="10">
        <f t="shared" si="7"/>
        <v>1400</v>
      </c>
      <c r="L14" s="10">
        <f t="shared" si="7"/>
        <v>1400</v>
      </c>
      <c r="M14" s="10">
        <f t="shared" si="7"/>
        <v>1400</v>
      </c>
      <c r="N14" s="10">
        <f t="shared" si="7"/>
        <v>1400</v>
      </c>
      <c r="O14" s="10">
        <f t="shared" si="7"/>
        <v>1400</v>
      </c>
      <c r="P14" s="10">
        <f t="shared" si="7"/>
        <v>1400</v>
      </c>
      <c r="Q14" s="10">
        <f t="shared" si="7"/>
        <v>1400</v>
      </c>
      <c r="R14" s="10">
        <f t="shared" si="7"/>
        <v>1400</v>
      </c>
      <c r="S14" s="10">
        <f t="shared" si="7"/>
        <v>1400</v>
      </c>
      <c r="T14" s="10">
        <f t="shared" si="7"/>
        <v>1400</v>
      </c>
      <c r="U14" s="10">
        <f t="shared" si="7"/>
        <v>1400</v>
      </c>
      <c r="V14" s="10">
        <f t="shared" si="7"/>
        <v>1400</v>
      </c>
      <c r="W14" s="10">
        <f t="shared" si="7"/>
        <v>1400</v>
      </c>
      <c r="X14" s="10">
        <f t="shared" si="7"/>
        <v>1400</v>
      </c>
      <c r="Y14" s="10">
        <f t="shared" si="7"/>
        <v>1400</v>
      </c>
      <c r="Z14" s="11">
        <f t="shared" si="3"/>
        <v>33600</v>
      </c>
      <c r="AA14" s="11">
        <v>31.0</v>
      </c>
      <c r="AB14" s="11">
        <f t="shared" si="4"/>
        <v>1041600</v>
      </c>
    </row>
    <row r="15" ht="14.25" customHeight="1">
      <c r="A15" s="8">
        <v>46905.0</v>
      </c>
      <c r="B15" s="9">
        <v>1400.0</v>
      </c>
      <c r="C15" s="10">
        <f t="shared" ref="C15:Y15" si="8">B15</f>
        <v>1400</v>
      </c>
      <c r="D15" s="10">
        <f t="shared" si="8"/>
        <v>1400</v>
      </c>
      <c r="E15" s="10">
        <f t="shared" si="8"/>
        <v>1400</v>
      </c>
      <c r="F15" s="10">
        <f t="shared" si="8"/>
        <v>1400</v>
      </c>
      <c r="G15" s="10">
        <f t="shared" si="8"/>
        <v>1400</v>
      </c>
      <c r="H15" s="10">
        <f t="shared" si="8"/>
        <v>1400</v>
      </c>
      <c r="I15" s="10">
        <f t="shared" si="8"/>
        <v>1400</v>
      </c>
      <c r="J15" s="10">
        <f t="shared" si="8"/>
        <v>1400</v>
      </c>
      <c r="K15" s="10">
        <f t="shared" si="8"/>
        <v>1400</v>
      </c>
      <c r="L15" s="10">
        <f t="shared" si="8"/>
        <v>1400</v>
      </c>
      <c r="M15" s="10">
        <f t="shared" si="8"/>
        <v>1400</v>
      </c>
      <c r="N15" s="10">
        <f t="shared" si="8"/>
        <v>1400</v>
      </c>
      <c r="O15" s="10">
        <f t="shared" si="8"/>
        <v>1400</v>
      </c>
      <c r="P15" s="10">
        <f t="shared" si="8"/>
        <v>1400</v>
      </c>
      <c r="Q15" s="10">
        <f t="shared" si="8"/>
        <v>1400</v>
      </c>
      <c r="R15" s="10">
        <f t="shared" si="8"/>
        <v>1400</v>
      </c>
      <c r="S15" s="10">
        <f t="shared" si="8"/>
        <v>1400</v>
      </c>
      <c r="T15" s="10">
        <f t="shared" si="8"/>
        <v>1400</v>
      </c>
      <c r="U15" s="10">
        <f t="shared" si="8"/>
        <v>1400</v>
      </c>
      <c r="V15" s="10">
        <f t="shared" si="8"/>
        <v>1400</v>
      </c>
      <c r="W15" s="10">
        <f t="shared" si="8"/>
        <v>1400</v>
      </c>
      <c r="X15" s="10">
        <f t="shared" si="8"/>
        <v>1400</v>
      </c>
      <c r="Y15" s="10">
        <f t="shared" si="8"/>
        <v>1400</v>
      </c>
      <c r="Z15" s="11">
        <f t="shared" si="3"/>
        <v>33600</v>
      </c>
      <c r="AA15" s="11">
        <v>30.0</v>
      </c>
      <c r="AB15" s="11">
        <f t="shared" si="4"/>
        <v>1008000</v>
      </c>
    </row>
    <row r="16" ht="14.25" customHeight="1">
      <c r="A16" s="8">
        <v>46935.0</v>
      </c>
      <c r="B16" s="9">
        <v>1400.0</v>
      </c>
      <c r="C16" s="10">
        <f t="shared" ref="C16:Y16" si="9">B16</f>
        <v>1400</v>
      </c>
      <c r="D16" s="10">
        <f t="shared" si="9"/>
        <v>1400</v>
      </c>
      <c r="E16" s="10">
        <f t="shared" si="9"/>
        <v>1400</v>
      </c>
      <c r="F16" s="10">
        <f t="shared" si="9"/>
        <v>1400</v>
      </c>
      <c r="G16" s="10">
        <f t="shared" si="9"/>
        <v>1400</v>
      </c>
      <c r="H16" s="10">
        <f t="shared" si="9"/>
        <v>1400</v>
      </c>
      <c r="I16" s="10">
        <f t="shared" si="9"/>
        <v>1400</v>
      </c>
      <c r="J16" s="10">
        <f t="shared" si="9"/>
        <v>1400</v>
      </c>
      <c r="K16" s="10">
        <f t="shared" si="9"/>
        <v>1400</v>
      </c>
      <c r="L16" s="10">
        <f t="shared" si="9"/>
        <v>1400</v>
      </c>
      <c r="M16" s="10">
        <f t="shared" si="9"/>
        <v>1400</v>
      </c>
      <c r="N16" s="10">
        <f t="shared" si="9"/>
        <v>1400</v>
      </c>
      <c r="O16" s="10">
        <f t="shared" si="9"/>
        <v>1400</v>
      </c>
      <c r="P16" s="10">
        <f t="shared" si="9"/>
        <v>1400</v>
      </c>
      <c r="Q16" s="10">
        <f t="shared" si="9"/>
        <v>1400</v>
      </c>
      <c r="R16" s="10">
        <f t="shared" si="9"/>
        <v>1400</v>
      </c>
      <c r="S16" s="10">
        <f t="shared" si="9"/>
        <v>1400</v>
      </c>
      <c r="T16" s="10">
        <f t="shared" si="9"/>
        <v>1400</v>
      </c>
      <c r="U16" s="10">
        <f t="shared" si="9"/>
        <v>1400</v>
      </c>
      <c r="V16" s="10">
        <f t="shared" si="9"/>
        <v>1400</v>
      </c>
      <c r="W16" s="10">
        <f t="shared" si="9"/>
        <v>1400</v>
      </c>
      <c r="X16" s="10">
        <f t="shared" si="9"/>
        <v>1400</v>
      </c>
      <c r="Y16" s="10">
        <f t="shared" si="9"/>
        <v>1400</v>
      </c>
      <c r="Z16" s="11">
        <f t="shared" si="3"/>
        <v>33600</v>
      </c>
      <c r="AA16" s="11">
        <v>31.0</v>
      </c>
      <c r="AB16" s="11">
        <f t="shared" si="4"/>
        <v>1041600</v>
      </c>
    </row>
    <row r="17" ht="14.25" customHeight="1">
      <c r="A17" s="8">
        <v>46966.0</v>
      </c>
      <c r="B17" s="9">
        <v>1400.0</v>
      </c>
      <c r="C17" s="10">
        <f t="shared" ref="C17:Y17" si="10">B17</f>
        <v>1400</v>
      </c>
      <c r="D17" s="10">
        <f t="shared" si="10"/>
        <v>1400</v>
      </c>
      <c r="E17" s="10">
        <f t="shared" si="10"/>
        <v>1400</v>
      </c>
      <c r="F17" s="10">
        <f t="shared" si="10"/>
        <v>1400</v>
      </c>
      <c r="G17" s="10">
        <f t="shared" si="10"/>
        <v>1400</v>
      </c>
      <c r="H17" s="10">
        <f t="shared" si="10"/>
        <v>1400</v>
      </c>
      <c r="I17" s="10">
        <f t="shared" si="10"/>
        <v>1400</v>
      </c>
      <c r="J17" s="10">
        <f t="shared" si="10"/>
        <v>1400</v>
      </c>
      <c r="K17" s="10">
        <f t="shared" si="10"/>
        <v>1400</v>
      </c>
      <c r="L17" s="10">
        <f t="shared" si="10"/>
        <v>1400</v>
      </c>
      <c r="M17" s="10">
        <f t="shared" si="10"/>
        <v>1400</v>
      </c>
      <c r="N17" s="10">
        <f t="shared" si="10"/>
        <v>1400</v>
      </c>
      <c r="O17" s="10">
        <f t="shared" si="10"/>
        <v>1400</v>
      </c>
      <c r="P17" s="10">
        <f t="shared" si="10"/>
        <v>1400</v>
      </c>
      <c r="Q17" s="10">
        <f t="shared" si="10"/>
        <v>1400</v>
      </c>
      <c r="R17" s="10">
        <f t="shared" si="10"/>
        <v>1400</v>
      </c>
      <c r="S17" s="10">
        <f t="shared" si="10"/>
        <v>1400</v>
      </c>
      <c r="T17" s="10">
        <f t="shared" si="10"/>
        <v>1400</v>
      </c>
      <c r="U17" s="10">
        <f t="shared" si="10"/>
        <v>1400</v>
      </c>
      <c r="V17" s="10">
        <f t="shared" si="10"/>
        <v>1400</v>
      </c>
      <c r="W17" s="10">
        <f t="shared" si="10"/>
        <v>1400</v>
      </c>
      <c r="X17" s="10">
        <f t="shared" si="10"/>
        <v>1400</v>
      </c>
      <c r="Y17" s="10">
        <f t="shared" si="10"/>
        <v>1400</v>
      </c>
      <c r="Z17" s="11">
        <f t="shared" si="3"/>
        <v>33600</v>
      </c>
      <c r="AA17" s="11">
        <v>31.0</v>
      </c>
      <c r="AB17" s="11">
        <f t="shared" si="4"/>
        <v>1041600</v>
      </c>
    </row>
    <row r="18" ht="14.25" customHeight="1">
      <c r="A18" s="8">
        <v>46997.0</v>
      </c>
      <c r="B18" s="9">
        <v>1400.0</v>
      </c>
      <c r="C18" s="10">
        <f t="shared" ref="C18:Y18" si="11">B18</f>
        <v>1400</v>
      </c>
      <c r="D18" s="10">
        <f t="shared" si="11"/>
        <v>1400</v>
      </c>
      <c r="E18" s="10">
        <f t="shared" si="11"/>
        <v>1400</v>
      </c>
      <c r="F18" s="10">
        <f t="shared" si="11"/>
        <v>1400</v>
      </c>
      <c r="G18" s="10">
        <f t="shared" si="11"/>
        <v>1400</v>
      </c>
      <c r="H18" s="10">
        <f t="shared" si="11"/>
        <v>1400</v>
      </c>
      <c r="I18" s="10">
        <f t="shared" si="11"/>
        <v>1400</v>
      </c>
      <c r="J18" s="10">
        <f t="shared" si="11"/>
        <v>1400</v>
      </c>
      <c r="K18" s="10">
        <f t="shared" si="11"/>
        <v>1400</v>
      </c>
      <c r="L18" s="10">
        <f t="shared" si="11"/>
        <v>1400</v>
      </c>
      <c r="M18" s="10">
        <f t="shared" si="11"/>
        <v>1400</v>
      </c>
      <c r="N18" s="10">
        <f t="shared" si="11"/>
        <v>1400</v>
      </c>
      <c r="O18" s="10">
        <f t="shared" si="11"/>
        <v>1400</v>
      </c>
      <c r="P18" s="10">
        <f t="shared" si="11"/>
        <v>1400</v>
      </c>
      <c r="Q18" s="10">
        <f t="shared" si="11"/>
        <v>1400</v>
      </c>
      <c r="R18" s="10">
        <f t="shared" si="11"/>
        <v>1400</v>
      </c>
      <c r="S18" s="10">
        <f t="shared" si="11"/>
        <v>1400</v>
      </c>
      <c r="T18" s="10">
        <f t="shared" si="11"/>
        <v>1400</v>
      </c>
      <c r="U18" s="10">
        <f t="shared" si="11"/>
        <v>1400</v>
      </c>
      <c r="V18" s="10">
        <f t="shared" si="11"/>
        <v>1400</v>
      </c>
      <c r="W18" s="10">
        <f t="shared" si="11"/>
        <v>1400</v>
      </c>
      <c r="X18" s="10">
        <f t="shared" si="11"/>
        <v>1400</v>
      </c>
      <c r="Y18" s="10">
        <f t="shared" si="11"/>
        <v>1400</v>
      </c>
      <c r="Z18" s="11">
        <f t="shared" si="3"/>
        <v>33600</v>
      </c>
      <c r="AA18" s="11">
        <v>30.0</v>
      </c>
      <c r="AB18" s="11">
        <f t="shared" si="4"/>
        <v>1008000</v>
      </c>
    </row>
    <row r="19" ht="14.25" customHeight="1">
      <c r="A19" s="8">
        <v>47027.0</v>
      </c>
      <c r="B19" s="9">
        <v>1400.0</v>
      </c>
      <c r="C19" s="10">
        <f t="shared" ref="C19:Y19" si="12">B19</f>
        <v>1400</v>
      </c>
      <c r="D19" s="10">
        <f t="shared" si="12"/>
        <v>1400</v>
      </c>
      <c r="E19" s="10">
        <f t="shared" si="12"/>
        <v>1400</v>
      </c>
      <c r="F19" s="10">
        <f t="shared" si="12"/>
        <v>1400</v>
      </c>
      <c r="G19" s="10">
        <f t="shared" si="12"/>
        <v>1400</v>
      </c>
      <c r="H19" s="10">
        <f t="shared" si="12"/>
        <v>1400</v>
      </c>
      <c r="I19" s="10">
        <f t="shared" si="12"/>
        <v>1400</v>
      </c>
      <c r="J19" s="10">
        <f t="shared" si="12"/>
        <v>1400</v>
      </c>
      <c r="K19" s="10">
        <f t="shared" si="12"/>
        <v>1400</v>
      </c>
      <c r="L19" s="10">
        <f t="shared" si="12"/>
        <v>1400</v>
      </c>
      <c r="M19" s="10">
        <f t="shared" si="12"/>
        <v>1400</v>
      </c>
      <c r="N19" s="10">
        <f t="shared" si="12"/>
        <v>1400</v>
      </c>
      <c r="O19" s="10">
        <f t="shared" si="12"/>
        <v>1400</v>
      </c>
      <c r="P19" s="10">
        <f t="shared" si="12"/>
        <v>1400</v>
      </c>
      <c r="Q19" s="10">
        <f t="shared" si="12"/>
        <v>1400</v>
      </c>
      <c r="R19" s="10">
        <f t="shared" si="12"/>
        <v>1400</v>
      </c>
      <c r="S19" s="10">
        <f t="shared" si="12"/>
        <v>1400</v>
      </c>
      <c r="T19" s="10">
        <f t="shared" si="12"/>
        <v>1400</v>
      </c>
      <c r="U19" s="10">
        <f t="shared" si="12"/>
        <v>1400</v>
      </c>
      <c r="V19" s="10">
        <f t="shared" si="12"/>
        <v>1400</v>
      </c>
      <c r="W19" s="10">
        <f t="shared" si="12"/>
        <v>1400</v>
      </c>
      <c r="X19" s="10">
        <f t="shared" si="12"/>
        <v>1400</v>
      </c>
      <c r="Y19" s="10">
        <f t="shared" si="12"/>
        <v>1400</v>
      </c>
      <c r="Z19" s="11">
        <f t="shared" si="3"/>
        <v>33600</v>
      </c>
      <c r="AA19" s="11">
        <v>31.0</v>
      </c>
      <c r="AB19" s="11">
        <f t="shared" si="4"/>
        <v>1041600</v>
      </c>
    </row>
    <row r="20" ht="14.25" customHeight="1">
      <c r="A20" s="8">
        <v>47058.0</v>
      </c>
      <c r="B20" s="9">
        <v>1400.0</v>
      </c>
      <c r="C20" s="10">
        <f t="shared" ref="C20:Y20" si="13">B20</f>
        <v>1400</v>
      </c>
      <c r="D20" s="10">
        <f t="shared" si="13"/>
        <v>1400</v>
      </c>
      <c r="E20" s="10">
        <f t="shared" si="13"/>
        <v>1400</v>
      </c>
      <c r="F20" s="10">
        <f t="shared" si="13"/>
        <v>1400</v>
      </c>
      <c r="G20" s="10">
        <f t="shared" si="13"/>
        <v>1400</v>
      </c>
      <c r="H20" s="10">
        <f t="shared" si="13"/>
        <v>1400</v>
      </c>
      <c r="I20" s="10">
        <f t="shared" si="13"/>
        <v>1400</v>
      </c>
      <c r="J20" s="10">
        <f t="shared" si="13"/>
        <v>1400</v>
      </c>
      <c r="K20" s="10">
        <f t="shared" si="13"/>
        <v>1400</v>
      </c>
      <c r="L20" s="10">
        <f t="shared" si="13"/>
        <v>1400</v>
      </c>
      <c r="M20" s="10">
        <f t="shared" si="13"/>
        <v>1400</v>
      </c>
      <c r="N20" s="10">
        <f t="shared" si="13"/>
        <v>1400</v>
      </c>
      <c r="O20" s="10">
        <f t="shared" si="13"/>
        <v>1400</v>
      </c>
      <c r="P20" s="10">
        <f t="shared" si="13"/>
        <v>1400</v>
      </c>
      <c r="Q20" s="10">
        <f t="shared" si="13"/>
        <v>1400</v>
      </c>
      <c r="R20" s="10">
        <f t="shared" si="13"/>
        <v>1400</v>
      </c>
      <c r="S20" s="10">
        <f t="shared" si="13"/>
        <v>1400</v>
      </c>
      <c r="T20" s="10">
        <f t="shared" si="13"/>
        <v>1400</v>
      </c>
      <c r="U20" s="10">
        <f t="shared" si="13"/>
        <v>1400</v>
      </c>
      <c r="V20" s="10">
        <f t="shared" si="13"/>
        <v>1400</v>
      </c>
      <c r="W20" s="10">
        <f t="shared" si="13"/>
        <v>1400</v>
      </c>
      <c r="X20" s="10">
        <f t="shared" si="13"/>
        <v>1400</v>
      </c>
      <c r="Y20" s="10">
        <f t="shared" si="13"/>
        <v>1400</v>
      </c>
      <c r="Z20" s="11">
        <f t="shared" si="3"/>
        <v>33600</v>
      </c>
      <c r="AA20" s="11">
        <v>30.0</v>
      </c>
      <c r="AB20" s="11">
        <f t="shared" si="4"/>
        <v>1008000</v>
      </c>
    </row>
    <row r="21" ht="14.25" customHeight="1">
      <c r="A21" s="8">
        <v>47088.0</v>
      </c>
      <c r="B21" s="9">
        <v>1400.0</v>
      </c>
      <c r="C21" s="10">
        <f t="shared" ref="C21:Y21" si="14">B21</f>
        <v>1400</v>
      </c>
      <c r="D21" s="10">
        <f t="shared" si="14"/>
        <v>1400</v>
      </c>
      <c r="E21" s="10">
        <f t="shared" si="14"/>
        <v>1400</v>
      </c>
      <c r="F21" s="10">
        <f t="shared" si="14"/>
        <v>1400</v>
      </c>
      <c r="G21" s="10">
        <f t="shared" si="14"/>
        <v>1400</v>
      </c>
      <c r="H21" s="10">
        <f t="shared" si="14"/>
        <v>1400</v>
      </c>
      <c r="I21" s="10">
        <f t="shared" si="14"/>
        <v>1400</v>
      </c>
      <c r="J21" s="10">
        <f t="shared" si="14"/>
        <v>1400</v>
      </c>
      <c r="K21" s="10">
        <f t="shared" si="14"/>
        <v>1400</v>
      </c>
      <c r="L21" s="10">
        <f t="shared" si="14"/>
        <v>1400</v>
      </c>
      <c r="M21" s="10">
        <f t="shared" si="14"/>
        <v>1400</v>
      </c>
      <c r="N21" s="10">
        <f t="shared" si="14"/>
        <v>1400</v>
      </c>
      <c r="O21" s="10">
        <f t="shared" si="14"/>
        <v>1400</v>
      </c>
      <c r="P21" s="10">
        <f t="shared" si="14"/>
        <v>1400</v>
      </c>
      <c r="Q21" s="10">
        <f t="shared" si="14"/>
        <v>1400</v>
      </c>
      <c r="R21" s="10">
        <f t="shared" si="14"/>
        <v>1400</v>
      </c>
      <c r="S21" s="10">
        <f t="shared" si="14"/>
        <v>1400</v>
      </c>
      <c r="T21" s="10">
        <f t="shared" si="14"/>
        <v>1400</v>
      </c>
      <c r="U21" s="10">
        <f t="shared" si="14"/>
        <v>1400</v>
      </c>
      <c r="V21" s="10">
        <f t="shared" si="14"/>
        <v>1400</v>
      </c>
      <c r="W21" s="10">
        <f t="shared" si="14"/>
        <v>1400</v>
      </c>
      <c r="X21" s="10">
        <f t="shared" si="14"/>
        <v>1400</v>
      </c>
      <c r="Y21" s="10">
        <f t="shared" si="14"/>
        <v>1400</v>
      </c>
      <c r="Z21" s="11">
        <f t="shared" si="3"/>
        <v>33600</v>
      </c>
      <c r="AA21" s="11">
        <v>31.0</v>
      </c>
      <c r="AB21" s="11">
        <f t="shared" si="4"/>
        <v>1041600</v>
      </c>
    </row>
    <row r="22" ht="14.25" customHeight="1">
      <c r="Z22" s="45" t="s">
        <v>48</v>
      </c>
      <c r="AA22" s="46"/>
      <c r="AB22" s="47">
        <f>SUM(AB10:AB21)</f>
        <v>12297600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17.0"/>
    <col customWidth="1" min="4" max="4" width="16.0"/>
    <col customWidth="1" min="5" max="5" width="12.43"/>
    <col customWidth="1" min="6" max="6" width="13.0"/>
    <col customWidth="1" min="7" max="21" width="10.71"/>
  </cols>
  <sheetData>
    <row r="1" ht="14.25" customHeight="1"/>
    <row r="2" ht="14.25" customHeight="1"/>
    <row r="3" ht="14.25" customHeight="1"/>
    <row r="4" ht="14.25" customHeight="1">
      <c r="A4" s="15"/>
      <c r="B4" s="16" t="s">
        <v>3</v>
      </c>
    </row>
    <row r="5" ht="14.25" customHeight="1">
      <c r="A5" s="15"/>
      <c r="B5" s="16" t="s">
        <v>59</v>
      </c>
    </row>
    <row r="6" ht="14.25" customHeight="1">
      <c r="A6" s="15"/>
      <c r="B6" s="17" t="s">
        <v>34</v>
      </c>
    </row>
    <row r="7" ht="14.25" customHeight="1">
      <c r="A7" s="15"/>
      <c r="B7" s="17" t="s">
        <v>35</v>
      </c>
    </row>
    <row r="8" ht="14.25" customHeight="1">
      <c r="A8" s="15"/>
      <c r="B8" s="18" t="s">
        <v>36</v>
      </c>
    </row>
    <row r="9" ht="14.25" customHeight="1">
      <c r="A9" s="15"/>
      <c r="B9" s="17"/>
      <c r="C9" s="17"/>
      <c r="D9" s="17"/>
      <c r="E9" s="17"/>
      <c r="F9" s="17"/>
      <c r="G9" s="17"/>
    </row>
    <row r="10" ht="14.25" customHeight="1">
      <c r="A10" s="15"/>
      <c r="B10" s="19" t="s">
        <v>37</v>
      </c>
      <c r="C10" s="20"/>
      <c r="D10" s="20"/>
      <c r="E10" s="20"/>
      <c r="F10" s="21"/>
      <c r="G10" s="17"/>
    </row>
    <row r="11">
      <c r="A11" s="15"/>
      <c r="B11" s="22" t="s">
        <v>4</v>
      </c>
      <c r="C11" s="23" t="s">
        <v>38</v>
      </c>
      <c r="D11" s="23" t="s">
        <v>39</v>
      </c>
      <c r="E11" s="24" t="s">
        <v>40</v>
      </c>
      <c r="F11" s="25" t="s">
        <v>41</v>
      </c>
      <c r="G11" s="17"/>
    </row>
    <row r="12" ht="14.25" customHeight="1">
      <c r="A12" s="15"/>
      <c r="B12" s="62">
        <v>46753.0</v>
      </c>
      <c r="C12" s="27">
        <f>'Cant. Requeridas Producto 4'!AB10</f>
        <v>1041600</v>
      </c>
      <c r="D12" s="72"/>
      <c r="E12" s="73">
        <f t="shared" ref="E12:E23" si="1">C12*$D$12</f>
        <v>0</v>
      </c>
      <c r="F12" s="77"/>
      <c r="G12" s="17"/>
      <c r="H12" s="56"/>
      <c r="I12" s="57"/>
    </row>
    <row r="13" ht="14.25" customHeight="1">
      <c r="A13" s="15"/>
      <c r="B13" s="58">
        <v>46784.0</v>
      </c>
      <c r="C13" s="27">
        <f>'Cant. Requeridas Producto 4'!AB11</f>
        <v>974400</v>
      </c>
      <c r="D13" s="75"/>
      <c r="E13" s="73">
        <f t="shared" si="1"/>
        <v>0</v>
      </c>
      <c r="F13" s="75"/>
      <c r="G13" s="17"/>
      <c r="H13" s="56"/>
      <c r="I13" s="57"/>
    </row>
    <row r="14" ht="14.25" customHeight="1">
      <c r="A14" s="15"/>
      <c r="B14" s="58">
        <v>46813.0</v>
      </c>
      <c r="C14" s="27">
        <f>'Cant. Requeridas Producto 4'!AB12</f>
        <v>1041600</v>
      </c>
      <c r="D14" s="75"/>
      <c r="E14" s="73">
        <f t="shared" si="1"/>
        <v>0</v>
      </c>
      <c r="F14" s="75"/>
      <c r="G14" s="17"/>
      <c r="H14" s="56"/>
      <c r="I14" s="57"/>
    </row>
    <row r="15" ht="14.25" customHeight="1">
      <c r="A15" s="15"/>
      <c r="B15" s="58">
        <v>46844.0</v>
      </c>
      <c r="C15" s="27">
        <f>'Cant. Requeridas Producto 4'!AB13</f>
        <v>1008000</v>
      </c>
      <c r="D15" s="75"/>
      <c r="E15" s="73">
        <f t="shared" si="1"/>
        <v>0</v>
      </c>
      <c r="F15" s="75"/>
      <c r="G15" s="17"/>
      <c r="H15" s="56"/>
      <c r="I15" s="57"/>
    </row>
    <row r="16" ht="14.25" customHeight="1">
      <c r="A16" s="15"/>
      <c r="B16" s="58">
        <v>46874.0</v>
      </c>
      <c r="C16" s="27">
        <f>'Cant. Requeridas Producto 4'!AB14</f>
        <v>1041600</v>
      </c>
      <c r="D16" s="75"/>
      <c r="E16" s="73">
        <f t="shared" si="1"/>
        <v>0</v>
      </c>
      <c r="F16" s="75"/>
      <c r="G16" s="17"/>
      <c r="H16" s="56"/>
      <c r="I16" s="57"/>
    </row>
    <row r="17" ht="14.25" customHeight="1">
      <c r="A17" s="15"/>
      <c r="B17" s="58">
        <v>46905.0</v>
      </c>
      <c r="C17" s="27">
        <f>'Cant. Requeridas Producto 4'!AB15</f>
        <v>1008000</v>
      </c>
      <c r="D17" s="75"/>
      <c r="E17" s="73">
        <f t="shared" si="1"/>
        <v>0</v>
      </c>
      <c r="F17" s="75"/>
      <c r="G17" s="17"/>
      <c r="H17" s="56"/>
      <c r="I17" s="57"/>
    </row>
    <row r="18" ht="14.25" customHeight="1">
      <c r="A18" s="15"/>
      <c r="B18" s="58">
        <v>46935.0</v>
      </c>
      <c r="C18" s="27">
        <f>'Cant. Requeridas Producto 4'!AB16</f>
        <v>1041600</v>
      </c>
      <c r="D18" s="75"/>
      <c r="E18" s="73">
        <f t="shared" si="1"/>
        <v>0</v>
      </c>
      <c r="F18" s="75"/>
      <c r="G18" s="17"/>
      <c r="H18" s="56"/>
      <c r="I18" s="57"/>
    </row>
    <row r="19" ht="14.25" customHeight="1">
      <c r="A19" s="15"/>
      <c r="B19" s="58">
        <v>46966.0</v>
      </c>
      <c r="C19" s="27">
        <f>'Cant. Requeridas Producto 4'!AB17</f>
        <v>1041600</v>
      </c>
      <c r="D19" s="75"/>
      <c r="E19" s="73">
        <f t="shared" si="1"/>
        <v>0</v>
      </c>
      <c r="F19" s="75"/>
      <c r="G19" s="17"/>
      <c r="H19" s="56"/>
      <c r="I19" s="57"/>
    </row>
    <row r="20" ht="14.25" customHeight="1">
      <c r="A20" s="15"/>
      <c r="B20" s="58">
        <v>46997.0</v>
      </c>
      <c r="C20" s="27">
        <f>'Cant. Requeridas Producto 4'!AB18</f>
        <v>1008000</v>
      </c>
      <c r="D20" s="75"/>
      <c r="E20" s="73">
        <f t="shared" si="1"/>
        <v>0</v>
      </c>
      <c r="F20" s="75"/>
      <c r="G20" s="17"/>
      <c r="H20" s="56"/>
      <c r="I20" s="57"/>
    </row>
    <row r="21" ht="14.25" customHeight="1">
      <c r="A21" s="15"/>
      <c r="B21" s="58">
        <v>47027.0</v>
      </c>
      <c r="C21" s="27">
        <f>'Cant. Requeridas Producto 4'!AB19</f>
        <v>1041600</v>
      </c>
      <c r="D21" s="75"/>
      <c r="E21" s="73">
        <f t="shared" si="1"/>
        <v>0</v>
      </c>
      <c r="F21" s="75"/>
      <c r="G21" s="17"/>
      <c r="H21" s="56"/>
      <c r="I21" s="57"/>
    </row>
    <row r="22" ht="14.25" customHeight="1">
      <c r="A22" s="15"/>
      <c r="B22" s="58">
        <v>47058.0</v>
      </c>
      <c r="C22" s="27">
        <f>'Cant. Requeridas Producto 4'!AB20</f>
        <v>1008000</v>
      </c>
      <c r="D22" s="75"/>
      <c r="E22" s="73">
        <f t="shared" si="1"/>
        <v>0</v>
      </c>
      <c r="F22" s="75"/>
      <c r="G22" s="17"/>
      <c r="H22" s="56"/>
      <c r="I22" s="57"/>
    </row>
    <row r="23" ht="14.25" customHeight="1">
      <c r="A23" s="15"/>
      <c r="B23" s="58">
        <v>47088.0</v>
      </c>
      <c r="C23" s="27">
        <f>'Cant. Requeridas Producto 4'!AB21</f>
        <v>1041600</v>
      </c>
      <c r="D23" s="76"/>
      <c r="E23" s="73">
        <f t="shared" si="1"/>
        <v>0</v>
      </c>
      <c r="F23" s="76"/>
      <c r="G23" s="17"/>
      <c r="H23" s="56"/>
      <c r="I23" s="57"/>
    </row>
    <row r="24" ht="14.25" customHeight="1">
      <c r="A24" s="15"/>
      <c r="B24" s="32" t="s">
        <v>32</v>
      </c>
      <c r="C24" s="33">
        <f>SUM(C12:C23)</f>
        <v>12297600</v>
      </c>
      <c r="D24" s="34"/>
      <c r="E24" s="33">
        <f>SUM(E12:E23)</f>
        <v>0</v>
      </c>
      <c r="F24" s="35"/>
      <c r="G24" s="17"/>
    </row>
    <row r="25" ht="14.25" customHeight="1">
      <c r="A25" s="15"/>
      <c r="B25" s="17"/>
      <c r="C25" s="36"/>
      <c r="D25" s="36"/>
      <c r="E25" s="17"/>
      <c r="F25" s="17"/>
      <c r="G25" s="17"/>
    </row>
    <row r="26" ht="14.25" customHeight="1">
      <c r="C26" s="37"/>
      <c r="E26" s="38"/>
    </row>
    <row r="27" ht="14.25" customHeight="1">
      <c r="B27" s="39" t="s">
        <v>42</v>
      </c>
      <c r="G27" s="40"/>
    </row>
    <row r="28">
      <c r="B28" s="41" t="s">
        <v>55</v>
      </c>
    </row>
    <row r="29" ht="27.0" customHeight="1">
      <c r="B29" s="41" t="s">
        <v>56</v>
      </c>
    </row>
    <row r="30">
      <c r="B30" s="42"/>
    </row>
    <row r="31" ht="14.25" customHeight="1"/>
    <row r="32" ht="14.25" customHeight="1"/>
    <row r="33" ht="14.25" customHeight="1">
      <c r="B33" s="44"/>
      <c r="C33" s="44"/>
    </row>
    <row r="34" ht="14.25" customHeight="1">
      <c r="B34" s="5" t="s">
        <v>45</v>
      </c>
    </row>
    <row r="35" ht="14.25" customHeight="1">
      <c r="B35" s="5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2">
    <mergeCell ref="B27:F27"/>
    <mergeCell ref="B30:G30"/>
    <mergeCell ref="B28:G28"/>
    <mergeCell ref="B29:G29"/>
    <mergeCell ref="D12:D23"/>
    <mergeCell ref="F12:F23"/>
    <mergeCell ref="B4:G4"/>
    <mergeCell ref="B5:G5"/>
    <mergeCell ref="B6:G6"/>
    <mergeCell ref="B7:G7"/>
    <mergeCell ref="B8:G8"/>
    <mergeCell ref="B10:F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2" t="s">
        <v>60</v>
      </c>
    </row>
    <row r="3" ht="14.25" customHeight="1">
      <c r="A3" s="2" t="s">
        <v>61</v>
      </c>
    </row>
    <row r="4" ht="14.25" customHeight="1">
      <c r="A4" s="2" t="s">
        <v>3</v>
      </c>
    </row>
    <row r="5" ht="14.25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</row>
    <row r="6" ht="14.25" customHeight="1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  <c r="AA6" s="5"/>
    </row>
    <row r="7" ht="14.25" customHeight="1">
      <c r="A7" s="3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</row>
    <row r="10" ht="14.25" customHeight="1">
      <c r="A10" s="8">
        <v>47119.0</v>
      </c>
      <c r="B10" s="9">
        <v>1400.0</v>
      </c>
      <c r="C10" s="10">
        <f t="shared" ref="C10:Y10" si="1">B10</f>
        <v>1400</v>
      </c>
      <c r="D10" s="10">
        <f t="shared" si="1"/>
        <v>1400</v>
      </c>
      <c r="E10" s="10">
        <f t="shared" si="1"/>
        <v>1400</v>
      </c>
      <c r="F10" s="10">
        <f t="shared" si="1"/>
        <v>1400</v>
      </c>
      <c r="G10" s="10">
        <f t="shared" si="1"/>
        <v>1400</v>
      </c>
      <c r="H10" s="10">
        <f t="shared" si="1"/>
        <v>1400</v>
      </c>
      <c r="I10" s="10">
        <f t="shared" si="1"/>
        <v>1400</v>
      </c>
      <c r="J10" s="10">
        <f t="shared" si="1"/>
        <v>1400</v>
      </c>
      <c r="K10" s="10">
        <f t="shared" si="1"/>
        <v>1400</v>
      </c>
      <c r="L10" s="10">
        <f t="shared" si="1"/>
        <v>1400</v>
      </c>
      <c r="M10" s="10">
        <f t="shared" si="1"/>
        <v>1400</v>
      </c>
      <c r="N10" s="10">
        <f t="shared" si="1"/>
        <v>1400</v>
      </c>
      <c r="O10" s="10">
        <f t="shared" si="1"/>
        <v>1400</v>
      </c>
      <c r="P10" s="10">
        <f t="shared" si="1"/>
        <v>1400</v>
      </c>
      <c r="Q10" s="10">
        <f t="shared" si="1"/>
        <v>1400</v>
      </c>
      <c r="R10" s="10">
        <f t="shared" si="1"/>
        <v>1400</v>
      </c>
      <c r="S10" s="10">
        <f t="shared" si="1"/>
        <v>1400</v>
      </c>
      <c r="T10" s="10">
        <f t="shared" si="1"/>
        <v>1400</v>
      </c>
      <c r="U10" s="10">
        <f t="shared" si="1"/>
        <v>1400</v>
      </c>
      <c r="V10" s="10">
        <f t="shared" si="1"/>
        <v>1400</v>
      </c>
      <c r="W10" s="10">
        <f t="shared" si="1"/>
        <v>1400</v>
      </c>
      <c r="X10" s="10">
        <f t="shared" si="1"/>
        <v>1400</v>
      </c>
      <c r="Y10" s="10">
        <f t="shared" si="1"/>
        <v>1400</v>
      </c>
      <c r="Z10" s="11">
        <f t="shared" ref="Z10:Z21" si="3">SUM(B10:Y10)</f>
        <v>33600</v>
      </c>
      <c r="AA10" s="12">
        <v>31.0</v>
      </c>
      <c r="AB10" s="11">
        <f t="shared" ref="AB10:AB21" si="4">Z10*AA10</f>
        <v>1041600</v>
      </c>
    </row>
    <row r="11" ht="14.25" customHeight="1">
      <c r="A11" s="8">
        <v>47150.0</v>
      </c>
      <c r="B11" s="9">
        <v>1400.0</v>
      </c>
      <c r="C11" s="10">
        <f t="shared" ref="C11:Y11" si="2">B11</f>
        <v>1400</v>
      </c>
      <c r="D11" s="10">
        <f t="shared" si="2"/>
        <v>1400</v>
      </c>
      <c r="E11" s="10">
        <f t="shared" si="2"/>
        <v>1400</v>
      </c>
      <c r="F11" s="10">
        <f t="shared" si="2"/>
        <v>1400</v>
      </c>
      <c r="G11" s="10">
        <f t="shared" si="2"/>
        <v>1400</v>
      </c>
      <c r="H11" s="10">
        <f t="shared" si="2"/>
        <v>1400</v>
      </c>
      <c r="I11" s="10">
        <f t="shared" si="2"/>
        <v>1400</v>
      </c>
      <c r="J11" s="10">
        <f t="shared" si="2"/>
        <v>1400</v>
      </c>
      <c r="K11" s="10">
        <f t="shared" si="2"/>
        <v>1400</v>
      </c>
      <c r="L11" s="10">
        <f t="shared" si="2"/>
        <v>1400</v>
      </c>
      <c r="M11" s="10">
        <f t="shared" si="2"/>
        <v>1400</v>
      </c>
      <c r="N11" s="10">
        <f t="shared" si="2"/>
        <v>1400</v>
      </c>
      <c r="O11" s="10">
        <f t="shared" si="2"/>
        <v>1400</v>
      </c>
      <c r="P11" s="10">
        <f t="shared" si="2"/>
        <v>1400</v>
      </c>
      <c r="Q11" s="10">
        <f t="shared" si="2"/>
        <v>1400</v>
      </c>
      <c r="R11" s="10">
        <f t="shared" si="2"/>
        <v>1400</v>
      </c>
      <c r="S11" s="10">
        <f t="shared" si="2"/>
        <v>1400</v>
      </c>
      <c r="T11" s="10">
        <f t="shared" si="2"/>
        <v>1400</v>
      </c>
      <c r="U11" s="10">
        <f t="shared" si="2"/>
        <v>1400</v>
      </c>
      <c r="V11" s="10">
        <f t="shared" si="2"/>
        <v>1400</v>
      </c>
      <c r="W11" s="10">
        <f t="shared" si="2"/>
        <v>1400</v>
      </c>
      <c r="X11" s="10">
        <f t="shared" si="2"/>
        <v>1400</v>
      </c>
      <c r="Y11" s="10">
        <f t="shared" si="2"/>
        <v>1400</v>
      </c>
      <c r="Z11" s="11">
        <f t="shared" si="3"/>
        <v>33600</v>
      </c>
      <c r="AA11" s="11">
        <v>28.0</v>
      </c>
      <c r="AB11" s="11">
        <f t="shared" si="4"/>
        <v>940800</v>
      </c>
    </row>
    <row r="12" ht="14.25" customHeight="1">
      <c r="A12" s="8">
        <v>47178.0</v>
      </c>
      <c r="B12" s="9">
        <v>1400.0</v>
      </c>
      <c r="C12" s="10">
        <f t="shared" ref="C12:Y12" si="5">B12</f>
        <v>1400</v>
      </c>
      <c r="D12" s="10">
        <f t="shared" si="5"/>
        <v>1400</v>
      </c>
      <c r="E12" s="10">
        <f t="shared" si="5"/>
        <v>1400</v>
      </c>
      <c r="F12" s="10">
        <f t="shared" si="5"/>
        <v>1400</v>
      </c>
      <c r="G12" s="10">
        <f t="shared" si="5"/>
        <v>1400</v>
      </c>
      <c r="H12" s="10">
        <f t="shared" si="5"/>
        <v>1400</v>
      </c>
      <c r="I12" s="10">
        <f t="shared" si="5"/>
        <v>1400</v>
      </c>
      <c r="J12" s="10">
        <f t="shared" si="5"/>
        <v>1400</v>
      </c>
      <c r="K12" s="10">
        <f t="shared" si="5"/>
        <v>1400</v>
      </c>
      <c r="L12" s="10">
        <f t="shared" si="5"/>
        <v>1400</v>
      </c>
      <c r="M12" s="10">
        <f t="shared" si="5"/>
        <v>1400</v>
      </c>
      <c r="N12" s="10">
        <f t="shared" si="5"/>
        <v>1400</v>
      </c>
      <c r="O12" s="10">
        <f t="shared" si="5"/>
        <v>1400</v>
      </c>
      <c r="P12" s="10">
        <f t="shared" si="5"/>
        <v>1400</v>
      </c>
      <c r="Q12" s="10">
        <f t="shared" si="5"/>
        <v>1400</v>
      </c>
      <c r="R12" s="10">
        <f t="shared" si="5"/>
        <v>1400</v>
      </c>
      <c r="S12" s="10">
        <f t="shared" si="5"/>
        <v>1400</v>
      </c>
      <c r="T12" s="10">
        <f t="shared" si="5"/>
        <v>1400</v>
      </c>
      <c r="U12" s="10">
        <f t="shared" si="5"/>
        <v>1400</v>
      </c>
      <c r="V12" s="10">
        <f t="shared" si="5"/>
        <v>1400</v>
      </c>
      <c r="W12" s="10">
        <f t="shared" si="5"/>
        <v>1400</v>
      </c>
      <c r="X12" s="10">
        <f t="shared" si="5"/>
        <v>1400</v>
      </c>
      <c r="Y12" s="10">
        <f t="shared" si="5"/>
        <v>1400</v>
      </c>
      <c r="Z12" s="11">
        <f t="shared" si="3"/>
        <v>33600</v>
      </c>
      <c r="AA12" s="11">
        <v>31.0</v>
      </c>
      <c r="AB12" s="11">
        <f t="shared" si="4"/>
        <v>1041600</v>
      </c>
    </row>
    <row r="13" ht="14.25" customHeight="1">
      <c r="A13" s="8">
        <v>47209.0</v>
      </c>
      <c r="B13" s="9">
        <v>1400.0</v>
      </c>
      <c r="C13" s="10">
        <f t="shared" ref="C13:Y13" si="6">B13</f>
        <v>1400</v>
      </c>
      <c r="D13" s="10">
        <f t="shared" si="6"/>
        <v>1400</v>
      </c>
      <c r="E13" s="10">
        <f t="shared" si="6"/>
        <v>1400</v>
      </c>
      <c r="F13" s="10">
        <f t="shared" si="6"/>
        <v>1400</v>
      </c>
      <c r="G13" s="10">
        <f t="shared" si="6"/>
        <v>1400</v>
      </c>
      <c r="H13" s="10">
        <f t="shared" si="6"/>
        <v>1400</v>
      </c>
      <c r="I13" s="10">
        <f t="shared" si="6"/>
        <v>1400</v>
      </c>
      <c r="J13" s="10">
        <f t="shared" si="6"/>
        <v>1400</v>
      </c>
      <c r="K13" s="10">
        <f t="shared" si="6"/>
        <v>1400</v>
      </c>
      <c r="L13" s="10">
        <f t="shared" si="6"/>
        <v>1400</v>
      </c>
      <c r="M13" s="10">
        <f t="shared" si="6"/>
        <v>1400</v>
      </c>
      <c r="N13" s="10">
        <f t="shared" si="6"/>
        <v>1400</v>
      </c>
      <c r="O13" s="10">
        <f t="shared" si="6"/>
        <v>1400</v>
      </c>
      <c r="P13" s="10">
        <f t="shared" si="6"/>
        <v>1400</v>
      </c>
      <c r="Q13" s="10">
        <f t="shared" si="6"/>
        <v>1400</v>
      </c>
      <c r="R13" s="10">
        <f t="shared" si="6"/>
        <v>1400</v>
      </c>
      <c r="S13" s="10">
        <f t="shared" si="6"/>
        <v>1400</v>
      </c>
      <c r="T13" s="10">
        <f t="shared" si="6"/>
        <v>1400</v>
      </c>
      <c r="U13" s="10">
        <f t="shared" si="6"/>
        <v>1400</v>
      </c>
      <c r="V13" s="10">
        <f t="shared" si="6"/>
        <v>1400</v>
      </c>
      <c r="W13" s="10">
        <f t="shared" si="6"/>
        <v>1400</v>
      </c>
      <c r="X13" s="10">
        <f t="shared" si="6"/>
        <v>1400</v>
      </c>
      <c r="Y13" s="10">
        <f t="shared" si="6"/>
        <v>1400</v>
      </c>
      <c r="Z13" s="11">
        <f t="shared" si="3"/>
        <v>33600</v>
      </c>
      <c r="AA13" s="11">
        <v>30.0</v>
      </c>
      <c r="AB13" s="11">
        <f t="shared" si="4"/>
        <v>1008000</v>
      </c>
    </row>
    <row r="14" ht="14.25" customHeight="1">
      <c r="A14" s="8">
        <v>47239.0</v>
      </c>
      <c r="B14" s="9">
        <v>1400.0</v>
      </c>
      <c r="C14" s="10">
        <f t="shared" ref="C14:Y14" si="7">B14</f>
        <v>1400</v>
      </c>
      <c r="D14" s="10">
        <f t="shared" si="7"/>
        <v>1400</v>
      </c>
      <c r="E14" s="10">
        <f t="shared" si="7"/>
        <v>1400</v>
      </c>
      <c r="F14" s="10">
        <f t="shared" si="7"/>
        <v>1400</v>
      </c>
      <c r="G14" s="10">
        <f t="shared" si="7"/>
        <v>1400</v>
      </c>
      <c r="H14" s="10">
        <f t="shared" si="7"/>
        <v>1400</v>
      </c>
      <c r="I14" s="10">
        <f t="shared" si="7"/>
        <v>1400</v>
      </c>
      <c r="J14" s="10">
        <f t="shared" si="7"/>
        <v>1400</v>
      </c>
      <c r="K14" s="10">
        <f t="shared" si="7"/>
        <v>1400</v>
      </c>
      <c r="L14" s="10">
        <f t="shared" si="7"/>
        <v>1400</v>
      </c>
      <c r="M14" s="10">
        <f t="shared" si="7"/>
        <v>1400</v>
      </c>
      <c r="N14" s="10">
        <f t="shared" si="7"/>
        <v>1400</v>
      </c>
      <c r="O14" s="10">
        <f t="shared" si="7"/>
        <v>1400</v>
      </c>
      <c r="P14" s="10">
        <f t="shared" si="7"/>
        <v>1400</v>
      </c>
      <c r="Q14" s="10">
        <f t="shared" si="7"/>
        <v>1400</v>
      </c>
      <c r="R14" s="10">
        <f t="shared" si="7"/>
        <v>1400</v>
      </c>
      <c r="S14" s="10">
        <f t="shared" si="7"/>
        <v>1400</v>
      </c>
      <c r="T14" s="10">
        <f t="shared" si="7"/>
        <v>1400</v>
      </c>
      <c r="U14" s="10">
        <f t="shared" si="7"/>
        <v>1400</v>
      </c>
      <c r="V14" s="10">
        <f t="shared" si="7"/>
        <v>1400</v>
      </c>
      <c r="W14" s="10">
        <f t="shared" si="7"/>
        <v>1400</v>
      </c>
      <c r="X14" s="10">
        <f t="shared" si="7"/>
        <v>1400</v>
      </c>
      <c r="Y14" s="10">
        <f t="shared" si="7"/>
        <v>1400</v>
      </c>
      <c r="Z14" s="11">
        <f t="shared" si="3"/>
        <v>33600</v>
      </c>
      <c r="AA14" s="11">
        <v>31.0</v>
      </c>
      <c r="AB14" s="11">
        <f t="shared" si="4"/>
        <v>1041600</v>
      </c>
    </row>
    <row r="15" ht="14.25" customHeight="1">
      <c r="A15" s="8">
        <v>47270.0</v>
      </c>
      <c r="B15" s="9">
        <v>1400.0</v>
      </c>
      <c r="C15" s="10">
        <f t="shared" ref="C15:Y15" si="8">B15</f>
        <v>1400</v>
      </c>
      <c r="D15" s="10">
        <f t="shared" si="8"/>
        <v>1400</v>
      </c>
      <c r="E15" s="10">
        <f t="shared" si="8"/>
        <v>1400</v>
      </c>
      <c r="F15" s="10">
        <f t="shared" si="8"/>
        <v>1400</v>
      </c>
      <c r="G15" s="10">
        <f t="shared" si="8"/>
        <v>1400</v>
      </c>
      <c r="H15" s="10">
        <f t="shared" si="8"/>
        <v>1400</v>
      </c>
      <c r="I15" s="10">
        <f t="shared" si="8"/>
        <v>1400</v>
      </c>
      <c r="J15" s="10">
        <f t="shared" si="8"/>
        <v>1400</v>
      </c>
      <c r="K15" s="10">
        <f t="shared" si="8"/>
        <v>1400</v>
      </c>
      <c r="L15" s="10">
        <f t="shared" si="8"/>
        <v>1400</v>
      </c>
      <c r="M15" s="10">
        <f t="shared" si="8"/>
        <v>1400</v>
      </c>
      <c r="N15" s="10">
        <f t="shared" si="8"/>
        <v>1400</v>
      </c>
      <c r="O15" s="10">
        <f t="shared" si="8"/>
        <v>1400</v>
      </c>
      <c r="P15" s="10">
        <f t="shared" si="8"/>
        <v>1400</v>
      </c>
      <c r="Q15" s="10">
        <f t="shared" si="8"/>
        <v>1400</v>
      </c>
      <c r="R15" s="10">
        <f t="shared" si="8"/>
        <v>1400</v>
      </c>
      <c r="S15" s="10">
        <f t="shared" si="8"/>
        <v>1400</v>
      </c>
      <c r="T15" s="10">
        <f t="shared" si="8"/>
        <v>1400</v>
      </c>
      <c r="U15" s="10">
        <f t="shared" si="8"/>
        <v>1400</v>
      </c>
      <c r="V15" s="10">
        <f t="shared" si="8"/>
        <v>1400</v>
      </c>
      <c r="W15" s="10">
        <f t="shared" si="8"/>
        <v>1400</v>
      </c>
      <c r="X15" s="10">
        <f t="shared" si="8"/>
        <v>1400</v>
      </c>
      <c r="Y15" s="10">
        <f t="shared" si="8"/>
        <v>1400</v>
      </c>
      <c r="Z15" s="11">
        <f t="shared" si="3"/>
        <v>33600</v>
      </c>
      <c r="AA15" s="11">
        <v>30.0</v>
      </c>
      <c r="AB15" s="11">
        <f t="shared" si="4"/>
        <v>1008000</v>
      </c>
    </row>
    <row r="16" ht="14.25" customHeight="1">
      <c r="A16" s="8">
        <v>47300.0</v>
      </c>
      <c r="B16" s="9">
        <v>1400.0</v>
      </c>
      <c r="C16" s="10">
        <f t="shared" ref="C16:Y16" si="9">B16</f>
        <v>1400</v>
      </c>
      <c r="D16" s="10">
        <f t="shared" si="9"/>
        <v>1400</v>
      </c>
      <c r="E16" s="10">
        <f t="shared" si="9"/>
        <v>1400</v>
      </c>
      <c r="F16" s="10">
        <f t="shared" si="9"/>
        <v>1400</v>
      </c>
      <c r="G16" s="10">
        <f t="shared" si="9"/>
        <v>1400</v>
      </c>
      <c r="H16" s="10">
        <f t="shared" si="9"/>
        <v>1400</v>
      </c>
      <c r="I16" s="10">
        <f t="shared" si="9"/>
        <v>1400</v>
      </c>
      <c r="J16" s="10">
        <f t="shared" si="9"/>
        <v>1400</v>
      </c>
      <c r="K16" s="10">
        <f t="shared" si="9"/>
        <v>1400</v>
      </c>
      <c r="L16" s="10">
        <f t="shared" si="9"/>
        <v>1400</v>
      </c>
      <c r="M16" s="10">
        <f t="shared" si="9"/>
        <v>1400</v>
      </c>
      <c r="N16" s="10">
        <f t="shared" si="9"/>
        <v>1400</v>
      </c>
      <c r="O16" s="10">
        <f t="shared" si="9"/>
        <v>1400</v>
      </c>
      <c r="P16" s="10">
        <f t="shared" si="9"/>
        <v>1400</v>
      </c>
      <c r="Q16" s="10">
        <f t="shared" si="9"/>
        <v>1400</v>
      </c>
      <c r="R16" s="10">
        <f t="shared" si="9"/>
        <v>1400</v>
      </c>
      <c r="S16" s="10">
        <f t="shared" si="9"/>
        <v>1400</v>
      </c>
      <c r="T16" s="10">
        <f t="shared" si="9"/>
        <v>1400</v>
      </c>
      <c r="U16" s="10">
        <f t="shared" si="9"/>
        <v>1400</v>
      </c>
      <c r="V16" s="10">
        <f t="shared" si="9"/>
        <v>1400</v>
      </c>
      <c r="W16" s="10">
        <f t="shared" si="9"/>
        <v>1400</v>
      </c>
      <c r="X16" s="10">
        <f t="shared" si="9"/>
        <v>1400</v>
      </c>
      <c r="Y16" s="10">
        <f t="shared" si="9"/>
        <v>1400</v>
      </c>
      <c r="Z16" s="11">
        <f t="shared" si="3"/>
        <v>33600</v>
      </c>
      <c r="AA16" s="11">
        <v>31.0</v>
      </c>
      <c r="AB16" s="11">
        <f t="shared" si="4"/>
        <v>1041600</v>
      </c>
    </row>
    <row r="17" ht="14.25" customHeight="1">
      <c r="A17" s="8">
        <v>47331.0</v>
      </c>
      <c r="B17" s="9">
        <v>1400.0</v>
      </c>
      <c r="C17" s="10">
        <f t="shared" ref="C17:Y17" si="10">B17</f>
        <v>1400</v>
      </c>
      <c r="D17" s="10">
        <f t="shared" si="10"/>
        <v>1400</v>
      </c>
      <c r="E17" s="10">
        <f t="shared" si="10"/>
        <v>1400</v>
      </c>
      <c r="F17" s="10">
        <f t="shared" si="10"/>
        <v>1400</v>
      </c>
      <c r="G17" s="10">
        <f t="shared" si="10"/>
        <v>1400</v>
      </c>
      <c r="H17" s="10">
        <f t="shared" si="10"/>
        <v>1400</v>
      </c>
      <c r="I17" s="10">
        <f t="shared" si="10"/>
        <v>1400</v>
      </c>
      <c r="J17" s="10">
        <f t="shared" si="10"/>
        <v>1400</v>
      </c>
      <c r="K17" s="10">
        <f t="shared" si="10"/>
        <v>1400</v>
      </c>
      <c r="L17" s="10">
        <f t="shared" si="10"/>
        <v>1400</v>
      </c>
      <c r="M17" s="10">
        <f t="shared" si="10"/>
        <v>1400</v>
      </c>
      <c r="N17" s="10">
        <f t="shared" si="10"/>
        <v>1400</v>
      </c>
      <c r="O17" s="10">
        <f t="shared" si="10"/>
        <v>1400</v>
      </c>
      <c r="P17" s="10">
        <f t="shared" si="10"/>
        <v>1400</v>
      </c>
      <c r="Q17" s="10">
        <f t="shared" si="10"/>
        <v>1400</v>
      </c>
      <c r="R17" s="10">
        <f t="shared" si="10"/>
        <v>1400</v>
      </c>
      <c r="S17" s="10">
        <f t="shared" si="10"/>
        <v>1400</v>
      </c>
      <c r="T17" s="10">
        <f t="shared" si="10"/>
        <v>1400</v>
      </c>
      <c r="U17" s="10">
        <f t="shared" si="10"/>
        <v>1400</v>
      </c>
      <c r="V17" s="10">
        <f t="shared" si="10"/>
        <v>1400</v>
      </c>
      <c r="W17" s="10">
        <f t="shared" si="10"/>
        <v>1400</v>
      </c>
      <c r="X17" s="10">
        <f t="shared" si="10"/>
        <v>1400</v>
      </c>
      <c r="Y17" s="10">
        <f t="shared" si="10"/>
        <v>1400</v>
      </c>
      <c r="Z17" s="11">
        <f t="shared" si="3"/>
        <v>33600</v>
      </c>
      <c r="AA17" s="11">
        <v>31.0</v>
      </c>
      <c r="AB17" s="11">
        <f t="shared" si="4"/>
        <v>1041600</v>
      </c>
    </row>
    <row r="18" ht="14.25" customHeight="1">
      <c r="A18" s="8">
        <v>47362.0</v>
      </c>
      <c r="B18" s="9">
        <v>1400.0</v>
      </c>
      <c r="C18" s="10">
        <f t="shared" ref="C18:Y18" si="11">B18</f>
        <v>1400</v>
      </c>
      <c r="D18" s="10">
        <f t="shared" si="11"/>
        <v>1400</v>
      </c>
      <c r="E18" s="10">
        <f t="shared" si="11"/>
        <v>1400</v>
      </c>
      <c r="F18" s="10">
        <f t="shared" si="11"/>
        <v>1400</v>
      </c>
      <c r="G18" s="10">
        <f t="shared" si="11"/>
        <v>1400</v>
      </c>
      <c r="H18" s="10">
        <f t="shared" si="11"/>
        <v>1400</v>
      </c>
      <c r="I18" s="10">
        <f t="shared" si="11"/>
        <v>1400</v>
      </c>
      <c r="J18" s="10">
        <f t="shared" si="11"/>
        <v>1400</v>
      </c>
      <c r="K18" s="10">
        <f t="shared" si="11"/>
        <v>1400</v>
      </c>
      <c r="L18" s="10">
        <f t="shared" si="11"/>
        <v>1400</v>
      </c>
      <c r="M18" s="10">
        <f t="shared" si="11"/>
        <v>1400</v>
      </c>
      <c r="N18" s="10">
        <f t="shared" si="11"/>
        <v>1400</v>
      </c>
      <c r="O18" s="10">
        <f t="shared" si="11"/>
        <v>1400</v>
      </c>
      <c r="P18" s="10">
        <f t="shared" si="11"/>
        <v>1400</v>
      </c>
      <c r="Q18" s="10">
        <f t="shared" si="11"/>
        <v>1400</v>
      </c>
      <c r="R18" s="10">
        <f t="shared" si="11"/>
        <v>1400</v>
      </c>
      <c r="S18" s="10">
        <f t="shared" si="11"/>
        <v>1400</v>
      </c>
      <c r="T18" s="10">
        <f t="shared" si="11"/>
        <v>1400</v>
      </c>
      <c r="U18" s="10">
        <f t="shared" si="11"/>
        <v>1400</v>
      </c>
      <c r="V18" s="10">
        <f t="shared" si="11"/>
        <v>1400</v>
      </c>
      <c r="W18" s="10">
        <f t="shared" si="11"/>
        <v>1400</v>
      </c>
      <c r="X18" s="10">
        <f t="shared" si="11"/>
        <v>1400</v>
      </c>
      <c r="Y18" s="10">
        <f t="shared" si="11"/>
        <v>1400</v>
      </c>
      <c r="Z18" s="11">
        <f t="shared" si="3"/>
        <v>33600</v>
      </c>
      <c r="AA18" s="11">
        <v>30.0</v>
      </c>
      <c r="AB18" s="11">
        <f t="shared" si="4"/>
        <v>1008000</v>
      </c>
    </row>
    <row r="19" ht="14.25" customHeight="1">
      <c r="A19" s="8">
        <v>47392.0</v>
      </c>
      <c r="B19" s="9">
        <v>1400.0</v>
      </c>
      <c r="C19" s="10">
        <f t="shared" ref="C19:Y19" si="12">B19</f>
        <v>1400</v>
      </c>
      <c r="D19" s="10">
        <f t="shared" si="12"/>
        <v>1400</v>
      </c>
      <c r="E19" s="10">
        <f t="shared" si="12"/>
        <v>1400</v>
      </c>
      <c r="F19" s="10">
        <f t="shared" si="12"/>
        <v>1400</v>
      </c>
      <c r="G19" s="10">
        <f t="shared" si="12"/>
        <v>1400</v>
      </c>
      <c r="H19" s="10">
        <f t="shared" si="12"/>
        <v>1400</v>
      </c>
      <c r="I19" s="10">
        <f t="shared" si="12"/>
        <v>1400</v>
      </c>
      <c r="J19" s="10">
        <f t="shared" si="12"/>
        <v>1400</v>
      </c>
      <c r="K19" s="10">
        <f t="shared" si="12"/>
        <v>1400</v>
      </c>
      <c r="L19" s="10">
        <f t="shared" si="12"/>
        <v>1400</v>
      </c>
      <c r="M19" s="10">
        <f t="shared" si="12"/>
        <v>1400</v>
      </c>
      <c r="N19" s="10">
        <f t="shared" si="12"/>
        <v>1400</v>
      </c>
      <c r="O19" s="10">
        <f t="shared" si="12"/>
        <v>1400</v>
      </c>
      <c r="P19" s="10">
        <f t="shared" si="12"/>
        <v>1400</v>
      </c>
      <c r="Q19" s="10">
        <f t="shared" si="12"/>
        <v>1400</v>
      </c>
      <c r="R19" s="10">
        <f t="shared" si="12"/>
        <v>1400</v>
      </c>
      <c r="S19" s="10">
        <f t="shared" si="12"/>
        <v>1400</v>
      </c>
      <c r="T19" s="10">
        <f t="shared" si="12"/>
        <v>1400</v>
      </c>
      <c r="U19" s="10">
        <f t="shared" si="12"/>
        <v>1400</v>
      </c>
      <c r="V19" s="10">
        <f t="shared" si="12"/>
        <v>1400</v>
      </c>
      <c r="W19" s="10">
        <f t="shared" si="12"/>
        <v>1400</v>
      </c>
      <c r="X19" s="10">
        <f t="shared" si="12"/>
        <v>1400</v>
      </c>
      <c r="Y19" s="10">
        <f t="shared" si="12"/>
        <v>1400</v>
      </c>
      <c r="Z19" s="11">
        <f t="shared" si="3"/>
        <v>33600</v>
      </c>
      <c r="AA19" s="11">
        <v>31.0</v>
      </c>
      <c r="AB19" s="11">
        <f t="shared" si="4"/>
        <v>1041600</v>
      </c>
    </row>
    <row r="20" ht="14.25" customHeight="1">
      <c r="A20" s="8">
        <v>47423.0</v>
      </c>
      <c r="B20" s="9">
        <v>1400.0</v>
      </c>
      <c r="C20" s="10">
        <f t="shared" ref="C20:Y20" si="13">B20</f>
        <v>1400</v>
      </c>
      <c r="D20" s="10">
        <f t="shared" si="13"/>
        <v>1400</v>
      </c>
      <c r="E20" s="10">
        <f t="shared" si="13"/>
        <v>1400</v>
      </c>
      <c r="F20" s="10">
        <f t="shared" si="13"/>
        <v>1400</v>
      </c>
      <c r="G20" s="10">
        <f t="shared" si="13"/>
        <v>1400</v>
      </c>
      <c r="H20" s="10">
        <f t="shared" si="13"/>
        <v>1400</v>
      </c>
      <c r="I20" s="10">
        <f t="shared" si="13"/>
        <v>1400</v>
      </c>
      <c r="J20" s="10">
        <f t="shared" si="13"/>
        <v>1400</v>
      </c>
      <c r="K20" s="10">
        <f t="shared" si="13"/>
        <v>1400</v>
      </c>
      <c r="L20" s="10">
        <f t="shared" si="13"/>
        <v>1400</v>
      </c>
      <c r="M20" s="10">
        <f t="shared" si="13"/>
        <v>1400</v>
      </c>
      <c r="N20" s="10">
        <f t="shared" si="13"/>
        <v>1400</v>
      </c>
      <c r="O20" s="10">
        <f t="shared" si="13"/>
        <v>1400</v>
      </c>
      <c r="P20" s="10">
        <f t="shared" si="13"/>
        <v>1400</v>
      </c>
      <c r="Q20" s="10">
        <f t="shared" si="13"/>
        <v>1400</v>
      </c>
      <c r="R20" s="10">
        <f t="shared" si="13"/>
        <v>1400</v>
      </c>
      <c r="S20" s="10">
        <f t="shared" si="13"/>
        <v>1400</v>
      </c>
      <c r="T20" s="10">
        <f t="shared" si="13"/>
        <v>1400</v>
      </c>
      <c r="U20" s="10">
        <f t="shared" si="13"/>
        <v>1400</v>
      </c>
      <c r="V20" s="10">
        <f t="shared" si="13"/>
        <v>1400</v>
      </c>
      <c r="W20" s="10">
        <f t="shared" si="13"/>
        <v>1400</v>
      </c>
      <c r="X20" s="10">
        <f t="shared" si="13"/>
        <v>1400</v>
      </c>
      <c r="Y20" s="10">
        <f t="shared" si="13"/>
        <v>1400</v>
      </c>
      <c r="Z20" s="11">
        <f t="shared" si="3"/>
        <v>33600</v>
      </c>
      <c r="AA20" s="11">
        <v>30.0</v>
      </c>
      <c r="AB20" s="11">
        <f t="shared" si="4"/>
        <v>1008000</v>
      </c>
    </row>
    <row r="21" ht="14.25" customHeight="1">
      <c r="A21" s="8">
        <v>47453.0</v>
      </c>
      <c r="B21" s="9">
        <v>1400.0</v>
      </c>
      <c r="C21" s="10">
        <f t="shared" ref="C21:Y21" si="14">B21</f>
        <v>1400</v>
      </c>
      <c r="D21" s="10">
        <f t="shared" si="14"/>
        <v>1400</v>
      </c>
      <c r="E21" s="10">
        <f t="shared" si="14"/>
        <v>1400</v>
      </c>
      <c r="F21" s="10">
        <f t="shared" si="14"/>
        <v>1400</v>
      </c>
      <c r="G21" s="10">
        <f t="shared" si="14"/>
        <v>1400</v>
      </c>
      <c r="H21" s="10">
        <f t="shared" si="14"/>
        <v>1400</v>
      </c>
      <c r="I21" s="10">
        <f t="shared" si="14"/>
        <v>1400</v>
      </c>
      <c r="J21" s="10">
        <f t="shared" si="14"/>
        <v>1400</v>
      </c>
      <c r="K21" s="10">
        <f t="shared" si="14"/>
        <v>1400</v>
      </c>
      <c r="L21" s="10">
        <f t="shared" si="14"/>
        <v>1400</v>
      </c>
      <c r="M21" s="10">
        <f t="shared" si="14"/>
        <v>1400</v>
      </c>
      <c r="N21" s="10">
        <f t="shared" si="14"/>
        <v>1400</v>
      </c>
      <c r="O21" s="10">
        <f t="shared" si="14"/>
        <v>1400</v>
      </c>
      <c r="P21" s="10">
        <f t="shared" si="14"/>
        <v>1400</v>
      </c>
      <c r="Q21" s="10">
        <f t="shared" si="14"/>
        <v>1400</v>
      </c>
      <c r="R21" s="10">
        <f t="shared" si="14"/>
        <v>1400</v>
      </c>
      <c r="S21" s="10">
        <f t="shared" si="14"/>
        <v>1400</v>
      </c>
      <c r="T21" s="10">
        <f t="shared" si="14"/>
        <v>1400</v>
      </c>
      <c r="U21" s="10">
        <f t="shared" si="14"/>
        <v>1400</v>
      </c>
      <c r="V21" s="10">
        <f t="shared" si="14"/>
        <v>1400</v>
      </c>
      <c r="W21" s="10">
        <f t="shared" si="14"/>
        <v>1400</v>
      </c>
      <c r="X21" s="10">
        <f t="shared" si="14"/>
        <v>1400</v>
      </c>
      <c r="Y21" s="10">
        <f t="shared" si="14"/>
        <v>1400</v>
      </c>
      <c r="Z21" s="11">
        <f t="shared" si="3"/>
        <v>33600</v>
      </c>
      <c r="AA21" s="11">
        <v>31.0</v>
      </c>
      <c r="AB21" s="11">
        <f t="shared" si="4"/>
        <v>1041600</v>
      </c>
    </row>
    <row r="22" ht="14.25" customHeight="1">
      <c r="Z22" s="45" t="s">
        <v>48</v>
      </c>
      <c r="AA22" s="46"/>
      <c r="AB22" s="47">
        <f>SUM(AB10:AB21)</f>
        <v>12264000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17.0"/>
    <col customWidth="1" min="4" max="4" width="16.0"/>
    <col customWidth="1" min="5" max="5" width="12.43"/>
    <col customWidth="1" min="6" max="6" width="13.0"/>
    <col customWidth="1" min="7" max="21" width="10.71"/>
  </cols>
  <sheetData>
    <row r="1" ht="14.25" customHeight="1"/>
    <row r="2" ht="14.25" customHeight="1"/>
    <row r="3" ht="14.25" customHeight="1"/>
    <row r="4" ht="14.25" customHeight="1">
      <c r="A4" s="15"/>
      <c r="B4" s="16" t="s">
        <v>3</v>
      </c>
    </row>
    <row r="5" ht="14.25" customHeight="1">
      <c r="A5" s="15"/>
      <c r="B5" s="16" t="s">
        <v>62</v>
      </c>
    </row>
    <row r="6" ht="14.25" customHeight="1">
      <c r="A6" s="15"/>
      <c r="B6" s="17" t="s">
        <v>34</v>
      </c>
    </row>
    <row r="7" ht="14.25" customHeight="1">
      <c r="A7" s="15"/>
      <c r="B7" s="17" t="s">
        <v>35</v>
      </c>
    </row>
    <row r="8" ht="14.25" customHeight="1">
      <c r="A8" s="15"/>
      <c r="B8" s="18" t="s">
        <v>36</v>
      </c>
    </row>
    <row r="9" ht="14.25" customHeight="1">
      <c r="A9" s="15"/>
      <c r="B9" s="17"/>
      <c r="C9" s="17"/>
      <c r="D9" s="17"/>
      <c r="E9" s="17"/>
      <c r="F9" s="17"/>
      <c r="G9" s="17"/>
    </row>
    <row r="10" ht="14.25" customHeight="1">
      <c r="A10" s="15"/>
      <c r="B10" s="19" t="s">
        <v>37</v>
      </c>
      <c r="C10" s="20"/>
      <c r="D10" s="20"/>
      <c r="E10" s="20"/>
      <c r="F10" s="21"/>
      <c r="G10" s="17"/>
    </row>
    <row r="11">
      <c r="A11" s="15"/>
      <c r="B11" s="22" t="s">
        <v>4</v>
      </c>
      <c r="C11" s="23" t="s">
        <v>38</v>
      </c>
      <c r="D11" s="23" t="s">
        <v>39</v>
      </c>
      <c r="E11" s="24" t="s">
        <v>40</v>
      </c>
      <c r="F11" s="25" t="s">
        <v>41</v>
      </c>
      <c r="G11" s="17"/>
    </row>
    <row r="12" ht="14.25" customHeight="1">
      <c r="A12" s="15"/>
      <c r="B12" s="58">
        <v>47119.0</v>
      </c>
      <c r="C12" s="27">
        <f>'Cant. Requeridas Producto 5'!AB10</f>
        <v>1041600</v>
      </c>
      <c r="D12" s="74"/>
      <c r="E12" s="78">
        <f t="shared" ref="E12:E23" si="1">C12*$D$12</f>
        <v>0</v>
      </c>
      <c r="F12" s="74"/>
      <c r="G12" s="17"/>
      <c r="H12" s="56"/>
      <c r="I12" s="57"/>
    </row>
    <row r="13" ht="14.25" customHeight="1">
      <c r="A13" s="15"/>
      <c r="B13" s="58">
        <v>47150.0</v>
      </c>
      <c r="C13" s="27">
        <f>'Cant. Requeridas Producto 5'!AB11</f>
        <v>940800</v>
      </c>
      <c r="D13" s="75"/>
      <c r="E13" s="78">
        <f t="shared" si="1"/>
        <v>0</v>
      </c>
      <c r="F13" s="75"/>
      <c r="G13" s="17"/>
      <c r="H13" s="56"/>
      <c r="I13" s="57"/>
    </row>
    <row r="14" ht="14.25" customHeight="1">
      <c r="A14" s="15"/>
      <c r="B14" s="58">
        <v>47178.0</v>
      </c>
      <c r="C14" s="27">
        <f>'Cant. Requeridas Producto 5'!AB12</f>
        <v>1041600</v>
      </c>
      <c r="D14" s="75"/>
      <c r="E14" s="78">
        <f t="shared" si="1"/>
        <v>0</v>
      </c>
      <c r="F14" s="75"/>
      <c r="G14" s="17"/>
      <c r="H14" s="56"/>
      <c r="I14" s="57"/>
    </row>
    <row r="15" ht="14.25" customHeight="1">
      <c r="A15" s="15"/>
      <c r="B15" s="58">
        <v>47209.0</v>
      </c>
      <c r="C15" s="27">
        <f>'Cant. Requeridas Producto 5'!AB13</f>
        <v>1008000</v>
      </c>
      <c r="D15" s="75"/>
      <c r="E15" s="78">
        <f t="shared" si="1"/>
        <v>0</v>
      </c>
      <c r="F15" s="75"/>
      <c r="G15" s="17"/>
      <c r="H15" s="56"/>
      <c r="I15" s="57"/>
    </row>
    <row r="16" ht="14.25" customHeight="1">
      <c r="A16" s="15"/>
      <c r="B16" s="58">
        <v>47239.0</v>
      </c>
      <c r="C16" s="27">
        <f>'Cant. Requeridas Producto 5'!AB14</f>
        <v>1041600</v>
      </c>
      <c r="D16" s="75"/>
      <c r="E16" s="78">
        <f t="shared" si="1"/>
        <v>0</v>
      </c>
      <c r="F16" s="75"/>
      <c r="G16" s="17"/>
      <c r="H16" s="56"/>
      <c r="I16" s="57"/>
    </row>
    <row r="17" ht="14.25" customHeight="1">
      <c r="A17" s="15"/>
      <c r="B17" s="58">
        <v>47270.0</v>
      </c>
      <c r="C17" s="27">
        <f>'Cant. Requeridas Producto 5'!AB15</f>
        <v>1008000</v>
      </c>
      <c r="D17" s="75"/>
      <c r="E17" s="78">
        <f t="shared" si="1"/>
        <v>0</v>
      </c>
      <c r="F17" s="75"/>
      <c r="G17" s="17"/>
      <c r="H17" s="56"/>
      <c r="I17" s="57"/>
    </row>
    <row r="18" ht="14.25" customHeight="1">
      <c r="A18" s="15"/>
      <c r="B18" s="58">
        <v>47300.0</v>
      </c>
      <c r="C18" s="27">
        <f>'Cant. Requeridas Producto 5'!AB16</f>
        <v>1041600</v>
      </c>
      <c r="D18" s="75"/>
      <c r="E18" s="78">
        <f t="shared" si="1"/>
        <v>0</v>
      </c>
      <c r="F18" s="75"/>
      <c r="G18" s="17"/>
      <c r="H18" s="56"/>
      <c r="I18" s="57"/>
    </row>
    <row r="19" ht="14.25" customHeight="1">
      <c r="A19" s="15"/>
      <c r="B19" s="58">
        <v>47331.0</v>
      </c>
      <c r="C19" s="27">
        <f>'Cant. Requeridas Producto 5'!AB17</f>
        <v>1041600</v>
      </c>
      <c r="D19" s="75"/>
      <c r="E19" s="78">
        <f t="shared" si="1"/>
        <v>0</v>
      </c>
      <c r="F19" s="75"/>
      <c r="G19" s="17"/>
      <c r="H19" s="56"/>
      <c r="I19" s="57"/>
    </row>
    <row r="20" ht="14.25" customHeight="1">
      <c r="A20" s="15"/>
      <c r="B20" s="58">
        <v>47362.0</v>
      </c>
      <c r="C20" s="27">
        <f>'Cant. Requeridas Producto 5'!AB18</f>
        <v>1008000</v>
      </c>
      <c r="D20" s="75"/>
      <c r="E20" s="78">
        <f t="shared" si="1"/>
        <v>0</v>
      </c>
      <c r="F20" s="75"/>
      <c r="G20" s="17"/>
      <c r="H20" s="56"/>
      <c r="I20" s="57"/>
    </row>
    <row r="21" ht="14.25" customHeight="1">
      <c r="A21" s="15"/>
      <c r="B21" s="58">
        <v>47392.0</v>
      </c>
      <c r="C21" s="27">
        <f>'Cant. Requeridas Producto 5'!AB19</f>
        <v>1041600</v>
      </c>
      <c r="D21" s="75"/>
      <c r="E21" s="78">
        <f t="shared" si="1"/>
        <v>0</v>
      </c>
      <c r="F21" s="75"/>
      <c r="G21" s="17"/>
      <c r="H21" s="56"/>
      <c r="I21" s="57"/>
    </row>
    <row r="22" ht="14.25" customHeight="1">
      <c r="A22" s="15"/>
      <c r="B22" s="58">
        <v>47423.0</v>
      </c>
      <c r="C22" s="27">
        <f>'Cant. Requeridas Producto 5'!AB20</f>
        <v>1008000</v>
      </c>
      <c r="D22" s="75"/>
      <c r="E22" s="78">
        <f t="shared" si="1"/>
        <v>0</v>
      </c>
      <c r="F22" s="75"/>
      <c r="G22" s="17"/>
      <c r="H22" s="56"/>
      <c r="I22" s="57"/>
    </row>
    <row r="23" ht="14.25" customHeight="1">
      <c r="A23" s="15"/>
      <c r="B23" s="58">
        <v>47453.0</v>
      </c>
      <c r="C23" s="27">
        <f>'Cant. Requeridas Producto 5'!AB21</f>
        <v>1041600</v>
      </c>
      <c r="D23" s="76"/>
      <c r="E23" s="78">
        <f t="shared" si="1"/>
        <v>0</v>
      </c>
      <c r="F23" s="76"/>
      <c r="G23" s="17"/>
      <c r="H23" s="56"/>
      <c r="I23" s="57"/>
    </row>
    <row r="24" ht="14.25" customHeight="1">
      <c r="A24" s="15"/>
      <c r="B24" s="32" t="s">
        <v>32</v>
      </c>
      <c r="C24" s="33">
        <f>SUM(C12:C23)</f>
        <v>12264000</v>
      </c>
      <c r="D24" s="34"/>
      <c r="E24" s="33">
        <f>SUM(E12:E23)</f>
        <v>0</v>
      </c>
      <c r="F24" s="35"/>
      <c r="G24" s="17"/>
    </row>
    <row r="25" ht="14.25" customHeight="1">
      <c r="A25" s="15"/>
      <c r="B25" s="17"/>
      <c r="C25" s="36"/>
      <c r="D25" s="36"/>
      <c r="E25" s="17"/>
      <c r="F25" s="17"/>
      <c r="G25" s="17"/>
    </row>
    <row r="26" ht="14.25" customHeight="1">
      <c r="C26" s="37"/>
      <c r="E26" s="38"/>
    </row>
    <row r="27" ht="14.25" customHeight="1">
      <c r="B27" s="39" t="s">
        <v>42</v>
      </c>
      <c r="G27" s="40"/>
    </row>
    <row r="28">
      <c r="B28" s="41" t="s">
        <v>55</v>
      </c>
    </row>
    <row r="29" ht="27.0" customHeight="1">
      <c r="B29" s="41" t="s">
        <v>56</v>
      </c>
    </row>
    <row r="30">
      <c r="B30" s="42"/>
    </row>
    <row r="31" ht="14.25" customHeight="1"/>
    <row r="32" ht="14.25" customHeight="1"/>
    <row r="33" ht="14.25" customHeight="1">
      <c r="B33" s="44"/>
      <c r="C33" s="44"/>
    </row>
    <row r="34" ht="14.25" customHeight="1">
      <c r="B34" s="5" t="s">
        <v>45</v>
      </c>
    </row>
    <row r="35" ht="14.25" customHeight="1">
      <c r="B35" s="5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2">
    <mergeCell ref="B4:G4"/>
    <mergeCell ref="B5:G5"/>
    <mergeCell ref="B6:G6"/>
    <mergeCell ref="B7:G7"/>
    <mergeCell ref="B8:G8"/>
    <mergeCell ref="B27:F27"/>
    <mergeCell ref="B30:G30"/>
    <mergeCell ref="D12:D23"/>
    <mergeCell ref="B10:F10"/>
    <mergeCell ref="B28:G28"/>
    <mergeCell ref="B29:G29"/>
    <mergeCell ref="F12:F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2" t="s">
        <v>63</v>
      </c>
    </row>
    <row r="3" ht="14.25" customHeight="1">
      <c r="A3" s="2" t="s">
        <v>64</v>
      </c>
    </row>
    <row r="4" ht="14.25" customHeight="1">
      <c r="A4" s="2" t="s">
        <v>3</v>
      </c>
    </row>
    <row r="5" ht="14.25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</row>
    <row r="6" ht="14.25" customHeight="1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  <c r="AA6" s="5"/>
    </row>
    <row r="7" ht="14.25" customHeight="1">
      <c r="A7" s="3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</row>
    <row r="10" ht="14.25" customHeight="1">
      <c r="A10" s="8">
        <v>47484.0</v>
      </c>
      <c r="B10" s="9">
        <v>1400.0</v>
      </c>
      <c r="C10" s="10">
        <f t="shared" ref="C10:Y10" si="1">B10</f>
        <v>1400</v>
      </c>
      <c r="D10" s="10">
        <f t="shared" si="1"/>
        <v>1400</v>
      </c>
      <c r="E10" s="10">
        <f t="shared" si="1"/>
        <v>1400</v>
      </c>
      <c r="F10" s="10">
        <f t="shared" si="1"/>
        <v>1400</v>
      </c>
      <c r="G10" s="10">
        <f t="shared" si="1"/>
        <v>1400</v>
      </c>
      <c r="H10" s="10">
        <f t="shared" si="1"/>
        <v>1400</v>
      </c>
      <c r="I10" s="10">
        <f t="shared" si="1"/>
        <v>1400</v>
      </c>
      <c r="J10" s="10">
        <f t="shared" si="1"/>
        <v>1400</v>
      </c>
      <c r="K10" s="10">
        <f t="shared" si="1"/>
        <v>1400</v>
      </c>
      <c r="L10" s="10">
        <f t="shared" si="1"/>
        <v>1400</v>
      </c>
      <c r="M10" s="10">
        <f t="shared" si="1"/>
        <v>1400</v>
      </c>
      <c r="N10" s="10">
        <f t="shared" si="1"/>
        <v>1400</v>
      </c>
      <c r="O10" s="10">
        <f t="shared" si="1"/>
        <v>1400</v>
      </c>
      <c r="P10" s="10">
        <f t="shared" si="1"/>
        <v>1400</v>
      </c>
      <c r="Q10" s="10">
        <f t="shared" si="1"/>
        <v>1400</v>
      </c>
      <c r="R10" s="10">
        <f t="shared" si="1"/>
        <v>1400</v>
      </c>
      <c r="S10" s="10">
        <f t="shared" si="1"/>
        <v>1400</v>
      </c>
      <c r="T10" s="10">
        <f t="shared" si="1"/>
        <v>1400</v>
      </c>
      <c r="U10" s="10">
        <f t="shared" si="1"/>
        <v>1400</v>
      </c>
      <c r="V10" s="10">
        <f t="shared" si="1"/>
        <v>1400</v>
      </c>
      <c r="W10" s="10">
        <f t="shared" si="1"/>
        <v>1400</v>
      </c>
      <c r="X10" s="10">
        <f t="shared" si="1"/>
        <v>1400</v>
      </c>
      <c r="Y10" s="10">
        <f t="shared" si="1"/>
        <v>1400</v>
      </c>
      <c r="Z10" s="11">
        <f t="shared" ref="Z10:Z21" si="3">SUM(B10:Y10)</f>
        <v>33600</v>
      </c>
      <c r="AA10" s="12">
        <v>31.0</v>
      </c>
      <c r="AB10" s="11">
        <f t="shared" ref="AB10:AB21" si="4">Z10*AA10</f>
        <v>1041600</v>
      </c>
    </row>
    <row r="11" ht="14.25" customHeight="1">
      <c r="A11" s="8">
        <v>47515.0</v>
      </c>
      <c r="B11" s="9">
        <v>1400.0</v>
      </c>
      <c r="C11" s="10">
        <f t="shared" ref="C11:Y11" si="2">B11</f>
        <v>1400</v>
      </c>
      <c r="D11" s="10">
        <f t="shared" si="2"/>
        <v>1400</v>
      </c>
      <c r="E11" s="10">
        <f t="shared" si="2"/>
        <v>1400</v>
      </c>
      <c r="F11" s="10">
        <f t="shared" si="2"/>
        <v>1400</v>
      </c>
      <c r="G11" s="10">
        <f t="shared" si="2"/>
        <v>1400</v>
      </c>
      <c r="H11" s="10">
        <f t="shared" si="2"/>
        <v>1400</v>
      </c>
      <c r="I11" s="10">
        <f t="shared" si="2"/>
        <v>1400</v>
      </c>
      <c r="J11" s="10">
        <f t="shared" si="2"/>
        <v>1400</v>
      </c>
      <c r="K11" s="10">
        <f t="shared" si="2"/>
        <v>1400</v>
      </c>
      <c r="L11" s="10">
        <f t="shared" si="2"/>
        <v>1400</v>
      </c>
      <c r="M11" s="10">
        <f t="shared" si="2"/>
        <v>1400</v>
      </c>
      <c r="N11" s="10">
        <f t="shared" si="2"/>
        <v>1400</v>
      </c>
      <c r="O11" s="10">
        <f t="shared" si="2"/>
        <v>1400</v>
      </c>
      <c r="P11" s="10">
        <f t="shared" si="2"/>
        <v>1400</v>
      </c>
      <c r="Q11" s="10">
        <f t="shared" si="2"/>
        <v>1400</v>
      </c>
      <c r="R11" s="10">
        <f t="shared" si="2"/>
        <v>1400</v>
      </c>
      <c r="S11" s="10">
        <f t="shared" si="2"/>
        <v>1400</v>
      </c>
      <c r="T11" s="10">
        <f t="shared" si="2"/>
        <v>1400</v>
      </c>
      <c r="U11" s="10">
        <f t="shared" si="2"/>
        <v>1400</v>
      </c>
      <c r="V11" s="10">
        <f t="shared" si="2"/>
        <v>1400</v>
      </c>
      <c r="W11" s="10">
        <f t="shared" si="2"/>
        <v>1400</v>
      </c>
      <c r="X11" s="10">
        <f t="shared" si="2"/>
        <v>1400</v>
      </c>
      <c r="Y11" s="10">
        <f t="shared" si="2"/>
        <v>1400</v>
      </c>
      <c r="Z11" s="11">
        <f t="shared" si="3"/>
        <v>33600</v>
      </c>
      <c r="AA11" s="11">
        <v>28.0</v>
      </c>
      <c r="AB11" s="11">
        <f t="shared" si="4"/>
        <v>940800</v>
      </c>
    </row>
    <row r="12" ht="14.25" customHeight="1">
      <c r="A12" s="8">
        <v>47543.0</v>
      </c>
      <c r="B12" s="9">
        <v>1400.0</v>
      </c>
      <c r="C12" s="10">
        <f t="shared" ref="C12:Y12" si="5">B12</f>
        <v>1400</v>
      </c>
      <c r="D12" s="10">
        <f t="shared" si="5"/>
        <v>1400</v>
      </c>
      <c r="E12" s="10">
        <f t="shared" si="5"/>
        <v>1400</v>
      </c>
      <c r="F12" s="10">
        <f t="shared" si="5"/>
        <v>1400</v>
      </c>
      <c r="G12" s="10">
        <f t="shared" si="5"/>
        <v>1400</v>
      </c>
      <c r="H12" s="10">
        <f t="shared" si="5"/>
        <v>1400</v>
      </c>
      <c r="I12" s="10">
        <f t="shared" si="5"/>
        <v>1400</v>
      </c>
      <c r="J12" s="10">
        <f t="shared" si="5"/>
        <v>1400</v>
      </c>
      <c r="K12" s="10">
        <f t="shared" si="5"/>
        <v>1400</v>
      </c>
      <c r="L12" s="10">
        <f t="shared" si="5"/>
        <v>1400</v>
      </c>
      <c r="M12" s="10">
        <f t="shared" si="5"/>
        <v>1400</v>
      </c>
      <c r="N12" s="10">
        <f t="shared" si="5"/>
        <v>1400</v>
      </c>
      <c r="O12" s="10">
        <f t="shared" si="5"/>
        <v>1400</v>
      </c>
      <c r="P12" s="10">
        <f t="shared" si="5"/>
        <v>1400</v>
      </c>
      <c r="Q12" s="10">
        <f t="shared" si="5"/>
        <v>1400</v>
      </c>
      <c r="R12" s="10">
        <f t="shared" si="5"/>
        <v>1400</v>
      </c>
      <c r="S12" s="10">
        <f t="shared" si="5"/>
        <v>1400</v>
      </c>
      <c r="T12" s="10">
        <f t="shared" si="5"/>
        <v>1400</v>
      </c>
      <c r="U12" s="10">
        <f t="shared" si="5"/>
        <v>1400</v>
      </c>
      <c r="V12" s="10">
        <f t="shared" si="5"/>
        <v>1400</v>
      </c>
      <c r="W12" s="10">
        <f t="shared" si="5"/>
        <v>1400</v>
      </c>
      <c r="X12" s="10">
        <f t="shared" si="5"/>
        <v>1400</v>
      </c>
      <c r="Y12" s="10">
        <f t="shared" si="5"/>
        <v>1400</v>
      </c>
      <c r="Z12" s="11">
        <f t="shared" si="3"/>
        <v>33600</v>
      </c>
      <c r="AA12" s="11">
        <v>31.0</v>
      </c>
      <c r="AB12" s="11">
        <f t="shared" si="4"/>
        <v>1041600</v>
      </c>
    </row>
    <row r="13" ht="14.25" customHeight="1">
      <c r="A13" s="8">
        <v>47574.0</v>
      </c>
      <c r="B13" s="9">
        <v>1400.0</v>
      </c>
      <c r="C13" s="10">
        <f t="shared" ref="C13:Y13" si="6">B13</f>
        <v>1400</v>
      </c>
      <c r="D13" s="10">
        <f t="shared" si="6"/>
        <v>1400</v>
      </c>
      <c r="E13" s="10">
        <f t="shared" si="6"/>
        <v>1400</v>
      </c>
      <c r="F13" s="10">
        <f t="shared" si="6"/>
        <v>1400</v>
      </c>
      <c r="G13" s="10">
        <f t="shared" si="6"/>
        <v>1400</v>
      </c>
      <c r="H13" s="10">
        <f t="shared" si="6"/>
        <v>1400</v>
      </c>
      <c r="I13" s="10">
        <f t="shared" si="6"/>
        <v>1400</v>
      </c>
      <c r="J13" s="10">
        <f t="shared" si="6"/>
        <v>1400</v>
      </c>
      <c r="K13" s="10">
        <f t="shared" si="6"/>
        <v>1400</v>
      </c>
      <c r="L13" s="10">
        <f t="shared" si="6"/>
        <v>1400</v>
      </c>
      <c r="M13" s="10">
        <f t="shared" si="6"/>
        <v>1400</v>
      </c>
      <c r="N13" s="10">
        <f t="shared" si="6"/>
        <v>1400</v>
      </c>
      <c r="O13" s="10">
        <f t="shared" si="6"/>
        <v>1400</v>
      </c>
      <c r="P13" s="10">
        <f t="shared" si="6"/>
        <v>1400</v>
      </c>
      <c r="Q13" s="10">
        <f t="shared" si="6"/>
        <v>1400</v>
      </c>
      <c r="R13" s="10">
        <f t="shared" si="6"/>
        <v>1400</v>
      </c>
      <c r="S13" s="10">
        <f t="shared" si="6"/>
        <v>1400</v>
      </c>
      <c r="T13" s="10">
        <f t="shared" si="6"/>
        <v>1400</v>
      </c>
      <c r="U13" s="10">
        <f t="shared" si="6"/>
        <v>1400</v>
      </c>
      <c r="V13" s="10">
        <f t="shared" si="6"/>
        <v>1400</v>
      </c>
      <c r="W13" s="10">
        <f t="shared" si="6"/>
        <v>1400</v>
      </c>
      <c r="X13" s="10">
        <f t="shared" si="6"/>
        <v>1400</v>
      </c>
      <c r="Y13" s="10">
        <f t="shared" si="6"/>
        <v>1400</v>
      </c>
      <c r="Z13" s="11">
        <f t="shared" si="3"/>
        <v>33600</v>
      </c>
      <c r="AA13" s="11">
        <v>30.0</v>
      </c>
      <c r="AB13" s="11">
        <f t="shared" si="4"/>
        <v>1008000</v>
      </c>
    </row>
    <row r="14" ht="14.25" customHeight="1">
      <c r="A14" s="8">
        <v>47604.0</v>
      </c>
      <c r="B14" s="9">
        <v>1400.0</v>
      </c>
      <c r="C14" s="10">
        <f t="shared" ref="C14:Y14" si="7">B14</f>
        <v>1400</v>
      </c>
      <c r="D14" s="10">
        <f t="shared" si="7"/>
        <v>1400</v>
      </c>
      <c r="E14" s="10">
        <f t="shared" si="7"/>
        <v>1400</v>
      </c>
      <c r="F14" s="10">
        <f t="shared" si="7"/>
        <v>1400</v>
      </c>
      <c r="G14" s="10">
        <f t="shared" si="7"/>
        <v>1400</v>
      </c>
      <c r="H14" s="10">
        <f t="shared" si="7"/>
        <v>1400</v>
      </c>
      <c r="I14" s="10">
        <f t="shared" si="7"/>
        <v>1400</v>
      </c>
      <c r="J14" s="10">
        <f t="shared" si="7"/>
        <v>1400</v>
      </c>
      <c r="K14" s="10">
        <f t="shared" si="7"/>
        <v>1400</v>
      </c>
      <c r="L14" s="10">
        <f t="shared" si="7"/>
        <v>1400</v>
      </c>
      <c r="M14" s="10">
        <f t="shared" si="7"/>
        <v>1400</v>
      </c>
      <c r="N14" s="10">
        <f t="shared" si="7"/>
        <v>1400</v>
      </c>
      <c r="O14" s="10">
        <f t="shared" si="7"/>
        <v>1400</v>
      </c>
      <c r="P14" s="10">
        <f t="shared" si="7"/>
        <v>1400</v>
      </c>
      <c r="Q14" s="10">
        <f t="shared" si="7"/>
        <v>1400</v>
      </c>
      <c r="R14" s="10">
        <f t="shared" si="7"/>
        <v>1400</v>
      </c>
      <c r="S14" s="10">
        <f t="shared" si="7"/>
        <v>1400</v>
      </c>
      <c r="T14" s="10">
        <f t="shared" si="7"/>
        <v>1400</v>
      </c>
      <c r="U14" s="10">
        <f t="shared" si="7"/>
        <v>1400</v>
      </c>
      <c r="V14" s="10">
        <f t="shared" si="7"/>
        <v>1400</v>
      </c>
      <c r="W14" s="10">
        <f t="shared" si="7"/>
        <v>1400</v>
      </c>
      <c r="X14" s="10">
        <f t="shared" si="7"/>
        <v>1400</v>
      </c>
      <c r="Y14" s="10">
        <f t="shared" si="7"/>
        <v>1400</v>
      </c>
      <c r="Z14" s="11">
        <f t="shared" si="3"/>
        <v>33600</v>
      </c>
      <c r="AA14" s="11">
        <v>31.0</v>
      </c>
      <c r="AB14" s="11">
        <f t="shared" si="4"/>
        <v>1041600</v>
      </c>
    </row>
    <row r="15" ht="14.25" customHeight="1">
      <c r="A15" s="8">
        <v>47635.0</v>
      </c>
      <c r="B15" s="9">
        <v>1400.0</v>
      </c>
      <c r="C15" s="10">
        <f t="shared" ref="C15:Y15" si="8">B15</f>
        <v>1400</v>
      </c>
      <c r="D15" s="10">
        <f t="shared" si="8"/>
        <v>1400</v>
      </c>
      <c r="E15" s="10">
        <f t="shared" si="8"/>
        <v>1400</v>
      </c>
      <c r="F15" s="10">
        <f t="shared" si="8"/>
        <v>1400</v>
      </c>
      <c r="G15" s="10">
        <f t="shared" si="8"/>
        <v>1400</v>
      </c>
      <c r="H15" s="10">
        <f t="shared" si="8"/>
        <v>1400</v>
      </c>
      <c r="I15" s="10">
        <f t="shared" si="8"/>
        <v>1400</v>
      </c>
      <c r="J15" s="10">
        <f t="shared" si="8"/>
        <v>1400</v>
      </c>
      <c r="K15" s="10">
        <f t="shared" si="8"/>
        <v>1400</v>
      </c>
      <c r="L15" s="10">
        <f t="shared" si="8"/>
        <v>1400</v>
      </c>
      <c r="M15" s="10">
        <f t="shared" si="8"/>
        <v>1400</v>
      </c>
      <c r="N15" s="10">
        <f t="shared" si="8"/>
        <v>1400</v>
      </c>
      <c r="O15" s="10">
        <f t="shared" si="8"/>
        <v>1400</v>
      </c>
      <c r="P15" s="10">
        <f t="shared" si="8"/>
        <v>1400</v>
      </c>
      <c r="Q15" s="10">
        <f t="shared" si="8"/>
        <v>1400</v>
      </c>
      <c r="R15" s="10">
        <f t="shared" si="8"/>
        <v>1400</v>
      </c>
      <c r="S15" s="10">
        <f t="shared" si="8"/>
        <v>1400</v>
      </c>
      <c r="T15" s="10">
        <f t="shared" si="8"/>
        <v>1400</v>
      </c>
      <c r="U15" s="10">
        <f t="shared" si="8"/>
        <v>1400</v>
      </c>
      <c r="V15" s="10">
        <f t="shared" si="8"/>
        <v>1400</v>
      </c>
      <c r="W15" s="10">
        <f t="shared" si="8"/>
        <v>1400</v>
      </c>
      <c r="X15" s="10">
        <f t="shared" si="8"/>
        <v>1400</v>
      </c>
      <c r="Y15" s="10">
        <f t="shared" si="8"/>
        <v>1400</v>
      </c>
      <c r="Z15" s="11">
        <f t="shared" si="3"/>
        <v>33600</v>
      </c>
      <c r="AA15" s="11">
        <v>30.0</v>
      </c>
      <c r="AB15" s="11">
        <f t="shared" si="4"/>
        <v>1008000</v>
      </c>
    </row>
    <row r="16" ht="14.25" customHeight="1">
      <c r="A16" s="8">
        <v>47665.0</v>
      </c>
      <c r="B16" s="9">
        <v>1400.0</v>
      </c>
      <c r="C16" s="10">
        <f t="shared" ref="C16:Y16" si="9">B16</f>
        <v>1400</v>
      </c>
      <c r="D16" s="10">
        <f t="shared" si="9"/>
        <v>1400</v>
      </c>
      <c r="E16" s="10">
        <f t="shared" si="9"/>
        <v>1400</v>
      </c>
      <c r="F16" s="10">
        <f t="shared" si="9"/>
        <v>1400</v>
      </c>
      <c r="G16" s="10">
        <f t="shared" si="9"/>
        <v>1400</v>
      </c>
      <c r="H16" s="10">
        <f t="shared" si="9"/>
        <v>1400</v>
      </c>
      <c r="I16" s="10">
        <f t="shared" si="9"/>
        <v>1400</v>
      </c>
      <c r="J16" s="10">
        <f t="shared" si="9"/>
        <v>1400</v>
      </c>
      <c r="K16" s="10">
        <f t="shared" si="9"/>
        <v>1400</v>
      </c>
      <c r="L16" s="10">
        <f t="shared" si="9"/>
        <v>1400</v>
      </c>
      <c r="M16" s="10">
        <f t="shared" si="9"/>
        <v>1400</v>
      </c>
      <c r="N16" s="10">
        <f t="shared" si="9"/>
        <v>1400</v>
      </c>
      <c r="O16" s="10">
        <f t="shared" si="9"/>
        <v>1400</v>
      </c>
      <c r="P16" s="10">
        <f t="shared" si="9"/>
        <v>1400</v>
      </c>
      <c r="Q16" s="10">
        <f t="shared" si="9"/>
        <v>1400</v>
      </c>
      <c r="R16" s="10">
        <f t="shared" si="9"/>
        <v>1400</v>
      </c>
      <c r="S16" s="10">
        <f t="shared" si="9"/>
        <v>1400</v>
      </c>
      <c r="T16" s="10">
        <f t="shared" si="9"/>
        <v>1400</v>
      </c>
      <c r="U16" s="10">
        <f t="shared" si="9"/>
        <v>1400</v>
      </c>
      <c r="V16" s="10">
        <f t="shared" si="9"/>
        <v>1400</v>
      </c>
      <c r="W16" s="10">
        <f t="shared" si="9"/>
        <v>1400</v>
      </c>
      <c r="X16" s="10">
        <f t="shared" si="9"/>
        <v>1400</v>
      </c>
      <c r="Y16" s="10">
        <f t="shared" si="9"/>
        <v>1400</v>
      </c>
      <c r="Z16" s="11">
        <f t="shared" si="3"/>
        <v>33600</v>
      </c>
      <c r="AA16" s="11">
        <v>31.0</v>
      </c>
      <c r="AB16" s="11">
        <f t="shared" si="4"/>
        <v>1041600</v>
      </c>
    </row>
    <row r="17" ht="14.25" customHeight="1">
      <c r="A17" s="8">
        <v>47696.0</v>
      </c>
      <c r="B17" s="9">
        <v>1400.0</v>
      </c>
      <c r="C17" s="10">
        <f t="shared" ref="C17:Y17" si="10">B17</f>
        <v>1400</v>
      </c>
      <c r="D17" s="10">
        <f t="shared" si="10"/>
        <v>1400</v>
      </c>
      <c r="E17" s="10">
        <f t="shared" si="10"/>
        <v>1400</v>
      </c>
      <c r="F17" s="10">
        <f t="shared" si="10"/>
        <v>1400</v>
      </c>
      <c r="G17" s="10">
        <f t="shared" si="10"/>
        <v>1400</v>
      </c>
      <c r="H17" s="10">
        <f t="shared" si="10"/>
        <v>1400</v>
      </c>
      <c r="I17" s="10">
        <f t="shared" si="10"/>
        <v>1400</v>
      </c>
      <c r="J17" s="10">
        <f t="shared" si="10"/>
        <v>1400</v>
      </c>
      <c r="K17" s="10">
        <f t="shared" si="10"/>
        <v>1400</v>
      </c>
      <c r="L17" s="10">
        <f t="shared" si="10"/>
        <v>1400</v>
      </c>
      <c r="M17" s="10">
        <f t="shared" si="10"/>
        <v>1400</v>
      </c>
      <c r="N17" s="10">
        <f t="shared" si="10"/>
        <v>1400</v>
      </c>
      <c r="O17" s="10">
        <f t="shared" si="10"/>
        <v>1400</v>
      </c>
      <c r="P17" s="10">
        <f t="shared" si="10"/>
        <v>1400</v>
      </c>
      <c r="Q17" s="10">
        <f t="shared" si="10"/>
        <v>1400</v>
      </c>
      <c r="R17" s="10">
        <f t="shared" si="10"/>
        <v>1400</v>
      </c>
      <c r="S17" s="10">
        <f t="shared" si="10"/>
        <v>1400</v>
      </c>
      <c r="T17" s="10">
        <f t="shared" si="10"/>
        <v>1400</v>
      </c>
      <c r="U17" s="10">
        <f t="shared" si="10"/>
        <v>1400</v>
      </c>
      <c r="V17" s="10">
        <f t="shared" si="10"/>
        <v>1400</v>
      </c>
      <c r="W17" s="10">
        <f t="shared" si="10"/>
        <v>1400</v>
      </c>
      <c r="X17" s="10">
        <f t="shared" si="10"/>
        <v>1400</v>
      </c>
      <c r="Y17" s="10">
        <f t="shared" si="10"/>
        <v>1400</v>
      </c>
      <c r="Z17" s="11">
        <f t="shared" si="3"/>
        <v>33600</v>
      </c>
      <c r="AA17" s="11">
        <v>31.0</v>
      </c>
      <c r="AB17" s="11">
        <f t="shared" si="4"/>
        <v>1041600</v>
      </c>
    </row>
    <row r="18" ht="14.25" customHeight="1">
      <c r="A18" s="8">
        <v>47727.0</v>
      </c>
      <c r="B18" s="9">
        <v>1400.0</v>
      </c>
      <c r="C18" s="10">
        <f t="shared" ref="C18:Y18" si="11">B18</f>
        <v>1400</v>
      </c>
      <c r="D18" s="10">
        <f t="shared" si="11"/>
        <v>1400</v>
      </c>
      <c r="E18" s="10">
        <f t="shared" si="11"/>
        <v>1400</v>
      </c>
      <c r="F18" s="10">
        <f t="shared" si="11"/>
        <v>1400</v>
      </c>
      <c r="G18" s="10">
        <f t="shared" si="11"/>
        <v>1400</v>
      </c>
      <c r="H18" s="10">
        <f t="shared" si="11"/>
        <v>1400</v>
      </c>
      <c r="I18" s="10">
        <f t="shared" si="11"/>
        <v>1400</v>
      </c>
      <c r="J18" s="10">
        <f t="shared" si="11"/>
        <v>1400</v>
      </c>
      <c r="K18" s="10">
        <f t="shared" si="11"/>
        <v>1400</v>
      </c>
      <c r="L18" s="10">
        <f t="shared" si="11"/>
        <v>1400</v>
      </c>
      <c r="M18" s="10">
        <f t="shared" si="11"/>
        <v>1400</v>
      </c>
      <c r="N18" s="10">
        <f t="shared" si="11"/>
        <v>1400</v>
      </c>
      <c r="O18" s="10">
        <f t="shared" si="11"/>
        <v>1400</v>
      </c>
      <c r="P18" s="10">
        <f t="shared" si="11"/>
        <v>1400</v>
      </c>
      <c r="Q18" s="10">
        <f t="shared" si="11"/>
        <v>1400</v>
      </c>
      <c r="R18" s="10">
        <f t="shared" si="11"/>
        <v>1400</v>
      </c>
      <c r="S18" s="10">
        <f t="shared" si="11"/>
        <v>1400</v>
      </c>
      <c r="T18" s="10">
        <f t="shared" si="11"/>
        <v>1400</v>
      </c>
      <c r="U18" s="10">
        <f t="shared" si="11"/>
        <v>1400</v>
      </c>
      <c r="V18" s="10">
        <f t="shared" si="11"/>
        <v>1400</v>
      </c>
      <c r="W18" s="10">
        <f t="shared" si="11"/>
        <v>1400</v>
      </c>
      <c r="X18" s="10">
        <f t="shared" si="11"/>
        <v>1400</v>
      </c>
      <c r="Y18" s="10">
        <f t="shared" si="11"/>
        <v>1400</v>
      </c>
      <c r="Z18" s="11">
        <f t="shared" si="3"/>
        <v>33600</v>
      </c>
      <c r="AA18" s="11">
        <v>30.0</v>
      </c>
      <c r="AB18" s="11">
        <f t="shared" si="4"/>
        <v>1008000</v>
      </c>
    </row>
    <row r="19" ht="14.25" customHeight="1">
      <c r="A19" s="8">
        <v>47757.0</v>
      </c>
      <c r="B19" s="9">
        <v>1400.0</v>
      </c>
      <c r="C19" s="10">
        <f t="shared" ref="C19:Y19" si="12">B19</f>
        <v>1400</v>
      </c>
      <c r="D19" s="10">
        <f t="shared" si="12"/>
        <v>1400</v>
      </c>
      <c r="E19" s="10">
        <f t="shared" si="12"/>
        <v>1400</v>
      </c>
      <c r="F19" s="10">
        <f t="shared" si="12"/>
        <v>1400</v>
      </c>
      <c r="G19" s="10">
        <f t="shared" si="12"/>
        <v>1400</v>
      </c>
      <c r="H19" s="10">
        <f t="shared" si="12"/>
        <v>1400</v>
      </c>
      <c r="I19" s="10">
        <f t="shared" si="12"/>
        <v>1400</v>
      </c>
      <c r="J19" s="10">
        <f t="shared" si="12"/>
        <v>1400</v>
      </c>
      <c r="K19" s="10">
        <f t="shared" si="12"/>
        <v>1400</v>
      </c>
      <c r="L19" s="10">
        <f t="shared" si="12"/>
        <v>1400</v>
      </c>
      <c r="M19" s="10">
        <f t="shared" si="12"/>
        <v>1400</v>
      </c>
      <c r="N19" s="10">
        <f t="shared" si="12"/>
        <v>1400</v>
      </c>
      <c r="O19" s="10">
        <f t="shared" si="12"/>
        <v>1400</v>
      </c>
      <c r="P19" s="10">
        <f t="shared" si="12"/>
        <v>1400</v>
      </c>
      <c r="Q19" s="10">
        <f t="shared" si="12"/>
        <v>1400</v>
      </c>
      <c r="R19" s="10">
        <f t="shared" si="12"/>
        <v>1400</v>
      </c>
      <c r="S19" s="10">
        <f t="shared" si="12"/>
        <v>1400</v>
      </c>
      <c r="T19" s="10">
        <f t="shared" si="12"/>
        <v>1400</v>
      </c>
      <c r="U19" s="10">
        <f t="shared" si="12"/>
        <v>1400</v>
      </c>
      <c r="V19" s="10">
        <f t="shared" si="12"/>
        <v>1400</v>
      </c>
      <c r="W19" s="10">
        <f t="shared" si="12"/>
        <v>1400</v>
      </c>
      <c r="X19" s="10">
        <f t="shared" si="12"/>
        <v>1400</v>
      </c>
      <c r="Y19" s="10">
        <f t="shared" si="12"/>
        <v>1400</v>
      </c>
      <c r="Z19" s="11">
        <f t="shared" si="3"/>
        <v>33600</v>
      </c>
      <c r="AA19" s="11">
        <v>31.0</v>
      </c>
      <c r="AB19" s="11">
        <f t="shared" si="4"/>
        <v>1041600</v>
      </c>
    </row>
    <row r="20" ht="14.25" customHeight="1">
      <c r="A20" s="8">
        <v>47788.0</v>
      </c>
      <c r="B20" s="9">
        <v>1400.0</v>
      </c>
      <c r="C20" s="10">
        <f t="shared" ref="C20:Y20" si="13">B20</f>
        <v>1400</v>
      </c>
      <c r="D20" s="10">
        <f t="shared" si="13"/>
        <v>1400</v>
      </c>
      <c r="E20" s="10">
        <f t="shared" si="13"/>
        <v>1400</v>
      </c>
      <c r="F20" s="10">
        <f t="shared" si="13"/>
        <v>1400</v>
      </c>
      <c r="G20" s="10">
        <f t="shared" si="13"/>
        <v>1400</v>
      </c>
      <c r="H20" s="10">
        <f t="shared" si="13"/>
        <v>1400</v>
      </c>
      <c r="I20" s="10">
        <f t="shared" si="13"/>
        <v>1400</v>
      </c>
      <c r="J20" s="10">
        <f t="shared" si="13"/>
        <v>1400</v>
      </c>
      <c r="K20" s="10">
        <f t="shared" si="13"/>
        <v>1400</v>
      </c>
      <c r="L20" s="10">
        <f t="shared" si="13"/>
        <v>1400</v>
      </c>
      <c r="M20" s="10">
        <f t="shared" si="13"/>
        <v>1400</v>
      </c>
      <c r="N20" s="10">
        <f t="shared" si="13"/>
        <v>1400</v>
      </c>
      <c r="O20" s="10">
        <f t="shared" si="13"/>
        <v>1400</v>
      </c>
      <c r="P20" s="10">
        <f t="shared" si="13"/>
        <v>1400</v>
      </c>
      <c r="Q20" s="10">
        <f t="shared" si="13"/>
        <v>1400</v>
      </c>
      <c r="R20" s="10">
        <f t="shared" si="13"/>
        <v>1400</v>
      </c>
      <c r="S20" s="10">
        <f t="shared" si="13"/>
        <v>1400</v>
      </c>
      <c r="T20" s="10">
        <f t="shared" si="13"/>
        <v>1400</v>
      </c>
      <c r="U20" s="10">
        <f t="shared" si="13"/>
        <v>1400</v>
      </c>
      <c r="V20" s="10">
        <f t="shared" si="13"/>
        <v>1400</v>
      </c>
      <c r="W20" s="10">
        <f t="shared" si="13"/>
        <v>1400</v>
      </c>
      <c r="X20" s="10">
        <f t="shared" si="13"/>
        <v>1400</v>
      </c>
      <c r="Y20" s="10">
        <f t="shared" si="13"/>
        <v>1400</v>
      </c>
      <c r="Z20" s="11">
        <f t="shared" si="3"/>
        <v>33600</v>
      </c>
      <c r="AA20" s="11">
        <v>30.0</v>
      </c>
      <c r="AB20" s="11">
        <f t="shared" si="4"/>
        <v>1008000</v>
      </c>
    </row>
    <row r="21" ht="14.25" customHeight="1">
      <c r="A21" s="8">
        <v>47818.0</v>
      </c>
      <c r="B21" s="9">
        <v>1400.0</v>
      </c>
      <c r="C21" s="10">
        <f t="shared" ref="C21:Y21" si="14">B21</f>
        <v>1400</v>
      </c>
      <c r="D21" s="10">
        <f t="shared" si="14"/>
        <v>1400</v>
      </c>
      <c r="E21" s="10">
        <f t="shared" si="14"/>
        <v>1400</v>
      </c>
      <c r="F21" s="10">
        <f t="shared" si="14"/>
        <v>1400</v>
      </c>
      <c r="G21" s="10">
        <f t="shared" si="14"/>
        <v>1400</v>
      </c>
      <c r="H21" s="10">
        <f t="shared" si="14"/>
        <v>1400</v>
      </c>
      <c r="I21" s="10">
        <f t="shared" si="14"/>
        <v>1400</v>
      </c>
      <c r="J21" s="10">
        <f t="shared" si="14"/>
        <v>1400</v>
      </c>
      <c r="K21" s="10">
        <f t="shared" si="14"/>
        <v>1400</v>
      </c>
      <c r="L21" s="10">
        <f t="shared" si="14"/>
        <v>1400</v>
      </c>
      <c r="M21" s="10">
        <f t="shared" si="14"/>
        <v>1400</v>
      </c>
      <c r="N21" s="10">
        <f t="shared" si="14"/>
        <v>1400</v>
      </c>
      <c r="O21" s="10">
        <f t="shared" si="14"/>
        <v>1400</v>
      </c>
      <c r="P21" s="10">
        <f t="shared" si="14"/>
        <v>1400</v>
      </c>
      <c r="Q21" s="10">
        <f t="shared" si="14"/>
        <v>1400</v>
      </c>
      <c r="R21" s="10">
        <f t="shared" si="14"/>
        <v>1400</v>
      </c>
      <c r="S21" s="10">
        <f t="shared" si="14"/>
        <v>1400</v>
      </c>
      <c r="T21" s="10">
        <f t="shared" si="14"/>
        <v>1400</v>
      </c>
      <c r="U21" s="10">
        <f t="shared" si="14"/>
        <v>1400</v>
      </c>
      <c r="V21" s="10">
        <f t="shared" si="14"/>
        <v>1400</v>
      </c>
      <c r="W21" s="10">
        <f t="shared" si="14"/>
        <v>1400</v>
      </c>
      <c r="X21" s="10">
        <f t="shared" si="14"/>
        <v>1400</v>
      </c>
      <c r="Y21" s="10">
        <f t="shared" si="14"/>
        <v>1400</v>
      </c>
      <c r="Z21" s="11">
        <f t="shared" si="3"/>
        <v>33600</v>
      </c>
      <c r="AA21" s="11">
        <v>31.0</v>
      </c>
      <c r="AB21" s="11">
        <f t="shared" si="4"/>
        <v>1041600</v>
      </c>
    </row>
    <row r="22" ht="14.25" customHeight="1">
      <c r="Z22" s="45" t="s">
        <v>48</v>
      </c>
      <c r="AA22" s="46"/>
      <c r="AB22" s="47">
        <f>SUM(AB10:AB21)</f>
        <v>12264000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17.0"/>
    <col customWidth="1" min="4" max="4" width="16.0"/>
    <col customWidth="1" min="5" max="5" width="12.43"/>
    <col customWidth="1" min="6" max="6" width="13.0"/>
    <col customWidth="1" min="7" max="21" width="10.71"/>
  </cols>
  <sheetData>
    <row r="1" ht="14.25" customHeight="1"/>
    <row r="2" ht="14.25" customHeight="1"/>
    <row r="3" ht="14.25" customHeight="1"/>
    <row r="4" ht="14.25" customHeight="1">
      <c r="A4" s="15"/>
      <c r="B4" s="16" t="s">
        <v>3</v>
      </c>
    </row>
    <row r="5" ht="14.25" customHeight="1">
      <c r="A5" s="15"/>
      <c r="B5" s="16" t="s">
        <v>65</v>
      </c>
    </row>
    <row r="6" ht="14.25" customHeight="1">
      <c r="A6" s="15"/>
      <c r="B6" s="17" t="s">
        <v>34</v>
      </c>
    </row>
    <row r="7" ht="14.25" customHeight="1">
      <c r="A7" s="15"/>
      <c r="B7" s="17" t="s">
        <v>35</v>
      </c>
    </row>
    <row r="8" ht="14.25" customHeight="1">
      <c r="A8" s="15"/>
      <c r="B8" s="18" t="s">
        <v>36</v>
      </c>
    </row>
    <row r="9" ht="14.25" customHeight="1">
      <c r="A9" s="15"/>
      <c r="B9" s="17"/>
      <c r="C9" s="17"/>
      <c r="D9" s="17"/>
      <c r="E9" s="17"/>
      <c r="F9" s="17"/>
      <c r="G9" s="17"/>
    </row>
    <row r="10" ht="14.25" customHeight="1">
      <c r="A10" s="15"/>
      <c r="B10" s="19" t="s">
        <v>37</v>
      </c>
      <c r="C10" s="20"/>
      <c r="D10" s="20"/>
      <c r="E10" s="20"/>
      <c r="F10" s="21"/>
      <c r="G10" s="17"/>
    </row>
    <row r="11">
      <c r="A11" s="15"/>
      <c r="B11" s="22" t="s">
        <v>4</v>
      </c>
      <c r="C11" s="23" t="s">
        <v>38</v>
      </c>
      <c r="D11" s="23" t="s">
        <v>39</v>
      </c>
      <c r="E11" s="24" t="s">
        <v>40</v>
      </c>
      <c r="F11" s="25" t="s">
        <v>41</v>
      </c>
      <c r="G11" s="17"/>
    </row>
    <row r="12" ht="14.25" customHeight="1">
      <c r="A12" s="15"/>
      <c r="B12" s="58">
        <v>47484.0</v>
      </c>
      <c r="C12" s="27">
        <f>'Cant. Requeridas Producto 6'!AB10</f>
        <v>1041600</v>
      </c>
      <c r="D12" s="74"/>
      <c r="E12" s="78">
        <f t="shared" ref="E12:E23" si="1">C12*$D$12</f>
        <v>0</v>
      </c>
      <c r="F12" s="74"/>
      <c r="G12" s="17"/>
      <c r="H12" s="56"/>
      <c r="I12" s="57"/>
    </row>
    <row r="13" ht="14.25" customHeight="1">
      <c r="A13" s="15"/>
      <c r="B13" s="58">
        <v>47515.0</v>
      </c>
      <c r="C13" s="27">
        <f>'Cant. Requeridas Producto 6'!AB11</f>
        <v>940800</v>
      </c>
      <c r="D13" s="75"/>
      <c r="E13" s="78">
        <f t="shared" si="1"/>
        <v>0</v>
      </c>
      <c r="F13" s="75"/>
      <c r="G13" s="17"/>
      <c r="H13" s="56"/>
      <c r="I13" s="57"/>
    </row>
    <row r="14" ht="14.25" customHeight="1">
      <c r="A14" s="15"/>
      <c r="B14" s="58">
        <v>47543.0</v>
      </c>
      <c r="C14" s="27">
        <f>'Cant. Requeridas Producto 6'!AB12</f>
        <v>1041600</v>
      </c>
      <c r="D14" s="75"/>
      <c r="E14" s="78">
        <f t="shared" si="1"/>
        <v>0</v>
      </c>
      <c r="F14" s="75"/>
      <c r="G14" s="17"/>
      <c r="H14" s="56"/>
      <c r="I14" s="57"/>
    </row>
    <row r="15" ht="14.25" customHeight="1">
      <c r="A15" s="15"/>
      <c r="B15" s="58">
        <v>47574.0</v>
      </c>
      <c r="C15" s="27">
        <f>'Cant. Requeridas Producto 6'!AB13</f>
        <v>1008000</v>
      </c>
      <c r="D15" s="75"/>
      <c r="E15" s="78">
        <f t="shared" si="1"/>
        <v>0</v>
      </c>
      <c r="F15" s="75"/>
      <c r="G15" s="17"/>
      <c r="H15" s="56"/>
      <c r="I15" s="57"/>
    </row>
    <row r="16" ht="14.25" customHeight="1">
      <c r="A16" s="15"/>
      <c r="B16" s="58">
        <v>47604.0</v>
      </c>
      <c r="C16" s="27">
        <f>'Cant. Requeridas Producto 6'!AB14</f>
        <v>1041600</v>
      </c>
      <c r="D16" s="75"/>
      <c r="E16" s="78">
        <f t="shared" si="1"/>
        <v>0</v>
      </c>
      <c r="F16" s="75"/>
      <c r="G16" s="17"/>
      <c r="H16" s="56"/>
      <c r="I16" s="57"/>
    </row>
    <row r="17" ht="14.25" customHeight="1">
      <c r="A17" s="15"/>
      <c r="B17" s="58">
        <v>47635.0</v>
      </c>
      <c r="C17" s="27">
        <f>'Cant. Requeridas Producto 6'!AB15</f>
        <v>1008000</v>
      </c>
      <c r="D17" s="75"/>
      <c r="E17" s="78">
        <f t="shared" si="1"/>
        <v>0</v>
      </c>
      <c r="F17" s="75"/>
      <c r="G17" s="17"/>
      <c r="H17" s="56"/>
      <c r="I17" s="57"/>
    </row>
    <row r="18" ht="14.25" customHeight="1">
      <c r="A18" s="15"/>
      <c r="B18" s="58">
        <v>47665.0</v>
      </c>
      <c r="C18" s="27">
        <f>'Cant. Requeridas Producto 6'!AB16</f>
        <v>1041600</v>
      </c>
      <c r="D18" s="75"/>
      <c r="E18" s="78">
        <f t="shared" si="1"/>
        <v>0</v>
      </c>
      <c r="F18" s="75"/>
      <c r="G18" s="17"/>
      <c r="H18" s="56"/>
      <c r="I18" s="57"/>
    </row>
    <row r="19" ht="14.25" customHeight="1">
      <c r="A19" s="15"/>
      <c r="B19" s="58">
        <v>47696.0</v>
      </c>
      <c r="C19" s="27">
        <f>'Cant. Requeridas Producto 6'!AB17</f>
        <v>1041600</v>
      </c>
      <c r="D19" s="75"/>
      <c r="E19" s="78">
        <f t="shared" si="1"/>
        <v>0</v>
      </c>
      <c r="F19" s="75"/>
      <c r="G19" s="17"/>
      <c r="H19" s="56"/>
      <c r="I19" s="57"/>
    </row>
    <row r="20" ht="14.25" customHeight="1">
      <c r="A20" s="15"/>
      <c r="B20" s="58">
        <v>47727.0</v>
      </c>
      <c r="C20" s="27">
        <f>'Cant. Requeridas Producto 6'!AB18</f>
        <v>1008000</v>
      </c>
      <c r="D20" s="75"/>
      <c r="E20" s="78">
        <f t="shared" si="1"/>
        <v>0</v>
      </c>
      <c r="F20" s="75"/>
      <c r="G20" s="17"/>
      <c r="H20" s="56"/>
      <c r="I20" s="57"/>
    </row>
    <row r="21" ht="14.25" customHeight="1">
      <c r="A21" s="15"/>
      <c r="B21" s="58">
        <v>47757.0</v>
      </c>
      <c r="C21" s="27">
        <f>'Cant. Requeridas Producto 6'!AB19</f>
        <v>1041600</v>
      </c>
      <c r="D21" s="75"/>
      <c r="E21" s="78">
        <f t="shared" si="1"/>
        <v>0</v>
      </c>
      <c r="F21" s="75"/>
      <c r="G21" s="17"/>
      <c r="H21" s="56"/>
      <c r="I21" s="57"/>
    </row>
    <row r="22" ht="14.25" customHeight="1">
      <c r="A22" s="15"/>
      <c r="B22" s="58">
        <v>47788.0</v>
      </c>
      <c r="C22" s="27">
        <f>'Cant. Requeridas Producto 6'!AB20</f>
        <v>1008000</v>
      </c>
      <c r="D22" s="75"/>
      <c r="E22" s="78">
        <f t="shared" si="1"/>
        <v>0</v>
      </c>
      <c r="F22" s="75"/>
      <c r="G22" s="17"/>
      <c r="H22" s="56"/>
      <c r="I22" s="57"/>
    </row>
    <row r="23" ht="14.25" customHeight="1">
      <c r="A23" s="15"/>
      <c r="B23" s="58">
        <v>47818.0</v>
      </c>
      <c r="C23" s="27">
        <f>'Cant. Requeridas Producto 6'!AB21</f>
        <v>1041600</v>
      </c>
      <c r="D23" s="76"/>
      <c r="E23" s="78">
        <f t="shared" si="1"/>
        <v>0</v>
      </c>
      <c r="F23" s="76"/>
      <c r="G23" s="17"/>
      <c r="H23" s="56"/>
      <c r="I23" s="57"/>
    </row>
    <row r="24" ht="14.25" customHeight="1">
      <c r="A24" s="15"/>
      <c r="B24" s="32" t="s">
        <v>32</v>
      </c>
      <c r="C24" s="33">
        <f>SUM(C12:C23)</f>
        <v>12264000</v>
      </c>
      <c r="D24" s="34"/>
      <c r="E24" s="33">
        <f>SUM(E12:E23)</f>
        <v>0</v>
      </c>
      <c r="F24" s="35"/>
      <c r="G24" s="17"/>
    </row>
    <row r="25" ht="14.25" customHeight="1">
      <c r="A25" s="15"/>
      <c r="B25" s="17"/>
      <c r="C25" s="36"/>
      <c r="D25" s="36"/>
      <c r="E25" s="17"/>
      <c r="F25" s="17"/>
      <c r="G25" s="17"/>
    </row>
    <row r="26" ht="14.25" customHeight="1">
      <c r="C26" s="37"/>
      <c r="E26" s="38"/>
    </row>
    <row r="27" ht="14.25" customHeight="1">
      <c r="B27" s="39" t="s">
        <v>42</v>
      </c>
      <c r="G27" s="40"/>
    </row>
    <row r="28">
      <c r="B28" s="41" t="s">
        <v>55</v>
      </c>
    </row>
    <row r="29" ht="27.0" customHeight="1">
      <c r="B29" s="41" t="s">
        <v>56</v>
      </c>
    </row>
    <row r="30">
      <c r="B30" s="42"/>
    </row>
    <row r="31" ht="14.25" customHeight="1"/>
    <row r="32" ht="14.25" customHeight="1"/>
    <row r="33" ht="14.25" customHeight="1">
      <c r="B33" s="44"/>
      <c r="C33" s="44"/>
    </row>
    <row r="34" ht="14.25" customHeight="1">
      <c r="B34" s="5" t="s">
        <v>45</v>
      </c>
    </row>
    <row r="35" ht="14.25" customHeight="1">
      <c r="B35" s="5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2">
    <mergeCell ref="B7:G7"/>
    <mergeCell ref="B8:G8"/>
    <mergeCell ref="B27:F27"/>
    <mergeCell ref="B30:G30"/>
    <mergeCell ref="B28:G28"/>
    <mergeCell ref="B29:G29"/>
    <mergeCell ref="D12:D23"/>
    <mergeCell ref="F12:F23"/>
    <mergeCell ref="B4:G4"/>
    <mergeCell ref="B5:G5"/>
    <mergeCell ref="B6:G6"/>
    <mergeCell ref="B10:F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