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e65fd4753dc5093e/Documents/EMPRESAS/TIMBIQUI/Convocatoria Publica/CP-ESOC2026-001/PLIEGOS PARA CONSULTA/"/>
    </mc:Choice>
  </mc:AlternateContent>
  <xr:revisionPtr revIDLastSave="181" documentId="13_ncr:1_{25B3BA68-ED93-4D87-B30A-F37F9BA948D8}" xr6:coauthVersionLast="47" xr6:coauthVersionMax="47" xr10:uidLastSave="{CD05A043-236A-4304-AF39-8F465EC3D9A7}"/>
  <bookViews>
    <workbookView xWindow="-110" yWindow="-110" windowWidth="19420" windowHeight="11500" activeTab="1" xr2:uid="{00000000-000D-0000-FFFF-FFFF00000000}"/>
  </bookViews>
  <sheets>
    <sheet name="Cant. Requeridas Producto 1" sheetId="1" r:id="rId1"/>
    <sheet name="Oferta Producto 1" sheetId="2" r:id="rId2"/>
  </sheets>
  <definedNames>
    <definedName name="_xlnm._FilterDatabase" localSheetId="0" hidden="1">'Cant. Requeridas Producto 1'!$A$10:$AB$10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HTsnmLxlioLfybYBNoPNBieFUYn3o1/mEb/phuwgLY="/>
    </ext>
  </extLst>
</workbook>
</file>

<file path=xl/calcChain.xml><?xml version="1.0" encoding="utf-8"?>
<calcChain xmlns="http://schemas.openxmlformats.org/spreadsheetml/2006/main">
  <c r="E23" i="2" l="1"/>
  <c r="E22" i="2"/>
  <c r="E13" i="2"/>
  <c r="E12" i="2"/>
  <c r="E45" i="2"/>
  <c r="C45" i="2"/>
  <c r="C21" i="2"/>
  <c r="C22" i="2"/>
  <c r="C23" i="2"/>
  <c r="C24" i="2"/>
  <c r="C25" i="2"/>
  <c r="C26" i="2"/>
  <c r="C27" i="2"/>
  <c r="C28" i="2"/>
  <c r="C29" i="2"/>
  <c r="C30" i="2"/>
  <c r="C31" i="2"/>
  <c r="C32" i="2"/>
  <c r="E32" i="2" s="1"/>
  <c r="C33" i="2"/>
  <c r="C34" i="2"/>
  <c r="E34" i="2" s="1"/>
  <c r="C35" i="2"/>
  <c r="C36" i="2"/>
  <c r="C37" i="2"/>
  <c r="C38" i="2"/>
  <c r="C39" i="2"/>
  <c r="C40" i="2"/>
  <c r="C41" i="2"/>
  <c r="C42" i="2"/>
  <c r="C43" i="2"/>
  <c r="C44" i="2"/>
  <c r="E44" i="2" s="1"/>
  <c r="C13" i="2"/>
  <c r="C14" i="2"/>
  <c r="C15" i="2"/>
  <c r="C16" i="2"/>
  <c r="C17" i="2"/>
  <c r="E17" i="2" s="1"/>
  <c r="C18" i="2"/>
  <c r="E18" i="2" s="1"/>
  <c r="C19" i="2"/>
  <c r="C20" i="2"/>
  <c r="C12" i="2"/>
  <c r="E14" i="2"/>
  <c r="E15" i="2"/>
  <c r="E16" i="2"/>
  <c r="E19" i="2"/>
  <c r="E20" i="2"/>
  <c r="E31" i="2"/>
  <c r="E33" i="2"/>
  <c r="E35" i="2"/>
  <c r="E36" i="2"/>
  <c r="E37" i="2"/>
  <c r="E38" i="2"/>
  <c r="E39" i="2"/>
  <c r="E40" i="2"/>
  <c r="E41" i="2"/>
  <c r="E42" i="2"/>
  <c r="E43" i="2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36" i="1"/>
  <c r="Z37" i="1"/>
  <c r="Z38" i="1"/>
  <c r="Z39" i="1"/>
  <c r="Z40" i="1"/>
  <c r="Z41" i="1"/>
  <c r="Z42" i="1"/>
  <c r="Z43" i="1"/>
  <c r="Z44" i="1"/>
  <c r="Z45" i="1"/>
  <c r="Z46" i="1"/>
  <c r="Z35" i="1"/>
  <c r="AB36" i="1"/>
  <c r="AB46" i="1"/>
  <c r="C32" i="1"/>
  <c r="D32" i="1"/>
  <c r="E32" i="1"/>
  <c r="F32" i="1"/>
  <c r="G32" i="1"/>
  <c r="G33" i="1" s="1"/>
  <c r="G34" i="1" s="1"/>
  <c r="H32" i="1"/>
  <c r="H33" i="1" s="1"/>
  <c r="I32" i="1"/>
  <c r="I33" i="1" s="1"/>
  <c r="J32" i="1"/>
  <c r="J33" i="1" s="1"/>
  <c r="K32" i="1"/>
  <c r="K33" i="1" s="1"/>
  <c r="K34" i="1" s="1"/>
  <c r="L32" i="1"/>
  <c r="L33" i="1" s="1"/>
  <c r="L34" i="1" s="1"/>
  <c r="M32" i="1"/>
  <c r="M33" i="1" s="1"/>
  <c r="M34" i="1" s="1"/>
  <c r="N32" i="1"/>
  <c r="N33" i="1" s="1"/>
  <c r="N34" i="1" s="1"/>
  <c r="O32" i="1"/>
  <c r="O33" i="1" s="1"/>
  <c r="O34" i="1" s="1"/>
  <c r="P32" i="1"/>
  <c r="P33" i="1" s="1"/>
  <c r="Q32" i="1"/>
  <c r="R32" i="1"/>
  <c r="S32" i="1"/>
  <c r="T32" i="1"/>
  <c r="U32" i="1"/>
  <c r="U33" i="1" s="1"/>
  <c r="U34" i="1" s="1"/>
  <c r="V32" i="1"/>
  <c r="V33" i="1" s="1"/>
  <c r="V34" i="1" s="1"/>
  <c r="W32" i="1"/>
  <c r="W33" i="1" s="1"/>
  <c r="W34" i="1" s="1"/>
  <c r="X32" i="1"/>
  <c r="X33" i="1" s="1"/>
  <c r="X34" i="1" s="1"/>
  <c r="Y32" i="1"/>
  <c r="Y33" i="1" s="1"/>
  <c r="Y34" i="1" s="1"/>
  <c r="Z32" i="1"/>
  <c r="Z33" i="1" s="1"/>
  <c r="Z34" i="1" s="1"/>
  <c r="C33" i="1"/>
  <c r="D33" i="1"/>
  <c r="D34" i="1" s="1"/>
  <c r="E33" i="1"/>
  <c r="F33" i="1"/>
  <c r="Q33" i="1"/>
  <c r="R33" i="1"/>
  <c r="R34" i="1" s="1"/>
  <c r="S33" i="1"/>
  <c r="T33" i="1"/>
  <c r="T34" i="1" s="1"/>
  <c r="B33" i="1"/>
  <c r="B34" i="1"/>
  <c r="B32" i="1"/>
  <c r="AB37" i="1"/>
  <c r="AB38" i="1"/>
  <c r="AB39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B23" i="1"/>
  <c r="Z14" i="1"/>
  <c r="AB14" i="1" s="1"/>
  <c r="P34" i="1" l="1"/>
  <c r="J34" i="1"/>
  <c r="I34" i="1"/>
  <c r="H34" i="1"/>
  <c r="S34" i="1"/>
  <c r="E34" i="1"/>
  <c r="F34" i="1"/>
  <c r="C34" i="1"/>
  <c r="Q34" i="1"/>
  <c r="Z23" i="1"/>
  <c r="AB41" i="1" s="1"/>
  <c r="Z16" i="1"/>
  <c r="Z15" i="1"/>
  <c r="Z17" i="1"/>
  <c r="AB15" i="1" l="1"/>
  <c r="Z24" i="1"/>
  <c r="AB42" i="1" s="1"/>
  <c r="AB17" i="1"/>
  <c r="Z26" i="1"/>
  <c r="AB44" i="1" s="1"/>
  <c r="AB16" i="1"/>
  <c r="Z25" i="1"/>
  <c r="AB43" i="1" s="1"/>
  <c r="Z18" i="1"/>
  <c r="AB18" i="1" l="1"/>
  <c r="Z27" i="1"/>
  <c r="AB45" i="1" s="1"/>
  <c r="Z19" i="1"/>
  <c r="AB19" i="1" l="1"/>
  <c r="Z28" i="1"/>
  <c r="Z20" i="1"/>
  <c r="AB20" i="1" l="1"/>
  <c r="Z29" i="1"/>
  <c r="Z21" i="1"/>
  <c r="AB21" i="1" l="1"/>
  <c r="Z30" i="1"/>
  <c r="Z22" i="1"/>
  <c r="AB22" i="1" l="1"/>
  <c r="Z31" i="1"/>
  <c r="AB40" i="1" s="1"/>
  <c r="AB23" i="1"/>
  <c r="AB24" i="1" l="1"/>
  <c r="AB25" i="1" l="1"/>
  <c r="E21" i="2" s="1"/>
  <c r="AB26" i="1" l="1"/>
  <c r="AB27" i="1" l="1"/>
  <c r="AB28" i="1" l="1"/>
  <c r="E24" i="2" s="1"/>
  <c r="AB29" i="1" l="1"/>
  <c r="E25" i="2" s="1"/>
  <c r="AB30" i="1" l="1"/>
  <c r="E26" i="2" s="1"/>
  <c r="AB31" i="1" l="1"/>
  <c r="E27" i="2" s="1"/>
  <c r="AB32" i="1" l="1"/>
  <c r="E28" i="2" l="1"/>
  <c r="AB33" i="1"/>
  <c r="E29" i="2" s="1"/>
  <c r="AB34" i="1" l="1"/>
  <c r="E30" i="2" l="1"/>
  <c r="AB35" i="1"/>
  <c r="AB47" i="1" l="1"/>
</calcChain>
</file>

<file path=xl/sharedStrings.xml><?xml version="1.0" encoding="utf-8"?>
<sst xmlns="http://schemas.openxmlformats.org/spreadsheetml/2006/main" count="53" uniqueCount="50">
  <si>
    <t>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</si>
  <si>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</si>
  <si>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</si>
  <si>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</si>
  <si>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</si>
  <si>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</si>
  <si>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</si>
  <si>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</si>
  <si>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</si>
  <si>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</si>
  <si>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</si>
  <si>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</si>
  <si>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</si>
  <si>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</si>
  <si>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</si>
  <si>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</si>
  <si>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</si>
  <si>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</si>
  <si>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</si>
  <si>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</si>
  <si>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</si>
  <si>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</si>
  <si>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</si>
  <si>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</si>
  <si>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</si>
  <si>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</si>
  <si>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</si>
  <si>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 MES</t>
  </si>
  <si>
    <t>Total producto</t>
  </si>
  <si>
    <t>ANEXO 4. FORMATO DE OFERTA - PRODUCTO 1</t>
  </si>
  <si>
    <t>NOMBRE DEL OFERENTE</t>
  </si>
  <si>
    <t>Precios y cantidades de la energía ofertada</t>
  </si>
  <si>
    <t>E. Solicitada
[kWh-mes]</t>
  </si>
  <si>
    <t>% E. Ofertado</t>
  </si>
  <si>
    <t>E. Ofertada
[kWh]</t>
  </si>
  <si>
    <t>$/kWh</t>
  </si>
  <si>
    <t>TOTAL</t>
  </si>
  <si>
    <t>El oferente debe indicar si acepta adjudicaciones parciales o no</t>
  </si>
  <si>
    <t>Representante legal</t>
  </si>
  <si>
    <t>Nombre Oferente</t>
  </si>
  <si>
    <t>EMSEROCCIDENTE SA ESP</t>
  </si>
  <si>
    <t>PRODUCTO 1 - PAGUE LO DEMANDADO CON TOPO</t>
  </si>
  <si>
    <t>TOPE MAXIMO</t>
  </si>
  <si>
    <t>ANEXO 3A - CANTIDADES DE  ENERGÍA SOLICITADA EN kWh</t>
  </si>
  <si>
    <t>OFERTA PRODUCTO 1</t>
  </si>
  <si>
    <t>No se aceptan ofertas con diferente porcentaje cada mes.</t>
  </si>
  <si>
    <t>• El precio ofertado puede ser diferente para cada año,  los precios se deben presentar en $/kWh, con hasta dos (2) decimales.</t>
  </si>
  <si>
    <t>Periodo: 1 de abril 2026  al 31 diciembre de 2028</t>
  </si>
  <si>
    <t>CONVOCATORIA PÚBLICA N° CP-ESOC2026-001</t>
  </si>
  <si>
    <t>En Pesos de Enero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</si>
</sst>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  <numFmt numFmtId="168" formatCode="_-* #,##0_-;\-* #,##0_-;_-* &quot;-&quot;??_-;_-@_-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Din-regular"/>
    </font>
    <font>
      <sz val="10"/>
      <color theme="1"/>
      <name val="Din-regula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17" fontId="4" fillId="0" borderId="1" xfId="0" applyNumberFormat="1" applyFont="1" applyBorder="1"/>
    <xf numFmtId="164" fontId="4" fillId="0" borderId="1" xfId="0" applyNumberFormat="1" applyFont="1" applyBorder="1"/>
    <xf numFmtId="0" fontId="7" fillId="0" borderId="0" xfId="0" applyFont="1"/>
    <xf numFmtId="0" fontId="9" fillId="0" borderId="0" xfId="0" applyFont="1" applyAlignment="1">
      <alignment horizontal="center"/>
    </xf>
    <xf numFmtId="4" fontId="11" fillId="0" borderId="0" xfId="0" applyNumberFormat="1" applyFont="1"/>
    <xf numFmtId="0" fontId="4" fillId="0" borderId="3" xfId="0" applyFont="1" applyBorder="1"/>
    <xf numFmtId="0" fontId="4" fillId="0" borderId="4" xfId="0" applyFont="1" applyBorder="1"/>
    <xf numFmtId="43" fontId="4" fillId="0" borderId="1" xfId="1" applyFont="1" applyBorder="1"/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17" fontId="4" fillId="0" borderId="1" xfId="0" applyNumberFormat="1" applyFont="1" applyFill="1" applyBorder="1"/>
    <xf numFmtId="3" fontId="2" fillId="0" borderId="2" xfId="0" applyNumberFormat="1" applyFont="1" applyFill="1" applyBorder="1" applyAlignment="1">
      <alignment horizontal="center"/>
    </xf>
    <xf numFmtId="0" fontId="0" fillId="0" borderId="0" xfId="0" applyFill="1"/>
    <xf numFmtId="43" fontId="4" fillId="0" borderId="1" xfId="1" applyFont="1" applyFill="1" applyBorder="1"/>
    <xf numFmtId="164" fontId="4" fillId="0" borderId="1" xfId="0" applyNumberFormat="1" applyFont="1" applyFill="1" applyBorder="1"/>
    <xf numFmtId="164" fontId="4" fillId="0" borderId="1" xfId="0" applyNumberFormat="1" applyFont="1" applyBorder="1" applyAlignment="1">
      <alignment horizontal="center" vertical="top"/>
    </xf>
    <xf numFmtId="168" fontId="4" fillId="0" borderId="1" xfId="1" applyNumberFormat="1" applyFont="1" applyBorder="1"/>
    <xf numFmtId="43" fontId="4" fillId="0" borderId="1" xfId="1" applyNumberFormat="1" applyFont="1" applyBorder="1"/>
    <xf numFmtId="164" fontId="4" fillId="0" borderId="6" xfId="0" applyNumberFormat="1" applyFont="1" applyBorder="1" applyAlignment="1">
      <alignment horizontal="center" vertical="top"/>
    </xf>
    <xf numFmtId="164" fontId="4" fillId="0" borderId="6" xfId="0" applyNumberFormat="1" applyFont="1" applyBorder="1"/>
    <xf numFmtId="0" fontId="6" fillId="0" borderId="5" xfId="0" applyFont="1" applyBorder="1"/>
    <xf numFmtId="164" fontId="5" fillId="0" borderId="5" xfId="0" applyNumberFormat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8" fontId="4" fillId="0" borderId="0" xfId="1" applyNumberFormat="1" applyFont="1" applyAlignment="1">
      <alignment vertical="center"/>
    </xf>
    <xf numFmtId="168" fontId="3" fillId="0" borderId="0" xfId="1" applyNumberFormat="1" applyFont="1" applyAlignment="1">
      <alignment vertical="center"/>
    </xf>
    <xf numFmtId="168" fontId="2" fillId="2" borderId="2" xfId="1" applyNumberFormat="1" applyFont="1" applyFill="1" applyBorder="1" applyAlignment="1">
      <alignment vertical="center"/>
    </xf>
    <xf numFmtId="168" fontId="4" fillId="0" borderId="1" xfId="1" applyNumberFormat="1" applyFont="1" applyFill="1" applyBorder="1"/>
    <xf numFmtId="168" fontId="4" fillId="0" borderId="1" xfId="1" applyNumberFormat="1" applyFont="1" applyFill="1" applyBorder="1" applyAlignment="1">
      <alignment vertical="center"/>
    </xf>
    <xf numFmtId="168" fontId="4" fillId="0" borderId="1" xfId="1" applyNumberFormat="1" applyFont="1" applyBorder="1" applyAlignment="1">
      <alignment vertical="center"/>
    </xf>
    <xf numFmtId="168" fontId="5" fillId="0" borderId="5" xfId="1" applyNumberFormat="1" applyFont="1" applyBorder="1"/>
    <xf numFmtId="168" fontId="0" fillId="0" borderId="0" xfId="1" applyNumberFormat="1" applyFont="1" applyAlignment="1">
      <alignment vertical="center"/>
    </xf>
    <xf numFmtId="0" fontId="8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65" fontId="9" fillId="3" borderId="5" xfId="0" applyNumberFormat="1" applyFont="1" applyFill="1" applyBorder="1" applyAlignment="1">
      <alignment horizontal="center" vertical="center" wrapText="1"/>
    </xf>
    <xf numFmtId="17" fontId="9" fillId="0" borderId="5" xfId="0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65" fontId="10" fillId="0" borderId="5" xfId="0" applyNumberFormat="1" applyFont="1" applyBorder="1" applyAlignment="1">
      <alignment wrapText="1"/>
    </xf>
    <xf numFmtId="17" fontId="9" fillId="4" borderId="5" xfId="0" applyNumberFormat="1" applyFont="1" applyFill="1" applyBorder="1" applyAlignment="1">
      <alignment horizontal="left" vertical="center"/>
    </xf>
    <xf numFmtId="166" fontId="9" fillId="4" borderId="5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/>
    <xf numFmtId="165" fontId="9" fillId="4" borderId="5" xfId="0" applyNumberFormat="1" applyFont="1" applyFill="1" applyBorder="1" applyAlignment="1">
      <alignment wrapText="1"/>
    </xf>
    <xf numFmtId="0" fontId="7" fillId="4" borderId="5" xfId="0" applyFont="1" applyFill="1" applyBorder="1"/>
  </cellXfs>
  <cellStyles count="3">
    <cellStyle name="Millares" xfId="1" builtinId="3"/>
    <cellStyle name="Normal" xfId="0" builtinId="0"/>
    <cellStyle name="Normal 2" xfId="2" xr:uid="{A2B2491D-24A0-441F-A861-4E5B04D5A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4"/>
  <sheetViews>
    <sheetView workbookViewId="0">
      <pane xSplit="1" ySplit="7" topLeftCell="U8" activePane="bottomRight" state="frozen"/>
      <selection pane="topRight" activeCell="B1" sqref="B1"/>
      <selection pane="bottomLeft" activeCell="A7" sqref="A7"/>
      <selection pane="bottomRight" activeCell="K6" sqref="K6"/>
    </sheetView>
  </sheetViews>
  <sheetFormatPr baseColWidth="10" defaultColWidth="14.453125" defaultRowHeight="15" customHeight="1"/>
  <cols>
    <col min="1" max="3" width="10.7265625" customWidth="1"/>
    <col min="4" max="4" width="11.26953125" customWidth="1"/>
    <col min="5" max="25" width="10.7265625" customWidth="1"/>
    <col min="26" max="26" width="12.26953125" style="45" customWidth="1"/>
    <col min="27" max="27" width="6.26953125" customWidth="1"/>
    <col min="28" max="28" width="12.7265625" customWidth="1"/>
  </cols>
  <sheetData>
    <row r="1" spans="1:28" ht="15" customHeight="1">
      <c r="A1" s="14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>
      <c r="A2" s="14" t="s">
        <v>43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14.25" customHeight="1">
      <c r="A3" s="14" t="s">
        <v>41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14.25" customHeight="1">
      <c r="A4" s="14" t="s">
        <v>47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14.25" customHeight="1">
      <c r="A5" s="14" t="s">
        <v>48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14.25" customHeight="1">
      <c r="A6" s="1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8"/>
      <c r="AA6" s="3"/>
    </row>
    <row r="7" spans="1:28" ht="14.25" customHeight="1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8"/>
      <c r="AA7" s="3"/>
    </row>
    <row r="8" spans="1:28" ht="14.25" customHeight="1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39"/>
      <c r="AA8" s="1"/>
    </row>
    <row r="9" spans="1:28" ht="14.25" customHeight="1">
      <c r="A9" s="16" t="s">
        <v>42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14.25" customHeight="1">
      <c r="A10" s="12" t="s">
        <v>0</v>
      </c>
      <c r="B10" s="13" t="s">
        <v>1</v>
      </c>
      <c r="C10" s="13" t="s">
        <v>2</v>
      </c>
      <c r="D10" s="13" t="s">
        <v>3</v>
      </c>
      <c r="E10" s="13" t="s">
        <v>4</v>
      </c>
      <c r="F10" s="13" t="s">
        <v>5</v>
      </c>
      <c r="G10" s="13" t="s">
        <v>6</v>
      </c>
      <c r="H10" s="13" t="s">
        <v>7</v>
      </c>
      <c r="I10" s="13" t="s">
        <v>8</v>
      </c>
      <c r="J10" s="13" t="s">
        <v>9</v>
      </c>
      <c r="K10" s="13" t="s">
        <v>10</v>
      </c>
      <c r="L10" s="13" t="s">
        <v>11</v>
      </c>
      <c r="M10" s="13" t="s">
        <v>12</v>
      </c>
      <c r="N10" s="13" t="s">
        <v>13</v>
      </c>
      <c r="O10" s="13" t="s">
        <v>14</v>
      </c>
      <c r="P10" s="13" t="s">
        <v>15</v>
      </c>
      <c r="Q10" s="13" t="s">
        <v>16</v>
      </c>
      <c r="R10" s="13" t="s">
        <v>17</v>
      </c>
      <c r="S10" s="13" t="s">
        <v>18</v>
      </c>
      <c r="T10" s="13" t="s">
        <v>19</v>
      </c>
      <c r="U10" s="13" t="s">
        <v>20</v>
      </c>
      <c r="V10" s="13" t="s">
        <v>21</v>
      </c>
      <c r="W10" s="13" t="s">
        <v>22</v>
      </c>
      <c r="X10" s="13" t="s">
        <v>23</v>
      </c>
      <c r="Y10" s="13" t="s">
        <v>24</v>
      </c>
      <c r="Z10" s="40" t="s">
        <v>25</v>
      </c>
      <c r="AA10" s="13" t="s">
        <v>26</v>
      </c>
      <c r="AB10" s="13" t="s">
        <v>27</v>
      </c>
    </row>
    <row r="11" spans="1:28" s="25" customFormat="1" ht="14.25" customHeight="1">
      <c r="A11" s="23">
        <v>46023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41">
        <v>0</v>
      </c>
      <c r="AA11" s="28">
        <v>31</v>
      </c>
      <c r="AB11" s="24"/>
    </row>
    <row r="12" spans="1:28" s="25" customFormat="1" ht="14.25" customHeight="1">
      <c r="A12" s="23">
        <v>46054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41">
        <v>0</v>
      </c>
      <c r="AA12" s="28">
        <v>28</v>
      </c>
      <c r="AB12" s="24"/>
    </row>
    <row r="13" spans="1:28" s="25" customFormat="1" ht="14.25" customHeight="1">
      <c r="A13" s="23">
        <v>46082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41">
        <v>0</v>
      </c>
      <c r="AA13" s="28">
        <v>21</v>
      </c>
      <c r="AB13" s="24"/>
    </row>
    <row r="14" spans="1:28" s="25" customFormat="1" ht="14.25" customHeight="1">
      <c r="A14" s="23">
        <v>46113</v>
      </c>
      <c r="B14" s="26">
        <v>628.89333333333332</v>
      </c>
      <c r="C14" s="26">
        <v>556.16</v>
      </c>
      <c r="D14" s="26">
        <v>549.62</v>
      </c>
      <c r="E14" s="26">
        <v>535.66999999999996</v>
      </c>
      <c r="F14" s="26">
        <v>529.48666666666668</v>
      </c>
      <c r="G14" s="26">
        <v>530.71999999999991</v>
      </c>
      <c r="H14" s="26">
        <v>547.70666666666671</v>
      </c>
      <c r="I14" s="26">
        <v>602.52666666666664</v>
      </c>
      <c r="J14" s="26">
        <v>654.27999999999986</v>
      </c>
      <c r="K14" s="26">
        <v>687.8366666666667</v>
      </c>
      <c r="L14" s="26">
        <v>705.46999999999991</v>
      </c>
      <c r="M14" s="26">
        <v>735.98666666666668</v>
      </c>
      <c r="N14" s="26">
        <v>751.29</v>
      </c>
      <c r="O14" s="26">
        <v>757.0233333333332</v>
      </c>
      <c r="P14" s="26">
        <v>754.65000000000009</v>
      </c>
      <c r="Q14" s="26">
        <v>744.20666666666659</v>
      </c>
      <c r="R14" s="26">
        <v>744.25666666666666</v>
      </c>
      <c r="S14" s="26">
        <v>758.62666666666667</v>
      </c>
      <c r="T14" s="26">
        <v>833.75666666666666</v>
      </c>
      <c r="U14" s="26">
        <v>858.89666666666665</v>
      </c>
      <c r="V14" s="26">
        <v>834.07666666666671</v>
      </c>
      <c r="W14" s="26">
        <v>773.40333333333331</v>
      </c>
      <c r="X14" s="26">
        <v>694.23666666666668</v>
      </c>
      <c r="Y14" s="26">
        <v>635.95333333333338</v>
      </c>
      <c r="Z14" s="42">
        <f t="shared" ref="Z14:Z22" si="0">SUM(B14:Y14)</f>
        <v>16404.733333333334</v>
      </c>
      <c r="AA14" s="28">
        <v>30</v>
      </c>
      <c r="AB14" s="27">
        <f t="shared" ref="AB14:AB46" si="1">Z14*AA14</f>
        <v>492142</v>
      </c>
    </row>
    <row r="15" spans="1:28" ht="14.25" customHeight="1">
      <c r="A15" s="4">
        <v>46143</v>
      </c>
      <c r="B15" s="11">
        <v>628.89333333333332</v>
      </c>
      <c r="C15" s="11">
        <v>556.16</v>
      </c>
      <c r="D15" s="11">
        <v>549.62</v>
      </c>
      <c r="E15" s="11">
        <v>535.66999999999996</v>
      </c>
      <c r="F15" s="11">
        <v>529.48666666666668</v>
      </c>
      <c r="G15" s="11">
        <v>530.71999999999991</v>
      </c>
      <c r="H15" s="11">
        <v>547.70666666666671</v>
      </c>
      <c r="I15" s="11">
        <v>602.52666666666664</v>
      </c>
      <c r="J15" s="11">
        <v>654.27999999999986</v>
      </c>
      <c r="K15" s="11">
        <v>687.8366666666667</v>
      </c>
      <c r="L15" s="11">
        <v>705.46999999999991</v>
      </c>
      <c r="M15" s="11">
        <v>735.98666666666668</v>
      </c>
      <c r="N15" s="11">
        <v>751.29</v>
      </c>
      <c r="O15" s="11">
        <v>757.0233333333332</v>
      </c>
      <c r="P15" s="11">
        <v>754.65000000000009</v>
      </c>
      <c r="Q15" s="11">
        <v>744.20666666666659</v>
      </c>
      <c r="R15" s="11">
        <v>744.25666666666666</v>
      </c>
      <c r="S15" s="11">
        <v>758.62666666666667</v>
      </c>
      <c r="T15" s="11">
        <v>833.75666666666666</v>
      </c>
      <c r="U15" s="11">
        <v>858.89666666666665</v>
      </c>
      <c r="V15" s="11">
        <v>834.07666666666671</v>
      </c>
      <c r="W15" s="11">
        <v>773.40333333333331</v>
      </c>
      <c r="X15" s="11">
        <v>694.23666666666668</v>
      </c>
      <c r="Y15" s="11">
        <v>635.95333333333338</v>
      </c>
      <c r="Z15" s="43">
        <f t="shared" si="0"/>
        <v>16404.733333333334</v>
      </c>
      <c r="AA15" s="28">
        <v>31</v>
      </c>
      <c r="AB15" s="5">
        <f t="shared" si="1"/>
        <v>508546.73333333334</v>
      </c>
    </row>
    <row r="16" spans="1:28" ht="14.25" customHeight="1">
      <c r="A16" s="4">
        <v>46174</v>
      </c>
      <c r="B16" s="11">
        <v>628.89333333333332</v>
      </c>
      <c r="C16" s="11">
        <v>556.16</v>
      </c>
      <c r="D16" s="11">
        <v>549.62</v>
      </c>
      <c r="E16" s="11">
        <v>535.66999999999996</v>
      </c>
      <c r="F16" s="11">
        <v>529.48666666666668</v>
      </c>
      <c r="G16" s="11">
        <v>530.71999999999991</v>
      </c>
      <c r="H16" s="11">
        <v>547.70666666666671</v>
      </c>
      <c r="I16" s="11">
        <v>602.52666666666664</v>
      </c>
      <c r="J16" s="11">
        <v>654.27999999999986</v>
      </c>
      <c r="K16" s="11">
        <v>687.8366666666667</v>
      </c>
      <c r="L16" s="11">
        <v>705.46999999999991</v>
      </c>
      <c r="M16" s="11">
        <v>735.98666666666668</v>
      </c>
      <c r="N16" s="11">
        <v>751.29</v>
      </c>
      <c r="O16" s="11">
        <v>757.0233333333332</v>
      </c>
      <c r="P16" s="11">
        <v>754.65000000000009</v>
      </c>
      <c r="Q16" s="11">
        <v>744.20666666666659</v>
      </c>
      <c r="R16" s="11">
        <v>744.25666666666666</v>
      </c>
      <c r="S16" s="11">
        <v>758.62666666666667</v>
      </c>
      <c r="T16" s="11">
        <v>833.75666666666666</v>
      </c>
      <c r="U16" s="11">
        <v>858.89666666666665</v>
      </c>
      <c r="V16" s="11">
        <v>834.07666666666671</v>
      </c>
      <c r="W16" s="11">
        <v>773.40333333333331</v>
      </c>
      <c r="X16" s="11">
        <v>694.23666666666668</v>
      </c>
      <c r="Y16" s="11">
        <v>635.95333333333338</v>
      </c>
      <c r="Z16" s="43">
        <f t="shared" si="0"/>
        <v>16404.733333333334</v>
      </c>
      <c r="AA16" s="28">
        <v>30</v>
      </c>
      <c r="AB16" s="5">
        <f t="shared" si="1"/>
        <v>492142</v>
      </c>
    </row>
    <row r="17" spans="1:28" ht="14.25" customHeight="1">
      <c r="A17" s="4">
        <v>46204</v>
      </c>
      <c r="B17" s="11">
        <v>628.89333333333332</v>
      </c>
      <c r="C17" s="11">
        <v>556.16</v>
      </c>
      <c r="D17" s="11">
        <v>549.62</v>
      </c>
      <c r="E17" s="11">
        <v>535.66999999999996</v>
      </c>
      <c r="F17" s="11">
        <v>529.48666666666668</v>
      </c>
      <c r="G17" s="11">
        <v>530.71999999999991</v>
      </c>
      <c r="H17" s="11">
        <v>547.70666666666671</v>
      </c>
      <c r="I17" s="11">
        <v>602.52666666666664</v>
      </c>
      <c r="J17" s="11">
        <v>654.27999999999986</v>
      </c>
      <c r="K17" s="11">
        <v>687.8366666666667</v>
      </c>
      <c r="L17" s="11">
        <v>705.46999999999991</v>
      </c>
      <c r="M17" s="11">
        <v>735.98666666666668</v>
      </c>
      <c r="N17" s="11">
        <v>751.29</v>
      </c>
      <c r="O17" s="11">
        <v>757.0233333333332</v>
      </c>
      <c r="P17" s="11">
        <v>754.65000000000009</v>
      </c>
      <c r="Q17" s="11">
        <v>744.20666666666659</v>
      </c>
      <c r="R17" s="11">
        <v>744.25666666666666</v>
      </c>
      <c r="S17" s="11">
        <v>758.62666666666667</v>
      </c>
      <c r="T17" s="11">
        <v>833.75666666666666</v>
      </c>
      <c r="U17" s="11">
        <v>858.89666666666665</v>
      </c>
      <c r="V17" s="11">
        <v>834.07666666666671</v>
      </c>
      <c r="W17" s="11">
        <v>773.40333333333331</v>
      </c>
      <c r="X17" s="11">
        <v>694.23666666666668</v>
      </c>
      <c r="Y17" s="11">
        <v>635.95333333333338</v>
      </c>
      <c r="Z17" s="43">
        <f t="shared" si="0"/>
        <v>16404.733333333334</v>
      </c>
      <c r="AA17" s="28">
        <v>31</v>
      </c>
      <c r="AB17" s="5">
        <f t="shared" si="1"/>
        <v>508546.73333333334</v>
      </c>
    </row>
    <row r="18" spans="1:28" ht="14.25" customHeight="1">
      <c r="A18" s="4">
        <v>46235</v>
      </c>
      <c r="B18" s="11">
        <v>628.89333333333332</v>
      </c>
      <c r="C18" s="11">
        <v>556.16</v>
      </c>
      <c r="D18" s="11">
        <v>549.62</v>
      </c>
      <c r="E18" s="11">
        <v>535.66999999999996</v>
      </c>
      <c r="F18" s="11">
        <v>529.48666666666668</v>
      </c>
      <c r="G18" s="11">
        <v>530.71999999999991</v>
      </c>
      <c r="H18" s="11">
        <v>547.70666666666671</v>
      </c>
      <c r="I18" s="11">
        <v>602.52666666666664</v>
      </c>
      <c r="J18" s="11">
        <v>654.27999999999986</v>
      </c>
      <c r="K18" s="11">
        <v>687.8366666666667</v>
      </c>
      <c r="L18" s="11">
        <v>705.46999999999991</v>
      </c>
      <c r="M18" s="11">
        <v>735.98666666666668</v>
      </c>
      <c r="N18" s="11">
        <v>751.29</v>
      </c>
      <c r="O18" s="11">
        <v>757.0233333333332</v>
      </c>
      <c r="P18" s="11">
        <v>754.65000000000009</v>
      </c>
      <c r="Q18" s="11">
        <v>744.20666666666659</v>
      </c>
      <c r="R18" s="11">
        <v>744.25666666666666</v>
      </c>
      <c r="S18" s="11">
        <v>758.62666666666667</v>
      </c>
      <c r="T18" s="11">
        <v>833.75666666666666</v>
      </c>
      <c r="U18" s="11">
        <v>858.89666666666665</v>
      </c>
      <c r="V18" s="11">
        <v>834.07666666666671</v>
      </c>
      <c r="W18" s="11">
        <v>773.40333333333331</v>
      </c>
      <c r="X18" s="11">
        <v>694.23666666666668</v>
      </c>
      <c r="Y18" s="11">
        <v>635.95333333333338</v>
      </c>
      <c r="Z18" s="43">
        <f t="shared" si="0"/>
        <v>16404.733333333334</v>
      </c>
      <c r="AA18" s="28">
        <v>31</v>
      </c>
      <c r="AB18" s="5">
        <f t="shared" si="1"/>
        <v>508546.73333333334</v>
      </c>
    </row>
    <row r="19" spans="1:28" ht="14.25" customHeight="1">
      <c r="A19" s="4">
        <v>46266</v>
      </c>
      <c r="B19" s="11">
        <v>628.89333333333332</v>
      </c>
      <c r="C19" s="11">
        <v>556.16</v>
      </c>
      <c r="D19" s="11">
        <v>549.62</v>
      </c>
      <c r="E19" s="11">
        <v>535.66999999999996</v>
      </c>
      <c r="F19" s="11">
        <v>529.48666666666668</v>
      </c>
      <c r="G19" s="11">
        <v>530.71999999999991</v>
      </c>
      <c r="H19" s="11">
        <v>547.70666666666671</v>
      </c>
      <c r="I19" s="11">
        <v>602.52666666666664</v>
      </c>
      <c r="J19" s="11">
        <v>654.27999999999986</v>
      </c>
      <c r="K19" s="11">
        <v>687.8366666666667</v>
      </c>
      <c r="L19" s="11">
        <v>705.46999999999991</v>
      </c>
      <c r="M19" s="11">
        <v>735.98666666666668</v>
      </c>
      <c r="N19" s="11">
        <v>751.29</v>
      </c>
      <c r="O19" s="11">
        <v>757.0233333333332</v>
      </c>
      <c r="P19" s="11">
        <v>754.65000000000009</v>
      </c>
      <c r="Q19" s="11">
        <v>744.20666666666659</v>
      </c>
      <c r="R19" s="11">
        <v>744.25666666666666</v>
      </c>
      <c r="S19" s="11">
        <v>758.62666666666667</v>
      </c>
      <c r="T19" s="11">
        <v>833.75666666666666</v>
      </c>
      <c r="U19" s="11">
        <v>858.89666666666665</v>
      </c>
      <c r="V19" s="11">
        <v>834.07666666666671</v>
      </c>
      <c r="W19" s="11">
        <v>773.40333333333331</v>
      </c>
      <c r="X19" s="11">
        <v>694.23666666666668</v>
      </c>
      <c r="Y19" s="11">
        <v>635.95333333333338</v>
      </c>
      <c r="Z19" s="43">
        <f t="shared" si="0"/>
        <v>16404.733333333334</v>
      </c>
      <c r="AA19" s="28">
        <v>30</v>
      </c>
      <c r="AB19" s="5">
        <f t="shared" si="1"/>
        <v>492142</v>
      </c>
    </row>
    <row r="20" spans="1:28" ht="14.25" customHeight="1">
      <c r="A20" s="4">
        <v>46296</v>
      </c>
      <c r="B20" s="11">
        <v>628.89333333333332</v>
      </c>
      <c r="C20" s="11">
        <v>556.16</v>
      </c>
      <c r="D20" s="11">
        <v>549.62</v>
      </c>
      <c r="E20" s="11">
        <v>535.66999999999996</v>
      </c>
      <c r="F20" s="11">
        <v>529.48666666666668</v>
      </c>
      <c r="G20" s="11">
        <v>530.71999999999991</v>
      </c>
      <c r="H20" s="11">
        <v>547.70666666666671</v>
      </c>
      <c r="I20" s="11">
        <v>602.52666666666664</v>
      </c>
      <c r="J20" s="11">
        <v>654.27999999999986</v>
      </c>
      <c r="K20" s="11">
        <v>687.8366666666667</v>
      </c>
      <c r="L20" s="11">
        <v>705.46999999999991</v>
      </c>
      <c r="M20" s="11">
        <v>735.98666666666668</v>
      </c>
      <c r="N20" s="11">
        <v>751.29</v>
      </c>
      <c r="O20" s="11">
        <v>757.0233333333332</v>
      </c>
      <c r="P20" s="11">
        <v>754.65000000000009</v>
      </c>
      <c r="Q20" s="11">
        <v>744.20666666666659</v>
      </c>
      <c r="R20" s="11">
        <v>744.25666666666666</v>
      </c>
      <c r="S20" s="11">
        <v>758.62666666666667</v>
      </c>
      <c r="T20" s="11">
        <v>833.75666666666666</v>
      </c>
      <c r="U20" s="11">
        <v>858.89666666666665</v>
      </c>
      <c r="V20" s="11">
        <v>834.07666666666671</v>
      </c>
      <c r="W20" s="11">
        <v>773.40333333333331</v>
      </c>
      <c r="X20" s="11">
        <v>694.23666666666668</v>
      </c>
      <c r="Y20" s="11">
        <v>635.95333333333338</v>
      </c>
      <c r="Z20" s="43">
        <f t="shared" si="0"/>
        <v>16404.733333333334</v>
      </c>
      <c r="AA20" s="28">
        <v>31</v>
      </c>
      <c r="AB20" s="5">
        <f t="shared" si="1"/>
        <v>508546.73333333334</v>
      </c>
    </row>
    <row r="21" spans="1:28" ht="14.25" customHeight="1">
      <c r="A21" s="4">
        <v>46327</v>
      </c>
      <c r="B21" s="11">
        <v>628.89333333333332</v>
      </c>
      <c r="C21" s="11">
        <v>556.16</v>
      </c>
      <c r="D21" s="11">
        <v>549.62</v>
      </c>
      <c r="E21" s="11">
        <v>535.66999999999996</v>
      </c>
      <c r="F21" s="11">
        <v>529.48666666666668</v>
      </c>
      <c r="G21" s="11">
        <v>530.71999999999991</v>
      </c>
      <c r="H21" s="11">
        <v>547.70666666666671</v>
      </c>
      <c r="I21" s="11">
        <v>602.52666666666664</v>
      </c>
      <c r="J21" s="11">
        <v>654.27999999999986</v>
      </c>
      <c r="K21" s="11">
        <v>687.8366666666667</v>
      </c>
      <c r="L21" s="11">
        <v>705.46999999999991</v>
      </c>
      <c r="M21" s="11">
        <v>735.98666666666668</v>
      </c>
      <c r="N21" s="11">
        <v>751.29</v>
      </c>
      <c r="O21" s="11">
        <v>757.0233333333332</v>
      </c>
      <c r="P21" s="11">
        <v>754.65000000000009</v>
      </c>
      <c r="Q21" s="11">
        <v>744.20666666666659</v>
      </c>
      <c r="R21" s="11">
        <v>744.25666666666666</v>
      </c>
      <c r="S21" s="11">
        <v>758.62666666666667</v>
      </c>
      <c r="T21" s="11">
        <v>833.75666666666666</v>
      </c>
      <c r="U21" s="11">
        <v>858.89666666666665</v>
      </c>
      <c r="V21" s="11">
        <v>834.07666666666671</v>
      </c>
      <c r="W21" s="11">
        <v>773.40333333333331</v>
      </c>
      <c r="X21" s="11">
        <v>694.23666666666668</v>
      </c>
      <c r="Y21" s="11">
        <v>635.95333333333338</v>
      </c>
      <c r="Z21" s="43">
        <f t="shared" si="0"/>
        <v>16404.733333333334</v>
      </c>
      <c r="AA21" s="28">
        <v>30</v>
      </c>
      <c r="AB21" s="5">
        <f t="shared" si="1"/>
        <v>492142</v>
      </c>
    </row>
    <row r="22" spans="1:28" ht="14.25" customHeight="1">
      <c r="A22" s="4">
        <v>46357</v>
      </c>
      <c r="B22" s="11">
        <v>628.89333333333332</v>
      </c>
      <c r="C22" s="11">
        <v>556.16</v>
      </c>
      <c r="D22" s="11">
        <v>549.62</v>
      </c>
      <c r="E22" s="11">
        <v>535.66999999999996</v>
      </c>
      <c r="F22" s="11">
        <v>529.48666666666668</v>
      </c>
      <c r="G22" s="11">
        <v>530.71999999999991</v>
      </c>
      <c r="H22" s="11">
        <v>547.70666666666671</v>
      </c>
      <c r="I22" s="11">
        <v>602.52666666666664</v>
      </c>
      <c r="J22" s="11">
        <v>654.27999999999986</v>
      </c>
      <c r="K22" s="11">
        <v>687.8366666666667</v>
      </c>
      <c r="L22" s="11">
        <v>705.46999999999991</v>
      </c>
      <c r="M22" s="11">
        <v>735.98666666666668</v>
      </c>
      <c r="N22" s="11">
        <v>751.29</v>
      </c>
      <c r="O22" s="11">
        <v>757.0233333333332</v>
      </c>
      <c r="P22" s="11">
        <v>754.65000000000009</v>
      </c>
      <c r="Q22" s="11">
        <v>744.20666666666659</v>
      </c>
      <c r="R22" s="11">
        <v>744.25666666666666</v>
      </c>
      <c r="S22" s="11">
        <v>758.62666666666667</v>
      </c>
      <c r="T22" s="11">
        <v>833.75666666666666</v>
      </c>
      <c r="U22" s="11">
        <v>858.89666666666665</v>
      </c>
      <c r="V22" s="11">
        <v>834.07666666666671</v>
      </c>
      <c r="W22" s="11">
        <v>773.40333333333331</v>
      </c>
      <c r="X22" s="11">
        <v>694.23666666666668</v>
      </c>
      <c r="Y22" s="11">
        <v>635.95333333333338</v>
      </c>
      <c r="Z22" s="43">
        <f t="shared" si="0"/>
        <v>16404.733333333334</v>
      </c>
      <c r="AA22" s="28">
        <v>31</v>
      </c>
      <c r="AB22" s="5">
        <f t="shared" si="1"/>
        <v>508546.73333333334</v>
      </c>
    </row>
    <row r="23" spans="1:28" ht="14.25" customHeight="1">
      <c r="A23" s="4">
        <v>46388</v>
      </c>
      <c r="B23" s="30">
        <f>+B14*1.002</f>
        <v>630.15111999999999</v>
      </c>
      <c r="C23" s="30">
        <f t="shared" ref="C23:Z23" si="2">+C14*1.002</f>
        <v>557.27231999999992</v>
      </c>
      <c r="D23" s="30">
        <f t="shared" si="2"/>
        <v>550.71924000000001</v>
      </c>
      <c r="E23" s="30">
        <f t="shared" si="2"/>
        <v>536.74133999999992</v>
      </c>
      <c r="F23" s="30">
        <f t="shared" si="2"/>
        <v>530.54564000000005</v>
      </c>
      <c r="G23" s="30">
        <f t="shared" si="2"/>
        <v>531.78143999999986</v>
      </c>
      <c r="H23" s="30">
        <f t="shared" si="2"/>
        <v>548.80208000000005</v>
      </c>
      <c r="I23" s="30">
        <f t="shared" si="2"/>
        <v>603.73172</v>
      </c>
      <c r="J23" s="30">
        <f t="shared" si="2"/>
        <v>655.58855999999992</v>
      </c>
      <c r="K23" s="30">
        <f t="shared" si="2"/>
        <v>689.21234000000004</v>
      </c>
      <c r="L23" s="30">
        <f t="shared" si="2"/>
        <v>706.8809399999999</v>
      </c>
      <c r="M23" s="30">
        <f t="shared" si="2"/>
        <v>737.45864000000006</v>
      </c>
      <c r="N23" s="30">
        <f t="shared" si="2"/>
        <v>752.79257999999993</v>
      </c>
      <c r="O23" s="30">
        <f t="shared" si="2"/>
        <v>758.53737999999987</v>
      </c>
      <c r="P23" s="30">
        <f t="shared" si="2"/>
        <v>756.15930000000014</v>
      </c>
      <c r="Q23" s="30">
        <f t="shared" si="2"/>
        <v>745.69507999999996</v>
      </c>
      <c r="R23" s="30">
        <f t="shared" si="2"/>
        <v>745.74518</v>
      </c>
      <c r="S23" s="30">
        <f t="shared" si="2"/>
        <v>760.14391999999998</v>
      </c>
      <c r="T23" s="30">
        <f t="shared" si="2"/>
        <v>835.42417999999998</v>
      </c>
      <c r="U23" s="30">
        <f t="shared" si="2"/>
        <v>860.61446000000001</v>
      </c>
      <c r="V23" s="30">
        <f t="shared" si="2"/>
        <v>835.74482</v>
      </c>
      <c r="W23" s="30">
        <f t="shared" si="2"/>
        <v>774.95013999999992</v>
      </c>
      <c r="X23" s="30">
        <f t="shared" si="2"/>
        <v>695.62513999999999</v>
      </c>
      <c r="Y23" s="30">
        <f t="shared" si="2"/>
        <v>637.2252400000001</v>
      </c>
      <c r="Z23" s="29">
        <f t="shared" si="2"/>
        <v>16437.542799999999</v>
      </c>
      <c r="AA23" s="28">
        <v>31</v>
      </c>
      <c r="AB23" s="5">
        <f t="shared" si="1"/>
        <v>509563.82679999998</v>
      </c>
    </row>
    <row r="24" spans="1:28" ht="14.25" customHeight="1">
      <c r="A24" s="4">
        <v>46419</v>
      </c>
      <c r="B24" s="30">
        <f t="shared" ref="B24:Z24" si="3">+B15*1.002</f>
        <v>630.15111999999999</v>
      </c>
      <c r="C24" s="30">
        <f t="shared" si="3"/>
        <v>557.27231999999992</v>
      </c>
      <c r="D24" s="30">
        <f t="shared" si="3"/>
        <v>550.71924000000001</v>
      </c>
      <c r="E24" s="30">
        <f t="shared" si="3"/>
        <v>536.74133999999992</v>
      </c>
      <c r="F24" s="30">
        <f t="shared" si="3"/>
        <v>530.54564000000005</v>
      </c>
      <c r="G24" s="30">
        <f t="shared" si="3"/>
        <v>531.78143999999986</v>
      </c>
      <c r="H24" s="30">
        <f t="shared" si="3"/>
        <v>548.80208000000005</v>
      </c>
      <c r="I24" s="30">
        <f t="shared" si="3"/>
        <v>603.73172</v>
      </c>
      <c r="J24" s="30">
        <f t="shared" si="3"/>
        <v>655.58855999999992</v>
      </c>
      <c r="K24" s="30">
        <f t="shared" si="3"/>
        <v>689.21234000000004</v>
      </c>
      <c r="L24" s="30">
        <f t="shared" si="3"/>
        <v>706.8809399999999</v>
      </c>
      <c r="M24" s="30">
        <f t="shared" si="3"/>
        <v>737.45864000000006</v>
      </c>
      <c r="N24" s="30">
        <f t="shared" si="3"/>
        <v>752.79257999999993</v>
      </c>
      <c r="O24" s="30">
        <f t="shared" si="3"/>
        <v>758.53737999999987</v>
      </c>
      <c r="P24" s="30">
        <f t="shared" si="3"/>
        <v>756.15930000000014</v>
      </c>
      <c r="Q24" s="30">
        <f t="shared" si="3"/>
        <v>745.69507999999996</v>
      </c>
      <c r="R24" s="30">
        <f t="shared" si="3"/>
        <v>745.74518</v>
      </c>
      <c r="S24" s="30">
        <f t="shared" si="3"/>
        <v>760.14391999999998</v>
      </c>
      <c r="T24" s="30">
        <f t="shared" si="3"/>
        <v>835.42417999999998</v>
      </c>
      <c r="U24" s="30">
        <f t="shared" si="3"/>
        <v>860.61446000000001</v>
      </c>
      <c r="V24" s="30">
        <f t="shared" si="3"/>
        <v>835.74482</v>
      </c>
      <c r="W24" s="30">
        <f t="shared" si="3"/>
        <v>774.95013999999992</v>
      </c>
      <c r="X24" s="30">
        <f t="shared" si="3"/>
        <v>695.62513999999999</v>
      </c>
      <c r="Y24" s="30">
        <f t="shared" si="3"/>
        <v>637.2252400000001</v>
      </c>
      <c r="Z24" s="29">
        <f t="shared" si="3"/>
        <v>16437.542799999999</v>
      </c>
      <c r="AA24" s="28">
        <v>28</v>
      </c>
      <c r="AB24" s="5">
        <f t="shared" si="1"/>
        <v>460251.19839999999</v>
      </c>
    </row>
    <row r="25" spans="1:28" ht="14.25" customHeight="1">
      <c r="A25" s="4">
        <v>46447</v>
      </c>
      <c r="B25" s="30">
        <f t="shared" ref="B25:Z25" si="4">+B16*1.002</f>
        <v>630.15111999999999</v>
      </c>
      <c r="C25" s="30">
        <f t="shared" si="4"/>
        <v>557.27231999999992</v>
      </c>
      <c r="D25" s="30">
        <f t="shared" si="4"/>
        <v>550.71924000000001</v>
      </c>
      <c r="E25" s="30">
        <f t="shared" si="4"/>
        <v>536.74133999999992</v>
      </c>
      <c r="F25" s="30">
        <f t="shared" si="4"/>
        <v>530.54564000000005</v>
      </c>
      <c r="G25" s="30">
        <f t="shared" si="4"/>
        <v>531.78143999999986</v>
      </c>
      <c r="H25" s="30">
        <f t="shared" si="4"/>
        <v>548.80208000000005</v>
      </c>
      <c r="I25" s="30">
        <f t="shared" si="4"/>
        <v>603.73172</v>
      </c>
      <c r="J25" s="30">
        <f t="shared" si="4"/>
        <v>655.58855999999992</v>
      </c>
      <c r="K25" s="30">
        <f t="shared" si="4"/>
        <v>689.21234000000004</v>
      </c>
      <c r="L25" s="30">
        <f t="shared" si="4"/>
        <v>706.8809399999999</v>
      </c>
      <c r="M25" s="30">
        <f t="shared" si="4"/>
        <v>737.45864000000006</v>
      </c>
      <c r="N25" s="30">
        <f t="shared" si="4"/>
        <v>752.79257999999993</v>
      </c>
      <c r="O25" s="30">
        <f t="shared" si="4"/>
        <v>758.53737999999987</v>
      </c>
      <c r="P25" s="30">
        <f t="shared" si="4"/>
        <v>756.15930000000014</v>
      </c>
      <c r="Q25" s="30">
        <f t="shared" si="4"/>
        <v>745.69507999999996</v>
      </c>
      <c r="R25" s="30">
        <f t="shared" si="4"/>
        <v>745.74518</v>
      </c>
      <c r="S25" s="30">
        <f t="shared" si="4"/>
        <v>760.14391999999998</v>
      </c>
      <c r="T25" s="30">
        <f t="shared" si="4"/>
        <v>835.42417999999998</v>
      </c>
      <c r="U25" s="30">
        <f t="shared" si="4"/>
        <v>860.61446000000001</v>
      </c>
      <c r="V25" s="30">
        <f t="shared" si="4"/>
        <v>835.74482</v>
      </c>
      <c r="W25" s="30">
        <f t="shared" si="4"/>
        <v>774.95013999999992</v>
      </c>
      <c r="X25" s="30">
        <f t="shared" si="4"/>
        <v>695.62513999999999</v>
      </c>
      <c r="Y25" s="30">
        <f t="shared" si="4"/>
        <v>637.2252400000001</v>
      </c>
      <c r="Z25" s="29">
        <f t="shared" si="4"/>
        <v>16437.542799999999</v>
      </c>
      <c r="AA25" s="28">
        <v>21</v>
      </c>
      <c r="AB25" s="5">
        <f t="shared" si="1"/>
        <v>345188.39879999997</v>
      </c>
    </row>
    <row r="26" spans="1:28" ht="14.25" customHeight="1">
      <c r="A26" s="4">
        <v>46478</v>
      </c>
      <c r="B26" s="30">
        <f t="shared" ref="B26:Z26" si="5">+B17*1.002</f>
        <v>630.15111999999999</v>
      </c>
      <c r="C26" s="30">
        <f t="shared" si="5"/>
        <v>557.27231999999992</v>
      </c>
      <c r="D26" s="30">
        <f t="shared" si="5"/>
        <v>550.71924000000001</v>
      </c>
      <c r="E26" s="30">
        <f t="shared" si="5"/>
        <v>536.74133999999992</v>
      </c>
      <c r="F26" s="30">
        <f t="shared" si="5"/>
        <v>530.54564000000005</v>
      </c>
      <c r="G26" s="30">
        <f t="shared" si="5"/>
        <v>531.78143999999986</v>
      </c>
      <c r="H26" s="30">
        <f t="shared" si="5"/>
        <v>548.80208000000005</v>
      </c>
      <c r="I26" s="30">
        <f t="shared" si="5"/>
        <v>603.73172</v>
      </c>
      <c r="J26" s="30">
        <f t="shared" si="5"/>
        <v>655.58855999999992</v>
      </c>
      <c r="K26" s="30">
        <f t="shared" si="5"/>
        <v>689.21234000000004</v>
      </c>
      <c r="L26" s="30">
        <f t="shared" si="5"/>
        <v>706.8809399999999</v>
      </c>
      <c r="M26" s="30">
        <f t="shared" si="5"/>
        <v>737.45864000000006</v>
      </c>
      <c r="N26" s="30">
        <f t="shared" si="5"/>
        <v>752.79257999999993</v>
      </c>
      <c r="O26" s="30">
        <f t="shared" si="5"/>
        <v>758.53737999999987</v>
      </c>
      <c r="P26" s="30">
        <f t="shared" si="5"/>
        <v>756.15930000000014</v>
      </c>
      <c r="Q26" s="30">
        <f t="shared" si="5"/>
        <v>745.69507999999996</v>
      </c>
      <c r="R26" s="30">
        <f t="shared" si="5"/>
        <v>745.74518</v>
      </c>
      <c r="S26" s="30">
        <f t="shared" si="5"/>
        <v>760.14391999999998</v>
      </c>
      <c r="T26" s="30">
        <f t="shared" si="5"/>
        <v>835.42417999999998</v>
      </c>
      <c r="U26" s="30">
        <f t="shared" si="5"/>
        <v>860.61446000000001</v>
      </c>
      <c r="V26" s="30">
        <f t="shared" si="5"/>
        <v>835.74482</v>
      </c>
      <c r="W26" s="30">
        <f t="shared" si="5"/>
        <v>774.95013999999992</v>
      </c>
      <c r="X26" s="30">
        <f t="shared" si="5"/>
        <v>695.62513999999999</v>
      </c>
      <c r="Y26" s="30">
        <f t="shared" si="5"/>
        <v>637.2252400000001</v>
      </c>
      <c r="Z26" s="29">
        <f t="shared" si="5"/>
        <v>16437.542799999999</v>
      </c>
      <c r="AA26" s="28">
        <v>30</v>
      </c>
      <c r="AB26" s="5">
        <f t="shared" si="1"/>
        <v>493126.28399999999</v>
      </c>
    </row>
    <row r="27" spans="1:28" ht="14.25" customHeight="1">
      <c r="A27" s="4">
        <v>46508</v>
      </c>
      <c r="B27" s="30">
        <f t="shared" ref="B27:Z27" si="6">+B18*1.002</f>
        <v>630.15111999999999</v>
      </c>
      <c r="C27" s="30">
        <f t="shared" si="6"/>
        <v>557.27231999999992</v>
      </c>
      <c r="D27" s="30">
        <f t="shared" si="6"/>
        <v>550.71924000000001</v>
      </c>
      <c r="E27" s="30">
        <f t="shared" si="6"/>
        <v>536.74133999999992</v>
      </c>
      <c r="F27" s="30">
        <f t="shared" si="6"/>
        <v>530.54564000000005</v>
      </c>
      <c r="G27" s="30">
        <f t="shared" si="6"/>
        <v>531.78143999999986</v>
      </c>
      <c r="H27" s="30">
        <f t="shared" si="6"/>
        <v>548.80208000000005</v>
      </c>
      <c r="I27" s="30">
        <f t="shared" si="6"/>
        <v>603.73172</v>
      </c>
      <c r="J27" s="30">
        <f t="shared" si="6"/>
        <v>655.58855999999992</v>
      </c>
      <c r="K27" s="30">
        <f t="shared" si="6"/>
        <v>689.21234000000004</v>
      </c>
      <c r="L27" s="30">
        <f t="shared" si="6"/>
        <v>706.8809399999999</v>
      </c>
      <c r="M27" s="30">
        <f t="shared" si="6"/>
        <v>737.45864000000006</v>
      </c>
      <c r="N27" s="30">
        <f t="shared" si="6"/>
        <v>752.79257999999993</v>
      </c>
      <c r="O27" s="30">
        <f t="shared" si="6"/>
        <v>758.53737999999987</v>
      </c>
      <c r="P27" s="30">
        <f t="shared" si="6"/>
        <v>756.15930000000014</v>
      </c>
      <c r="Q27" s="30">
        <f t="shared" si="6"/>
        <v>745.69507999999996</v>
      </c>
      <c r="R27" s="30">
        <f t="shared" si="6"/>
        <v>745.74518</v>
      </c>
      <c r="S27" s="30">
        <f t="shared" si="6"/>
        <v>760.14391999999998</v>
      </c>
      <c r="T27" s="30">
        <f t="shared" si="6"/>
        <v>835.42417999999998</v>
      </c>
      <c r="U27" s="30">
        <f t="shared" si="6"/>
        <v>860.61446000000001</v>
      </c>
      <c r="V27" s="30">
        <f t="shared" si="6"/>
        <v>835.74482</v>
      </c>
      <c r="W27" s="30">
        <f t="shared" si="6"/>
        <v>774.95013999999992</v>
      </c>
      <c r="X27" s="30">
        <f t="shared" si="6"/>
        <v>695.62513999999999</v>
      </c>
      <c r="Y27" s="30">
        <f t="shared" si="6"/>
        <v>637.2252400000001</v>
      </c>
      <c r="Z27" s="29">
        <f t="shared" si="6"/>
        <v>16437.542799999999</v>
      </c>
      <c r="AA27" s="28">
        <v>31</v>
      </c>
      <c r="AB27" s="5">
        <f t="shared" si="1"/>
        <v>509563.82679999998</v>
      </c>
    </row>
    <row r="28" spans="1:28" ht="14.25" customHeight="1">
      <c r="A28" s="4">
        <v>46539</v>
      </c>
      <c r="B28" s="30">
        <f t="shared" ref="B28:Z28" si="7">+B19*1.002</f>
        <v>630.15111999999999</v>
      </c>
      <c r="C28" s="30">
        <f t="shared" si="7"/>
        <v>557.27231999999992</v>
      </c>
      <c r="D28" s="30">
        <f t="shared" si="7"/>
        <v>550.71924000000001</v>
      </c>
      <c r="E28" s="30">
        <f t="shared" si="7"/>
        <v>536.74133999999992</v>
      </c>
      <c r="F28" s="30">
        <f t="shared" si="7"/>
        <v>530.54564000000005</v>
      </c>
      <c r="G28" s="30">
        <f t="shared" si="7"/>
        <v>531.78143999999986</v>
      </c>
      <c r="H28" s="30">
        <f t="shared" si="7"/>
        <v>548.80208000000005</v>
      </c>
      <c r="I28" s="30">
        <f t="shared" si="7"/>
        <v>603.73172</v>
      </c>
      <c r="J28" s="30">
        <f t="shared" si="7"/>
        <v>655.58855999999992</v>
      </c>
      <c r="K28" s="30">
        <f t="shared" si="7"/>
        <v>689.21234000000004</v>
      </c>
      <c r="L28" s="30">
        <f t="shared" si="7"/>
        <v>706.8809399999999</v>
      </c>
      <c r="M28" s="30">
        <f t="shared" si="7"/>
        <v>737.45864000000006</v>
      </c>
      <c r="N28" s="30">
        <f t="shared" si="7"/>
        <v>752.79257999999993</v>
      </c>
      <c r="O28" s="30">
        <f t="shared" si="7"/>
        <v>758.53737999999987</v>
      </c>
      <c r="P28" s="30">
        <f t="shared" si="7"/>
        <v>756.15930000000014</v>
      </c>
      <c r="Q28" s="30">
        <f t="shared" si="7"/>
        <v>745.69507999999996</v>
      </c>
      <c r="R28" s="30">
        <f t="shared" si="7"/>
        <v>745.74518</v>
      </c>
      <c r="S28" s="30">
        <f t="shared" si="7"/>
        <v>760.14391999999998</v>
      </c>
      <c r="T28" s="30">
        <f t="shared" si="7"/>
        <v>835.42417999999998</v>
      </c>
      <c r="U28" s="30">
        <f t="shared" si="7"/>
        <v>860.61446000000001</v>
      </c>
      <c r="V28" s="30">
        <f t="shared" si="7"/>
        <v>835.74482</v>
      </c>
      <c r="W28" s="30">
        <f t="shared" si="7"/>
        <v>774.95013999999992</v>
      </c>
      <c r="X28" s="30">
        <f t="shared" si="7"/>
        <v>695.62513999999999</v>
      </c>
      <c r="Y28" s="30">
        <f t="shared" si="7"/>
        <v>637.2252400000001</v>
      </c>
      <c r="Z28" s="29">
        <f t="shared" si="7"/>
        <v>16437.542799999999</v>
      </c>
      <c r="AA28" s="28">
        <v>30</v>
      </c>
      <c r="AB28" s="5">
        <f t="shared" si="1"/>
        <v>493126.28399999999</v>
      </c>
    </row>
    <row r="29" spans="1:28" ht="14.25" customHeight="1">
      <c r="A29" s="4">
        <v>46569</v>
      </c>
      <c r="B29" s="30">
        <f t="shared" ref="B29:Z29" si="8">+B20*1.002</f>
        <v>630.15111999999999</v>
      </c>
      <c r="C29" s="30">
        <f t="shared" si="8"/>
        <v>557.27231999999992</v>
      </c>
      <c r="D29" s="30">
        <f t="shared" si="8"/>
        <v>550.71924000000001</v>
      </c>
      <c r="E29" s="30">
        <f t="shared" si="8"/>
        <v>536.74133999999992</v>
      </c>
      <c r="F29" s="30">
        <f t="shared" si="8"/>
        <v>530.54564000000005</v>
      </c>
      <c r="G29" s="30">
        <f t="shared" si="8"/>
        <v>531.78143999999986</v>
      </c>
      <c r="H29" s="30">
        <f t="shared" si="8"/>
        <v>548.80208000000005</v>
      </c>
      <c r="I29" s="30">
        <f t="shared" si="8"/>
        <v>603.73172</v>
      </c>
      <c r="J29" s="30">
        <f t="shared" si="8"/>
        <v>655.58855999999992</v>
      </c>
      <c r="K29" s="30">
        <f t="shared" si="8"/>
        <v>689.21234000000004</v>
      </c>
      <c r="L29" s="30">
        <f t="shared" si="8"/>
        <v>706.8809399999999</v>
      </c>
      <c r="M29" s="30">
        <f t="shared" si="8"/>
        <v>737.45864000000006</v>
      </c>
      <c r="N29" s="30">
        <f t="shared" si="8"/>
        <v>752.79257999999993</v>
      </c>
      <c r="O29" s="30">
        <f t="shared" si="8"/>
        <v>758.53737999999987</v>
      </c>
      <c r="P29" s="30">
        <f t="shared" si="8"/>
        <v>756.15930000000014</v>
      </c>
      <c r="Q29" s="30">
        <f t="shared" si="8"/>
        <v>745.69507999999996</v>
      </c>
      <c r="R29" s="30">
        <f t="shared" si="8"/>
        <v>745.74518</v>
      </c>
      <c r="S29" s="30">
        <f t="shared" si="8"/>
        <v>760.14391999999998</v>
      </c>
      <c r="T29" s="30">
        <f t="shared" si="8"/>
        <v>835.42417999999998</v>
      </c>
      <c r="U29" s="30">
        <f t="shared" si="8"/>
        <v>860.61446000000001</v>
      </c>
      <c r="V29" s="30">
        <f t="shared" si="8"/>
        <v>835.74482</v>
      </c>
      <c r="W29" s="30">
        <f t="shared" si="8"/>
        <v>774.95013999999992</v>
      </c>
      <c r="X29" s="30">
        <f t="shared" si="8"/>
        <v>695.62513999999999</v>
      </c>
      <c r="Y29" s="30">
        <f t="shared" si="8"/>
        <v>637.2252400000001</v>
      </c>
      <c r="Z29" s="29">
        <f t="shared" si="8"/>
        <v>16437.542799999999</v>
      </c>
      <c r="AA29" s="28">
        <v>31</v>
      </c>
      <c r="AB29" s="5">
        <f t="shared" si="1"/>
        <v>509563.82679999998</v>
      </c>
    </row>
    <row r="30" spans="1:28" ht="14.25" customHeight="1">
      <c r="A30" s="4">
        <v>46600</v>
      </c>
      <c r="B30" s="30">
        <f t="shared" ref="B30:Z30" si="9">+B21*1.002</f>
        <v>630.15111999999999</v>
      </c>
      <c r="C30" s="30">
        <f t="shared" si="9"/>
        <v>557.27231999999992</v>
      </c>
      <c r="D30" s="30">
        <f t="shared" si="9"/>
        <v>550.71924000000001</v>
      </c>
      <c r="E30" s="30">
        <f t="shared" si="9"/>
        <v>536.74133999999992</v>
      </c>
      <c r="F30" s="30">
        <f t="shared" si="9"/>
        <v>530.54564000000005</v>
      </c>
      <c r="G30" s="30">
        <f t="shared" si="9"/>
        <v>531.78143999999986</v>
      </c>
      <c r="H30" s="30">
        <f t="shared" si="9"/>
        <v>548.80208000000005</v>
      </c>
      <c r="I30" s="30">
        <f t="shared" si="9"/>
        <v>603.73172</v>
      </c>
      <c r="J30" s="30">
        <f t="shared" si="9"/>
        <v>655.58855999999992</v>
      </c>
      <c r="K30" s="30">
        <f t="shared" si="9"/>
        <v>689.21234000000004</v>
      </c>
      <c r="L30" s="30">
        <f t="shared" si="9"/>
        <v>706.8809399999999</v>
      </c>
      <c r="M30" s="30">
        <f t="shared" si="9"/>
        <v>737.45864000000006</v>
      </c>
      <c r="N30" s="30">
        <f t="shared" si="9"/>
        <v>752.79257999999993</v>
      </c>
      <c r="O30" s="30">
        <f t="shared" si="9"/>
        <v>758.53737999999987</v>
      </c>
      <c r="P30" s="30">
        <f t="shared" si="9"/>
        <v>756.15930000000014</v>
      </c>
      <c r="Q30" s="30">
        <f t="shared" si="9"/>
        <v>745.69507999999996</v>
      </c>
      <c r="R30" s="30">
        <f t="shared" si="9"/>
        <v>745.74518</v>
      </c>
      <c r="S30" s="30">
        <f t="shared" si="9"/>
        <v>760.14391999999998</v>
      </c>
      <c r="T30" s="30">
        <f t="shared" si="9"/>
        <v>835.42417999999998</v>
      </c>
      <c r="U30" s="30">
        <f t="shared" si="9"/>
        <v>860.61446000000001</v>
      </c>
      <c r="V30" s="30">
        <f t="shared" si="9"/>
        <v>835.74482</v>
      </c>
      <c r="W30" s="30">
        <f t="shared" si="9"/>
        <v>774.95013999999992</v>
      </c>
      <c r="X30" s="30">
        <f t="shared" si="9"/>
        <v>695.62513999999999</v>
      </c>
      <c r="Y30" s="30">
        <f t="shared" si="9"/>
        <v>637.2252400000001</v>
      </c>
      <c r="Z30" s="29">
        <f t="shared" si="9"/>
        <v>16437.542799999999</v>
      </c>
      <c r="AA30" s="28">
        <v>31</v>
      </c>
      <c r="AB30" s="5">
        <f t="shared" si="1"/>
        <v>509563.82679999998</v>
      </c>
    </row>
    <row r="31" spans="1:28" ht="14.25" customHeight="1">
      <c r="A31" s="4">
        <v>46631</v>
      </c>
      <c r="B31" s="30">
        <f t="shared" ref="B31:Z31" si="10">+B22*1.002</f>
        <v>630.15111999999999</v>
      </c>
      <c r="C31" s="30">
        <f t="shared" si="10"/>
        <v>557.27231999999992</v>
      </c>
      <c r="D31" s="30">
        <f t="shared" si="10"/>
        <v>550.71924000000001</v>
      </c>
      <c r="E31" s="30">
        <f t="shared" si="10"/>
        <v>536.74133999999992</v>
      </c>
      <c r="F31" s="30">
        <f t="shared" si="10"/>
        <v>530.54564000000005</v>
      </c>
      <c r="G31" s="30">
        <f t="shared" si="10"/>
        <v>531.78143999999986</v>
      </c>
      <c r="H31" s="30">
        <f t="shared" si="10"/>
        <v>548.80208000000005</v>
      </c>
      <c r="I31" s="30">
        <f t="shared" si="10"/>
        <v>603.73172</v>
      </c>
      <c r="J31" s="30">
        <f t="shared" si="10"/>
        <v>655.58855999999992</v>
      </c>
      <c r="K31" s="30">
        <f t="shared" si="10"/>
        <v>689.21234000000004</v>
      </c>
      <c r="L31" s="30">
        <f t="shared" si="10"/>
        <v>706.8809399999999</v>
      </c>
      <c r="M31" s="30">
        <f t="shared" si="10"/>
        <v>737.45864000000006</v>
      </c>
      <c r="N31" s="30">
        <f t="shared" si="10"/>
        <v>752.79257999999993</v>
      </c>
      <c r="O31" s="30">
        <f t="shared" si="10"/>
        <v>758.53737999999987</v>
      </c>
      <c r="P31" s="30">
        <f t="shared" si="10"/>
        <v>756.15930000000014</v>
      </c>
      <c r="Q31" s="30">
        <f t="shared" si="10"/>
        <v>745.69507999999996</v>
      </c>
      <c r="R31" s="30">
        <f t="shared" si="10"/>
        <v>745.74518</v>
      </c>
      <c r="S31" s="30">
        <f t="shared" si="10"/>
        <v>760.14391999999998</v>
      </c>
      <c r="T31" s="30">
        <f t="shared" si="10"/>
        <v>835.42417999999998</v>
      </c>
      <c r="U31" s="30">
        <f t="shared" si="10"/>
        <v>860.61446000000001</v>
      </c>
      <c r="V31" s="30">
        <f t="shared" si="10"/>
        <v>835.74482</v>
      </c>
      <c r="W31" s="30">
        <f t="shared" si="10"/>
        <v>774.95013999999992</v>
      </c>
      <c r="X31" s="30">
        <f t="shared" si="10"/>
        <v>695.62513999999999</v>
      </c>
      <c r="Y31" s="30">
        <f t="shared" si="10"/>
        <v>637.2252400000001</v>
      </c>
      <c r="Z31" s="29">
        <f t="shared" si="10"/>
        <v>16437.542799999999</v>
      </c>
      <c r="AA31" s="28">
        <v>30</v>
      </c>
      <c r="AB31" s="5">
        <f t="shared" si="1"/>
        <v>493126.28399999999</v>
      </c>
    </row>
    <row r="32" spans="1:28" ht="14.25" customHeight="1">
      <c r="A32" s="4">
        <v>46661</v>
      </c>
      <c r="B32" s="30">
        <f>+B31</f>
        <v>630.15111999999999</v>
      </c>
      <c r="C32" s="30">
        <f t="shared" ref="C32:Z34" si="11">+C31</f>
        <v>557.27231999999992</v>
      </c>
      <c r="D32" s="30">
        <f t="shared" si="11"/>
        <v>550.71924000000001</v>
      </c>
      <c r="E32" s="30">
        <f t="shared" si="11"/>
        <v>536.74133999999992</v>
      </c>
      <c r="F32" s="30">
        <f t="shared" si="11"/>
        <v>530.54564000000005</v>
      </c>
      <c r="G32" s="30">
        <f t="shared" si="11"/>
        <v>531.78143999999986</v>
      </c>
      <c r="H32" s="30">
        <f t="shared" si="11"/>
        <v>548.80208000000005</v>
      </c>
      <c r="I32" s="30">
        <f t="shared" si="11"/>
        <v>603.73172</v>
      </c>
      <c r="J32" s="30">
        <f t="shared" si="11"/>
        <v>655.58855999999992</v>
      </c>
      <c r="K32" s="30">
        <f t="shared" si="11"/>
        <v>689.21234000000004</v>
      </c>
      <c r="L32" s="30">
        <f t="shared" si="11"/>
        <v>706.8809399999999</v>
      </c>
      <c r="M32" s="30">
        <f t="shared" si="11"/>
        <v>737.45864000000006</v>
      </c>
      <c r="N32" s="30">
        <f t="shared" si="11"/>
        <v>752.79257999999993</v>
      </c>
      <c r="O32" s="30">
        <f t="shared" si="11"/>
        <v>758.53737999999987</v>
      </c>
      <c r="P32" s="30">
        <f t="shared" si="11"/>
        <v>756.15930000000014</v>
      </c>
      <c r="Q32" s="30">
        <f t="shared" si="11"/>
        <v>745.69507999999996</v>
      </c>
      <c r="R32" s="30">
        <f t="shared" si="11"/>
        <v>745.74518</v>
      </c>
      <c r="S32" s="30">
        <f t="shared" si="11"/>
        <v>760.14391999999998</v>
      </c>
      <c r="T32" s="30">
        <f t="shared" si="11"/>
        <v>835.42417999999998</v>
      </c>
      <c r="U32" s="30">
        <f t="shared" si="11"/>
        <v>860.61446000000001</v>
      </c>
      <c r="V32" s="30">
        <f t="shared" si="11"/>
        <v>835.74482</v>
      </c>
      <c r="W32" s="30">
        <f t="shared" si="11"/>
        <v>774.95013999999992</v>
      </c>
      <c r="X32" s="30">
        <f t="shared" si="11"/>
        <v>695.62513999999999</v>
      </c>
      <c r="Y32" s="30">
        <f t="shared" si="11"/>
        <v>637.2252400000001</v>
      </c>
      <c r="Z32" s="29">
        <f t="shared" si="11"/>
        <v>16437.542799999999</v>
      </c>
      <c r="AA32" s="28">
        <v>31</v>
      </c>
      <c r="AB32" s="5">
        <f t="shared" si="1"/>
        <v>509563.82679999998</v>
      </c>
    </row>
    <row r="33" spans="1:28" ht="14.25" customHeight="1">
      <c r="A33" s="4">
        <v>46692</v>
      </c>
      <c r="B33" s="30">
        <f t="shared" ref="B33:B34" si="12">+B32</f>
        <v>630.15111999999999</v>
      </c>
      <c r="C33" s="30">
        <f t="shared" si="11"/>
        <v>557.27231999999992</v>
      </c>
      <c r="D33" s="30">
        <f t="shared" si="11"/>
        <v>550.71924000000001</v>
      </c>
      <c r="E33" s="30">
        <f t="shared" si="11"/>
        <v>536.74133999999992</v>
      </c>
      <c r="F33" s="30">
        <f t="shared" si="11"/>
        <v>530.54564000000005</v>
      </c>
      <c r="G33" s="30">
        <f t="shared" si="11"/>
        <v>531.78143999999986</v>
      </c>
      <c r="H33" s="30">
        <f t="shared" si="11"/>
        <v>548.80208000000005</v>
      </c>
      <c r="I33" s="30">
        <f t="shared" si="11"/>
        <v>603.73172</v>
      </c>
      <c r="J33" s="30">
        <f t="shared" si="11"/>
        <v>655.58855999999992</v>
      </c>
      <c r="K33" s="30">
        <f t="shared" si="11"/>
        <v>689.21234000000004</v>
      </c>
      <c r="L33" s="30">
        <f t="shared" si="11"/>
        <v>706.8809399999999</v>
      </c>
      <c r="M33" s="30">
        <f t="shared" si="11"/>
        <v>737.45864000000006</v>
      </c>
      <c r="N33" s="30">
        <f t="shared" si="11"/>
        <v>752.79257999999993</v>
      </c>
      <c r="O33" s="30">
        <f t="shared" si="11"/>
        <v>758.53737999999987</v>
      </c>
      <c r="P33" s="30">
        <f t="shared" si="11"/>
        <v>756.15930000000014</v>
      </c>
      <c r="Q33" s="30">
        <f t="shared" si="11"/>
        <v>745.69507999999996</v>
      </c>
      <c r="R33" s="30">
        <f t="shared" si="11"/>
        <v>745.74518</v>
      </c>
      <c r="S33" s="30">
        <f t="shared" si="11"/>
        <v>760.14391999999998</v>
      </c>
      <c r="T33" s="30">
        <f t="shared" si="11"/>
        <v>835.42417999999998</v>
      </c>
      <c r="U33" s="30">
        <f t="shared" si="11"/>
        <v>860.61446000000001</v>
      </c>
      <c r="V33" s="30">
        <f t="shared" si="11"/>
        <v>835.74482</v>
      </c>
      <c r="W33" s="30">
        <f t="shared" si="11"/>
        <v>774.95013999999992</v>
      </c>
      <c r="X33" s="30">
        <f t="shared" si="11"/>
        <v>695.62513999999999</v>
      </c>
      <c r="Y33" s="30">
        <f t="shared" si="11"/>
        <v>637.2252400000001</v>
      </c>
      <c r="Z33" s="29">
        <f t="shared" si="11"/>
        <v>16437.542799999999</v>
      </c>
      <c r="AA33" s="28">
        <v>30</v>
      </c>
      <c r="AB33" s="5">
        <f t="shared" si="1"/>
        <v>493126.28399999999</v>
      </c>
    </row>
    <row r="34" spans="1:28" ht="14.25" customHeight="1">
      <c r="A34" s="4">
        <v>46722</v>
      </c>
      <c r="B34" s="30">
        <f t="shared" si="12"/>
        <v>630.15111999999999</v>
      </c>
      <c r="C34" s="30">
        <f t="shared" si="11"/>
        <v>557.27231999999992</v>
      </c>
      <c r="D34" s="30">
        <f t="shared" si="11"/>
        <v>550.71924000000001</v>
      </c>
      <c r="E34" s="30">
        <f t="shared" si="11"/>
        <v>536.74133999999992</v>
      </c>
      <c r="F34" s="30">
        <f t="shared" si="11"/>
        <v>530.54564000000005</v>
      </c>
      <c r="G34" s="30">
        <f t="shared" si="11"/>
        <v>531.78143999999986</v>
      </c>
      <c r="H34" s="30">
        <f t="shared" si="11"/>
        <v>548.80208000000005</v>
      </c>
      <c r="I34" s="30">
        <f t="shared" si="11"/>
        <v>603.73172</v>
      </c>
      <c r="J34" s="30">
        <f t="shared" si="11"/>
        <v>655.58855999999992</v>
      </c>
      <c r="K34" s="30">
        <f t="shared" si="11"/>
        <v>689.21234000000004</v>
      </c>
      <c r="L34" s="30">
        <f t="shared" si="11"/>
        <v>706.8809399999999</v>
      </c>
      <c r="M34" s="30">
        <f t="shared" si="11"/>
        <v>737.45864000000006</v>
      </c>
      <c r="N34" s="30">
        <f t="shared" si="11"/>
        <v>752.79257999999993</v>
      </c>
      <c r="O34" s="30">
        <f t="shared" si="11"/>
        <v>758.53737999999987</v>
      </c>
      <c r="P34" s="30">
        <f t="shared" si="11"/>
        <v>756.15930000000014</v>
      </c>
      <c r="Q34" s="30">
        <f t="shared" si="11"/>
        <v>745.69507999999996</v>
      </c>
      <c r="R34" s="30">
        <f t="shared" si="11"/>
        <v>745.74518</v>
      </c>
      <c r="S34" s="30">
        <f t="shared" si="11"/>
        <v>760.14391999999998</v>
      </c>
      <c r="T34" s="30">
        <f t="shared" si="11"/>
        <v>835.42417999999998</v>
      </c>
      <c r="U34" s="30">
        <f t="shared" si="11"/>
        <v>860.61446000000001</v>
      </c>
      <c r="V34" s="30">
        <f t="shared" si="11"/>
        <v>835.74482</v>
      </c>
      <c r="W34" s="30">
        <f t="shared" si="11"/>
        <v>774.95013999999992</v>
      </c>
      <c r="X34" s="30">
        <f t="shared" si="11"/>
        <v>695.62513999999999</v>
      </c>
      <c r="Y34" s="30">
        <f t="shared" si="11"/>
        <v>637.2252400000001</v>
      </c>
      <c r="Z34" s="29">
        <f t="shared" si="11"/>
        <v>16437.542799999999</v>
      </c>
      <c r="AA34" s="28">
        <v>31</v>
      </c>
      <c r="AB34" s="5">
        <f t="shared" si="1"/>
        <v>509563.82679999998</v>
      </c>
    </row>
    <row r="35" spans="1:28" ht="14.25" customHeight="1">
      <c r="A35" s="4">
        <v>46753</v>
      </c>
      <c r="B35" s="30">
        <f t="shared" ref="B35:Y45" si="13">+B23*1.002</f>
        <v>631.41142223999998</v>
      </c>
      <c r="C35" s="30">
        <f t="shared" si="13"/>
        <v>558.38686463999989</v>
      </c>
      <c r="D35" s="30">
        <f t="shared" si="13"/>
        <v>551.82067847999997</v>
      </c>
      <c r="E35" s="30">
        <f t="shared" si="13"/>
        <v>537.81482267999991</v>
      </c>
      <c r="F35" s="30">
        <f t="shared" si="13"/>
        <v>531.60673128000008</v>
      </c>
      <c r="G35" s="30">
        <f t="shared" si="13"/>
        <v>532.84500287999981</v>
      </c>
      <c r="H35" s="30">
        <f t="shared" si="13"/>
        <v>549.89968415999999</v>
      </c>
      <c r="I35" s="30">
        <f t="shared" si="13"/>
        <v>604.93918343999997</v>
      </c>
      <c r="J35" s="30">
        <f t="shared" si="13"/>
        <v>656.89973711999994</v>
      </c>
      <c r="K35" s="30">
        <f t="shared" si="13"/>
        <v>690.59076468000001</v>
      </c>
      <c r="L35" s="30">
        <f t="shared" si="13"/>
        <v>708.29470187999993</v>
      </c>
      <c r="M35" s="30">
        <f t="shared" si="13"/>
        <v>738.93355728000006</v>
      </c>
      <c r="N35" s="30">
        <f t="shared" si="13"/>
        <v>754.29816515999994</v>
      </c>
      <c r="O35" s="30">
        <f t="shared" si="13"/>
        <v>760.05445475999989</v>
      </c>
      <c r="P35" s="30">
        <f t="shared" si="13"/>
        <v>757.6716186000001</v>
      </c>
      <c r="Q35" s="30">
        <f t="shared" si="13"/>
        <v>747.18647016</v>
      </c>
      <c r="R35" s="30">
        <f t="shared" si="13"/>
        <v>747.23667036000006</v>
      </c>
      <c r="S35" s="30">
        <f t="shared" si="13"/>
        <v>761.66420784000002</v>
      </c>
      <c r="T35" s="30">
        <f t="shared" si="13"/>
        <v>837.09502836000001</v>
      </c>
      <c r="U35" s="30">
        <f t="shared" si="13"/>
        <v>862.33568892000005</v>
      </c>
      <c r="V35" s="30">
        <f t="shared" si="13"/>
        <v>837.41630964000001</v>
      </c>
      <c r="W35" s="30">
        <f t="shared" si="13"/>
        <v>776.50004027999989</v>
      </c>
      <c r="X35" s="30">
        <f t="shared" si="13"/>
        <v>697.01639028</v>
      </c>
      <c r="Y35" s="30">
        <f t="shared" si="13"/>
        <v>638.49969048000014</v>
      </c>
      <c r="Z35" s="29">
        <f>+Z23*1.002</f>
        <v>16470.4178856</v>
      </c>
      <c r="AA35" s="28">
        <v>31</v>
      </c>
      <c r="AB35" s="5">
        <f t="shared" si="1"/>
        <v>510582.95445359999</v>
      </c>
    </row>
    <row r="36" spans="1:28" ht="14.25" customHeight="1">
      <c r="A36" s="4">
        <v>46784</v>
      </c>
      <c r="B36" s="30">
        <f t="shared" si="13"/>
        <v>631.41142223999998</v>
      </c>
      <c r="C36" s="30">
        <f t="shared" si="13"/>
        <v>558.38686463999989</v>
      </c>
      <c r="D36" s="30">
        <f t="shared" si="13"/>
        <v>551.82067847999997</v>
      </c>
      <c r="E36" s="30">
        <f t="shared" si="13"/>
        <v>537.81482267999991</v>
      </c>
      <c r="F36" s="30">
        <f t="shared" si="13"/>
        <v>531.60673128000008</v>
      </c>
      <c r="G36" s="30">
        <f t="shared" si="13"/>
        <v>532.84500287999981</v>
      </c>
      <c r="H36" s="30">
        <f t="shared" si="13"/>
        <v>549.89968415999999</v>
      </c>
      <c r="I36" s="30">
        <f t="shared" si="13"/>
        <v>604.93918343999997</v>
      </c>
      <c r="J36" s="30">
        <f t="shared" si="13"/>
        <v>656.89973711999994</v>
      </c>
      <c r="K36" s="30">
        <f t="shared" si="13"/>
        <v>690.59076468000001</v>
      </c>
      <c r="L36" s="30">
        <f t="shared" si="13"/>
        <v>708.29470187999993</v>
      </c>
      <c r="M36" s="30">
        <f t="shared" si="13"/>
        <v>738.93355728000006</v>
      </c>
      <c r="N36" s="30">
        <f t="shared" si="13"/>
        <v>754.29816515999994</v>
      </c>
      <c r="O36" s="30">
        <f t="shared" si="13"/>
        <v>760.05445475999989</v>
      </c>
      <c r="P36" s="30">
        <f t="shared" si="13"/>
        <v>757.6716186000001</v>
      </c>
      <c r="Q36" s="30">
        <f t="shared" si="13"/>
        <v>747.18647016</v>
      </c>
      <c r="R36" s="30">
        <f t="shared" si="13"/>
        <v>747.23667036000006</v>
      </c>
      <c r="S36" s="30">
        <f t="shared" si="13"/>
        <v>761.66420784000002</v>
      </c>
      <c r="T36" s="30">
        <f t="shared" si="13"/>
        <v>837.09502836000001</v>
      </c>
      <c r="U36" s="30">
        <f t="shared" si="13"/>
        <v>862.33568892000005</v>
      </c>
      <c r="V36" s="30">
        <f t="shared" si="13"/>
        <v>837.41630964000001</v>
      </c>
      <c r="W36" s="30">
        <f t="shared" si="13"/>
        <v>776.50004027999989</v>
      </c>
      <c r="X36" s="30">
        <f t="shared" si="13"/>
        <v>697.01639028</v>
      </c>
      <c r="Y36" s="30">
        <f t="shared" si="13"/>
        <v>638.49969048000014</v>
      </c>
      <c r="Z36" s="29">
        <f t="shared" ref="Z36:Z46" si="14">+Z24*1.002</f>
        <v>16470.4178856</v>
      </c>
      <c r="AA36" s="28">
        <v>28</v>
      </c>
      <c r="AB36" s="5">
        <f t="shared" si="1"/>
        <v>461171.70079679997</v>
      </c>
    </row>
    <row r="37" spans="1:28" ht="14.25" customHeight="1">
      <c r="A37" s="4">
        <v>46813</v>
      </c>
      <c r="B37" s="30">
        <f t="shared" si="13"/>
        <v>631.41142223999998</v>
      </c>
      <c r="C37" s="30">
        <f t="shared" si="13"/>
        <v>558.38686463999989</v>
      </c>
      <c r="D37" s="30">
        <f t="shared" si="13"/>
        <v>551.82067847999997</v>
      </c>
      <c r="E37" s="30">
        <f t="shared" si="13"/>
        <v>537.81482267999991</v>
      </c>
      <c r="F37" s="30">
        <f t="shared" si="13"/>
        <v>531.60673128000008</v>
      </c>
      <c r="G37" s="30">
        <f t="shared" si="13"/>
        <v>532.84500287999981</v>
      </c>
      <c r="H37" s="30">
        <f t="shared" si="13"/>
        <v>549.89968415999999</v>
      </c>
      <c r="I37" s="30">
        <f t="shared" si="13"/>
        <v>604.93918343999997</v>
      </c>
      <c r="J37" s="30">
        <f t="shared" si="13"/>
        <v>656.89973711999994</v>
      </c>
      <c r="K37" s="30">
        <f t="shared" si="13"/>
        <v>690.59076468000001</v>
      </c>
      <c r="L37" s="30">
        <f t="shared" si="13"/>
        <v>708.29470187999993</v>
      </c>
      <c r="M37" s="30">
        <f t="shared" si="13"/>
        <v>738.93355728000006</v>
      </c>
      <c r="N37" s="30">
        <f t="shared" si="13"/>
        <v>754.29816515999994</v>
      </c>
      <c r="O37" s="30">
        <f t="shared" si="13"/>
        <v>760.05445475999989</v>
      </c>
      <c r="P37" s="30">
        <f t="shared" si="13"/>
        <v>757.6716186000001</v>
      </c>
      <c r="Q37" s="30">
        <f t="shared" si="13"/>
        <v>747.18647016</v>
      </c>
      <c r="R37" s="30">
        <f t="shared" si="13"/>
        <v>747.23667036000006</v>
      </c>
      <c r="S37" s="30">
        <f t="shared" si="13"/>
        <v>761.66420784000002</v>
      </c>
      <c r="T37" s="30">
        <f t="shared" si="13"/>
        <v>837.09502836000001</v>
      </c>
      <c r="U37" s="30">
        <f t="shared" si="13"/>
        <v>862.33568892000005</v>
      </c>
      <c r="V37" s="30">
        <f t="shared" si="13"/>
        <v>837.41630964000001</v>
      </c>
      <c r="W37" s="30">
        <f t="shared" si="13"/>
        <v>776.50004027999989</v>
      </c>
      <c r="X37" s="30">
        <f t="shared" si="13"/>
        <v>697.01639028</v>
      </c>
      <c r="Y37" s="30">
        <f t="shared" si="13"/>
        <v>638.49969048000014</v>
      </c>
      <c r="Z37" s="29">
        <f t="shared" si="14"/>
        <v>16470.4178856</v>
      </c>
      <c r="AA37" s="28">
        <v>21</v>
      </c>
      <c r="AB37" s="5">
        <f t="shared" si="1"/>
        <v>345878.77559759998</v>
      </c>
    </row>
    <row r="38" spans="1:28" ht="14.25" customHeight="1">
      <c r="A38" s="4">
        <v>46844</v>
      </c>
      <c r="B38" s="30">
        <f t="shared" si="13"/>
        <v>631.41142223999998</v>
      </c>
      <c r="C38" s="30">
        <f t="shared" si="13"/>
        <v>558.38686463999989</v>
      </c>
      <c r="D38" s="30">
        <f t="shared" si="13"/>
        <v>551.82067847999997</v>
      </c>
      <c r="E38" s="30">
        <f t="shared" si="13"/>
        <v>537.81482267999991</v>
      </c>
      <c r="F38" s="30">
        <f t="shared" si="13"/>
        <v>531.60673128000008</v>
      </c>
      <c r="G38" s="30">
        <f t="shared" si="13"/>
        <v>532.84500287999981</v>
      </c>
      <c r="H38" s="30">
        <f t="shared" si="13"/>
        <v>549.89968415999999</v>
      </c>
      <c r="I38" s="30">
        <f t="shared" si="13"/>
        <v>604.93918343999997</v>
      </c>
      <c r="J38" s="30">
        <f t="shared" si="13"/>
        <v>656.89973711999994</v>
      </c>
      <c r="K38" s="30">
        <f t="shared" si="13"/>
        <v>690.59076468000001</v>
      </c>
      <c r="L38" s="30">
        <f t="shared" si="13"/>
        <v>708.29470187999993</v>
      </c>
      <c r="M38" s="30">
        <f t="shared" si="13"/>
        <v>738.93355728000006</v>
      </c>
      <c r="N38" s="30">
        <f t="shared" si="13"/>
        <v>754.29816515999994</v>
      </c>
      <c r="O38" s="30">
        <f t="shared" si="13"/>
        <v>760.05445475999989</v>
      </c>
      <c r="P38" s="30">
        <f t="shared" si="13"/>
        <v>757.6716186000001</v>
      </c>
      <c r="Q38" s="30">
        <f t="shared" si="13"/>
        <v>747.18647016</v>
      </c>
      <c r="R38" s="30">
        <f t="shared" si="13"/>
        <v>747.23667036000006</v>
      </c>
      <c r="S38" s="30">
        <f t="shared" si="13"/>
        <v>761.66420784000002</v>
      </c>
      <c r="T38" s="30">
        <f t="shared" si="13"/>
        <v>837.09502836000001</v>
      </c>
      <c r="U38" s="30">
        <f t="shared" si="13"/>
        <v>862.33568892000005</v>
      </c>
      <c r="V38" s="30">
        <f t="shared" si="13"/>
        <v>837.41630964000001</v>
      </c>
      <c r="W38" s="30">
        <f t="shared" si="13"/>
        <v>776.50004027999989</v>
      </c>
      <c r="X38" s="30">
        <f t="shared" si="13"/>
        <v>697.01639028</v>
      </c>
      <c r="Y38" s="30">
        <f t="shared" si="13"/>
        <v>638.49969048000014</v>
      </c>
      <c r="Z38" s="29">
        <f t="shared" si="14"/>
        <v>16470.4178856</v>
      </c>
      <c r="AA38" s="28">
        <v>30</v>
      </c>
      <c r="AB38" s="5">
        <f t="shared" si="1"/>
        <v>494112.53656799998</v>
      </c>
    </row>
    <row r="39" spans="1:28" ht="14.25" customHeight="1">
      <c r="A39" s="4">
        <v>46874</v>
      </c>
      <c r="B39" s="30">
        <f t="shared" si="13"/>
        <v>631.41142223999998</v>
      </c>
      <c r="C39" s="30">
        <f t="shared" si="13"/>
        <v>558.38686463999989</v>
      </c>
      <c r="D39" s="30">
        <f t="shared" si="13"/>
        <v>551.82067847999997</v>
      </c>
      <c r="E39" s="30">
        <f t="shared" si="13"/>
        <v>537.81482267999991</v>
      </c>
      <c r="F39" s="30">
        <f t="shared" si="13"/>
        <v>531.60673128000008</v>
      </c>
      <c r="G39" s="30">
        <f t="shared" si="13"/>
        <v>532.84500287999981</v>
      </c>
      <c r="H39" s="30">
        <f t="shared" si="13"/>
        <v>549.89968415999999</v>
      </c>
      <c r="I39" s="30">
        <f t="shared" si="13"/>
        <v>604.93918343999997</v>
      </c>
      <c r="J39" s="30">
        <f t="shared" si="13"/>
        <v>656.89973711999994</v>
      </c>
      <c r="K39" s="30">
        <f t="shared" si="13"/>
        <v>690.59076468000001</v>
      </c>
      <c r="L39" s="30">
        <f t="shared" si="13"/>
        <v>708.29470187999993</v>
      </c>
      <c r="M39" s="30">
        <f t="shared" si="13"/>
        <v>738.93355728000006</v>
      </c>
      <c r="N39" s="30">
        <f t="shared" si="13"/>
        <v>754.29816515999994</v>
      </c>
      <c r="O39" s="30">
        <f t="shared" si="13"/>
        <v>760.05445475999989</v>
      </c>
      <c r="P39" s="30">
        <f t="shared" si="13"/>
        <v>757.6716186000001</v>
      </c>
      <c r="Q39" s="30">
        <f t="shared" si="13"/>
        <v>747.18647016</v>
      </c>
      <c r="R39" s="30">
        <f t="shared" si="13"/>
        <v>747.23667036000006</v>
      </c>
      <c r="S39" s="30">
        <f t="shared" si="13"/>
        <v>761.66420784000002</v>
      </c>
      <c r="T39" s="30">
        <f t="shared" si="13"/>
        <v>837.09502836000001</v>
      </c>
      <c r="U39" s="30">
        <f t="shared" si="13"/>
        <v>862.33568892000005</v>
      </c>
      <c r="V39" s="30">
        <f t="shared" si="13"/>
        <v>837.41630964000001</v>
      </c>
      <c r="W39" s="30">
        <f t="shared" si="13"/>
        <v>776.50004027999989</v>
      </c>
      <c r="X39" s="30">
        <f t="shared" si="13"/>
        <v>697.01639028</v>
      </c>
      <c r="Y39" s="30">
        <f t="shared" si="13"/>
        <v>638.49969048000014</v>
      </c>
      <c r="Z39" s="29">
        <f t="shared" si="14"/>
        <v>16470.4178856</v>
      </c>
      <c r="AA39" s="28">
        <v>31</v>
      </c>
      <c r="AB39" s="5">
        <f t="shared" si="1"/>
        <v>510582.95445359999</v>
      </c>
    </row>
    <row r="40" spans="1:28" ht="14.25" customHeight="1">
      <c r="A40" s="4">
        <v>46905</v>
      </c>
      <c r="B40" s="30">
        <f t="shared" si="13"/>
        <v>631.41142223999998</v>
      </c>
      <c r="C40" s="30">
        <f t="shared" si="13"/>
        <v>558.38686463999989</v>
      </c>
      <c r="D40" s="30">
        <f t="shared" si="13"/>
        <v>551.82067847999997</v>
      </c>
      <c r="E40" s="30">
        <f t="shared" si="13"/>
        <v>537.81482267999991</v>
      </c>
      <c r="F40" s="30">
        <f t="shared" si="13"/>
        <v>531.60673128000008</v>
      </c>
      <c r="G40" s="30">
        <f t="shared" si="13"/>
        <v>532.84500287999981</v>
      </c>
      <c r="H40" s="30">
        <f t="shared" si="13"/>
        <v>549.89968415999999</v>
      </c>
      <c r="I40" s="30">
        <f t="shared" si="13"/>
        <v>604.93918343999997</v>
      </c>
      <c r="J40" s="30">
        <f t="shared" si="13"/>
        <v>656.89973711999994</v>
      </c>
      <c r="K40" s="30">
        <f t="shared" si="13"/>
        <v>690.59076468000001</v>
      </c>
      <c r="L40" s="30">
        <f t="shared" si="13"/>
        <v>708.29470187999993</v>
      </c>
      <c r="M40" s="30">
        <f t="shared" si="13"/>
        <v>738.93355728000006</v>
      </c>
      <c r="N40" s="30">
        <f t="shared" si="13"/>
        <v>754.29816515999994</v>
      </c>
      <c r="O40" s="30">
        <f t="shared" si="13"/>
        <v>760.05445475999989</v>
      </c>
      <c r="P40" s="30">
        <f t="shared" si="13"/>
        <v>757.6716186000001</v>
      </c>
      <c r="Q40" s="30">
        <f t="shared" si="13"/>
        <v>747.18647016</v>
      </c>
      <c r="R40" s="30">
        <f t="shared" si="13"/>
        <v>747.23667036000006</v>
      </c>
      <c r="S40" s="30">
        <f t="shared" si="13"/>
        <v>761.66420784000002</v>
      </c>
      <c r="T40" s="30">
        <f t="shared" si="13"/>
        <v>837.09502836000001</v>
      </c>
      <c r="U40" s="30">
        <f t="shared" si="13"/>
        <v>862.33568892000005</v>
      </c>
      <c r="V40" s="30">
        <f t="shared" si="13"/>
        <v>837.41630964000001</v>
      </c>
      <c r="W40" s="30">
        <f t="shared" si="13"/>
        <v>776.50004027999989</v>
      </c>
      <c r="X40" s="30">
        <f t="shared" si="13"/>
        <v>697.01639028</v>
      </c>
      <c r="Y40" s="30">
        <f t="shared" si="13"/>
        <v>638.49969048000014</v>
      </c>
      <c r="Z40" s="29">
        <f t="shared" si="14"/>
        <v>16470.4178856</v>
      </c>
      <c r="AA40" s="28">
        <v>30</v>
      </c>
      <c r="AB40" s="5">
        <f t="shared" si="1"/>
        <v>494112.53656799998</v>
      </c>
    </row>
    <row r="41" spans="1:28" ht="14.25" customHeight="1">
      <c r="A41" s="4">
        <v>46935</v>
      </c>
      <c r="B41" s="30">
        <f t="shared" si="13"/>
        <v>631.41142223999998</v>
      </c>
      <c r="C41" s="30">
        <f t="shared" si="13"/>
        <v>558.38686463999989</v>
      </c>
      <c r="D41" s="30">
        <f t="shared" si="13"/>
        <v>551.82067847999997</v>
      </c>
      <c r="E41" s="30">
        <f t="shared" si="13"/>
        <v>537.81482267999991</v>
      </c>
      <c r="F41" s="30">
        <f t="shared" si="13"/>
        <v>531.60673128000008</v>
      </c>
      <c r="G41" s="30">
        <f t="shared" si="13"/>
        <v>532.84500287999981</v>
      </c>
      <c r="H41" s="30">
        <f t="shared" si="13"/>
        <v>549.89968415999999</v>
      </c>
      <c r="I41" s="30">
        <f t="shared" si="13"/>
        <v>604.93918343999997</v>
      </c>
      <c r="J41" s="30">
        <f t="shared" si="13"/>
        <v>656.89973711999994</v>
      </c>
      <c r="K41" s="30">
        <f t="shared" si="13"/>
        <v>690.59076468000001</v>
      </c>
      <c r="L41" s="30">
        <f t="shared" si="13"/>
        <v>708.29470187999993</v>
      </c>
      <c r="M41" s="30">
        <f t="shared" si="13"/>
        <v>738.93355728000006</v>
      </c>
      <c r="N41" s="30">
        <f t="shared" si="13"/>
        <v>754.29816515999994</v>
      </c>
      <c r="O41" s="30">
        <f t="shared" si="13"/>
        <v>760.05445475999989</v>
      </c>
      <c r="P41" s="30">
        <f t="shared" si="13"/>
        <v>757.6716186000001</v>
      </c>
      <c r="Q41" s="30">
        <f t="shared" si="13"/>
        <v>747.18647016</v>
      </c>
      <c r="R41" s="30">
        <f t="shared" si="13"/>
        <v>747.23667036000006</v>
      </c>
      <c r="S41" s="30">
        <f t="shared" si="13"/>
        <v>761.66420784000002</v>
      </c>
      <c r="T41" s="30">
        <f t="shared" si="13"/>
        <v>837.09502836000001</v>
      </c>
      <c r="U41" s="30">
        <f t="shared" si="13"/>
        <v>862.33568892000005</v>
      </c>
      <c r="V41" s="30">
        <f t="shared" si="13"/>
        <v>837.41630964000001</v>
      </c>
      <c r="W41" s="30">
        <f t="shared" si="13"/>
        <v>776.50004027999989</v>
      </c>
      <c r="X41" s="30">
        <f t="shared" si="13"/>
        <v>697.01639028</v>
      </c>
      <c r="Y41" s="30">
        <f t="shared" si="13"/>
        <v>638.49969048000014</v>
      </c>
      <c r="Z41" s="29">
        <f t="shared" si="14"/>
        <v>16470.4178856</v>
      </c>
      <c r="AA41" s="28">
        <v>31</v>
      </c>
      <c r="AB41" s="5">
        <f t="shared" si="1"/>
        <v>510582.95445359999</v>
      </c>
    </row>
    <row r="42" spans="1:28" ht="14.25" customHeight="1">
      <c r="A42" s="4">
        <v>46966</v>
      </c>
      <c r="B42" s="30">
        <f t="shared" si="13"/>
        <v>631.41142223999998</v>
      </c>
      <c r="C42" s="30">
        <f t="shared" si="13"/>
        <v>558.38686463999989</v>
      </c>
      <c r="D42" s="30">
        <f t="shared" si="13"/>
        <v>551.82067847999997</v>
      </c>
      <c r="E42" s="30">
        <f t="shared" si="13"/>
        <v>537.81482267999991</v>
      </c>
      <c r="F42" s="30">
        <f t="shared" si="13"/>
        <v>531.60673128000008</v>
      </c>
      <c r="G42" s="30">
        <f t="shared" si="13"/>
        <v>532.84500287999981</v>
      </c>
      <c r="H42" s="30">
        <f t="shared" si="13"/>
        <v>549.89968415999999</v>
      </c>
      <c r="I42" s="30">
        <f t="shared" si="13"/>
        <v>604.93918343999997</v>
      </c>
      <c r="J42" s="30">
        <f t="shared" si="13"/>
        <v>656.89973711999994</v>
      </c>
      <c r="K42" s="30">
        <f t="shared" si="13"/>
        <v>690.59076468000001</v>
      </c>
      <c r="L42" s="30">
        <f t="shared" si="13"/>
        <v>708.29470187999993</v>
      </c>
      <c r="M42" s="30">
        <f t="shared" si="13"/>
        <v>738.93355728000006</v>
      </c>
      <c r="N42" s="30">
        <f t="shared" si="13"/>
        <v>754.29816515999994</v>
      </c>
      <c r="O42" s="30">
        <f t="shared" si="13"/>
        <v>760.05445475999989</v>
      </c>
      <c r="P42" s="30">
        <f t="shared" si="13"/>
        <v>757.6716186000001</v>
      </c>
      <c r="Q42" s="30">
        <f t="shared" si="13"/>
        <v>747.18647016</v>
      </c>
      <c r="R42" s="30">
        <f t="shared" si="13"/>
        <v>747.23667036000006</v>
      </c>
      <c r="S42" s="30">
        <f t="shared" si="13"/>
        <v>761.66420784000002</v>
      </c>
      <c r="T42" s="30">
        <f t="shared" si="13"/>
        <v>837.09502836000001</v>
      </c>
      <c r="U42" s="30">
        <f t="shared" si="13"/>
        <v>862.33568892000005</v>
      </c>
      <c r="V42" s="30">
        <f t="shared" si="13"/>
        <v>837.41630964000001</v>
      </c>
      <c r="W42" s="30">
        <f t="shared" si="13"/>
        <v>776.50004027999989</v>
      </c>
      <c r="X42" s="30">
        <f t="shared" si="13"/>
        <v>697.01639028</v>
      </c>
      <c r="Y42" s="30">
        <f t="shared" si="13"/>
        <v>638.49969048000014</v>
      </c>
      <c r="Z42" s="29">
        <f t="shared" si="14"/>
        <v>16470.4178856</v>
      </c>
      <c r="AA42" s="28">
        <v>31</v>
      </c>
      <c r="AB42" s="5">
        <f t="shared" si="1"/>
        <v>510582.95445359999</v>
      </c>
    </row>
    <row r="43" spans="1:28" ht="14.25" customHeight="1">
      <c r="A43" s="4">
        <v>46997</v>
      </c>
      <c r="B43" s="30">
        <f t="shared" si="13"/>
        <v>631.41142223999998</v>
      </c>
      <c r="C43" s="30">
        <f t="shared" si="13"/>
        <v>558.38686463999989</v>
      </c>
      <c r="D43" s="30">
        <f t="shared" si="13"/>
        <v>551.82067847999997</v>
      </c>
      <c r="E43" s="30">
        <f t="shared" si="13"/>
        <v>537.81482267999991</v>
      </c>
      <c r="F43" s="30">
        <f t="shared" si="13"/>
        <v>531.60673128000008</v>
      </c>
      <c r="G43" s="30">
        <f t="shared" si="13"/>
        <v>532.84500287999981</v>
      </c>
      <c r="H43" s="30">
        <f t="shared" si="13"/>
        <v>549.89968415999999</v>
      </c>
      <c r="I43" s="30">
        <f t="shared" si="13"/>
        <v>604.93918343999997</v>
      </c>
      <c r="J43" s="30">
        <f t="shared" si="13"/>
        <v>656.89973711999994</v>
      </c>
      <c r="K43" s="30">
        <f t="shared" si="13"/>
        <v>690.59076468000001</v>
      </c>
      <c r="L43" s="30">
        <f t="shared" si="13"/>
        <v>708.29470187999993</v>
      </c>
      <c r="M43" s="30">
        <f t="shared" si="13"/>
        <v>738.93355728000006</v>
      </c>
      <c r="N43" s="30">
        <f t="shared" si="13"/>
        <v>754.29816515999994</v>
      </c>
      <c r="O43" s="30">
        <f t="shared" si="13"/>
        <v>760.05445475999989</v>
      </c>
      <c r="P43" s="30">
        <f t="shared" si="13"/>
        <v>757.6716186000001</v>
      </c>
      <c r="Q43" s="30">
        <f t="shared" si="13"/>
        <v>747.18647016</v>
      </c>
      <c r="R43" s="30">
        <f t="shared" si="13"/>
        <v>747.23667036000006</v>
      </c>
      <c r="S43" s="30">
        <f t="shared" si="13"/>
        <v>761.66420784000002</v>
      </c>
      <c r="T43" s="30">
        <f t="shared" si="13"/>
        <v>837.09502836000001</v>
      </c>
      <c r="U43" s="30">
        <f t="shared" si="13"/>
        <v>862.33568892000005</v>
      </c>
      <c r="V43" s="30">
        <f t="shared" si="13"/>
        <v>837.41630964000001</v>
      </c>
      <c r="W43" s="30">
        <f t="shared" si="13"/>
        <v>776.50004027999989</v>
      </c>
      <c r="X43" s="30">
        <f t="shared" si="13"/>
        <v>697.01639028</v>
      </c>
      <c r="Y43" s="30">
        <f t="shared" si="13"/>
        <v>638.49969048000014</v>
      </c>
      <c r="Z43" s="29">
        <f t="shared" si="14"/>
        <v>16470.4178856</v>
      </c>
      <c r="AA43" s="28">
        <v>30</v>
      </c>
      <c r="AB43" s="5">
        <f t="shared" si="1"/>
        <v>494112.53656799998</v>
      </c>
    </row>
    <row r="44" spans="1:28" ht="14.25" customHeight="1">
      <c r="A44" s="4">
        <v>47027</v>
      </c>
      <c r="B44" s="30">
        <f t="shared" si="13"/>
        <v>631.41142223999998</v>
      </c>
      <c r="C44" s="30">
        <f t="shared" si="13"/>
        <v>558.38686463999989</v>
      </c>
      <c r="D44" s="30">
        <f t="shared" si="13"/>
        <v>551.82067847999997</v>
      </c>
      <c r="E44" s="30">
        <f t="shared" si="13"/>
        <v>537.81482267999991</v>
      </c>
      <c r="F44" s="30">
        <f t="shared" si="13"/>
        <v>531.60673128000008</v>
      </c>
      <c r="G44" s="30">
        <f t="shared" si="13"/>
        <v>532.84500287999981</v>
      </c>
      <c r="H44" s="30">
        <f t="shared" si="13"/>
        <v>549.89968415999999</v>
      </c>
      <c r="I44" s="30">
        <f t="shared" si="13"/>
        <v>604.93918343999997</v>
      </c>
      <c r="J44" s="30">
        <f t="shared" si="13"/>
        <v>656.89973711999994</v>
      </c>
      <c r="K44" s="30">
        <f t="shared" si="13"/>
        <v>690.59076468000001</v>
      </c>
      <c r="L44" s="30">
        <f t="shared" si="13"/>
        <v>708.29470187999993</v>
      </c>
      <c r="M44" s="30">
        <f t="shared" si="13"/>
        <v>738.93355728000006</v>
      </c>
      <c r="N44" s="30">
        <f t="shared" si="13"/>
        <v>754.29816515999994</v>
      </c>
      <c r="O44" s="30">
        <f t="shared" si="13"/>
        <v>760.05445475999989</v>
      </c>
      <c r="P44" s="30">
        <f t="shared" si="13"/>
        <v>757.6716186000001</v>
      </c>
      <c r="Q44" s="30">
        <f t="shared" si="13"/>
        <v>747.18647016</v>
      </c>
      <c r="R44" s="30">
        <f t="shared" si="13"/>
        <v>747.23667036000006</v>
      </c>
      <c r="S44" s="30">
        <f t="shared" si="13"/>
        <v>761.66420784000002</v>
      </c>
      <c r="T44" s="30">
        <f t="shared" si="13"/>
        <v>837.09502836000001</v>
      </c>
      <c r="U44" s="30">
        <f t="shared" si="13"/>
        <v>862.33568892000005</v>
      </c>
      <c r="V44" s="30">
        <f t="shared" si="13"/>
        <v>837.41630964000001</v>
      </c>
      <c r="W44" s="30">
        <f t="shared" si="13"/>
        <v>776.50004027999989</v>
      </c>
      <c r="X44" s="30">
        <f t="shared" si="13"/>
        <v>697.01639028</v>
      </c>
      <c r="Y44" s="30">
        <f t="shared" si="13"/>
        <v>638.49969048000014</v>
      </c>
      <c r="Z44" s="29">
        <f t="shared" si="14"/>
        <v>16470.4178856</v>
      </c>
      <c r="AA44" s="28">
        <v>31</v>
      </c>
      <c r="AB44" s="5">
        <f t="shared" si="1"/>
        <v>510582.95445359999</v>
      </c>
    </row>
    <row r="45" spans="1:28" ht="14.25" customHeight="1">
      <c r="A45" s="4">
        <v>47058</v>
      </c>
      <c r="B45" s="30">
        <f t="shared" si="13"/>
        <v>631.41142223999998</v>
      </c>
      <c r="C45" s="30">
        <f t="shared" si="13"/>
        <v>558.38686463999989</v>
      </c>
      <c r="D45" s="30">
        <f t="shared" si="13"/>
        <v>551.82067847999997</v>
      </c>
      <c r="E45" s="30">
        <f t="shared" si="13"/>
        <v>537.81482267999991</v>
      </c>
      <c r="F45" s="30">
        <f t="shared" si="13"/>
        <v>531.60673128000008</v>
      </c>
      <c r="G45" s="30">
        <f t="shared" si="13"/>
        <v>532.84500287999981</v>
      </c>
      <c r="H45" s="30">
        <f t="shared" si="13"/>
        <v>549.89968415999999</v>
      </c>
      <c r="I45" s="30">
        <f t="shared" si="13"/>
        <v>604.93918343999997</v>
      </c>
      <c r="J45" s="30">
        <f t="shared" si="13"/>
        <v>656.89973711999994</v>
      </c>
      <c r="K45" s="30">
        <f t="shared" si="13"/>
        <v>690.59076468000001</v>
      </c>
      <c r="L45" s="30">
        <f t="shared" si="13"/>
        <v>708.29470187999993</v>
      </c>
      <c r="M45" s="30">
        <f t="shared" si="13"/>
        <v>738.93355728000006</v>
      </c>
      <c r="N45" s="30">
        <f t="shared" si="13"/>
        <v>754.29816515999994</v>
      </c>
      <c r="O45" s="30">
        <f t="shared" si="13"/>
        <v>760.05445475999989</v>
      </c>
      <c r="P45" s="30">
        <f t="shared" si="13"/>
        <v>757.6716186000001</v>
      </c>
      <c r="Q45" s="30">
        <f t="shared" ref="B45:Y46" si="15">+Q33*1.002</f>
        <v>747.18647016</v>
      </c>
      <c r="R45" s="30">
        <f t="shared" si="15"/>
        <v>747.23667036000006</v>
      </c>
      <c r="S45" s="30">
        <f t="shared" si="15"/>
        <v>761.66420784000002</v>
      </c>
      <c r="T45" s="30">
        <f t="shared" si="15"/>
        <v>837.09502836000001</v>
      </c>
      <c r="U45" s="30">
        <f t="shared" si="15"/>
        <v>862.33568892000005</v>
      </c>
      <c r="V45" s="30">
        <f t="shared" si="15"/>
        <v>837.41630964000001</v>
      </c>
      <c r="W45" s="30">
        <f t="shared" si="15"/>
        <v>776.50004027999989</v>
      </c>
      <c r="X45" s="30">
        <f t="shared" si="15"/>
        <v>697.01639028</v>
      </c>
      <c r="Y45" s="30">
        <f t="shared" si="15"/>
        <v>638.49969048000014</v>
      </c>
      <c r="Z45" s="29">
        <f t="shared" si="14"/>
        <v>16470.4178856</v>
      </c>
      <c r="AA45" s="28">
        <v>30</v>
      </c>
      <c r="AB45" s="5">
        <f t="shared" si="1"/>
        <v>494112.53656799998</v>
      </c>
    </row>
    <row r="46" spans="1:28" ht="14.25" customHeight="1">
      <c r="A46" s="4">
        <v>47088</v>
      </c>
      <c r="B46" s="30">
        <f t="shared" si="15"/>
        <v>631.41142223999998</v>
      </c>
      <c r="C46" s="30">
        <f t="shared" si="15"/>
        <v>558.38686463999989</v>
      </c>
      <c r="D46" s="30">
        <f t="shared" si="15"/>
        <v>551.82067847999997</v>
      </c>
      <c r="E46" s="30">
        <f t="shared" si="15"/>
        <v>537.81482267999991</v>
      </c>
      <c r="F46" s="30">
        <f t="shared" si="15"/>
        <v>531.60673128000008</v>
      </c>
      <c r="G46" s="30">
        <f t="shared" si="15"/>
        <v>532.84500287999981</v>
      </c>
      <c r="H46" s="30">
        <f t="shared" si="15"/>
        <v>549.89968415999999</v>
      </c>
      <c r="I46" s="30">
        <f t="shared" si="15"/>
        <v>604.93918343999997</v>
      </c>
      <c r="J46" s="30">
        <f t="shared" si="15"/>
        <v>656.89973711999994</v>
      </c>
      <c r="K46" s="30">
        <f t="shared" si="15"/>
        <v>690.59076468000001</v>
      </c>
      <c r="L46" s="30">
        <f t="shared" si="15"/>
        <v>708.29470187999993</v>
      </c>
      <c r="M46" s="30">
        <f t="shared" si="15"/>
        <v>738.93355728000006</v>
      </c>
      <c r="N46" s="30">
        <f t="shared" si="15"/>
        <v>754.29816515999994</v>
      </c>
      <c r="O46" s="30">
        <f t="shared" si="15"/>
        <v>760.05445475999989</v>
      </c>
      <c r="P46" s="30">
        <f t="shared" si="15"/>
        <v>757.6716186000001</v>
      </c>
      <c r="Q46" s="30">
        <f t="shared" si="15"/>
        <v>747.18647016</v>
      </c>
      <c r="R46" s="30">
        <f t="shared" si="15"/>
        <v>747.23667036000006</v>
      </c>
      <c r="S46" s="30">
        <f t="shared" si="15"/>
        <v>761.66420784000002</v>
      </c>
      <c r="T46" s="30">
        <f t="shared" si="15"/>
        <v>837.09502836000001</v>
      </c>
      <c r="U46" s="30">
        <f t="shared" si="15"/>
        <v>862.33568892000005</v>
      </c>
      <c r="V46" s="30">
        <f t="shared" si="15"/>
        <v>837.41630964000001</v>
      </c>
      <c r="W46" s="30">
        <f t="shared" si="15"/>
        <v>776.50004027999989</v>
      </c>
      <c r="X46" s="30">
        <f t="shared" si="15"/>
        <v>697.01639028</v>
      </c>
      <c r="Y46" s="30">
        <f t="shared" si="15"/>
        <v>638.49969048000014</v>
      </c>
      <c r="Z46" s="29">
        <f t="shared" si="14"/>
        <v>16470.4178856</v>
      </c>
      <c r="AA46" s="31">
        <v>31</v>
      </c>
      <c r="AB46" s="32">
        <f t="shared" si="1"/>
        <v>510582.95445359999</v>
      </c>
    </row>
    <row r="47" spans="1:28" ht="14.25" customHeight="1">
      <c r="W47" s="35" t="s">
        <v>28</v>
      </c>
      <c r="X47" s="36"/>
      <c r="Y47" s="37"/>
      <c r="Z47" s="44"/>
      <c r="AA47" s="34"/>
      <c r="AB47" s="34">
        <f>SUM(AB11:AB46)</f>
        <v>16193627.710054668</v>
      </c>
    </row>
    <row r="48" spans="1:2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mergeCells count="7">
    <mergeCell ref="A1:AB1"/>
    <mergeCell ref="A2:AB2"/>
    <mergeCell ref="A3:AB3"/>
    <mergeCell ref="A4:AB4"/>
    <mergeCell ref="A5:AB5"/>
    <mergeCell ref="A9:AB9"/>
    <mergeCell ref="W47:Y4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3"/>
  <sheetViews>
    <sheetView tabSelected="1" topLeftCell="A48" workbookViewId="0">
      <selection activeCell="B56" sqref="B56"/>
    </sheetView>
  </sheetViews>
  <sheetFormatPr baseColWidth="10" defaultColWidth="14.453125" defaultRowHeight="15" customHeight="1"/>
  <cols>
    <col min="1" max="1" width="5.54296875" customWidth="1"/>
    <col min="2" max="2" width="10.7265625" customWidth="1"/>
    <col min="3" max="3" width="14" customWidth="1"/>
    <col min="4" max="4" width="12" customWidth="1"/>
    <col min="5" max="5" width="12.453125" customWidth="1"/>
    <col min="6" max="6" width="12.81640625" customWidth="1"/>
    <col min="7" max="7" width="0.453125" hidden="1" customWidth="1"/>
    <col min="8" max="21" width="10.7265625" customWidth="1"/>
  </cols>
  <sheetData>
    <row r="1" spans="1:7" ht="14.25" customHeight="1"/>
    <row r="2" spans="1:7" ht="14.25" customHeight="1"/>
    <row r="3" spans="1:7" ht="14.25" customHeight="1">
      <c r="B3" s="19" t="s">
        <v>40</v>
      </c>
      <c r="C3" s="15"/>
      <c r="D3" s="15"/>
      <c r="E3" s="15"/>
      <c r="F3" s="15"/>
      <c r="G3" s="15"/>
    </row>
    <row r="4" spans="1:7" ht="14.25" customHeight="1">
      <c r="A4" s="6"/>
      <c r="B4" s="19" t="s">
        <v>48</v>
      </c>
      <c r="C4" s="15"/>
      <c r="D4" s="15"/>
      <c r="E4" s="15"/>
      <c r="F4" s="15"/>
      <c r="G4" s="15"/>
    </row>
    <row r="5" spans="1:7" ht="14.25" customHeight="1">
      <c r="A5" s="6"/>
      <c r="B5" s="20" t="s">
        <v>29</v>
      </c>
      <c r="C5" s="15"/>
      <c r="D5" s="15"/>
      <c r="E5" s="15"/>
      <c r="F5" s="15"/>
      <c r="G5" s="15"/>
    </row>
    <row r="6" spans="1:7" ht="14.25" customHeight="1">
      <c r="A6" s="6"/>
      <c r="B6" s="20" t="s">
        <v>30</v>
      </c>
      <c r="C6" s="15"/>
      <c r="D6" s="15"/>
      <c r="E6" s="15"/>
      <c r="F6" s="15"/>
      <c r="G6" s="15"/>
    </row>
    <row r="7" spans="1:7" ht="14.25" customHeight="1">
      <c r="A7" s="6"/>
      <c r="B7" s="20" t="s">
        <v>31</v>
      </c>
      <c r="C7" s="15"/>
      <c r="D7" s="15"/>
      <c r="E7" s="15"/>
      <c r="F7" s="15"/>
      <c r="G7" s="15"/>
    </row>
    <row r="8" spans="1:7" ht="14.25" customHeight="1">
      <c r="A8" s="6"/>
      <c r="B8" s="19" t="s">
        <v>49</v>
      </c>
      <c r="C8" s="15"/>
      <c r="D8" s="15"/>
      <c r="E8" s="15"/>
      <c r="F8" s="15"/>
      <c r="G8" s="15"/>
    </row>
    <row r="9" spans="1:7" ht="14.25" customHeight="1">
      <c r="A9" s="6"/>
      <c r="B9" s="7"/>
      <c r="C9" s="7"/>
      <c r="D9" s="7"/>
      <c r="E9" s="7"/>
      <c r="F9" s="7"/>
      <c r="G9" s="7"/>
    </row>
    <row r="10" spans="1:7" ht="14.25" customHeight="1">
      <c r="A10" s="6"/>
      <c r="B10" s="51" t="s">
        <v>44</v>
      </c>
      <c r="C10" s="33"/>
      <c r="D10" s="33"/>
      <c r="E10" s="33"/>
      <c r="F10" s="33"/>
      <c r="G10" s="7"/>
    </row>
    <row r="11" spans="1:7" ht="26">
      <c r="A11" s="6"/>
      <c r="B11" s="46" t="s">
        <v>0</v>
      </c>
      <c r="C11" s="47" t="s">
        <v>32</v>
      </c>
      <c r="D11" s="47" t="s">
        <v>33</v>
      </c>
      <c r="E11" s="48" t="s">
        <v>34</v>
      </c>
      <c r="F11" s="47" t="s">
        <v>35</v>
      </c>
      <c r="G11" s="7"/>
    </row>
    <row r="12" spans="1:7" ht="14.25" customHeight="1">
      <c r="A12" s="6"/>
      <c r="B12" s="49">
        <v>46113</v>
      </c>
      <c r="C12" s="50">
        <f>+'Cant. Requeridas Producto 1'!AB14</f>
        <v>492142</v>
      </c>
      <c r="D12" s="22"/>
      <c r="E12" s="52">
        <f>+$D$12*C12</f>
        <v>0</v>
      </c>
      <c r="F12" s="22"/>
      <c r="G12" s="7"/>
    </row>
    <row r="13" spans="1:7" ht="14.25" customHeight="1">
      <c r="A13" s="6"/>
      <c r="B13" s="49">
        <v>46143</v>
      </c>
      <c r="C13" s="50">
        <f>+'Cant. Requeridas Producto 1'!AB15</f>
        <v>508546.73333333334</v>
      </c>
      <c r="D13" s="22"/>
      <c r="E13" s="52">
        <f>+$D$12*C13</f>
        <v>0</v>
      </c>
      <c r="F13" s="22"/>
      <c r="G13" s="7"/>
    </row>
    <row r="14" spans="1:7" ht="14.25" customHeight="1">
      <c r="A14" s="6"/>
      <c r="B14" s="49">
        <v>46174</v>
      </c>
      <c r="C14" s="50">
        <f>+'Cant. Requeridas Producto 1'!AB16</f>
        <v>492142</v>
      </c>
      <c r="D14" s="22"/>
      <c r="E14" s="52">
        <f t="shared" ref="E13:E20" si="0">+$D$12*C14</f>
        <v>0</v>
      </c>
      <c r="F14" s="22"/>
      <c r="G14" s="7"/>
    </row>
    <row r="15" spans="1:7" ht="14.25" customHeight="1">
      <c r="A15" s="6"/>
      <c r="B15" s="49">
        <v>46204</v>
      </c>
      <c r="C15" s="50">
        <f>+'Cant. Requeridas Producto 1'!AB17</f>
        <v>508546.73333333334</v>
      </c>
      <c r="D15" s="22"/>
      <c r="E15" s="52">
        <f t="shared" si="0"/>
        <v>0</v>
      </c>
      <c r="F15" s="22"/>
      <c r="G15" s="7"/>
    </row>
    <row r="16" spans="1:7" ht="14.25" customHeight="1">
      <c r="A16" s="6"/>
      <c r="B16" s="49">
        <v>46235</v>
      </c>
      <c r="C16" s="50">
        <f>+'Cant. Requeridas Producto 1'!AB18</f>
        <v>508546.73333333334</v>
      </c>
      <c r="D16" s="22"/>
      <c r="E16" s="52">
        <f t="shared" si="0"/>
        <v>0</v>
      </c>
      <c r="F16" s="22"/>
      <c r="G16" s="7"/>
    </row>
    <row r="17" spans="1:7" ht="14.25" customHeight="1">
      <c r="A17" s="6"/>
      <c r="B17" s="49">
        <v>46266</v>
      </c>
      <c r="C17" s="50">
        <f>+'Cant. Requeridas Producto 1'!AB19</f>
        <v>492142</v>
      </c>
      <c r="D17" s="22"/>
      <c r="E17" s="52">
        <f>+$D$12*C17</f>
        <v>0</v>
      </c>
      <c r="F17" s="22"/>
      <c r="G17" s="7"/>
    </row>
    <row r="18" spans="1:7" ht="14.25" customHeight="1">
      <c r="A18" s="6"/>
      <c r="B18" s="49">
        <v>46296</v>
      </c>
      <c r="C18" s="50">
        <f>+'Cant. Requeridas Producto 1'!AB20</f>
        <v>508546.73333333334</v>
      </c>
      <c r="D18" s="22"/>
      <c r="E18" s="52">
        <f t="shared" si="0"/>
        <v>0</v>
      </c>
      <c r="F18" s="22"/>
      <c r="G18" s="7"/>
    </row>
    <row r="19" spans="1:7" ht="14.25" customHeight="1">
      <c r="A19" s="6"/>
      <c r="B19" s="49">
        <v>46327</v>
      </c>
      <c r="C19" s="50">
        <f>+'Cant. Requeridas Producto 1'!AB21</f>
        <v>492142</v>
      </c>
      <c r="D19" s="22"/>
      <c r="E19" s="52">
        <f t="shared" si="0"/>
        <v>0</v>
      </c>
      <c r="F19" s="22"/>
      <c r="G19" s="7"/>
    </row>
    <row r="20" spans="1:7" ht="14.25" customHeight="1">
      <c r="A20" s="6"/>
      <c r="B20" s="49">
        <v>46357</v>
      </c>
      <c r="C20" s="50">
        <f>+'Cant. Requeridas Producto 1'!AB22</f>
        <v>508546.73333333334</v>
      </c>
      <c r="D20" s="22"/>
      <c r="E20" s="52">
        <f t="shared" si="0"/>
        <v>0</v>
      </c>
      <c r="F20" s="22"/>
      <c r="G20" s="7"/>
    </row>
    <row r="21" spans="1:7" ht="14.25" customHeight="1">
      <c r="A21" s="6"/>
      <c r="B21" s="49">
        <v>46388</v>
      </c>
      <c r="C21" s="50">
        <f>+'Cant. Requeridas Producto 1'!AB23</f>
        <v>509563.82679999998</v>
      </c>
      <c r="D21" s="22"/>
      <c r="E21" s="52">
        <f>+$D$21*C21</f>
        <v>0</v>
      </c>
      <c r="F21" s="22"/>
      <c r="G21" s="7"/>
    </row>
    <row r="22" spans="1:7" ht="14.25" customHeight="1">
      <c r="A22" s="6"/>
      <c r="B22" s="49">
        <v>46419</v>
      </c>
      <c r="C22" s="50">
        <f>+'Cant. Requeridas Producto 1'!AB24</f>
        <v>460251.19839999999</v>
      </c>
      <c r="D22" s="22"/>
      <c r="E22" s="52">
        <f>+$D$21*C22</f>
        <v>0</v>
      </c>
      <c r="F22" s="22"/>
      <c r="G22" s="7"/>
    </row>
    <row r="23" spans="1:7" ht="14.25" customHeight="1">
      <c r="A23" s="6"/>
      <c r="B23" s="49">
        <v>46447</v>
      </c>
      <c r="C23" s="50">
        <f>+'Cant. Requeridas Producto 1'!AB25</f>
        <v>345188.39879999997</v>
      </c>
      <c r="D23" s="22"/>
      <c r="E23" s="52">
        <f>+$D$21*C23</f>
        <v>0</v>
      </c>
      <c r="F23" s="22"/>
      <c r="G23" s="7"/>
    </row>
    <row r="24" spans="1:7" ht="14.25" customHeight="1">
      <c r="A24" s="6"/>
      <c r="B24" s="49">
        <v>46478</v>
      </c>
      <c r="C24" s="50">
        <f>+'Cant. Requeridas Producto 1'!AB26</f>
        <v>493126.28399999999</v>
      </c>
      <c r="D24" s="22"/>
      <c r="E24" s="52">
        <f>+$D$21*C24</f>
        <v>0</v>
      </c>
      <c r="F24" s="22"/>
      <c r="G24" s="7"/>
    </row>
    <row r="25" spans="1:7" ht="14.25" customHeight="1">
      <c r="A25" s="6"/>
      <c r="B25" s="49">
        <v>46508</v>
      </c>
      <c r="C25" s="50">
        <f>+'Cant. Requeridas Producto 1'!AB27</f>
        <v>509563.82679999998</v>
      </c>
      <c r="D25" s="22"/>
      <c r="E25" s="52">
        <f>+$D$21*C25</f>
        <v>0</v>
      </c>
      <c r="F25" s="22"/>
      <c r="G25" s="7"/>
    </row>
    <row r="26" spans="1:7" ht="14.25" customHeight="1">
      <c r="A26" s="6"/>
      <c r="B26" s="49">
        <v>46539</v>
      </c>
      <c r="C26" s="50">
        <f>+'Cant. Requeridas Producto 1'!AB28</f>
        <v>493126.28399999999</v>
      </c>
      <c r="D26" s="22"/>
      <c r="E26" s="52">
        <f>+$D$21*C26</f>
        <v>0</v>
      </c>
      <c r="F26" s="22"/>
      <c r="G26" s="7"/>
    </row>
    <row r="27" spans="1:7" ht="14.25" customHeight="1">
      <c r="A27" s="6"/>
      <c r="B27" s="49">
        <v>46569</v>
      </c>
      <c r="C27" s="50">
        <f>+'Cant. Requeridas Producto 1'!AB29</f>
        <v>509563.82679999998</v>
      </c>
      <c r="D27" s="22"/>
      <c r="E27" s="52">
        <f>+$D$21*C27</f>
        <v>0</v>
      </c>
      <c r="F27" s="22"/>
      <c r="G27" s="7"/>
    </row>
    <row r="28" spans="1:7" ht="14.25" customHeight="1">
      <c r="A28" s="6"/>
      <c r="B28" s="49">
        <v>46600</v>
      </c>
      <c r="C28" s="50">
        <f>+'Cant. Requeridas Producto 1'!AB30</f>
        <v>509563.82679999998</v>
      </c>
      <c r="D28" s="22"/>
      <c r="E28" s="52">
        <f>+$D$21*C28</f>
        <v>0</v>
      </c>
      <c r="F28" s="22"/>
      <c r="G28" s="7"/>
    </row>
    <row r="29" spans="1:7" ht="14.25" customHeight="1">
      <c r="A29" s="6"/>
      <c r="B29" s="49">
        <v>46631</v>
      </c>
      <c r="C29" s="50">
        <f>+'Cant. Requeridas Producto 1'!AB31</f>
        <v>493126.28399999999</v>
      </c>
      <c r="D29" s="22"/>
      <c r="E29" s="52">
        <f>+$D$21*C29</f>
        <v>0</v>
      </c>
      <c r="F29" s="22"/>
      <c r="G29" s="7"/>
    </row>
    <row r="30" spans="1:7" ht="14.25" customHeight="1">
      <c r="A30" s="6"/>
      <c r="B30" s="49">
        <v>46661</v>
      </c>
      <c r="C30" s="50">
        <f>+'Cant. Requeridas Producto 1'!AB32</f>
        <v>509563.82679999998</v>
      </c>
      <c r="D30" s="22"/>
      <c r="E30" s="52">
        <f>+$D$21*C30</f>
        <v>0</v>
      </c>
      <c r="F30" s="22"/>
      <c r="G30" s="7"/>
    </row>
    <row r="31" spans="1:7" ht="14.25" customHeight="1">
      <c r="A31" s="6"/>
      <c r="B31" s="49">
        <v>46692</v>
      </c>
      <c r="C31" s="50">
        <f>+'Cant. Requeridas Producto 1'!AB33</f>
        <v>493126.28399999999</v>
      </c>
      <c r="D31" s="22"/>
      <c r="E31" s="52">
        <f>+$D$21*C31</f>
        <v>0</v>
      </c>
      <c r="F31" s="22"/>
      <c r="G31" s="7"/>
    </row>
    <row r="32" spans="1:7" ht="14.25" customHeight="1">
      <c r="A32" s="6"/>
      <c r="B32" s="49">
        <v>46722</v>
      </c>
      <c r="C32" s="50">
        <f>+'Cant. Requeridas Producto 1'!AB34</f>
        <v>509563.82679999998</v>
      </c>
      <c r="D32" s="22"/>
      <c r="E32" s="52">
        <f>+$D$21*C32</f>
        <v>0</v>
      </c>
      <c r="F32" s="22"/>
      <c r="G32" s="7"/>
    </row>
    <row r="33" spans="1:7" ht="14.25" customHeight="1">
      <c r="A33" s="6"/>
      <c r="B33" s="49">
        <v>46753</v>
      </c>
      <c r="C33" s="50">
        <f>+'Cant. Requeridas Producto 1'!AB35</f>
        <v>510582.95445359999</v>
      </c>
      <c r="D33" s="22"/>
      <c r="E33" s="52">
        <f>+$D$33*C33</f>
        <v>0</v>
      </c>
      <c r="F33" s="22"/>
      <c r="G33" s="7"/>
    </row>
    <row r="34" spans="1:7" ht="14.25" customHeight="1">
      <c r="A34" s="6"/>
      <c r="B34" s="49">
        <v>46784</v>
      </c>
      <c r="C34" s="50">
        <f>+'Cant. Requeridas Producto 1'!AB36</f>
        <v>461171.70079679997</v>
      </c>
      <c r="D34" s="22"/>
      <c r="E34" s="52">
        <f>+$D$33*C34</f>
        <v>0</v>
      </c>
      <c r="F34" s="22"/>
      <c r="G34" s="7"/>
    </row>
    <row r="35" spans="1:7" ht="14.25" customHeight="1">
      <c r="A35" s="6"/>
      <c r="B35" s="49">
        <v>46813</v>
      </c>
      <c r="C35" s="50">
        <f>+'Cant. Requeridas Producto 1'!AB37</f>
        <v>345878.77559759998</v>
      </c>
      <c r="D35" s="22"/>
      <c r="E35" s="52">
        <f>+$D$33*C35</f>
        <v>0</v>
      </c>
      <c r="F35" s="22"/>
      <c r="G35" s="7"/>
    </row>
    <row r="36" spans="1:7" ht="14.25" customHeight="1">
      <c r="A36" s="6"/>
      <c r="B36" s="49">
        <v>46844</v>
      </c>
      <c r="C36" s="50">
        <f>+'Cant. Requeridas Producto 1'!AB38</f>
        <v>494112.53656799998</v>
      </c>
      <c r="D36" s="22"/>
      <c r="E36" s="52">
        <f>+$D$33*C36</f>
        <v>0</v>
      </c>
      <c r="F36" s="22"/>
      <c r="G36" s="7"/>
    </row>
    <row r="37" spans="1:7" ht="14.25" customHeight="1">
      <c r="A37" s="6"/>
      <c r="B37" s="49">
        <v>46874</v>
      </c>
      <c r="C37" s="50">
        <f>+'Cant. Requeridas Producto 1'!AB39</f>
        <v>510582.95445359999</v>
      </c>
      <c r="D37" s="22"/>
      <c r="E37" s="52">
        <f>+$D$33*C37</f>
        <v>0</v>
      </c>
      <c r="F37" s="22"/>
      <c r="G37" s="7"/>
    </row>
    <row r="38" spans="1:7" ht="14.25" customHeight="1">
      <c r="A38" s="6"/>
      <c r="B38" s="49">
        <v>46905</v>
      </c>
      <c r="C38" s="50">
        <f>+'Cant. Requeridas Producto 1'!AB40</f>
        <v>494112.53656799998</v>
      </c>
      <c r="D38" s="22"/>
      <c r="E38" s="52">
        <f>+$D$33*C38</f>
        <v>0</v>
      </c>
      <c r="F38" s="22"/>
      <c r="G38" s="7"/>
    </row>
    <row r="39" spans="1:7" ht="14.25" customHeight="1">
      <c r="A39" s="6"/>
      <c r="B39" s="49">
        <v>46935</v>
      </c>
      <c r="C39" s="50">
        <f>+'Cant. Requeridas Producto 1'!AB41</f>
        <v>510582.95445359999</v>
      </c>
      <c r="D39" s="22"/>
      <c r="E39" s="52">
        <f>+$D$33*C39</f>
        <v>0</v>
      </c>
      <c r="F39" s="22"/>
      <c r="G39" s="7"/>
    </row>
    <row r="40" spans="1:7" ht="14.25" customHeight="1">
      <c r="A40" s="6"/>
      <c r="B40" s="49">
        <v>46966</v>
      </c>
      <c r="C40" s="50">
        <f>+'Cant. Requeridas Producto 1'!AB42</f>
        <v>510582.95445359999</v>
      </c>
      <c r="D40" s="22"/>
      <c r="E40" s="52">
        <f>+$D$33*C40</f>
        <v>0</v>
      </c>
      <c r="F40" s="22"/>
      <c r="G40" s="7"/>
    </row>
    <row r="41" spans="1:7" ht="14.25" customHeight="1">
      <c r="A41" s="6"/>
      <c r="B41" s="49">
        <v>46997</v>
      </c>
      <c r="C41" s="50">
        <f>+'Cant. Requeridas Producto 1'!AB43</f>
        <v>494112.53656799998</v>
      </c>
      <c r="D41" s="22"/>
      <c r="E41" s="52">
        <f>+$D$33*C41</f>
        <v>0</v>
      </c>
      <c r="F41" s="22"/>
      <c r="G41" s="7"/>
    </row>
    <row r="42" spans="1:7" ht="14.25" customHeight="1">
      <c r="A42" s="6"/>
      <c r="B42" s="49">
        <v>47027</v>
      </c>
      <c r="C42" s="50">
        <f>+'Cant. Requeridas Producto 1'!AB44</f>
        <v>510582.95445359999</v>
      </c>
      <c r="D42" s="22"/>
      <c r="E42" s="52">
        <f>+$D$33*C42</f>
        <v>0</v>
      </c>
      <c r="F42" s="22"/>
      <c r="G42" s="7"/>
    </row>
    <row r="43" spans="1:7" ht="14.25" customHeight="1">
      <c r="A43" s="6"/>
      <c r="B43" s="49">
        <v>47058</v>
      </c>
      <c r="C43" s="50">
        <f>+'Cant. Requeridas Producto 1'!AB45</f>
        <v>494112.53656799998</v>
      </c>
      <c r="D43" s="22"/>
      <c r="E43" s="52">
        <f>+$D$33*C43</f>
        <v>0</v>
      </c>
      <c r="F43" s="22"/>
      <c r="G43" s="7"/>
    </row>
    <row r="44" spans="1:7" ht="14.25" customHeight="1">
      <c r="A44" s="6"/>
      <c r="B44" s="49">
        <v>47088</v>
      </c>
      <c r="C44" s="50">
        <f>+'Cant. Requeridas Producto 1'!AB46</f>
        <v>510582.95445359999</v>
      </c>
      <c r="D44" s="22"/>
      <c r="E44" s="52">
        <f>+$D$33*C44</f>
        <v>0</v>
      </c>
      <c r="F44" s="22"/>
      <c r="G44" s="7"/>
    </row>
    <row r="45" spans="1:7" ht="14.25" customHeight="1">
      <c r="A45" s="6"/>
      <c r="B45" s="53" t="s">
        <v>36</v>
      </c>
      <c r="C45" s="54">
        <f>SUM(C12:C44)</f>
        <v>16193627.710054668</v>
      </c>
      <c r="D45" s="55"/>
      <c r="E45" s="56">
        <f>SUM(E12:E44)</f>
        <v>0</v>
      </c>
      <c r="F45" s="57"/>
      <c r="G45" s="7"/>
    </row>
    <row r="46" spans="1:7" ht="14.25" customHeight="1">
      <c r="A46" s="6"/>
      <c r="B46" s="7"/>
      <c r="C46" s="7"/>
      <c r="D46" s="7"/>
      <c r="E46" s="7"/>
      <c r="F46" s="7"/>
      <c r="G46" s="7"/>
    </row>
    <row r="47" spans="1:7" ht="14.25" customHeight="1">
      <c r="E47" s="8"/>
    </row>
    <row r="48" spans="1:7" ht="14.25" customHeight="1">
      <c r="B48" s="21" t="s">
        <v>37</v>
      </c>
      <c r="C48" s="15"/>
      <c r="D48" s="15"/>
      <c r="E48" s="15"/>
      <c r="F48" s="15"/>
      <c r="G48" s="9"/>
    </row>
    <row r="49" spans="2:7" ht="14.5">
      <c r="B49" s="17" t="s">
        <v>45</v>
      </c>
      <c r="C49" s="15"/>
      <c r="D49" s="15"/>
      <c r="E49" s="15"/>
      <c r="F49" s="15"/>
      <c r="G49" s="15"/>
    </row>
    <row r="50" spans="2:7" ht="32.25" customHeight="1">
      <c r="B50" s="17" t="s">
        <v>46</v>
      </c>
      <c r="C50" s="15"/>
      <c r="D50" s="15"/>
      <c r="E50" s="15"/>
      <c r="F50" s="15"/>
      <c r="G50" s="15"/>
    </row>
    <row r="51" spans="2:7" ht="14.25" customHeight="1">
      <c r="B51" s="18"/>
      <c r="C51" s="15"/>
      <c r="D51" s="15"/>
      <c r="E51" s="15"/>
      <c r="F51" s="15"/>
      <c r="G51" s="15"/>
    </row>
    <row r="52" spans="2:7" ht="14.25" customHeight="1"/>
    <row r="53" spans="2:7" ht="14.25" customHeight="1"/>
    <row r="54" spans="2:7" ht="14.25" customHeight="1">
      <c r="B54" s="10"/>
      <c r="C54" s="10"/>
    </row>
    <row r="55" spans="2:7" ht="14.25" customHeight="1">
      <c r="B55" s="3" t="s">
        <v>38</v>
      </c>
    </row>
    <row r="56" spans="2:7" ht="14.25" customHeight="1">
      <c r="B56" s="3" t="s">
        <v>39</v>
      </c>
    </row>
    <row r="57" spans="2:7" ht="14.25" customHeight="1"/>
    <row r="58" spans="2:7" ht="14.25" customHeight="1"/>
    <row r="59" spans="2:7" ht="14.25" customHeight="1"/>
    <row r="60" spans="2:7" ht="14.25" customHeight="1"/>
    <row r="61" spans="2:7" ht="14.25" customHeight="1"/>
    <row r="62" spans="2:7" ht="14.25" customHeight="1"/>
    <row r="63" spans="2:7" ht="14.25" customHeight="1"/>
    <row r="64" spans="2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7">
    <mergeCell ref="B3:G3"/>
    <mergeCell ref="D21:D32"/>
    <mergeCell ref="D33:D44"/>
    <mergeCell ref="F21:F32"/>
    <mergeCell ref="F33:F44"/>
    <mergeCell ref="B49:G49"/>
    <mergeCell ref="B50:G50"/>
    <mergeCell ref="B51:G51"/>
    <mergeCell ref="B4:G4"/>
    <mergeCell ref="B5:G5"/>
    <mergeCell ref="B6:G6"/>
    <mergeCell ref="B7:G7"/>
    <mergeCell ref="B8:G8"/>
    <mergeCell ref="B10:F10"/>
    <mergeCell ref="B48:F48"/>
    <mergeCell ref="D12:D20"/>
    <mergeCell ref="F12:F20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Cant. Requeridas Producto 1</vt:lpstr>
      <vt:lpstr>Oferta Producto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 of trading BIA</dc:creator>
  <cp:lastModifiedBy>SM ENERGY SAS .</cp:lastModifiedBy>
  <dcterms:created xsi:type="dcterms:W3CDTF">2022-08-03T18:43:37Z</dcterms:created>
  <dcterms:modified xsi:type="dcterms:W3CDTF">2026-02-17T19:13:54Z</dcterms:modified>
</cp:coreProperties>
</file>