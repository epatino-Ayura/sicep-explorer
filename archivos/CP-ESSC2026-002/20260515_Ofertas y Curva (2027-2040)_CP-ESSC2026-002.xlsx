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pmco-my.sharepoint.com/personal/viviana_florez_essa_com_co/Documents/CONVOCATORIAS/2026/CP-ESSC2026-002/SICEP/PLIEGO CONSULTA/"/>
    </mc:Choice>
  </mc:AlternateContent>
  <xr:revisionPtr revIDLastSave="1297" documentId="14_{1CB0638B-464D-4AAC-AAB0-162CC1013860}" xr6:coauthVersionLast="47" xr6:coauthVersionMax="47" xr10:uidLastSave="{5A604BA0-6479-47DA-9AEF-27A525B493D6}"/>
  <bookViews>
    <workbookView xWindow="28680" yWindow="-120" windowWidth="29040" windowHeight="15720" firstSheet="1" activeTab="3" xr2:uid="{00000000-000D-0000-FFFF-FFFF00000000}"/>
  </bookViews>
  <sheets>
    <sheet name="Listas desplegables" sheetId="53" state="hidden" r:id="rId1"/>
    <sheet name="Banco de Preguntas" sheetId="77" r:id="rId2"/>
    <sheet name="Factor garantia" sheetId="78" r:id="rId3"/>
    <sheet name="Cantidades suministrar P1_27-29" sheetId="81" r:id="rId4"/>
    <sheet name="Cantidades suministrar P2_30-31" sheetId="90" r:id="rId5"/>
    <sheet name="Hoja9" sheetId="61" state="hidden" r:id="rId6"/>
    <sheet name="Hoja9 (2)" sheetId="62" state="hidden" r:id="rId7"/>
    <sheet name="Cant suministrar P3_32-41" sheetId="86" r:id="rId8"/>
    <sheet name="Cantidades 1_(2027-2029)" sheetId="82" r:id="rId9"/>
    <sheet name="Cantidades P2_(2030-2031)" sheetId="55" r:id="rId10"/>
    <sheet name="Cantidades P3_(2032-2041)" sheetId="89" r:id="rId11"/>
    <sheet name="Cantidades P7_(2031-2040) (2)" sheetId="91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8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localSheetId="2" hidden="1">527</definedName>
    <definedName name="_AtRisk_SimSetting_ReportOptionReportSelection" hidden="1">11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localSheetId="2" hidden="1">557</definedName>
    <definedName name="_AtRisk_SimSetting_ReportsList" hidden="1">11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1" hidden="1">'Banco de Preguntas'!$A$9:$D$9</definedName>
    <definedName name="_Toc148954622" localSheetId="1">'Banco de Preguntas'!#REF!</definedName>
    <definedName name="_Toc148954623" localSheetId="1">'Banco de Preguntas'!#REF!</definedName>
    <definedName name="_Toc148954624" localSheetId="1">'Banco de Preguntas'!#REF!</definedName>
    <definedName name="_Toc148954625" localSheetId="1">'Banco de Preguntas'!#REF!</definedName>
    <definedName name="aaa" localSheetId="8">[1]Hoja9!$A$1,[1]Hoja9!$A$3,[1]Hoja9!$A$5,[1]Hoja9!$B$6,[1]Hoja9!$C$7</definedName>
    <definedName name="aaa" localSheetId="3">[1]Hoja9!$A$1,[1]Hoja9!$A$3,[1]Hoja9!$A$5,[1]Hoja9!$B$6,[1]Hoja9!$C$7</definedName>
    <definedName name="aaa" localSheetId="4">[1]Hoja9!$A$1,[1]Hoja9!$A$3,[1]Hoja9!$A$5,[1]Hoja9!$B$6,[1]Hoja9!$C$7</definedName>
    <definedName name="aaa">#REF!,#REF!,#REF!,#REF!,#REF!</definedName>
    <definedName name="AAAA">#REF!</definedName>
    <definedName name="Criterio_Extraer_Dem_Reg" localSheetId="7">#REF!</definedName>
    <definedName name="Criterio_Extraer_Dem_Reg" localSheetId="8">#REF!</definedName>
    <definedName name="Criterio_Extraer_Dem_Reg" localSheetId="9">#REF!</definedName>
    <definedName name="Criterio_Extraer_Dem_Reg" localSheetId="10">#REF!</definedName>
    <definedName name="Criterio_Extraer_Dem_Reg" localSheetId="11">#REF!</definedName>
    <definedName name="Criterio_Extraer_Dem_Reg" localSheetId="3">#REF!</definedName>
    <definedName name="Criterio_Extraer_Dem_Reg" localSheetId="4">#REF!</definedName>
    <definedName name="Criterio_Extraer_Dem_Reg">#REF!</definedName>
    <definedName name="Cuadro" localSheetId="7">#REF!</definedName>
    <definedName name="Cuadro" localSheetId="8">#REF!</definedName>
    <definedName name="Cuadro" localSheetId="9">#REF!</definedName>
    <definedName name="Cuadro" localSheetId="10">#REF!</definedName>
    <definedName name="Cuadro" localSheetId="11">#REF!</definedName>
    <definedName name="Cuadro" localSheetId="3">#REF!</definedName>
    <definedName name="Cuadro" localSheetId="4">#REF!</definedName>
    <definedName name="Cuadro">#REF!</definedName>
    <definedName name="eeee" localSheetId="7">#REF!</definedName>
    <definedName name="eeee" localSheetId="8">[2]Comparación!#REF!</definedName>
    <definedName name="eeee" localSheetId="9">#REF!</definedName>
    <definedName name="eeee" localSheetId="10">#REF!</definedName>
    <definedName name="eeee" localSheetId="11">#REF!</definedName>
    <definedName name="eeee" localSheetId="3">[2]Comparación!#REF!</definedName>
    <definedName name="eeee" localSheetId="4">[2]Comparación!#REF!</definedName>
    <definedName name="eeee">#REF!</definedName>
    <definedName name="Meses" localSheetId="8">[3]Evaluación_Mensual!$S$2:$S$25</definedName>
    <definedName name="Meses" localSheetId="3">[3]Evaluación_Mensual!$S$2:$S$25</definedName>
    <definedName name="Meses" localSheetId="4">[3]Evaluación_Mensual!$S$2:$S$25</definedName>
    <definedName name="Meses" localSheetId="2">[4]Evaluación_Mensual!$S$2:$S$25</definedName>
    <definedName name="Meses">#REF!</definedName>
    <definedName name="Pal_Workbook_GUID" localSheetId="2" hidden="1">"DMVRUGH3ZJMYEFNXE5UILQPQ"</definedName>
    <definedName name="Pal_Workbook_GUID" hidden="1">"KPESJW88VIR9TP7JMWR844SG"</definedName>
    <definedName name="Precio_Estación" localSheetId="7">#REF!</definedName>
    <definedName name="Precio_Estación" localSheetId="8">#REF!</definedName>
    <definedName name="Precio_Estación" localSheetId="9">#REF!</definedName>
    <definedName name="Precio_Estación" localSheetId="10">#REF!</definedName>
    <definedName name="Precio_Estación" localSheetId="11">#REF!</definedName>
    <definedName name="Precio_Estación" localSheetId="3">#REF!</definedName>
    <definedName name="Precio_Estación" localSheetId="4">#REF!</definedName>
    <definedName name="Precio_Estación" localSheetId="2">#N/A</definedName>
    <definedName name="Precio_Estación">#REF!</definedName>
    <definedName name="Precio_Global" localSheetId="7">#REF!</definedName>
    <definedName name="Precio_Global" localSheetId="8">#REF!</definedName>
    <definedName name="Precio_Global" localSheetId="9">#REF!</definedName>
    <definedName name="Precio_Global" localSheetId="10">#REF!</definedName>
    <definedName name="Precio_Global" localSheetId="11">#REF!</definedName>
    <definedName name="Precio_Global" localSheetId="3">#REF!</definedName>
    <definedName name="Precio_Global" localSheetId="4">#REF!</definedName>
    <definedName name="Precio_Global" localSheetId="2">#N/A</definedName>
    <definedName name="Precio_Global">#REF!</definedName>
    <definedName name="Precio_Mes" localSheetId="7">#REF!</definedName>
    <definedName name="Precio_Mes" localSheetId="8">#REF!</definedName>
    <definedName name="Precio_Mes" localSheetId="9">#REF!</definedName>
    <definedName name="Precio_Mes" localSheetId="10">#REF!</definedName>
    <definedName name="Precio_Mes" localSheetId="11">#REF!</definedName>
    <definedName name="Precio_Mes" localSheetId="3">#REF!</definedName>
    <definedName name="Precio_Mes" localSheetId="4">#REF!</definedName>
    <definedName name="Precio_Mes" localSheetId="2">#N/A</definedName>
    <definedName name="Precio_Mes">#REF!</definedName>
    <definedName name="rbr" localSheetId="8">[5]Hoja9!$A$1,[5]Hoja9!$A$3,[5]Hoja9!$A$5,[5]Hoja9!$B$6,[5]Hoja9!$C$7</definedName>
    <definedName name="rbr" localSheetId="3">[5]Hoja9!$A$1,[5]Hoja9!$A$3,[5]Hoja9!$A$5,[5]Hoja9!$B$6,[5]Hoja9!$C$7</definedName>
    <definedName name="rbr" localSheetId="4">[5]Hoja9!$A$1,[5]Hoja9!$A$3,[5]Hoja9!$A$5,[5]Hoja9!$B$6,[5]Hoja9!$C$7</definedName>
    <definedName name="rbr">#REF!,#REF!,#REF!,#REF!,#REF!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2" hidden="1">6</definedName>
    <definedName name="RiskHasSettings" hidden="1">7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2" hidden="1">3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XX" localSheetId="7">#REF!</definedName>
    <definedName name="XX" localSheetId="8">[2]Comparación!#REF!</definedName>
    <definedName name="XX" localSheetId="9">#REF!</definedName>
    <definedName name="XX" localSheetId="10">#REF!</definedName>
    <definedName name="XX" localSheetId="11">#REF!</definedName>
    <definedName name="XX" localSheetId="3">[2]Comparación!#REF!</definedName>
    <definedName name="XX" localSheetId="4">[2]Comparación!#REF!</definedName>
    <definedName name="XX">#REF!</definedName>
    <definedName name="Z_5E23C26A_5DA4_4377_864E_D3BECE131DEC_.wvu.PrintArea" localSheetId="7" hidden="1">'Cant suministrar P3_32-41'!$B$12:$B$75</definedName>
    <definedName name="Z_5E23C26A_5DA4_4377_864E_D3BECE131DEC_.wvu.PrintArea" localSheetId="3" hidden="1">'Cantidades suministrar P1_27-29'!$B$14:$B$54</definedName>
    <definedName name="Z_5E23C26A_5DA4_4377_864E_D3BECE131DEC_.wvu.PrintArea" localSheetId="4" hidden="1">'Cantidades suministrar P2_30-31'!$B$14:$B$42</definedName>
    <definedName name="Z_66AA70F6_2777_42C7_BDA0_CD16FFB959D9_.wvu.PrintArea" localSheetId="7" hidden="1">'Cant suministrar P3_32-41'!$B$12:$B$75</definedName>
    <definedName name="Z_66AA70F6_2777_42C7_BDA0_CD16FFB959D9_.wvu.PrintArea" localSheetId="3" hidden="1">'Cantidades suministrar P1_27-29'!$B$14:$B$54</definedName>
    <definedName name="Z_66AA70F6_2777_42C7_BDA0_CD16FFB959D9_.wvu.PrintArea" localSheetId="4" hidden="1">'Cantidades suministrar P2_30-31'!$B$14:$B$42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476" i="89" l="1"/>
  <c r="I69" i="86" s="1"/>
  <c r="E404" i="89"/>
  <c r="F404" i="89"/>
  <c r="G404" i="89"/>
  <c r="H404" i="89"/>
  <c r="I404" i="89"/>
  <c r="J404" i="89"/>
  <c r="K404" i="89"/>
  <c r="L404" i="89"/>
  <c r="M404" i="89"/>
  <c r="N404" i="89"/>
  <c r="O404" i="89"/>
  <c r="P404" i="89"/>
  <c r="Q404" i="89"/>
  <c r="R404" i="89"/>
  <c r="S404" i="89"/>
  <c r="T404" i="89"/>
  <c r="U404" i="89"/>
  <c r="V404" i="89"/>
  <c r="W404" i="89"/>
  <c r="X404" i="89"/>
  <c r="Y404" i="89"/>
  <c r="Z404" i="89"/>
  <c r="AA404" i="89"/>
  <c r="AB404" i="89"/>
  <c r="E405" i="89"/>
  <c r="F405" i="89"/>
  <c r="G405" i="89"/>
  <c r="H405" i="89"/>
  <c r="I405" i="89"/>
  <c r="J405" i="89"/>
  <c r="K405" i="89"/>
  <c r="L405" i="89"/>
  <c r="M405" i="89"/>
  <c r="N405" i="89"/>
  <c r="O405" i="89"/>
  <c r="P405" i="89"/>
  <c r="Q405" i="89"/>
  <c r="R405" i="89"/>
  <c r="S405" i="89"/>
  <c r="T405" i="89"/>
  <c r="U405" i="89"/>
  <c r="V405" i="89"/>
  <c r="W405" i="89"/>
  <c r="X405" i="89"/>
  <c r="Y405" i="89"/>
  <c r="Z405" i="89"/>
  <c r="AA405" i="89"/>
  <c r="AB405" i="89"/>
  <c r="E406" i="89"/>
  <c r="F406" i="89"/>
  <c r="G406" i="89"/>
  <c r="H406" i="89"/>
  <c r="I406" i="89"/>
  <c r="J406" i="89"/>
  <c r="K406" i="89"/>
  <c r="L406" i="89"/>
  <c r="M406" i="89"/>
  <c r="N406" i="89"/>
  <c r="O406" i="89"/>
  <c r="P406" i="89"/>
  <c r="Q406" i="89"/>
  <c r="R406" i="89"/>
  <c r="S406" i="89"/>
  <c r="T406" i="89"/>
  <c r="U406" i="89"/>
  <c r="V406" i="89"/>
  <c r="W406" i="89"/>
  <c r="X406" i="89"/>
  <c r="Y406" i="89"/>
  <c r="Z406" i="89"/>
  <c r="AA406" i="89"/>
  <c r="AB406" i="89"/>
  <c r="E407" i="89"/>
  <c r="F407" i="89"/>
  <c r="G407" i="89"/>
  <c r="H407" i="89"/>
  <c r="I407" i="89"/>
  <c r="J407" i="89"/>
  <c r="K407" i="89"/>
  <c r="L407" i="89"/>
  <c r="M407" i="89"/>
  <c r="N407" i="89"/>
  <c r="O407" i="89"/>
  <c r="P407" i="89"/>
  <c r="Q407" i="89"/>
  <c r="R407" i="89"/>
  <c r="S407" i="89"/>
  <c r="T407" i="89"/>
  <c r="U407" i="89"/>
  <c r="V407" i="89"/>
  <c r="W407" i="89"/>
  <c r="X407" i="89"/>
  <c r="Y407" i="89"/>
  <c r="Z407" i="89"/>
  <c r="AA407" i="89"/>
  <c r="AB407" i="89"/>
  <c r="E408" i="89"/>
  <c r="F408" i="89"/>
  <c r="G408" i="89"/>
  <c r="H408" i="89"/>
  <c r="I408" i="89"/>
  <c r="J408" i="89"/>
  <c r="K408" i="89"/>
  <c r="L408" i="89"/>
  <c r="M408" i="89"/>
  <c r="N408" i="89"/>
  <c r="O408" i="89"/>
  <c r="P408" i="89"/>
  <c r="Q408" i="89"/>
  <c r="R408" i="89"/>
  <c r="S408" i="89"/>
  <c r="T408" i="89"/>
  <c r="U408" i="89"/>
  <c r="V408" i="89"/>
  <c r="W408" i="89"/>
  <c r="X408" i="89"/>
  <c r="Y408" i="89"/>
  <c r="Z408" i="89"/>
  <c r="AA408" i="89"/>
  <c r="AB408" i="89"/>
  <c r="E409" i="89"/>
  <c r="F409" i="89"/>
  <c r="G409" i="89"/>
  <c r="H409" i="89"/>
  <c r="I409" i="89"/>
  <c r="J409" i="89"/>
  <c r="K409" i="89"/>
  <c r="L409" i="89"/>
  <c r="M409" i="89"/>
  <c r="N409" i="89"/>
  <c r="O409" i="89"/>
  <c r="P409" i="89"/>
  <c r="Q409" i="89"/>
  <c r="R409" i="89"/>
  <c r="S409" i="89"/>
  <c r="T409" i="89"/>
  <c r="U409" i="89"/>
  <c r="V409" i="89"/>
  <c r="W409" i="89"/>
  <c r="X409" i="89"/>
  <c r="Y409" i="89"/>
  <c r="Z409" i="89"/>
  <c r="AA409" i="89"/>
  <c r="AB409" i="89"/>
  <c r="E410" i="89"/>
  <c r="F410" i="89"/>
  <c r="G410" i="89"/>
  <c r="H410" i="89"/>
  <c r="I410" i="89"/>
  <c r="J410" i="89"/>
  <c r="K410" i="89"/>
  <c r="L410" i="89"/>
  <c r="M410" i="89"/>
  <c r="N410" i="89"/>
  <c r="O410" i="89"/>
  <c r="P410" i="89"/>
  <c r="Q410" i="89"/>
  <c r="R410" i="89"/>
  <c r="S410" i="89"/>
  <c r="T410" i="89"/>
  <c r="U410" i="89"/>
  <c r="V410" i="89"/>
  <c r="W410" i="89"/>
  <c r="X410" i="89"/>
  <c r="Y410" i="89"/>
  <c r="Z410" i="89"/>
  <c r="AA410" i="89"/>
  <c r="AB410" i="89"/>
  <c r="E411" i="89"/>
  <c r="F411" i="89"/>
  <c r="G411" i="89"/>
  <c r="H411" i="89"/>
  <c r="I411" i="89"/>
  <c r="J411" i="89"/>
  <c r="K411" i="89"/>
  <c r="L411" i="89"/>
  <c r="M411" i="89"/>
  <c r="N411" i="89"/>
  <c r="O411" i="89"/>
  <c r="P411" i="89"/>
  <c r="Q411" i="89"/>
  <c r="R411" i="89"/>
  <c r="S411" i="89"/>
  <c r="T411" i="89"/>
  <c r="U411" i="89"/>
  <c r="V411" i="89"/>
  <c r="W411" i="89"/>
  <c r="X411" i="89"/>
  <c r="Y411" i="89"/>
  <c r="Z411" i="89"/>
  <c r="AA411" i="89"/>
  <c r="AB411" i="89"/>
  <c r="E412" i="89"/>
  <c r="F412" i="89"/>
  <c r="G412" i="89"/>
  <c r="H412" i="89"/>
  <c r="I412" i="89"/>
  <c r="J412" i="89"/>
  <c r="K412" i="89"/>
  <c r="L412" i="89"/>
  <c r="M412" i="89"/>
  <c r="N412" i="89"/>
  <c r="O412" i="89"/>
  <c r="P412" i="89"/>
  <c r="Q412" i="89"/>
  <c r="R412" i="89"/>
  <c r="S412" i="89"/>
  <c r="T412" i="89"/>
  <c r="U412" i="89"/>
  <c r="V412" i="89"/>
  <c r="W412" i="89"/>
  <c r="X412" i="89"/>
  <c r="Y412" i="89"/>
  <c r="Z412" i="89"/>
  <c r="AA412" i="89"/>
  <c r="AB412" i="89"/>
  <c r="E413" i="89"/>
  <c r="F413" i="89"/>
  <c r="G413" i="89"/>
  <c r="H413" i="89"/>
  <c r="I413" i="89"/>
  <c r="J413" i="89"/>
  <c r="K413" i="89"/>
  <c r="L413" i="89"/>
  <c r="M413" i="89"/>
  <c r="N413" i="89"/>
  <c r="O413" i="89"/>
  <c r="P413" i="89"/>
  <c r="Q413" i="89"/>
  <c r="R413" i="89"/>
  <c r="S413" i="89"/>
  <c r="T413" i="89"/>
  <c r="U413" i="89"/>
  <c r="V413" i="89"/>
  <c r="W413" i="89"/>
  <c r="X413" i="89"/>
  <c r="Y413" i="89"/>
  <c r="Z413" i="89"/>
  <c r="AA413" i="89"/>
  <c r="AB413" i="89"/>
  <c r="E414" i="89"/>
  <c r="F414" i="89"/>
  <c r="G414" i="89"/>
  <c r="H414" i="89"/>
  <c r="I414" i="89"/>
  <c r="J414" i="89"/>
  <c r="K414" i="89"/>
  <c r="L414" i="89"/>
  <c r="M414" i="89"/>
  <c r="N414" i="89"/>
  <c r="O414" i="89"/>
  <c r="P414" i="89"/>
  <c r="Q414" i="89"/>
  <c r="R414" i="89"/>
  <c r="S414" i="89"/>
  <c r="T414" i="89"/>
  <c r="U414" i="89"/>
  <c r="V414" i="89"/>
  <c r="W414" i="89"/>
  <c r="X414" i="89"/>
  <c r="Y414" i="89"/>
  <c r="Z414" i="89"/>
  <c r="AA414" i="89"/>
  <c r="AB414" i="89"/>
  <c r="E415" i="89"/>
  <c r="F415" i="89"/>
  <c r="G415" i="89"/>
  <c r="H415" i="89"/>
  <c r="I415" i="89"/>
  <c r="J415" i="89"/>
  <c r="K415" i="89"/>
  <c r="L415" i="89"/>
  <c r="M415" i="89"/>
  <c r="AC415" i="89" s="1"/>
  <c r="N415" i="89"/>
  <c r="O415" i="89"/>
  <c r="P415" i="89"/>
  <c r="Q415" i="89"/>
  <c r="R415" i="89"/>
  <c r="S415" i="89"/>
  <c r="T415" i="89"/>
  <c r="U415" i="89"/>
  <c r="V415" i="89"/>
  <c r="W415" i="89"/>
  <c r="X415" i="89"/>
  <c r="Y415" i="89"/>
  <c r="Z415" i="89"/>
  <c r="AA415" i="89"/>
  <c r="AB415" i="89"/>
  <c r="E416" i="89"/>
  <c r="F416" i="89"/>
  <c r="G416" i="89"/>
  <c r="H416" i="89"/>
  <c r="I416" i="89"/>
  <c r="J416" i="89"/>
  <c r="K416" i="89"/>
  <c r="L416" i="89"/>
  <c r="M416" i="89"/>
  <c r="N416" i="89"/>
  <c r="O416" i="89"/>
  <c r="P416" i="89"/>
  <c r="Q416" i="89"/>
  <c r="R416" i="89"/>
  <c r="S416" i="89"/>
  <c r="T416" i="89"/>
  <c r="U416" i="89"/>
  <c r="V416" i="89"/>
  <c r="W416" i="89"/>
  <c r="X416" i="89"/>
  <c r="Y416" i="89"/>
  <c r="Z416" i="89"/>
  <c r="AA416" i="89"/>
  <c r="AB416" i="89"/>
  <c r="E417" i="89"/>
  <c r="F417" i="89"/>
  <c r="G417" i="89"/>
  <c r="H417" i="89"/>
  <c r="I417" i="89"/>
  <c r="J417" i="89"/>
  <c r="K417" i="89"/>
  <c r="L417" i="89"/>
  <c r="M417" i="89"/>
  <c r="N417" i="89"/>
  <c r="O417" i="89"/>
  <c r="P417" i="89"/>
  <c r="Q417" i="89"/>
  <c r="R417" i="89"/>
  <c r="S417" i="89"/>
  <c r="T417" i="89"/>
  <c r="U417" i="89"/>
  <c r="V417" i="89"/>
  <c r="W417" i="89"/>
  <c r="X417" i="89"/>
  <c r="Y417" i="89"/>
  <c r="Z417" i="89"/>
  <c r="AA417" i="89"/>
  <c r="AB417" i="89"/>
  <c r="E418" i="89"/>
  <c r="F418" i="89"/>
  <c r="G418" i="89"/>
  <c r="H418" i="89"/>
  <c r="I418" i="89"/>
  <c r="J418" i="89"/>
  <c r="K418" i="89"/>
  <c r="L418" i="89"/>
  <c r="M418" i="89"/>
  <c r="N418" i="89"/>
  <c r="O418" i="89"/>
  <c r="P418" i="89"/>
  <c r="Q418" i="89"/>
  <c r="R418" i="89"/>
  <c r="S418" i="89"/>
  <c r="T418" i="89"/>
  <c r="U418" i="89"/>
  <c r="V418" i="89"/>
  <c r="W418" i="89"/>
  <c r="X418" i="89"/>
  <c r="Y418" i="89"/>
  <c r="Z418" i="89"/>
  <c r="AA418" i="89"/>
  <c r="AB418" i="89"/>
  <c r="E419" i="89"/>
  <c r="F419" i="89"/>
  <c r="G419" i="89"/>
  <c r="H419" i="89"/>
  <c r="I419" i="89"/>
  <c r="J419" i="89"/>
  <c r="K419" i="89"/>
  <c r="L419" i="89"/>
  <c r="M419" i="89"/>
  <c r="N419" i="89"/>
  <c r="O419" i="89"/>
  <c r="P419" i="89"/>
  <c r="Q419" i="89"/>
  <c r="R419" i="89"/>
  <c r="S419" i="89"/>
  <c r="T419" i="89"/>
  <c r="U419" i="89"/>
  <c r="V419" i="89"/>
  <c r="W419" i="89"/>
  <c r="X419" i="89"/>
  <c r="Y419" i="89"/>
  <c r="Z419" i="89"/>
  <c r="AA419" i="89"/>
  <c r="AB419" i="89"/>
  <c r="E420" i="89"/>
  <c r="F420" i="89"/>
  <c r="G420" i="89"/>
  <c r="H420" i="89"/>
  <c r="I420" i="89"/>
  <c r="J420" i="89"/>
  <c r="K420" i="89"/>
  <c r="L420" i="89"/>
  <c r="M420" i="89"/>
  <c r="N420" i="89"/>
  <c r="O420" i="89"/>
  <c r="P420" i="89"/>
  <c r="Q420" i="89"/>
  <c r="R420" i="89"/>
  <c r="S420" i="89"/>
  <c r="T420" i="89"/>
  <c r="U420" i="89"/>
  <c r="V420" i="89"/>
  <c r="W420" i="89"/>
  <c r="X420" i="89"/>
  <c r="Y420" i="89"/>
  <c r="Z420" i="89"/>
  <c r="AA420" i="89"/>
  <c r="AB420" i="89"/>
  <c r="E421" i="89"/>
  <c r="F421" i="89"/>
  <c r="G421" i="89"/>
  <c r="H421" i="89"/>
  <c r="I421" i="89"/>
  <c r="J421" i="89"/>
  <c r="K421" i="89"/>
  <c r="L421" i="89"/>
  <c r="M421" i="89"/>
  <c r="N421" i="89"/>
  <c r="O421" i="89"/>
  <c r="P421" i="89"/>
  <c r="Q421" i="89"/>
  <c r="R421" i="89"/>
  <c r="S421" i="89"/>
  <c r="T421" i="89"/>
  <c r="U421" i="89"/>
  <c r="V421" i="89"/>
  <c r="W421" i="89"/>
  <c r="X421" i="89"/>
  <c r="Y421" i="89"/>
  <c r="Z421" i="89"/>
  <c r="AA421" i="89"/>
  <c r="AB421" i="89"/>
  <c r="E422" i="89"/>
  <c r="F422" i="89"/>
  <c r="G422" i="89"/>
  <c r="H422" i="89"/>
  <c r="I422" i="89"/>
  <c r="J422" i="89"/>
  <c r="K422" i="89"/>
  <c r="L422" i="89"/>
  <c r="M422" i="89"/>
  <c r="N422" i="89"/>
  <c r="O422" i="89"/>
  <c r="P422" i="89"/>
  <c r="Q422" i="89"/>
  <c r="R422" i="89"/>
  <c r="S422" i="89"/>
  <c r="T422" i="89"/>
  <c r="U422" i="89"/>
  <c r="V422" i="89"/>
  <c r="W422" i="89"/>
  <c r="X422" i="89"/>
  <c r="Y422" i="89"/>
  <c r="Z422" i="89"/>
  <c r="AA422" i="89"/>
  <c r="AB422" i="89"/>
  <c r="E423" i="89"/>
  <c r="F423" i="89"/>
  <c r="G423" i="89"/>
  <c r="H423" i="89"/>
  <c r="I423" i="89"/>
  <c r="J423" i="89"/>
  <c r="K423" i="89"/>
  <c r="L423" i="89"/>
  <c r="M423" i="89"/>
  <c r="N423" i="89"/>
  <c r="O423" i="89"/>
  <c r="P423" i="89"/>
  <c r="Q423" i="89"/>
  <c r="R423" i="89"/>
  <c r="S423" i="89"/>
  <c r="T423" i="89"/>
  <c r="U423" i="89"/>
  <c r="V423" i="89"/>
  <c r="W423" i="89"/>
  <c r="X423" i="89"/>
  <c r="Y423" i="89"/>
  <c r="Z423" i="89"/>
  <c r="AA423" i="89"/>
  <c r="AB423" i="89"/>
  <c r="E424" i="89"/>
  <c r="F424" i="89"/>
  <c r="G424" i="89"/>
  <c r="H424" i="89"/>
  <c r="I424" i="89"/>
  <c r="J424" i="89"/>
  <c r="K424" i="89"/>
  <c r="L424" i="89"/>
  <c r="M424" i="89"/>
  <c r="N424" i="89"/>
  <c r="O424" i="89"/>
  <c r="P424" i="89"/>
  <c r="Q424" i="89"/>
  <c r="R424" i="89"/>
  <c r="S424" i="89"/>
  <c r="T424" i="89"/>
  <c r="U424" i="89"/>
  <c r="V424" i="89"/>
  <c r="W424" i="89"/>
  <c r="X424" i="89"/>
  <c r="Y424" i="89"/>
  <c r="Z424" i="89"/>
  <c r="AA424" i="89"/>
  <c r="AB424" i="89"/>
  <c r="E425" i="89"/>
  <c r="F425" i="89"/>
  <c r="G425" i="89"/>
  <c r="H425" i="89"/>
  <c r="I425" i="89"/>
  <c r="J425" i="89"/>
  <c r="K425" i="89"/>
  <c r="L425" i="89"/>
  <c r="M425" i="89"/>
  <c r="N425" i="89"/>
  <c r="O425" i="89"/>
  <c r="P425" i="89"/>
  <c r="Q425" i="89"/>
  <c r="R425" i="89"/>
  <c r="S425" i="89"/>
  <c r="T425" i="89"/>
  <c r="U425" i="89"/>
  <c r="V425" i="89"/>
  <c r="W425" i="89"/>
  <c r="X425" i="89"/>
  <c r="Y425" i="89"/>
  <c r="Z425" i="89"/>
  <c r="AA425" i="89"/>
  <c r="AB425" i="89"/>
  <c r="E426" i="89"/>
  <c r="F426" i="89"/>
  <c r="G426" i="89"/>
  <c r="H426" i="89"/>
  <c r="I426" i="89"/>
  <c r="J426" i="89"/>
  <c r="K426" i="89"/>
  <c r="L426" i="89"/>
  <c r="M426" i="89"/>
  <c r="N426" i="89"/>
  <c r="O426" i="89"/>
  <c r="P426" i="89"/>
  <c r="Q426" i="89"/>
  <c r="R426" i="89"/>
  <c r="S426" i="89"/>
  <c r="T426" i="89"/>
  <c r="U426" i="89"/>
  <c r="V426" i="89"/>
  <c r="W426" i="89"/>
  <c r="X426" i="89"/>
  <c r="Y426" i="89"/>
  <c r="Z426" i="89"/>
  <c r="AA426" i="89"/>
  <c r="AB426" i="89"/>
  <c r="E427" i="89"/>
  <c r="F427" i="89"/>
  <c r="G427" i="89"/>
  <c r="H427" i="89"/>
  <c r="I427" i="89"/>
  <c r="J427" i="89"/>
  <c r="K427" i="89"/>
  <c r="L427" i="89"/>
  <c r="AC427" i="89" s="1"/>
  <c r="I57" i="86" s="1"/>
  <c r="M427" i="89"/>
  <c r="N427" i="89"/>
  <c r="O427" i="89"/>
  <c r="P427" i="89"/>
  <c r="Q427" i="89"/>
  <c r="R427" i="89"/>
  <c r="S427" i="89"/>
  <c r="T427" i="89"/>
  <c r="U427" i="89"/>
  <c r="V427" i="89"/>
  <c r="W427" i="89"/>
  <c r="X427" i="89"/>
  <c r="Y427" i="89"/>
  <c r="Z427" i="89"/>
  <c r="AA427" i="89"/>
  <c r="AB427" i="89"/>
  <c r="E428" i="89"/>
  <c r="F428" i="89"/>
  <c r="G428" i="89"/>
  <c r="H428" i="89"/>
  <c r="I428" i="89"/>
  <c r="J428" i="89"/>
  <c r="K428" i="89"/>
  <c r="L428" i="89"/>
  <c r="M428" i="89"/>
  <c r="N428" i="89"/>
  <c r="O428" i="89"/>
  <c r="P428" i="89"/>
  <c r="Q428" i="89"/>
  <c r="R428" i="89"/>
  <c r="S428" i="89"/>
  <c r="T428" i="89"/>
  <c r="U428" i="89"/>
  <c r="V428" i="89"/>
  <c r="W428" i="89"/>
  <c r="X428" i="89"/>
  <c r="Y428" i="89"/>
  <c r="Z428" i="89"/>
  <c r="AA428" i="89"/>
  <c r="AB428" i="89"/>
  <c r="E429" i="89"/>
  <c r="F429" i="89"/>
  <c r="G429" i="89"/>
  <c r="H429" i="89"/>
  <c r="I429" i="89"/>
  <c r="J429" i="89"/>
  <c r="K429" i="89"/>
  <c r="L429" i="89"/>
  <c r="M429" i="89"/>
  <c r="N429" i="89"/>
  <c r="O429" i="89"/>
  <c r="P429" i="89"/>
  <c r="Q429" i="89"/>
  <c r="R429" i="89"/>
  <c r="S429" i="89"/>
  <c r="T429" i="89"/>
  <c r="U429" i="89"/>
  <c r="V429" i="89"/>
  <c r="W429" i="89"/>
  <c r="X429" i="89"/>
  <c r="Y429" i="89"/>
  <c r="Z429" i="89"/>
  <c r="AA429" i="89"/>
  <c r="AB429" i="89"/>
  <c r="E430" i="89"/>
  <c r="F430" i="89"/>
  <c r="G430" i="89"/>
  <c r="H430" i="89"/>
  <c r="I430" i="89"/>
  <c r="J430" i="89"/>
  <c r="K430" i="89"/>
  <c r="L430" i="89"/>
  <c r="M430" i="89"/>
  <c r="N430" i="89"/>
  <c r="O430" i="89"/>
  <c r="P430" i="89"/>
  <c r="Q430" i="89"/>
  <c r="R430" i="89"/>
  <c r="S430" i="89"/>
  <c r="T430" i="89"/>
  <c r="U430" i="89"/>
  <c r="V430" i="89"/>
  <c r="W430" i="89"/>
  <c r="X430" i="89"/>
  <c r="Y430" i="89"/>
  <c r="Z430" i="89"/>
  <c r="AA430" i="89"/>
  <c r="AB430" i="89"/>
  <c r="E431" i="89"/>
  <c r="F431" i="89"/>
  <c r="G431" i="89"/>
  <c r="H431" i="89"/>
  <c r="I431" i="89"/>
  <c r="J431" i="89"/>
  <c r="K431" i="89"/>
  <c r="L431" i="89"/>
  <c r="M431" i="89"/>
  <c r="N431" i="89"/>
  <c r="O431" i="89"/>
  <c r="P431" i="89"/>
  <c r="Q431" i="89"/>
  <c r="R431" i="89"/>
  <c r="S431" i="89"/>
  <c r="T431" i="89"/>
  <c r="U431" i="89"/>
  <c r="V431" i="89"/>
  <c r="W431" i="89"/>
  <c r="X431" i="89"/>
  <c r="Y431" i="89"/>
  <c r="Z431" i="89"/>
  <c r="AA431" i="89"/>
  <c r="AB431" i="89"/>
  <c r="E432" i="89"/>
  <c r="F432" i="89"/>
  <c r="G432" i="89"/>
  <c r="H432" i="89"/>
  <c r="I432" i="89"/>
  <c r="J432" i="89"/>
  <c r="K432" i="89"/>
  <c r="L432" i="89"/>
  <c r="M432" i="89"/>
  <c r="N432" i="89"/>
  <c r="O432" i="89"/>
  <c r="P432" i="89"/>
  <c r="Q432" i="89"/>
  <c r="R432" i="89"/>
  <c r="S432" i="89"/>
  <c r="T432" i="89"/>
  <c r="U432" i="89"/>
  <c r="V432" i="89"/>
  <c r="W432" i="89"/>
  <c r="X432" i="89"/>
  <c r="Y432" i="89"/>
  <c r="Z432" i="89"/>
  <c r="AA432" i="89"/>
  <c r="AB432" i="89"/>
  <c r="E433" i="89"/>
  <c r="F433" i="89"/>
  <c r="G433" i="89"/>
  <c r="H433" i="89"/>
  <c r="I433" i="89"/>
  <c r="J433" i="89"/>
  <c r="K433" i="89"/>
  <c r="L433" i="89"/>
  <c r="M433" i="89"/>
  <c r="N433" i="89"/>
  <c r="O433" i="89"/>
  <c r="P433" i="89"/>
  <c r="Q433" i="89"/>
  <c r="R433" i="89"/>
  <c r="S433" i="89"/>
  <c r="T433" i="89"/>
  <c r="U433" i="89"/>
  <c r="V433" i="89"/>
  <c r="W433" i="89"/>
  <c r="X433" i="89"/>
  <c r="Y433" i="89"/>
  <c r="Z433" i="89"/>
  <c r="AA433" i="89"/>
  <c r="AB433" i="89"/>
  <c r="E434" i="89"/>
  <c r="F434" i="89"/>
  <c r="G434" i="89"/>
  <c r="H434" i="89"/>
  <c r="I434" i="89"/>
  <c r="J434" i="89"/>
  <c r="K434" i="89"/>
  <c r="L434" i="89"/>
  <c r="M434" i="89"/>
  <c r="N434" i="89"/>
  <c r="O434" i="89"/>
  <c r="P434" i="89"/>
  <c r="Q434" i="89"/>
  <c r="R434" i="89"/>
  <c r="S434" i="89"/>
  <c r="T434" i="89"/>
  <c r="U434" i="89"/>
  <c r="V434" i="89"/>
  <c r="W434" i="89"/>
  <c r="X434" i="89"/>
  <c r="Y434" i="89"/>
  <c r="Z434" i="89"/>
  <c r="AA434" i="89"/>
  <c r="AB434" i="89"/>
  <c r="E435" i="89"/>
  <c r="F435" i="89"/>
  <c r="G435" i="89"/>
  <c r="H435" i="89"/>
  <c r="I435" i="89"/>
  <c r="J435" i="89"/>
  <c r="K435" i="89"/>
  <c r="L435" i="89"/>
  <c r="M435" i="89"/>
  <c r="N435" i="89"/>
  <c r="O435" i="89"/>
  <c r="P435" i="89"/>
  <c r="Q435" i="89"/>
  <c r="R435" i="89"/>
  <c r="S435" i="89"/>
  <c r="T435" i="89"/>
  <c r="U435" i="89"/>
  <c r="V435" i="89"/>
  <c r="W435" i="89"/>
  <c r="X435" i="89"/>
  <c r="Y435" i="89"/>
  <c r="Z435" i="89"/>
  <c r="AA435" i="89"/>
  <c r="AB435" i="89"/>
  <c r="E436" i="89"/>
  <c r="F436" i="89"/>
  <c r="G436" i="89"/>
  <c r="H436" i="89"/>
  <c r="I436" i="89"/>
  <c r="J436" i="89"/>
  <c r="K436" i="89"/>
  <c r="L436" i="89"/>
  <c r="M436" i="89"/>
  <c r="N436" i="89"/>
  <c r="O436" i="89"/>
  <c r="P436" i="89"/>
  <c r="Q436" i="89"/>
  <c r="R436" i="89"/>
  <c r="S436" i="89"/>
  <c r="T436" i="89"/>
  <c r="U436" i="89"/>
  <c r="V436" i="89"/>
  <c r="W436" i="89"/>
  <c r="X436" i="89"/>
  <c r="Y436" i="89"/>
  <c r="Z436" i="89"/>
  <c r="AA436" i="89"/>
  <c r="AB436" i="89"/>
  <c r="E437" i="89"/>
  <c r="F437" i="89"/>
  <c r="G437" i="89"/>
  <c r="H437" i="89"/>
  <c r="I437" i="89"/>
  <c r="J437" i="89"/>
  <c r="K437" i="89"/>
  <c r="L437" i="89"/>
  <c r="M437" i="89"/>
  <c r="N437" i="89"/>
  <c r="O437" i="89"/>
  <c r="P437" i="89"/>
  <c r="Q437" i="89"/>
  <c r="R437" i="89"/>
  <c r="S437" i="89"/>
  <c r="T437" i="89"/>
  <c r="U437" i="89"/>
  <c r="V437" i="89"/>
  <c r="W437" i="89"/>
  <c r="X437" i="89"/>
  <c r="Y437" i="89"/>
  <c r="Z437" i="89"/>
  <c r="AA437" i="89"/>
  <c r="AB437" i="89"/>
  <c r="E438" i="89"/>
  <c r="F438" i="89"/>
  <c r="G438" i="89"/>
  <c r="H438" i="89"/>
  <c r="I438" i="89"/>
  <c r="J438" i="89"/>
  <c r="K438" i="89"/>
  <c r="L438" i="89"/>
  <c r="M438" i="89"/>
  <c r="N438" i="89"/>
  <c r="O438" i="89"/>
  <c r="P438" i="89"/>
  <c r="Q438" i="89"/>
  <c r="R438" i="89"/>
  <c r="S438" i="89"/>
  <c r="T438" i="89"/>
  <c r="U438" i="89"/>
  <c r="V438" i="89"/>
  <c r="W438" i="89"/>
  <c r="X438" i="89"/>
  <c r="Y438" i="89"/>
  <c r="Z438" i="89"/>
  <c r="AA438" i="89"/>
  <c r="AB438" i="89"/>
  <c r="E439" i="89"/>
  <c r="F439" i="89"/>
  <c r="G439" i="89"/>
  <c r="H439" i="89"/>
  <c r="I439" i="89"/>
  <c r="J439" i="89"/>
  <c r="K439" i="89"/>
  <c r="L439" i="89"/>
  <c r="M439" i="89"/>
  <c r="N439" i="89"/>
  <c r="O439" i="89"/>
  <c r="P439" i="89"/>
  <c r="Q439" i="89"/>
  <c r="R439" i="89"/>
  <c r="S439" i="89"/>
  <c r="T439" i="89"/>
  <c r="U439" i="89"/>
  <c r="V439" i="89"/>
  <c r="W439" i="89"/>
  <c r="X439" i="89"/>
  <c r="Y439" i="89"/>
  <c r="Z439" i="89"/>
  <c r="AA439" i="89"/>
  <c r="AB439" i="89"/>
  <c r="E440" i="89"/>
  <c r="F440" i="89"/>
  <c r="G440" i="89"/>
  <c r="H440" i="89"/>
  <c r="I440" i="89"/>
  <c r="J440" i="89"/>
  <c r="K440" i="89"/>
  <c r="L440" i="89"/>
  <c r="M440" i="89"/>
  <c r="N440" i="89"/>
  <c r="O440" i="89"/>
  <c r="P440" i="89"/>
  <c r="Q440" i="89"/>
  <c r="R440" i="89"/>
  <c r="S440" i="89"/>
  <c r="T440" i="89"/>
  <c r="U440" i="89"/>
  <c r="V440" i="89"/>
  <c r="W440" i="89"/>
  <c r="X440" i="89"/>
  <c r="Y440" i="89"/>
  <c r="Z440" i="89"/>
  <c r="AA440" i="89"/>
  <c r="AB440" i="89"/>
  <c r="E441" i="89"/>
  <c r="F441" i="89"/>
  <c r="G441" i="89"/>
  <c r="H441" i="89"/>
  <c r="I441" i="89"/>
  <c r="J441" i="89"/>
  <c r="K441" i="89"/>
  <c r="L441" i="89"/>
  <c r="M441" i="89"/>
  <c r="N441" i="89"/>
  <c r="O441" i="89"/>
  <c r="P441" i="89"/>
  <c r="Q441" i="89"/>
  <c r="R441" i="89"/>
  <c r="S441" i="89"/>
  <c r="T441" i="89"/>
  <c r="U441" i="89"/>
  <c r="V441" i="89"/>
  <c r="W441" i="89"/>
  <c r="X441" i="89"/>
  <c r="Y441" i="89"/>
  <c r="Z441" i="89"/>
  <c r="AA441" i="89"/>
  <c r="AB441" i="89"/>
  <c r="E442" i="89"/>
  <c r="F442" i="89"/>
  <c r="G442" i="89"/>
  <c r="H442" i="89"/>
  <c r="I442" i="89"/>
  <c r="J442" i="89"/>
  <c r="K442" i="89"/>
  <c r="L442" i="89"/>
  <c r="M442" i="89"/>
  <c r="N442" i="89"/>
  <c r="O442" i="89"/>
  <c r="P442" i="89"/>
  <c r="Q442" i="89"/>
  <c r="R442" i="89"/>
  <c r="S442" i="89"/>
  <c r="T442" i="89"/>
  <c r="U442" i="89"/>
  <c r="V442" i="89"/>
  <c r="W442" i="89"/>
  <c r="X442" i="89"/>
  <c r="Y442" i="89"/>
  <c r="Z442" i="89"/>
  <c r="AA442" i="89"/>
  <c r="AB442" i="89"/>
  <c r="E443" i="89"/>
  <c r="F443" i="89"/>
  <c r="G443" i="89"/>
  <c r="H443" i="89"/>
  <c r="I443" i="89"/>
  <c r="J443" i="89"/>
  <c r="K443" i="89"/>
  <c r="L443" i="89"/>
  <c r="M443" i="89"/>
  <c r="N443" i="89"/>
  <c r="O443" i="89"/>
  <c r="P443" i="89"/>
  <c r="Q443" i="89"/>
  <c r="R443" i="89"/>
  <c r="S443" i="89"/>
  <c r="T443" i="89"/>
  <c r="U443" i="89"/>
  <c r="V443" i="89"/>
  <c r="W443" i="89"/>
  <c r="X443" i="89"/>
  <c r="Y443" i="89"/>
  <c r="Z443" i="89"/>
  <c r="AA443" i="89"/>
  <c r="AB443" i="89"/>
  <c r="E444" i="89"/>
  <c r="F444" i="89"/>
  <c r="G444" i="89"/>
  <c r="H444" i="89"/>
  <c r="I444" i="89"/>
  <c r="J444" i="89"/>
  <c r="K444" i="89"/>
  <c r="L444" i="89"/>
  <c r="M444" i="89"/>
  <c r="N444" i="89"/>
  <c r="O444" i="89"/>
  <c r="P444" i="89"/>
  <c r="Q444" i="89"/>
  <c r="R444" i="89"/>
  <c r="S444" i="89"/>
  <c r="T444" i="89"/>
  <c r="U444" i="89"/>
  <c r="V444" i="89"/>
  <c r="W444" i="89"/>
  <c r="X444" i="89"/>
  <c r="Y444" i="89"/>
  <c r="Z444" i="89"/>
  <c r="AA444" i="89"/>
  <c r="AB444" i="89"/>
  <c r="E445" i="89"/>
  <c r="F445" i="89"/>
  <c r="G445" i="89"/>
  <c r="H445" i="89"/>
  <c r="I445" i="89"/>
  <c r="J445" i="89"/>
  <c r="K445" i="89"/>
  <c r="L445" i="89"/>
  <c r="M445" i="89"/>
  <c r="N445" i="89"/>
  <c r="O445" i="89"/>
  <c r="P445" i="89"/>
  <c r="Q445" i="89"/>
  <c r="R445" i="89"/>
  <c r="S445" i="89"/>
  <c r="T445" i="89"/>
  <c r="U445" i="89"/>
  <c r="V445" i="89"/>
  <c r="W445" i="89"/>
  <c r="X445" i="89"/>
  <c r="Y445" i="89"/>
  <c r="Z445" i="89"/>
  <c r="AA445" i="89"/>
  <c r="AB445" i="89"/>
  <c r="E446" i="89"/>
  <c r="F446" i="89"/>
  <c r="G446" i="89"/>
  <c r="H446" i="89"/>
  <c r="I446" i="89"/>
  <c r="J446" i="89"/>
  <c r="K446" i="89"/>
  <c r="L446" i="89"/>
  <c r="M446" i="89"/>
  <c r="N446" i="89"/>
  <c r="O446" i="89"/>
  <c r="P446" i="89"/>
  <c r="Q446" i="89"/>
  <c r="R446" i="89"/>
  <c r="S446" i="89"/>
  <c r="T446" i="89"/>
  <c r="U446" i="89"/>
  <c r="V446" i="89"/>
  <c r="W446" i="89"/>
  <c r="X446" i="89"/>
  <c r="Y446" i="89"/>
  <c r="Z446" i="89"/>
  <c r="AA446" i="89"/>
  <c r="AB446" i="89"/>
  <c r="E447" i="89"/>
  <c r="F447" i="89"/>
  <c r="G447" i="89"/>
  <c r="H447" i="89"/>
  <c r="I447" i="89"/>
  <c r="J447" i="89"/>
  <c r="K447" i="89"/>
  <c r="L447" i="89"/>
  <c r="M447" i="89"/>
  <c r="N447" i="89"/>
  <c r="O447" i="89"/>
  <c r="P447" i="89"/>
  <c r="Q447" i="89"/>
  <c r="R447" i="89"/>
  <c r="S447" i="89"/>
  <c r="T447" i="89"/>
  <c r="U447" i="89"/>
  <c r="V447" i="89"/>
  <c r="W447" i="89"/>
  <c r="X447" i="89"/>
  <c r="Y447" i="89"/>
  <c r="Z447" i="89"/>
  <c r="AA447" i="89"/>
  <c r="AB447" i="89"/>
  <c r="E448" i="89"/>
  <c r="F448" i="89"/>
  <c r="G448" i="89"/>
  <c r="H448" i="89"/>
  <c r="I448" i="89"/>
  <c r="J448" i="89"/>
  <c r="K448" i="89"/>
  <c r="L448" i="89"/>
  <c r="M448" i="89"/>
  <c r="N448" i="89"/>
  <c r="O448" i="89"/>
  <c r="P448" i="89"/>
  <c r="Q448" i="89"/>
  <c r="R448" i="89"/>
  <c r="S448" i="89"/>
  <c r="T448" i="89"/>
  <c r="U448" i="89"/>
  <c r="V448" i="89"/>
  <c r="W448" i="89"/>
  <c r="X448" i="89"/>
  <c r="Y448" i="89"/>
  <c r="Z448" i="89"/>
  <c r="AA448" i="89"/>
  <c r="AB448" i="89"/>
  <c r="E449" i="89"/>
  <c r="F449" i="89"/>
  <c r="G449" i="89"/>
  <c r="H449" i="89"/>
  <c r="I449" i="89"/>
  <c r="J449" i="89"/>
  <c r="K449" i="89"/>
  <c r="L449" i="89"/>
  <c r="M449" i="89"/>
  <c r="N449" i="89"/>
  <c r="O449" i="89"/>
  <c r="P449" i="89"/>
  <c r="Q449" i="89"/>
  <c r="R449" i="89"/>
  <c r="S449" i="89"/>
  <c r="T449" i="89"/>
  <c r="U449" i="89"/>
  <c r="V449" i="89"/>
  <c r="W449" i="89"/>
  <c r="X449" i="89"/>
  <c r="Y449" i="89"/>
  <c r="Z449" i="89"/>
  <c r="AA449" i="89"/>
  <c r="AB449" i="89"/>
  <c r="E450" i="89"/>
  <c r="F450" i="89"/>
  <c r="G450" i="89"/>
  <c r="H450" i="89"/>
  <c r="I450" i="89"/>
  <c r="J450" i="89"/>
  <c r="K450" i="89"/>
  <c r="L450" i="89"/>
  <c r="M450" i="89"/>
  <c r="N450" i="89"/>
  <c r="O450" i="89"/>
  <c r="P450" i="89"/>
  <c r="Q450" i="89"/>
  <c r="R450" i="89"/>
  <c r="S450" i="89"/>
  <c r="T450" i="89"/>
  <c r="U450" i="89"/>
  <c r="V450" i="89"/>
  <c r="W450" i="89"/>
  <c r="X450" i="89"/>
  <c r="Y450" i="89"/>
  <c r="Z450" i="89"/>
  <c r="AA450" i="89"/>
  <c r="AB450" i="89"/>
  <c r="F403" i="89"/>
  <c r="G403" i="89"/>
  <c r="H403" i="89"/>
  <c r="I403" i="89"/>
  <c r="J403" i="89"/>
  <c r="K403" i="89"/>
  <c r="L403" i="89"/>
  <c r="M403" i="89"/>
  <c r="N403" i="89"/>
  <c r="O403" i="89"/>
  <c r="P403" i="89"/>
  <c r="Q403" i="89"/>
  <c r="R403" i="89"/>
  <c r="S403" i="89"/>
  <c r="T403" i="89"/>
  <c r="U403" i="89"/>
  <c r="V403" i="89"/>
  <c r="W403" i="89"/>
  <c r="X403" i="89"/>
  <c r="Y403" i="89"/>
  <c r="Z403" i="89"/>
  <c r="AA403" i="89"/>
  <c r="AB403" i="89"/>
  <c r="E403" i="89"/>
  <c r="AC390" i="89"/>
  <c r="I48" i="86" s="1"/>
  <c r="E62" i="55"/>
  <c r="F62" i="55"/>
  <c r="G62" i="55"/>
  <c r="H62" i="55"/>
  <c r="I62" i="55"/>
  <c r="J62" i="55"/>
  <c r="K62" i="55"/>
  <c r="L62" i="55"/>
  <c r="M62" i="55"/>
  <c r="N62" i="55"/>
  <c r="O62" i="55"/>
  <c r="P62" i="55"/>
  <c r="Q62" i="55"/>
  <c r="R62" i="55"/>
  <c r="S62" i="55"/>
  <c r="T62" i="55"/>
  <c r="U62" i="55"/>
  <c r="V62" i="55"/>
  <c r="W62" i="55"/>
  <c r="X62" i="55"/>
  <c r="Y62" i="55"/>
  <c r="Z62" i="55"/>
  <c r="AA62" i="55"/>
  <c r="AB62" i="55"/>
  <c r="E63" i="55"/>
  <c r="F63" i="55"/>
  <c r="G63" i="55"/>
  <c r="H63" i="55"/>
  <c r="I63" i="55"/>
  <c r="J63" i="55"/>
  <c r="K63" i="55"/>
  <c r="L63" i="55"/>
  <c r="M63" i="55"/>
  <c r="N63" i="55"/>
  <c r="O63" i="55"/>
  <c r="P63" i="55"/>
  <c r="Q63" i="55"/>
  <c r="R63" i="55"/>
  <c r="S63" i="55"/>
  <c r="T63" i="55"/>
  <c r="U63" i="55"/>
  <c r="V63" i="55"/>
  <c r="W63" i="55"/>
  <c r="X63" i="55"/>
  <c r="Y63" i="55"/>
  <c r="Z63" i="55"/>
  <c r="AA63" i="55"/>
  <c r="AB63" i="55"/>
  <c r="E64" i="55"/>
  <c r="F64" i="55"/>
  <c r="G64" i="55"/>
  <c r="H64" i="55"/>
  <c r="I64" i="55"/>
  <c r="J64" i="55"/>
  <c r="K64" i="55"/>
  <c r="L64" i="55"/>
  <c r="M64" i="55"/>
  <c r="N64" i="55"/>
  <c r="O64" i="55"/>
  <c r="P64" i="55"/>
  <c r="Q64" i="55"/>
  <c r="R64" i="55"/>
  <c r="S64" i="55"/>
  <c r="T64" i="55"/>
  <c r="U64" i="55"/>
  <c r="V64" i="55"/>
  <c r="W64" i="55"/>
  <c r="X64" i="55"/>
  <c r="Y64" i="55"/>
  <c r="Z64" i="55"/>
  <c r="AA64" i="55"/>
  <c r="AB64" i="55"/>
  <c r="E65" i="55"/>
  <c r="F65" i="55"/>
  <c r="G65" i="55"/>
  <c r="H65" i="55"/>
  <c r="I65" i="55"/>
  <c r="J65" i="55"/>
  <c r="K65" i="55"/>
  <c r="L65" i="55"/>
  <c r="M65" i="55"/>
  <c r="N65" i="55"/>
  <c r="O65" i="55"/>
  <c r="P65" i="55"/>
  <c r="Q65" i="55"/>
  <c r="R65" i="55"/>
  <c r="S65" i="55"/>
  <c r="T65" i="55"/>
  <c r="U65" i="55"/>
  <c r="V65" i="55"/>
  <c r="W65" i="55"/>
  <c r="X65" i="55"/>
  <c r="Y65" i="55"/>
  <c r="Z65" i="55"/>
  <c r="AA65" i="55"/>
  <c r="AB65" i="55"/>
  <c r="E66" i="55"/>
  <c r="F66" i="55"/>
  <c r="G66" i="55"/>
  <c r="H66" i="55"/>
  <c r="I66" i="55"/>
  <c r="J66" i="55"/>
  <c r="K66" i="55"/>
  <c r="L66" i="55"/>
  <c r="M66" i="55"/>
  <c r="N66" i="55"/>
  <c r="O66" i="55"/>
  <c r="P66" i="55"/>
  <c r="Q66" i="55"/>
  <c r="R66" i="55"/>
  <c r="S66" i="55"/>
  <c r="T66" i="55"/>
  <c r="U66" i="55"/>
  <c r="V66" i="55"/>
  <c r="W66" i="55"/>
  <c r="X66" i="55"/>
  <c r="Y66" i="55"/>
  <c r="Z66" i="55"/>
  <c r="AA66" i="55"/>
  <c r="AB66" i="55"/>
  <c r="E67" i="55"/>
  <c r="F67" i="55"/>
  <c r="G67" i="55"/>
  <c r="H67" i="55"/>
  <c r="I67" i="55"/>
  <c r="J67" i="55"/>
  <c r="K67" i="55"/>
  <c r="L67" i="55"/>
  <c r="M67" i="55"/>
  <c r="N67" i="55"/>
  <c r="O67" i="55"/>
  <c r="P67" i="55"/>
  <c r="Q67" i="55"/>
  <c r="R67" i="55"/>
  <c r="S67" i="55"/>
  <c r="T67" i="55"/>
  <c r="U67" i="55"/>
  <c r="V67" i="55"/>
  <c r="W67" i="55"/>
  <c r="X67" i="55"/>
  <c r="Y67" i="55"/>
  <c r="Z67" i="55"/>
  <c r="AA67" i="55"/>
  <c r="AB67" i="55"/>
  <c r="E68" i="55"/>
  <c r="F68" i="55"/>
  <c r="G68" i="55"/>
  <c r="H68" i="55"/>
  <c r="I68" i="55"/>
  <c r="J68" i="55"/>
  <c r="K68" i="55"/>
  <c r="L68" i="55"/>
  <c r="M68" i="55"/>
  <c r="N68" i="55"/>
  <c r="O68" i="55"/>
  <c r="P68" i="55"/>
  <c r="Q68" i="55"/>
  <c r="R68" i="55"/>
  <c r="S68" i="55"/>
  <c r="T68" i="55"/>
  <c r="U68" i="55"/>
  <c r="V68" i="55"/>
  <c r="W68" i="55"/>
  <c r="X68" i="55"/>
  <c r="Y68" i="55"/>
  <c r="Z68" i="55"/>
  <c r="AA68" i="55"/>
  <c r="AB68" i="55"/>
  <c r="E69" i="55"/>
  <c r="F69" i="55"/>
  <c r="G69" i="55"/>
  <c r="H69" i="55"/>
  <c r="I69" i="55"/>
  <c r="J69" i="55"/>
  <c r="K69" i="55"/>
  <c r="L69" i="55"/>
  <c r="M69" i="55"/>
  <c r="N69" i="55"/>
  <c r="O69" i="55"/>
  <c r="P69" i="55"/>
  <c r="Q69" i="55"/>
  <c r="R69" i="55"/>
  <c r="S69" i="55"/>
  <c r="T69" i="55"/>
  <c r="U69" i="55"/>
  <c r="V69" i="55"/>
  <c r="W69" i="55"/>
  <c r="X69" i="55"/>
  <c r="Y69" i="55"/>
  <c r="Z69" i="55"/>
  <c r="AA69" i="55"/>
  <c r="AB69" i="55"/>
  <c r="E70" i="55"/>
  <c r="F70" i="55"/>
  <c r="G70" i="55"/>
  <c r="H70" i="55"/>
  <c r="I70" i="55"/>
  <c r="J70" i="55"/>
  <c r="K70" i="55"/>
  <c r="L70" i="55"/>
  <c r="M70" i="55"/>
  <c r="N70" i="55"/>
  <c r="O70" i="55"/>
  <c r="P70" i="55"/>
  <c r="Q70" i="55"/>
  <c r="R70" i="55"/>
  <c r="S70" i="55"/>
  <c r="T70" i="55"/>
  <c r="U70" i="55"/>
  <c r="V70" i="55"/>
  <c r="W70" i="55"/>
  <c r="X70" i="55"/>
  <c r="Y70" i="55"/>
  <c r="Z70" i="55"/>
  <c r="AA70" i="55"/>
  <c r="AB70" i="55"/>
  <c r="E71" i="55"/>
  <c r="F71" i="55"/>
  <c r="G71" i="55"/>
  <c r="H71" i="55"/>
  <c r="I71" i="55"/>
  <c r="J71" i="55"/>
  <c r="K71" i="55"/>
  <c r="L71" i="55"/>
  <c r="M71" i="55"/>
  <c r="N71" i="55"/>
  <c r="O71" i="55"/>
  <c r="P71" i="55"/>
  <c r="Q71" i="55"/>
  <c r="R71" i="55"/>
  <c r="S71" i="55"/>
  <c r="T71" i="55"/>
  <c r="U71" i="55"/>
  <c r="V71" i="55"/>
  <c r="W71" i="55"/>
  <c r="X71" i="55"/>
  <c r="Y71" i="55"/>
  <c r="Z71" i="55"/>
  <c r="AA71" i="55"/>
  <c r="AB71" i="55"/>
  <c r="E72" i="55"/>
  <c r="F72" i="55"/>
  <c r="G72" i="55"/>
  <c r="H72" i="55"/>
  <c r="I72" i="55"/>
  <c r="J72" i="55"/>
  <c r="K72" i="55"/>
  <c r="L72" i="55"/>
  <c r="M72" i="55"/>
  <c r="N72" i="55"/>
  <c r="O72" i="55"/>
  <c r="P72" i="55"/>
  <c r="Q72" i="55"/>
  <c r="R72" i="55"/>
  <c r="S72" i="55"/>
  <c r="T72" i="55"/>
  <c r="U72" i="55"/>
  <c r="V72" i="55"/>
  <c r="W72" i="55"/>
  <c r="X72" i="55"/>
  <c r="Y72" i="55"/>
  <c r="Z72" i="55"/>
  <c r="AA72" i="55"/>
  <c r="AB72" i="55"/>
  <c r="E73" i="55"/>
  <c r="F73" i="55"/>
  <c r="G73" i="55"/>
  <c r="H73" i="55"/>
  <c r="I73" i="55"/>
  <c r="J73" i="55"/>
  <c r="K73" i="55"/>
  <c r="L73" i="55"/>
  <c r="M73" i="55"/>
  <c r="N73" i="55"/>
  <c r="O73" i="55"/>
  <c r="P73" i="55"/>
  <c r="Q73" i="55"/>
  <c r="R73" i="55"/>
  <c r="S73" i="55"/>
  <c r="T73" i="55"/>
  <c r="U73" i="55"/>
  <c r="V73" i="55"/>
  <c r="W73" i="55"/>
  <c r="X73" i="55"/>
  <c r="Y73" i="55"/>
  <c r="Z73" i="55"/>
  <c r="AA73" i="55"/>
  <c r="AB73" i="55"/>
  <c r="E74" i="55"/>
  <c r="F74" i="55"/>
  <c r="G74" i="55"/>
  <c r="H74" i="55"/>
  <c r="I74" i="55"/>
  <c r="J74" i="55"/>
  <c r="K74" i="55"/>
  <c r="L74" i="55"/>
  <c r="M74" i="55"/>
  <c r="N74" i="55"/>
  <c r="O74" i="55"/>
  <c r="P74" i="55"/>
  <c r="Q74" i="55"/>
  <c r="R74" i="55"/>
  <c r="S74" i="55"/>
  <c r="T74" i="55"/>
  <c r="U74" i="55"/>
  <c r="V74" i="55"/>
  <c r="W74" i="55"/>
  <c r="X74" i="55"/>
  <c r="Y74" i="55"/>
  <c r="Z74" i="55"/>
  <c r="AA74" i="55"/>
  <c r="AB74" i="55"/>
  <c r="E75" i="55"/>
  <c r="F75" i="55"/>
  <c r="G75" i="55"/>
  <c r="H75" i="55"/>
  <c r="I75" i="55"/>
  <c r="J75" i="55"/>
  <c r="K75" i="55"/>
  <c r="L75" i="55"/>
  <c r="M75" i="55"/>
  <c r="N75" i="55"/>
  <c r="O75" i="55"/>
  <c r="P75" i="55"/>
  <c r="Q75" i="55"/>
  <c r="R75" i="55"/>
  <c r="S75" i="55"/>
  <c r="T75" i="55"/>
  <c r="U75" i="55"/>
  <c r="V75" i="55"/>
  <c r="W75" i="55"/>
  <c r="X75" i="55"/>
  <c r="Y75" i="55"/>
  <c r="Z75" i="55"/>
  <c r="AA75" i="55"/>
  <c r="AB75" i="55"/>
  <c r="E76" i="55"/>
  <c r="F76" i="55"/>
  <c r="G76" i="55"/>
  <c r="H76" i="55"/>
  <c r="I76" i="55"/>
  <c r="J76" i="55"/>
  <c r="K76" i="55"/>
  <c r="L76" i="55"/>
  <c r="M76" i="55"/>
  <c r="N76" i="55"/>
  <c r="O76" i="55"/>
  <c r="P76" i="55"/>
  <c r="Q76" i="55"/>
  <c r="R76" i="55"/>
  <c r="S76" i="55"/>
  <c r="T76" i="55"/>
  <c r="U76" i="55"/>
  <c r="V76" i="55"/>
  <c r="W76" i="55"/>
  <c r="X76" i="55"/>
  <c r="Y76" i="55"/>
  <c r="Z76" i="55"/>
  <c r="AA76" i="55"/>
  <c r="AB76" i="55"/>
  <c r="E77" i="55"/>
  <c r="F77" i="55"/>
  <c r="G77" i="55"/>
  <c r="H77" i="55"/>
  <c r="I77" i="55"/>
  <c r="J77" i="55"/>
  <c r="K77" i="55"/>
  <c r="L77" i="55"/>
  <c r="M77" i="55"/>
  <c r="N77" i="55"/>
  <c r="O77" i="55"/>
  <c r="P77" i="55"/>
  <c r="Q77" i="55"/>
  <c r="R77" i="55"/>
  <c r="S77" i="55"/>
  <c r="T77" i="55"/>
  <c r="U77" i="55"/>
  <c r="V77" i="55"/>
  <c r="W77" i="55"/>
  <c r="X77" i="55"/>
  <c r="Y77" i="55"/>
  <c r="Z77" i="55"/>
  <c r="AA77" i="55"/>
  <c r="AB77" i="55"/>
  <c r="E78" i="55"/>
  <c r="F78" i="55"/>
  <c r="G78" i="55"/>
  <c r="H78" i="55"/>
  <c r="I78" i="55"/>
  <c r="J78" i="55"/>
  <c r="K78" i="55"/>
  <c r="L78" i="55"/>
  <c r="M78" i="55"/>
  <c r="N78" i="55"/>
  <c r="O78" i="55"/>
  <c r="P78" i="55"/>
  <c r="Q78" i="55"/>
  <c r="R78" i="55"/>
  <c r="S78" i="55"/>
  <c r="T78" i="55"/>
  <c r="U78" i="55"/>
  <c r="V78" i="55"/>
  <c r="W78" i="55"/>
  <c r="X78" i="55"/>
  <c r="Y78" i="55"/>
  <c r="Z78" i="55"/>
  <c r="AA78" i="55"/>
  <c r="AB78" i="55"/>
  <c r="E79" i="55"/>
  <c r="F79" i="55"/>
  <c r="G79" i="55"/>
  <c r="H79" i="55"/>
  <c r="I79" i="55"/>
  <c r="J79" i="55"/>
  <c r="K79" i="55"/>
  <c r="L79" i="55"/>
  <c r="M79" i="55"/>
  <c r="N79" i="55"/>
  <c r="O79" i="55"/>
  <c r="P79" i="55"/>
  <c r="Q79" i="55"/>
  <c r="R79" i="55"/>
  <c r="S79" i="55"/>
  <c r="T79" i="55"/>
  <c r="U79" i="55"/>
  <c r="V79" i="55"/>
  <c r="W79" i="55"/>
  <c r="X79" i="55"/>
  <c r="Y79" i="55"/>
  <c r="Z79" i="55"/>
  <c r="AA79" i="55"/>
  <c r="AB79" i="55"/>
  <c r="E80" i="55"/>
  <c r="F80" i="55"/>
  <c r="G80" i="55"/>
  <c r="H80" i="55"/>
  <c r="I80" i="55"/>
  <c r="J80" i="55"/>
  <c r="K80" i="55"/>
  <c r="L80" i="55"/>
  <c r="M80" i="55"/>
  <c r="N80" i="55"/>
  <c r="O80" i="55"/>
  <c r="P80" i="55"/>
  <c r="Q80" i="55"/>
  <c r="R80" i="55"/>
  <c r="S80" i="55"/>
  <c r="T80" i="55"/>
  <c r="U80" i="55"/>
  <c r="V80" i="55"/>
  <c r="W80" i="55"/>
  <c r="X80" i="55"/>
  <c r="Y80" i="55"/>
  <c r="Z80" i="55"/>
  <c r="AA80" i="55"/>
  <c r="AB80" i="55"/>
  <c r="E81" i="55"/>
  <c r="F81" i="55"/>
  <c r="G81" i="55"/>
  <c r="H81" i="55"/>
  <c r="I81" i="55"/>
  <c r="J81" i="55"/>
  <c r="K81" i="55"/>
  <c r="L81" i="55"/>
  <c r="M81" i="55"/>
  <c r="N81" i="55"/>
  <c r="O81" i="55"/>
  <c r="P81" i="55"/>
  <c r="Q81" i="55"/>
  <c r="R81" i="55"/>
  <c r="S81" i="55"/>
  <c r="T81" i="55"/>
  <c r="U81" i="55"/>
  <c r="V81" i="55"/>
  <c r="W81" i="55"/>
  <c r="X81" i="55"/>
  <c r="Y81" i="55"/>
  <c r="Z81" i="55"/>
  <c r="AA81" i="55"/>
  <c r="AB81" i="55"/>
  <c r="E82" i="55"/>
  <c r="F82" i="55"/>
  <c r="G82" i="55"/>
  <c r="H82" i="55"/>
  <c r="I82" i="55"/>
  <c r="J82" i="55"/>
  <c r="K82" i="55"/>
  <c r="L82" i="55"/>
  <c r="M82" i="55"/>
  <c r="N82" i="55"/>
  <c r="O82" i="55"/>
  <c r="P82" i="55"/>
  <c r="Q82" i="55"/>
  <c r="R82" i="55"/>
  <c r="S82" i="55"/>
  <c r="T82" i="55"/>
  <c r="U82" i="55"/>
  <c r="V82" i="55"/>
  <c r="W82" i="55"/>
  <c r="X82" i="55"/>
  <c r="Y82" i="55"/>
  <c r="Z82" i="55"/>
  <c r="AA82" i="55"/>
  <c r="AB82" i="55"/>
  <c r="E83" i="55"/>
  <c r="F83" i="55"/>
  <c r="G83" i="55"/>
  <c r="H83" i="55"/>
  <c r="I83" i="55"/>
  <c r="J83" i="55"/>
  <c r="K83" i="55"/>
  <c r="L83" i="55"/>
  <c r="M83" i="55"/>
  <c r="N83" i="55"/>
  <c r="O83" i="55"/>
  <c r="P83" i="55"/>
  <c r="Q83" i="55"/>
  <c r="R83" i="55"/>
  <c r="S83" i="55"/>
  <c r="T83" i="55"/>
  <c r="U83" i="55"/>
  <c r="V83" i="55"/>
  <c r="W83" i="55"/>
  <c r="X83" i="55"/>
  <c r="Y83" i="55"/>
  <c r="Z83" i="55"/>
  <c r="AA83" i="55"/>
  <c r="AB83" i="55"/>
  <c r="E84" i="55"/>
  <c r="F84" i="55"/>
  <c r="G84" i="55"/>
  <c r="H84" i="55"/>
  <c r="I84" i="55"/>
  <c r="J84" i="55"/>
  <c r="K84" i="55"/>
  <c r="L84" i="55"/>
  <c r="M84" i="55"/>
  <c r="N84" i="55"/>
  <c r="O84" i="55"/>
  <c r="P84" i="55"/>
  <c r="Q84" i="55"/>
  <c r="R84" i="55"/>
  <c r="S84" i="55"/>
  <c r="T84" i="55"/>
  <c r="U84" i="55"/>
  <c r="V84" i="55"/>
  <c r="W84" i="55"/>
  <c r="X84" i="55"/>
  <c r="Y84" i="55"/>
  <c r="Z84" i="55"/>
  <c r="AA84" i="55"/>
  <c r="AB84" i="55"/>
  <c r="E85" i="55"/>
  <c r="F85" i="55"/>
  <c r="G85" i="55"/>
  <c r="H85" i="55"/>
  <c r="I85" i="55"/>
  <c r="J85" i="55"/>
  <c r="K85" i="55"/>
  <c r="L85" i="55"/>
  <c r="M85" i="55"/>
  <c r="N85" i="55"/>
  <c r="O85" i="55"/>
  <c r="P85" i="55"/>
  <c r="Q85" i="55"/>
  <c r="R85" i="55"/>
  <c r="S85" i="55"/>
  <c r="T85" i="55"/>
  <c r="U85" i="55"/>
  <c r="V85" i="55"/>
  <c r="W85" i="55"/>
  <c r="X85" i="55"/>
  <c r="Y85" i="55"/>
  <c r="Z85" i="55"/>
  <c r="AA85" i="55"/>
  <c r="AB85" i="55"/>
  <c r="E86" i="55"/>
  <c r="F86" i="55"/>
  <c r="G86" i="55"/>
  <c r="H86" i="55"/>
  <c r="I86" i="55"/>
  <c r="J86" i="55"/>
  <c r="K86" i="55"/>
  <c r="L86" i="55"/>
  <c r="M86" i="55"/>
  <c r="N86" i="55"/>
  <c r="O86" i="55"/>
  <c r="P86" i="55"/>
  <c r="Q86" i="55"/>
  <c r="R86" i="55"/>
  <c r="S86" i="55"/>
  <c r="T86" i="55"/>
  <c r="U86" i="55"/>
  <c r="V86" i="55"/>
  <c r="W86" i="55"/>
  <c r="X86" i="55"/>
  <c r="Y86" i="55"/>
  <c r="Z86" i="55"/>
  <c r="AA86" i="55"/>
  <c r="AB86" i="55"/>
  <c r="E87" i="55"/>
  <c r="F87" i="55"/>
  <c r="G87" i="55"/>
  <c r="H87" i="55"/>
  <c r="I87" i="55"/>
  <c r="J87" i="55"/>
  <c r="K87" i="55"/>
  <c r="L87" i="55"/>
  <c r="M87" i="55"/>
  <c r="N87" i="55"/>
  <c r="O87" i="55"/>
  <c r="P87" i="55"/>
  <c r="Q87" i="55"/>
  <c r="R87" i="55"/>
  <c r="S87" i="55"/>
  <c r="T87" i="55"/>
  <c r="U87" i="55"/>
  <c r="V87" i="55"/>
  <c r="W87" i="55"/>
  <c r="X87" i="55"/>
  <c r="Y87" i="55"/>
  <c r="Z87" i="55"/>
  <c r="AA87" i="55"/>
  <c r="AB87" i="55"/>
  <c r="E88" i="55"/>
  <c r="F88" i="55"/>
  <c r="G88" i="55"/>
  <c r="H88" i="55"/>
  <c r="I88" i="55"/>
  <c r="J88" i="55"/>
  <c r="K88" i="55"/>
  <c r="L88" i="55"/>
  <c r="M88" i="55"/>
  <c r="N88" i="55"/>
  <c r="O88" i="55"/>
  <c r="P88" i="55"/>
  <c r="Q88" i="55"/>
  <c r="R88" i="55"/>
  <c r="S88" i="55"/>
  <c r="T88" i="55"/>
  <c r="U88" i="55"/>
  <c r="V88" i="55"/>
  <c r="W88" i="55"/>
  <c r="X88" i="55"/>
  <c r="Y88" i="55"/>
  <c r="Z88" i="55"/>
  <c r="AA88" i="55"/>
  <c r="AB88" i="55"/>
  <c r="E89" i="55"/>
  <c r="F89" i="55"/>
  <c r="G89" i="55"/>
  <c r="H89" i="55"/>
  <c r="I89" i="55"/>
  <c r="J89" i="55"/>
  <c r="K89" i="55"/>
  <c r="L89" i="55"/>
  <c r="M89" i="55"/>
  <c r="N89" i="55"/>
  <c r="O89" i="55"/>
  <c r="P89" i="55"/>
  <c r="Q89" i="55"/>
  <c r="R89" i="55"/>
  <c r="S89" i="55"/>
  <c r="T89" i="55"/>
  <c r="U89" i="55"/>
  <c r="V89" i="55"/>
  <c r="W89" i="55"/>
  <c r="X89" i="55"/>
  <c r="Y89" i="55"/>
  <c r="Z89" i="55"/>
  <c r="AA89" i="55"/>
  <c r="AB89" i="55"/>
  <c r="E90" i="55"/>
  <c r="F90" i="55"/>
  <c r="G90" i="55"/>
  <c r="H90" i="55"/>
  <c r="I90" i="55"/>
  <c r="J90" i="55"/>
  <c r="K90" i="55"/>
  <c r="L90" i="55"/>
  <c r="M90" i="55"/>
  <c r="N90" i="55"/>
  <c r="O90" i="55"/>
  <c r="P90" i="55"/>
  <c r="Q90" i="55"/>
  <c r="R90" i="55"/>
  <c r="S90" i="55"/>
  <c r="T90" i="55"/>
  <c r="U90" i="55"/>
  <c r="V90" i="55"/>
  <c r="W90" i="55"/>
  <c r="X90" i="55"/>
  <c r="Y90" i="55"/>
  <c r="Z90" i="55"/>
  <c r="AA90" i="55"/>
  <c r="AB90" i="55"/>
  <c r="E91" i="55"/>
  <c r="F91" i="55"/>
  <c r="G91" i="55"/>
  <c r="H91" i="55"/>
  <c r="I91" i="55"/>
  <c r="J91" i="55"/>
  <c r="K91" i="55"/>
  <c r="L91" i="55"/>
  <c r="M91" i="55"/>
  <c r="N91" i="55"/>
  <c r="O91" i="55"/>
  <c r="P91" i="55"/>
  <c r="Q91" i="55"/>
  <c r="R91" i="55"/>
  <c r="S91" i="55"/>
  <c r="T91" i="55"/>
  <c r="U91" i="55"/>
  <c r="V91" i="55"/>
  <c r="W91" i="55"/>
  <c r="X91" i="55"/>
  <c r="Y91" i="55"/>
  <c r="Z91" i="55"/>
  <c r="AA91" i="55"/>
  <c r="AB91" i="55"/>
  <c r="E92" i="55"/>
  <c r="F92" i="55"/>
  <c r="G92" i="55"/>
  <c r="H92" i="55"/>
  <c r="I92" i="55"/>
  <c r="J92" i="55"/>
  <c r="K92" i="55"/>
  <c r="L92" i="55"/>
  <c r="M92" i="55"/>
  <c r="N92" i="55"/>
  <c r="O92" i="55"/>
  <c r="P92" i="55"/>
  <c r="Q92" i="55"/>
  <c r="R92" i="55"/>
  <c r="S92" i="55"/>
  <c r="T92" i="55"/>
  <c r="U92" i="55"/>
  <c r="V92" i="55"/>
  <c r="W92" i="55"/>
  <c r="X92" i="55"/>
  <c r="Y92" i="55"/>
  <c r="Z92" i="55"/>
  <c r="AA92" i="55"/>
  <c r="AB92" i="55"/>
  <c r="E93" i="55"/>
  <c r="F93" i="55"/>
  <c r="G93" i="55"/>
  <c r="H93" i="55"/>
  <c r="I93" i="55"/>
  <c r="J93" i="55"/>
  <c r="K93" i="55"/>
  <c r="L93" i="55"/>
  <c r="M93" i="55"/>
  <c r="N93" i="55"/>
  <c r="O93" i="55"/>
  <c r="P93" i="55"/>
  <c r="Q93" i="55"/>
  <c r="R93" i="55"/>
  <c r="S93" i="55"/>
  <c r="T93" i="55"/>
  <c r="U93" i="55"/>
  <c r="V93" i="55"/>
  <c r="W93" i="55"/>
  <c r="X93" i="55"/>
  <c r="Y93" i="55"/>
  <c r="Z93" i="55"/>
  <c r="AA93" i="55"/>
  <c r="AB93" i="55"/>
  <c r="E94" i="55"/>
  <c r="F94" i="55"/>
  <c r="G94" i="55"/>
  <c r="H94" i="55"/>
  <c r="I94" i="55"/>
  <c r="J94" i="55"/>
  <c r="K94" i="55"/>
  <c r="L94" i="55"/>
  <c r="M94" i="55"/>
  <c r="N94" i="55"/>
  <c r="O94" i="55"/>
  <c r="P94" i="55"/>
  <c r="Q94" i="55"/>
  <c r="R94" i="55"/>
  <c r="S94" i="55"/>
  <c r="T94" i="55"/>
  <c r="U94" i="55"/>
  <c r="V94" i="55"/>
  <c r="W94" i="55"/>
  <c r="X94" i="55"/>
  <c r="Y94" i="55"/>
  <c r="Z94" i="55"/>
  <c r="AA94" i="55"/>
  <c r="AB94" i="55"/>
  <c r="E95" i="55"/>
  <c r="F95" i="55"/>
  <c r="G95" i="55"/>
  <c r="H95" i="55"/>
  <c r="I95" i="55"/>
  <c r="J95" i="55"/>
  <c r="K95" i="55"/>
  <c r="L95" i="55"/>
  <c r="M95" i="55"/>
  <c r="N95" i="55"/>
  <c r="O95" i="55"/>
  <c r="P95" i="55"/>
  <c r="Q95" i="55"/>
  <c r="R95" i="55"/>
  <c r="S95" i="55"/>
  <c r="T95" i="55"/>
  <c r="U95" i="55"/>
  <c r="V95" i="55"/>
  <c r="W95" i="55"/>
  <c r="X95" i="55"/>
  <c r="Y95" i="55"/>
  <c r="Z95" i="55"/>
  <c r="AA95" i="55"/>
  <c r="AB95" i="55"/>
  <c r="E96" i="55"/>
  <c r="F96" i="55"/>
  <c r="G96" i="55"/>
  <c r="H96" i="55"/>
  <c r="I96" i="55"/>
  <c r="J96" i="55"/>
  <c r="K96" i="55"/>
  <c r="L96" i="55"/>
  <c r="M96" i="55"/>
  <c r="N96" i="55"/>
  <c r="O96" i="55"/>
  <c r="P96" i="55"/>
  <c r="Q96" i="55"/>
  <c r="R96" i="55"/>
  <c r="S96" i="55"/>
  <c r="T96" i="55"/>
  <c r="U96" i="55"/>
  <c r="V96" i="55"/>
  <c r="W96" i="55"/>
  <c r="X96" i="55"/>
  <c r="Y96" i="55"/>
  <c r="Z96" i="55"/>
  <c r="AA96" i="55"/>
  <c r="AB96" i="55"/>
  <c r="E97" i="55"/>
  <c r="F97" i="55"/>
  <c r="G97" i="55"/>
  <c r="H97" i="55"/>
  <c r="I97" i="55"/>
  <c r="J97" i="55"/>
  <c r="K97" i="55"/>
  <c r="L97" i="55"/>
  <c r="M97" i="55"/>
  <c r="N97" i="55"/>
  <c r="O97" i="55"/>
  <c r="P97" i="55"/>
  <c r="Q97" i="55"/>
  <c r="R97" i="55"/>
  <c r="S97" i="55"/>
  <c r="T97" i="55"/>
  <c r="U97" i="55"/>
  <c r="V97" i="55"/>
  <c r="W97" i="55"/>
  <c r="X97" i="55"/>
  <c r="Y97" i="55"/>
  <c r="Z97" i="55"/>
  <c r="AA97" i="55"/>
  <c r="AB97" i="55"/>
  <c r="E98" i="55"/>
  <c r="F98" i="55"/>
  <c r="G98" i="55"/>
  <c r="H98" i="55"/>
  <c r="I98" i="55"/>
  <c r="J98" i="55"/>
  <c r="K98" i="55"/>
  <c r="L98" i="55"/>
  <c r="M98" i="55"/>
  <c r="N98" i="55"/>
  <c r="O98" i="55"/>
  <c r="P98" i="55"/>
  <c r="Q98" i="55"/>
  <c r="R98" i="55"/>
  <c r="S98" i="55"/>
  <c r="T98" i="55"/>
  <c r="U98" i="55"/>
  <c r="V98" i="55"/>
  <c r="W98" i="55"/>
  <c r="X98" i="55"/>
  <c r="Y98" i="55"/>
  <c r="Z98" i="55"/>
  <c r="AA98" i="55"/>
  <c r="AB98" i="55"/>
  <c r="E99" i="55"/>
  <c r="F99" i="55"/>
  <c r="G99" i="55"/>
  <c r="H99" i="55"/>
  <c r="I99" i="55"/>
  <c r="J99" i="55"/>
  <c r="K99" i="55"/>
  <c r="L99" i="55"/>
  <c r="M99" i="55"/>
  <c r="N99" i="55"/>
  <c r="O99" i="55"/>
  <c r="P99" i="55"/>
  <c r="Q99" i="55"/>
  <c r="R99" i="55"/>
  <c r="S99" i="55"/>
  <c r="T99" i="55"/>
  <c r="U99" i="55"/>
  <c r="V99" i="55"/>
  <c r="W99" i="55"/>
  <c r="X99" i="55"/>
  <c r="Y99" i="55"/>
  <c r="Z99" i="55"/>
  <c r="AA99" i="55"/>
  <c r="AB99" i="55"/>
  <c r="E100" i="55"/>
  <c r="F100" i="55"/>
  <c r="G100" i="55"/>
  <c r="H100" i="55"/>
  <c r="I100" i="55"/>
  <c r="J100" i="55"/>
  <c r="K100" i="55"/>
  <c r="L100" i="55"/>
  <c r="M100" i="55"/>
  <c r="N100" i="55"/>
  <c r="O100" i="55"/>
  <c r="P100" i="55"/>
  <c r="Q100" i="55"/>
  <c r="R100" i="55"/>
  <c r="S100" i="55"/>
  <c r="T100" i="55"/>
  <c r="U100" i="55"/>
  <c r="V100" i="55"/>
  <c r="W100" i="55"/>
  <c r="X100" i="55"/>
  <c r="Y100" i="55"/>
  <c r="Z100" i="55"/>
  <c r="AA100" i="55"/>
  <c r="AB100" i="55"/>
  <c r="E101" i="55"/>
  <c r="F101" i="55"/>
  <c r="G101" i="55"/>
  <c r="H101" i="55"/>
  <c r="I101" i="55"/>
  <c r="J101" i="55"/>
  <c r="K101" i="55"/>
  <c r="L101" i="55"/>
  <c r="M101" i="55"/>
  <c r="N101" i="55"/>
  <c r="O101" i="55"/>
  <c r="P101" i="55"/>
  <c r="Q101" i="55"/>
  <c r="R101" i="55"/>
  <c r="S101" i="55"/>
  <c r="T101" i="55"/>
  <c r="U101" i="55"/>
  <c r="V101" i="55"/>
  <c r="W101" i="55"/>
  <c r="X101" i="55"/>
  <c r="Y101" i="55"/>
  <c r="Z101" i="55"/>
  <c r="AA101" i="55"/>
  <c r="AB101" i="55"/>
  <c r="E102" i="55"/>
  <c r="F102" i="55"/>
  <c r="G102" i="55"/>
  <c r="H102" i="55"/>
  <c r="I102" i="55"/>
  <c r="J102" i="55"/>
  <c r="K102" i="55"/>
  <c r="L102" i="55"/>
  <c r="M102" i="55"/>
  <c r="N102" i="55"/>
  <c r="O102" i="55"/>
  <c r="P102" i="55"/>
  <c r="Q102" i="55"/>
  <c r="R102" i="55"/>
  <c r="S102" i="55"/>
  <c r="T102" i="55"/>
  <c r="U102" i="55"/>
  <c r="V102" i="55"/>
  <c r="W102" i="55"/>
  <c r="X102" i="55"/>
  <c r="Y102" i="55"/>
  <c r="Z102" i="55"/>
  <c r="AA102" i="55"/>
  <c r="AB102" i="55"/>
  <c r="E103" i="55"/>
  <c r="F103" i="55"/>
  <c r="G103" i="55"/>
  <c r="H103" i="55"/>
  <c r="I103" i="55"/>
  <c r="J103" i="55"/>
  <c r="K103" i="55"/>
  <c r="L103" i="55"/>
  <c r="M103" i="55"/>
  <c r="N103" i="55"/>
  <c r="O103" i="55"/>
  <c r="P103" i="55"/>
  <c r="Q103" i="55"/>
  <c r="R103" i="55"/>
  <c r="S103" i="55"/>
  <c r="T103" i="55"/>
  <c r="U103" i="55"/>
  <c r="V103" i="55"/>
  <c r="W103" i="55"/>
  <c r="X103" i="55"/>
  <c r="Y103" i="55"/>
  <c r="Z103" i="55"/>
  <c r="AA103" i="55"/>
  <c r="AB103" i="55"/>
  <c r="E104" i="55"/>
  <c r="F104" i="55"/>
  <c r="G104" i="55"/>
  <c r="H104" i="55"/>
  <c r="I104" i="55"/>
  <c r="J104" i="55"/>
  <c r="K104" i="55"/>
  <c r="L104" i="55"/>
  <c r="M104" i="55"/>
  <c r="N104" i="55"/>
  <c r="O104" i="55"/>
  <c r="P104" i="55"/>
  <c r="Q104" i="55"/>
  <c r="R104" i="55"/>
  <c r="S104" i="55"/>
  <c r="T104" i="55"/>
  <c r="U104" i="55"/>
  <c r="V104" i="55"/>
  <c r="W104" i="55"/>
  <c r="X104" i="55"/>
  <c r="Y104" i="55"/>
  <c r="Z104" i="55"/>
  <c r="AA104" i="55"/>
  <c r="AB104" i="55"/>
  <c r="E105" i="55"/>
  <c r="F105" i="55"/>
  <c r="G105" i="55"/>
  <c r="H105" i="55"/>
  <c r="I105" i="55"/>
  <c r="J105" i="55"/>
  <c r="K105" i="55"/>
  <c r="L105" i="55"/>
  <c r="M105" i="55"/>
  <c r="N105" i="55"/>
  <c r="O105" i="55"/>
  <c r="P105" i="55"/>
  <c r="Q105" i="55"/>
  <c r="R105" i="55"/>
  <c r="S105" i="55"/>
  <c r="T105" i="55"/>
  <c r="U105" i="55"/>
  <c r="V105" i="55"/>
  <c r="W105" i="55"/>
  <c r="X105" i="55"/>
  <c r="Y105" i="55"/>
  <c r="Z105" i="55"/>
  <c r="AA105" i="55"/>
  <c r="AB105" i="55"/>
  <c r="E106" i="55"/>
  <c r="F106" i="55"/>
  <c r="G106" i="55"/>
  <c r="H106" i="55"/>
  <c r="I106" i="55"/>
  <c r="J106" i="55"/>
  <c r="K106" i="55"/>
  <c r="L106" i="55"/>
  <c r="M106" i="55"/>
  <c r="N106" i="55"/>
  <c r="O106" i="55"/>
  <c r="P106" i="55"/>
  <c r="Q106" i="55"/>
  <c r="R106" i="55"/>
  <c r="S106" i="55"/>
  <c r="T106" i="55"/>
  <c r="U106" i="55"/>
  <c r="V106" i="55"/>
  <c r="W106" i="55"/>
  <c r="X106" i="55"/>
  <c r="Y106" i="55"/>
  <c r="Z106" i="55"/>
  <c r="AA106" i="55"/>
  <c r="AB106" i="55"/>
  <c r="E107" i="55"/>
  <c r="F107" i="55"/>
  <c r="G107" i="55"/>
  <c r="H107" i="55"/>
  <c r="I107" i="55"/>
  <c r="J107" i="55"/>
  <c r="K107" i="55"/>
  <c r="L107" i="55"/>
  <c r="M107" i="55"/>
  <c r="N107" i="55"/>
  <c r="O107" i="55"/>
  <c r="P107" i="55"/>
  <c r="Q107" i="55"/>
  <c r="R107" i="55"/>
  <c r="S107" i="55"/>
  <c r="T107" i="55"/>
  <c r="U107" i="55"/>
  <c r="V107" i="55"/>
  <c r="W107" i="55"/>
  <c r="X107" i="55"/>
  <c r="Y107" i="55"/>
  <c r="Z107" i="55"/>
  <c r="AA107" i="55"/>
  <c r="AB107" i="55"/>
  <c r="E108" i="55"/>
  <c r="F108" i="55"/>
  <c r="G108" i="55"/>
  <c r="H108" i="55"/>
  <c r="I108" i="55"/>
  <c r="J108" i="55"/>
  <c r="K108" i="55"/>
  <c r="L108" i="55"/>
  <c r="M108" i="55"/>
  <c r="N108" i="55"/>
  <c r="O108" i="55"/>
  <c r="P108" i="55"/>
  <c r="Q108" i="55"/>
  <c r="R108" i="55"/>
  <c r="S108" i="55"/>
  <c r="T108" i="55"/>
  <c r="U108" i="55"/>
  <c r="V108" i="55"/>
  <c r="W108" i="55"/>
  <c r="X108" i="55"/>
  <c r="Y108" i="55"/>
  <c r="Z108" i="55"/>
  <c r="AA108" i="55"/>
  <c r="AB108" i="55"/>
  <c r="F61" i="55"/>
  <c r="G61" i="55"/>
  <c r="H61" i="55"/>
  <c r="I61" i="55"/>
  <c r="J61" i="55"/>
  <c r="K61" i="55"/>
  <c r="L61" i="55"/>
  <c r="M61" i="55"/>
  <c r="N61" i="55"/>
  <c r="O61" i="55"/>
  <c r="P61" i="55"/>
  <c r="Q61" i="55"/>
  <c r="R61" i="55"/>
  <c r="S61" i="55"/>
  <c r="T61" i="55"/>
  <c r="U61" i="55"/>
  <c r="V61" i="55"/>
  <c r="W61" i="55"/>
  <c r="X61" i="55"/>
  <c r="Y61" i="55"/>
  <c r="Z61" i="55"/>
  <c r="AA61" i="55"/>
  <c r="AB61" i="55"/>
  <c r="E61" i="55"/>
  <c r="AC115" i="82"/>
  <c r="AD115" i="82" s="1"/>
  <c r="C42" i="81" s="1"/>
  <c r="AC119" i="82"/>
  <c r="AD116" i="82" s="1"/>
  <c r="C43" i="81" s="1"/>
  <c r="AC123" i="82"/>
  <c r="AD117" i="82" s="1"/>
  <c r="C44" i="81" s="1"/>
  <c r="AC127" i="82"/>
  <c r="AD118" i="82" s="1"/>
  <c r="C45" i="81" s="1"/>
  <c r="AC131" i="82"/>
  <c r="AD119" i="82" s="1"/>
  <c r="C46" i="81" s="1"/>
  <c r="AC135" i="82"/>
  <c r="AD120" i="82" s="1"/>
  <c r="C47" i="81" s="1"/>
  <c r="AC139" i="82"/>
  <c r="AD121" i="82" s="1"/>
  <c r="C48" i="81" s="1"/>
  <c r="AC143" i="82"/>
  <c r="AD122" i="82" s="1"/>
  <c r="C49" i="81" s="1"/>
  <c r="AC147" i="82"/>
  <c r="AD123" i="82" s="1"/>
  <c r="C50" i="81" s="1"/>
  <c r="E50" i="81" s="1"/>
  <c r="AC151" i="82"/>
  <c r="AD124" i="82" s="1"/>
  <c r="C51" i="81" s="1"/>
  <c r="AC155" i="82"/>
  <c r="AD125" i="82" s="1"/>
  <c r="C52" i="81" s="1"/>
  <c r="E52" i="81" s="1"/>
  <c r="AB499" i="91"/>
  <c r="AA499" i="91"/>
  <c r="Z499" i="91"/>
  <c r="Y499" i="91"/>
  <c r="X499" i="91"/>
  <c r="W499" i="91"/>
  <c r="V499" i="91"/>
  <c r="U499" i="91"/>
  <c r="T499" i="91"/>
  <c r="S499" i="91"/>
  <c r="R499" i="91"/>
  <c r="Q499" i="91"/>
  <c r="P499" i="91"/>
  <c r="O499" i="91"/>
  <c r="N499" i="91"/>
  <c r="M499" i="91"/>
  <c r="L499" i="91"/>
  <c r="K499" i="91"/>
  <c r="J499" i="91"/>
  <c r="I499" i="91"/>
  <c r="H499" i="91"/>
  <c r="G499" i="91"/>
  <c r="F499" i="91"/>
  <c r="E499" i="91"/>
  <c r="D499" i="91"/>
  <c r="AB498" i="91"/>
  <c r="AA498" i="91"/>
  <c r="Z498" i="91"/>
  <c r="Y498" i="91"/>
  <c r="X498" i="91"/>
  <c r="W498" i="91"/>
  <c r="V498" i="91"/>
  <c r="U498" i="91"/>
  <c r="T498" i="91"/>
  <c r="S498" i="91"/>
  <c r="R498" i="91"/>
  <c r="Q498" i="91"/>
  <c r="P498" i="91"/>
  <c r="O498" i="91"/>
  <c r="N498" i="91"/>
  <c r="M498" i="91"/>
  <c r="L498" i="91"/>
  <c r="K498" i="91"/>
  <c r="J498" i="91"/>
  <c r="I498" i="91"/>
  <c r="H498" i="91"/>
  <c r="G498" i="91"/>
  <c r="F498" i="91"/>
  <c r="E498" i="91"/>
  <c r="D498" i="91"/>
  <c r="AB497" i="91"/>
  <c r="AA497" i="91"/>
  <c r="Z497" i="91"/>
  <c r="Y497" i="91"/>
  <c r="X497" i="91"/>
  <c r="W497" i="91"/>
  <c r="V497" i="91"/>
  <c r="U497" i="91"/>
  <c r="T497" i="91"/>
  <c r="S497" i="91"/>
  <c r="R497" i="91"/>
  <c r="Q497" i="91"/>
  <c r="P497" i="91"/>
  <c r="O497" i="91"/>
  <c r="N497" i="91"/>
  <c r="M497" i="91"/>
  <c r="L497" i="91"/>
  <c r="K497" i="91"/>
  <c r="J497" i="91"/>
  <c r="I497" i="91"/>
  <c r="H497" i="91"/>
  <c r="G497" i="91"/>
  <c r="F497" i="91"/>
  <c r="E497" i="91"/>
  <c r="D497" i="91"/>
  <c r="AB496" i="91"/>
  <c r="AA496" i="91"/>
  <c r="Z496" i="91"/>
  <c r="Y496" i="91"/>
  <c r="X496" i="91"/>
  <c r="W496" i="91"/>
  <c r="V496" i="91"/>
  <c r="U496" i="91"/>
  <c r="T496" i="91"/>
  <c r="S496" i="91"/>
  <c r="R496" i="91"/>
  <c r="Q496" i="91"/>
  <c r="P496" i="91"/>
  <c r="O496" i="91"/>
  <c r="N496" i="91"/>
  <c r="M496" i="91"/>
  <c r="L496" i="91"/>
  <c r="K496" i="91"/>
  <c r="J496" i="91"/>
  <c r="I496" i="91"/>
  <c r="H496" i="91"/>
  <c r="G496" i="91"/>
  <c r="F496" i="91"/>
  <c r="E496" i="91"/>
  <c r="D496" i="91"/>
  <c r="AB495" i="91"/>
  <c r="AA495" i="91"/>
  <c r="Z495" i="91"/>
  <c r="Y495" i="91"/>
  <c r="X495" i="91"/>
  <c r="W495" i="91"/>
  <c r="V495" i="91"/>
  <c r="U495" i="91"/>
  <c r="T495" i="91"/>
  <c r="S495" i="91"/>
  <c r="R495" i="91"/>
  <c r="Q495" i="91"/>
  <c r="P495" i="91"/>
  <c r="O495" i="91"/>
  <c r="N495" i="91"/>
  <c r="M495" i="91"/>
  <c r="L495" i="91"/>
  <c r="K495" i="91"/>
  <c r="J495" i="91"/>
  <c r="I495" i="91"/>
  <c r="H495" i="91"/>
  <c r="G495" i="91"/>
  <c r="F495" i="91"/>
  <c r="E495" i="91"/>
  <c r="D495" i="91"/>
  <c r="AB494" i="91"/>
  <c r="AA494" i="91"/>
  <c r="Z494" i="91"/>
  <c r="Y494" i="91"/>
  <c r="X494" i="91"/>
  <c r="W494" i="91"/>
  <c r="V494" i="91"/>
  <c r="U494" i="91"/>
  <c r="T494" i="91"/>
  <c r="S494" i="91"/>
  <c r="R494" i="91"/>
  <c r="Q494" i="91"/>
  <c r="P494" i="91"/>
  <c r="O494" i="91"/>
  <c r="N494" i="91"/>
  <c r="M494" i="91"/>
  <c r="L494" i="91"/>
  <c r="K494" i="91"/>
  <c r="J494" i="91"/>
  <c r="I494" i="91"/>
  <c r="H494" i="91"/>
  <c r="G494" i="91"/>
  <c r="F494" i="91"/>
  <c r="E494" i="91"/>
  <c r="D494" i="91"/>
  <c r="AB493" i="91"/>
  <c r="AA493" i="91"/>
  <c r="Z493" i="91"/>
  <c r="Y493" i="91"/>
  <c r="X493" i="91"/>
  <c r="W493" i="91"/>
  <c r="V493" i="91"/>
  <c r="U493" i="91"/>
  <c r="T493" i="91"/>
  <c r="S493" i="91"/>
  <c r="R493" i="91"/>
  <c r="Q493" i="91"/>
  <c r="P493" i="91"/>
  <c r="O493" i="91"/>
  <c r="N493" i="91"/>
  <c r="M493" i="91"/>
  <c r="L493" i="91"/>
  <c r="K493" i="91"/>
  <c r="J493" i="91"/>
  <c r="I493" i="91"/>
  <c r="H493" i="91"/>
  <c r="G493" i="91"/>
  <c r="F493" i="91"/>
  <c r="E493" i="91"/>
  <c r="D493" i="91"/>
  <c r="AB492" i="91"/>
  <c r="AA492" i="91"/>
  <c r="Z492" i="91"/>
  <c r="Y492" i="91"/>
  <c r="X492" i="91"/>
  <c r="W492" i="91"/>
  <c r="V492" i="91"/>
  <c r="U492" i="91"/>
  <c r="T492" i="91"/>
  <c r="S492" i="91"/>
  <c r="R492" i="91"/>
  <c r="Q492" i="91"/>
  <c r="P492" i="91"/>
  <c r="O492" i="91"/>
  <c r="N492" i="91"/>
  <c r="M492" i="91"/>
  <c r="L492" i="91"/>
  <c r="K492" i="91"/>
  <c r="J492" i="91"/>
  <c r="I492" i="91"/>
  <c r="H492" i="91"/>
  <c r="G492" i="91"/>
  <c r="F492" i="91"/>
  <c r="E492" i="91"/>
  <c r="D492" i="91"/>
  <c r="AB491" i="91"/>
  <c r="AA491" i="91"/>
  <c r="Z491" i="91"/>
  <c r="Y491" i="91"/>
  <c r="X491" i="91"/>
  <c r="W491" i="91"/>
  <c r="V491" i="91"/>
  <c r="U491" i="91"/>
  <c r="T491" i="91"/>
  <c r="S491" i="91"/>
  <c r="R491" i="91"/>
  <c r="Q491" i="91"/>
  <c r="P491" i="91"/>
  <c r="O491" i="91"/>
  <c r="N491" i="91"/>
  <c r="M491" i="91"/>
  <c r="L491" i="91"/>
  <c r="K491" i="91"/>
  <c r="J491" i="91"/>
  <c r="I491" i="91"/>
  <c r="H491" i="91"/>
  <c r="G491" i="91"/>
  <c r="F491" i="91"/>
  <c r="E491" i="91"/>
  <c r="D491" i="91"/>
  <c r="AB490" i="91"/>
  <c r="AA490" i="91"/>
  <c r="Z490" i="91"/>
  <c r="Y490" i="91"/>
  <c r="X490" i="91"/>
  <c r="W490" i="91"/>
  <c r="V490" i="91"/>
  <c r="U490" i="91"/>
  <c r="T490" i="91"/>
  <c r="S490" i="91"/>
  <c r="R490" i="91"/>
  <c r="Q490" i="91"/>
  <c r="P490" i="91"/>
  <c r="O490" i="91"/>
  <c r="N490" i="91"/>
  <c r="M490" i="91"/>
  <c r="L490" i="91"/>
  <c r="K490" i="91"/>
  <c r="J490" i="91"/>
  <c r="I490" i="91"/>
  <c r="H490" i="91"/>
  <c r="G490" i="91"/>
  <c r="F490" i="91"/>
  <c r="E490" i="91"/>
  <c r="D490" i="91"/>
  <c r="AB489" i="91"/>
  <c r="AA489" i="91"/>
  <c r="Z489" i="91"/>
  <c r="Y489" i="91"/>
  <c r="X489" i="91"/>
  <c r="W489" i="91"/>
  <c r="V489" i="91"/>
  <c r="U489" i="91"/>
  <c r="T489" i="91"/>
  <c r="S489" i="91"/>
  <c r="R489" i="91"/>
  <c r="Q489" i="91"/>
  <c r="P489" i="91"/>
  <c r="O489" i="91"/>
  <c r="N489" i="91"/>
  <c r="M489" i="91"/>
  <c r="L489" i="91"/>
  <c r="K489" i="91"/>
  <c r="J489" i="91"/>
  <c r="I489" i="91"/>
  <c r="H489" i="91"/>
  <c r="G489" i="91"/>
  <c r="F489" i="91"/>
  <c r="E489" i="91"/>
  <c r="D489" i="91"/>
  <c r="AB488" i="91"/>
  <c r="AA488" i="91"/>
  <c r="Z488" i="91"/>
  <c r="Y488" i="91"/>
  <c r="X488" i="91"/>
  <c r="W488" i="91"/>
  <c r="V488" i="91"/>
  <c r="U488" i="91"/>
  <c r="T488" i="91"/>
  <c r="S488" i="91"/>
  <c r="R488" i="91"/>
  <c r="Q488" i="91"/>
  <c r="P488" i="91"/>
  <c r="O488" i="91"/>
  <c r="N488" i="91"/>
  <c r="M488" i="91"/>
  <c r="L488" i="91"/>
  <c r="K488" i="91"/>
  <c r="J488" i="91"/>
  <c r="I488" i="91"/>
  <c r="H488" i="91"/>
  <c r="G488" i="91"/>
  <c r="F488" i="91"/>
  <c r="E488" i="91"/>
  <c r="D488" i="91"/>
  <c r="AB487" i="91"/>
  <c r="AA487" i="91"/>
  <c r="Z487" i="91"/>
  <c r="Y487" i="91"/>
  <c r="X487" i="91"/>
  <c r="W487" i="91"/>
  <c r="V487" i="91"/>
  <c r="U487" i="91"/>
  <c r="T487" i="91"/>
  <c r="S487" i="91"/>
  <c r="R487" i="91"/>
  <c r="Q487" i="91"/>
  <c r="P487" i="91"/>
  <c r="O487" i="91"/>
  <c r="N487" i="91"/>
  <c r="M487" i="91"/>
  <c r="L487" i="91"/>
  <c r="K487" i="91"/>
  <c r="J487" i="91"/>
  <c r="I487" i="91"/>
  <c r="H487" i="91"/>
  <c r="G487" i="91"/>
  <c r="F487" i="91"/>
  <c r="E487" i="91"/>
  <c r="D487" i="91"/>
  <c r="AB486" i="91"/>
  <c r="AA486" i="91"/>
  <c r="Z486" i="91"/>
  <c r="Y486" i="91"/>
  <c r="X486" i="91"/>
  <c r="W486" i="91"/>
  <c r="V486" i="91"/>
  <c r="U486" i="91"/>
  <c r="T486" i="91"/>
  <c r="S486" i="91"/>
  <c r="R486" i="91"/>
  <c r="Q486" i="91"/>
  <c r="P486" i="91"/>
  <c r="O486" i="91"/>
  <c r="N486" i="91"/>
  <c r="M486" i="91"/>
  <c r="L486" i="91"/>
  <c r="K486" i="91"/>
  <c r="J486" i="91"/>
  <c r="I486" i="91"/>
  <c r="H486" i="91"/>
  <c r="G486" i="91"/>
  <c r="F486" i="91"/>
  <c r="E486" i="91"/>
  <c r="D486" i="91"/>
  <c r="AB485" i="91"/>
  <c r="AA485" i="91"/>
  <c r="Z485" i="91"/>
  <c r="Y485" i="91"/>
  <c r="X485" i="91"/>
  <c r="W485" i="91"/>
  <c r="V485" i="91"/>
  <c r="U485" i="91"/>
  <c r="T485" i="91"/>
  <c r="S485" i="91"/>
  <c r="R485" i="91"/>
  <c r="Q485" i="91"/>
  <c r="P485" i="91"/>
  <c r="O485" i="91"/>
  <c r="N485" i="91"/>
  <c r="M485" i="91"/>
  <c r="L485" i="91"/>
  <c r="K485" i="91"/>
  <c r="J485" i="91"/>
  <c r="I485" i="91"/>
  <c r="H485" i="91"/>
  <c r="G485" i="91"/>
  <c r="F485" i="91"/>
  <c r="E485" i="91"/>
  <c r="D485" i="91"/>
  <c r="AB484" i="91"/>
  <c r="AA484" i="91"/>
  <c r="Z484" i="91"/>
  <c r="Y484" i="91"/>
  <c r="X484" i="91"/>
  <c r="W484" i="91"/>
  <c r="V484" i="91"/>
  <c r="U484" i="91"/>
  <c r="T484" i="91"/>
  <c r="S484" i="91"/>
  <c r="R484" i="91"/>
  <c r="Q484" i="91"/>
  <c r="P484" i="91"/>
  <c r="O484" i="91"/>
  <c r="N484" i="91"/>
  <c r="M484" i="91"/>
  <c r="L484" i="91"/>
  <c r="K484" i="91"/>
  <c r="J484" i="91"/>
  <c r="I484" i="91"/>
  <c r="H484" i="91"/>
  <c r="G484" i="91"/>
  <c r="F484" i="91"/>
  <c r="E484" i="91"/>
  <c r="D484" i="91"/>
  <c r="AB483" i="91"/>
  <c r="AA483" i="91"/>
  <c r="Z483" i="91"/>
  <c r="Y483" i="91"/>
  <c r="X483" i="91"/>
  <c r="W483" i="91"/>
  <c r="V483" i="91"/>
  <c r="U483" i="91"/>
  <c r="T483" i="91"/>
  <c r="S483" i="91"/>
  <c r="R483" i="91"/>
  <c r="Q483" i="91"/>
  <c r="P483" i="91"/>
  <c r="O483" i="91"/>
  <c r="N483" i="91"/>
  <c r="M483" i="91"/>
  <c r="L483" i="91"/>
  <c r="K483" i="91"/>
  <c r="J483" i="91"/>
  <c r="I483" i="91"/>
  <c r="H483" i="91"/>
  <c r="G483" i="91"/>
  <c r="F483" i="91"/>
  <c r="E483" i="91"/>
  <c r="D483" i="91"/>
  <c r="AB482" i="91"/>
  <c r="AA482" i="91"/>
  <c r="Z482" i="91"/>
  <c r="Y482" i="91"/>
  <c r="X482" i="91"/>
  <c r="W482" i="91"/>
  <c r="V482" i="91"/>
  <c r="U482" i="91"/>
  <c r="T482" i="91"/>
  <c r="S482" i="91"/>
  <c r="R482" i="91"/>
  <c r="Q482" i="91"/>
  <c r="P482" i="91"/>
  <c r="O482" i="91"/>
  <c r="N482" i="91"/>
  <c r="M482" i="91"/>
  <c r="L482" i="91"/>
  <c r="K482" i="91"/>
  <c r="J482" i="91"/>
  <c r="I482" i="91"/>
  <c r="H482" i="91"/>
  <c r="G482" i="91"/>
  <c r="F482" i="91"/>
  <c r="E482" i="91"/>
  <c r="D482" i="91"/>
  <c r="AB481" i="91"/>
  <c r="AA481" i="91"/>
  <c r="Z481" i="91"/>
  <c r="Y481" i="91"/>
  <c r="X481" i="91"/>
  <c r="W481" i="91"/>
  <c r="V481" i="91"/>
  <c r="U481" i="91"/>
  <c r="T481" i="91"/>
  <c r="S481" i="91"/>
  <c r="R481" i="91"/>
  <c r="Q481" i="91"/>
  <c r="P481" i="91"/>
  <c r="O481" i="91"/>
  <c r="N481" i="91"/>
  <c r="M481" i="91"/>
  <c r="L481" i="91"/>
  <c r="K481" i="91"/>
  <c r="J481" i="91"/>
  <c r="I481" i="91"/>
  <c r="H481" i="91"/>
  <c r="G481" i="91"/>
  <c r="F481" i="91"/>
  <c r="E481" i="91"/>
  <c r="D481" i="91"/>
  <c r="AB480" i="91"/>
  <c r="AA480" i="91"/>
  <c r="Z480" i="91"/>
  <c r="Y480" i="91"/>
  <c r="X480" i="91"/>
  <c r="W480" i="91"/>
  <c r="V480" i="91"/>
  <c r="U480" i="91"/>
  <c r="T480" i="91"/>
  <c r="S480" i="91"/>
  <c r="R480" i="91"/>
  <c r="Q480" i="91"/>
  <c r="P480" i="91"/>
  <c r="O480" i="91"/>
  <c r="N480" i="91"/>
  <c r="M480" i="91"/>
  <c r="L480" i="91"/>
  <c r="K480" i="91"/>
  <c r="J480" i="91"/>
  <c r="I480" i="91"/>
  <c r="H480" i="91"/>
  <c r="G480" i="91"/>
  <c r="F480" i="91"/>
  <c r="E480" i="91"/>
  <c r="D480" i="91"/>
  <c r="AB479" i="91"/>
  <c r="AA479" i="91"/>
  <c r="Z479" i="91"/>
  <c r="Y479" i="91"/>
  <c r="X479" i="91"/>
  <c r="W479" i="91"/>
  <c r="V479" i="91"/>
  <c r="U479" i="91"/>
  <c r="T479" i="91"/>
  <c r="S479" i="91"/>
  <c r="R479" i="91"/>
  <c r="Q479" i="91"/>
  <c r="P479" i="91"/>
  <c r="O479" i="91"/>
  <c r="N479" i="91"/>
  <c r="M479" i="91"/>
  <c r="L479" i="91"/>
  <c r="K479" i="91"/>
  <c r="J479" i="91"/>
  <c r="I479" i="91"/>
  <c r="H479" i="91"/>
  <c r="G479" i="91"/>
  <c r="F479" i="91"/>
  <c r="E479" i="91"/>
  <c r="D479" i="91"/>
  <c r="AB478" i="91"/>
  <c r="AA478" i="91"/>
  <c r="Z478" i="91"/>
  <c r="Y478" i="91"/>
  <c r="X478" i="91"/>
  <c r="W478" i="91"/>
  <c r="V478" i="91"/>
  <c r="U478" i="91"/>
  <c r="T478" i="91"/>
  <c r="S478" i="91"/>
  <c r="R478" i="91"/>
  <c r="Q478" i="91"/>
  <c r="P478" i="91"/>
  <c r="O478" i="91"/>
  <c r="N478" i="91"/>
  <c r="M478" i="91"/>
  <c r="L478" i="91"/>
  <c r="K478" i="91"/>
  <c r="J478" i="91"/>
  <c r="I478" i="91"/>
  <c r="H478" i="91"/>
  <c r="G478" i="91"/>
  <c r="F478" i="91"/>
  <c r="E478" i="91"/>
  <c r="D478" i="91"/>
  <c r="AB477" i="91"/>
  <c r="AA477" i="91"/>
  <c r="Z477" i="91"/>
  <c r="Y477" i="91"/>
  <c r="X477" i="91"/>
  <c r="W477" i="91"/>
  <c r="V477" i="91"/>
  <c r="U477" i="91"/>
  <c r="T477" i="91"/>
  <c r="S477" i="91"/>
  <c r="R477" i="91"/>
  <c r="Q477" i="91"/>
  <c r="P477" i="91"/>
  <c r="O477" i="91"/>
  <c r="N477" i="91"/>
  <c r="M477" i="91"/>
  <c r="L477" i="91"/>
  <c r="K477" i="91"/>
  <c r="J477" i="91"/>
  <c r="I477" i="91"/>
  <c r="H477" i="91"/>
  <c r="G477" i="91"/>
  <c r="F477" i="91"/>
  <c r="E477" i="91"/>
  <c r="D477" i="91"/>
  <c r="AB476" i="91"/>
  <c r="AA476" i="91"/>
  <c r="Z476" i="91"/>
  <c r="Y476" i="91"/>
  <c r="X476" i="91"/>
  <c r="W476" i="91"/>
  <c r="V476" i="91"/>
  <c r="U476" i="91"/>
  <c r="T476" i="91"/>
  <c r="S476" i="91"/>
  <c r="R476" i="91"/>
  <c r="Q476" i="91"/>
  <c r="P476" i="91"/>
  <c r="O476" i="91"/>
  <c r="N476" i="91"/>
  <c r="M476" i="91"/>
  <c r="L476" i="91"/>
  <c r="K476" i="91"/>
  <c r="J476" i="91"/>
  <c r="I476" i="91"/>
  <c r="H476" i="91"/>
  <c r="G476" i="91"/>
  <c r="F476" i="91"/>
  <c r="E476" i="91"/>
  <c r="D476" i="91"/>
  <c r="AB475" i="91"/>
  <c r="AA475" i="91"/>
  <c r="Z475" i="91"/>
  <c r="Y475" i="91"/>
  <c r="X475" i="91"/>
  <c r="W475" i="91"/>
  <c r="V475" i="91"/>
  <c r="U475" i="91"/>
  <c r="T475" i="91"/>
  <c r="S475" i="91"/>
  <c r="R475" i="91"/>
  <c r="Q475" i="91"/>
  <c r="P475" i="91"/>
  <c r="O475" i="91"/>
  <c r="N475" i="91"/>
  <c r="M475" i="91"/>
  <c r="L475" i="91"/>
  <c r="K475" i="91"/>
  <c r="J475" i="91"/>
  <c r="I475" i="91"/>
  <c r="H475" i="91"/>
  <c r="G475" i="91"/>
  <c r="F475" i="91"/>
  <c r="E475" i="91"/>
  <c r="D475" i="91"/>
  <c r="AB474" i="91"/>
  <c r="AA474" i="91"/>
  <c r="Z474" i="91"/>
  <c r="Y474" i="91"/>
  <c r="X474" i="91"/>
  <c r="W474" i="91"/>
  <c r="V474" i="91"/>
  <c r="U474" i="91"/>
  <c r="T474" i="91"/>
  <c r="S474" i="91"/>
  <c r="R474" i="91"/>
  <c r="Q474" i="91"/>
  <c r="P474" i="91"/>
  <c r="O474" i="91"/>
  <c r="N474" i="91"/>
  <c r="M474" i="91"/>
  <c r="L474" i="91"/>
  <c r="K474" i="91"/>
  <c r="J474" i="91"/>
  <c r="I474" i="91"/>
  <c r="H474" i="91"/>
  <c r="G474" i="91"/>
  <c r="F474" i="91"/>
  <c r="E474" i="91"/>
  <c r="D474" i="91"/>
  <c r="AB473" i="91"/>
  <c r="AA473" i="91"/>
  <c r="Z473" i="91"/>
  <c r="Y473" i="91"/>
  <c r="X473" i="91"/>
  <c r="W473" i="91"/>
  <c r="V473" i="91"/>
  <c r="U473" i="91"/>
  <c r="T473" i="91"/>
  <c r="S473" i="91"/>
  <c r="R473" i="91"/>
  <c r="Q473" i="91"/>
  <c r="P473" i="91"/>
  <c r="O473" i="91"/>
  <c r="N473" i="91"/>
  <c r="M473" i="91"/>
  <c r="L473" i="91"/>
  <c r="K473" i="91"/>
  <c r="J473" i="91"/>
  <c r="I473" i="91"/>
  <c r="H473" i="91"/>
  <c r="G473" i="91"/>
  <c r="F473" i="91"/>
  <c r="E473" i="91"/>
  <c r="D473" i="91"/>
  <c r="AB472" i="91"/>
  <c r="AA472" i="91"/>
  <c r="Z472" i="91"/>
  <c r="Y472" i="91"/>
  <c r="X472" i="91"/>
  <c r="W472" i="91"/>
  <c r="V472" i="91"/>
  <c r="U472" i="91"/>
  <c r="T472" i="91"/>
  <c r="S472" i="91"/>
  <c r="R472" i="91"/>
  <c r="Q472" i="91"/>
  <c r="P472" i="91"/>
  <c r="O472" i="91"/>
  <c r="N472" i="91"/>
  <c r="M472" i="91"/>
  <c r="L472" i="91"/>
  <c r="K472" i="91"/>
  <c r="J472" i="91"/>
  <c r="I472" i="91"/>
  <c r="H472" i="91"/>
  <c r="G472" i="91"/>
  <c r="F472" i="91"/>
  <c r="E472" i="91"/>
  <c r="D472" i="91"/>
  <c r="AB471" i="91"/>
  <c r="AA471" i="91"/>
  <c r="Z471" i="91"/>
  <c r="Y471" i="91"/>
  <c r="X471" i="91"/>
  <c r="W471" i="91"/>
  <c r="V471" i="91"/>
  <c r="U471" i="91"/>
  <c r="T471" i="91"/>
  <c r="S471" i="91"/>
  <c r="R471" i="91"/>
  <c r="Q471" i="91"/>
  <c r="P471" i="91"/>
  <c r="O471" i="91"/>
  <c r="N471" i="91"/>
  <c r="M471" i="91"/>
  <c r="L471" i="91"/>
  <c r="K471" i="91"/>
  <c r="J471" i="91"/>
  <c r="I471" i="91"/>
  <c r="H471" i="91"/>
  <c r="G471" i="91"/>
  <c r="F471" i="91"/>
  <c r="E471" i="91"/>
  <c r="D471" i="91"/>
  <c r="AB470" i="91"/>
  <c r="AA470" i="91"/>
  <c r="Z470" i="91"/>
  <c r="Y470" i="91"/>
  <c r="X470" i="91"/>
  <c r="W470" i="91"/>
  <c r="V470" i="91"/>
  <c r="U470" i="91"/>
  <c r="T470" i="91"/>
  <c r="S470" i="91"/>
  <c r="R470" i="91"/>
  <c r="Q470" i="91"/>
  <c r="P470" i="91"/>
  <c r="O470" i="91"/>
  <c r="N470" i="91"/>
  <c r="M470" i="91"/>
  <c r="L470" i="91"/>
  <c r="K470" i="91"/>
  <c r="J470" i="91"/>
  <c r="I470" i="91"/>
  <c r="H470" i="91"/>
  <c r="G470" i="91"/>
  <c r="F470" i="91"/>
  <c r="E470" i="91"/>
  <c r="D470" i="91"/>
  <c r="AB469" i="91"/>
  <c r="AA469" i="91"/>
  <c r="Z469" i="91"/>
  <c r="Y469" i="91"/>
  <c r="X469" i="91"/>
  <c r="W469" i="91"/>
  <c r="V469" i="91"/>
  <c r="U469" i="91"/>
  <c r="T469" i="91"/>
  <c r="S469" i="91"/>
  <c r="R469" i="91"/>
  <c r="Q469" i="91"/>
  <c r="P469" i="91"/>
  <c r="O469" i="91"/>
  <c r="N469" i="91"/>
  <c r="M469" i="91"/>
  <c r="L469" i="91"/>
  <c r="K469" i="91"/>
  <c r="J469" i="91"/>
  <c r="I469" i="91"/>
  <c r="H469" i="91"/>
  <c r="G469" i="91"/>
  <c r="F469" i="91"/>
  <c r="E469" i="91"/>
  <c r="D469" i="91"/>
  <c r="AB468" i="91"/>
  <c r="AA468" i="91"/>
  <c r="Z468" i="91"/>
  <c r="Y468" i="91"/>
  <c r="X468" i="91"/>
  <c r="W468" i="91"/>
  <c r="V468" i="91"/>
  <c r="U468" i="91"/>
  <c r="T468" i="91"/>
  <c r="S468" i="91"/>
  <c r="R468" i="91"/>
  <c r="Q468" i="91"/>
  <c r="P468" i="91"/>
  <c r="O468" i="91"/>
  <c r="N468" i="91"/>
  <c r="M468" i="91"/>
  <c r="L468" i="91"/>
  <c r="K468" i="91"/>
  <c r="J468" i="91"/>
  <c r="I468" i="91"/>
  <c r="H468" i="91"/>
  <c r="G468" i="91"/>
  <c r="F468" i="91"/>
  <c r="E468" i="91"/>
  <c r="D468" i="91"/>
  <c r="AB467" i="91"/>
  <c r="AA467" i="91"/>
  <c r="Z467" i="91"/>
  <c r="Y467" i="91"/>
  <c r="X467" i="91"/>
  <c r="W467" i="91"/>
  <c r="V467" i="91"/>
  <c r="U467" i="91"/>
  <c r="T467" i="91"/>
  <c r="S467" i="91"/>
  <c r="R467" i="91"/>
  <c r="Q467" i="91"/>
  <c r="P467" i="91"/>
  <c r="O467" i="91"/>
  <c r="N467" i="91"/>
  <c r="M467" i="91"/>
  <c r="L467" i="91"/>
  <c r="K467" i="91"/>
  <c r="J467" i="91"/>
  <c r="I467" i="91"/>
  <c r="H467" i="91"/>
  <c r="G467" i="91"/>
  <c r="F467" i="91"/>
  <c r="E467" i="91"/>
  <c r="D467" i="91"/>
  <c r="AB466" i="91"/>
  <c r="AA466" i="91"/>
  <c r="Z466" i="91"/>
  <c r="Y466" i="91"/>
  <c r="X466" i="91"/>
  <c r="W466" i="91"/>
  <c r="V466" i="91"/>
  <c r="U466" i="91"/>
  <c r="T466" i="91"/>
  <c r="S466" i="91"/>
  <c r="R466" i="91"/>
  <c r="Q466" i="91"/>
  <c r="P466" i="91"/>
  <c r="O466" i="91"/>
  <c r="N466" i="91"/>
  <c r="M466" i="91"/>
  <c r="L466" i="91"/>
  <c r="K466" i="91"/>
  <c r="J466" i="91"/>
  <c r="I466" i="91"/>
  <c r="H466" i="91"/>
  <c r="G466" i="91"/>
  <c r="F466" i="91"/>
  <c r="E466" i="91"/>
  <c r="D466" i="91"/>
  <c r="AB465" i="91"/>
  <c r="AA465" i="91"/>
  <c r="Z465" i="91"/>
  <c r="Y465" i="91"/>
  <c r="X465" i="91"/>
  <c r="W465" i="91"/>
  <c r="V465" i="91"/>
  <c r="U465" i="91"/>
  <c r="T465" i="91"/>
  <c r="S465" i="91"/>
  <c r="R465" i="91"/>
  <c r="Q465" i="91"/>
  <c r="P465" i="91"/>
  <c r="O465" i="91"/>
  <c r="N465" i="91"/>
  <c r="M465" i="91"/>
  <c r="L465" i="91"/>
  <c r="K465" i="91"/>
  <c r="J465" i="91"/>
  <c r="I465" i="91"/>
  <c r="H465" i="91"/>
  <c r="G465" i="91"/>
  <c r="F465" i="91"/>
  <c r="E465" i="91"/>
  <c r="D465" i="91"/>
  <c r="AB464" i="91"/>
  <c r="AA464" i="91"/>
  <c r="Z464" i="91"/>
  <c r="Y464" i="91"/>
  <c r="X464" i="91"/>
  <c r="W464" i="91"/>
  <c r="V464" i="91"/>
  <c r="U464" i="91"/>
  <c r="T464" i="91"/>
  <c r="S464" i="91"/>
  <c r="R464" i="91"/>
  <c r="Q464" i="91"/>
  <c r="P464" i="91"/>
  <c r="O464" i="91"/>
  <c r="N464" i="91"/>
  <c r="M464" i="91"/>
  <c r="L464" i="91"/>
  <c r="K464" i="91"/>
  <c r="J464" i="91"/>
  <c r="I464" i="91"/>
  <c r="H464" i="91"/>
  <c r="G464" i="91"/>
  <c r="F464" i="91"/>
  <c r="E464" i="91"/>
  <c r="AC464" i="91" s="1"/>
  <c r="D464" i="91"/>
  <c r="AB463" i="91"/>
  <c r="AA463" i="91"/>
  <c r="Z463" i="91"/>
  <c r="Y463" i="91"/>
  <c r="X463" i="91"/>
  <c r="W463" i="91"/>
  <c r="V463" i="91"/>
  <c r="U463" i="91"/>
  <c r="T463" i="91"/>
  <c r="S463" i="91"/>
  <c r="R463" i="91"/>
  <c r="Q463" i="91"/>
  <c r="P463" i="91"/>
  <c r="O463" i="91"/>
  <c r="N463" i="91"/>
  <c r="M463" i="91"/>
  <c r="L463" i="91"/>
  <c r="K463" i="91"/>
  <c r="J463" i="91"/>
  <c r="I463" i="91"/>
  <c r="H463" i="91"/>
  <c r="G463" i="91"/>
  <c r="F463" i="91"/>
  <c r="E463" i="91"/>
  <c r="D463" i="91"/>
  <c r="AB462" i="91"/>
  <c r="AA462" i="91"/>
  <c r="Z462" i="91"/>
  <c r="Y462" i="91"/>
  <c r="X462" i="91"/>
  <c r="W462" i="91"/>
  <c r="V462" i="91"/>
  <c r="U462" i="91"/>
  <c r="T462" i="91"/>
  <c r="S462" i="91"/>
  <c r="R462" i="91"/>
  <c r="Q462" i="91"/>
  <c r="P462" i="91"/>
  <c r="O462" i="91"/>
  <c r="N462" i="91"/>
  <c r="M462" i="91"/>
  <c r="L462" i="91"/>
  <c r="K462" i="91"/>
  <c r="J462" i="91"/>
  <c r="I462" i="91"/>
  <c r="H462" i="91"/>
  <c r="G462" i="91"/>
  <c r="F462" i="91"/>
  <c r="E462" i="91"/>
  <c r="D462" i="91"/>
  <c r="AB461" i="91"/>
  <c r="AA461" i="91"/>
  <c r="Z461" i="91"/>
  <c r="Y461" i="91"/>
  <c r="X461" i="91"/>
  <c r="W461" i="91"/>
  <c r="V461" i="91"/>
  <c r="U461" i="91"/>
  <c r="T461" i="91"/>
  <c r="S461" i="91"/>
  <c r="R461" i="91"/>
  <c r="Q461" i="91"/>
  <c r="P461" i="91"/>
  <c r="O461" i="91"/>
  <c r="N461" i="91"/>
  <c r="M461" i="91"/>
  <c r="L461" i="91"/>
  <c r="K461" i="91"/>
  <c r="J461" i="91"/>
  <c r="I461" i="91"/>
  <c r="H461" i="91"/>
  <c r="G461" i="91"/>
  <c r="F461" i="91"/>
  <c r="E461" i="91"/>
  <c r="D461" i="91"/>
  <c r="AB460" i="91"/>
  <c r="AA460" i="91"/>
  <c r="Z460" i="91"/>
  <c r="Y460" i="91"/>
  <c r="X460" i="91"/>
  <c r="W460" i="91"/>
  <c r="V460" i="91"/>
  <c r="U460" i="91"/>
  <c r="T460" i="91"/>
  <c r="S460" i="91"/>
  <c r="R460" i="91"/>
  <c r="Q460" i="91"/>
  <c r="P460" i="91"/>
  <c r="O460" i="91"/>
  <c r="N460" i="91"/>
  <c r="M460" i="91"/>
  <c r="L460" i="91"/>
  <c r="K460" i="91"/>
  <c r="J460" i="91"/>
  <c r="I460" i="91"/>
  <c r="H460" i="91"/>
  <c r="G460" i="91"/>
  <c r="F460" i="91"/>
  <c r="E460" i="91"/>
  <c r="D460" i="91"/>
  <c r="AB459" i="91"/>
  <c r="AA459" i="91"/>
  <c r="Z459" i="91"/>
  <c r="Y459" i="91"/>
  <c r="X459" i="91"/>
  <c r="W459" i="91"/>
  <c r="V459" i="91"/>
  <c r="U459" i="91"/>
  <c r="T459" i="91"/>
  <c r="S459" i="91"/>
  <c r="R459" i="91"/>
  <c r="Q459" i="91"/>
  <c r="P459" i="91"/>
  <c r="O459" i="91"/>
  <c r="N459" i="91"/>
  <c r="M459" i="91"/>
  <c r="L459" i="91"/>
  <c r="K459" i="91"/>
  <c r="J459" i="91"/>
  <c r="I459" i="91"/>
  <c r="H459" i="91"/>
  <c r="G459" i="91"/>
  <c r="F459" i="91"/>
  <c r="E459" i="91"/>
  <c r="D459" i="91"/>
  <c r="AB458" i="91"/>
  <c r="AA458" i="91"/>
  <c r="Z458" i="91"/>
  <c r="Y458" i="91"/>
  <c r="X458" i="91"/>
  <c r="W458" i="91"/>
  <c r="V458" i="91"/>
  <c r="U458" i="91"/>
  <c r="T458" i="91"/>
  <c r="S458" i="91"/>
  <c r="R458" i="91"/>
  <c r="Q458" i="91"/>
  <c r="P458" i="91"/>
  <c r="O458" i="91"/>
  <c r="N458" i="91"/>
  <c r="M458" i="91"/>
  <c r="L458" i="91"/>
  <c r="K458" i="91"/>
  <c r="J458" i="91"/>
  <c r="I458" i="91"/>
  <c r="H458" i="91"/>
  <c r="G458" i="91"/>
  <c r="F458" i="91"/>
  <c r="E458" i="91"/>
  <c r="D458" i="91"/>
  <c r="AB457" i="91"/>
  <c r="AA457" i="91"/>
  <c r="Z457" i="91"/>
  <c r="Y457" i="91"/>
  <c r="X457" i="91"/>
  <c r="W457" i="91"/>
  <c r="V457" i="91"/>
  <c r="U457" i="91"/>
  <c r="T457" i="91"/>
  <c r="S457" i="91"/>
  <c r="R457" i="91"/>
  <c r="Q457" i="91"/>
  <c r="P457" i="91"/>
  <c r="O457" i="91"/>
  <c r="N457" i="91"/>
  <c r="M457" i="91"/>
  <c r="L457" i="91"/>
  <c r="K457" i="91"/>
  <c r="J457" i="91"/>
  <c r="I457" i="91"/>
  <c r="H457" i="91"/>
  <c r="G457" i="91"/>
  <c r="F457" i="91"/>
  <c r="E457" i="91"/>
  <c r="D457" i="91"/>
  <c r="AB456" i="91"/>
  <c r="AA456" i="91"/>
  <c r="Z456" i="91"/>
  <c r="Y456" i="91"/>
  <c r="X456" i="91"/>
  <c r="W456" i="91"/>
  <c r="V456" i="91"/>
  <c r="U456" i="91"/>
  <c r="T456" i="91"/>
  <c r="S456" i="91"/>
  <c r="R456" i="91"/>
  <c r="Q456" i="91"/>
  <c r="P456" i="91"/>
  <c r="O456" i="91"/>
  <c r="N456" i="91"/>
  <c r="M456" i="91"/>
  <c r="L456" i="91"/>
  <c r="K456" i="91"/>
  <c r="J456" i="91"/>
  <c r="I456" i="91"/>
  <c r="H456" i="91"/>
  <c r="G456" i="91"/>
  <c r="F456" i="91"/>
  <c r="E456" i="91"/>
  <c r="D456" i="91"/>
  <c r="AB455" i="91"/>
  <c r="AA455" i="91"/>
  <c r="Z455" i="91"/>
  <c r="Y455" i="91"/>
  <c r="X455" i="91"/>
  <c r="W455" i="91"/>
  <c r="V455" i="91"/>
  <c r="U455" i="91"/>
  <c r="T455" i="91"/>
  <c r="S455" i="91"/>
  <c r="R455" i="91"/>
  <c r="Q455" i="91"/>
  <c r="P455" i="91"/>
  <c r="O455" i="91"/>
  <c r="N455" i="91"/>
  <c r="M455" i="91"/>
  <c r="L455" i="91"/>
  <c r="K455" i="91"/>
  <c r="J455" i="91"/>
  <c r="I455" i="91"/>
  <c r="H455" i="91"/>
  <c r="G455" i="91"/>
  <c r="F455" i="91"/>
  <c r="E455" i="91"/>
  <c r="D455" i="91"/>
  <c r="AB454" i="91"/>
  <c r="AA454" i="91"/>
  <c r="Z454" i="91"/>
  <c r="Y454" i="91"/>
  <c r="X454" i="91"/>
  <c r="W454" i="91"/>
  <c r="V454" i="91"/>
  <c r="U454" i="91"/>
  <c r="T454" i="91"/>
  <c r="S454" i="91"/>
  <c r="R454" i="91"/>
  <c r="Q454" i="91"/>
  <c r="P454" i="91"/>
  <c r="O454" i="91"/>
  <c r="N454" i="91"/>
  <c r="M454" i="91"/>
  <c r="L454" i="91"/>
  <c r="K454" i="91"/>
  <c r="J454" i="91"/>
  <c r="I454" i="91"/>
  <c r="H454" i="91"/>
  <c r="G454" i="91"/>
  <c r="F454" i="91"/>
  <c r="E454" i="91"/>
  <c r="D454" i="91"/>
  <c r="AB453" i="91"/>
  <c r="AA453" i="91"/>
  <c r="Z453" i="91"/>
  <c r="Y453" i="91"/>
  <c r="X453" i="91"/>
  <c r="W453" i="91"/>
  <c r="V453" i="91"/>
  <c r="U453" i="91"/>
  <c r="T453" i="91"/>
  <c r="S453" i="91"/>
  <c r="R453" i="91"/>
  <c r="Q453" i="91"/>
  <c r="P453" i="91"/>
  <c r="O453" i="91"/>
  <c r="N453" i="91"/>
  <c r="M453" i="91"/>
  <c r="L453" i="91"/>
  <c r="K453" i="91"/>
  <c r="J453" i="91"/>
  <c r="I453" i="91"/>
  <c r="H453" i="91"/>
  <c r="G453" i="91"/>
  <c r="F453" i="91"/>
  <c r="E453" i="91"/>
  <c r="D453" i="91"/>
  <c r="AB452" i="91"/>
  <c r="AA452" i="91"/>
  <c r="Z452" i="91"/>
  <c r="Y452" i="91"/>
  <c r="X452" i="91"/>
  <c r="W452" i="91"/>
  <c r="V452" i="91"/>
  <c r="U452" i="91"/>
  <c r="T452" i="91"/>
  <c r="S452" i="91"/>
  <c r="R452" i="91"/>
  <c r="Q452" i="91"/>
  <c r="P452" i="91"/>
  <c r="O452" i="91"/>
  <c r="N452" i="91"/>
  <c r="M452" i="91"/>
  <c r="L452" i="91"/>
  <c r="K452" i="91"/>
  <c r="J452" i="91"/>
  <c r="I452" i="91"/>
  <c r="H452" i="91"/>
  <c r="G452" i="91"/>
  <c r="F452" i="91"/>
  <c r="E452" i="91"/>
  <c r="D452" i="91"/>
  <c r="AB450" i="91"/>
  <c r="AA450" i="91"/>
  <c r="Z450" i="91"/>
  <c r="Y450" i="91"/>
  <c r="X450" i="91"/>
  <c r="W450" i="91"/>
  <c r="V450" i="91"/>
  <c r="U450" i="91"/>
  <c r="T450" i="91"/>
  <c r="S450" i="91"/>
  <c r="R450" i="91"/>
  <c r="Q450" i="91"/>
  <c r="P450" i="91"/>
  <c r="O450" i="91"/>
  <c r="N450" i="91"/>
  <c r="M450" i="91"/>
  <c r="L450" i="91"/>
  <c r="K450" i="91"/>
  <c r="J450" i="91"/>
  <c r="I450" i="91"/>
  <c r="H450" i="91"/>
  <c r="G450" i="91"/>
  <c r="F450" i="91"/>
  <c r="E450" i="91"/>
  <c r="D450" i="91"/>
  <c r="AB449" i="91"/>
  <c r="AA449" i="91"/>
  <c r="Z449" i="91"/>
  <c r="Y449" i="91"/>
  <c r="X449" i="91"/>
  <c r="W449" i="91"/>
  <c r="V449" i="91"/>
  <c r="U449" i="91"/>
  <c r="T449" i="91"/>
  <c r="S449" i="91"/>
  <c r="R449" i="91"/>
  <c r="Q449" i="91"/>
  <c r="P449" i="91"/>
  <c r="O449" i="91"/>
  <c r="N449" i="91"/>
  <c r="M449" i="91"/>
  <c r="L449" i="91"/>
  <c r="K449" i="91"/>
  <c r="J449" i="91"/>
  <c r="I449" i="91"/>
  <c r="H449" i="91"/>
  <c r="G449" i="91"/>
  <c r="F449" i="91"/>
  <c r="E449" i="91"/>
  <c r="D449" i="91"/>
  <c r="AB448" i="91"/>
  <c r="AA448" i="91"/>
  <c r="Z448" i="91"/>
  <c r="Y448" i="91"/>
  <c r="X448" i="91"/>
  <c r="W448" i="91"/>
  <c r="V448" i="91"/>
  <c r="U448" i="91"/>
  <c r="T448" i="91"/>
  <c r="S448" i="91"/>
  <c r="R448" i="91"/>
  <c r="Q448" i="91"/>
  <c r="P448" i="91"/>
  <c r="O448" i="91"/>
  <c r="N448" i="91"/>
  <c r="M448" i="91"/>
  <c r="L448" i="91"/>
  <c r="K448" i="91"/>
  <c r="J448" i="91"/>
  <c r="I448" i="91"/>
  <c r="H448" i="91"/>
  <c r="G448" i="91"/>
  <c r="F448" i="91"/>
  <c r="E448" i="91"/>
  <c r="D448" i="91"/>
  <c r="AB447" i="91"/>
  <c r="AA447" i="91"/>
  <c r="Z447" i="91"/>
  <c r="Y447" i="91"/>
  <c r="X447" i="91"/>
  <c r="W447" i="91"/>
  <c r="V447" i="91"/>
  <c r="U447" i="91"/>
  <c r="T447" i="91"/>
  <c r="S447" i="91"/>
  <c r="R447" i="91"/>
  <c r="Q447" i="91"/>
  <c r="P447" i="91"/>
  <c r="O447" i="91"/>
  <c r="N447" i="91"/>
  <c r="M447" i="91"/>
  <c r="L447" i="91"/>
  <c r="K447" i="91"/>
  <c r="J447" i="91"/>
  <c r="I447" i="91"/>
  <c r="H447" i="91"/>
  <c r="G447" i="91"/>
  <c r="F447" i="91"/>
  <c r="E447" i="91"/>
  <c r="D447" i="91"/>
  <c r="AB446" i="91"/>
  <c r="AA446" i="91"/>
  <c r="Z446" i="91"/>
  <c r="Y446" i="91"/>
  <c r="X446" i="91"/>
  <c r="W446" i="91"/>
  <c r="V446" i="91"/>
  <c r="U446" i="91"/>
  <c r="T446" i="91"/>
  <c r="S446" i="91"/>
  <c r="R446" i="91"/>
  <c r="Q446" i="91"/>
  <c r="P446" i="91"/>
  <c r="O446" i="91"/>
  <c r="N446" i="91"/>
  <c r="M446" i="91"/>
  <c r="L446" i="91"/>
  <c r="K446" i="91"/>
  <c r="J446" i="91"/>
  <c r="I446" i="91"/>
  <c r="H446" i="91"/>
  <c r="G446" i="91"/>
  <c r="F446" i="91"/>
  <c r="E446" i="91"/>
  <c r="D446" i="91"/>
  <c r="AB445" i="91"/>
  <c r="AA445" i="91"/>
  <c r="Z445" i="91"/>
  <c r="Y445" i="91"/>
  <c r="X445" i="91"/>
  <c r="W445" i="91"/>
  <c r="V445" i="91"/>
  <c r="U445" i="91"/>
  <c r="T445" i="91"/>
  <c r="S445" i="91"/>
  <c r="R445" i="91"/>
  <c r="Q445" i="91"/>
  <c r="P445" i="91"/>
  <c r="O445" i="91"/>
  <c r="N445" i="91"/>
  <c r="M445" i="91"/>
  <c r="L445" i="91"/>
  <c r="K445" i="91"/>
  <c r="J445" i="91"/>
  <c r="I445" i="91"/>
  <c r="H445" i="91"/>
  <c r="G445" i="91"/>
  <c r="F445" i="91"/>
  <c r="E445" i="91"/>
  <c r="D445" i="91"/>
  <c r="AB444" i="91"/>
  <c r="AA444" i="91"/>
  <c r="Z444" i="91"/>
  <c r="Y444" i="91"/>
  <c r="X444" i="91"/>
  <c r="W444" i="91"/>
  <c r="V444" i="91"/>
  <c r="U444" i="91"/>
  <c r="T444" i="91"/>
  <c r="S444" i="91"/>
  <c r="R444" i="91"/>
  <c r="Q444" i="91"/>
  <c r="P444" i="91"/>
  <c r="O444" i="91"/>
  <c r="N444" i="91"/>
  <c r="M444" i="91"/>
  <c r="L444" i="91"/>
  <c r="K444" i="91"/>
  <c r="J444" i="91"/>
  <c r="I444" i="91"/>
  <c r="H444" i="91"/>
  <c r="G444" i="91"/>
  <c r="F444" i="91"/>
  <c r="E444" i="91"/>
  <c r="D444" i="91"/>
  <c r="AB443" i="91"/>
  <c r="AA443" i="91"/>
  <c r="Z443" i="91"/>
  <c r="Y443" i="91"/>
  <c r="X443" i="91"/>
  <c r="W443" i="91"/>
  <c r="V443" i="91"/>
  <c r="U443" i="91"/>
  <c r="T443" i="91"/>
  <c r="S443" i="91"/>
  <c r="R443" i="91"/>
  <c r="Q443" i="91"/>
  <c r="P443" i="91"/>
  <c r="O443" i="91"/>
  <c r="N443" i="91"/>
  <c r="M443" i="91"/>
  <c r="L443" i="91"/>
  <c r="K443" i="91"/>
  <c r="J443" i="91"/>
  <c r="I443" i="91"/>
  <c r="H443" i="91"/>
  <c r="G443" i="91"/>
  <c r="F443" i="91"/>
  <c r="E443" i="91"/>
  <c r="D443" i="91"/>
  <c r="AB442" i="91"/>
  <c r="AA442" i="91"/>
  <c r="Z442" i="91"/>
  <c r="Y442" i="91"/>
  <c r="X442" i="91"/>
  <c r="W442" i="91"/>
  <c r="V442" i="91"/>
  <c r="U442" i="91"/>
  <c r="T442" i="91"/>
  <c r="S442" i="91"/>
  <c r="R442" i="91"/>
  <c r="Q442" i="91"/>
  <c r="P442" i="91"/>
  <c r="O442" i="91"/>
  <c r="N442" i="91"/>
  <c r="M442" i="91"/>
  <c r="L442" i="91"/>
  <c r="K442" i="91"/>
  <c r="J442" i="91"/>
  <c r="I442" i="91"/>
  <c r="H442" i="91"/>
  <c r="G442" i="91"/>
  <c r="F442" i="91"/>
  <c r="E442" i="91"/>
  <c r="D442" i="91"/>
  <c r="AB441" i="91"/>
  <c r="AA441" i="91"/>
  <c r="Z441" i="91"/>
  <c r="Y441" i="91"/>
  <c r="X441" i="91"/>
  <c r="W441" i="91"/>
  <c r="V441" i="91"/>
  <c r="U441" i="91"/>
  <c r="T441" i="91"/>
  <c r="S441" i="91"/>
  <c r="R441" i="91"/>
  <c r="Q441" i="91"/>
  <c r="P441" i="91"/>
  <c r="O441" i="91"/>
  <c r="N441" i="91"/>
  <c r="M441" i="91"/>
  <c r="L441" i="91"/>
  <c r="K441" i="91"/>
  <c r="J441" i="91"/>
  <c r="I441" i="91"/>
  <c r="H441" i="91"/>
  <c r="G441" i="91"/>
  <c r="F441" i="91"/>
  <c r="E441" i="91"/>
  <c r="D441" i="91"/>
  <c r="AB440" i="91"/>
  <c r="AA440" i="91"/>
  <c r="Z440" i="91"/>
  <c r="Y440" i="91"/>
  <c r="X440" i="91"/>
  <c r="W440" i="91"/>
  <c r="V440" i="91"/>
  <c r="U440" i="91"/>
  <c r="T440" i="91"/>
  <c r="S440" i="91"/>
  <c r="R440" i="91"/>
  <c r="Q440" i="91"/>
  <c r="P440" i="91"/>
  <c r="O440" i="91"/>
  <c r="N440" i="91"/>
  <c r="M440" i="91"/>
  <c r="L440" i="91"/>
  <c r="K440" i="91"/>
  <c r="J440" i="91"/>
  <c r="I440" i="91"/>
  <c r="H440" i="91"/>
  <c r="G440" i="91"/>
  <c r="F440" i="91"/>
  <c r="E440" i="91"/>
  <c r="D440" i="91"/>
  <c r="AB439" i="91"/>
  <c r="AA439" i="91"/>
  <c r="Z439" i="91"/>
  <c r="Y439" i="91"/>
  <c r="X439" i="91"/>
  <c r="W439" i="91"/>
  <c r="V439" i="91"/>
  <c r="U439" i="91"/>
  <c r="T439" i="91"/>
  <c r="S439" i="91"/>
  <c r="R439" i="91"/>
  <c r="Q439" i="91"/>
  <c r="P439" i="91"/>
  <c r="O439" i="91"/>
  <c r="N439" i="91"/>
  <c r="M439" i="91"/>
  <c r="L439" i="91"/>
  <c r="K439" i="91"/>
  <c r="J439" i="91"/>
  <c r="I439" i="91"/>
  <c r="H439" i="91"/>
  <c r="G439" i="91"/>
  <c r="F439" i="91"/>
  <c r="E439" i="91"/>
  <c r="D439" i="91"/>
  <c r="AB438" i="91"/>
  <c r="AA438" i="91"/>
  <c r="Z438" i="91"/>
  <c r="Y438" i="91"/>
  <c r="X438" i="91"/>
  <c r="W438" i="91"/>
  <c r="V438" i="91"/>
  <c r="U438" i="91"/>
  <c r="T438" i="91"/>
  <c r="S438" i="91"/>
  <c r="R438" i="91"/>
  <c r="Q438" i="91"/>
  <c r="P438" i="91"/>
  <c r="O438" i="91"/>
  <c r="N438" i="91"/>
  <c r="M438" i="91"/>
  <c r="L438" i="91"/>
  <c r="K438" i="91"/>
  <c r="J438" i="91"/>
  <c r="I438" i="91"/>
  <c r="H438" i="91"/>
  <c r="G438" i="91"/>
  <c r="F438" i="91"/>
  <c r="E438" i="91"/>
  <c r="D438" i="91"/>
  <c r="AB437" i="91"/>
  <c r="AA437" i="91"/>
  <c r="Z437" i="91"/>
  <c r="Y437" i="91"/>
  <c r="X437" i="91"/>
  <c r="W437" i="91"/>
  <c r="V437" i="91"/>
  <c r="U437" i="91"/>
  <c r="T437" i="91"/>
  <c r="S437" i="91"/>
  <c r="R437" i="91"/>
  <c r="Q437" i="91"/>
  <c r="P437" i="91"/>
  <c r="O437" i="91"/>
  <c r="N437" i="91"/>
  <c r="M437" i="91"/>
  <c r="L437" i="91"/>
  <c r="K437" i="91"/>
  <c r="J437" i="91"/>
  <c r="I437" i="91"/>
  <c r="H437" i="91"/>
  <c r="G437" i="91"/>
  <c r="F437" i="91"/>
  <c r="E437" i="91"/>
  <c r="D437" i="91"/>
  <c r="AB436" i="91"/>
  <c r="AA436" i="91"/>
  <c r="Z436" i="91"/>
  <c r="Y436" i="91"/>
  <c r="X436" i="91"/>
  <c r="W436" i="91"/>
  <c r="V436" i="91"/>
  <c r="U436" i="91"/>
  <c r="T436" i="91"/>
  <c r="S436" i="91"/>
  <c r="R436" i="91"/>
  <c r="Q436" i="91"/>
  <c r="P436" i="91"/>
  <c r="O436" i="91"/>
  <c r="N436" i="91"/>
  <c r="M436" i="91"/>
  <c r="L436" i="91"/>
  <c r="K436" i="91"/>
  <c r="J436" i="91"/>
  <c r="I436" i="91"/>
  <c r="H436" i="91"/>
  <c r="G436" i="91"/>
  <c r="F436" i="91"/>
  <c r="E436" i="91"/>
  <c r="D436" i="91"/>
  <c r="AB435" i="91"/>
  <c r="AA435" i="91"/>
  <c r="Z435" i="91"/>
  <c r="Y435" i="91"/>
  <c r="X435" i="91"/>
  <c r="W435" i="91"/>
  <c r="V435" i="91"/>
  <c r="U435" i="91"/>
  <c r="T435" i="91"/>
  <c r="S435" i="91"/>
  <c r="R435" i="91"/>
  <c r="Q435" i="91"/>
  <c r="P435" i="91"/>
  <c r="O435" i="91"/>
  <c r="N435" i="91"/>
  <c r="M435" i="91"/>
  <c r="L435" i="91"/>
  <c r="K435" i="91"/>
  <c r="J435" i="91"/>
  <c r="I435" i="91"/>
  <c r="H435" i="91"/>
  <c r="G435" i="91"/>
  <c r="F435" i="91"/>
  <c r="E435" i="91"/>
  <c r="D435" i="91"/>
  <c r="AB434" i="91"/>
  <c r="AA434" i="91"/>
  <c r="Z434" i="91"/>
  <c r="Y434" i="91"/>
  <c r="X434" i="91"/>
  <c r="W434" i="91"/>
  <c r="V434" i="91"/>
  <c r="U434" i="91"/>
  <c r="T434" i="91"/>
  <c r="S434" i="91"/>
  <c r="R434" i="91"/>
  <c r="Q434" i="91"/>
  <c r="P434" i="91"/>
  <c r="O434" i="91"/>
  <c r="N434" i="91"/>
  <c r="M434" i="91"/>
  <c r="L434" i="91"/>
  <c r="K434" i="91"/>
  <c r="J434" i="91"/>
  <c r="I434" i="91"/>
  <c r="H434" i="91"/>
  <c r="G434" i="91"/>
  <c r="F434" i="91"/>
  <c r="E434" i="91"/>
  <c r="D434" i="91"/>
  <c r="AB433" i="91"/>
  <c r="AA433" i="91"/>
  <c r="Z433" i="91"/>
  <c r="Y433" i="91"/>
  <c r="X433" i="91"/>
  <c r="W433" i="91"/>
  <c r="V433" i="91"/>
  <c r="U433" i="91"/>
  <c r="T433" i="91"/>
  <c r="S433" i="91"/>
  <c r="R433" i="91"/>
  <c r="Q433" i="91"/>
  <c r="P433" i="91"/>
  <c r="O433" i="91"/>
  <c r="N433" i="91"/>
  <c r="M433" i="91"/>
  <c r="L433" i="91"/>
  <c r="K433" i="91"/>
  <c r="J433" i="91"/>
  <c r="I433" i="91"/>
  <c r="H433" i="91"/>
  <c r="G433" i="91"/>
  <c r="F433" i="91"/>
  <c r="E433" i="91"/>
  <c r="D433" i="91"/>
  <c r="AB432" i="91"/>
  <c r="AA432" i="91"/>
  <c r="Z432" i="91"/>
  <c r="Y432" i="91"/>
  <c r="X432" i="91"/>
  <c r="W432" i="91"/>
  <c r="V432" i="91"/>
  <c r="U432" i="91"/>
  <c r="T432" i="91"/>
  <c r="S432" i="91"/>
  <c r="R432" i="91"/>
  <c r="Q432" i="91"/>
  <c r="P432" i="91"/>
  <c r="O432" i="91"/>
  <c r="N432" i="91"/>
  <c r="M432" i="91"/>
  <c r="L432" i="91"/>
  <c r="K432" i="91"/>
  <c r="J432" i="91"/>
  <c r="I432" i="91"/>
  <c r="H432" i="91"/>
  <c r="G432" i="91"/>
  <c r="F432" i="91"/>
  <c r="E432" i="91"/>
  <c r="D432" i="91"/>
  <c r="AB431" i="91"/>
  <c r="AA431" i="91"/>
  <c r="Z431" i="91"/>
  <c r="Y431" i="91"/>
  <c r="X431" i="91"/>
  <c r="W431" i="91"/>
  <c r="V431" i="91"/>
  <c r="U431" i="91"/>
  <c r="T431" i="91"/>
  <c r="S431" i="91"/>
  <c r="R431" i="91"/>
  <c r="Q431" i="91"/>
  <c r="P431" i="91"/>
  <c r="O431" i="91"/>
  <c r="N431" i="91"/>
  <c r="M431" i="91"/>
  <c r="L431" i="91"/>
  <c r="K431" i="91"/>
  <c r="J431" i="91"/>
  <c r="I431" i="91"/>
  <c r="H431" i="91"/>
  <c r="G431" i="91"/>
  <c r="F431" i="91"/>
  <c r="E431" i="91"/>
  <c r="D431" i="91"/>
  <c r="AB430" i="91"/>
  <c r="AA430" i="91"/>
  <c r="Z430" i="91"/>
  <c r="Y430" i="91"/>
  <c r="X430" i="91"/>
  <c r="W430" i="91"/>
  <c r="V430" i="91"/>
  <c r="U430" i="91"/>
  <c r="T430" i="91"/>
  <c r="S430" i="91"/>
  <c r="R430" i="91"/>
  <c r="Q430" i="91"/>
  <c r="P430" i="91"/>
  <c r="O430" i="91"/>
  <c r="N430" i="91"/>
  <c r="M430" i="91"/>
  <c r="L430" i="91"/>
  <c r="K430" i="91"/>
  <c r="J430" i="91"/>
  <c r="I430" i="91"/>
  <c r="H430" i="91"/>
  <c r="G430" i="91"/>
  <c r="F430" i="91"/>
  <c r="E430" i="91"/>
  <c r="D430" i="91"/>
  <c r="AB429" i="91"/>
  <c r="AA429" i="91"/>
  <c r="Z429" i="91"/>
  <c r="Y429" i="91"/>
  <c r="X429" i="91"/>
  <c r="W429" i="91"/>
  <c r="V429" i="91"/>
  <c r="U429" i="91"/>
  <c r="T429" i="91"/>
  <c r="S429" i="91"/>
  <c r="R429" i="91"/>
  <c r="Q429" i="91"/>
  <c r="P429" i="91"/>
  <c r="O429" i="91"/>
  <c r="N429" i="91"/>
  <c r="M429" i="91"/>
  <c r="L429" i="91"/>
  <c r="K429" i="91"/>
  <c r="J429" i="91"/>
  <c r="I429" i="91"/>
  <c r="H429" i="91"/>
  <c r="G429" i="91"/>
  <c r="F429" i="91"/>
  <c r="E429" i="91"/>
  <c r="D429" i="91"/>
  <c r="AB428" i="91"/>
  <c r="AA428" i="91"/>
  <c r="Z428" i="91"/>
  <c r="Y428" i="91"/>
  <c r="X428" i="91"/>
  <c r="W428" i="91"/>
  <c r="V428" i="91"/>
  <c r="U428" i="91"/>
  <c r="T428" i="91"/>
  <c r="S428" i="91"/>
  <c r="R428" i="91"/>
  <c r="Q428" i="91"/>
  <c r="P428" i="91"/>
  <c r="O428" i="91"/>
  <c r="N428" i="91"/>
  <c r="M428" i="91"/>
  <c r="L428" i="91"/>
  <c r="K428" i="91"/>
  <c r="J428" i="91"/>
  <c r="I428" i="91"/>
  <c r="H428" i="91"/>
  <c r="G428" i="91"/>
  <c r="F428" i="91"/>
  <c r="E428" i="91"/>
  <c r="D428" i="91"/>
  <c r="AB427" i="91"/>
  <c r="AA427" i="91"/>
  <c r="Z427" i="91"/>
  <c r="Y427" i="91"/>
  <c r="X427" i="91"/>
  <c r="W427" i="91"/>
  <c r="V427" i="91"/>
  <c r="U427" i="91"/>
  <c r="T427" i="91"/>
  <c r="S427" i="91"/>
  <c r="R427" i="91"/>
  <c r="Q427" i="91"/>
  <c r="P427" i="91"/>
  <c r="O427" i="91"/>
  <c r="N427" i="91"/>
  <c r="M427" i="91"/>
  <c r="L427" i="91"/>
  <c r="K427" i="91"/>
  <c r="J427" i="91"/>
  <c r="I427" i="91"/>
  <c r="H427" i="91"/>
  <c r="G427" i="91"/>
  <c r="F427" i="91"/>
  <c r="E427" i="91"/>
  <c r="D427" i="91"/>
  <c r="AB426" i="91"/>
  <c r="AA426" i="91"/>
  <c r="Z426" i="91"/>
  <c r="Y426" i="91"/>
  <c r="X426" i="91"/>
  <c r="W426" i="91"/>
  <c r="V426" i="91"/>
  <c r="U426" i="91"/>
  <c r="T426" i="91"/>
  <c r="S426" i="91"/>
  <c r="R426" i="91"/>
  <c r="Q426" i="91"/>
  <c r="P426" i="91"/>
  <c r="O426" i="91"/>
  <c r="N426" i="91"/>
  <c r="M426" i="91"/>
  <c r="L426" i="91"/>
  <c r="K426" i="91"/>
  <c r="J426" i="91"/>
  <c r="I426" i="91"/>
  <c r="H426" i="91"/>
  <c r="G426" i="91"/>
  <c r="F426" i="91"/>
  <c r="E426" i="91"/>
  <c r="D426" i="91"/>
  <c r="AB425" i="91"/>
  <c r="AA425" i="91"/>
  <c r="Z425" i="91"/>
  <c r="Y425" i="91"/>
  <c r="X425" i="91"/>
  <c r="W425" i="91"/>
  <c r="V425" i="91"/>
  <c r="U425" i="91"/>
  <c r="T425" i="91"/>
  <c r="S425" i="91"/>
  <c r="R425" i="91"/>
  <c r="Q425" i="91"/>
  <c r="P425" i="91"/>
  <c r="O425" i="91"/>
  <c r="N425" i="91"/>
  <c r="M425" i="91"/>
  <c r="L425" i="91"/>
  <c r="K425" i="91"/>
  <c r="J425" i="91"/>
  <c r="I425" i="91"/>
  <c r="H425" i="91"/>
  <c r="G425" i="91"/>
  <c r="F425" i="91"/>
  <c r="E425" i="91"/>
  <c r="D425" i="91"/>
  <c r="AB424" i="91"/>
  <c r="AA424" i="91"/>
  <c r="Z424" i="91"/>
  <c r="Y424" i="91"/>
  <c r="X424" i="91"/>
  <c r="W424" i="91"/>
  <c r="V424" i="91"/>
  <c r="U424" i="91"/>
  <c r="T424" i="91"/>
  <c r="S424" i="91"/>
  <c r="R424" i="91"/>
  <c r="Q424" i="91"/>
  <c r="P424" i="91"/>
  <c r="O424" i="91"/>
  <c r="N424" i="91"/>
  <c r="M424" i="91"/>
  <c r="L424" i="91"/>
  <c r="K424" i="91"/>
  <c r="J424" i="91"/>
  <c r="I424" i="91"/>
  <c r="H424" i="91"/>
  <c r="G424" i="91"/>
  <c r="F424" i="91"/>
  <c r="E424" i="91"/>
  <c r="D424" i="91"/>
  <c r="AB423" i="91"/>
  <c r="AA423" i="91"/>
  <c r="Z423" i="91"/>
  <c r="Y423" i="91"/>
  <c r="X423" i="91"/>
  <c r="W423" i="91"/>
  <c r="V423" i="91"/>
  <c r="U423" i="91"/>
  <c r="T423" i="91"/>
  <c r="S423" i="91"/>
  <c r="R423" i="91"/>
  <c r="Q423" i="91"/>
  <c r="P423" i="91"/>
  <c r="O423" i="91"/>
  <c r="N423" i="91"/>
  <c r="M423" i="91"/>
  <c r="L423" i="91"/>
  <c r="K423" i="91"/>
  <c r="J423" i="91"/>
  <c r="I423" i="91"/>
  <c r="H423" i="91"/>
  <c r="G423" i="91"/>
  <c r="F423" i="91"/>
  <c r="E423" i="91"/>
  <c r="D423" i="91"/>
  <c r="AB422" i="91"/>
  <c r="AA422" i="91"/>
  <c r="Z422" i="91"/>
  <c r="Y422" i="91"/>
  <c r="X422" i="91"/>
  <c r="W422" i="91"/>
  <c r="V422" i="91"/>
  <c r="U422" i="91"/>
  <c r="T422" i="91"/>
  <c r="S422" i="91"/>
  <c r="R422" i="91"/>
  <c r="Q422" i="91"/>
  <c r="P422" i="91"/>
  <c r="O422" i="91"/>
  <c r="N422" i="91"/>
  <c r="M422" i="91"/>
  <c r="L422" i="91"/>
  <c r="K422" i="91"/>
  <c r="J422" i="91"/>
  <c r="I422" i="91"/>
  <c r="H422" i="91"/>
  <c r="G422" i="91"/>
  <c r="F422" i="91"/>
  <c r="E422" i="91"/>
  <c r="D422" i="91"/>
  <c r="AB421" i="91"/>
  <c r="AA421" i="91"/>
  <c r="Z421" i="91"/>
  <c r="Y421" i="91"/>
  <c r="X421" i="91"/>
  <c r="W421" i="91"/>
  <c r="V421" i="91"/>
  <c r="U421" i="91"/>
  <c r="T421" i="91"/>
  <c r="S421" i="91"/>
  <c r="R421" i="91"/>
  <c r="Q421" i="91"/>
  <c r="P421" i="91"/>
  <c r="O421" i="91"/>
  <c r="N421" i="91"/>
  <c r="M421" i="91"/>
  <c r="L421" i="91"/>
  <c r="K421" i="91"/>
  <c r="J421" i="91"/>
  <c r="I421" i="91"/>
  <c r="H421" i="91"/>
  <c r="G421" i="91"/>
  <c r="F421" i="91"/>
  <c r="E421" i="91"/>
  <c r="D421" i="91"/>
  <c r="AB420" i="91"/>
  <c r="AA420" i="91"/>
  <c r="Z420" i="91"/>
  <c r="Y420" i="91"/>
  <c r="X420" i="91"/>
  <c r="W420" i="91"/>
  <c r="V420" i="91"/>
  <c r="U420" i="91"/>
  <c r="T420" i="91"/>
  <c r="S420" i="91"/>
  <c r="R420" i="91"/>
  <c r="Q420" i="91"/>
  <c r="P420" i="91"/>
  <c r="O420" i="91"/>
  <c r="N420" i="91"/>
  <c r="M420" i="91"/>
  <c r="L420" i="91"/>
  <c r="K420" i="91"/>
  <c r="J420" i="91"/>
  <c r="I420" i="91"/>
  <c r="H420" i="91"/>
  <c r="G420" i="91"/>
  <c r="F420" i="91"/>
  <c r="E420" i="91"/>
  <c r="D420" i="91"/>
  <c r="AB419" i="91"/>
  <c r="AA419" i="91"/>
  <c r="Z419" i="91"/>
  <c r="Y419" i="91"/>
  <c r="X419" i="91"/>
  <c r="W419" i="91"/>
  <c r="V419" i="91"/>
  <c r="U419" i="91"/>
  <c r="T419" i="91"/>
  <c r="S419" i="91"/>
  <c r="R419" i="91"/>
  <c r="Q419" i="91"/>
  <c r="P419" i="91"/>
  <c r="O419" i="91"/>
  <c r="N419" i="91"/>
  <c r="M419" i="91"/>
  <c r="L419" i="91"/>
  <c r="K419" i="91"/>
  <c r="J419" i="91"/>
  <c r="I419" i="91"/>
  <c r="H419" i="91"/>
  <c r="G419" i="91"/>
  <c r="F419" i="91"/>
  <c r="E419" i="91"/>
  <c r="D419" i="91"/>
  <c r="AB418" i="91"/>
  <c r="AA418" i="91"/>
  <c r="Z418" i="91"/>
  <c r="Y418" i="91"/>
  <c r="X418" i="91"/>
  <c r="W418" i="91"/>
  <c r="V418" i="91"/>
  <c r="U418" i="91"/>
  <c r="T418" i="91"/>
  <c r="S418" i="91"/>
  <c r="R418" i="91"/>
  <c r="Q418" i="91"/>
  <c r="P418" i="91"/>
  <c r="O418" i="91"/>
  <c r="N418" i="91"/>
  <c r="M418" i="91"/>
  <c r="L418" i="91"/>
  <c r="K418" i="91"/>
  <c r="J418" i="91"/>
  <c r="I418" i="91"/>
  <c r="H418" i="91"/>
  <c r="G418" i="91"/>
  <c r="F418" i="91"/>
  <c r="E418" i="91"/>
  <c r="D418" i="91"/>
  <c r="AB417" i="91"/>
  <c r="AA417" i="91"/>
  <c r="Z417" i="91"/>
  <c r="Y417" i="91"/>
  <c r="X417" i="91"/>
  <c r="W417" i="91"/>
  <c r="V417" i="91"/>
  <c r="U417" i="91"/>
  <c r="T417" i="91"/>
  <c r="S417" i="91"/>
  <c r="R417" i="91"/>
  <c r="Q417" i="91"/>
  <c r="P417" i="91"/>
  <c r="O417" i="91"/>
  <c r="N417" i="91"/>
  <c r="M417" i="91"/>
  <c r="L417" i="91"/>
  <c r="K417" i="91"/>
  <c r="J417" i="91"/>
  <c r="I417" i="91"/>
  <c r="H417" i="91"/>
  <c r="G417" i="91"/>
  <c r="F417" i="91"/>
  <c r="E417" i="91"/>
  <c r="D417" i="91"/>
  <c r="AB416" i="91"/>
  <c r="AA416" i="91"/>
  <c r="Z416" i="91"/>
  <c r="Y416" i="91"/>
  <c r="X416" i="91"/>
  <c r="W416" i="91"/>
  <c r="V416" i="91"/>
  <c r="U416" i="91"/>
  <c r="T416" i="91"/>
  <c r="S416" i="91"/>
  <c r="R416" i="91"/>
  <c r="Q416" i="91"/>
  <c r="P416" i="91"/>
  <c r="O416" i="91"/>
  <c r="N416" i="91"/>
  <c r="M416" i="91"/>
  <c r="L416" i="91"/>
  <c r="K416" i="91"/>
  <c r="J416" i="91"/>
  <c r="I416" i="91"/>
  <c r="H416" i="91"/>
  <c r="G416" i="91"/>
  <c r="F416" i="91"/>
  <c r="E416" i="91"/>
  <c r="D416" i="91"/>
  <c r="AB415" i="91"/>
  <c r="AA415" i="91"/>
  <c r="Z415" i="91"/>
  <c r="Y415" i="91"/>
  <c r="X415" i="91"/>
  <c r="W415" i="91"/>
  <c r="V415" i="91"/>
  <c r="U415" i="91"/>
  <c r="T415" i="91"/>
  <c r="S415" i="91"/>
  <c r="R415" i="91"/>
  <c r="Q415" i="91"/>
  <c r="P415" i="91"/>
  <c r="O415" i="91"/>
  <c r="N415" i="91"/>
  <c r="M415" i="91"/>
  <c r="L415" i="91"/>
  <c r="K415" i="91"/>
  <c r="J415" i="91"/>
  <c r="I415" i="91"/>
  <c r="H415" i="91"/>
  <c r="G415" i="91"/>
  <c r="F415" i="91"/>
  <c r="E415" i="91"/>
  <c r="D415" i="91"/>
  <c r="AB414" i="91"/>
  <c r="AA414" i="91"/>
  <c r="Z414" i="91"/>
  <c r="Y414" i="91"/>
  <c r="X414" i="91"/>
  <c r="W414" i="91"/>
  <c r="V414" i="91"/>
  <c r="U414" i="91"/>
  <c r="T414" i="91"/>
  <c r="S414" i="91"/>
  <c r="R414" i="91"/>
  <c r="Q414" i="91"/>
  <c r="P414" i="91"/>
  <c r="O414" i="91"/>
  <c r="N414" i="91"/>
  <c r="M414" i="91"/>
  <c r="L414" i="91"/>
  <c r="K414" i="91"/>
  <c r="J414" i="91"/>
  <c r="I414" i="91"/>
  <c r="H414" i="91"/>
  <c r="G414" i="91"/>
  <c r="F414" i="91"/>
  <c r="E414" i="91"/>
  <c r="D414" i="91"/>
  <c r="AB413" i="91"/>
  <c r="AA413" i="91"/>
  <c r="Z413" i="91"/>
  <c r="Y413" i="91"/>
  <c r="X413" i="91"/>
  <c r="W413" i="91"/>
  <c r="V413" i="91"/>
  <c r="U413" i="91"/>
  <c r="T413" i="91"/>
  <c r="S413" i="91"/>
  <c r="R413" i="91"/>
  <c r="Q413" i="91"/>
  <c r="P413" i="91"/>
  <c r="O413" i="91"/>
  <c r="N413" i="91"/>
  <c r="M413" i="91"/>
  <c r="L413" i="91"/>
  <c r="K413" i="91"/>
  <c r="J413" i="91"/>
  <c r="I413" i="91"/>
  <c r="H413" i="91"/>
  <c r="G413" i="91"/>
  <c r="F413" i="91"/>
  <c r="E413" i="91"/>
  <c r="D413" i="91"/>
  <c r="AB412" i="91"/>
  <c r="AA412" i="91"/>
  <c r="Z412" i="91"/>
  <c r="Y412" i="91"/>
  <c r="X412" i="91"/>
  <c r="W412" i="91"/>
  <c r="V412" i="91"/>
  <c r="U412" i="91"/>
  <c r="T412" i="91"/>
  <c r="S412" i="91"/>
  <c r="R412" i="91"/>
  <c r="Q412" i="91"/>
  <c r="P412" i="91"/>
  <c r="O412" i="91"/>
  <c r="N412" i="91"/>
  <c r="M412" i="91"/>
  <c r="L412" i="91"/>
  <c r="K412" i="91"/>
  <c r="J412" i="91"/>
  <c r="I412" i="91"/>
  <c r="H412" i="91"/>
  <c r="G412" i="91"/>
  <c r="F412" i="91"/>
  <c r="E412" i="91"/>
  <c r="D412" i="91"/>
  <c r="AB411" i="91"/>
  <c r="AA411" i="91"/>
  <c r="Z411" i="91"/>
  <c r="Y411" i="91"/>
  <c r="X411" i="91"/>
  <c r="W411" i="91"/>
  <c r="V411" i="91"/>
  <c r="U411" i="91"/>
  <c r="T411" i="91"/>
  <c r="S411" i="91"/>
  <c r="R411" i="91"/>
  <c r="Q411" i="91"/>
  <c r="P411" i="91"/>
  <c r="O411" i="91"/>
  <c r="N411" i="91"/>
  <c r="M411" i="91"/>
  <c r="L411" i="91"/>
  <c r="K411" i="91"/>
  <c r="J411" i="91"/>
  <c r="I411" i="91"/>
  <c r="H411" i="91"/>
  <c r="G411" i="91"/>
  <c r="F411" i="91"/>
  <c r="E411" i="91"/>
  <c r="D411" i="91"/>
  <c r="AB410" i="91"/>
  <c r="AA410" i="91"/>
  <c r="Z410" i="91"/>
  <c r="Y410" i="91"/>
  <c r="X410" i="91"/>
  <c r="W410" i="91"/>
  <c r="V410" i="91"/>
  <c r="U410" i="91"/>
  <c r="T410" i="91"/>
  <c r="S410" i="91"/>
  <c r="R410" i="91"/>
  <c r="Q410" i="91"/>
  <c r="P410" i="91"/>
  <c r="O410" i="91"/>
  <c r="N410" i="91"/>
  <c r="M410" i="91"/>
  <c r="L410" i="91"/>
  <c r="K410" i="91"/>
  <c r="J410" i="91"/>
  <c r="I410" i="91"/>
  <c r="H410" i="91"/>
  <c r="G410" i="91"/>
  <c r="F410" i="91"/>
  <c r="E410" i="91"/>
  <c r="D410" i="91"/>
  <c r="AB409" i="91"/>
  <c r="AA409" i="91"/>
  <c r="Z409" i="91"/>
  <c r="Y409" i="91"/>
  <c r="X409" i="91"/>
  <c r="W409" i="91"/>
  <c r="V409" i="91"/>
  <c r="U409" i="91"/>
  <c r="T409" i="91"/>
  <c r="S409" i="91"/>
  <c r="R409" i="91"/>
  <c r="Q409" i="91"/>
  <c r="P409" i="91"/>
  <c r="O409" i="91"/>
  <c r="N409" i="91"/>
  <c r="M409" i="91"/>
  <c r="L409" i="91"/>
  <c r="K409" i="91"/>
  <c r="J409" i="91"/>
  <c r="I409" i="91"/>
  <c r="H409" i="91"/>
  <c r="G409" i="91"/>
  <c r="F409" i="91"/>
  <c r="E409" i="91"/>
  <c r="D409" i="91"/>
  <c r="AB408" i="91"/>
  <c r="AA408" i="91"/>
  <c r="Z408" i="91"/>
  <c r="Y408" i="91"/>
  <c r="X408" i="91"/>
  <c r="W408" i="91"/>
  <c r="V408" i="91"/>
  <c r="U408" i="91"/>
  <c r="T408" i="91"/>
  <c r="S408" i="91"/>
  <c r="R408" i="91"/>
  <c r="Q408" i="91"/>
  <c r="P408" i="91"/>
  <c r="O408" i="91"/>
  <c r="N408" i="91"/>
  <c r="M408" i="91"/>
  <c r="L408" i="91"/>
  <c r="K408" i="91"/>
  <c r="J408" i="91"/>
  <c r="I408" i="91"/>
  <c r="H408" i="91"/>
  <c r="G408" i="91"/>
  <c r="F408" i="91"/>
  <c r="E408" i="91"/>
  <c r="D408" i="91"/>
  <c r="AB407" i="91"/>
  <c r="AA407" i="91"/>
  <c r="Z407" i="91"/>
  <c r="Y407" i="91"/>
  <c r="X407" i="91"/>
  <c r="W407" i="91"/>
  <c r="V407" i="91"/>
  <c r="U407" i="91"/>
  <c r="T407" i="91"/>
  <c r="S407" i="91"/>
  <c r="R407" i="91"/>
  <c r="Q407" i="91"/>
  <c r="P407" i="91"/>
  <c r="O407" i="91"/>
  <c r="N407" i="91"/>
  <c r="M407" i="91"/>
  <c r="L407" i="91"/>
  <c r="K407" i="91"/>
  <c r="J407" i="91"/>
  <c r="I407" i="91"/>
  <c r="H407" i="91"/>
  <c r="G407" i="91"/>
  <c r="F407" i="91"/>
  <c r="E407" i="91"/>
  <c r="D407" i="91"/>
  <c r="AB406" i="91"/>
  <c r="AA406" i="91"/>
  <c r="Z406" i="91"/>
  <c r="Y406" i="91"/>
  <c r="X406" i="91"/>
  <c r="W406" i="91"/>
  <c r="V406" i="91"/>
  <c r="U406" i="91"/>
  <c r="T406" i="91"/>
  <c r="S406" i="91"/>
  <c r="R406" i="91"/>
  <c r="Q406" i="91"/>
  <c r="P406" i="91"/>
  <c r="O406" i="91"/>
  <c r="N406" i="91"/>
  <c r="M406" i="91"/>
  <c r="L406" i="91"/>
  <c r="K406" i="91"/>
  <c r="J406" i="91"/>
  <c r="I406" i="91"/>
  <c r="H406" i="91"/>
  <c r="G406" i="91"/>
  <c r="F406" i="91"/>
  <c r="E406" i="91"/>
  <c r="D406" i="91"/>
  <c r="AB405" i="91"/>
  <c r="AA405" i="91"/>
  <c r="Z405" i="91"/>
  <c r="Y405" i="91"/>
  <c r="X405" i="91"/>
  <c r="W405" i="91"/>
  <c r="V405" i="91"/>
  <c r="U405" i="91"/>
  <c r="T405" i="91"/>
  <c r="S405" i="91"/>
  <c r="R405" i="91"/>
  <c r="Q405" i="91"/>
  <c r="P405" i="91"/>
  <c r="O405" i="91"/>
  <c r="N405" i="91"/>
  <c r="M405" i="91"/>
  <c r="L405" i="91"/>
  <c r="K405" i="91"/>
  <c r="J405" i="91"/>
  <c r="I405" i="91"/>
  <c r="H405" i="91"/>
  <c r="G405" i="91"/>
  <c r="F405" i="91"/>
  <c r="E405" i="91"/>
  <c r="D405" i="91"/>
  <c r="AB404" i="91"/>
  <c r="AA404" i="91"/>
  <c r="Z404" i="91"/>
  <c r="Y404" i="91"/>
  <c r="X404" i="91"/>
  <c r="W404" i="91"/>
  <c r="V404" i="91"/>
  <c r="U404" i="91"/>
  <c r="T404" i="91"/>
  <c r="S404" i="91"/>
  <c r="R404" i="91"/>
  <c r="Q404" i="91"/>
  <c r="P404" i="91"/>
  <c r="O404" i="91"/>
  <c r="N404" i="91"/>
  <c r="M404" i="91"/>
  <c r="L404" i="91"/>
  <c r="K404" i="91"/>
  <c r="J404" i="91"/>
  <c r="I404" i="91"/>
  <c r="H404" i="91"/>
  <c r="G404" i="91"/>
  <c r="F404" i="91"/>
  <c r="E404" i="91"/>
  <c r="D404" i="91"/>
  <c r="AB403" i="91"/>
  <c r="AA403" i="91"/>
  <c r="Z403" i="91"/>
  <c r="Y403" i="91"/>
  <c r="X403" i="91"/>
  <c r="W403" i="91"/>
  <c r="V403" i="91"/>
  <c r="U403" i="91"/>
  <c r="T403" i="91"/>
  <c r="S403" i="91"/>
  <c r="R403" i="91"/>
  <c r="Q403" i="91"/>
  <c r="P403" i="91"/>
  <c r="O403" i="91"/>
  <c r="N403" i="91"/>
  <c r="M403" i="91"/>
  <c r="L403" i="91"/>
  <c r="K403" i="91"/>
  <c r="J403" i="91"/>
  <c r="I403" i="91"/>
  <c r="H403" i="91"/>
  <c r="G403" i="91"/>
  <c r="F403" i="91"/>
  <c r="E403" i="91"/>
  <c r="D403" i="91"/>
  <c r="AB401" i="91"/>
  <c r="AA401" i="91"/>
  <c r="Z401" i="91"/>
  <c r="Y401" i="91"/>
  <c r="X401" i="91"/>
  <c r="W401" i="91"/>
  <c r="V401" i="91"/>
  <c r="U401" i="91"/>
  <c r="T401" i="91"/>
  <c r="S401" i="91"/>
  <c r="R401" i="91"/>
  <c r="Q401" i="91"/>
  <c r="P401" i="91"/>
  <c r="O401" i="91"/>
  <c r="N401" i="91"/>
  <c r="M401" i="91"/>
  <c r="L401" i="91"/>
  <c r="K401" i="91"/>
  <c r="J401" i="91"/>
  <c r="I401" i="91"/>
  <c r="H401" i="91"/>
  <c r="G401" i="91"/>
  <c r="F401" i="91"/>
  <c r="E401" i="91"/>
  <c r="D401" i="91"/>
  <c r="AB400" i="91"/>
  <c r="AA400" i="91"/>
  <c r="Z400" i="91"/>
  <c r="Y400" i="91"/>
  <c r="X400" i="91"/>
  <c r="W400" i="91"/>
  <c r="V400" i="91"/>
  <c r="U400" i="91"/>
  <c r="T400" i="91"/>
  <c r="S400" i="91"/>
  <c r="R400" i="91"/>
  <c r="Q400" i="91"/>
  <c r="P400" i="91"/>
  <c r="O400" i="91"/>
  <c r="N400" i="91"/>
  <c r="M400" i="91"/>
  <c r="L400" i="91"/>
  <c r="K400" i="91"/>
  <c r="J400" i="91"/>
  <c r="I400" i="91"/>
  <c r="H400" i="91"/>
  <c r="G400" i="91"/>
  <c r="F400" i="91"/>
  <c r="E400" i="91"/>
  <c r="D400" i="91"/>
  <c r="AB399" i="91"/>
  <c r="AA399" i="91"/>
  <c r="Z399" i="91"/>
  <c r="Y399" i="91"/>
  <c r="X399" i="91"/>
  <c r="W399" i="91"/>
  <c r="V399" i="91"/>
  <c r="U399" i="91"/>
  <c r="T399" i="91"/>
  <c r="S399" i="91"/>
  <c r="R399" i="91"/>
  <c r="Q399" i="91"/>
  <c r="P399" i="91"/>
  <c r="O399" i="91"/>
  <c r="N399" i="91"/>
  <c r="M399" i="91"/>
  <c r="L399" i="91"/>
  <c r="K399" i="91"/>
  <c r="J399" i="91"/>
  <c r="I399" i="91"/>
  <c r="H399" i="91"/>
  <c r="G399" i="91"/>
  <c r="F399" i="91"/>
  <c r="E399" i="91"/>
  <c r="D399" i="91"/>
  <c r="AB398" i="91"/>
  <c r="AA398" i="91"/>
  <c r="Z398" i="91"/>
  <c r="Y398" i="91"/>
  <c r="X398" i="91"/>
  <c r="W398" i="91"/>
  <c r="V398" i="91"/>
  <c r="U398" i="91"/>
  <c r="T398" i="91"/>
  <c r="S398" i="91"/>
  <c r="R398" i="91"/>
  <c r="Q398" i="91"/>
  <c r="P398" i="91"/>
  <c r="O398" i="91"/>
  <c r="N398" i="91"/>
  <c r="M398" i="91"/>
  <c r="L398" i="91"/>
  <c r="K398" i="91"/>
  <c r="J398" i="91"/>
  <c r="I398" i="91"/>
  <c r="H398" i="91"/>
  <c r="G398" i="91"/>
  <c r="F398" i="91"/>
  <c r="E398" i="91"/>
  <c r="D398" i="91"/>
  <c r="AB397" i="91"/>
  <c r="AA397" i="91"/>
  <c r="Z397" i="91"/>
  <c r="Y397" i="91"/>
  <c r="X397" i="91"/>
  <c r="W397" i="91"/>
  <c r="V397" i="91"/>
  <c r="U397" i="91"/>
  <c r="T397" i="91"/>
  <c r="S397" i="91"/>
  <c r="R397" i="91"/>
  <c r="Q397" i="91"/>
  <c r="P397" i="91"/>
  <c r="O397" i="91"/>
  <c r="N397" i="91"/>
  <c r="M397" i="91"/>
  <c r="L397" i="91"/>
  <c r="K397" i="91"/>
  <c r="J397" i="91"/>
  <c r="I397" i="91"/>
  <c r="H397" i="91"/>
  <c r="G397" i="91"/>
  <c r="F397" i="91"/>
  <c r="E397" i="91"/>
  <c r="D397" i="91"/>
  <c r="AB396" i="91"/>
  <c r="AA396" i="91"/>
  <c r="Z396" i="91"/>
  <c r="Y396" i="91"/>
  <c r="X396" i="91"/>
  <c r="W396" i="91"/>
  <c r="V396" i="91"/>
  <c r="U396" i="91"/>
  <c r="T396" i="91"/>
  <c r="S396" i="91"/>
  <c r="R396" i="91"/>
  <c r="Q396" i="91"/>
  <c r="P396" i="91"/>
  <c r="O396" i="91"/>
  <c r="N396" i="91"/>
  <c r="M396" i="91"/>
  <c r="L396" i="91"/>
  <c r="K396" i="91"/>
  <c r="J396" i="91"/>
  <c r="I396" i="91"/>
  <c r="H396" i="91"/>
  <c r="G396" i="91"/>
  <c r="F396" i="91"/>
  <c r="E396" i="91"/>
  <c r="D396" i="91"/>
  <c r="AB395" i="91"/>
  <c r="AA395" i="91"/>
  <c r="Z395" i="91"/>
  <c r="Y395" i="91"/>
  <c r="X395" i="91"/>
  <c r="W395" i="91"/>
  <c r="V395" i="91"/>
  <c r="U395" i="91"/>
  <c r="T395" i="91"/>
  <c r="S395" i="91"/>
  <c r="R395" i="91"/>
  <c r="Q395" i="91"/>
  <c r="P395" i="91"/>
  <c r="O395" i="91"/>
  <c r="N395" i="91"/>
  <c r="M395" i="91"/>
  <c r="L395" i="91"/>
  <c r="K395" i="91"/>
  <c r="J395" i="91"/>
  <c r="I395" i="91"/>
  <c r="H395" i="91"/>
  <c r="G395" i="91"/>
  <c r="F395" i="91"/>
  <c r="E395" i="91"/>
  <c r="D395" i="91"/>
  <c r="AB394" i="91"/>
  <c r="AA394" i="91"/>
  <c r="Z394" i="91"/>
  <c r="Y394" i="91"/>
  <c r="X394" i="91"/>
  <c r="W394" i="91"/>
  <c r="V394" i="91"/>
  <c r="U394" i="91"/>
  <c r="T394" i="91"/>
  <c r="S394" i="91"/>
  <c r="R394" i="91"/>
  <c r="Q394" i="91"/>
  <c r="P394" i="91"/>
  <c r="O394" i="91"/>
  <c r="N394" i="91"/>
  <c r="M394" i="91"/>
  <c r="L394" i="91"/>
  <c r="K394" i="91"/>
  <c r="J394" i="91"/>
  <c r="I394" i="91"/>
  <c r="H394" i="91"/>
  <c r="G394" i="91"/>
  <c r="F394" i="91"/>
  <c r="E394" i="91"/>
  <c r="D394" i="91"/>
  <c r="AB393" i="91"/>
  <c r="AA393" i="91"/>
  <c r="Z393" i="91"/>
  <c r="Y393" i="91"/>
  <c r="X393" i="91"/>
  <c r="W393" i="91"/>
  <c r="V393" i="91"/>
  <c r="U393" i="91"/>
  <c r="T393" i="91"/>
  <c r="S393" i="91"/>
  <c r="R393" i="91"/>
  <c r="Q393" i="91"/>
  <c r="P393" i="91"/>
  <c r="O393" i="91"/>
  <c r="N393" i="91"/>
  <c r="M393" i="91"/>
  <c r="L393" i="91"/>
  <c r="K393" i="91"/>
  <c r="J393" i="91"/>
  <c r="I393" i="91"/>
  <c r="H393" i="91"/>
  <c r="G393" i="91"/>
  <c r="F393" i="91"/>
  <c r="E393" i="91"/>
  <c r="D393" i="91"/>
  <c r="AB392" i="91"/>
  <c r="AA392" i="91"/>
  <c r="Z392" i="91"/>
  <c r="Y392" i="91"/>
  <c r="X392" i="91"/>
  <c r="W392" i="91"/>
  <c r="V392" i="91"/>
  <c r="U392" i="91"/>
  <c r="T392" i="91"/>
  <c r="S392" i="91"/>
  <c r="R392" i="91"/>
  <c r="Q392" i="91"/>
  <c r="P392" i="91"/>
  <c r="O392" i="91"/>
  <c r="N392" i="91"/>
  <c r="M392" i="91"/>
  <c r="L392" i="91"/>
  <c r="K392" i="91"/>
  <c r="J392" i="91"/>
  <c r="I392" i="91"/>
  <c r="H392" i="91"/>
  <c r="G392" i="91"/>
  <c r="F392" i="91"/>
  <c r="E392" i="91"/>
  <c r="D392" i="91"/>
  <c r="AB391" i="91"/>
  <c r="AA391" i="91"/>
  <c r="Z391" i="91"/>
  <c r="Y391" i="91"/>
  <c r="X391" i="91"/>
  <c r="W391" i="91"/>
  <c r="V391" i="91"/>
  <c r="U391" i="91"/>
  <c r="T391" i="91"/>
  <c r="S391" i="91"/>
  <c r="R391" i="91"/>
  <c r="Q391" i="91"/>
  <c r="P391" i="91"/>
  <c r="O391" i="91"/>
  <c r="N391" i="91"/>
  <c r="M391" i="91"/>
  <c r="L391" i="91"/>
  <c r="K391" i="91"/>
  <c r="J391" i="91"/>
  <c r="I391" i="91"/>
  <c r="H391" i="91"/>
  <c r="G391" i="91"/>
  <c r="F391" i="91"/>
  <c r="E391" i="91"/>
  <c r="D391" i="91"/>
  <c r="AB390" i="91"/>
  <c r="AA390" i="91"/>
  <c r="Z390" i="91"/>
  <c r="Y390" i="91"/>
  <c r="X390" i="91"/>
  <c r="W390" i="91"/>
  <c r="V390" i="91"/>
  <c r="U390" i="91"/>
  <c r="T390" i="91"/>
  <c r="S390" i="91"/>
  <c r="R390" i="91"/>
  <c r="Q390" i="91"/>
  <c r="P390" i="91"/>
  <c r="O390" i="91"/>
  <c r="N390" i="91"/>
  <c r="M390" i="91"/>
  <c r="L390" i="91"/>
  <c r="K390" i="91"/>
  <c r="J390" i="91"/>
  <c r="I390" i="91"/>
  <c r="H390" i="91"/>
  <c r="G390" i="91"/>
  <c r="F390" i="91"/>
  <c r="E390" i="91"/>
  <c r="D390" i="91"/>
  <c r="AB389" i="91"/>
  <c r="AA389" i="91"/>
  <c r="Z389" i="91"/>
  <c r="Y389" i="91"/>
  <c r="X389" i="91"/>
  <c r="W389" i="91"/>
  <c r="V389" i="91"/>
  <c r="U389" i="91"/>
  <c r="T389" i="91"/>
  <c r="S389" i="91"/>
  <c r="R389" i="91"/>
  <c r="Q389" i="91"/>
  <c r="P389" i="91"/>
  <c r="O389" i="91"/>
  <c r="N389" i="91"/>
  <c r="M389" i="91"/>
  <c r="L389" i="91"/>
  <c r="K389" i="91"/>
  <c r="J389" i="91"/>
  <c r="I389" i="91"/>
  <c r="H389" i="91"/>
  <c r="G389" i="91"/>
  <c r="F389" i="91"/>
  <c r="E389" i="91"/>
  <c r="D389" i="91"/>
  <c r="AB388" i="91"/>
  <c r="AA388" i="91"/>
  <c r="Z388" i="91"/>
  <c r="Y388" i="91"/>
  <c r="X388" i="91"/>
  <c r="W388" i="91"/>
  <c r="V388" i="91"/>
  <c r="U388" i="91"/>
  <c r="T388" i="91"/>
  <c r="S388" i="91"/>
  <c r="R388" i="91"/>
  <c r="Q388" i="91"/>
  <c r="P388" i="91"/>
  <c r="O388" i="91"/>
  <c r="N388" i="91"/>
  <c r="M388" i="91"/>
  <c r="L388" i="91"/>
  <c r="K388" i="91"/>
  <c r="J388" i="91"/>
  <c r="I388" i="91"/>
  <c r="H388" i="91"/>
  <c r="G388" i="91"/>
  <c r="F388" i="91"/>
  <c r="E388" i="91"/>
  <c r="D388" i="91"/>
  <c r="AB387" i="91"/>
  <c r="AA387" i="91"/>
  <c r="Z387" i="91"/>
  <c r="Y387" i="91"/>
  <c r="X387" i="91"/>
  <c r="W387" i="91"/>
  <c r="V387" i="91"/>
  <c r="U387" i="91"/>
  <c r="T387" i="91"/>
  <c r="S387" i="91"/>
  <c r="R387" i="91"/>
  <c r="Q387" i="91"/>
  <c r="P387" i="91"/>
  <c r="O387" i="91"/>
  <c r="N387" i="91"/>
  <c r="M387" i="91"/>
  <c r="L387" i="91"/>
  <c r="K387" i="91"/>
  <c r="J387" i="91"/>
  <c r="I387" i="91"/>
  <c r="H387" i="91"/>
  <c r="G387" i="91"/>
  <c r="F387" i="91"/>
  <c r="E387" i="91"/>
  <c r="D387" i="91"/>
  <c r="AB386" i="91"/>
  <c r="AA386" i="91"/>
  <c r="Z386" i="91"/>
  <c r="Y386" i="91"/>
  <c r="X386" i="91"/>
  <c r="W386" i="91"/>
  <c r="V386" i="91"/>
  <c r="U386" i="91"/>
  <c r="T386" i="91"/>
  <c r="S386" i="91"/>
  <c r="R386" i="91"/>
  <c r="Q386" i="91"/>
  <c r="P386" i="91"/>
  <c r="O386" i="91"/>
  <c r="N386" i="91"/>
  <c r="M386" i="91"/>
  <c r="L386" i="91"/>
  <c r="K386" i="91"/>
  <c r="J386" i="91"/>
  <c r="I386" i="91"/>
  <c r="H386" i="91"/>
  <c r="G386" i="91"/>
  <c r="F386" i="91"/>
  <c r="E386" i="91"/>
  <c r="D386" i="91"/>
  <c r="AB385" i="91"/>
  <c r="AA385" i="91"/>
  <c r="Z385" i="91"/>
  <c r="Y385" i="91"/>
  <c r="X385" i="91"/>
  <c r="W385" i="91"/>
  <c r="V385" i="91"/>
  <c r="U385" i="91"/>
  <c r="T385" i="91"/>
  <c r="S385" i="91"/>
  <c r="R385" i="91"/>
  <c r="Q385" i="91"/>
  <c r="P385" i="91"/>
  <c r="O385" i="91"/>
  <c r="N385" i="91"/>
  <c r="M385" i="91"/>
  <c r="L385" i="91"/>
  <c r="K385" i="91"/>
  <c r="J385" i="91"/>
  <c r="I385" i="91"/>
  <c r="H385" i="91"/>
  <c r="G385" i="91"/>
  <c r="F385" i="91"/>
  <c r="E385" i="91"/>
  <c r="D385" i="91"/>
  <c r="AB384" i="91"/>
  <c r="AA384" i="91"/>
  <c r="Z384" i="91"/>
  <c r="Y384" i="91"/>
  <c r="X384" i="91"/>
  <c r="W384" i="91"/>
  <c r="V384" i="91"/>
  <c r="U384" i="91"/>
  <c r="T384" i="91"/>
  <c r="S384" i="91"/>
  <c r="R384" i="91"/>
  <c r="Q384" i="91"/>
  <c r="P384" i="91"/>
  <c r="O384" i="91"/>
  <c r="N384" i="91"/>
  <c r="M384" i="91"/>
  <c r="L384" i="91"/>
  <c r="K384" i="91"/>
  <c r="J384" i="91"/>
  <c r="I384" i="91"/>
  <c r="H384" i="91"/>
  <c r="G384" i="91"/>
  <c r="F384" i="91"/>
  <c r="E384" i="91"/>
  <c r="D384" i="91"/>
  <c r="AB383" i="91"/>
  <c r="AA383" i="91"/>
  <c r="Z383" i="91"/>
  <c r="Y383" i="91"/>
  <c r="X383" i="91"/>
  <c r="W383" i="91"/>
  <c r="V383" i="91"/>
  <c r="U383" i="91"/>
  <c r="T383" i="91"/>
  <c r="S383" i="91"/>
  <c r="R383" i="91"/>
  <c r="Q383" i="91"/>
  <c r="P383" i="91"/>
  <c r="O383" i="91"/>
  <c r="N383" i="91"/>
  <c r="M383" i="91"/>
  <c r="L383" i="91"/>
  <c r="K383" i="91"/>
  <c r="J383" i="91"/>
  <c r="I383" i="91"/>
  <c r="H383" i="91"/>
  <c r="G383" i="91"/>
  <c r="F383" i="91"/>
  <c r="E383" i="91"/>
  <c r="D383" i="91"/>
  <c r="AB382" i="91"/>
  <c r="AA382" i="91"/>
  <c r="Z382" i="91"/>
  <c r="Y382" i="91"/>
  <c r="X382" i="91"/>
  <c r="W382" i="91"/>
  <c r="V382" i="91"/>
  <c r="U382" i="91"/>
  <c r="T382" i="91"/>
  <c r="S382" i="91"/>
  <c r="R382" i="91"/>
  <c r="Q382" i="91"/>
  <c r="P382" i="91"/>
  <c r="O382" i="91"/>
  <c r="N382" i="91"/>
  <c r="M382" i="91"/>
  <c r="L382" i="91"/>
  <c r="K382" i="91"/>
  <c r="J382" i="91"/>
  <c r="I382" i="91"/>
  <c r="H382" i="91"/>
  <c r="G382" i="91"/>
  <c r="F382" i="91"/>
  <c r="E382" i="91"/>
  <c r="D382" i="91"/>
  <c r="AB381" i="91"/>
  <c r="AA381" i="91"/>
  <c r="Z381" i="91"/>
  <c r="Y381" i="91"/>
  <c r="X381" i="91"/>
  <c r="W381" i="91"/>
  <c r="V381" i="91"/>
  <c r="U381" i="91"/>
  <c r="T381" i="91"/>
  <c r="S381" i="91"/>
  <c r="R381" i="91"/>
  <c r="Q381" i="91"/>
  <c r="P381" i="91"/>
  <c r="O381" i="91"/>
  <c r="N381" i="91"/>
  <c r="M381" i="91"/>
  <c r="L381" i="91"/>
  <c r="K381" i="91"/>
  <c r="J381" i="91"/>
  <c r="I381" i="91"/>
  <c r="H381" i="91"/>
  <c r="G381" i="91"/>
  <c r="F381" i="91"/>
  <c r="E381" i="91"/>
  <c r="D381" i="91"/>
  <c r="AB380" i="91"/>
  <c r="AA380" i="91"/>
  <c r="Z380" i="91"/>
  <c r="Y380" i="91"/>
  <c r="X380" i="91"/>
  <c r="W380" i="91"/>
  <c r="V380" i="91"/>
  <c r="U380" i="91"/>
  <c r="T380" i="91"/>
  <c r="S380" i="91"/>
  <c r="R380" i="91"/>
  <c r="Q380" i="91"/>
  <c r="P380" i="91"/>
  <c r="O380" i="91"/>
  <c r="N380" i="91"/>
  <c r="M380" i="91"/>
  <c r="L380" i="91"/>
  <c r="K380" i="91"/>
  <c r="J380" i="91"/>
  <c r="I380" i="91"/>
  <c r="H380" i="91"/>
  <c r="G380" i="91"/>
  <c r="F380" i="91"/>
  <c r="E380" i="91"/>
  <c r="D380" i="91"/>
  <c r="AB379" i="91"/>
  <c r="AA379" i="91"/>
  <c r="Z379" i="91"/>
  <c r="Y379" i="91"/>
  <c r="X379" i="91"/>
  <c r="W379" i="91"/>
  <c r="V379" i="91"/>
  <c r="U379" i="91"/>
  <c r="T379" i="91"/>
  <c r="S379" i="91"/>
  <c r="R379" i="91"/>
  <c r="Q379" i="91"/>
  <c r="P379" i="91"/>
  <c r="O379" i="91"/>
  <c r="N379" i="91"/>
  <c r="M379" i="91"/>
  <c r="L379" i="91"/>
  <c r="K379" i="91"/>
  <c r="J379" i="91"/>
  <c r="I379" i="91"/>
  <c r="H379" i="91"/>
  <c r="G379" i="91"/>
  <c r="F379" i="91"/>
  <c r="E379" i="91"/>
  <c r="D379" i="91"/>
  <c r="AB378" i="91"/>
  <c r="AA378" i="91"/>
  <c r="Z378" i="91"/>
  <c r="Y378" i="91"/>
  <c r="X378" i="91"/>
  <c r="W378" i="91"/>
  <c r="V378" i="91"/>
  <c r="U378" i="91"/>
  <c r="T378" i="91"/>
  <c r="S378" i="91"/>
  <c r="R378" i="91"/>
  <c r="Q378" i="91"/>
  <c r="P378" i="91"/>
  <c r="O378" i="91"/>
  <c r="N378" i="91"/>
  <c r="M378" i="91"/>
  <c r="L378" i="91"/>
  <c r="K378" i="91"/>
  <c r="J378" i="91"/>
  <c r="I378" i="91"/>
  <c r="H378" i="91"/>
  <c r="G378" i="91"/>
  <c r="F378" i="91"/>
  <c r="E378" i="91"/>
  <c r="D378" i="91"/>
  <c r="AB377" i="91"/>
  <c r="AA377" i="91"/>
  <c r="Z377" i="91"/>
  <c r="Y377" i="91"/>
  <c r="X377" i="91"/>
  <c r="W377" i="91"/>
  <c r="V377" i="91"/>
  <c r="U377" i="91"/>
  <c r="T377" i="91"/>
  <c r="S377" i="91"/>
  <c r="R377" i="91"/>
  <c r="Q377" i="91"/>
  <c r="P377" i="91"/>
  <c r="O377" i="91"/>
  <c r="N377" i="91"/>
  <c r="M377" i="91"/>
  <c r="L377" i="91"/>
  <c r="K377" i="91"/>
  <c r="J377" i="91"/>
  <c r="I377" i="91"/>
  <c r="H377" i="91"/>
  <c r="G377" i="91"/>
  <c r="F377" i="91"/>
  <c r="E377" i="91"/>
  <c r="D377" i="91"/>
  <c r="AB376" i="91"/>
  <c r="AA376" i="91"/>
  <c r="Z376" i="91"/>
  <c r="Y376" i="91"/>
  <c r="X376" i="91"/>
  <c r="W376" i="91"/>
  <c r="V376" i="91"/>
  <c r="U376" i="91"/>
  <c r="T376" i="91"/>
  <c r="S376" i="91"/>
  <c r="R376" i="91"/>
  <c r="Q376" i="91"/>
  <c r="P376" i="91"/>
  <c r="O376" i="91"/>
  <c r="N376" i="91"/>
  <c r="M376" i="91"/>
  <c r="L376" i="91"/>
  <c r="K376" i="91"/>
  <c r="J376" i="91"/>
  <c r="I376" i="91"/>
  <c r="H376" i="91"/>
  <c r="G376" i="91"/>
  <c r="F376" i="91"/>
  <c r="E376" i="91"/>
  <c r="D376" i="91"/>
  <c r="AB375" i="91"/>
  <c r="AA375" i="91"/>
  <c r="Z375" i="91"/>
  <c r="Y375" i="91"/>
  <c r="X375" i="91"/>
  <c r="W375" i="91"/>
  <c r="V375" i="91"/>
  <c r="U375" i="91"/>
  <c r="T375" i="91"/>
  <c r="S375" i="91"/>
  <c r="R375" i="91"/>
  <c r="Q375" i="91"/>
  <c r="P375" i="91"/>
  <c r="O375" i="91"/>
  <c r="N375" i="91"/>
  <c r="M375" i="91"/>
  <c r="L375" i="91"/>
  <c r="K375" i="91"/>
  <c r="J375" i="91"/>
  <c r="I375" i="91"/>
  <c r="H375" i="91"/>
  <c r="G375" i="91"/>
  <c r="F375" i="91"/>
  <c r="E375" i="91"/>
  <c r="D375" i="91"/>
  <c r="AB374" i="91"/>
  <c r="AA374" i="91"/>
  <c r="Z374" i="91"/>
  <c r="Y374" i="91"/>
  <c r="X374" i="91"/>
  <c r="W374" i="91"/>
  <c r="V374" i="91"/>
  <c r="U374" i="91"/>
  <c r="T374" i="91"/>
  <c r="S374" i="91"/>
  <c r="R374" i="91"/>
  <c r="Q374" i="91"/>
  <c r="P374" i="91"/>
  <c r="O374" i="91"/>
  <c r="N374" i="91"/>
  <c r="M374" i="91"/>
  <c r="L374" i="91"/>
  <c r="K374" i="91"/>
  <c r="J374" i="91"/>
  <c r="I374" i="91"/>
  <c r="H374" i="91"/>
  <c r="G374" i="91"/>
  <c r="F374" i="91"/>
  <c r="E374" i="91"/>
  <c r="D374" i="91"/>
  <c r="AB373" i="91"/>
  <c r="AA373" i="91"/>
  <c r="Z373" i="91"/>
  <c r="Y373" i="91"/>
  <c r="X373" i="91"/>
  <c r="W373" i="91"/>
  <c r="V373" i="91"/>
  <c r="U373" i="91"/>
  <c r="T373" i="91"/>
  <c r="S373" i="91"/>
  <c r="R373" i="91"/>
  <c r="Q373" i="91"/>
  <c r="P373" i="91"/>
  <c r="O373" i="91"/>
  <c r="N373" i="91"/>
  <c r="M373" i="91"/>
  <c r="L373" i="91"/>
  <c r="K373" i="91"/>
  <c r="J373" i="91"/>
  <c r="I373" i="91"/>
  <c r="H373" i="91"/>
  <c r="G373" i="91"/>
  <c r="F373" i="91"/>
  <c r="E373" i="91"/>
  <c r="D373" i="91"/>
  <c r="AB372" i="91"/>
  <c r="AA372" i="91"/>
  <c r="Z372" i="91"/>
  <c r="Y372" i="91"/>
  <c r="X372" i="91"/>
  <c r="W372" i="91"/>
  <c r="V372" i="91"/>
  <c r="U372" i="91"/>
  <c r="T372" i="91"/>
  <c r="S372" i="91"/>
  <c r="R372" i="91"/>
  <c r="Q372" i="91"/>
  <c r="P372" i="91"/>
  <c r="O372" i="91"/>
  <c r="N372" i="91"/>
  <c r="M372" i="91"/>
  <c r="L372" i="91"/>
  <c r="K372" i="91"/>
  <c r="J372" i="91"/>
  <c r="I372" i="91"/>
  <c r="H372" i="91"/>
  <c r="G372" i="91"/>
  <c r="F372" i="91"/>
  <c r="E372" i="91"/>
  <c r="D372" i="91"/>
  <c r="AB371" i="91"/>
  <c r="AA371" i="91"/>
  <c r="Z371" i="91"/>
  <c r="Y371" i="91"/>
  <c r="X371" i="91"/>
  <c r="W371" i="91"/>
  <c r="V371" i="91"/>
  <c r="U371" i="91"/>
  <c r="T371" i="91"/>
  <c r="S371" i="91"/>
  <c r="R371" i="91"/>
  <c r="Q371" i="91"/>
  <c r="P371" i="91"/>
  <c r="O371" i="91"/>
  <c r="N371" i="91"/>
  <c r="M371" i="91"/>
  <c r="L371" i="91"/>
  <c r="K371" i="91"/>
  <c r="J371" i="91"/>
  <c r="I371" i="91"/>
  <c r="H371" i="91"/>
  <c r="G371" i="91"/>
  <c r="F371" i="91"/>
  <c r="E371" i="91"/>
  <c r="D371" i="91"/>
  <c r="AB370" i="91"/>
  <c r="AA370" i="91"/>
  <c r="Z370" i="91"/>
  <c r="Y370" i="91"/>
  <c r="X370" i="91"/>
  <c r="W370" i="91"/>
  <c r="V370" i="91"/>
  <c r="U370" i="91"/>
  <c r="T370" i="91"/>
  <c r="S370" i="91"/>
  <c r="R370" i="91"/>
  <c r="Q370" i="91"/>
  <c r="P370" i="91"/>
  <c r="O370" i="91"/>
  <c r="N370" i="91"/>
  <c r="M370" i="91"/>
  <c r="L370" i="91"/>
  <c r="K370" i="91"/>
  <c r="J370" i="91"/>
  <c r="I370" i="91"/>
  <c r="H370" i="91"/>
  <c r="G370" i="91"/>
  <c r="F370" i="91"/>
  <c r="E370" i="91"/>
  <c r="D370" i="91"/>
  <c r="AB369" i="91"/>
  <c r="AA369" i="91"/>
  <c r="Z369" i="91"/>
  <c r="Y369" i="91"/>
  <c r="X369" i="91"/>
  <c r="W369" i="91"/>
  <c r="V369" i="91"/>
  <c r="U369" i="91"/>
  <c r="T369" i="91"/>
  <c r="S369" i="91"/>
  <c r="R369" i="91"/>
  <c r="Q369" i="91"/>
  <c r="P369" i="91"/>
  <c r="O369" i="91"/>
  <c r="N369" i="91"/>
  <c r="M369" i="91"/>
  <c r="L369" i="91"/>
  <c r="K369" i="91"/>
  <c r="J369" i="91"/>
  <c r="I369" i="91"/>
  <c r="H369" i="91"/>
  <c r="G369" i="91"/>
  <c r="F369" i="91"/>
  <c r="E369" i="91"/>
  <c r="D369" i="91"/>
  <c r="AB368" i="91"/>
  <c r="AA368" i="91"/>
  <c r="Z368" i="91"/>
  <c r="Y368" i="91"/>
  <c r="X368" i="91"/>
  <c r="W368" i="91"/>
  <c r="V368" i="91"/>
  <c r="U368" i="91"/>
  <c r="T368" i="91"/>
  <c r="S368" i="91"/>
  <c r="R368" i="91"/>
  <c r="Q368" i="91"/>
  <c r="P368" i="91"/>
  <c r="O368" i="91"/>
  <c r="N368" i="91"/>
  <c r="M368" i="91"/>
  <c r="L368" i="91"/>
  <c r="K368" i="91"/>
  <c r="J368" i="91"/>
  <c r="I368" i="91"/>
  <c r="H368" i="91"/>
  <c r="G368" i="91"/>
  <c r="F368" i="91"/>
  <c r="E368" i="91"/>
  <c r="D368" i="91"/>
  <c r="AB367" i="91"/>
  <c r="AA367" i="91"/>
  <c r="Z367" i="91"/>
  <c r="Y367" i="91"/>
  <c r="X367" i="91"/>
  <c r="W367" i="91"/>
  <c r="V367" i="91"/>
  <c r="U367" i="91"/>
  <c r="T367" i="91"/>
  <c r="S367" i="91"/>
  <c r="R367" i="91"/>
  <c r="Q367" i="91"/>
  <c r="P367" i="91"/>
  <c r="O367" i="91"/>
  <c r="N367" i="91"/>
  <c r="M367" i="91"/>
  <c r="L367" i="91"/>
  <c r="K367" i="91"/>
  <c r="J367" i="91"/>
  <c r="I367" i="91"/>
  <c r="H367" i="91"/>
  <c r="G367" i="91"/>
  <c r="F367" i="91"/>
  <c r="E367" i="91"/>
  <c r="D367" i="91"/>
  <c r="AB366" i="91"/>
  <c r="AA366" i="91"/>
  <c r="Z366" i="91"/>
  <c r="Y366" i="91"/>
  <c r="X366" i="91"/>
  <c r="W366" i="91"/>
  <c r="V366" i="91"/>
  <c r="U366" i="91"/>
  <c r="T366" i="91"/>
  <c r="S366" i="91"/>
  <c r="R366" i="91"/>
  <c r="Q366" i="91"/>
  <c r="P366" i="91"/>
  <c r="O366" i="91"/>
  <c r="N366" i="91"/>
  <c r="M366" i="91"/>
  <c r="L366" i="91"/>
  <c r="K366" i="91"/>
  <c r="J366" i="91"/>
  <c r="I366" i="91"/>
  <c r="H366" i="91"/>
  <c r="G366" i="91"/>
  <c r="F366" i="91"/>
  <c r="E366" i="91"/>
  <c r="D366" i="91"/>
  <c r="AB365" i="91"/>
  <c r="AA365" i="91"/>
  <c r="Z365" i="91"/>
  <c r="Y365" i="91"/>
  <c r="X365" i="91"/>
  <c r="W365" i="91"/>
  <c r="V365" i="91"/>
  <c r="U365" i="91"/>
  <c r="T365" i="91"/>
  <c r="S365" i="91"/>
  <c r="R365" i="91"/>
  <c r="Q365" i="91"/>
  <c r="P365" i="91"/>
  <c r="O365" i="91"/>
  <c r="N365" i="91"/>
  <c r="M365" i="91"/>
  <c r="L365" i="91"/>
  <c r="K365" i="91"/>
  <c r="J365" i="91"/>
  <c r="I365" i="91"/>
  <c r="H365" i="91"/>
  <c r="G365" i="91"/>
  <c r="F365" i="91"/>
  <c r="E365" i="91"/>
  <c r="D365" i="91"/>
  <c r="AB364" i="91"/>
  <c r="AA364" i="91"/>
  <c r="Z364" i="91"/>
  <c r="Y364" i="91"/>
  <c r="X364" i="91"/>
  <c r="W364" i="91"/>
  <c r="V364" i="91"/>
  <c r="U364" i="91"/>
  <c r="T364" i="91"/>
  <c r="S364" i="91"/>
  <c r="R364" i="91"/>
  <c r="Q364" i="91"/>
  <c r="P364" i="91"/>
  <c r="O364" i="91"/>
  <c r="N364" i="91"/>
  <c r="M364" i="91"/>
  <c r="L364" i="91"/>
  <c r="K364" i="91"/>
  <c r="J364" i="91"/>
  <c r="I364" i="91"/>
  <c r="H364" i="91"/>
  <c r="G364" i="91"/>
  <c r="F364" i="91"/>
  <c r="E364" i="91"/>
  <c r="D364" i="91"/>
  <c r="AB363" i="91"/>
  <c r="AA363" i="91"/>
  <c r="Z363" i="91"/>
  <c r="Y363" i="91"/>
  <c r="X363" i="91"/>
  <c r="W363" i="91"/>
  <c r="V363" i="91"/>
  <c r="U363" i="91"/>
  <c r="T363" i="91"/>
  <c r="S363" i="91"/>
  <c r="R363" i="91"/>
  <c r="Q363" i="91"/>
  <c r="P363" i="91"/>
  <c r="O363" i="91"/>
  <c r="N363" i="91"/>
  <c r="M363" i="91"/>
  <c r="L363" i="91"/>
  <c r="K363" i="91"/>
  <c r="J363" i="91"/>
  <c r="I363" i="91"/>
  <c r="H363" i="91"/>
  <c r="G363" i="91"/>
  <c r="F363" i="91"/>
  <c r="E363" i="91"/>
  <c r="D363" i="91"/>
  <c r="AB362" i="91"/>
  <c r="AA362" i="91"/>
  <c r="Z362" i="91"/>
  <c r="Y362" i="91"/>
  <c r="X362" i="91"/>
  <c r="W362" i="91"/>
  <c r="V362" i="91"/>
  <c r="U362" i="91"/>
  <c r="T362" i="91"/>
  <c r="S362" i="91"/>
  <c r="R362" i="91"/>
  <c r="Q362" i="91"/>
  <c r="P362" i="91"/>
  <c r="O362" i="91"/>
  <c r="N362" i="91"/>
  <c r="M362" i="91"/>
  <c r="L362" i="91"/>
  <c r="K362" i="91"/>
  <c r="J362" i="91"/>
  <c r="I362" i="91"/>
  <c r="H362" i="91"/>
  <c r="G362" i="91"/>
  <c r="F362" i="91"/>
  <c r="E362" i="91"/>
  <c r="D362" i="91"/>
  <c r="AB361" i="91"/>
  <c r="AA361" i="91"/>
  <c r="Z361" i="91"/>
  <c r="Y361" i="91"/>
  <c r="X361" i="91"/>
  <c r="W361" i="91"/>
  <c r="V361" i="91"/>
  <c r="U361" i="91"/>
  <c r="T361" i="91"/>
  <c r="S361" i="91"/>
  <c r="R361" i="91"/>
  <c r="Q361" i="91"/>
  <c r="P361" i="91"/>
  <c r="O361" i="91"/>
  <c r="N361" i="91"/>
  <c r="M361" i="91"/>
  <c r="L361" i="91"/>
  <c r="K361" i="91"/>
  <c r="J361" i="91"/>
  <c r="I361" i="91"/>
  <c r="H361" i="91"/>
  <c r="G361" i="91"/>
  <c r="F361" i="91"/>
  <c r="E361" i="91"/>
  <c r="D361" i="91"/>
  <c r="AB360" i="91"/>
  <c r="AA360" i="91"/>
  <c r="Z360" i="91"/>
  <c r="Y360" i="91"/>
  <c r="X360" i="91"/>
  <c r="W360" i="91"/>
  <c r="V360" i="91"/>
  <c r="U360" i="91"/>
  <c r="T360" i="91"/>
  <c r="S360" i="91"/>
  <c r="R360" i="91"/>
  <c r="Q360" i="91"/>
  <c r="P360" i="91"/>
  <c r="O360" i="91"/>
  <c r="N360" i="91"/>
  <c r="M360" i="91"/>
  <c r="L360" i="91"/>
  <c r="K360" i="91"/>
  <c r="J360" i="91"/>
  <c r="I360" i="91"/>
  <c r="H360" i="91"/>
  <c r="G360" i="91"/>
  <c r="F360" i="91"/>
  <c r="E360" i="91"/>
  <c r="D360" i="91"/>
  <c r="AB359" i="91"/>
  <c r="AA359" i="91"/>
  <c r="Z359" i="91"/>
  <c r="Y359" i="91"/>
  <c r="X359" i="91"/>
  <c r="W359" i="91"/>
  <c r="V359" i="91"/>
  <c r="U359" i="91"/>
  <c r="T359" i="91"/>
  <c r="S359" i="91"/>
  <c r="R359" i="91"/>
  <c r="Q359" i="91"/>
  <c r="P359" i="91"/>
  <c r="O359" i="91"/>
  <c r="N359" i="91"/>
  <c r="M359" i="91"/>
  <c r="L359" i="91"/>
  <c r="K359" i="91"/>
  <c r="J359" i="91"/>
  <c r="I359" i="91"/>
  <c r="H359" i="91"/>
  <c r="G359" i="91"/>
  <c r="F359" i="91"/>
  <c r="E359" i="91"/>
  <c r="D359" i="91"/>
  <c r="AB358" i="91"/>
  <c r="AA358" i="91"/>
  <c r="Z358" i="91"/>
  <c r="Y358" i="91"/>
  <c r="X358" i="91"/>
  <c r="W358" i="91"/>
  <c r="V358" i="91"/>
  <c r="U358" i="91"/>
  <c r="T358" i="91"/>
  <c r="S358" i="91"/>
  <c r="R358" i="91"/>
  <c r="Q358" i="91"/>
  <c r="P358" i="91"/>
  <c r="O358" i="91"/>
  <c r="N358" i="91"/>
  <c r="M358" i="91"/>
  <c r="L358" i="91"/>
  <c r="K358" i="91"/>
  <c r="J358" i="91"/>
  <c r="I358" i="91"/>
  <c r="H358" i="91"/>
  <c r="G358" i="91"/>
  <c r="F358" i="91"/>
  <c r="E358" i="91"/>
  <c r="D358" i="91"/>
  <c r="AB357" i="91"/>
  <c r="AA357" i="91"/>
  <c r="Z357" i="91"/>
  <c r="Y357" i="91"/>
  <c r="X357" i="91"/>
  <c r="W357" i="91"/>
  <c r="V357" i="91"/>
  <c r="U357" i="91"/>
  <c r="T357" i="91"/>
  <c r="S357" i="91"/>
  <c r="R357" i="91"/>
  <c r="Q357" i="91"/>
  <c r="P357" i="91"/>
  <c r="O357" i="91"/>
  <c r="N357" i="91"/>
  <c r="M357" i="91"/>
  <c r="L357" i="91"/>
  <c r="K357" i="91"/>
  <c r="J357" i="91"/>
  <c r="I357" i="91"/>
  <c r="H357" i="91"/>
  <c r="G357" i="91"/>
  <c r="F357" i="91"/>
  <c r="E357" i="91"/>
  <c r="D357" i="91"/>
  <c r="AB356" i="91"/>
  <c r="AA356" i="91"/>
  <c r="Z356" i="91"/>
  <c r="Y356" i="91"/>
  <c r="X356" i="91"/>
  <c r="W356" i="91"/>
  <c r="V356" i="91"/>
  <c r="U356" i="91"/>
  <c r="T356" i="91"/>
  <c r="S356" i="91"/>
  <c r="R356" i="91"/>
  <c r="Q356" i="91"/>
  <c r="P356" i="91"/>
  <c r="O356" i="91"/>
  <c r="N356" i="91"/>
  <c r="M356" i="91"/>
  <c r="L356" i="91"/>
  <c r="K356" i="91"/>
  <c r="J356" i="91"/>
  <c r="I356" i="91"/>
  <c r="H356" i="91"/>
  <c r="G356" i="91"/>
  <c r="F356" i="91"/>
  <c r="E356" i="91"/>
  <c r="D356" i="91"/>
  <c r="AB355" i="91"/>
  <c r="AA355" i="91"/>
  <c r="Z355" i="91"/>
  <c r="Y355" i="91"/>
  <c r="X355" i="91"/>
  <c r="W355" i="91"/>
  <c r="V355" i="91"/>
  <c r="U355" i="91"/>
  <c r="T355" i="91"/>
  <c r="S355" i="91"/>
  <c r="R355" i="91"/>
  <c r="Q355" i="91"/>
  <c r="P355" i="91"/>
  <c r="O355" i="91"/>
  <c r="N355" i="91"/>
  <c r="M355" i="91"/>
  <c r="L355" i="91"/>
  <c r="K355" i="91"/>
  <c r="J355" i="91"/>
  <c r="I355" i="91"/>
  <c r="H355" i="91"/>
  <c r="G355" i="91"/>
  <c r="F355" i="91"/>
  <c r="E355" i="91"/>
  <c r="D355" i="91"/>
  <c r="AB354" i="91"/>
  <c r="AA354" i="91"/>
  <c r="Z354" i="91"/>
  <c r="Y354" i="91"/>
  <c r="X354" i="91"/>
  <c r="W354" i="91"/>
  <c r="V354" i="91"/>
  <c r="U354" i="91"/>
  <c r="T354" i="91"/>
  <c r="S354" i="91"/>
  <c r="R354" i="91"/>
  <c r="Q354" i="91"/>
  <c r="P354" i="91"/>
  <c r="O354" i="91"/>
  <c r="N354" i="91"/>
  <c r="M354" i="91"/>
  <c r="L354" i="91"/>
  <c r="K354" i="91"/>
  <c r="J354" i="91"/>
  <c r="I354" i="91"/>
  <c r="H354" i="91"/>
  <c r="G354" i="91"/>
  <c r="F354" i="91"/>
  <c r="E354" i="91"/>
  <c r="D354" i="91"/>
  <c r="AB352" i="91"/>
  <c r="AA352" i="91"/>
  <c r="Z352" i="91"/>
  <c r="Y352" i="91"/>
  <c r="X352" i="91"/>
  <c r="W352" i="91"/>
  <c r="V352" i="91"/>
  <c r="U352" i="91"/>
  <c r="T352" i="91"/>
  <c r="S352" i="91"/>
  <c r="R352" i="91"/>
  <c r="Q352" i="91"/>
  <c r="P352" i="91"/>
  <c r="O352" i="91"/>
  <c r="N352" i="91"/>
  <c r="M352" i="91"/>
  <c r="L352" i="91"/>
  <c r="K352" i="91"/>
  <c r="J352" i="91"/>
  <c r="I352" i="91"/>
  <c r="H352" i="91"/>
  <c r="G352" i="91"/>
  <c r="F352" i="91"/>
  <c r="E352" i="91"/>
  <c r="D352" i="91"/>
  <c r="AB351" i="91"/>
  <c r="AA351" i="91"/>
  <c r="Z351" i="91"/>
  <c r="Y351" i="91"/>
  <c r="X351" i="91"/>
  <c r="W351" i="91"/>
  <c r="V351" i="91"/>
  <c r="U351" i="91"/>
  <c r="T351" i="91"/>
  <c r="S351" i="91"/>
  <c r="R351" i="91"/>
  <c r="Q351" i="91"/>
  <c r="P351" i="91"/>
  <c r="O351" i="91"/>
  <c r="N351" i="91"/>
  <c r="M351" i="91"/>
  <c r="L351" i="91"/>
  <c r="K351" i="91"/>
  <c r="J351" i="91"/>
  <c r="I351" i="91"/>
  <c r="H351" i="91"/>
  <c r="G351" i="91"/>
  <c r="F351" i="91"/>
  <c r="E351" i="91"/>
  <c r="D351" i="91"/>
  <c r="AB350" i="91"/>
  <c r="AA350" i="91"/>
  <c r="Z350" i="91"/>
  <c r="Y350" i="91"/>
  <c r="X350" i="91"/>
  <c r="W350" i="91"/>
  <c r="V350" i="91"/>
  <c r="U350" i="91"/>
  <c r="T350" i="91"/>
  <c r="S350" i="91"/>
  <c r="R350" i="91"/>
  <c r="Q350" i="91"/>
  <c r="P350" i="91"/>
  <c r="O350" i="91"/>
  <c r="N350" i="91"/>
  <c r="M350" i="91"/>
  <c r="L350" i="91"/>
  <c r="K350" i="91"/>
  <c r="J350" i="91"/>
  <c r="I350" i="91"/>
  <c r="H350" i="91"/>
  <c r="G350" i="91"/>
  <c r="F350" i="91"/>
  <c r="E350" i="91"/>
  <c r="D350" i="91"/>
  <c r="AB349" i="91"/>
  <c r="AA349" i="91"/>
  <c r="Z349" i="91"/>
  <c r="Y349" i="91"/>
  <c r="X349" i="91"/>
  <c r="W349" i="91"/>
  <c r="V349" i="91"/>
  <c r="U349" i="91"/>
  <c r="T349" i="91"/>
  <c r="S349" i="91"/>
  <c r="R349" i="91"/>
  <c r="Q349" i="91"/>
  <c r="P349" i="91"/>
  <c r="O349" i="91"/>
  <c r="N349" i="91"/>
  <c r="M349" i="91"/>
  <c r="L349" i="91"/>
  <c r="K349" i="91"/>
  <c r="J349" i="91"/>
  <c r="I349" i="91"/>
  <c r="H349" i="91"/>
  <c r="G349" i="91"/>
  <c r="F349" i="91"/>
  <c r="E349" i="91"/>
  <c r="D349" i="91"/>
  <c r="AB348" i="91"/>
  <c r="AA348" i="91"/>
  <c r="Z348" i="91"/>
  <c r="Y348" i="91"/>
  <c r="X348" i="91"/>
  <c r="W348" i="91"/>
  <c r="V348" i="91"/>
  <c r="U348" i="91"/>
  <c r="T348" i="91"/>
  <c r="S348" i="91"/>
  <c r="R348" i="91"/>
  <c r="Q348" i="91"/>
  <c r="P348" i="91"/>
  <c r="O348" i="91"/>
  <c r="N348" i="91"/>
  <c r="M348" i="91"/>
  <c r="L348" i="91"/>
  <c r="K348" i="91"/>
  <c r="J348" i="91"/>
  <c r="I348" i="91"/>
  <c r="H348" i="91"/>
  <c r="G348" i="91"/>
  <c r="F348" i="91"/>
  <c r="E348" i="91"/>
  <c r="D348" i="91"/>
  <c r="AB347" i="91"/>
  <c r="AA347" i="91"/>
  <c r="Z347" i="91"/>
  <c r="Y347" i="91"/>
  <c r="X347" i="91"/>
  <c r="W347" i="91"/>
  <c r="V347" i="91"/>
  <c r="U347" i="91"/>
  <c r="T347" i="91"/>
  <c r="S347" i="91"/>
  <c r="R347" i="91"/>
  <c r="Q347" i="91"/>
  <c r="P347" i="91"/>
  <c r="O347" i="91"/>
  <c r="N347" i="91"/>
  <c r="M347" i="91"/>
  <c r="L347" i="91"/>
  <c r="K347" i="91"/>
  <c r="J347" i="91"/>
  <c r="I347" i="91"/>
  <c r="H347" i="91"/>
  <c r="G347" i="91"/>
  <c r="F347" i="91"/>
  <c r="E347" i="91"/>
  <c r="D347" i="91"/>
  <c r="AB346" i="91"/>
  <c r="AA346" i="91"/>
  <c r="Z346" i="91"/>
  <c r="Y346" i="91"/>
  <c r="X346" i="91"/>
  <c r="W346" i="91"/>
  <c r="V346" i="91"/>
  <c r="U346" i="91"/>
  <c r="T346" i="91"/>
  <c r="S346" i="91"/>
  <c r="R346" i="91"/>
  <c r="Q346" i="91"/>
  <c r="P346" i="91"/>
  <c r="O346" i="91"/>
  <c r="N346" i="91"/>
  <c r="M346" i="91"/>
  <c r="L346" i="91"/>
  <c r="K346" i="91"/>
  <c r="J346" i="91"/>
  <c r="I346" i="91"/>
  <c r="H346" i="91"/>
  <c r="G346" i="91"/>
  <c r="F346" i="91"/>
  <c r="E346" i="91"/>
  <c r="D346" i="91"/>
  <c r="AB345" i="91"/>
  <c r="AA345" i="91"/>
  <c r="Z345" i="91"/>
  <c r="Y345" i="91"/>
  <c r="X345" i="91"/>
  <c r="W345" i="91"/>
  <c r="V345" i="91"/>
  <c r="U345" i="91"/>
  <c r="T345" i="91"/>
  <c r="S345" i="91"/>
  <c r="R345" i="91"/>
  <c r="Q345" i="91"/>
  <c r="P345" i="91"/>
  <c r="O345" i="91"/>
  <c r="N345" i="91"/>
  <c r="M345" i="91"/>
  <c r="L345" i="91"/>
  <c r="K345" i="91"/>
  <c r="J345" i="91"/>
  <c r="I345" i="91"/>
  <c r="H345" i="91"/>
  <c r="G345" i="91"/>
  <c r="F345" i="91"/>
  <c r="E345" i="91"/>
  <c r="D345" i="91"/>
  <c r="AB344" i="91"/>
  <c r="AA344" i="91"/>
  <c r="Z344" i="91"/>
  <c r="Y344" i="91"/>
  <c r="X344" i="91"/>
  <c r="W344" i="91"/>
  <c r="V344" i="91"/>
  <c r="U344" i="91"/>
  <c r="T344" i="91"/>
  <c r="S344" i="91"/>
  <c r="R344" i="91"/>
  <c r="Q344" i="91"/>
  <c r="P344" i="91"/>
  <c r="O344" i="91"/>
  <c r="N344" i="91"/>
  <c r="M344" i="91"/>
  <c r="L344" i="91"/>
  <c r="K344" i="91"/>
  <c r="J344" i="91"/>
  <c r="I344" i="91"/>
  <c r="H344" i="91"/>
  <c r="G344" i="91"/>
  <c r="F344" i="91"/>
  <c r="E344" i="91"/>
  <c r="D344" i="91"/>
  <c r="AB343" i="91"/>
  <c r="AA343" i="91"/>
  <c r="Z343" i="91"/>
  <c r="Y343" i="91"/>
  <c r="X343" i="91"/>
  <c r="W343" i="91"/>
  <c r="V343" i="91"/>
  <c r="U343" i="91"/>
  <c r="T343" i="91"/>
  <c r="S343" i="91"/>
  <c r="R343" i="91"/>
  <c r="Q343" i="91"/>
  <c r="P343" i="91"/>
  <c r="O343" i="91"/>
  <c r="N343" i="91"/>
  <c r="M343" i="91"/>
  <c r="L343" i="91"/>
  <c r="K343" i="91"/>
  <c r="J343" i="91"/>
  <c r="I343" i="91"/>
  <c r="H343" i="91"/>
  <c r="G343" i="91"/>
  <c r="F343" i="91"/>
  <c r="E343" i="91"/>
  <c r="D343" i="91"/>
  <c r="AB342" i="91"/>
  <c r="AA342" i="91"/>
  <c r="Z342" i="91"/>
  <c r="Y342" i="91"/>
  <c r="X342" i="91"/>
  <c r="W342" i="91"/>
  <c r="V342" i="91"/>
  <c r="U342" i="91"/>
  <c r="T342" i="91"/>
  <c r="S342" i="91"/>
  <c r="R342" i="91"/>
  <c r="Q342" i="91"/>
  <c r="P342" i="91"/>
  <c r="O342" i="91"/>
  <c r="N342" i="91"/>
  <c r="M342" i="91"/>
  <c r="L342" i="91"/>
  <c r="K342" i="91"/>
  <c r="J342" i="91"/>
  <c r="I342" i="91"/>
  <c r="H342" i="91"/>
  <c r="G342" i="91"/>
  <c r="F342" i="91"/>
  <c r="E342" i="91"/>
  <c r="D342" i="91"/>
  <c r="AB341" i="91"/>
  <c r="AA341" i="91"/>
  <c r="Z341" i="91"/>
  <c r="Y341" i="91"/>
  <c r="X341" i="91"/>
  <c r="W341" i="91"/>
  <c r="V341" i="91"/>
  <c r="U341" i="91"/>
  <c r="T341" i="91"/>
  <c r="S341" i="91"/>
  <c r="R341" i="91"/>
  <c r="Q341" i="91"/>
  <c r="P341" i="91"/>
  <c r="O341" i="91"/>
  <c r="N341" i="91"/>
  <c r="M341" i="91"/>
  <c r="L341" i="91"/>
  <c r="K341" i="91"/>
  <c r="J341" i="91"/>
  <c r="I341" i="91"/>
  <c r="H341" i="91"/>
  <c r="G341" i="91"/>
  <c r="F341" i="91"/>
  <c r="E341" i="91"/>
  <c r="D341" i="91"/>
  <c r="AB340" i="91"/>
  <c r="AA340" i="91"/>
  <c r="Z340" i="91"/>
  <c r="Y340" i="91"/>
  <c r="X340" i="91"/>
  <c r="W340" i="91"/>
  <c r="V340" i="91"/>
  <c r="U340" i="91"/>
  <c r="T340" i="91"/>
  <c r="S340" i="91"/>
  <c r="R340" i="91"/>
  <c r="Q340" i="91"/>
  <c r="P340" i="91"/>
  <c r="O340" i="91"/>
  <c r="N340" i="91"/>
  <c r="M340" i="91"/>
  <c r="L340" i="91"/>
  <c r="K340" i="91"/>
  <c r="J340" i="91"/>
  <c r="I340" i="91"/>
  <c r="H340" i="91"/>
  <c r="G340" i="91"/>
  <c r="F340" i="91"/>
  <c r="E340" i="91"/>
  <c r="D340" i="91"/>
  <c r="AB339" i="91"/>
  <c r="AA339" i="91"/>
  <c r="Z339" i="91"/>
  <c r="Y339" i="91"/>
  <c r="X339" i="91"/>
  <c r="W339" i="91"/>
  <c r="V339" i="91"/>
  <c r="U339" i="91"/>
  <c r="T339" i="91"/>
  <c r="S339" i="91"/>
  <c r="R339" i="91"/>
  <c r="Q339" i="91"/>
  <c r="P339" i="91"/>
  <c r="O339" i="91"/>
  <c r="N339" i="91"/>
  <c r="M339" i="91"/>
  <c r="L339" i="91"/>
  <c r="K339" i="91"/>
  <c r="J339" i="91"/>
  <c r="I339" i="91"/>
  <c r="H339" i="91"/>
  <c r="G339" i="91"/>
  <c r="F339" i="91"/>
  <c r="E339" i="91"/>
  <c r="D339" i="91"/>
  <c r="AB338" i="91"/>
  <c r="AA338" i="91"/>
  <c r="Z338" i="91"/>
  <c r="Y338" i="91"/>
  <c r="X338" i="91"/>
  <c r="W338" i="91"/>
  <c r="V338" i="91"/>
  <c r="U338" i="91"/>
  <c r="T338" i="91"/>
  <c r="S338" i="91"/>
  <c r="R338" i="91"/>
  <c r="Q338" i="91"/>
  <c r="P338" i="91"/>
  <c r="O338" i="91"/>
  <c r="N338" i="91"/>
  <c r="M338" i="91"/>
  <c r="L338" i="91"/>
  <c r="K338" i="91"/>
  <c r="J338" i="91"/>
  <c r="I338" i="91"/>
  <c r="H338" i="91"/>
  <c r="G338" i="91"/>
  <c r="F338" i="91"/>
  <c r="E338" i="91"/>
  <c r="D338" i="91"/>
  <c r="AB337" i="91"/>
  <c r="AA337" i="91"/>
  <c r="Z337" i="91"/>
  <c r="Y337" i="91"/>
  <c r="X337" i="91"/>
  <c r="W337" i="91"/>
  <c r="V337" i="91"/>
  <c r="U337" i="91"/>
  <c r="T337" i="91"/>
  <c r="S337" i="91"/>
  <c r="R337" i="91"/>
  <c r="Q337" i="91"/>
  <c r="P337" i="91"/>
  <c r="O337" i="91"/>
  <c r="N337" i="91"/>
  <c r="M337" i="91"/>
  <c r="L337" i="91"/>
  <c r="K337" i="91"/>
  <c r="J337" i="91"/>
  <c r="I337" i="91"/>
  <c r="H337" i="91"/>
  <c r="G337" i="91"/>
  <c r="F337" i="91"/>
  <c r="E337" i="91"/>
  <c r="D337" i="91"/>
  <c r="AB336" i="91"/>
  <c r="AA336" i="91"/>
  <c r="Z336" i="91"/>
  <c r="Y336" i="91"/>
  <c r="X336" i="91"/>
  <c r="W336" i="91"/>
  <c r="V336" i="91"/>
  <c r="U336" i="91"/>
  <c r="T336" i="91"/>
  <c r="S336" i="91"/>
  <c r="R336" i="91"/>
  <c r="Q336" i="91"/>
  <c r="P336" i="91"/>
  <c r="O336" i="91"/>
  <c r="N336" i="91"/>
  <c r="M336" i="91"/>
  <c r="L336" i="91"/>
  <c r="K336" i="91"/>
  <c r="J336" i="91"/>
  <c r="I336" i="91"/>
  <c r="H336" i="91"/>
  <c r="G336" i="91"/>
  <c r="F336" i="91"/>
  <c r="E336" i="91"/>
  <c r="D336" i="91"/>
  <c r="AB335" i="91"/>
  <c r="AA335" i="91"/>
  <c r="Z335" i="91"/>
  <c r="Y335" i="91"/>
  <c r="X335" i="91"/>
  <c r="W335" i="91"/>
  <c r="V335" i="91"/>
  <c r="U335" i="91"/>
  <c r="T335" i="91"/>
  <c r="S335" i="91"/>
  <c r="R335" i="91"/>
  <c r="Q335" i="91"/>
  <c r="P335" i="91"/>
  <c r="O335" i="91"/>
  <c r="N335" i="91"/>
  <c r="M335" i="91"/>
  <c r="L335" i="91"/>
  <c r="K335" i="91"/>
  <c r="J335" i="91"/>
  <c r="I335" i="91"/>
  <c r="H335" i="91"/>
  <c r="G335" i="91"/>
  <c r="F335" i="91"/>
  <c r="E335" i="91"/>
  <c r="D335" i="91"/>
  <c r="AB334" i="91"/>
  <c r="AA334" i="91"/>
  <c r="Z334" i="91"/>
  <c r="Y334" i="91"/>
  <c r="X334" i="91"/>
  <c r="W334" i="91"/>
  <c r="V334" i="91"/>
  <c r="U334" i="91"/>
  <c r="T334" i="91"/>
  <c r="S334" i="91"/>
  <c r="R334" i="91"/>
  <c r="Q334" i="91"/>
  <c r="P334" i="91"/>
  <c r="O334" i="91"/>
  <c r="N334" i="91"/>
  <c r="M334" i="91"/>
  <c r="L334" i="91"/>
  <c r="K334" i="91"/>
  <c r="J334" i="91"/>
  <c r="I334" i="91"/>
  <c r="H334" i="91"/>
  <c r="G334" i="91"/>
  <c r="F334" i="91"/>
  <c r="E334" i="91"/>
  <c r="D334" i="91"/>
  <c r="AB333" i="91"/>
  <c r="AA333" i="91"/>
  <c r="Z333" i="91"/>
  <c r="Y333" i="91"/>
  <c r="X333" i="91"/>
  <c r="W333" i="91"/>
  <c r="V333" i="91"/>
  <c r="U333" i="91"/>
  <c r="T333" i="91"/>
  <c r="S333" i="91"/>
  <c r="R333" i="91"/>
  <c r="Q333" i="91"/>
  <c r="P333" i="91"/>
  <c r="O333" i="91"/>
  <c r="N333" i="91"/>
  <c r="M333" i="91"/>
  <c r="L333" i="91"/>
  <c r="K333" i="91"/>
  <c r="J333" i="91"/>
  <c r="I333" i="91"/>
  <c r="H333" i="91"/>
  <c r="G333" i="91"/>
  <c r="F333" i="91"/>
  <c r="E333" i="91"/>
  <c r="D333" i="91"/>
  <c r="AB332" i="91"/>
  <c r="AA332" i="91"/>
  <c r="Z332" i="91"/>
  <c r="Y332" i="91"/>
  <c r="X332" i="91"/>
  <c r="W332" i="91"/>
  <c r="V332" i="91"/>
  <c r="U332" i="91"/>
  <c r="T332" i="91"/>
  <c r="S332" i="91"/>
  <c r="R332" i="91"/>
  <c r="Q332" i="91"/>
  <c r="P332" i="91"/>
  <c r="O332" i="91"/>
  <c r="N332" i="91"/>
  <c r="M332" i="91"/>
  <c r="L332" i="91"/>
  <c r="K332" i="91"/>
  <c r="J332" i="91"/>
  <c r="I332" i="91"/>
  <c r="H332" i="91"/>
  <c r="G332" i="91"/>
  <c r="F332" i="91"/>
  <c r="E332" i="91"/>
  <c r="D332" i="91"/>
  <c r="AB331" i="91"/>
  <c r="AA331" i="91"/>
  <c r="Z331" i="91"/>
  <c r="Y331" i="91"/>
  <c r="X331" i="91"/>
  <c r="W331" i="91"/>
  <c r="V331" i="91"/>
  <c r="U331" i="91"/>
  <c r="T331" i="91"/>
  <c r="S331" i="91"/>
  <c r="R331" i="91"/>
  <c r="Q331" i="91"/>
  <c r="P331" i="91"/>
  <c r="O331" i="91"/>
  <c r="N331" i="91"/>
  <c r="M331" i="91"/>
  <c r="L331" i="91"/>
  <c r="K331" i="91"/>
  <c r="J331" i="91"/>
  <c r="I331" i="91"/>
  <c r="H331" i="91"/>
  <c r="G331" i="91"/>
  <c r="F331" i="91"/>
  <c r="E331" i="91"/>
  <c r="D331" i="91"/>
  <c r="AB330" i="91"/>
  <c r="AA330" i="91"/>
  <c r="Z330" i="91"/>
  <c r="Y330" i="91"/>
  <c r="X330" i="91"/>
  <c r="W330" i="91"/>
  <c r="V330" i="91"/>
  <c r="U330" i="91"/>
  <c r="T330" i="91"/>
  <c r="S330" i="91"/>
  <c r="R330" i="91"/>
  <c r="Q330" i="91"/>
  <c r="P330" i="91"/>
  <c r="O330" i="91"/>
  <c r="N330" i="91"/>
  <c r="M330" i="91"/>
  <c r="L330" i="91"/>
  <c r="K330" i="91"/>
  <c r="J330" i="91"/>
  <c r="I330" i="91"/>
  <c r="H330" i="91"/>
  <c r="G330" i="91"/>
  <c r="F330" i="91"/>
  <c r="E330" i="91"/>
  <c r="D330" i="91"/>
  <c r="AB329" i="91"/>
  <c r="AA329" i="91"/>
  <c r="Z329" i="91"/>
  <c r="Y329" i="91"/>
  <c r="X329" i="91"/>
  <c r="W329" i="91"/>
  <c r="V329" i="91"/>
  <c r="U329" i="91"/>
  <c r="T329" i="91"/>
  <c r="S329" i="91"/>
  <c r="R329" i="91"/>
  <c r="Q329" i="91"/>
  <c r="P329" i="91"/>
  <c r="O329" i="91"/>
  <c r="N329" i="91"/>
  <c r="M329" i="91"/>
  <c r="L329" i="91"/>
  <c r="K329" i="91"/>
  <c r="J329" i="91"/>
  <c r="I329" i="91"/>
  <c r="H329" i="91"/>
  <c r="G329" i="91"/>
  <c r="F329" i="91"/>
  <c r="E329" i="91"/>
  <c r="D329" i="91"/>
  <c r="AB328" i="91"/>
  <c r="AA328" i="91"/>
  <c r="Z328" i="91"/>
  <c r="Y328" i="91"/>
  <c r="X328" i="91"/>
  <c r="W328" i="91"/>
  <c r="V328" i="91"/>
  <c r="U328" i="91"/>
  <c r="T328" i="91"/>
  <c r="S328" i="91"/>
  <c r="R328" i="91"/>
  <c r="Q328" i="91"/>
  <c r="P328" i="91"/>
  <c r="O328" i="91"/>
  <c r="N328" i="91"/>
  <c r="M328" i="91"/>
  <c r="L328" i="91"/>
  <c r="K328" i="91"/>
  <c r="J328" i="91"/>
  <c r="I328" i="91"/>
  <c r="H328" i="91"/>
  <c r="G328" i="91"/>
  <c r="F328" i="91"/>
  <c r="E328" i="91"/>
  <c r="D328" i="91"/>
  <c r="AB327" i="91"/>
  <c r="AA327" i="91"/>
  <c r="Z327" i="91"/>
  <c r="Y327" i="91"/>
  <c r="X327" i="91"/>
  <c r="W327" i="91"/>
  <c r="V327" i="91"/>
  <c r="U327" i="91"/>
  <c r="T327" i="91"/>
  <c r="S327" i="91"/>
  <c r="R327" i="91"/>
  <c r="Q327" i="91"/>
  <c r="P327" i="91"/>
  <c r="O327" i="91"/>
  <c r="N327" i="91"/>
  <c r="M327" i="91"/>
  <c r="L327" i="91"/>
  <c r="K327" i="91"/>
  <c r="J327" i="91"/>
  <c r="I327" i="91"/>
  <c r="H327" i="91"/>
  <c r="G327" i="91"/>
  <c r="F327" i="91"/>
  <c r="E327" i="91"/>
  <c r="D327" i="91"/>
  <c r="AB326" i="91"/>
  <c r="AA326" i="91"/>
  <c r="Z326" i="91"/>
  <c r="Y326" i="91"/>
  <c r="X326" i="91"/>
  <c r="W326" i="91"/>
  <c r="V326" i="91"/>
  <c r="U326" i="91"/>
  <c r="T326" i="91"/>
  <c r="S326" i="91"/>
  <c r="R326" i="91"/>
  <c r="Q326" i="91"/>
  <c r="P326" i="91"/>
  <c r="O326" i="91"/>
  <c r="N326" i="91"/>
  <c r="M326" i="91"/>
  <c r="L326" i="91"/>
  <c r="K326" i="91"/>
  <c r="J326" i="91"/>
  <c r="I326" i="91"/>
  <c r="H326" i="91"/>
  <c r="G326" i="91"/>
  <c r="F326" i="91"/>
  <c r="E326" i="91"/>
  <c r="D326" i="91"/>
  <c r="AB325" i="91"/>
  <c r="AA325" i="91"/>
  <c r="Z325" i="91"/>
  <c r="Y325" i="91"/>
  <c r="X325" i="91"/>
  <c r="W325" i="91"/>
  <c r="V325" i="91"/>
  <c r="U325" i="91"/>
  <c r="T325" i="91"/>
  <c r="S325" i="91"/>
  <c r="R325" i="91"/>
  <c r="Q325" i="91"/>
  <c r="P325" i="91"/>
  <c r="O325" i="91"/>
  <c r="N325" i="91"/>
  <c r="M325" i="91"/>
  <c r="L325" i="91"/>
  <c r="K325" i="91"/>
  <c r="J325" i="91"/>
  <c r="I325" i="91"/>
  <c r="H325" i="91"/>
  <c r="G325" i="91"/>
  <c r="F325" i="91"/>
  <c r="E325" i="91"/>
  <c r="D325" i="91"/>
  <c r="AB324" i="91"/>
  <c r="AA324" i="91"/>
  <c r="Z324" i="91"/>
  <c r="Y324" i="91"/>
  <c r="X324" i="91"/>
  <c r="W324" i="91"/>
  <c r="V324" i="91"/>
  <c r="U324" i="91"/>
  <c r="T324" i="91"/>
  <c r="S324" i="91"/>
  <c r="R324" i="91"/>
  <c r="Q324" i="91"/>
  <c r="P324" i="91"/>
  <c r="O324" i="91"/>
  <c r="N324" i="91"/>
  <c r="M324" i="91"/>
  <c r="L324" i="91"/>
  <c r="K324" i="91"/>
  <c r="J324" i="91"/>
  <c r="I324" i="91"/>
  <c r="H324" i="91"/>
  <c r="G324" i="91"/>
  <c r="F324" i="91"/>
  <c r="E324" i="91"/>
  <c r="D324" i="91"/>
  <c r="AB323" i="91"/>
  <c r="AA323" i="91"/>
  <c r="Z323" i="91"/>
  <c r="Y323" i="91"/>
  <c r="X323" i="91"/>
  <c r="W323" i="91"/>
  <c r="V323" i="91"/>
  <c r="U323" i="91"/>
  <c r="T323" i="91"/>
  <c r="S323" i="91"/>
  <c r="R323" i="91"/>
  <c r="Q323" i="91"/>
  <c r="P323" i="91"/>
  <c r="O323" i="91"/>
  <c r="N323" i="91"/>
  <c r="M323" i="91"/>
  <c r="L323" i="91"/>
  <c r="K323" i="91"/>
  <c r="J323" i="91"/>
  <c r="I323" i="91"/>
  <c r="H323" i="91"/>
  <c r="G323" i="91"/>
  <c r="F323" i="91"/>
  <c r="E323" i="91"/>
  <c r="D323" i="91"/>
  <c r="AB322" i="91"/>
  <c r="AA322" i="91"/>
  <c r="Z322" i="91"/>
  <c r="Y322" i="91"/>
  <c r="X322" i="91"/>
  <c r="W322" i="91"/>
  <c r="V322" i="91"/>
  <c r="U322" i="91"/>
  <c r="T322" i="91"/>
  <c r="S322" i="91"/>
  <c r="R322" i="91"/>
  <c r="Q322" i="91"/>
  <c r="P322" i="91"/>
  <c r="O322" i="91"/>
  <c r="N322" i="91"/>
  <c r="M322" i="91"/>
  <c r="L322" i="91"/>
  <c r="K322" i="91"/>
  <c r="J322" i="91"/>
  <c r="I322" i="91"/>
  <c r="H322" i="91"/>
  <c r="G322" i="91"/>
  <c r="F322" i="91"/>
  <c r="E322" i="91"/>
  <c r="D322" i="91"/>
  <c r="AB321" i="91"/>
  <c r="AA321" i="91"/>
  <c r="Z321" i="91"/>
  <c r="Y321" i="91"/>
  <c r="X321" i="91"/>
  <c r="W321" i="91"/>
  <c r="V321" i="91"/>
  <c r="U321" i="91"/>
  <c r="T321" i="91"/>
  <c r="S321" i="91"/>
  <c r="R321" i="91"/>
  <c r="Q321" i="91"/>
  <c r="P321" i="91"/>
  <c r="O321" i="91"/>
  <c r="N321" i="91"/>
  <c r="M321" i="91"/>
  <c r="L321" i="91"/>
  <c r="K321" i="91"/>
  <c r="J321" i="91"/>
  <c r="I321" i="91"/>
  <c r="H321" i="91"/>
  <c r="G321" i="91"/>
  <c r="F321" i="91"/>
  <c r="E321" i="91"/>
  <c r="D321" i="91"/>
  <c r="AB320" i="91"/>
  <c r="AA320" i="91"/>
  <c r="Z320" i="91"/>
  <c r="Y320" i="91"/>
  <c r="X320" i="91"/>
  <c r="W320" i="91"/>
  <c r="V320" i="91"/>
  <c r="U320" i="91"/>
  <c r="T320" i="91"/>
  <c r="S320" i="91"/>
  <c r="R320" i="91"/>
  <c r="Q320" i="91"/>
  <c r="P320" i="91"/>
  <c r="O320" i="91"/>
  <c r="N320" i="91"/>
  <c r="M320" i="91"/>
  <c r="L320" i="91"/>
  <c r="K320" i="91"/>
  <c r="J320" i="91"/>
  <c r="I320" i="91"/>
  <c r="H320" i="91"/>
  <c r="G320" i="91"/>
  <c r="F320" i="91"/>
  <c r="E320" i="91"/>
  <c r="D320" i="91"/>
  <c r="AB319" i="91"/>
  <c r="AA319" i="91"/>
  <c r="Z319" i="91"/>
  <c r="Y319" i="91"/>
  <c r="X319" i="91"/>
  <c r="W319" i="91"/>
  <c r="V319" i="91"/>
  <c r="U319" i="91"/>
  <c r="T319" i="91"/>
  <c r="S319" i="91"/>
  <c r="R319" i="91"/>
  <c r="Q319" i="91"/>
  <c r="P319" i="91"/>
  <c r="O319" i="91"/>
  <c r="N319" i="91"/>
  <c r="M319" i="91"/>
  <c r="L319" i="91"/>
  <c r="K319" i="91"/>
  <c r="J319" i="91"/>
  <c r="I319" i="91"/>
  <c r="H319" i="91"/>
  <c r="G319" i="91"/>
  <c r="F319" i="91"/>
  <c r="E319" i="91"/>
  <c r="D319" i="91"/>
  <c r="AB318" i="91"/>
  <c r="AA318" i="91"/>
  <c r="Z318" i="91"/>
  <c r="Y318" i="91"/>
  <c r="X318" i="91"/>
  <c r="W318" i="91"/>
  <c r="V318" i="91"/>
  <c r="U318" i="91"/>
  <c r="T318" i="91"/>
  <c r="S318" i="91"/>
  <c r="R318" i="91"/>
  <c r="Q318" i="91"/>
  <c r="P318" i="91"/>
  <c r="O318" i="91"/>
  <c r="N318" i="91"/>
  <c r="M318" i="91"/>
  <c r="L318" i="91"/>
  <c r="K318" i="91"/>
  <c r="J318" i="91"/>
  <c r="I318" i="91"/>
  <c r="H318" i="91"/>
  <c r="G318" i="91"/>
  <c r="F318" i="91"/>
  <c r="E318" i="91"/>
  <c r="D318" i="91"/>
  <c r="AB317" i="91"/>
  <c r="AA317" i="91"/>
  <c r="Z317" i="91"/>
  <c r="Y317" i="91"/>
  <c r="X317" i="91"/>
  <c r="W317" i="91"/>
  <c r="V317" i="91"/>
  <c r="U317" i="91"/>
  <c r="T317" i="91"/>
  <c r="S317" i="91"/>
  <c r="R317" i="91"/>
  <c r="Q317" i="91"/>
  <c r="P317" i="91"/>
  <c r="O317" i="91"/>
  <c r="N317" i="91"/>
  <c r="M317" i="91"/>
  <c r="L317" i="91"/>
  <c r="K317" i="91"/>
  <c r="J317" i="91"/>
  <c r="I317" i="91"/>
  <c r="H317" i="91"/>
  <c r="G317" i="91"/>
  <c r="F317" i="91"/>
  <c r="E317" i="91"/>
  <c r="D317" i="91"/>
  <c r="AB316" i="91"/>
  <c r="AA316" i="91"/>
  <c r="Z316" i="91"/>
  <c r="Y316" i="91"/>
  <c r="X316" i="91"/>
  <c r="W316" i="91"/>
  <c r="V316" i="91"/>
  <c r="U316" i="91"/>
  <c r="T316" i="91"/>
  <c r="S316" i="91"/>
  <c r="R316" i="91"/>
  <c r="Q316" i="91"/>
  <c r="P316" i="91"/>
  <c r="O316" i="91"/>
  <c r="N316" i="91"/>
  <c r="M316" i="91"/>
  <c r="L316" i="91"/>
  <c r="K316" i="91"/>
  <c r="J316" i="91"/>
  <c r="I316" i="91"/>
  <c r="H316" i="91"/>
  <c r="G316" i="91"/>
  <c r="F316" i="91"/>
  <c r="E316" i="91"/>
  <c r="D316" i="91"/>
  <c r="AB315" i="91"/>
  <c r="AA315" i="91"/>
  <c r="Z315" i="91"/>
  <c r="Y315" i="91"/>
  <c r="X315" i="91"/>
  <c r="W315" i="91"/>
  <c r="V315" i="91"/>
  <c r="U315" i="91"/>
  <c r="T315" i="91"/>
  <c r="S315" i="91"/>
  <c r="R315" i="91"/>
  <c r="Q315" i="91"/>
  <c r="P315" i="91"/>
  <c r="O315" i="91"/>
  <c r="N315" i="91"/>
  <c r="M315" i="91"/>
  <c r="L315" i="91"/>
  <c r="K315" i="91"/>
  <c r="J315" i="91"/>
  <c r="I315" i="91"/>
  <c r="H315" i="91"/>
  <c r="G315" i="91"/>
  <c r="F315" i="91"/>
  <c r="E315" i="91"/>
  <c r="D315" i="91"/>
  <c r="AB314" i="91"/>
  <c r="AA314" i="91"/>
  <c r="Z314" i="91"/>
  <c r="Y314" i="91"/>
  <c r="X314" i="91"/>
  <c r="W314" i="91"/>
  <c r="V314" i="91"/>
  <c r="U314" i="91"/>
  <c r="T314" i="91"/>
  <c r="S314" i="91"/>
  <c r="R314" i="91"/>
  <c r="Q314" i="91"/>
  <c r="P314" i="91"/>
  <c r="O314" i="91"/>
  <c r="N314" i="91"/>
  <c r="M314" i="91"/>
  <c r="L314" i="91"/>
  <c r="K314" i="91"/>
  <c r="J314" i="91"/>
  <c r="I314" i="91"/>
  <c r="H314" i="91"/>
  <c r="G314" i="91"/>
  <c r="F314" i="91"/>
  <c r="E314" i="91"/>
  <c r="D314" i="91"/>
  <c r="AB313" i="91"/>
  <c r="AA313" i="91"/>
  <c r="Z313" i="91"/>
  <c r="Y313" i="91"/>
  <c r="X313" i="91"/>
  <c r="W313" i="91"/>
  <c r="V313" i="91"/>
  <c r="U313" i="91"/>
  <c r="T313" i="91"/>
  <c r="S313" i="91"/>
  <c r="R313" i="91"/>
  <c r="Q313" i="91"/>
  <c r="P313" i="91"/>
  <c r="O313" i="91"/>
  <c r="N313" i="91"/>
  <c r="M313" i="91"/>
  <c r="L313" i="91"/>
  <c r="K313" i="91"/>
  <c r="J313" i="91"/>
  <c r="I313" i="91"/>
  <c r="H313" i="91"/>
  <c r="G313" i="91"/>
  <c r="F313" i="91"/>
  <c r="E313" i="91"/>
  <c r="D313" i="91"/>
  <c r="AB312" i="91"/>
  <c r="AA312" i="91"/>
  <c r="Z312" i="91"/>
  <c r="Y312" i="91"/>
  <c r="X312" i="91"/>
  <c r="W312" i="91"/>
  <c r="V312" i="91"/>
  <c r="U312" i="91"/>
  <c r="T312" i="91"/>
  <c r="S312" i="91"/>
  <c r="R312" i="91"/>
  <c r="Q312" i="91"/>
  <c r="P312" i="91"/>
  <c r="O312" i="91"/>
  <c r="N312" i="91"/>
  <c r="M312" i="91"/>
  <c r="L312" i="91"/>
  <c r="K312" i="91"/>
  <c r="J312" i="91"/>
  <c r="I312" i="91"/>
  <c r="H312" i="91"/>
  <c r="G312" i="91"/>
  <c r="F312" i="91"/>
  <c r="E312" i="91"/>
  <c r="D312" i="91"/>
  <c r="AB311" i="91"/>
  <c r="AA311" i="91"/>
  <c r="Z311" i="91"/>
  <c r="Y311" i="91"/>
  <c r="X311" i="91"/>
  <c r="W311" i="91"/>
  <c r="V311" i="91"/>
  <c r="U311" i="91"/>
  <c r="T311" i="91"/>
  <c r="S311" i="91"/>
  <c r="R311" i="91"/>
  <c r="Q311" i="91"/>
  <c r="P311" i="91"/>
  <c r="O311" i="91"/>
  <c r="N311" i="91"/>
  <c r="M311" i="91"/>
  <c r="L311" i="91"/>
  <c r="K311" i="91"/>
  <c r="J311" i="91"/>
  <c r="I311" i="91"/>
  <c r="H311" i="91"/>
  <c r="G311" i="91"/>
  <c r="F311" i="91"/>
  <c r="E311" i="91"/>
  <c r="D311" i="91"/>
  <c r="AB310" i="91"/>
  <c r="AA310" i="91"/>
  <c r="Z310" i="91"/>
  <c r="Y310" i="91"/>
  <c r="X310" i="91"/>
  <c r="W310" i="91"/>
  <c r="V310" i="91"/>
  <c r="U310" i="91"/>
  <c r="T310" i="91"/>
  <c r="S310" i="91"/>
  <c r="R310" i="91"/>
  <c r="Q310" i="91"/>
  <c r="P310" i="91"/>
  <c r="O310" i="91"/>
  <c r="N310" i="91"/>
  <c r="M310" i="91"/>
  <c r="L310" i="91"/>
  <c r="K310" i="91"/>
  <c r="J310" i="91"/>
  <c r="I310" i="91"/>
  <c r="H310" i="91"/>
  <c r="G310" i="91"/>
  <c r="F310" i="91"/>
  <c r="E310" i="91"/>
  <c r="D310" i="91"/>
  <c r="AB309" i="91"/>
  <c r="AA309" i="91"/>
  <c r="Z309" i="91"/>
  <c r="Y309" i="91"/>
  <c r="X309" i="91"/>
  <c r="W309" i="91"/>
  <c r="V309" i="91"/>
  <c r="U309" i="91"/>
  <c r="T309" i="91"/>
  <c r="S309" i="91"/>
  <c r="R309" i="91"/>
  <c r="Q309" i="91"/>
  <c r="P309" i="91"/>
  <c r="O309" i="91"/>
  <c r="N309" i="91"/>
  <c r="M309" i="91"/>
  <c r="L309" i="91"/>
  <c r="K309" i="91"/>
  <c r="J309" i="91"/>
  <c r="I309" i="91"/>
  <c r="H309" i="91"/>
  <c r="G309" i="91"/>
  <c r="F309" i="91"/>
  <c r="E309" i="91"/>
  <c r="D309" i="91"/>
  <c r="AB308" i="91"/>
  <c r="AA308" i="91"/>
  <c r="Z308" i="91"/>
  <c r="Y308" i="91"/>
  <c r="X308" i="91"/>
  <c r="W308" i="91"/>
  <c r="V308" i="91"/>
  <c r="U308" i="91"/>
  <c r="T308" i="91"/>
  <c r="S308" i="91"/>
  <c r="R308" i="91"/>
  <c r="Q308" i="91"/>
  <c r="P308" i="91"/>
  <c r="O308" i="91"/>
  <c r="N308" i="91"/>
  <c r="M308" i="91"/>
  <c r="L308" i="91"/>
  <c r="K308" i="91"/>
  <c r="J308" i="91"/>
  <c r="I308" i="91"/>
  <c r="H308" i="91"/>
  <c r="G308" i="91"/>
  <c r="F308" i="91"/>
  <c r="E308" i="91"/>
  <c r="D308" i="91"/>
  <c r="AB307" i="91"/>
  <c r="AA307" i="91"/>
  <c r="Z307" i="91"/>
  <c r="Y307" i="91"/>
  <c r="X307" i="91"/>
  <c r="W307" i="91"/>
  <c r="V307" i="91"/>
  <c r="U307" i="91"/>
  <c r="T307" i="91"/>
  <c r="S307" i="91"/>
  <c r="R307" i="91"/>
  <c r="Q307" i="91"/>
  <c r="P307" i="91"/>
  <c r="O307" i="91"/>
  <c r="N307" i="91"/>
  <c r="M307" i="91"/>
  <c r="L307" i="91"/>
  <c r="K307" i="91"/>
  <c r="J307" i="91"/>
  <c r="I307" i="91"/>
  <c r="H307" i="91"/>
  <c r="G307" i="91"/>
  <c r="F307" i="91"/>
  <c r="E307" i="91"/>
  <c r="D307" i="91"/>
  <c r="AB306" i="91"/>
  <c r="AA306" i="91"/>
  <c r="Z306" i="91"/>
  <c r="Y306" i="91"/>
  <c r="X306" i="91"/>
  <c r="W306" i="91"/>
  <c r="V306" i="91"/>
  <c r="U306" i="91"/>
  <c r="T306" i="91"/>
  <c r="S306" i="91"/>
  <c r="R306" i="91"/>
  <c r="Q306" i="91"/>
  <c r="P306" i="91"/>
  <c r="O306" i="91"/>
  <c r="N306" i="91"/>
  <c r="M306" i="91"/>
  <c r="L306" i="91"/>
  <c r="K306" i="91"/>
  <c r="J306" i="91"/>
  <c r="I306" i="91"/>
  <c r="H306" i="91"/>
  <c r="G306" i="91"/>
  <c r="F306" i="91"/>
  <c r="E306" i="91"/>
  <c r="D306" i="91"/>
  <c r="AB305" i="91"/>
  <c r="AA305" i="91"/>
  <c r="Z305" i="91"/>
  <c r="Y305" i="91"/>
  <c r="X305" i="91"/>
  <c r="W305" i="91"/>
  <c r="V305" i="91"/>
  <c r="U305" i="91"/>
  <c r="T305" i="91"/>
  <c r="S305" i="91"/>
  <c r="R305" i="91"/>
  <c r="Q305" i="91"/>
  <c r="P305" i="91"/>
  <c r="O305" i="91"/>
  <c r="N305" i="91"/>
  <c r="M305" i="91"/>
  <c r="L305" i="91"/>
  <c r="K305" i="91"/>
  <c r="J305" i="91"/>
  <c r="I305" i="91"/>
  <c r="H305" i="91"/>
  <c r="G305" i="91"/>
  <c r="F305" i="91"/>
  <c r="E305" i="91"/>
  <c r="D305" i="91"/>
  <c r="AB303" i="91"/>
  <c r="AA303" i="91"/>
  <c r="Z303" i="91"/>
  <c r="Y303" i="91"/>
  <c r="X303" i="91"/>
  <c r="W303" i="91"/>
  <c r="V303" i="91"/>
  <c r="U303" i="91"/>
  <c r="T303" i="91"/>
  <c r="S303" i="91"/>
  <c r="R303" i="91"/>
  <c r="Q303" i="91"/>
  <c r="P303" i="91"/>
  <c r="O303" i="91"/>
  <c r="N303" i="91"/>
  <c r="M303" i="91"/>
  <c r="L303" i="91"/>
  <c r="K303" i="91"/>
  <c r="J303" i="91"/>
  <c r="I303" i="91"/>
  <c r="H303" i="91"/>
  <c r="G303" i="91"/>
  <c r="F303" i="91"/>
  <c r="E303" i="91"/>
  <c r="D303" i="91"/>
  <c r="AB302" i="91"/>
  <c r="AA302" i="91"/>
  <c r="Z302" i="91"/>
  <c r="Y302" i="91"/>
  <c r="X302" i="91"/>
  <c r="W302" i="91"/>
  <c r="V302" i="91"/>
  <c r="U302" i="91"/>
  <c r="T302" i="91"/>
  <c r="S302" i="91"/>
  <c r="R302" i="91"/>
  <c r="Q302" i="91"/>
  <c r="P302" i="91"/>
  <c r="O302" i="91"/>
  <c r="N302" i="91"/>
  <c r="M302" i="91"/>
  <c r="L302" i="91"/>
  <c r="K302" i="91"/>
  <c r="J302" i="91"/>
  <c r="I302" i="91"/>
  <c r="H302" i="91"/>
  <c r="G302" i="91"/>
  <c r="F302" i="91"/>
  <c r="E302" i="91"/>
  <c r="D302" i="91"/>
  <c r="AB301" i="91"/>
  <c r="AA301" i="91"/>
  <c r="Z301" i="91"/>
  <c r="Y301" i="91"/>
  <c r="X301" i="91"/>
  <c r="W301" i="91"/>
  <c r="V301" i="91"/>
  <c r="U301" i="91"/>
  <c r="T301" i="91"/>
  <c r="S301" i="91"/>
  <c r="R301" i="91"/>
  <c r="Q301" i="91"/>
  <c r="P301" i="91"/>
  <c r="O301" i="91"/>
  <c r="N301" i="91"/>
  <c r="M301" i="91"/>
  <c r="L301" i="91"/>
  <c r="K301" i="91"/>
  <c r="J301" i="91"/>
  <c r="I301" i="91"/>
  <c r="H301" i="91"/>
  <c r="G301" i="91"/>
  <c r="F301" i="91"/>
  <c r="E301" i="91"/>
  <c r="D301" i="91"/>
  <c r="AB300" i="91"/>
  <c r="AA300" i="91"/>
  <c r="Z300" i="91"/>
  <c r="Y300" i="91"/>
  <c r="X300" i="91"/>
  <c r="W300" i="91"/>
  <c r="V300" i="91"/>
  <c r="U300" i="91"/>
  <c r="T300" i="91"/>
  <c r="S300" i="91"/>
  <c r="R300" i="91"/>
  <c r="Q300" i="91"/>
  <c r="P300" i="91"/>
  <c r="O300" i="91"/>
  <c r="N300" i="91"/>
  <c r="M300" i="91"/>
  <c r="L300" i="91"/>
  <c r="K300" i="91"/>
  <c r="J300" i="91"/>
  <c r="I300" i="91"/>
  <c r="H300" i="91"/>
  <c r="G300" i="91"/>
  <c r="F300" i="91"/>
  <c r="E300" i="91"/>
  <c r="D300" i="91"/>
  <c r="AB299" i="91"/>
  <c r="AA299" i="91"/>
  <c r="Z299" i="91"/>
  <c r="Y299" i="91"/>
  <c r="X299" i="91"/>
  <c r="W299" i="91"/>
  <c r="V299" i="91"/>
  <c r="U299" i="91"/>
  <c r="T299" i="91"/>
  <c r="S299" i="91"/>
  <c r="R299" i="91"/>
  <c r="Q299" i="91"/>
  <c r="P299" i="91"/>
  <c r="O299" i="91"/>
  <c r="N299" i="91"/>
  <c r="M299" i="91"/>
  <c r="L299" i="91"/>
  <c r="K299" i="91"/>
  <c r="J299" i="91"/>
  <c r="I299" i="91"/>
  <c r="H299" i="91"/>
  <c r="G299" i="91"/>
  <c r="F299" i="91"/>
  <c r="E299" i="91"/>
  <c r="D299" i="91"/>
  <c r="AB298" i="91"/>
  <c r="AA298" i="91"/>
  <c r="Z298" i="91"/>
  <c r="Y298" i="91"/>
  <c r="X298" i="91"/>
  <c r="W298" i="91"/>
  <c r="V298" i="91"/>
  <c r="U298" i="91"/>
  <c r="T298" i="91"/>
  <c r="S298" i="91"/>
  <c r="R298" i="91"/>
  <c r="Q298" i="91"/>
  <c r="P298" i="91"/>
  <c r="O298" i="91"/>
  <c r="N298" i="91"/>
  <c r="M298" i="91"/>
  <c r="L298" i="91"/>
  <c r="K298" i="91"/>
  <c r="J298" i="91"/>
  <c r="I298" i="91"/>
  <c r="H298" i="91"/>
  <c r="G298" i="91"/>
  <c r="F298" i="91"/>
  <c r="E298" i="91"/>
  <c r="D298" i="91"/>
  <c r="AB297" i="91"/>
  <c r="AA297" i="91"/>
  <c r="Z297" i="91"/>
  <c r="Y297" i="91"/>
  <c r="X297" i="91"/>
  <c r="W297" i="91"/>
  <c r="V297" i="91"/>
  <c r="U297" i="91"/>
  <c r="T297" i="91"/>
  <c r="S297" i="91"/>
  <c r="R297" i="91"/>
  <c r="Q297" i="91"/>
  <c r="P297" i="91"/>
  <c r="O297" i="91"/>
  <c r="N297" i="91"/>
  <c r="M297" i="91"/>
  <c r="L297" i="91"/>
  <c r="K297" i="91"/>
  <c r="J297" i="91"/>
  <c r="I297" i="91"/>
  <c r="H297" i="91"/>
  <c r="G297" i="91"/>
  <c r="F297" i="91"/>
  <c r="E297" i="91"/>
  <c r="D297" i="91"/>
  <c r="AB296" i="91"/>
  <c r="AA296" i="91"/>
  <c r="Z296" i="91"/>
  <c r="Y296" i="91"/>
  <c r="X296" i="91"/>
  <c r="W296" i="91"/>
  <c r="V296" i="91"/>
  <c r="U296" i="91"/>
  <c r="T296" i="91"/>
  <c r="S296" i="91"/>
  <c r="R296" i="91"/>
  <c r="Q296" i="91"/>
  <c r="P296" i="91"/>
  <c r="O296" i="91"/>
  <c r="N296" i="91"/>
  <c r="M296" i="91"/>
  <c r="L296" i="91"/>
  <c r="K296" i="91"/>
  <c r="J296" i="91"/>
  <c r="I296" i="91"/>
  <c r="H296" i="91"/>
  <c r="G296" i="91"/>
  <c r="F296" i="91"/>
  <c r="E296" i="91"/>
  <c r="D296" i="91"/>
  <c r="AB295" i="91"/>
  <c r="AA295" i="91"/>
  <c r="Z295" i="91"/>
  <c r="Y295" i="91"/>
  <c r="X295" i="91"/>
  <c r="W295" i="91"/>
  <c r="V295" i="91"/>
  <c r="U295" i="91"/>
  <c r="T295" i="91"/>
  <c r="S295" i="91"/>
  <c r="R295" i="91"/>
  <c r="Q295" i="91"/>
  <c r="P295" i="91"/>
  <c r="O295" i="91"/>
  <c r="N295" i="91"/>
  <c r="M295" i="91"/>
  <c r="L295" i="91"/>
  <c r="K295" i="91"/>
  <c r="J295" i="91"/>
  <c r="I295" i="91"/>
  <c r="H295" i="91"/>
  <c r="G295" i="91"/>
  <c r="F295" i="91"/>
  <c r="E295" i="91"/>
  <c r="D295" i="91"/>
  <c r="AB294" i="91"/>
  <c r="AA294" i="91"/>
  <c r="Z294" i="91"/>
  <c r="Y294" i="91"/>
  <c r="X294" i="91"/>
  <c r="W294" i="91"/>
  <c r="V294" i="91"/>
  <c r="U294" i="91"/>
  <c r="T294" i="91"/>
  <c r="S294" i="91"/>
  <c r="R294" i="91"/>
  <c r="Q294" i="91"/>
  <c r="P294" i="91"/>
  <c r="O294" i="91"/>
  <c r="N294" i="91"/>
  <c r="M294" i="91"/>
  <c r="L294" i="91"/>
  <c r="K294" i="91"/>
  <c r="J294" i="91"/>
  <c r="I294" i="91"/>
  <c r="H294" i="91"/>
  <c r="G294" i="91"/>
  <c r="F294" i="91"/>
  <c r="E294" i="91"/>
  <c r="D294" i="91"/>
  <c r="AB293" i="91"/>
  <c r="AA293" i="91"/>
  <c r="Z293" i="91"/>
  <c r="Y293" i="91"/>
  <c r="X293" i="91"/>
  <c r="W293" i="91"/>
  <c r="V293" i="91"/>
  <c r="U293" i="91"/>
  <c r="T293" i="91"/>
  <c r="S293" i="91"/>
  <c r="R293" i="91"/>
  <c r="Q293" i="91"/>
  <c r="P293" i="91"/>
  <c r="O293" i="91"/>
  <c r="N293" i="91"/>
  <c r="M293" i="91"/>
  <c r="L293" i="91"/>
  <c r="K293" i="91"/>
  <c r="J293" i="91"/>
  <c r="I293" i="91"/>
  <c r="H293" i="91"/>
  <c r="G293" i="91"/>
  <c r="F293" i="91"/>
  <c r="E293" i="91"/>
  <c r="D293" i="91"/>
  <c r="AB292" i="91"/>
  <c r="AA292" i="91"/>
  <c r="Z292" i="91"/>
  <c r="Y292" i="91"/>
  <c r="X292" i="91"/>
  <c r="W292" i="91"/>
  <c r="V292" i="91"/>
  <c r="U292" i="91"/>
  <c r="T292" i="91"/>
  <c r="S292" i="91"/>
  <c r="R292" i="91"/>
  <c r="Q292" i="91"/>
  <c r="P292" i="91"/>
  <c r="O292" i="91"/>
  <c r="N292" i="91"/>
  <c r="M292" i="91"/>
  <c r="L292" i="91"/>
  <c r="K292" i="91"/>
  <c r="J292" i="91"/>
  <c r="I292" i="91"/>
  <c r="H292" i="91"/>
  <c r="G292" i="91"/>
  <c r="F292" i="91"/>
  <c r="E292" i="91"/>
  <c r="D292" i="91"/>
  <c r="AB291" i="91"/>
  <c r="AA291" i="91"/>
  <c r="Z291" i="91"/>
  <c r="Y291" i="91"/>
  <c r="X291" i="91"/>
  <c r="W291" i="91"/>
  <c r="V291" i="91"/>
  <c r="U291" i="91"/>
  <c r="T291" i="91"/>
  <c r="S291" i="91"/>
  <c r="R291" i="91"/>
  <c r="Q291" i="91"/>
  <c r="P291" i="91"/>
  <c r="O291" i="91"/>
  <c r="N291" i="91"/>
  <c r="M291" i="91"/>
  <c r="L291" i="91"/>
  <c r="K291" i="91"/>
  <c r="J291" i="91"/>
  <c r="I291" i="91"/>
  <c r="H291" i="91"/>
  <c r="G291" i="91"/>
  <c r="F291" i="91"/>
  <c r="E291" i="91"/>
  <c r="D291" i="91"/>
  <c r="AB290" i="91"/>
  <c r="AA290" i="91"/>
  <c r="Z290" i="91"/>
  <c r="Y290" i="91"/>
  <c r="X290" i="91"/>
  <c r="W290" i="91"/>
  <c r="V290" i="91"/>
  <c r="U290" i="91"/>
  <c r="T290" i="91"/>
  <c r="S290" i="91"/>
  <c r="R290" i="91"/>
  <c r="Q290" i="91"/>
  <c r="P290" i="91"/>
  <c r="O290" i="91"/>
  <c r="N290" i="91"/>
  <c r="M290" i="91"/>
  <c r="L290" i="91"/>
  <c r="K290" i="91"/>
  <c r="J290" i="91"/>
  <c r="I290" i="91"/>
  <c r="H290" i="91"/>
  <c r="G290" i="91"/>
  <c r="F290" i="91"/>
  <c r="E290" i="91"/>
  <c r="D290" i="91"/>
  <c r="AB289" i="91"/>
  <c r="AA289" i="91"/>
  <c r="Z289" i="91"/>
  <c r="Y289" i="91"/>
  <c r="X289" i="91"/>
  <c r="W289" i="91"/>
  <c r="V289" i="91"/>
  <c r="U289" i="91"/>
  <c r="T289" i="91"/>
  <c r="S289" i="91"/>
  <c r="R289" i="91"/>
  <c r="Q289" i="91"/>
  <c r="P289" i="91"/>
  <c r="O289" i="91"/>
  <c r="N289" i="91"/>
  <c r="M289" i="91"/>
  <c r="L289" i="91"/>
  <c r="K289" i="91"/>
  <c r="J289" i="91"/>
  <c r="I289" i="91"/>
  <c r="H289" i="91"/>
  <c r="G289" i="91"/>
  <c r="F289" i="91"/>
  <c r="E289" i="91"/>
  <c r="D289" i="91"/>
  <c r="AB288" i="91"/>
  <c r="AA288" i="91"/>
  <c r="Z288" i="91"/>
  <c r="Y288" i="91"/>
  <c r="X288" i="91"/>
  <c r="W288" i="91"/>
  <c r="V288" i="91"/>
  <c r="U288" i="91"/>
  <c r="T288" i="91"/>
  <c r="S288" i="91"/>
  <c r="R288" i="91"/>
  <c r="Q288" i="91"/>
  <c r="P288" i="91"/>
  <c r="O288" i="91"/>
  <c r="N288" i="91"/>
  <c r="M288" i="91"/>
  <c r="L288" i="91"/>
  <c r="K288" i="91"/>
  <c r="J288" i="91"/>
  <c r="I288" i="91"/>
  <c r="H288" i="91"/>
  <c r="G288" i="91"/>
  <c r="F288" i="91"/>
  <c r="E288" i="91"/>
  <c r="D288" i="91"/>
  <c r="AB287" i="91"/>
  <c r="AA287" i="91"/>
  <c r="Z287" i="91"/>
  <c r="Y287" i="91"/>
  <c r="X287" i="91"/>
  <c r="W287" i="91"/>
  <c r="V287" i="91"/>
  <c r="U287" i="91"/>
  <c r="T287" i="91"/>
  <c r="S287" i="91"/>
  <c r="R287" i="91"/>
  <c r="Q287" i="91"/>
  <c r="P287" i="91"/>
  <c r="O287" i="91"/>
  <c r="N287" i="91"/>
  <c r="M287" i="91"/>
  <c r="L287" i="91"/>
  <c r="K287" i="91"/>
  <c r="J287" i="91"/>
  <c r="I287" i="91"/>
  <c r="H287" i="91"/>
  <c r="G287" i="91"/>
  <c r="F287" i="91"/>
  <c r="E287" i="91"/>
  <c r="D287" i="91"/>
  <c r="AB286" i="91"/>
  <c r="AA286" i="91"/>
  <c r="Z286" i="91"/>
  <c r="Y286" i="91"/>
  <c r="X286" i="91"/>
  <c r="W286" i="91"/>
  <c r="V286" i="91"/>
  <c r="U286" i="91"/>
  <c r="T286" i="91"/>
  <c r="S286" i="91"/>
  <c r="R286" i="91"/>
  <c r="Q286" i="91"/>
  <c r="P286" i="91"/>
  <c r="O286" i="91"/>
  <c r="N286" i="91"/>
  <c r="M286" i="91"/>
  <c r="L286" i="91"/>
  <c r="K286" i="91"/>
  <c r="J286" i="91"/>
  <c r="I286" i="91"/>
  <c r="H286" i="91"/>
  <c r="G286" i="91"/>
  <c r="F286" i="91"/>
  <c r="E286" i="91"/>
  <c r="D286" i="91"/>
  <c r="AB285" i="91"/>
  <c r="AA285" i="91"/>
  <c r="Z285" i="91"/>
  <c r="Y285" i="91"/>
  <c r="X285" i="91"/>
  <c r="W285" i="91"/>
  <c r="V285" i="91"/>
  <c r="U285" i="91"/>
  <c r="T285" i="91"/>
  <c r="S285" i="91"/>
  <c r="R285" i="91"/>
  <c r="Q285" i="91"/>
  <c r="P285" i="91"/>
  <c r="O285" i="91"/>
  <c r="N285" i="91"/>
  <c r="M285" i="91"/>
  <c r="L285" i="91"/>
  <c r="K285" i="91"/>
  <c r="J285" i="91"/>
  <c r="I285" i="91"/>
  <c r="H285" i="91"/>
  <c r="G285" i="91"/>
  <c r="F285" i="91"/>
  <c r="E285" i="91"/>
  <c r="D285" i="91"/>
  <c r="AB284" i="91"/>
  <c r="AA284" i="91"/>
  <c r="Z284" i="91"/>
  <c r="Y284" i="91"/>
  <c r="X284" i="91"/>
  <c r="W284" i="91"/>
  <c r="V284" i="91"/>
  <c r="U284" i="91"/>
  <c r="T284" i="91"/>
  <c r="S284" i="91"/>
  <c r="R284" i="91"/>
  <c r="Q284" i="91"/>
  <c r="P284" i="91"/>
  <c r="O284" i="91"/>
  <c r="N284" i="91"/>
  <c r="M284" i="91"/>
  <c r="L284" i="91"/>
  <c r="K284" i="91"/>
  <c r="J284" i="91"/>
  <c r="I284" i="91"/>
  <c r="H284" i="91"/>
  <c r="G284" i="91"/>
  <c r="F284" i="91"/>
  <c r="E284" i="91"/>
  <c r="D284" i="91"/>
  <c r="AB283" i="91"/>
  <c r="AA283" i="91"/>
  <c r="Z283" i="91"/>
  <c r="Y283" i="91"/>
  <c r="X283" i="91"/>
  <c r="W283" i="91"/>
  <c r="V283" i="91"/>
  <c r="U283" i="91"/>
  <c r="T283" i="91"/>
  <c r="S283" i="91"/>
  <c r="R283" i="91"/>
  <c r="Q283" i="91"/>
  <c r="P283" i="91"/>
  <c r="O283" i="91"/>
  <c r="N283" i="91"/>
  <c r="M283" i="91"/>
  <c r="L283" i="91"/>
  <c r="K283" i="91"/>
  <c r="J283" i="91"/>
  <c r="I283" i="91"/>
  <c r="H283" i="91"/>
  <c r="G283" i="91"/>
  <c r="F283" i="91"/>
  <c r="E283" i="91"/>
  <c r="D283" i="91"/>
  <c r="AB282" i="91"/>
  <c r="AA282" i="91"/>
  <c r="Z282" i="91"/>
  <c r="Y282" i="91"/>
  <c r="X282" i="91"/>
  <c r="W282" i="91"/>
  <c r="V282" i="91"/>
  <c r="U282" i="91"/>
  <c r="T282" i="91"/>
  <c r="S282" i="91"/>
  <c r="R282" i="91"/>
  <c r="Q282" i="91"/>
  <c r="P282" i="91"/>
  <c r="O282" i="91"/>
  <c r="N282" i="91"/>
  <c r="M282" i="91"/>
  <c r="L282" i="91"/>
  <c r="K282" i="91"/>
  <c r="J282" i="91"/>
  <c r="I282" i="91"/>
  <c r="H282" i="91"/>
  <c r="G282" i="91"/>
  <c r="F282" i="91"/>
  <c r="E282" i="91"/>
  <c r="D282" i="91"/>
  <c r="AB281" i="91"/>
  <c r="AA281" i="91"/>
  <c r="Z281" i="91"/>
  <c r="Y281" i="91"/>
  <c r="X281" i="91"/>
  <c r="W281" i="91"/>
  <c r="V281" i="91"/>
  <c r="U281" i="91"/>
  <c r="T281" i="91"/>
  <c r="S281" i="91"/>
  <c r="R281" i="91"/>
  <c r="Q281" i="91"/>
  <c r="P281" i="91"/>
  <c r="O281" i="91"/>
  <c r="N281" i="91"/>
  <c r="M281" i="91"/>
  <c r="L281" i="91"/>
  <c r="K281" i="91"/>
  <c r="J281" i="91"/>
  <c r="I281" i="91"/>
  <c r="H281" i="91"/>
  <c r="G281" i="91"/>
  <c r="F281" i="91"/>
  <c r="E281" i="91"/>
  <c r="D281" i="91"/>
  <c r="AB280" i="91"/>
  <c r="AA280" i="91"/>
  <c r="Z280" i="91"/>
  <c r="Y280" i="91"/>
  <c r="X280" i="91"/>
  <c r="W280" i="91"/>
  <c r="V280" i="91"/>
  <c r="U280" i="91"/>
  <c r="T280" i="91"/>
  <c r="S280" i="91"/>
  <c r="R280" i="91"/>
  <c r="Q280" i="91"/>
  <c r="P280" i="91"/>
  <c r="O280" i="91"/>
  <c r="N280" i="91"/>
  <c r="M280" i="91"/>
  <c r="L280" i="91"/>
  <c r="K280" i="91"/>
  <c r="J280" i="91"/>
  <c r="I280" i="91"/>
  <c r="H280" i="91"/>
  <c r="G280" i="91"/>
  <c r="F280" i="91"/>
  <c r="E280" i="91"/>
  <c r="D280" i="91"/>
  <c r="AB279" i="91"/>
  <c r="AA279" i="91"/>
  <c r="Z279" i="91"/>
  <c r="Y279" i="91"/>
  <c r="X279" i="91"/>
  <c r="W279" i="91"/>
  <c r="V279" i="91"/>
  <c r="U279" i="91"/>
  <c r="T279" i="91"/>
  <c r="S279" i="91"/>
  <c r="R279" i="91"/>
  <c r="Q279" i="91"/>
  <c r="P279" i="91"/>
  <c r="O279" i="91"/>
  <c r="N279" i="91"/>
  <c r="M279" i="91"/>
  <c r="L279" i="91"/>
  <c r="K279" i="91"/>
  <c r="J279" i="91"/>
  <c r="I279" i="91"/>
  <c r="H279" i="91"/>
  <c r="G279" i="91"/>
  <c r="F279" i="91"/>
  <c r="E279" i="91"/>
  <c r="D279" i="91"/>
  <c r="AB278" i="91"/>
  <c r="AA278" i="91"/>
  <c r="Z278" i="91"/>
  <c r="Y278" i="91"/>
  <c r="X278" i="91"/>
  <c r="W278" i="91"/>
  <c r="V278" i="91"/>
  <c r="U278" i="91"/>
  <c r="T278" i="91"/>
  <c r="S278" i="91"/>
  <c r="R278" i="91"/>
  <c r="Q278" i="91"/>
  <c r="P278" i="91"/>
  <c r="O278" i="91"/>
  <c r="N278" i="91"/>
  <c r="M278" i="91"/>
  <c r="L278" i="91"/>
  <c r="K278" i="91"/>
  <c r="J278" i="91"/>
  <c r="I278" i="91"/>
  <c r="H278" i="91"/>
  <c r="G278" i="91"/>
  <c r="F278" i="91"/>
  <c r="E278" i="91"/>
  <c r="D278" i="91"/>
  <c r="AB277" i="91"/>
  <c r="AA277" i="91"/>
  <c r="Z277" i="91"/>
  <c r="Y277" i="91"/>
  <c r="X277" i="91"/>
  <c r="W277" i="91"/>
  <c r="V277" i="91"/>
  <c r="U277" i="91"/>
  <c r="T277" i="91"/>
  <c r="S277" i="91"/>
  <c r="R277" i="91"/>
  <c r="Q277" i="91"/>
  <c r="P277" i="91"/>
  <c r="O277" i="91"/>
  <c r="N277" i="91"/>
  <c r="M277" i="91"/>
  <c r="L277" i="91"/>
  <c r="K277" i="91"/>
  <c r="J277" i="91"/>
  <c r="I277" i="91"/>
  <c r="H277" i="91"/>
  <c r="G277" i="91"/>
  <c r="F277" i="91"/>
  <c r="E277" i="91"/>
  <c r="D277" i="91"/>
  <c r="AB276" i="91"/>
  <c r="AA276" i="91"/>
  <c r="Z276" i="91"/>
  <c r="Y276" i="91"/>
  <c r="X276" i="91"/>
  <c r="W276" i="91"/>
  <c r="V276" i="91"/>
  <c r="U276" i="91"/>
  <c r="T276" i="91"/>
  <c r="S276" i="91"/>
  <c r="R276" i="91"/>
  <c r="Q276" i="91"/>
  <c r="P276" i="91"/>
  <c r="O276" i="91"/>
  <c r="N276" i="91"/>
  <c r="M276" i="91"/>
  <c r="L276" i="91"/>
  <c r="K276" i="91"/>
  <c r="J276" i="91"/>
  <c r="I276" i="91"/>
  <c r="H276" i="91"/>
  <c r="G276" i="91"/>
  <c r="F276" i="91"/>
  <c r="E276" i="91"/>
  <c r="D276" i="91"/>
  <c r="AB275" i="91"/>
  <c r="AA275" i="91"/>
  <c r="Z275" i="91"/>
  <c r="Y275" i="91"/>
  <c r="X275" i="91"/>
  <c r="W275" i="91"/>
  <c r="V275" i="91"/>
  <c r="U275" i="91"/>
  <c r="T275" i="91"/>
  <c r="S275" i="91"/>
  <c r="R275" i="91"/>
  <c r="Q275" i="91"/>
  <c r="P275" i="91"/>
  <c r="O275" i="91"/>
  <c r="N275" i="91"/>
  <c r="M275" i="91"/>
  <c r="L275" i="91"/>
  <c r="K275" i="91"/>
  <c r="J275" i="91"/>
  <c r="I275" i="91"/>
  <c r="H275" i="91"/>
  <c r="G275" i="91"/>
  <c r="F275" i="91"/>
  <c r="E275" i="91"/>
  <c r="D275" i="91"/>
  <c r="AB274" i="91"/>
  <c r="AA274" i="91"/>
  <c r="Z274" i="91"/>
  <c r="Y274" i="91"/>
  <c r="X274" i="91"/>
  <c r="W274" i="91"/>
  <c r="V274" i="91"/>
  <c r="U274" i="91"/>
  <c r="T274" i="91"/>
  <c r="S274" i="91"/>
  <c r="R274" i="91"/>
  <c r="Q274" i="91"/>
  <c r="P274" i="91"/>
  <c r="O274" i="91"/>
  <c r="N274" i="91"/>
  <c r="M274" i="91"/>
  <c r="L274" i="91"/>
  <c r="K274" i="91"/>
  <c r="J274" i="91"/>
  <c r="I274" i="91"/>
  <c r="H274" i="91"/>
  <c r="G274" i="91"/>
  <c r="F274" i="91"/>
  <c r="E274" i="91"/>
  <c r="D274" i="91"/>
  <c r="AB273" i="91"/>
  <c r="AA273" i="91"/>
  <c r="Z273" i="91"/>
  <c r="Y273" i="91"/>
  <c r="X273" i="91"/>
  <c r="W273" i="91"/>
  <c r="V273" i="91"/>
  <c r="U273" i="91"/>
  <c r="T273" i="91"/>
  <c r="S273" i="91"/>
  <c r="R273" i="91"/>
  <c r="Q273" i="91"/>
  <c r="P273" i="91"/>
  <c r="O273" i="91"/>
  <c r="N273" i="91"/>
  <c r="M273" i="91"/>
  <c r="L273" i="91"/>
  <c r="K273" i="91"/>
  <c r="J273" i="91"/>
  <c r="I273" i="91"/>
  <c r="H273" i="91"/>
  <c r="G273" i="91"/>
  <c r="F273" i="91"/>
  <c r="E273" i="91"/>
  <c r="D273" i="91"/>
  <c r="AB272" i="91"/>
  <c r="AA272" i="91"/>
  <c r="Z272" i="91"/>
  <c r="Y272" i="91"/>
  <c r="X272" i="91"/>
  <c r="W272" i="91"/>
  <c r="V272" i="91"/>
  <c r="U272" i="91"/>
  <c r="T272" i="91"/>
  <c r="S272" i="91"/>
  <c r="R272" i="91"/>
  <c r="Q272" i="91"/>
  <c r="P272" i="91"/>
  <c r="O272" i="91"/>
  <c r="N272" i="91"/>
  <c r="M272" i="91"/>
  <c r="L272" i="91"/>
  <c r="K272" i="91"/>
  <c r="J272" i="91"/>
  <c r="I272" i="91"/>
  <c r="H272" i="91"/>
  <c r="G272" i="91"/>
  <c r="F272" i="91"/>
  <c r="E272" i="91"/>
  <c r="D272" i="91"/>
  <c r="AB271" i="91"/>
  <c r="AA271" i="91"/>
  <c r="Z271" i="91"/>
  <c r="Y271" i="91"/>
  <c r="X271" i="91"/>
  <c r="W271" i="91"/>
  <c r="V271" i="91"/>
  <c r="U271" i="91"/>
  <c r="T271" i="91"/>
  <c r="S271" i="91"/>
  <c r="R271" i="91"/>
  <c r="Q271" i="91"/>
  <c r="P271" i="91"/>
  <c r="O271" i="91"/>
  <c r="N271" i="91"/>
  <c r="M271" i="91"/>
  <c r="L271" i="91"/>
  <c r="K271" i="91"/>
  <c r="J271" i="91"/>
  <c r="I271" i="91"/>
  <c r="H271" i="91"/>
  <c r="G271" i="91"/>
  <c r="F271" i="91"/>
  <c r="E271" i="91"/>
  <c r="D271" i="91"/>
  <c r="AB270" i="91"/>
  <c r="AA270" i="91"/>
  <c r="Z270" i="91"/>
  <c r="Y270" i="91"/>
  <c r="X270" i="91"/>
  <c r="W270" i="91"/>
  <c r="V270" i="91"/>
  <c r="U270" i="91"/>
  <c r="T270" i="91"/>
  <c r="S270" i="91"/>
  <c r="R270" i="91"/>
  <c r="Q270" i="91"/>
  <c r="P270" i="91"/>
  <c r="O270" i="91"/>
  <c r="N270" i="91"/>
  <c r="M270" i="91"/>
  <c r="L270" i="91"/>
  <c r="K270" i="91"/>
  <c r="J270" i="91"/>
  <c r="I270" i="91"/>
  <c r="H270" i="91"/>
  <c r="G270" i="91"/>
  <c r="F270" i="91"/>
  <c r="E270" i="91"/>
  <c r="D270" i="91"/>
  <c r="AB269" i="91"/>
  <c r="AA269" i="91"/>
  <c r="Z269" i="91"/>
  <c r="Y269" i="91"/>
  <c r="X269" i="91"/>
  <c r="W269" i="91"/>
  <c r="V269" i="91"/>
  <c r="U269" i="91"/>
  <c r="T269" i="91"/>
  <c r="S269" i="91"/>
  <c r="R269" i="91"/>
  <c r="Q269" i="91"/>
  <c r="P269" i="91"/>
  <c r="O269" i="91"/>
  <c r="N269" i="91"/>
  <c r="M269" i="91"/>
  <c r="L269" i="91"/>
  <c r="K269" i="91"/>
  <c r="J269" i="91"/>
  <c r="I269" i="91"/>
  <c r="H269" i="91"/>
  <c r="G269" i="91"/>
  <c r="F269" i="91"/>
  <c r="E269" i="91"/>
  <c r="D269" i="91"/>
  <c r="AB268" i="91"/>
  <c r="AA268" i="91"/>
  <c r="Z268" i="91"/>
  <c r="Y268" i="91"/>
  <c r="X268" i="91"/>
  <c r="W268" i="91"/>
  <c r="V268" i="91"/>
  <c r="U268" i="91"/>
  <c r="T268" i="91"/>
  <c r="S268" i="91"/>
  <c r="R268" i="91"/>
  <c r="Q268" i="91"/>
  <c r="P268" i="91"/>
  <c r="O268" i="91"/>
  <c r="N268" i="91"/>
  <c r="M268" i="91"/>
  <c r="L268" i="91"/>
  <c r="K268" i="91"/>
  <c r="J268" i="91"/>
  <c r="I268" i="91"/>
  <c r="H268" i="91"/>
  <c r="G268" i="91"/>
  <c r="F268" i="91"/>
  <c r="E268" i="91"/>
  <c r="D268" i="91"/>
  <c r="AB267" i="91"/>
  <c r="AA267" i="91"/>
  <c r="Z267" i="91"/>
  <c r="Y267" i="91"/>
  <c r="X267" i="91"/>
  <c r="W267" i="91"/>
  <c r="V267" i="91"/>
  <c r="U267" i="91"/>
  <c r="T267" i="91"/>
  <c r="S267" i="91"/>
  <c r="R267" i="91"/>
  <c r="Q267" i="91"/>
  <c r="P267" i="91"/>
  <c r="O267" i="91"/>
  <c r="N267" i="91"/>
  <c r="M267" i="91"/>
  <c r="L267" i="91"/>
  <c r="K267" i="91"/>
  <c r="J267" i="91"/>
  <c r="I267" i="91"/>
  <c r="H267" i="91"/>
  <c r="G267" i="91"/>
  <c r="F267" i="91"/>
  <c r="E267" i="91"/>
  <c r="D267" i="91"/>
  <c r="AB266" i="91"/>
  <c r="AA266" i="91"/>
  <c r="Z266" i="91"/>
  <c r="Y266" i="91"/>
  <c r="X266" i="91"/>
  <c r="W266" i="91"/>
  <c r="V266" i="91"/>
  <c r="U266" i="91"/>
  <c r="T266" i="91"/>
  <c r="S266" i="91"/>
  <c r="R266" i="91"/>
  <c r="Q266" i="91"/>
  <c r="P266" i="91"/>
  <c r="O266" i="91"/>
  <c r="N266" i="91"/>
  <c r="M266" i="91"/>
  <c r="L266" i="91"/>
  <c r="K266" i="91"/>
  <c r="J266" i="91"/>
  <c r="I266" i="91"/>
  <c r="H266" i="91"/>
  <c r="G266" i="91"/>
  <c r="F266" i="91"/>
  <c r="E266" i="91"/>
  <c r="D266" i="91"/>
  <c r="AB265" i="91"/>
  <c r="AA265" i="91"/>
  <c r="Z265" i="91"/>
  <c r="Y265" i="91"/>
  <c r="X265" i="91"/>
  <c r="W265" i="91"/>
  <c r="V265" i="91"/>
  <c r="U265" i="91"/>
  <c r="T265" i="91"/>
  <c r="S265" i="91"/>
  <c r="R265" i="91"/>
  <c r="Q265" i="91"/>
  <c r="P265" i="91"/>
  <c r="O265" i="91"/>
  <c r="N265" i="91"/>
  <c r="M265" i="91"/>
  <c r="L265" i="91"/>
  <c r="K265" i="91"/>
  <c r="J265" i="91"/>
  <c r="I265" i="91"/>
  <c r="H265" i="91"/>
  <c r="G265" i="91"/>
  <c r="F265" i="91"/>
  <c r="E265" i="91"/>
  <c r="D265" i="91"/>
  <c r="AB264" i="91"/>
  <c r="AA264" i="91"/>
  <c r="Z264" i="91"/>
  <c r="Y264" i="91"/>
  <c r="X264" i="91"/>
  <c r="W264" i="91"/>
  <c r="V264" i="91"/>
  <c r="U264" i="91"/>
  <c r="T264" i="91"/>
  <c r="S264" i="91"/>
  <c r="R264" i="91"/>
  <c r="Q264" i="91"/>
  <c r="P264" i="91"/>
  <c r="O264" i="91"/>
  <c r="N264" i="91"/>
  <c r="M264" i="91"/>
  <c r="L264" i="91"/>
  <c r="K264" i="91"/>
  <c r="J264" i="91"/>
  <c r="I264" i="91"/>
  <c r="H264" i="91"/>
  <c r="G264" i="91"/>
  <c r="F264" i="91"/>
  <c r="E264" i="91"/>
  <c r="D264" i="91"/>
  <c r="AB263" i="91"/>
  <c r="AA263" i="91"/>
  <c r="Z263" i="91"/>
  <c r="Y263" i="91"/>
  <c r="X263" i="91"/>
  <c r="W263" i="91"/>
  <c r="V263" i="91"/>
  <c r="U263" i="91"/>
  <c r="T263" i="91"/>
  <c r="S263" i="91"/>
  <c r="R263" i="91"/>
  <c r="Q263" i="91"/>
  <c r="P263" i="91"/>
  <c r="O263" i="91"/>
  <c r="N263" i="91"/>
  <c r="M263" i="91"/>
  <c r="L263" i="91"/>
  <c r="K263" i="91"/>
  <c r="J263" i="91"/>
  <c r="I263" i="91"/>
  <c r="H263" i="91"/>
  <c r="G263" i="91"/>
  <c r="F263" i="91"/>
  <c r="E263" i="91"/>
  <c r="D263" i="91"/>
  <c r="AB262" i="91"/>
  <c r="AA262" i="91"/>
  <c r="Z262" i="91"/>
  <c r="Y262" i="91"/>
  <c r="X262" i="91"/>
  <c r="W262" i="91"/>
  <c r="V262" i="91"/>
  <c r="U262" i="91"/>
  <c r="T262" i="91"/>
  <c r="S262" i="91"/>
  <c r="R262" i="91"/>
  <c r="Q262" i="91"/>
  <c r="P262" i="91"/>
  <c r="O262" i="91"/>
  <c r="N262" i="91"/>
  <c r="M262" i="91"/>
  <c r="L262" i="91"/>
  <c r="K262" i="91"/>
  <c r="J262" i="91"/>
  <c r="I262" i="91"/>
  <c r="H262" i="91"/>
  <c r="G262" i="91"/>
  <c r="F262" i="91"/>
  <c r="E262" i="91"/>
  <c r="D262" i="91"/>
  <c r="AB261" i="91"/>
  <c r="AA261" i="91"/>
  <c r="Z261" i="91"/>
  <c r="Y261" i="91"/>
  <c r="X261" i="91"/>
  <c r="W261" i="91"/>
  <c r="V261" i="91"/>
  <c r="U261" i="91"/>
  <c r="T261" i="91"/>
  <c r="S261" i="91"/>
  <c r="R261" i="91"/>
  <c r="Q261" i="91"/>
  <c r="P261" i="91"/>
  <c r="O261" i="91"/>
  <c r="N261" i="91"/>
  <c r="M261" i="91"/>
  <c r="L261" i="91"/>
  <c r="K261" i="91"/>
  <c r="J261" i="91"/>
  <c r="I261" i="91"/>
  <c r="H261" i="91"/>
  <c r="G261" i="91"/>
  <c r="F261" i="91"/>
  <c r="E261" i="91"/>
  <c r="D261" i="91"/>
  <c r="AB260" i="91"/>
  <c r="AA260" i="91"/>
  <c r="Z260" i="91"/>
  <c r="Y260" i="91"/>
  <c r="X260" i="91"/>
  <c r="W260" i="91"/>
  <c r="V260" i="91"/>
  <c r="U260" i="91"/>
  <c r="T260" i="91"/>
  <c r="S260" i="91"/>
  <c r="R260" i="91"/>
  <c r="Q260" i="91"/>
  <c r="P260" i="91"/>
  <c r="O260" i="91"/>
  <c r="N260" i="91"/>
  <c r="M260" i="91"/>
  <c r="L260" i="91"/>
  <c r="K260" i="91"/>
  <c r="J260" i="91"/>
  <c r="I260" i="91"/>
  <c r="H260" i="91"/>
  <c r="G260" i="91"/>
  <c r="F260" i="91"/>
  <c r="E260" i="91"/>
  <c r="D260" i="91"/>
  <c r="AB259" i="91"/>
  <c r="AA259" i="91"/>
  <c r="Z259" i="91"/>
  <c r="Y259" i="91"/>
  <c r="X259" i="91"/>
  <c r="W259" i="91"/>
  <c r="V259" i="91"/>
  <c r="U259" i="91"/>
  <c r="T259" i="91"/>
  <c r="S259" i="91"/>
  <c r="R259" i="91"/>
  <c r="Q259" i="91"/>
  <c r="P259" i="91"/>
  <c r="O259" i="91"/>
  <c r="N259" i="91"/>
  <c r="M259" i="91"/>
  <c r="L259" i="91"/>
  <c r="K259" i="91"/>
  <c r="J259" i="91"/>
  <c r="I259" i="91"/>
  <c r="H259" i="91"/>
  <c r="G259" i="91"/>
  <c r="F259" i="91"/>
  <c r="E259" i="91"/>
  <c r="D259" i="91"/>
  <c r="AB258" i="91"/>
  <c r="AA258" i="91"/>
  <c r="Z258" i="91"/>
  <c r="Y258" i="91"/>
  <c r="X258" i="91"/>
  <c r="W258" i="91"/>
  <c r="V258" i="91"/>
  <c r="U258" i="91"/>
  <c r="T258" i="91"/>
  <c r="S258" i="91"/>
  <c r="R258" i="91"/>
  <c r="Q258" i="91"/>
  <c r="P258" i="91"/>
  <c r="O258" i="91"/>
  <c r="N258" i="91"/>
  <c r="M258" i="91"/>
  <c r="L258" i="91"/>
  <c r="K258" i="91"/>
  <c r="J258" i="91"/>
  <c r="I258" i="91"/>
  <c r="H258" i="91"/>
  <c r="G258" i="91"/>
  <c r="F258" i="91"/>
  <c r="E258" i="91"/>
  <c r="D258" i="91"/>
  <c r="AB257" i="91"/>
  <c r="AA257" i="91"/>
  <c r="Z257" i="91"/>
  <c r="Y257" i="91"/>
  <c r="X257" i="91"/>
  <c r="W257" i="91"/>
  <c r="V257" i="91"/>
  <c r="U257" i="91"/>
  <c r="T257" i="91"/>
  <c r="S257" i="91"/>
  <c r="R257" i="91"/>
  <c r="Q257" i="91"/>
  <c r="P257" i="91"/>
  <c r="O257" i="91"/>
  <c r="N257" i="91"/>
  <c r="M257" i="91"/>
  <c r="L257" i="91"/>
  <c r="K257" i="91"/>
  <c r="J257" i="91"/>
  <c r="I257" i="91"/>
  <c r="H257" i="91"/>
  <c r="G257" i="91"/>
  <c r="F257" i="91"/>
  <c r="E257" i="91"/>
  <c r="D257" i="91"/>
  <c r="AB256" i="91"/>
  <c r="AA256" i="91"/>
  <c r="Z256" i="91"/>
  <c r="Y256" i="91"/>
  <c r="X256" i="91"/>
  <c r="W256" i="91"/>
  <c r="V256" i="91"/>
  <c r="U256" i="91"/>
  <c r="T256" i="91"/>
  <c r="S256" i="91"/>
  <c r="R256" i="91"/>
  <c r="Q256" i="91"/>
  <c r="P256" i="91"/>
  <c r="O256" i="91"/>
  <c r="N256" i="91"/>
  <c r="M256" i="91"/>
  <c r="L256" i="91"/>
  <c r="K256" i="91"/>
  <c r="J256" i="91"/>
  <c r="I256" i="91"/>
  <c r="H256" i="91"/>
  <c r="G256" i="91"/>
  <c r="F256" i="91"/>
  <c r="E256" i="91"/>
  <c r="D256" i="91"/>
  <c r="AB254" i="91"/>
  <c r="AA254" i="91"/>
  <c r="Z254" i="91"/>
  <c r="Y254" i="91"/>
  <c r="X254" i="91"/>
  <c r="W254" i="91"/>
  <c r="V254" i="91"/>
  <c r="U254" i="91"/>
  <c r="T254" i="91"/>
  <c r="S254" i="91"/>
  <c r="R254" i="91"/>
  <c r="Q254" i="91"/>
  <c r="P254" i="91"/>
  <c r="O254" i="91"/>
  <c r="N254" i="91"/>
  <c r="M254" i="91"/>
  <c r="L254" i="91"/>
  <c r="K254" i="91"/>
  <c r="J254" i="91"/>
  <c r="I254" i="91"/>
  <c r="H254" i="91"/>
  <c r="G254" i="91"/>
  <c r="F254" i="91"/>
  <c r="E254" i="91"/>
  <c r="D254" i="91"/>
  <c r="AB253" i="91"/>
  <c r="AA253" i="91"/>
  <c r="Z253" i="91"/>
  <c r="Y253" i="91"/>
  <c r="X253" i="91"/>
  <c r="W253" i="91"/>
  <c r="V253" i="91"/>
  <c r="U253" i="91"/>
  <c r="T253" i="91"/>
  <c r="S253" i="91"/>
  <c r="R253" i="91"/>
  <c r="Q253" i="91"/>
  <c r="P253" i="91"/>
  <c r="O253" i="91"/>
  <c r="N253" i="91"/>
  <c r="M253" i="91"/>
  <c r="L253" i="91"/>
  <c r="K253" i="91"/>
  <c r="J253" i="91"/>
  <c r="I253" i="91"/>
  <c r="H253" i="91"/>
  <c r="G253" i="91"/>
  <c r="F253" i="91"/>
  <c r="E253" i="91"/>
  <c r="D253" i="91"/>
  <c r="AB252" i="91"/>
  <c r="AA252" i="91"/>
  <c r="Z252" i="91"/>
  <c r="Y252" i="91"/>
  <c r="X252" i="91"/>
  <c r="W252" i="91"/>
  <c r="V252" i="91"/>
  <c r="U252" i="91"/>
  <c r="T252" i="91"/>
  <c r="S252" i="91"/>
  <c r="R252" i="91"/>
  <c r="Q252" i="91"/>
  <c r="P252" i="91"/>
  <c r="O252" i="91"/>
  <c r="N252" i="91"/>
  <c r="M252" i="91"/>
  <c r="L252" i="91"/>
  <c r="K252" i="91"/>
  <c r="J252" i="91"/>
  <c r="I252" i="91"/>
  <c r="H252" i="91"/>
  <c r="G252" i="91"/>
  <c r="F252" i="91"/>
  <c r="E252" i="91"/>
  <c r="D252" i="91"/>
  <c r="AB251" i="91"/>
  <c r="AA251" i="91"/>
  <c r="Z251" i="91"/>
  <c r="Y251" i="91"/>
  <c r="X251" i="91"/>
  <c r="W251" i="91"/>
  <c r="V251" i="91"/>
  <c r="U251" i="91"/>
  <c r="T251" i="91"/>
  <c r="S251" i="91"/>
  <c r="R251" i="91"/>
  <c r="Q251" i="91"/>
  <c r="P251" i="91"/>
  <c r="O251" i="91"/>
  <c r="N251" i="91"/>
  <c r="M251" i="91"/>
  <c r="L251" i="91"/>
  <c r="K251" i="91"/>
  <c r="J251" i="91"/>
  <c r="I251" i="91"/>
  <c r="H251" i="91"/>
  <c r="G251" i="91"/>
  <c r="F251" i="91"/>
  <c r="E251" i="91"/>
  <c r="D251" i="91"/>
  <c r="AB250" i="91"/>
  <c r="AA250" i="91"/>
  <c r="Z250" i="91"/>
  <c r="Y250" i="91"/>
  <c r="X250" i="91"/>
  <c r="W250" i="91"/>
  <c r="V250" i="91"/>
  <c r="U250" i="91"/>
  <c r="T250" i="91"/>
  <c r="S250" i="91"/>
  <c r="R250" i="91"/>
  <c r="Q250" i="91"/>
  <c r="P250" i="91"/>
  <c r="O250" i="91"/>
  <c r="N250" i="91"/>
  <c r="M250" i="91"/>
  <c r="L250" i="91"/>
  <c r="K250" i="91"/>
  <c r="J250" i="91"/>
  <c r="I250" i="91"/>
  <c r="H250" i="91"/>
  <c r="G250" i="91"/>
  <c r="F250" i="91"/>
  <c r="E250" i="91"/>
  <c r="D250" i="91"/>
  <c r="AB249" i="91"/>
  <c r="AA249" i="91"/>
  <c r="Z249" i="91"/>
  <c r="Y249" i="91"/>
  <c r="X249" i="91"/>
  <c r="W249" i="91"/>
  <c r="V249" i="91"/>
  <c r="U249" i="91"/>
  <c r="T249" i="91"/>
  <c r="S249" i="91"/>
  <c r="R249" i="91"/>
  <c r="Q249" i="91"/>
  <c r="P249" i="91"/>
  <c r="O249" i="91"/>
  <c r="N249" i="91"/>
  <c r="M249" i="91"/>
  <c r="L249" i="91"/>
  <c r="K249" i="91"/>
  <c r="J249" i="91"/>
  <c r="I249" i="91"/>
  <c r="H249" i="91"/>
  <c r="G249" i="91"/>
  <c r="F249" i="91"/>
  <c r="E249" i="91"/>
  <c r="D249" i="91"/>
  <c r="AB248" i="91"/>
  <c r="AA248" i="91"/>
  <c r="Z248" i="91"/>
  <c r="Y248" i="91"/>
  <c r="X248" i="91"/>
  <c r="W248" i="91"/>
  <c r="V248" i="91"/>
  <c r="U248" i="91"/>
  <c r="T248" i="91"/>
  <c r="S248" i="91"/>
  <c r="R248" i="91"/>
  <c r="Q248" i="91"/>
  <c r="P248" i="91"/>
  <c r="O248" i="91"/>
  <c r="N248" i="91"/>
  <c r="M248" i="91"/>
  <c r="L248" i="91"/>
  <c r="K248" i="91"/>
  <c r="J248" i="91"/>
  <c r="I248" i="91"/>
  <c r="H248" i="91"/>
  <c r="G248" i="91"/>
  <c r="F248" i="91"/>
  <c r="E248" i="91"/>
  <c r="D248" i="91"/>
  <c r="AB247" i="91"/>
  <c r="AA247" i="91"/>
  <c r="Z247" i="91"/>
  <c r="Y247" i="91"/>
  <c r="X247" i="91"/>
  <c r="W247" i="91"/>
  <c r="V247" i="91"/>
  <c r="U247" i="91"/>
  <c r="T247" i="91"/>
  <c r="S247" i="91"/>
  <c r="R247" i="91"/>
  <c r="Q247" i="91"/>
  <c r="P247" i="91"/>
  <c r="O247" i="91"/>
  <c r="N247" i="91"/>
  <c r="M247" i="91"/>
  <c r="L247" i="91"/>
  <c r="K247" i="91"/>
  <c r="J247" i="91"/>
  <c r="I247" i="91"/>
  <c r="H247" i="91"/>
  <c r="G247" i="91"/>
  <c r="F247" i="91"/>
  <c r="E247" i="91"/>
  <c r="D247" i="91"/>
  <c r="AB246" i="91"/>
  <c r="AA246" i="91"/>
  <c r="Z246" i="91"/>
  <c r="Y246" i="91"/>
  <c r="X246" i="91"/>
  <c r="W246" i="91"/>
  <c r="V246" i="91"/>
  <c r="U246" i="91"/>
  <c r="T246" i="91"/>
  <c r="S246" i="91"/>
  <c r="R246" i="91"/>
  <c r="Q246" i="91"/>
  <c r="P246" i="91"/>
  <c r="O246" i="91"/>
  <c r="N246" i="91"/>
  <c r="M246" i="91"/>
  <c r="L246" i="91"/>
  <c r="K246" i="91"/>
  <c r="J246" i="91"/>
  <c r="I246" i="91"/>
  <c r="H246" i="91"/>
  <c r="G246" i="91"/>
  <c r="F246" i="91"/>
  <c r="E246" i="91"/>
  <c r="D246" i="91"/>
  <c r="AB245" i="91"/>
  <c r="AA245" i="91"/>
  <c r="Z245" i="91"/>
  <c r="Y245" i="91"/>
  <c r="X245" i="91"/>
  <c r="W245" i="91"/>
  <c r="V245" i="91"/>
  <c r="U245" i="91"/>
  <c r="T245" i="91"/>
  <c r="S245" i="91"/>
  <c r="R245" i="91"/>
  <c r="Q245" i="91"/>
  <c r="P245" i="91"/>
  <c r="O245" i="91"/>
  <c r="N245" i="91"/>
  <c r="M245" i="91"/>
  <c r="L245" i="91"/>
  <c r="K245" i="91"/>
  <c r="J245" i="91"/>
  <c r="I245" i="91"/>
  <c r="H245" i="91"/>
  <c r="G245" i="91"/>
  <c r="F245" i="91"/>
  <c r="E245" i="91"/>
  <c r="D245" i="91"/>
  <c r="AB244" i="91"/>
  <c r="AA244" i="91"/>
  <c r="Z244" i="91"/>
  <c r="Y244" i="91"/>
  <c r="X244" i="91"/>
  <c r="W244" i="91"/>
  <c r="V244" i="91"/>
  <c r="U244" i="91"/>
  <c r="T244" i="91"/>
  <c r="S244" i="91"/>
  <c r="R244" i="91"/>
  <c r="Q244" i="91"/>
  <c r="P244" i="91"/>
  <c r="O244" i="91"/>
  <c r="N244" i="91"/>
  <c r="M244" i="91"/>
  <c r="L244" i="91"/>
  <c r="K244" i="91"/>
  <c r="J244" i="91"/>
  <c r="I244" i="91"/>
  <c r="H244" i="91"/>
  <c r="G244" i="91"/>
  <c r="F244" i="91"/>
  <c r="E244" i="91"/>
  <c r="D244" i="91"/>
  <c r="AB243" i="91"/>
  <c r="AA243" i="91"/>
  <c r="Z243" i="91"/>
  <c r="Y243" i="91"/>
  <c r="X243" i="91"/>
  <c r="W243" i="91"/>
  <c r="V243" i="91"/>
  <c r="U243" i="91"/>
  <c r="T243" i="91"/>
  <c r="S243" i="91"/>
  <c r="R243" i="91"/>
  <c r="Q243" i="91"/>
  <c r="P243" i="91"/>
  <c r="O243" i="91"/>
  <c r="N243" i="91"/>
  <c r="M243" i="91"/>
  <c r="L243" i="91"/>
  <c r="K243" i="91"/>
  <c r="J243" i="91"/>
  <c r="I243" i="91"/>
  <c r="H243" i="91"/>
  <c r="G243" i="91"/>
  <c r="F243" i="91"/>
  <c r="E243" i="91"/>
  <c r="D243" i="91"/>
  <c r="AB242" i="91"/>
  <c r="AA242" i="91"/>
  <c r="Z242" i="91"/>
  <c r="Y242" i="91"/>
  <c r="X242" i="91"/>
  <c r="W242" i="91"/>
  <c r="V242" i="91"/>
  <c r="U242" i="91"/>
  <c r="T242" i="91"/>
  <c r="S242" i="91"/>
  <c r="R242" i="91"/>
  <c r="Q242" i="91"/>
  <c r="P242" i="91"/>
  <c r="O242" i="91"/>
  <c r="N242" i="91"/>
  <c r="M242" i="91"/>
  <c r="L242" i="91"/>
  <c r="K242" i="91"/>
  <c r="J242" i="91"/>
  <c r="I242" i="91"/>
  <c r="H242" i="91"/>
  <c r="G242" i="91"/>
  <c r="F242" i="91"/>
  <c r="E242" i="91"/>
  <c r="D242" i="91"/>
  <c r="AB241" i="91"/>
  <c r="AA241" i="91"/>
  <c r="Z241" i="91"/>
  <c r="Y241" i="91"/>
  <c r="X241" i="91"/>
  <c r="W241" i="91"/>
  <c r="V241" i="91"/>
  <c r="U241" i="91"/>
  <c r="T241" i="91"/>
  <c r="S241" i="91"/>
  <c r="R241" i="91"/>
  <c r="Q241" i="91"/>
  <c r="P241" i="91"/>
  <c r="O241" i="91"/>
  <c r="N241" i="91"/>
  <c r="M241" i="91"/>
  <c r="L241" i="91"/>
  <c r="K241" i="91"/>
  <c r="J241" i="91"/>
  <c r="I241" i="91"/>
  <c r="H241" i="91"/>
  <c r="G241" i="91"/>
  <c r="F241" i="91"/>
  <c r="E241" i="91"/>
  <c r="D241" i="91"/>
  <c r="AB240" i="91"/>
  <c r="AA240" i="91"/>
  <c r="Z240" i="91"/>
  <c r="Y240" i="91"/>
  <c r="X240" i="91"/>
  <c r="W240" i="91"/>
  <c r="V240" i="91"/>
  <c r="U240" i="91"/>
  <c r="T240" i="91"/>
  <c r="S240" i="91"/>
  <c r="R240" i="91"/>
  <c r="Q240" i="91"/>
  <c r="P240" i="91"/>
  <c r="O240" i="91"/>
  <c r="N240" i="91"/>
  <c r="M240" i="91"/>
  <c r="L240" i="91"/>
  <c r="K240" i="91"/>
  <c r="J240" i="91"/>
  <c r="I240" i="91"/>
  <c r="H240" i="91"/>
  <c r="G240" i="91"/>
  <c r="F240" i="91"/>
  <c r="E240" i="91"/>
  <c r="D240" i="91"/>
  <c r="AB239" i="91"/>
  <c r="AA239" i="91"/>
  <c r="Z239" i="91"/>
  <c r="Y239" i="91"/>
  <c r="X239" i="91"/>
  <c r="W239" i="91"/>
  <c r="V239" i="91"/>
  <c r="U239" i="91"/>
  <c r="T239" i="91"/>
  <c r="S239" i="91"/>
  <c r="R239" i="91"/>
  <c r="Q239" i="91"/>
  <c r="P239" i="91"/>
  <c r="O239" i="91"/>
  <c r="N239" i="91"/>
  <c r="M239" i="91"/>
  <c r="L239" i="91"/>
  <c r="K239" i="91"/>
  <c r="J239" i="91"/>
  <c r="I239" i="91"/>
  <c r="H239" i="91"/>
  <c r="G239" i="91"/>
  <c r="F239" i="91"/>
  <c r="E239" i="91"/>
  <c r="D239" i="91"/>
  <c r="AB238" i="91"/>
  <c r="AA238" i="91"/>
  <c r="Z238" i="91"/>
  <c r="Y238" i="91"/>
  <c r="X238" i="91"/>
  <c r="W238" i="91"/>
  <c r="V238" i="91"/>
  <c r="U238" i="91"/>
  <c r="T238" i="91"/>
  <c r="S238" i="91"/>
  <c r="R238" i="91"/>
  <c r="Q238" i="91"/>
  <c r="P238" i="91"/>
  <c r="O238" i="91"/>
  <c r="N238" i="91"/>
  <c r="M238" i="91"/>
  <c r="L238" i="91"/>
  <c r="K238" i="91"/>
  <c r="J238" i="91"/>
  <c r="I238" i="91"/>
  <c r="H238" i="91"/>
  <c r="G238" i="91"/>
  <c r="F238" i="91"/>
  <c r="E238" i="91"/>
  <c r="D238" i="91"/>
  <c r="AB237" i="91"/>
  <c r="AA237" i="91"/>
  <c r="Z237" i="91"/>
  <c r="Y237" i="91"/>
  <c r="X237" i="91"/>
  <c r="W237" i="91"/>
  <c r="V237" i="91"/>
  <c r="U237" i="91"/>
  <c r="T237" i="91"/>
  <c r="S237" i="91"/>
  <c r="R237" i="91"/>
  <c r="Q237" i="91"/>
  <c r="P237" i="91"/>
  <c r="O237" i="91"/>
  <c r="N237" i="91"/>
  <c r="M237" i="91"/>
  <c r="L237" i="91"/>
  <c r="K237" i="91"/>
  <c r="J237" i="91"/>
  <c r="I237" i="91"/>
  <c r="H237" i="91"/>
  <c r="G237" i="91"/>
  <c r="F237" i="91"/>
  <c r="E237" i="91"/>
  <c r="D237" i="91"/>
  <c r="AB236" i="91"/>
  <c r="AA236" i="91"/>
  <c r="Z236" i="91"/>
  <c r="Y236" i="91"/>
  <c r="X236" i="91"/>
  <c r="W236" i="91"/>
  <c r="V236" i="91"/>
  <c r="U236" i="91"/>
  <c r="T236" i="91"/>
  <c r="S236" i="91"/>
  <c r="R236" i="91"/>
  <c r="Q236" i="91"/>
  <c r="P236" i="91"/>
  <c r="O236" i="91"/>
  <c r="N236" i="91"/>
  <c r="M236" i="91"/>
  <c r="L236" i="91"/>
  <c r="K236" i="91"/>
  <c r="J236" i="91"/>
  <c r="I236" i="91"/>
  <c r="H236" i="91"/>
  <c r="G236" i="91"/>
  <c r="F236" i="91"/>
  <c r="E236" i="91"/>
  <c r="D236" i="91"/>
  <c r="AB235" i="91"/>
  <c r="AA235" i="91"/>
  <c r="Z235" i="91"/>
  <c r="Y235" i="91"/>
  <c r="X235" i="91"/>
  <c r="W235" i="91"/>
  <c r="V235" i="91"/>
  <c r="U235" i="91"/>
  <c r="T235" i="91"/>
  <c r="S235" i="91"/>
  <c r="R235" i="91"/>
  <c r="Q235" i="91"/>
  <c r="P235" i="91"/>
  <c r="O235" i="91"/>
  <c r="N235" i="91"/>
  <c r="M235" i="91"/>
  <c r="L235" i="91"/>
  <c r="K235" i="91"/>
  <c r="J235" i="91"/>
  <c r="I235" i="91"/>
  <c r="H235" i="91"/>
  <c r="G235" i="91"/>
  <c r="F235" i="91"/>
  <c r="E235" i="91"/>
  <c r="D235" i="91"/>
  <c r="AB234" i="91"/>
  <c r="AA234" i="91"/>
  <c r="Z234" i="91"/>
  <c r="Y234" i="91"/>
  <c r="X234" i="91"/>
  <c r="W234" i="91"/>
  <c r="V234" i="91"/>
  <c r="U234" i="91"/>
  <c r="T234" i="91"/>
  <c r="S234" i="91"/>
  <c r="R234" i="91"/>
  <c r="Q234" i="91"/>
  <c r="P234" i="91"/>
  <c r="O234" i="91"/>
  <c r="N234" i="91"/>
  <c r="M234" i="91"/>
  <c r="L234" i="91"/>
  <c r="K234" i="91"/>
  <c r="J234" i="91"/>
  <c r="I234" i="91"/>
  <c r="H234" i="91"/>
  <c r="G234" i="91"/>
  <c r="F234" i="91"/>
  <c r="E234" i="91"/>
  <c r="D234" i="91"/>
  <c r="AB233" i="91"/>
  <c r="AA233" i="91"/>
  <c r="Z233" i="91"/>
  <c r="Y233" i="91"/>
  <c r="X233" i="91"/>
  <c r="W233" i="91"/>
  <c r="V233" i="91"/>
  <c r="U233" i="91"/>
  <c r="T233" i="91"/>
  <c r="S233" i="91"/>
  <c r="R233" i="91"/>
  <c r="Q233" i="91"/>
  <c r="P233" i="91"/>
  <c r="O233" i="91"/>
  <c r="N233" i="91"/>
  <c r="M233" i="91"/>
  <c r="L233" i="91"/>
  <c r="K233" i="91"/>
  <c r="J233" i="91"/>
  <c r="I233" i="91"/>
  <c r="H233" i="91"/>
  <c r="G233" i="91"/>
  <c r="F233" i="91"/>
  <c r="E233" i="91"/>
  <c r="D233" i="91"/>
  <c r="AB232" i="91"/>
  <c r="AA232" i="91"/>
  <c r="Z232" i="91"/>
  <c r="Y232" i="91"/>
  <c r="X232" i="91"/>
  <c r="W232" i="91"/>
  <c r="V232" i="91"/>
  <c r="U232" i="91"/>
  <c r="T232" i="91"/>
  <c r="S232" i="91"/>
  <c r="R232" i="91"/>
  <c r="Q232" i="91"/>
  <c r="P232" i="91"/>
  <c r="O232" i="91"/>
  <c r="N232" i="91"/>
  <c r="M232" i="91"/>
  <c r="L232" i="91"/>
  <c r="K232" i="91"/>
  <c r="J232" i="91"/>
  <c r="I232" i="91"/>
  <c r="H232" i="91"/>
  <c r="G232" i="91"/>
  <c r="F232" i="91"/>
  <c r="E232" i="91"/>
  <c r="D232" i="91"/>
  <c r="AB231" i="91"/>
  <c r="AA231" i="91"/>
  <c r="Z231" i="91"/>
  <c r="Y231" i="91"/>
  <c r="X231" i="91"/>
  <c r="W231" i="91"/>
  <c r="V231" i="91"/>
  <c r="U231" i="91"/>
  <c r="T231" i="91"/>
  <c r="S231" i="91"/>
  <c r="R231" i="91"/>
  <c r="Q231" i="91"/>
  <c r="P231" i="91"/>
  <c r="O231" i="91"/>
  <c r="N231" i="91"/>
  <c r="M231" i="91"/>
  <c r="L231" i="91"/>
  <c r="K231" i="91"/>
  <c r="J231" i="91"/>
  <c r="I231" i="91"/>
  <c r="H231" i="91"/>
  <c r="G231" i="91"/>
  <c r="F231" i="91"/>
  <c r="E231" i="91"/>
  <c r="D231" i="91"/>
  <c r="AB230" i="91"/>
  <c r="AA230" i="91"/>
  <c r="Z230" i="91"/>
  <c r="Y230" i="91"/>
  <c r="X230" i="91"/>
  <c r="W230" i="91"/>
  <c r="V230" i="91"/>
  <c r="U230" i="91"/>
  <c r="T230" i="91"/>
  <c r="S230" i="91"/>
  <c r="R230" i="91"/>
  <c r="Q230" i="91"/>
  <c r="P230" i="91"/>
  <c r="O230" i="91"/>
  <c r="N230" i="91"/>
  <c r="M230" i="91"/>
  <c r="L230" i="91"/>
  <c r="K230" i="91"/>
  <c r="J230" i="91"/>
  <c r="I230" i="91"/>
  <c r="H230" i="91"/>
  <c r="G230" i="91"/>
  <c r="F230" i="91"/>
  <c r="E230" i="91"/>
  <c r="D230" i="91"/>
  <c r="AB229" i="91"/>
  <c r="AA229" i="91"/>
  <c r="Z229" i="91"/>
  <c r="Y229" i="91"/>
  <c r="X229" i="91"/>
  <c r="W229" i="91"/>
  <c r="V229" i="91"/>
  <c r="U229" i="91"/>
  <c r="T229" i="91"/>
  <c r="S229" i="91"/>
  <c r="R229" i="91"/>
  <c r="Q229" i="91"/>
  <c r="P229" i="91"/>
  <c r="O229" i="91"/>
  <c r="N229" i="91"/>
  <c r="M229" i="91"/>
  <c r="L229" i="91"/>
  <c r="K229" i="91"/>
  <c r="J229" i="91"/>
  <c r="I229" i="91"/>
  <c r="H229" i="91"/>
  <c r="G229" i="91"/>
  <c r="F229" i="91"/>
  <c r="E229" i="91"/>
  <c r="D229" i="91"/>
  <c r="AB228" i="91"/>
  <c r="AA228" i="91"/>
  <c r="Z228" i="91"/>
  <c r="Y228" i="91"/>
  <c r="X228" i="91"/>
  <c r="W228" i="91"/>
  <c r="V228" i="91"/>
  <c r="U228" i="91"/>
  <c r="T228" i="91"/>
  <c r="S228" i="91"/>
  <c r="R228" i="91"/>
  <c r="Q228" i="91"/>
  <c r="P228" i="91"/>
  <c r="O228" i="91"/>
  <c r="N228" i="91"/>
  <c r="M228" i="91"/>
  <c r="L228" i="91"/>
  <c r="K228" i="91"/>
  <c r="J228" i="91"/>
  <c r="I228" i="91"/>
  <c r="H228" i="91"/>
  <c r="G228" i="91"/>
  <c r="F228" i="91"/>
  <c r="E228" i="91"/>
  <c r="D228" i="91"/>
  <c r="AB227" i="91"/>
  <c r="AA227" i="91"/>
  <c r="Z227" i="91"/>
  <c r="Y227" i="91"/>
  <c r="X227" i="91"/>
  <c r="W227" i="91"/>
  <c r="V227" i="91"/>
  <c r="U227" i="91"/>
  <c r="T227" i="91"/>
  <c r="S227" i="91"/>
  <c r="R227" i="91"/>
  <c r="Q227" i="91"/>
  <c r="P227" i="91"/>
  <c r="O227" i="91"/>
  <c r="N227" i="91"/>
  <c r="M227" i="91"/>
  <c r="L227" i="91"/>
  <c r="K227" i="91"/>
  <c r="J227" i="91"/>
  <c r="I227" i="91"/>
  <c r="H227" i="91"/>
  <c r="G227" i="91"/>
  <c r="F227" i="91"/>
  <c r="E227" i="91"/>
  <c r="D227" i="91"/>
  <c r="AB226" i="91"/>
  <c r="AA226" i="91"/>
  <c r="Z226" i="91"/>
  <c r="Y226" i="91"/>
  <c r="X226" i="91"/>
  <c r="W226" i="91"/>
  <c r="V226" i="91"/>
  <c r="U226" i="91"/>
  <c r="T226" i="91"/>
  <c r="S226" i="91"/>
  <c r="R226" i="91"/>
  <c r="Q226" i="91"/>
  <c r="P226" i="91"/>
  <c r="O226" i="91"/>
  <c r="N226" i="91"/>
  <c r="M226" i="91"/>
  <c r="L226" i="91"/>
  <c r="K226" i="91"/>
  <c r="J226" i="91"/>
  <c r="I226" i="91"/>
  <c r="H226" i="91"/>
  <c r="G226" i="91"/>
  <c r="F226" i="91"/>
  <c r="E226" i="91"/>
  <c r="D226" i="91"/>
  <c r="AB225" i="91"/>
  <c r="AA225" i="91"/>
  <c r="Z225" i="91"/>
  <c r="Y225" i="91"/>
  <c r="X225" i="91"/>
  <c r="W225" i="91"/>
  <c r="V225" i="91"/>
  <c r="U225" i="91"/>
  <c r="T225" i="91"/>
  <c r="S225" i="91"/>
  <c r="R225" i="91"/>
  <c r="Q225" i="91"/>
  <c r="P225" i="91"/>
  <c r="O225" i="91"/>
  <c r="N225" i="91"/>
  <c r="M225" i="91"/>
  <c r="L225" i="91"/>
  <c r="K225" i="91"/>
  <c r="J225" i="91"/>
  <c r="I225" i="91"/>
  <c r="H225" i="91"/>
  <c r="G225" i="91"/>
  <c r="F225" i="91"/>
  <c r="E225" i="91"/>
  <c r="D225" i="91"/>
  <c r="AB224" i="91"/>
  <c r="AA224" i="91"/>
  <c r="Z224" i="91"/>
  <c r="Y224" i="91"/>
  <c r="X224" i="91"/>
  <c r="W224" i="91"/>
  <c r="V224" i="91"/>
  <c r="U224" i="91"/>
  <c r="T224" i="91"/>
  <c r="S224" i="91"/>
  <c r="R224" i="91"/>
  <c r="Q224" i="91"/>
  <c r="P224" i="91"/>
  <c r="O224" i="91"/>
  <c r="N224" i="91"/>
  <c r="M224" i="91"/>
  <c r="L224" i="91"/>
  <c r="K224" i="91"/>
  <c r="J224" i="91"/>
  <c r="I224" i="91"/>
  <c r="H224" i="91"/>
  <c r="G224" i="91"/>
  <c r="F224" i="91"/>
  <c r="E224" i="91"/>
  <c r="D224" i="91"/>
  <c r="AB223" i="91"/>
  <c r="AA223" i="91"/>
  <c r="Z223" i="91"/>
  <c r="Y223" i="91"/>
  <c r="X223" i="91"/>
  <c r="W223" i="91"/>
  <c r="V223" i="91"/>
  <c r="U223" i="91"/>
  <c r="T223" i="91"/>
  <c r="S223" i="91"/>
  <c r="R223" i="91"/>
  <c r="Q223" i="91"/>
  <c r="P223" i="91"/>
  <c r="O223" i="91"/>
  <c r="N223" i="91"/>
  <c r="M223" i="91"/>
  <c r="L223" i="91"/>
  <c r="K223" i="91"/>
  <c r="J223" i="91"/>
  <c r="I223" i="91"/>
  <c r="H223" i="91"/>
  <c r="G223" i="91"/>
  <c r="F223" i="91"/>
  <c r="E223" i="91"/>
  <c r="D223" i="91"/>
  <c r="AC223" i="91" s="1"/>
  <c r="AB222" i="91"/>
  <c r="AA222" i="91"/>
  <c r="Z222" i="91"/>
  <c r="Y222" i="91"/>
  <c r="X222" i="91"/>
  <c r="W222" i="91"/>
  <c r="V222" i="91"/>
  <c r="U222" i="91"/>
  <c r="T222" i="91"/>
  <c r="S222" i="91"/>
  <c r="R222" i="91"/>
  <c r="Q222" i="91"/>
  <c r="P222" i="91"/>
  <c r="O222" i="91"/>
  <c r="N222" i="91"/>
  <c r="M222" i="91"/>
  <c r="L222" i="91"/>
  <c r="K222" i="91"/>
  <c r="J222" i="91"/>
  <c r="I222" i="91"/>
  <c r="H222" i="91"/>
  <c r="G222" i="91"/>
  <c r="F222" i="91"/>
  <c r="E222" i="91"/>
  <c r="D222" i="91"/>
  <c r="AB221" i="91"/>
  <c r="AA221" i="91"/>
  <c r="Z221" i="91"/>
  <c r="Y221" i="91"/>
  <c r="X221" i="91"/>
  <c r="W221" i="91"/>
  <c r="V221" i="91"/>
  <c r="U221" i="91"/>
  <c r="T221" i="91"/>
  <c r="S221" i="91"/>
  <c r="R221" i="91"/>
  <c r="Q221" i="91"/>
  <c r="P221" i="91"/>
  <c r="O221" i="91"/>
  <c r="N221" i="91"/>
  <c r="M221" i="91"/>
  <c r="L221" i="91"/>
  <c r="K221" i="91"/>
  <c r="J221" i="91"/>
  <c r="I221" i="91"/>
  <c r="H221" i="91"/>
  <c r="G221" i="91"/>
  <c r="F221" i="91"/>
  <c r="E221" i="91"/>
  <c r="D221" i="91"/>
  <c r="AB220" i="91"/>
  <c r="AA220" i="91"/>
  <c r="Z220" i="91"/>
  <c r="Y220" i="91"/>
  <c r="X220" i="91"/>
  <c r="W220" i="91"/>
  <c r="V220" i="91"/>
  <c r="U220" i="91"/>
  <c r="T220" i="91"/>
  <c r="S220" i="91"/>
  <c r="R220" i="91"/>
  <c r="Q220" i="91"/>
  <c r="P220" i="91"/>
  <c r="O220" i="91"/>
  <c r="N220" i="91"/>
  <c r="M220" i="91"/>
  <c r="L220" i="91"/>
  <c r="K220" i="91"/>
  <c r="J220" i="91"/>
  <c r="I220" i="91"/>
  <c r="H220" i="91"/>
  <c r="G220" i="91"/>
  <c r="F220" i="91"/>
  <c r="E220" i="91"/>
  <c r="D220" i="91"/>
  <c r="AB219" i="91"/>
  <c r="AA219" i="91"/>
  <c r="Z219" i="91"/>
  <c r="Y219" i="91"/>
  <c r="X219" i="91"/>
  <c r="W219" i="91"/>
  <c r="V219" i="91"/>
  <c r="U219" i="91"/>
  <c r="T219" i="91"/>
  <c r="S219" i="91"/>
  <c r="R219" i="91"/>
  <c r="Q219" i="91"/>
  <c r="P219" i="91"/>
  <c r="O219" i="91"/>
  <c r="N219" i="91"/>
  <c r="M219" i="91"/>
  <c r="L219" i="91"/>
  <c r="K219" i="91"/>
  <c r="J219" i="91"/>
  <c r="I219" i="91"/>
  <c r="H219" i="91"/>
  <c r="G219" i="91"/>
  <c r="F219" i="91"/>
  <c r="E219" i="91"/>
  <c r="D219" i="91"/>
  <c r="AB218" i="91"/>
  <c r="AA218" i="91"/>
  <c r="Z218" i="91"/>
  <c r="Y218" i="91"/>
  <c r="X218" i="91"/>
  <c r="W218" i="91"/>
  <c r="V218" i="91"/>
  <c r="U218" i="91"/>
  <c r="T218" i="91"/>
  <c r="S218" i="91"/>
  <c r="R218" i="91"/>
  <c r="Q218" i="91"/>
  <c r="P218" i="91"/>
  <c r="O218" i="91"/>
  <c r="N218" i="91"/>
  <c r="M218" i="91"/>
  <c r="L218" i="91"/>
  <c r="K218" i="91"/>
  <c r="J218" i="91"/>
  <c r="I218" i="91"/>
  <c r="H218" i="91"/>
  <c r="G218" i="91"/>
  <c r="F218" i="91"/>
  <c r="E218" i="91"/>
  <c r="D218" i="91"/>
  <c r="AB217" i="91"/>
  <c r="AA217" i="91"/>
  <c r="Z217" i="91"/>
  <c r="Y217" i="91"/>
  <c r="X217" i="91"/>
  <c r="W217" i="91"/>
  <c r="V217" i="91"/>
  <c r="U217" i="91"/>
  <c r="T217" i="91"/>
  <c r="S217" i="91"/>
  <c r="R217" i="91"/>
  <c r="Q217" i="91"/>
  <c r="P217" i="91"/>
  <c r="O217" i="91"/>
  <c r="N217" i="91"/>
  <c r="M217" i="91"/>
  <c r="L217" i="91"/>
  <c r="K217" i="91"/>
  <c r="J217" i="91"/>
  <c r="I217" i="91"/>
  <c r="H217" i="91"/>
  <c r="G217" i="91"/>
  <c r="F217" i="91"/>
  <c r="E217" i="91"/>
  <c r="D217" i="91"/>
  <c r="AB216" i="91"/>
  <c r="AA216" i="91"/>
  <c r="Z216" i="91"/>
  <c r="Y216" i="91"/>
  <c r="X216" i="91"/>
  <c r="W216" i="91"/>
  <c r="V216" i="91"/>
  <c r="U216" i="91"/>
  <c r="T216" i="91"/>
  <c r="S216" i="91"/>
  <c r="R216" i="91"/>
  <c r="Q216" i="91"/>
  <c r="P216" i="91"/>
  <c r="O216" i="91"/>
  <c r="N216" i="91"/>
  <c r="M216" i="91"/>
  <c r="L216" i="91"/>
  <c r="K216" i="91"/>
  <c r="J216" i="91"/>
  <c r="I216" i="91"/>
  <c r="H216" i="91"/>
  <c r="G216" i="91"/>
  <c r="F216" i="91"/>
  <c r="E216" i="91"/>
  <c r="D216" i="91"/>
  <c r="AB215" i="91"/>
  <c r="AA215" i="91"/>
  <c r="Z215" i="91"/>
  <c r="Y215" i="91"/>
  <c r="X215" i="91"/>
  <c r="W215" i="91"/>
  <c r="V215" i="91"/>
  <c r="U215" i="91"/>
  <c r="T215" i="91"/>
  <c r="S215" i="91"/>
  <c r="R215" i="91"/>
  <c r="Q215" i="91"/>
  <c r="P215" i="91"/>
  <c r="O215" i="91"/>
  <c r="N215" i="91"/>
  <c r="M215" i="91"/>
  <c r="L215" i="91"/>
  <c r="K215" i="91"/>
  <c r="J215" i="91"/>
  <c r="I215" i="91"/>
  <c r="H215" i="91"/>
  <c r="G215" i="91"/>
  <c r="F215" i="91"/>
  <c r="E215" i="91"/>
  <c r="D215" i="91"/>
  <c r="AB214" i="91"/>
  <c r="AA214" i="91"/>
  <c r="Z214" i="91"/>
  <c r="Y214" i="91"/>
  <c r="X214" i="91"/>
  <c r="W214" i="91"/>
  <c r="V214" i="91"/>
  <c r="U214" i="91"/>
  <c r="T214" i="91"/>
  <c r="S214" i="91"/>
  <c r="R214" i="91"/>
  <c r="Q214" i="91"/>
  <c r="P214" i="91"/>
  <c r="O214" i="91"/>
  <c r="N214" i="91"/>
  <c r="M214" i="91"/>
  <c r="L214" i="91"/>
  <c r="K214" i="91"/>
  <c r="J214" i="91"/>
  <c r="I214" i="91"/>
  <c r="H214" i="91"/>
  <c r="G214" i="91"/>
  <c r="F214" i="91"/>
  <c r="E214" i="91"/>
  <c r="D214" i="91"/>
  <c r="AB213" i="91"/>
  <c r="AA213" i="91"/>
  <c r="Z213" i="91"/>
  <c r="Y213" i="91"/>
  <c r="X213" i="91"/>
  <c r="W213" i="91"/>
  <c r="V213" i="91"/>
  <c r="U213" i="91"/>
  <c r="T213" i="91"/>
  <c r="S213" i="91"/>
  <c r="R213" i="91"/>
  <c r="Q213" i="91"/>
  <c r="P213" i="91"/>
  <c r="O213" i="91"/>
  <c r="N213" i="91"/>
  <c r="M213" i="91"/>
  <c r="L213" i="91"/>
  <c r="K213" i="91"/>
  <c r="J213" i="91"/>
  <c r="I213" i="91"/>
  <c r="H213" i="91"/>
  <c r="G213" i="91"/>
  <c r="F213" i="91"/>
  <c r="E213" i="91"/>
  <c r="D213" i="91"/>
  <c r="AB212" i="91"/>
  <c r="AA212" i="91"/>
  <c r="Z212" i="91"/>
  <c r="Y212" i="91"/>
  <c r="X212" i="91"/>
  <c r="W212" i="91"/>
  <c r="V212" i="91"/>
  <c r="U212" i="91"/>
  <c r="T212" i="91"/>
  <c r="S212" i="91"/>
  <c r="R212" i="91"/>
  <c r="Q212" i="91"/>
  <c r="P212" i="91"/>
  <c r="O212" i="91"/>
  <c r="N212" i="91"/>
  <c r="M212" i="91"/>
  <c r="L212" i="91"/>
  <c r="K212" i="91"/>
  <c r="J212" i="91"/>
  <c r="I212" i="91"/>
  <c r="H212" i="91"/>
  <c r="G212" i="91"/>
  <c r="F212" i="91"/>
  <c r="E212" i="91"/>
  <c r="D212" i="91"/>
  <c r="AB211" i="91"/>
  <c r="AA211" i="91"/>
  <c r="Z211" i="91"/>
  <c r="Y211" i="91"/>
  <c r="X211" i="91"/>
  <c r="W211" i="91"/>
  <c r="V211" i="91"/>
  <c r="U211" i="91"/>
  <c r="T211" i="91"/>
  <c r="S211" i="91"/>
  <c r="R211" i="91"/>
  <c r="Q211" i="91"/>
  <c r="P211" i="91"/>
  <c r="O211" i="91"/>
  <c r="N211" i="91"/>
  <c r="M211" i="91"/>
  <c r="L211" i="91"/>
  <c r="K211" i="91"/>
  <c r="J211" i="91"/>
  <c r="I211" i="91"/>
  <c r="H211" i="91"/>
  <c r="G211" i="91"/>
  <c r="F211" i="91"/>
  <c r="E211" i="91"/>
  <c r="D211" i="91"/>
  <c r="AB210" i="91"/>
  <c r="AA210" i="91"/>
  <c r="Z210" i="91"/>
  <c r="Y210" i="91"/>
  <c r="X210" i="91"/>
  <c r="W210" i="91"/>
  <c r="V210" i="91"/>
  <c r="U210" i="91"/>
  <c r="T210" i="91"/>
  <c r="S210" i="91"/>
  <c r="R210" i="91"/>
  <c r="Q210" i="91"/>
  <c r="P210" i="91"/>
  <c r="O210" i="91"/>
  <c r="N210" i="91"/>
  <c r="M210" i="91"/>
  <c r="L210" i="91"/>
  <c r="K210" i="91"/>
  <c r="J210" i="91"/>
  <c r="I210" i="91"/>
  <c r="H210" i="91"/>
  <c r="G210" i="91"/>
  <c r="F210" i="91"/>
  <c r="E210" i="91"/>
  <c r="D210" i="91"/>
  <c r="AB209" i="91"/>
  <c r="AA209" i="91"/>
  <c r="Z209" i="91"/>
  <c r="Y209" i="91"/>
  <c r="X209" i="91"/>
  <c r="W209" i="91"/>
  <c r="V209" i="91"/>
  <c r="U209" i="91"/>
  <c r="T209" i="91"/>
  <c r="S209" i="91"/>
  <c r="R209" i="91"/>
  <c r="Q209" i="91"/>
  <c r="P209" i="91"/>
  <c r="O209" i="91"/>
  <c r="N209" i="91"/>
  <c r="M209" i="91"/>
  <c r="L209" i="91"/>
  <c r="K209" i="91"/>
  <c r="J209" i="91"/>
  <c r="I209" i="91"/>
  <c r="H209" i="91"/>
  <c r="G209" i="91"/>
  <c r="F209" i="91"/>
  <c r="E209" i="91"/>
  <c r="D209" i="91"/>
  <c r="AB208" i="91"/>
  <c r="AA208" i="91"/>
  <c r="Z208" i="91"/>
  <c r="Y208" i="91"/>
  <c r="X208" i="91"/>
  <c r="W208" i="91"/>
  <c r="V208" i="91"/>
  <c r="U208" i="91"/>
  <c r="T208" i="91"/>
  <c r="S208" i="91"/>
  <c r="R208" i="91"/>
  <c r="Q208" i="91"/>
  <c r="P208" i="91"/>
  <c r="O208" i="91"/>
  <c r="N208" i="91"/>
  <c r="M208" i="91"/>
  <c r="L208" i="91"/>
  <c r="K208" i="91"/>
  <c r="J208" i="91"/>
  <c r="I208" i="91"/>
  <c r="H208" i="91"/>
  <c r="G208" i="91"/>
  <c r="F208" i="91"/>
  <c r="E208" i="91"/>
  <c r="D208" i="91"/>
  <c r="AB207" i="91"/>
  <c r="AA207" i="91"/>
  <c r="Z207" i="91"/>
  <c r="Y207" i="91"/>
  <c r="X207" i="91"/>
  <c r="W207" i="91"/>
  <c r="V207" i="91"/>
  <c r="U207" i="91"/>
  <c r="T207" i="91"/>
  <c r="S207" i="91"/>
  <c r="R207" i="91"/>
  <c r="Q207" i="91"/>
  <c r="P207" i="91"/>
  <c r="O207" i="91"/>
  <c r="N207" i="91"/>
  <c r="M207" i="91"/>
  <c r="L207" i="91"/>
  <c r="K207" i="91"/>
  <c r="J207" i="91"/>
  <c r="I207" i="91"/>
  <c r="H207" i="91"/>
  <c r="G207" i="91"/>
  <c r="F207" i="91"/>
  <c r="E207" i="91"/>
  <c r="D207" i="91"/>
  <c r="AB205" i="91"/>
  <c r="AA205" i="91"/>
  <c r="Z205" i="91"/>
  <c r="Y205" i="91"/>
  <c r="X205" i="91"/>
  <c r="W205" i="91"/>
  <c r="V205" i="91"/>
  <c r="U205" i="91"/>
  <c r="T205" i="91"/>
  <c r="S205" i="91"/>
  <c r="R205" i="91"/>
  <c r="Q205" i="91"/>
  <c r="P205" i="91"/>
  <c r="O205" i="91"/>
  <c r="N205" i="91"/>
  <c r="M205" i="91"/>
  <c r="L205" i="91"/>
  <c r="K205" i="91"/>
  <c r="J205" i="91"/>
  <c r="I205" i="91"/>
  <c r="H205" i="91"/>
  <c r="G205" i="91"/>
  <c r="F205" i="91"/>
  <c r="E205" i="91"/>
  <c r="D205" i="91"/>
  <c r="AB204" i="91"/>
  <c r="AA204" i="91"/>
  <c r="Z204" i="91"/>
  <c r="Y204" i="91"/>
  <c r="X204" i="91"/>
  <c r="W204" i="91"/>
  <c r="V204" i="91"/>
  <c r="U204" i="91"/>
  <c r="T204" i="91"/>
  <c r="S204" i="91"/>
  <c r="R204" i="91"/>
  <c r="Q204" i="91"/>
  <c r="P204" i="91"/>
  <c r="O204" i="91"/>
  <c r="N204" i="91"/>
  <c r="M204" i="91"/>
  <c r="L204" i="91"/>
  <c r="K204" i="91"/>
  <c r="J204" i="91"/>
  <c r="I204" i="91"/>
  <c r="H204" i="91"/>
  <c r="G204" i="91"/>
  <c r="F204" i="91"/>
  <c r="E204" i="91"/>
  <c r="D204" i="91"/>
  <c r="AB203" i="91"/>
  <c r="AA203" i="91"/>
  <c r="Z203" i="91"/>
  <c r="Y203" i="91"/>
  <c r="X203" i="91"/>
  <c r="W203" i="91"/>
  <c r="V203" i="91"/>
  <c r="U203" i="91"/>
  <c r="T203" i="91"/>
  <c r="S203" i="91"/>
  <c r="R203" i="91"/>
  <c r="Q203" i="91"/>
  <c r="P203" i="91"/>
  <c r="O203" i="91"/>
  <c r="N203" i="91"/>
  <c r="M203" i="91"/>
  <c r="L203" i="91"/>
  <c r="K203" i="91"/>
  <c r="J203" i="91"/>
  <c r="I203" i="91"/>
  <c r="H203" i="91"/>
  <c r="G203" i="91"/>
  <c r="F203" i="91"/>
  <c r="E203" i="91"/>
  <c r="D203" i="91"/>
  <c r="AB202" i="91"/>
  <c r="AA202" i="91"/>
  <c r="Z202" i="91"/>
  <c r="Y202" i="91"/>
  <c r="X202" i="91"/>
  <c r="W202" i="91"/>
  <c r="V202" i="91"/>
  <c r="U202" i="91"/>
  <c r="T202" i="91"/>
  <c r="S202" i="91"/>
  <c r="R202" i="91"/>
  <c r="Q202" i="91"/>
  <c r="P202" i="91"/>
  <c r="O202" i="91"/>
  <c r="N202" i="91"/>
  <c r="M202" i="91"/>
  <c r="L202" i="91"/>
  <c r="K202" i="91"/>
  <c r="J202" i="91"/>
  <c r="I202" i="91"/>
  <c r="H202" i="91"/>
  <c r="G202" i="91"/>
  <c r="F202" i="91"/>
  <c r="E202" i="91"/>
  <c r="D202" i="91"/>
  <c r="AB201" i="91"/>
  <c r="AA201" i="91"/>
  <c r="Z201" i="91"/>
  <c r="Y201" i="91"/>
  <c r="X201" i="91"/>
  <c r="W201" i="91"/>
  <c r="V201" i="91"/>
  <c r="U201" i="91"/>
  <c r="T201" i="91"/>
  <c r="S201" i="91"/>
  <c r="R201" i="91"/>
  <c r="Q201" i="91"/>
  <c r="P201" i="91"/>
  <c r="O201" i="91"/>
  <c r="N201" i="91"/>
  <c r="M201" i="91"/>
  <c r="L201" i="91"/>
  <c r="K201" i="91"/>
  <c r="J201" i="91"/>
  <c r="I201" i="91"/>
  <c r="H201" i="91"/>
  <c r="G201" i="91"/>
  <c r="F201" i="91"/>
  <c r="E201" i="91"/>
  <c r="D201" i="91"/>
  <c r="AB200" i="91"/>
  <c r="AA200" i="91"/>
  <c r="Z200" i="91"/>
  <c r="Y200" i="91"/>
  <c r="X200" i="91"/>
  <c r="W200" i="91"/>
  <c r="V200" i="91"/>
  <c r="U200" i="91"/>
  <c r="T200" i="91"/>
  <c r="S200" i="91"/>
  <c r="R200" i="91"/>
  <c r="Q200" i="91"/>
  <c r="P200" i="91"/>
  <c r="O200" i="91"/>
  <c r="N200" i="91"/>
  <c r="M200" i="91"/>
  <c r="L200" i="91"/>
  <c r="K200" i="91"/>
  <c r="J200" i="91"/>
  <c r="I200" i="91"/>
  <c r="H200" i="91"/>
  <c r="G200" i="91"/>
  <c r="F200" i="91"/>
  <c r="E200" i="91"/>
  <c r="D200" i="91"/>
  <c r="AB199" i="91"/>
  <c r="AA199" i="91"/>
  <c r="Z199" i="91"/>
  <c r="Y199" i="91"/>
  <c r="X199" i="91"/>
  <c r="W199" i="91"/>
  <c r="V199" i="91"/>
  <c r="U199" i="91"/>
  <c r="T199" i="91"/>
  <c r="S199" i="91"/>
  <c r="R199" i="91"/>
  <c r="Q199" i="91"/>
  <c r="P199" i="91"/>
  <c r="O199" i="91"/>
  <c r="N199" i="91"/>
  <c r="M199" i="91"/>
  <c r="L199" i="91"/>
  <c r="K199" i="91"/>
  <c r="J199" i="91"/>
  <c r="I199" i="91"/>
  <c r="H199" i="91"/>
  <c r="G199" i="91"/>
  <c r="F199" i="91"/>
  <c r="E199" i="91"/>
  <c r="D199" i="91"/>
  <c r="AB198" i="91"/>
  <c r="AA198" i="91"/>
  <c r="Z198" i="91"/>
  <c r="Y198" i="91"/>
  <c r="X198" i="91"/>
  <c r="W198" i="91"/>
  <c r="V198" i="91"/>
  <c r="U198" i="91"/>
  <c r="T198" i="91"/>
  <c r="S198" i="91"/>
  <c r="R198" i="91"/>
  <c r="Q198" i="91"/>
  <c r="P198" i="91"/>
  <c r="O198" i="91"/>
  <c r="N198" i="91"/>
  <c r="M198" i="91"/>
  <c r="L198" i="91"/>
  <c r="K198" i="91"/>
  <c r="J198" i="91"/>
  <c r="I198" i="91"/>
  <c r="H198" i="91"/>
  <c r="G198" i="91"/>
  <c r="F198" i="91"/>
  <c r="E198" i="91"/>
  <c r="D198" i="91"/>
  <c r="AB197" i="91"/>
  <c r="AA197" i="91"/>
  <c r="Z197" i="91"/>
  <c r="Y197" i="91"/>
  <c r="X197" i="91"/>
  <c r="W197" i="91"/>
  <c r="V197" i="91"/>
  <c r="U197" i="91"/>
  <c r="T197" i="91"/>
  <c r="S197" i="91"/>
  <c r="R197" i="91"/>
  <c r="Q197" i="91"/>
  <c r="P197" i="91"/>
  <c r="O197" i="91"/>
  <c r="N197" i="91"/>
  <c r="M197" i="91"/>
  <c r="L197" i="91"/>
  <c r="K197" i="91"/>
  <c r="J197" i="91"/>
  <c r="I197" i="91"/>
  <c r="H197" i="91"/>
  <c r="G197" i="91"/>
  <c r="F197" i="91"/>
  <c r="E197" i="91"/>
  <c r="D197" i="91"/>
  <c r="AB196" i="91"/>
  <c r="AA196" i="91"/>
  <c r="Z196" i="91"/>
  <c r="Y196" i="91"/>
  <c r="X196" i="91"/>
  <c r="W196" i="91"/>
  <c r="V196" i="91"/>
  <c r="U196" i="91"/>
  <c r="T196" i="91"/>
  <c r="S196" i="91"/>
  <c r="R196" i="91"/>
  <c r="Q196" i="91"/>
  <c r="P196" i="91"/>
  <c r="O196" i="91"/>
  <c r="N196" i="91"/>
  <c r="M196" i="91"/>
  <c r="L196" i="91"/>
  <c r="K196" i="91"/>
  <c r="J196" i="91"/>
  <c r="I196" i="91"/>
  <c r="H196" i="91"/>
  <c r="G196" i="91"/>
  <c r="F196" i="91"/>
  <c r="E196" i="91"/>
  <c r="D196" i="91"/>
  <c r="AB195" i="91"/>
  <c r="AA195" i="91"/>
  <c r="Z195" i="91"/>
  <c r="Y195" i="91"/>
  <c r="X195" i="91"/>
  <c r="W195" i="91"/>
  <c r="V195" i="91"/>
  <c r="U195" i="91"/>
  <c r="T195" i="91"/>
  <c r="S195" i="91"/>
  <c r="R195" i="91"/>
  <c r="Q195" i="91"/>
  <c r="P195" i="91"/>
  <c r="O195" i="91"/>
  <c r="N195" i="91"/>
  <c r="M195" i="91"/>
  <c r="L195" i="91"/>
  <c r="K195" i="91"/>
  <c r="J195" i="91"/>
  <c r="I195" i="91"/>
  <c r="H195" i="91"/>
  <c r="G195" i="91"/>
  <c r="F195" i="91"/>
  <c r="E195" i="91"/>
  <c r="D195" i="91"/>
  <c r="AB194" i="91"/>
  <c r="AA194" i="91"/>
  <c r="Z194" i="91"/>
  <c r="Y194" i="91"/>
  <c r="X194" i="91"/>
  <c r="W194" i="91"/>
  <c r="V194" i="91"/>
  <c r="U194" i="91"/>
  <c r="T194" i="91"/>
  <c r="S194" i="91"/>
  <c r="R194" i="91"/>
  <c r="Q194" i="91"/>
  <c r="P194" i="91"/>
  <c r="O194" i="91"/>
  <c r="N194" i="91"/>
  <c r="M194" i="91"/>
  <c r="L194" i="91"/>
  <c r="K194" i="91"/>
  <c r="J194" i="91"/>
  <c r="I194" i="91"/>
  <c r="H194" i="91"/>
  <c r="G194" i="91"/>
  <c r="F194" i="91"/>
  <c r="E194" i="91"/>
  <c r="D194" i="91"/>
  <c r="AB193" i="91"/>
  <c r="AA193" i="91"/>
  <c r="Z193" i="91"/>
  <c r="Y193" i="91"/>
  <c r="X193" i="91"/>
  <c r="W193" i="91"/>
  <c r="V193" i="91"/>
  <c r="U193" i="91"/>
  <c r="T193" i="91"/>
  <c r="S193" i="91"/>
  <c r="R193" i="91"/>
  <c r="Q193" i="91"/>
  <c r="P193" i="91"/>
  <c r="O193" i="91"/>
  <c r="N193" i="91"/>
  <c r="M193" i="91"/>
  <c r="L193" i="91"/>
  <c r="K193" i="91"/>
  <c r="J193" i="91"/>
  <c r="I193" i="91"/>
  <c r="H193" i="91"/>
  <c r="G193" i="91"/>
  <c r="F193" i="91"/>
  <c r="E193" i="91"/>
  <c r="D193" i="91"/>
  <c r="AB192" i="91"/>
  <c r="AA192" i="91"/>
  <c r="Z192" i="91"/>
  <c r="Y192" i="91"/>
  <c r="X192" i="91"/>
  <c r="W192" i="91"/>
  <c r="V192" i="91"/>
  <c r="U192" i="91"/>
  <c r="T192" i="91"/>
  <c r="S192" i="91"/>
  <c r="R192" i="91"/>
  <c r="Q192" i="91"/>
  <c r="P192" i="91"/>
  <c r="O192" i="91"/>
  <c r="N192" i="91"/>
  <c r="M192" i="91"/>
  <c r="L192" i="91"/>
  <c r="K192" i="91"/>
  <c r="J192" i="91"/>
  <c r="I192" i="91"/>
  <c r="H192" i="91"/>
  <c r="G192" i="91"/>
  <c r="F192" i="91"/>
  <c r="E192" i="91"/>
  <c r="D192" i="91"/>
  <c r="AB191" i="91"/>
  <c r="AA191" i="91"/>
  <c r="Z191" i="91"/>
  <c r="Y191" i="91"/>
  <c r="X191" i="91"/>
  <c r="W191" i="91"/>
  <c r="V191" i="91"/>
  <c r="U191" i="91"/>
  <c r="T191" i="91"/>
  <c r="S191" i="91"/>
  <c r="R191" i="91"/>
  <c r="Q191" i="91"/>
  <c r="P191" i="91"/>
  <c r="O191" i="91"/>
  <c r="N191" i="91"/>
  <c r="M191" i="91"/>
  <c r="L191" i="91"/>
  <c r="K191" i="91"/>
  <c r="J191" i="91"/>
  <c r="I191" i="91"/>
  <c r="H191" i="91"/>
  <c r="G191" i="91"/>
  <c r="F191" i="91"/>
  <c r="E191" i="91"/>
  <c r="D191" i="91"/>
  <c r="AB190" i="91"/>
  <c r="AA190" i="91"/>
  <c r="Z190" i="91"/>
  <c r="Y190" i="91"/>
  <c r="X190" i="91"/>
  <c r="W190" i="91"/>
  <c r="V190" i="91"/>
  <c r="U190" i="91"/>
  <c r="T190" i="91"/>
  <c r="S190" i="91"/>
  <c r="R190" i="91"/>
  <c r="Q190" i="91"/>
  <c r="P190" i="91"/>
  <c r="O190" i="91"/>
  <c r="N190" i="91"/>
  <c r="M190" i="91"/>
  <c r="L190" i="91"/>
  <c r="K190" i="91"/>
  <c r="J190" i="91"/>
  <c r="I190" i="91"/>
  <c r="H190" i="91"/>
  <c r="G190" i="91"/>
  <c r="F190" i="91"/>
  <c r="E190" i="91"/>
  <c r="D190" i="91"/>
  <c r="AB189" i="91"/>
  <c r="AA189" i="91"/>
  <c r="Z189" i="91"/>
  <c r="Y189" i="91"/>
  <c r="X189" i="91"/>
  <c r="W189" i="91"/>
  <c r="V189" i="91"/>
  <c r="U189" i="91"/>
  <c r="T189" i="91"/>
  <c r="S189" i="91"/>
  <c r="R189" i="91"/>
  <c r="Q189" i="91"/>
  <c r="P189" i="91"/>
  <c r="O189" i="91"/>
  <c r="N189" i="91"/>
  <c r="M189" i="91"/>
  <c r="L189" i="91"/>
  <c r="K189" i="91"/>
  <c r="J189" i="91"/>
  <c r="I189" i="91"/>
  <c r="H189" i="91"/>
  <c r="G189" i="91"/>
  <c r="F189" i="91"/>
  <c r="E189" i="91"/>
  <c r="D189" i="91"/>
  <c r="AB188" i="91"/>
  <c r="AA188" i="91"/>
  <c r="Z188" i="91"/>
  <c r="Y188" i="91"/>
  <c r="X188" i="91"/>
  <c r="W188" i="91"/>
  <c r="V188" i="91"/>
  <c r="U188" i="91"/>
  <c r="T188" i="91"/>
  <c r="S188" i="91"/>
  <c r="R188" i="91"/>
  <c r="Q188" i="91"/>
  <c r="P188" i="91"/>
  <c r="O188" i="91"/>
  <c r="N188" i="91"/>
  <c r="M188" i="91"/>
  <c r="L188" i="91"/>
  <c r="K188" i="91"/>
  <c r="J188" i="91"/>
  <c r="I188" i="91"/>
  <c r="H188" i="91"/>
  <c r="G188" i="91"/>
  <c r="F188" i="91"/>
  <c r="E188" i="91"/>
  <c r="D188" i="91"/>
  <c r="AB187" i="91"/>
  <c r="AA187" i="91"/>
  <c r="Z187" i="91"/>
  <c r="Y187" i="91"/>
  <c r="X187" i="91"/>
  <c r="W187" i="91"/>
  <c r="V187" i="91"/>
  <c r="U187" i="91"/>
  <c r="T187" i="91"/>
  <c r="S187" i="91"/>
  <c r="R187" i="91"/>
  <c r="Q187" i="91"/>
  <c r="P187" i="91"/>
  <c r="O187" i="91"/>
  <c r="N187" i="91"/>
  <c r="M187" i="91"/>
  <c r="L187" i="91"/>
  <c r="K187" i="91"/>
  <c r="J187" i="91"/>
  <c r="I187" i="91"/>
  <c r="H187" i="91"/>
  <c r="G187" i="91"/>
  <c r="F187" i="91"/>
  <c r="E187" i="91"/>
  <c r="D187" i="91"/>
  <c r="AB186" i="91"/>
  <c r="AA186" i="91"/>
  <c r="Z186" i="91"/>
  <c r="Y186" i="91"/>
  <c r="X186" i="91"/>
  <c r="W186" i="91"/>
  <c r="V186" i="91"/>
  <c r="U186" i="91"/>
  <c r="T186" i="91"/>
  <c r="S186" i="91"/>
  <c r="R186" i="91"/>
  <c r="Q186" i="91"/>
  <c r="P186" i="91"/>
  <c r="O186" i="91"/>
  <c r="N186" i="91"/>
  <c r="M186" i="91"/>
  <c r="L186" i="91"/>
  <c r="K186" i="91"/>
  <c r="J186" i="91"/>
  <c r="I186" i="91"/>
  <c r="H186" i="91"/>
  <c r="G186" i="91"/>
  <c r="F186" i="91"/>
  <c r="E186" i="91"/>
  <c r="D186" i="91"/>
  <c r="AB185" i="91"/>
  <c r="AA185" i="91"/>
  <c r="Z185" i="91"/>
  <c r="Y185" i="91"/>
  <c r="X185" i="91"/>
  <c r="W185" i="91"/>
  <c r="V185" i="91"/>
  <c r="U185" i="91"/>
  <c r="T185" i="91"/>
  <c r="S185" i="91"/>
  <c r="R185" i="91"/>
  <c r="Q185" i="91"/>
  <c r="P185" i="91"/>
  <c r="O185" i="91"/>
  <c r="N185" i="91"/>
  <c r="M185" i="91"/>
  <c r="L185" i="91"/>
  <c r="K185" i="91"/>
  <c r="J185" i="91"/>
  <c r="I185" i="91"/>
  <c r="H185" i="91"/>
  <c r="G185" i="91"/>
  <c r="F185" i="91"/>
  <c r="E185" i="91"/>
  <c r="D185" i="91"/>
  <c r="AB184" i="91"/>
  <c r="AA184" i="91"/>
  <c r="Z184" i="91"/>
  <c r="Y184" i="91"/>
  <c r="X184" i="91"/>
  <c r="W184" i="91"/>
  <c r="V184" i="91"/>
  <c r="U184" i="91"/>
  <c r="T184" i="91"/>
  <c r="S184" i="91"/>
  <c r="R184" i="91"/>
  <c r="Q184" i="91"/>
  <c r="P184" i="91"/>
  <c r="O184" i="91"/>
  <c r="N184" i="91"/>
  <c r="M184" i="91"/>
  <c r="L184" i="91"/>
  <c r="K184" i="91"/>
  <c r="J184" i="91"/>
  <c r="I184" i="91"/>
  <c r="H184" i="91"/>
  <c r="G184" i="91"/>
  <c r="F184" i="91"/>
  <c r="E184" i="91"/>
  <c r="D184" i="91"/>
  <c r="AB183" i="91"/>
  <c r="AA183" i="91"/>
  <c r="Z183" i="91"/>
  <c r="Y183" i="91"/>
  <c r="X183" i="91"/>
  <c r="W183" i="91"/>
  <c r="V183" i="91"/>
  <c r="U183" i="91"/>
  <c r="T183" i="91"/>
  <c r="S183" i="91"/>
  <c r="R183" i="91"/>
  <c r="Q183" i="91"/>
  <c r="P183" i="91"/>
  <c r="O183" i="91"/>
  <c r="N183" i="91"/>
  <c r="M183" i="91"/>
  <c r="L183" i="91"/>
  <c r="K183" i="91"/>
  <c r="J183" i="91"/>
  <c r="I183" i="91"/>
  <c r="H183" i="91"/>
  <c r="G183" i="91"/>
  <c r="F183" i="91"/>
  <c r="E183" i="91"/>
  <c r="D183" i="91"/>
  <c r="AB182" i="91"/>
  <c r="AA182" i="91"/>
  <c r="Z182" i="91"/>
  <c r="Y182" i="91"/>
  <c r="X182" i="91"/>
  <c r="W182" i="91"/>
  <c r="V182" i="91"/>
  <c r="U182" i="91"/>
  <c r="T182" i="91"/>
  <c r="S182" i="91"/>
  <c r="R182" i="91"/>
  <c r="Q182" i="91"/>
  <c r="P182" i="91"/>
  <c r="O182" i="91"/>
  <c r="N182" i="91"/>
  <c r="M182" i="91"/>
  <c r="L182" i="91"/>
  <c r="K182" i="91"/>
  <c r="J182" i="91"/>
  <c r="I182" i="91"/>
  <c r="H182" i="91"/>
  <c r="G182" i="91"/>
  <c r="F182" i="91"/>
  <c r="E182" i="91"/>
  <c r="D182" i="91"/>
  <c r="AB181" i="91"/>
  <c r="AA181" i="91"/>
  <c r="Z181" i="91"/>
  <c r="Y181" i="91"/>
  <c r="X181" i="91"/>
  <c r="W181" i="91"/>
  <c r="V181" i="91"/>
  <c r="U181" i="91"/>
  <c r="T181" i="91"/>
  <c r="S181" i="91"/>
  <c r="R181" i="91"/>
  <c r="Q181" i="91"/>
  <c r="P181" i="91"/>
  <c r="O181" i="91"/>
  <c r="N181" i="91"/>
  <c r="M181" i="91"/>
  <c r="L181" i="91"/>
  <c r="K181" i="91"/>
  <c r="J181" i="91"/>
  <c r="I181" i="91"/>
  <c r="H181" i="91"/>
  <c r="G181" i="91"/>
  <c r="F181" i="91"/>
  <c r="E181" i="91"/>
  <c r="D181" i="91"/>
  <c r="AB180" i="91"/>
  <c r="AA180" i="91"/>
  <c r="Z180" i="91"/>
  <c r="Y180" i="91"/>
  <c r="X180" i="91"/>
  <c r="W180" i="91"/>
  <c r="V180" i="91"/>
  <c r="U180" i="91"/>
  <c r="T180" i="91"/>
  <c r="S180" i="91"/>
  <c r="R180" i="91"/>
  <c r="Q180" i="91"/>
  <c r="P180" i="91"/>
  <c r="O180" i="91"/>
  <c r="N180" i="91"/>
  <c r="M180" i="91"/>
  <c r="L180" i="91"/>
  <c r="K180" i="91"/>
  <c r="J180" i="91"/>
  <c r="I180" i="91"/>
  <c r="H180" i="91"/>
  <c r="G180" i="91"/>
  <c r="F180" i="91"/>
  <c r="E180" i="91"/>
  <c r="D180" i="91"/>
  <c r="AB179" i="91"/>
  <c r="AA179" i="91"/>
  <c r="Z179" i="91"/>
  <c r="Y179" i="91"/>
  <c r="X179" i="91"/>
  <c r="W179" i="91"/>
  <c r="V179" i="91"/>
  <c r="U179" i="91"/>
  <c r="T179" i="91"/>
  <c r="S179" i="91"/>
  <c r="R179" i="91"/>
  <c r="Q179" i="91"/>
  <c r="P179" i="91"/>
  <c r="O179" i="91"/>
  <c r="N179" i="91"/>
  <c r="M179" i="91"/>
  <c r="L179" i="91"/>
  <c r="K179" i="91"/>
  <c r="J179" i="91"/>
  <c r="I179" i="91"/>
  <c r="H179" i="91"/>
  <c r="G179" i="91"/>
  <c r="F179" i="91"/>
  <c r="E179" i="91"/>
  <c r="D179" i="91"/>
  <c r="AB178" i="91"/>
  <c r="AA178" i="91"/>
  <c r="Z178" i="91"/>
  <c r="Y178" i="91"/>
  <c r="X178" i="91"/>
  <c r="W178" i="91"/>
  <c r="V178" i="91"/>
  <c r="U178" i="91"/>
  <c r="T178" i="91"/>
  <c r="S178" i="91"/>
  <c r="R178" i="91"/>
  <c r="Q178" i="91"/>
  <c r="P178" i="91"/>
  <c r="O178" i="91"/>
  <c r="N178" i="91"/>
  <c r="M178" i="91"/>
  <c r="L178" i="91"/>
  <c r="K178" i="91"/>
  <c r="J178" i="91"/>
  <c r="I178" i="91"/>
  <c r="H178" i="91"/>
  <c r="G178" i="91"/>
  <c r="F178" i="91"/>
  <c r="E178" i="91"/>
  <c r="D178" i="91"/>
  <c r="AB177" i="91"/>
  <c r="AA177" i="91"/>
  <c r="Z177" i="91"/>
  <c r="Y177" i="91"/>
  <c r="X177" i="91"/>
  <c r="W177" i="91"/>
  <c r="V177" i="91"/>
  <c r="U177" i="91"/>
  <c r="T177" i="91"/>
  <c r="S177" i="91"/>
  <c r="R177" i="91"/>
  <c r="Q177" i="91"/>
  <c r="P177" i="91"/>
  <c r="O177" i="91"/>
  <c r="N177" i="91"/>
  <c r="M177" i="91"/>
  <c r="L177" i="91"/>
  <c r="K177" i="91"/>
  <c r="J177" i="91"/>
  <c r="I177" i="91"/>
  <c r="H177" i="91"/>
  <c r="G177" i="91"/>
  <c r="F177" i="91"/>
  <c r="E177" i="91"/>
  <c r="D177" i="91"/>
  <c r="AB176" i="91"/>
  <c r="AA176" i="91"/>
  <c r="Z176" i="91"/>
  <c r="Y176" i="91"/>
  <c r="X176" i="91"/>
  <c r="W176" i="91"/>
  <c r="V176" i="91"/>
  <c r="U176" i="91"/>
  <c r="T176" i="91"/>
  <c r="S176" i="91"/>
  <c r="R176" i="91"/>
  <c r="Q176" i="91"/>
  <c r="P176" i="91"/>
  <c r="O176" i="91"/>
  <c r="N176" i="91"/>
  <c r="M176" i="91"/>
  <c r="L176" i="91"/>
  <c r="K176" i="91"/>
  <c r="J176" i="91"/>
  <c r="I176" i="91"/>
  <c r="H176" i="91"/>
  <c r="G176" i="91"/>
  <c r="F176" i="91"/>
  <c r="E176" i="91"/>
  <c r="D176" i="91"/>
  <c r="AB175" i="91"/>
  <c r="AA175" i="91"/>
  <c r="Z175" i="91"/>
  <c r="Y175" i="91"/>
  <c r="X175" i="91"/>
  <c r="W175" i="91"/>
  <c r="V175" i="91"/>
  <c r="U175" i="91"/>
  <c r="T175" i="91"/>
  <c r="S175" i="91"/>
  <c r="R175" i="91"/>
  <c r="Q175" i="91"/>
  <c r="P175" i="91"/>
  <c r="O175" i="91"/>
  <c r="N175" i="91"/>
  <c r="M175" i="91"/>
  <c r="L175" i="91"/>
  <c r="K175" i="91"/>
  <c r="J175" i="91"/>
  <c r="I175" i="91"/>
  <c r="H175" i="91"/>
  <c r="G175" i="91"/>
  <c r="F175" i="91"/>
  <c r="E175" i="91"/>
  <c r="D175" i="91"/>
  <c r="AB174" i="91"/>
  <c r="AA174" i="91"/>
  <c r="Z174" i="91"/>
  <c r="Y174" i="91"/>
  <c r="X174" i="91"/>
  <c r="W174" i="91"/>
  <c r="V174" i="91"/>
  <c r="U174" i="91"/>
  <c r="T174" i="91"/>
  <c r="S174" i="91"/>
  <c r="R174" i="91"/>
  <c r="Q174" i="91"/>
  <c r="P174" i="91"/>
  <c r="O174" i="91"/>
  <c r="N174" i="91"/>
  <c r="M174" i="91"/>
  <c r="L174" i="91"/>
  <c r="K174" i="91"/>
  <c r="J174" i="91"/>
  <c r="I174" i="91"/>
  <c r="H174" i="91"/>
  <c r="G174" i="91"/>
  <c r="F174" i="91"/>
  <c r="E174" i="91"/>
  <c r="D174" i="91"/>
  <c r="AB173" i="91"/>
  <c r="AA173" i="91"/>
  <c r="Z173" i="91"/>
  <c r="Y173" i="91"/>
  <c r="X173" i="91"/>
  <c r="W173" i="91"/>
  <c r="V173" i="91"/>
  <c r="U173" i="91"/>
  <c r="T173" i="91"/>
  <c r="S173" i="91"/>
  <c r="R173" i="91"/>
  <c r="Q173" i="91"/>
  <c r="P173" i="91"/>
  <c r="O173" i="91"/>
  <c r="N173" i="91"/>
  <c r="M173" i="91"/>
  <c r="L173" i="91"/>
  <c r="K173" i="91"/>
  <c r="J173" i="91"/>
  <c r="I173" i="91"/>
  <c r="H173" i="91"/>
  <c r="G173" i="91"/>
  <c r="F173" i="91"/>
  <c r="E173" i="91"/>
  <c r="D173" i="91"/>
  <c r="AB172" i="91"/>
  <c r="AA172" i="91"/>
  <c r="Z172" i="91"/>
  <c r="Y172" i="91"/>
  <c r="X172" i="91"/>
  <c r="W172" i="91"/>
  <c r="V172" i="91"/>
  <c r="U172" i="91"/>
  <c r="T172" i="91"/>
  <c r="S172" i="91"/>
  <c r="R172" i="91"/>
  <c r="Q172" i="91"/>
  <c r="P172" i="91"/>
  <c r="O172" i="91"/>
  <c r="N172" i="91"/>
  <c r="M172" i="91"/>
  <c r="L172" i="91"/>
  <c r="K172" i="91"/>
  <c r="J172" i="91"/>
  <c r="I172" i="91"/>
  <c r="H172" i="91"/>
  <c r="G172" i="91"/>
  <c r="F172" i="91"/>
  <c r="E172" i="91"/>
  <c r="D172" i="91"/>
  <c r="AB171" i="91"/>
  <c r="AA171" i="91"/>
  <c r="Z171" i="91"/>
  <c r="Y171" i="91"/>
  <c r="X171" i="91"/>
  <c r="W171" i="91"/>
  <c r="V171" i="91"/>
  <c r="U171" i="91"/>
  <c r="T171" i="91"/>
  <c r="S171" i="91"/>
  <c r="R171" i="91"/>
  <c r="Q171" i="91"/>
  <c r="P171" i="91"/>
  <c r="O171" i="91"/>
  <c r="N171" i="91"/>
  <c r="M171" i="91"/>
  <c r="L171" i="91"/>
  <c r="K171" i="91"/>
  <c r="J171" i="91"/>
  <c r="I171" i="91"/>
  <c r="H171" i="91"/>
  <c r="G171" i="91"/>
  <c r="F171" i="91"/>
  <c r="E171" i="91"/>
  <c r="D171" i="91"/>
  <c r="AB170" i="91"/>
  <c r="AA170" i="91"/>
  <c r="Z170" i="91"/>
  <c r="Y170" i="91"/>
  <c r="X170" i="91"/>
  <c r="W170" i="91"/>
  <c r="V170" i="91"/>
  <c r="U170" i="91"/>
  <c r="T170" i="91"/>
  <c r="S170" i="91"/>
  <c r="R170" i="91"/>
  <c r="Q170" i="91"/>
  <c r="P170" i="91"/>
  <c r="O170" i="91"/>
  <c r="N170" i="91"/>
  <c r="M170" i="91"/>
  <c r="L170" i="91"/>
  <c r="K170" i="91"/>
  <c r="J170" i="91"/>
  <c r="I170" i="91"/>
  <c r="H170" i="91"/>
  <c r="G170" i="91"/>
  <c r="F170" i="91"/>
  <c r="E170" i="91"/>
  <c r="D170" i="91"/>
  <c r="AB169" i="91"/>
  <c r="AA169" i="91"/>
  <c r="Z169" i="91"/>
  <c r="Y169" i="91"/>
  <c r="X169" i="91"/>
  <c r="W169" i="91"/>
  <c r="V169" i="91"/>
  <c r="U169" i="91"/>
  <c r="T169" i="91"/>
  <c r="S169" i="91"/>
  <c r="R169" i="91"/>
  <c r="Q169" i="91"/>
  <c r="P169" i="91"/>
  <c r="O169" i="91"/>
  <c r="N169" i="91"/>
  <c r="M169" i="91"/>
  <c r="L169" i="91"/>
  <c r="K169" i="91"/>
  <c r="J169" i="91"/>
  <c r="I169" i="91"/>
  <c r="H169" i="91"/>
  <c r="G169" i="91"/>
  <c r="F169" i="91"/>
  <c r="E169" i="91"/>
  <c r="D169" i="91"/>
  <c r="AB168" i="91"/>
  <c r="AA168" i="91"/>
  <c r="Z168" i="91"/>
  <c r="Y168" i="91"/>
  <c r="X168" i="91"/>
  <c r="W168" i="91"/>
  <c r="V168" i="91"/>
  <c r="U168" i="91"/>
  <c r="T168" i="91"/>
  <c r="S168" i="91"/>
  <c r="R168" i="91"/>
  <c r="Q168" i="91"/>
  <c r="P168" i="91"/>
  <c r="O168" i="91"/>
  <c r="N168" i="91"/>
  <c r="M168" i="91"/>
  <c r="L168" i="91"/>
  <c r="K168" i="91"/>
  <c r="J168" i="91"/>
  <c r="I168" i="91"/>
  <c r="H168" i="91"/>
  <c r="G168" i="91"/>
  <c r="F168" i="91"/>
  <c r="E168" i="91"/>
  <c r="D168" i="91"/>
  <c r="AB167" i="91"/>
  <c r="AA167" i="91"/>
  <c r="Z167" i="91"/>
  <c r="Y167" i="91"/>
  <c r="X167" i="91"/>
  <c r="W167" i="91"/>
  <c r="V167" i="91"/>
  <c r="U167" i="91"/>
  <c r="T167" i="91"/>
  <c r="S167" i="91"/>
  <c r="R167" i="91"/>
  <c r="Q167" i="91"/>
  <c r="P167" i="91"/>
  <c r="O167" i="91"/>
  <c r="N167" i="91"/>
  <c r="M167" i="91"/>
  <c r="L167" i="91"/>
  <c r="K167" i="91"/>
  <c r="J167" i="91"/>
  <c r="I167" i="91"/>
  <c r="H167" i="91"/>
  <c r="G167" i="91"/>
  <c r="F167" i="91"/>
  <c r="E167" i="91"/>
  <c r="D167" i="91"/>
  <c r="AB166" i="91"/>
  <c r="AA166" i="91"/>
  <c r="Z166" i="91"/>
  <c r="Y166" i="91"/>
  <c r="X166" i="91"/>
  <c r="W166" i="91"/>
  <c r="V166" i="91"/>
  <c r="U166" i="91"/>
  <c r="T166" i="91"/>
  <c r="S166" i="91"/>
  <c r="R166" i="91"/>
  <c r="Q166" i="91"/>
  <c r="P166" i="91"/>
  <c r="O166" i="91"/>
  <c r="N166" i="91"/>
  <c r="M166" i="91"/>
  <c r="L166" i="91"/>
  <c r="K166" i="91"/>
  <c r="J166" i="91"/>
  <c r="I166" i="91"/>
  <c r="H166" i="91"/>
  <c r="G166" i="91"/>
  <c r="F166" i="91"/>
  <c r="E166" i="91"/>
  <c r="D166" i="91"/>
  <c r="AB165" i="91"/>
  <c r="AA165" i="91"/>
  <c r="Z165" i="91"/>
  <c r="Y165" i="91"/>
  <c r="X165" i="91"/>
  <c r="W165" i="91"/>
  <c r="V165" i="91"/>
  <c r="U165" i="91"/>
  <c r="T165" i="91"/>
  <c r="S165" i="91"/>
  <c r="R165" i="91"/>
  <c r="Q165" i="91"/>
  <c r="P165" i="91"/>
  <c r="O165" i="91"/>
  <c r="N165" i="91"/>
  <c r="M165" i="91"/>
  <c r="L165" i="91"/>
  <c r="K165" i="91"/>
  <c r="J165" i="91"/>
  <c r="I165" i="91"/>
  <c r="H165" i="91"/>
  <c r="G165" i="91"/>
  <c r="F165" i="91"/>
  <c r="E165" i="91"/>
  <c r="D165" i="91"/>
  <c r="AB164" i="91"/>
  <c r="AA164" i="91"/>
  <c r="Z164" i="91"/>
  <c r="Y164" i="91"/>
  <c r="X164" i="91"/>
  <c r="W164" i="91"/>
  <c r="V164" i="91"/>
  <c r="U164" i="91"/>
  <c r="T164" i="91"/>
  <c r="S164" i="91"/>
  <c r="R164" i="91"/>
  <c r="Q164" i="91"/>
  <c r="P164" i="91"/>
  <c r="O164" i="91"/>
  <c r="N164" i="91"/>
  <c r="M164" i="91"/>
  <c r="L164" i="91"/>
  <c r="K164" i="91"/>
  <c r="J164" i="91"/>
  <c r="I164" i="91"/>
  <c r="H164" i="91"/>
  <c r="G164" i="91"/>
  <c r="F164" i="91"/>
  <c r="E164" i="91"/>
  <c r="D164" i="91"/>
  <c r="AB163" i="91"/>
  <c r="AA163" i="91"/>
  <c r="Z163" i="91"/>
  <c r="Y163" i="91"/>
  <c r="X163" i="91"/>
  <c r="W163" i="91"/>
  <c r="V163" i="91"/>
  <c r="U163" i="91"/>
  <c r="T163" i="91"/>
  <c r="S163" i="91"/>
  <c r="R163" i="91"/>
  <c r="Q163" i="91"/>
  <c r="P163" i="91"/>
  <c r="O163" i="91"/>
  <c r="N163" i="91"/>
  <c r="M163" i="91"/>
  <c r="L163" i="91"/>
  <c r="K163" i="91"/>
  <c r="J163" i="91"/>
  <c r="I163" i="91"/>
  <c r="H163" i="91"/>
  <c r="G163" i="91"/>
  <c r="F163" i="91"/>
  <c r="E163" i="91"/>
  <c r="D163" i="91"/>
  <c r="AB162" i="91"/>
  <c r="AA162" i="91"/>
  <c r="Z162" i="91"/>
  <c r="Y162" i="91"/>
  <c r="X162" i="91"/>
  <c r="W162" i="91"/>
  <c r="V162" i="91"/>
  <c r="U162" i="91"/>
  <c r="T162" i="91"/>
  <c r="S162" i="91"/>
  <c r="R162" i="91"/>
  <c r="Q162" i="91"/>
  <c r="P162" i="91"/>
  <c r="O162" i="91"/>
  <c r="N162" i="91"/>
  <c r="M162" i="91"/>
  <c r="L162" i="91"/>
  <c r="K162" i="91"/>
  <c r="J162" i="91"/>
  <c r="I162" i="91"/>
  <c r="H162" i="91"/>
  <c r="G162" i="91"/>
  <c r="F162" i="91"/>
  <c r="E162" i="91"/>
  <c r="D162" i="91"/>
  <c r="AB161" i="91"/>
  <c r="AA161" i="91"/>
  <c r="Z161" i="91"/>
  <c r="Y161" i="91"/>
  <c r="X161" i="91"/>
  <c r="W161" i="91"/>
  <c r="V161" i="91"/>
  <c r="U161" i="91"/>
  <c r="T161" i="91"/>
  <c r="S161" i="91"/>
  <c r="R161" i="91"/>
  <c r="Q161" i="91"/>
  <c r="P161" i="91"/>
  <c r="O161" i="91"/>
  <c r="N161" i="91"/>
  <c r="M161" i="91"/>
  <c r="L161" i="91"/>
  <c r="K161" i="91"/>
  <c r="J161" i="91"/>
  <c r="I161" i="91"/>
  <c r="H161" i="91"/>
  <c r="G161" i="91"/>
  <c r="F161" i="91"/>
  <c r="E161" i="91"/>
  <c r="D161" i="91"/>
  <c r="AB160" i="91"/>
  <c r="AA160" i="91"/>
  <c r="Z160" i="91"/>
  <c r="Y160" i="91"/>
  <c r="X160" i="91"/>
  <c r="W160" i="91"/>
  <c r="V160" i="91"/>
  <c r="U160" i="91"/>
  <c r="T160" i="91"/>
  <c r="S160" i="91"/>
  <c r="R160" i="91"/>
  <c r="Q160" i="91"/>
  <c r="P160" i="91"/>
  <c r="O160" i="91"/>
  <c r="N160" i="91"/>
  <c r="M160" i="91"/>
  <c r="L160" i="91"/>
  <c r="K160" i="91"/>
  <c r="J160" i="91"/>
  <c r="I160" i="91"/>
  <c r="H160" i="91"/>
  <c r="G160" i="91"/>
  <c r="F160" i="91"/>
  <c r="E160" i="91"/>
  <c r="D160" i="91"/>
  <c r="AB159" i="91"/>
  <c r="AA159" i="91"/>
  <c r="Z159" i="91"/>
  <c r="Y159" i="91"/>
  <c r="X159" i="91"/>
  <c r="W159" i="91"/>
  <c r="V159" i="91"/>
  <c r="U159" i="91"/>
  <c r="T159" i="91"/>
  <c r="S159" i="91"/>
  <c r="R159" i="91"/>
  <c r="Q159" i="91"/>
  <c r="P159" i="91"/>
  <c r="O159" i="91"/>
  <c r="N159" i="91"/>
  <c r="M159" i="91"/>
  <c r="L159" i="91"/>
  <c r="K159" i="91"/>
  <c r="J159" i="91"/>
  <c r="I159" i="91"/>
  <c r="H159" i="91"/>
  <c r="G159" i="91"/>
  <c r="F159" i="91"/>
  <c r="E159" i="91"/>
  <c r="D159" i="91"/>
  <c r="AB158" i="91"/>
  <c r="AA158" i="91"/>
  <c r="Z158" i="91"/>
  <c r="Y158" i="91"/>
  <c r="X158" i="91"/>
  <c r="W158" i="91"/>
  <c r="V158" i="91"/>
  <c r="U158" i="91"/>
  <c r="T158" i="91"/>
  <c r="S158" i="91"/>
  <c r="R158" i="91"/>
  <c r="Q158" i="91"/>
  <c r="P158" i="91"/>
  <c r="O158" i="91"/>
  <c r="N158" i="91"/>
  <c r="M158" i="91"/>
  <c r="L158" i="91"/>
  <c r="K158" i="91"/>
  <c r="J158" i="91"/>
  <c r="I158" i="91"/>
  <c r="H158" i="91"/>
  <c r="G158" i="91"/>
  <c r="F158" i="91"/>
  <c r="E158" i="91"/>
  <c r="D158" i="91"/>
  <c r="AB156" i="91"/>
  <c r="AA156" i="91"/>
  <c r="Z156" i="91"/>
  <c r="Y156" i="91"/>
  <c r="X156" i="91"/>
  <c r="W156" i="91"/>
  <c r="V156" i="91"/>
  <c r="U156" i="91"/>
  <c r="T156" i="91"/>
  <c r="S156" i="91"/>
  <c r="R156" i="91"/>
  <c r="Q156" i="91"/>
  <c r="P156" i="91"/>
  <c r="O156" i="91"/>
  <c r="N156" i="91"/>
  <c r="M156" i="91"/>
  <c r="L156" i="91"/>
  <c r="K156" i="91"/>
  <c r="J156" i="91"/>
  <c r="I156" i="91"/>
  <c r="H156" i="91"/>
  <c r="G156" i="91"/>
  <c r="F156" i="91"/>
  <c r="E156" i="91"/>
  <c r="D156" i="91"/>
  <c r="AB155" i="91"/>
  <c r="AA155" i="91"/>
  <c r="Z155" i="91"/>
  <c r="Y155" i="91"/>
  <c r="X155" i="91"/>
  <c r="W155" i="91"/>
  <c r="V155" i="91"/>
  <c r="U155" i="91"/>
  <c r="T155" i="91"/>
  <c r="S155" i="91"/>
  <c r="R155" i="91"/>
  <c r="Q155" i="91"/>
  <c r="P155" i="91"/>
  <c r="O155" i="91"/>
  <c r="N155" i="91"/>
  <c r="M155" i="91"/>
  <c r="L155" i="91"/>
  <c r="K155" i="91"/>
  <c r="J155" i="91"/>
  <c r="I155" i="91"/>
  <c r="H155" i="91"/>
  <c r="G155" i="91"/>
  <c r="F155" i="91"/>
  <c r="E155" i="91"/>
  <c r="D155" i="91"/>
  <c r="AB154" i="91"/>
  <c r="AA154" i="91"/>
  <c r="Z154" i="91"/>
  <c r="Y154" i="91"/>
  <c r="X154" i="91"/>
  <c r="W154" i="91"/>
  <c r="V154" i="91"/>
  <c r="U154" i="91"/>
  <c r="T154" i="91"/>
  <c r="S154" i="91"/>
  <c r="R154" i="91"/>
  <c r="Q154" i="91"/>
  <c r="P154" i="91"/>
  <c r="O154" i="91"/>
  <c r="N154" i="91"/>
  <c r="M154" i="91"/>
  <c r="L154" i="91"/>
  <c r="K154" i="91"/>
  <c r="J154" i="91"/>
  <c r="I154" i="91"/>
  <c r="H154" i="91"/>
  <c r="G154" i="91"/>
  <c r="F154" i="91"/>
  <c r="E154" i="91"/>
  <c r="D154" i="91"/>
  <c r="AB153" i="91"/>
  <c r="AA153" i="91"/>
  <c r="Z153" i="91"/>
  <c r="Y153" i="91"/>
  <c r="X153" i="91"/>
  <c r="W153" i="91"/>
  <c r="V153" i="91"/>
  <c r="U153" i="91"/>
  <c r="T153" i="91"/>
  <c r="S153" i="91"/>
  <c r="R153" i="91"/>
  <c r="Q153" i="91"/>
  <c r="P153" i="91"/>
  <c r="O153" i="91"/>
  <c r="N153" i="91"/>
  <c r="M153" i="91"/>
  <c r="L153" i="91"/>
  <c r="K153" i="91"/>
  <c r="J153" i="91"/>
  <c r="I153" i="91"/>
  <c r="H153" i="91"/>
  <c r="G153" i="91"/>
  <c r="F153" i="91"/>
  <c r="E153" i="91"/>
  <c r="D153" i="91"/>
  <c r="AB152" i="91"/>
  <c r="AA152" i="91"/>
  <c r="Z152" i="91"/>
  <c r="Y152" i="91"/>
  <c r="X152" i="91"/>
  <c r="W152" i="91"/>
  <c r="V152" i="91"/>
  <c r="U152" i="91"/>
  <c r="T152" i="91"/>
  <c r="S152" i="91"/>
  <c r="R152" i="91"/>
  <c r="Q152" i="91"/>
  <c r="P152" i="91"/>
  <c r="O152" i="91"/>
  <c r="N152" i="91"/>
  <c r="M152" i="91"/>
  <c r="L152" i="91"/>
  <c r="K152" i="91"/>
  <c r="J152" i="91"/>
  <c r="I152" i="91"/>
  <c r="H152" i="91"/>
  <c r="G152" i="91"/>
  <c r="F152" i="91"/>
  <c r="E152" i="91"/>
  <c r="D152" i="91"/>
  <c r="AB151" i="91"/>
  <c r="AA151" i="91"/>
  <c r="Z151" i="91"/>
  <c r="Y151" i="91"/>
  <c r="X151" i="91"/>
  <c r="W151" i="91"/>
  <c r="V151" i="91"/>
  <c r="U151" i="91"/>
  <c r="T151" i="91"/>
  <c r="S151" i="91"/>
  <c r="R151" i="91"/>
  <c r="Q151" i="91"/>
  <c r="P151" i="91"/>
  <c r="O151" i="91"/>
  <c r="N151" i="91"/>
  <c r="M151" i="91"/>
  <c r="L151" i="91"/>
  <c r="K151" i="91"/>
  <c r="J151" i="91"/>
  <c r="I151" i="91"/>
  <c r="H151" i="91"/>
  <c r="G151" i="91"/>
  <c r="F151" i="91"/>
  <c r="E151" i="91"/>
  <c r="D151" i="91"/>
  <c r="AB150" i="91"/>
  <c r="AA150" i="91"/>
  <c r="Z150" i="91"/>
  <c r="Y150" i="91"/>
  <c r="X150" i="91"/>
  <c r="W150" i="91"/>
  <c r="V150" i="91"/>
  <c r="U150" i="91"/>
  <c r="T150" i="91"/>
  <c r="S150" i="91"/>
  <c r="R150" i="91"/>
  <c r="Q150" i="91"/>
  <c r="P150" i="91"/>
  <c r="O150" i="91"/>
  <c r="N150" i="91"/>
  <c r="M150" i="91"/>
  <c r="L150" i="91"/>
  <c r="K150" i="91"/>
  <c r="J150" i="91"/>
  <c r="I150" i="91"/>
  <c r="H150" i="91"/>
  <c r="G150" i="91"/>
  <c r="F150" i="91"/>
  <c r="E150" i="91"/>
  <c r="D150" i="91"/>
  <c r="AB149" i="91"/>
  <c r="AA149" i="91"/>
  <c r="Z149" i="91"/>
  <c r="Y149" i="91"/>
  <c r="X149" i="91"/>
  <c r="W149" i="91"/>
  <c r="V149" i="91"/>
  <c r="U149" i="91"/>
  <c r="T149" i="91"/>
  <c r="S149" i="91"/>
  <c r="R149" i="91"/>
  <c r="Q149" i="91"/>
  <c r="P149" i="91"/>
  <c r="O149" i="91"/>
  <c r="N149" i="91"/>
  <c r="M149" i="91"/>
  <c r="L149" i="91"/>
  <c r="K149" i="91"/>
  <c r="J149" i="91"/>
  <c r="I149" i="91"/>
  <c r="H149" i="91"/>
  <c r="G149" i="91"/>
  <c r="F149" i="91"/>
  <c r="E149" i="91"/>
  <c r="D149" i="91"/>
  <c r="AB148" i="91"/>
  <c r="AA148" i="91"/>
  <c r="Z148" i="91"/>
  <c r="Y148" i="91"/>
  <c r="X148" i="91"/>
  <c r="W148" i="91"/>
  <c r="V148" i="91"/>
  <c r="U148" i="91"/>
  <c r="T148" i="91"/>
  <c r="S148" i="91"/>
  <c r="R148" i="91"/>
  <c r="Q148" i="91"/>
  <c r="P148" i="91"/>
  <c r="O148" i="91"/>
  <c r="N148" i="91"/>
  <c r="M148" i="91"/>
  <c r="L148" i="91"/>
  <c r="K148" i="91"/>
  <c r="J148" i="91"/>
  <c r="I148" i="91"/>
  <c r="H148" i="91"/>
  <c r="G148" i="91"/>
  <c r="F148" i="91"/>
  <c r="E148" i="91"/>
  <c r="D148" i="91"/>
  <c r="AB147" i="91"/>
  <c r="AA147" i="91"/>
  <c r="Z147" i="91"/>
  <c r="Y147" i="91"/>
  <c r="X147" i="91"/>
  <c r="W147" i="91"/>
  <c r="V147" i="91"/>
  <c r="U147" i="91"/>
  <c r="T147" i="91"/>
  <c r="S147" i="91"/>
  <c r="R147" i="91"/>
  <c r="Q147" i="91"/>
  <c r="P147" i="91"/>
  <c r="O147" i="91"/>
  <c r="N147" i="91"/>
  <c r="M147" i="91"/>
  <c r="L147" i="91"/>
  <c r="K147" i="91"/>
  <c r="J147" i="91"/>
  <c r="I147" i="91"/>
  <c r="H147" i="91"/>
  <c r="G147" i="91"/>
  <c r="F147" i="91"/>
  <c r="E147" i="91"/>
  <c r="D147" i="91"/>
  <c r="AB146" i="91"/>
  <c r="AA146" i="91"/>
  <c r="Z146" i="91"/>
  <c r="Y146" i="91"/>
  <c r="X146" i="91"/>
  <c r="W146" i="91"/>
  <c r="V146" i="91"/>
  <c r="U146" i="91"/>
  <c r="T146" i="91"/>
  <c r="S146" i="91"/>
  <c r="R146" i="91"/>
  <c r="Q146" i="91"/>
  <c r="P146" i="91"/>
  <c r="O146" i="91"/>
  <c r="N146" i="91"/>
  <c r="M146" i="91"/>
  <c r="L146" i="91"/>
  <c r="K146" i="91"/>
  <c r="J146" i="91"/>
  <c r="I146" i="91"/>
  <c r="H146" i="91"/>
  <c r="G146" i="91"/>
  <c r="F146" i="91"/>
  <c r="E146" i="91"/>
  <c r="D146" i="91"/>
  <c r="AB145" i="91"/>
  <c r="AA145" i="91"/>
  <c r="Z145" i="91"/>
  <c r="Y145" i="91"/>
  <c r="X145" i="91"/>
  <c r="W145" i="91"/>
  <c r="V145" i="91"/>
  <c r="U145" i="91"/>
  <c r="T145" i="91"/>
  <c r="S145" i="91"/>
  <c r="R145" i="91"/>
  <c r="Q145" i="91"/>
  <c r="P145" i="91"/>
  <c r="O145" i="91"/>
  <c r="N145" i="91"/>
  <c r="M145" i="91"/>
  <c r="L145" i="91"/>
  <c r="K145" i="91"/>
  <c r="J145" i="91"/>
  <c r="I145" i="91"/>
  <c r="H145" i="91"/>
  <c r="G145" i="91"/>
  <c r="F145" i="91"/>
  <c r="E145" i="91"/>
  <c r="D145" i="91"/>
  <c r="AB144" i="91"/>
  <c r="AA144" i="91"/>
  <c r="Z144" i="91"/>
  <c r="Y144" i="91"/>
  <c r="X144" i="91"/>
  <c r="W144" i="91"/>
  <c r="V144" i="91"/>
  <c r="U144" i="91"/>
  <c r="T144" i="91"/>
  <c r="S144" i="91"/>
  <c r="R144" i="91"/>
  <c r="Q144" i="91"/>
  <c r="P144" i="91"/>
  <c r="O144" i="91"/>
  <c r="N144" i="91"/>
  <c r="M144" i="91"/>
  <c r="L144" i="91"/>
  <c r="K144" i="91"/>
  <c r="J144" i="91"/>
  <c r="I144" i="91"/>
  <c r="H144" i="91"/>
  <c r="G144" i="91"/>
  <c r="F144" i="91"/>
  <c r="E144" i="91"/>
  <c r="D144" i="91"/>
  <c r="AB143" i="91"/>
  <c r="AA143" i="91"/>
  <c r="Z143" i="91"/>
  <c r="Y143" i="91"/>
  <c r="X143" i="91"/>
  <c r="W143" i="91"/>
  <c r="V143" i="91"/>
  <c r="U143" i="91"/>
  <c r="T143" i="91"/>
  <c r="S143" i="91"/>
  <c r="R143" i="91"/>
  <c r="Q143" i="91"/>
  <c r="P143" i="91"/>
  <c r="O143" i="91"/>
  <c r="N143" i="91"/>
  <c r="M143" i="91"/>
  <c r="L143" i="91"/>
  <c r="K143" i="91"/>
  <c r="J143" i="91"/>
  <c r="I143" i="91"/>
  <c r="H143" i="91"/>
  <c r="G143" i="91"/>
  <c r="F143" i="91"/>
  <c r="E143" i="91"/>
  <c r="D143" i="91"/>
  <c r="AB142" i="91"/>
  <c r="AA142" i="91"/>
  <c r="Z142" i="91"/>
  <c r="Y142" i="91"/>
  <c r="X142" i="91"/>
  <c r="W142" i="91"/>
  <c r="V142" i="91"/>
  <c r="U142" i="91"/>
  <c r="T142" i="91"/>
  <c r="S142" i="91"/>
  <c r="R142" i="91"/>
  <c r="Q142" i="91"/>
  <c r="P142" i="91"/>
  <c r="O142" i="91"/>
  <c r="N142" i="91"/>
  <c r="M142" i="91"/>
  <c r="L142" i="91"/>
  <c r="K142" i="91"/>
  <c r="J142" i="91"/>
  <c r="I142" i="91"/>
  <c r="H142" i="91"/>
  <c r="G142" i="91"/>
  <c r="F142" i="91"/>
  <c r="E142" i="91"/>
  <c r="D142" i="91"/>
  <c r="AB141" i="91"/>
  <c r="AA141" i="91"/>
  <c r="Z141" i="91"/>
  <c r="Y141" i="91"/>
  <c r="X141" i="91"/>
  <c r="W141" i="91"/>
  <c r="V141" i="91"/>
  <c r="U141" i="91"/>
  <c r="T141" i="91"/>
  <c r="S141" i="91"/>
  <c r="R141" i="91"/>
  <c r="Q141" i="91"/>
  <c r="P141" i="91"/>
  <c r="O141" i="91"/>
  <c r="N141" i="91"/>
  <c r="M141" i="91"/>
  <c r="L141" i="91"/>
  <c r="K141" i="91"/>
  <c r="J141" i="91"/>
  <c r="I141" i="91"/>
  <c r="H141" i="91"/>
  <c r="G141" i="91"/>
  <c r="F141" i="91"/>
  <c r="E141" i="91"/>
  <c r="D141" i="91"/>
  <c r="AB140" i="91"/>
  <c r="AA140" i="91"/>
  <c r="Z140" i="91"/>
  <c r="Y140" i="91"/>
  <c r="X140" i="91"/>
  <c r="W140" i="91"/>
  <c r="V140" i="91"/>
  <c r="U140" i="91"/>
  <c r="T140" i="91"/>
  <c r="S140" i="91"/>
  <c r="R140" i="91"/>
  <c r="Q140" i="91"/>
  <c r="P140" i="91"/>
  <c r="O140" i="91"/>
  <c r="N140" i="91"/>
  <c r="M140" i="91"/>
  <c r="L140" i="91"/>
  <c r="K140" i="91"/>
  <c r="J140" i="91"/>
  <c r="I140" i="91"/>
  <c r="H140" i="91"/>
  <c r="G140" i="91"/>
  <c r="F140" i="91"/>
  <c r="E140" i="91"/>
  <c r="D140" i="91"/>
  <c r="AB139" i="91"/>
  <c r="AA139" i="91"/>
  <c r="Z139" i="91"/>
  <c r="Y139" i="91"/>
  <c r="X139" i="91"/>
  <c r="W139" i="91"/>
  <c r="V139" i="91"/>
  <c r="U139" i="91"/>
  <c r="T139" i="91"/>
  <c r="S139" i="91"/>
  <c r="R139" i="91"/>
  <c r="Q139" i="91"/>
  <c r="P139" i="91"/>
  <c r="O139" i="91"/>
  <c r="N139" i="91"/>
  <c r="M139" i="91"/>
  <c r="L139" i="91"/>
  <c r="K139" i="91"/>
  <c r="J139" i="91"/>
  <c r="I139" i="91"/>
  <c r="H139" i="91"/>
  <c r="G139" i="91"/>
  <c r="F139" i="91"/>
  <c r="E139" i="91"/>
  <c r="D139" i="91"/>
  <c r="AB138" i="91"/>
  <c r="AA138" i="91"/>
  <c r="Z138" i="91"/>
  <c r="Y138" i="91"/>
  <c r="X138" i="91"/>
  <c r="W138" i="91"/>
  <c r="V138" i="91"/>
  <c r="U138" i="91"/>
  <c r="T138" i="91"/>
  <c r="S138" i="91"/>
  <c r="R138" i="91"/>
  <c r="Q138" i="91"/>
  <c r="P138" i="91"/>
  <c r="O138" i="91"/>
  <c r="N138" i="91"/>
  <c r="M138" i="91"/>
  <c r="L138" i="91"/>
  <c r="K138" i="91"/>
  <c r="J138" i="91"/>
  <c r="I138" i="91"/>
  <c r="H138" i="91"/>
  <c r="G138" i="91"/>
  <c r="F138" i="91"/>
  <c r="E138" i="91"/>
  <c r="D138" i="91"/>
  <c r="AB137" i="91"/>
  <c r="AA137" i="91"/>
  <c r="Z137" i="91"/>
  <c r="Y137" i="91"/>
  <c r="X137" i="91"/>
  <c r="W137" i="91"/>
  <c r="V137" i="91"/>
  <c r="U137" i="91"/>
  <c r="T137" i="91"/>
  <c r="S137" i="91"/>
  <c r="R137" i="91"/>
  <c r="Q137" i="91"/>
  <c r="P137" i="91"/>
  <c r="O137" i="91"/>
  <c r="N137" i="91"/>
  <c r="M137" i="91"/>
  <c r="L137" i="91"/>
  <c r="K137" i="91"/>
  <c r="J137" i="91"/>
  <c r="I137" i="91"/>
  <c r="H137" i="91"/>
  <c r="G137" i="91"/>
  <c r="F137" i="91"/>
  <c r="E137" i="91"/>
  <c r="D137" i="91"/>
  <c r="AB136" i="91"/>
  <c r="AA136" i="91"/>
  <c r="Z136" i="91"/>
  <c r="Y136" i="91"/>
  <c r="X136" i="91"/>
  <c r="W136" i="91"/>
  <c r="V136" i="91"/>
  <c r="U136" i="91"/>
  <c r="T136" i="91"/>
  <c r="S136" i="91"/>
  <c r="R136" i="91"/>
  <c r="Q136" i="91"/>
  <c r="P136" i="91"/>
  <c r="O136" i="91"/>
  <c r="N136" i="91"/>
  <c r="M136" i="91"/>
  <c r="L136" i="91"/>
  <c r="K136" i="91"/>
  <c r="J136" i="91"/>
  <c r="I136" i="91"/>
  <c r="H136" i="91"/>
  <c r="G136" i="91"/>
  <c r="F136" i="91"/>
  <c r="E136" i="91"/>
  <c r="D136" i="91"/>
  <c r="AB135" i="91"/>
  <c r="AA135" i="91"/>
  <c r="Z135" i="91"/>
  <c r="Y135" i="91"/>
  <c r="X135" i="91"/>
  <c r="W135" i="91"/>
  <c r="V135" i="91"/>
  <c r="U135" i="91"/>
  <c r="T135" i="91"/>
  <c r="S135" i="91"/>
  <c r="R135" i="91"/>
  <c r="Q135" i="91"/>
  <c r="P135" i="91"/>
  <c r="O135" i="91"/>
  <c r="N135" i="91"/>
  <c r="M135" i="91"/>
  <c r="L135" i="91"/>
  <c r="K135" i="91"/>
  <c r="J135" i="91"/>
  <c r="I135" i="91"/>
  <c r="H135" i="91"/>
  <c r="G135" i="91"/>
  <c r="F135" i="91"/>
  <c r="E135" i="91"/>
  <c r="D135" i="91"/>
  <c r="AB134" i="91"/>
  <c r="AA134" i="91"/>
  <c r="Z134" i="91"/>
  <c r="Y134" i="91"/>
  <c r="X134" i="91"/>
  <c r="W134" i="91"/>
  <c r="V134" i="91"/>
  <c r="U134" i="91"/>
  <c r="T134" i="91"/>
  <c r="S134" i="91"/>
  <c r="R134" i="91"/>
  <c r="Q134" i="91"/>
  <c r="P134" i="91"/>
  <c r="O134" i="91"/>
  <c r="N134" i="91"/>
  <c r="M134" i="91"/>
  <c r="L134" i="91"/>
  <c r="K134" i="91"/>
  <c r="J134" i="91"/>
  <c r="I134" i="91"/>
  <c r="H134" i="91"/>
  <c r="G134" i="91"/>
  <c r="F134" i="91"/>
  <c r="E134" i="91"/>
  <c r="D134" i="91"/>
  <c r="AB133" i="91"/>
  <c r="AA133" i="91"/>
  <c r="Z133" i="91"/>
  <c r="Y133" i="91"/>
  <c r="X133" i="91"/>
  <c r="W133" i="91"/>
  <c r="V133" i="91"/>
  <c r="U133" i="91"/>
  <c r="T133" i="91"/>
  <c r="S133" i="91"/>
  <c r="R133" i="91"/>
  <c r="Q133" i="91"/>
  <c r="P133" i="91"/>
  <c r="O133" i="91"/>
  <c r="N133" i="91"/>
  <c r="M133" i="91"/>
  <c r="L133" i="91"/>
  <c r="K133" i="91"/>
  <c r="J133" i="91"/>
  <c r="I133" i="91"/>
  <c r="H133" i="91"/>
  <c r="G133" i="91"/>
  <c r="F133" i="91"/>
  <c r="E133" i="91"/>
  <c r="D133" i="91"/>
  <c r="AB132" i="91"/>
  <c r="AA132" i="91"/>
  <c r="Z132" i="91"/>
  <c r="Y132" i="91"/>
  <c r="X132" i="91"/>
  <c r="W132" i="91"/>
  <c r="V132" i="91"/>
  <c r="U132" i="91"/>
  <c r="T132" i="91"/>
  <c r="S132" i="91"/>
  <c r="R132" i="91"/>
  <c r="Q132" i="91"/>
  <c r="P132" i="91"/>
  <c r="O132" i="91"/>
  <c r="N132" i="91"/>
  <c r="M132" i="91"/>
  <c r="L132" i="91"/>
  <c r="K132" i="91"/>
  <c r="J132" i="91"/>
  <c r="I132" i="91"/>
  <c r="H132" i="91"/>
  <c r="G132" i="91"/>
  <c r="F132" i="91"/>
  <c r="E132" i="91"/>
  <c r="D132" i="91"/>
  <c r="AB131" i="91"/>
  <c r="AA131" i="91"/>
  <c r="Z131" i="91"/>
  <c r="Y131" i="91"/>
  <c r="X131" i="91"/>
  <c r="W131" i="91"/>
  <c r="V131" i="91"/>
  <c r="U131" i="91"/>
  <c r="T131" i="91"/>
  <c r="S131" i="91"/>
  <c r="R131" i="91"/>
  <c r="Q131" i="91"/>
  <c r="P131" i="91"/>
  <c r="O131" i="91"/>
  <c r="N131" i="91"/>
  <c r="M131" i="91"/>
  <c r="L131" i="91"/>
  <c r="K131" i="91"/>
  <c r="J131" i="91"/>
  <c r="I131" i="91"/>
  <c r="H131" i="91"/>
  <c r="G131" i="91"/>
  <c r="F131" i="91"/>
  <c r="E131" i="91"/>
  <c r="D131" i="91"/>
  <c r="AB130" i="91"/>
  <c r="AA130" i="91"/>
  <c r="Z130" i="91"/>
  <c r="Y130" i="91"/>
  <c r="X130" i="91"/>
  <c r="W130" i="91"/>
  <c r="V130" i="91"/>
  <c r="U130" i="91"/>
  <c r="T130" i="91"/>
  <c r="S130" i="91"/>
  <c r="R130" i="91"/>
  <c r="Q130" i="91"/>
  <c r="P130" i="91"/>
  <c r="O130" i="91"/>
  <c r="N130" i="91"/>
  <c r="M130" i="91"/>
  <c r="L130" i="91"/>
  <c r="K130" i="91"/>
  <c r="J130" i="91"/>
  <c r="I130" i="91"/>
  <c r="H130" i="91"/>
  <c r="G130" i="91"/>
  <c r="F130" i="91"/>
  <c r="E130" i="91"/>
  <c r="D130" i="91"/>
  <c r="AB129" i="91"/>
  <c r="AA129" i="91"/>
  <c r="Z129" i="91"/>
  <c r="Y129" i="91"/>
  <c r="X129" i="91"/>
  <c r="W129" i="91"/>
  <c r="V129" i="91"/>
  <c r="U129" i="91"/>
  <c r="T129" i="91"/>
  <c r="S129" i="91"/>
  <c r="R129" i="91"/>
  <c r="Q129" i="91"/>
  <c r="P129" i="91"/>
  <c r="O129" i="91"/>
  <c r="N129" i="91"/>
  <c r="M129" i="91"/>
  <c r="L129" i="91"/>
  <c r="K129" i="91"/>
  <c r="J129" i="91"/>
  <c r="I129" i="91"/>
  <c r="H129" i="91"/>
  <c r="G129" i="91"/>
  <c r="F129" i="91"/>
  <c r="E129" i="91"/>
  <c r="D129" i="91"/>
  <c r="AB128" i="91"/>
  <c r="AA128" i="91"/>
  <c r="Z128" i="91"/>
  <c r="Y128" i="91"/>
  <c r="X128" i="91"/>
  <c r="W128" i="91"/>
  <c r="V128" i="91"/>
  <c r="U128" i="91"/>
  <c r="T128" i="91"/>
  <c r="S128" i="91"/>
  <c r="R128" i="91"/>
  <c r="Q128" i="91"/>
  <c r="P128" i="91"/>
  <c r="O128" i="91"/>
  <c r="N128" i="91"/>
  <c r="M128" i="91"/>
  <c r="L128" i="91"/>
  <c r="K128" i="91"/>
  <c r="J128" i="91"/>
  <c r="I128" i="91"/>
  <c r="H128" i="91"/>
  <c r="G128" i="91"/>
  <c r="F128" i="91"/>
  <c r="E128" i="91"/>
  <c r="D128" i="91"/>
  <c r="AB127" i="91"/>
  <c r="AA127" i="91"/>
  <c r="Z127" i="91"/>
  <c r="Y127" i="91"/>
  <c r="X127" i="91"/>
  <c r="W127" i="91"/>
  <c r="V127" i="91"/>
  <c r="U127" i="91"/>
  <c r="T127" i="91"/>
  <c r="S127" i="91"/>
  <c r="R127" i="91"/>
  <c r="Q127" i="91"/>
  <c r="P127" i="91"/>
  <c r="O127" i="91"/>
  <c r="N127" i="91"/>
  <c r="M127" i="91"/>
  <c r="L127" i="91"/>
  <c r="K127" i="91"/>
  <c r="J127" i="91"/>
  <c r="I127" i="91"/>
  <c r="H127" i="91"/>
  <c r="G127" i="91"/>
  <c r="F127" i="91"/>
  <c r="E127" i="91"/>
  <c r="D127" i="91"/>
  <c r="AB126" i="91"/>
  <c r="AA126" i="91"/>
  <c r="Z126" i="91"/>
  <c r="Y126" i="91"/>
  <c r="X126" i="91"/>
  <c r="W126" i="91"/>
  <c r="V126" i="91"/>
  <c r="U126" i="91"/>
  <c r="T126" i="91"/>
  <c r="S126" i="91"/>
  <c r="R126" i="91"/>
  <c r="Q126" i="91"/>
  <c r="P126" i="91"/>
  <c r="O126" i="91"/>
  <c r="N126" i="91"/>
  <c r="M126" i="91"/>
  <c r="L126" i="91"/>
  <c r="K126" i="91"/>
  <c r="J126" i="91"/>
  <c r="I126" i="91"/>
  <c r="H126" i="91"/>
  <c r="G126" i="91"/>
  <c r="F126" i="91"/>
  <c r="E126" i="91"/>
  <c r="D126" i="91"/>
  <c r="AB125" i="91"/>
  <c r="AA125" i="91"/>
  <c r="Z125" i="91"/>
  <c r="Y125" i="91"/>
  <c r="X125" i="91"/>
  <c r="W125" i="91"/>
  <c r="V125" i="91"/>
  <c r="U125" i="91"/>
  <c r="T125" i="91"/>
  <c r="S125" i="91"/>
  <c r="R125" i="91"/>
  <c r="Q125" i="91"/>
  <c r="P125" i="91"/>
  <c r="O125" i="91"/>
  <c r="N125" i="91"/>
  <c r="M125" i="91"/>
  <c r="L125" i="91"/>
  <c r="K125" i="91"/>
  <c r="J125" i="91"/>
  <c r="I125" i="91"/>
  <c r="H125" i="91"/>
  <c r="G125" i="91"/>
  <c r="F125" i="91"/>
  <c r="E125" i="91"/>
  <c r="D125" i="91"/>
  <c r="AB124" i="91"/>
  <c r="AA124" i="91"/>
  <c r="Z124" i="91"/>
  <c r="Y124" i="91"/>
  <c r="X124" i="91"/>
  <c r="W124" i="91"/>
  <c r="V124" i="91"/>
  <c r="U124" i="91"/>
  <c r="T124" i="91"/>
  <c r="S124" i="91"/>
  <c r="R124" i="91"/>
  <c r="Q124" i="91"/>
  <c r="P124" i="91"/>
  <c r="O124" i="91"/>
  <c r="N124" i="91"/>
  <c r="M124" i="91"/>
  <c r="L124" i="91"/>
  <c r="K124" i="91"/>
  <c r="J124" i="91"/>
  <c r="I124" i="91"/>
  <c r="H124" i="91"/>
  <c r="G124" i="91"/>
  <c r="F124" i="91"/>
  <c r="E124" i="91"/>
  <c r="D124" i="91"/>
  <c r="AB123" i="91"/>
  <c r="AA123" i="91"/>
  <c r="Z123" i="91"/>
  <c r="Y123" i="91"/>
  <c r="X123" i="91"/>
  <c r="W123" i="91"/>
  <c r="V123" i="91"/>
  <c r="U123" i="91"/>
  <c r="T123" i="91"/>
  <c r="S123" i="91"/>
  <c r="R123" i="91"/>
  <c r="Q123" i="91"/>
  <c r="P123" i="91"/>
  <c r="O123" i="91"/>
  <c r="N123" i="91"/>
  <c r="M123" i="91"/>
  <c r="L123" i="91"/>
  <c r="K123" i="91"/>
  <c r="J123" i="91"/>
  <c r="I123" i="91"/>
  <c r="H123" i="91"/>
  <c r="G123" i="91"/>
  <c r="F123" i="91"/>
  <c r="E123" i="91"/>
  <c r="D123" i="91"/>
  <c r="AB122" i="91"/>
  <c r="AA122" i="91"/>
  <c r="Z122" i="91"/>
  <c r="Y122" i="91"/>
  <c r="X122" i="91"/>
  <c r="W122" i="91"/>
  <c r="V122" i="91"/>
  <c r="U122" i="91"/>
  <c r="T122" i="91"/>
  <c r="S122" i="91"/>
  <c r="R122" i="91"/>
  <c r="Q122" i="91"/>
  <c r="P122" i="91"/>
  <c r="O122" i="91"/>
  <c r="N122" i="91"/>
  <c r="M122" i="91"/>
  <c r="L122" i="91"/>
  <c r="K122" i="91"/>
  <c r="J122" i="91"/>
  <c r="I122" i="91"/>
  <c r="H122" i="91"/>
  <c r="G122" i="91"/>
  <c r="F122" i="91"/>
  <c r="E122" i="91"/>
  <c r="D122" i="91"/>
  <c r="AB121" i="91"/>
  <c r="AA121" i="91"/>
  <c r="Z121" i="91"/>
  <c r="Y121" i="91"/>
  <c r="X121" i="91"/>
  <c r="W121" i="91"/>
  <c r="V121" i="91"/>
  <c r="U121" i="91"/>
  <c r="T121" i="91"/>
  <c r="S121" i="91"/>
  <c r="R121" i="91"/>
  <c r="Q121" i="91"/>
  <c r="P121" i="91"/>
  <c r="O121" i="91"/>
  <c r="N121" i="91"/>
  <c r="M121" i="91"/>
  <c r="L121" i="91"/>
  <c r="K121" i="91"/>
  <c r="J121" i="91"/>
  <c r="I121" i="91"/>
  <c r="H121" i="91"/>
  <c r="G121" i="91"/>
  <c r="F121" i="91"/>
  <c r="E121" i="91"/>
  <c r="D121" i="91"/>
  <c r="AB120" i="91"/>
  <c r="AA120" i="91"/>
  <c r="Z120" i="91"/>
  <c r="Y120" i="91"/>
  <c r="X120" i="91"/>
  <c r="W120" i="91"/>
  <c r="V120" i="91"/>
  <c r="U120" i="91"/>
  <c r="T120" i="91"/>
  <c r="S120" i="91"/>
  <c r="R120" i="91"/>
  <c r="Q120" i="91"/>
  <c r="P120" i="91"/>
  <c r="O120" i="91"/>
  <c r="N120" i="91"/>
  <c r="M120" i="91"/>
  <c r="L120" i="91"/>
  <c r="K120" i="91"/>
  <c r="J120" i="91"/>
  <c r="I120" i="91"/>
  <c r="H120" i="91"/>
  <c r="G120" i="91"/>
  <c r="F120" i="91"/>
  <c r="E120" i="91"/>
  <c r="D120" i="91"/>
  <c r="AB119" i="91"/>
  <c r="AA119" i="91"/>
  <c r="Z119" i="91"/>
  <c r="Y119" i="91"/>
  <c r="X119" i="91"/>
  <c r="W119" i="91"/>
  <c r="V119" i="91"/>
  <c r="U119" i="91"/>
  <c r="T119" i="91"/>
  <c r="S119" i="91"/>
  <c r="R119" i="91"/>
  <c r="Q119" i="91"/>
  <c r="P119" i="91"/>
  <c r="O119" i="91"/>
  <c r="N119" i="91"/>
  <c r="M119" i="91"/>
  <c r="L119" i="91"/>
  <c r="K119" i="91"/>
  <c r="J119" i="91"/>
  <c r="I119" i="91"/>
  <c r="H119" i="91"/>
  <c r="G119" i="91"/>
  <c r="F119" i="91"/>
  <c r="E119" i="91"/>
  <c r="D119" i="91"/>
  <c r="AB118" i="91"/>
  <c r="AA118" i="91"/>
  <c r="Z118" i="91"/>
  <c r="Y118" i="91"/>
  <c r="X118" i="91"/>
  <c r="W118" i="91"/>
  <c r="V118" i="91"/>
  <c r="U118" i="91"/>
  <c r="T118" i="91"/>
  <c r="S118" i="91"/>
  <c r="R118" i="91"/>
  <c r="Q118" i="91"/>
  <c r="P118" i="91"/>
  <c r="O118" i="91"/>
  <c r="N118" i="91"/>
  <c r="M118" i="91"/>
  <c r="L118" i="91"/>
  <c r="K118" i="91"/>
  <c r="J118" i="91"/>
  <c r="I118" i="91"/>
  <c r="H118" i="91"/>
  <c r="G118" i="91"/>
  <c r="F118" i="91"/>
  <c r="E118" i="91"/>
  <c r="D118" i="91"/>
  <c r="AB117" i="91"/>
  <c r="AA117" i="91"/>
  <c r="Z117" i="91"/>
  <c r="Y117" i="91"/>
  <c r="X117" i="91"/>
  <c r="W117" i="91"/>
  <c r="V117" i="91"/>
  <c r="U117" i="91"/>
  <c r="T117" i="91"/>
  <c r="S117" i="91"/>
  <c r="R117" i="91"/>
  <c r="Q117" i="91"/>
  <c r="P117" i="91"/>
  <c r="O117" i="91"/>
  <c r="N117" i="91"/>
  <c r="M117" i="91"/>
  <c r="L117" i="91"/>
  <c r="K117" i="91"/>
  <c r="J117" i="91"/>
  <c r="I117" i="91"/>
  <c r="H117" i="91"/>
  <c r="G117" i="91"/>
  <c r="F117" i="91"/>
  <c r="E117" i="91"/>
  <c r="D117" i="91"/>
  <c r="AC117" i="91" s="1"/>
  <c r="AB116" i="91"/>
  <c r="AA116" i="91"/>
  <c r="Z116" i="91"/>
  <c r="Y116" i="91"/>
  <c r="X116" i="91"/>
  <c r="W116" i="91"/>
  <c r="V116" i="91"/>
  <c r="U116" i="91"/>
  <c r="T116" i="91"/>
  <c r="S116" i="91"/>
  <c r="R116" i="91"/>
  <c r="Q116" i="91"/>
  <c r="P116" i="91"/>
  <c r="O116" i="91"/>
  <c r="N116" i="91"/>
  <c r="M116" i="91"/>
  <c r="L116" i="91"/>
  <c r="K116" i="91"/>
  <c r="J116" i="91"/>
  <c r="I116" i="91"/>
  <c r="H116" i="91"/>
  <c r="G116" i="91"/>
  <c r="F116" i="91"/>
  <c r="E116" i="91"/>
  <c r="D116" i="91"/>
  <c r="AB115" i="91"/>
  <c r="AA115" i="91"/>
  <c r="Z115" i="91"/>
  <c r="Y115" i="91"/>
  <c r="X115" i="91"/>
  <c r="W115" i="91"/>
  <c r="V115" i="91"/>
  <c r="U115" i="91"/>
  <c r="T115" i="91"/>
  <c r="S115" i="91"/>
  <c r="R115" i="91"/>
  <c r="Q115" i="91"/>
  <c r="P115" i="91"/>
  <c r="O115" i="91"/>
  <c r="N115" i="91"/>
  <c r="M115" i="91"/>
  <c r="L115" i="91"/>
  <c r="K115" i="91"/>
  <c r="J115" i="91"/>
  <c r="I115" i="91"/>
  <c r="H115" i="91"/>
  <c r="G115" i="91"/>
  <c r="F115" i="91"/>
  <c r="E115" i="91"/>
  <c r="D115" i="91"/>
  <c r="AB114" i="91"/>
  <c r="AA114" i="91"/>
  <c r="Z114" i="91"/>
  <c r="Y114" i="91"/>
  <c r="X114" i="91"/>
  <c r="W114" i="91"/>
  <c r="V114" i="91"/>
  <c r="U114" i="91"/>
  <c r="T114" i="91"/>
  <c r="S114" i="91"/>
  <c r="R114" i="91"/>
  <c r="Q114" i="91"/>
  <c r="P114" i="91"/>
  <c r="O114" i="91"/>
  <c r="N114" i="91"/>
  <c r="M114" i="91"/>
  <c r="L114" i="91"/>
  <c r="K114" i="91"/>
  <c r="J114" i="91"/>
  <c r="I114" i="91"/>
  <c r="H114" i="91"/>
  <c r="G114" i="91"/>
  <c r="F114" i="91"/>
  <c r="E114" i="91"/>
  <c r="D114" i="91"/>
  <c r="AB113" i="91"/>
  <c r="AA113" i="91"/>
  <c r="Z113" i="91"/>
  <c r="Y113" i="91"/>
  <c r="X113" i="91"/>
  <c r="W113" i="91"/>
  <c r="V113" i="91"/>
  <c r="U113" i="91"/>
  <c r="T113" i="91"/>
  <c r="S113" i="91"/>
  <c r="R113" i="91"/>
  <c r="Q113" i="91"/>
  <c r="P113" i="91"/>
  <c r="O113" i="91"/>
  <c r="N113" i="91"/>
  <c r="M113" i="91"/>
  <c r="L113" i="91"/>
  <c r="K113" i="91"/>
  <c r="J113" i="91"/>
  <c r="I113" i="91"/>
  <c r="H113" i="91"/>
  <c r="G113" i="91"/>
  <c r="F113" i="91"/>
  <c r="E113" i="91"/>
  <c r="D113" i="91"/>
  <c r="AB112" i="91"/>
  <c r="AA112" i="91"/>
  <c r="Z112" i="91"/>
  <c r="Y112" i="91"/>
  <c r="X112" i="91"/>
  <c r="W112" i="91"/>
  <c r="V112" i="91"/>
  <c r="U112" i="91"/>
  <c r="T112" i="91"/>
  <c r="S112" i="91"/>
  <c r="R112" i="91"/>
  <c r="Q112" i="91"/>
  <c r="P112" i="91"/>
  <c r="O112" i="91"/>
  <c r="N112" i="91"/>
  <c r="M112" i="91"/>
  <c r="L112" i="91"/>
  <c r="K112" i="91"/>
  <c r="J112" i="91"/>
  <c r="I112" i="91"/>
  <c r="H112" i="91"/>
  <c r="G112" i="91"/>
  <c r="F112" i="91"/>
  <c r="E112" i="91"/>
  <c r="D112" i="91"/>
  <c r="AB111" i="91"/>
  <c r="AA111" i="91"/>
  <c r="Z111" i="91"/>
  <c r="Y111" i="91"/>
  <c r="X111" i="91"/>
  <c r="W111" i="91"/>
  <c r="V111" i="91"/>
  <c r="U111" i="91"/>
  <c r="T111" i="91"/>
  <c r="S111" i="91"/>
  <c r="R111" i="91"/>
  <c r="Q111" i="91"/>
  <c r="P111" i="91"/>
  <c r="O111" i="91"/>
  <c r="N111" i="91"/>
  <c r="M111" i="91"/>
  <c r="L111" i="91"/>
  <c r="K111" i="91"/>
  <c r="J111" i="91"/>
  <c r="I111" i="91"/>
  <c r="H111" i="91"/>
  <c r="G111" i="91"/>
  <c r="F111" i="91"/>
  <c r="E111" i="91"/>
  <c r="D111" i="91"/>
  <c r="AB110" i="91"/>
  <c r="AA110" i="91"/>
  <c r="Z110" i="91"/>
  <c r="Y110" i="91"/>
  <c r="X110" i="91"/>
  <c r="W110" i="91"/>
  <c r="V110" i="91"/>
  <c r="U110" i="91"/>
  <c r="T110" i="91"/>
  <c r="S110" i="91"/>
  <c r="R110" i="91"/>
  <c r="Q110" i="91"/>
  <c r="P110" i="91"/>
  <c r="O110" i="91"/>
  <c r="N110" i="91"/>
  <c r="M110" i="91"/>
  <c r="L110" i="91"/>
  <c r="K110" i="91"/>
  <c r="J110" i="91"/>
  <c r="I110" i="91"/>
  <c r="H110" i="91"/>
  <c r="G110" i="91"/>
  <c r="F110" i="91"/>
  <c r="E110" i="91"/>
  <c r="D110" i="91"/>
  <c r="AB109" i="91"/>
  <c r="AA109" i="91"/>
  <c r="Z109" i="91"/>
  <c r="Y109" i="91"/>
  <c r="X109" i="91"/>
  <c r="W109" i="91"/>
  <c r="V109" i="91"/>
  <c r="U109" i="91"/>
  <c r="T109" i="91"/>
  <c r="S109" i="91"/>
  <c r="R109" i="91"/>
  <c r="Q109" i="91"/>
  <c r="P109" i="91"/>
  <c r="O109" i="91"/>
  <c r="N109" i="91"/>
  <c r="M109" i="91"/>
  <c r="L109" i="91"/>
  <c r="K109" i="91"/>
  <c r="J109" i="91"/>
  <c r="I109" i="91"/>
  <c r="H109" i="91"/>
  <c r="G109" i="91"/>
  <c r="F109" i="91"/>
  <c r="E109" i="91"/>
  <c r="D109" i="91"/>
  <c r="AB107" i="91"/>
  <c r="AA107" i="91"/>
  <c r="Z107" i="91"/>
  <c r="Y107" i="91"/>
  <c r="X107" i="91"/>
  <c r="W107" i="91"/>
  <c r="V107" i="91"/>
  <c r="U107" i="91"/>
  <c r="T107" i="91"/>
  <c r="S107" i="91"/>
  <c r="R107" i="91"/>
  <c r="Q107" i="91"/>
  <c r="P107" i="91"/>
  <c r="O107" i="91"/>
  <c r="N107" i="91"/>
  <c r="M107" i="91"/>
  <c r="L107" i="91"/>
  <c r="K107" i="91"/>
  <c r="J107" i="91"/>
  <c r="I107" i="91"/>
  <c r="H107" i="91"/>
  <c r="G107" i="91"/>
  <c r="F107" i="91"/>
  <c r="E107" i="91"/>
  <c r="D107" i="91"/>
  <c r="AB106" i="91"/>
  <c r="AA106" i="91"/>
  <c r="Z106" i="91"/>
  <c r="Y106" i="91"/>
  <c r="X106" i="91"/>
  <c r="W106" i="91"/>
  <c r="V106" i="91"/>
  <c r="U106" i="91"/>
  <c r="T106" i="91"/>
  <c r="S106" i="91"/>
  <c r="R106" i="91"/>
  <c r="Q106" i="91"/>
  <c r="P106" i="91"/>
  <c r="O106" i="91"/>
  <c r="N106" i="91"/>
  <c r="M106" i="91"/>
  <c r="L106" i="91"/>
  <c r="K106" i="91"/>
  <c r="J106" i="91"/>
  <c r="I106" i="91"/>
  <c r="H106" i="91"/>
  <c r="G106" i="91"/>
  <c r="F106" i="91"/>
  <c r="E106" i="91"/>
  <c r="D106" i="91"/>
  <c r="AB105" i="91"/>
  <c r="AA105" i="91"/>
  <c r="Z105" i="91"/>
  <c r="Y105" i="91"/>
  <c r="X105" i="91"/>
  <c r="W105" i="91"/>
  <c r="V105" i="91"/>
  <c r="U105" i="91"/>
  <c r="T105" i="91"/>
  <c r="S105" i="91"/>
  <c r="R105" i="91"/>
  <c r="Q105" i="91"/>
  <c r="P105" i="91"/>
  <c r="O105" i="91"/>
  <c r="N105" i="91"/>
  <c r="M105" i="91"/>
  <c r="L105" i="91"/>
  <c r="K105" i="91"/>
  <c r="J105" i="91"/>
  <c r="I105" i="91"/>
  <c r="H105" i="91"/>
  <c r="G105" i="91"/>
  <c r="F105" i="91"/>
  <c r="E105" i="91"/>
  <c r="D105" i="91"/>
  <c r="AB104" i="91"/>
  <c r="AA104" i="91"/>
  <c r="Z104" i="91"/>
  <c r="Y104" i="91"/>
  <c r="X104" i="91"/>
  <c r="W104" i="91"/>
  <c r="V104" i="91"/>
  <c r="U104" i="91"/>
  <c r="T104" i="91"/>
  <c r="S104" i="91"/>
  <c r="R104" i="91"/>
  <c r="Q104" i="91"/>
  <c r="P104" i="91"/>
  <c r="O104" i="91"/>
  <c r="N104" i="91"/>
  <c r="M104" i="91"/>
  <c r="L104" i="91"/>
  <c r="K104" i="91"/>
  <c r="J104" i="91"/>
  <c r="I104" i="91"/>
  <c r="H104" i="91"/>
  <c r="G104" i="91"/>
  <c r="F104" i="91"/>
  <c r="E104" i="91"/>
  <c r="D104" i="91"/>
  <c r="AB103" i="91"/>
  <c r="AA103" i="91"/>
  <c r="Z103" i="91"/>
  <c r="Y103" i="91"/>
  <c r="X103" i="91"/>
  <c r="W103" i="91"/>
  <c r="V103" i="91"/>
  <c r="U103" i="91"/>
  <c r="T103" i="91"/>
  <c r="S103" i="91"/>
  <c r="R103" i="91"/>
  <c r="Q103" i="91"/>
  <c r="P103" i="91"/>
  <c r="O103" i="91"/>
  <c r="N103" i="91"/>
  <c r="M103" i="91"/>
  <c r="L103" i="91"/>
  <c r="K103" i="91"/>
  <c r="J103" i="91"/>
  <c r="I103" i="91"/>
  <c r="H103" i="91"/>
  <c r="G103" i="91"/>
  <c r="F103" i="91"/>
  <c r="E103" i="91"/>
  <c r="D103" i="91"/>
  <c r="AB102" i="91"/>
  <c r="AA102" i="91"/>
  <c r="Z102" i="91"/>
  <c r="Y102" i="91"/>
  <c r="X102" i="91"/>
  <c r="W102" i="91"/>
  <c r="V102" i="91"/>
  <c r="U102" i="91"/>
  <c r="T102" i="91"/>
  <c r="S102" i="91"/>
  <c r="R102" i="91"/>
  <c r="Q102" i="91"/>
  <c r="P102" i="91"/>
  <c r="O102" i="91"/>
  <c r="N102" i="91"/>
  <c r="M102" i="91"/>
  <c r="L102" i="91"/>
  <c r="K102" i="91"/>
  <c r="J102" i="91"/>
  <c r="I102" i="91"/>
  <c r="H102" i="91"/>
  <c r="G102" i="91"/>
  <c r="F102" i="91"/>
  <c r="E102" i="91"/>
  <c r="D102" i="91"/>
  <c r="AB101" i="91"/>
  <c r="AA101" i="91"/>
  <c r="Z101" i="91"/>
  <c r="Y101" i="91"/>
  <c r="X101" i="91"/>
  <c r="W101" i="91"/>
  <c r="V101" i="91"/>
  <c r="U101" i="91"/>
  <c r="T101" i="91"/>
  <c r="S101" i="91"/>
  <c r="R101" i="91"/>
  <c r="Q101" i="91"/>
  <c r="P101" i="91"/>
  <c r="O101" i="91"/>
  <c r="N101" i="91"/>
  <c r="M101" i="91"/>
  <c r="L101" i="91"/>
  <c r="K101" i="91"/>
  <c r="J101" i="91"/>
  <c r="I101" i="91"/>
  <c r="H101" i="91"/>
  <c r="G101" i="91"/>
  <c r="F101" i="91"/>
  <c r="E101" i="91"/>
  <c r="D101" i="91"/>
  <c r="AB100" i="91"/>
  <c r="AA100" i="91"/>
  <c r="Z100" i="91"/>
  <c r="Y100" i="91"/>
  <c r="X100" i="91"/>
  <c r="W100" i="91"/>
  <c r="V100" i="91"/>
  <c r="U100" i="91"/>
  <c r="T100" i="91"/>
  <c r="S100" i="91"/>
  <c r="R100" i="91"/>
  <c r="Q100" i="91"/>
  <c r="P100" i="91"/>
  <c r="O100" i="91"/>
  <c r="N100" i="91"/>
  <c r="M100" i="91"/>
  <c r="L100" i="91"/>
  <c r="K100" i="91"/>
  <c r="J100" i="91"/>
  <c r="I100" i="91"/>
  <c r="H100" i="91"/>
  <c r="G100" i="91"/>
  <c r="F100" i="91"/>
  <c r="E100" i="91"/>
  <c r="D100" i="91"/>
  <c r="AB99" i="91"/>
  <c r="AA99" i="91"/>
  <c r="Z99" i="91"/>
  <c r="Y99" i="91"/>
  <c r="X99" i="91"/>
  <c r="W99" i="91"/>
  <c r="V99" i="91"/>
  <c r="U99" i="91"/>
  <c r="T99" i="91"/>
  <c r="S99" i="91"/>
  <c r="R99" i="91"/>
  <c r="Q99" i="91"/>
  <c r="P99" i="91"/>
  <c r="O99" i="91"/>
  <c r="N99" i="91"/>
  <c r="M99" i="91"/>
  <c r="L99" i="91"/>
  <c r="K99" i="91"/>
  <c r="J99" i="91"/>
  <c r="I99" i="91"/>
  <c r="H99" i="91"/>
  <c r="G99" i="91"/>
  <c r="F99" i="91"/>
  <c r="E99" i="91"/>
  <c r="D99" i="91"/>
  <c r="AB98" i="91"/>
  <c r="AA98" i="91"/>
  <c r="Z98" i="91"/>
  <c r="Y98" i="91"/>
  <c r="X98" i="91"/>
  <c r="W98" i="91"/>
  <c r="V98" i="91"/>
  <c r="U98" i="91"/>
  <c r="T98" i="91"/>
  <c r="S98" i="91"/>
  <c r="R98" i="91"/>
  <c r="Q98" i="91"/>
  <c r="P98" i="91"/>
  <c r="O98" i="91"/>
  <c r="N98" i="91"/>
  <c r="M98" i="91"/>
  <c r="L98" i="91"/>
  <c r="K98" i="91"/>
  <c r="J98" i="91"/>
  <c r="I98" i="91"/>
  <c r="H98" i="91"/>
  <c r="G98" i="91"/>
  <c r="F98" i="91"/>
  <c r="E98" i="91"/>
  <c r="D98" i="91"/>
  <c r="AB97" i="91"/>
  <c r="AA97" i="91"/>
  <c r="Z97" i="91"/>
  <c r="Y97" i="91"/>
  <c r="X97" i="91"/>
  <c r="W97" i="91"/>
  <c r="V97" i="91"/>
  <c r="U97" i="91"/>
  <c r="T97" i="91"/>
  <c r="S97" i="91"/>
  <c r="R97" i="91"/>
  <c r="Q97" i="91"/>
  <c r="P97" i="91"/>
  <c r="O97" i="91"/>
  <c r="N97" i="91"/>
  <c r="M97" i="91"/>
  <c r="L97" i="91"/>
  <c r="K97" i="91"/>
  <c r="J97" i="91"/>
  <c r="I97" i="91"/>
  <c r="H97" i="91"/>
  <c r="G97" i="91"/>
  <c r="F97" i="91"/>
  <c r="E97" i="91"/>
  <c r="D97" i="91"/>
  <c r="AB96" i="91"/>
  <c r="AA96" i="91"/>
  <c r="Z96" i="91"/>
  <c r="Y96" i="91"/>
  <c r="X96" i="91"/>
  <c r="W96" i="91"/>
  <c r="V96" i="91"/>
  <c r="U96" i="91"/>
  <c r="T96" i="91"/>
  <c r="S96" i="91"/>
  <c r="R96" i="91"/>
  <c r="Q96" i="91"/>
  <c r="P96" i="91"/>
  <c r="O96" i="91"/>
  <c r="N96" i="91"/>
  <c r="M96" i="91"/>
  <c r="L96" i="91"/>
  <c r="K96" i="91"/>
  <c r="J96" i="91"/>
  <c r="I96" i="91"/>
  <c r="H96" i="91"/>
  <c r="G96" i="91"/>
  <c r="F96" i="91"/>
  <c r="E96" i="91"/>
  <c r="D96" i="91"/>
  <c r="AB95" i="91"/>
  <c r="AA95" i="91"/>
  <c r="Z95" i="91"/>
  <c r="Y95" i="91"/>
  <c r="X95" i="91"/>
  <c r="W95" i="91"/>
  <c r="V95" i="91"/>
  <c r="U95" i="91"/>
  <c r="T95" i="91"/>
  <c r="S95" i="91"/>
  <c r="R95" i="91"/>
  <c r="Q95" i="91"/>
  <c r="P95" i="91"/>
  <c r="O95" i="91"/>
  <c r="N95" i="91"/>
  <c r="M95" i="91"/>
  <c r="L95" i="91"/>
  <c r="K95" i="91"/>
  <c r="J95" i="91"/>
  <c r="I95" i="91"/>
  <c r="H95" i="91"/>
  <c r="G95" i="91"/>
  <c r="F95" i="91"/>
  <c r="E95" i="91"/>
  <c r="D95" i="91"/>
  <c r="AB94" i="91"/>
  <c r="AA94" i="91"/>
  <c r="Z94" i="91"/>
  <c r="Y94" i="91"/>
  <c r="X94" i="91"/>
  <c r="W94" i="91"/>
  <c r="V94" i="91"/>
  <c r="U94" i="91"/>
  <c r="T94" i="91"/>
  <c r="S94" i="91"/>
  <c r="R94" i="91"/>
  <c r="Q94" i="91"/>
  <c r="P94" i="91"/>
  <c r="O94" i="91"/>
  <c r="N94" i="91"/>
  <c r="M94" i="91"/>
  <c r="L94" i="91"/>
  <c r="K94" i="91"/>
  <c r="J94" i="91"/>
  <c r="I94" i="91"/>
  <c r="H94" i="91"/>
  <c r="G94" i="91"/>
  <c r="F94" i="91"/>
  <c r="E94" i="91"/>
  <c r="D94" i="91"/>
  <c r="AB93" i="91"/>
  <c r="AA93" i="91"/>
  <c r="Z93" i="91"/>
  <c r="Y93" i="91"/>
  <c r="X93" i="91"/>
  <c r="W93" i="91"/>
  <c r="V93" i="91"/>
  <c r="U93" i="91"/>
  <c r="T93" i="91"/>
  <c r="S93" i="91"/>
  <c r="R93" i="91"/>
  <c r="Q93" i="91"/>
  <c r="P93" i="91"/>
  <c r="O93" i="91"/>
  <c r="N93" i="91"/>
  <c r="M93" i="91"/>
  <c r="L93" i="91"/>
  <c r="K93" i="91"/>
  <c r="J93" i="91"/>
  <c r="I93" i="91"/>
  <c r="H93" i="91"/>
  <c r="G93" i="91"/>
  <c r="F93" i="91"/>
  <c r="E93" i="91"/>
  <c r="D93" i="91"/>
  <c r="AB92" i="91"/>
  <c r="AA92" i="91"/>
  <c r="Z92" i="91"/>
  <c r="Y92" i="91"/>
  <c r="X92" i="91"/>
  <c r="W92" i="91"/>
  <c r="V92" i="91"/>
  <c r="U92" i="91"/>
  <c r="T92" i="91"/>
  <c r="S92" i="91"/>
  <c r="R92" i="91"/>
  <c r="Q92" i="91"/>
  <c r="P92" i="91"/>
  <c r="O92" i="91"/>
  <c r="N92" i="91"/>
  <c r="M92" i="91"/>
  <c r="L92" i="91"/>
  <c r="K92" i="91"/>
  <c r="J92" i="91"/>
  <c r="I92" i="91"/>
  <c r="H92" i="91"/>
  <c r="G92" i="91"/>
  <c r="F92" i="91"/>
  <c r="E92" i="91"/>
  <c r="D92" i="91"/>
  <c r="AB91" i="91"/>
  <c r="AA91" i="91"/>
  <c r="Z91" i="91"/>
  <c r="Y91" i="91"/>
  <c r="X91" i="91"/>
  <c r="W91" i="91"/>
  <c r="V91" i="91"/>
  <c r="U91" i="91"/>
  <c r="T91" i="91"/>
  <c r="S91" i="91"/>
  <c r="R91" i="91"/>
  <c r="Q91" i="91"/>
  <c r="P91" i="91"/>
  <c r="O91" i="91"/>
  <c r="N91" i="91"/>
  <c r="M91" i="91"/>
  <c r="L91" i="91"/>
  <c r="K91" i="91"/>
  <c r="J91" i="91"/>
  <c r="I91" i="91"/>
  <c r="H91" i="91"/>
  <c r="G91" i="91"/>
  <c r="F91" i="91"/>
  <c r="E91" i="91"/>
  <c r="D91" i="91"/>
  <c r="AB90" i="91"/>
  <c r="AA90" i="91"/>
  <c r="Z90" i="91"/>
  <c r="Y90" i="91"/>
  <c r="X90" i="91"/>
  <c r="W90" i="91"/>
  <c r="V90" i="91"/>
  <c r="U90" i="91"/>
  <c r="T90" i="91"/>
  <c r="S90" i="91"/>
  <c r="R90" i="91"/>
  <c r="Q90" i="91"/>
  <c r="P90" i="91"/>
  <c r="O90" i="91"/>
  <c r="N90" i="91"/>
  <c r="M90" i="91"/>
  <c r="L90" i="91"/>
  <c r="K90" i="91"/>
  <c r="J90" i="91"/>
  <c r="I90" i="91"/>
  <c r="H90" i="91"/>
  <c r="G90" i="91"/>
  <c r="F90" i="91"/>
  <c r="E90" i="91"/>
  <c r="D90" i="91"/>
  <c r="AB89" i="91"/>
  <c r="AA89" i="91"/>
  <c r="Z89" i="91"/>
  <c r="Y89" i="91"/>
  <c r="X89" i="91"/>
  <c r="W89" i="91"/>
  <c r="V89" i="91"/>
  <c r="U89" i="91"/>
  <c r="T89" i="91"/>
  <c r="S89" i="91"/>
  <c r="R89" i="91"/>
  <c r="Q89" i="91"/>
  <c r="P89" i="91"/>
  <c r="O89" i="91"/>
  <c r="N89" i="91"/>
  <c r="M89" i="91"/>
  <c r="L89" i="91"/>
  <c r="K89" i="91"/>
  <c r="J89" i="91"/>
  <c r="I89" i="91"/>
  <c r="H89" i="91"/>
  <c r="G89" i="91"/>
  <c r="F89" i="91"/>
  <c r="E89" i="91"/>
  <c r="D89" i="91"/>
  <c r="AB88" i="91"/>
  <c r="AA88" i="91"/>
  <c r="Z88" i="91"/>
  <c r="Y88" i="91"/>
  <c r="X88" i="91"/>
  <c r="W88" i="91"/>
  <c r="V88" i="91"/>
  <c r="U88" i="91"/>
  <c r="T88" i="91"/>
  <c r="S88" i="91"/>
  <c r="R88" i="91"/>
  <c r="Q88" i="91"/>
  <c r="P88" i="91"/>
  <c r="O88" i="91"/>
  <c r="N88" i="91"/>
  <c r="M88" i="91"/>
  <c r="L88" i="91"/>
  <c r="K88" i="91"/>
  <c r="J88" i="91"/>
  <c r="I88" i="91"/>
  <c r="H88" i="91"/>
  <c r="G88" i="91"/>
  <c r="F88" i="91"/>
  <c r="E88" i="91"/>
  <c r="D88" i="91"/>
  <c r="AB87" i="91"/>
  <c r="AA87" i="91"/>
  <c r="Z87" i="91"/>
  <c r="Y87" i="91"/>
  <c r="X87" i="91"/>
  <c r="W87" i="91"/>
  <c r="V87" i="91"/>
  <c r="U87" i="91"/>
  <c r="T87" i="91"/>
  <c r="S87" i="91"/>
  <c r="R87" i="91"/>
  <c r="Q87" i="91"/>
  <c r="P87" i="91"/>
  <c r="O87" i="91"/>
  <c r="N87" i="91"/>
  <c r="M87" i="91"/>
  <c r="L87" i="91"/>
  <c r="K87" i="91"/>
  <c r="J87" i="91"/>
  <c r="I87" i="91"/>
  <c r="H87" i="91"/>
  <c r="G87" i="91"/>
  <c r="F87" i="91"/>
  <c r="E87" i="91"/>
  <c r="D87" i="91"/>
  <c r="AB86" i="91"/>
  <c r="AA86" i="91"/>
  <c r="Z86" i="91"/>
  <c r="Y86" i="91"/>
  <c r="X86" i="91"/>
  <c r="W86" i="91"/>
  <c r="V86" i="91"/>
  <c r="U86" i="91"/>
  <c r="T86" i="91"/>
  <c r="S86" i="91"/>
  <c r="R86" i="91"/>
  <c r="Q86" i="91"/>
  <c r="P86" i="91"/>
  <c r="O86" i="91"/>
  <c r="N86" i="91"/>
  <c r="M86" i="91"/>
  <c r="L86" i="91"/>
  <c r="K86" i="91"/>
  <c r="J86" i="91"/>
  <c r="I86" i="91"/>
  <c r="H86" i="91"/>
  <c r="G86" i="91"/>
  <c r="F86" i="91"/>
  <c r="E86" i="91"/>
  <c r="D86" i="91"/>
  <c r="AB85" i="91"/>
  <c r="AA85" i="91"/>
  <c r="Z85" i="91"/>
  <c r="Y85" i="91"/>
  <c r="X85" i="91"/>
  <c r="W85" i="91"/>
  <c r="V85" i="91"/>
  <c r="U85" i="91"/>
  <c r="T85" i="91"/>
  <c r="S85" i="91"/>
  <c r="R85" i="91"/>
  <c r="Q85" i="91"/>
  <c r="P85" i="91"/>
  <c r="O85" i="91"/>
  <c r="N85" i="91"/>
  <c r="M85" i="91"/>
  <c r="L85" i="91"/>
  <c r="K85" i="91"/>
  <c r="J85" i="91"/>
  <c r="I85" i="91"/>
  <c r="H85" i="91"/>
  <c r="G85" i="91"/>
  <c r="F85" i="91"/>
  <c r="E85" i="91"/>
  <c r="D85" i="91"/>
  <c r="AB84" i="91"/>
  <c r="AA84" i="91"/>
  <c r="Z84" i="91"/>
  <c r="Y84" i="91"/>
  <c r="X84" i="91"/>
  <c r="W84" i="91"/>
  <c r="V84" i="91"/>
  <c r="U84" i="91"/>
  <c r="T84" i="91"/>
  <c r="S84" i="91"/>
  <c r="R84" i="91"/>
  <c r="Q84" i="91"/>
  <c r="P84" i="91"/>
  <c r="O84" i="91"/>
  <c r="N84" i="91"/>
  <c r="M84" i="91"/>
  <c r="L84" i="91"/>
  <c r="K84" i="91"/>
  <c r="J84" i="91"/>
  <c r="I84" i="91"/>
  <c r="H84" i="91"/>
  <c r="G84" i="91"/>
  <c r="F84" i="91"/>
  <c r="E84" i="91"/>
  <c r="D84" i="91"/>
  <c r="AB83" i="91"/>
  <c r="AA83" i="91"/>
  <c r="Z83" i="91"/>
  <c r="Y83" i="91"/>
  <c r="X83" i="91"/>
  <c r="W83" i="91"/>
  <c r="V83" i="91"/>
  <c r="U83" i="91"/>
  <c r="T83" i="91"/>
  <c r="S83" i="91"/>
  <c r="R83" i="91"/>
  <c r="Q83" i="91"/>
  <c r="P83" i="91"/>
  <c r="O83" i="91"/>
  <c r="N83" i="91"/>
  <c r="M83" i="91"/>
  <c r="L83" i="91"/>
  <c r="K83" i="91"/>
  <c r="J83" i="91"/>
  <c r="I83" i="91"/>
  <c r="H83" i="91"/>
  <c r="G83" i="91"/>
  <c r="F83" i="91"/>
  <c r="E83" i="91"/>
  <c r="D83" i="91"/>
  <c r="AB82" i="91"/>
  <c r="AA82" i="91"/>
  <c r="Z82" i="91"/>
  <c r="Y82" i="91"/>
  <c r="X82" i="91"/>
  <c r="W82" i="91"/>
  <c r="V82" i="91"/>
  <c r="U82" i="91"/>
  <c r="T82" i="91"/>
  <c r="S82" i="91"/>
  <c r="R82" i="91"/>
  <c r="Q82" i="91"/>
  <c r="P82" i="91"/>
  <c r="O82" i="91"/>
  <c r="N82" i="91"/>
  <c r="M82" i="91"/>
  <c r="L82" i="91"/>
  <c r="K82" i="91"/>
  <c r="J82" i="91"/>
  <c r="I82" i="91"/>
  <c r="H82" i="91"/>
  <c r="G82" i="91"/>
  <c r="F82" i="91"/>
  <c r="E82" i="91"/>
  <c r="D82" i="91"/>
  <c r="AB81" i="91"/>
  <c r="AA81" i="91"/>
  <c r="Z81" i="91"/>
  <c r="Y81" i="91"/>
  <c r="X81" i="91"/>
  <c r="W81" i="91"/>
  <c r="V81" i="91"/>
  <c r="U81" i="91"/>
  <c r="T81" i="91"/>
  <c r="S81" i="91"/>
  <c r="R81" i="91"/>
  <c r="Q81" i="91"/>
  <c r="P81" i="91"/>
  <c r="O81" i="91"/>
  <c r="N81" i="91"/>
  <c r="M81" i="91"/>
  <c r="L81" i="91"/>
  <c r="K81" i="91"/>
  <c r="J81" i="91"/>
  <c r="I81" i="91"/>
  <c r="H81" i="91"/>
  <c r="G81" i="91"/>
  <c r="F81" i="91"/>
  <c r="E81" i="91"/>
  <c r="D81" i="91"/>
  <c r="AB80" i="91"/>
  <c r="AA80" i="91"/>
  <c r="Z80" i="91"/>
  <c r="Y80" i="91"/>
  <c r="X80" i="91"/>
  <c r="W80" i="91"/>
  <c r="V80" i="91"/>
  <c r="U80" i="91"/>
  <c r="T80" i="91"/>
  <c r="S80" i="91"/>
  <c r="R80" i="91"/>
  <c r="Q80" i="91"/>
  <c r="P80" i="91"/>
  <c r="O80" i="91"/>
  <c r="N80" i="91"/>
  <c r="M80" i="91"/>
  <c r="L80" i="91"/>
  <c r="K80" i="91"/>
  <c r="J80" i="91"/>
  <c r="I80" i="91"/>
  <c r="H80" i="91"/>
  <c r="G80" i="91"/>
  <c r="F80" i="91"/>
  <c r="E80" i="91"/>
  <c r="D80" i="91"/>
  <c r="AB79" i="91"/>
  <c r="AA79" i="91"/>
  <c r="Z79" i="91"/>
  <c r="Y79" i="91"/>
  <c r="X79" i="91"/>
  <c r="W79" i="91"/>
  <c r="V79" i="91"/>
  <c r="U79" i="91"/>
  <c r="T79" i="91"/>
  <c r="S79" i="91"/>
  <c r="R79" i="91"/>
  <c r="Q79" i="91"/>
  <c r="P79" i="91"/>
  <c r="O79" i="91"/>
  <c r="N79" i="91"/>
  <c r="M79" i="91"/>
  <c r="L79" i="91"/>
  <c r="K79" i="91"/>
  <c r="J79" i="91"/>
  <c r="I79" i="91"/>
  <c r="H79" i="91"/>
  <c r="G79" i="91"/>
  <c r="F79" i="91"/>
  <c r="E79" i="91"/>
  <c r="D79" i="91"/>
  <c r="AB78" i="91"/>
  <c r="AA78" i="91"/>
  <c r="Z78" i="91"/>
  <c r="Y78" i="91"/>
  <c r="X78" i="91"/>
  <c r="W78" i="91"/>
  <c r="V78" i="91"/>
  <c r="U78" i="91"/>
  <c r="T78" i="91"/>
  <c r="S78" i="91"/>
  <c r="R78" i="91"/>
  <c r="Q78" i="91"/>
  <c r="P78" i="91"/>
  <c r="O78" i="91"/>
  <c r="N78" i="91"/>
  <c r="M78" i="91"/>
  <c r="L78" i="91"/>
  <c r="K78" i="91"/>
  <c r="J78" i="91"/>
  <c r="I78" i="91"/>
  <c r="H78" i="91"/>
  <c r="G78" i="91"/>
  <c r="F78" i="91"/>
  <c r="E78" i="91"/>
  <c r="D78" i="91"/>
  <c r="AB77" i="91"/>
  <c r="AA77" i="91"/>
  <c r="Z77" i="91"/>
  <c r="Y77" i="91"/>
  <c r="X77" i="91"/>
  <c r="W77" i="91"/>
  <c r="V77" i="91"/>
  <c r="U77" i="91"/>
  <c r="T77" i="91"/>
  <c r="S77" i="91"/>
  <c r="R77" i="91"/>
  <c r="Q77" i="91"/>
  <c r="P77" i="91"/>
  <c r="O77" i="91"/>
  <c r="N77" i="91"/>
  <c r="M77" i="91"/>
  <c r="L77" i="91"/>
  <c r="K77" i="91"/>
  <c r="J77" i="91"/>
  <c r="I77" i="91"/>
  <c r="H77" i="91"/>
  <c r="G77" i="91"/>
  <c r="F77" i="91"/>
  <c r="E77" i="91"/>
  <c r="D77" i="91"/>
  <c r="AB76" i="91"/>
  <c r="AA76" i="91"/>
  <c r="Z76" i="91"/>
  <c r="Y76" i="91"/>
  <c r="X76" i="91"/>
  <c r="W76" i="91"/>
  <c r="V76" i="91"/>
  <c r="U76" i="91"/>
  <c r="T76" i="91"/>
  <c r="S76" i="91"/>
  <c r="R76" i="91"/>
  <c r="Q76" i="91"/>
  <c r="P76" i="91"/>
  <c r="O76" i="91"/>
  <c r="N76" i="91"/>
  <c r="M76" i="91"/>
  <c r="L76" i="91"/>
  <c r="K76" i="91"/>
  <c r="J76" i="91"/>
  <c r="I76" i="91"/>
  <c r="H76" i="91"/>
  <c r="G76" i="91"/>
  <c r="F76" i="91"/>
  <c r="E76" i="91"/>
  <c r="D76" i="91"/>
  <c r="AB75" i="91"/>
  <c r="AA75" i="91"/>
  <c r="Z75" i="91"/>
  <c r="Y75" i="91"/>
  <c r="X75" i="91"/>
  <c r="W75" i="91"/>
  <c r="V75" i="91"/>
  <c r="U75" i="91"/>
  <c r="T75" i="91"/>
  <c r="S75" i="91"/>
  <c r="R75" i="91"/>
  <c r="Q75" i="91"/>
  <c r="P75" i="91"/>
  <c r="O75" i="91"/>
  <c r="N75" i="91"/>
  <c r="M75" i="91"/>
  <c r="L75" i="91"/>
  <c r="K75" i="91"/>
  <c r="J75" i="91"/>
  <c r="I75" i="91"/>
  <c r="H75" i="91"/>
  <c r="G75" i="91"/>
  <c r="F75" i="91"/>
  <c r="E75" i="91"/>
  <c r="D75" i="91"/>
  <c r="AB74" i="91"/>
  <c r="AA74" i="91"/>
  <c r="Z74" i="91"/>
  <c r="Y74" i="91"/>
  <c r="X74" i="91"/>
  <c r="W74" i="91"/>
  <c r="V74" i="91"/>
  <c r="U74" i="91"/>
  <c r="T74" i="91"/>
  <c r="S74" i="91"/>
  <c r="R74" i="91"/>
  <c r="Q74" i="91"/>
  <c r="P74" i="91"/>
  <c r="O74" i="91"/>
  <c r="N74" i="91"/>
  <c r="M74" i="91"/>
  <c r="L74" i="91"/>
  <c r="K74" i="91"/>
  <c r="J74" i="91"/>
  <c r="I74" i="91"/>
  <c r="H74" i="91"/>
  <c r="G74" i="91"/>
  <c r="F74" i="91"/>
  <c r="E74" i="91"/>
  <c r="D74" i="91"/>
  <c r="AB73" i="91"/>
  <c r="AA73" i="91"/>
  <c r="Z73" i="91"/>
  <c r="Y73" i="91"/>
  <c r="X73" i="91"/>
  <c r="W73" i="91"/>
  <c r="V73" i="91"/>
  <c r="U73" i="91"/>
  <c r="T73" i="91"/>
  <c r="S73" i="91"/>
  <c r="R73" i="91"/>
  <c r="Q73" i="91"/>
  <c r="P73" i="91"/>
  <c r="O73" i="91"/>
  <c r="N73" i="91"/>
  <c r="M73" i="91"/>
  <c r="L73" i="91"/>
  <c r="K73" i="91"/>
  <c r="J73" i="91"/>
  <c r="I73" i="91"/>
  <c r="H73" i="91"/>
  <c r="G73" i="91"/>
  <c r="F73" i="91"/>
  <c r="E73" i="91"/>
  <c r="D73" i="91"/>
  <c r="AB72" i="91"/>
  <c r="AA72" i="91"/>
  <c r="Z72" i="91"/>
  <c r="Y72" i="91"/>
  <c r="X72" i="91"/>
  <c r="W72" i="91"/>
  <c r="V72" i="91"/>
  <c r="U72" i="91"/>
  <c r="T72" i="91"/>
  <c r="S72" i="91"/>
  <c r="R72" i="91"/>
  <c r="Q72" i="91"/>
  <c r="P72" i="91"/>
  <c r="O72" i="91"/>
  <c r="N72" i="91"/>
  <c r="M72" i="91"/>
  <c r="L72" i="91"/>
  <c r="K72" i="91"/>
  <c r="J72" i="91"/>
  <c r="I72" i="91"/>
  <c r="H72" i="91"/>
  <c r="G72" i="91"/>
  <c r="F72" i="91"/>
  <c r="E72" i="91"/>
  <c r="D72" i="91"/>
  <c r="AC72" i="91" s="1"/>
  <c r="AB71" i="91"/>
  <c r="AA71" i="91"/>
  <c r="Z71" i="91"/>
  <c r="Y71" i="91"/>
  <c r="X71" i="91"/>
  <c r="W71" i="91"/>
  <c r="V71" i="91"/>
  <c r="U71" i="91"/>
  <c r="T71" i="91"/>
  <c r="S71" i="91"/>
  <c r="R71" i="91"/>
  <c r="Q71" i="91"/>
  <c r="P71" i="91"/>
  <c r="O71" i="91"/>
  <c r="N71" i="91"/>
  <c r="M71" i="91"/>
  <c r="L71" i="91"/>
  <c r="K71" i="91"/>
  <c r="J71" i="91"/>
  <c r="I71" i="91"/>
  <c r="H71" i="91"/>
  <c r="G71" i="91"/>
  <c r="F71" i="91"/>
  <c r="E71" i="91"/>
  <c r="D71" i="91"/>
  <c r="AB70" i="91"/>
  <c r="AA70" i="91"/>
  <c r="Z70" i="91"/>
  <c r="Y70" i="91"/>
  <c r="X70" i="91"/>
  <c r="W70" i="91"/>
  <c r="V70" i="91"/>
  <c r="U70" i="91"/>
  <c r="T70" i="91"/>
  <c r="S70" i="91"/>
  <c r="R70" i="91"/>
  <c r="Q70" i="91"/>
  <c r="P70" i="91"/>
  <c r="O70" i="91"/>
  <c r="N70" i="91"/>
  <c r="M70" i="91"/>
  <c r="L70" i="91"/>
  <c r="K70" i="91"/>
  <c r="J70" i="91"/>
  <c r="I70" i="91"/>
  <c r="H70" i="91"/>
  <c r="G70" i="91"/>
  <c r="F70" i="91"/>
  <c r="E70" i="91"/>
  <c r="D70" i="91"/>
  <c r="AB69" i="91"/>
  <c r="AA69" i="91"/>
  <c r="Z69" i="91"/>
  <c r="Y69" i="91"/>
  <c r="X69" i="91"/>
  <c r="W69" i="91"/>
  <c r="V69" i="91"/>
  <c r="U69" i="91"/>
  <c r="T69" i="91"/>
  <c r="S69" i="91"/>
  <c r="R69" i="91"/>
  <c r="Q69" i="91"/>
  <c r="P69" i="91"/>
  <c r="O69" i="91"/>
  <c r="N69" i="91"/>
  <c r="M69" i="91"/>
  <c r="L69" i="91"/>
  <c r="K69" i="91"/>
  <c r="J69" i="91"/>
  <c r="I69" i="91"/>
  <c r="H69" i="91"/>
  <c r="G69" i="91"/>
  <c r="F69" i="91"/>
  <c r="E69" i="91"/>
  <c r="D69" i="91"/>
  <c r="AB68" i="91"/>
  <c r="AA68" i="91"/>
  <c r="Z68" i="91"/>
  <c r="Y68" i="91"/>
  <c r="X68" i="91"/>
  <c r="W68" i="91"/>
  <c r="V68" i="91"/>
  <c r="U68" i="91"/>
  <c r="T68" i="91"/>
  <c r="S68" i="91"/>
  <c r="R68" i="91"/>
  <c r="Q68" i="91"/>
  <c r="P68" i="91"/>
  <c r="O68" i="91"/>
  <c r="N68" i="91"/>
  <c r="M68" i="91"/>
  <c r="L68" i="91"/>
  <c r="K68" i="91"/>
  <c r="J68" i="91"/>
  <c r="I68" i="91"/>
  <c r="H68" i="91"/>
  <c r="G68" i="91"/>
  <c r="F68" i="91"/>
  <c r="E68" i="91"/>
  <c r="D68" i="91"/>
  <c r="AB67" i="91"/>
  <c r="AA67" i="91"/>
  <c r="Z67" i="91"/>
  <c r="Y67" i="91"/>
  <c r="X67" i="91"/>
  <c r="W67" i="91"/>
  <c r="V67" i="91"/>
  <c r="U67" i="91"/>
  <c r="T67" i="91"/>
  <c r="S67" i="91"/>
  <c r="R67" i="91"/>
  <c r="Q67" i="91"/>
  <c r="P67" i="91"/>
  <c r="O67" i="91"/>
  <c r="N67" i="91"/>
  <c r="M67" i="91"/>
  <c r="L67" i="91"/>
  <c r="K67" i="91"/>
  <c r="J67" i="91"/>
  <c r="I67" i="91"/>
  <c r="H67" i="91"/>
  <c r="G67" i="91"/>
  <c r="F67" i="91"/>
  <c r="E67" i="91"/>
  <c r="D67" i="91"/>
  <c r="AB66" i="91"/>
  <c r="AA66" i="91"/>
  <c r="Z66" i="91"/>
  <c r="Y66" i="91"/>
  <c r="X66" i="91"/>
  <c r="W66" i="91"/>
  <c r="V66" i="91"/>
  <c r="U66" i="91"/>
  <c r="T66" i="91"/>
  <c r="S66" i="91"/>
  <c r="R66" i="91"/>
  <c r="Q66" i="91"/>
  <c r="P66" i="91"/>
  <c r="O66" i="91"/>
  <c r="N66" i="91"/>
  <c r="M66" i="91"/>
  <c r="L66" i="91"/>
  <c r="K66" i="91"/>
  <c r="J66" i="91"/>
  <c r="I66" i="91"/>
  <c r="H66" i="91"/>
  <c r="G66" i="91"/>
  <c r="F66" i="91"/>
  <c r="E66" i="91"/>
  <c r="D66" i="91"/>
  <c r="AB65" i="91"/>
  <c r="AA65" i="91"/>
  <c r="Z65" i="91"/>
  <c r="Y65" i="91"/>
  <c r="X65" i="91"/>
  <c r="W65" i="91"/>
  <c r="V65" i="91"/>
  <c r="U65" i="91"/>
  <c r="T65" i="91"/>
  <c r="S65" i="91"/>
  <c r="R65" i="91"/>
  <c r="Q65" i="91"/>
  <c r="P65" i="91"/>
  <c r="O65" i="91"/>
  <c r="N65" i="91"/>
  <c r="M65" i="91"/>
  <c r="L65" i="91"/>
  <c r="K65" i="91"/>
  <c r="J65" i="91"/>
  <c r="I65" i="91"/>
  <c r="H65" i="91"/>
  <c r="G65" i="91"/>
  <c r="F65" i="91"/>
  <c r="E65" i="91"/>
  <c r="D65" i="91"/>
  <c r="AB64" i="91"/>
  <c r="AA64" i="91"/>
  <c r="Z64" i="91"/>
  <c r="Y64" i="91"/>
  <c r="X64" i="91"/>
  <c r="W64" i="91"/>
  <c r="V64" i="91"/>
  <c r="U64" i="91"/>
  <c r="T64" i="91"/>
  <c r="S64" i="91"/>
  <c r="R64" i="91"/>
  <c r="Q64" i="91"/>
  <c r="P64" i="91"/>
  <c r="O64" i="91"/>
  <c r="N64" i="91"/>
  <c r="M64" i="91"/>
  <c r="L64" i="91"/>
  <c r="K64" i="91"/>
  <c r="J64" i="91"/>
  <c r="I64" i="91"/>
  <c r="H64" i="91"/>
  <c r="G64" i="91"/>
  <c r="F64" i="91"/>
  <c r="E64" i="91"/>
  <c r="D64" i="91"/>
  <c r="AB63" i="91"/>
  <c r="AA63" i="91"/>
  <c r="Z63" i="91"/>
  <c r="Y63" i="91"/>
  <c r="X63" i="91"/>
  <c r="W63" i="91"/>
  <c r="V63" i="91"/>
  <c r="U63" i="91"/>
  <c r="T63" i="91"/>
  <c r="S63" i="91"/>
  <c r="R63" i="91"/>
  <c r="Q63" i="91"/>
  <c r="P63" i="91"/>
  <c r="O63" i="91"/>
  <c r="N63" i="91"/>
  <c r="M63" i="91"/>
  <c r="L63" i="91"/>
  <c r="K63" i="91"/>
  <c r="J63" i="91"/>
  <c r="I63" i="91"/>
  <c r="H63" i="91"/>
  <c r="G63" i="91"/>
  <c r="F63" i="91"/>
  <c r="E63" i="91"/>
  <c r="D63" i="91"/>
  <c r="AB62" i="91"/>
  <c r="AA62" i="91"/>
  <c r="Z62" i="91"/>
  <c r="Y62" i="91"/>
  <c r="X62" i="91"/>
  <c r="W62" i="91"/>
  <c r="V62" i="91"/>
  <c r="U62" i="91"/>
  <c r="T62" i="91"/>
  <c r="S62" i="91"/>
  <c r="R62" i="91"/>
  <c r="Q62" i="91"/>
  <c r="P62" i="91"/>
  <c r="O62" i="91"/>
  <c r="N62" i="91"/>
  <c r="M62" i="91"/>
  <c r="L62" i="91"/>
  <c r="K62" i="91"/>
  <c r="J62" i="91"/>
  <c r="I62" i="91"/>
  <c r="H62" i="91"/>
  <c r="G62" i="91"/>
  <c r="F62" i="91"/>
  <c r="E62" i="91"/>
  <c r="D62" i="91"/>
  <c r="AB61" i="91"/>
  <c r="AA61" i="91"/>
  <c r="Z61" i="91"/>
  <c r="Y61" i="91"/>
  <c r="X61" i="91"/>
  <c r="W61" i="91"/>
  <c r="V61" i="91"/>
  <c r="U61" i="91"/>
  <c r="T61" i="91"/>
  <c r="S61" i="91"/>
  <c r="R61" i="91"/>
  <c r="Q61" i="91"/>
  <c r="P61" i="91"/>
  <c r="O61" i="91"/>
  <c r="N61" i="91"/>
  <c r="M61" i="91"/>
  <c r="L61" i="91"/>
  <c r="K61" i="91"/>
  <c r="J61" i="91"/>
  <c r="I61" i="91"/>
  <c r="H61" i="91"/>
  <c r="G61" i="91"/>
  <c r="F61" i="91"/>
  <c r="E61" i="91"/>
  <c r="D61" i="91"/>
  <c r="AB60" i="91"/>
  <c r="AA60" i="91"/>
  <c r="Z60" i="91"/>
  <c r="Y60" i="91"/>
  <c r="X60" i="91"/>
  <c r="W60" i="91"/>
  <c r="V60" i="91"/>
  <c r="U60" i="91"/>
  <c r="T60" i="91"/>
  <c r="S60" i="91"/>
  <c r="R60" i="91"/>
  <c r="Q60" i="91"/>
  <c r="P60" i="91"/>
  <c r="O60" i="91"/>
  <c r="N60" i="91"/>
  <c r="M60" i="91"/>
  <c r="L60" i="91"/>
  <c r="K60" i="91"/>
  <c r="J60" i="91"/>
  <c r="I60" i="91"/>
  <c r="H60" i="91"/>
  <c r="G60" i="91"/>
  <c r="F60" i="91"/>
  <c r="E60" i="91"/>
  <c r="D60" i="91"/>
  <c r="AB58" i="91"/>
  <c r="AA58" i="91"/>
  <c r="Z58" i="91"/>
  <c r="Y58" i="91"/>
  <c r="X58" i="91"/>
  <c r="W58" i="91"/>
  <c r="V58" i="91"/>
  <c r="U58" i="91"/>
  <c r="T58" i="91"/>
  <c r="S58" i="91"/>
  <c r="R58" i="91"/>
  <c r="Q58" i="91"/>
  <c r="P58" i="91"/>
  <c r="O58" i="91"/>
  <c r="N58" i="91"/>
  <c r="M58" i="91"/>
  <c r="L58" i="91"/>
  <c r="K58" i="91"/>
  <c r="J58" i="91"/>
  <c r="I58" i="91"/>
  <c r="H58" i="91"/>
  <c r="G58" i="91"/>
  <c r="F58" i="91"/>
  <c r="E58" i="91"/>
  <c r="D58" i="91"/>
  <c r="AB57" i="91"/>
  <c r="AA57" i="91"/>
  <c r="Z57" i="91"/>
  <c r="Y57" i="91"/>
  <c r="X57" i="91"/>
  <c r="W57" i="91"/>
  <c r="V57" i="91"/>
  <c r="U57" i="91"/>
  <c r="T57" i="91"/>
  <c r="S57" i="91"/>
  <c r="R57" i="91"/>
  <c r="Q57" i="91"/>
  <c r="P57" i="91"/>
  <c r="O57" i="91"/>
  <c r="N57" i="91"/>
  <c r="M57" i="91"/>
  <c r="L57" i="91"/>
  <c r="K57" i="91"/>
  <c r="J57" i="91"/>
  <c r="I57" i="91"/>
  <c r="H57" i="91"/>
  <c r="G57" i="91"/>
  <c r="F57" i="91"/>
  <c r="E57" i="91"/>
  <c r="D57" i="91"/>
  <c r="AB56" i="91"/>
  <c r="AA56" i="91"/>
  <c r="Z56" i="91"/>
  <c r="Y56" i="91"/>
  <c r="X56" i="91"/>
  <c r="W56" i="91"/>
  <c r="V56" i="91"/>
  <c r="U56" i="91"/>
  <c r="T56" i="91"/>
  <c r="S56" i="91"/>
  <c r="R56" i="91"/>
  <c r="Q56" i="91"/>
  <c r="P56" i="91"/>
  <c r="O56" i="91"/>
  <c r="N56" i="91"/>
  <c r="M56" i="91"/>
  <c r="L56" i="91"/>
  <c r="K56" i="91"/>
  <c r="J56" i="91"/>
  <c r="I56" i="91"/>
  <c r="H56" i="91"/>
  <c r="G56" i="91"/>
  <c r="F56" i="91"/>
  <c r="E56" i="91"/>
  <c r="D56" i="91"/>
  <c r="AB55" i="91"/>
  <c r="AA55" i="91"/>
  <c r="Z55" i="91"/>
  <c r="Y55" i="91"/>
  <c r="X55" i="91"/>
  <c r="W55" i="91"/>
  <c r="V55" i="91"/>
  <c r="U55" i="91"/>
  <c r="T55" i="91"/>
  <c r="S55" i="91"/>
  <c r="R55" i="91"/>
  <c r="Q55" i="91"/>
  <c r="P55" i="91"/>
  <c r="O55" i="91"/>
  <c r="N55" i="91"/>
  <c r="M55" i="91"/>
  <c r="L55" i="91"/>
  <c r="K55" i="91"/>
  <c r="J55" i="91"/>
  <c r="I55" i="91"/>
  <c r="H55" i="91"/>
  <c r="G55" i="91"/>
  <c r="F55" i="91"/>
  <c r="E55" i="91"/>
  <c r="D55" i="91"/>
  <c r="AB54" i="91"/>
  <c r="AA54" i="91"/>
  <c r="Z54" i="91"/>
  <c r="Y54" i="91"/>
  <c r="X54" i="91"/>
  <c r="W54" i="91"/>
  <c r="V54" i="91"/>
  <c r="U54" i="91"/>
  <c r="T54" i="91"/>
  <c r="S54" i="91"/>
  <c r="R54" i="91"/>
  <c r="Q54" i="91"/>
  <c r="P54" i="91"/>
  <c r="O54" i="91"/>
  <c r="N54" i="91"/>
  <c r="M54" i="91"/>
  <c r="L54" i="91"/>
  <c r="K54" i="91"/>
  <c r="J54" i="91"/>
  <c r="I54" i="91"/>
  <c r="H54" i="91"/>
  <c r="G54" i="91"/>
  <c r="F54" i="91"/>
  <c r="E54" i="91"/>
  <c r="D54" i="91"/>
  <c r="AB53" i="91"/>
  <c r="AA53" i="91"/>
  <c r="Z53" i="91"/>
  <c r="Y53" i="91"/>
  <c r="X53" i="91"/>
  <c r="W53" i="91"/>
  <c r="V53" i="91"/>
  <c r="U53" i="91"/>
  <c r="T53" i="91"/>
  <c r="S53" i="91"/>
  <c r="R53" i="91"/>
  <c r="Q53" i="91"/>
  <c r="P53" i="91"/>
  <c r="O53" i="91"/>
  <c r="N53" i="91"/>
  <c r="M53" i="91"/>
  <c r="L53" i="91"/>
  <c r="K53" i="91"/>
  <c r="J53" i="91"/>
  <c r="I53" i="91"/>
  <c r="H53" i="91"/>
  <c r="G53" i="91"/>
  <c r="F53" i="91"/>
  <c r="E53" i="91"/>
  <c r="D53" i="91"/>
  <c r="AB52" i="91"/>
  <c r="AA52" i="91"/>
  <c r="Z52" i="91"/>
  <c r="Y52" i="91"/>
  <c r="X52" i="91"/>
  <c r="W52" i="91"/>
  <c r="V52" i="91"/>
  <c r="U52" i="91"/>
  <c r="T52" i="91"/>
  <c r="S52" i="91"/>
  <c r="R52" i="91"/>
  <c r="Q52" i="91"/>
  <c r="P52" i="91"/>
  <c r="O52" i="91"/>
  <c r="N52" i="91"/>
  <c r="M52" i="91"/>
  <c r="L52" i="91"/>
  <c r="K52" i="91"/>
  <c r="J52" i="91"/>
  <c r="I52" i="91"/>
  <c r="H52" i="91"/>
  <c r="G52" i="91"/>
  <c r="F52" i="91"/>
  <c r="E52" i="91"/>
  <c r="D52" i="91"/>
  <c r="AB51" i="91"/>
  <c r="AA51" i="91"/>
  <c r="Z51" i="91"/>
  <c r="Y51" i="91"/>
  <c r="X51" i="91"/>
  <c r="W51" i="91"/>
  <c r="V51" i="91"/>
  <c r="U51" i="91"/>
  <c r="T51" i="91"/>
  <c r="S51" i="91"/>
  <c r="R51" i="91"/>
  <c r="Q51" i="91"/>
  <c r="P51" i="91"/>
  <c r="O51" i="91"/>
  <c r="N51" i="91"/>
  <c r="M51" i="91"/>
  <c r="L51" i="91"/>
  <c r="K51" i="91"/>
  <c r="J51" i="91"/>
  <c r="I51" i="91"/>
  <c r="H51" i="91"/>
  <c r="G51" i="91"/>
  <c r="F51" i="91"/>
  <c r="E51" i="91"/>
  <c r="D51" i="91"/>
  <c r="AB50" i="91"/>
  <c r="AA50" i="91"/>
  <c r="Z50" i="91"/>
  <c r="Y50" i="91"/>
  <c r="X50" i="91"/>
  <c r="W50" i="91"/>
  <c r="V50" i="91"/>
  <c r="U50" i="91"/>
  <c r="T50" i="91"/>
  <c r="S50" i="91"/>
  <c r="R50" i="91"/>
  <c r="Q50" i="91"/>
  <c r="P50" i="91"/>
  <c r="O50" i="91"/>
  <c r="N50" i="91"/>
  <c r="M50" i="91"/>
  <c r="L50" i="91"/>
  <c r="K50" i="91"/>
  <c r="J50" i="91"/>
  <c r="I50" i="91"/>
  <c r="H50" i="91"/>
  <c r="G50" i="91"/>
  <c r="F50" i="91"/>
  <c r="E50" i="91"/>
  <c r="D50" i="91"/>
  <c r="AB49" i="91"/>
  <c r="AA49" i="91"/>
  <c r="Z49" i="91"/>
  <c r="Y49" i="91"/>
  <c r="X49" i="91"/>
  <c r="W49" i="91"/>
  <c r="V49" i="91"/>
  <c r="U49" i="91"/>
  <c r="T49" i="91"/>
  <c r="S49" i="91"/>
  <c r="R49" i="91"/>
  <c r="Q49" i="91"/>
  <c r="P49" i="91"/>
  <c r="O49" i="91"/>
  <c r="N49" i="91"/>
  <c r="M49" i="91"/>
  <c r="L49" i="91"/>
  <c r="K49" i="91"/>
  <c r="J49" i="91"/>
  <c r="I49" i="91"/>
  <c r="H49" i="91"/>
  <c r="G49" i="91"/>
  <c r="F49" i="91"/>
  <c r="E49" i="91"/>
  <c r="D49" i="91"/>
  <c r="AB48" i="91"/>
  <c r="AA48" i="91"/>
  <c r="Z48" i="91"/>
  <c r="Y48" i="91"/>
  <c r="X48" i="91"/>
  <c r="W48" i="91"/>
  <c r="V48" i="91"/>
  <c r="U48" i="91"/>
  <c r="T48" i="91"/>
  <c r="S48" i="91"/>
  <c r="R48" i="91"/>
  <c r="Q48" i="91"/>
  <c r="P48" i="91"/>
  <c r="O48" i="91"/>
  <c r="N48" i="91"/>
  <c r="M48" i="91"/>
  <c r="L48" i="91"/>
  <c r="K48" i="91"/>
  <c r="J48" i="91"/>
  <c r="I48" i="91"/>
  <c r="H48" i="91"/>
  <c r="G48" i="91"/>
  <c r="F48" i="91"/>
  <c r="E48" i="91"/>
  <c r="D48" i="91"/>
  <c r="AB47" i="91"/>
  <c r="AA47" i="91"/>
  <c r="Z47" i="91"/>
  <c r="Y47" i="91"/>
  <c r="X47" i="91"/>
  <c r="W47" i="91"/>
  <c r="V47" i="91"/>
  <c r="U47" i="91"/>
  <c r="T47" i="91"/>
  <c r="S47" i="91"/>
  <c r="R47" i="91"/>
  <c r="Q47" i="91"/>
  <c r="P47" i="91"/>
  <c r="O47" i="91"/>
  <c r="N47" i="91"/>
  <c r="M47" i="91"/>
  <c r="L47" i="91"/>
  <c r="K47" i="91"/>
  <c r="J47" i="91"/>
  <c r="I47" i="91"/>
  <c r="H47" i="91"/>
  <c r="G47" i="91"/>
  <c r="F47" i="91"/>
  <c r="E47" i="91"/>
  <c r="D47" i="91"/>
  <c r="AB46" i="91"/>
  <c r="AA46" i="91"/>
  <c r="Z46" i="91"/>
  <c r="Y46" i="91"/>
  <c r="X46" i="91"/>
  <c r="W46" i="91"/>
  <c r="V46" i="91"/>
  <c r="U46" i="91"/>
  <c r="T46" i="91"/>
  <c r="S46" i="91"/>
  <c r="R46" i="91"/>
  <c r="Q46" i="91"/>
  <c r="P46" i="91"/>
  <c r="O46" i="91"/>
  <c r="N46" i="91"/>
  <c r="M46" i="91"/>
  <c r="L46" i="91"/>
  <c r="K46" i="91"/>
  <c r="J46" i="91"/>
  <c r="I46" i="91"/>
  <c r="H46" i="91"/>
  <c r="G46" i="91"/>
  <c r="F46" i="91"/>
  <c r="E46" i="91"/>
  <c r="D46" i="91"/>
  <c r="AB45" i="91"/>
  <c r="AA45" i="91"/>
  <c r="Z45" i="91"/>
  <c r="Y45" i="91"/>
  <c r="X45" i="91"/>
  <c r="W45" i="91"/>
  <c r="V45" i="91"/>
  <c r="U45" i="91"/>
  <c r="T45" i="91"/>
  <c r="S45" i="91"/>
  <c r="R45" i="91"/>
  <c r="Q45" i="91"/>
  <c r="P45" i="91"/>
  <c r="O45" i="91"/>
  <c r="N45" i="91"/>
  <c r="M45" i="91"/>
  <c r="L45" i="91"/>
  <c r="K45" i="91"/>
  <c r="J45" i="91"/>
  <c r="I45" i="91"/>
  <c r="H45" i="91"/>
  <c r="G45" i="91"/>
  <c r="F45" i="91"/>
  <c r="E45" i="91"/>
  <c r="D45" i="91"/>
  <c r="AB44" i="91"/>
  <c r="AA44" i="91"/>
  <c r="Z44" i="91"/>
  <c r="Y44" i="91"/>
  <c r="X44" i="91"/>
  <c r="W44" i="91"/>
  <c r="V44" i="91"/>
  <c r="U44" i="91"/>
  <c r="T44" i="91"/>
  <c r="S44" i="91"/>
  <c r="R44" i="91"/>
  <c r="Q44" i="91"/>
  <c r="P44" i="91"/>
  <c r="O44" i="91"/>
  <c r="N44" i="91"/>
  <c r="M44" i="91"/>
  <c r="L44" i="91"/>
  <c r="K44" i="91"/>
  <c r="J44" i="91"/>
  <c r="I44" i="91"/>
  <c r="H44" i="91"/>
  <c r="G44" i="91"/>
  <c r="F44" i="91"/>
  <c r="E44" i="91"/>
  <c r="D44" i="91"/>
  <c r="AB43" i="91"/>
  <c r="AA43" i="91"/>
  <c r="Z43" i="91"/>
  <c r="Y43" i="91"/>
  <c r="X43" i="91"/>
  <c r="W43" i="91"/>
  <c r="V43" i="91"/>
  <c r="U43" i="91"/>
  <c r="T43" i="91"/>
  <c r="S43" i="91"/>
  <c r="R43" i="91"/>
  <c r="Q43" i="91"/>
  <c r="P43" i="91"/>
  <c r="O43" i="91"/>
  <c r="N43" i="91"/>
  <c r="M43" i="91"/>
  <c r="L43" i="91"/>
  <c r="K43" i="91"/>
  <c r="J43" i="91"/>
  <c r="I43" i="91"/>
  <c r="H43" i="91"/>
  <c r="G43" i="91"/>
  <c r="F43" i="91"/>
  <c r="E43" i="91"/>
  <c r="D43" i="91"/>
  <c r="AB42" i="91"/>
  <c r="AA42" i="91"/>
  <c r="Z42" i="91"/>
  <c r="Y42" i="91"/>
  <c r="X42" i="91"/>
  <c r="W42" i="91"/>
  <c r="V42" i="91"/>
  <c r="U42" i="91"/>
  <c r="T42" i="91"/>
  <c r="S42" i="91"/>
  <c r="R42" i="91"/>
  <c r="Q42" i="91"/>
  <c r="P42" i="91"/>
  <c r="O42" i="91"/>
  <c r="N42" i="91"/>
  <c r="M42" i="91"/>
  <c r="L42" i="91"/>
  <c r="K42" i="91"/>
  <c r="J42" i="91"/>
  <c r="I42" i="91"/>
  <c r="H42" i="91"/>
  <c r="G42" i="91"/>
  <c r="F42" i="91"/>
  <c r="E42" i="91"/>
  <c r="D42" i="91"/>
  <c r="AB41" i="91"/>
  <c r="AA41" i="91"/>
  <c r="Z41" i="91"/>
  <c r="Y41" i="91"/>
  <c r="X41" i="91"/>
  <c r="W41" i="91"/>
  <c r="V41" i="91"/>
  <c r="U41" i="91"/>
  <c r="T41" i="91"/>
  <c r="S41" i="91"/>
  <c r="R41" i="91"/>
  <c r="Q41" i="91"/>
  <c r="P41" i="91"/>
  <c r="O41" i="91"/>
  <c r="N41" i="91"/>
  <c r="M41" i="91"/>
  <c r="L41" i="91"/>
  <c r="K41" i="91"/>
  <c r="J41" i="91"/>
  <c r="I41" i="91"/>
  <c r="H41" i="91"/>
  <c r="G41" i="91"/>
  <c r="F41" i="91"/>
  <c r="E41" i="91"/>
  <c r="D41" i="91"/>
  <c r="AB40" i="91"/>
  <c r="AA40" i="91"/>
  <c r="Z40" i="91"/>
  <c r="Y40" i="91"/>
  <c r="X40" i="91"/>
  <c r="W40" i="91"/>
  <c r="V40" i="91"/>
  <c r="U40" i="91"/>
  <c r="T40" i="91"/>
  <c r="S40" i="91"/>
  <c r="R40" i="91"/>
  <c r="Q40" i="91"/>
  <c r="P40" i="91"/>
  <c r="O40" i="91"/>
  <c r="N40" i="91"/>
  <c r="M40" i="91"/>
  <c r="L40" i="91"/>
  <c r="K40" i="91"/>
  <c r="J40" i="91"/>
  <c r="I40" i="91"/>
  <c r="H40" i="91"/>
  <c r="G40" i="91"/>
  <c r="F40" i="91"/>
  <c r="E40" i="91"/>
  <c r="D40" i="91"/>
  <c r="AB39" i="91"/>
  <c r="AA39" i="91"/>
  <c r="Z39" i="91"/>
  <c r="Y39" i="91"/>
  <c r="X39" i="91"/>
  <c r="W39" i="91"/>
  <c r="V39" i="91"/>
  <c r="U39" i="91"/>
  <c r="T39" i="91"/>
  <c r="S39" i="91"/>
  <c r="R39" i="91"/>
  <c r="Q39" i="91"/>
  <c r="P39" i="91"/>
  <c r="O39" i="91"/>
  <c r="N39" i="91"/>
  <c r="M39" i="91"/>
  <c r="L39" i="91"/>
  <c r="K39" i="91"/>
  <c r="J39" i="91"/>
  <c r="I39" i="91"/>
  <c r="H39" i="91"/>
  <c r="G39" i="91"/>
  <c r="F39" i="91"/>
  <c r="E39" i="91"/>
  <c r="D39" i="91"/>
  <c r="AB38" i="91"/>
  <c r="AA38" i="91"/>
  <c r="Z38" i="91"/>
  <c r="Y38" i="91"/>
  <c r="X38" i="91"/>
  <c r="W38" i="91"/>
  <c r="V38" i="91"/>
  <c r="U38" i="91"/>
  <c r="T38" i="91"/>
  <c r="S38" i="91"/>
  <c r="R38" i="91"/>
  <c r="Q38" i="91"/>
  <c r="P38" i="91"/>
  <c r="O38" i="91"/>
  <c r="N38" i="91"/>
  <c r="M38" i="91"/>
  <c r="L38" i="91"/>
  <c r="K38" i="91"/>
  <c r="J38" i="91"/>
  <c r="I38" i="91"/>
  <c r="H38" i="91"/>
  <c r="G38" i="91"/>
  <c r="F38" i="91"/>
  <c r="E38" i="91"/>
  <c r="D38" i="91"/>
  <c r="AB37" i="91"/>
  <c r="AA37" i="91"/>
  <c r="Z37" i="91"/>
  <c r="Y37" i="91"/>
  <c r="X37" i="91"/>
  <c r="W37" i="91"/>
  <c r="V37" i="91"/>
  <c r="U37" i="91"/>
  <c r="T37" i="91"/>
  <c r="S37" i="91"/>
  <c r="R37" i="91"/>
  <c r="Q37" i="91"/>
  <c r="P37" i="91"/>
  <c r="O37" i="91"/>
  <c r="N37" i="91"/>
  <c r="M37" i="91"/>
  <c r="L37" i="91"/>
  <c r="K37" i="91"/>
  <c r="J37" i="91"/>
  <c r="I37" i="91"/>
  <c r="H37" i="91"/>
  <c r="G37" i="91"/>
  <c r="F37" i="91"/>
  <c r="E37" i="91"/>
  <c r="D37" i="91"/>
  <c r="AB36" i="91"/>
  <c r="AA36" i="91"/>
  <c r="Z36" i="91"/>
  <c r="Y36" i="91"/>
  <c r="X36" i="91"/>
  <c r="W36" i="91"/>
  <c r="V36" i="91"/>
  <c r="U36" i="91"/>
  <c r="T36" i="91"/>
  <c r="S36" i="91"/>
  <c r="R36" i="91"/>
  <c r="Q36" i="91"/>
  <c r="P36" i="91"/>
  <c r="O36" i="91"/>
  <c r="N36" i="91"/>
  <c r="M36" i="91"/>
  <c r="L36" i="91"/>
  <c r="K36" i="91"/>
  <c r="J36" i="91"/>
  <c r="I36" i="91"/>
  <c r="H36" i="91"/>
  <c r="G36" i="91"/>
  <c r="F36" i="91"/>
  <c r="E36" i="91"/>
  <c r="D36" i="91"/>
  <c r="AB35" i="91"/>
  <c r="AA35" i="91"/>
  <c r="Z35" i="91"/>
  <c r="Y35" i="91"/>
  <c r="X35" i="91"/>
  <c r="W35" i="91"/>
  <c r="V35" i="91"/>
  <c r="U35" i="91"/>
  <c r="T35" i="91"/>
  <c r="S35" i="91"/>
  <c r="R35" i="91"/>
  <c r="Q35" i="91"/>
  <c r="P35" i="91"/>
  <c r="O35" i="91"/>
  <c r="N35" i="91"/>
  <c r="M35" i="91"/>
  <c r="L35" i="91"/>
  <c r="K35" i="91"/>
  <c r="J35" i="91"/>
  <c r="I35" i="91"/>
  <c r="H35" i="91"/>
  <c r="G35" i="91"/>
  <c r="F35" i="91"/>
  <c r="E35" i="91"/>
  <c r="D35" i="91"/>
  <c r="AB34" i="91"/>
  <c r="AA34" i="91"/>
  <c r="Z34" i="91"/>
  <c r="Y34" i="91"/>
  <c r="X34" i="91"/>
  <c r="W34" i="91"/>
  <c r="V34" i="91"/>
  <c r="U34" i="91"/>
  <c r="T34" i="91"/>
  <c r="S34" i="91"/>
  <c r="R34" i="91"/>
  <c r="Q34" i="91"/>
  <c r="P34" i="91"/>
  <c r="O34" i="91"/>
  <c r="N34" i="91"/>
  <c r="M34" i="91"/>
  <c r="L34" i="91"/>
  <c r="K34" i="91"/>
  <c r="J34" i="91"/>
  <c r="I34" i="91"/>
  <c r="H34" i="91"/>
  <c r="G34" i="91"/>
  <c r="F34" i="91"/>
  <c r="E34" i="91"/>
  <c r="D34" i="91"/>
  <c r="AB33" i="91"/>
  <c r="AA33" i="91"/>
  <c r="Z33" i="91"/>
  <c r="Y33" i="91"/>
  <c r="X33" i="91"/>
  <c r="W33" i="91"/>
  <c r="V33" i="91"/>
  <c r="U33" i="91"/>
  <c r="T33" i="91"/>
  <c r="S33" i="91"/>
  <c r="R33" i="91"/>
  <c r="Q33" i="91"/>
  <c r="P33" i="91"/>
  <c r="O33" i="91"/>
  <c r="N33" i="91"/>
  <c r="M33" i="91"/>
  <c r="L33" i="91"/>
  <c r="K33" i="91"/>
  <c r="J33" i="91"/>
  <c r="I33" i="91"/>
  <c r="H33" i="91"/>
  <c r="G33" i="91"/>
  <c r="F33" i="91"/>
  <c r="E33" i="91"/>
  <c r="D33" i="91"/>
  <c r="AB32" i="91"/>
  <c r="AA32" i="91"/>
  <c r="Z32" i="91"/>
  <c r="Y32" i="91"/>
  <c r="X32" i="91"/>
  <c r="W32" i="91"/>
  <c r="V32" i="91"/>
  <c r="U32" i="91"/>
  <c r="T32" i="91"/>
  <c r="S32" i="91"/>
  <c r="R32" i="91"/>
  <c r="Q32" i="91"/>
  <c r="P32" i="91"/>
  <c r="O32" i="91"/>
  <c r="N32" i="91"/>
  <c r="M32" i="91"/>
  <c r="L32" i="91"/>
  <c r="K32" i="91"/>
  <c r="J32" i="91"/>
  <c r="I32" i="91"/>
  <c r="H32" i="91"/>
  <c r="G32" i="91"/>
  <c r="F32" i="91"/>
  <c r="E32" i="91"/>
  <c r="D32" i="91"/>
  <c r="AB31" i="91"/>
  <c r="AA31" i="91"/>
  <c r="Z31" i="91"/>
  <c r="Y31" i="91"/>
  <c r="X31" i="91"/>
  <c r="W31" i="91"/>
  <c r="V31" i="91"/>
  <c r="U31" i="91"/>
  <c r="T31" i="91"/>
  <c r="S31" i="91"/>
  <c r="R31" i="91"/>
  <c r="Q31" i="91"/>
  <c r="P31" i="91"/>
  <c r="O31" i="91"/>
  <c r="N31" i="91"/>
  <c r="M31" i="91"/>
  <c r="L31" i="91"/>
  <c r="K31" i="91"/>
  <c r="J31" i="91"/>
  <c r="I31" i="91"/>
  <c r="H31" i="91"/>
  <c r="G31" i="91"/>
  <c r="F31" i="91"/>
  <c r="E31" i="91"/>
  <c r="D31" i="91"/>
  <c r="AB30" i="91"/>
  <c r="AA30" i="91"/>
  <c r="Z30" i="91"/>
  <c r="Y30" i="91"/>
  <c r="X30" i="91"/>
  <c r="W30" i="91"/>
  <c r="V30" i="91"/>
  <c r="U30" i="91"/>
  <c r="T30" i="91"/>
  <c r="S30" i="91"/>
  <c r="R30" i="91"/>
  <c r="Q30" i="91"/>
  <c r="P30" i="91"/>
  <c r="O30" i="91"/>
  <c r="N30" i="91"/>
  <c r="M30" i="91"/>
  <c r="L30" i="91"/>
  <c r="K30" i="91"/>
  <c r="J30" i="91"/>
  <c r="I30" i="91"/>
  <c r="H30" i="91"/>
  <c r="G30" i="91"/>
  <c r="F30" i="91"/>
  <c r="E30" i="91"/>
  <c r="D30" i="91"/>
  <c r="AB29" i="91"/>
  <c r="AA29" i="91"/>
  <c r="Z29" i="91"/>
  <c r="Y29" i="91"/>
  <c r="X29" i="91"/>
  <c r="W29" i="91"/>
  <c r="V29" i="91"/>
  <c r="U29" i="91"/>
  <c r="T29" i="91"/>
  <c r="S29" i="91"/>
  <c r="R29" i="91"/>
  <c r="Q29" i="91"/>
  <c r="P29" i="91"/>
  <c r="O29" i="91"/>
  <c r="N29" i="91"/>
  <c r="M29" i="91"/>
  <c r="L29" i="91"/>
  <c r="K29" i="91"/>
  <c r="J29" i="91"/>
  <c r="I29" i="91"/>
  <c r="H29" i="91"/>
  <c r="G29" i="91"/>
  <c r="F29" i="91"/>
  <c r="E29" i="91"/>
  <c r="D29" i="91"/>
  <c r="AB28" i="91"/>
  <c r="AA28" i="91"/>
  <c r="Z28" i="91"/>
  <c r="Y28" i="91"/>
  <c r="X28" i="91"/>
  <c r="W28" i="91"/>
  <c r="V28" i="91"/>
  <c r="U28" i="91"/>
  <c r="T28" i="91"/>
  <c r="S28" i="91"/>
  <c r="R28" i="91"/>
  <c r="Q28" i="91"/>
  <c r="P28" i="91"/>
  <c r="O28" i="91"/>
  <c r="N28" i="91"/>
  <c r="M28" i="91"/>
  <c r="L28" i="91"/>
  <c r="K28" i="91"/>
  <c r="J28" i="91"/>
  <c r="I28" i="91"/>
  <c r="H28" i="91"/>
  <c r="G28" i="91"/>
  <c r="F28" i="91"/>
  <c r="E28" i="91"/>
  <c r="D28" i="91"/>
  <c r="AB27" i="91"/>
  <c r="AA27" i="91"/>
  <c r="Z27" i="91"/>
  <c r="Y27" i="91"/>
  <c r="X27" i="91"/>
  <c r="W27" i="91"/>
  <c r="V27" i="91"/>
  <c r="U27" i="91"/>
  <c r="T27" i="91"/>
  <c r="S27" i="91"/>
  <c r="R27" i="91"/>
  <c r="Q27" i="91"/>
  <c r="P27" i="91"/>
  <c r="O27" i="91"/>
  <c r="N27" i="91"/>
  <c r="M27" i="91"/>
  <c r="L27" i="91"/>
  <c r="K27" i="91"/>
  <c r="J27" i="91"/>
  <c r="I27" i="91"/>
  <c r="H27" i="91"/>
  <c r="G27" i="91"/>
  <c r="F27" i="91"/>
  <c r="E27" i="91"/>
  <c r="D27" i="91"/>
  <c r="AB26" i="91"/>
  <c r="AA26" i="91"/>
  <c r="Z26" i="91"/>
  <c r="Y26" i="91"/>
  <c r="X26" i="91"/>
  <c r="W26" i="91"/>
  <c r="V26" i="91"/>
  <c r="U26" i="91"/>
  <c r="T26" i="91"/>
  <c r="S26" i="91"/>
  <c r="R26" i="91"/>
  <c r="Q26" i="91"/>
  <c r="P26" i="91"/>
  <c r="O26" i="91"/>
  <c r="N26" i="91"/>
  <c r="M26" i="91"/>
  <c r="L26" i="91"/>
  <c r="K26" i="91"/>
  <c r="J26" i="91"/>
  <c r="I26" i="91"/>
  <c r="H26" i="91"/>
  <c r="G26" i="91"/>
  <c r="F26" i="91"/>
  <c r="E26" i="91"/>
  <c r="D26" i="91"/>
  <c r="AB25" i="91"/>
  <c r="AA25" i="91"/>
  <c r="Z25" i="91"/>
  <c r="Y25" i="91"/>
  <c r="X25" i="91"/>
  <c r="W25" i="91"/>
  <c r="V25" i="91"/>
  <c r="U25" i="91"/>
  <c r="T25" i="91"/>
  <c r="S25" i="91"/>
  <c r="R25" i="91"/>
  <c r="Q25" i="91"/>
  <c r="P25" i="91"/>
  <c r="O25" i="91"/>
  <c r="N25" i="91"/>
  <c r="M25" i="91"/>
  <c r="L25" i="91"/>
  <c r="K25" i="91"/>
  <c r="J25" i="91"/>
  <c r="I25" i="91"/>
  <c r="H25" i="91"/>
  <c r="G25" i="91"/>
  <c r="F25" i="91"/>
  <c r="E25" i="91"/>
  <c r="D25" i="91"/>
  <c r="AB24" i="91"/>
  <c r="AA24" i="91"/>
  <c r="Z24" i="91"/>
  <c r="Y24" i="91"/>
  <c r="X24" i="91"/>
  <c r="W24" i="91"/>
  <c r="V24" i="91"/>
  <c r="U24" i="91"/>
  <c r="T24" i="91"/>
  <c r="S24" i="91"/>
  <c r="R24" i="91"/>
  <c r="Q24" i="91"/>
  <c r="P24" i="91"/>
  <c r="O24" i="91"/>
  <c r="N24" i="91"/>
  <c r="M24" i="91"/>
  <c r="L24" i="91"/>
  <c r="K24" i="91"/>
  <c r="J24" i="91"/>
  <c r="I24" i="91"/>
  <c r="H24" i="91"/>
  <c r="G24" i="91"/>
  <c r="F24" i="91"/>
  <c r="E24" i="91"/>
  <c r="D24" i="91"/>
  <c r="AB23" i="91"/>
  <c r="AA23" i="91"/>
  <c r="Z23" i="91"/>
  <c r="Y23" i="91"/>
  <c r="X23" i="91"/>
  <c r="W23" i="91"/>
  <c r="V23" i="91"/>
  <c r="U23" i="91"/>
  <c r="T23" i="91"/>
  <c r="S23" i="91"/>
  <c r="R23" i="91"/>
  <c r="Q23" i="91"/>
  <c r="P23" i="91"/>
  <c r="O23" i="91"/>
  <c r="N23" i="91"/>
  <c r="M23" i="91"/>
  <c r="L23" i="91"/>
  <c r="K23" i="91"/>
  <c r="J23" i="91"/>
  <c r="I23" i="91"/>
  <c r="H23" i="91"/>
  <c r="G23" i="91"/>
  <c r="F23" i="91"/>
  <c r="E23" i="91"/>
  <c r="D23" i="91"/>
  <c r="AB22" i="91"/>
  <c r="AA22" i="91"/>
  <c r="Z22" i="91"/>
  <c r="Y22" i="91"/>
  <c r="X22" i="91"/>
  <c r="W22" i="91"/>
  <c r="V22" i="91"/>
  <c r="U22" i="91"/>
  <c r="T22" i="91"/>
  <c r="S22" i="91"/>
  <c r="R22" i="91"/>
  <c r="Q22" i="91"/>
  <c r="P22" i="91"/>
  <c r="O22" i="91"/>
  <c r="N22" i="91"/>
  <c r="M22" i="91"/>
  <c r="L22" i="91"/>
  <c r="K22" i="91"/>
  <c r="J22" i="91"/>
  <c r="I22" i="91"/>
  <c r="H22" i="91"/>
  <c r="G22" i="91"/>
  <c r="F22" i="91"/>
  <c r="E22" i="91"/>
  <c r="D22" i="91"/>
  <c r="AB21" i="91"/>
  <c r="AA21" i="91"/>
  <c r="Z21" i="91"/>
  <c r="Y21" i="91"/>
  <c r="X21" i="91"/>
  <c r="W21" i="91"/>
  <c r="V21" i="91"/>
  <c r="U21" i="91"/>
  <c r="T21" i="91"/>
  <c r="S21" i="91"/>
  <c r="R21" i="91"/>
  <c r="Q21" i="91"/>
  <c r="P21" i="91"/>
  <c r="O21" i="91"/>
  <c r="N21" i="91"/>
  <c r="M21" i="91"/>
  <c r="L21" i="91"/>
  <c r="K21" i="91"/>
  <c r="J21" i="91"/>
  <c r="I21" i="91"/>
  <c r="H21" i="91"/>
  <c r="G21" i="91"/>
  <c r="F21" i="91"/>
  <c r="E21" i="91"/>
  <c r="D21" i="91"/>
  <c r="AB20" i="91"/>
  <c r="AA20" i="91"/>
  <c r="Z20" i="91"/>
  <c r="Y20" i="91"/>
  <c r="X20" i="91"/>
  <c r="W20" i="91"/>
  <c r="V20" i="91"/>
  <c r="U20" i="91"/>
  <c r="T20" i="91"/>
  <c r="S20" i="91"/>
  <c r="R20" i="91"/>
  <c r="Q20" i="91"/>
  <c r="P20" i="91"/>
  <c r="O20" i="91"/>
  <c r="N20" i="91"/>
  <c r="M20" i="91"/>
  <c r="L20" i="91"/>
  <c r="K20" i="91"/>
  <c r="J20" i="91"/>
  <c r="I20" i="91"/>
  <c r="H20" i="91"/>
  <c r="G20" i="91"/>
  <c r="F20" i="91"/>
  <c r="E20" i="91"/>
  <c r="D20" i="91"/>
  <c r="AB19" i="91"/>
  <c r="AA19" i="91"/>
  <c r="Z19" i="91"/>
  <c r="Y19" i="91"/>
  <c r="X19" i="91"/>
  <c r="W19" i="91"/>
  <c r="V19" i="91"/>
  <c r="U19" i="91"/>
  <c r="T19" i="91"/>
  <c r="S19" i="91"/>
  <c r="R19" i="91"/>
  <c r="Q19" i="91"/>
  <c r="P19" i="91"/>
  <c r="O19" i="91"/>
  <c r="N19" i="91"/>
  <c r="M19" i="91"/>
  <c r="L19" i="91"/>
  <c r="K19" i="91"/>
  <c r="J19" i="91"/>
  <c r="I19" i="91"/>
  <c r="H19" i="91"/>
  <c r="G19" i="91"/>
  <c r="F19" i="91"/>
  <c r="E19" i="91"/>
  <c r="D19" i="91"/>
  <c r="AB18" i="91"/>
  <c r="AA18" i="91"/>
  <c r="Z18" i="91"/>
  <c r="Y18" i="91"/>
  <c r="X18" i="91"/>
  <c r="W18" i="91"/>
  <c r="V18" i="91"/>
  <c r="U18" i="91"/>
  <c r="T18" i="91"/>
  <c r="S18" i="91"/>
  <c r="R18" i="91"/>
  <c r="Q18" i="91"/>
  <c r="P18" i="91"/>
  <c r="O18" i="91"/>
  <c r="N18" i="91"/>
  <c r="M18" i="91"/>
  <c r="L18" i="91"/>
  <c r="K18" i="91"/>
  <c r="J18" i="91"/>
  <c r="I18" i="91"/>
  <c r="H18" i="91"/>
  <c r="G18" i="91"/>
  <c r="F18" i="91"/>
  <c r="E18" i="91"/>
  <c r="D18" i="91"/>
  <c r="AB17" i="91"/>
  <c r="AA17" i="91"/>
  <c r="Z17" i="91"/>
  <c r="Y17" i="91"/>
  <c r="X17" i="91"/>
  <c r="W17" i="91"/>
  <c r="V17" i="91"/>
  <c r="U17" i="91"/>
  <c r="T17" i="91"/>
  <c r="S17" i="91"/>
  <c r="R17" i="91"/>
  <c r="Q17" i="91"/>
  <c r="P17" i="91"/>
  <c r="O17" i="91"/>
  <c r="N17" i="91"/>
  <c r="M17" i="91"/>
  <c r="L17" i="91"/>
  <c r="K17" i="91"/>
  <c r="J17" i="91"/>
  <c r="I17" i="91"/>
  <c r="H17" i="91"/>
  <c r="G17" i="91"/>
  <c r="F17" i="91"/>
  <c r="E17" i="91"/>
  <c r="D17" i="91"/>
  <c r="AB16" i="91"/>
  <c r="AA16" i="91"/>
  <c r="Z16" i="91"/>
  <c r="Y16" i="91"/>
  <c r="X16" i="91"/>
  <c r="W16" i="91"/>
  <c r="V16" i="91"/>
  <c r="U16" i="91"/>
  <c r="T16" i="91"/>
  <c r="S16" i="91"/>
  <c r="R16" i="91"/>
  <c r="Q16" i="91"/>
  <c r="P16" i="91"/>
  <c r="O16" i="91"/>
  <c r="N16" i="91"/>
  <c r="M16" i="91"/>
  <c r="L16" i="91"/>
  <c r="K16" i="91"/>
  <c r="J16" i="91"/>
  <c r="I16" i="91"/>
  <c r="H16" i="91"/>
  <c r="G16" i="91"/>
  <c r="F16" i="91"/>
  <c r="E16" i="91"/>
  <c r="D16" i="91"/>
  <c r="AB15" i="91"/>
  <c r="AA15" i="91"/>
  <c r="Z15" i="91"/>
  <c r="Y15" i="91"/>
  <c r="X15" i="91"/>
  <c r="W15" i="91"/>
  <c r="V15" i="91"/>
  <c r="U15" i="91"/>
  <c r="T15" i="91"/>
  <c r="S15" i="91"/>
  <c r="R15" i="91"/>
  <c r="Q15" i="91"/>
  <c r="P15" i="91"/>
  <c r="O15" i="91"/>
  <c r="N15" i="91"/>
  <c r="M15" i="91"/>
  <c r="L15" i="91"/>
  <c r="K15" i="91"/>
  <c r="J15" i="91"/>
  <c r="I15" i="91"/>
  <c r="H15" i="91"/>
  <c r="G15" i="91"/>
  <c r="F15" i="91"/>
  <c r="E15" i="91"/>
  <c r="D15" i="91"/>
  <c r="AB14" i="91"/>
  <c r="AA14" i="91"/>
  <c r="Z14" i="91"/>
  <c r="Y14" i="91"/>
  <c r="X14" i="91"/>
  <c r="W14" i="91"/>
  <c r="V14" i="91"/>
  <c r="U14" i="91"/>
  <c r="T14" i="91"/>
  <c r="S14" i="91"/>
  <c r="R14" i="91"/>
  <c r="Q14" i="91"/>
  <c r="P14" i="91"/>
  <c r="O14" i="91"/>
  <c r="N14" i="91"/>
  <c r="M14" i="91"/>
  <c r="L14" i="91"/>
  <c r="K14" i="91"/>
  <c r="J14" i="91"/>
  <c r="I14" i="91"/>
  <c r="H14" i="91"/>
  <c r="G14" i="91"/>
  <c r="F14" i="91"/>
  <c r="E14" i="91"/>
  <c r="D14" i="91"/>
  <c r="AB13" i="91"/>
  <c r="AA13" i="91"/>
  <c r="Z13" i="91"/>
  <c r="Y13" i="91"/>
  <c r="X13" i="91"/>
  <c r="W13" i="91"/>
  <c r="V13" i="91"/>
  <c r="U13" i="91"/>
  <c r="T13" i="91"/>
  <c r="S13" i="91"/>
  <c r="R13" i="91"/>
  <c r="Q13" i="91"/>
  <c r="P13" i="91"/>
  <c r="O13" i="91"/>
  <c r="N13" i="91"/>
  <c r="M13" i="91"/>
  <c r="L13" i="91"/>
  <c r="K13" i="91"/>
  <c r="J13" i="91"/>
  <c r="I13" i="91"/>
  <c r="H13" i="91"/>
  <c r="G13" i="91"/>
  <c r="F13" i="91"/>
  <c r="E13" i="91"/>
  <c r="D13" i="91"/>
  <c r="AB12" i="91"/>
  <c r="AA12" i="91"/>
  <c r="Z12" i="91"/>
  <c r="Y12" i="91"/>
  <c r="X12" i="91"/>
  <c r="W12" i="91"/>
  <c r="V12" i="91"/>
  <c r="U12" i="91"/>
  <c r="T12" i="91"/>
  <c r="S12" i="91"/>
  <c r="R12" i="91"/>
  <c r="Q12" i="91"/>
  <c r="P12" i="91"/>
  <c r="O12" i="91"/>
  <c r="N12" i="91"/>
  <c r="M12" i="91"/>
  <c r="L12" i="91"/>
  <c r="K12" i="91"/>
  <c r="J12" i="91"/>
  <c r="I12" i="91"/>
  <c r="H12" i="91"/>
  <c r="G12" i="91"/>
  <c r="F12" i="91"/>
  <c r="E12" i="91"/>
  <c r="D12" i="91"/>
  <c r="AB11" i="91"/>
  <c r="AA11" i="91"/>
  <c r="Z11" i="91"/>
  <c r="Y11" i="91"/>
  <c r="X11" i="91"/>
  <c r="W11" i="91"/>
  <c r="V11" i="91"/>
  <c r="U11" i="91"/>
  <c r="T11" i="91"/>
  <c r="S11" i="91"/>
  <c r="R11" i="91"/>
  <c r="Q11" i="91"/>
  <c r="P11" i="91"/>
  <c r="O11" i="91"/>
  <c r="N11" i="91"/>
  <c r="M11" i="91"/>
  <c r="L11" i="91"/>
  <c r="K11" i="91"/>
  <c r="J11" i="91"/>
  <c r="I11" i="91"/>
  <c r="H11" i="91"/>
  <c r="G11" i="91"/>
  <c r="F11" i="91"/>
  <c r="E11" i="91"/>
  <c r="D11" i="91"/>
  <c r="BI10" i="91"/>
  <c r="J63" i="86"/>
  <c r="J51" i="86"/>
  <c r="J39" i="86"/>
  <c r="J27" i="86"/>
  <c r="J15" i="86"/>
  <c r="D63" i="86"/>
  <c r="D51" i="86"/>
  <c r="D39" i="86"/>
  <c r="D27" i="86"/>
  <c r="A41" i="90"/>
  <c r="BI10" i="89"/>
  <c r="AD461" i="89" l="1"/>
  <c r="I54" i="86"/>
  <c r="K54" i="86" s="1"/>
  <c r="AD409" i="89"/>
  <c r="AD412" i="89"/>
  <c r="AC354" i="89"/>
  <c r="I39" i="86" s="1"/>
  <c r="K39" i="86" s="1"/>
  <c r="AD366" i="89"/>
  <c r="AC111" i="82"/>
  <c r="AC159" i="82" s="1"/>
  <c r="E51" i="81"/>
  <c r="E46" i="81"/>
  <c r="E47" i="81"/>
  <c r="E48" i="81"/>
  <c r="E49" i="81"/>
  <c r="E45" i="81"/>
  <c r="E42" i="81"/>
  <c r="E44" i="81"/>
  <c r="E43" i="81"/>
  <c r="AC329" i="91"/>
  <c r="AC439" i="89"/>
  <c r="AC358" i="89"/>
  <c r="AC60" i="91"/>
  <c r="AC382" i="91"/>
  <c r="AC47" i="91"/>
  <c r="AC84" i="91"/>
  <c r="AC88" i="91"/>
  <c r="AC460" i="91"/>
  <c r="AC337" i="91"/>
  <c r="AC349" i="91"/>
  <c r="AC423" i="91"/>
  <c r="AC447" i="91"/>
  <c r="AC276" i="91"/>
  <c r="AC300" i="91"/>
  <c r="AC329" i="89"/>
  <c r="AC398" i="91"/>
  <c r="AC194" i="89"/>
  <c r="AC378" i="89"/>
  <c r="AC403" i="89"/>
  <c r="AC452" i="89"/>
  <c r="AC23" i="91"/>
  <c r="AC488" i="91"/>
  <c r="AC386" i="91"/>
  <c r="AC64" i="91"/>
  <c r="AC100" i="91"/>
  <c r="AC113" i="91"/>
  <c r="AC231" i="91"/>
  <c r="AC125" i="91"/>
  <c r="AC137" i="91"/>
  <c r="AC149" i="91"/>
  <c r="AC162" i="91"/>
  <c r="AC174" i="91"/>
  <c r="AC186" i="91"/>
  <c r="AC211" i="91"/>
  <c r="AC317" i="91"/>
  <c r="AC476" i="91"/>
  <c r="AC198" i="91"/>
  <c r="AC235" i="91"/>
  <c r="AC260" i="91"/>
  <c r="AC272" i="91"/>
  <c r="AC284" i="91"/>
  <c r="AC296" i="91"/>
  <c r="AC309" i="91"/>
  <c r="AC321" i="91"/>
  <c r="AC403" i="91"/>
  <c r="AC439" i="91"/>
  <c r="AC19" i="91"/>
  <c r="AC31" i="91"/>
  <c r="AC43" i="91"/>
  <c r="AC55" i="91"/>
  <c r="AC68" i="91"/>
  <c r="AC80" i="91"/>
  <c r="AC247" i="91"/>
  <c r="AC345" i="91"/>
  <c r="AC370" i="91"/>
  <c r="AC394" i="91"/>
  <c r="AC407" i="91"/>
  <c r="AC419" i="91"/>
  <c r="AC431" i="91"/>
  <c r="AC443" i="91"/>
  <c r="AC456" i="91"/>
  <c r="AC492" i="91"/>
  <c r="AC333" i="91"/>
  <c r="AC358" i="91"/>
  <c r="AC92" i="91"/>
  <c r="AC129" i="91"/>
  <c r="AC166" i="91"/>
  <c r="AC178" i="91"/>
  <c r="AC190" i="91"/>
  <c r="AC202" i="91"/>
  <c r="AC215" i="91"/>
  <c r="AC468" i="91"/>
  <c r="AC480" i="91"/>
  <c r="AC104" i="91"/>
  <c r="AC141" i="91"/>
  <c r="AC227" i="91"/>
  <c r="AC239" i="91"/>
  <c r="AC251" i="91"/>
  <c r="AC264" i="91"/>
  <c r="AC304" i="91" s="1"/>
  <c r="AC313" i="91"/>
  <c r="AC325" i="91"/>
  <c r="AC496" i="91"/>
  <c r="AC96" i="91"/>
  <c r="AC484" i="91"/>
  <c r="AC121" i="91"/>
  <c r="AC133" i="91"/>
  <c r="AC145" i="91"/>
  <c r="AC158" i="91"/>
  <c r="AC182" i="91"/>
  <c r="AC207" i="91"/>
  <c r="AC255" i="91" s="1"/>
  <c r="AC219" i="91"/>
  <c r="AC288" i="91"/>
  <c r="AC109" i="91"/>
  <c r="AC374" i="91"/>
  <c r="AC472" i="91"/>
  <c r="AC170" i="91"/>
  <c r="AC194" i="91"/>
  <c r="AC243" i="91"/>
  <c r="AC268" i="91"/>
  <c r="AC280" i="91"/>
  <c r="AC292" i="91"/>
  <c r="AC11" i="91"/>
  <c r="AC35" i="91"/>
  <c r="AC153" i="91"/>
  <c r="AC362" i="91"/>
  <c r="AC411" i="91"/>
  <c r="AC435" i="91"/>
  <c r="AC15" i="91"/>
  <c r="AC27" i="91"/>
  <c r="AC39" i="91"/>
  <c r="AC51" i="91"/>
  <c r="AC76" i="91"/>
  <c r="AC256" i="91"/>
  <c r="AC305" i="91"/>
  <c r="AC341" i="91"/>
  <c r="AC354" i="91"/>
  <c r="AC366" i="91"/>
  <c r="AC378" i="91"/>
  <c r="AC390" i="91"/>
  <c r="AC415" i="91"/>
  <c r="AC427" i="91"/>
  <c r="AC452" i="91"/>
  <c r="AC11" i="89"/>
  <c r="AC23" i="89"/>
  <c r="AC84" i="89"/>
  <c r="AC96" i="89"/>
  <c r="AC121" i="89"/>
  <c r="AC158" i="89"/>
  <c r="AC170" i="89"/>
  <c r="AC207" i="89"/>
  <c r="AD210" i="89" s="1"/>
  <c r="AC219" i="89"/>
  <c r="AC243" i="89"/>
  <c r="AC268" i="89"/>
  <c r="AC280" i="89"/>
  <c r="AC292" i="89"/>
  <c r="AC305" i="89"/>
  <c r="AC317" i="89"/>
  <c r="AC472" i="89"/>
  <c r="AC496" i="89"/>
  <c r="AC256" i="89"/>
  <c r="AC51" i="89"/>
  <c r="AC64" i="89"/>
  <c r="AC76" i="89"/>
  <c r="AC137" i="89"/>
  <c r="AC149" i="89"/>
  <c r="AC162" i="89"/>
  <c r="AC174" i="89"/>
  <c r="AC186" i="89"/>
  <c r="AC341" i="89"/>
  <c r="AC464" i="89"/>
  <c r="AC488" i="89"/>
  <c r="AC15" i="89"/>
  <c r="AC39" i="89"/>
  <c r="AC88" i="89"/>
  <c r="AC100" i="89"/>
  <c r="AC113" i="89"/>
  <c r="AC125" i="89"/>
  <c r="AC211" i="89"/>
  <c r="AC272" i="89"/>
  <c r="AC284" i="89"/>
  <c r="AC296" i="89"/>
  <c r="AC309" i="89"/>
  <c r="AC321" i="89"/>
  <c r="AC366" i="89"/>
  <c r="AC198" i="89"/>
  <c r="AC223" i="89"/>
  <c r="AC235" i="89"/>
  <c r="AC247" i="89"/>
  <c r="AC345" i="89"/>
  <c r="AC260" i="89"/>
  <c r="AC333" i="89"/>
  <c r="AC382" i="89"/>
  <c r="AC394" i="89"/>
  <c r="AC407" i="89"/>
  <c r="AC419" i="89"/>
  <c r="AC431" i="89"/>
  <c r="AC443" i="89"/>
  <c r="AC456" i="89"/>
  <c r="AC468" i="89"/>
  <c r="AC492" i="89"/>
  <c r="AC31" i="89"/>
  <c r="AC43" i="89"/>
  <c r="AC68" i="89"/>
  <c r="AC80" i="89"/>
  <c r="AC104" i="89"/>
  <c r="AC153" i="89"/>
  <c r="AC166" i="89"/>
  <c r="AC178" i="89"/>
  <c r="AC190" i="89"/>
  <c r="AC370" i="89"/>
  <c r="AC19" i="89"/>
  <c r="AC92" i="89"/>
  <c r="AC117" i="89"/>
  <c r="AC129" i="89"/>
  <c r="AC141" i="89"/>
  <c r="AC215" i="89"/>
  <c r="AC239" i="89"/>
  <c r="AC251" i="89"/>
  <c r="AC276" i="89"/>
  <c r="AC288" i="89"/>
  <c r="AC313" i="89"/>
  <c r="AC325" i="89"/>
  <c r="AC480" i="89"/>
  <c r="AC227" i="89"/>
  <c r="AC264" i="89"/>
  <c r="AC300" i="89"/>
  <c r="AC349" i="89"/>
  <c r="AC55" i="89"/>
  <c r="AC202" i="89"/>
  <c r="AC374" i="89"/>
  <c r="AC386" i="89"/>
  <c r="AC398" i="89"/>
  <c r="AC411" i="89"/>
  <c r="AC423" i="89"/>
  <c r="AC447" i="89"/>
  <c r="AC460" i="89"/>
  <c r="AC484" i="89"/>
  <c r="AC231" i="89"/>
  <c r="AC27" i="89"/>
  <c r="AC35" i="89"/>
  <c r="AC47" i="89"/>
  <c r="AC60" i="89"/>
  <c r="AC72" i="89"/>
  <c r="AC109" i="89"/>
  <c r="AC133" i="89"/>
  <c r="AC145" i="89"/>
  <c r="AC182" i="89"/>
  <c r="AC337" i="89"/>
  <c r="AC362" i="89"/>
  <c r="AC435" i="89"/>
  <c r="K57" i="86"/>
  <c r="J75" i="86"/>
  <c r="K48" i="86"/>
  <c r="K69" i="86"/>
  <c r="I74" i="86" l="1"/>
  <c r="K74" i="86" s="1"/>
  <c r="AD466" i="89"/>
  <c r="I70" i="86"/>
  <c r="K70" i="86" s="1"/>
  <c r="AD462" i="89"/>
  <c r="I64" i="86"/>
  <c r="K64" i="86" s="1"/>
  <c r="AD456" i="89"/>
  <c r="I66" i="86"/>
  <c r="K66" i="86" s="1"/>
  <c r="AD458" i="89"/>
  <c r="I68" i="86"/>
  <c r="K68" i="86" s="1"/>
  <c r="AD460" i="89"/>
  <c r="I63" i="86"/>
  <c r="K63" i="86" s="1"/>
  <c r="AD455" i="89"/>
  <c r="I71" i="86"/>
  <c r="K71" i="86" s="1"/>
  <c r="AD463" i="89"/>
  <c r="I65" i="86"/>
  <c r="K65" i="86" s="1"/>
  <c r="AD457" i="89"/>
  <c r="I73" i="86"/>
  <c r="K73" i="86" s="1"/>
  <c r="AD465" i="89"/>
  <c r="I72" i="86"/>
  <c r="K72" i="86" s="1"/>
  <c r="AD464" i="89"/>
  <c r="I67" i="86"/>
  <c r="K67" i="86" s="1"/>
  <c r="AD459" i="89"/>
  <c r="I61" i="86"/>
  <c r="K61" i="86" s="1"/>
  <c r="AD416" i="89"/>
  <c r="I58" i="86"/>
  <c r="K58" i="86" s="1"/>
  <c r="AD413" i="89"/>
  <c r="I62" i="86"/>
  <c r="K62" i="86" s="1"/>
  <c r="AD417" i="89"/>
  <c r="I56" i="86"/>
  <c r="K56" i="86" s="1"/>
  <c r="AD411" i="89"/>
  <c r="I53" i="86"/>
  <c r="K53" i="86" s="1"/>
  <c r="AD408" i="89"/>
  <c r="I55" i="86"/>
  <c r="K55" i="86" s="1"/>
  <c r="AD410" i="89"/>
  <c r="I51" i="86"/>
  <c r="K51" i="86" s="1"/>
  <c r="AD406" i="89"/>
  <c r="I52" i="86"/>
  <c r="K52" i="86" s="1"/>
  <c r="AD407" i="89"/>
  <c r="I59" i="86"/>
  <c r="K59" i="86" s="1"/>
  <c r="AD414" i="89"/>
  <c r="I60" i="86"/>
  <c r="K60" i="86" s="1"/>
  <c r="AD415" i="89"/>
  <c r="AD357" i="89"/>
  <c r="I41" i="86"/>
  <c r="K41" i="86" s="1"/>
  <c r="AD359" i="89"/>
  <c r="I40" i="86"/>
  <c r="K40" i="86" s="1"/>
  <c r="AD358" i="89"/>
  <c r="I50" i="86"/>
  <c r="K50" i="86" s="1"/>
  <c r="AD368" i="89"/>
  <c r="I42" i="86"/>
  <c r="K42" i="86" s="1"/>
  <c r="AD360" i="89"/>
  <c r="I47" i="86"/>
  <c r="K47" i="86" s="1"/>
  <c r="AD365" i="89"/>
  <c r="I43" i="86"/>
  <c r="K43" i="86" s="1"/>
  <c r="AD361" i="89"/>
  <c r="I45" i="86"/>
  <c r="K45" i="86" s="1"/>
  <c r="AD363" i="89"/>
  <c r="I46" i="86"/>
  <c r="K46" i="86" s="1"/>
  <c r="AD364" i="89"/>
  <c r="I44" i="86"/>
  <c r="K44" i="86" s="1"/>
  <c r="AD362" i="89"/>
  <c r="I49" i="86"/>
  <c r="K49" i="86" s="1"/>
  <c r="AD367" i="89"/>
  <c r="I38" i="86"/>
  <c r="K38" i="86" s="1"/>
  <c r="AD319" i="89"/>
  <c r="I34" i="86"/>
  <c r="K34" i="86" s="1"/>
  <c r="AD315" i="89"/>
  <c r="I33" i="86"/>
  <c r="K33" i="86" s="1"/>
  <c r="AD314" i="89"/>
  <c r="I37" i="86"/>
  <c r="K37" i="86" s="1"/>
  <c r="AD318" i="89"/>
  <c r="I29" i="86"/>
  <c r="K29" i="86" s="1"/>
  <c r="AD310" i="89"/>
  <c r="I32" i="86"/>
  <c r="K32" i="86" s="1"/>
  <c r="AD313" i="89"/>
  <c r="I35" i="86"/>
  <c r="K35" i="86" s="1"/>
  <c r="AD316" i="89"/>
  <c r="I31" i="86"/>
  <c r="K31" i="86" s="1"/>
  <c r="AD312" i="89"/>
  <c r="I28" i="86"/>
  <c r="K28" i="86" s="1"/>
  <c r="AD309" i="89"/>
  <c r="I36" i="86"/>
  <c r="K36" i="86" s="1"/>
  <c r="AD317" i="89"/>
  <c r="I30" i="86"/>
  <c r="K30" i="86" s="1"/>
  <c r="AD311" i="89"/>
  <c r="I27" i="86"/>
  <c r="K27" i="86" s="1"/>
  <c r="AD308" i="89"/>
  <c r="I26" i="86"/>
  <c r="K26" i="86" s="1"/>
  <c r="AD270" i="89"/>
  <c r="I16" i="86"/>
  <c r="K16" i="86" s="1"/>
  <c r="AD260" i="89"/>
  <c r="I18" i="86"/>
  <c r="K18" i="86" s="1"/>
  <c r="AD262" i="89"/>
  <c r="I25" i="86"/>
  <c r="K25" i="86" s="1"/>
  <c r="AD269" i="89"/>
  <c r="I19" i="86"/>
  <c r="K19" i="86" s="1"/>
  <c r="AD263" i="89"/>
  <c r="I24" i="86"/>
  <c r="K24" i="86" s="1"/>
  <c r="AD268" i="89"/>
  <c r="I21" i="86"/>
  <c r="K21" i="86" s="1"/>
  <c r="AD265" i="89"/>
  <c r="I23" i="86"/>
  <c r="K23" i="86" s="1"/>
  <c r="AD267" i="89"/>
  <c r="I15" i="86"/>
  <c r="K15" i="86" s="1"/>
  <c r="AD259" i="89"/>
  <c r="I17" i="86"/>
  <c r="K17" i="86" s="1"/>
  <c r="AD261" i="89"/>
  <c r="I20" i="86"/>
  <c r="K20" i="86" s="1"/>
  <c r="AD264" i="89"/>
  <c r="I22" i="86"/>
  <c r="K22" i="86" s="1"/>
  <c r="AD266" i="89"/>
  <c r="C70" i="86"/>
  <c r="E70" i="86" s="1"/>
  <c r="AD217" i="89"/>
  <c r="C69" i="86"/>
  <c r="E69" i="86" s="1"/>
  <c r="AD216" i="89"/>
  <c r="C68" i="86"/>
  <c r="E68" i="86" s="1"/>
  <c r="AD215" i="89"/>
  <c r="C72" i="86"/>
  <c r="E72" i="86" s="1"/>
  <c r="AD219" i="89"/>
  <c r="C66" i="86"/>
  <c r="E66" i="86" s="1"/>
  <c r="AD213" i="89"/>
  <c r="C67" i="86"/>
  <c r="E67" i="86" s="1"/>
  <c r="AD214" i="89"/>
  <c r="C73" i="86"/>
  <c r="E73" i="86" s="1"/>
  <c r="AD220" i="89"/>
  <c r="C64" i="86"/>
  <c r="E64" i="86" s="1"/>
  <c r="AD211" i="89"/>
  <c r="C74" i="86"/>
  <c r="E74" i="86" s="1"/>
  <c r="AD221" i="89"/>
  <c r="C71" i="86"/>
  <c r="E71" i="86" s="1"/>
  <c r="AD218" i="89"/>
  <c r="C65" i="86"/>
  <c r="E65" i="86" s="1"/>
  <c r="AD212" i="89"/>
  <c r="C55" i="86"/>
  <c r="E55" i="86" s="1"/>
  <c r="AD165" i="89"/>
  <c r="C57" i="86"/>
  <c r="E57" i="86" s="1"/>
  <c r="AD167" i="89"/>
  <c r="C59" i="86"/>
  <c r="E59" i="86" s="1"/>
  <c r="AD169" i="89"/>
  <c r="C61" i="86"/>
  <c r="E61" i="86" s="1"/>
  <c r="AD171" i="89"/>
  <c r="C54" i="86"/>
  <c r="E54" i="86" s="1"/>
  <c r="AD164" i="89"/>
  <c r="C56" i="86"/>
  <c r="E56" i="86" s="1"/>
  <c r="AD166" i="89"/>
  <c r="C51" i="86"/>
  <c r="E51" i="86" s="1"/>
  <c r="AD161" i="89"/>
  <c r="C58" i="86"/>
  <c r="E58" i="86" s="1"/>
  <c r="AD168" i="89"/>
  <c r="C52" i="86"/>
  <c r="E52" i="86" s="1"/>
  <c r="AD162" i="89"/>
  <c r="C53" i="86"/>
  <c r="E53" i="86" s="1"/>
  <c r="AD163" i="89"/>
  <c r="C62" i="86"/>
  <c r="E62" i="86" s="1"/>
  <c r="AD172" i="89"/>
  <c r="C60" i="86"/>
  <c r="E60" i="86" s="1"/>
  <c r="AD170" i="89"/>
  <c r="C41" i="86"/>
  <c r="E41" i="86" s="1"/>
  <c r="AD114" i="89"/>
  <c r="C47" i="86"/>
  <c r="E47" i="86" s="1"/>
  <c r="AD120" i="89"/>
  <c r="C43" i="86"/>
  <c r="E43" i="86" s="1"/>
  <c r="AD116" i="89"/>
  <c r="C46" i="86"/>
  <c r="E46" i="86" s="1"/>
  <c r="AD119" i="89"/>
  <c r="C40" i="86"/>
  <c r="E40" i="86" s="1"/>
  <c r="AD113" i="89"/>
  <c r="C48" i="86"/>
  <c r="E48" i="86" s="1"/>
  <c r="AD121" i="89"/>
  <c r="C45" i="86"/>
  <c r="E45" i="86" s="1"/>
  <c r="AD118" i="89"/>
  <c r="C39" i="86"/>
  <c r="E39" i="86" s="1"/>
  <c r="AD112" i="89"/>
  <c r="C44" i="86"/>
  <c r="E44" i="86" s="1"/>
  <c r="AD117" i="89"/>
  <c r="C42" i="86"/>
  <c r="E42" i="86" s="1"/>
  <c r="AD115" i="89"/>
  <c r="C50" i="86"/>
  <c r="E50" i="86" s="1"/>
  <c r="AD123" i="89"/>
  <c r="C49" i="86"/>
  <c r="E49" i="86" s="1"/>
  <c r="AD122" i="89"/>
  <c r="C37" i="86"/>
  <c r="E37" i="86" s="1"/>
  <c r="AD73" i="89"/>
  <c r="C29" i="86"/>
  <c r="E29" i="86" s="1"/>
  <c r="AD65" i="89"/>
  <c r="C34" i="86"/>
  <c r="E34" i="86" s="1"/>
  <c r="AD70" i="89"/>
  <c r="C28" i="86"/>
  <c r="E28" i="86" s="1"/>
  <c r="AD64" i="89"/>
  <c r="C30" i="86"/>
  <c r="E30" i="86" s="1"/>
  <c r="AD66" i="89"/>
  <c r="C35" i="86"/>
  <c r="E35" i="86" s="1"/>
  <c r="AD71" i="89"/>
  <c r="C27" i="86"/>
  <c r="E27" i="86" s="1"/>
  <c r="AD63" i="89"/>
  <c r="C36" i="86"/>
  <c r="E36" i="86" s="1"/>
  <c r="AD72" i="89"/>
  <c r="C38" i="86"/>
  <c r="E38" i="86" s="1"/>
  <c r="AD74" i="89"/>
  <c r="C33" i="86"/>
  <c r="E33" i="86" s="1"/>
  <c r="AD69" i="89"/>
  <c r="C31" i="86"/>
  <c r="E31" i="86" s="1"/>
  <c r="AD67" i="89"/>
  <c r="C32" i="86"/>
  <c r="E32" i="86" s="1"/>
  <c r="AD68" i="89"/>
  <c r="C20" i="86"/>
  <c r="E20" i="86" s="1"/>
  <c r="AD19" i="89"/>
  <c r="C17" i="86"/>
  <c r="E17" i="86" s="1"/>
  <c r="AD16" i="89"/>
  <c r="C23" i="86"/>
  <c r="E23" i="86" s="1"/>
  <c r="AD22" i="89"/>
  <c r="C15" i="86"/>
  <c r="E15" i="86" s="1"/>
  <c r="AD14" i="89"/>
  <c r="C25" i="86"/>
  <c r="E25" i="86" s="1"/>
  <c r="AD24" i="89"/>
  <c r="C19" i="86"/>
  <c r="E19" i="86" s="1"/>
  <c r="AD18" i="89"/>
  <c r="C22" i="86"/>
  <c r="E22" i="86" s="1"/>
  <c r="AD21" i="89"/>
  <c r="C16" i="86"/>
  <c r="E16" i="86" s="1"/>
  <c r="AD15" i="89"/>
  <c r="C24" i="86"/>
  <c r="E24" i="86" s="1"/>
  <c r="AD23" i="89"/>
  <c r="C21" i="86"/>
  <c r="E21" i="86" s="1"/>
  <c r="AD20" i="89"/>
  <c r="C26" i="86"/>
  <c r="E26" i="86" s="1"/>
  <c r="AD25" i="89"/>
  <c r="C18" i="86"/>
  <c r="E18" i="86" s="1"/>
  <c r="AD17" i="89"/>
  <c r="AD114" i="82"/>
  <c r="C41" i="81" s="1"/>
  <c r="A52" i="81" s="1"/>
  <c r="AC157" i="91"/>
  <c r="AC451" i="91"/>
  <c r="AC206" i="91"/>
  <c r="AC353" i="91"/>
  <c r="AC501" i="91" s="1"/>
  <c r="AC503" i="91" s="1"/>
  <c r="AC59" i="91"/>
  <c r="AC402" i="91"/>
  <c r="AC500" i="91"/>
  <c r="AC108" i="91"/>
  <c r="AC206" i="89"/>
  <c r="AC108" i="89"/>
  <c r="AC59" i="89"/>
  <c r="AC500" i="89"/>
  <c r="AC255" i="89"/>
  <c r="C63" i="86"/>
  <c r="E63" i="86" s="1"/>
  <c r="AC402" i="89"/>
  <c r="AC451" i="89"/>
  <c r="AC304" i="89"/>
  <c r="AC353" i="89"/>
  <c r="AC157" i="89"/>
  <c r="K75" i="86" l="1"/>
  <c r="L75" i="86" s="1"/>
  <c r="E41" i="81"/>
  <c r="AC501" i="89"/>
  <c r="AC503" i="89" s="1"/>
  <c r="I75" i="86"/>
  <c r="BI60" i="55" l="1"/>
  <c r="AC105" i="82" l="1"/>
  <c r="AD75" i="82" s="1"/>
  <c r="C40" i="81" s="1"/>
  <c r="AC101" i="82"/>
  <c r="AD74" i="82" s="1"/>
  <c r="C39" i="81" s="1"/>
  <c r="AC97" i="82"/>
  <c r="AD73" i="82" s="1"/>
  <c r="C38" i="81" s="1"/>
  <c r="AC93" i="82"/>
  <c r="AD72" i="82" s="1"/>
  <c r="C37" i="81" s="1"/>
  <c r="AC89" i="82"/>
  <c r="AD71" i="82" s="1"/>
  <c r="C36" i="81" s="1"/>
  <c r="AC85" i="82"/>
  <c r="AD70" i="82" s="1"/>
  <c r="C35" i="81" s="1"/>
  <c r="AC81" i="82"/>
  <c r="AD69" i="82" s="1"/>
  <c r="C34" i="81" s="1"/>
  <c r="AC77" i="82"/>
  <c r="AD68" i="82" s="1"/>
  <c r="C33" i="81" s="1"/>
  <c r="AC73" i="82"/>
  <c r="AD67" i="82" s="1"/>
  <c r="C32" i="81" s="1"/>
  <c r="AC69" i="82"/>
  <c r="AD66" i="82" s="1"/>
  <c r="C31" i="81" s="1"/>
  <c r="AC65" i="82"/>
  <c r="AD65" i="82" s="1"/>
  <c r="C30" i="81" s="1"/>
  <c r="AC61" i="82"/>
  <c r="AD64" i="82" s="1"/>
  <c r="C29" i="81" s="1"/>
  <c r="AC55" i="82"/>
  <c r="AD25" i="82" s="1"/>
  <c r="C28" i="81" s="1"/>
  <c r="AC51" i="82"/>
  <c r="AD24" i="82" s="1"/>
  <c r="C27" i="81" s="1"/>
  <c r="AC47" i="82"/>
  <c r="AD23" i="82" s="1"/>
  <c r="C26" i="81" s="1"/>
  <c r="AC43" i="82"/>
  <c r="AD22" i="82" s="1"/>
  <c r="C25" i="81" s="1"/>
  <c r="AC39" i="82"/>
  <c r="AD21" i="82" s="1"/>
  <c r="C24" i="81" s="1"/>
  <c r="AC35" i="82"/>
  <c r="AD20" i="82" s="1"/>
  <c r="C23" i="81" s="1"/>
  <c r="AC31" i="82"/>
  <c r="AD19" i="82" s="1"/>
  <c r="C22" i="81" s="1"/>
  <c r="AC27" i="82"/>
  <c r="AD18" i="82" s="1"/>
  <c r="C21" i="81" s="1"/>
  <c r="AC23" i="82"/>
  <c r="AD17" i="82" s="1"/>
  <c r="C20" i="81" s="1"/>
  <c r="AC19" i="82"/>
  <c r="AD16" i="82" s="1"/>
  <c r="C19" i="81" s="1"/>
  <c r="AC15" i="82"/>
  <c r="AD15" i="82" s="1"/>
  <c r="C18" i="81" s="1"/>
  <c r="AC11" i="82"/>
  <c r="AD14" i="82" s="1"/>
  <c r="C17" i="81" s="1"/>
  <c r="AE10" i="82"/>
  <c r="A53" i="81"/>
  <c r="E39" i="81" l="1"/>
  <c r="E32" i="81"/>
  <c r="E33" i="81"/>
  <c r="E34" i="81"/>
  <c r="E40" i="81"/>
  <c r="E35" i="81"/>
  <c r="E30" i="81"/>
  <c r="E36" i="81"/>
  <c r="E37" i="81"/>
  <c r="E31" i="81"/>
  <c r="E38" i="81"/>
  <c r="E29" i="81"/>
  <c r="E18" i="81"/>
  <c r="E19" i="81"/>
  <c r="E28" i="81"/>
  <c r="E21" i="81"/>
  <c r="E22" i="81"/>
  <c r="E24" i="81"/>
  <c r="E27" i="81"/>
  <c r="E20" i="81"/>
  <c r="E23" i="81"/>
  <c r="E25" i="81"/>
  <c r="E26" i="81"/>
  <c r="E17" i="81"/>
  <c r="C53" i="81"/>
  <c r="A28" i="81"/>
  <c r="A40" i="81"/>
  <c r="AC59" i="82"/>
  <c r="AC109" i="82"/>
  <c r="E53" i="81" l="1"/>
  <c r="F53" i="81" s="1"/>
  <c r="AC160" i="82"/>
  <c r="L15" i="62" l="1"/>
  <c r="K15" i="62"/>
  <c r="J15" i="62"/>
  <c r="I15" i="62"/>
  <c r="H15" i="62"/>
  <c r="G15" i="62"/>
  <c r="F15" i="62"/>
  <c r="M15" i="62" s="1"/>
  <c r="E15" i="62"/>
  <c r="D15" i="62"/>
  <c r="C15" i="62"/>
  <c r="L14" i="62"/>
  <c r="K14" i="62"/>
  <c r="J14" i="62"/>
  <c r="I14" i="62"/>
  <c r="H14" i="62"/>
  <c r="G14" i="62"/>
  <c r="F14" i="62"/>
  <c r="E14" i="62"/>
  <c r="D14" i="62"/>
  <c r="C14" i="62"/>
  <c r="L13" i="62"/>
  <c r="K13" i="62"/>
  <c r="J13" i="62"/>
  <c r="I13" i="62"/>
  <c r="H13" i="62"/>
  <c r="G13" i="62"/>
  <c r="F13" i="62"/>
  <c r="E13" i="62"/>
  <c r="D13" i="62"/>
  <c r="C13" i="62"/>
  <c r="M13" i="62" s="1"/>
  <c r="L12" i="62"/>
  <c r="K12" i="62"/>
  <c r="J12" i="62"/>
  <c r="I12" i="62"/>
  <c r="H12" i="62"/>
  <c r="G12" i="62"/>
  <c r="F12" i="62"/>
  <c r="E12" i="62"/>
  <c r="D12" i="62"/>
  <c r="C12" i="62"/>
  <c r="L11" i="62"/>
  <c r="K11" i="62"/>
  <c r="J11" i="62"/>
  <c r="I11" i="62"/>
  <c r="H11" i="62"/>
  <c r="G11" i="62"/>
  <c r="F11" i="62"/>
  <c r="M11" i="62" s="1"/>
  <c r="E11" i="62"/>
  <c r="D11" i="62"/>
  <c r="C11" i="62"/>
  <c r="L10" i="62"/>
  <c r="J10" i="62"/>
  <c r="H10" i="62"/>
  <c r="G10" i="62"/>
  <c r="F10" i="62"/>
  <c r="E10" i="62"/>
  <c r="D10" i="62"/>
  <c r="C10" i="62"/>
  <c r="L9" i="62"/>
  <c r="K9" i="62"/>
  <c r="J9" i="62"/>
  <c r="I9" i="62"/>
  <c r="H9" i="62"/>
  <c r="G9" i="62"/>
  <c r="F9" i="62"/>
  <c r="E9" i="62"/>
  <c r="D9" i="62"/>
  <c r="C9" i="62"/>
  <c r="M9" i="62" s="1"/>
  <c r="L8" i="62"/>
  <c r="K8" i="62"/>
  <c r="J8" i="62"/>
  <c r="I8" i="62"/>
  <c r="H8" i="62"/>
  <c r="G8" i="62"/>
  <c r="F8" i="62"/>
  <c r="E8" i="62"/>
  <c r="D8" i="62"/>
  <c r="C8" i="62"/>
  <c r="L7" i="62"/>
  <c r="K7" i="62"/>
  <c r="J7" i="62"/>
  <c r="I7" i="62"/>
  <c r="H7" i="62"/>
  <c r="G7" i="62"/>
  <c r="G16" i="62" s="1"/>
  <c r="F7" i="62"/>
  <c r="F16" i="62" s="1"/>
  <c r="E7" i="62"/>
  <c r="D7" i="62"/>
  <c r="C7" i="62"/>
  <c r="L6" i="62"/>
  <c r="K6" i="62"/>
  <c r="J6" i="62"/>
  <c r="I6" i="62"/>
  <c r="H6" i="62"/>
  <c r="M6" i="62" s="1"/>
  <c r="G6" i="62"/>
  <c r="F6" i="62"/>
  <c r="E6" i="62"/>
  <c r="D6" i="62"/>
  <c r="C6" i="62"/>
  <c r="L5" i="62"/>
  <c r="K5" i="62"/>
  <c r="J5" i="62"/>
  <c r="I5" i="62"/>
  <c r="H5" i="62"/>
  <c r="G5" i="62"/>
  <c r="F5" i="62"/>
  <c r="E5" i="62"/>
  <c r="D5" i="62"/>
  <c r="C5" i="62"/>
  <c r="L4" i="62"/>
  <c r="L16" i="62" s="1"/>
  <c r="K4" i="62"/>
  <c r="J4" i="62"/>
  <c r="I4" i="62"/>
  <c r="H4" i="62"/>
  <c r="G4" i="62"/>
  <c r="F4" i="62"/>
  <c r="E4" i="62"/>
  <c r="D4" i="62"/>
  <c r="D16" i="62" s="1"/>
  <c r="C4" i="62"/>
  <c r="L5" i="61"/>
  <c r="L6" i="61"/>
  <c r="L7" i="61"/>
  <c r="L8" i="61"/>
  <c r="L9" i="61"/>
  <c r="L11" i="61"/>
  <c r="L12" i="61"/>
  <c r="L13" i="61"/>
  <c r="L14" i="61"/>
  <c r="L15" i="61"/>
  <c r="L4" i="61"/>
  <c r="K15" i="61"/>
  <c r="K5" i="61"/>
  <c r="K6" i="61"/>
  <c r="K7" i="61"/>
  <c r="K8" i="61"/>
  <c r="K9" i="61"/>
  <c r="K10" i="61"/>
  <c r="K11" i="61"/>
  <c r="K12" i="61"/>
  <c r="K13" i="61"/>
  <c r="K14" i="61"/>
  <c r="K4" i="61"/>
  <c r="J5" i="61"/>
  <c r="J6" i="61"/>
  <c r="J7" i="61"/>
  <c r="J8" i="61"/>
  <c r="J9" i="61"/>
  <c r="J11" i="61"/>
  <c r="J12" i="61"/>
  <c r="J13" i="61"/>
  <c r="J14" i="61"/>
  <c r="J15" i="61"/>
  <c r="J4" i="61"/>
  <c r="I5" i="61"/>
  <c r="I6" i="61"/>
  <c r="I7" i="61"/>
  <c r="I8" i="61"/>
  <c r="I9" i="61"/>
  <c r="I10" i="61"/>
  <c r="I11" i="61"/>
  <c r="I12" i="61"/>
  <c r="I13" i="61"/>
  <c r="I14" i="61"/>
  <c r="I15" i="61"/>
  <c r="I4" i="61"/>
  <c r="H5" i="61"/>
  <c r="H6" i="61"/>
  <c r="H7" i="61"/>
  <c r="H8" i="61"/>
  <c r="H9" i="61"/>
  <c r="H10" i="61"/>
  <c r="H11" i="61"/>
  <c r="H12" i="61"/>
  <c r="H13" i="61"/>
  <c r="H14" i="61"/>
  <c r="H15" i="61"/>
  <c r="H4" i="61"/>
  <c r="G5" i="61"/>
  <c r="G6" i="61"/>
  <c r="G7" i="61"/>
  <c r="G8" i="61"/>
  <c r="G9" i="61"/>
  <c r="G10" i="61"/>
  <c r="G11" i="61"/>
  <c r="G12" i="61"/>
  <c r="G13" i="61"/>
  <c r="G14" i="61"/>
  <c r="G15" i="61"/>
  <c r="G4" i="61"/>
  <c r="F5" i="61"/>
  <c r="F6" i="61"/>
  <c r="F7" i="61"/>
  <c r="F8" i="61"/>
  <c r="F9" i="61"/>
  <c r="F10" i="61"/>
  <c r="F11" i="61"/>
  <c r="F12" i="61"/>
  <c r="F13" i="61"/>
  <c r="F14" i="61"/>
  <c r="F15" i="61"/>
  <c r="M15" i="61" s="1"/>
  <c r="F4" i="61"/>
  <c r="E5" i="61"/>
  <c r="E6" i="61"/>
  <c r="E7" i="61"/>
  <c r="E8" i="61"/>
  <c r="E9" i="61"/>
  <c r="E10" i="61"/>
  <c r="E11" i="61"/>
  <c r="E12" i="61"/>
  <c r="E13" i="61"/>
  <c r="E14" i="61"/>
  <c r="E15" i="61"/>
  <c r="E4" i="61"/>
  <c r="D5" i="61"/>
  <c r="D6" i="61"/>
  <c r="D7" i="61"/>
  <c r="D8" i="61"/>
  <c r="D9" i="61"/>
  <c r="D10" i="61"/>
  <c r="D11" i="61"/>
  <c r="D12" i="61"/>
  <c r="D13" i="61"/>
  <c r="D14" i="61"/>
  <c r="M14" i="61" s="1"/>
  <c r="D15" i="61"/>
  <c r="D4" i="61"/>
  <c r="C5" i="61"/>
  <c r="C6" i="61"/>
  <c r="C7" i="61"/>
  <c r="C8" i="61"/>
  <c r="C9" i="61"/>
  <c r="C10" i="61"/>
  <c r="C11" i="61"/>
  <c r="C12" i="61"/>
  <c r="C13" i="61"/>
  <c r="C14" i="61"/>
  <c r="C15" i="61"/>
  <c r="C4" i="61"/>
  <c r="M7" i="61"/>
  <c r="M6" i="61" l="1"/>
  <c r="C16" i="61"/>
  <c r="M9" i="61"/>
  <c r="M12" i="62"/>
  <c r="M14" i="62"/>
  <c r="J16" i="62"/>
  <c r="M8" i="62"/>
  <c r="C16" i="62"/>
  <c r="M8" i="61"/>
  <c r="M5" i="62"/>
  <c r="H16" i="62"/>
  <c r="E16" i="62"/>
  <c r="M7" i="62"/>
  <c r="M4" i="62"/>
  <c r="M5" i="61"/>
  <c r="K16" i="61"/>
  <c r="I16" i="61"/>
  <c r="H16" i="61"/>
  <c r="M13" i="61"/>
  <c r="G16" i="61"/>
  <c r="F16" i="61"/>
  <c r="E16" i="61"/>
  <c r="M11" i="61"/>
  <c r="M12" i="61"/>
  <c r="D16" i="61"/>
  <c r="M4" i="61"/>
  <c r="I10" i="62" l="1"/>
  <c r="K10" i="62" l="1"/>
  <c r="K16" i="62" s="1"/>
  <c r="L10" i="61"/>
  <c r="L16" i="61" s="1"/>
  <c r="M10" i="62"/>
  <c r="M16" i="62" s="1"/>
  <c r="I16" i="62"/>
  <c r="J10" i="61"/>
  <c r="BI10" i="55"/>
  <c r="M17" i="62" l="1"/>
  <c r="J16" i="61"/>
  <c r="M10" i="61"/>
  <c r="M16" i="61" s="1"/>
  <c r="M17" i="61" s="1"/>
  <c r="AC65" i="55" l="1"/>
  <c r="AD65" i="55" s="1"/>
  <c r="C30" i="90" s="1"/>
  <c r="E30" i="90" s="1"/>
  <c r="AC19" i="55"/>
  <c r="AD16" i="55" s="1"/>
  <c r="C19" i="90" s="1"/>
  <c r="E19" i="90" s="1"/>
  <c r="AC73" i="55"/>
  <c r="AD67" i="55" s="1"/>
  <c r="C32" i="90" s="1"/>
  <c r="E32" i="90" s="1"/>
  <c r="AC81" i="55"/>
  <c r="AD69" i="55" s="1"/>
  <c r="C34" i="90" s="1"/>
  <c r="E34" i="90" s="1"/>
  <c r="AC89" i="55"/>
  <c r="AD71" i="55" s="1"/>
  <c r="C36" i="90" s="1"/>
  <c r="E36" i="90" s="1"/>
  <c r="AC77" i="55"/>
  <c r="AD68" i="55" s="1"/>
  <c r="C33" i="90" s="1"/>
  <c r="E33" i="90" s="1"/>
  <c r="AC15" i="55"/>
  <c r="AD15" i="55" s="1"/>
  <c r="C18" i="90" s="1"/>
  <c r="E18" i="90" s="1"/>
  <c r="AC47" i="55"/>
  <c r="AD23" i="55" s="1"/>
  <c r="C26" i="90" s="1"/>
  <c r="E26" i="90" s="1"/>
  <c r="AC93" i="55"/>
  <c r="AD72" i="55" s="1"/>
  <c r="C37" i="90" s="1"/>
  <c r="E37" i="90" s="1"/>
  <c r="AC55" i="55"/>
  <c r="AD25" i="55" s="1"/>
  <c r="C28" i="90" s="1"/>
  <c r="E28" i="90" s="1"/>
  <c r="AC39" i="55"/>
  <c r="AD21" i="55" s="1"/>
  <c r="C24" i="90" s="1"/>
  <c r="E24" i="90" s="1"/>
  <c r="AC35" i="55"/>
  <c r="AD20" i="55" s="1"/>
  <c r="C23" i="90" s="1"/>
  <c r="E23" i="90" s="1"/>
  <c r="AC51" i="55"/>
  <c r="AD24" i="55" s="1"/>
  <c r="C27" i="90" s="1"/>
  <c r="E27" i="90" s="1"/>
  <c r="AC43" i="55"/>
  <c r="AD22" i="55" s="1"/>
  <c r="C25" i="90" s="1"/>
  <c r="E25" i="90" s="1"/>
  <c r="AC105" i="55"/>
  <c r="AD75" i="55" s="1"/>
  <c r="C40" i="90" s="1"/>
  <c r="E40" i="90" s="1"/>
  <c r="AC23" i="55"/>
  <c r="AD17" i="55" s="1"/>
  <c r="C20" i="90" s="1"/>
  <c r="E20" i="90" s="1"/>
  <c r="AC69" i="55" l="1"/>
  <c r="AD66" i="55" s="1"/>
  <c r="C31" i="90" s="1"/>
  <c r="E31" i="90" s="1"/>
  <c r="AC27" i="55"/>
  <c r="AD18" i="55" s="1"/>
  <c r="C21" i="90" s="1"/>
  <c r="E21" i="90" s="1"/>
  <c r="AC101" i="55"/>
  <c r="AD74" i="55" s="1"/>
  <c r="C39" i="90" s="1"/>
  <c r="E39" i="90" s="1"/>
  <c r="AC85" i="55"/>
  <c r="AD70" i="55" s="1"/>
  <c r="C35" i="90" s="1"/>
  <c r="E35" i="90" s="1"/>
  <c r="AC97" i="55"/>
  <c r="AD73" i="55" s="1"/>
  <c r="C38" i="90" s="1"/>
  <c r="E38" i="90" s="1"/>
  <c r="AC31" i="55"/>
  <c r="AD19" i="55" s="1"/>
  <c r="C22" i="90" s="1"/>
  <c r="E22" i="90" s="1"/>
  <c r="AC61" i="55"/>
  <c r="AD64" i="55" s="1"/>
  <c r="C29" i="90" s="1"/>
  <c r="AC11" i="55"/>
  <c r="AD14" i="55" s="1"/>
  <c r="C17" i="90" s="1"/>
  <c r="E29" i="90" l="1"/>
  <c r="A40" i="90"/>
  <c r="C41" i="90"/>
  <c r="A28" i="90"/>
  <c r="E17" i="90"/>
  <c r="BG23" i="55"/>
  <c r="BG14" i="55"/>
  <c r="BG21" i="55"/>
  <c r="AC109" i="55"/>
  <c r="BG13" i="55" s="1"/>
  <c r="BG16" i="55"/>
  <c r="BG18" i="55"/>
  <c r="BG15" i="55"/>
  <c r="BG22" i="55"/>
  <c r="AC59" i="55"/>
  <c r="BG17" i="55"/>
  <c r="BG19" i="55"/>
  <c r="E41" i="90" l="1"/>
  <c r="F41" i="90" s="1"/>
  <c r="BG12" i="55"/>
  <c r="AC110" i="55"/>
  <c r="BG20" i="55"/>
  <c r="AC112" i="55" l="1"/>
  <c r="BG25" i="55"/>
</calcChain>
</file>

<file path=xl/sharedStrings.xml><?xml version="1.0" encoding="utf-8"?>
<sst xmlns="http://schemas.openxmlformats.org/spreadsheetml/2006/main" count="2064" uniqueCount="149">
  <si>
    <t>ELETRIFICADORA DE SANTANDER S.A  E.S.P.</t>
  </si>
  <si>
    <t>PAGUELO CONTRATADO</t>
  </si>
  <si>
    <t>Mes</t>
  </si>
  <si>
    <t>Tipo Día</t>
  </si>
  <si>
    <t>Días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</si>
  <si>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</si>
  <si>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</si>
  <si>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</si>
  <si>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</si>
  <si>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</si>
  <si>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</si>
  <si>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</si>
  <si>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</si>
  <si>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</si>
  <si>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</si>
  <si>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</si>
  <si>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</si>
  <si>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</si>
  <si>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</si>
  <si>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</si>
  <si>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</si>
  <si>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</si>
  <si>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</si>
  <si>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</si>
  <si>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</si>
  <si>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</si>
  <si>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</si>
  <si>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</si>
  <si>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</si>
  <si>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 xml:space="preserve"> Ordinario</t>
  </si>
  <si>
    <t xml:space="preserve"> Sábado</t>
  </si>
  <si>
    <t xml:space="preserve"> Domingo</t>
  </si>
  <si>
    <t xml:space="preserve"> Festivo</t>
  </si>
  <si>
    <t>TOTAL AÑO kWh</t>
  </si>
  <si>
    <t>Feb</t>
  </si>
  <si>
    <t>OFERENTE:</t>
  </si>
  <si>
    <t>Mes-año</t>
  </si>
  <si>
    <t>Energia Solicitada (kWh)</t>
  </si>
  <si>
    <t>%
a ofertar</t>
  </si>
  <si>
    <t>Energia Oferta
kWh</t>
  </si>
  <si>
    <t>Precio
$ / kWh</t>
  </si>
  <si>
    <t>TOTAL</t>
  </si>
  <si>
    <t xml:space="preserve">(2) Tipo de Contrato: pague lo contratado. </t>
  </si>
  <si>
    <t>FIRMA OFERENTE E.S.P.</t>
  </si>
  <si>
    <t>Tipo de agente:</t>
  </si>
  <si>
    <t>Oferta No.:</t>
  </si>
  <si>
    <t>Tipo de oferta:</t>
  </si>
  <si>
    <t>Notas:</t>
  </si>
  <si>
    <t>TOTAL MES
kWh</t>
  </si>
  <si>
    <t>TOTAL PRODUCTO kWh</t>
  </si>
  <si>
    <t>TOTAL PRODUCTO</t>
  </si>
  <si>
    <t>PERIODO</t>
  </si>
  <si>
    <t>TOTAL DIA</t>
  </si>
  <si>
    <t xml:space="preserve">TOTAL AÑO
 </t>
  </si>
  <si>
    <t>(7) No serán tenidas en cuenta ofertas con condiciones y/o modificaciones adicionales a los Pliegos definitivos.</t>
  </si>
  <si>
    <t>MWh-año</t>
  </si>
  <si>
    <t>Año 2024</t>
  </si>
  <si>
    <t>CURVA</t>
  </si>
  <si>
    <t>Comercializador</t>
  </si>
  <si>
    <t>Generador</t>
  </si>
  <si>
    <t>PLANA</t>
  </si>
  <si>
    <t>MIXTA</t>
  </si>
  <si>
    <t>Elegir de la lista desplegable</t>
  </si>
  <si>
    <t>Diligenciar</t>
  </si>
  <si>
    <t>PLANA SOLAR</t>
  </si>
  <si>
    <t>CURVA SOLAR</t>
  </si>
  <si>
    <t>AÑO 2026
Energia Solicitada (kWh)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</si>
  <si>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</si>
  <si>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</si>
  <si>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</si>
  <si>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</si>
  <si>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</si>
  <si>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</si>
  <si>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</si>
  <si>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</si>
  <si>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</si>
  <si>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</si>
  <si>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</si>
  <si>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</si>
  <si>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 misma curva de la tabla 9.1.2 del producto 1</t>
  </si>
  <si>
    <t>AÑO 2027
Energia Solicitada (kWh)</t>
  </si>
  <si>
    <t>La misma curva de la tabla 9.1.3 del producto 1</t>
  </si>
  <si>
    <t>AÑO 2028
Energia Solicitada (kWh)</t>
  </si>
  <si>
    <t>La misma curva de la tabla 9.1.4 del producto 1</t>
  </si>
  <si>
    <t>AÑO 2029
Energia Solicitada (kWh)</t>
  </si>
  <si>
    <t>La misma curva de la tabla 9.1.5 del producto 1</t>
  </si>
  <si>
    <t>AÑO 2030
Energia Solicitada (kWh)</t>
  </si>
  <si>
    <t>La misma curva de la tabla 9.1.6 del producto 1</t>
  </si>
  <si>
    <t>AÑO 2031
Energia Solicitada (kWh)</t>
  </si>
  <si>
    <t>La misma curva de la tabla 9.1.7 del producto 1</t>
  </si>
  <si>
    <t>AÑO 2032
Energia Solicitada (kWh)</t>
  </si>
  <si>
    <t>La misma curva de la tabla 9.1.8 del producto 1</t>
  </si>
  <si>
    <t>AÑO 2033
Energia Solicitada (kWh)</t>
  </si>
  <si>
    <t>La misma curva de la tabla 9.1.9 del producto 1</t>
  </si>
  <si>
    <t>AÑO 2034
Energia Solicitada (kWh)</t>
  </si>
  <si>
    <t>La misma curva de la tabla 9.1.10 del producto 1</t>
  </si>
  <si>
    <t>La misma curva de la tabla 9.1.11 del producto 1</t>
  </si>
  <si>
    <t>TOTAL PRODUCTO 2
Energia Solicitada (kWh)</t>
  </si>
  <si>
    <t>AÑO 2035
Energia Solicitada (kWh)</t>
  </si>
  <si>
    <t>La misma curva de la tabla 9.1.12 del producto 1</t>
  </si>
  <si>
    <t>AÑO 2036
Energia Solicitada (kWh)</t>
  </si>
  <si>
    <t>TOTAL PRODUCTO 3
Energia Solicitada (kWh)</t>
  </si>
  <si>
    <t>(6) El precio incluye todos los cargos, impuestos y contribuciones que según la reglamentación vigente en la fecha de apertura de propuestas son responsabilidad de EL OFERENTE.</t>
  </si>
  <si>
    <t>(9) Tipo de oferta curva</t>
  </si>
  <si>
    <t xml:space="preserve">% de su oferta con FNCER: </t>
  </si>
  <si>
    <t>Fijo</t>
  </si>
  <si>
    <r>
      <t xml:space="preserve">Consolidado banco de preguntas y respuestas agentes convocatorias </t>
    </r>
    <r>
      <rPr>
        <sz val="48"/>
        <color rgb="FF00B0F0"/>
        <rFont val="Franklin Gothic Demi Cond"/>
        <family val="2"/>
      </rPr>
      <t xml:space="preserve">ESSA </t>
    </r>
  </si>
  <si>
    <t xml:space="preserve">N° Convocatoria </t>
  </si>
  <si>
    <t>Nombre remitente correo:</t>
  </si>
  <si>
    <t>Correo electrónico</t>
  </si>
  <si>
    <t>Teléfono de contacto:</t>
  </si>
  <si>
    <t>AGENTE</t>
  </si>
  <si>
    <t>N° pregunta</t>
  </si>
  <si>
    <t>PREGUNTA</t>
  </si>
  <si>
    <t>RESPUESTA</t>
  </si>
  <si>
    <t>12. TABLA  Factores de Indexación IPP serie oferta interna</t>
  </si>
  <si>
    <t xml:space="preserve">Factor </t>
  </si>
  <si>
    <t>CURVA FNCER</t>
  </si>
  <si>
    <t>EL OFERENTE deberá tener en cuenta lo siguiente al completar cada una de las Tablas de las cantidades a ofertar: Debe definir el porcentaje ofertado, hasta máximo el 100% de lo solicitado; EL CONTRATANTE aceptará la oferta de acuerdo a la metodología de evaluación hasta el máximo ofertado.</t>
  </si>
  <si>
    <t>ANEXO 10.1 CANTIDADES DE ENERGÍA REQUERIDA PRODUCTO 1</t>
  </si>
  <si>
    <t>(4) El precio igual para todos los meses por año e Independiente por año del producto, con dos cifras decimales</t>
  </si>
  <si>
    <t>Franja Horaria</t>
  </si>
  <si>
    <t>H1-H24</t>
  </si>
  <si>
    <t>(5) El % Igual para todos los meses y años  ofertados, con dos cifras decimales.</t>
  </si>
  <si>
    <t>Oferta No:</t>
  </si>
  <si>
    <t>(4) El precio debe ser Igual para todos los meses por año e Independiente por año del productor año, con dos cifras decimales</t>
  </si>
  <si>
    <t xml:space="preserve">(5) El % de energía debe ser Igual para todos los meses y años del producto, a dos cifras decimales. </t>
  </si>
  <si>
    <t>(6) El precio incluye todos los cargos, impuestos y contribuciones que según la reglamentación vigente en la fecha de apertura de propuestas son responsabilidad de EL OFERENTE .</t>
  </si>
  <si>
    <r>
      <t xml:space="preserve">EL OFERENTE deberá tener en cuenta lo siguiente al completar cada una de las Tablas de las cantidades a suminsitrar: Debe definir el porcentaje ofertado, hasta máximo el 100% de lo solicitado, teniendo en cuenta el tipo de contrato; EL CONTRATANTE aceptará la oferta de acuerdo a la metodología de evaluación hasta el máximo ofertado, adjudicando proporcional a la oferta recibida para todos los años ofertados .
</t>
    </r>
    <r>
      <rPr>
        <b/>
        <sz val="10"/>
        <rFont val="Arial"/>
        <family val="2"/>
      </rPr>
      <t>Nota:</t>
    </r>
    <r>
      <rPr>
        <sz val="10"/>
        <rFont val="Arial"/>
        <family val="2"/>
      </rPr>
      <t xml:space="preserve"> Diligenciar columnas % a ofertar, energía horaria ofertada y precio.</t>
    </r>
  </si>
  <si>
    <t>SOLICITUD PÚBLICA DE OFERTAS  CP-ESSC2026-001</t>
  </si>
  <si>
    <t>(9) Tipo de oferta curva, horas 1-24</t>
  </si>
  <si>
    <t>ANEXO 10.2 CANTIDADES DE ENERGÍA REQUERIDA PRODUCTO 2</t>
  </si>
  <si>
    <t>9.7. TABLAS CANTIDADES DE ENERGÍA SOLICITADA PRODUCTO 7 AÑO 2031-2040
 (kWh)</t>
  </si>
  <si>
    <t>AÑOS 2027 -2029</t>
  </si>
  <si>
    <t>9.1 TABLAS CANTIDADES DE ENERGÍA REQUERIDA PRODUCTO 1 AÑO 2027 -2029
 (kWh)</t>
  </si>
  <si>
    <t>SOLICITUD PÚBLICA DE OFERTAS  CP-ESSC2026-002</t>
  </si>
  <si>
    <t>(1) La Energía Ofertada se distribuye en forma horaria de acuerdo con la curva de carga presentada en la tabla 9.1. TABLAS CANTIDADES DE ENERGÍA REQUERIDA  PRODUCTO 1 AÑOS 2027 A 2029 del pliego de condiciones.</t>
  </si>
  <si>
    <t>(3) Precio ofertado en $kWh, en pesos de Abril 2026  (IPP Provisional)</t>
  </si>
  <si>
    <t>Oferta Básica, para la Solicitud Pública de Ofertas No. CP-ESSC2026-002, del  1 de enero de 2027 a 31 de diciembre de 2029.</t>
  </si>
  <si>
    <t>(8) La oferta se acoge a todas las condiciones del pliego CP-ESSC2026-002.</t>
  </si>
  <si>
    <t>AÑOS 2030 -2031</t>
  </si>
  <si>
    <t>Oferta Básica, para la Solicitud Pública de Ofertas No. CP-ESSC2026-002, del  1 de enero de 2030 a 31 de diciembre de 2031.</t>
  </si>
  <si>
    <t>(1) La Energía Ofertada se distribuye en forma horaria de acuerdo con la curva de carga presentada en la tabla 9.2. TABLAS CANTIDADES DE ENERGÍA REQUERIDA  PRODUCTO 2 AÑOS 2030 A 2031 del pliego de condiciones.</t>
  </si>
  <si>
    <t>9.2. TABLAS CANTIDADES DE ENERGÍA REQUERIDA PRODUCTO 2 AÑO 2030-2031
 (kWh)</t>
  </si>
  <si>
    <t>ANEXO 10.3 CANTIDADES DE ENERGÍA A SUMINISTRAR PRODUCTO 3</t>
  </si>
  <si>
    <t>AÑO 2032 al 2041</t>
  </si>
  <si>
    <t>Oferta Básica, para la Solicitud Pública de Ofertas No. CP-ESSC2026-002, del 1 de enero de 2032 a 31 de diciembre de 2041.</t>
  </si>
  <si>
    <t>(1) La Energía Ofertada se distribuye en forma horaria de acuerdo con la curva de carga presentada en la tabla 9.3. TABLAS CANTIDADES DE ENERGÍA SOLICITADA PRODUCTO 3 del pliego de condiciones.</t>
  </si>
  <si>
    <t>9.7. TABLAS CANTIDADES DE ENERGÍA SOLICITADA PRODUCTO 3 AÑO 2032-2041
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</si>
</sst>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_-* #,##0_-;\-* #,##0_-;_-* &quot;-&quot;??_-;_-@_-"/>
    <numFmt numFmtId="169" formatCode="_-* #,##0.00_-;\-* #,##0.00_-;_-* &quot;-&quot;_-;_-@_-"/>
    <numFmt numFmtId="171" formatCode="#,##0.00_ ;\-#,##0.00\ "/>
    <numFmt numFmtId="173" formatCode="_-&quot;$&quot;\ * #,##0_-;\-&quot;$&quot;\ * #,##0_-;_-&quot;$&quot;\ * &quot;-&quot;??_-;_-@_-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name val="Times New Roman"/>
      <family val="1"/>
    </font>
    <font>
      <b/>
      <sz val="15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b/>
      <sz val="12"/>
      <color theme="0"/>
      <name val="Arial"/>
      <family val="2"/>
    </font>
    <font>
      <b/>
      <i/>
      <sz val="12"/>
      <color theme="0"/>
      <name val="Arial"/>
      <family val="2"/>
    </font>
    <font>
      <b/>
      <i/>
      <sz val="11"/>
      <name val="Arial"/>
      <family val="2"/>
    </font>
    <font>
      <b/>
      <sz val="13"/>
      <color theme="1"/>
      <name val="Arial"/>
      <family val="2"/>
    </font>
    <font>
      <b/>
      <u/>
      <sz val="10"/>
      <name val="Arial"/>
      <family val="2"/>
    </font>
    <font>
      <b/>
      <sz val="16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  <font>
      <sz val="11"/>
      <color theme="0"/>
      <name val="Calibri"/>
      <family val="2"/>
      <scheme val="minor"/>
    </font>
    <font>
      <sz val="9"/>
      <name val="Arial"/>
      <family val="2"/>
    </font>
    <font>
      <b/>
      <sz val="8"/>
      <name val="Arial"/>
      <family val="2"/>
    </font>
    <font>
      <sz val="13"/>
      <color rgb="FFFF0000"/>
      <name val="Arial"/>
      <family val="2"/>
    </font>
    <font>
      <b/>
      <sz val="13"/>
      <color rgb="FFFF0000"/>
      <name val="Arial"/>
      <family val="2"/>
    </font>
    <font>
      <b/>
      <sz val="13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48"/>
      <color rgb="FF00B050"/>
      <name val="Franklin Gothic Demi Cond"/>
      <family val="2"/>
    </font>
    <font>
      <b/>
      <sz val="16"/>
      <color theme="2" tint="-0.499984740745262"/>
      <name val="Franklin Gothic Demi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48"/>
      <color rgb="FF00B0F0"/>
      <name val="Franklin Gothic Demi Cond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indexed="9"/>
      <name val="Arial"/>
      <family val="2"/>
    </font>
    <font>
      <b/>
      <i/>
      <sz val="15"/>
      <name val="Arial"/>
      <family val="2"/>
    </font>
    <font>
      <sz val="11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/>
    <xf numFmtId="0" fontId="1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41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1">
    <xf numFmtId="0" fontId="0" fillId="0" borderId="0" xfId="0"/>
    <xf numFmtId="0" fontId="5" fillId="2" borderId="1" xfId="3" applyFont="1" applyFill="1" applyBorder="1" applyAlignment="1">
      <alignment horizontal="center" vertical="center"/>
    </xf>
    <xf numFmtId="0" fontId="5" fillId="2" borderId="2" xfId="3" applyFont="1" applyFill="1" applyBorder="1" applyAlignment="1">
      <alignment horizontal="center" vertical="center"/>
    </xf>
    <xf numFmtId="41" fontId="5" fillId="2" borderId="4" xfId="1" applyFont="1" applyFill="1" applyBorder="1" applyAlignment="1">
      <alignment horizontal="center" vertical="center"/>
    </xf>
    <xf numFmtId="41" fontId="5" fillId="2" borderId="5" xfId="1" applyFont="1" applyFill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41" fontId="2" fillId="0" borderId="0" xfId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4" borderId="0" xfId="5" applyFont="1" applyFill="1" applyAlignment="1">
      <alignment vertical="top"/>
    </xf>
    <xf numFmtId="0" fontId="2" fillId="4" borderId="0" xfId="5" applyFont="1" applyFill="1"/>
    <xf numFmtId="0" fontId="12" fillId="4" borderId="0" xfId="5" applyFont="1" applyFill="1" applyAlignment="1">
      <alignment vertical="top" wrapText="1"/>
    </xf>
    <xf numFmtId="0" fontId="11" fillId="4" borderId="0" xfId="6" applyFont="1" applyFill="1" applyAlignment="1">
      <alignment horizontal="left"/>
    </xf>
    <xf numFmtId="4" fontId="11" fillId="4" borderId="28" xfId="6" applyNumberFormat="1" applyFont="1" applyFill="1" applyBorder="1" applyAlignment="1" applyProtection="1">
      <alignment horizontal="left"/>
      <protection locked="0"/>
    </xf>
    <xf numFmtId="4" fontId="11" fillId="4" borderId="28" xfId="6" applyNumberFormat="1" applyFont="1" applyFill="1" applyBorder="1" applyAlignment="1">
      <alignment horizontal="center"/>
    </xf>
    <xf numFmtId="0" fontId="14" fillId="0" borderId="0" xfId="5" applyFont="1"/>
    <xf numFmtId="165" fontId="15" fillId="2" borderId="29" xfId="7" applyNumberFormat="1" applyFont="1" applyFill="1" applyBorder="1" applyProtection="1"/>
    <xf numFmtId="0" fontId="6" fillId="4" borderId="0" xfId="6" applyFont="1" applyFill="1" applyAlignment="1">
      <alignment horizontal="center" vertical="center"/>
    </xf>
    <xf numFmtId="167" fontId="3" fillId="4" borderId="0" xfId="9" applyNumberFormat="1" applyFont="1" applyFill="1" applyBorder="1" applyProtection="1"/>
    <xf numFmtId="166" fontId="3" fillId="4" borderId="0" xfId="9" applyFont="1" applyFill="1" applyBorder="1" applyAlignment="1" applyProtection="1">
      <alignment horizontal="center"/>
    </xf>
    <xf numFmtId="166" fontId="3" fillId="4" borderId="0" xfId="9" applyFont="1" applyFill="1" applyBorder="1" applyProtection="1"/>
    <xf numFmtId="166" fontId="17" fillId="4" borderId="0" xfId="9" applyFont="1" applyFill="1" applyBorder="1" applyProtection="1"/>
    <xf numFmtId="0" fontId="2" fillId="0" borderId="0" xfId="5" applyFont="1"/>
    <xf numFmtId="0" fontId="2" fillId="0" borderId="0" xfId="5" applyFont="1" applyAlignment="1">
      <alignment horizontal="center"/>
    </xf>
    <xf numFmtId="0" fontId="2" fillId="4" borderId="0" xfId="5" applyFont="1" applyFill="1" applyAlignment="1">
      <alignment horizontal="center"/>
    </xf>
    <xf numFmtId="0" fontId="2" fillId="4" borderId="0" xfId="5" applyFont="1" applyFill="1" applyProtection="1">
      <protection locked="0"/>
    </xf>
    <xf numFmtId="0" fontId="2" fillId="4" borderId="0" xfId="5" applyFont="1" applyFill="1" applyAlignment="1">
      <alignment horizontal="left" wrapText="1"/>
    </xf>
    <xf numFmtId="4" fontId="10" fillId="4" borderId="31" xfId="5" applyNumberFormat="1" applyFont="1" applyFill="1" applyBorder="1"/>
    <xf numFmtId="0" fontId="2" fillId="4" borderId="31" xfId="5" applyFont="1" applyFill="1" applyBorder="1"/>
    <xf numFmtId="4" fontId="10" fillId="4" borderId="0" xfId="5" applyNumberFormat="1" applyFont="1" applyFill="1"/>
    <xf numFmtId="0" fontId="18" fillId="0" borderId="32" xfId="4" applyFont="1" applyBorder="1" applyAlignment="1">
      <alignment horizontal="left" vertical="center"/>
    </xf>
    <xf numFmtId="0" fontId="19" fillId="0" borderId="0" xfId="5" applyFont="1" applyAlignment="1">
      <alignment horizontal="left"/>
    </xf>
    <xf numFmtId="0" fontId="2" fillId="4" borderId="0" xfId="5" applyFont="1" applyFill="1" applyAlignment="1">
      <alignment vertical="center"/>
    </xf>
    <xf numFmtId="0" fontId="2" fillId="4" borderId="0" xfId="5" applyFont="1" applyFill="1" applyAlignment="1">
      <alignment vertical="center" wrapText="1"/>
    </xf>
    <xf numFmtId="0" fontId="10" fillId="4" borderId="0" xfId="5" applyFont="1" applyFill="1" applyAlignment="1">
      <alignment vertical="top"/>
    </xf>
    <xf numFmtId="0" fontId="11" fillId="4" borderId="0" xfId="5" applyFont="1" applyFill="1" applyAlignment="1">
      <alignment vertical="top" wrapText="1"/>
    </xf>
    <xf numFmtId="3" fontId="7" fillId="2" borderId="9" xfId="0" applyNumberFormat="1" applyFont="1" applyFill="1" applyBorder="1" applyAlignment="1">
      <alignment horizontal="center" vertical="center" wrapText="1"/>
    </xf>
    <xf numFmtId="17" fontId="3" fillId="4" borderId="29" xfId="6" applyNumberFormat="1" applyFont="1" applyFill="1" applyBorder="1" applyAlignment="1">
      <alignment horizontal="center" vertical="center"/>
    </xf>
    <xf numFmtId="9" fontId="15" fillId="2" borderId="29" xfId="2" applyFont="1" applyFill="1" applyBorder="1" applyAlignment="1" applyProtection="1">
      <alignment horizont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41" fontId="5" fillId="2" borderId="29" xfId="1" applyFont="1" applyFill="1" applyBorder="1" applyAlignment="1">
      <alignment horizontal="center" vertical="center"/>
    </xf>
    <xf numFmtId="3" fontId="5" fillId="2" borderId="29" xfId="3" applyNumberFormat="1" applyFont="1" applyFill="1" applyBorder="1" applyAlignment="1">
      <alignment horizontal="center" vertical="center" wrapText="1"/>
    </xf>
    <xf numFmtId="168" fontId="2" fillId="0" borderId="0" xfId="10" applyNumberFormat="1" applyFont="1" applyAlignment="1">
      <alignment horizontal="center" vertical="center"/>
    </xf>
    <xf numFmtId="4" fontId="26" fillId="4" borderId="0" xfId="6" applyNumberFormat="1" applyFont="1" applyFill="1" applyAlignment="1">
      <alignment horizontal="left"/>
    </xf>
    <xf numFmtId="4" fontId="26" fillId="4" borderId="0" xfId="6" applyNumberFormat="1" applyFont="1" applyFill="1" applyAlignment="1" applyProtection="1">
      <alignment horizontal="left"/>
      <protection locked="0"/>
    </xf>
    <xf numFmtId="165" fontId="0" fillId="0" borderId="0" xfId="0" applyNumberFormat="1"/>
    <xf numFmtId="0" fontId="3" fillId="6" borderId="29" xfId="6" applyFont="1" applyFill="1" applyBorder="1" applyAlignment="1">
      <alignment horizontal="center" vertical="center" wrapText="1"/>
    </xf>
    <xf numFmtId="0" fontId="27" fillId="6" borderId="29" xfId="6" applyFont="1" applyFill="1" applyBorder="1" applyAlignment="1">
      <alignment horizontal="center" vertical="center" wrapText="1"/>
    </xf>
    <xf numFmtId="165" fontId="2" fillId="4" borderId="29" xfId="7" applyNumberFormat="1" applyFont="1" applyFill="1" applyBorder="1" applyProtection="1"/>
    <xf numFmtId="165" fontId="6" fillId="4" borderId="29" xfId="7" applyNumberFormat="1" applyFont="1" applyFill="1" applyBorder="1" applyProtection="1"/>
    <xf numFmtId="0" fontId="8" fillId="2" borderId="29" xfId="6" applyFont="1" applyFill="1" applyBorder="1" applyAlignment="1">
      <alignment horizontal="center" vertical="center" wrapText="1"/>
    </xf>
    <xf numFmtId="0" fontId="27" fillId="7" borderId="29" xfId="6" applyFont="1" applyFill="1" applyBorder="1" applyAlignment="1">
      <alignment horizontal="center" vertical="center" wrapText="1"/>
    </xf>
    <xf numFmtId="0" fontId="21" fillId="4" borderId="0" xfId="5" applyFont="1" applyFill="1" applyAlignment="1">
      <alignment vertical="top"/>
    </xf>
    <xf numFmtId="0" fontId="28" fillId="4" borderId="0" xfId="5" applyFont="1" applyFill="1" applyAlignment="1">
      <alignment vertical="top" wrapText="1"/>
    </xf>
    <xf numFmtId="0" fontId="29" fillId="4" borderId="0" xfId="5" applyFont="1" applyFill="1" applyAlignment="1">
      <alignment vertical="top" wrapText="1"/>
    </xf>
    <xf numFmtId="0" fontId="25" fillId="0" borderId="33" xfId="0" applyFont="1" applyBorder="1"/>
    <xf numFmtId="0" fontId="15" fillId="2" borderId="29" xfId="6" applyFont="1" applyFill="1" applyBorder="1" applyAlignment="1">
      <alignment horizontal="center" vertical="center"/>
    </xf>
    <xf numFmtId="0" fontId="7" fillId="4" borderId="0" xfId="5" applyFont="1" applyFill="1"/>
    <xf numFmtId="0" fontId="6" fillId="4" borderId="31" xfId="6" applyFont="1" applyFill="1" applyBorder="1" applyAlignment="1">
      <alignment horizontal="center" vertical="center"/>
    </xf>
    <xf numFmtId="166" fontId="3" fillId="4" borderId="31" xfId="9" applyFont="1" applyFill="1" applyBorder="1" applyProtection="1"/>
    <xf numFmtId="166" fontId="17" fillId="4" borderId="31" xfId="9" applyFont="1" applyFill="1" applyBorder="1" applyProtection="1"/>
    <xf numFmtId="0" fontId="33" fillId="0" borderId="0" xfId="0" applyFont="1"/>
    <xf numFmtId="0" fontId="2" fillId="4" borderId="0" xfId="5" applyFont="1" applyFill="1" applyAlignment="1">
      <alignment horizontal="left" vertical="top" wrapText="1"/>
    </xf>
    <xf numFmtId="0" fontId="21" fillId="4" borderId="0" xfId="5" applyFont="1" applyFill="1" applyAlignment="1">
      <alignment vertical="center" wrapText="1"/>
    </xf>
    <xf numFmtId="43" fontId="2" fillId="0" borderId="18" xfId="10" applyFont="1" applyBorder="1" applyAlignment="1">
      <alignment horizontal="center" vertical="center" wrapText="1"/>
    </xf>
    <xf numFmtId="4" fontId="2" fillId="0" borderId="18" xfId="1" applyNumberFormat="1" applyFont="1" applyBorder="1" applyAlignment="1">
      <alignment horizontal="right" vertical="center" wrapText="1"/>
    </xf>
    <xf numFmtId="4" fontId="2" fillId="0" borderId="0" xfId="1" applyNumberFormat="1" applyFont="1" applyAlignment="1">
      <alignment horizontal="center" vertical="center"/>
    </xf>
    <xf numFmtId="4" fontId="2" fillId="0" borderId="10" xfId="1" applyNumberFormat="1" applyFont="1" applyBorder="1" applyAlignment="1">
      <alignment horizontal="right" vertical="center" wrapText="1"/>
    </xf>
    <xf numFmtId="4" fontId="2" fillId="0" borderId="14" xfId="1" applyNumberFormat="1" applyFont="1" applyBorder="1" applyAlignment="1">
      <alignment horizontal="right" vertical="center" wrapText="1"/>
    </xf>
    <xf numFmtId="4" fontId="2" fillId="0" borderId="25" xfId="1" applyNumberFormat="1" applyFont="1" applyBorder="1" applyAlignment="1">
      <alignment horizontal="right" vertical="center" wrapText="1"/>
    </xf>
    <xf numFmtId="4" fontId="2" fillId="0" borderId="22" xfId="1" applyNumberFormat="1" applyFont="1" applyBorder="1" applyAlignment="1">
      <alignment horizontal="right" vertical="center" wrapText="1"/>
    </xf>
    <xf numFmtId="4" fontId="2" fillId="0" borderId="0" xfId="1" applyNumberFormat="1" applyFont="1" applyAlignment="1">
      <alignment horizontal="right" vertical="center"/>
    </xf>
    <xf numFmtId="4" fontId="5" fillId="2" borderId="3" xfId="1" applyNumberFormat="1" applyFont="1" applyFill="1" applyBorder="1" applyAlignment="1">
      <alignment horizontal="center" vertical="center"/>
    </xf>
    <xf numFmtId="4" fontId="2" fillId="0" borderId="18" xfId="10" applyNumberFormat="1" applyFont="1" applyBorder="1" applyAlignment="1">
      <alignment horizontal="center" vertical="center" wrapText="1"/>
    </xf>
    <xf numFmtId="0" fontId="35" fillId="0" borderId="0" xfId="0" applyFont="1"/>
    <xf numFmtId="0" fontId="35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5" fillId="0" borderId="39" xfId="0" applyFont="1" applyBorder="1" applyAlignment="1">
      <alignment horizontal="center" vertical="center"/>
    </xf>
    <xf numFmtId="0" fontId="38" fillId="8" borderId="22" xfId="0" applyFont="1" applyFill="1" applyBorder="1" applyAlignment="1">
      <alignment horizontal="center" vertical="center"/>
    </xf>
    <xf numFmtId="0" fontId="38" fillId="8" borderId="34" xfId="0" applyFont="1" applyFill="1" applyBorder="1" applyAlignment="1">
      <alignment horizontal="center" vertical="center" wrapText="1"/>
    </xf>
    <xf numFmtId="0" fontId="38" fillId="9" borderId="34" xfId="0" applyFont="1" applyFill="1" applyBorder="1" applyAlignment="1">
      <alignment horizontal="center" vertical="center"/>
    </xf>
    <xf numFmtId="0" fontId="38" fillId="10" borderId="37" xfId="0" applyFont="1" applyFill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29" xfId="0" applyFont="1" applyBorder="1" applyAlignment="1">
      <alignment horizontal="center" vertical="center"/>
    </xf>
    <xf numFmtId="0" fontId="39" fillId="0" borderId="29" xfId="0" applyFont="1" applyBorder="1" applyAlignment="1">
      <alignment horizontal="justify" vertical="center"/>
    </xf>
    <xf numFmtId="0" fontId="39" fillId="0" borderId="40" xfId="0" applyFont="1" applyBorder="1" applyAlignment="1">
      <alignment horizontal="justify" vertical="center"/>
    </xf>
    <xf numFmtId="0" fontId="35" fillId="0" borderId="29" xfId="0" applyFont="1" applyBorder="1" applyAlignment="1">
      <alignment vertical="center"/>
    </xf>
    <xf numFmtId="0" fontId="39" fillId="0" borderId="40" xfId="0" applyFont="1" applyBorder="1" applyAlignment="1">
      <alignment vertical="center"/>
    </xf>
    <xf numFmtId="0" fontId="40" fillId="0" borderId="14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35" fillId="0" borderId="29" xfId="0" applyFont="1" applyBorder="1" applyAlignment="1">
      <alignment horizontal="justify" vertical="center" wrapText="1"/>
    </xf>
    <xf numFmtId="0" fontId="35" fillId="0" borderId="29" xfId="0" applyFont="1" applyBorder="1" applyAlignment="1">
      <alignment horizontal="justify" vertical="center"/>
    </xf>
    <xf numFmtId="0" fontId="41" fillId="0" borderId="40" xfId="11" applyFont="1" applyBorder="1" applyAlignment="1">
      <alignment horizontal="justify" vertical="center"/>
    </xf>
    <xf numFmtId="0" fontId="35" fillId="0" borderId="29" xfId="0" applyFont="1" applyBorder="1" applyAlignment="1">
      <alignment vertical="center" wrapText="1"/>
    </xf>
    <xf numFmtId="0" fontId="35" fillId="0" borderId="40" xfId="0" applyFont="1" applyBorder="1" applyAlignment="1">
      <alignment horizontal="justify" vertical="center" wrapText="1"/>
    </xf>
    <xf numFmtId="0" fontId="39" fillId="0" borderId="40" xfId="0" applyFont="1" applyBorder="1" applyAlignment="1">
      <alignment horizontal="justify" vertical="center" wrapText="1"/>
    </xf>
    <xf numFmtId="0" fontId="39" fillId="0" borderId="40" xfId="0" applyFont="1" applyBorder="1" applyAlignment="1">
      <alignment horizontal="left" vertical="center" indent="1"/>
    </xf>
    <xf numFmtId="0" fontId="35" fillId="0" borderId="25" xfId="0" applyFont="1" applyBorder="1" applyAlignment="1">
      <alignment horizontal="center" vertical="center"/>
    </xf>
    <xf numFmtId="0" fontId="35" fillId="0" borderId="30" xfId="0" applyFont="1" applyBorder="1" applyAlignment="1">
      <alignment horizontal="center" vertical="center"/>
    </xf>
    <xf numFmtId="0" fontId="35" fillId="0" borderId="30" xfId="0" applyFont="1" applyBorder="1" applyAlignment="1">
      <alignment horizontal="justify" vertical="center"/>
    </xf>
    <xf numFmtId="0" fontId="39" fillId="0" borderId="36" xfId="0" applyFont="1" applyBorder="1" applyAlignment="1">
      <alignment horizontal="justify" vertical="center"/>
    </xf>
    <xf numFmtId="0" fontId="35" fillId="0" borderId="0" xfId="0" applyFont="1" applyAlignment="1">
      <alignment horizontal="justify" vertical="center" wrapText="1"/>
    </xf>
    <xf numFmtId="0" fontId="42" fillId="0" borderId="0" xfId="0" applyFont="1" applyAlignment="1">
      <alignment horizontal="justify" vertical="center"/>
    </xf>
    <xf numFmtId="0" fontId="43" fillId="0" borderId="0" xfId="0" applyFont="1" applyAlignment="1">
      <alignment horizontal="justify" vertical="center" wrapText="1"/>
    </xf>
    <xf numFmtId="0" fontId="43" fillId="0" borderId="0" xfId="0" applyFont="1" applyAlignment="1">
      <alignment horizontal="justify" vertical="center"/>
    </xf>
    <xf numFmtId="0" fontId="35" fillId="0" borderId="0" xfId="0" applyFont="1" applyAlignment="1">
      <alignment horizontal="justify" vertical="center"/>
    </xf>
    <xf numFmtId="0" fontId="39" fillId="0" borderId="0" xfId="0" applyFont="1" applyAlignment="1">
      <alignment horizontal="justify" vertical="center"/>
    </xf>
    <xf numFmtId="0" fontId="35" fillId="3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 indent="1"/>
    </xf>
    <xf numFmtId="0" fontId="39" fillId="0" borderId="0" xfId="0" applyFont="1" applyAlignment="1">
      <alignment horizontal="left" vertical="center" indent="1"/>
    </xf>
    <xf numFmtId="0" fontId="35" fillId="0" borderId="0" xfId="0" applyFont="1" applyAlignment="1">
      <alignment wrapText="1"/>
    </xf>
    <xf numFmtId="0" fontId="39" fillId="0" borderId="0" xfId="0" applyFont="1" applyAlignment="1">
      <alignment horizontal="left" vertical="center" indent="2"/>
    </xf>
    <xf numFmtId="0" fontId="35" fillId="0" borderId="0" xfId="0" applyFont="1" applyAlignment="1">
      <alignment vertical="center" wrapText="1"/>
    </xf>
    <xf numFmtId="0" fontId="26" fillId="0" borderId="0" xfId="3" applyFont="1"/>
    <xf numFmtId="0" fontId="2" fillId="0" borderId="0" xfId="3" applyAlignment="1">
      <alignment horizontal="center"/>
    </xf>
    <xf numFmtId="0" fontId="2" fillId="0" borderId="0" xfId="3"/>
    <xf numFmtId="169" fontId="2" fillId="0" borderId="0" xfId="3" applyNumberFormat="1"/>
    <xf numFmtId="171" fontId="2" fillId="0" borderId="0" xfId="3" applyNumberFormat="1"/>
    <xf numFmtId="168" fontId="2" fillId="0" borderId="0" xfId="1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4" fontId="2" fillId="0" borderId="0" xfId="10" applyNumberFormat="1" applyFont="1" applyAlignment="1">
      <alignment horizontal="center" vertical="center"/>
    </xf>
    <xf numFmtId="4" fontId="5" fillId="2" borderId="7" xfId="10" applyNumberFormat="1" applyFont="1" applyFill="1" applyBorder="1" applyAlignment="1">
      <alignment horizontal="center" vertical="center" wrapText="1"/>
    </xf>
    <xf numFmtId="4" fontId="6" fillId="0" borderId="1" xfId="10" applyNumberFormat="1" applyFont="1" applyBorder="1" applyAlignment="1">
      <alignment horizontal="center" vertical="center"/>
    </xf>
    <xf numFmtId="167" fontId="3" fillId="4" borderId="31" xfId="9" applyNumberFormat="1" applyFont="1" applyFill="1" applyBorder="1" applyProtection="1"/>
    <xf numFmtId="0" fontId="21" fillId="0" borderId="0" xfId="3" applyFont="1"/>
    <xf numFmtId="0" fontId="7" fillId="2" borderId="29" xfId="0" applyFont="1" applyFill="1" applyBorder="1"/>
    <xf numFmtId="0" fontId="7" fillId="2" borderId="29" xfId="0" applyFont="1" applyFill="1" applyBorder="1" applyAlignment="1">
      <alignment horizontal="center"/>
    </xf>
    <xf numFmtId="17" fontId="0" fillId="6" borderId="29" xfId="0" applyNumberFormat="1" applyFill="1" applyBorder="1"/>
    <xf numFmtId="169" fontId="0" fillId="0" borderId="29" xfId="12" applyNumberFormat="1" applyFont="1" applyBorder="1" applyAlignment="1">
      <alignment horizontal="center"/>
    </xf>
    <xf numFmtId="17" fontId="0" fillId="11" borderId="29" xfId="0" applyNumberFormat="1" applyFill="1" applyBorder="1"/>
    <xf numFmtId="4" fontId="11" fillId="4" borderId="27" xfId="6" applyNumberFormat="1" applyFont="1" applyFill="1" applyBorder="1" applyAlignment="1" applyProtection="1">
      <alignment horizontal="center"/>
      <protection locked="0"/>
    </xf>
    <xf numFmtId="0" fontId="46" fillId="4" borderId="0" xfId="5" applyFont="1" applyFill="1"/>
    <xf numFmtId="17" fontId="31" fillId="0" borderId="29" xfId="6" applyNumberFormat="1" applyFont="1" applyBorder="1" applyAlignment="1">
      <alignment horizontal="center" vertical="center"/>
    </xf>
    <xf numFmtId="165" fontId="32" fillId="0" borderId="29" xfId="7" applyNumberFormat="1" applyFont="1" applyFill="1" applyBorder="1" applyProtection="1"/>
    <xf numFmtId="0" fontId="46" fillId="0" borderId="0" xfId="5" applyFont="1"/>
    <xf numFmtId="168" fontId="2" fillId="0" borderId="0" xfId="10" applyNumberFormat="1" applyFont="1" applyAlignment="1">
      <alignment vertical="center"/>
    </xf>
    <xf numFmtId="4" fontId="11" fillId="0" borderId="27" xfId="6" applyNumberFormat="1" applyFont="1" applyBorder="1" applyAlignment="1" applyProtection="1">
      <alignment horizontal="center"/>
      <protection locked="0"/>
    </xf>
    <xf numFmtId="167" fontId="15" fillId="2" borderId="29" xfId="9" applyNumberFormat="1" applyFont="1" applyFill="1" applyBorder="1" applyProtection="1"/>
    <xf numFmtId="0" fontId="25" fillId="0" borderId="0" xfId="0" applyFont="1"/>
    <xf numFmtId="0" fontId="2" fillId="4" borderId="0" xfId="5" applyFont="1" applyFill="1" applyAlignment="1">
      <alignment horizontal="left" vertical="center" wrapText="1"/>
    </xf>
    <xf numFmtId="0" fontId="2" fillId="4" borderId="0" xfId="5" applyFont="1" applyFill="1" applyAlignment="1">
      <alignment horizontal="center" vertical="top"/>
    </xf>
    <xf numFmtId="0" fontId="12" fillId="4" borderId="28" xfId="5" applyFont="1" applyFill="1" applyBorder="1" applyAlignment="1">
      <alignment vertical="top" wrapText="1"/>
    </xf>
    <xf numFmtId="4" fontId="11" fillId="4" borderId="41" xfId="6" applyNumberFormat="1" applyFont="1" applyFill="1" applyBorder="1" applyAlignment="1" applyProtection="1">
      <alignment horizontal="left"/>
      <protection locked="0"/>
    </xf>
    <xf numFmtId="4" fontId="11" fillId="4" borderId="27" xfId="6" applyNumberFormat="1" applyFont="1" applyFill="1" applyBorder="1" applyAlignment="1">
      <alignment horizontal="center"/>
    </xf>
    <xf numFmtId="0" fontId="2" fillId="4" borderId="27" xfId="5" applyFont="1" applyFill="1" applyBorder="1"/>
    <xf numFmtId="0" fontId="11" fillId="4" borderId="27" xfId="6" applyFont="1" applyFill="1" applyBorder="1" applyAlignment="1">
      <alignment horizontal="left"/>
    </xf>
    <xf numFmtId="4" fontId="11" fillId="4" borderId="27" xfId="6" applyNumberFormat="1" applyFont="1" applyFill="1" applyBorder="1" applyProtection="1">
      <protection locked="0"/>
    </xf>
    <xf numFmtId="41" fontId="2" fillId="4" borderId="0" xfId="5" applyNumberFormat="1" applyFont="1" applyFill="1"/>
    <xf numFmtId="0" fontId="40" fillId="4" borderId="0" xfId="5" applyFont="1" applyFill="1"/>
    <xf numFmtId="41" fontId="47" fillId="0" borderId="0" xfId="5" applyNumberFormat="1" applyFont="1"/>
    <xf numFmtId="0" fontId="25" fillId="12" borderId="0" xfId="0" applyFont="1" applyFill="1"/>
    <xf numFmtId="165" fontId="40" fillId="4" borderId="29" xfId="7" applyNumberFormat="1" applyFont="1" applyFill="1" applyBorder="1" applyProtection="1"/>
    <xf numFmtId="165" fontId="40" fillId="5" borderId="29" xfId="7" applyNumberFormat="1" applyFont="1" applyFill="1" applyBorder="1" applyProtection="1"/>
    <xf numFmtId="0" fontId="1" fillId="0" borderId="0" xfId="0" applyFont="1"/>
    <xf numFmtId="0" fontId="38" fillId="2" borderId="29" xfId="6" applyFont="1" applyFill="1" applyBorder="1" applyAlignment="1">
      <alignment horizontal="center" vertical="center"/>
    </xf>
    <xf numFmtId="9" fontId="15" fillId="2" borderId="29" xfId="2" applyFont="1" applyFill="1" applyBorder="1" applyProtection="1"/>
    <xf numFmtId="43" fontId="2" fillId="0" borderId="0" xfId="5" applyNumberFormat="1" applyFont="1"/>
    <xf numFmtId="0" fontId="21" fillId="0" borderId="0" xfId="5" applyFont="1" applyAlignment="1">
      <alignment wrapText="1"/>
    </xf>
    <xf numFmtId="0" fontId="22" fillId="0" borderId="42" xfId="0" applyFont="1" applyBorder="1"/>
    <xf numFmtId="0" fontId="21" fillId="4" borderId="0" xfId="5" applyFont="1" applyFill="1" applyAlignment="1">
      <alignment vertical="center"/>
    </xf>
    <xf numFmtId="0" fontId="21" fillId="4" borderId="0" xfId="5" applyFont="1" applyFill="1"/>
    <xf numFmtId="0" fontId="21" fillId="4" borderId="0" xfId="5" applyFont="1" applyFill="1" applyAlignment="1">
      <alignment horizontal="center"/>
    </xf>
    <xf numFmtId="4" fontId="2" fillId="0" borderId="10" xfId="1" applyNumberFormat="1" applyFont="1" applyBorder="1" applyAlignment="1">
      <alignment horizontal="center" vertical="center" wrapText="1"/>
    </xf>
    <xf numFmtId="171" fontId="2" fillId="0" borderId="10" xfId="1" applyNumberFormat="1" applyFont="1" applyBorder="1" applyAlignment="1">
      <alignment horizontal="center" vertical="center" wrapText="1"/>
    </xf>
    <xf numFmtId="4" fontId="2" fillId="0" borderId="14" xfId="1" applyNumberFormat="1" applyFont="1" applyBorder="1" applyAlignment="1">
      <alignment horizontal="center" vertical="center" wrapText="1"/>
    </xf>
    <xf numFmtId="171" fontId="2" fillId="0" borderId="14" xfId="1" applyNumberFormat="1" applyFont="1" applyBorder="1" applyAlignment="1">
      <alignment horizontal="center" vertical="center" wrapText="1"/>
    </xf>
    <xf numFmtId="4" fontId="2" fillId="0" borderId="25" xfId="1" applyNumberFormat="1" applyFont="1" applyBorder="1" applyAlignment="1">
      <alignment horizontal="center" vertical="center" wrapText="1"/>
    </xf>
    <xf numFmtId="171" fontId="2" fillId="0" borderId="25" xfId="1" applyNumberFormat="1" applyFont="1" applyBorder="1" applyAlignment="1">
      <alignment horizontal="center" vertical="center" wrapText="1"/>
    </xf>
    <xf numFmtId="4" fontId="2" fillId="0" borderId="22" xfId="1" applyNumberFormat="1" applyFont="1" applyBorder="1" applyAlignment="1">
      <alignment horizontal="center" vertical="center" wrapText="1"/>
    </xf>
    <xf numFmtId="171" fontId="2" fillId="0" borderId="22" xfId="1" applyNumberFormat="1" applyFont="1" applyBorder="1" applyAlignment="1">
      <alignment horizontal="center" vertical="center" wrapText="1"/>
    </xf>
    <xf numFmtId="4" fontId="2" fillId="0" borderId="18" xfId="1" applyNumberFormat="1" applyFont="1" applyBorder="1" applyAlignment="1">
      <alignment horizontal="center" vertical="center" wrapText="1"/>
    </xf>
    <xf numFmtId="171" fontId="2" fillId="0" borderId="18" xfId="1" applyNumberFormat="1" applyFont="1" applyBorder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" fontId="21" fillId="0" borderId="0" xfId="1" applyNumberFormat="1" applyFont="1" applyAlignment="1">
      <alignment horizontal="right" vertical="center"/>
    </xf>
    <xf numFmtId="41" fontId="21" fillId="0" borderId="0" xfId="1" applyFont="1" applyAlignment="1">
      <alignment horizontal="center" vertical="center"/>
    </xf>
    <xf numFmtId="4" fontId="21" fillId="0" borderId="0" xfId="1" applyNumberFormat="1" applyFont="1" applyAlignment="1">
      <alignment horizontal="center" vertical="center"/>
    </xf>
    <xf numFmtId="43" fontId="16" fillId="2" borderId="29" xfId="9" applyNumberFormat="1" applyFont="1" applyFill="1" applyBorder="1" applyAlignment="1" applyProtection="1">
      <alignment horizontal="center"/>
    </xf>
    <xf numFmtId="4" fontId="2" fillId="4" borderId="0" xfId="5" applyNumberFormat="1" applyFont="1" applyFill="1"/>
    <xf numFmtId="4" fontId="45" fillId="0" borderId="18" xfId="10" applyNumberFormat="1" applyFont="1" applyBorder="1" applyAlignment="1">
      <alignment horizontal="center" vertical="center" wrapText="1"/>
    </xf>
    <xf numFmtId="4" fontId="2" fillId="0" borderId="18" xfId="10" applyNumberFormat="1" applyFont="1" applyBorder="1" applyAlignment="1">
      <alignment horizontal="right" vertical="center" wrapText="1"/>
    </xf>
    <xf numFmtId="43" fontId="48" fillId="3" borderId="29" xfId="9" applyNumberFormat="1" applyFont="1" applyFill="1" applyBorder="1" applyAlignment="1" applyProtection="1">
      <alignment horizontal="center"/>
    </xf>
    <xf numFmtId="4" fontId="2" fillId="0" borderId="10" xfId="1" applyNumberFormat="1" applyFont="1" applyBorder="1" applyAlignment="1">
      <alignment vertical="center" wrapText="1"/>
    </xf>
    <xf numFmtId="4" fontId="2" fillId="0" borderId="14" xfId="1" applyNumberFormat="1" applyFont="1" applyBorder="1" applyAlignment="1">
      <alignment vertical="center" wrapText="1"/>
    </xf>
    <xf numFmtId="4" fontId="2" fillId="0" borderId="25" xfId="1" applyNumberFormat="1" applyFont="1" applyBorder="1" applyAlignment="1">
      <alignment vertical="center" wrapText="1"/>
    </xf>
    <xf numFmtId="4" fontId="2" fillId="0" borderId="18" xfId="10" applyNumberFormat="1" applyFont="1" applyBorder="1" applyAlignment="1">
      <alignment vertical="center" wrapText="1"/>
    </xf>
    <xf numFmtId="4" fontId="2" fillId="0" borderId="22" xfId="1" applyNumberFormat="1" applyFont="1" applyBorder="1" applyAlignment="1">
      <alignment vertical="center" wrapText="1"/>
    </xf>
    <xf numFmtId="4" fontId="2" fillId="0" borderId="18" xfId="1" applyNumberFormat="1" applyFont="1" applyBorder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" fontId="6" fillId="0" borderId="11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4" fontId="2" fillId="0" borderId="11" xfId="10" applyNumberFormat="1" applyFont="1" applyBorder="1" applyAlignment="1">
      <alignment horizontal="center" vertical="center" wrapText="1"/>
    </xf>
    <xf numFmtId="4" fontId="2" fillId="0" borderId="15" xfId="10" applyNumberFormat="1" applyFont="1" applyBorder="1" applyAlignment="1">
      <alignment horizontal="center" vertical="center" wrapText="1"/>
    </xf>
    <xf numFmtId="17" fontId="6" fillId="0" borderId="8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4" fontId="2" fillId="0" borderId="19" xfId="10" applyNumberFormat="1" applyFont="1" applyBorder="1" applyAlignment="1">
      <alignment horizontal="center" vertical="center" wrapText="1"/>
    </xf>
    <xf numFmtId="4" fontId="8" fillId="2" borderId="26" xfId="1" applyNumberFormat="1" applyFont="1" applyFill="1" applyBorder="1" applyAlignment="1">
      <alignment horizontal="right" vertical="center"/>
    </xf>
    <xf numFmtId="4" fontId="8" fillId="2" borderId="27" xfId="1" applyNumberFormat="1" applyFont="1" applyFill="1" applyBorder="1" applyAlignment="1">
      <alignment horizontal="right" vertical="center"/>
    </xf>
    <xf numFmtId="4" fontId="8" fillId="2" borderId="7" xfId="1" applyNumberFormat="1" applyFont="1" applyFill="1" applyBorder="1" applyAlignment="1">
      <alignment horizontal="right" vertical="center"/>
    </xf>
    <xf numFmtId="41" fontId="8" fillId="2" borderId="26" xfId="1" applyFont="1" applyFill="1" applyBorder="1" applyAlignment="1">
      <alignment horizontal="center" vertical="center"/>
    </xf>
    <xf numFmtId="41" fontId="8" fillId="2" borderId="27" xfId="1" applyFont="1" applyFill="1" applyBorder="1" applyAlignment="1">
      <alignment horizontal="center" vertical="center"/>
    </xf>
    <xf numFmtId="41" fontId="8" fillId="2" borderId="7" xfId="1" applyFont="1" applyFill="1" applyBorder="1" applyAlignment="1">
      <alignment horizontal="center" vertical="center"/>
    </xf>
    <xf numFmtId="0" fontId="2" fillId="4" borderId="0" xfId="5" applyFont="1" applyFill="1" applyAlignment="1">
      <alignment horizontal="left" vertical="top" wrapText="1"/>
    </xf>
    <xf numFmtId="0" fontId="2" fillId="5" borderId="36" xfId="5" applyFont="1" applyFill="1" applyBorder="1" applyAlignment="1">
      <alignment horizontal="left" vertical="center" wrapText="1"/>
    </xf>
    <xf numFmtId="0" fontId="2" fillId="5" borderId="31" xfId="5" applyFont="1" applyFill="1" applyBorder="1" applyAlignment="1">
      <alignment horizontal="left" vertical="center" wrapText="1"/>
    </xf>
    <xf numFmtId="0" fontId="2" fillId="5" borderId="25" xfId="5" applyFont="1" applyFill="1" applyBorder="1" applyAlignment="1">
      <alignment horizontal="left" vertical="center" wrapText="1"/>
    </xf>
    <xf numFmtId="0" fontId="2" fillId="5" borderId="37" xfId="5" applyFont="1" applyFill="1" applyBorder="1" applyAlignment="1">
      <alignment horizontal="left" vertical="center" wrapText="1"/>
    </xf>
    <xf numFmtId="0" fontId="2" fillId="5" borderId="38" xfId="5" applyFont="1" applyFill="1" applyBorder="1" applyAlignment="1">
      <alignment horizontal="left" vertical="center" wrapText="1"/>
    </xf>
    <xf numFmtId="0" fontId="2" fillId="5" borderId="22" xfId="5" applyFont="1" applyFill="1" applyBorder="1" applyAlignment="1">
      <alignment horizontal="left" vertical="center" wrapText="1"/>
    </xf>
    <xf numFmtId="4" fontId="32" fillId="0" borderId="30" xfId="5" applyNumberFormat="1" applyFont="1" applyBorder="1" applyAlignment="1" applyProtection="1">
      <alignment horizontal="center" vertical="center" wrapText="1"/>
      <protection locked="0"/>
    </xf>
    <xf numFmtId="4" fontId="32" fillId="0" borderId="35" xfId="5" applyNumberFormat="1" applyFont="1" applyBorder="1" applyAlignment="1" applyProtection="1">
      <alignment horizontal="center" vertical="center" wrapText="1"/>
      <protection locked="0"/>
    </xf>
    <xf numFmtId="4" fontId="32" fillId="0" borderId="34" xfId="5" applyNumberFormat="1" applyFont="1" applyBorder="1" applyAlignment="1" applyProtection="1">
      <alignment horizontal="center" vertical="center" wrapText="1"/>
      <protection locked="0"/>
    </xf>
    <xf numFmtId="0" fontId="2" fillId="0" borderId="0" xfId="5" applyFont="1" applyAlignment="1">
      <alignment horizontal="left" wrapText="1"/>
    </xf>
    <xf numFmtId="0" fontId="2" fillId="4" borderId="0" xfId="5" applyFont="1" applyFill="1" applyAlignment="1">
      <alignment horizontal="left" vertical="center" wrapText="1"/>
    </xf>
    <xf numFmtId="10" fontId="32" fillId="0" borderId="30" xfId="2" applyNumberFormat="1" applyFont="1" applyFill="1" applyBorder="1" applyAlignment="1" applyProtection="1">
      <alignment horizontal="center" vertical="center" wrapText="1"/>
      <protection locked="0"/>
    </xf>
    <xf numFmtId="10" fontId="32" fillId="0" borderId="35" xfId="2" applyNumberFormat="1" applyFont="1" applyFill="1" applyBorder="1" applyAlignment="1" applyProtection="1">
      <alignment horizontal="center" vertical="center" wrapText="1"/>
      <protection locked="0"/>
    </xf>
    <xf numFmtId="10" fontId="32" fillId="0" borderId="34" xfId="2" applyNumberFormat="1" applyFont="1" applyFill="1" applyBorder="1" applyAlignment="1" applyProtection="1">
      <alignment horizontal="center" vertical="center" wrapText="1"/>
      <protection locked="0"/>
    </xf>
    <xf numFmtId="0" fontId="12" fillId="4" borderId="0" xfId="5" applyFont="1" applyFill="1" applyAlignment="1">
      <alignment horizontal="left" vertical="top" wrapText="1"/>
    </xf>
    <xf numFmtId="0" fontId="30" fillId="2" borderId="29" xfId="6" applyFont="1" applyFill="1" applyBorder="1" applyAlignment="1">
      <alignment horizontal="center" vertical="center" wrapText="1"/>
    </xf>
    <xf numFmtId="0" fontId="30" fillId="2" borderId="30" xfId="5" applyFont="1" applyFill="1" applyBorder="1" applyAlignment="1">
      <alignment horizontal="center" vertical="center" wrapText="1"/>
    </xf>
    <xf numFmtId="0" fontId="30" fillId="2" borderId="34" xfId="5" applyFont="1" applyFill="1" applyBorder="1" applyAlignment="1">
      <alignment horizontal="center" vertical="center" wrapText="1"/>
    </xf>
    <xf numFmtId="4" fontId="11" fillId="4" borderId="27" xfId="6" applyNumberFormat="1" applyFont="1" applyFill="1" applyBorder="1" applyAlignment="1" applyProtection="1">
      <alignment horizontal="center"/>
      <protection locked="0"/>
    </xf>
    <xf numFmtId="164" fontId="40" fillId="5" borderId="30" xfId="2" applyNumberFormat="1" applyFont="1" applyFill="1" applyBorder="1" applyAlignment="1" applyProtection="1">
      <alignment horizontal="center" vertical="center"/>
    </xf>
    <xf numFmtId="164" fontId="40" fillId="5" borderId="35" xfId="2" applyNumberFormat="1" applyFont="1" applyFill="1" applyBorder="1" applyAlignment="1" applyProtection="1">
      <alignment horizontal="center" vertical="center"/>
    </xf>
    <xf numFmtId="164" fontId="40" fillId="5" borderId="34" xfId="2" applyNumberFormat="1" applyFont="1" applyFill="1" applyBorder="1" applyAlignment="1" applyProtection="1">
      <alignment horizontal="center" vertical="center"/>
    </xf>
    <xf numFmtId="9" fontId="49" fillId="5" borderId="30" xfId="2" applyFont="1" applyFill="1" applyBorder="1" applyAlignment="1" applyProtection="1">
      <alignment horizontal="center" vertical="center"/>
    </xf>
    <xf numFmtId="9" fontId="49" fillId="5" borderId="35" xfId="2" applyFont="1" applyFill="1" applyBorder="1" applyAlignment="1" applyProtection="1">
      <alignment horizontal="center" vertical="center"/>
    </xf>
    <xf numFmtId="9" fontId="49" fillId="5" borderId="34" xfId="2" applyFont="1" applyFill="1" applyBorder="1" applyAlignment="1" applyProtection="1">
      <alignment horizontal="center" vertical="center"/>
    </xf>
    <xf numFmtId="0" fontId="11" fillId="4" borderId="0" xfId="5" applyFont="1" applyFill="1" applyAlignment="1">
      <alignment horizontal="left" vertical="top" wrapText="1"/>
    </xf>
    <xf numFmtId="0" fontId="38" fillId="2" borderId="29" xfId="6" applyFont="1" applyFill="1" applyBorder="1" applyAlignment="1">
      <alignment horizontal="center" vertical="center" wrapText="1"/>
    </xf>
    <xf numFmtId="0" fontId="38" fillId="2" borderId="29" xfId="5" applyFont="1" applyFill="1" applyBorder="1" applyAlignment="1">
      <alignment horizontal="center" vertical="center" wrapText="1"/>
    </xf>
    <xf numFmtId="9" fontId="40" fillId="5" borderId="30" xfId="2" applyFont="1" applyFill="1" applyBorder="1" applyAlignment="1" applyProtection="1">
      <alignment horizontal="center" vertical="center"/>
    </xf>
    <xf numFmtId="9" fontId="40" fillId="5" borderId="35" xfId="2" applyFont="1" applyFill="1" applyBorder="1" applyAlignment="1" applyProtection="1">
      <alignment horizontal="center" vertical="center"/>
    </xf>
    <xf numFmtId="9" fontId="40" fillId="5" borderId="34" xfId="2" applyFont="1" applyFill="1" applyBorder="1" applyAlignment="1" applyProtection="1">
      <alignment horizontal="center" vertical="center"/>
    </xf>
    <xf numFmtId="0" fontId="2" fillId="0" borderId="0" xfId="5" applyFont="1" applyAlignment="1">
      <alignment horizontal="left"/>
    </xf>
    <xf numFmtId="0" fontId="2" fillId="0" borderId="0" xfId="5" applyFont="1" applyAlignment="1">
      <alignment horizontal="left" vertical="center" wrapText="1"/>
    </xf>
    <xf numFmtId="0" fontId="2" fillId="5" borderId="43" xfId="5" applyFont="1" applyFill="1" applyBorder="1" applyAlignment="1">
      <alignment horizontal="center" vertical="center" wrapText="1"/>
    </xf>
    <xf numFmtId="0" fontId="2" fillId="5" borderId="44" xfId="5" applyFont="1" applyFill="1" applyBorder="1" applyAlignment="1">
      <alignment horizontal="center" vertical="center" wrapText="1"/>
    </xf>
    <xf numFmtId="0" fontId="2" fillId="5" borderId="45" xfId="5" applyFont="1" applyFill="1" applyBorder="1" applyAlignment="1">
      <alignment horizontal="center" vertical="center" wrapText="1"/>
    </xf>
    <xf numFmtId="0" fontId="2" fillId="5" borderId="33" xfId="5" applyFont="1" applyFill="1" applyBorder="1" applyAlignment="1">
      <alignment horizontal="center" vertical="center" wrapText="1"/>
    </xf>
    <xf numFmtId="0" fontId="2" fillId="5" borderId="0" xfId="5" applyFont="1" applyFill="1" applyAlignment="1">
      <alignment horizontal="center" vertical="center" wrapText="1"/>
    </xf>
    <xf numFmtId="0" fontId="2" fillId="5" borderId="42" xfId="5" applyFont="1" applyFill="1" applyBorder="1" applyAlignment="1">
      <alignment horizontal="center" vertical="center" wrapText="1"/>
    </xf>
    <xf numFmtId="0" fontId="2" fillId="5" borderId="46" xfId="5" applyFont="1" applyFill="1" applyBorder="1" applyAlignment="1">
      <alignment horizontal="center" vertical="center" wrapText="1"/>
    </xf>
    <xf numFmtId="0" fontId="2" fillId="5" borderId="28" xfId="5" applyFont="1" applyFill="1" applyBorder="1" applyAlignment="1">
      <alignment horizontal="center" vertical="center" wrapText="1"/>
    </xf>
    <xf numFmtId="0" fontId="2" fillId="5" borderId="47" xfId="5" applyFont="1" applyFill="1" applyBorder="1" applyAlignment="1">
      <alignment horizontal="center" vertical="center" wrapText="1"/>
    </xf>
    <xf numFmtId="0" fontId="2" fillId="4" borderId="0" xfId="5" applyFont="1" applyFill="1" applyAlignment="1">
      <alignment horizontal="left"/>
    </xf>
    <xf numFmtId="0" fontId="2" fillId="4" borderId="0" xfId="5" applyFont="1" applyFill="1" applyAlignment="1">
      <alignment horizontal="left" vertical="center"/>
    </xf>
    <xf numFmtId="173" fontId="16" fillId="2" borderId="29" xfId="13" applyNumberFormat="1" applyFont="1" applyFill="1" applyBorder="1" applyAlignment="1" applyProtection="1">
      <alignment horizontal="center"/>
    </xf>
    <xf numFmtId="17" fontId="6" fillId="0" borderId="15" xfId="0" applyNumberFormat="1" applyFont="1" applyBorder="1" applyAlignment="1">
      <alignment horizontal="center" vertical="center" wrapText="1"/>
    </xf>
    <xf numFmtId="17" fontId="6" fillId="0" borderId="19" xfId="0" applyNumberFormat="1" applyFont="1" applyBorder="1" applyAlignment="1">
      <alignment horizontal="center" vertical="center" wrapText="1"/>
    </xf>
    <xf numFmtId="4" fontId="2" fillId="0" borderId="18" xfId="1" applyNumberFormat="1" applyFont="1" applyFill="1" applyBorder="1" applyAlignment="1">
      <alignment horizontal="right" vertical="center" wrapText="1"/>
    </xf>
    <xf numFmtId="4" fontId="45" fillId="0" borderId="18" xfId="10" applyNumberFormat="1" applyFont="1" applyBorder="1" applyAlignment="1">
      <alignment horizontal="right" vertical="center" wrapText="1"/>
    </xf>
  </cellXfs>
  <cellStyles count="14">
    <cellStyle name="Hipervínculo" xfId="11" xr:uid="{F148BA21-7829-48AC-87CD-D7D9FCBB62E0}"/>
    <cellStyle name="Millares" xfId="10" builtinId="3"/>
    <cellStyle name="Millares [0]" xfId="1" builtinId="6"/>
    <cellStyle name="Millares [0] 2" xfId="12" xr:uid="{757F38DF-AE68-474F-9F58-44C299B26B3E}"/>
    <cellStyle name="Millares 3" xfId="7" xr:uid="{00000000-0005-0000-0000-000001000000}"/>
    <cellStyle name="Millares_PLIEGOS_GR-07-006" xfId="9" xr:uid="{00000000-0005-0000-0000-000002000000}"/>
    <cellStyle name="Moneda" xfId="13" builtinId="4"/>
    <cellStyle name="Normal" xfId="0" builtinId="0"/>
    <cellStyle name="Normal 2" xfId="3" xr:uid="{00000000-0005-0000-0000-000004000000}"/>
    <cellStyle name="Normal 2 2 3" xfId="4" xr:uid="{00000000-0005-0000-0000-000005000000}"/>
    <cellStyle name="Normal_ENE99" xfId="6" xr:uid="{00000000-0005-0000-0000-000006000000}"/>
    <cellStyle name="Normal_GC00-001" xfId="5" xr:uid="{00000000-0005-0000-0000-000007000000}"/>
    <cellStyle name="Porcentaje" xfId="2" builtinId="5"/>
    <cellStyle name="Porcentaje 2" xfId="8" xr:uid="{00000000-0005-0000-0000-000009000000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vertical="center" textRotation="0" indent="0" justifyLastLine="0" shrinkToFit="0" readingOrder="0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28575</xdr:rowOff>
    </xdr:from>
    <xdr:to>
      <xdr:col>0</xdr:col>
      <xdr:colOff>1625600</xdr:colOff>
      <xdr:row>0</xdr:row>
      <xdr:rowOff>697012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4192B433-714A-49BB-96E2-9FBB948B0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" y="28575"/>
          <a:ext cx="1584325" cy="6652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BBC9DB-C60C-4DA0-B249-9B36E7802733}"/>
            </a:ext>
          </a:extLst>
        </xdr:cNvPr>
        <xdr:cNvSpPr/>
      </xdr:nvSpPr>
      <xdr:spPr>
        <a:xfrm>
          <a:off x="12898582" y="1484745"/>
          <a:ext cx="224373" cy="223399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5E2353-2C2A-4E6D-BA25-2CC7B1E0B759}"/>
            </a:ext>
          </a:extLst>
        </xdr:cNvPr>
        <xdr:cNvSpPr/>
      </xdr:nvSpPr>
      <xdr:spPr>
        <a:xfrm>
          <a:off x="11412682" y="1484745"/>
          <a:ext cx="224373" cy="223399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9838EA-0BFC-4F3A-BC75-B6B71D06999B}"/>
            </a:ext>
          </a:extLst>
        </xdr:cNvPr>
        <xdr:cNvSpPr/>
      </xdr:nvSpPr>
      <xdr:spPr>
        <a:xfrm>
          <a:off x="12555682" y="1484745"/>
          <a:ext cx="224373" cy="223399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92E6FE-8BF0-4A5E-9035-476B511BD9D8}"/>
            </a:ext>
          </a:extLst>
        </xdr:cNvPr>
        <xdr:cNvSpPr/>
      </xdr:nvSpPr>
      <xdr:spPr>
        <a:xfrm>
          <a:off x="12555682" y="1484745"/>
          <a:ext cx="224373" cy="223399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alista-a\chb_usr\Arturo\Ofertas\Caribe\ANEXOS\LIQ_MAY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m-file\7000\7510%20A%20Compras%20Distribucion%20Respaldo\Procesos%20de%20Compra%20de%20Energia%20MR\Compra_2011_2012_SPO_066628\Contratos%20mes%20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m-file\7000\7510%20A%20Compras%20Distribucion%20Respaldo\Procesos%20de%20Compra%20de%20Energia%20MR\Compra_2010_11_SPO_076577\Evaluaci&#243;n_menor%20precio_sin%20GENERARC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mco.sharepoint.com/7510%20A%20Compras%20Distribucion%20Respaldo/Procesos%20de%20Compra%20de%20Energia%20MR/Compra_2010_11_SPO_053599/Evaluaci&#243;n_menor%20precio_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alista-a\chb_usr\Arturo\Ofertas\Caribe\LicitaEDCC\LIQ_MAYO.XLS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P-ESSC2026-001/AN&#193;LISIS%20DE%20PRECIOS%20Y%20CANTIDADES/20260123_SIMULACION%20COMPRA%20ENERGIA.xlsx" TargetMode="External"/><Relationship Id="rId2" Type="http://schemas.openxmlformats.org/officeDocument/2006/relationships/externalLinkPath" Target="https://epmco-my.sharepoint.com/personal/viviana_florez_essa_com_co/Documents/CONVOCATORIAS/2026/CP-ESSC2026-001/AN&#193;LISIS%20DE%20PRECIOS%20Y%20CANTIDADES/20260123_SIMULACION%20COMPRA%20ENERGIA.xlsx" TargetMode="External"/><Relationship Id="rId1" Type="http://schemas.openxmlformats.org/officeDocument/2006/relationships/externalLinkPath" Target="/personal/viviana_florez_essa_com_co/Documents/CONVOCATORIAS/2026/CP-ESSC2026-001/AN&#193;LISIS%20DE%20PRECIOS%20Y%20CANTIDADES/20260123_SIMULACION%20COMPRA%20ENERGIA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N&#193;LISIS%20DE%20PRECIOS%20Y%20CANTIDADES/MITHRA%20-%20SICEP%20sin%20EDP/Base%20compra%20energ&#237;a%20SICEP_V2.xlsx" TargetMode="External"/><Relationship Id="rId2" Type="http://schemas.openxmlformats.org/officeDocument/2006/relationships/externalLinkPath" Target="https://epmco-my.sharepoint.com/personal/viviana_florez_essa_com_co/Documents/CONVOCATORIAS/2026/CP-ESSC2026-002/AN&#193;LISIS%20DE%20PRECIOS%20Y%20CANTIDADES/MITHRA%20-%20SICEP%20sin%20EDP/Base%20compra%20energ&#237;a%20SICEP_V2.xlsx" TargetMode="External"/><Relationship Id="rId1" Type="http://schemas.openxmlformats.org/officeDocument/2006/relationships/externalLinkPath" Target="/personal/viviana_florez_essa_com_co/Documents/CONVOCATORIAS/2026/CP-ESSC2026-002/AN&#193;LISIS%20DE%20PRECIOS%20Y%20CANTIDADES/MITHRA%20-%20SICEP%20sin%20EDP/Base%20compra%20energ&#237;a%20SICEP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9"/>
      <sheetName val="Puc plano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ción"/>
      <sheetName val="Ppto"/>
      <sheetName val="Mes"/>
      <sheetName val="Empresa"/>
      <sheetName val="IPP"/>
      <sheetName val="Emgesa"/>
      <sheetName val="Merilectrica"/>
      <sheetName val="ISAGEN_ALT"/>
      <sheetName val="CHIVOR_BIANUAL_2011"/>
      <sheetName val="CHIVOR_BIANUAL_2012"/>
      <sheetName val="CHIVOR_ANUAL_ALT2_2011"/>
      <sheetName val="CHIVOR_ANUAL_ALT2_2012"/>
      <sheetName val="EPM_ALT3_2011"/>
      <sheetName val="EPM_ALT1_2012"/>
      <sheetName val="EPM_ALT2_2012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ción_Mensual"/>
      <sheetName val="Evaluación_Estacional"/>
      <sheetName val="Evaluación_Global"/>
      <sheetName val="Comparación"/>
      <sheetName val="Contratos"/>
      <sheetName val="Valores"/>
      <sheetName val="Datos"/>
      <sheetName val="Prop_1"/>
      <sheetName val="Prop_2"/>
      <sheetName val="Prop_3"/>
      <sheetName val="Prop_4"/>
      <sheetName val="Prop_5"/>
      <sheetName val="Prop_6"/>
      <sheetName val="Prop_7"/>
      <sheetName val="Prop_8"/>
      <sheetName val="Prop_9"/>
      <sheetName val="Prop_10"/>
      <sheetName val="Prop_11"/>
      <sheetName val="Prop_12"/>
      <sheetName val="Prop_13"/>
      <sheetName val="Prop_14"/>
      <sheetName val="Prop_15"/>
      <sheetName val="Prop_16"/>
      <sheetName val="Prop_17"/>
      <sheetName val="Prop_18"/>
      <sheetName val="Prop_19"/>
      <sheetName val="Prop_20"/>
      <sheetName val="Prop_21"/>
      <sheetName val="Prop_22"/>
      <sheetName val="Prop_23"/>
      <sheetName val="Prop_24"/>
      <sheetName val="Prop_25"/>
      <sheetName val="Prop_26"/>
      <sheetName val="Prop_27"/>
      <sheetName val="Prop_28"/>
      <sheetName val="Prop_29"/>
      <sheetName val="Prop_30"/>
      <sheetName val="Prop_31"/>
      <sheetName val="Prop_32"/>
      <sheetName val="Prop_33"/>
      <sheetName val="Prop_34"/>
      <sheetName val="Prop_35"/>
      <sheetName val="Prop_36"/>
      <sheetName val="Prop_37"/>
      <sheetName val="Prop_38"/>
      <sheetName val="Prop_39"/>
      <sheetName val="Condicionales"/>
      <sheetName val="Polizas"/>
      <sheetName val="Total_Pólizas"/>
    </sheetNames>
    <sheetDataSet>
      <sheetData sheetId="0">
        <row r="2">
          <cell r="S2">
            <v>40179</v>
          </cell>
        </row>
        <row r="3">
          <cell r="S3">
            <v>40210</v>
          </cell>
        </row>
        <row r="4">
          <cell r="S4">
            <v>40238</v>
          </cell>
        </row>
        <row r="5">
          <cell r="S5">
            <v>40269</v>
          </cell>
        </row>
        <row r="6">
          <cell r="S6">
            <v>40299</v>
          </cell>
        </row>
        <row r="7">
          <cell r="S7">
            <v>40330</v>
          </cell>
        </row>
        <row r="8">
          <cell r="S8">
            <v>40360</v>
          </cell>
        </row>
        <row r="9">
          <cell r="S9">
            <v>40391</v>
          </cell>
        </row>
        <row r="10">
          <cell r="S10">
            <v>40422</v>
          </cell>
        </row>
        <row r="11">
          <cell r="S11">
            <v>40452</v>
          </cell>
        </row>
        <row r="12">
          <cell r="S12">
            <v>40483</v>
          </cell>
        </row>
        <row r="13">
          <cell r="S13">
            <v>40513</v>
          </cell>
        </row>
        <row r="14">
          <cell r="S14">
            <v>40544</v>
          </cell>
        </row>
        <row r="15">
          <cell r="S15">
            <v>40575</v>
          </cell>
        </row>
        <row r="16">
          <cell r="S16">
            <v>40603</v>
          </cell>
        </row>
        <row r="17">
          <cell r="S17">
            <v>40634</v>
          </cell>
        </row>
        <row r="18">
          <cell r="S18">
            <v>40664</v>
          </cell>
        </row>
        <row r="19">
          <cell r="S19">
            <v>40695</v>
          </cell>
        </row>
        <row r="20">
          <cell r="S20">
            <v>40725</v>
          </cell>
        </row>
        <row r="21">
          <cell r="S21">
            <v>40756</v>
          </cell>
        </row>
        <row r="22">
          <cell r="S22">
            <v>40787</v>
          </cell>
        </row>
        <row r="23">
          <cell r="S23">
            <v>40817</v>
          </cell>
        </row>
        <row r="24">
          <cell r="S24">
            <v>40848</v>
          </cell>
        </row>
        <row r="25">
          <cell r="S25">
            <v>40878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ción_Mensual"/>
      <sheetName val="Evaluación_Estacional"/>
      <sheetName val="Evaluación_Global"/>
      <sheetName val="Comparación"/>
      <sheetName val="Contratos"/>
      <sheetName val="Valores"/>
      <sheetName val="Datos"/>
      <sheetName val="Prop_1"/>
      <sheetName val="Prop_2"/>
      <sheetName val="Prop_3"/>
      <sheetName val="Prop_4"/>
      <sheetName val="Prop_5"/>
      <sheetName val="Prop_6"/>
      <sheetName val="Prop_7"/>
      <sheetName val="Prop_8"/>
      <sheetName val="Prop_9"/>
      <sheetName val="Prop_10"/>
      <sheetName val="Prop_11"/>
      <sheetName val="Prop_12"/>
      <sheetName val="Prop_13"/>
      <sheetName val="Prop_14"/>
      <sheetName val="Prop_15"/>
      <sheetName val="Prop_16"/>
      <sheetName val="Prop_17"/>
      <sheetName val="Prop_18"/>
      <sheetName val="Prop_19"/>
      <sheetName val="Prop_20"/>
      <sheetName val="Prop_21"/>
      <sheetName val="Prop_22"/>
      <sheetName val="Prop_23"/>
      <sheetName val="Prop_24"/>
      <sheetName val="Prop_25"/>
      <sheetName val="Prop_26"/>
      <sheetName val="Prop_27"/>
      <sheetName val="Prop_28"/>
      <sheetName val="Prop_29"/>
      <sheetName val="Prop_30"/>
      <sheetName val="Prop_31"/>
      <sheetName val="Prop_32"/>
      <sheetName val="Prop_33"/>
      <sheetName val="Prop_34"/>
      <sheetName val="Prop_35"/>
      <sheetName val="Prop_36"/>
      <sheetName val="Prop_37"/>
      <sheetName val="Prop_38"/>
      <sheetName val="Prop_39"/>
      <sheetName val="Condicionales"/>
      <sheetName val="Polizas"/>
      <sheetName val="Total_Pólizas"/>
    </sheetNames>
    <sheetDataSet>
      <sheetData sheetId="0">
        <row r="2">
          <cell r="S2">
            <v>40179</v>
          </cell>
        </row>
        <row r="3">
          <cell r="S3">
            <v>40210</v>
          </cell>
        </row>
        <row r="4">
          <cell r="S4">
            <v>40238</v>
          </cell>
        </row>
        <row r="5">
          <cell r="S5">
            <v>40269</v>
          </cell>
        </row>
        <row r="6">
          <cell r="S6">
            <v>40299</v>
          </cell>
        </row>
        <row r="7">
          <cell r="S7">
            <v>40330</v>
          </cell>
        </row>
        <row r="8">
          <cell r="S8">
            <v>40360</v>
          </cell>
        </row>
        <row r="9">
          <cell r="S9">
            <v>40391</v>
          </cell>
        </row>
        <row r="10">
          <cell r="S10">
            <v>40422</v>
          </cell>
        </row>
        <row r="11">
          <cell r="S11">
            <v>40452</v>
          </cell>
        </row>
        <row r="12">
          <cell r="S12">
            <v>40483</v>
          </cell>
        </row>
        <row r="13">
          <cell r="S13">
            <v>40513</v>
          </cell>
        </row>
        <row r="14">
          <cell r="S14">
            <v>40544</v>
          </cell>
        </row>
        <row r="15">
          <cell r="S15">
            <v>40575</v>
          </cell>
        </row>
        <row r="16">
          <cell r="S16">
            <v>40603</v>
          </cell>
        </row>
        <row r="17">
          <cell r="S17">
            <v>40634</v>
          </cell>
        </row>
        <row r="18">
          <cell r="S18">
            <v>40664</v>
          </cell>
        </row>
        <row r="19">
          <cell r="S19">
            <v>40695</v>
          </cell>
        </row>
        <row r="20">
          <cell r="S20">
            <v>40725</v>
          </cell>
        </row>
        <row r="21">
          <cell r="S21">
            <v>40756</v>
          </cell>
        </row>
        <row r="22">
          <cell r="S22">
            <v>40787</v>
          </cell>
        </row>
        <row r="23">
          <cell r="S23">
            <v>40817</v>
          </cell>
        </row>
        <row r="24">
          <cell r="S24">
            <v>40848</v>
          </cell>
        </row>
        <row r="25">
          <cell r="S25">
            <v>40878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9"/>
      <sheetName val="Puc plano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SSA"/>
      <sheetName val="Mensual"/>
      <sheetName val="Anual"/>
      <sheetName val="Hoja3"/>
      <sheetName val="2023"/>
      <sheetName val="2023 (2)"/>
      <sheetName val="2023 (3)"/>
      <sheetName val="2024 (2)"/>
      <sheetName val="2024"/>
      <sheetName val="2024_plana"/>
      <sheetName val="2024_mixta"/>
      <sheetName val="2025"/>
      <sheetName val="2026 (2)"/>
      <sheetName val="2025_plana"/>
      <sheetName val="2025_mixta"/>
      <sheetName val="2025 (PLANA)"/>
      <sheetName val="BLOQUE 3"/>
      <sheetName val="2026"/>
      <sheetName val="2026_plana"/>
      <sheetName val="2026_mixta"/>
      <sheetName val="2027"/>
      <sheetName val="2028"/>
      <sheetName val="2029"/>
      <sheetName val="2030"/>
      <sheetName val="2031"/>
      <sheetName val="2032"/>
      <sheetName val="2033"/>
      <sheetName val="2034"/>
      <sheetName val="2035"/>
      <sheetName val="2036"/>
      <sheetName val="2037"/>
      <sheetName val="2038"/>
      <sheetName val="2039"/>
      <sheetName val="2040"/>
      <sheetName val="2027 (2)"/>
      <sheetName val="Resumen "/>
      <sheetName val="Vigencia futu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22">
          <cell r="AC122">
            <v>179999999.99999997</v>
          </cell>
        </row>
      </sheetData>
      <sheetData sheetId="21"/>
      <sheetData sheetId="22"/>
      <sheetData sheetId="23"/>
      <sheetData sheetId="24">
        <row r="15">
          <cell r="D15">
            <v>21</v>
          </cell>
          <cell r="E15">
            <v>35616.330491726847</v>
          </cell>
          <cell r="F15">
            <v>33797.464093270872</v>
          </cell>
          <cell r="G15">
            <v>32429.220641294214</v>
          </cell>
          <cell r="H15">
            <v>31436.098722760289</v>
          </cell>
          <cell r="I15">
            <v>31262.818058720753</v>
          </cell>
          <cell r="J15">
            <v>32308.997840075626</v>
          </cell>
          <cell r="K15">
            <v>32017.341205021312</v>
          </cell>
          <cell r="L15">
            <v>35717.050383159789</v>
          </cell>
          <cell r="M15">
            <v>39649.72733012402</v>
          </cell>
          <cell r="N15">
            <v>41693.421088249837</v>
          </cell>
          <cell r="O15">
            <v>43905.890379546043</v>
          </cell>
          <cell r="P15">
            <v>45716.960919067358</v>
          </cell>
          <cell r="Q15">
            <v>44465.185833070987</v>
          </cell>
          <cell r="R15">
            <v>45689.425613885644</v>
          </cell>
          <cell r="S15">
            <v>47808.844537602454</v>
          </cell>
          <cell r="T15">
            <v>48063.005905007871</v>
          </cell>
          <cell r="U15">
            <v>47268.137158335216</v>
          </cell>
          <cell r="V15">
            <v>45526.300499254379</v>
          </cell>
          <cell r="W15">
            <v>48701.621057979646</v>
          </cell>
          <cell r="X15">
            <v>48875.277104016175</v>
          </cell>
          <cell r="Y15">
            <v>47591.438133412237</v>
          </cell>
          <cell r="Z15">
            <v>45504.596911656765</v>
          </cell>
          <cell r="AA15">
            <v>42278.538461600321</v>
          </cell>
          <cell r="AB15">
            <v>38834.37678187641</v>
          </cell>
        </row>
        <row r="16">
          <cell r="D16">
            <v>4</v>
          </cell>
          <cell r="E16">
            <v>35358.169726864842</v>
          </cell>
          <cell r="F16">
            <v>33659.970336214777</v>
          </cell>
          <cell r="G16">
            <v>32326.134599071018</v>
          </cell>
          <cell r="H16">
            <v>31307.452130083289</v>
          </cell>
          <cell r="I16">
            <v>30999.123468653426</v>
          </cell>
          <cell r="J16">
            <v>31247.099851953248</v>
          </cell>
          <cell r="K16">
            <v>30441.80666655532</v>
          </cell>
          <cell r="L16">
            <v>33449.422156324377</v>
          </cell>
          <cell r="M16">
            <v>37168.445203077987</v>
          </cell>
          <cell r="N16">
            <v>39631.571208360947</v>
          </cell>
          <cell r="O16">
            <v>41569.431836971278</v>
          </cell>
          <cell r="P16">
            <v>42618.080843639444</v>
          </cell>
          <cell r="Q16">
            <v>42245.446190290691</v>
          </cell>
          <cell r="R16">
            <v>41350.97084590594</v>
          </cell>
          <cell r="S16">
            <v>41546.106863711961</v>
          </cell>
          <cell r="T16">
            <v>41690.222889693148</v>
          </cell>
          <cell r="U16">
            <v>41277.079897519579</v>
          </cell>
          <cell r="V16">
            <v>41426.606438693867</v>
          </cell>
          <cell r="W16">
            <v>46018.553931305869</v>
          </cell>
          <cell r="X16">
            <v>46348.093247918587</v>
          </cell>
          <cell r="Y16">
            <v>44970.396267609474</v>
          </cell>
          <cell r="Z16">
            <v>43148.130802603235</v>
          </cell>
          <cell r="AA16">
            <v>40780.031389435084</v>
          </cell>
          <cell r="AB16">
            <v>38153.906570420389</v>
          </cell>
        </row>
        <row r="17">
          <cell r="D17">
            <v>4</v>
          </cell>
          <cell r="E17">
            <v>35592.513765316937</v>
          </cell>
          <cell r="F17">
            <v>33843.847816634923</v>
          </cell>
          <cell r="G17">
            <v>32433.799723989127</v>
          </cell>
          <cell r="H17">
            <v>31399.299887500558</v>
          </cell>
          <cell r="I17">
            <v>30890.145104923289</v>
          </cell>
          <cell r="J17">
            <v>30728.107083839794</v>
          </cell>
          <cell r="K17">
            <v>29072.578802465872</v>
          </cell>
          <cell r="L17">
            <v>30369.579967518901</v>
          </cell>
          <cell r="M17">
            <v>32448.601745056712</v>
          </cell>
          <cell r="N17">
            <v>34049.376689395933</v>
          </cell>
          <cell r="O17">
            <v>35580.865455493258</v>
          </cell>
          <cell r="P17">
            <v>36819.777965588575</v>
          </cell>
          <cell r="Q17">
            <v>37664.167551717146</v>
          </cell>
          <cell r="R17">
            <v>37765.771105086576</v>
          </cell>
          <cell r="S17">
            <v>37784.906562999349</v>
          </cell>
          <cell r="T17">
            <v>37914.904643664748</v>
          </cell>
          <cell r="U17">
            <v>37934.171102442895</v>
          </cell>
          <cell r="V17">
            <v>38334.765647339773</v>
          </cell>
          <cell r="W17">
            <v>43339.295161296381</v>
          </cell>
          <cell r="X17">
            <v>44580.680895948622</v>
          </cell>
          <cell r="Y17">
            <v>44108.994514306578</v>
          </cell>
          <cell r="Z17">
            <v>42658.03072398065</v>
          </cell>
          <cell r="AA17">
            <v>40059.562520538078</v>
          </cell>
          <cell r="AB17">
            <v>36959.727805144466</v>
          </cell>
        </row>
        <row r="18">
          <cell r="D18">
            <v>2</v>
          </cell>
          <cell r="E18">
            <v>35592.513765316937</v>
          </cell>
          <cell r="F18">
            <v>33843.847816634923</v>
          </cell>
          <cell r="G18">
            <v>32433.799723989127</v>
          </cell>
          <cell r="H18">
            <v>31399.299887500558</v>
          </cell>
          <cell r="I18">
            <v>30890.145104923289</v>
          </cell>
          <cell r="J18">
            <v>30728.107083839794</v>
          </cell>
          <cell r="K18">
            <v>29072.578802465872</v>
          </cell>
          <cell r="L18">
            <v>30369.579967518901</v>
          </cell>
          <cell r="M18">
            <v>32448.601745056712</v>
          </cell>
          <cell r="N18">
            <v>34049.376689395933</v>
          </cell>
          <cell r="O18">
            <v>35580.865455493258</v>
          </cell>
          <cell r="P18">
            <v>36819.777965588575</v>
          </cell>
          <cell r="Q18">
            <v>37664.167551717146</v>
          </cell>
          <cell r="R18">
            <v>37765.771105086576</v>
          </cell>
          <cell r="S18">
            <v>37784.906562999349</v>
          </cell>
          <cell r="T18">
            <v>37914.904643664748</v>
          </cell>
          <cell r="U18">
            <v>37934.171102442895</v>
          </cell>
          <cell r="V18">
            <v>38334.765647339773</v>
          </cell>
          <cell r="W18">
            <v>43339.295161296381</v>
          </cell>
          <cell r="X18">
            <v>44580.680895948622</v>
          </cell>
          <cell r="Y18">
            <v>44108.994514306578</v>
          </cell>
          <cell r="Z18">
            <v>42658.03072398065</v>
          </cell>
          <cell r="AA18">
            <v>40059.562520538078</v>
          </cell>
          <cell r="AB18">
            <v>36959.727805144466</v>
          </cell>
        </row>
        <row r="19">
          <cell r="D19">
            <v>20</v>
          </cell>
          <cell r="E19">
            <v>37418.490738616492</v>
          </cell>
          <cell r="F19">
            <v>35581.638544922964</v>
          </cell>
          <cell r="G19">
            <v>34115.281235247276</v>
          </cell>
          <cell r="H19">
            <v>33052.302295868445</v>
          </cell>
          <cell r="I19">
            <v>33015.277229116502</v>
          </cell>
          <cell r="J19">
            <v>34999.695261866371</v>
          </cell>
          <cell r="K19">
            <v>34662.735713638445</v>
          </cell>
          <cell r="L19">
            <v>38036.562368459141</v>
          </cell>
          <cell r="M19">
            <v>41748.277117366626</v>
          </cell>
          <cell r="N19">
            <v>43549.253391562124</v>
          </cell>
          <cell r="O19">
            <v>45724.54932455589</v>
          </cell>
          <cell r="P19">
            <v>47444.750755790854</v>
          </cell>
          <cell r="Q19">
            <v>45857.853821119097</v>
          </cell>
          <cell r="R19">
            <v>47505.46584014297</v>
          </cell>
          <cell r="S19">
            <v>50152.56239819841</v>
          </cell>
          <cell r="T19">
            <v>50562.643897380665</v>
          </cell>
          <cell r="U19">
            <v>49808.002056515055</v>
          </cell>
          <cell r="V19">
            <v>47777.228375411942</v>
          </cell>
          <cell r="W19">
            <v>50609.307849989258</v>
          </cell>
          <cell r="X19">
            <v>51324.902953281126</v>
          </cell>
          <cell r="Y19">
            <v>50218.418817501275</v>
          </cell>
          <cell r="Z19">
            <v>48003.768278649564</v>
          </cell>
          <cell r="AA19">
            <v>44222.936191661989</v>
          </cell>
          <cell r="AB19">
            <v>40474.201026361356</v>
          </cell>
        </row>
        <row r="20">
          <cell r="D20">
            <v>4</v>
          </cell>
          <cell r="E20">
            <v>37934.5356038174</v>
          </cell>
          <cell r="F20">
            <v>35883.436730345558</v>
          </cell>
          <cell r="G20">
            <v>34545.828600151617</v>
          </cell>
          <cell r="H20">
            <v>33274.348208631141</v>
          </cell>
          <cell r="I20">
            <v>32873.800816909075</v>
          </cell>
          <cell r="J20">
            <v>33255.788190732215</v>
          </cell>
          <cell r="K20">
            <v>32666.075102742943</v>
          </cell>
          <cell r="L20">
            <v>35684.598651106062</v>
          </cell>
          <cell r="M20">
            <v>39379.605169516864</v>
          </cell>
          <cell r="N20">
            <v>41574.062251944924</v>
          </cell>
          <cell r="O20">
            <v>43591.084894770167</v>
          </cell>
          <cell r="P20">
            <v>44604.985909357645</v>
          </cell>
          <cell r="Q20">
            <v>43893.465755616693</v>
          </cell>
          <cell r="R20">
            <v>43324.37737216692</v>
          </cell>
          <cell r="S20">
            <v>43523.722631161865</v>
          </cell>
          <cell r="T20">
            <v>43648.291210753952</v>
          </cell>
          <cell r="U20">
            <v>43341.494325604064</v>
          </cell>
          <cell r="V20">
            <v>43214.151516346799</v>
          </cell>
          <cell r="W20">
            <v>47700.513586321809</v>
          </cell>
          <cell r="X20">
            <v>48391.606675771829</v>
          </cell>
          <cell r="Y20">
            <v>47260.318252828809</v>
          </cell>
          <cell r="Z20">
            <v>45459.87226485899</v>
          </cell>
          <cell r="AA20">
            <v>43083.081517181803</v>
          </cell>
          <cell r="AB20">
            <v>40252.911668844186</v>
          </cell>
        </row>
        <row r="21">
          <cell r="D21">
            <v>4</v>
          </cell>
          <cell r="E21">
            <v>37828.918326219253</v>
          </cell>
          <cell r="F21">
            <v>36001.370192549548</v>
          </cell>
          <cell r="G21">
            <v>34525.680920697305</v>
          </cell>
          <cell r="H21">
            <v>33429.987724502265</v>
          </cell>
          <cell r="I21">
            <v>32865.952246524415</v>
          </cell>
          <cell r="J21">
            <v>32829.344113502666</v>
          </cell>
          <cell r="K21">
            <v>31106.521333147699</v>
          </cell>
          <cell r="L21">
            <v>32448.138217941683</v>
          </cell>
          <cell r="M21">
            <v>34495.083013101328</v>
          </cell>
          <cell r="N21">
            <v>35945.184775643727</v>
          </cell>
          <cell r="O21">
            <v>37421.540356716243</v>
          </cell>
          <cell r="P21">
            <v>38792.875577338316</v>
          </cell>
          <cell r="Q21">
            <v>39703.513558464678</v>
          </cell>
          <cell r="R21">
            <v>39939.604281389387</v>
          </cell>
          <cell r="S21">
            <v>40337.50750816863</v>
          </cell>
          <cell r="T21">
            <v>40650.317525218547</v>
          </cell>
          <cell r="U21">
            <v>40519.221004476101</v>
          </cell>
          <cell r="V21">
            <v>40270.365046674975</v>
          </cell>
          <cell r="W21">
            <v>45512.27926524858</v>
          </cell>
          <cell r="X21">
            <v>47399.826110031267</v>
          </cell>
          <cell r="Y21">
            <v>47382.235037983199</v>
          </cell>
          <cell r="Z21">
            <v>46257.147941147457</v>
          </cell>
          <cell r="AA21">
            <v>42502.506384213368</v>
          </cell>
          <cell r="AB21">
            <v>39190.941929984459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35176.970742777776</v>
          </cell>
          <cell r="F23">
            <v>33436.979587121597</v>
          </cell>
          <cell r="G23">
            <v>32139.047915697083</v>
          </cell>
          <cell r="H23">
            <v>31287.127585900387</v>
          </cell>
          <cell r="I23">
            <v>31430.707392264834</v>
          </cell>
          <cell r="J23">
            <v>33109.025316517422</v>
          </cell>
          <cell r="K23">
            <v>33111.684177025199</v>
          </cell>
          <cell r="L23">
            <v>36701.622174181364</v>
          </cell>
          <cell r="M23">
            <v>40241.628560957695</v>
          </cell>
          <cell r="N23">
            <v>42077.051244801252</v>
          </cell>
          <cell r="O23">
            <v>44178.415369414761</v>
          </cell>
          <cell r="P23">
            <v>45556.254713645249</v>
          </cell>
          <cell r="Q23">
            <v>43495.218166932289</v>
          </cell>
          <cell r="R23">
            <v>44929.822315529826</v>
          </cell>
          <cell r="S23">
            <v>47398.788528021025</v>
          </cell>
          <cell r="T23">
            <v>47920.322360561921</v>
          </cell>
          <cell r="U23">
            <v>47397.045434603031</v>
          </cell>
          <cell r="V23">
            <v>45731.516749193164</v>
          </cell>
          <cell r="W23">
            <v>48527.895523814528</v>
          </cell>
          <cell r="X23">
            <v>48962.13726754018</v>
          </cell>
          <cell r="Y23">
            <v>47528.249242464524</v>
          </cell>
          <cell r="Z23">
            <v>45157.182302058434</v>
          </cell>
          <cell r="AA23">
            <v>41594.143474471486</v>
          </cell>
          <cell r="AB23">
            <v>37976.937604905484</v>
          </cell>
        </row>
        <row r="24">
          <cell r="D24">
            <v>5</v>
          </cell>
          <cell r="E24">
            <v>35382.906360001929</v>
          </cell>
          <cell r="F24">
            <v>33637.314613834322</v>
          </cell>
          <cell r="G24">
            <v>32260.308726885192</v>
          </cell>
          <cell r="H24">
            <v>31348.831894894331</v>
          </cell>
          <cell r="I24">
            <v>31118.540608029609</v>
          </cell>
          <cell r="J24">
            <v>31472.899273232808</v>
          </cell>
          <cell r="K24">
            <v>31321.612435873532</v>
          </cell>
          <cell r="L24">
            <v>34615.606150957574</v>
          </cell>
          <cell r="M24">
            <v>38447.793542073785</v>
          </cell>
          <cell r="N24">
            <v>40677.555259752036</v>
          </cell>
          <cell r="O24">
            <v>42677.783109933094</v>
          </cell>
          <cell r="P24">
            <v>43867.586894744942</v>
          </cell>
          <cell r="Q24">
            <v>43113.627076094614</v>
          </cell>
          <cell r="R24">
            <v>42538.7765013596</v>
          </cell>
          <cell r="S24">
            <v>42875.698735666389</v>
          </cell>
          <cell r="T24">
            <v>42931.856011901014</v>
          </cell>
          <cell r="U24">
            <v>42551.094784337642</v>
          </cell>
          <cell r="V24">
            <v>42289.478695813857</v>
          </cell>
          <cell r="W24">
            <v>46699.423438188409</v>
          </cell>
          <cell r="X24">
            <v>47452.33211548347</v>
          </cell>
          <cell r="Y24">
            <v>46133.453302513801</v>
          </cell>
          <cell r="Z24">
            <v>44336.526732861894</v>
          </cell>
          <cell r="AA24">
            <v>41836.691875723758</v>
          </cell>
          <cell r="AB24">
            <v>39095.538472450826</v>
          </cell>
        </row>
        <row r="25">
          <cell r="D25">
            <v>5</v>
          </cell>
          <cell r="E25">
            <v>36331.581305874519</v>
          </cell>
          <cell r="F25">
            <v>34461.473423782598</v>
          </cell>
          <cell r="G25">
            <v>33008.368454436815</v>
          </cell>
          <cell r="H25">
            <v>31967.012382358251</v>
          </cell>
          <cell r="I25">
            <v>31443.543423669882</v>
          </cell>
          <cell r="J25">
            <v>31208.347938012201</v>
          </cell>
          <cell r="K25">
            <v>30029.174239456308</v>
          </cell>
          <cell r="L25">
            <v>31619.52263980058</v>
          </cell>
          <cell r="M25">
            <v>33853.855652560167</v>
          </cell>
          <cell r="N25">
            <v>35471.218301169902</v>
          </cell>
          <cell r="O25">
            <v>36916.863803182794</v>
          </cell>
          <cell r="P25">
            <v>38162.448832433074</v>
          </cell>
          <cell r="Q25">
            <v>38953.251592503977</v>
          </cell>
          <cell r="R25">
            <v>39095.079285197477</v>
          </cell>
          <cell r="S25">
            <v>39245.148952170042</v>
          </cell>
          <cell r="T25">
            <v>39674.292561663642</v>
          </cell>
          <cell r="U25">
            <v>39525.774096321024</v>
          </cell>
          <cell r="V25">
            <v>39721.439732701219</v>
          </cell>
          <cell r="W25">
            <v>44408.489183617763</v>
          </cell>
          <cell r="X25">
            <v>46029.060787225724</v>
          </cell>
          <cell r="Y25">
            <v>45858.461870115672</v>
          </cell>
          <cell r="Z25">
            <v>44513.06971480394</v>
          </cell>
          <cell r="AA25">
            <v>41592.524620944205</v>
          </cell>
          <cell r="AB25">
            <v>38232.520694540559</v>
          </cell>
        </row>
        <row r="26">
          <cell r="D26">
            <v>1</v>
          </cell>
          <cell r="E26">
            <v>36331.581305874519</v>
          </cell>
          <cell r="F26">
            <v>34461.473423782598</v>
          </cell>
          <cell r="G26">
            <v>33008.368454436815</v>
          </cell>
          <cell r="H26">
            <v>31967.012382358251</v>
          </cell>
          <cell r="I26">
            <v>31443.543423669882</v>
          </cell>
          <cell r="J26">
            <v>31208.347938012201</v>
          </cell>
          <cell r="K26">
            <v>30029.174239456308</v>
          </cell>
          <cell r="L26">
            <v>31619.52263980058</v>
          </cell>
          <cell r="M26">
            <v>33853.855652560167</v>
          </cell>
          <cell r="N26">
            <v>35471.218301169902</v>
          </cell>
          <cell r="O26">
            <v>36916.863803182794</v>
          </cell>
          <cell r="P26">
            <v>38162.448832433074</v>
          </cell>
          <cell r="Q26">
            <v>38953.251592503977</v>
          </cell>
          <cell r="R26">
            <v>39095.079285197477</v>
          </cell>
          <cell r="S26">
            <v>39245.148952170042</v>
          </cell>
          <cell r="T26">
            <v>39674.292561663642</v>
          </cell>
          <cell r="U26">
            <v>39525.774096321024</v>
          </cell>
          <cell r="V26">
            <v>39721.439732701219</v>
          </cell>
          <cell r="W26">
            <v>44408.489183617763</v>
          </cell>
          <cell r="X26">
            <v>46029.060787225724</v>
          </cell>
          <cell r="Y26">
            <v>45858.461870115672</v>
          </cell>
          <cell r="Z26">
            <v>44513.06971480394</v>
          </cell>
          <cell r="AA26">
            <v>41592.524620944205</v>
          </cell>
          <cell r="AB26">
            <v>38232.520694540559</v>
          </cell>
        </row>
        <row r="27">
          <cell r="D27">
            <v>20</v>
          </cell>
          <cell r="E27">
            <v>34172.975109834726</v>
          </cell>
          <cell r="F27">
            <v>32471.080363054476</v>
          </cell>
          <cell r="G27">
            <v>31226.205407793128</v>
          </cell>
          <cell r="H27">
            <v>30378.313407892645</v>
          </cell>
          <cell r="I27">
            <v>30508.202008547552</v>
          </cell>
          <cell r="J27">
            <v>31485.234123464696</v>
          </cell>
          <cell r="K27">
            <v>31833.470971169038</v>
          </cell>
          <cell r="L27">
            <v>35459.117980064919</v>
          </cell>
          <cell r="M27">
            <v>39191.37036225164</v>
          </cell>
          <cell r="N27">
            <v>40915.752510759077</v>
          </cell>
          <cell r="O27">
            <v>42836.056866111918</v>
          </cell>
          <cell r="P27">
            <v>44460.873765495089</v>
          </cell>
          <cell r="Q27">
            <v>42718.775073685996</v>
          </cell>
          <cell r="R27">
            <v>43974.682539274501</v>
          </cell>
          <cell r="S27">
            <v>46420.581589536218</v>
          </cell>
          <cell r="T27">
            <v>46717.639664492854</v>
          </cell>
          <cell r="U27">
            <v>46009.855388325173</v>
          </cell>
          <cell r="V27">
            <v>44815.054767808157</v>
          </cell>
          <cell r="W27">
            <v>47583.529262906835</v>
          </cell>
          <cell r="X27">
            <v>47728.020378976624</v>
          </cell>
          <cell r="Y27">
            <v>46299.880766358423</v>
          </cell>
          <cell r="Z27">
            <v>44075.716855453196</v>
          </cell>
          <cell r="AA27">
            <v>40735.426195751534</v>
          </cell>
          <cell r="AB27">
            <v>37088.250871288503</v>
          </cell>
        </row>
        <row r="28">
          <cell r="D28">
            <v>4</v>
          </cell>
          <cell r="E28">
            <v>33827.905946643194</v>
          </cell>
          <cell r="F28">
            <v>32064.391389117071</v>
          </cell>
          <cell r="G28">
            <v>30754.479050041224</v>
          </cell>
          <cell r="H28">
            <v>29859.924527145566</v>
          </cell>
          <cell r="I28">
            <v>29633.976336150987</v>
          </cell>
          <cell r="J28">
            <v>29624.986595354381</v>
          </cell>
          <cell r="K28">
            <v>29554.820318344602</v>
          </cell>
          <cell r="L28">
            <v>32577.58647505784</v>
          </cell>
          <cell r="M28">
            <v>36095.768146963339</v>
          </cell>
          <cell r="N28">
            <v>37979.877880338929</v>
          </cell>
          <cell r="O28">
            <v>39824.874154577992</v>
          </cell>
          <cell r="P28">
            <v>40972.189563443178</v>
          </cell>
          <cell r="Q28">
            <v>40438.44149085143</v>
          </cell>
          <cell r="R28">
            <v>40003.185257209603</v>
          </cell>
          <cell r="S28">
            <v>40225.882467506104</v>
          </cell>
          <cell r="T28">
            <v>40302.329276886172</v>
          </cell>
          <cell r="U28">
            <v>40075.255199120518</v>
          </cell>
          <cell r="V28">
            <v>40320.595783251156</v>
          </cell>
          <cell r="W28">
            <v>44781.547627835556</v>
          </cell>
          <cell r="X28">
            <v>44878.386037507626</v>
          </cell>
          <cell r="Y28">
            <v>43634.058338183582</v>
          </cell>
          <cell r="Z28">
            <v>41802.726109005212</v>
          </cell>
          <cell r="AA28">
            <v>39488.742116759349</v>
          </cell>
          <cell r="AB28">
            <v>36844.456125529738</v>
          </cell>
        </row>
        <row r="29">
          <cell r="D29">
            <v>4</v>
          </cell>
          <cell r="E29">
            <v>34488.679660588197</v>
          </cell>
          <cell r="F29">
            <v>32791.941225330891</v>
          </cell>
          <cell r="G29">
            <v>31388.86349128648</v>
          </cell>
          <cell r="H29">
            <v>30429.003023792258</v>
          </cell>
          <cell r="I29">
            <v>30024.501130026438</v>
          </cell>
          <cell r="J29">
            <v>29491.22888689311</v>
          </cell>
          <cell r="K29">
            <v>28872.657879356273</v>
          </cell>
          <cell r="L29">
            <v>30469.61720253362</v>
          </cell>
          <cell r="M29">
            <v>32162.549349190991</v>
          </cell>
          <cell r="N29">
            <v>33673.413041125626</v>
          </cell>
          <cell r="O29">
            <v>35078.608580680833</v>
          </cell>
          <cell r="P29">
            <v>36193.457218927593</v>
          </cell>
          <cell r="Q29">
            <v>36816.877452717628</v>
          </cell>
          <cell r="R29">
            <v>36988.622386476927</v>
          </cell>
          <cell r="S29">
            <v>37214.812830543691</v>
          </cell>
          <cell r="T29">
            <v>37548.113839265061</v>
          </cell>
          <cell r="U29">
            <v>37682.773575999454</v>
          </cell>
          <cell r="V29">
            <v>38144.428453161891</v>
          </cell>
          <cell r="W29">
            <v>42375.181571830231</v>
          </cell>
          <cell r="X29">
            <v>43656.321326104917</v>
          </cell>
          <cell r="Y29">
            <v>43512.749244612758</v>
          </cell>
          <cell r="Z29">
            <v>42444.104653274677</v>
          </cell>
          <cell r="AA29">
            <v>39720.748716963462</v>
          </cell>
          <cell r="AB29">
            <v>36491.336871925079</v>
          </cell>
        </row>
        <row r="30">
          <cell r="D30">
            <v>2</v>
          </cell>
          <cell r="E30">
            <v>34488.679660588197</v>
          </cell>
          <cell r="F30">
            <v>32791.941225330891</v>
          </cell>
          <cell r="G30">
            <v>31388.86349128648</v>
          </cell>
          <cell r="H30">
            <v>30429.003023792258</v>
          </cell>
          <cell r="I30">
            <v>30024.501130026438</v>
          </cell>
          <cell r="J30">
            <v>29491.22888689311</v>
          </cell>
          <cell r="K30">
            <v>28872.657879356273</v>
          </cell>
          <cell r="L30">
            <v>30469.61720253362</v>
          </cell>
          <cell r="M30">
            <v>32162.549349190991</v>
          </cell>
          <cell r="N30">
            <v>33673.413041125626</v>
          </cell>
          <cell r="O30">
            <v>35078.608580680833</v>
          </cell>
          <cell r="P30">
            <v>36193.457218927593</v>
          </cell>
          <cell r="Q30">
            <v>36816.877452717628</v>
          </cell>
          <cell r="R30">
            <v>36988.622386476927</v>
          </cell>
          <cell r="S30">
            <v>37214.812830543691</v>
          </cell>
          <cell r="T30">
            <v>37548.113839265061</v>
          </cell>
          <cell r="U30">
            <v>37682.773575999454</v>
          </cell>
          <cell r="V30">
            <v>38144.428453161891</v>
          </cell>
          <cell r="W30">
            <v>42375.181571830231</v>
          </cell>
          <cell r="X30">
            <v>43656.321326104917</v>
          </cell>
          <cell r="Y30">
            <v>43512.749244612758</v>
          </cell>
          <cell r="Z30">
            <v>42444.104653274677</v>
          </cell>
          <cell r="AA30">
            <v>39720.748716963462</v>
          </cell>
          <cell r="AB30">
            <v>36491.336871925079</v>
          </cell>
        </row>
        <row r="31">
          <cell r="D31">
            <v>20</v>
          </cell>
          <cell r="E31">
            <v>33644.215096921616</v>
          </cell>
          <cell r="F31">
            <v>32046.757256168774</v>
          </cell>
          <cell r="G31">
            <v>30837.673645864281</v>
          </cell>
          <cell r="H31">
            <v>30010.131187274808</v>
          </cell>
          <cell r="I31">
            <v>30157.205527157021</v>
          </cell>
          <cell r="J31">
            <v>30992.451845632899</v>
          </cell>
          <cell r="K31">
            <v>31695.449586298062</v>
          </cell>
          <cell r="L31">
            <v>35399.444754386772</v>
          </cell>
          <cell r="M31">
            <v>39207.909387742278</v>
          </cell>
          <cell r="N31">
            <v>40991.374173837306</v>
          </cell>
          <cell r="O31">
            <v>43118.066868349553</v>
          </cell>
          <cell r="P31">
            <v>44507.075087277663</v>
          </cell>
          <cell r="Q31">
            <v>42699.017465083547</v>
          </cell>
          <cell r="R31">
            <v>43869.219204702036</v>
          </cell>
          <cell r="S31">
            <v>46144.649278563003</v>
          </cell>
          <cell r="T31">
            <v>46372.426727028782</v>
          </cell>
          <cell r="U31">
            <v>45708.891090431862</v>
          </cell>
          <cell r="V31">
            <v>44215.334883397241</v>
          </cell>
          <cell r="W31">
            <v>46965.961838509618</v>
          </cell>
          <cell r="X31">
            <v>47152.09698034601</v>
          </cell>
          <cell r="Y31">
            <v>45697.802325802564</v>
          </cell>
          <cell r="Z31">
            <v>43282.379756985007</v>
          </cell>
          <cell r="AA31">
            <v>39880.022915057074</v>
          </cell>
          <cell r="AB31">
            <v>36404.278322071354</v>
          </cell>
        </row>
        <row r="32">
          <cell r="D32">
            <v>5</v>
          </cell>
          <cell r="E32">
            <v>34228.124846878141</v>
          </cell>
          <cell r="F32">
            <v>32236.837653404491</v>
          </cell>
          <cell r="G32">
            <v>30889.888416187921</v>
          </cell>
          <cell r="H32">
            <v>30022.302015204808</v>
          </cell>
          <cell r="I32">
            <v>29863.815017243523</v>
          </cell>
          <cell r="J32">
            <v>29539.172151848572</v>
          </cell>
          <cell r="K32">
            <v>29823.712779599784</v>
          </cell>
          <cell r="L32">
            <v>33238.173850947896</v>
          </cell>
          <cell r="M32">
            <v>37046.919322831294</v>
          </cell>
          <cell r="N32">
            <v>39184.174360610967</v>
          </cell>
          <cell r="O32">
            <v>40814.595731343106</v>
          </cell>
          <cell r="P32">
            <v>41907.913516994027</v>
          </cell>
          <cell r="Q32">
            <v>41051.426810170611</v>
          </cell>
          <cell r="R32">
            <v>40483.645518849058</v>
          </cell>
          <cell r="S32">
            <v>40780.285534662915</v>
          </cell>
          <cell r="T32">
            <v>40854.631954092722</v>
          </cell>
          <cell r="U32">
            <v>40622.804358569447</v>
          </cell>
          <cell r="V32">
            <v>40917.952214941084</v>
          </cell>
          <cell r="W32">
            <v>45275.163632922566</v>
          </cell>
          <cell r="X32">
            <v>45789.001563799582</v>
          </cell>
          <cell r="Y32">
            <v>44434.090986060728</v>
          </cell>
          <cell r="Z32">
            <v>42431.829443163071</v>
          </cell>
          <cell r="AA32">
            <v>40111.570812755876</v>
          </cell>
          <cell r="AB32">
            <v>37420.504293717393</v>
          </cell>
        </row>
        <row r="33">
          <cell r="D33">
            <v>4</v>
          </cell>
          <cell r="E33">
            <v>34632.166917269817</v>
          </cell>
          <cell r="F33">
            <v>32995.783384913448</v>
          </cell>
          <cell r="G33">
            <v>31692.089153622623</v>
          </cell>
          <cell r="H33">
            <v>30757.039709005196</v>
          </cell>
          <cell r="I33">
            <v>30358.572972456277</v>
          </cell>
          <cell r="J33">
            <v>29443.041792262175</v>
          </cell>
          <cell r="K33">
            <v>28998.75772484648</v>
          </cell>
          <cell r="L33">
            <v>30729.303008079525</v>
          </cell>
          <cell r="M33">
            <v>33082.73850984851</v>
          </cell>
          <cell r="N33">
            <v>34943.538212415668</v>
          </cell>
          <cell r="O33">
            <v>36218.314020467275</v>
          </cell>
          <cell r="P33">
            <v>37168.128378587426</v>
          </cell>
          <cell r="Q33">
            <v>37709.540688957386</v>
          </cell>
          <cell r="R33">
            <v>37824.353333216146</v>
          </cell>
          <cell r="S33">
            <v>37982.086800408142</v>
          </cell>
          <cell r="T33">
            <v>38400.84684966263</v>
          </cell>
          <cell r="U33">
            <v>38291.15523421581</v>
          </cell>
          <cell r="V33">
            <v>38903.504308661402</v>
          </cell>
          <cell r="W33">
            <v>43418.884418611517</v>
          </cell>
          <cell r="X33">
            <v>44611.724462032136</v>
          </cell>
          <cell r="Y33">
            <v>44369.100576245473</v>
          </cell>
          <cell r="Z33">
            <v>42944.876936209737</v>
          </cell>
          <cell r="AA33">
            <v>40070.360388376859</v>
          </cell>
          <cell r="AB33">
            <v>36435.777387826201</v>
          </cell>
        </row>
        <row r="34">
          <cell r="D34">
            <v>2</v>
          </cell>
          <cell r="E34">
            <v>34632.166917269817</v>
          </cell>
          <cell r="F34">
            <v>32995.783384913448</v>
          </cell>
          <cell r="G34">
            <v>31692.089153622623</v>
          </cell>
          <cell r="H34">
            <v>30757.039709005196</v>
          </cell>
          <cell r="I34">
            <v>30358.572972456277</v>
          </cell>
          <cell r="J34">
            <v>29443.041792262175</v>
          </cell>
          <cell r="K34">
            <v>28998.75772484648</v>
          </cell>
          <cell r="L34">
            <v>30729.303008079525</v>
          </cell>
          <cell r="M34">
            <v>33082.73850984851</v>
          </cell>
          <cell r="N34">
            <v>34943.538212415668</v>
          </cell>
          <cell r="O34">
            <v>36218.314020467275</v>
          </cell>
          <cell r="P34">
            <v>37168.128378587426</v>
          </cell>
          <cell r="Q34">
            <v>37709.540688957386</v>
          </cell>
          <cell r="R34">
            <v>37824.353333216146</v>
          </cell>
          <cell r="S34">
            <v>37982.086800408142</v>
          </cell>
          <cell r="T34">
            <v>38400.84684966263</v>
          </cell>
          <cell r="U34">
            <v>38291.15523421581</v>
          </cell>
          <cell r="V34">
            <v>38903.504308661402</v>
          </cell>
          <cell r="W34">
            <v>43418.884418611517</v>
          </cell>
          <cell r="X34">
            <v>44611.724462032136</v>
          </cell>
          <cell r="Y34">
            <v>44369.100576245473</v>
          </cell>
          <cell r="Z34">
            <v>42944.876936209737</v>
          </cell>
          <cell r="AA34">
            <v>40070.360388376859</v>
          </cell>
          <cell r="AB34">
            <v>36435.777387826201</v>
          </cell>
        </row>
        <row r="35">
          <cell r="D35">
            <v>18</v>
          </cell>
          <cell r="E35">
            <v>33808.29662982771</v>
          </cell>
          <cell r="F35">
            <v>32110.470518323866</v>
          </cell>
          <cell r="G35">
            <v>30930.627608612183</v>
          </cell>
          <cell r="H35">
            <v>30007.472397022</v>
          </cell>
          <cell r="I35">
            <v>30099.901942847231</v>
          </cell>
          <cell r="J35">
            <v>30514.334435102301</v>
          </cell>
          <cell r="K35">
            <v>31173.211054585954</v>
          </cell>
          <cell r="L35">
            <v>35098.735130295543</v>
          </cell>
          <cell r="M35">
            <v>38920.069001704775</v>
          </cell>
          <cell r="N35">
            <v>40811.739149129047</v>
          </cell>
          <cell r="O35">
            <v>43000.153095702859</v>
          </cell>
          <cell r="P35">
            <v>44438.575311751651</v>
          </cell>
          <cell r="Q35">
            <v>42858.648617355575</v>
          </cell>
          <cell r="R35">
            <v>43798.720175375965</v>
          </cell>
          <cell r="S35">
            <v>45952.281540498734</v>
          </cell>
          <cell r="T35">
            <v>46207.692118733641</v>
          </cell>
          <cell r="U35">
            <v>45748.266351664148</v>
          </cell>
          <cell r="V35">
            <v>44319.142945691288</v>
          </cell>
          <cell r="W35">
            <v>46905.926606627101</v>
          </cell>
          <cell r="X35">
            <v>47500.246272603959</v>
          </cell>
          <cell r="Y35">
            <v>45948.300609643222</v>
          </cell>
          <cell r="Z35">
            <v>43593.141344333009</v>
          </cell>
          <cell r="AA35">
            <v>40088.698434232268</v>
          </cell>
          <cell r="AB35">
            <v>36554.692387793388</v>
          </cell>
        </row>
        <row r="36">
          <cell r="D36">
            <v>4</v>
          </cell>
          <cell r="E36">
            <v>33891.413654884098</v>
          </cell>
          <cell r="F36">
            <v>32226.615784702935</v>
          </cell>
          <cell r="G36">
            <v>30989.474564870692</v>
          </cell>
          <cell r="H36">
            <v>30140.389268538733</v>
          </cell>
          <cell r="I36">
            <v>29991.470694033844</v>
          </cell>
          <cell r="J36">
            <v>29612.097027886386</v>
          </cell>
          <cell r="K36">
            <v>29902.439257761711</v>
          </cell>
          <cell r="L36">
            <v>33352.185773333738</v>
          </cell>
          <cell r="M36">
            <v>37137.895719961598</v>
          </cell>
          <cell r="N36">
            <v>39299.734682241338</v>
          </cell>
          <cell r="O36">
            <v>41152.233302037086</v>
          </cell>
          <cell r="P36">
            <v>42274.204818033868</v>
          </cell>
          <cell r="Q36">
            <v>41502.047259519619</v>
          </cell>
          <cell r="R36">
            <v>40667.663643199863</v>
          </cell>
          <cell r="S36">
            <v>40794.185800788844</v>
          </cell>
          <cell r="T36">
            <v>40820.310046052538</v>
          </cell>
          <cell r="U36">
            <v>40345.827328430256</v>
          </cell>
          <cell r="V36">
            <v>40508.538587375988</v>
          </cell>
          <cell r="W36">
            <v>44009.346956372079</v>
          </cell>
          <cell r="X36">
            <v>44932.557633947341</v>
          </cell>
          <cell r="Y36">
            <v>43642.434206761274</v>
          </cell>
          <cell r="Z36">
            <v>41464.89132060566</v>
          </cell>
          <cell r="AA36">
            <v>38934.886716246154</v>
          </cell>
          <cell r="AB36">
            <v>36320.222478071286</v>
          </cell>
        </row>
        <row r="37">
          <cell r="D37">
            <v>5</v>
          </cell>
          <cell r="E37">
            <v>34403.399924227371</v>
          </cell>
          <cell r="F37">
            <v>32660.89138113051</v>
          </cell>
          <cell r="G37">
            <v>31307.418920275733</v>
          </cell>
          <cell r="H37">
            <v>30417.812543461081</v>
          </cell>
          <cell r="I37">
            <v>30070.840275103325</v>
          </cell>
          <cell r="J37">
            <v>29126.13439380722</v>
          </cell>
          <cell r="K37">
            <v>28486.058484114557</v>
          </cell>
          <cell r="L37">
            <v>30047.843142872676</v>
          </cell>
          <cell r="M37">
            <v>32106.840596787933</v>
          </cell>
          <cell r="N37">
            <v>33828.684196523071</v>
          </cell>
          <cell r="O37">
            <v>35047.225396832197</v>
          </cell>
          <cell r="P37">
            <v>36016.148350423879</v>
          </cell>
          <cell r="Q37">
            <v>36773.856770541664</v>
          </cell>
          <cell r="R37">
            <v>36705.539285568339</v>
          </cell>
          <cell r="S37">
            <v>36832.147750411314</v>
          </cell>
          <cell r="T37">
            <v>37131.280139234863</v>
          </cell>
          <cell r="U37">
            <v>37190.832565176242</v>
          </cell>
          <cell r="V37">
            <v>37613.546845697805</v>
          </cell>
          <cell r="W37">
            <v>41937.67656875027</v>
          </cell>
          <cell r="X37">
            <v>43961.615188767755</v>
          </cell>
          <cell r="Y37">
            <v>43405.971190744982</v>
          </cell>
          <cell r="Z37">
            <v>42016.199763816097</v>
          </cell>
          <cell r="AA37">
            <v>39472.555738750336</v>
          </cell>
          <cell r="AB37">
            <v>36587.612026405695</v>
          </cell>
        </row>
        <row r="38">
          <cell r="D38">
            <v>3</v>
          </cell>
          <cell r="E38">
            <v>34403.399924227371</v>
          </cell>
          <cell r="F38">
            <v>32660.89138113051</v>
          </cell>
          <cell r="G38">
            <v>31307.418920275733</v>
          </cell>
          <cell r="H38">
            <v>30417.812543461081</v>
          </cell>
          <cell r="I38">
            <v>30070.840275103325</v>
          </cell>
          <cell r="J38">
            <v>29126.13439380722</v>
          </cell>
          <cell r="K38">
            <v>28486.058484114557</v>
          </cell>
          <cell r="L38">
            <v>30047.843142872676</v>
          </cell>
          <cell r="M38">
            <v>32106.840596787933</v>
          </cell>
          <cell r="N38">
            <v>33828.684196523071</v>
          </cell>
          <cell r="O38">
            <v>35047.225396832197</v>
          </cell>
          <cell r="P38">
            <v>36016.148350423879</v>
          </cell>
          <cell r="Q38">
            <v>36773.856770541664</v>
          </cell>
          <cell r="R38">
            <v>36705.539285568339</v>
          </cell>
          <cell r="S38">
            <v>36832.147750411314</v>
          </cell>
          <cell r="T38">
            <v>37131.280139234863</v>
          </cell>
          <cell r="U38">
            <v>37190.832565176242</v>
          </cell>
          <cell r="V38">
            <v>37613.546845697805</v>
          </cell>
          <cell r="W38">
            <v>41937.67656875027</v>
          </cell>
          <cell r="X38">
            <v>43961.615188767755</v>
          </cell>
          <cell r="Y38">
            <v>43405.971190744982</v>
          </cell>
          <cell r="Z38">
            <v>42016.199763816097</v>
          </cell>
          <cell r="AA38">
            <v>39472.555738750336</v>
          </cell>
          <cell r="AB38">
            <v>36587.612026405695</v>
          </cell>
        </row>
        <row r="39">
          <cell r="D39">
            <v>23</v>
          </cell>
          <cell r="E39">
            <v>33314.562065422266</v>
          </cell>
          <cell r="F39">
            <v>31611.518983440958</v>
          </cell>
          <cell r="G39">
            <v>30340.446133297224</v>
          </cell>
          <cell r="H39">
            <v>29491.66475752867</v>
          </cell>
          <cell r="I39">
            <v>29460.365337438212</v>
          </cell>
          <cell r="J39">
            <v>30218.008154509669</v>
          </cell>
          <cell r="K39">
            <v>30610.74095089786</v>
          </cell>
          <cell r="L39">
            <v>34381.158953953338</v>
          </cell>
          <cell r="M39">
            <v>38077.936064308829</v>
          </cell>
          <cell r="N39">
            <v>39979.361536674151</v>
          </cell>
          <cell r="O39">
            <v>42189.206693390108</v>
          </cell>
          <cell r="P39">
            <v>43846.598986347853</v>
          </cell>
          <cell r="Q39">
            <v>42283.524955723318</v>
          </cell>
          <cell r="R39">
            <v>43706.1793004012</v>
          </cell>
          <cell r="S39">
            <v>46194.700605912301</v>
          </cell>
          <cell r="T39">
            <v>46468.288567840857</v>
          </cell>
          <cell r="U39">
            <v>45837.65145855664</v>
          </cell>
          <cell r="V39">
            <v>43889.835825915958</v>
          </cell>
          <cell r="W39">
            <v>45836.255465194437</v>
          </cell>
          <cell r="X39">
            <v>46904.646392886563</v>
          </cell>
          <cell r="Y39">
            <v>45633.845103941014</v>
          </cell>
          <cell r="Z39">
            <v>43365.118975210789</v>
          </cell>
          <cell r="AA39">
            <v>39818.650427339628</v>
          </cell>
          <cell r="AB39">
            <v>36386.866405354558</v>
          </cell>
        </row>
        <row r="40">
          <cell r="D40">
            <v>4</v>
          </cell>
          <cell r="E40">
            <v>33935.743535961665</v>
          </cell>
          <cell r="F40">
            <v>32017.533149833384</v>
          </cell>
          <cell r="G40">
            <v>30637.381364137538</v>
          </cell>
          <cell r="H40">
            <v>29801.018571675751</v>
          </cell>
          <cell r="I40">
            <v>29405.060137614815</v>
          </cell>
          <cell r="J40">
            <v>29106.662956090207</v>
          </cell>
          <cell r="K40">
            <v>29237.391932576527</v>
          </cell>
          <cell r="L40">
            <v>32439.299901986858</v>
          </cell>
          <cell r="M40">
            <v>36198.583512272358</v>
          </cell>
          <cell r="N40">
            <v>38369.674079501143</v>
          </cell>
          <cell r="O40">
            <v>40412.026120571216</v>
          </cell>
          <cell r="P40">
            <v>41432.800317885798</v>
          </cell>
          <cell r="Q40">
            <v>40770.665223033808</v>
          </cell>
          <cell r="R40">
            <v>40181.244180328569</v>
          </cell>
          <cell r="S40">
            <v>40178.351664021306</v>
          </cell>
          <cell r="T40">
            <v>39940.99360169888</v>
          </cell>
          <cell r="U40">
            <v>39558.674418825663</v>
          </cell>
          <cell r="V40">
            <v>39690.494155303939</v>
          </cell>
          <cell r="W40">
            <v>42179.678368790999</v>
          </cell>
          <cell r="X40">
            <v>43129.715389177654</v>
          </cell>
          <cell r="Y40">
            <v>41716.514322356088</v>
          </cell>
          <cell r="Z40">
            <v>39969.650995750533</v>
          </cell>
          <cell r="AA40">
            <v>37753.562676009184</v>
          </cell>
          <cell r="AB40">
            <v>35214.861216912774</v>
          </cell>
        </row>
        <row r="41">
          <cell r="D41">
            <v>3</v>
          </cell>
          <cell r="E41">
            <v>31913.769430086955</v>
          </cell>
          <cell r="F41">
            <v>30421.593923444343</v>
          </cell>
          <cell r="G41">
            <v>29120.322909318838</v>
          </cell>
          <cell r="H41">
            <v>28325.609342532622</v>
          </cell>
          <cell r="I41">
            <v>28004.270679641937</v>
          </cell>
          <cell r="J41">
            <v>27319.454858638725</v>
          </cell>
          <cell r="K41">
            <v>26716.434950694445</v>
          </cell>
          <cell r="L41">
            <v>28367.835623458035</v>
          </cell>
          <cell r="M41">
            <v>30398.228898683759</v>
          </cell>
          <cell r="N41">
            <v>32034.121367155785</v>
          </cell>
          <cell r="O41">
            <v>33429.406344762632</v>
          </cell>
          <cell r="P41">
            <v>34618.579087968879</v>
          </cell>
          <cell r="Q41">
            <v>35478.40385409326</v>
          </cell>
          <cell r="R41">
            <v>35696.57485763968</v>
          </cell>
          <cell r="S41">
            <v>35899.283812264461</v>
          </cell>
          <cell r="T41">
            <v>36373.951971524861</v>
          </cell>
          <cell r="U41">
            <v>36309.8213475456</v>
          </cell>
          <cell r="V41">
            <v>36481.774083172546</v>
          </cell>
          <cell r="W41">
            <v>40619.35728661601</v>
          </cell>
          <cell r="X41">
            <v>42940.422601452658</v>
          </cell>
          <cell r="Y41">
            <v>42291.146867787895</v>
          </cell>
          <cell r="Z41">
            <v>40553.390855423546</v>
          </cell>
          <cell r="AA41">
            <v>37431.892780463808</v>
          </cell>
          <cell r="AB41">
            <v>34278.377358898855</v>
          </cell>
        </row>
        <row r="42">
          <cell r="D42">
            <v>1</v>
          </cell>
          <cell r="E42">
            <v>31913.769430086955</v>
          </cell>
          <cell r="F42">
            <v>30421.593923444343</v>
          </cell>
          <cell r="G42">
            <v>29120.322909318838</v>
          </cell>
          <cell r="H42">
            <v>28325.609342532622</v>
          </cell>
          <cell r="I42">
            <v>28004.270679641937</v>
          </cell>
          <cell r="J42">
            <v>27319.454858638725</v>
          </cell>
          <cell r="K42">
            <v>26716.434950694445</v>
          </cell>
          <cell r="L42">
            <v>28367.835623458035</v>
          </cell>
          <cell r="M42">
            <v>30398.228898683759</v>
          </cell>
          <cell r="N42">
            <v>32034.121367155785</v>
          </cell>
          <cell r="O42">
            <v>33429.406344762632</v>
          </cell>
          <cell r="P42">
            <v>34618.579087968879</v>
          </cell>
          <cell r="Q42">
            <v>35478.40385409326</v>
          </cell>
          <cell r="R42">
            <v>35696.57485763968</v>
          </cell>
          <cell r="S42">
            <v>35899.283812264461</v>
          </cell>
          <cell r="T42">
            <v>36373.951971524861</v>
          </cell>
          <cell r="U42">
            <v>36309.8213475456</v>
          </cell>
          <cell r="V42">
            <v>36481.774083172546</v>
          </cell>
          <cell r="W42">
            <v>40619.35728661601</v>
          </cell>
          <cell r="X42">
            <v>42940.422601452658</v>
          </cell>
          <cell r="Y42">
            <v>42291.146867787895</v>
          </cell>
          <cell r="Z42">
            <v>40553.390855423546</v>
          </cell>
          <cell r="AA42">
            <v>37431.892780463808</v>
          </cell>
          <cell r="AB42">
            <v>34278.377358898855</v>
          </cell>
        </row>
        <row r="43">
          <cell r="D43">
            <v>19</v>
          </cell>
          <cell r="E43">
            <v>33878.235106500186</v>
          </cell>
          <cell r="F43">
            <v>32024.983294407306</v>
          </cell>
          <cell r="G43">
            <v>30712.751978564382</v>
          </cell>
          <cell r="H43">
            <v>29817.669540757604</v>
          </cell>
          <cell r="I43">
            <v>29787.006339982774</v>
          </cell>
          <cell r="J43">
            <v>30782.414430575158</v>
          </cell>
          <cell r="K43">
            <v>31144.533392223075</v>
          </cell>
          <cell r="L43">
            <v>34645.364834582782</v>
          </cell>
          <cell r="M43">
            <v>38418.965966589276</v>
          </cell>
          <cell r="N43">
            <v>40309.393237452685</v>
          </cell>
          <cell r="O43">
            <v>42659.829743937007</v>
          </cell>
          <cell r="P43">
            <v>44606.388019017904</v>
          </cell>
          <cell r="Q43">
            <v>42813.204212008946</v>
          </cell>
          <cell r="R43">
            <v>44213.271267080687</v>
          </cell>
          <cell r="S43">
            <v>46871.677921492308</v>
          </cell>
          <cell r="T43">
            <v>47172.715087078912</v>
          </cell>
          <cell r="U43">
            <v>46363.742496331935</v>
          </cell>
          <cell r="V43">
            <v>44665.471864668136</v>
          </cell>
          <cell r="W43">
            <v>47339.160261489837</v>
          </cell>
          <cell r="X43">
            <v>48077.418625676633</v>
          </cell>
          <cell r="Y43">
            <v>46726.382406663921</v>
          </cell>
          <cell r="Z43">
            <v>44336.760652905752</v>
          </cell>
          <cell r="AA43">
            <v>40655.949901167522</v>
          </cell>
          <cell r="AB43">
            <v>37179.074980894438</v>
          </cell>
        </row>
        <row r="44">
          <cell r="D44">
            <v>5</v>
          </cell>
          <cell r="E44">
            <v>34342.055888260489</v>
          </cell>
          <cell r="F44">
            <v>32576.167090597217</v>
          </cell>
          <cell r="G44">
            <v>31266.825765358743</v>
          </cell>
          <cell r="H44">
            <v>30273.053844364007</v>
          </cell>
          <cell r="I44">
            <v>29677.173144939938</v>
          </cell>
          <cell r="J44">
            <v>29421.308163833601</v>
          </cell>
          <cell r="K44">
            <v>29467.192333303334</v>
          </cell>
          <cell r="L44">
            <v>32619.733855469072</v>
          </cell>
          <cell r="M44">
            <v>36072.950137821521</v>
          </cell>
          <cell r="N44">
            <v>38269.475191655569</v>
          </cell>
          <cell r="O44">
            <v>40072.983107830245</v>
          </cell>
          <cell r="P44">
            <v>40683.347516995986</v>
          </cell>
          <cell r="Q44">
            <v>39984.733514707485</v>
          </cell>
          <cell r="R44">
            <v>39436.958072308662</v>
          </cell>
          <cell r="S44">
            <v>39872.114053988487</v>
          </cell>
          <cell r="T44">
            <v>40045.496873350676</v>
          </cell>
          <cell r="U44">
            <v>39781.781363342248</v>
          </cell>
          <cell r="V44">
            <v>40089.0763333055</v>
          </cell>
          <cell r="W44">
            <v>44251.361294732953</v>
          </cell>
          <cell r="X44">
            <v>44603.065596703622</v>
          </cell>
          <cell r="Y44">
            <v>42977.113870419787</v>
          </cell>
          <cell r="Z44">
            <v>41027.2769086021</v>
          </cell>
          <cell r="AA44">
            <v>38510.111040867225</v>
          </cell>
          <cell r="AB44">
            <v>35763.652104553359</v>
          </cell>
        </row>
        <row r="45">
          <cell r="D45">
            <v>5</v>
          </cell>
          <cell r="E45">
            <v>33513.498604672124</v>
          </cell>
          <cell r="F45">
            <v>31882.819063910956</v>
          </cell>
          <cell r="G45">
            <v>30469.495350038134</v>
          </cell>
          <cell r="H45">
            <v>29650.287167099697</v>
          </cell>
          <cell r="I45">
            <v>29223.199186612455</v>
          </cell>
          <cell r="J45">
            <v>28778.3071802329</v>
          </cell>
          <cell r="K45">
            <v>28004.7173979625</v>
          </cell>
          <cell r="L45">
            <v>29590.878318610889</v>
          </cell>
          <cell r="M45">
            <v>31495.38997058856</v>
          </cell>
          <cell r="N45">
            <v>33114.200160754837</v>
          </cell>
          <cell r="O45">
            <v>34487.303368032466</v>
          </cell>
          <cell r="P45">
            <v>35631.868588186357</v>
          </cell>
          <cell r="Q45">
            <v>36314.32699350515</v>
          </cell>
          <cell r="R45">
            <v>36457.279147084373</v>
          </cell>
          <cell r="S45">
            <v>36677.188065545299</v>
          </cell>
          <cell r="T45">
            <v>36941.997284547593</v>
          </cell>
          <cell r="U45">
            <v>36937.4527208328</v>
          </cell>
          <cell r="V45">
            <v>37556.718039024447</v>
          </cell>
          <cell r="W45">
            <v>42264.005395167114</v>
          </cell>
          <cell r="X45">
            <v>44088.674634713338</v>
          </cell>
          <cell r="Y45">
            <v>43727.544233654888</v>
          </cell>
          <cell r="Z45">
            <v>42165.030940775112</v>
          </cell>
          <cell r="AA45">
            <v>39079.014137069782</v>
          </cell>
          <cell r="AB45">
            <v>35815.857873370325</v>
          </cell>
        </row>
        <row r="46">
          <cell r="D46">
            <v>2</v>
          </cell>
          <cell r="E46">
            <v>33513.498604672124</v>
          </cell>
          <cell r="F46">
            <v>31882.819063910956</v>
          </cell>
          <cell r="G46">
            <v>30469.495350038134</v>
          </cell>
          <cell r="H46">
            <v>29650.287167099697</v>
          </cell>
          <cell r="I46">
            <v>29223.199186612455</v>
          </cell>
          <cell r="J46">
            <v>28778.3071802329</v>
          </cell>
          <cell r="K46">
            <v>28004.7173979625</v>
          </cell>
          <cell r="L46">
            <v>29590.878318610889</v>
          </cell>
          <cell r="M46">
            <v>31495.38997058856</v>
          </cell>
          <cell r="N46">
            <v>33114.200160754837</v>
          </cell>
          <cell r="O46">
            <v>34487.303368032466</v>
          </cell>
          <cell r="P46">
            <v>35631.868588186357</v>
          </cell>
          <cell r="Q46">
            <v>36314.32699350515</v>
          </cell>
          <cell r="R46">
            <v>36457.279147084373</v>
          </cell>
          <cell r="S46">
            <v>36677.188065545299</v>
          </cell>
          <cell r="T46">
            <v>36941.997284547593</v>
          </cell>
          <cell r="U46">
            <v>36937.4527208328</v>
          </cell>
          <cell r="V46">
            <v>37556.718039024447</v>
          </cell>
          <cell r="W46">
            <v>42264.005395167114</v>
          </cell>
          <cell r="X46">
            <v>44088.674634713338</v>
          </cell>
          <cell r="Y46">
            <v>43727.544233654888</v>
          </cell>
          <cell r="Z46">
            <v>42165.030940775112</v>
          </cell>
          <cell r="AA46">
            <v>39079.014137069782</v>
          </cell>
          <cell r="AB46">
            <v>35815.857873370325</v>
          </cell>
        </row>
        <row r="47">
          <cell r="D47">
            <v>22</v>
          </cell>
          <cell r="E47">
            <v>33196.038356918201</v>
          </cell>
          <cell r="F47">
            <v>31454.788992141453</v>
          </cell>
          <cell r="G47">
            <v>30172.060892837311</v>
          </cell>
          <cell r="H47">
            <v>29232.568376240797</v>
          </cell>
          <cell r="I47">
            <v>29199.377795719101</v>
          </cell>
          <cell r="J47">
            <v>30144.346212809207</v>
          </cell>
          <cell r="K47">
            <v>30570.399751300924</v>
          </cell>
          <cell r="L47">
            <v>34070.001932789724</v>
          </cell>
          <cell r="M47">
            <v>37839.065412530588</v>
          </cell>
          <cell r="N47">
            <v>39720.97489873106</v>
          </cell>
          <cell r="O47">
            <v>41743.89071707079</v>
          </cell>
          <cell r="P47">
            <v>43472.612297675216</v>
          </cell>
          <cell r="Q47">
            <v>41901.351303009709</v>
          </cell>
          <cell r="R47">
            <v>43125.695460249015</v>
          </cell>
          <cell r="S47">
            <v>45571.762309140227</v>
          </cell>
          <cell r="T47">
            <v>45883.652273139312</v>
          </cell>
          <cell r="U47">
            <v>45174.720088917456</v>
          </cell>
          <cell r="V47">
            <v>44026.076714177383</v>
          </cell>
          <cell r="W47">
            <v>46971.296120535233</v>
          </cell>
          <cell r="X47">
            <v>46527.686831360552</v>
          </cell>
          <cell r="Y47">
            <v>45042.131569338315</v>
          </cell>
          <cell r="Z47">
            <v>42612.770433194099</v>
          </cell>
          <cell r="AA47">
            <v>38967.813765166029</v>
          </cell>
          <cell r="AB47">
            <v>35614.680843259237</v>
          </cell>
        </row>
        <row r="48">
          <cell r="D48">
            <v>4</v>
          </cell>
          <cell r="E48">
            <v>32332.214947965567</v>
          </cell>
          <cell r="F48">
            <v>30697.936449717607</v>
          </cell>
          <cell r="G48">
            <v>29470.25673319049</v>
          </cell>
          <cell r="H48">
            <v>28565.401474144965</v>
          </cell>
          <cell r="I48">
            <v>28324.823279197179</v>
          </cell>
          <cell r="J48">
            <v>28161.7314495746</v>
          </cell>
          <cell r="K48">
            <v>28484.619590186398</v>
          </cell>
          <cell r="L48">
            <v>31732.023784867528</v>
          </cell>
          <cell r="M48">
            <v>35364.210454590233</v>
          </cell>
          <cell r="N48">
            <v>37153.341985877385</v>
          </cell>
          <cell r="O48">
            <v>39329.291851855582</v>
          </cell>
          <cell r="P48">
            <v>40297.948605041791</v>
          </cell>
          <cell r="Q48">
            <v>39849.24660534595</v>
          </cell>
          <cell r="R48">
            <v>39361.821928288577</v>
          </cell>
          <cell r="S48">
            <v>39633.826247605932</v>
          </cell>
          <cell r="T48">
            <v>39549.213706668546</v>
          </cell>
          <cell r="U48">
            <v>39079.038488989645</v>
          </cell>
          <cell r="V48">
            <v>40037.728999008155</v>
          </cell>
          <cell r="W48">
            <v>44488.143199200385</v>
          </cell>
          <cell r="X48">
            <v>44158.802057007233</v>
          </cell>
          <cell r="Y48">
            <v>42599.926385442217</v>
          </cell>
          <cell r="Z48">
            <v>40639.738965641714</v>
          </cell>
          <cell r="AA48">
            <v>38393.874358442423</v>
          </cell>
          <cell r="AB48">
            <v>35710.331601463782</v>
          </cell>
        </row>
        <row r="49">
          <cell r="D49">
            <v>4</v>
          </cell>
          <cell r="E49">
            <v>33093.218684779917</v>
          </cell>
          <cell r="F49">
            <v>31406.754361973301</v>
          </cell>
          <cell r="G49">
            <v>29958.766023978562</v>
          </cell>
          <cell r="H49">
            <v>29000.265229672568</v>
          </cell>
          <cell r="I49">
            <v>28594.541340798121</v>
          </cell>
          <cell r="J49">
            <v>27818.572068384987</v>
          </cell>
          <cell r="K49">
            <v>27091.46742859334</v>
          </cell>
          <cell r="L49">
            <v>28794.889135270256</v>
          </cell>
          <cell r="M49">
            <v>30646.408128471878</v>
          </cell>
          <cell r="N49">
            <v>32442.369091989625</v>
          </cell>
          <cell r="O49">
            <v>33816.81508427814</v>
          </cell>
          <cell r="P49">
            <v>34719.668825885783</v>
          </cell>
          <cell r="Q49">
            <v>35493.434195206391</v>
          </cell>
          <cell r="R49">
            <v>35602.358354584707</v>
          </cell>
          <cell r="S49">
            <v>35623.684867974596</v>
          </cell>
          <cell r="T49">
            <v>36066.87477600242</v>
          </cell>
          <cell r="U49">
            <v>36028.653895033378</v>
          </cell>
          <cell r="V49">
            <v>37200.554858147829</v>
          </cell>
          <cell r="W49">
            <v>42065.738619060226</v>
          </cell>
          <cell r="X49">
            <v>42765.504524499134</v>
          </cell>
          <cell r="Y49">
            <v>42213.100715521527</v>
          </cell>
          <cell r="Z49">
            <v>40619.090627575606</v>
          </cell>
          <cell r="AA49">
            <v>37690.43950449668</v>
          </cell>
          <cell r="AB49">
            <v>34571.703573494917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32161.584767925724</v>
          </cell>
          <cell r="F51">
            <v>30468.613477911196</v>
          </cell>
          <cell r="G51">
            <v>29258.935499612551</v>
          </cell>
          <cell r="H51">
            <v>28379.364048618871</v>
          </cell>
          <cell r="I51">
            <v>28471.192312146686</v>
          </cell>
          <cell r="J51">
            <v>29321.528160549475</v>
          </cell>
          <cell r="K51">
            <v>30091.388719267714</v>
          </cell>
          <cell r="L51">
            <v>33517.115734055245</v>
          </cell>
          <cell r="M51">
            <v>37160.043865227723</v>
          </cell>
          <cell r="N51">
            <v>39067.992602475613</v>
          </cell>
          <cell r="O51">
            <v>41054.957292938248</v>
          </cell>
          <cell r="P51">
            <v>42628.258337841697</v>
          </cell>
          <cell r="Q51">
            <v>40789.097153419134</v>
          </cell>
          <cell r="R51">
            <v>41879.489135264237</v>
          </cell>
          <cell r="S51">
            <v>44230.326341611551</v>
          </cell>
          <cell r="T51">
            <v>44761.671068726289</v>
          </cell>
          <cell r="U51">
            <v>44264.255792044452</v>
          </cell>
          <cell r="V51">
            <v>44279.88431307135</v>
          </cell>
          <cell r="W51">
            <v>47027.514174630778</v>
          </cell>
          <cell r="X51">
            <v>45979.487658971309</v>
          </cell>
          <cell r="Y51">
            <v>44271.850674379508</v>
          </cell>
          <cell r="Z51">
            <v>41848.900026882577</v>
          </cell>
          <cell r="AA51">
            <v>38277.87679897654</v>
          </cell>
          <cell r="AB51">
            <v>34829.153598315039</v>
          </cell>
        </row>
        <row r="52">
          <cell r="D52">
            <v>4</v>
          </cell>
          <cell r="E52">
            <v>32748.268283608071</v>
          </cell>
          <cell r="F52">
            <v>30909.369991656407</v>
          </cell>
          <cell r="G52">
            <v>29451.601414421457</v>
          </cell>
          <cell r="H52">
            <v>28544.105730338768</v>
          </cell>
          <cell r="I52">
            <v>28526.043073072055</v>
          </cell>
          <cell r="J52">
            <v>28404.90170190456</v>
          </cell>
          <cell r="K52">
            <v>28844.779937378633</v>
          </cell>
          <cell r="L52">
            <v>31702.455821697069</v>
          </cell>
          <cell r="M52">
            <v>35261.711817245414</v>
          </cell>
          <cell r="N52">
            <v>37292.077375201283</v>
          </cell>
          <cell r="O52">
            <v>39384.75864598612</v>
          </cell>
          <cell r="P52">
            <v>40425.915231710751</v>
          </cell>
          <cell r="Q52">
            <v>39667.050192693365</v>
          </cell>
          <cell r="R52">
            <v>39177.917422159502</v>
          </cell>
          <cell r="S52">
            <v>39589.252731535598</v>
          </cell>
          <cell r="T52">
            <v>40004.799281259089</v>
          </cell>
          <cell r="U52">
            <v>39699.909118037162</v>
          </cell>
          <cell r="V52">
            <v>41150.301793025537</v>
          </cell>
          <cell r="W52">
            <v>45038.679931327941</v>
          </cell>
          <cell r="X52">
            <v>44206.830950954754</v>
          </cell>
          <cell r="Y52">
            <v>42500.875743241406</v>
          </cell>
          <cell r="Z52">
            <v>40355.379482231867</v>
          </cell>
          <cell r="AA52">
            <v>37784.861212294527</v>
          </cell>
          <cell r="AB52">
            <v>35070.340552160967</v>
          </cell>
        </row>
        <row r="53">
          <cell r="D53">
            <v>4</v>
          </cell>
          <cell r="E53">
            <v>32578.760301677372</v>
          </cell>
          <cell r="F53">
            <v>30869.427545814662</v>
          </cell>
          <cell r="G53">
            <v>29511.994077246956</v>
          </cell>
          <cell r="H53">
            <v>28671.964471127732</v>
          </cell>
          <cell r="I53">
            <v>28294.638750751394</v>
          </cell>
          <cell r="J53">
            <v>27687.976601550858</v>
          </cell>
          <cell r="K53">
            <v>26948.14265013122</v>
          </cell>
          <cell r="L53">
            <v>28546.480489933158</v>
          </cell>
          <cell r="M53">
            <v>30622.331620523037</v>
          </cell>
          <cell r="N53">
            <v>32281.253788144695</v>
          </cell>
          <cell r="O53">
            <v>33872.010250047184</v>
          </cell>
          <cell r="P53">
            <v>35144.036247704411</v>
          </cell>
          <cell r="Q53">
            <v>35778.383041095622</v>
          </cell>
          <cell r="R53">
            <v>35846.397503260479</v>
          </cell>
          <cell r="S53">
            <v>36068.949867087344</v>
          </cell>
          <cell r="T53">
            <v>36029.262750007663</v>
          </cell>
          <cell r="U53">
            <v>36298.15728414918</v>
          </cell>
          <cell r="V53">
            <v>38076.706703168558</v>
          </cell>
          <cell r="W53">
            <v>42697.202676858164</v>
          </cell>
          <cell r="X53">
            <v>42979.550476735945</v>
          </cell>
          <cell r="Y53">
            <v>42311.571361117414</v>
          </cell>
          <cell r="Z53">
            <v>40633.315955634724</v>
          </cell>
          <cell r="AA53">
            <v>37586.987821756091</v>
          </cell>
          <cell r="AB53">
            <v>34506.828963749278</v>
          </cell>
        </row>
        <row r="54">
          <cell r="D54">
            <v>1</v>
          </cell>
          <cell r="E54">
            <v>32578.760301677372</v>
          </cell>
          <cell r="F54">
            <v>30869.427545814662</v>
          </cell>
          <cell r="G54">
            <v>29511.994077246956</v>
          </cell>
          <cell r="H54">
            <v>28671.964471127732</v>
          </cell>
          <cell r="I54">
            <v>28294.638750751394</v>
          </cell>
          <cell r="J54">
            <v>27687.976601550858</v>
          </cell>
          <cell r="K54">
            <v>26948.14265013122</v>
          </cell>
          <cell r="L54">
            <v>28546.480489933158</v>
          </cell>
          <cell r="M54">
            <v>30622.331620523037</v>
          </cell>
          <cell r="N54">
            <v>32281.253788144695</v>
          </cell>
          <cell r="O54">
            <v>33872.010250047184</v>
          </cell>
          <cell r="P54">
            <v>35144.036247704411</v>
          </cell>
          <cell r="Q54">
            <v>35778.383041095622</v>
          </cell>
          <cell r="R54">
            <v>35846.397503260479</v>
          </cell>
          <cell r="S54">
            <v>36068.949867087344</v>
          </cell>
          <cell r="T54">
            <v>36029.262750007663</v>
          </cell>
          <cell r="U54">
            <v>36298.15728414918</v>
          </cell>
          <cell r="V54">
            <v>38076.706703168558</v>
          </cell>
          <cell r="W54">
            <v>42697.202676858164</v>
          </cell>
          <cell r="X54">
            <v>42979.550476735945</v>
          </cell>
          <cell r="Y54">
            <v>42311.571361117414</v>
          </cell>
          <cell r="Z54">
            <v>40633.315955634724</v>
          </cell>
          <cell r="AA54">
            <v>37586.987821756091</v>
          </cell>
          <cell r="AB54">
            <v>34506.828963749278</v>
          </cell>
        </row>
        <row r="55">
          <cell r="D55">
            <v>18</v>
          </cell>
          <cell r="E55">
            <v>31789.864306996209</v>
          </cell>
          <cell r="F55">
            <v>30156.369845850506</v>
          </cell>
          <cell r="G55">
            <v>28966.875879692452</v>
          </cell>
          <cell r="H55">
            <v>28161.159366837634</v>
          </cell>
          <cell r="I55">
            <v>28240.604460179391</v>
          </cell>
          <cell r="J55">
            <v>29079.16132905829</v>
          </cell>
          <cell r="K55">
            <v>29844.871428929935</v>
          </cell>
          <cell r="L55">
            <v>33394.8574085121</v>
          </cell>
          <cell r="M55">
            <v>37048.509001593149</v>
          </cell>
          <cell r="N55">
            <v>38860.947842310503</v>
          </cell>
          <cell r="O55">
            <v>40752.474114905315</v>
          </cell>
          <cell r="P55">
            <v>42085.637729381378</v>
          </cell>
          <cell r="Q55">
            <v>40359.916984282849</v>
          </cell>
          <cell r="R55">
            <v>41268.40607399225</v>
          </cell>
          <cell r="S55">
            <v>43326.699445092461</v>
          </cell>
          <cell r="T55">
            <v>43856.328836550936</v>
          </cell>
          <cell r="U55">
            <v>43428.090741010848</v>
          </cell>
          <cell r="V55">
            <v>43995.437598559613</v>
          </cell>
          <cell r="W55">
            <v>46149.240417221554</v>
          </cell>
          <cell r="X55">
            <v>45080.389057263965</v>
          </cell>
          <cell r="Y55">
            <v>43482.356193415995</v>
          </cell>
          <cell r="Z55">
            <v>41166.898680427483</v>
          </cell>
          <cell r="AA55">
            <v>37779.759864293381</v>
          </cell>
          <cell r="AB55">
            <v>34436.23239755776</v>
          </cell>
        </row>
        <row r="56">
          <cell r="D56">
            <v>5</v>
          </cell>
          <cell r="E56">
            <v>31031.514711426604</v>
          </cell>
          <cell r="F56">
            <v>29512.19190084963</v>
          </cell>
          <cell r="G56">
            <v>28445.959937286916</v>
          </cell>
          <cell r="H56">
            <v>27748.680326902271</v>
          </cell>
          <cell r="I56">
            <v>27732.062148714293</v>
          </cell>
          <cell r="J56">
            <v>27663.616684000153</v>
          </cell>
          <cell r="K56">
            <v>28076.810931559216</v>
          </cell>
          <cell r="L56">
            <v>31311.76846276741</v>
          </cell>
          <cell r="M56">
            <v>34949.882918985058</v>
          </cell>
          <cell r="N56">
            <v>36963.244411032952</v>
          </cell>
          <cell r="O56">
            <v>39060.010192806927</v>
          </cell>
          <cell r="P56">
            <v>39943.440899121517</v>
          </cell>
          <cell r="Q56">
            <v>39224.800618982648</v>
          </cell>
          <cell r="R56">
            <v>38411.518575255977</v>
          </cell>
          <cell r="S56">
            <v>38153.884796408056</v>
          </cell>
          <cell r="T56">
            <v>38460.285294330977</v>
          </cell>
          <cell r="U56">
            <v>38269.640765472854</v>
          </cell>
          <cell r="V56">
            <v>40399.00469086277</v>
          </cell>
          <cell r="W56">
            <v>43730.569473410738</v>
          </cell>
          <cell r="X56">
            <v>42991.552564574027</v>
          </cell>
          <cell r="Y56">
            <v>41445.95043557739</v>
          </cell>
          <cell r="Z56">
            <v>39528.416848881025</v>
          </cell>
          <cell r="AA56">
            <v>37105.620338092187</v>
          </cell>
          <cell r="AB56">
            <v>34379.759936822069</v>
          </cell>
        </row>
        <row r="57">
          <cell r="D57">
            <v>5</v>
          </cell>
          <cell r="E57">
            <v>32162.543171219924</v>
          </cell>
          <cell r="F57">
            <v>30636.691392220822</v>
          </cell>
          <cell r="G57">
            <v>29315.436873968516</v>
          </cell>
          <cell r="H57">
            <v>28424.933940077568</v>
          </cell>
          <cell r="I57">
            <v>28063.981817338692</v>
          </cell>
          <cell r="J57">
            <v>27591.123497545497</v>
          </cell>
          <cell r="K57">
            <v>26910.186025358318</v>
          </cell>
          <cell r="L57">
            <v>28391.304797474524</v>
          </cell>
          <cell r="M57">
            <v>30421.840958104789</v>
          </cell>
          <cell r="N57">
            <v>32090.563408770158</v>
          </cell>
          <cell r="O57">
            <v>33696.157537207735</v>
          </cell>
          <cell r="P57">
            <v>34544.305714773123</v>
          </cell>
          <cell r="Q57">
            <v>35173.622670990917</v>
          </cell>
          <cell r="R57">
            <v>35140.463107695025</v>
          </cell>
          <cell r="S57">
            <v>35039.473980942021</v>
          </cell>
          <cell r="T57">
            <v>35199.208776201362</v>
          </cell>
          <cell r="U57">
            <v>35240.122883967444</v>
          </cell>
          <cell r="V57">
            <v>37623.730796366959</v>
          </cell>
          <cell r="W57">
            <v>41209.892398995078</v>
          </cell>
          <cell r="X57">
            <v>41270.187679215043</v>
          </cell>
          <cell r="Y57">
            <v>40360.133901673042</v>
          </cell>
          <cell r="Z57">
            <v>38773.675778592515</v>
          </cell>
          <cell r="AA57">
            <v>36288.615127162702</v>
          </cell>
          <cell r="AB57">
            <v>33660.089436004324</v>
          </cell>
        </row>
        <row r="58">
          <cell r="D58">
            <v>2</v>
          </cell>
          <cell r="E58">
            <v>32162.543171219924</v>
          </cell>
          <cell r="F58">
            <v>30636.691392220822</v>
          </cell>
          <cell r="G58">
            <v>29315.436873968516</v>
          </cell>
          <cell r="H58">
            <v>28424.933940077568</v>
          </cell>
          <cell r="I58">
            <v>28063.981817338692</v>
          </cell>
          <cell r="J58">
            <v>27591.123497545497</v>
          </cell>
          <cell r="K58">
            <v>26910.186025358318</v>
          </cell>
          <cell r="L58">
            <v>28391.304797474524</v>
          </cell>
          <cell r="M58">
            <v>30421.840958104789</v>
          </cell>
          <cell r="N58">
            <v>32090.563408770158</v>
          </cell>
          <cell r="O58">
            <v>33696.157537207735</v>
          </cell>
          <cell r="P58">
            <v>34544.305714773123</v>
          </cell>
          <cell r="Q58">
            <v>35173.622670990917</v>
          </cell>
          <cell r="R58">
            <v>35140.463107695025</v>
          </cell>
          <cell r="S58">
            <v>35039.473980942021</v>
          </cell>
          <cell r="T58">
            <v>35199.208776201362</v>
          </cell>
          <cell r="U58">
            <v>35240.122883967444</v>
          </cell>
          <cell r="V58">
            <v>37623.730796366959</v>
          </cell>
          <cell r="W58">
            <v>41209.892398995078</v>
          </cell>
          <cell r="X58">
            <v>41270.187679215043</v>
          </cell>
          <cell r="Y58">
            <v>40360.133901673042</v>
          </cell>
          <cell r="Z58">
            <v>38773.675778592515</v>
          </cell>
          <cell r="AA58">
            <v>36288.615127162702</v>
          </cell>
          <cell r="AB58">
            <v>33660.089436004324</v>
          </cell>
        </row>
        <row r="59">
          <cell r="D59">
            <v>21</v>
          </cell>
          <cell r="E59">
            <v>34227.352629426263</v>
          </cell>
          <cell r="F59">
            <v>32344.880285922849</v>
          </cell>
          <cell r="G59">
            <v>31000.450423975311</v>
          </cell>
          <cell r="H59">
            <v>30167.364990005375</v>
          </cell>
          <cell r="I59">
            <v>30060.221613286743</v>
          </cell>
          <cell r="J59">
            <v>30597.202012283597</v>
          </cell>
          <cell r="K59">
            <v>30811.198426848696</v>
          </cell>
          <cell r="L59">
            <v>34524.874452482218</v>
          </cell>
          <cell r="M59">
            <v>38296.499426854425</v>
          </cell>
          <cell r="N59">
            <v>40456.116069452582</v>
          </cell>
          <cell r="O59">
            <v>42356.90029886672</v>
          </cell>
          <cell r="P59">
            <v>43732.284024545406</v>
          </cell>
          <cell r="Q59">
            <v>42528.156010077015</v>
          </cell>
          <cell r="R59">
            <v>43073.135983151689</v>
          </cell>
          <cell r="S59">
            <v>44894.335211073354</v>
          </cell>
          <cell r="T59">
            <v>45454.738247490692</v>
          </cell>
          <cell r="U59">
            <v>45079.837276624385</v>
          </cell>
          <cell r="V59">
            <v>45125.606558885753</v>
          </cell>
          <cell r="W59">
            <v>48603.048771265174</v>
          </cell>
          <cell r="X59">
            <v>47667.875662523911</v>
          </cell>
          <cell r="Y59">
            <v>45923.14651007951</v>
          </cell>
          <cell r="Z59">
            <v>43435.846395732107</v>
          </cell>
          <cell r="AA59">
            <v>40243.881109658592</v>
          </cell>
          <cell r="AB59">
            <v>37137.918462385212</v>
          </cell>
        </row>
        <row r="60">
          <cell r="D60">
            <v>4</v>
          </cell>
          <cell r="E60">
            <v>34781.632123769748</v>
          </cell>
          <cell r="F60">
            <v>32812.509505344686</v>
          </cell>
          <cell r="G60">
            <v>31515.340430891796</v>
          </cell>
          <cell r="H60">
            <v>30564.272269502388</v>
          </cell>
          <cell r="I60">
            <v>30301.379770652664</v>
          </cell>
          <cell r="J60">
            <v>30354.231779482179</v>
          </cell>
          <cell r="K60">
            <v>30052.722832755077</v>
          </cell>
          <cell r="L60">
            <v>32812.122665705014</v>
          </cell>
          <cell r="M60">
            <v>36806.155483432143</v>
          </cell>
          <cell r="N60">
            <v>39148.430576580031</v>
          </cell>
          <cell r="O60">
            <v>41121.138781656395</v>
          </cell>
          <cell r="P60">
            <v>42325.15666419328</v>
          </cell>
          <cell r="Q60">
            <v>41639.646509340004</v>
          </cell>
          <cell r="R60">
            <v>41338.543348094237</v>
          </cell>
          <cell r="S60">
            <v>41165.254690662376</v>
          </cell>
          <cell r="T60">
            <v>41607.233618961247</v>
          </cell>
          <cell r="U60">
            <v>41477.981642470237</v>
          </cell>
          <cell r="V60">
            <v>42395.119179329129</v>
          </cell>
          <cell r="W60">
            <v>47091.33311468942</v>
          </cell>
          <cell r="X60">
            <v>46423.350274658944</v>
          </cell>
          <cell r="Y60">
            <v>44675.541955450288</v>
          </cell>
          <cell r="Z60">
            <v>42768.687429158883</v>
          </cell>
          <cell r="AA60">
            <v>40124.862741841796</v>
          </cell>
          <cell r="AB60">
            <v>37401.152396467958</v>
          </cell>
        </row>
        <row r="61">
          <cell r="D61">
            <v>4</v>
          </cell>
          <cell r="E61">
            <v>35001.204094493296</v>
          </cell>
          <cell r="F61">
            <v>33280.88688047044</v>
          </cell>
          <cell r="G61">
            <v>31895.33373233263</v>
          </cell>
          <cell r="H61">
            <v>30919.583617370565</v>
          </cell>
          <cell r="I61">
            <v>30479.397310162414</v>
          </cell>
          <cell r="J61">
            <v>30171.822249406196</v>
          </cell>
          <cell r="K61">
            <v>28827.501797643825</v>
          </cell>
          <cell r="L61">
            <v>30281.647504330671</v>
          </cell>
          <cell r="M61">
            <v>32593.117692351811</v>
          </cell>
          <cell r="N61">
            <v>34577.491024372073</v>
          </cell>
          <cell r="O61">
            <v>35882.891550320688</v>
          </cell>
          <cell r="P61">
            <v>36951.850728133257</v>
          </cell>
          <cell r="Q61">
            <v>37587.538830942925</v>
          </cell>
          <cell r="R61">
            <v>37941.523625425187</v>
          </cell>
          <cell r="S61">
            <v>36869.139383910653</v>
          </cell>
          <cell r="T61">
            <v>37877.499081534872</v>
          </cell>
          <cell r="U61">
            <v>38102.65318615063</v>
          </cell>
          <cell r="V61">
            <v>39374.814783024187</v>
          </cell>
          <cell r="W61">
            <v>44150.858916795631</v>
          </cell>
          <cell r="X61">
            <v>43799.58992259761</v>
          </cell>
          <cell r="Y61">
            <v>42656.535624878772</v>
          </cell>
          <cell r="Z61">
            <v>41090.506455923642</v>
          </cell>
          <cell r="AA61">
            <v>38721.442976080558</v>
          </cell>
          <cell r="AB61">
            <v>36318.943185939301</v>
          </cell>
        </row>
        <row r="62">
          <cell r="D62">
            <v>2</v>
          </cell>
          <cell r="E62">
            <v>35001.204094493296</v>
          </cell>
          <cell r="F62">
            <v>33280.88688047044</v>
          </cell>
          <cell r="G62">
            <v>31895.33373233263</v>
          </cell>
          <cell r="H62">
            <v>30919.583617370565</v>
          </cell>
          <cell r="I62">
            <v>30479.397310162414</v>
          </cell>
          <cell r="J62">
            <v>30171.822249406196</v>
          </cell>
          <cell r="K62">
            <v>28827.501797643825</v>
          </cell>
          <cell r="L62">
            <v>30281.647504330671</v>
          </cell>
          <cell r="M62">
            <v>32593.117692351811</v>
          </cell>
          <cell r="N62">
            <v>34577.491024372073</v>
          </cell>
          <cell r="O62">
            <v>35882.891550320688</v>
          </cell>
          <cell r="P62">
            <v>36951.850728133257</v>
          </cell>
          <cell r="Q62">
            <v>37587.538830942925</v>
          </cell>
          <cell r="R62">
            <v>37941.523625425187</v>
          </cell>
          <cell r="S62">
            <v>36869.139383910653</v>
          </cell>
          <cell r="T62">
            <v>37877.499081534872</v>
          </cell>
          <cell r="U62">
            <v>38102.65318615063</v>
          </cell>
          <cell r="V62">
            <v>39374.814783024187</v>
          </cell>
          <cell r="W62">
            <v>44150.858916795631</v>
          </cell>
          <cell r="X62">
            <v>43799.58992259761</v>
          </cell>
          <cell r="Y62">
            <v>42656.535624878772</v>
          </cell>
          <cell r="Z62">
            <v>41090.506455923642</v>
          </cell>
          <cell r="AA62">
            <v>38721.442976080558</v>
          </cell>
          <cell r="AB62">
            <v>36318.943185939301</v>
          </cell>
        </row>
      </sheetData>
      <sheetData sheetId="25">
        <row r="15">
          <cell r="D15">
            <v>20</v>
          </cell>
          <cell r="E15">
            <v>35355.434977170822</v>
          </cell>
          <cell r="F15">
            <v>33549.892076065145</v>
          </cell>
          <cell r="G15">
            <v>32191.671233787831</v>
          </cell>
          <cell r="H15">
            <v>31205.824097646575</v>
          </cell>
          <cell r="I15">
            <v>31033.81274314519</v>
          </cell>
          <cell r="J15">
            <v>32072.32908448235</v>
          </cell>
          <cell r="K15">
            <v>31782.808882542442</v>
          </cell>
          <cell r="L15">
            <v>35455.417078732135</v>
          </cell>
          <cell r="M15">
            <v>39359.286516290005</v>
          </cell>
          <cell r="N15">
            <v>41388.009879452045</v>
          </cell>
          <cell r="O15">
            <v>43584.272467075454</v>
          </cell>
          <cell r="P15">
            <v>45382.076615203208</v>
          </cell>
          <cell r="Q15">
            <v>44139.470988852474</v>
          </cell>
          <cell r="R15">
            <v>45354.743010688435</v>
          </cell>
          <cell r="S15">
            <v>47458.636840072686</v>
          </cell>
          <cell r="T15">
            <v>47710.936433403862</v>
          </cell>
          <cell r="U15">
            <v>46921.890231833524</v>
          </cell>
          <cell r="V15">
            <v>45192.812814515375</v>
          </cell>
          <cell r="W15">
            <v>48344.873624703614</v>
          </cell>
          <cell r="X15">
            <v>48517.257611466761</v>
          </cell>
          <cell r="Y15">
            <v>47242.822973769049</v>
          </cell>
          <cell r="Z15">
            <v>45171.268209288362</v>
          </cell>
          <cell r="AA15">
            <v>41968.841171218926</v>
          </cell>
          <cell r="AB15">
            <v>38549.908545730534</v>
          </cell>
        </row>
        <row r="16">
          <cell r="D16">
            <v>5</v>
          </cell>
          <cell r="E16">
            <v>35099.165282631249</v>
          </cell>
          <cell r="F16">
            <v>33413.40548353162</v>
          </cell>
          <cell r="G16">
            <v>32089.34031388236</v>
          </cell>
          <cell r="H16">
            <v>31078.119862549058</v>
          </cell>
          <cell r="I16">
            <v>30772.04975958565</v>
          </cell>
          <cell r="J16">
            <v>31018.20967484327</v>
          </cell>
          <cell r="K16">
            <v>30218.815395286354</v>
          </cell>
          <cell r="L16">
            <v>33204.399603899925</v>
          </cell>
          <cell r="M16">
            <v>36896.180191421132</v>
          </cell>
          <cell r="N16">
            <v>39341.263391123262</v>
          </cell>
          <cell r="O16">
            <v>41264.928869956544</v>
          </cell>
          <cell r="P16">
            <v>42305.896349122966</v>
          </cell>
          <cell r="Q16">
            <v>41935.99130627267</v>
          </cell>
          <cell r="R16">
            <v>41048.068141801152</v>
          </cell>
          <cell r="S16">
            <v>41241.774755986124</v>
          </cell>
          <cell r="T16">
            <v>41384.83510822901</v>
          </cell>
          <cell r="U16">
            <v>40974.718456839015</v>
          </cell>
          <cell r="V16">
            <v>41123.149691355917</v>
          </cell>
          <cell r="W16">
            <v>45681.460408720188</v>
          </cell>
          <cell r="X16">
            <v>46008.58579530735</v>
          </cell>
          <cell r="Y16">
            <v>44640.980673356964</v>
          </cell>
          <cell r="Z16">
            <v>42832.063604425959</v>
          </cell>
          <cell r="AA16">
            <v>40481.310911326626</v>
          </cell>
          <cell r="AB16">
            <v>37874.422891175986</v>
          </cell>
        </row>
        <row r="17">
          <cell r="D17">
            <v>4</v>
          </cell>
          <cell r="E17">
            <v>35331.792712222996</v>
          </cell>
          <cell r="F17">
            <v>33595.936030980083</v>
          </cell>
          <cell r="G17">
            <v>32196.21677394427</v>
          </cell>
          <cell r="H17">
            <v>31169.294819944502</v>
          </cell>
          <cell r="I17">
            <v>30663.869680403317</v>
          </cell>
          <cell r="J17">
            <v>30503.01861463792</v>
          </cell>
          <cell r="K17">
            <v>28859.617351877867</v>
          </cell>
          <cell r="L17">
            <v>30147.117768772277</v>
          </cell>
          <cell r="M17">
            <v>32210.910367758126</v>
          </cell>
          <cell r="N17">
            <v>33799.959370737706</v>
          </cell>
          <cell r="O17">
            <v>35320.229728196311</v>
          </cell>
          <cell r="P17">
            <v>36550.066999142939</v>
          </cell>
          <cell r="Q17">
            <v>37388.271291825578</v>
          </cell>
          <cell r="R17">
            <v>37489.130582353471</v>
          </cell>
          <cell r="S17">
            <v>37508.125869870542</v>
          </cell>
          <cell r="T17">
            <v>37637.171693083292</v>
          </cell>
          <cell r="U17">
            <v>37656.297021862723</v>
          </cell>
          <cell r="V17">
            <v>38053.957145428816</v>
          </cell>
          <cell r="W17">
            <v>43021.827652558262</v>
          </cell>
          <cell r="X17">
            <v>44254.120031282684</v>
          </cell>
          <cell r="Y17">
            <v>43785.888830439675</v>
          </cell>
          <cell r="Z17">
            <v>42345.553589979871</v>
          </cell>
          <cell r="AA17">
            <v>39766.119596115735</v>
          </cell>
          <cell r="AB17">
            <v>36688.991682965512</v>
          </cell>
        </row>
        <row r="18">
          <cell r="D18">
            <v>2</v>
          </cell>
          <cell r="E18">
            <v>35331.792712222996</v>
          </cell>
          <cell r="F18">
            <v>33595.936030980083</v>
          </cell>
          <cell r="G18">
            <v>32196.21677394427</v>
          </cell>
          <cell r="H18">
            <v>31169.294819944502</v>
          </cell>
          <cell r="I18">
            <v>30663.869680403317</v>
          </cell>
          <cell r="J18">
            <v>30503.01861463792</v>
          </cell>
          <cell r="K18">
            <v>28859.617351877867</v>
          </cell>
          <cell r="L18">
            <v>30147.117768772277</v>
          </cell>
          <cell r="M18">
            <v>32210.910367758126</v>
          </cell>
          <cell r="N18">
            <v>33799.959370737706</v>
          </cell>
          <cell r="O18">
            <v>35320.229728196311</v>
          </cell>
          <cell r="P18">
            <v>36550.066999142939</v>
          </cell>
          <cell r="Q18">
            <v>37388.271291825578</v>
          </cell>
          <cell r="R18">
            <v>37489.130582353471</v>
          </cell>
          <cell r="S18">
            <v>37508.125869870542</v>
          </cell>
          <cell r="T18">
            <v>37637.171693083292</v>
          </cell>
          <cell r="U18">
            <v>37656.297021862723</v>
          </cell>
          <cell r="V18">
            <v>38053.957145428816</v>
          </cell>
          <cell r="W18">
            <v>43021.827652558262</v>
          </cell>
          <cell r="X18">
            <v>44254.120031282684</v>
          </cell>
          <cell r="Y18">
            <v>43785.888830439675</v>
          </cell>
          <cell r="Z18">
            <v>42345.553589979871</v>
          </cell>
          <cell r="AA18">
            <v>39766.119596115735</v>
          </cell>
          <cell r="AB18">
            <v>36688.991682965512</v>
          </cell>
        </row>
        <row r="19">
          <cell r="D19">
            <v>20</v>
          </cell>
          <cell r="E19">
            <v>35923.294966197442</v>
          </cell>
          <cell r="F19">
            <v>34159.841073193122</v>
          </cell>
          <cell r="G19">
            <v>32752.077555169748</v>
          </cell>
          <cell r="H19">
            <v>31731.573915701647</v>
          </cell>
          <cell r="I19">
            <v>31696.028323995019</v>
          </cell>
          <cell r="J19">
            <v>33601.151510942414</v>
          </cell>
          <cell r="K19">
            <v>33277.656441961029</v>
          </cell>
          <cell r="L19">
            <v>36516.669231989559</v>
          </cell>
          <cell r="M19">
            <v>40080.068533335048</v>
          </cell>
          <cell r="N19">
            <v>41809.080063409398</v>
          </cell>
          <cell r="O19">
            <v>43897.453910061085</v>
          </cell>
          <cell r="P19">
            <v>45548.918258187638</v>
          </cell>
          <cell r="Q19">
            <v>44025.431726799128</v>
          </cell>
          <cell r="R19">
            <v>45607.207244221681</v>
          </cell>
          <cell r="S19">
            <v>48148.529157050594</v>
          </cell>
          <cell r="T19">
            <v>48542.224315901592</v>
          </cell>
          <cell r="U19">
            <v>47817.737012749312</v>
          </cell>
          <cell r="V19">
            <v>45868.110490785664</v>
          </cell>
          <cell r="W19">
            <v>48587.023635723366</v>
          </cell>
          <cell r="X19">
            <v>49274.024459767585</v>
          </cell>
          <cell r="Y19">
            <v>48211.75403676476</v>
          </cell>
          <cell r="Z19">
            <v>46085.598144749754</v>
          </cell>
          <cell r="AA19">
            <v>42455.843347121052</v>
          </cell>
          <cell r="AB19">
            <v>38856.902918605236</v>
          </cell>
        </row>
        <row r="20">
          <cell r="D20">
            <v>4</v>
          </cell>
          <cell r="E20">
            <v>36418.719328390449</v>
          </cell>
          <cell r="F20">
            <v>34449.579783151574</v>
          </cell>
          <cell r="G20">
            <v>33165.420789519274</v>
          </cell>
          <cell r="H20">
            <v>31944.747153391349</v>
          </cell>
          <cell r="I20">
            <v>31560.205131071802</v>
          </cell>
          <cell r="J20">
            <v>31926.928770436825</v>
          </cell>
          <cell r="K20">
            <v>31360.779874874803</v>
          </cell>
          <cell r="L20">
            <v>34258.687023180872</v>
          </cell>
          <cell r="M20">
            <v>37806.045733881263</v>
          </cell>
          <cell r="N20">
            <v>39912.815074563638</v>
          </cell>
          <cell r="O20">
            <v>41849.240032423637</v>
          </cell>
          <cell r="P20">
            <v>42822.626839175944</v>
          </cell>
          <cell r="Q20">
            <v>42139.538134829781</v>
          </cell>
          <cell r="R20">
            <v>41593.189806584545</v>
          </cell>
          <cell r="S20">
            <v>41784.569480046324</v>
          </cell>
          <cell r="T20">
            <v>41904.160456055099</v>
          </cell>
          <cell r="U20">
            <v>41609.622788116081</v>
          </cell>
          <cell r="V20">
            <v>41487.368437166209</v>
          </cell>
          <cell r="W20">
            <v>45794.461128068033</v>
          </cell>
          <cell r="X20">
            <v>46457.939007890498</v>
          </cell>
          <cell r="Y20">
            <v>45371.855445805901</v>
          </cell>
          <cell r="Z20">
            <v>43643.353012387386</v>
          </cell>
          <cell r="AA20">
            <v>41361.535830124049</v>
          </cell>
          <cell r="AB20">
            <v>38644.456005166096</v>
          </cell>
        </row>
        <row r="21">
          <cell r="D21">
            <v>5</v>
          </cell>
          <cell r="E21">
            <v>36317.322384211468</v>
          </cell>
          <cell r="F21">
            <v>34562.800772708113</v>
          </cell>
          <cell r="G21">
            <v>33146.078185965933</v>
          </cell>
          <cell r="H21">
            <v>32094.167510190106</v>
          </cell>
          <cell r="I21">
            <v>31552.670179676777</v>
          </cell>
          <cell r="J21">
            <v>31517.524861553469</v>
          </cell>
          <cell r="K21">
            <v>29863.54391011695</v>
          </cell>
          <cell r="L21">
            <v>31151.55147356329</v>
          </cell>
          <cell r="M21">
            <v>33116.702932228502</v>
          </cell>
          <cell r="N21">
            <v>34508.860454312977</v>
          </cell>
          <cell r="O21">
            <v>35926.222725398009</v>
          </cell>
          <cell r="P21">
            <v>37242.761117394191</v>
          </cell>
          <cell r="Q21">
            <v>38117.011151473322</v>
          </cell>
          <cell r="R21">
            <v>38343.667986396234</v>
          </cell>
          <cell r="S21">
            <v>38725.671501274534</v>
          </cell>
          <cell r="T21">
            <v>39025.982023934608</v>
          </cell>
          <cell r="U21">
            <v>38900.123955083829</v>
          </cell>
          <cell r="V21">
            <v>38661.21196799614</v>
          </cell>
          <cell r="W21">
            <v>43693.665895032478</v>
          </cell>
          <cell r="X21">
            <v>45505.788744703335</v>
          </cell>
          <cell r="Y21">
            <v>45488.900589743549</v>
          </cell>
          <cell r="Z21">
            <v>44408.770556583724</v>
          </cell>
          <cell r="AA21">
            <v>40804.159748406775</v>
          </cell>
          <cell r="AB21">
            <v>37624.921239835159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34886.110137947078</v>
          </cell>
          <cell r="F23">
            <v>33160.50609036893</v>
          </cell>
          <cell r="G23">
            <v>31873.306360410894</v>
          </cell>
          <cell r="H23">
            <v>31028.430129556211</v>
          </cell>
          <cell r="I23">
            <v>31170.822747017275</v>
          </cell>
          <cell r="J23">
            <v>32835.263507994037</v>
          </cell>
          <cell r="K23">
            <v>32837.900383727145</v>
          </cell>
          <cell r="L23">
            <v>36398.154996694473</v>
          </cell>
          <cell r="M23">
            <v>39908.890858550061</v>
          </cell>
          <cell r="N23">
            <v>41729.137359207001</v>
          </cell>
          <cell r="O23">
            <v>43813.126365174729</v>
          </cell>
          <cell r="P23">
            <v>45179.573051749932</v>
          </cell>
          <cell r="Q23">
            <v>43135.578175308663</v>
          </cell>
          <cell r="R23">
            <v>44558.320306752852</v>
          </cell>
          <cell r="S23">
            <v>47006.871884592219</v>
          </cell>
          <cell r="T23">
            <v>47524.093417274169</v>
          </cell>
          <cell r="U23">
            <v>47005.143203933352</v>
          </cell>
          <cell r="V23">
            <v>45353.385934042555</v>
          </cell>
          <cell r="W23">
            <v>48126.642864896603</v>
          </cell>
          <cell r="X23">
            <v>48557.294082958564</v>
          </cell>
          <cell r="Y23">
            <v>47135.262153772543</v>
          </cell>
          <cell r="Z23">
            <v>44783.800368381737</v>
          </cell>
          <cell r="AA23">
            <v>41250.222509335981</v>
          </cell>
          <cell r="AB23">
            <v>37662.925488224064</v>
          </cell>
        </row>
        <row r="24">
          <cell r="D24">
            <v>4</v>
          </cell>
          <cell r="E24">
            <v>35090.342977560846</v>
          </cell>
          <cell r="F24">
            <v>33359.184647925606</v>
          </cell>
          <cell r="G24">
            <v>31993.564527194452</v>
          </cell>
          <cell r="H24">
            <v>31089.624236783042</v>
          </cell>
          <cell r="I24">
            <v>30861.237112260042</v>
          </cell>
          <cell r="J24">
            <v>31212.665764630659</v>
          </cell>
          <cell r="K24">
            <v>31062.629841721613</v>
          </cell>
          <cell r="L24">
            <v>34329.387186417654</v>
          </cell>
          <cell r="M24">
            <v>38129.888155455206</v>
          </cell>
          <cell r="N24">
            <v>40341.213099638233</v>
          </cell>
          <cell r="O24">
            <v>42324.902075947612</v>
          </cell>
          <cell r="P24">
            <v>43504.867974177047</v>
          </cell>
          <cell r="Q24">
            <v>42757.142268477321</v>
          </cell>
          <cell r="R24">
            <v>42187.044842814677</v>
          </cell>
          <cell r="S24">
            <v>42521.181237329649</v>
          </cell>
          <cell r="T24">
            <v>42576.874177409481</v>
          </cell>
          <cell r="U24">
            <v>42199.261272132171</v>
          </cell>
          <cell r="V24">
            <v>41939.808354914334</v>
          </cell>
          <cell r="W24">
            <v>46313.289491470852</v>
          </cell>
          <cell r="X24">
            <v>47059.972747172302</v>
          </cell>
          <cell r="Y24">
            <v>45751.999077003136</v>
          </cell>
          <cell r="Z24">
            <v>43969.93038561217</v>
          </cell>
          <cell r="AA24">
            <v>41490.765400358141</v>
          </cell>
          <cell r="AB24">
            <v>38772.277210148604</v>
          </cell>
        </row>
        <row r="25">
          <cell r="D25">
            <v>4</v>
          </cell>
          <cell r="E25">
            <v>36031.173809437321</v>
          </cell>
          <cell r="F25">
            <v>34176.528904918465</v>
          </cell>
          <cell r="G25">
            <v>32735.438926668892</v>
          </cell>
          <cell r="H25">
            <v>31702.693302010157</v>
          </cell>
          <cell r="I25">
            <v>31183.552643761508</v>
          </cell>
          <cell r="J25">
            <v>30950.301870788495</v>
          </cell>
          <cell r="K25">
            <v>29780.878164000518</v>
          </cell>
          <cell r="L25">
            <v>31358.076776632879</v>
          </cell>
          <cell r="M25">
            <v>33573.935218166982</v>
          </cell>
          <cell r="N25">
            <v>35177.924711889529</v>
          </cell>
          <cell r="O25">
            <v>36611.616901374138</v>
          </cell>
          <cell r="P25">
            <v>37846.902817104252</v>
          </cell>
          <cell r="Q25">
            <v>38631.166828549583</v>
          </cell>
          <cell r="R25">
            <v>38771.821819682737</v>
          </cell>
          <cell r="S25">
            <v>38920.650636372266</v>
          </cell>
          <cell r="T25">
            <v>39346.245874099317</v>
          </cell>
          <cell r="U25">
            <v>39198.955432936884</v>
          </cell>
          <cell r="V25">
            <v>39393.003208991409</v>
          </cell>
          <cell r="W25">
            <v>44041.297815207596</v>
          </cell>
          <cell r="X25">
            <v>45648.469730700184</v>
          </cell>
          <cell r="Y25">
            <v>45479.281409874202</v>
          </cell>
          <cell r="Z25">
            <v>44145.013622800128</v>
          </cell>
          <cell r="AA25">
            <v>41248.617041290912</v>
          </cell>
          <cell r="AB25">
            <v>37916.395290373992</v>
          </cell>
        </row>
        <row r="26">
          <cell r="D26">
            <v>3</v>
          </cell>
          <cell r="E26">
            <v>36031.173809437321</v>
          </cell>
          <cell r="F26">
            <v>34176.528904918465</v>
          </cell>
          <cell r="G26">
            <v>32735.438926668892</v>
          </cell>
          <cell r="H26">
            <v>31702.693302010157</v>
          </cell>
          <cell r="I26">
            <v>31183.552643761508</v>
          </cell>
          <cell r="J26">
            <v>30950.301870788495</v>
          </cell>
          <cell r="K26">
            <v>29780.878164000518</v>
          </cell>
          <cell r="L26">
            <v>31358.076776632879</v>
          </cell>
          <cell r="M26">
            <v>33573.935218166982</v>
          </cell>
          <cell r="N26">
            <v>35177.924711889529</v>
          </cell>
          <cell r="O26">
            <v>36611.616901374138</v>
          </cell>
          <cell r="P26">
            <v>37846.902817104252</v>
          </cell>
          <cell r="Q26">
            <v>38631.166828549583</v>
          </cell>
          <cell r="R26">
            <v>38771.821819682737</v>
          </cell>
          <cell r="S26">
            <v>38920.650636372266</v>
          </cell>
          <cell r="T26">
            <v>39346.245874099317</v>
          </cell>
          <cell r="U26">
            <v>39198.955432936884</v>
          </cell>
          <cell r="V26">
            <v>39393.003208991409</v>
          </cell>
          <cell r="W26">
            <v>44041.297815207596</v>
          </cell>
          <cell r="X26">
            <v>45648.469730700184</v>
          </cell>
          <cell r="Y26">
            <v>45479.281409874202</v>
          </cell>
          <cell r="Z26">
            <v>44145.013622800128</v>
          </cell>
          <cell r="AA26">
            <v>41248.617041290912</v>
          </cell>
          <cell r="AB26">
            <v>37916.395290373992</v>
          </cell>
        </row>
        <row r="27">
          <cell r="D27">
            <v>22</v>
          </cell>
          <cell r="E27">
            <v>33630.158232765272</v>
          </cell>
          <cell r="F27">
            <v>31955.297046527503</v>
          </cell>
          <cell r="G27">
            <v>30730.196171029038</v>
          </cell>
          <cell r="H27">
            <v>29895.772418654527</v>
          </cell>
          <cell r="I27">
            <v>30023.597818070801</v>
          </cell>
          <cell r="J27">
            <v>30985.110373461412</v>
          </cell>
          <cell r="K27">
            <v>31327.815691132331</v>
          </cell>
          <cell r="L27">
            <v>34895.871507561074</v>
          </cell>
          <cell r="M27">
            <v>38568.839335914781</v>
          </cell>
          <cell r="N27">
            <v>40265.830725212079</v>
          </cell>
          <cell r="O27">
            <v>42155.632216537277</v>
          </cell>
          <cell r="P27">
            <v>43754.639889995633</v>
          </cell>
          <cell r="Q27">
            <v>42040.213373886647</v>
          </cell>
          <cell r="R27">
            <v>43276.17151501136</v>
          </cell>
          <cell r="S27">
            <v>45683.218949930168</v>
          </cell>
          <cell r="T27">
            <v>45975.558438458844</v>
          </cell>
          <cell r="U27">
            <v>45279.016884038196</v>
          </cell>
          <cell r="V27">
            <v>44103.194943003</v>
          </cell>
          <cell r="W27">
            <v>46827.693908466172</v>
          </cell>
          <cell r="X27">
            <v>46969.889871241961</v>
          </cell>
          <cell r="Y27">
            <v>45564.435385746838</v>
          </cell>
          <cell r="Z27">
            <v>43375.600962670163</v>
          </cell>
          <cell r="AA27">
            <v>40088.368783787802</v>
          </cell>
          <cell r="AB27">
            <v>36499.12661596058</v>
          </cell>
        </row>
        <row r="28">
          <cell r="D28">
            <v>4</v>
          </cell>
          <cell r="E28">
            <v>33290.570282869761</v>
          </cell>
          <cell r="F28">
            <v>31555.068079015109</v>
          </cell>
          <cell r="G28">
            <v>30265.962898895912</v>
          </cell>
          <cell r="H28">
            <v>29385.617829257564</v>
          </cell>
          <cell r="I28">
            <v>29163.258687534253</v>
          </cell>
          <cell r="J28">
            <v>29154.411743289875</v>
          </cell>
          <cell r="K28">
            <v>29085.360014815586</v>
          </cell>
          <cell r="L28">
            <v>32060.111373870015</v>
          </cell>
          <cell r="M28">
            <v>35522.408874673391</v>
          </cell>
          <cell r="N28">
            <v>37376.590673526443</v>
          </cell>
          <cell r="O28">
            <v>39192.280306697001</v>
          </cell>
          <cell r="P28">
            <v>40321.371309719492</v>
          </cell>
          <cell r="Q28">
            <v>39796.101499877041</v>
          </cell>
          <cell r="R28">
            <v>39367.759046165433</v>
          </cell>
          <cell r="S28">
            <v>39586.918847037174</v>
          </cell>
          <cell r="T28">
            <v>39662.151345453793</v>
          </cell>
          <cell r="U28">
            <v>39438.684200984419</v>
          </cell>
          <cell r="V28">
            <v>39680.127699500808</v>
          </cell>
          <cell r="W28">
            <v>44070.220043522226</v>
          </cell>
          <cell r="X28">
            <v>44165.520234091331</v>
          </cell>
          <cell r="Y28">
            <v>42940.957921703244</v>
          </cell>
          <cell r="Z28">
            <v>41138.715288567473</v>
          </cell>
          <cell r="AA28">
            <v>38861.487521386072</v>
          </cell>
          <cell r="AB28">
            <v>36259.20440111588</v>
          </cell>
        </row>
        <row r="29">
          <cell r="D29">
            <v>4</v>
          </cell>
          <cell r="E29">
            <v>33940.848009190042</v>
          </cell>
          <cell r="F29">
            <v>32271.061229610048</v>
          </cell>
          <cell r="G29">
            <v>30890.270530025824</v>
          </cell>
          <cell r="H29">
            <v>29945.656860907016</v>
          </cell>
          <cell r="I29">
            <v>29547.580233130961</v>
          </cell>
          <cell r="J29">
            <v>29022.778694486049</v>
          </cell>
          <cell r="K29">
            <v>28414.033310310293</v>
          </cell>
          <cell r="L29">
            <v>29985.625908178306</v>
          </cell>
          <cell r="M29">
            <v>31651.66685973237</v>
          </cell>
          <cell r="N29">
            <v>33138.531402974288</v>
          </cell>
          <cell r="O29">
            <v>34521.406268019833</v>
          </cell>
          <cell r="P29">
            <v>35618.546215282753</v>
          </cell>
          <cell r="Q29">
            <v>36232.06379870887</v>
          </cell>
          <cell r="R29">
            <v>36401.080668894654</v>
          </cell>
          <cell r="S29">
            <v>36623.678215647778</v>
          </cell>
          <cell r="T29">
            <v>36951.684941032763</v>
          </cell>
          <cell r="U29">
            <v>37084.205689940485</v>
          </cell>
          <cell r="V29">
            <v>37538.527460813537</v>
          </cell>
          <cell r="W29">
            <v>41702.077645346166</v>
          </cell>
          <cell r="X29">
            <v>42962.86727563342</v>
          </cell>
          <cell r="Y29">
            <v>42821.575749131262</v>
          </cell>
          <cell r="Z29">
            <v>41769.905925658808</v>
          </cell>
          <cell r="AA29">
            <v>39089.808838181962</v>
          </cell>
          <cell r="AB29">
            <v>35911.694231585956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D31">
            <v>19</v>
          </cell>
          <cell r="E31">
            <v>33454.962240938417</v>
          </cell>
          <cell r="F31">
            <v>31866.490297398646</v>
          </cell>
          <cell r="G31">
            <v>30664.207931400586</v>
          </cell>
          <cell r="H31">
            <v>29841.320501120867</v>
          </cell>
          <cell r="I31">
            <v>29987.567529716893</v>
          </cell>
          <cell r="J31">
            <v>30818.115484721791</v>
          </cell>
          <cell r="K31">
            <v>31517.158776463497</v>
          </cell>
          <cell r="L31">
            <v>35200.318515278879</v>
          </cell>
          <cell r="M31">
            <v>38987.360065744877</v>
          </cell>
          <cell r="N31">
            <v>40760.792642637171</v>
          </cell>
          <cell r="O31">
            <v>42875.522428664983</v>
          </cell>
          <cell r="P31">
            <v>44256.717305190585</v>
          </cell>
          <cell r="Q31">
            <v>42458.830229932893</v>
          </cell>
          <cell r="R31">
            <v>43622.449440559059</v>
          </cell>
          <cell r="S31">
            <v>45885.07993984747</v>
          </cell>
          <cell r="T31">
            <v>46111.576112096023</v>
          </cell>
          <cell r="U31">
            <v>45451.772945224162</v>
          </cell>
          <cell r="V31">
            <v>43966.618175908879</v>
          </cell>
          <cell r="W31">
            <v>46701.772515431927</v>
          </cell>
          <cell r="X31">
            <v>46886.860624157576</v>
          </cell>
          <cell r="Y31">
            <v>45440.74655626242</v>
          </cell>
          <cell r="Z31">
            <v>43038.911037053178</v>
          </cell>
          <cell r="AA31">
            <v>39655.692871642255</v>
          </cell>
          <cell r="AB31">
            <v>36199.499770317008</v>
          </cell>
        </row>
        <row r="32">
          <cell r="D32">
            <v>4</v>
          </cell>
          <cell r="E32">
            <v>34035.587426594728</v>
          </cell>
          <cell r="F32">
            <v>32055.501468975806</v>
          </cell>
          <cell r="G32">
            <v>30716.128987206605</v>
          </cell>
          <cell r="H32">
            <v>29853.422866643916</v>
          </cell>
          <cell r="I32">
            <v>29695.827377576919</v>
          </cell>
          <cell r="J32">
            <v>29373.010668306393</v>
          </cell>
          <cell r="K32">
            <v>29655.950719961831</v>
          </cell>
          <cell r="L32">
            <v>33051.205027010801</v>
          </cell>
          <cell r="M32">
            <v>36838.525836253364</v>
          </cell>
          <cell r="N32">
            <v>38963.758551066108</v>
          </cell>
          <cell r="O32">
            <v>40585.008600666864</v>
          </cell>
          <cell r="P32">
            <v>41672.176339041151</v>
          </cell>
          <cell r="Q32">
            <v>40820.507475490667</v>
          </cell>
          <cell r="R32">
            <v>40255.920023901941</v>
          </cell>
          <cell r="S32">
            <v>40550.891403071138</v>
          </cell>
          <cell r="T32">
            <v>40624.819614729757</v>
          </cell>
          <cell r="U32">
            <v>40394.296078000007</v>
          </cell>
          <cell r="V32">
            <v>40687.783691307726</v>
          </cell>
          <cell r="W32">
            <v>45020.485258112698</v>
          </cell>
          <cell r="X32">
            <v>45531.432787306971</v>
          </cell>
          <cell r="Y32">
            <v>44184.143748537019</v>
          </cell>
          <cell r="Z32">
            <v>42193.145173561978</v>
          </cell>
          <cell r="AA32">
            <v>39885.938283882271</v>
          </cell>
          <cell r="AB32">
            <v>37210.009345640414</v>
          </cell>
        </row>
        <row r="33">
          <cell r="D33">
            <v>5</v>
          </cell>
          <cell r="E33">
            <v>34437.356710549313</v>
          </cell>
          <cell r="F33">
            <v>32810.178037218204</v>
          </cell>
          <cell r="G33">
            <v>31513.817246635968</v>
          </cell>
          <cell r="H33">
            <v>30584.027570373062</v>
          </cell>
          <cell r="I33">
            <v>30187.802258321313</v>
          </cell>
          <cell r="J33">
            <v>29277.421053839062</v>
          </cell>
          <cell r="K33">
            <v>28835.636139052844</v>
          </cell>
          <cell r="L33">
            <v>30556.446891808169</v>
          </cell>
          <cell r="M33">
            <v>32896.644028859802</v>
          </cell>
          <cell r="N33">
            <v>34746.976503788894</v>
          </cell>
          <cell r="O33">
            <v>36014.581540826308</v>
          </cell>
          <cell r="P33">
            <v>36959.053076133976</v>
          </cell>
          <cell r="Q33">
            <v>37497.419875538486</v>
          </cell>
          <cell r="R33">
            <v>37611.586684524627</v>
          </cell>
          <cell r="S33">
            <v>37768.432881525761</v>
          </cell>
          <cell r="T33">
            <v>38184.837353898314</v>
          </cell>
          <cell r="U33">
            <v>38075.762767305969</v>
          </cell>
          <cell r="V33">
            <v>38684.667302746457</v>
          </cell>
          <cell r="W33">
            <v>43174.647843136219</v>
          </cell>
          <cell r="X33">
            <v>44360.77801431586</v>
          </cell>
          <cell r="Y33">
            <v>44119.518917785899</v>
          </cell>
          <cell r="Z33">
            <v>42703.306711236102</v>
          </cell>
          <cell r="AA33">
            <v>39844.959673218837</v>
          </cell>
          <cell r="AB33">
            <v>36230.821649945261</v>
          </cell>
        </row>
        <row r="34">
          <cell r="D34">
            <v>3</v>
          </cell>
          <cell r="E34">
            <v>34437.356710549313</v>
          </cell>
          <cell r="F34">
            <v>32810.178037218204</v>
          </cell>
          <cell r="G34">
            <v>31513.817246635968</v>
          </cell>
          <cell r="H34">
            <v>30584.027570373062</v>
          </cell>
          <cell r="I34">
            <v>30187.802258321313</v>
          </cell>
          <cell r="J34">
            <v>29277.421053839062</v>
          </cell>
          <cell r="K34">
            <v>28835.636139052844</v>
          </cell>
          <cell r="L34">
            <v>30556.446891808169</v>
          </cell>
          <cell r="M34">
            <v>32896.644028859802</v>
          </cell>
          <cell r="N34">
            <v>34746.976503788894</v>
          </cell>
          <cell r="O34">
            <v>36014.581540826308</v>
          </cell>
          <cell r="P34">
            <v>36959.053076133976</v>
          </cell>
          <cell r="Q34">
            <v>37497.419875538486</v>
          </cell>
          <cell r="R34">
            <v>37611.586684524627</v>
          </cell>
          <cell r="S34">
            <v>37768.432881525761</v>
          </cell>
          <cell r="T34">
            <v>38184.837353898314</v>
          </cell>
          <cell r="U34">
            <v>38075.762767305969</v>
          </cell>
          <cell r="V34">
            <v>38684.667302746457</v>
          </cell>
          <cell r="W34">
            <v>43174.647843136219</v>
          </cell>
          <cell r="X34">
            <v>44360.77801431586</v>
          </cell>
          <cell r="Y34">
            <v>44119.518917785899</v>
          </cell>
          <cell r="Z34">
            <v>42703.306711236102</v>
          </cell>
          <cell r="AA34">
            <v>39844.959673218837</v>
          </cell>
          <cell r="AB34">
            <v>36230.821649945261</v>
          </cell>
        </row>
        <row r="35">
          <cell r="D35">
            <v>21</v>
          </cell>
          <cell r="E35">
            <v>33152.827520737395</v>
          </cell>
          <cell r="F35">
            <v>31487.918553237654</v>
          </cell>
          <cell r="G35">
            <v>30330.950223377269</v>
          </cell>
          <cell r="H35">
            <v>29425.692977210143</v>
          </cell>
          <cell r="I35">
            <v>29516.330515803573</v>
          </cell>
          <cell r="J35">
            <v>29922.728066237971</v>
          </cell>
          <cell r="K35">
            <v>30568.83050559945</v>
          </cell>
          <cell r="L35">
            <v>34418.24723414539</v>
          </cell>
          <cell r="M35">
            <v>38165.493779131342</v>
          </cell>
          <cell r="N35">
            <v>40020.488569621739</v>
          </cell>
          <cell r="O35">
            <v>42166.473944428464</v>
          </cell>
          <cell r="P35">
            <v>43577.008292041515</v>
          </cell>
          <cell r="Q35">
            <v>42027.712929183464</v>
          </cell>
          <cell r="R35">
            <v>42949.558550731395</v>
          </cell>
          <cell r="S35">
            <v>45061.367059600452</v>
          </cell>
          <cell r="T35">
            <v>45311.825783975306</v>
          </cell>
          <cell r="U35">
            <v>44861.307280159323</v>
          </cell>
          <cell r="V35">
            <v>43459.891458982864</v>
          </cell>
          <cell r="W35">
            <v>45996.523028548683</v>
          </cell>
          <cell r="X35">
            <v>46579.320132882232</v>
          </cell>
          <cell r="Y35">
            <v>45057.463310308674</v>
          </cell>
          <cell r="Z35">
            <v>42747.965444692789</v>
          </cell>
          <cell r="AA35">
            <v>39311.4660366647</v>
          </cell>
          <cell r="AB35">
            <v>35845.976657011553</v>
          </cell>
        </row>
        <row r="36">
          <cell r="D36">
            <v>4</v>
          </cell>
          <cell r="E36">
            <v>33234.333088021718</v>
          </cell>
          <cell r="F36">
            <v>31601.812016306074</v>
          </cell>
          <cell r="G36">
            <v>30388.65626554556</v>
          </cell>
          <cell r="H36">
            <v>29556.032880584706</v>
          </cell>
          <cell r="I36">
            <v>29410.001512330593</v>
          </cell>
          <cell r="J36">
            <v>29037.983073856529</v>
          </cell>
          <cell r="K36">
            <v>29322.696201359988</v>
          </cell>
          <cell r="L36">
            <v>32705.559658613289</v>
          </cell>
          <cell r="M36">
            <v>36417.872948995508</v>
          </cell>
          <cell r="N36">
            <v>38537.798570472609</v>
          </cell>
          <cell r="O36">
            <v>40354.381283791226</v>
          </cell>
          <cell r="P36">
            <v>41454.600219997679</v>
          </cell>
          <cell r="Q36">
            <v>40697.413111858346</v>
          </cell>
          <cell r="R36">
            <v>39879.206373410212</v>
          </cell>
          <cell r="S36">
            <v>40003.275542408162</v>
          </cell>
          <cell r="T36">
            <v>40028.893295553797</v>
          </cell>
          <cell r="U36">
            <v>39563.609762605127</v>
          </cell>
          <cell r="V36">
            <v>39723.1664052415</v>
          </cell>
          <cell r="W36">
            <v>43156.101737987148</v>
          </cell>
          <cell r="X36">
            <v>44061.413374774922</v>
          </cell>
          <cell r="Y36">
            <v>42796.302626065175</v>
          </cell>
          <cell r="Z36">
            <v>40660.977545533504</v>
          </cell>
          <cell r="AA36">
            <v>38180.02421051688</v>
          </cell>
          <cell r="AB36">
            <v>35616.052607275153</v>
          </cell>
        </row>
        <row r="37">
          <cell r="D37">
            <v>4</v>
          </cell>
          <cell r="E37">
            <v>33736.393060648326</v>
          </cell>
          <cell r="F37">
            <v>32027.667956416535</v>
          </cell>
          <cell r="G37">
            <v>30700.436373586719</v>
          </cell>
          <cell r="H37">
            <v>29828.077523485299</v>
          </cell>
          <cell r="I37">
            <v>29487.832290390794</v>
          </cell>
          <cell r="J37">
            <v>28561.442194984342</v>
          </cell>
          <cell r="K37">
            <v>27933.775960670187</v>
          </cell>
          <cell r="L37">
            <v>29465.281022379215</v>
          </cell>
          <cell r="M37">
            <v>31484.359007960589</v>
          </cell>
          <cell r="N37">
            <v>33172.819816995907</v>
          </cell>
          <cell r="O37">
            <v>34367.736162030546</v>
          </cell>
          <cell r="P37">
            <v>35317.873813537299</v>
          </cell>
          <cell r="Q37">
            <v>36060.891920548711</v>
          </cell>
          <cell r="R37">
            <v>35993.898962554711</v>
          </cell>
          <cell r="S37">
            <v>36118.052765497312</v>
          </cell>
          <cell r="T37">
            <v>36411.385629945253</v>
          </cell>
          <cell r="U37">
            <v>36469.783464278444</v>
          </cell>
          <cell r="V37">
            <v>36884.302237173972</v>
          </cell>
          <cell r="W37">
            <v>41124.596519234139</v>
          </cell>
          <cell r="X37">
            <v>43109.295385216043</v>
          </cell>
          <cell r="Y37">
            <v>42564.424112017099</v>
          </cell>
          <cell r="Z37">
            <v>41201.597320868663</v>
          </cell>
          <cell r="AA37">
            <v>38707.269003754947</v>
          </cell>
          <cell r="AB37">
            <v>35878.258055654871</v>
          </cell>
        </row>
        <row r="38">
          <cell r="D38">
            <v>1</v>
          </cell>
          <cell r="E38">
            <v>33736.393060648326</v>
          </cell>
          <cell r="F38">
            <v>32027.667956416535</v>
          </cell>
          <cell r="G38">
            <v>30700.436373586719</v>
          </cell>
          <cell r="H38">
            <v>29828.077523485299</v>
          </cell>
          <cell r="I38">
            <v>29487.832290390794</v>
          </cell>
          <cell r="J38">
            <v>28561.442194984342</v>
          </cell>
          <cell r="K38">
            <v>27933.775960670187</v>
          </cell>
          <cell r="L38">
            <v>29465.281022379215</v>
          </cell>
          <cell r="M38">
            <v>31484.359007960589</v>
          </cell>
          <cell r="N38">
            <v>33172.819816995907</v>
          </cell>
          <cell r="O38">
            <v>34367.736162030546</v>
          </cell>
          <cell r="P38">
            <v>35317.873813537299</v>
          </cell>
          <cell r="Q38">
            <v>36060.891920548711</v>
          </cell>
          <cell r="R38">
            <v>35993.898962554711</v>
          </cell>
          <cell r="S38">
            <v>36118.052765497312</v>
          </cell>
          <cell r="T38">
            <v>36411.385629945253</v>
          </cell>
          <cell r="U38">
            <v>36469.783464278444</v>
          </cell>
          <cell r="V38">
            <v>36884.302237173972</v>
          </cell>
          <cell r="W38">
            <v>41124.596519234139</v>
          </cell>
          <cell r="X38">
            <v>43109.295385216043</v>
          </cell>
          <cell r="Y38">
            <v>42564.424112017099</v>
          </cell>
          <cell r="Z38">
            <v>41201.597320868663</v>
          </cell>
          <cell r="AA38">
            <v>38707.269003754947</v>
          </cell>
          <cell r="AB38">
            <v>35878.258055654871</v>
          </cell>
        </row>
        <row r="39">
          <cell r="D39">
            <v>20</v>
          </cell>
          <cell r="E39">
            <v>33344.827786387803</v>
          </cell>
          <cell r="F39">
            <v>31640.237518325826</v>
          </cell>
          <cell r="G39">
            <v>30368.009919813085</v>
          </cell>
          <cell r="H39">
            <v>29518.457440398342</v>
          </cell>
          <cell r="I39">
            <v>29487.129585309602</v>
          </cell>
          <cell r="J39">
            <v>30245.460708175026</v>
          </cell>
          <cell r="K39">
            <v>30638.550295722776</v>
          </cell>
          <cell r="L39">
            <v>34412.393660305745</v>
          </cell>
          <cell r="M39">
            <v>38112.529230672633</v>
          </cell>
          <cell r="N39">
            <v>40015.682116193493</v>
          </cell>
          <cell r="O39">
            <v>42227.534880176179</v>
          </cell>
          <cell r="P39">
            <v>43886.432886238334</v>
          </cell>
          <cell r="Q39">
            <v>42321.938829069048</v>
          </cell>
          <cell r="R39">
            <v>43745.885631361765</v>
          </cell>
          <cell r="S39">
            <v>46236.667716747492</v>
          </cell>
          <cell r="T39">
            <v>46510.504228751503</v>
          </cell>
          <cell r="U39">
            <v>45879.294196229021</v>
          </cell>
          <cell r="V39">
            <v>43929.709005750119</v>
          </cell>
          <cell r="W39">
            <v>45877.896934630255</v>
          </cell>
          <cell r="X39">
            <v>46947.258477563737</v>
          </cell>
          <cell r="Y39">
            <v>45675.302686957963</v>
          </cell>
          <cell r="Z39">
            <v>43404.51545858536</v>
          </cell>
          <cell r="AA39">
            <v>39854.8250035112</v>
          </cell>
          <cell r="AB39">
            <v>36419.923263291712</v>
          </cell>
        </row>
        <row r="40">
          <cell r="D40">
            <v>5</v>
          </cell>
          <cell r="E40">
            <v>33966.573589876258</v>
          </cell>
          <cell r="F40">
            <v>32046.620541779732</v>
          </cell>
          <cell r="G40">
            <v>30665.214911331135</v>
          </cell>
          <cell r="H40">
            <v>29828.092297297851</v>
          </cell>
          <cell r="I40">
            <v>29431.774141639609</v>
          </cell>
          <cell r="J40">
            <v>29133.105871279586</v>
          </cell>
          <cell r="K40">
            <v>29263.953612848771</v>
          </cell>
          <cell r="L40">
            <v>32468.770461954689</v>
          </cell>
          <cell r="M40">
            <v>36231.469318358562</v>
          </cell>
          <cell r="N40">
            <v>38404.53228495943</v>
          </cell>
          <cell r="O40">
            <v>40448.739768609434</v>
          </cell>
          <cell r="P40">
            <v>41470.441322164334</v>
          </cell>
          <cell r="Q40">
            <v>40807.704688682403</v>
          </cell>
          <cell r="R40">
            <v>40217.748166844198</v>
          </cell>
          <cell r="S40">
            <v>40214.853022734365</v>
          </cell>
          <cell r="T40">
            <v>39977.279324592717</v>
          </cell>
          <cell r="U40">
            <v>39594.612811153187</v>
          </cell>
          <cell r="V40">
            <v>39726.552303651493</v>
          </cell>
          <cell r="W40">
            <v>42217.997899253962</v>
          </cell>
          <cell r="X40">
            <v>43168.898012341924</v>
          </cell>
          <cell r="Y40">
            <v>41754.413076049932</v>
          </cell>
          <cell r="Z40">
            <v>40005.962753406289</v>
          </cell>
          <cell r="AA40">
            <v>37787.8611545893</v>
          </cell>
          <cell r="AB40">
            <v>35246.853327790246</v>
          </cell>
        </row>
        <row r="41">
          <cell r="D41">
            <v>4</v>
          </cell>
          <cell r="E41">
            <v>31942.762554433986</v>
          </cell>
          <cell r="F41">
            <v>30449.231431366741</v>
          </cell>
          <cell r="G41">
            <v>29146.778234346653</v>
          </cell>
          <cell r="H41">
            <v>28351.342683612012</v>
          </cell>
          <cell r="I41">
            <v>28029.712089934801</v>
          </cell>
          <cell r="J41">
            <v>27344.274125242275</v>
          </cell>
          <cell r="K41">
            <v>26740.706383824014</v>
          </cell>
          <cell r="L41">
            <v>28393.607326405534</v>
          </cell>
          <cell r="M41">
            <v>30425.845179872973</v>
          </cell>
          <cell r="N41">
            <v>32063.223829219391</v>
          </cell>
          <cell r="O41">
            <v>33459.776399830065</v>
          </cell>
          <cell r="P41">
            <v>34650.029486531603</v>
          </cell>
          <cell r="Q41">
            <v>35510.635389037103</v>
          </cell>
          <cell r="R41">
            <v>35729.004597281615</v>
          </cell>
          <cell r="S41">
            <v>35931.897709592326</v>
          </cell>
          <cell r="T41">
            <v>36406.997096915453</v>
          </cell>
          <cell r="U41">
            <v>36342.80821133974</v>
          </cell>
          <cell r="V41">
            <v>36514.917163143436</v>
          </cell>
          <cell r="W41">
            <v>40656.259291541726</v>
          </cell>
          <cell r="X41">
            <v>42979.433255293639</v>
          </cell>
          <cell r="Y41">
            <v>42329.567665512928</v>
          </cell>
          <cell r="Z41">
            <v>40590.232930952749</v>
          </cell>
          <cell r="AA41">
            <v>37465.899027338099</v>
          </cell>
          <cell r="AB41">
            <v>34309.518689895769</v>
          </cell>
        </row>
        <row r="42">
          <cell r="D42">
            <v>2</v>
          </cell>
          <cell r="E42">
            <v>31942.762554433986</v>
          </cell>
          <cell r="F42">
            <v>30449.231431366741</v>
          </cell>
          <cell r="G42">
            <v>29146.778234346653</v>
          </cell>
          <cell r="H42">
            <v>28351.342683612012</v>
          </cell>
          <cell r="I42">
            <v>28029.712089934801</v>
          </cell>
          <cell r="J42">
            <v>27344.274125242275</v>
          </cell>
          <cell r="K42">
            <v>26740.706383824014</v>
          </cell>
          <cell r="L42">
            <v>28393.607326405534</v>
          </cell>
          <cell r="M42">
            <v>30425.845179872973</v>
          </cell>
          <cell r="N42">
            <v>32063.223829219391</v>
          </cell>
          <cell r="O42">
            <v>33459.776399830065</v>
          </cell>
          <cell r="P42">
            <v>34650.029486531603</v>
          </cell>
          <cell r="Q42">
            <v>35510.635389037103</v>
          </cell>
          <cell r="R42">
            <v>35729.004597281615</v>
          </cell>
          <cell r="S42">
            <v>35931.897709592326</v>
          </cell>
          <cell r="T42">
            <v>36406.997096915453</v>
          </cell>
          <cell r="U42">
            <v>36342.80821133974</v>
          </cell>
          <cell r="V42">
            <v>36514.917163143436</v>
          </cell>
          <cell r="W42">
            <v>40656.259291541726</v>
          </cell>
          <cell r="X42">
            <v>42979.433255293639</v>
          </cell>
          <cell r="Y42">
            <v>42329.567665512928</v>
          </cell>
          <cell r="Z42">
            <v>40590.232930952749</v>
          </cell>
          <cell r="AA42">
            <v>37465.899027338099</v>
          </cell>
          <cell r="AB42">
            <v>34309.518689895769</v>
          </cell>
        </row>
        <row r="43">
          <cell r="D43">
            <v>21</v>
          </cell>
          <cell r="E43">
            <v>33382.792942310902</v>
          </cell>
          <cell r="F43">
            <v>31556.643459654148</v>
          </cell>
          <cell r="G43">
            <v>30263.602480054957</v>
          </cell>
          <cell r="H43">
            <v>29381.609908905077</v>
          </cell>
          <cell r="I43">
            <v>29351.395132981928</v>
          </cell>
          <cell r="J43">
            <v>30332.246174273943</v>
          </cell>
          <cell r="K43">
            <v>30689.069434965517</v>
          </cell>
          <cell r="L43">
            <v>34138.704010050053</v>
          </cell>
          <cell r="M43">
            <v>37857.119235655242</v>
          </cell>
          <cell r="N43">
            <v>39719.900515652414</v>
          </cell>
          <cell r="O43">
            <v>42035.963763143118</v>
          </cell>
          <cell r="P43">
            <v>43954.055176196089</v>
          </cell>
          <cell r="Q43">
            <v>42187.095251964391</v>
          </cell>
          <cell r="R43">
            <v>43566.687443171642</v>
          </cell>
          <cell r="S43">
            <v>46186.217020840144</v>
          </cell>
          <cell r="T43">
            <v>46482.851758013603</v>
          </cell>
          <cell r="U43">
            <v>45685.709746099034</v>
          </cell>
          <cell r="V43">
            <v>44012.27496773412</v>
          </cell>
          <cell r="W43">
            <v>46646.862804520017</v>
          </cell>
          <cell r="X43">
            <v>47374.324729030013</v>
          </cell>
          <cell r="Y43">
            <v>46043.046337015709</v>
          </cell>
          <cell r="Z43">
            <v>43688.370895234955</v>
          </cell>
          <cell r="AA43">
            <v>40061.389064604315</v>
          </cell>
          <cell r="AB43">
            <v>36635.360666580709</v>
          </cell>
        </row>
        <row r="44">
          <cell r="D44">
            <v>3</v>
          </cell>
          <cell r="E44">
            <v>33839.830715121971</v>
          </cell>
          <cell r="F44">
            <v>32099.766632497187</v>
          </cell>
          <cell r="G44">
            <v>30809.573379695168</v>
          </cell>
          <cell r="H44">
            <v>29830.334580325583</v>
          </cell>
          <cell r="I44">
            <v>29243.168160804031</v>
          </cell>
          <cell r="J44">
            <v>28991.045000946091</v>
          </cell>
          <cell r="K44">
            <v>29036.258151038553</v>
          </cell>
          <cell r="L44">
            <v>32142.696268185453</v>
          </cell>
          <cell r="M44">
            <v>35545.412016995811</v>
          </cell>
          <cell r="N44">
            <v>37709.814644058046</v>
          </cell>
          <cell r="O44">
            <v>39486.947695594303</v>
          </cell>
          <cell r="P44">
            <v>40088.386012156043</v>
          </cell>
          <cell r="Q44">
            <v>39399.98868237537</v>
          </cell>
          <cell r="R44">
            <v>38860.224018868023</v>
          </cell>
          <cell r="S44">
            <v>39289.016191434253</v>
          </cell>
          <cell r="T44">
            <v>39459.863425368581</v>
          </cell>
          <cell r="U44">
            <v>39200.004544331459</v>
          </cell>
          <cell r="V44">
            <v>39502.805570484335</v>
          </cell>
          <cell r="W44">
            <v>43604.220434553434</v>
          </cell>
          <cell r="X44">
            <v>43950.781341657901</v>
          </cell>
          <cell r="Y44">
            <v>42348.607862369659</v>
          </cell>
          <cell r="Z44">
            <v>40427.285710758057</v>
          </cell>
          <cell r="AA44">
            <v>37946.931385927164</v>
          </cell>
          <cell r="AB44">
            <v>35240.637220741039</v>
          </cell>
        </row>
        <row r="45">
          <cell r="D45">
            <v>5</v>
          </cell>
          <cell r="E45">
            <v>33023.390420876334</v>
          </cell>
          <cell r="F45">
            <v>31416.558267626184</v>
          </cell>
          <cell r="G45">
            <v>30023.903285678156</v>
          </cell>
          <cell r="H45">
            <v>29216.675368943092</v>
          </cell>
          <cell r="I45">
            <v>28795.833209487759</v>
          </cell>
          <cell r="J45">
            <v>28357.447393816728</v>
          </cell>
          <cell r="K45">
            <v>27595.170745029165</v>
          </cell>
          <cell r="L45">
            <v>29158.135327473745</v>
          </cell>
          <cell r="M45">
            <v>31034.795015746298</v>
          </cell>
          <cell r="N45">
            <v>32629.931398185989</v>
          </cell>
          <cell r="O45">
            <v>33982.954066364386</v>
          </cell>
          <cell r="P45">
            <v>35110.780933178852</v>
          </cell>
          <cell r="Q45">
            <v>35783.258928708354</v>
          </cell>
          <cell r="R45">
            <v>35924.120521072633</v>
          </cell>
          <cell r="S45">
            <v>36140.813447019646</v>
          </cell>
          <cell r="T45">
            <v>36401.750042429019</v>
          </cell>
          <cell r="U45">
            <v>36397.271939333419</v>
          </cell>
          <cell r="V45">
            <v>37007.480996226703</v>
          </cell>
          <cell r="W45">
            <v>41645.928029729868</v>
          </cell>
          <cell r="X45">
            <v>43443.912937163499</v>
          </cell>
          <cell r="Y45">
            <v>43088.063780151329</v>
          </cell>
          <cell r="Z45">
            <v>41548.400997782672</v>
          </cell>
          <cell r="AA45">
            <v>38507.514728154616</v>
          </cell>
          <cell r="AB45">
            <v>35292.079521832944</v>
          </cell>
        </row>
        <row r="46">
          <cell r="D46">
            <v>2</v>
          </cell>
          <cell r="E46">
            <v>33023.390420876334</v>
          </cell>
          <cell r="F46">
            <v>31416.558267626184</v>
          </cell>
          <cell r="G46">
            <v>30023.903285678156</v>
          </cell>
          <cell r="H46">
            <v>29216.675368943092</v>
          </cell>
          <cell r="I46">
            <v>28795.833209487759</v>
          </cell>
          <cell r="J46">
            <v>28357.447393816728</v>
          </cell>
          <cell r="K46">
            <v>27595.170745029165</v>
          </cell>
          <cell r="L46">
            <v>29158.135327473745</v>
          </cell>
          <cell r="M46">
            <v>31034.795015746298</v>
          </cell>
          <cell r="N46">
            <v>32629.931398185989</v>
          </cell>
          <cell r="O46">
            <v>33982.954066364386</v>
          </cell>
          <cell r="P46">
            <v>35110.780933178852</v>
          </cell>
          <cell r="Q46">
            <v>35783.258928708354</v>
          </cell>
          <cell r="R46">
            <v>35924.120521072633</v>
          </cell>
          <cell r="S46">
            <v>36140.813447019646</v>
          </cell>
          <cell r="T46">
            <v>36401.750042429019</v>
          </cell>
          <cell r="U46">
            <v>36397.271939333419</v>
          </cell>
          <cell r="V46">
            <v>37007.480996226703</v>
          </cell>
          <cell r="W46">
            <v>41645.928029729868</v>
          </cell>
          <cell r="X46">
            <v>43443.912937163499</v>
          </cell>
          <cell r="Y46">
            <v>43088.063780151329</v>
          </cell>
          <cell r="Z46">
            <v>41548.400997782672</v>
          </cell>
          <cell r="AA46">
            <v>38507.514728154616</v>
          </cell>
          <cell r="AB46">
            <v>35292.079521832944</v>
          </cell>
        </row>
        <row r="47">
          <cell r="D47">
            <v>22</v>
          </cell>
          <cell r="E47">
            <v>32877.473808196381</v>
          </cell>
          <cell r="F47">
            <v>31152.934278254077</v>
          </cell>
          <cell r="G47">
            <v>29882.515831496243</v>
          </cell>
          <cell r="H47">
            <v>28952.039119929206</v>
          </cell>
          <cell r="I47">
            <v>28919.16705158032</v>
          </cell>
          <cell r="J47">
            <v>29855.067114365313</v>
          </cell>
          <cell r="K47">
            <v>30277.032045904547</v>
          </cell>
          <cell r="L47">
            <v>33743.050425083406</v>
          </cell>
          <cell r="M47">
            <v>37475.94422717725</v>
          </cell>
          <cell r="N47">
            <v>39339.794038914151</v>
          </cell>
          <cell r="O47">
            <v>41343.297020762875</v>
          </cell>
          <cell r="P47">
            <v>43055.428988948202</v>
          </cell>
          <cell r="Q47">
            <v>41499.246542039153</v>
          </cell>
          <cell r="R47">
            <v>42711.841326062975</v>
          </cell>
          <cell r="S47">
            <v>45134.434585320298</v>
          </cell>
          <cell r="T47">
            <v>45443.331508867886</v>
          </cell>
          <cell r="U47">
            <v>44741.202566012144</v>
          </cell>
          <cell r="V47">
            <v>43603.582104740912</v>
          </cell>
          <cell r="W47">
            <v>46520.537822492748</v>
          </cell>
          <cell r="X47">
            <v>46081.185613379705</v>
          </cell>
          <cell r="Y47">
            <v>44609.886427234924</v>
          </cell>
          <cell r="Z47">
            <v>42203.838564972895</v>
          </cell>
          <cell r="AA47">
            <v>38593.860588184303</v>
          </cell>
          <cell r="AB47">
            <v>35272.905881779829</v>
          </cell>
        </row>
        <row r="48">
          <cell r="D48">
            <v>4</v>
          </cell>
          <cell r="E48">
            <v>32021.940048493143</v>
          </cell>
          <cell r="F48">
            <v>30403.344843133389</v>
          </cell>
          <cell r="G48">
            <v>29187.446509392539</v>
          </cell>
          <cell r="H48">
            <v>28291.274660221326</v>
          </cell>
          <cell r="I48">
            <v>28053.005164982878</v>
          </cell>
          <cell r="J48">
            <v>27891.478440043738</v>
          </cell>
          <cell r="K48">
            <v>28211.267996610786</v>
          </cell>
          <cell r="L48">
            <v>31427.508597592176</v>
          </cell>
          <cell r="M48">
            <v>35024.839122889665</v>
          </cell>
          <cell r="N48">
            <v>36796.801319910468</v>
          </cell>
          <cell r="O48">
            <v>38951.869763845352</v>
          </cell>
          <cell r="P48">
            <v>39911.230838489231</v>
          </cell>
          <cell r="Q48">
            <v>39466.834790862325</v>
          </cell>
          <cell r="R48">
            <v>38984.087666608488</v>
          </cell>
          <cell r="S48">
            <v>39253.481706581602</v>
          </cell>
          <cell r="T48">
            <v>39169.681146749608</v>
          </cell>
          <cell r="U48">
            <v>38704.017948078224</v>
          </cell>
          <cell r="V48">
            <v>39653.508420236656</v>
          </cell>
          <cell r="W48">
            <v>44061.214385908068</v>
          </cell>
          <cell r="X48">
            <v>43735.03375374958</v>
          </cell>
          <cell r="Y48">
            <v>42191.117774648046</v>
          </cell>
          <cell r="Z48">
            <v>40249.741220592572</v>
          </cell>
          <cell r="AA48">
            <v>38025.428969653105</v>
          </cell>
          <cell r="AB48">
            <v>35367.638731037085</v>
          </cell>
        </row>
        <row r="49">
          <cell r="D49">
            <v>4</v>
          </cell>
          <cell r="E49">
            <v>32775.640841221597</v>
          </cell>
          <cell r="F49">
            <v>31105.360610629647</v>
          </cell>
          <cell r="G49">
            <v>29671.267838921711</v>
          </cell>
          <cell r="H49">
            <v>28721.965261875994</v>
          </cell>
          <cell r="I49">
            <v>28320.13488722681</v>
          </cell>
          <cell r="J49">
            <v>27551.612175105915</v>
          </cell>
          <cell r="K49">
            <v>26831.485167975086</v>
          </cell>
          <cell r="L49">
            <v>28518.560051533048</v>
          </cell>
          <cell r="M49">
            <v>30352.311011508013</v>
          </cell>
          <cell r="N49">
            <v>32131.037102366747</v>
          </cell>
          <cell r="O49">
            <v>33492.29327475663</v>
          </cell>
          <cell r="P49">
            <v>34386.482813977695</v>
          </cell>
          <cell r="Q49">
            <v>35152.8227726802</v>
          </cell>
          <cell r="R49">
            <v>35260.701645410023</v>
          </cell>
          <cell r="S49">
            <v>35281.82349970653</v>
          </cell>
          <cell r="T49">
            <v>35720.760352248319</v>
          </cell>
          <cell r="U49">
            <v>35682.906256543429</v>
          </cell>
          <cell r="V49">
            <v>36843.561115606324</v>
          </cell>
          <cell r="W49">
            <v>41662.056321318851</v>
          </cell>
          <cell r="X49">
            <v>42355.106949245433</v>
          </cell>
          <cell r="Y49">
            <v>41808.004262896582</v>
          </cell>
          <cell r="Z49">
            <v>40229.291033535555</v>
          </cell>
          <cell r="AA49">
            <v>37328.744602147737</v>
          </cell>
          <cell r="AB49">
            <v>34239.937504633868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20</v>
          </cell>
          <cell r="E51">
            <v>31983.302328909722</v>
          </cell>
          <cell r="F51">
            <v>30299.715745928315</v>
          </cell>
          <cell r="G51">
            <v>29096.743417924925</v>
          </cell>
          <cell r="H51">
            <v>28222.047726154666</v>
          </cell>
          <cell r="I51">
            <v>28313.366954853809</v>
          </cell>
          <cell r="J51">
            <v>29158.989106772729</v>
          </cell>
          <cell r="K51">
            <v>29924.582070498353</v>
          </cell>
          <cell r="L51">
            <v>33331.319132769342</v>
          </cell>
          <cell r="M51">
            <v>36954.0532928713</v>
          </cell>
          <cell r="N51">
            <v>38851.425631075159</v>
          </cell>
          <cell r="O51">
            <v>40827.375910593488</v>
          </cell>
          <cell r="P51">
            <v>42391.955620723922</v>
          </cell>
          <cell r="Q51">
            <v>40562.989522895143</v>
          </cell>
          <cell r="R51">
            <v>41647.337096686046</v>
          </cell>
          <cell r="S51">
            <v>43985.142824830364</v>
          </cell>
          <cell r="T51">
            <v>44513.542130113681</v>
          </cell>
          <cell r="U51">
            <v>44018.884192952595</v>
          </cell>
          <cell r="V51">
            <v>44034.426079851633</v>
          </cell>
          <cell r="W51">
            <v>46766.824908588322</v>
          </cell>
          <cell r="X51">
            <v>45724.60795501087</v>
          </cell>
          <cell r="Y51">
            <v>44026.436974310462</v>
          </cell>
          <cell r="Z51">
            <v>41616.917553979998</v>
          </cell>
          <cell r="AA51">
            <v>38065.689704176373</v>
          </cell>
          <cell r="AB51">
            <v>34636.083931593785</v>
          </cell>
        </row>
        <row r="52">
          <cell r="D52">
            <v>5</v>
          </cell>
          <cell r="E52">
            <v>32566.733661316241</v>
          </cell>
          <cell r="F52">
            <v>30738.028998657323</v>
          </cell>
          <cell r="G52">
            <v>29288.341321021871</v>
          </cell>
          <cell r="H52">
            <v>28385.876189541672</v>
          </cell>
          <cell r="I52">
            <v>28367.913659635473</v>
          </cell>
          <cell r="J52">
            <v>28247.443815672668</v>
          </cell>
          <cell r="K52">
            <v>28684.883658721235</v>
          </cell>
          <cell r="L52">
            <v>31526.718488245584</v>
          </cell>
          <cell r="M52">
            <v>35066.244335402684</v>
          </cell>
          <cell r="N52">
            <v>37085.354896865741</v>
          </cell>
          <cell r="O52">
            <v>39166.435734284772</v>
          </cell>
          <cell r="P52">
            <v>40201.82084025057</v>
          </cell>
          <cell r="Q52">
            <v>39447.16244437643</v>
          </cell>
          <cell r="R52">
            <v>38960.741100656967</v>
          </cell>
          <cell r="S52">
            <v>39369.796240609256</v>
          </cell>
          <cell r="T52">
            <v>39783.03927659287</v>
          </cell>
          <cell r="U52">
            <v>39479.839221688773</v>
          </cell>
          <cell r="V52">
            <v>40922.191884174834</v>
          </cell>
          <cell r="W52">
            <v>44789.015439787516</v>
          </cell>
          <cell r="X52">
            <v>43961.777676995313</v>
          </cell>
          <cell r="Y52">
            <v>42265.279150520728</v>
          </cell>
          <cell r="Z52">
            <v>40131.676094061651</v>
          </cell>
          <cell r="AA52">
            <v>37575.407068059467</v>
          </cell>
          <cell r="AB52">
            <v>34875.933905353049</v>
          </cell>
        </row>
        <row r="53">
          <cell r="D53">
            <v>5</v>
          </cell>
          <cell r="E53">
            <v>32398.165318917272</v>
          </cell>
          <cell r="F53">
            <v>30698.307967174238</v>
          </cell>
          <cell r="G53">
            <v>29348.399207084818</v>
          </cell>
          <cell r="H53">
            <v>28513.026166495725</v>
          </cell>
          <cell r="I53">
            <v>28137.792088997609</v>
          </cell>
          <cell r="J53">
            <v>27534.492871331651</v>
          </cell>
          <cell r="K53">
            <v>26798.760067360989</v>
          </cell>
          <cell r="L53">
            <v>28388.237785048055</v>
          </cell>
          <cell r="M53">
            <v>30452.581777377611</v>
          </cell>
          <cell r="N53">
            <v>32102.307983658571</v>
          </cell>
          <cell r="O53">
            <v>33684.246349563764</v>
          </cell>
          <cell r="P53">
            <v>34949.221080966861</v>
          </cell>
          <cell r="Q53">
            <v>35580.051477565932</v>
          </cell>
          <cell r="R53">
            <v>35647.688912781065</v>
          </cell>
          <cell r="S53">
            <v>35869.007594296629</v>
          </cell>
          <cell r="T53">
            <v>35829.540476202747</v>
          </cell>
          <cell r="U53">
            <v>36096.944437857521</v>
          </cell>
          <cell r="V53">
            <v>37865.634761604662</v>
          </cell>
          <cell r="W53">
            <v>42460.517778171758</v>
          </cell>
          <cell r="X53">
            <v>42741.300429603762</v>
          </cell>
          <cell r="Y53">
            <v>42077.02414600685</v>
          </cell>
          <cell r="Z53">
            <v>40408.071872479246</v>
          </cell>
          <cell r="AA53">
            <v>37378.630556015552</v>
          </cell>
          <cell r="AB53">
            <v>34315.546050461358</v>
          </cell>
        </row>
        <row r="54">
          <cell r="D54">
            <v>1</v>
          </cell>
          <cell r="E54">
            <v>32398.165318917272</v>
          </cell>
          <cell r="F54">
            <v>30698.307967174238</v>
          </cell>
          <cell r="G54">
            <v>29348.399207084818</v>
          </cell>
          <cell r="H54">
            <v>28513.026166495725</v>
          </cell>
          <cell r="I54">
            <v>28137.792088997609</v>
          </cell>
          <cell r="J54">
            <v>27534.492871331651</v>
          </cell>
          <cell r="K54">
            <v>26798.760067360989</v>
          </cell>
          <cell r="L54">
            <v>28388.237785048055</v>
          </cell>
          <cell r="M54">
            <v>30452.581777377611</v>
          </cell>
          <cell r="N54">
            <v>32102.307983658571</v>
          </cell>
          <cell r="O54">
            <v>33684.246349563764</v>
          </cell>
          <cell r="P54">
            <v>34949.221080966861</v>
          </cell>
          <cell r="Q54">
            <v>35580.051477565932</v>
          </cell>
          <cell r="R54">
            <v>35647.688912781065</v>
          </cell>
          <cell r="S54">
            <v>35869.007594296629</v>
          </cell>
          <cell r="T54">
            <v>35829.540476202747</v>
          </cell>
          <cell r="U54">
            <v>36096.944437857521</v>
          </cell>
          <cell r="V54">
            <v>37865.634761604662</v>
          </cell>
          <cell r="W54">
            <v>42460.517778171758</v>
          </cell>
          <cell r="X54">
            <v>42741.300429603762</v>
          </cell>
          <cell r="Y54">
            <v>42077.02414600685</v>
          </cell>
          <cell r="Z54">
            <v>40408.071872479246</v>
          </cell>
          <cell r="AA54">
            <v>37378.630556015552</v>
          </cell>
          <cell r="AB54">
            <v>34315.546050461358</v>
          </cell>
        </row>
        <row r="55">
          <cell r="D55">
            <v>20</v>
          </cell>
          <cell r="E55">
            <v>31323.098756880292</v>
          </cell>
          <cell r="F55">
            <v>29713.588636573702</v>
          </cell>
          <cell r="G55">
            <v>28541.559822204643</v>
          </cell>
          <cell r="H55">
            <v>27747.673517485611</v>
          </cell>
          <cell r="I55">
            <v>27825.95213108592</v>
          </cell>
          <cell r="J55">
            <v>28652.196602075168</v>
          </cell>
          <cell r="K55">
            <v>29406.663901645923</v>
          </cell>
          <cell r="L55">
            <v>32904.525998513083</v>
          </cell>
          <cell r="M55">
            <v>36504.531603070645</v>
          </cell>
          <cell r="N55">
            <v>38290.358690923349</v>
          </cell>
          <cell r="O55">
            <v>40154.111982398776</v>
          </cell>
          <cell r="P55">
            <v>41467.700966360637</v>
          </cell>
          <cell r="Q55">
            <v>39767.318706043094</v>
          </cell>
          <cell r="R55">
            <v>40662.468594124031</v>
          </cell>
          <cell r="S55">
            <v>42690.54036917138</v>
          </cell>
          <cell r="T55">
            <v>43212.393296034905</v>
          </cell>
          <cell r="U55">
            <v>42790.442952726626</v>
          </cell>
          <cell r="V55">
            <v>43349.45954609078</v>
          </cell>
          <cell r="W55">
            <v>45471.638418585935</v>
          </cell>
          <cell r="X55">
            <v>44418.480834109876</v>
          </cell>
          <cell r="Y55">
            <v>42843.911634076096</v>
          </cell>
          <cell r="Z55">
            <v>40562.451617565785</v>
          </cell>
          <cell r="AA55">
            <v>37225.04562499973</v>
          </cell>
          <cell r="AB55">
            <v>33930.610643285981</v>
          </cell>
        </row>
        <row r="56">
          <cell r="D56">
            <v>4</v>
          </cell>
          <cell r="E56">
            <v>30575.883888490967</v>
          </cell>
          <cell r="F56">
            <v>29078.869054463816</v>
          </cell>
          <cell r="G56">
            <v>28028.292406199631</v>
          </cell>
          <cell r="H56">
            <v>27341.250842060883</v>
          </cell>
          <cell r="I56">
            <v>27324.876665955111</v>
          </cell>
          <cell r="J56">
            <v>27257.436175174847</v>
          </cell>
          <cell r="K56">
            <v>27664.563556942845</v>
          </cell>
          <cell r="L56">
            <v>30852.022718322405</v>
          </cell>
          <cell r="M56">
            <v>34436.719315339964</v>
          </cell>
          <cell r="N56">
            <v>36420.518939009227</v>
          </cell>
          <cell r="O56">
            <v>38486.49824040875</v>
          </cell>
          <cell r="P56">
            <v>39356.957673375335</v>
          </cell>
          <cell r="Q56">
            <v>38648.869074818198</v>
          </cell>
          <cell r="R56">
            <v>37847.528322720638</v>
          </cell>
          <cell r="S56">
            <v>37593.677339903275</v>
          </cell>
          <cell r="T56">
            <v>37895.579007771827</v>
          </cell>
          <cell r="U56">
            <v>37707.733682380866</v>
          </cell>
          <cell r="V56">
            <v>39805.832494008944</v>
          </cell>
          <cell r="W56">
            <v>43088.480437735103</v>
          </cell>
          <cell r="X56">
            <v>42360.314397296788</v>
          </cell>
          <cell r="Y56">
            <v>40837.406099926302</v>
          </cell>
          <cell r="Z56">
            <v>38948.027355629296</v>
          </cell>
          <cell r="AA56">
            <v>36560.804382847928</v>
          </cell>
          <cell r="AB56">
            <v>33874.967358760259</v>
          </cell>
        </row>
        <row r="57">
          <cell r="D57">
            <v>4</v>
          </cell>
          <cell r="E57">
            <v>31690.305636279023</v>
          </cell>
          <cell r="F57">
            <v>30186.857697640564</v>
          </cell>
          <cell r="G57">
            <v>28885.002950525981</v>
          </cell>
          <cell r="H57">
            <v>28007.575130382087</v>
          </cell>
          <cell r="I57">
            <v>27651.922810577526</v>
          </cell>
          <cell r="J57">
            <v>27186.007394712251</v>
          </cell>
          <cell r="K57">
            <v>26515.068019740298</v>
          </cell>
          <cell r="L57">
            <v>27974.439759161505</v>
          </cell>
          <cell r="M57">
            <v>29975.161878470484</v>
          </cell>
          <cell r="N57">
            <v>31619.382741297861</v>
          </cell>
          <cell r="O57">
            <v>33201.402185069106</v>
          </cell>
          <cell r="P57">
            <v>34037.097137076235</v>
          </cell>
          <cell r="Q57">
            <v>34657.173931951118</v>
          </cell>
          <cell r="R57">
            <v>34624.501245278982</v>
          </cell>
          <cell r="S57">
            <v>34524.994925902858</v>
          </cell>
          <cell r="T57">
            <v>34682.384360425145</v>
          </cell>
          <cell r="U57">
            <v>34722.697732817389</v>
          </cell>
          <cell r="V57">
            <v>37071.307507201978</v>
          </cell>
          <cell r="W57">
            <v>40604.814066163031</v>
          </cell>
          <cell r="X57">
            <v>40664.224040319095</v>
          </cell>
          <cell r="Y57">
            <v>39767.532438469563</v>
          </cell>
          <cell r="Z57">
            <v>38204.368029115023</v>
          </cell>
          <cell r="AA57">
            <v>35755.795130222759</v>
          </cell>
          <cell r="AB57">
            <v>33165.86366609158</v>
          </cell>
        </row>
        <row r="58">
          <cell r="D58">
            <v>2</v>
          </cell>
          <cell r="E58">
            <v>31690.305636279023</v>
          </cell>
          <cell r="F58">
            <v>30186.857697640564</v>
          </cell>
          <cell r="G58">
            <v>28885.002950525981</v>
          </cell>
          <cell r="H58">
            <v>28007.575130382087</v>
          </cell>
          <cell r="I58">
            <v>27651.922810577526</v>
          </cell>
          <cell r="J58">
            <v>27186.007394712251</v>
          </cell>
          <cell r="K58">
            <v>26515.068019740298</v>
          </cell>
          <cell r="L58">
            <v>27974.439759161505</v>
          </cell>
          <cell r="M58">
            <v>29975.161878470484</v>
          </cell>
          <cell r="N58">
            <v>31619.382741297861</v>
          </cell>
          <cell r="O58">
            <v>33201.402185069106</v>
          </cell>
          <cell r="P58">
            <v>34037.097137076235</v>
          </cell>
          <cell r="Q58">
            <v>34657.173931951118</v>
          </cell>
          <cell r="R58">
            <v>34624.501245278982</v>
          </cell>
          <cell r="S58">
            <v>34524.994925902858</v>
          </cell>
          <cell r="T58">
            <v>34682.384360425145</v>
          </cell>
          <cell r="U58">
            <v>34722.697732817389</v>
          </cell>
          <cell r="V58">
            <v>37071.307507201978</v>
          </cell>
          <cell r="W58">
            <v>40604.814066163031</v>
          </cell>
          <cell r="X58">
            <v>40664.224040319095</v>
          </cell>
          <cell r="Y58">
            <v>39767.532438469563</v>
          </cell>
          <cell r="Z58">
            <v>38204.368029115023</v>
          </cell>
          <cell r="AA58">
            <v>35755.795130222759</v>
          </cell>
          <cell r="AB58">
            <v>33165.86366609158</v>
          </cell>
        </row>
        <row r="59">
          <cell r="D59">
            <v>22</v>
          </cell>
          <cell r="E59">
            <v>33807.394558272623</v>
          </cell>
          <cell r="F59">
            <v>31948.019515426273</v>
          </cell>
          <cell r="G59">
            <v>30620.08535438024</v>
          </cell>
          <cell r="H59">
            <v>29797.221597667787</v>
          </cell>
          <cell r="I59">
            <v>29691.392834039762</v>
          </cell>
          <cell r="J59">
            <v>30221.784664675768</v>
          </cell>
          <cell r="K59">
            <v>30433.155415419671</v>
          </cell>
          <cell r="L59">
            <v>34101.265888920083</v>
          </cell>
          <cell r="M59">
            <v>37826.61429710556</v>
          </cell>
          <cell r="N59">
            <v>39959.733171983367</v>
          </cell>
          <cell r="O59">
            <v>41837.195420077289</v>
          </cell>
          <cell r="P59">
            <v>43195.703651387885</v>
          </cell>
          <cell r="Q59">
            <v>42006.349881479189</v>
          </cell>
          <cell r="R59">
            <v>42544.643134117498</v>
          </cell>
          <cell r="S59">
            <v>44343.496861841566</v>
          </cell>
          <cell r="T59">
            <v>44897.023942037849</v>
          </cell>
          <cell r="U59">
            <v>44526.722879622059</v>
          </cell>
          <cell r="V59">
            <v>44571.930588229006</v>
          </cell>
          <cell r="W59">
            <v>48006.705757677293</v>
          </cell>
          <cell r="X59">
            <v>47083.006907526636</v>
          </cell>
          <cell r="Y59">
            <v>45359.684993248724</v>
          </cell>
          <cell r="Z59">
            <v>42902.903212285455</v>
          </cell>
          <cell r="AA59">
            <v>39750.102263554712</v>
          </cell>
          <cell r="AB59">
            <v>36682.24873025655</v>
          </cell>
        </row>
        <row r="60">
          <cell r="D60">
            <v>3</v>
          </cell>
          <cell r="E60">
            <v>34354.8732301907</v>
          </cell>
          <cell r="F60">
            <v>32409.911082067025</v>
          </cell>
          <cell r="G60">
            <v>31128.657834595142</v>
          </cell>
          <cell r="H60">
            <v>30189.258958730596</v>
          </cell>
          <cell r="I60">
            <v>29929.592062162548</v>
          </cell>
          <cell r="J60">
            <v>29981.795594671836</v>
          </cell>
          <cell r="K60">
            <v>29683.986061015727</v>
          </cell>
          <cell r="L60">
            <v>32409.528988819238</v>
          </cell>
          <cell r="M60">
            <v>36354.556371144557</v>
          </cell>
          <cell r="N60">
            <v>38668.092538998404</v>
          </cell>
          <cell r="O60">
            <v>40616.596279834637</v>
          </cell>
          <cell r="P60">
            <v>41805.841269093486</v>
          </cell>
          <cell r="Q60">
            <v>41128.742092603206</v>
          </cell>
          <cell r="R60">
            <v>40831.333365577448</v>
          </cell>
          <cell r="S60">
            <v>40660.170901518359</v>
          </cell>
          <cell r="T60">
            <v>41096.726897455825</v>
          </cell>
          <cell r="U60">
            <v>40969.06079911696</v>
          </cell>
          <cell r="V60">
            <v>41874.945367768465</v>
          </cell>
          <cell r="W60">
            <v>46513.538342274085</v>
          </cell>
          <cell r="X60">
            <v>45853.751426366056</v>
          </cell>
          <cell r="Y60">
            <v>44127.388125661397</v>
          </cell>
          <cell r="Z60">
            <v>42243.930061185267</v>
          </cell>
          <cell r="AA60">
            <v>39632.544210963599</v>
          </cell>
          <cell r="AB60">
            <v>36942.252872762445</v>
          </cell>
        </row>
        <row r="61">
          <cell r="D61">
            <v>4</v>
          </cell>
          <cell r="E61">
            <v>34571.751126899733</v>
          </cell>
          <cell r="F61">
            <v>32872.541624793586</v>
          </cell>
          <cell r="G61">
            <v>31503.988746407063</v>
          </cell>
          <cell r="H61">
            <v>30540.210756214448</v>
          </cell>
          <cell r="I61">
            <v>30105.425386511597</v>
          </cell>
          <cell r="J61">
            <v>29801.624167999285</v>
          </cell>
          <cell r="K61">
            <v>28473.79807471234</v>
          </cell>
          <cell r="L61">
            <v>29910.101904092229</v>
          </cell>
          <cell r="M61">
            <v>32193.21113261408</v>
          </cell>
          <cell r="N61">
            <v>34153.236873221518</v>
          </cell>
          <cell r="O61">
            <v>35442.620575055931</v>
          </cell>
          <cell r="P61">
            <v>36498.463984339258</v>
          </cell>
          <cell r="Q61">
            <v>37126.352408558494</v>
          </cell>
          <cell r="R61">
            <v>37475.993929018994</v>
          </cell>
          <cell r="S61">
            <v>36416.767480409988</v>
          </cell>
          <cell r="T61">
            <v>37412.754944685403</v>
          </cell>
          <cell r="U61">
            <v>37635.146484386758</v>
          </cell>
          <cell r="V61">
            <v>38891.699087593668</v>
          </cell>
          <cell r="W61">
            <v>43609.142770904356</v>
          </cell>
          <cell r="X61">
            <v>43262.183728774711</v>
          </cell>
          <cell r="Y61">
            <v>42133.154321712485</v>
          </cell>
          <cell r="Z61">
            <v>40586.33980240571</v>
          </cell>
          <cell r="AA61">
            <v>38246.343932325108</v>
          </cell>
          <cell r="AB61">
            <v>35873.322004194946</v>
          </cell>
        </row>
        <row r="62">
          <cell r="D62">
            <v>2</v>
          </cell>
          <cell r="E62">
            <v>34571.751126899733</v>
          </cell>
          <cell r="F62">
            <v>32872.541624793586</v>
          </cell>
          <cell r="G62">
            <v>31503.988746407063</v>
          </cell>
          <cell r="H62">
            <v>30540.210756214448</v>
          </cell>
          <cell r="I62">
            <v>30105.425386511597</v>
          </cell>
          <cell r="J62">
            <v>29801.624167999285</v>
          </cell>
          <cell r="K62">
            <v>28473.79807471234</v>
          </cell>
          <cell r="L62">
            <v>29910.101904092229</v>
          </cell>
          <cell r="M62">
            <v>32193.21113261408</v>
          </cell>
          <cell r="N62">
            <v>34153.236873221518</v>
          </cell>
          <cell r="O62">
            <v>35442.620575055931</v>
          </cell>
          <cell r="P62">
            <v>36498.463984339258</v>
          </cell>
          <cell r="Q62">
            <v>37126.352408558494</v>
          </cell>
          <cell r="R62">
            <v>37475.993929018994</v>
          </cell>
          <cell r="S62">
            <v>36416.767480409988</v>
          </cell>
          <cell r="T62">
            <v>37412.754944685403</v>
          </cell>
          <cell r="U62">
            <v>37635.146484386758</v>
          </cell>
          <cell r="V62">
            <v>38891.699087593668</v>
          </cell>
          <cell r="W62">
            <v>43609.142770904356</v>
          </cell>
          <cell r="X62">
            <v>43262.183728774711</v>
          </cell>
          <cell r="Y62">
            <v>42133.154321712485</v>
          </cell>
          <cell r="Z62">
            <v>40586.33980240571</v>
          </cell>
          <cell r="AA62">
            <v>38246.343932325108</v>
          </cell>
          <cell r="AB62">
            <v>35873.322004194946</v>
          </cell>
        </row>
      </sheetData>
      <sheetData sheetId="26">
        <row r="15">
          <cell r="D15">
            <v>20</v>
          </cell>
          <cell r="E15">
            <v>33226.251538096185</v>
          </cell>
          <cell r="F15">
            <v>31529.442472285013</v>
          </cell>
          <cell r="G15">
            <v>30253.016729568779</v>
          </cell>
          <cell r="H15">
            <v>29326.539514829594</v>
          </cell>
          <cell r="I15">
            <v>29164.887069151537</v>
          </cell>
          <cell r="J15">
            <v>30140.861631647291</v>
          </cell>
          <cell r="K15">
            <v>29868.776984372347</v>
          </cell>
          <cell r="L15">
            <v>33320.212493686988</v>
          </cell>
          <cell r="M15">
            <v>36988.98217472581</v>
          </cell>
          <cell r="N15">
            <v>38895.531275568705</v>
          </cell>
          <cell r="O15">
            <v>40959.530013731739</v>
          </cell>
          <cell r="P15">
            <v>42649.066371592868</v>
          </cell>
          <cell r="Q15">
            <v>41481.293237690195</v>
          </cell>
          <cell r="R15">
            <v>42623.378857929492</v>
          </cell>
          <cell r="S15">
            <v>44600.571491246192</v>
          </cell>
          <cell r="T15">
            <v>44837.677038282854</v>
          </cell>
          <cell r="U15">
            <v>44096.148965286884</v>
          </cell>
          <cell r="V15">
            <v>42471.200460658089</v>
          </cell>
          <cell r="W15">
            <v>45433.437112825297</v>
          </cell>
          <cell r="X15">
            <v>45595.439750016172</v>
          </cell>
          <cell r="Y15">
            <v>44397.75441908052</v>
          </cell>
          <cell r="Z15">
            <v>42450.953319786437</v>
          </cell>
          <cell r="AA15">
            <v>39441.383606728123</v>
          </cell>
          <cell r="AB15">
            <v>36228.346757382838</v>
          </cell>
        </row>
        <row r="16">
          <cell r="D16">
            <v>4</v>
          </cell>
          <cell r="E16">
            <v>32985.414978233159</v>
          </cell>
          <cell r="F16">
            <v>31401.175407885294</v>
          </cell>
          <cell r="G16">
            <v>30156.848406732428</v>
          </cell>
          <cell r="H16">
            <v>29206.525914641403</v>
          </cell>
          <cell r="I16">
            <v>28918.88803843029</v>
          </cell>
          <cell r="J16">
            <v>29150.223652550929</v>
          </cell>
          <cell r="K16">
            <v>28398.970685989389</v>
          </cell>
          <cell r="L16">
            <v>31204.756330194188</v>
          </cell>
          <cell r="M16">
            <v>34674.209626516094</v>
          </cell>
          <cell r="N16">
            <v>36972.0444425022</v>
          </cell>
          <cell r="O16">
            <v>38779.862479987467</v>
          </cell>
          <cell r="P16">
            <v>39758.14056730544</v>
          </cell>
          <cell r="Q16">
            <v>39410.512034184845</v>
          </cell>
          <cell r="R16">
            <v>38576.061590334197</v>
          </cell>
          <cell r="S16">
            <v>38758.102758591878</v>
          </cell>
          <cell r="T16">
            <v>38892.547696175607</v>
          </cell>
          <cell r="U16">
            <v>38507.129187597093</v>
          </cell>
          <cell r="V16">
            <v>38646.621560901309</v>
          </cell>
          <cell r="W16">
            <v>42930.420602880018</v>
          </cell>
          <cell r="X16">
            <v>43237.84576640185</v>
          </cell>
          <cell r="Y16">
            <v>41952.600886341585</v>
          </cell>
          <cell r="Z16">
            <v>40252.620852644752</v>
          </cell>
          <cell r="AA16">
            <v>38043.435748990691</v>
          </cell>
          <cell r="AB16">
            <v>35593.540361050946</v>
          </cell>
        </row>
        <row r="17">
          <cell r="D17">
            <v>5</v>
          </cell>
          <cell r="E17">
            <v>33204.033063267809</v>
          </cell>
          <cell r="F17">
            <v>31572.713557163475</v>
          </cell>
          <cell r="G17">
            <v>30257.288527121589</v>
          </cell>
          <cell r="H17">
            <v>29292.210112003195</v>
          </cell>
          <cell r="I17">
            <v>28817.222805782345</v>
          </cell>
          <cell r="J17">
            <v>28666.058551269773</v>
          </cell>
          <cell r="K17">
            <v>27121.626591381599</v>
          </cell>
          <cell r="L17">
            <v>28331.59085104238</v>
          </cell>
          <cell r="M17">
            <v>30271.097239823692</v>
          </cell>
          <cell r="N17">
            <v>31764.450154685372</v>
          </cell>
          <cell r="O17">
            <v>33193.166428023469</v>
          </cell>
          <cell r="P17">
            <v>34348.940145467022</v>
          </cell>
          <cell r="Q17">
            <v>35136.665899285872</v>
          </cell>
          <cell r="R17">
            <v>35231.451217560061</v>
          </cell>
          <cell r="S17">
            <v>35249.302566341052</v>
          </cell>
          <cell r="T17">
            <v>35370.576961204984</v>
          </cell>
          <cell r="U17">
            <v>35388.550519872406</v>
          </cell>
          <cell r="V17">
            <v>35762.262660617052</v>
          </cell>
          <cell r="W17">
            <v>40430.95688500307</v>
          </cell>
          <cell r="X17">
            <v>41589.037858138159</v>
          </cell>
          <cell r="Y17">
            <v>41149.004588366777</v>
          </cell>
          <cell r="Z17">
            <v>39795.409560343396</v>
          </cell>
          <cell r="AA17">
            <v>37371.314855770092</v>
          </cell>
          <cell r="AB17">
            <v>34479.498473840576</v>
          </cell>
        </row>
        <row r="18">
          <cell r="D18">
            <v>2</v>
          </cell>
          <cell r="E18">
            <v>33204.033063267809</v>
          </cell>
          <cell r="F18">
            <v>31572.713557163475</v>
          </cell>
          <cell r="G18">
            <v>30257.288527121589</v>
          </cell>
          <cell r="H18">
            <v>29292.210112003195</v>
          </cell>
          <cell r="I18">
            <v>28817.222805782345</v>
          </cell>
          <cell r="J18">
            <v>28666.058551269773</v>
          </cell>
          <cell r="K18">
            <v>27121.626591381599</v>
          </cell>
          <cell r="L18">
            <v>28331.59085104238</v>
          </cell>
          <cell r="M18">
            <v>30271.097239823692</v>
          </cell>
          <cell r="N18">
            <v>31764.450154685372</v>
          </cell>
          <cell r="O18">
            <v>33193.166428023469</v>
          </cell>
          <cell r="P18">
            <v>34348.940145467022</v>
          </cell>
          <cell r="Q18">
            <v>35136.665899285872</v>
          </cell>
          <cell r="R18">
            <v>35231.451217560061</v>
          </cell>
          <cell r="S18">
            <v>35249.302566341052</v>
          </cell>
          <cell r="T18">
            <v>35370.576961204984</v>
          </cell>
          <cell r="U18">
            <v>35388.550519872406</v>
          </cell>
          <cell r="V18">
            <v>35762.262660617052</v>
          </cell>
          <cell r="W18">
            <v>40430.95688500307</v>
          </cell>
          <cell r="X18">
            <v>41589.037858138159</v>
          </cell>
          <cell r="Y18">
            <v>41149.004588366777</v>
          </cell>
          <cell r="Z18">
            <v>39795.409560343396</v>
          </cell>
          <cell r="AA18">
            <v>37371.314855770092</v>
          </cell>
          <cell r="AB18">
            <v>34479.498473840576</v>
          </cell>
        </row>
        <row r="19">
          <cell r="D19">
            <v>20</v>
          </cell>
          <cell r="E19">
            <v>34828.22634003494</v>
          </cell>
          <cell r="F19">
            <v>33118.528736194246</v>
          </cell>
          <cell r="G19">
            <v>31753.678811233374</v>
          </cell>
          <cell r="H19">
            <v>30764.283719005103</v>
          </cell>
          <cell r="I19">
            <v>30729.821682198242</v>
          </cell>
          <cell r="J19">
            <v>32576.870000652532</v>
          </cell>
          <cell r="K19">
            <v>32263.236201387437</v>
          </cell>
          <cell r="L19">
            <v>35403.512467123401</v>
          </cell>
          <cell r="M19">
            <v>38858.286800156144</v>
          </cell>
          <cell r="N19">
            <v>40534.591965665684</v>
          </cell>
          <cell r="O19">
            <v>42559.30481793145</v>
          </cell>
          <cell r="P19">
            <v>44160.426712879336</v>
          </cell>
          <cell r="Q19">
            <v>42683.381419814708</v>
          </cell>
          <cell r="R19">
            <v>44216.938845205586</v>
          </cell>
          <cell r="S19">
            <v>46680.792310378543</v>
          </cell>
          <cell r="T19">
            <v>47062.486253385199</v>
          </cell>
          <cell r="U19">
            <v>46360.083876364588</v>
          </cell>
          <cell r="V19">
            <v>44469.888841377448</v>
          </cell>
          <cell r="W19">
            <v>47105.919932063618</v>
          </cell>
          <cell r="X19">
            <v>47771.978549963707</v>
          </cell>
          <cell r="Y19">
            <v>46742.08987295119</v>
          </cell>
          <cell r="Z19">
            <v>44680.746705210717</v>
          </cell>
          <cell r="AA19">
            <v>41161.639625261749</v>
          </cell>
          <cell r="AB19">
            <v>37672.407583863642</v>
          </cell>
        </row>
        <row r="20">
          <cell r="D20">
            <v>4</v>
          </cell>
          <cell r="E20">
            <v>35308.548421766624</v>
          </cell>
          <cell r="F20">
            <v>33399.435189218617</v>
          </cell>
          <cell r="G20">
            <v>32154.421887156495</v>
          </cell>
          <cell r="H20">
            <v>30970.958685176247</v>
          </cell>
          <cell r="I20">
            <v>30598.138858843435</v>
          </cell>
          <cell r="J20">
            <v>30953.683469327101</v>
          </cell>
          <cell r="K20">
            <v>30404.79278724048</v>
          </cell>
          <cell r="L20">
            <v>33214.361513288015</v>
          </cell>
          <cell r="M20">
            <v>36653.584229406413</v>
          </cell>
          <cell r="N20">
            <v>38696.131816218105</v>
          </cell>
          <cell r="O20">
            <v>40573.527717298501</v>
          </cell>
          <cell r="P20">
            <v>41517.24226391437</v>
          </cell>
          <cell r="Q20">
            <v>40854.97651051743</v>
          </cell>
          <cell r="R20">
            <v>40325.282804677539</v>
          </cell>
          <cell r="S20">
            <v>40510.8285512601</v>
          </cell>
          <cell r="T20">
            <v>40626.773972875199</v>
          </cell>
          <cell r="U20">
            <v>40341.214851021294</v>
          </cell>
          <cell r="V20">
            <v>40222.687243519176</v>
          </cell>
          <cell r="W20">
            <v>44398.484570779707</v>
          </cell>
          <cell r="X20">
            <v>45041.737306694013</v>
          </cell>
          <cell r="Y20">
            <v>43988.761398997704</v>
          </cell>
          <cell r="Z20">
            <v>42312.949811083854</v>
          </cell>
          <cell r="AA20">
            <v>40100.690457780431</v>
          </cell>
          <cell r="AB20">
            <v>37466.436801020318</v>
          </cell>
        </row>
        <row r="21">
          <cell r="D21">
            <v>4</v>
          </cell>
          <cell r="E21">
            <v>35210.242413774424</v>
          </cell>
          <cell r="F21">
            <v>33509.204804016721</v>
          </cell>
          <cell r="G21">
            <v>32135.668914323807</v>
          </cell>
          <cell r="H21">
            <v>31115.824182934524</v>
          </cell>
          <cell r="I21">
            <v>30590.833599320496</v>
          </cell>
          <cell r="J21">
            <v>30556.759634347556</v>
          </cell>
          <cell r="K21">
            <v>28953.197851027231</v>
          </cell>
          <cell r="L21">
            <v>30201.942404932899</v>
          </cell>
          <cell r="M21">
            <v>32107.189121840249</v>
          </cell>
          <cell r="N21">
            <v>33456.908776614793</v>
          </cell>
          <cell r="O21">
            <v>34831.0648508175</v>
          </cell>
          <cell r="P21">
            <v>36107.470513074666</v>
          </cell>
          <cell r="Q21">
            <v>36955.070325211665</v>
          </cell>
          <cell r="R21">
            <v>37174.817861055439</v>
          </cell>
          <cell r="S21">
            <v>37545.176562599641</v>
          </cell>
          <cell r="T21">
            <v>37836.332562218879</v>
          </cell>
          <cell r="U21">
            <v>37714.31109083716</v>
          </cell>
          <cell r="V21">
            <v>37482.681983054383</v>
          </cell>
          <cell r="W21">
            <v>42361.728979760672</v>
          </cell>
          <cell r="X21">
            <v>44118.61193895671</v>
          </cell>
          <cell r="Y21">
            <v>44102.23859447486</v>
          </cell>
          <cell r="Z21">
            <v>43055.034731161148</v>
          </cell>
          <cell r="AA21">
            <v>39560.3051632567</v>
          </cell>
          <cell r="AB21">
            <v>36477.981048231137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22</v>
          </cell>
          <cell r="E23">
            <v>32532.706243942423</v>
          </cell>
          <cell r="F23">
            <v>30923.510797639166</v>
          </cell>
          <cell r="G23">
            <v>29723.145078262041</v>
          </cell>
          <cell r="H23">
            <v>28935.263880782626</v>
          </cell>
          <cell r="I23">
            <v>29068.050745722539</v>
          </cell>
          <cell r="J23">
            <v>30620.20895777845</v>
          </cell>
          <cell r="K23">
            <v>30622.667950864448</v>
          </cell>
          <cell r="L23">
            <v>33942.749124125417</v>
          </cell>
          <cell r="M23">
            <v>37216.652062635811</v>
          </cell>
          <cell r="N23">
            <v>38914.10541766099</v>
          </cell>
          <cell r="O23">
            <v>40857.509307595043</v>
          </cell>
          <cell r="P23">
            <v>42131.77601364447</v>
          </cell>
          <cell r="Q23">
            <v>40225.668264272434</v>
          </cell>
          <cell r="R23">
            <v>41552.432745612743</v>
          </cell>
          <cell r="S23">
            <v>43835.805953173156</v>
          </cell>
          <cell r="T23">
            <v>44318.135915420229</v>
          </cell>
          <cell r="U23">
            <v>43834.193888662601</v>
          </cell>
          <cell r="V23">
            <v>42293.863544145264</v>
          </cell>
          <cell r="W23">
            <v>44880.03760349717</v>
          </cell>
          <cell r="X23">
            <v>45281.637252050888</v>
          </cell>
          <cell r="Y23">
            <v>43955.535062991003</v>
          </cell>
          <cell r="Z23">
            <v>41762.702006927138</v>
          </cell>
          <cell r="AA23">
            <v>38467.49798378237</v>
          </cell>
          <cell r="AB23">
            <v>35122.198673078776</v>
          </cell>
        </row>
        <row r="24">
          <cell r="D24">
            <v>4</v>
          </cell>
          <cell r="E24">
            <v>32723.16161286283</v>
          </cell>
          <cell r="F24">
            <v>31108.786574285048</v>
          </cell>
          <cell r="G24">
            <v>29835.290674258104</v>
          </cell>
          <cell r="H24">
            <v>28992.3298565076</v>
          </cell>
          <cell r="I24">
            <v>28779.349641670651</v>
          </cell>
          <cell r="J24">
            <v>29107.071049075188</v>
          </cell>
          <cell r="K24">
            <v>28967.156493203576</v>
          </cell>
          <cell r="L24">
            <v>32013.539613734876</v>
          </cell>
          <cell r="M24">
            <v>35557.660214071686</v>
          </cell>
          <cell r="N24">
            <v>37619.810007629683</v>
          </cell>
          <cell r="O24">
            <v>39469.680070254486</v>
          </cell>
          <cell r="P24">
            <v>40570.045911936912</v>
          </cell>
          <cell r="Q24">
            <v>39872.761501654837</v>
          </cell>
          <cell r="R24">
            <v>39341.122634318446</v>
          </cell>
          <cell r="S24">
            <v>39652.71831309094</v>
          </cell>
          <cell r="T24">
            <v>39704.654228339568</v>
          </cell>
          <cell r="U24">
            <v>39352.514947900105</v>
          </cell>
          <cell r="V24">
            <v>39110.564627081731</v>
          </cell>
          <cell r="W24">
            <v>43189.012367927782</v>
          </cell>
          <cell r="X24">
            <v>43885.324651497118</v>
          </cell>
          <cell r="Y24">
            <v>42665.586394117163</v>
          </cell>
          <cell r="Z24">
            <v>41003.735387676446</v>
          </cell>
          <cell r="AA24">
            <v>38691.813941673594</v>
          </cell>
          <cell r="AB24">
            <v>36156.713944281961</v>
          </cell>
        </row>
        <row r="25">
          <cell r="D25">
            <v>4</v>
          </cell>
          <cell r="E25">
            <v>33600.524349999527</v>
          </cell>
          <cell r="F25">
            <v>31870.993094524132</v>
          </cell>
          <cell r="G25">
            <v>30527.118505236329</v>
          </cell>
          <cell r="H25">
            <v>29564.041512734559</v>
          </cell>
          <cell r="I25">
            <v>29079.921888411089</v>
          </cell>
          <cell r="J25">
            <v>28862.406125022797</v>
          </cell>
          <cell r="K25">
            <v>27771.871302504627</v>
          </cell>
          <cell r="L25">
            <v>29242.672688793598</v>
          </cell>
          <cell r="M25">
            <v>31309.050151673186</v>
          </cell>
          <cell r="N25">
            <v>32804.835116271031</v>
          </cell>
          <cell r="O25">
            <v>34141.810968846898</v>
          </cell>
          <cell r="P25">
            <v>35293.764960415981</v>
          </cell>
          <cell r="Q25">
            <v>36025.122816054187</v>
          </cell>
          <cell r="R25">
            <v>36156.289274285984</v>
          </cell>
          <cell r="S25">
            <v>36295.078154870513</v>
          </cell>
          <cell r="T25">
            <v>36691.96289762474</v>
          </cell>
          <cell r="U25">
            <v>36554.608614331752</v>
          </cell>
          <cell r="V25">
            <v>36735.566000257255</v>
          </cell>
          <cell r="W25">
            <v>41070.288397262004</v>
          </cell>
          <cell r="X25">
            <v>42569.041098651927</v>
          </cell>
          <cell r="Y25">
            <v>42411.266158437225</v>
          </cell>
          <cell r="Z25">
            <v>41167.007575408228</v>
          </cell>
          <cell r="AA25">
            <v>38466.000820008943</v>
          </cell>
          <cell r="AB25">
            <v>35358.569497525743</v>
          </cell>
        </row>
        <row r="26">
          <cell r="D26">
            <v>1</v>
          </cell>
          <cell r="E26">
            <v>33600.524349999527</v>
          </cell>
          <cell r="F26">
            <v>31870.993094524132</v>
          </cell>
          <cell r="G26">
            <v>30527.118505236329</v>
          </cell>
          <cell r="H26">
            <v>29564.041512734559</v>
          </cell>
          <cell r="I26">
            <v>29079.921888411089</v>
          </cell>
          <cell r="J26">
            <v>28862.406125022797</v>
          </cell>
          <cell r="K26">
            <v>27771.871302504627</v>
          </cell>
          <cell r="L26">
            <v>29242.672688793598</v>
          </cell>
          <cell r="M26">
            <v>31309.050151673186</v>
          </cell>
          <cell r="N26">
            <v>32804.835116271031</v>
          </cell>
          <cell r="O26">
            <v>34141.810968846898</v>
          </cell>
          <cell r="P26">
            <v>35293.764960415981</v>
          </cell>
          <cell r="Q26">
            <v>36025.122816054187</v>
          </cell>
          <cell r="R26">
            <v>36156.289274285984</v>
          </cell>
          <cell r="S26">
            <v>36295.078154870513</v>
          </cell>
          <cell r="T26">
            <v>36691.96289762474</v>
          </cell>
          <cell r="U26">
            <v>36554.608614331752</v>
          </cell>
          <cell r="V26">
            <v>36735.566000257255</v>
          </cell>
          <cell r="W26">
            <v>41070.288397262004</v>
          </cell>
          <cell r="X26">
            <v>42569.041098651927</v>
          </cell>
          <cell r="Y26">
            <v>42411.266158437225</v>
          </cell>
          <cell r="Z26">
            <v>41167.007575408228</v>
          </cell>
          <cell r="AA26">
            <v>38466.000820008943</v>
          </cell>
          <cell r="AB26">
            <v>35358.569497525743</v>
          </cell>
        </row>
        <row r="27">
          <cell r="D27">
            <v>19</v>
          </cell>
          <cell r="E27">
            <v>31880.737337380993</v>
          </cell>
          <cell r="F27">
            <v>30293.001437197261</v>
          </cell>
          <cell r="G27">
            <v>29131.629583005117</v>
          </cell>
          <cell r="H27">
            <v>28340.61205958455</v>
          </cell>
          <cell r="I27">
            <v>28461.788057497808</v>
          </cell>
          <cell r="J27">
            <v>29373.283299739531</v>
          </cell>
          <cell r="K27">
            <v>29698.161289940173</v>
          </cell>
          <cell r="L27">
            <v>33080.608957933968</v>
          </cell>
          <cell r="M27">
            <v>36562.511177184009</v>
          </cell>
          <cell r="N27">
            <v>38171.226080382839</v>
          </cell>
          <cell r="O27">
            <v>39962.721218399485</v>
          </cell>
          <cell r="P27">
            <v>41478.549460572787</v>
          </cell>
          <cell r="Q27">
            <v>39853.306395523505</v>
          </cell>
          <cell r="R27">
            <v>41024.970726820196</v>
          </cell>
          <cell r="S27">
            <v>43306.804981066969</v>
          </cell>
          <cell r="T27">
            <v>43583.93714270059</v>
          </cell>
          <cell r="U27">
            <v>42923.6292670326</v>
          </cell>
          <cell r="V27">
            <v>41808.972886345378</v>
          </cell>
          <cell r="W27">
            <v>44391.745030702186</v>
          </cell>
          <cell r="X27">
            <v>44526.544043787835</v>
          </cell>
          <cell r="Y27">
            <v>43194.200467477829</v>
          </cell>
          <cell r="Z27">
            <v>41119.227913553346</v>
          </cell>
          <cell r="AA27">
            <v>38002.99560395239</v>
          </cell>
          <cell r="AB27">
            <v>34600.46368600065</v>
          </cell>
        </row>
        <row r="28">
          <cell r="D28">
            <v>5</v>
          </cell>
          <cell r="E28">
            <v>31558.814551332052</v>
          </cell>
          <cell r="F28">
            <v>29913.592143320013</v>
          </cell>
          <cell r="G28">
            <v>28691.545450491882</v>
          </cell>
          <cell r="H28">
            <v>27856.995409509502</v>
          </cell>
          <cell r="I28">
            <v>27646.20325852462</v>
          </cell>
          <cell r="J28">
            <v>27637.816527075382</v>
          </cell>
          <cell r="K28">
            <v>27572.356828582615</v>
          </cell>
          <cell r="L28">
            <v>30392.363385365119</v>
          </cell>
          <cell r="M28">
            <v>33674.554222619081</v>
          </cell>
          <cell r="N28">
            <v>35432.282583450717</v>
          </cell>
          <cell r="O28">
            <v>37153.521118240576</v>
          </cell>
          <cell r="P28">
            <v>38223.877476608512</v>
          </cell>
          <cell r="Q28">
            <v>37725.931890895263</v>
          </cell>
          <cell r="R28">
            <v>37319.871557705272</v>
          </cell>
          <cell r="S28">
            <v>37527.630795653124</v>
          </cell>
          <cell r="T28">
            <v>37598.94974409978</v>
          </cell>
          <cell r="U28">
            <v>37387.107228014858</v>
          </cell>
          <cell r="V28">
            <v>37615.990978865608</v>
          </cell>
          <cell r="W28">
            <v>41777.713321588148</v>
          </cell>
          <cell r="X28">
            <v>41868.056052737593</v>
          </cell>
          <cell r="Y28">
            <v>40707.194745922076</v>
          </cell>
          <cell r="Z28">
            <v>38998.703706196553</v>
          </cell>
          <cell r="AA28">
            <v>36839.935977528294</v>
          </cell>
          <cell r="AB28">
            <v>34373.022082546828</v>
          </cell>
        </row>
        <row r="29">
          <cell r="D29">
            <v>4</v>
          </cell>
          <cell r="E29">
            <v>32175.265215812367</v>
          </cell>
          <cell r="F29">
            <v>30592.33975466017</v>
          </cell>
          <cell r="G29">
            <v>29283.376968738616</v>
          </cell>
          <cell r="H29">
            <v>28387.901542722451</v>
          </cell>
          <cell r="I29">
            <v>28010.532625144362</v>
          </cell>
          <cell r="J29">
            <v>27513.030951438552</v>
          </cell>
          <cell r="K29">
            <v>26935.952141284688</v>
          </cell>
          <cell r="L29">
            <v>28425.791423848259</v>
          </cell>
          <cell r="M29">
            <v>30005.165912727905</v>
          </cell>
          <cell r="N29">
            <v>31414.684643840425</v>
          </cell>
          <cell r="O29">
            <v>32725.623178171489</v>
          </cell>
          <cell r="P29">
            <v>33765.690555759968</v>
          </cell>
          <cell r="Q29">
            <v>34347.293318188131</v>
          </cell>
          <cell r="R29">
            <v>34507.518030979678</v>
          </cell>
          <cell r="S29">
            <v>34718.536185306046</v>
          </cell>
          <cell r="T29">
            <v>35029.480195278171</v>
          </cell>
          <cell r="U29">
            <v>35155.107293385729</v>
          </cell>
          <cell r="V29">
            <v>35585.795515058904</v>
          </cell>
          <cell r="W29">
            <v>39532.760287135585</v>
          </cell>
          <cell r="X29">
            <v>40727.96438824862</v>
          </cell>
          <cell r="Y29">
            <v>40594.022763197798</v>
          </cell>
          <cell r="Z29">
            <v>39597.060180514818</v>
          </cell>
          <cell r="AA29">
            <v>37056.380154772822</v>
          </cell>
          <cell r="AB29">
            <v>34043.589186032565</v>
          </cell>
        </row>
        <row r="30">
          <cell r="D30">
            <v>2</v>
          </cell>
          <cell r="E30">
            <v>32175.265215812367</v>
          </cell>
          <cell r="F30">
            <v>30592.33975466017</v>
          </cell>
          <cell r="G30">
            <v>29283.376968738616</v>
          </cell>
          <cell r="H30">
            <v>28387.901542722451</v>
          </cell>
          <cell r="I30">
            <v>28010.532625144362</v>
          </cell>
          <cell r="J30">
            <v>27513.030951438552</v>
          </cell>
          <cell r="K30">
            <v>26935.952141284688</v>
          </cell>
          <cell r="L30">
            <v>28425.791423848259</v>
          </cell>
          <cell r="M30">
            <v>30005.165912727905</v>
          </cell>
          <cell r="N30">
            <v>31414.684643840425</v>
          </cell>
          <cell r="O30">
            <v>32725.623178171489</v>
          </cell>
          <cell r="P30">
            <v>33765.690555759968</v>
          </cell>
          <cell r="Q30">
            <v>34347.293318188131</v>
          </cell>
          <cell r="R30">
            <v>34507.518030979678</v>
          </cell>
          <cell r="S30">
            <v>34718.536185306046</v>
          </cell>
          <cell r="T30">
            <v>35029.480195278171</v>
          </cell>
          <cell r="U30">
            <v>35155.107293385729</v>
          </cell>
          <cell r="V30">
            <v>35585.795515058904</v>
          </cell>
          <cell r="W30">
            <v>39532.760287135585</v>
          </cell>
          <cell r="X30">
            <v>40727.96438824862</v>
          </cell>
          <cell r="Y30">
            <v>40594.022763197798</v>
          </cell>
          <cell r="Z30">
            <v>39597.060180514818</v>
          </cell>
          <cell r="AA30">
            <v>37056.380154772822</v>
          </cell>
          <cell r="AB30">
            <v>34043.589186032565</v>
          </cell>
        </row>
        <row r="31">
          <cell r="D31">
            <v>21</v>
          </cell>
          <cell r="E31">
            <v>31219.841833969222</v>
          </cell>
          <cell r="F31">
            <v>29737.495434118126</v>
          </cell>
          <cell r="G31">
            <v>28615.537351012041</v>
          </cell>
          <cell r="H31">
            <v>27847.626891706328</v>
          </cell>
          <cell r="I31">
            <v>27984.103180890983</v>
          </cell>
          <cell r="J31">
            <v>28759.16236655194</v>
          </cell>
          <cell r="K31">
            <v>29411.502693409857</v>
          </cell>
          <cell r="L31">
            <v>32848.591148836378</v>
          </cell>
          <cell r="M31">
            <v>36382.621089529021</v>
          </cell>
          <cell r="N31">
            <v>38037.570933891264</v>
          </cell>
          <cell r="O31">
            <v>40011.015978183743</v>
          </cell>
          <cell r="P31">
            <v>41299.93345704586</v>
          </cell>
          <cell r="Q31">
            <v>39622.162915245717</v>
          </cell>
          <cell r="R31">
            <v>40708.040921895001</v>
          </cell>
          <cell r="S31">
            <v>42819.505457642073</v>
          </cell>
          <cell r="T31">
            <v>43030.869458673471</v>
          </cell>
          <cell r="U31">
            <v>42415.147630535088</v>
          </cell>
          <cell r="V31">
            <v>41029.215801855564</v>
          </cell>
          <cell r="W31">
            <v>43581.634939454001</v>
          </cell>
          <cell r="X31">
            <v>43754.357342730007</v>
          </cell>
          <cell r="Y31">
            <v>42404.85791276746</v>
          </cell>
          <cell r="Z31">
            <v>40163.488621094388</v>
          </cell>
          <cell r="AA31">
            <v>37006.302692942591</v>
          </cell>
          <cell r="AB31">
            <v>33781.017272085293</v>
          </cell>
        </row>
        <row r="32">
          <cell r="D32">
            <v>4</v>
          </cell>
          <cell r="E32">
            <v>31761.675548515384</v>
          </cell>
          <cell r="F32">
            <v>29913.878801075614</v>
          </cell>
          <cell r="G32">
            <v>28663.989569802263</v>
          </cell>
          <cell r="H32">
            <v>27858.920700221952</v>
          </cell>
          <cell r="I32">
            <v>27711.854139303883</v>
          </cell>
          <cell r="J32">
            <v>27410.604760147344</v>
          </cell>
          <cell r="K32">
            <v>27674.64163448488</v>
          </cell>
          <cell r="L32">
            <v>30843.059571673934</v>
          </cell>
          <cell r="M32">
            <v>34377.35011391119</v>
          </cell>
          <cell r="N32">
            <v>36360.59638808095</v>
          </cell>
          <cell r="O32">
            <v>37873.530994233734</v>
          </cell>
          <cell r="P32">
            <v>38888.065238648625</v>
          </cell>
          <cell r="Q32">
            <v>38093.296228793763</v>
          </cell>
          <cell r="R32">
            <v>37566.428769996426</v>
          </cell>
          <cell r="S32">
            <v>37841.693160877767</v>
          </cell>
          <cell r="T32">
            <v>37910.682241135219</v>
          </cell>
          <cell r="U32">
            <v>37695.559943167027</v>
          </cell>
          <cell r="V32">
            <v>37969.43969833482</v>
          </cell>
          <cell r="W32">
            <v>42012.674201344314</v>
          </cell>
          <cell r="X32">
            <v>42489.485411950984</v>
          </cell>
          <cell r="Y32">
            <v>41232.208527520153</v>
          </cell>
          <cell r="Z32">
            <v>39374.228232856542</v>
          </cell>
          <cell r="AA32">
            <v>37221.165447871485</v>
          </cell>
          <cell r="AB32">
            <v>34724.014872444357</v>
          </cell>
        </row>
        <row r="33">
          <cell r="D33">
            <v>4</v>
          </cell>
          <cell r="E33">
            <v>32136.602694105171</v>
          </cell>
          <cell r="F33">
            <v>30618.135554577453</v>
          </cell>
          <cell r="G33">
            <v>29408.384410628743</v>
          </cell>
          <cell r="H33">
            <v>28540.71382643468</v>
          </cell>
          <cell r="I33">
            <v>28170.960260916268</v>
          </cell>
          <cell r="J33">
            <v>27321.401471763766</v>
          </cell>
          <cell r="K33">
            <v>26909.132132915682</v>
          </cell>
          <cell r="L33">
            <v>28514.975808371215</v>
          </cell>
          <cell r="M33">
            <v>30698.824767843551</v>
          </cell>
          <cell r="N33">
            <v>32425.536840973742</v>
          </cell>
          <cell r="O33">
            <v>33608.453398441088</v>
          </cell>
          <cell r="P33">
            <v>34489.824949143636</v>
          </cell>
          <cell r="Q33">
            <v>34992.223553124189</v>
          </cell>
          <cell r="R33">
            <v>35098.762896781693</v>
          </cell>
          <cell r="S33">
            <v>35245.130225710935</v>
          </cell>
          <cell r="T33">
            <v>35633.714785239164</v>
          </cell>
          <cell r="U33">
            <v>35531.927453452794</v>
          </cell>
          <cell r="V33">
            <v>36100.151179174914</v>
          </cell>
          <cell r="W33">
            <v>40290.156873966458</v>
          </cell>
          <cell r="X33">
            <v>41397.041887676409</v>
          </cell>
          <cell r="Y33">
            <v>41171.901270854709</v>
          </cell>
          <cell r="Z33">
            <v>39850.30596390448</v>
          </cell>
          <cell r="AA33">
            <v>37182.92461130218</v>
          </cell>
          <cell r="AB33">
            <v>33810.246542197587</v>
          </cell>
        </row>
        <row r="34">
          <cell r="D34">
            <v>2</v>
          </cell>
          <cell r="E34">
            <v>32136.602694105171</v>
          </cell>
          <cell r="F34">
            <v>30618.135554577453</v>
          </cell>
          <cell r="G34">
            <v>29408.384410628743</v>
          </cell>
          <cell r="H34">
            <v>28540.71382643468</v>
          </cell>
          <cell r="I34">
            <v>28170.960260916268</v>
          </cell>
          <cell r="J34">
            <v>27321.401471763766</v>
          </cell>
          <cell r="K34">
            <v>26909.132132915682</v>
          </cell>
          <cell r="L34">
            <v>28514.975808371215</v>
          </cell>
          <cell r="M34">
            <v>30698.824767843551</v>
          </cell>
          <cell r="N34">
            <v>32425.536840973742</v>
          </cell>
          <cell r="O34">
            <v>33608.453398441088</v>
          </cell>
          <cell r="P34">
            <v>34489.824949143636</v>
          </cell>
          <cell r="Q34">
            <v>34992.223553124189</v>
          </cell>
          <cell r="R34">
            <v>35098.762896781693</v>
          </cell>
          <cell r="S34">
            <v>35245.130225710935</v>
          </cell>
          <cell r="T34">
            <v>35633.714785239164</v>
          </cell>
          <cell r="U34">
            <v>35531.927453452794</v>
          </cell>
          <cell r="V34">
            <v>36100.151179174914</v>
          </cell>
          <cell r="W34">
            <v>40290.156873966458</v>
          </cell>
          <cell r="X34">
            <v>41397.041887676409</v>
          </cell>
          <cell r="Y34">
            <v>41171.901270854709</v>
          </cell>
          <cell r="Z34">
            <v>39850.30596390448</v>
          </cell>
          <cell r="AA34">
            <v>37182.92461130218</v>
          </cell>
          <cell r="AB34">
            <v>33810.246542197587</v>
          </cell>
        </row>
        <row r="35">
          <cell r="D35">
            <v>20</v>
          </cell>
          <cell r="E35">
            <v>31243.561962639491</v>
          </cell>
          <cell r="F35">
            <v>29674.534812370192</v>
          </cell>
          <cell r="G35">
            <v>28584.196086956985</v>
          </cell>
          <cell r="H35">
            <v>27731.072447802544</v>
          </cell>
          <cell r="I35">
            <v>27816.490186347284</v>
          </cell>
          <cell r="J35">
            <v>28199.483372690727</v>
          </cell>
          <cell r="K35">
            <v>28808.376885190566</v>
          </cell>
          <cell r="L35">
            <v>32436.106375325799</v>
          </cell>
          <cell r="M35">
            <v>35967.549644963125</v>
          </cell>
          <cell r="N35">
            <v>37715.715608810642</v>
          </cell>
          <cell r="O35">
            <v>39738.114059945845</v>
          </cell>
          <cell r="P35">
            <v>41067.415980348058</v>
          </cell>
          <cell r="Q35">
            <v>39607.344267381573</v>
          </cell>
          <cell r="R35">
            <v>40476.100960270138</v>
          </cell>
          <cell r="S35">
            <v>42466.290785219702</v>
          </cell>
          <cell r="T35">
            <v>42702.325635314912</v>
          </cell>
          <cell r="U35">
            <v>42277.752413604452</v>
          </cell>
          <cell r="V35">
            <v>40957.043885290797</v>
          </cell>
          <cell r="W35">
            <v>43347.591284921902</v>
          </cell>
          <cell r="X35">
            <v>43896.825205603396</v>
          </cell>
          <cell r="Y35">
            <v>42462.611852169182</v>
          </cell>
          <cell r="Z35">
            <v>40286.11756606889</v>
          </cell>
          <cell r="AA35">
            <v>37047.525559937902</v>
          </cell>
          <cell r="AB35">
            <v>33781.613109594546</v>
          </cell>
        </row>
        <row r="36">
          <cell r="D36">
            <v>4</v>
          </cell>
          <cell r="E36">
            <v>31320.373638511031</v>
          </cell>
          <cell r="F36">
            <v>29781.8691707531</v>
          </cell>
          <cell r="G36">
            <v>28638.578848215464</v>
          </cell>
          <cell r="H36">
            <v>27853.90609886112</v>
          </cell>
          <cell r="I36">
            <v>27716.284651650254</v>
          </cell>
          <cell r="J36">
            <v>27365.690690201918</v>
          </cell>
          <cell r="K36">
            <v>27634.007238320384</v>
          </cell>
          <cell r="L36">
            <v>30822.052178732498</v>
          </cell>
          <cell r="M36">
            <v>34320.573993809558</v>
          </cell>
          <cell r="N36">
            <v>36318.413468266961</v>
          </cell>
          <cell r="O36">
            <v>38030.37949977145</v>
          </cell>
          <cell r="P36">
            <v>39067.237019219356</v>
          </cell>
          <cell r="Q36">
            <v>38353.65618465357</v>
          </cell>
          <cell r="R36">
            <v>37582.569829652231</v>
          </cell>
          <cell r="S36">
            <v>37699.493876833905</v>
          </cell>
          <cell r="T36">
            <v>37723.63630804127</v>
          </cell>
          <cell r="U36">
            <v>37285.14837265222</v>
          </cell>
          <cell r="V36">
            <v>37435.516176051264</v>
          </cell>
          <cell r="W36">
            <v>40670.749361374073</v>
          </cell>
          <cell r="X36">
            <v>41523.924258802792</v>
          </cell>
          <cell r="Y36">
            <v>40331.671017591623</v>
          </cell>
          <cell r="Z36">
            <v>38319.318936242344</v>
          </cell>
          <cell r="AA36">
            <v>35981.243271337953</v>
          </cell>
          <cell r="AB36">
            <v>33564.930345804736</v>
          </cell>
        </row>
        <row r="37">
          <cell r="D37">
            <v>4</v>
          </cell>
          <cell r="E37">
            <v>31793.520064827419</v>
          </cell>
          <cell r="F37">
            <v>30183.200141502937</v>
          </cell>
          <cell r="G37">
            <v>28932.403594180472</v>
          </cell>
          <cell r="H37">
            <v>28110.28373819678</v>
          </cell>
          <cell r="I37">
            <v>27789.633168768545</v>
          </cell>
          <cell r="J37">
            <v>26916.593717478831</v>
          </cell>
          <cell r="K37">
            <v>26325.074672191226</v>
          </cell>
          <cell r="L37">
            <v>27768.38062435087</v>
          </cell>
          <cell r="M37">
            <v>29671.180260685163</v>
          </cell>
          <cell r="N37">
            <v>31262.402906041287</v>
          </cell>
          <cell r="O37">
            <v>32388.504227049529</v>
          </cell>
          <cell r="P37">
            <v>33283.923616823129</v>
          </cell>
          <cell r="Q37">
            <v>33984.15144056618</v>
          </cell>
          <cell r="R37">
            <v>33921.016595345594</v>
          </cell>
          <cell r="S37">
            <v>34038.020402417802</v>
          </cell>
          <cell r="T37">
            <v>34314.460278332619</v>
          </cell>
          <cell r="U37">
            <v>34369.4949915658</v>
          </cell>
          <cell r="V37">
            <v>34760.141700584434</v>
          </cell>
          <cell r="W37">
            <v>38756.238174060316</v>
          </cell>
          <cell r="X37">
            <v>40626.638578300299</v>
          </cell>
          <cell r="Y37">
            <v>40113.14634674917</v>
          </cell>
          <cell r="Z37">
            <v>38828.804512950606</v>
          </cell>
          <cell r="AA37">
            <v>36478.124128836709</v>
          </cell>
          <cell r="AB37">
            <v>33812.035428116906</v>
          </cell>
        </row>
        <row r="38">
          <cell r="D38">
            <v>2</v>
          </cell>
          <cell r="E38">
            <v>31793.520064827419</v>
          </cell>
          <cell r="F38">
            <v>30183.200141502937</v>
          </cell>
          <cell r="G38">
            <v>28932.403594180472</v>
          </cell>
          <cell r="H38">
            <v>28110.28373819678</v>
          </cell>
          <cell r="I38">
            <v>27789.633168768545</v>
          </cell>
          <cell r="J38">
            <v>26916.593717478831</v>
          </cell>
          <cell r="K38">
            <v>26325.074672191226</v>
          </cell>
          <cell r="L38">
            <v>27768.38062435087</v>
          </cell>
          <cell r="M38">
            <v>29671.180260685163</v>
          </cell>
          <cell r="N38">
            <v>31262.402906041287</v>
          </cell>
          <cell r="O38">
            <v>32388.504227049529</v>
          </cell>
          <cell r="P38">
            <v>33283.923616823129</v>
          </cell>
          <cell r="Q38">
            <v>33984.15144056618</v>
          </cell>
          <cell r="R38">
            <v>33921.016595345594</v>
          </cell>
          <cell r="S38">
            <v>34038.020402417802</v>
          </cell>
          <cell r="T38">
            <v>34314.460278332619</v>
          </cell>
          <cell r="U38">
            <v>34369.4949915658</v>
          </cell>
          <cell r="V38">
            <v>34760.141700584434</v>
          </cell>
          <cell r="W38">
            <v>38756.238174060316</v>
          </cell>
          <cell r="X38">
            <v>40626.638578300299</v>
          </cell>
          <cell r="Y38">
            <v>40113.14634674917</v>
          </cell>
          <cell r="Z38">
            <v>38828.804512950606</v>
          </cell>
          <cell r="AA38">
            <v>36478.124128836709</v>
          </cell>
          <cell r="AB38">
            <v>33812.035428116906</v>
          </cell>
        </row>
        <row r="39">
          <cell r="D39">
            <v>19</v>
          </cell>
          <cell r="E39">
            <v>31432.704039276028</v>
          </cell>
          <cell r="F39">
            <v>29825.861690367728</v>
          </cell>
          <cell r="G39">
            <v>28626.588632764026</v>
          </cell>
          <cell r="H39">
            <v>27825.752838309043</v>
          </cell>
          <cell r="I39">
            <v>27796.22144580949</v>
          </cell>
          <cell r="J39">
            <v>28511.066875556506</v>
          </cell>
          <cell r="K39">
            <v>28881.615158050663</v>
          </cell>
          <cell r="L39">
            <v>32439.051481591883</v>
          </cell>
          <cell r="M39">
            <v>35927.006706120548</v>
          </cell>
          <cell r="N39">
            <v>37721.025310004057</v>
          </cell>
          <cell r="O39">
            <v>39806.041725566523</v>
          </cell>
          <cell r="P39">
            <v>41369.811986727793</v>
          </cell>
          <cell r="Q39">
            <v>39895.032180239083</v>
          </cell>
          <cell r="R39">
            <v>41237.324264962692</v>
          </cell>
          <cell r="S39">
            <v>43585.27509613242</v>
          </cell>
          <cell r="T39">
            <v>43843.408744088563</v>
          </cell>
          <cell r="U39">
            <v>43248.394780723589</v>
          </cell>
          <cell r="V39">
            <v>41410.606483112548</v>
          </cell>
          <cell r="W39">
            <v>43247.077643607729</v>
          </cell>
          <cell r="X39">
            <v>44255.117784205882</v>
          </cell>
          <cell r="Y39">
            <v>43056.100947973318</v>
          </cell>
          <cell r="Z39">
            <v>40915.529602310467</v>
          </cell>
          <cell r="AA39">
            <v>37569.392377666067</v>
          </cell>
          <cell r="AB39">
            <v>34331.461430894517</v>
          </cell>
        </row>
        <row r="40">
          <cell r="D40">
            <v>5</v>
          </cell>
          <cell r="E40">
            <v>32018.796489772718</v>
          </cell>
          <cell r="F40">
            <v>30208.941110799682</v>
          </cell>
          <cell r="G40">
            <v>28906.750719586867</v>
          </cell>
          <cell r="H40">
            <v>28117.632013079852</v>
          </cell>
          <cell r="I40">
            <v>27744.040301285728</v>
          </cell>
          <cell r="J40">
            <v>27462.498845792539</v>
          </cell>
          <cell r="K40">
            <v>27585.843262542865</v>
          </cell>
          <cell r="L40">
            <v>30606.883291999977</v>
          </cell>
          <cell r="M40">
            <v>34153.814177351458</v>
          </cell>
          <cell r="N40">
            <v>36202.265155279732</v>
          </cell>
          <cell r="O40">
            <v>38129.249731120748</v>
          </cell>
          <cell r="P40">
            <v>39092.36289383049</v>
          </cell>
          <cell r="Q40">
            <v>38467.630188966206</v>
          </cell>
          <cell r="R40">
            <v>37911.504097514298</v>
          </cell>
          <cell r="S40">
            <v>37908.774972369654</v>
          </cell>
          <cell r="T40">
            <v>37684.82468571527</v>
          </cell>
          <cell r="U40">
            <v>37324.101777210803</v>
          </cell>
          <cell r="V40">
            <v>37448.475339592333</v>
          </cell>
          <cell r="W40">
            <v>39797.051632689858</v>
          </cell>
          <cell r="X40">
            <v>40693.423388366144</v>
          </cell>
          <cell r="Y40">
            <v>39360.050588983133</v>
          </cell>
          <cell r="Z40">
            <v>37711.863293756804</v>
          </cell>
          <cell r="AA40">
            <v>35620.9563761592</v>
          </cell>
          <cell r="AB40">
            <v>33225.659945392676</v>
          </cell>
        </row>
        <row r="41">
          <cell r="D41">
            <v>5</v>
          </cell>
          <cell r="E41">
            <v>30111.038749471958</v>
          </cell>
          <cell r="F41">
            <v>28703.15258297075</v>
          </cell>
          <cell r="G41">
            <v>27475.387181715509</v>
          </cell>
          <cell r="H41">
            <v>26725.56503812156</v>
          </cell>
          <cell r="I41">
            <v>26422.378009362652</v>
          </cell>
          <cell r="J41">
            <v>25776.245757023979</v>
          </cell>
          <cell r="K41">
            <v>25207.288966927757</v>
          </cell>
          <cell r="L41">
            <v>26765.40605984658</v>
          </cell>
          <cell r="M41">
            <v>28681.107391239646</v>
          </cell>
          <cell r="N41">
            <v>30224.592300348868</v>
          </cell>
          <cell r="O41">
            <v>31541.061046521714</v>
          </cell>
          <cell r="P41">
            <v>32663.060333661448</v>
          </cell>
          <cell r="Q41">
            <v>33474.315704395514</v>
          </cell>
          <cell r="R41">
            <v>33680.162762236447</v>
          </cell>
          <cell r="S41">
            <v>33871.421184433901</v>
          </cell>
          <cell r="T41">
            <v>34319.276501805347</v>
          </cell>
          <cell r="U41">
            <v>34258.768459723455</v>
          </cell>
          <cell r="V41">
            <v>34421.00800641453</v>
          </cell>
          <cell r="W41">
            <v>38324.869267334558</v>
          </cell>
          <cell r="X41">
            <v>40514.823286655534</v>
          </cell>
          <cell r="Y41">
            <v>39902.223549156639</v>
          </cell>
          <cell r="Z41">
            <v>38262.629118293182</v>
          </cell>
          <cell r="AA41">
            <v>35317.456825267102</v>
          </cell>
          <cell r="AB41">
            <v>32342.075767137409</v>
          </cell>
        </row>
        <row r="42">
          <cell r="D42">
            <v>2</v>
          </cell>
          <cell r="E42">
            <v>30111.038749471958</v>
          </cell>
          <cell r="F42">
            <v>28703.15258297075</v>
          </cell>
          <cell r="G42">
            <v>27475.387181715509</v>
          </cell>
          <cell r="H42">
            <v>26725.56503812156</v>
          </cell>
          <cell r="I42">
            <v>26422.378009362652</v>
          </cell>
          <cell r="J42">
            <v>25776.245757023979</v>
          </cell>
          <cell r="K42">
            <v>25207.288966927757</v>
          </cell>
          <cell r="L42">
            <v>26765.40605984658</v>
          </cell>
          <cell r="M42">
            <v>28681.107391239646</v>
          </cell>
          <cell r="N42">
            <v>30224.592300348868</v>
          </cell>
          <cell r="O42">
            <v>31541.061046521714</v>
          </cell>
          <cell r="P42">
            <v>32663.060333661448</v>
          </cell>
          <cell r="Q42">
            <v>33474.315704395514</v>
          </cell>
          <cell r="R42">
            <v>33680.162762236447</v>
          </cell>
          <cell r="S42">
            <v>33871.421184433901</v>
          </cell>
          <cell r="T42">
            <v>34319.276501805347</v>
          </cell>
          <cell r="U42">
            <v>34258.768459723455</v>
          </cell>
          <cell r="V42">
            <v>34421.00800641453</v>
          </cell>
          <cell r="W42">
            <v>38324.869267334558</v>
          </cell>
          <cell r="X42">
            <v>40514.823286655534</v>
          </cell>
          <cell r="Y42">
            <v>39902.223549156639</v>
          </cell>
          <cell r="Z42">
            <v>38262.629118293182</v>
          </cell>
          <cell r="AA42">
            <v>35317.456825267102</v>
          </cell>
          <cell r="AB42">
            <v>32342.075767137409</v>
          </cell>
        </row>
        <row r="43">
          <cell r="D43">
            <v>22</v>
          </cell>
          <cell r="E43">
            <v>31152.471587737877</v>
          </cell>
          <cell r="F43">
            <v>29448.328079681585</v>
          </cell>
          <cell r="G43">
            <v>28241.675824780228</v>
          </cell>
          <cell r="H43">
            <v>27418.609625351542</v>
          </cell>
          <cell r="I43">
            <v>27390.413513956602</v>
          </cell>
          <cell r="J43">
            <v>28305.733398918193</v>
          </cell>
          <cell r="K43">
            <v>28638.717116300606</v>
          </cell>
          <cell r="L43">
            <v>31857.879853046754</v>
          </cell>
          <cell r="M43">
            <v>35327.865868514593</v>
          </cell>
          <cell r="N43">
            <v>37066.193784922441</v>
          </cell>
          <cell r="O43">
            <v>39227.519670313246</v>
          </cell>
          <cell r="P43">
            <v>41017.462421690499</v>
          </cell>
          <cell r="Q43">
            <v>39368.553987593215</v>
          </cell>
          <cell r="R43">
            <v>40655.974923688016</v>
          </cell>
          <cell r="S43">
            <v>43100.492399579838</v>
          </cell>
          <cell r="T43">
            <v>43377.308819275509</v>
          </cell>
          <cell r="U43">
            <v>42633.424270116448</v>
          </cell>
          <cell r="V43">
            <v>41071.792519380841</v>
          </cell>
          <cell r="W43">
            <v>43530.362204448982</v>
          </cell>
          <cell r="X43">
            <v>44209.222028239696</v>
          </cell>
          <cell r="Y43">
            <v>42966.887021870876</v>
          </cell>
          <cell r="Z43">
            <v>40769.528642505109</v>
          </cell>
          <cell r="AA43">
            <v>37384.867310446381</v>
          </cell>
          <cell r="AB43">
            <v>34187.73361008006</v>
          </cell>
        </row>
        <row r="44">
          <cell r="D44">
            <v>4</v>
          </cell>
          <cell r="E44">
            <v>31578.974434777214</v>
          </cell>
          <cell r="F44">
            <v>29955.164917446287</v>
          </cell>
          <cell r="G44">
            <v>28751.170131268173</v>
          </cell>
          <cell r="H44">
            <v>27837.354773527175</v>
          </cell>
          <cell r="I44">
            <v>27289.417240768038</v>
          </cell>
          <cell r="J44">
            <v>27054.138557296039</v>
          </cell>
          <cell r="K44">
            <v>27096.330993863034</v>
          </cell>
          <cell r="L44">
            <v>29995.226402366443</v>
          </cell>
          <cell r="M44">
            <v>33170.604983456033</v>
          </cell>
          <cell r="N44">
            <v>35190.402771511137</v>
          </cell>
          <cell r="O44">
            <v>36848.804661109927</v>
          </cell>
          <cell r="P44">
            <v>37410.060578218014</v>
          </cell>
          <cell r="Q44">
            <v>36767.65542373839</v>
          </cell>
          <cell r="R44">
            <v>36263.952711594568</v>
          </cell>
          <cell r="S44">
            <v>36664.097061289867</v>
          </cell>
          <cell r="T44">
            <v>36823.529904736497</v>
          </cell>
          <cell r="U44">
            <v>36581.032327546956</v>
          </cell>
          <cell r="V44">
            <v>36863.603063322917</v>
          </cell>
          <cell r="W44">
            <v>40691.00031684924</v>
          </cell>
          <cell r="X44">
            <v>41014.407313700867</v>
          </cell>
          <cell r="Y44">
            <v>39519.275858450645</v>
          </cell>
          <cell r="Z44">
            <v>37726.31821579906</v>
          </cell>
          <cell r="AA44">
            <v>35411.677623403244</v>
          </cell>
          <cell r="AB44">
            <v>32886.192346161333</v>
          </cell>
        </row>
        <row r="45">
          <cell r="D45">
            <v>4</v>
          </cell>
          <cell r="E45">
            <v>30817.080931332948</v>
          </cell>
          <cell r="F45">
            <v>29317.60205049477</v>
          </cell>
          <cell r="G45">
            <v>28017.991055344337</v>
          </cell>
          <cell r="H45">
            <v>27264.694445789381</v>
          </cell>
          <cell r="I45">
            <v>26871.968964790514</v>
          </cell>
          <cell r="J45">
            <v>26462.871928159708</v>
          </cell>
          <cell r="K45">
            <v>25751.523369505929</v>
          </cell>
          <cell r="L45">
            <v>27210.065494228304</v>
          </cell>
          <cell r="M45">
            <v>28961.344595404567</v>
          </cell>
          <cell r="N45">
            <v>30449.909105821462</v>
          </cell>
          <cell r="O45">
            <v>31712.535642217994</v>
          </cell>
          <cell r="P45">
            <v>32765.01182313676</v>
          </cell>
          <cell r="Q45">
            <v>33392.561222173412</v>
          </cell>
          <cell r="R45">
            <v>33524.011779995664</v>
          </cell>
          <cell r="S45">
            <v>33726.227341482496</v>
          </cell>
          <cell r="T45">
            <v>33969.730630399608</v>
          </cell>
          <cell r="U45">
            <v>33965.551711646651</v>
          </cell>
          <cell r="V45">
            <v>34534.992391469292</v>
          </cell>
          <cell r="W45">
            <v>38863.542422383267</v>
          </cell>
          <cell r="X45">
            <v>40541.403044794402</v>
          </cell>
          <cell r="Y45">
            <v>40209.328350729731</v>
          </cell>
          <cell r="Z45">
            <v>38772.531220983139</v>
          </cell>
          <cell r="AA45">
            <v>35934.808107766228</v>
          </cell>
          <cell r="AB45">
            <v>32934.19776098516</v>
          </cell>
        </row>
        <row r="46">
          <cell r="D46">
            <v>1</v>
          </cell>
          <cell r="E46">
            <v>30817.080931332948</v>
          </cell>
          <cell r="F46">
            <v>29317.60205049477</v>
          </cell>
          <cell r="G46">
            <v>28017.991055344337</v>
          </cell>
          <cell r="H46">
            <v>27264.694445789381</v>
          </cell>
          <cell r="I46">
            <v>26871.968964790514</v>
          </cell>
          <cell r="J46">
            <v>26462.871928159708</v>
          </cell>
          <cell r="K46">
            <v>25751.523369505929</v>
          </cell>
          <cell r="L46">
            <v>27210.065494228304</v>
          </cell>
          <cell r="M46">
            <v>28961.344595404567</v>
          </cell>
          <cell r="N46">
            <v>30449.909105821462</v>
          </cell>
          <cell r="O46">
            <v>31712.535642217994</v>
          </cell>
          <cell r="P46">
            <v>32765.01182313676</v>
          </cell>
          <cell r="Q46">
            <v>33392.561222173412</v>
          </cell>
          <cell r="R46">
            <v>33524.011779995664</v>
          </cell>
          <cell r="S46">
            <v>33726.227341482496</v>
          </cell>
          <cell r="T46">
            <v>33969.730630399608</v>
          </cell>
          <cell r="U46">
            <v>33965.551711646651</v>
          </cell>
          <cell r="V46">
            <v>34534.992391469292</v>
          </cell>
          <cell r="W46">
            <v>38863.542422383267</v>
          </cell>
          <cell r="X46">
            <v>40541.403044794402</v>
          </cell>
          <cell r="Y46">
            <v>40209.328350729731</v>
          </cell>
          <cell r="Z46">
            <v>38772.531220983139</v>
          </cell>
          <cell r="AA46">
            <v>35934.808107766228</v>
          </cell>
          <cell r="AB46">
            <v>32934.19776098516</v>
          </cell>
        </row>
        <row r="47">
          <cell r="D47">
            <v>22</v>
          </cell>
          <cell r="E47">
            <v>30876.61378495206</v>
          </cell>
          <cell r="F47">
            <v>29257.026424513304</v>
          </cell>
          <cell r="G47">
            <v>28063.92320877776</v>
          </cell>
          <cell r="H47">
            <v>27190.073525965901</v>
          </cell>
          <cell r="I47">
            <v>27159.201988674366</v>
          </cell>
          <cell r="J47">
            <v>28038.144967946711</v>
          </cell>
          <cell r="K47">
            <v>28434.429922744017</v>
          </cell>
          <cell r="L47">
            <v>31689.513068419623</v>
          </cell>
          <cell r="M47">
            <v>35195.230110425415</v>
          </cell>
          <cell r="N47">
            <v>36945.649595994539</v>
          </cell>
          <cell r="O47">
            <v>38827.223227485687</v>
          </cell>
          <cell r="P47">
            <v>40435.158126588205</v>
          </cell>
          <cell r="Q47">
            <v>38973.681959883659</v>
          </cell>
          <cell r="R47">
            <v>40112.480550139597</v>
          </cell>
          <cell r="S47">
            <v>42387.639428236515</v>
          </cell>
          <cell r="T47">
            <v>42677.737477234448</v>
          </cell>
          <cell r="U47">
            <v>42018.338755718665</v>
          </cell>
          <cell r="V47">
            <v>40949.951694673415</v>
          </cell>
          <cell r="W47">
            <v>43689.387079833017</v>
          </cell>
          <cell r="X47">
            <v>43276.77300384015</v>
          </cell>
          <cell r="Y47">
            <v>41895.01426538801</v>
          </cell>
          <cell r="Z47">
            <v>39635.393863146113</v>
          </cell>
          <cell r="AA47">
            <v>36245.112224971825</v>
          </cell>
          <cell r="AB47">
            <v>33126.264455061762</v>
          </cell>
        </row>
        <row r="48">
          <cell r="D48">
            <v>4</v>
          </cell>
          <cell r="E48">
            <v>30073.146169634263</v>
          </cell>
          <cell r="F48">
            <v>28553.055565300521</v>
          </cell>
          <cell r="G48">
            <v>27411.154473029754</v>
          </cell>
          <cell r="H48">
            <v>26569.521924457618</v>
          </cell>
          <cell r="I48">
            <v>26345.753053888893</v>
          </cell>
          <cell r="J48">
            <v>26194.056535750362</v>
          </cell>
          <cell r="K48">
            <v>26494.384313005568</v>
          </cell>
          <cell r="L48">
            <v>29514.890677190622</v>
          </cell>
          <cell r="M48">
            <v>32893.294563523843</v>
          </cell>
          <cell r="N48">
            <v>34557.418538441481</v>
          </cell>
          <cell r="O48">
            <v>36581.33364857766</v>
          </cell>
          <cell r="P48">
            <v>37482.309847506629</v>
          </cell>
          <cell r="Q48">
            <v>37064.958891341797</v>
          </cell>
          <cell r="R48">
            <v>36611.590831546826</v>
          </cell>
          <cell r="S48">
            <v>36864.590066729674</v>
          </cell>
          <cell r="T48">
            <v>36785.889448306538</v>
          </cell>
          <cell r="U48">
            <v>36348.565619136389</v>
          </cell>
          <cell r="V48">
            <v>37240.271921523257</v>
          </cell>
          <cell r="W48">
            <v>41379.733352581767</v>
          </cell>
          <cell r="X48">
            <v>41073.403448342644</v>
          </cell>
          <cell r="Y48">
            <v>39623.447235732128</v>
          </cell>
          <cell r="Z48">
            <v>37800.219136747575</v>
          </cell>
          <cell r="AA48">
            <v>35711.27426494682</v>
          </cell>
          <cell r="AB48">
            <v>33215.232044735123</v>
          </cell>
        </row>
        <row r="49">
          <cell r="D49">
            <v>4</v>
          </cell>
          <cell r="E49">
            <v>30780.978177113102</v>
          </cell>
          <cell r="F49">
            <v>29212.347999092221</v>
          </cell>
          <cell r="G49">
            <v>27865.531364026465</v>
          </cell>
          <cell r="H49">
            <v>26974.001521816001</v>
          </cell>
          <cell r="I49">
            <v>26596.625773378404</v>
          </cell>
          <cell r="J49">
            <v>25874.873880104751</v>
          </cell>
          <cell r="K49">
            <v>25198.572421999746</v>
          </cell>
          <cell r="L49">
            <v>26782.975162605868</v>
          </cell>
          <cell r="M49">
            <v>28505.127554825751</v>
          </cell>
          <cell r="N49">
            <v>30175.603785970099</v>
          </cell>
          <cell r="O49">
            <v>31454.016517509895</v>
          </cell>
          <cell r="P49">
            <v>32293.787395714957</v>
          </cell>
          <cell r="Q49">
            <v>33013.489373758493</v>
          </cell>
          <cell r="R49">
            <v>33114.80294511946</v>
          </cell>
          <cell r="S49">
            <v>33134.63936385831</v>
          </cell>
          <cell r="T49">
            <v>33546.863361084535</v>
          </cell>
          <cell r="U49">
            <v>33511.312993070336</v>
          </cell>
          <cell r="V49">
            <v>34601.332622619215</v>
          </cell>
          <cell r="W49">
            <v>39126.583448135447</v>
          </cell>
          <cell r="X49">
            <v>39777.456343563696</v>
          </cell>
          <cell r="Y49">
            <v>39263.649277800279</v>
          </cell>
          <cell r="Z49">
            <v>37781.01350886772</v>
          </cell>
          <cell r="AA49">
            <v>35056.988772363933</v>
          </cell>
          <cell r="AB49">
            <v>32156.160552940997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20</v>
          </cell>
          <cell r="E51">
            <v>30025.786540436653</v>
          </cell>
          <cell r="F51">
            <v>28445.242704059561</v>
          </cell>
          <cell r="G51">
            <v>27315.897461244142</v>
          </cell>
          <cell r="H51">
            <v>26494.736911315755</v>
          </cell>
          <cell r="I51">
            <v>26580.467010095428</v>
          </cell>
          <cell r="J51">
            <v>27374.333445970995</v>
          </cell>
          <cell r="K51">
            <v>28093.068824490911</v>
          </cell>
          <cell r="L51">
            <v>31291.298912779297</v>
          </cell>
          <cell r="M51">
            <v>34692.306146658557</v>
          </cell>
          <cell r="N51">
            <v>36473.551129705324</v>
          </cell>
          <cell r="O51">
            <v>38328.564745785407</v>
          </cell>
          <cell r="P51">
            <v>39797.385442246479</v>
          </cell>
          <cell r="Q51">
            <v>38080.359943179647</v>
          </cell>
          <cell r="R51">
            <v>39098.34077741189</v>
          </cell>
          <cell r="S51">
            <v>41293.062730898935</v>
          </cell>
          <cell r="T51">
            <v>41789.121723975804</v>
          </cell>
          <cell r="U51">
            <v>41324.738982037794</v>
          </cell>
          <cell r="V51">
            <v>41339.329638551841</v>
          </cell>
          <cell r="W51">
            <v>43904.493896178508</v>
          </cell>
          <cell r="X51">
            <v>42926.065106833164</v>
          </cell>
          <cell r="Y51">
            <v>41331.829500662352</v>
          </cell>
          <cell r="Z51">
            <v>39069.783041673516</v>
          </cell>
          <cell r="AA51">
            <v>35735.905624072533</v>
          </cell>
          <cell r="AB51">
            <v>32516.206488991862</v>
          </cell>
        </row>
        <row r="52">
          <cell r="D52">
            <v>5</v>
          </cell>
          <cell r="E52">
            <v>30573.509363667636</v>
          </cell>
          <cell r="F52">
            <v>28856.729298812792</v>
          </cell>
          <cell r="G52">
            <v>27495.768747855596</v>
          </cell>
          <cell r="H52">
            <v>26648.538367473069</v>
          </cell>
          <cell r="I52">
            <v>26631.675221724599</v>
          </cell>
          <cell r="J52">
            <v>26518.578650826817</v>
          </cell>
          <cell r="K52">
            <v>26929.245292332002</v>
          </cell>
          <cell r="L52">
            <v>29597.147596383569</v>
          </cell>
          <cell r="M52">
            <v>32920.039224276334</v>
          </cell>
          <cell r="N52">
            <v>34815.571527244043</v>
          </cell>
          <cell r="O52">
            <v>36769.281258501418</v>
          </cell>
          <cell r="P52">
            <v>37741.296338719556</v>
          </cell>
          <cell r="Q52">
            <v>37032.826285426039</v>
          </cell>
          <cell r="R52">
            <v>36576.176021953055</v>
          </cell>
          <cell r="S52">
            <v>36960.195226385666</v>
          </cell>
          <cell r="T52">
            <v>37348.146009583877</v>
          </cell>
          <cell r="U52">
            <v>37063.503103295559</v>
          </cell>
          <cell r="V52">
            <v>38417.577573607254</v>
          </cell>
          <cell r="W52">
            <v>42047.734881203709</v>
          </cell>
          <cell r="X52">
            <v>41271.127630696763</v>
          </cell>
          <cell r="Y52">
            <v>39678.462117353323</v>
          </cell>
          <cell r="Z52">
            <v>37675.44475296577</v>
          </cell>
          <cell r="AA52">
            <v>35275.630395919419</v>
          </cell>
          <cell r="AB52">
            <v>32741.376611819214</v>
          </cell>
        </row>
        <row r="53">
          <cell r="D53">
            <v>5</v>
          </cell>
          <cell r="E53">
            <v>30415.258129498747</v>
          </cell>
          <cell r="F53">
            <v>28819.43936545281</v>
          </cell>
          <cell r="G53">
            <v>27552.150832746374</v>
          </cell>
          <cell r="H53">
            <v>26767.906218465519</v>
          </cell>
          <cell r="I53">
            <v>26415.638081867502</v>
          </cell>
          <cell r="J53">
            <v>25849.26337348485</v>
          </cell>
          <cell r="K53">
            <v>25158.560584396932</v>
          </cell>
          <cell r="L53">
            <v>26650.755423167953</v>
          </cell>
          <cell r="M53">
            <v>28588.752676306289</v>
          </cell>
          <cell r="N53">
            <v>30137.508536803605</v>
          </cell>
          <cell r="O53">
            <v>31622.625464578214</v>
          </cell>
          <cell r="P53">
            <v>32810.178296789141</v>
          </cell>
          <cell r="Q53">
            <v>33402.399157434353</v>
          </cell>
          <cell r="R53">
            <v>33465.896890439755</v>
          </cell>
          <cell r="S53">
            <v>33673.669915884682</v>
          </cell>
          <cell r="T53">
            <v>33636.618355321392</v>
          </cell>
          <cell r="U53">
            <v>33887.656043367017</v>
          </cell>
          <cell r="V53">
            <v>35548.094905209138</v>
          </cell>
          <cell r="W53">
            <v>39861.751300503078</v>
          </cell>
          <cell r="X53">
            <v>40125.348844917215</v>
          </cell>
          <cell r="Y53">
            <v>39501.729129540698</v>
          </cell>
          <cell r="Z53">
            <v>37934.923919879155</v>
          </cell>
          <cell r="AA53">
            <v>35090.897453522106</v>
          </cell>
          <cell r="AB53">
            <v>32215.286906078538</v>
          </cell>
        </row>
        <row r="54">
          <cell r="D54">
            <v>1</v>
          </cell>
          <cell r="E54">
            <v>30415.258129498747</v>
          </cell>
          <cell r="F54">
            <v>28819.43936545281</v>
          </cell>
          <cell r="G54">
            <v>27552.150832746374</v>
          </cell>
          <cell r="H54">
            <v>26767.906218465519</v>
          </cell>
          <cell r="I54">
            <v>26415.638081867502</v>
          </cell>
          <cell r="J54">
            <v>25849.26337348485</v>
          </cell>
          <cell r="K54">
            <v>25158.560584396932</v>
          </cell>
          <cell r="L54">
            <v>26650.755423167953</v>
          </cell>
          <cell r="M54">
            <v>28588.752676306289</v>
          </cell>
          <cell r="N54">
            <v>30137.508536803605</v>
          </cell>
          <cell r="O54">
            <v>31622.625464578214</v>
          </cell>
          <cell r="P54">
            <v>32810.178296789141</v>
          </cell>
          <cell r="Q54">
            <v>33402.399157434353</v>
          </cell>
          <cell r="R54">
            <v>33465.896890439755</v>
          </cell>
          <cell r="S54">
            <v>33673.669915884682</v>
          </cell>
          <cell r="T54">
            <v>33636.618355321392</v>
          </cell>
          <cell r="U54">
            <v>33887.656043367017</v>
          </cell>
          <cell r="V54">
            <v>35548.094905209138</v>
          </cell>
          <cell r="W54">
            <v>39861.751300503078</v>
          </cell>
          <cell r="X54">
            <v>40125.348844917215</v>
          </cell>
          <cell r="Y54">
            <v>39501.729129540698</v>
          </cell>
          <cell r="Z54">
            <v>37934.923919879155</v>
          </cell>
          <cell r="AA54">
            <v>35090.897453522106</v>
          </cell>
          <cell r="AB54">
            <v>32215.286906078538</v>
          </cell>
        </row>
        <row r="55">
          <cell r="D55">
            <v>20</v>
          </cell>
          <cell r="E55">
            <v>29440.125973965944</v>
          </cell>
          <cell r="F55">
            <v>27927.370768423236</v>
          </cell>
          <cell r="G55">
            <v>26825.797893786621</v>
          </cell>
          <cell r="H55">
            <v>26079.635676525126</v>
          </cell>
          <cell r="I55">
            <v>26153.208609501762</v>
          </cell>
          <cell r="J55">
            <v>26929.783797672542</v>
          </cell>
          <cell r="K55">
            <v>27638.89666402719</v>
          </cell>
          <cell r="L55">
            <v>30926.486489370065</v>
          </cell>
          <cell r="M55">
            <v>34310.079515327569</v>
          </cell>
          <cell r="N55">
            <v>35988.552480029241</v>
          </cell>
          <cell r="O55">
            <v>37740.267152683635</v>
          </cell>
          <cell r="P55">
            <v>38974.890376458934</v>
          </cell>
          <cell r="Q55">
            <v>37376.725765218172</v>
          </cell>
          <cell r="R55">
            <v>38218.064154987027</v>
          </cell>
          <cell r="S55">
            <v>40124.219385830002</v>
          </cell>
          <cell r="T55">
            <v>40614.701378878999</v>
          </cell>
          <cell r="U55">
            <v>40218.11637436934</v>
          </cell>
          <cell r="V55">
            <v>40743.527958258783</v>
          </cell>
          <cell r="W55">
            <v>42738.133084350375</v>
          </cell>
          <cell r="X55">
            <v>41748.285553680929</v>
          </cell>
          <cell r="Y55">
            <v>40268.370812054702</v>
          </cell>
          <cell r="Z55">
            <v>38124.059650124196</v>
          </cell>
          <cell r="AA55">
            <v>34987.280188742472</v>
          </cell>
          <cell r="AB55">
            <v>31890.888556883601</v>
          </cell>
        </row>
        <row r="56">
          <cell r="D56">
            <v>4</v>
          </cell>
          <cell r="E56">
            <v>28737.829562434497</v>
          </cell>
          <cell r="F56">
            <v>27330.807043981586</v>
          </cell>
          <cell r="G56">
            <v>26343.385297804234</v>
          </cell>
          <cell r="H56">
            <v>25697.644901728236</v>
          </cell>
          <cell r="I56">
            <v>25682.255051221568</v>
          </cell>
          <cell r="J56">
            <v>25618.868712605225</v>
          </cell>
          <cell r="K56">
            <v>26001.521830667745</v>
          </cell>
          <cell r="L56">
            <v>28997.368441382587</v>
          </cell>
          <cell r="M56">
            <v>32366.572753311102</v>
          </cell>
          <cell r="N56">
            <v>34231.117231532648</v>
          </cell>
          <cell r="O56">
            <v>36172.901196295978</v>
          </cell>
          <cell r="P56">
            <v>36991.033385600342</v>
          </cell>
          <cell r="Q56">
            <v>36325.511187300217</v>
          </cell>
          <cell r="R56">
            <v>35572.34264312344</v>
          </cell>
          <cell r="S56">
            <v>35333.751788152018</v>
          </cell>
          <cell r="T56">
            <v>35617.504784711731</v>
          </cell>
          <cell r="U56">
            <v>35440.951689309069</v>
          </cell>
          <cell r="V56">
            <v>37412.924315631397</v>
          </cell>
          <cell r="W56">
            <v>40498.237481534255</v>
          </cell>
          <cell r="X56">
            <v>39813.84478696539</v>
          </cell>
          <cell r="Y56">
            <v>38382.48537807112</v>
          </cell>
          <cell r="Z56">
            <v>36606.685714175488</v>
          </cell>
          <cell r="AA56">
            <v>34362.969484433335</v>
          </cell>
          <cell r="AB56">
            <v>31838.590241229806</v>
          </cell>
        </row>
        <row r="57">
          <cell r="D57">
            <v>4</v>
          </cell>
          <cell r="E57">
            <v>29785.258391161133</v>
          </cell>
          <cell r="F57">
            <v>28372.189491038549</v>
          </cell>
          <cell r="G57">
            <v>27148.595106193716</v>
          </cell>
          <cell r="H57">
            <v>26323.9134309037</v>
          </cell>
          <cell r="I57">
            <v>25989.640976596176</v>
          </cell>
          <cell r="J57">
            <v>25551.733838392825</v>
          </cell>
          <cell r="K57">
            <v>24921.127656246506</v>
          </cell>
          <cell r="L57">
            <v>26292.769976340045</v>
          </cell>
          <cell r="M57">
            <v>28173.219662641222</v>
          </cell>
          <cell r="N57">
            <v>29718.598991371538</v>
          </cell>
          <cell r="O57">
            <v>31205.516108971795</v>
          </cell>
          <cell r="P57">
            <v>31990.973667109894</v>
          </cell>
          <cell r="Q57">
            <v>32573.774848319325</v>
          </cell>
          <cell r="R57">
            <v>32543.06626424846</v>
          </cell>
          <cell r="S57">
            <v>32449.541718660676</v>
          </cell>
          <cell r="T57">
            <v>32597.469764198933</v>
          </cell>
          <cell r="U57">
            <v>32635.359717899704</v>
          </cell>
          <cell r="V57">
            <v>34842.783962807225</v>
          </cell>
          <cell r="W57">
            <v>38163.875500814727</v>
          </cell>
          <cell r="X57">
            <v>38219.714073391478</v>
          </cell>
          <cell r="Y57">
            <v>37376.926649224224</v>
          </cell>
          <cell r="Z57">
            <v>35907.731104855884</v>
          </cell>
          <cell r="AA57">
            <v>33606.352969846404</v>
          </cell>
          <cell r="AB57">
            <v>31172.11397070485</v>
          </cell>
        </row>
        <row r="58">
          <cell r="D58">
            <v>2</v>
          </cell>
          <cell r="E58">
            <v>29785.258391161133</v>
          </cell>
          <cell r="F58">
            <v>28372.189491038549</v>
          </cell>
          <cell r="G58">
            <v>27148.595106193716</v>
          </cell>
          <cell r="H58">
            <v>26323.9134309037</v>
          </cell>
          <cell r="I58">
            <v>25989.640976596176</v>
          </cell>
          <cell r="J58">
            <v>25551.733838392825</v>
          </cell>
          <cell r="K58">
            <v>24921.127656246506</v>
          </cell>
          <cell r="L58">
            <v>26292.769976340045</v>
          </cell>
          <cell r="M58">
            <v>28173.219662641222</v>
          </cell>
          <cell r="N58">
            <v>29718.598991371538</v>
          </cell>
          <cell r="O58">
            <v>31205.516108971795</v>
          </cell>
          <cell r="P58">
            <v>31990.973667109894</v>
          </cell>
          <cell r="Q58">
            <v>32573.774848319325</v>
          </cell>
          <cell r="R58">
            <v>32543.06626424846</v>
          </cell>
          <cell r="S58">
            <v>32449.541718660676</v>
          </cell>
          <cell r="T58">
            <v>32597.469764198933</v>
          </cell>
          <cell r="U58">
            <v>32635.359717899704</v>
          </cell>
          <cell r="V58">
            <v>34842.783962807225</v>
          </cell>
          <cell r="W58">
            <v>38163.875500814727</v>
          </cell>
          <cell r="X58">
            <v>38219.714073391478</v>
          </cell>
          <cell r="Y58">
            <v>37376.926649224224</v>
          </cell>
          <cell r="Z58">
            <v>35907.731104855884</v>
          </cell>
          <cell r="AA58">
            <v>33606.352969846404</v>
          </cell>
          <cell r="AB58">
            <v>31172.11397070485</v>
          </cell>
        </row>
        <row r="59">
          <cell r="D59">
            <v>21</v>
          </cell>
          <cell r="E59">
            <v>31680.132738173728</v>
          </cell>
          <cell r="F59">
            <v>29937.755103426196</v>
          </cell>
          <cell r="G59">
            <v>28693.378509513263</v>
          </cell>
          <cell r="H59">
            <v>27922.291787845032</v>
          </cell>
          <cell r="I59">
            <v>27823.122084794602</v>
          </cell>
          <cell r="J59">
            <v>28320.140083884391</v>
          </cell>
          <cell r="K59">
            <v>28518.210758304205</v>
          </cell>
          <cell r="L59">
            <v>31955.512810625267</v>
          </cell>
          <cell r="M59">
            <v>35446.451216536261</v>
          </cell>
          <cell r="N59">
            <v>37445.347907198186</v>
          </cell>
          <cell r="O59">
            <v>39204.674646441701</v>
          </cell>
          <cell r="P59">
            <v>40477.70149918065</v>
          </cell>
          <cell r="Q59">
            <v>39363.1854060103</v>
          </cell>
          <cell r="R59">
            <v>39867.607646128534</v>
          </cell>
          <cell r="S59">
            <v>41553.272146911899</v>
          </cell>
          <cell r="T59">
            <v>42071.969656847665</v>
          </cell>
          <cell r="U59">
            <v>41724.969038678209</v>
          </cell>
          <cell r="V59">
            <v>41767.332143796782</v>
          </cell>
          <cell r="W59">
            <v>44985.981043413871</v>
          </cell>
          <cell r="X59">
            <v>44120.404072303849</v>
          </cell>
          <cell r="Y59">
            <v>42505.518698607731</v>
          </cell>
          <cell r="Z59">
            <v>40203.324934592922</v>
          </cell>
          <cell r="AA59">
            <v>37248.907599040249</v>
          </cell>
          <cell r="AB59">
            <v>34374.092534879121</v>
          </cell>
        </row>
        <row r="60">
          <cell r="D60">
            <v>5</v>
          </cell>
          <cell r="E60">
            <v>32193.162423670132</v>
          </cell>
          <cell r="F60">
            <v>30370.58307887398</v>
          </cell>
          <cell r="G60">
            <v>29169.950096608478</v>
          </cell>
          <cell r="H60">
            <v>28289.660992099598</v>
          </cell>
          <cell r="I60">
            <v>28046.33310899977</v>
          </cell>
          <cell r="J60">
            <v>28095.251839972821</v>
          </cell>
          <cell r="K60">
            <v>27816.181367959456</v>
          </cell>
          <cell r="L60">
            <v>30370.225028069832</v>
          </cell>
          <cell r="M60">
            <v>34067.019553669074</v>
          </cell>
          <cell r="N60">
            <v>36234.981144611636</v>
          </cell>
          <cell r="O60">
            <v>38060.879234573003</v>
          </cell>
          <cell r="P60">
            <v>39175.293391895539</v>
          </cell>
          <cell r="Q60">
            <v>38540.799309509304</v>
          </cell>
          <cell r="R60">
            <v>38262.104424180994</v>
          </cell>
          <cell r="S60">
            <v>38101.712011454882</v>
          </cell>
          <cell r="T60">
            <v>38510.798605664502</v>
          </cell>
          <cell r="U60">
            <v>38391.165637954757</v>
          </cell>
          <cell r="V60">
            <v>39240.049255143189</v>
          </cell>
          <cell r="W60">
            <v>43586.768162966851</v>
          </cell>
          <cell r="X60">
            <v>42968.497002234602</v>
          </cell>
          <cell r="Y60">
            <v>41350.761615191812</v>
          </cell>
          <cell r="Z60">
            <v>39585.816334166397</v>
          </cell>
          <cell r="AA60">
            <v>37138.746648775123</v>
          </cell>
          <cell r="AB60">
            <v>34617.736443399321</v>
          </cell>
        </row>
        <row r="61">
          <cell r="D61">
            <v>3</v>
          </cell>
          <cell r="E61">
            <v>32396.39371805088</v>
          </cell>
          <cell r="F61">
            <v>30804.103531834313</v>
          </cell>
          <cell r="G61">
            <v>29521.664071089599</v>
          </cell>
          <cell r="H61">
            <v>28618.529858637816</v>
          </cell>
          <cell r="I61">
            <v>28211.102477593693</v>
          </cell>
          <cell r="J61">
            <v>27926.417335356553</v>
          </cell>
          <cell r="K61">
            <v>26682.142009257892</v>
          </cell>
          <cell r="L61">
            <v>28028.069329645481</v>
          </cell>
          <cell r="M61">
            <v>30167.518534778716</v>
          </cell>
          <cell r="N61">
            <v>32004.213626015386</v>
          </cell>
          <cell r="O61">
            <v>33212.465470272233</v>
          </cell>
          <cell r="P61">
            <v>34201.872071812228</v>
          </cell>
          <cell r="Q61">
            <v>34790.251888829524</v>
          </cell>
          <cell r="R61">
            <v>35117.892924871892</v>
          </cell>
          <cell r="S61">
            <v>34125.316154902881</v>
          </cell>
          <cell r="T61">
            <v>35058.633125526438</v>
          </cell>
          <cell r="U61">
            <v>35267.031128083006</v>
          </cell>
          <cell r="V61">
            <v>36444.517704088663</v>
          </cell>
          <cell r="W61">
            <v>40865.125799591005</v>
          </cell>
          <cell r="X61">
            <v>40539.998452364322</v>
          </cell>
          <cell r="Y61">
            <v>39482.010933705322</v>
          </cell>
          <cell r="Z61">
            <v>38032.526584696774</v>
          </cell>
          <cell r="AA61">
            <v>35839.770214691576</v>
          </cell>
          <cell r="AB61">
            <v>33616.065884439806</v>
          </cell>
        </row>
        <row r="62">
          <cell r="D62">
            <v>2</v>
          </cell>
          <cell r="E62">
            <v>32396.39371805088</v>
          </cell>
          <cell r="F62">
            <v>30804.103531834313</v>
          </cell>
          <cell r="G62">
            <v>29521.664071089599</v>
          </cell>
          <cell r="H62">
            <v>28618.529858637816</v>
          </cell>
          <cell r="I62">
            <v>28211.102477593693</v>
          </cell>
          <cell r="J62">
            <v>27926.417335356553</v>
          </cell>
          <cell r="K62">
            <v>26682.142009257892</v>
          </cell>
          <cell r="L62">
            <v>28028.069329645481</v>
          </cell>
          <cell r="M62">
            <v>30167.518534778716</v>
          </cell>
          <cell r="N62">
            <v>32004.213626015386</v>
          </cell>
          <cell r="O62">
            <v>33212.465470272233</v>
          </cell>
          <cell r="P62">
            <v>34201.872071812228</v>
          </cell>
          <cell r="Q62">
            <v>34790.251888829524</v>
          </cell>
          <cell r="R62">
            <v>35117.892924871892</v>
          </cell>
          <cell r="S62">
            <v>34125.316154902881</v>
          </cell>
          <cell r="T62">
            <v>35058.633125526438</v>
          </cell>
          <cell r="U62">
            <v>35267.031128083006</v>
          </cell>
          <cell r="V62">
            <v>36444.517704088663</v>
          </cell>
          <cell r="W62">
            <v>40865.125799591005</v>
          </cell>
          <cell r="X62">
            <v>40539.998452364322</v>
          </cell>
          <cell r="Y62">
            <v>39482.010933705322</v>
          </cell>
          <cell r="Z62">
            <v>38032.526584696774</v>
          </cell>
          <cell r="AA62">
            <v>35839.770214691576</v>
          </cell>
          <cell r="AB62">
            <v>33616.065884439806</v>
          </cell>
        </row>
      </sheetData>
      <sheetData sheetId="27">
        <row r="15">
          <cell r="D15">
            <v>21</v>
          </cell>
          <cell r="E15">
            <v>33574.078693827068</v>
          </cell>
          <cell r="F15">
            <v>31859.50667722071</v>
          </cell>
          <cell r="G15">
            <v>30569.718743013153</v>
          </cell>
          <cell r="H15">
            <v>29633.542753373578</v>
          </cell>
          <cell r="I15">
            <v>29470.198058109887</v>
          </cell>
          <cell r="J15">
            <v>30456.389555722431</v>
          </cell>
          <cell r="K15">
            <v>30181.45660553643</v>
          </cell>
          <cell r="L15">
            <v>33669.02327442581</v>
          </cell>
          <cell r="M15">
            <v>37376.199265659583</v>
          </cell>
          <cell r="N15">
            <v>39302.706969122664</v>
          </cell>
          <cell r="O15">
            <v>41388.312562627296</v>
          </cell>
          <cell r="P15">
            <v>43095.535737347236</v>
          </cell>
          <cell r="Q15">
            <v>41915.537835711169</v>
          </cell>
          <cell r="R15">
            <v>43069.579315383889</v>
          </cell>
          <cell r="S15">
            <v>45067.470079189079</v>
          </cell>
          <cell r="T15">
            <v>45307.05775238249</v>
          </cell>
          <cell r="U15">
            <v>44557.767034231423</v>
          </cell>
          <cell r="V15">
            <v>42915.80784707269</v>
          </cell>
          <cell r="W15">
            <v>45909.054507941713</v>
          </cell>
          <cell r="X15">
            <v>46072.753060678464</v>
          </cell>
          <cell r="Y15">
            <v>44862.529827847917</v>
          </cell>
          <cell r="Z15">
            <v>42895.348750139325</v>
          </cell>
          <cell r="AA15">
            <v>39854.273524878823</v>
          </cell>
          <cell r="AB15">
            <v>36607.601178995952</v>
          </cell>
        </row>
        <row r="16">
          <cell r="D16">
            <v>4</v>
          </cell>
          <cell r="E16">
            <v>33330.720949908195</v>
          </cell>
          <cell r="F16">
            <v>31729.896856231888</v>
          </cell>
          <cell r="G16">
            <v>30472.543687468326</v>
          </cell>
          <cell r="H16">
            <v>29512.272797524711</v>
          </cell>
          <cell r="I16">
            <v>29221.623800295391</v>
          </cell>
          <cell r="J16">
            <v>29455.38113835279</v>
          </cell>
          <cell r="K16">
            <v>28696.2637221318</v>
          </cell>
          <cell r="L16">
            <v>31531.42157641258</v>
          </cell>
          <cell r="M16">
            <v>35037.194650504709</v>
          </cell>
          <cell r="N16">
            <v>37359.084221733603</v>
          </cell>
          <cell r="O16">
            <v>39185.827301224766</v>
          </cell>
          <cell r="P16">
            <v>40174.346437980275</v>
          </cell>
          <cell r="Q16">
            <v>39823.078775005168</v>
          </cell>
          <cell r="R16">
            <v>38979.892933357674</v>
          </cell>
          <cell r="S16">
            <v>39163.839789402868</v>
          </cell>
          <cell r="T16">
            <v>39299.692156295569</v>
          </cell>
          <cell r="U16">
            <v>38910.238915618225</v>
          </cell>
          <cell r="V16">
            <v>39051.191557029932</v>
          </cell>
          <cell r="W16">
            <v>43379.835309667193</v>
          </cell>
          <cell r="X16">
            <v>43690.478736317651</v>
          </cell>
          <cell r="Y16">
            <v>42391.779342120084</v>
          </cell>
          <cell r="Z16">
            <v>40674.003162528134</v>
          </cell>
          <cell r="AA16">
            <v>38441.691328186243</v>
          </cell>
          <cell r="AB16">
            <v>35966.149347411672</v>
          </cell>
        </row>
        <row r="17">
          <cell r="D17">
            <v>4</v>
          </cell>
          <cell r="E17">
            <v>33551.627626137728</v>
          </cell>
          <cell r="F17">
            <v>31903.230743030887</v>
          </cell>
          <cell r="G17">
            <v>30574.035259639713</v>
          </cell>
          <cell r="H17">
            <v>29598.853975113885</v>
          </cell>
          <cell r="I17">
            <v>29118.89429084607</v>
          </cell>
          <cell r="J17">
            <v>28966.147581790436</v>
          </cell>
          <cell r="K17">
            <v>27405.547822317301</v>
          </cell>
          <cell r="L17">
            <v>28628.178525151518</v>
          </cell>
          <cell r="M17">
            <v>30587.988528078356</v>
          </cell>
          <cell r="N17">
            <v>32096.974524399229</v>
          </cell>
          <cell r="O17">
            <v>33540.647234130156</v>
          </cell>
          <cell r="P17">
            <v>34708.520104087082</v>
          </cell>
          <cell r="Q17">
            <v>35504.4921208987</v>
          </cell>
          <cell r="R17">
            <v>35600.269693975453</v>
          </cell>
          <cell r="S17">
            <v>35618.307918602637</v>
          </cell>
          <cell r="T17">
            <v>35740.851867685778</v>
          </cell>
          <cell r="U17">
            <v>35759.013581546766</v>
          </cell>
          <cell r="V17">
            <v>36136.637906933393</v>
          </cell>
          <cell r="W17">
            <v>40854.206095666043</v>
          </cell>
          <cell r="X17">
            <v>42024.410374691644</v>
          </cell>
          <cell r="Y17">
            <v>41579.770641248731</v>
          </cell>
          <cell r="Z17">
            <v>40212.005579387223</v>
          </cell>
          <cell r="AA17">
            <v>37762.534374989766</v>
          </cell>
          <cell r="AB17">
            <v>34840.445175018489</v>
          </cell>
        </row>
        <row r="18">
          <cell r="D18">
            <v>2</v>
          </cell>
          <cell r="E18">
            <v>33551.627626137728</v>
          </cell>
          <cell r="F18">
            <v>31903.230743030887</v>
          </cell>
          <cell r="G18">
            <v>30574.035259639713</v>
          </cell>
          <cell r="H18">
            <v>29598.853975113885</v>
          </cell>
          <cell r="I18">
            <v>29118.89429084607</v>
          </cell>
          <cell r="J18">
            <v>28966.147581790436</v>
          </cell>
          <cell r="K18">
            <v>27405.547822317301</v>
          </cell>
          <cell r="L18">
            <v>28628.178525151518</v>
          </cell>
          <cell r="M18">
            <v>30587.988528078356</v>
          </cell>
          <cell r="N18">
            <v>32096.974524399229</v>
          </cell>
          <cell r="O18">
            <v>33540.647234130156</v>
          </cell>
          <cell r="P18">
            <v>34708.520104087082</v>
          </cell>
          <cell r="Q18">
            <v>35504.4921208987</v>
          </cell>
          <cell r="R18">
            <v>35600.269693975453</v>
          </cell>
          <cell r="S18">
            <v>35618.307918602637</v>
          </cell>
          <cell r="T18">
            <v>35740.851867685778</v>
          </cell>
          <cell r="U18">
            <v>35759.013581546766</v>
          </cell>
          <cell r="V18">
            <v>36136.637906933393</v>
          </cell>
          <cell r="W18">
            <v>40854.206095666043</v>
          </cell>
          <cell r="X18">
            <v>42024.410374691644</v>
          </cell>
          <cell r="Y18">
            <v>41579.770641248731</v>
          </cell>
          <cell r="Z18">
            <v>40212.005579387223</v>
          </cell>
          <cell r="AA18">
            <v>37762.534374989766</v>
          </cell>
          <cell r="AB18">
            <v>34840.445175018489</v>
          </cell>
        </row>
        <row r="19">
          <cell r="D19">
            <v>20</v>
          </cell>
          <cell r="E19">
            <v>35346.310678164045</v>
          </cell>
          <cell r="F19">
            <v>33611.180612077384</v>
          </cell>
          <cell r="G19">
            <v>32226.027977380021</v>
          </cell>
          <cell r="H19">
            <v>31221.915222055708</v>
          </cell>
          <cell r="I19">
            <v>31186.940548132174</v>
          </cell>
          <cell r="J19">
            <v>33061.46447778229</v>
          </cell>
          <cell r="K19">
            <v>32743.16524543655</v>
          </cell>
          <cell r="L19">
            <v>35930.154425427521</v>
          </cell>
          <cell r="M19">
            <v>39436.319962142006</v>
          </cell>
          <cell r="N19">
            <v>41137.560863502593</v>
          </cell>
          <cell r="O19">
            <v>43192.392160725234</v>
          </cell>
          <cell r="P19">
            <v>44817.331409135484</v>
          </cell>
          <cell r="Q19">
            <v>43318.314453616018</v>
          </cell>
          <cell r="R19">
            <v>44874.684182911202</v>
          </cell>
          <cell r="S19">
            <v>47375.18849212338</v>
          </cell>
          <cell r="T19">
            <v>47762.560291128204</v>
          </cell>
          <cell r="U19">
            <v>47049.709386897332</v>
          </cell>
          <cell r="V19">
            <v>45131.396915378238</v>
          </cell>
          <cell r="W19">
            <v>47806.640063823907</v>
          </cell>
          <cell r="X19">
            <v>48482.606580416294</v>
          </cell>
          <cell r="Y19">
            <v>47437.397881408768</v>
          </cell>
          <cell r="Z19">
            <v>45345.391377548629</v>
          </cell>
          <cell r="AA19">
            <v>41773.936117576937</v>
          </cell>
          <cell r="AB19">
            <v>38232.800299767783</v>
          </cell>
        </row>
        <row r="20">
          <cell r="D20">
            <v>4</v>
          </cell>
          <cell r="E20">
            <v>35833.777750437992</v>
          </cell>
          <cell r="F20">
            <v>33896.265665308681</v>
          </cell>
          <cell r="G20">
            <v>32632.732273068465</v>
          </cell>
          <cell r="H20">
            <v>31431.66456422324</v>
          </cell>
          <cell r="I20">
            <v>31053.298888065023</v>
          </cell>
          <cell r="J20">
            <v>31414.132372360389</v>
          </cell>
          <cell r="K20">
            <v>30857.076713310613</v>
          </cell>
          <cell r="L20">
            <v>33708.438941549481</v>
          </cell>
          <cell r="M20">
            <v>37198.821524586238</v>
          </cell>
          <cell r="N20">
            <v>39271.752855441613</v>
          </cell>
          <cell r="O20">
            <v>41177.075800618964</v>
          </cell>
          <cell r="P20">
            <v>42134.828493234381</v>
          </cell>
          <cell r="Q20">
            <v>41462.711261580567</v>
          </cell>
          <cell r="R20">
            <v>40925.138141775635</v>
          </cell>
          <cell r="S20">
            <v>41113.443958433891</v>
          </cell>
          <cell r="T20">
            <v>41231.114116371493</v>
          </cell>
          <cell r="U20">
            <v>40941.307183928606</v>
          </cell>
          <cell r="V20">
            <v>40821.016429016017</v>
          </cell>
          <cell r="W20">
            <v>45058.930476586487</v>
          </cell>
          <cell r="X20">
            <v>45711.751864222591</v>
          </cell>
          <cell r="Y20">
            <v>44643.112502381984</v>
          </cell>
          <cell r="Z20">
            <v>42942.3725207889</v>
          </cell>
          <cell r="AA20">
            <v>40697.204890399065</v>
          </cell>
          <cell r="AB20">
            <v>38023.765615947646</v>
          </cell>
        </row>
        <row r="21">
          <cell r="D21">
            <v>4</v>
          </cell>
          <cell r="E21">
            <v>35734.009399730203</v>
          </cell>
          <cell r="F21">
            <v>34007.668148736804</v>
          </cell>
          <cell r="G21">
            <v>32613.700341972937</v>
          </cell>
          <cell r="H21">
            <v>31578.684996453092</v>
          </cell>
          <cell r="I21">
            <v>31045.884959771305</v>
          </cell>
          <cell r="J21">
            <v>31011.304130411474</v>
          </cell>
          <cell r="K21">
            <v>29383.888699275452</v>
          </cell>
          <cell r="L21">
            <v>30651.208847280755</v>
          </cell>
          <cell r="M21">
            <v>32584.796900742665</v>
          </cell>
          <cell r="N21">
            <v>33954.594196197984</v>
          </cell>
          <cell r="O21">
            <v>35349.191412973916</v>
          </cell>
          <cell r="P21">
            <v>36644.58413981078</v>
          </cell>
          <cell r="Q21">
            <v>37504.792351335745</v>
          </cell>
          <cell r="R21">
            <v>37727.808723081514</v>
          </cell>
          <cell r="S21">
            <v>38103.676664197279</v>
          </cell>
          <cell r="T21">
            <v>38399.163730287772</v>
          </cell>
          <cell r="U21">
            <v>38275.327138818662</v>
          </cell>
          <cell r="V21">
            <v>38040.252451814442</v>
          </cell>
          <cell r="W21">
            <v>42991.877299867803</v>
          </cell>
          <cell r="X21">
            <v>44774.894623076492</v>
          </cell>
          <cell r="Y21">
            <v>44758.277718292273</v>
          </cell>
          <cell r="Z21">
            <v>43695.496262392742</v>
          </cell>
          <cell r="AA21">
            <v>40148.781140086219</v>
          </cell>
          <cell r="AB21">
            <v>37020.606173126886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22</v>
          </cell>
          <cell r="E23">
            <v>32973.974752201109</v>
          </cell>
          <cell r="F23">
            <v>31342.952432081631</v>
          </cell>
          <cell r="G23">
            <v>30126.305140972268</v>
          </cell>
          <cell r="H23">
            <v>29327.737246908495</v>
          </cell>
          <cell r="I23">
            <v>29462.325211989577</v>
          </cell>
          <cell r="J23">
            <v>31035.536653791558</v>
          </cell>
          <cell r="K23">
            <v>31038.029000272847</v>
          </cell>
          <cell r="L23">
            <v>34403.143232131442</v>
          </cell>
          <cell r="M23">
            <v>37721.452874929739</v>
          </cell>
          <cell r="N23">
            <v>39441.93022015709</v>
          </cell>
          <cell r="O23">
            <v>41411.694134646888</v>
          </cell>
          <cell r="P23">
            <v>42703.244793782971</v>
          </cell>
          <cell r="Q23">
            <v>40771.282898836973</v>
          </cell>
          <cell r="R23">
            <v>42116.043404827113</v>
          </cell>
          <cell r="S23">
            <v>44430.387927271157</v>
          </cell>
          <cell r="T23">
            <v>44919.260137228375</v>
          </cell>
          <cell r="U23">
            <v>44428.753996971252</v>
          </cell>
          <cell r="V23">
            <v>42867.53085404195</v>
          </cell>
          <cell r="W23">
            <v>45488.783371383492</v>
          </cell>
          <cell r="X23">
            <v>45895.830254375862</v>
          </cell>
          <cell r="Y23">
            <v>44551.741023894421</v>
          </cell>
          <cell r="Z23">
            <v>42329.164725314731</v>
          </cell>
          <cell r="AA23">
            <v>38989.265073321949</v>
          </cell>
          <cell r="AB23">
            <v>35598.5906491727</v>
          </cell>
        </row>
        <row r="24">
          <cell r="D24">
            <v>4</v>
          </cell>
          <cell r="E24">
            <v>33167.013427776154</v>
          </cell>
          <cell r="F24">
            <v>31530.741260207575</v>
          </cell>
          <cell r="G24">
            <v>30239.971862185575</v>
          </cell>
          <cell r="H24">
            <v>29385.577256548499</v>
          </cell>
          <cell r="I24">
            <v>29169.708211591333</v>
          </cell>
          <cell r="J24">
            <v>29501.874780596798</v>
          </cell>
          <cell r="K24">
            <v>29360.062445705822</v>
          </cell>
          <cell r="L24">
            <v>32447.766227515702</v>
          </cell>
          <cell r="M24">
            <v>36039.958721984905</v>
          </cell>
          <cell r="N24">
            <v>38130.07919084996</v>
          </cell>
          <cell r="O24">
            <v>40005.040599915046</v>
          </cell>
          <cell r="P24">
            <v>41120.331630724286</v>
          </cell>
          <cell r="Q24">
            <v>40413.589364423417</v>
          </cell>
          <cell r="R24">
            <v>39874.73943114734</v>
          </cell>
          <cell r="S24">
            <v>40190.561544675067</v>
          </cell>
          <cell r="T24">
            <v>40243.201910505675</v>
          </cell>
          <cell r="U24">
            <v>39886.286268277756</v>
          </cell>
          <cell r="V24">
            <v>39641.05417138026</v>
          </cell>
          <cell r="W24">
            <v>43774.821335612723</v>
          </cell>
          <cell r="X24">
            <v>44480.578289427103</v>
          </cell>
          <cell r="Y24">
            <v>43244.295694257838</v>
          </cell>
          <cell r="Z24">
            <v>41559.903602268896</v>
          </cell>
          <cell r="AA24">
            <v>39216.623617568417</v>
          </cell>
          <cell r="AB24">
            <v>36647.137922726732</v>
          </cell>
        </row>
        <row r="25">
          <cell r="D25">
            <v>4</v>
          </cell>
          <cell r="E25">
            <v>34056.276575020602</v>
          </cell>
          <cell r="F25">
            <v>32303.286229748999</v>
          </cell>
          <cell r="G25">
            <v>30941.183536999557</v>
          </cell>
          <cell r="H25">
            <v>29965.043519717958</v>
          </cell>
          <cell r="I25">
            <v>29474.357372989554</v>
          </cell>
          <cell r="J25">
            <v>29253.891260014188</v>
          </cell>
          <cell r="K25">
            <v>28148.564594766176</v>
          </cell>
          <cell r="L25">
            <v>29639.315699618546</v>
          </cell>
          <cell r="M25">
            <v>31733.721181246623</v>
          </cell>
          <cell r="N25">
            <v>33249.794737732715</v>
          </cell>
          <cell r="O25">
            <v>34604.90512039102</v>
          </cell>
          <cell r="P25">
            <v>35772.484034634268</v>
          </cell>
          <cell r="Q25">
            <v>36513.761913142393</v>
          </cell>
          <cell r="R25">
            <v>36646.707492573754</v>
          </cell>
          <cell r="S25">
            <v>36787.378883695186</v>
          </cell>
          <cell r="T25">
            <v>37189.646908647723</v>
          </cell>
          <cell r="U25">
            <v>37050.429573469752</v>
          </cell>
          <cell r="V25">
            <v>37233.841436903123</v>
          </cell>
          <cell r="W25">
            <v>41627.359326403908</v>
          </cell>
          <cell r="X25">
            <v>43146.440873596948</v>
          </cell>
          <cell r="Y25">
            <v>42986.525898920103</v>
          </cell>
          <cell r="Z25">
            <v>41725.39038826312</v>
          </cell>
          <cell r="AA25">
            <v>38987.747602254676</v>
          </cell>
          <cell r="AB25">
            <v>35838.167570287958</v>
          </cell>
        </row>
        <row r="26">
          <cell r="D26">
            <v>1</v>
          </cell>
          <cell r="E26">
            <v>34056.276575020602</v>
          </cell>
          <cell r="F26">
            <v>32303.286229748999</v>
          </cell>
          <cell r="G26">
            <v>30941.183536999557</v>
          </cell>
          <cell r="H26">
            <v>29965.043519717958</v>
          </cell>
          <cell r="I26">
            <v>29474.357372989554</v>
          </cell>
          <cell r="J26">
            <v>29253.891260014188</v>
          </cell>
          <cell r="K26">
            <v>28148.564594766176</v>
          </cell>
          <cell r="L26">
            <v>29639.315699618546</v>
          </cell>
          <cell r="M26">
            <v>31733.721181246623</v>
          </cell>
          <cell r="N26">
            <v>33249.794737732715</v>
          </cell>
          <cell r="O26">
            <v>34604.90512039102</v>
          </cell>
          <cell r="P26">
            <v>35772.484034634268</v>
          </cell>
          <cell r="Q26">
            <v>36513.761913142393</v>
          </cell>
          <cell r="R26">
            <v>36646.707492573754</v>
          </cell>
          <cell r="S26">
            <v>36787.378883695186</v>
          </cell>
          <cell r="T26">
            <v>37189.646908647723</v>
          </cell>
          <cell r="U26">
            <v>37050.429573469752</v>
          </cell>
          <cell r="V26">
            <v>37233.841436903123</v>
          </cell>
          <cell r="W26">
            <v>41627.359326403908</v>
          </cell>
          <cell r="X26">
            <v>43146.440873596948</v>
          </cell>
          <cell r="Y26">
            <v>42986.525898920103</v>
          </cell>
          <cell r="Z26">
            <v>41725.39038826312</v>
          </cell>
          <cell r="AA26">
            <v>38987.747602254676</v>
          </cell>
          <cell r="AB26">
            <v>35838.167570287958</v>
          </cell>
        </row>
        <row r="27">
          <cell r="D27">
            <v>18</v>
          </cell>
          <cell r="E27">
            <v>32459.648000135672</v>
          </cell>
          <cell r="F27">
            <v>30843.080983766398</v>
          </cell>
          <cell r="G27">
            <v>29660.62020234211</v>
          </cell>
          <cell r="H27">
            <v>28855.238880685392</v>
          </cell>
          <cell r="I27">
            <v>28978.615269277183</v>
          </cell>
          <cell r="J27">
            <v>29906.662020638654</v>
          </cell>
          <cell r="K27">
            <v>30237.439351580106</v>
          </cell>
          <cell r="L27">
            <v>33681.307651113537</v>
          </cell>
          <cell r="M27">
            <v>37226.436460767094</v>
          </cell>
          <cell r="N27">
            <v>38864.363430203259</v>
          </cell>
          <cell r="O27">
            <v>40688.389673968675</v>
          </cell>
          <cell r="P27">
            <v>42231.743287434736</v>
          </cell>
          <cell r="Q27">
            <v>40576.988027295105</v>
          </cell>
          <cell r="R27">
            <v>41769.92818315568</v>
          </cell>
          <cell r="S27">
            <v>44093.197432033929</v>
          </cell>
          <cell r="T27">
            <v>44375.361935349742</v>
          </cell>
          <cell r="U27">
            <v>43703.063770188768</v>
          </cell>
          <cell r="V27">
            <v>42568.16675148686</v>
          </cell>
          <cell r="W27">
            <v>45197.838511684131</v>
          </cell>
          <cell r="X27">
            <v>45335.08529080412</v>
          </cell>
          <cell r="Y27">
            <v>43978.548174218791</v>
          </cell>
          <cell r="Z27">
            <v>41865.896951709015</v>
          </cell>
          <cell r="AA27">
            <v>38693.078118008656</v>
          </cell>
          <cell r="AB27">
            <v>35228.760865959397</v>
          </cell>
        </row>
        <row r="28">
          <cell r="D28">
            <v>5</v>
          </cell>
          <cell r="E28">
            <v>32131.87953581852</v>
          </cell>
          <cell r="F28">
            <v>30456.782135126054</v>
          </cell>
          <cell r="G28">
            <v>29212.544742836504</v>
          </cell>
          <cell r="H28">
            <v>28362.840412534693</v>
          </cell>
          <cell r="I28">
            <v>28148.220563885912</v>
          </cell>
          <cell r="J28">
            <v>28139.6815408441</v>
          </cell>
          <cell r="K28">
            <v>28073.033183599895</v>
          </cell>
          <cell r="L28">
            <v>30944.247209252495</v>
          </cell>
          <cell r="M28">
            <v>34286.038150882145</v>
          </cell>
          <cell r="N28">
            <v>36075.684458891206</v>
          </cell>
          <cell r="O28">
            <v>37828.178335437718</v>
          </cell>
          <cell r="P28">
            <v>38917.970903898582</v>
          </cell>
          <cell r="Q28">
            <v>38410.983306202033</v>
          </cell>
          <cell r="R28">
            <v>37997.549471762111</v>
          </cell>
          <cell r="S28">
            <v>38209.081333814014</v>
          </cell>
          <cell r="T28">
            <v>38281.695336991543</v>
          </cell>
          <cell r="U28">
            <v>38066.006050046562</v>
          </cell>
          <cell r="V28">
            <v>38299.046017314031</v>
          </cell>
          <cell r="W28">
            <v>42536.339555712824</v>
          </cell>
          <cell r="X28">
            <v>42628.322787513549</v>
          </cell>
          <cell r="Y28">
            <v>41446.381824309188</v>
          </cell>
          <cell r="Z28">
            <v>39706.866919933003</v>
          </cell>
          <cell r="AA28">
            <v>37508.89891671302</v>
          </cell>
          <cell r="AB28">
            <v>34997.189233516583</v>
          </cell>
        </row>
        <row r="29">
          <cell r="D29">
            <v>5</v>
          </cell>
          <cell r="E29">
            <v>32759.524102715623</v>
          </cell>
          <cell r="F29">
            <v>31147.854876382931</v>
          </cell>
          <cell r="G29">
            <v>29815.123113417347</v>
          </cell>
          <cell r="H29">
            <v>28903.387076271974</v>
          </cell>
          <cell r="I29">
            <v>28519.165654378616</v>
          </cell>
          <cell r="J29">
            <v>28012.630029525484</v>
          </cell>
          <cell r="K29">
            <v>27425.072256074371</v>
          </cell>
          <cell r="L29">
            <v>28941.964985907351</v>
          </cell>
          <cell r="M29">
            <v>30550.018759159226</v>
          </cell>
          <cell r="N29">
            <v>31985.132425989774</v>
          </cell>
          <cell r="O29">
            <v>33319.87581425847</v>
          </cell>
          <cell r="P29">
            <v>34378.829395402943</v>
          </cell>
          <cell r="Q29">
            <v>34970.993269925035</v>
          </cell>
          <cell r="R29">
            <v>35134.127444743455</v>
          </cell>
          <cell r="S29">
            <v>35348.977400645861</v>
          </cell>
          <cell r="T29">
            <v>35665.567729302136</v>
          </cell>
          <cell r="U29">
            <v>35793.47604399058</v>
          </cell>
          <cell r="V29">
            <v>36231.984975743682</v>
          </cell>
          <cell r="W29">
            <v>40250.621239225715</v>
          </cell>
          <cell r="X29">
            <v>41467.528614983254</v>
          </cell>
          <cell r="Y29">
            <v>41331.154792894195</v>
          </cell>
          <cell r="Z29">
            <v>40316.088730879012</v>
          </cell>
          <cell r="AA29">
            <v>37729.273424701547</v>
          </cell>
          <cell r="AB29">
            <v>34661.774285381754</v>
          </cell>
        </row>
        <row r="30">
          <cell r="D30">
            <v>2</v>
          </cell>
          <cell r="E30">
            <v>32759.524102715623</v>
          </cell>
          <cell r="F30">
            <v>31147.854876382931</v>
          </cell>
          <cell r="G30">
            <v>29815.123113417347</v>
          </cell>
          <cell r="H30">
            <v>28903.387076271974</v>
          </cell>
          <cell r="I30">
            <v>28519.165654378616</v>
          </cell>
          <cell r="J30">
            <v>28012.630029525484</v>
          </cell>
          <cell r="K30">
            <v>27425.072256074371</v>
          </cell>
          <cell r="L30">
            <v>28941.964985907351</v>
          </cell>
          <cell r="M30">
            <v>30550.018759159226</v>
          </cell>
          <cell r="N30">
            <v>31985.132425989774</v>
          </cell>
          <cell r="O30">
            <v>33319.87581425847</v>
          </cell>
          <cell r="P30">
            <v>34378.829395402943</v>
          </cell>
          <cell r="Q30">
            <v>34970.993269925035</v>
          </cell>
          <cell r="R30">
            <v>35134.127444743455</v>
          </cell>
          <cell r="S30">
            <v>35348.977400645861</v>
          </cell>
          <cell r="T30">
            <v>35665.567729302136</v>
          </cell>
          <cell r="U30">
            <v>35793.47604399058</v>
          </cell>
          <cell r="V30">
            <v>36231.984975743682</v>
          </cell>
          <cell r="W30">
            <v>40250.621239225715</v>
          </cell>
          <cell r="X30">
            <v>41467.528614983254</v>
          </cell>
          <cell r="Y30">
            <v>41331.154792894195</v>
          </cell>
          <cell r="Z30">
            <v>40316.088730879012</v>
          </cell>
          <cell r="AA30">
            <v>37729.273424701547</v>
          </cell>
          <cell r="AB30">
            <v>34661.774285381754</v>
          </cell>
        </row>
        <row r="31">
          <cell r="D31">
            <v>21</v>
          </cell>
          <cell r="E31">
            <v>31641.106780090846</v>
          </cell>
          <cell r="F31">
            <v>30138.758338602642</v>
          </cell>
          <cell r="G31">
            <v>29001.661113730755</v>
          </cell>
          <cell r="H31">
            <v>28223.388854388195</v>
          </cell>
          <cell r="I31">
            <v>28361.70668642614</v>
          </cell>
          <cell r="J31">
            <v>29147.224133465388</v>
          </cell>
          <cell r="K31">
            <v>29808.366814739718</v>
          </cell>
          <cell r="L31">
            <v>33291.83362437733</v>
          </cell>
          <cell r="M31">
            <v>36873.549999244613</v>
          </cell>
          <cell r="N31">
            <v>38550.830909879624</v>
          </cell>
          <cell r="O31">
            <v>40550.90463553054</v>
          </cell>
          <cell r="P31">
            <v>41857.214122820369</v>
          </cell>
          <cell r="Q31">
            <v>40156.804583659039</v>
          </cell>
          <cell r="R31">
            <v>41257.334885550503</v>
          </cell>
          <cell r="S31">
            <v>43397.290468709652</v>
          </cell>
          <cell r="T31">
            <v>43611.506509958948</v>
          </cell>
          <cell r="U31">
            <v>42987.476439128754</v>
          </cell>
          <cell r="V31">
            <v>41582.843538860136</v>
          </cell>
          <cell r="W31">
            <v>44169.703744936705</v>
          </cell>
          <cell r="X31">
            <v>44344.756778018498</v>
          </cell>
          <cell r="Y31">
            <v>42977.047877051016</v>
          </cell>
          <cell r="Z31">
            <v>40705.434668098773</v>
          </cell>
          <cell r="AA31">
            <v>37505.64725058031</v>
          </cell>
          <cell r="AB31">
            <v>34236.841439828982</v>
          </cell>
        </row>
        <row r="32">
          <cell r="D32">
            <v>4</v>
          </cell>
          <cell r="E32">
            <v>32190.2517280436</v>
          </cell>
          <cell r="F32">
            <v>30317.521734580569</v>
          </cell>
          <cell r="G32">
            <v>29050.76712255126</v>
          </cell>
          <cell r="H32">
            <v>28234.835055912758</v>
          </cell>
          <cell r="I32">
            <v>28085.78405230627</v>
          </cell>
          <cell r="J32">
            <v>27780.469764552348</v>
          </cell>
          <cell r="K32">
            <v>28048.069420541167</v>
          </cell>
          <cell r="L32">
            <v>31259.240406214543</v>
          </cell>
          <cell r="M32">
            <v>34841.220899053471</v>
          </cell>
          <cell r="N32">
            <v>36851.228107480267</v>
          </cell>
          <cell r="O32">
            <v>38384.577497242004</v>
          </cell>
          <cell r="P32">
            <v>39412.80135981975</v>
          </cell>
          <cell r="Q32">
            <v>38607.308134067323</v>
          </cell>
          <cell r="R32">
            <v>38073.331389040308</v>
          </cell>
          <cell r="S32">
            <v>38352.310060071119</v>
          </cell>
          <cell r="T32">
            <v>38422.230044505864</v>
          </cell>
          <cell r="U32">
            <v>38204.204993738829</v>
          </cell>
          <cell r="V32">
            <v>38481.780345473628</v>
          </cell>
          <cell r="W32">
            <v>42579.572234587955</v>
          </cell>
          <cell r="X32">
            <v>43062.8172974228</v>
          </cell>
          <cell r="Y32">
            <v>41788.575346935679</v>
          </cell>
          <cell r="Z32">
            <v>39905.524394550965</v>
          </cell>
          <cell r="AA32">
            <v>37723.40925616397</v>
          </cell>
          <cell r="AB32">
            <v>35192.56337862066</v>
          </cell>
        </row>
        <row r="33">
          <cell r="D33">
            <v>4</v>
          </cell>
          <cell r="E33">
            <v>32570.237953196523</v>
          </cell>
          <cell r="F33">
            <v>31031.281376818923</v>
          </cell>
          <cell r="G33">
            <v>29805.206455408857</v>
          </cell>
          <cell r="H33">
            <v>28925.827957899743</v>
          </cell>
          <cell r="I33">
            <v>28551.085122522603</v>
          </cell>
          <cell r="J33">
            <v>27690.062811567434</v>
          </cell>
          <cell r="K33">
            <v>27272.230516259133</v>
          </cell>
          <cell r="L33">
            <v>28899.742643881011</v>
          </cell>
          <cell r="M33">
            <v>31113.059370010931</v>
          </cell>
          <cell r="N33">
            <v>32863.070833071521</v>
          </cell>
          <cell r="O33">
            <v>34061.949075498633</v>
          </cell>
          <cell r="P33">
            <v>34955.213413512371</v>
          </cell>
          <cell r="Q33">
            <v>35464.39113322203</v>
          </cell>
          <cell r="R33">
            <v>35572.368065548442</v>
          </cell>
          <cell r="S33">
            <v>35720.710402079058</v>
          </cell>
          <cell r="T33">
            <v>36114.538327489914</v>
          </cell>
          <cell r="U33">
            <v>36011.377528308389</v>
          </cell>
          <cell r="V33">
            <v>36587.268581061639</v>
          </cell>
          <cell r="W33">
            <v>40833.812119082897</v>
          </cell>
          <cell r="X33">
            <v>41955.632886091778</v>
          </cell>
          <cell r="Y33">
            <v>41727.454334282462</v>
          </cell>
          <cell r="Z33">
            <v>40388.02608062041</v>
          </cell>
          <cell r="AA33">
            <v>37684.652416853751</v>
          </cell>
          <cell r="AB33">
            <v>34266.465115107218</v>
          </cell>
        </row>
        <row r="34">
          <cell r="D34">
            <v>2</v>
          </cell>
          <cell r="E34">
            <v>32570.237953196523</v>
          </cell>
          <cell r="F34">
            <v>31031.281376818923</v>
          </cell>
          <cell r="G34">
            <v>29805.206455408857</v>
          </cell>
          <cell r="H34">
            <v>28925.827957899743</v>
          </cell>
          <cell r="I34">
            <v>28551.085122522603</v>
          </cell>
          <cell r="J34">
            <v>27690.062811567434</v>
          </cell>
          <cell r="K34">
            <v>27272.230516259133</v>
          </cell>
          <cell r="L34">
            <v>28899.742643881011</v>
          </cell>
          <cell r="M34">
            <v>31113.059370010931</v>
          </cell>
          <cell r="N34">
            <v>32863.070833071521</v>
          </cell>
          <cell r="O34">
            <v>34061.949075498633</v>
          </cell>
          <cell r="P34">
            <v>34955.213413512371</v>
          </cell>
          <cell r="Q34">
            <v>35464.39113322203</v>
          </cell>
          <cell r="R34">
            <v>35572.368065548442</v>
          </cell>
          <cell r="S34">
            <v>35720.710402079058</v>
          </cell>
          <cell r="T34">
            <v>36114.538327489914</v>
          </cell>
          <cell r="U34">
            <v>36011.377528308389</v>
          </cell>
          <cell r="V34">
            <v>36587.268581061639</v>
          </cell>
          <cell r="W34">
            <v>40833.812119082897</v>
          </cell>
          <cell r="X34">
            <v>41955.632886091778</v>
          </cell>
          <cell r="Y34">
            <v>41727.454334282462</v>
          </cell>
          <cell r="Z34">
            <v>40388.02608062041</v>
          </cell>
          <cell r="AA34">
            <v>37684.652416853751</v>
          </cell>
          <cell r="AB34">
            <v>34266.465115107218</v>
          </cell>
        </row>
        <row r="35">
          <cell r="D35">
            <v>20</v>
          </cell>
          <cell r="E35">
            <v>31678.536268126998</v>
          </cell>
          <cell r="F35">
            <v>30087.66504976471</v>
          </cell>
          <cell r="G35">
            <v>28982.146578508185</v>
          </cell>
          <cell r="H35">
            <v>28117.145712842888</v>
          </cell>
          <cell r="I35">
            <v>28203.752641069146</v>
          </cell>
          <cell r="J35">
            <v>28592.077876153879</v>
          </cell>
          <cell r="K35">
            <v>29209.44843211733</v>
          </cell>
          <cell r="L35">
            <v>32887.683338931842</v>
          </cell>
          <cell r="M35">
            <v>36468.291524061708</v>
          </cell>
          <cell r="N35">
            <v>38240.795534797435</v>
          </cell>
          <cell r="O35">
            <v>40291.349910111632</v>
          </cell>
          <cell r="P35">
            <v>41639.158432939694</v>
          </cell>
          <cell r="Q35">
            <v>40158.759534485558</v>
          </cell>
          <cell r="R35">
            <v>41039.611097977511</v>
          </cell>
          <cell r="S35">
            <v>43057.508437132106</v>
          </cell>
          <cell r="T35">
            <v>43296.829375257672</v>
          </cell>
          <cell r="U35">
            <v>42866.345225642675</v>
          </cell>
          <cell r="V35">
            <v>41527.249732502743</v>
          </cell>
          <cell r="W35">
            <v>43951.078442892613</v>
          </cell>
          <cell r="X35">
            <v>44507.958823458677</v>
          </cell>
          <cell r="Y35">
            <v>43053.778285806591</v>
          </cell>
          <cell r="Z35">
            <v>40846.982746231217</v>
          </cell>
          <cell r="AA35">
            <v>37563.302913356645</v>
          </cell>
          <cell r="AB35">
            <v>34251.922279789811</v>
          </cell>
        </row>
        <row r="36">
          <cell r="D36">
            <v>4</v>
          </cell>
          <cell r="E36">
            <v>31756.417319680018</v>
          </cell>
          <cell r="F36">
            <v>30196.493722017734</v>
          </cell>
          <cell r="G36">
            <v>29037.286459068146</v>
          </cell>
          <cell r="H36">
            <v>28241.689459636509</v>
          </cell>
          <cell r="I36">
            <v>28102.152040312969</v>
          </cell>
          <cell r="J36">
            <v>27746.677093621296</v>
          </cell>
          <cell r="K36">
            <v>28018.729157053545</v>
          </cell>
          <cell r="L36">
            <v>31251.158205637352</v>
          </cell>
          <cell r="M36">
            <v>34798.386602203616</v>
          </cell>
          <cell r="N36">
            <v>36824.040089638045</v>
          </cell>
          <cell r="O36">
            <v>38559.840190909046</v>
          </cell>
          <cell r="P36">
            <v>39611.132888393011</v>
          </cell>
          <cell r="Q36">
            <v>38887.617548654744</v>
          </cell>
          <cell r="R36">
            <v>38105.796093982673</v>
          </cell>
          <cell r="S36">
            <v>38224.347963122622</v>
          </cell>
          <cell r="T36">
            <v>38248.826506366771</v>
          </cell>
          <cell r="U36">
            <v>37804.23392178987</v>
          </cell>
          <cell r="V36">
            <v>37956.695152658205</v>
          </cell>
          <cell r="W36">
            <v>41236.969403066963</v>
          </cell>
          <cell r="X36">
            <v>42102.022240626589</v>
          </cell>
          <cell r="Y36">
            <v>40893.170394999535</v>
          </cell>
          <cell r="Z36">
            <v>38852.802255493123</v>
          </cell>
          <cell r="AA36">
            <v>36482.175793732233</v>
          </cell>
          <cell r="AB36">
            <v>34032.22284860455</v>
          </cell>
        </row>
        <row r="37">
          <cell r="D37">
            <v>4</v>
          </cell>
          <cell r="E37">
            <v>32236.150912287711</v>
          </cell>
          <cell r="F37">
            <v>30603.412040986106</v>
          </cell>
          <cell r="G37">
            <v>29335.201846649623</v>
          </cell>
          <cell r="H37">
            <v>28501.636400249212</v>
          </cell>
          <cell r="I37">
            <v>28176.521718857424</v>
          </cell>
          <cell r="J37">
            <v>27291.327772205041</v>
          </cell>
          <cell r="K37">
            <v>26691.57357158482</v>
          </cell>
          <cell r="L37">
            <v>28154.973295539668</v>
          </cell>
          <cell r="M37">
            <v>30084.263795856958</v>
          </cell>
          <cell r="N37">
            <v>31697.639516008698</v>
          </cell>
          <cell r="O37">
            <v>32839.418471359648</v>
          </cell>
          <cell r="P37">
            <v>33747.303931027986</v>
          </cell>
          <cell r="Q37">
            <v>34457.280358713178</v>
          </cell>
          <cell r="R37">
            <v>34393.266547275984</v>
          </cell>
          <cell r="S37">
            <v>34511.899286727326</v>
          </cell>
          <cell r="T37">
            <v>34792.187771298835</v>
          </cell>
          <cell r="U37">
            <v>34847.988680338844</v>
          </cell>
          <cell r="V37">
            <v>35244.073990793178</v>
          </cell>
          <cell r="W37">
            <v>39295.804303019257</v>
          </cell>
          <cell r="X37">
            <v>41192.244507644064</v>
          </cell>
          <cell r="Y37">
            <v>40671.603413646975</v>
          </cell>
          <cell r="Z37">
            <v>39369.380913814472</v>
          </cell>
          <cell r="AA37">
            <v>36985.974249363986</v>
          </cell>
          <cell r="AB37">
            <v>34282.768139228749</v>
          </cell>
        </row>
        <row r="38">
          <cell r="D38">
            <v>2</v>
          </cell>
          <cell r="E38">
            <v>32236.150912287711</v>
          </cell>
          <cell r="F38">
            <v>30603.412040986106</v>
          </cell>
          <cell r="G38">
            <v>29335.201846649623</v>
          </cell>
          <cell r="H38">
            <v>28501.636400249212</v>
          </cell>
          <cell r="I38">
            <v>28176.521718857424</v>
          </cell>
          <cell r="J38">
            <v>27291.327772205041</v>
          </cell>
          <cell r="K38">
            <v>26691.57357158482</v>
          </cell>
          <cell r="L38">
            <v>28154.973295539668</v>
          </cell>
          <cell r="M38">
            <v>30084.263795856958</v>
          </cell>
          <cell r="N38">
            <v>31697.639516008698</v>
          </cell>
          <cell r="O38">
            <v>32839.418471359648</v>
          </cell>
          <cell r="P38">
            <v>33747.303931027986</v>
          </cell>
          <cell r="Q38">
            <v>34457.280358713178</v>
          </cell>
          <cell r="R38">
            <v>34393.266547275984</v>
          </cell>
          <cell r="S38">
            <v>34511.899286727326</v>
          </cell>
          <cell r="T38">
            <v>34792.187771298835</v>
          </cell>
          <cell r="U38">
            <v>34847.988680338844</v>
          </cell>
          <cell r="V38">
            <v>35244.073990793178</v>
          </cell>
          <cell r="W38">
            <v>39295.804303019257</v>
          </cell>
          <cell r="X38">
            <v>41192.244507644064</v>
          </cell>
          <cell r="Y38">
            <v>40671.603413646975</v>
          </cell>
          <cell r="Z38">
            <v>39369.380913814472</v>
          </cell>
          <cell r="AA38">
            <v>36985.974249363986</v>
          </cell>
          <cell r="AB38">
            <v>34282.768139228749</v>
          </cell>
        </row>
        <row r="39">
          <cell r="D39">
            <v>19</v>
          </cell>
          <cell r="E39">
            <v>31841.168957956841</v>
          </cell>
          <cell r="F39">
            <v>30213.445849678945</v>
          </cell>
          <cell r="G39">
            <v>28998.588355835262</v>
          </cell>
          <cell r="H39">
            <v>28187.345778456038</v>
          </cell>
          <cell r="I39">
            <v>28157.430628395545</v>
          </cell>
          <cell r="J39">
            <v>28881.565404676858</v>
          </cell>
          <cell r="K39">
            <v>29256.928925907316</v>
          </cell>
          <cell r="L39">
            <v>32860.593786986741</v>
          </cell>
          <cell r="M39">
            <v>36393.874648958801</v>
          </cell>
          <cell r="N39">
            <v>38211.206349362154</v>
          </cell>
          <cell r="O39">
            <v>40323.317349582903</v>
          </cell>
          <cell r="P39">
            <v>41907.408652540718</v>
          </cell>
          <cell r="Q39">
            <v>40413.46422652145</v>
          </cell>
          <cell r="R39">
            <v>41773.199265772528</v>
          </cell>
          <cell r="S39">
            <v>44151.66148864822</v>
          </cell>
          <cell r="T39">
            <v>44413.149558145364</v>
          </cell>
          <cell r="U39">
            <v>43810.403446446726</v>
          </cell>
          <cell r="V39">
            <v>41948.733269421224</v>
          </cell>
          <cell r="W39">
            <v>43809.069193262709</v>
          </cell>
          <cell r="X39">
            <v>44830.20871702375</v>
          </cell>
          <cell r="Y39">
            <v>43615.610774122906</v>
          </cell>
          <cell r="Z39">
            <v>41447.222912911653</v>
          </cell>
          <cell r="AA39">
            <v>38057.602961879762</v>
          </cell>
          <cell r="AB39">
            <v>34777.595418732191</v>
          </cell>
        </row>
        <row r="40">
          <cell r="D40">
            <v>5</v>
          </cell>
          <cell r="E40">
            <v>32434.87762259891</v>
          </cell>
          <cell r="F40">
            <v>30601.503349760667</v>
          </cell>
          <cell r="G40">
            <v>29282.391121610468</v>
          </cell>
          <cell r="H40">
            <v>28483.017894592584</v>
          </cell>
          <cell r="I40">
            <v>28104.571394995692</v>
          </cell>
          <cell r="J40">
            <v>27819.371335789005</v>
          </cell>
          <cell r="K40">
            <v>27944.318601186864</v>
          </cell>
          <cell r="L40">
            <v>31004.616750735135</v>
          </cell>
          <cell r="M40">
            <v>34597.639656481726</v>
          </cell>
          <cell r="N40">
            <v>36672.710054777897</v>
          </cell>
          <cell r="O40">
            <v>38624.735606956368</v>
          </cell>
          <cell r="P40">
            <v>39600.364331139761</v>
          </cell>
          <cell r="Q40">
            <v>38967.513285798923</v>
          </cell>
          <cell r="R40">
            <v>38404.160390110337</v>
          </cell>
          <cell r="S40">
            <v>38401.395800251034</v>
          </cell>
          <cell r="T40">
            <v>38174.53530149677</v>
          </cell>
          <cell r="U40">
            <v>37809.124834031267</v>
          </cell>
          <cell r="V40">
            <v>37935.114618707288</v>
          </cell>
          <cell r="W40">
            <v>40314.210431327447</v>
          </cell>
          <cell r="X40">
            <v>41222.2304504122</v>
          </cell>
          <cell r="Y40">
            <v>39871.530601743485</v>
          </cell>
          <cell r="Z40">
            <v>38201.9252736087</v>
          </cell>
          <cell r="AA40">
            <v>36083.847224854238</v>
          </cell>
          <cell r="AB40">
            <v>33657.424150939652</v>
          </cell>
        </row>
        <row r="41">
          <cell r="D41">
            <v>5</v>
          </cell>
          <cell r="E41">
            <v>30502.328756810475</v>
          </cell>
          <cell r="F41">
            <v>29076.147247096251</v>
          </cell>
          <cell r="G41">
            <v>27832.42715437838</v>
          </cell>
          <cell r="H41">
            <v>27072.861145270173</v>
          </cell>
          <cell r="I41">
            <v>26765.7342306875</v>
          </cell>
          <cell r="J41">
            <v>26111.205552843119</v>
          </cell>
          <cell r="K41">
            <v>25534.855224834628</v>
          </cell>
          <cell r="L41">
            <v>27113.219897180883</v>
          </cell>
          <cell r="M41">
            <v>29053.81558025195</v>
          </cell>
          <cell r="N41">
            <v>30617.357924989257</v>
          </cell>
          <cell r="O41">
            <v>31950.934053927496</v>
          </cell>
          <cell r="P41">
            <v>33087.513612208044</v>
          </cell>
          <cell r="Q41">
            <v>33909.311167242326</v>
          </cell>
          <cell r="R41">
            <v>34117.833187493008</v>
          </cell>
          <cell r="S41">
            <v>34311.576994205003</v>
          </cell>
          <cell r="T41">
            <v>34765.252147679726</v>
          </cell>
          <cell r="U41">
            <v>34703.957809501335</v>
          </cell>
          <cell r="V41">
            <v>34868.305643254287</v>
          </cell>
          <cell r="W41">
            <v>38822.897199935389</v>
          </cell>
          <cell r="X41">
            <v>41041.3094578253</v>
          </cell>
          <cell r="Y41">
            <v>40420.749046575642</v>
          </cell>
          <cell r="Z41">
            <v>38759.848246236761</v>
          </cell>
          <cell r="AA41">
            <v>35776.403726943783</v>
          </cell>
          <cell r="AB41">
            <v>32762.357882595417</v>
          </cell>
        </row>
        <row r="42">
          <cell r="D42">
            <v>2</v>
          </cell>
          <cell r="E42">
            <v>30502.328756810475</v>
          </cell>
          <cell r="F42">
            <v>29076.147247096251</v>
          </cell>
          <cell r="G42">
            <v>27832.42715437838</v>
          </cell>
          <cell r="H42">
            <v>27072.861145270173</v>
          </cell>
          <cell r="I42">
            <v>26765.7342306875</v>
          </cell>
          <cell r="J42">
            <v>26111.205552843119</v>
          </cell>
          <cell r="K42">
            <v>25534.855224834628</v>
          </cell>
          <cell r="L42">
            <v>27113.219897180883</v>
          </cell>
          <cell r="M42">
            <v>29053.81558025195</v>
          </cell>
          <cell r="N42">
            <v>30617.357924989257</v>
          </cell>
          <cell r="O42">
            <v>31950.934053927496</v>
          </cell>
          <cell r="P42">
            <v>33087.513612208044</v>
          </cell>
          <cell r="Q42">
            <v>33909.311167242326</v>
          </cell>
          <cell r="R42">
            <v>34117.833187493008</v>
          </cell>
          <cell r="S42">
            <v>34311.576994205003</v>
          </cell>
          <cell r="T42">
            <v>34765.252147679726</v>
          </cell>
          <cell r="U42">
            <v>34703.957809501335</v>
          </cell>
          <cell r="V42">
            <v>34868.305643254287</v>
          </cell>
          <cell r="W42">
            <v>38822.897199935389</v>
          </cell>
          <cell r="X42">
            <v>41041.3094578253</v>
          </cell>
          <cell r="Y42">
            <v>40420.749046575642</v>
          </cell>
          <cell r="Z42">
            <v>38759.848246236761</v>
          </cell>
          <cell r="AA42">
            <v>35776.403726943783</v>
          </cell>
          <cell r="AB42">
            <v>32762.357882595417</v>
          </cell>
        </row>
        <row r="43">
          <cell r="D43">
            <v>21</v>
          </cell>
          <cell r="E43">
            <v>31678.108340279279</v>
          </cell>
          <cell r="F43">
            <v>29945.210758668451</v>
          </cell>
          <cell r="G43">
            <v>28718.19861768464</v>
          </cell>
          <cell r="H43">
            <v>27881.244793225116</v>
          </cell>
          <cell r="I43">
            <v>27852.572927847505</v>
          </cell>
          <cell r="J43">
            <v>28783.337037531772</v>
          </cell>
          <cell r="K43">
            <v>29121.939200929341</v>
          </cell>
          <cell r="L43">
            <v>32395.418984144158</v>
          </cell>
          <cell r="M43">
            <v>35923.954196114682</v>
          </cell>
          <cell r="N43">
            <v>37691.612980805607</v>
          </cell>
          <cell r="O43">
            <v>39889.406994138728</v>
          </cell>
          <cell r="P43">
            <v>41709.551512731101</v>
          </cell>
          <cell r="Q43">
            <v>40032.82098843158</v>
          </cell>
          <cell r="R43">
            <v>41341.964623417123</v>
          </cell>
          <cell r="S43">
            <v>43827.728528952233</v>
          </cell>
          <cell r="T43">
            <v>44109.215681866917</v>
          </cell>
          <cell r="U43">
            <v>43352.779542456519</v>
          </cell>
          <cell r="V43">
            <v>41764.798324077208</v>
          </cell>
          <cell r="W43">
            <v>44264.851542210024</v>
          </cell>
          <cell r="X43">
            <v>44955.165791766056</v>
          </cell>
          <cell r="Y43">
            <v>43691.868822989956</v>
          </cell>
          <cell r="Z43">
            <v>41457.434338139377</v>
          </cell>
          <cell r="AA43">
            <v>38015.663495972447</v>
          </cell>
          <cell r="AB43">
            <v>34764.584445845721</v>
          </cell>
        </row>
        <row r="44">
          <cell r="D44">
            <v>4</v>
          </cell>
          <cell r="E44">
            <v>32111.807584908951</v>
          </cell>
          <cell r="F44">
            <v>30460.599472284175</v>
          </cell>
          <cell r="G44">
            <v>29236.289639587168</v>
          </cell>
          <cell r="H44">
            <v>28307.055443064382</v>
          </cell>
          <cell r="I44">
            <v>27749.872540977045</v>
          </cell>
          <cell r="J44">
            <v>27510.623991975302</v>
          </cell>
          <cell r="K44">
            <v>27553.528343013561</v>
          </cell>
          <cell r="L44">
            <v>30501.336916053257</v>
          </cell>
          <cell r="M44">
            <v>33730.293772007884</v>
          </cell>
          <cell r="N44">
            <v>35784.1716794241</v>
          </cell>
          <cell r="O44">
            <v>37470.555842634851</v>
          </cell>
          <cell r="P44">
            <v>38041.281850640313</v>
          </cell>
          <cell r="Q44">
            <v>37388.037371317208</v>
          </cell>
          <cell r="R44">
            <v>36875.835665534578</v>
          </cell>
          <cell r="S44">
            <v>37282.731664964289</v>
          </cell>
          <cell r="T44">
            <v>37444.854624405139</v>
          </cell>
          <cell r="U44">
            <v>37198.265377037395</v>
          </cell>
          <cell r="V44">
            <v>37485.603938810666</v>
          </cell>
          <cell r="W44">
            <v>41377.581001273269</v>
          </cell>
          <cell r="X44">
            <v>41706.444855796537</v>
          </cell>
          <cell r="Y44">
            <v>40186.085994735309</v>
          </cell>
          <cell r="Z44">
            <v>38362.875714501715</v>
          </cell>
          <cell r="AA44">
            <v>36009.180109701476</v>
          </cell>
          <cell r="AB44">
            <v>33441.082230246553</v>
          </cell>
        </row>
        <row r="45">
          <cell r="D45">
            <v>4</v>
          </cell>
          <cell r="E45">
            <v>31337.058625492115</v>
          </cell>
          <cell r="F45">
            <v>29812.278984577541</v>
          </cell>
          <cell r="G45">
            <v>28490.739607239706</v>
          </cell>
          <cell r="H45">
            <v>27724.73259740619</v>
          </cell>
          <cell r="I45">
            <v>27325.380645506255</v>
          </cell>
          <cell r="J45">
            <v>26909.380900138414</v>
          </cell>
          <cell r="K45">
            <v>26186.02973214936</v>
          </cell>
          <cell r="L45">
            <v>27669.181889617441</v>
          </cell>
          <cell r="M45">
            <v>29450.01038487448</v>
          </cell>
          <cell r="N45">
            <v>30963.691496810457</v>
          </cell>
          <cell r="O45">
            <v>32247.622375316561</v>
          </cell>
          <cell r="P45">
            <v>33317.857023980243</v>
          </cell>
          <cell r="Q45">
            <v>33955.995086174473</v>
          </cell>
          <cell r="R45">
            <v>34089.663613898061</v>
          </cell>
          <cell r="S45">
            <v>34295.291165690505</v>
          </cell>
          <cell r="T45">
            <v>34542.903094195302</v>
          </cell>
          <cell r="U45">
            <v>34538.653664398742</v>
          </cell>
          <cell r="V45">
            <v>35117.702536908895</v>
          </cell>
          <cell r="W45">
            <v>39519.288345258843</v>
          </cell>
          <cell r="X45">
            <v>41225.459569167433</v>
          </cell>
          <cell r="Y45">
            <v>40887.781767070141</v>
          </cell>
          <cell r="Z45">
            <v>39426.7415086455</v>
          </cell>
          <cell r="AA45">
            <v>36541.13739318958</v>
          </cell>
          <cell r="AB45">
            <v>33489.897642128919</v>
          </cell>
        </row>
        <row r="46">
          <cell r="D46">
            <v>2</v>
          </cell>
          <cell r="E46">
            <v>31337.058625492115</v>
          </cell>
          <cell r="F46">
            <v>29812.278984577541</v>
          </cell>
          <cell r="G46">
            <v>28490.739607239706</v>
          </cell>
          <cell r="H46">
            <v>27724.73259740619</v>
          </cell>
          <cell r="I46">
            <v>27325.380645506255</v>
          </cell>
          <cell r="J46">
            <v>26909.380900138414</v>
          </cell>
          <cell r="K46">
            <v>26186.02973214936</v>
          </cell>
          <cell r="L46">
            <v>27669.181889617441</v>
          </cell>
          <cell r="M46">
            <v>29450.01038487448</v>
          </cell>
          <cell r="N46">
            <v>30963.691496810457</v>
          </cell>
          <cell r="O46">
            <v>32247.622375316561</v>
          </cell>
          <cell r="P46">
            <v>33317.857023980243</v>
          </cell>
          <cell r="Q46">
            <v>33955.995086174473</v>
          </cell>
          <cell r="R46">
            <v>34089.663613898061</v>
          </cell>
          <cell r="S46">
            <v>34295.291165690505</v>
          </cell>
          <cell r="T46">
            <v>34542.903094195302</v>
          </cell>
          <cell r="U46">
            <v>34538.653664398742</v>
          </cell>
          <cell r="V46">
            <v>35117.702536908895</v>
          </cell>
          <cell r="W46">
            <v>39519.288345258843</v>
          </cell>
          <cell r="X46">
            <v>41225.459569167433</v>
          </cell>
          <cell r="Y46">
            <v>40887.781767070141</v>
          </cell>
          <cell r="Z46">
            <v>39426.7415086455</v>
          </cell>
          <cell r="AA46">
            <v>36541.13739318958</v>
          </cell>
          <cell r="AB46">
            <v>33489.897642128919</v>
          </cell>
        </row>
        <row r="47">
          <cell r="D47">
            <v>21</v>
          </cell>
          <cell r="E47">
            <v>31368.037452767294</v>
          </cell>
          <cell r="F47">
            <v>29722.673186656248</v>
          </cell>
          <cell r="G47">
            <v>28510.580869251644</v>
          </cell>
          <cell r="H47">
            <v>27622.823235935968</v>
          </cell>
          <cell r="I47">
            <v>27591.460355772688</v>
          </cell>
          <cell r="J47">
            <v>28484.392349050351</v>
          </cell>
          <cell r="K47">
            <v>28886.984465874648</v>
          </cell>
          <cell r="L47">
            <v>32193.874616995614</v>
          </cell>
          <cell r="M47">
            <v>35755.387684404443</v>
          </cell>
          <cell r="N47">
            <v>37533.666363659926</v>
          </cell>
          <cell r="O47">
            <v>39445.186602045578</v>
          </cell>
          <cell r="P47">
            <v>41078.712949460038</v>
          </cell>
          <cell r="Q47">
            <v>39593.976331228354</v>
          </cell>
          <cell r="R47">
            <v>40750.899725713934</v>
          </cell>
          <cell r="S47">
            <v>43062.269404921484</v>
          </cell>
          <cell r="T47">
            <v>43356.984574444934</v>
          </cell>
          <cell r="U47">
            <v>42687.091044769906</v>
          </cell>
          <cell r="V47">
            <v>41601.699829971214</v>
          </cell>
          <cell r="W47">
            <v>44384.7353130591</v>
          </cell>
          <cell r="X47">
            <v>43965.554185250614</v>
          </cell>
          <cell r="Y47">
            <v>42561.803755869711</v>
          </cell>
          <cell r="Z47">
            <v>40266.219858612661</v>
          </cell>
          <cell r="AA47">
            <v>36821.979433080349</v>
          </cell>
          <cell r="AB47">
            <v>33653.492942385623</v>
          </cell>
        </row>
        <row r="48">
          <cell r="D48">
            <v>5</v>
          </cell>
          <cell r="E48">
            <v>30551.782068517314</v>
          </cell>
          <cell r="F48">
            <v>29007.498121435681</v>
          </cell>
          <cell r="G48">
            <v>27847.422846369023</v>
          </cell>
          <cell r="H48">
            <v>26992.395106314674</v>
          </cell>
          <cell r="I48">
            <v>26765.064792127687</v>
          </cell>
          <cell r="J48">
            <v>26610.953914051326</v>
          </cell>
          <cell r="K48">
            <v>26916.06162536515</v>
          </cell>
          <cell r="L48">
            <v>29984.641535648403</v>
          </cell>
          <cell r="M48">
            <v>33416.815166317785</v>
          </cell>
          <cell r="N48">
            <v>35107.424879378494</v>
          </cell>
          <cell r="O48">
            <v>37163.552064119001</v>
          </cell>
          <cell r="P48">
            <v>38078.867951699569</v>
          </cell>
          <cell r="Q48">
            <v>37654.874552840942</v>
          </cell>
          <cell r="R48">
            <v>37194.290812065985</v>
          </cell>
          <cell r="S48">
            <v>37451.316713287211</v>
          </cell>
          <cell r="T48">
            <v>37371.363517530503</v>
          </cell>
          <cell r="U48">
            <v>36927.079362929231</v>
          </cell>
          <cell r="V48">
            <v>37832.977816851402</v>
          </cell>
          <cell r="W48">
            <v>42038.32177419334</v>
          </cell>
          <cell r="X48">
            <v>41727.11640769818</v>
          </cell>
          <cell r="Y48">
            <v>40254.083091972177</v>
          </cell>
          <cell r="Z48">
            <v>38401.836997494109</v>
          </cell>
          <cell r="AA48">
            <v>36279.645055340574</v>
          </cell>
          <cell r="AB48">
            <v>33743.8765156749</v>
          </cell>
        </row>
        <row r="49">
          <cell r="D49">
            <v>4</v>
          </cell>
          <cell r="E49">
            <v>31270.879734974649</v>
          </cell>
          <cell r="F49">
            <v>29677.283671740533</v>
          </cell>
          <cell r="G49">
            <v>28309.031474624855</v>
          </cell>
          <cell r="H49">
            <v>27403.312289370584</v>
          </cell>
          <cell r="I49">
            <v>27019.930332618398</v>
          </cell>
          <cell r="J49">
            <v>26286.691235303675</v>
          </cell>
          <cell r="K49">
            <v>25599.625949746427</v>
          </cell>
          <cell r="L49">
            <v>27209.245607321092</v>
          </cell>
          <cell r="M49">
            <v>28958.807301966946</v>
          </cell>
          <cell r="N49">
            <v>30655.870372012239</v>
          </cell>
          <cell r="O49">
            <v>31954.629967942372</v>
          </cell>
          <cell r="P49">
            <v>32807.766407797615</v>
          </cell>
          <cell r="Q49">
            <v>33538.922963996883</v>
          </cell>
          <cell r="R49">
            <v>33641.849014212698</v>
          </cell>
          <cell r="S49">
            <v>33662.00114392041</v>
          </cell>
          <cell r="T49">
            <v>34080.785984576185</v>
          </cell>
          <cell r="U49">
            <v>34044.669806711114</v>
          </cell>
          <cell r="V49">
            <v>35152.037888006475</v>
          </cell>
          <cell r="W49">
            <v>39749.311357389917</v>
          </cell>
          <cell r="X49">
            <v>40410.543366281221</v>
          </cell>
          <cell r="Y49">
            <v>39888.558688990655</v>
          </cell>
          <cell r="Z49">
            <v>38382.325698138724</v>
          </cell>
          <cell r="AA49">
            <v>35614.946135339669</v>
          </cell>
          <cell r="AB49">
            <v>32667.949134157865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21</v>
          </cell>
          <cell r="E51">
            <v>30387.775597727956</v>
          </cell>
          <cell r="F51">
            <v>28788.176820939338</v>
          </cell>
          <cell r="G51">
            <v>27645.216260528396</v>
          </cell>
          <cell r="H51">
            <v>26814.155848927672</v>
          </cell>
          <cell r="I51">
            <v>26900.91950456678</v>
          </cell>
          <cell r="J51">
            <v>27704.356745934849</v>
          </cell>
          <cell r="K51">
            <v>28431.757154486928</v>
          </cell>
          <cell r="L51">
            <v>31668.544910302226</v>
          </cell>
          <cell r="M51">
            <v>35110.554480649007</v>
          </cell>
          <cell r="N51">
            <v>36913.274044931131</v>
          </cell>
          <cell r="O51">
            <v>38790.651592402086</v>
          </cell>
          <cell r="P51">
            <v>40277.180301891429</v>
          </cell>
          <cell r="Q51">
            <v>38539.45444778425</v>
          </cell>
          <cell r="R51">
            <v>39569.707997071877</v>
          </cell>
          <cell r="S51">
            <v>41790.88938501502</v>
          </cell>
          <cell r="T51">
            <v>42292.928835157451</v>
          </cell>
          <cell r="U51">
            <v>41822.947523112038</v>
          </cell>
          <cell r="V51">
            <v>41837.714083694067</v>
          </cell>
          <cell r="W51">
            <v>44433.803805676675</v>
          </cell>
          <cell r="X51">
            <v>43443.579138324785</v>
          </cell>
          <cell r="Y51">
            <v>41830.123524598101</v>
          </cell>
          <cell r="Z51">
            <v>39540.805971007438</v>
          </cell>
          <cell r="AA51">
            <v>36166.735529923215</v>
          </cell>
          <cell r="AB51">
            <v>32908.219897792602</v>
          </cell>
        </row>
        <row r="52">
          <cell r="D52">
            <v>4</v>
          </cell>
          <cell r="E52">
            <v>30942.101734020249</v>
          </cell>
          <cell r="F52">
            <v>29204.624273065008</v>
          </cell>
          <cell r="G52">
            <v>27827.256064437031</v>
          </cell>
          <cell r="H52">
            <v>26969.811526090976</v>
          </cell>
          <cell r="I52">
            <v>26952.745079282453</v>
          </cell>
          <cell r="J52">
            <v>26838.285023000961</v>
          </cell>
          <cell r="K52">
            <v>27253.902636572082</v>
          </cell>
          <cell r="L52">
            <v>29953.969008621945</v>
          </cell>
          <cell r="M52">
            <v>33316.921215985043</v>
          </cell>
          <cell r="N52">
            <v>35235.305941169652</v>
          </cell>
          <cell r="O52">
            <v>37212.569478182821</v>
          </cell>
          <cell r="P52">
            <v>38196.303113120157</v>
          </cell>
          <cell r="Q52">
            <v>37479.291787931383</v>
          </cell>
          <cell r="R52">
            <v>37017.136176641325</v>
          </cell>
          <cell r="S52">
            <v>37405.785093258404</v>
          </cell>
          <cell r="T52">
            <v>37798.412987515672</v>
          </cell>
          <cell r="U52">
            <v>37510.338443652319</v>
          </cell>
          <cell r="V52">
            <v>38880.737553465144</v>
          </cell>
          <cell r="W52">
            <v>42554.65981688803</v>
          </cell>
          <cell r="X52">
            <v>41768.689836578211</v>
          </cell>
          <cell r="Y52">
            <v>40156.823244622588</v>
          </cell>
          <cell r="Z52">
            <v>38129.657624651576</v>
          </cell>
          <cell r="AA52">
            <v>35700.911251599216</v>
          </cell>
          <cell r="AB52">
            <v>33136.104657932876</v>
          </cell>
        </row>
        <row r="53">
          <cell r="D53">
            <v>5</v>
          </cell>
          <cell r="E53">
            <v>30781.942632592178</v>
          </cell>
          <cell r="F53">
            <v>29166.884774535265</v>
          </cell>
          <cell r="G53">
            <v>27884.317888315829</v>
          </cell>
          <cell r="H53">
            <v>27090.618468638728</v>
          </cell>
          <cell r="I53">
            <v>26734.103408799936</v>
          </cell>
          <cell r="J53">
            <v>26160.900521362433</v>
          </cell>
          <cell r="K53">
            <v>25461.87066143646</v>
          </cell>
          <cell r="L53">
            <v>26972.055310474541</v>
          </cell>
          <cell r="M53">
            <v>28933.416940687621</v>
          </cell>
          <cell r="N53">
            <v>30500.84450769164</v>
          </cell>
          <cell r="O53">
            <v>32003.865914868598</v>
          </cell>
          <cell r="P53">
            <v>33205.735811834398</v>
          </cell>
          <cell r="Q53">
            <v>33805.096451174977</v>
          </cell>
          <cell r="R53">
            <v>33869.359708989527</v>
          </cell>
          <cell r="S53">
            <v>34079.637633398881</v>
          </cell>
          <cell r="T53">
            <v>34042.139381473789</v>
          </cell>
          <cell r="U53">
            <v>34296.203564626136</v>
          </cell>
          <cell r="V53">
            <v>35976.660576450064</v>
          </cell>
          <cell r="W53">
            <v>40342.322151022432</v>
          </cell>
          <cell r="X53">
            <v>40609.097611408157</v>
          </cell>
          <cell r="Y53">
            <v>39977.959574652341</v>
          </cell>
          <cell r="Z53">
            <v>38392.265056627781</v>
          </cell>
          <cell r="AA53">
            <v>35513.951180078097</v>
          </cell>
          <cell r="AB53">
            <v>32603.672446680299</v>
          </cell>
        </row>
        <row r="54">
          <cell r="D54">
            <v>1</v>
          </cell>
          <cell r="E54">
            <v>30781.942632592178</v>
          </cell>
          <cell r="F54">
            <v>29166.884774535265</v>
          </cell>
          <cell r="G54">
            <v>27884.317888315829</v>
          </cell>
          <cell r="H54">
            <v>27090.618468638728</v>
          </cell>
          <cell r="I54">
            <v>26734.103408799936</v>
          </cell>
          <cell r="J54">
            <v>26160.900521362433</v>
          </cell>
          <cell r="K54">
            <v>25461.87066143646</v>
          </cell>
          <cell r="L54">
            <v>26972.055310474541</v>
          </cell>
          <cell r="M54">
            <v>28933.416940687621</v>
          </cell>
          <cell r="N54">
            <v>30500.84450769164</v>
          </cell>
          <cell r="O54">
            <v>32003.865914868598</v>
          </cell>
          <cell r="P54">
            <v>33205.735811834398</v>
          </cell>
          <cell r="Q54">
            <v>33805.096451174977</v>
          </cell>
          <cell r="R54">
            <v>33869.359708989527</v>
          </cell>
          <cell r="S54">
            <v>34079.637633398881</v>
          </cell>
          <cell r="T54">
            <v>34042.139381473789</v>
          </cell>
          <cell r="U54">
            <v>34296.203564626136</v>
          </cell>
          <cell r="V54">
            <v>35976.660576450064</v>
          </cell>
          <cell r="W54">
            <v>40342.322151022432</v>
          </cell>
          <cell r="X54">
            <v>40609.097611408157</v>
          </cell>
          <cell r="Y54">
            <v>39977.959574652341</v>
          </cell>
          <cell r="Z54">
            <v>38392.265056627781</v>
          </cell>
          <cell r="AA54">
            <v>35513.951180078097</v>
          </cell>
          <cell r="AB54">
            <v>32603.672446680299</v>
          </cell>
        </row>
        <row r="55">
          <cell r="D55">
            <v>20</v>
          </cell>
          <cell r="E55">
            <v>29867.966253188068</v>
          </cell>
          <cell r="F55">
            <v>28333.226847913793</v>
          </cell>
          <cell r="G55">
            <v>27215.645303793743</v>
          </cell>
          <cell r="H55">
            <v>26458.6394423284</v>
          </cell>
          <cell r="I55">
            <v>26533.281578073245</v>
          </cell>
          <cell r="J55">
            <v>27321.142388650595</v>
          </cell>
          <cell r="K55">
            <v>28040.560477442454</v>
          </cell>
          <cell r="L55">
            <v>31375.92738601135</v>
          </cell>
          <cell r="M55">
            <v>34808.692667083509</v>
          </cell>
          <cell r="N55">
            <v>36511.558134131112</v>
          </cell>
          <cell r="O55">
            <v>38288.729698353469</v>
          </cell>
          <cell r="P55">
            <v>39541.295153261242</v>
          </cell>
          <cell r="Q55">
            <v>37919.905125318088</v>
          </cell>
          <cell r="R55">
            <v>38773.470312347155</v>
          </cell>
          <cell r="S55">
            <v>40707.326850817895</v>
          </cell>
          <cell r="T55">
            <v>41204.936800895513</v>
          </cell>
          <cell r="U55">
            <v>40802.588402600952</v>
          </cell>
          <cell r="V55">
            <v>41335.635559753799</v>
          </cell>
          <cell r="W55">
            <v>43359.2273965286</v>
          </cell>
          <cell r="X55">
            <v>42354.994851193005</v>
          </cell>
          <cell r="Y55">
            <v>40853.573165715985</v>
          </cell>
          <cell r="Z55">
            <v>38678.099681753622</v>
          </cell>
          <cell r="AA55">
            <v>35495.734797204794</v>
          </cell>
          <cell r="AB55">
            <v>32354.3446805729</v>
          </cell>
        </row>
        <row r="56">
          <cell r="D56">
            <v>4</v>
          </cell>
          <cell r="E56">
            <v>29155.463679730819</v>
          </cell>
          <cell r="F56">
            <v>27727.993527741997</v>
          </cell>
          <cell r="G56">
            <v>26726.222019747449</v>
          </cell>
          <cell r="H56">
            <v>26071.097365207126</v>
          </cell>
          <cell r="I56">
            <v>26055.483860836215</v>
          </cell>
          <cell r="J56">
            <v>25991.176356704596</v>
          </cell>
          <cell r="K56">
            <v>26379.390402632096</v>
          </cell>
          <cell r="L56">
            <v>29418.774321970155</v>
          </cell>
          <cell r="M56">
            <v>32836.94178422101</v>
          </cell>
          <cell r="N56">
            <v>34728.582859477843</v>
          </cell>
          <cell r="O56">
            <v>36698.585908439643</v>
          </cell>
          <cell r="P56">
            <v>37528.607649596539</v>
          </cell>
          <cell r="Q56">
            <v>36853.413712683578</v>
          </cell>
          <cell r="R56">
            <v>36089.299704464735</v>
          </cell>
          <cell r="S56">
            <v>35847.241514533511</v>
          </cell>
          <cell r="T56">
            <v>36135.118167404529</v>
          </cell>
          <cell r="U56">
            <v>35955.999304256802</v>
          </cell>
          <cell r="V56">
            <v>37956.629733192138</v>
          </cell>
          <cell r="W56">
            <v>41086.780385441183</v>
          </cell>
          <cell r="X56">
            <v>40392.441715715802</v>
          </cell>
          <cell r="Y56">
            <v>38940.280996062524</v>
          </cell>
          <cell r="Z56">
            <v>37138.674424115095</v>
          </cell>
          <cell r="AA56">
            <v>34862.351262626886</v>
          </cell>
          <cell r="AB56">
            <v>32301.286336718404</v>
          </cell>
        </row>
        <row r="57">
          <cell r="D57">
            <v>4</v>
          </cell>
          <cell r="E57">
            <v>30218.114326561899</v>
          </cell>
          <cell r="F57">
            <v>28784.509923523226</v>
          </cell>
          <cell r="G57">
            <v>27543.133584765237</v>
          </cell>
          <cell r="H57">
            <v>26706.467176850863</v>
          </cell>
          <cell r="I57">
            <v>26367.336889383463</v>
          </cell>
          <cell r="J57">
            <v>25923.065841173477</v>
          </cell>
          <cell r="K57">
            <v>25283.295339374206</v>
          </cell>
          <cell r="L57">
            <v>26674.871128289873</v>
          </cell>
          <cell r="M57">
            <v>28582.648554953365</v>
          </cell>
          <cell r="N57">
            <v>30150.48619531226</v>
          </cell>
          <cell r="O57">
            <v>31659.012019184258</v>
          </cell>
          <cell r="P57">
            <v>32455.884283267835</v>
          </cell>
          <cell r="Q57">
            <v>33047.155055277261</v>
          </cell>
          <cell r="R57">
            <v>33016.000196988854</v>
          </cell>
          <cell r="S57">
            <v>32921.116500705379</v>
          </cell>
          <cell r="T57">
            <v>33071.194318848684</v>
          </cell>
          <cell r="U57">
            <v>33109.634910423265</v>
          </cell>
          <cell r="V57">
            <v>35349.13867177505</v>
          </cell>
          <cell r="W57">
            <v>38718.494158523798</v>
          </cell>
          <cell r="X57">
            <v>38775.144208283215</v>
          </cell>
          <cell r="Y57">
            <v>37920.10892868221</v>
          </cell>
          <cell r="Z57">
            <v>36429.562217797458</v>
          </cell>
          <cell r="AA57">
            <v>34094.739176174837</v>
          </cell>
          <cell r="AB57">
            <v>31625.124462472588</v>
          </cell>
        </row>
        <row r="58">
          <cell r="D58">
            <v>2</v>
          </cell>
          <cell r="E58">
            <v>30218.114326561899</v>
          </cell>
          <cell r="F58">
            <v>28784.509923523226</v>
          </cell>
          <cell r="G58">
            <v>27543.133584765237</v>
          </cell>
          <cell r="H58">
            <v>26706.467176850863</v>
          </cell>
          <cell r="I58">
            <v>26367.336889383463</v>
          </cell>
          <cell r="J58">
            <v>25923.065841173477</v>
          </cell>
          <cell r="K58">
            <v>25283.295339374206</v>
          </cell>
          <cell r="L58">
            <v>26674.871128289873</v>
          </cell>
          <cell r="M58">
            <v>28582.648554953365</v>
          </cell>
          <cell r="N58">
            <v>30150.48619531226</v>
          </cell>
          <cell r="O58">
            <v>31659.012019184258</v>
          </cell>
          <cell r="P58">
            <v>32455.884283267835</v>
          </cell>
          <cell r="Q58">
            <v>33047.155055277261</v>
          </cell>
          <cell r="R58">
            <v>33016.000196988854</v>
          </cell>
          <cell r="S58">
            <v>32921.116500705379</v>
          </cell>
          <cell r="T58">
            <v>33071.194318848684</v>
          </cell>
          <cell r="U58">
            <v>33109.634910423265</v>
          </cell>
          <cell r="V58">
            <v>35349.13867177505</v>
          </cell>
          <cell r="W58">
            <v>38718.494158523798</v>
          </cell>
          <cell r="X58">
            <v>38775.144208283215</v>
          </cell>
          <cell r="Y58">
            <v>37920.10892868221</v>
          </cell>
          <cell r="Z58">
            <v>36429.562217797458</v>
          </cell>
          <cell r="AA58">
            <v>34094.739176174837</v>
          </cell>
          <cell r="AB58">
            <v>31625.124462472588</v>
          </cell>
        </row>
        <row r="59">
          <cell r="D59">
            <v>19</v>
          </cell>
          <cell r="E59">
            <v>32270.591817948512</v>
          </cell>
          <cell r="F59">
            <v>30495.739486729984</v>
          </cell>
          <cell r="G59">
            <v>29228.170014661911</v>
          </cell>
          <cell r="H59">
            <v>28442.7116626768</v>
          </cell>
          <cell r="I59">
            <v>28341.69361978232</v>
          </cell>
          <cell r="J59">
            <v>28847.975115108042</v>
          </cell>
          <cell r="K59">
            <v>29049.737460554461</v>
          </cell>
          <cell r="L59">
            <v>32551.104465617216</v>
          </cell>
          <cell r="M59">
            <v>36107.107506696884</v>
          </cell>
          <cell r="N59">
            <v>38143.259934583381</v>
          </cell>
          <cell r="O59">
            <v>39935.377270257246</v>
          </cell>
          <cell r="P59">
            <v>41232.130988985329</v>
          </cell>
          <cell r="Q59">
            <v>40096.842377208239</v>
          </cell>
          <cell r="R59">
            <v>40610.666114920561</v>
          </cell>
          <cell r="S59">
            <v>42327.748284252462</v>
          </cell>
          <cell r="T59">
            <v>42856.113356408663</v>
          </cell>
          <cell r="U59">
            <v>42502.645288516745</v>
          </cell>
          <cell r="V59">
            <v>42545.797963561396</v>
          </cell>
          <cell r="W59">
            <v>45824.436525566991</v>
          </cell>
          <cell r="X59">
            <v>44942.726800656354</v>
          </cell>
          <cell r="Y59">
            <v>43297.742950430009</v>
          </cell>
          <cell r="Z59">
            <v>40952.640552710982</v>
          </cell>
          <cell r="AA59">
            <v>37943.158342410512</v>
          </cell>
          <cell r="AB59">
            <v>35014.762042610739</v>
          </cell>
        </row>
        <row r="60">
          <cell r="D60">
            <v>5</v>
          </cell>
          <cell r="E60">
            <v>32793.183427900825</v>
          </cell>
          <cell r="F60">
            <v>30936.634575096639</v>
          </cell>
          <cell r="G60">
            <v>29713.62401469046</v>
          </cell>
          <cell r="H60">
            <v>28816.927949425455</v>
          </cell>
          <cell r="I60">
            <v>28569.064884635376</v>
          </cell>
          <cell r="J60">
            <v>28618.89537027539</v>
          </cell>
          <cell r="K60">
            <v>28334.623540822675</v>
          </cell>
          <cell r="L60">
            <v>30936.269850887737</v>
          </cell>
          <cell r="M60">
            <v>34701.965788982379</v>
          </cell>
          <cell r="N60">
            <v>36910.334174194235</v>
          </cell>
          <cell r="O60">
            <v>38770.263627435263</v>
          </cell>
          <cell r="P60">
            <v>39905.448403468879</v>
          </cell>
          <cell r="Q60">
            <v>39259.128524925021</v>
          </cell>
          <cell r="R60">
            <v>38975.239282398485</v>
          </cell>
          <cell r="S60">
            <v>38811.85745175535</v>
          </cell>
          <cell r="T60">
            <v>39228.568663448794</v>
          </cell>
          <cell r="U60">
            <v>39106.705958489889</v>
          </cell>
          <cell r="V60">
            <v>39971.411196237292</v>
          </cell>
          <cell r="W60">
            <v>44399.144904963614</v>
          </cell>
          <cell r="X60">
            <v>43769.35031332801</v>
          </cell>
          <cell r="Y60">
            <v>42121.463330777508</v>
          </cell>
          <cell r="Z60">
            <v>40323.622734094788</v>
          </cell>
          <cell r="AA60">
            <v>37830.944195782278</v>
          </cell>
          <cell r="AB60">
            <v>35262.94702295051</v>
          </cell>
        </row>
        <row r="61">
          <cell r="D61">
            <v>5</v>
          </cell>
          <cell r="E61">
            <v>33000.202577719341</v>
          </cell>
          <cell r="F61">
            <v>31378.235047475893</v>
          </cell>
          <cell r="G61">
            <v>30071.893287138042</v>
          </cell>
          <cell r="H61">
            <v>29151.926323371601</v>
          </cell>
          <cell r="I61">
            <v>28736.905249508236</v>
          </cell>
          <cell r="J61">
            <v>28446.914102763472</v>
          </cell>
          <cell r="K61">
            <v>27179.44778595442</v>
          </cell>
          <cell r="L61">
            <v>28550.460702213968</v>
          </cell>
          <cell r="M61">
            <v>30729.785283480509</v>
          </cell>
          <cell r="N61">
            <v>32600.712974130871</v>
          </cell>
          <cell r="O61">
            <v>33831.484398024353</v>
          </cell>
          <cell r="P61">
            <v>34839.331708645215</v>
          </cell>
          <cell r="Q61">
            <v>35438.677837205003</v>
          </cell>
          <cell r="R61">
            <v>35772.425496165808</v>
          </cell>
          <cell r="S61">
            <v>34761.348931039836</v>
          </cell>
          <cell r="T61">
            <v>35712.061203765399</v>
          </cell>
          <cell r="U61">
            <v>35924.343359643986</v>
          </cell>
          <cell r="V61">
            <v>37123.776107588426</v>
          </cell>
          <cell r="W61">
            <v>41626.776161788912</v>
          </cell>
          <cell r="X61">
            <v>41295.589042154075</v>
          </cell>
          <cell r="Y61">
            <v>40217.882592963964</v>
          </cell>
          <cell r="Z61">
            <v>38741.382536605423</v>
          </cell>
          <cell r="AA61">
            <v>36507.757243508757</v>
          </cell>
          <cell r="AB61">
            <v>34242.607177426798</v>
          </cell>
        </row>
        <row r="62">
          <cell r="D62">
            <v>2</v>
          </cell>
          <cell r="E62">
            <v>33000.202577719341</v>
          </cell>
          <cell r="F62">
            <v>31378.235047475893</v>
          </cell>
          <cell r="G62">
            <v>30071.893287138042</v>
          </cell>
          <cell r="H62">
            <v>29151.926323371601</v>
          </cell>
          <cell r="I62">
            <v>28736.905249508236</v>
          </cell>
          <cell r="J62">
            <v>28446.914102763472</v>
          </cell>
          <cell r="K62">
            <v>27179.44778595442</v>
          </cell>
          <cell r="L62">
            <v>28550.460702213968</v>
          </cell>
          <cell r="M62">
            <v>30729.785283480509</v>
          </cell>
          <cell r="N62">
            <v>32600.712974130871</v>
          </cell>
          <cell r="O62">
            <v>33831.484398024353</v>
          </cell>
          <cell r="P62">
            <v>34839.331708645215</v>
          </cell>
          <cell r="Q62">
            <v>35438.677837205003</v>
          </cell>
          <cell r="R62">
            <v>35772.425496165808</v>
          </cell>
          <cell r="S62">
            <v>34761.348931039836</v>
          </cell>
          <cell r="T62">
            <v>35712.061203765399</v>
          </cell>
          <cell r="U62">
            <v>35924.343359643986</v>
          </cell>
          <cell r="V62">
            <v>37123.776107588426</v>
          </cell>
          <cell r="W62">
            <v>41626.776161788912</v>
          </cell>
          <cell r="X62">
            <v>41295.589042154075</v>
          </cell>
          <cell r="Y62">
            <v>40217.882592963964</v>
          </cell>
          <cell r="Z62">
            <v>38741.382536605423</v>
          </cell>
          <cell r="AA62">
            <v>36507.757243508757</v>
          </cell>
          <cell r="AB62">
            <v>34242.607177426798</v>
          </cell>
        </row>
      </sheetData>
      <sheetData sheetId="28">
        <row r="15">
          <cell r="D15">
            <v>21</v>
          </cell>
          <cell r="E15">
            <v>33827.318308119444</v>
          </cell>
          <cell r="F15">
            <v>32099.813768178003</v>
          </cell>
          <cell r="G15">
            <v>30800.297334732801</v>
          </cell>
          <cell r="H15">
            <v>29857.060038997879</v>
          </cell>
          <cell r="I15">
            <v>29692.483281701981</v>
          </cell>
          <cell r="J15">
            <v>30686.113337994011</v>
          </cell>
          <cell r="K15">
            <v>30409.106647679608</v>
          </cell>
          <cell r="L15">
            <v>33922.97902836834</v>
          </cell>
          <cell r="M15">
            <v>37658.117181325004</v>
          </cell>
          <cell r="N15">
            <v>39599.155978022412</v>
          </cell>
          <cell r="O15">
            <v>41700.492694363835</v>
          </cell>
          <cell r="P15">
            <v>43420.592962219227</v>
          </cell>
          <cell r="Q15">
            <v>42231.694675967949</v>
          </cell>
          <cell r="R15">
            <v>43394.440758434241</v>
          </cell>
          <cell r="S15">
            <v>45407.401037356671</v>
          </cell>
          <cell r="T15">
            <v>45648.795851425108</v>
          </cell>
          <cell r="U15">
            <v>44893.853449003327</v>
          </cell>
          <cell r="V15">
            <v>43239.509436186927</v>
          </cell>
          <cell r="W15">
            <v>46255.333295280594</v>
          </cell>
          <cell r="X15">
            <v>46420.266579094656</v>
          </cell>
          <cell r="Y15">
            <v>45200.914980673369</v>
          </cell>
          <cell r="Z15">
            <v>43218.896022172725</v>
          </cell>
          <cell r="AA15">
            <v>40154.882841589533</v>
          </cell>
          <cell r="AB15">
            <v>36883.721780465887</v>
          </cell>
        </row>
        <row r="16">
          <cell r="D16">
            <v>4</v>
          </cell>
          <cell r="E16">
            <v>33582.124986766954</v>
          </cell>
          <cell r="F16">
            <v>31969.226337606051</v>
          </cell>
          <cell r="G16">
            <v>30702.389315707143</v>
          </cell>
          <cell r="H16">
            <v>29734.875378768764</v>
          </cell>
          <cell r="I16">
            <v>29442.03409979065</v>
          </cell>
          <cell r="J16">
            <v>29677.554602182878</v>
          </cell>
          <cell r="K16">
            <v>28912.711381735367</v>
          </cell>
          <cell r="L16">
            <v>31769.254015864422</v>
          </cell>
          <cell r="M16">
            <v>35301.470127431261</v>
          </cell>
          <cell r="N16">
            <v>37640.873043547719</v>
          </cell>
          <cell r="O16">
            <v>39481.394720422904</v>
          </cell>
          <cell r="P16">
            <v>40477.369972570159</v>
          </cell>
          <cell r="Q16">
            <v>40123.452798694198</v>
          </cell>
          <cell r="R16">
            <v>39273.907048878784</v>
          </cell>
          <cell r="S16">
            <v>39459.241363126472</v>
          </cell>
          <cell r="T16">
            <v>39596.118425329696</v>
          </cell>
          <cell r="U16">
            <v>39203.727650927198</v>
          </cell>
          <cell r="V16">
            <v>39345.743457552468</v>
          </cell>
          <cell r="W16">
            <v>43707.036924402979</v>
          </cell>
          <cell r="X16">
            <v>44020.02344502975</v>
          </cell>
          <cell r="Y16">
            <v>42711.528335016192</v>
          </cell>
          <cell r="Z16">
            <v>40980.795464009796</v>
          </cell>
          <cell r="AA16">
            <v>38731.645943872732</v>
          </cell>
          <cell r="AB16">
            <v>36237.431662300478</v>
          </cell>
        </row>
        <row r="17">
          <cell r="D17">
            <v>4</v>
          </cell>
          <cell r="E17">
            <v>33804.697898487058</v>
          </cell>
          <cell r="F17">
            <v>32143.867632034522</v>
          </cell>
          <cell r="G17">
            <v>30804.646409602145</v>
          </cell>
          <cell r="H17">
            <v>29822.109613265839</v>
          </cell>
          <cell r="I17">
            <v>29338.52973121305</v>
          </cell>
          <cell r="J17">
            <v>29184.630897685474</v>
          </cell>
          <cell r="K17">
            <v>27612.259983305681</v>
          </cell>
          <cell r="L17">
            <v>28844.112637706494</v>
          </cell>
          <cell r="M17">
            <v>30818.704923529425</v>
          </cell>
          <cell r="N17">
            <v>32339.072766993915</v>
          </cell>
          <cell r="O17">
            <v>33793.634684542296</v>
          </cell>
          <cell r="P17">
            <v>34970.316483489572</v>
          </cell>
          <cell r="Q17">
            <v>35772.292288174649</v>
          </cell>
          <cell r="R17">
            <v>35868.792283924122</v>
          </cell>
          <cell r="S17">
            <v>35886.966565688985</v>
          </cell>
          <cell r="T17">
            <v>36010.434828516743</v>
          </cell>
          <cell r="U17">
            <v>36028.733530959158</v>
          </cell>
          <cell r="V17">
            <v>36409.206167966804</v>
          </cell>
          <cell r="W17">
            <v>41162.357616017071</v>
          </cell>
          <cell r="X17">
            <v>42341.388409180741</v>
          </cell>
          <cell r="Y17">
            <v>41893.394886178226</v>
          </cell>
          <cell r="Z17">
            <v>40515.313166043925</v>
          </cell>
          <cell r="AA17">
            <v>38047.366305212854</v>
          </cell>
          <cell r="AB17">
            <v>35103.236627268183</v>
          </cell>
        </row>
        <row r="18">
          <cell r="D18">
            <v>2</v>
          </cell>
          <cell r="E18">
            <v>33804.697898487058</v>
          </cell>
          <cell r="F18">
            <v>32143.867632034522</v>
          </cell>
          <cell r="G18">
            <v>30804.646409602145</v>
          </cell>
          <cell r="H18">
            <v>29822.109613265839</v>
          </cell>
          <cell r="I18">
            <v>29338.52973121305</v>
          </cell>
          <cell r="J18">
            <v>29184.630897685474</v>
          </cell>
          <cell r="K18">
            <v>27612.259983305681</v>
          </cell>
          <cell r="L18">
            <v>28844.112637706494</v>
          </cell>
          <cell r="M18">
            <v>30818.704923529425</v>
          </cell>
          <cell r="N18">
            <v>32339.072766993915</v>
          </cell>
          <cell r="O18">
            <v>33793.634684542296</v>
          </cell>
          <cell r="P18">
            <v>34970.316483489572</v>
          </cell>
          <cell r="Q18">
            <v>35772.292288174649</v>
          </cell>
          <cell r="R18">
            <v>35868.792283924122</v>
          </cell>
          <cell r="S18">
            <v>35886.966565688985</v>
          </cell>
          <cell r="T18">
            <v>36010.434828516743</v>
          </cell>
          <cell r="U18">
            <v>36028.733530959158</v>
          </cell>
          <cell r="V18">
            <v>36409.206167966804</v>
          </cell>
          <cell r="W18">
            <v>41162.357616017071</v>
          </cell>
          <cell r="X18">
            <v>42341.388409180741</v>
          </cell>
          <cell r="Y18">
            <v>41893.394886178226</v>
          </cell>
          <cell r="Z18">
            <v>40515.313166043925</v>
          </cell>
          <cell r="AA18">
            <v>38047.366305212854</v>
          </cell>
          <cell r="AB18">
            <v>35103.236627268183</v>
          </cell>
        </row>
        <row r="19">
          <cell r="D19">
            <v>20</v>
          </cell>
          <cell r="E19">
            <v>35632.293102334697</v>
          </cell>
          <cell r="F19">
            <v>33883.124323493292</v>
          </cell>
          <cell r="G19">
            <v>32486.764598134498</v>
          </cell>
          <cell r="H19">
            <v>31474.52769648773</v>
          </cell>
          <cell r="I19">
            <v>31439.270047004899</v>
          </cell>
          <cell r="J19">
            <v>33328.960507115531</v>
          </cell>
          <cell r="K19">
            <v>33008.085956884228</v>
          </cell>
          <cell r="L19">
            <v>36220.860653779586</v>
          </cell>
          <cell r="M19">
            <v>39755.394121983816</v>
          </cell>
          <cell r="N19">
            <v>41470.399543254251</v>
          </cell>
          <cell r="O19">
            <v>43541.856214507927</v>
          </cell>
          <cell r="P19">
            <v>45179.942636031134</v>
          </cell>
          <cell r="Q19">
            <v>43668.797328370041</v>
          </cell>
          <cell r="R19">
            <v>45237.759443675248</v>
          </cell>
          <cell r="S19">
            <v>47758.495009566759</v>
          </cell>
          <cell r="T19">
            <v>48149.000983652637</v>
          </cell>
          <cell r="U19">
            <v>47430.382495033111</v>
          </cell>
          <cell r="V19">
            <v>45496.549205629599</v>
          </cell>
          <cell r="W19">
            <v>48193.437400083159</v>
          </cell>
          <cell r="X19">
            <v>48874.873074258467</v>
          </cell>
          <cell r="Y19">
            <v>47821.20772696795</v>
          </cell>
          <cell r="Z19">
            <v>45712.275069292155</v>
          </cell>
          <cell r="AA19">
            <v>42111.923627131495</v>
          </cell>
          <cell r="AB19">
            <v>38542.136937815121</v>
          </cell>
        </row>
        <row r="20">
          <cell r="D20">
            <v>4</v>
          </cell>
          <cell r="E20">
            <v>36123.704207588533</v>
          </cell>
          <cell r="F20">
            <v>34170.51596298645</v>
          </cell>
          <cell r="G20">
            <v>32896.759485632108</v>
          </cell>
          <cell r="H20">
            <v>31685.974093431003</v>
          </cell>
          <cell r="I20">
            <v>31304.547109565858</v>
          </cell>
          <cell r="J20">
            <v>31668.300050873306</v>
          </cell>
          <cell r="K20">
            <v>31106.737326596169</v>
          </cell>
          <cell r="L20">
            <v>33981.169557519192</v>
          </cell>
          <cell r="M20">
            <v>37499.79237421057</v>
          </cell>
          <cell r="N20">
            <v>39589.495524126069</v>
          </cell>
          <cell r="O20">
            <v>41510.2341906117</v>
          </cell>
          <cell r="P20">
            <v>42475.735936283403</v>
          </cell>
          <cell r="Q20">
            <v>41798.180691112851</v>
          </cell>
          <cell r="R20">
            <v>41256.25813678361</v>
          </cell>
          <cell r="S20">
            <v>41446.087511428545</v>
          </cell>
          <cell r="T20">
            <v>41564.709723381784</v>
          </cell>
          <cell r="U20">
            <v>41272.558000563578</v>
          </cell>
          <cell r="V20">
            <v>41151.293988724443</v>
          </cell>
          <cell r="W20">
            <v>45423.496450262246</v>
          </cell>
          <cell r="X20">
            <v>46081.599731238981</v>
          </cell>
          <cell r="Y20">
            <v>45004.314146655466</v>
          </cell>
          <cell r="Z20">
            <v>43289.813698029539</v>
          </cell>
          <cell r="AA20">
            <v>41026.480706975759</v>
          </cell>
          <cell r="AB20">
            <v>38331.410981427427</v>
          </cell>
        </row>
        <row r="21">
          <cell r="D21">
            <v>4</v>
          </cell>
          <cell r="E21">
            <v>36023.128644070028</v>
          </cell>
          <cell r="F21">
            <v>34282.819789487097</v>
          </cell>
          <cell r="G21">
            <v>32877.573569645734</v>
          </cell>
          <cell r="H21">
            <v>31834.184048946459</v>
          </cell>
          <cell r="I21">
            <v>31297.073196138037</v>
          </cell>
          <cell r="J21">
            <v>31262.212577764287</v>
          </cell>
          <cell r="K21">
            <v>29621.629939041406</v>
          </cell>
          <cell r="L21">
            <v>30899.203810311548</v>
          </cell>
          <cell r="M21">
            <v>32848.436274413973</v>
          </cell>
          <cell r="N21">
            <v>34229.316422468633</v>
          </cell>
          <cell r="O21">
            <v>35635.197144797006</v>
          </cell>
          <cell r="P21">
            <v>36941.070726500082</v>
          </cell>
          <cell r="Q21">
            <v>37808.238771311844</v>
          </cell>
          <cell r="R21">
            <v>38033.059539652269</v>
          </cell>
          <cell r="S21">
            <v>38411.968579624074</v>
          </cell>
          <cell r="T21">
            <v>38709.846393315958</v>
          </cell>
          <cell r="U21">
            <v>38585.00785601572</v>
          </cell>
          <cell r="V21">
            <v>38348.03121014902</v>
          </cell>
          <cell r="W21">
            <v>43339.719013867638</v>
          </cell>
          <cell r="X21">
            <v>45137.16249942952</v>
          </cell>
          <cell r="Y21">
            <v>45120.411149419713</v>
          </cell>
          <cell r="Z21">
            <v>44049.030866335961</v>
          </cell>
          <cell r="AA21">
            <v>40473.619731091756</v>
          </cell>
          <cell r="AB21">
            <v>37320.135105412264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19</v>
          </cell>
          <cell r="E23">
            <v>33428.728846213169</v>
          </cell>
          <cell r="F23">
            <v>31775.212602231823</v>
          </cell>
          <cell r="G23">
            <v>30541.786159056064</v>
          </cell>
          <cell r="H23">
            <v>29732.20497278529</v>
          </cell>
          <cell r="I23">
            <v>29868.649081342719</v>
          </cell>
          <cell r="J23">
            <v>31463.557159637036</v>
          </cell>
          <cell r="K23">
            <v>31466.08387882512</v>
          </cell>
          <cell r="L23">
            <v>34877.607422428984</v>
          </cell>
          <cell r="M23">
            <v>38241.680880678796</v>
          </cell>
          <cell r="N23">
            <v>39985.885851170526</v>
          </cell>
          <cell r="O23">
            <v>41982.815377664425</v>
          </cell>
          <cell r="P23">
            <v>43292.178203949894</v>
          </cell>
          <cell r="Q23">
            <v>41333.572036124933</v>
          </cell>
          <cell r="R23">
            <v>42696.878542412589</v>
          </cell>
          <cell r="S23">
            <v>45043.140892611555</v>
          </cell>
          <cell r="T23">
            <v>45538.75528759796</v>
          </cell>
          <cell r="U23">
            <v>45041.484428282973</v>
          </cell>
          <cell r="V23">
            <v>43458.729983129735</v>
          </cell>
          <cell r="W23">
            <v>46116.13298953601</v>
          </cell>
          <cell r="X23">
            <v>46528.79357963791</v>
          </cell>
          <cell r="Y23">
            <v>45166.167606623239</v>
          </cell>
          <cell r="Z23">
            <v>42912.939083717269</v>
          </cell>
          <cell r="AA23">
            <v>39526.977861903229</v>
          </cell>
          <cell r="AB23">
            <v>36089.541617638824</v>
          </cell>
        </row>
        <row r="24">
          <cell r="D24">
            <v>5</v>
          </cell>
          <cell r="E24">
            <v>33624.429776753852</v>
          </cell>
          <cell r="F24">
            <v>31965.591283083784</v>
          </cell>
          <cell r="G24">
            <v>30657.020492521555</v>
          </cell>
          <cell r="H24">
            <v>29790.842671553746</v>
          </cell>
          <cell r="I24">
            <v>29571.996511077377</v>
          </cell>
          <cell r="J24">
            <v>29908.744090054628</v>
          </cell>
          <cell r="K24">
            <v>29764.975978210514</v>
          </cell>
          <cell r="L24">
            <v>32895.263220049907</v>
          </cell>
          <cell r="M24">
            <v>36536.996731506471</v>
          </cell>
          <cell r="N24">
            <v>38655.942686147435</v>
          </cell>
          <cell r="O24">
            <v>40556.76225709002</v>
          </cell>
          <cell r="P24">
            <v>41687.43460501638</v>
          </cell>
          <cell r="Q24">
            <v>40970.945441611751</v>
          </cell>
          <cell r="R24">
            <v>40424.664065355042</v>
          </cell>
          <cell r="S24">
            <v>40744.841777508234</v>
          </cell>
          <cell r="T24">
            <v>40798.208122601332</v>
          </cell>
          <cell r="U24">
            <v>40436.370148421011</v>
          </cell>
          <cell r="V24">
            <v>40187.755981242772</v>
          </cell>
          <cell r="W24">
            <v>44378.533183111118</v>
          </cell>
          <cell r="X24">
            <v>45094.023445285682</v>
          </cell>
          <cell r="Y24">
            <v>43840.690901612063</v>
          </cell>
          <cell r="Z24">
            <v>42133.068847038696</v>
          </cell>
          <cell r="AA24">
            <v>39757.471976840883</v>
          </cell>
          <cell r="AB24">
            <v>37152.549724895733</v>
          </cell>
        </row>
        <row r="25">
          <cell r="D25">
            <v>4</v>
          </cell>
          <cell r="E25">
            <v>34525.957021969574</v>
          </cell>
          <cell r="F25">
            <v>32748.790654781678</v>
          </cell>
          <cell r="G25">
            <v>31367.902790373457</v>
          </cell>
          <cell r="H25">
            <v>30378.300529837175</v>
          </cell>
          <cell r="I25">
            <v>29880.84718152702</v>
          </cell>
          <cell r="J25">
            <v>29657.340553472117</v>
          </cell>
          <cell r="K25">
            <v>28536.769992696809</v>
          </cell>
          <cell r="L25">
            <v>30048.080498506428</v>
          </cell>
          <cell r="M25">
            <v>32171.370561822001</v>
          </cell>
          <cell r="N25">
            <v>33708.352748881669</v>
          </cell>
          <cell r="O25">
            <v>35082.151870127993</v>
          </cell>
          <cell r="P25">
            <v>36265.833219559121</v>
          </cell>
          <cell r="Q25">
            <v>37017.334286281155</v>
          </cell>
          <cell r="R25">
            <v>37152.113358549868</v>
          </cell>
          <cell r="S25">
            <v>37294.724791522589</v>
          </cell>
          <cell r="T25">
            <v>37702.540616902959</v>
          </cell>
          <cell r="U25">
            <v>37561.403293200528</v>
          </cell>
          <cell r="V25">
            <v>37747.344645311365</v>
          </cell>
          <cell r="W25">
            <v>42201.454873539289</v>
          </cell>
          <cell r="X25">
            <v>43741.486535418706</v>
          </cell>
          <cell r="Y25">
            <v>43579.366124788976</v>
          </cell>
          <cell r="Z25">
            <v>42300.837911526833</v>
          </cell>
          <cell r="AA25">
            <v>39525.439462931878</v>
          </cell>
          <cell r="AB25">
            <v>36332.422616789168</v>
          </cell>
        </row>
        <row r="26">
          <cell r="D26">
            <v>3</v>
          </cell>
          <cell r="E26">
            <v>34525.957021969574</v>
          </cell>
          <cell r="F26">
            <v>32748.790654781678</v>
          </cell>
          <cell r="G26">
            <v>31367.902790373457</v>
          </cell>
          <cell r="H26">
            <v>30378.300529837175</v>
          </cell>
          <cell r="I26">
            <v>29880.84718152702</v>
          </cell>
          <cell r="J26">
            <v>29657.340553472117</v>
          </cell>
          <cell r="K26">
            <v>28536.769992696809</v>
          </cell>
          <cell r="L26">
            <v>30048.080498506428</v>
          </cell>
          <cell r="M26">
            <v>32171.370561822001</v>
          </cell>
          <cell r="N26">
            <v>33708.352748881669</v>
          </cell>
          <cell r="O26">
            <v>35082.151870127993</v>
          </cell>
          <cell r="P26">
            <v>36265.833219559121</v>
          </cell>
          <cell r="Q26">
            <v>37017.334286281155</v>
          </cell>
          <cell r="R26">
            <v>37152.113358549868</v>
          </cell>
          <cell r="S26">
            <v>37294.724791522589</v>
          </cell>
          <cell r="T26">
            <v>37702.540616902959</v>
          </cell>
          <cell r="U26">
            <v>37561.403293200528</v>
          </cell>
          <cell r="V26">
            <v>37747.344645311365</v>
          </cell>
          <cell r="W26">
            <v>42201.454873539289</v>
          </cell>
          <cell r="X26">
            <v>43741.486535418706</v>
          </cell>
          <cell r="Y26">
            <v>43579.366124788976</v>
          </cell>
          <cell r="Z26">
            <v>42300.837911526833</v>
          </cell>
          <cell r="AA26">
            <v>39525.439462931878</v>
          </cell>
          <cell r="AB26">
            <v>36332.422616789168</v>
          </cell>
        </row>
        <row r="27">
          <cell r="D27">
            <v>21</v>
          </cell>
          <cell r="E27">
            <v>32402.028854462002</v>
          </cell>
          <cell r="F27">
            <v>30788.331407424073</v>
          </cell>
          <cell r="G27">
            <v>29607.969613025714</v>
          </cell>
          <cell r="H27">
            <v>28804.017924361167</v>
          </cell>
          <cell r="I27">
            <v>28927.175307432415</v>
          </cell>
          <cell r="J27">
            <v>29853.574682304825</v>
          </cell>
          <cell r="K27">
            <v>30183.764850156364</v>
          </cell>
          <cell r="L27">
            <v>33621.519936471013</v>
          </cell>
          <cell r="M27">
            <v>37160.355785297812</v>
          </cell>
          <cell r="N27">
            <v>38795.375269333803</v>
          </cell>
          <cell r="O27">
            <v>40616.163682736675</v>
          </cell>
          <cell r="P27">
            <v>42156.777688038186</v>
          </cell>
          <cell r="Q27">
            <v>40504.959785210238</v>
          </cell>
          <cell r="R27">
            <v>41695.782352099406</v>
          </cell>
          <cell r="S27">
            <v>44014.927563979807</v>
          </cell>
          <cell r="T27">
            <v>44296.591196872731</v>
          </cell>
          <cell r="U27">
            <v>43625.486428692355</v>
          </cell>
          <cell r="V27">
            <v>42492.603966545248</v>
          </cell>
          <cell r="W27">
            <v>45117.607794415453</v>
          </cell>
          <cell r="X27">
            <v>45254.610946674191</v>
          </cell>
          <cell r="Y27">
            <v>43900.48182014878</v>
          </cell>
          <cell r="Z27">
            <v>41791.580766419233</v>
          </cell>
          <cell r="AA27">
            <v>38624.394005826209</v>
          </cell>
          <cell r="AB27">
            <v>35166.226265946789</v>
          </cell>
        </row>
        <row r="28">
          <cell r="D28">
            <v>4</v>
          </cell>
          <cell r="E28">
            <v>32074.842212193347</v>
          </cell>
          <cell r="F28">
            <v>30402.718278161628</v>
          </cell>
          <cell r="G28">
            <v>29160.689532606593</v>
          </cell>
          <cell r="H28">
            <v>28312.493513103076</v>
          </cell>
          <cell r="I28">
            <v>28098.254636309663</v>
          </cell>
          <cell r="J28">
            <v>28089.730770894108</v>
          </cell>
          <cell r="K28">
            <v>28023.200721199169</v>
          </cell>
          <cell r="L28">
            <v>30889.318052666928</v>
          </cell>
          <cell r="M28">
            <v>34225.176978672869</v>
          </cell>
          <cell r="N28">
            <v>36011.646484169309</v>
          </cell>
          <cell r="O28">
            <v>37761.029507512358</v>
          </cell>
          <cell r="P28">
            <v>38848.887584362099</v>
          </cell>
          <cell r="Q28">
            <v>38342.799940733006</v>
          </cell>
          <cell r="R28">
            <v>37930.099993004784</v>
          </cell>
          <cell r="S28">
            <v>38141.256364688626</v>
          </cell>
          <cell r="T28">
            <v>38213.74147069428</v>
          </cell>
          <cell r="U28">
            <v>37998.435053965426</v>
          </cell>
          <cell r="V28">
            <v>38231.06135181104</v>
          </cell>
          <cell r="W28">
            <v>42460.833267250455</v>
          </cell>
          <cell r="X28">
            <v>42552.653219546963</v>
          </cell>
          <cell r="Y28">
            <v>41372.810320638804</v>
          </cell>
          <cell r="Z28">
            <v>39636.38323048281</v>
          </cell>
          <cell r="AA28">
            <v>37442.316841924905</v>
          </cell>
          <cell r="AB28">
            <v>34935.06569648358</v>
          </cell>
        </row>
        <row r="29">
          <cell r="D29">
            <v>5</v>
          </cell>
          <cell r="E29">
            <v>32701.372646745844</v>
          </cell>
          <cell r="F29">
            <v>31092.564295673707</v>
          </cell>
          <cell r="G29">
            <v>29762.198265866835</v>
          </cell>
          <cell r="H29">
            <v>28852.080652049412</v>
          </cell>
          <cell r="I29">
            <v>28468.541261892158</v>
          </cell>
          <cell r="J29">
            <v>27962.904788809174</v>
          </cell>
          <cell r="K29">
            <v>27376.389989605341</v>
          </cell>
          <cell r="L29">
            <v>28890.590082008272</v>
          </cell>
          <cell r="M29">
            <v>30495.789397793083</v>
          </cell>
          <cell r="N29">
            <v>31928.355593270055</v>
          </cell>
          <cell r="O29">
            <v>33260.72967754244</v>
          </cell>
          <cell r="P29">
            <v>34317.803509385463</v>
          </cell>
          <cell r="Q29">
            <v>34908.916233366777</v>
          </cell>
          <cell r="R29">
            <v>35071.760828588303</v>
          </cell>
          <cell r="S29">
            <v>35286.229404171754</v>
          </cell>
          <cell r="T29">
            <v>35602.257753096601</v>
          </cell>
          <cell r="U29">
            <v>35729.939017639066</v>
          </cell>
          <cell r="V29">
            <v>36167.669551856314</v>
          </cell>
          <cell r="W29">
            <v>40179.172331072768</v>
          </cell>
          <cell r="X29">
            <v>41393.91957362878</v>
          </cell>
          <cell r="Y29">
            <v>41257.787828814282</v>
          </cell>
          <cell r="Z29">
            <v>40244.523611332195</v>
          </cell>
          <cell r="AA29">
            <v>37662.300162957908</v>
          </cell>
          <cell r="AB29">
            <v>34600.246143676421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D31">
            <v>20</v>
          </cell>
          <cell r="E31">
            <v>31948.585746043656</v>
          </cell>
          <cell r="F31">
            <v>30431.637924435789</v>
          </cell>
          <cell r="G31">
            <v>29283.490723299761</v>
          </cell>
          <cell r="H31">
            <v>28497.655443131294</v>
          </cell>
          <cell r="I31">
            <v>28637.317407163846</v>
          </cell>
          <cell r="J31">
            <v>29430.468281631274</v>
          </cell>
          <cell r="K31">
            <v>30098.03575295478</v>
          </cell>
          <cell r="L31">
            <v>33615.353868110964</v>
          </cell>
          <cell r="M31">
            <v>37231.876308863822</v>
          </cell>
          <cell r="N31">
            <v>38925.456541883432</v>
          </cell>
          <cell r="O31">
            <v>40944.966395520227</v>
          </cell>
          <cell r="P31">
            <v>42263.970214053203</v>
          </cell>
          <cell r="Q31">
            <v>40547.036595300364</v>
          </cell>
          <cell r="R31">
            <v>41658.261526857517</v>
          </cell>
          <cell r="S31">
            <v>43819.012568736485</v>
          </cell>
          <cell r="T31">
            <v>44035.310298446027</v>
          </cell>
          <cell r="U31">
            <v>43405.216086995344</v>
          </cell>
          <cell r="V31">
            <v>41986.933377485875</v>
          </cell>
          <cell r="W31">
            <v>44598.931929915401</v>
          </cell>
          <cell r="X31">
            <v>44775.686076866972</v>
          </cell>
          <cell r="Y31">
            <v>43394.686183219725</v>
          </cell>
          <cell r="Z31">
            <v>41100.998105477731</v>
          </cell>
          <cell r="AA31">
            <v>37870.116095306556</v>
          </cell>
          <cell r="AB31">
            <v>34569.544991464325</v>
          </cell>
        </row>
        <row r="32">
          <cell r="D32">
            <v>4</v>
          </cell>
          <cell r="E32">
            <v>32503.067123026169</v>
          </cell>
          <cell r="F32">
            <v>30612.138490498422</v>
          </cell>
          <cell r="G32">
            <v>29333.073929865561</v>
          </cell>
          <cell r="H32">
            <v>28509.212875474459</v>
          </cell>
          <cell r="I32">
            <v>28358.713438070077</v>
          </cell>
          <cell r="J32">
            <v>28050.432195900128</v>
          </cell>
          <cell r="K32">
            <v>28320.632306610227</v>
          </cell>
          <cell r="L32">
            <v>31563.008507102255</v>
          </cell>
          <cell r="M32">
            <v>35179.797632447495</v>
          </cell>
          <cell r="N32">
            <v>37209.337499523062</v>
          </cell>
          <cell r="O32">
            <v>38757.587527498406</v>
          </cell>
          <cell r="P32">
            <v>39795.803367039247</v>
          </cell>
          <cell r="Q32">
            <v>38982.482595118541</v>
          </cell>
          <cell r="R32">
            <v>38443.316821194887</v>
          </cell>
          <cell r="S32">
            <v>38725.006524867109</v>
          </cell>
          <cell r="T32">
            <v>38795.605971138095</v>
          </cell>
          <cell r="U32">
            <v>38575.462217077031</v>
          </cell>
          <cell r="V32">
            <v>38855.734964409239</v>
          </cell>
          <cell r="W32">
            <v>42993.347989412141</v>
          </cell>
          <cell r="X32">
            <v>43481.289085582801</v>
          </cell>
          <cell r="Y32">
            <v>42194.66442673999</v>
          </cell>
          <cell r="Z32">
            <v>40293.314539248495</v>
          </cell>
          <cell r="AA32">
            <v>38089.994247988543</v>
          </cell>
          <cell r="AB32">
            <v>35534.554354855922</v>
          </cell>
        </row>
        <row r="33">
          <cell r="D33">
            <v>4</v>
          </cell>
          <cell r="E33">
            <v>32886.745942512098</v>
          </cell>
          <cell r="F33">
            <v>31332.834238931151</v>
          </cell>
          <cell r="G33">
            <v>30094.844682181822</v>
          </cell>
          <cell r="H33">
            <v>29206.920643172693</v>
          </cell>
          <cell r="I33">
            <v>28828.536167181632</v>
          </cell>
          <cell r="J33">
            <v>27959.146694746469</v>
          </cell>
          <cell r="K33">
            <v>27537.254028130803</v>
          </cell>
          <cell r="L33">
            <v>29180.581839747403</v>
          </cell>
          <cell r="M33">
            <v>31415.406926599535</v>
          </cell>
          <cell r="N33">
            <v>33182.424486153752</v>
          </cell>
          <cell r="O33">
            <v>34392.95307459584</v>
          </cell>
          <cell r="P33">
            <v>35294.897892621972</v>
          </cell>
          <cell r="Q33">
            <v>35809.023651596843</v>
          </cell>
          <cell r="R33">
            <v>35918.049871981646</v>
          </cell>
          <cell r="S33">
            <v>36067.833755692031</v>
          </cell>
          <cell r="T33">
            <v>36465.488785006375</v>
          </cell>
          <cell r="U33">
            <v>36361.325499531311</v>
          </cell>
          <cell r="V33">
            <v>36942.812892091286</v>
          </cell>
          <cell r="W33">
            <v>41230.623090758127</v>
          </cell>
          <cell r="X33">
            <v>42363.345381908417</v>
          </cell>
          <cell r="Y33">
            <v>42132.949458069401</v>
          </cell>
          <cell r="Z33">
            <v>40780.5050347371</v>
          </cell>
          <cell r="AA33">
            <v>38050.860781117313</v>
          </cell>
          <cell r="AB33">
            <v>34599.456540902764</v>
          </cell>
        </row>
        <row r="34">
          <cell r="D34">
            <v>3</v>
          </cell>
          <cell r="E34">
            <v>32886.745942512098</v>
          </cell>
          <cell r="F34">
            <v>31332.834238931151</v>
          </cell>
          <cell r="G34">
            <v>30094.844682181822</v>
          </cell>
          <cell r="H34">
            <v>29206.920643172693</v>
          </cell>
          <cell r="I34">
            <v>28828.536167181632</v>
          </cell>
          <cell r="J34">
            <v>27959.146694746469</v>
          </cell>
          <cell r="K34">
            <v>27537.254028130803</v>
          </cell>
          <cell r="L34">
            <v>29180.581839747403</v>
          </cell>
          <cell r="M34">
            <v>31415.406926599535</v>
          </cell>
          <cell r="N34">
            <v>33182.424486153752</v>
          </cell>
          <cell r="O34">
            <v>34392.95307459584</v>
          </cell>
          <cell r="P34">
            <v>35294.897892621972</v>
          </cell>
          <cell r="Q34">
            <v>35809.023651596843</v>
          </cell>
          <cell r="R34">
            <v>35918.049871981646</v>
          </cell>
          <cell r="S34">
            <v>36067.833755692031</v>
          </cell>
          <cell r="T34">
            <v>36465.488785006375</v>
          </cell>
          <cell r="U34">
            <v>36361.325499531311</v>
          </cell>
          <cell r="V34">
            <v>36942.812892091286</v>
          </cell>
          <cell r="W34">
            <v>41230.623090758127</v>
          </cell>
          <cell r="X34">
            <v>42363.345381908417</v>
          </cell>
          <cell r="Y34">
            <v>42132.949458069401</v>
          </cell>
          <cell r="Z34">
            <v>40780.5050347371</v>
          </cell>
          <cell r="AA34">
            <v>38050.860781117313</v>
          </cell>
          <cell r="AB34">
            <v>34599.456540902764</v>
          </cell>
        </row>
        <row r="35">
          <cell r="D35">
            <v>20</v>
          </cell>
          <cell r="E35">
            <v>31855.739659393712</v>
          </cell>
          <cell r="F35">
            <v>30255.969425856725</v>
          </cell>
          <cell r="G35">
            <v>29144.266905547036</v>
          </cell>
          <cell r="H35">
            <v>28274.427398173448</v>
          </cell>
          <cell r="I35">
            <v>28361.51878822139</v>
          </cell>
          <cell r="J35">
            <v>28752.01623694595</v>
          </cell>
          <cell r="K35">
            <v>29372.840240229667</v>
          </cell>
          <cell r="L35">
            <v>33071.650456895819</v>
          </cell>
          <cell r="M35">
            <v>36672.287847536696</v>
          </cell>
          <cell r="N35">
            <v>38454.706890932961</v>
          </cell>
          <cell r="O35">
            <v>40516.731656993965</v>
          </cell>
          <cell r="P35">
            <v>41872.079550928131</v>
          </cell>
          <cell r="Q35">
            <v>40383.399597345262</v>
          </cell>
          <cell r="R35">
            <v>41269.178468176549</v>
          </cell>
          <cell r="S35">
            <v>43298.363521154148</v>
          </cell>
          <cell r="T35">
            <v>43539.023172706307</v>
          </cell>
          <cell r="U35">
            <v>43106.130980921924</v>
          </cell>
          <cell r="V35">
            <v>41759.544855619999</v>
          </cell>
          <cell r="W35">
            <v>44196.931978674387</v>
          </cell>
          <cell r="X35">
            <v>44756.927436626953</v>
          </cell>
          <cell r="Y35">
            <v>43294.612504108729</v>
          </cell>
          <cell r="Z35">
            <v>41075.472591986116</v>
          </cell>
          <cell r="AA35">
            <v>37773.424511371355</v>
          </cell>
          <cell r="AB35">
            <v>34443.520677329718</v>
          </cell>
        </row>
        <row r="36">
          <cell r="D36">
            <v>5</v>
          </cell>
          <cell r="E36">
            <v>31934.05636196084</v>
          </cell>
          <cell r="F36">
            <v>30365.406863919728</v>
          </cell>
          <cell r="G36">
            <v>29199.715227562323</v>
          </cell>
          <cell r="H36">
            <v>28399.667817758585</v>
          </cell>
          <cell r="I36">
            <v>28259.349854040454</v>
          </cell>
          <cell r="J36">
            <v>27901.886451647068</v>
          </cell>
          <cell r="K36">
            <v>28175.46031986958</v>
          </cell>
          <cell r="L36">
            <v>31425.970929564355</v>
          </cell>
          <cell r="M36">
            <v>34993.04181178553</v>
          </cell>
          <cell r="N36">
            <v>37030.026399384013</v>
          </cell>
          <cell r="O36">
            <v>38775.536218992478</v>
          </cell>
          <cell r="P36">
            <v>39832.709637404681</v>
          </cell>
          <cell r="Q36">
            <v>39105.147097671113</v>
          </cell>
          <cell r="R36">
            <v>38318.952290267094</v>
          </cell>
          <cell r="S36">
            <v>38438.167314834267</v>
          </cell>
          <cell r="T36">
            <v>38462.782786149801</v>
          </cell>
          <cell r="U36">
            <v>38015.703239642207</v>
          </cell>
          <cell r="V36">
            <v>38169.01730812015</v>
          </cell>
          <cell r="W36">
            <v>41467.640756122419</v>
          </cell>
          <cell r="X36">
            <v>42337.532526110714</v>
          </cell>
          <cell r="Y36">
            <v>41121.918605216953</v>
          </cell>
          <cell r="Z36">
            <v>39070.137054728017</v>
          </cell>
          <cell r="AA36">
            <v>36686.249783032756</v>
          </cell>
          <cell r="AB36">
            <v>34222.592291500332</v>
          </cell>
        </row>
        <row r="37">
          <cell r="D37">
            <v>4</v>
          </cell>
          <cell r="E37">
            <v>32416.473488264521</v>
          </cell>
          <cell r="F37">
            <v>30774.601402517674</v>
          </cell>
          <cell r="G37">
            <v>29499.29709419268</v>
          </cell>
          <cell r="H37">
            <v>28661.068849527386</v>
          </cell>
          <cell r="I37">
            <v>28334.135541681226</v>
          </cell>
          <cell r="J37">
            <v>27443.989997267254</v>
          </cell>
          <cell r="K37">
            <v>26840.88089169257</v>
          </cell>
          <cell r="L37">
            <v>28312.466580796452</v>
          </cell>
          <cell r="M37">
            <v>30252.549146015393</v>
          </cell>
          <cell r="N37">
            <v>31874.949767020455</v>
          </cell>
          <cell r="O37">
            <v>33023.115605314881</v>
          </cell>
          <cell r="P37">
            <v>33936.079594526804</v>
          </cell>
          <cell r="Q37">
            <v>34650.027488243133</v>
          </cell>
          <cell r="R37">
            <v>34585.655596357443</v>
          </cell>
          <cell r="S37">
            <v>34704.951943608343</v>
          </cell>
          <cell r="T37">
            <v>34986.808305861392</v>
          </cell>
          <cell r="U37">
            <v>35042.921354017759</v>
          </cell>
          <cell r="V37">
            <v>35441.222286420329</v>
          </cell>
          <cell r="W37">
            <v>39515.617167038938</v>
          </cell>
          <cell r="X37">
            <v>41422.66567858644</v>
          </cell>
          <cell r="Y37">
            <v>40899.112222518452</v>
          </cell>
          <cell r="Z37">
            <v>39589.605350668215</v>
          </cell>
          <cell r="AA37">
            <v>37192.866386387534</v>
          </cell>
          <cell r="AB37">
            <v>34474.539082332398</v>
          </cell>
        </row>
        <row r="38">
          <cell r="D38">
            <v>1</v>
          </cell>
          <cell r="E38">
            <v>32416.473488264521</v>
          </cell>
          <cell r="F38">
            <v>30774.601402517674</v>
          </cell>
          <cell r="G38">
            <v>29499.29709419268</v>
          </cell>
          <cell r="H38">
            <v>28661.068849527386</v>
          </cell>
          <cell r="I38">
            <v>28334.135541681226</v>
          </cell>
          <cell r="J38">
            <v>27443.989997267254</v>
          </cell>
          <cell r="K38">
            <v>26840.88089169257</v>
          </cell>
          <cell r="L38">
            <v>28312.466580796452</v>
          </cell>
          <cell r="M38">
            <v>30252.549146015393</v>
          </cell>
          <cell r="N38">
            <v>31874.949767020455</v>
          </cell>
          <cell r="O38">
            <v>33023.115605314881</v>
          </cell>
          <cell r="P38">
            <v>33936.079594526804</v>
          </cell>
          <cell r="Q38">
            <v>34650.027488243133</v>
          </cell>
          <cell r="R38">
            <v>34585.655596357443</v>
          </cell>
          <cell r="S38">
            <v>34704.951943608343</v>
          </cell>
          <cell r="T38">
            <v>34986.808305861392</v>
          </cell>
          <cell r="U38">
            <v>35042.921354017759</v>
          </cell>
          <cell r="V38">
            <v>35441.222286420329</v>
          </cell>
          <cell r="W38">
            <v>39515.617167038938</v>
          </cell>
          <cell r="X38">
            <v>41422.66567858644</v>
          </cell>
          <cell r="Y38">
            <v>40899.112222518452</v>
          </cell>
          <cell r="Z38">
            <v>39589.605350668215</v>
          </cell>
          <cell r="AA38">
            <v>37192.866386387534</v>
          </cell>
          <cell r="AB38">
            <v>34474.539082332398</v>
          </cell>
        </row>
        <row r="39">
          <cell r="D39">
            <v>20</v>
          </cell>
          <cell r="E39">
            <v>31986.615503812125</v>
          </cell>
          <cell r="F39">
            <v>30351.457156456785</v>
          </cell>
          <cell r="G39">
            <v>29131.050342912582</v>
          </cell>
          <cell r="H39">
            <v>28316.102109158543</v>
          </cell>
          <cell r="I39">
            <v>28286.050310369777</v>
          </cell>
          <cell r="J39">
            <v>29013.492845297857</v>
          </cell>
          <cell r="K39">
            <v>29390.570980953278</v>
          </cell>
          <cell r="L39">
            <v>33010.69694015244</v>
          </cell>
          <cell r="M39">
            <v>36560.117394787987</v>
          </cell>
          <cell r="N39">
            <v>38385.750443010744</v>
          </cell>
          <cell r="O39">
            <v>40507.50930665795</v>
          </cell>
          <cell r="P39">
            <v>42098.836543969766</v>
          </cell>
          <cell r="Q39">
            <v>40598.067963449415</v>
          </cell>
          <cell r="R39">
            <v>41964.014105219969</v>
          </cell>
          <cell r="S39">
            <v>44353.340851167079</v>
          </cell>
          <cell r="T39">
            <v>44616.023366023335</v>
          </cell>
          <cell r="U39">
            <v>44010.523984176536</v>
          </cell>
          <cell r="V39">
            <v>42140.349926620547</v>
          </cell>
          <cell r="W39">
            <v>44009.183636287984</v>
          </cell>
          <cell r="X39">
            <v>45034.987599874206</v>
          </cell>
          <cell r="Y39">
            <v>43814.841522869632</v>
          </cell>
          <cell r="Z39">
            <v>41636.548732448529</v>
          </cell>
          <cell r="AA39">
            <v>38231.4454141354</v>
          </cell>
          <cell r="AB39">
            <v>34936.455199712167</v>
          </cell>
        </row>
        <row r="40">
          <cell r="D40">
            <v>4</v>
          </cell>
          <cell r="E40">
            <v>32583.036156655082</v>
          </cell>
          <cell r="F40">
            <v>30741.287255498504</v>
          </cell>
          <cell r="G40">
            <v>29416.149484836555</v>
          </cell>
          <cell r="H40">
            <v>28613.124819177323</v>
          </cell>
          <cell r="I40">
            <v>28232.949622489243</v>
          </cell>
          <cell r="J40">
            <v>27946.446804469157</v>
          </cell>
          <cell r="K40">
            <v>28071.964813616716</v>
          </cell>
          <cell r="L40">
            <v>31146.242028937562</v>
          </cell>
          <cell r="M40">
            <v>34755.677421660053</v>
          </cell>
          <cell r="N40">
            <v>36840.226486466148</v>
          </cell>
          <cell r="O40">
            <v>38801.168651422275</v>
          </cell>
          <cell r="P40">
            <v>39781.253927692589</v>
          </cell>
          <cell r="Q40">
            <v>39145.512096567247</v>
          </cell>
          <cell r="R40">
            <v>38579.585874098986</v>
          </cell>
          <cell r="S40">
            <v>38576.808655933026</v>
          </cell>
          <cell r="T40">
            <v>38348.911886306349</v>
          </cell>
          <cell r="U40">
            <v>37981.832268742044</v>
          </cell>
          <cell r="V40">
            <v>38108.397559267687</v>
          </cell>
          <cell r="W40">
            <v>40498.360789119331</v>
          </cell>
          <cell r="X40">
            <v>41410.528532036653</v>
          </cell>
          <cell r="Y40">
            <v>40053.658852488443</v>
          </cell>
          <cell r="Z40">
            <v>38376.426972444096</v>
          </cell>
          <cell r="AA40">
            <v>36248.673803518948</v>
          </cell>
          <cell r="AB40">
            <v>33811.167127260793</v>
          </cell>
        </row>
        <row r="41">
          <cell r="D41">
            <v>5</v>
          </cell>
          <cell r="E41">
            <v>30641.65964519835</v>
          </cell>
          <cell r="F41">
            <v>29208.963513655242</v>
          </cell>
          <cell r="G41">
            <v>27959.562260433009</v>
          </cell>
          <cell r="H41">
            <v>27196.526647161725</v>
          </cell>
          <cell r="I41">
            <v>26887.996814585549</v>
          </cell>
          <cell r="J41">
            <v>26230.478330196023</v>
          </cell>
          <cell r="K41">
            <v>25651.495304734679</v>
          </cell>
          <cell r="L41">
            <v>27237.069752890227</v>
          </cell>
          <cell r="M41">
            <v>29186.529838501821</v>
          </cell>
          <cell r="N41">
            <v>30757.214252477883</v>
          </cell>
          <cell r="O41">
            <v>32096.881993248757</v>
          </cell>
          <cell r="P41">
            <v>33238.653307242152</v>
          </cell>
          <cell r="Q41">
            <v>34064.204732491758</v>
          </cell>
          <cell r="R41">
            <v>34273.679255699237</v>
          </cell>
          <cell r="S41">
            <v>34468.308060305135</v>
          </cell>
          <cell r="T41">
            <v>34924.055546114774</v>
          </cell>
          <cell r="U41">
            <v>34862.48122293393</v>
          </cell>
          <cell r="V41">
            <v>35027.579777389699</v>
          </cell>
          <cell r="W41">
            <v>39000.235422199825</v>
          </cell>
          <cell r="X41">
            <v>41228.781114594582</v>
          </cell>
          <cell r="Y41">
            <v>40605.386059666169</v>
          </cell>
          <cell r="Z41">
            <v>38936.898468630738</v>
          </cell>
          <cell r="AA41">
            <v>35939.825941501265</v>
          </cell>
          <cell r="AB41">
            <v>32912.012306225093</v>
          </cell>
        </row>
        <row r="42">
          <cell r="D42">
            <v>2</v>
          </cell>
          <cell r="E42">
            <v>30641.65964519835</v>
          </cell>
          <cell r="F42">
            <v>29208.963513655242</v>
          </cell>
          <cell r="G42">
            <v>27959.562260433009</v>
          </cell>
          <cell r="H42">
            <v>27196.526647161725</v>
          </cell>
          <cell r="I42">
            <v>26887.996814585549</v>
          </cell>
          <cell r="J42">
            <v>26230.478330196023</v>
          </cell>
          <cell r="K42">
            <v>25651.495304734679</v>
          </cell>
          <cell r="L42">
            <v>27237.069752890227</v>
          </cell>
          <cell r="M42">
            <v>29186.529838501821</v>
          </cell>
          <cell r="N42">
            <v>30757.214252477883</v>
          </cell>
          <cell r="O42">
            <v>32096.881993248757</v>
          </cell>
          <cell r="P42">
            <v>33238.653307242152</v>
          </cell>
          <cell r="Q42">
            <v>34064.204732491758</v>
          </cell>
          <cell r="R42">
            <v>34273.679255699237</v>
          </cell>
          <cell r="S42">
            <v>34468.308060305135</v>
          </cell>
          <cell r="T42">
            <v>34924.055546114774</v>
          </cell>
          <cell r="U42">
            <v>34862.48122293393</v>
          </cell>
          <cell r="V42">
            <v>35027.579777389699</v>
          </cell>
          <cell r="W42">
            <v>39000.235422199825</v>
          </cell>
          <cell r="X42">
            <v>41228.781114594582</v>
          </cell>
          <cell r="Y42">
            <v>40605.386059666169</v>
          </cell>
          <cell r="Z42">
            <v>38936.898468630738</v>
          </cell>
          <cell r="AA42">
            <v>35939.825941501265</v>
          </cell>
          <cell r="AB42">
            <v>32912.012306225093</v>
          </cell>
        </row>
        <row r="43">
          <cell r="D43">
            <v>21</v>
          </cell>
          <cell r="E43">
            <v>31876.061278734855</v>
          </cell>
          <cell r="F43">
            <v>30132.335014911136</v>
          </cell>
          <cell r="G43">
            <v>28897.655412972294</v>
          </cell>
          <cell r="H43">
            <v>28055.47155813584</v>
          </cell>
          <cell r="I43">
            <v>28026.620525494145</v>
          </cell>
          <cell r="J43">
            <v>28963.200875483606</v>
          </cell>
          <cell r="K43">
            <v>29303.918925741964</v>
          </cell>
          <cell r="L43">
            <v>32597.854316188816</v>
          </cell>
          <cell r="M43">
            <v>36148.438948097886</v>
          </cell>
          <cell r="N43">
            <v>37927.143633852662</v>
          </cell>
          <cell r="O43">
            <v>40138.671414946955</v>
          </cell>
          <cell r="P43">
            <v>41970.189812055025</v>
          </cell>
          <cell r="Q43">
            <v>40282.981587170674</v>
          </cell>
          <cell r="R43">
            <v>41600.30591358582</v>
          </cell>
          <cell r="S43">
            <v>44101.603078371205</v>
          </cell>
          <cell r="T43">
            <v>44384.849212865796</v>
          </cell>
          <cell r="U43">
            <v>43623.686189042295</v>
          </cell>
          <cell r="V43">
            <v>42025.78185451559</v>
          </cell>
          <cell r="W43">
            <v>44541.457624206996</v>
          </cell>
          <cell r="X43">
            <v>45236.085569918418</v>
          </cell>
          <cell r="Y43">
            <v>43964.894400376746</v>
          </cell>
          <cell r="Z43">
            <v>41716.497185576794</v>
          </cell>
          <cell r="AA43">
            <v>38253.219104266056</v>
          </cell>
          <cell r="AB43">
            <v>34981.824426570573</v>
          </cell>
        </row>
        <row r="44">
          <cell r="D44">
            <v>4</v>
          </cell>
          <cell r="E44">
            <v>32312.470661197203</v>
          </cell>
          <cell r="F44">
            <v>30650.944334669479</v>
          </cell>
          <cell r="G44">
            <v>29418.983927438185</v>
          </cell>
          <cell r="H44">
            <v>28483.94305086559</v>
          </cell>
          <cell r="I44">
            <v>27923.27837544947</v>
          </cell>
          <cell r="J44">
            <v>27682.534789156129</v>
          </cell>
          <cell r="K44">
            <v>27725.707244661651</v>
          </cell>
          <cell r="L44">
            <v>30691.936342145847</v>
          </cell>
          <cell r="M44">
            <v>33941.070586564361</v>
          </cell>
          <cell r="N44">
            <v>36007.782946171799</v>
          </cell>
          <cell r="O44">
            <v>37704.705134471893</v>
          </cell>
          <cell r="P44">
            <v>38278.997545152793</v>
          </cell>
          <cell r="Q44">
            <v>37621.671014501917</v>
          </cell>
          <cell r="R44">
            <v>37106.268617830399</v>
          </cell>
          <cell r="S44">
            <v>37515.707264626166</v>
          </cell>
          <cell r="T44">
            <v>37678.843312218225</v>
          </cell>
          <cell r="U44">
            <v>37430.713156359881</v>
          </cell>
          <cell r="V44">
            <v>37719.847264509328</v>
          </cell>
          <cell r="W44">
            <v>41636.144854183993</v>
          </cell>
          <cell r="X44">
            <v>41967.063741970465</v>
          </cell>
          <cell r="Y44">
            <v>40437.204329272077</v>
          </cell>
          <cell r="Z44">
            <v>38602.601012922889</v>
          </cell>
          <cell r="AA44">
            <v>36234.197428839441</v>
          </cell>
          <cell r="AB44">
            <v>33650.051794385421</v>
          </cell>
        </row>
        <row r="45">
          <cell r="D45">
            <v>4</v>
          </cell>
          <cell r="E45">
            <v>31532.88038261337</v>
          </cell>
          <cell r="F45">
            <v>29998.572565105231</v>
          </cell>
          <cell r="G45">
            <v>28668.775036737075</v>
          </cell>
          <cell r="H45">
            <v>27897.981335196931</v>
          </cell>
          <cell r="I45">
            <v>27496.133877836015</v>
          </cell>
          <cell r="J45">
            <v>27077.534596817004</v>
          </cell>
          <cell r="K45">
            <v>26349.663288682565</v>
          </cell>
          <cell r="L45">
            <v>27842.083497279011</v>
          </cell>
          <cell r="M45">
            <v>29634.040189640964</v>
          </cell>
          <cell r="N45">
            <v>31157.180124710372</v>
          </cell>
          <cell r="O45">
            <v>32449.134142964722</v>
          </cell>
          <cell r="P45">
            <v>33526.056567655454</v>
          </cell>
          <cell r="Q45">
            <v>34168.182282874754</v>
          </cell>
          <cell r="R45">
            <v>34302.686090203977</v>
          </cell>
          <cell r="S45">
            <v>34509.598585455409</v>
          </cell>
          <cell r="T45">
            <v>34758.757813070282</v>
          </cell>
          <cell r="U45">
            <v>34754.481829064556</v>
          </cell>
          <cell r="V45">
            <v>35337.149112894964</v>
          </cell>
          <cell r="W45">
            <v>39766.239936230901</v>
          </cell>
          <cell r="X45">
            <v>41483.07283234709</v>
          </cell>
          <cell r="Y45">
            <v>41143.284919618876</v>
          </cell>
          <cell r="Z45">
            <v>39673.114784837657</v>
          </cell>
          <cell r="AA45">
            <v>36769.478853601009</v>
          </cell>
          <cell r="AB45">
            <v>33699.172248289869</v>
          </cell>
        </row>
        <row r="46">
          <cell r="D46">
            <v>2</v>
          </cell>
          <cell r="E46">
            <v>31532.88038261337</v>
          </cell>
          <cell r="F46">
            <v>29998.572565105231</v>
          </cell>
          <cell r="G46">
            <v>28668.775036737075</v>
          </cell>
          <cell r="H46">
            <v>27897.981335196931</v>
          </cell>
          <cell r="I46">
            <v>27496.133877836015</v>
          </cell>
          <cell r="J46">
            <v>27077.534596817004</v>
          </cell>
          <cell r="K46">
            <v>26349.663288682565</v>
          </cell>
          <cell r="L46">
            <v>27842.083497279011</v>
          </cell>
          <cell r="M46">
            <v>29634.040189640964</v>
          </cell>
          <cell r="N46">
            <v>31157.180124710372</v>
          </cell>
          <cell r="O46">
            <v>32449.134142964722</v>
          </cell>
          <cell r="P46">
            <v>33526.056567655454</v>
          </cell>
          <cell r="Q46">
            <v>34168.182282874754</v>
          </cell>
          <cell r="R46">
            <v>34302.686090203977</v>
          </cell>
          <cell r="S46">
            <v>34509.598585455409</v>
          </cell>
          <cell r="T46">
            <v>34758.757813070282</v>
          </cell>
          <cell r="U46">
            <v>34754.481829064556</v>
          </cell>
          <cell r="V46">
            <v>35337.149112894964</v>
          </cell>
          <cell r="W46">
            <v>39766.239936230901</v>
          </cell>
          <cell r="X46">
            <v>41483.07283234709</v>
          </cell>
          <cell r="Y46">
            <v>41143.284919618876</v>
          </cell>
          <cell r="Z46">
            <v>39673.114784837657</v>
          </cell>
          <cell r="AA46">
            <v>36769.478853601009</v>
          </cell>
          <cell r="AB46">
            <v>33699.172248289869</v>
          </cell>
        </row>
        <row r="47">
          <cell r="D47">
            <v>20</v>
          </cell>
          <cell r="E47">
            <v>31704.743798019656</v>
          </cell>
          <cell r="F47">
            <v>30041.718095821478</v>
          </cell>
          <cell r="G47">
            <v>28816.615108721118</v>
          </cell>
          <cell r="H47">
            <v>27919.328233143049</v>
          </cell>
          <cell r="I47">
            <v>27887.628701993151</v>
          </cell>
          <cell r="J47">
            <v>28790.145479415132</v>
          </cell>
          <cell r="K47">
            <v>29197.059043524336</v>
          </cell>
          <cell r="L47">
            <v>32539.445546580348</v>
          </cell>
          <cell r="M47">
            <v>36139.188103172273</v>
          </cell>
          <cell r="N47">
            <v>37936.554929584992</v>
          </cell>
          <cell r="O47">
            <v>39868.593537802109</v>
          </cell>
          <cell r="P47">
            <v>41519.654252393331</v>
          </cell>
          <cell r="Q47">
            <v>40018.980384624134</v>
          </cell>
          <cell r="R47">
            <v>41188.322262366142</v>
          </cell>
          <cell r="S47">
            <v>43524.502318645747</v>
          </cell>
          <cell r="T47">
            <v>43822.380978004017</v>
          </cell>
          <cell r="U47">
            <v>43145.296772073765</v>
          </cell>
          <cell r="V47">
            <v>42048.254904611364</v>
          </cell>
          <cell r="W47">
            <v>44861.163653045522</v>
          </cell>
          <cell r="X47">
            <v>44437.483010539763</v>
          </cell>
          <cell r="Y47">
            <v>43018.664642100353</v>
          </cell>
          <cell r="Z47">
            <v>40698.439813276273</v>
          </cell>
          <cell r="AA47">
            <v>37217.228709945019</v>
          </cell>
          <cell r="AB47">
            <v>34014.731500286136</v>
          </cell>
        </row>
        <row r="48">
          <cell r="D48">
            <v>5</v>
          </cell>
          <cell r="E48">
            <v>30879.726680822976</v>
          </cell>
          <cell r="F48">
            <v>29318.866299699643</v>
          </cell>
          <cell r="G48">
            <v>28146.33870890638</v>
          </cell>
          <cell r="H48">
            <v>27282.133051174635</v>
          </cell>
          <cell r="I48">
            <v>27052.362560123853</v>
          </cell>
          <cell r="J48">
            <v>26896.597446885382</v>
          </cell>
          <cell r="K48">
            <v>27204.980202184328</v>
          </cell>
          <cell r="L48">
            <v>30306.498428365157</v>
          </cell>
          <cell r="M48">
            <v>33775.513211152975</v>
          </cell>
          <cell r="N48">
            <v>35484.270027569772</v>
          </cell>
          <cell r="O48">
            <v>37562.467801545914</v>
          </cell>
          <cell r="P48">
            <v>38487.608743298988</v>
          </cell>
          <cell r="Q48">
            <v>38059.064174544706</v>
          </cell>
          <cell r="R48">
            <v>37593.536501007853</v>
          </cell>
          <cell r="S48">
            <v>37853.3213332577</v>
          </cell>
          <cell r="T48">
            <v>37772.509915230148</v>
          </cell>
          <cell r="U48">
            <v>37323.456788576535</v>
          </cell>
          <cell r="V48">
            <v>38239.079209388539</v>
          </cell>
          <cell r="W48">
            <v>42489.563574272317</v>
          </cell>
          <cell r="X48">
            <v>42175.017711205357</v>
          </cell>
          <cell r="Y48">
            <v>40686.172769874138</v>
          </cell>
          <cell r="Z48">
            <v>38814.044557685695</v>
          </cell>
          <cell r="AA48">
            <v>36669.072883333647</v>
          </cell>
          <cell r="AB48">
            <v>34106.085256127604</v>
          </cell>
        </row>
        <row r="49">
          <cell r="D49">
            <v>5</v>
          </cell>
          <cell r="E49">
            <v>31606.543183612263</v>
          </cell>
          <cell r="F49">
            <v>29995.841367202862</v>
          </cell>
          <cell r="G49">
            <v>28612.90227112616</v>
          </cell>
          <cell r="H49">
            <v>27697.461043262396</v>
          </cell>
          <cell r="I49">
            <v>27309.963842204983</v>
          </cell>
          <cell r="J49">
            <v>26568.854113613925</v>
          </cell>
          <cell r="K49">
            <v>25874.413829171328</v>
          </cell>
          <cell r="L49">
            <v>27501.311238118371</v>
          </cell>
          <cell r="M49">
            <v>29269.6528301322</v>
          </cell>
          <cell r="N49">
            <v>30984.93227424418</v>
          </cell>
          <cell r="O49">
            <v>32297.632831497296</v>
          </cell>
          <cell r="P49">
            <v>33159.926887703194</v>
          </cell>
          <cell r="Q49">
            <v>33898.931721060893</v>
          </cell>
          <cell r="R49">
            <v>34002.962585508438</v>
          </cell>
          <cell r="S49">
            <v>34023.331029352892</v>
          </cell>
          <cell r="T49">
            <v>34446.611130936515</v>
          </cell>
          <cell r="U49">
            <v>34410.107279909804</v>
          </cell>
          <cell r="V49">
            <v>35529.361914836831</v>
          </cell>
          <cell r="W49">
            <v>40175.982786024812</v>
          </cell>
          <cell r="X49">
            <v>40844.312497901614</v>
          </cell>
          <cell r="Y49">
            <v>40316.724806612081</v>
          </cell>
          <cell r="Z49">
            <v>38794.323822903971</v>
          </cell>
          <cell r="AA49">
            <v>35997.239046321018</v>
          </cell>
          <cell r="AB49">
            <v>33018.608807285811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30474.730867330236</v>
          </cell>
          <cell r="F51">
            <v>28870.554804440366</v>
          </cell>
          <cell r="G51">
            <v>27724.323637947862</v>
          </cell>
          <cell r="H51">
            <v>26890.885129210212</v>
          </cell>
          <cell r="I51">
            <v>26977.897060905052</v>
          </cell>
          <cell r="J51">
            <v>27783.6333551178</v>
          </cell>
          <cell r="K51">
            <v>28513.115235491703</v>
          </cell>
          <cell r="L51">
            <v>31759.165128676912</v>
          </cell>
          <cell r="M51">
            <v>35211.024083003795</v>
          </cell>
          <cell r="N51">
            <v>37018.902167863547</v>
          </cell>
          <cell r="O51">
            <v>38901.651871327318</v>
          </cell>
          <cell r="P51">
            <v>40392.434314502745</v>
          </cell>
          <cell r="Q51">
            <v>38649.735920709245</v>
          </cell>
          <cell r="R51">
            <v>39682.937562556297</v>
          </cell>
          <cell r="S51">
            <v>41910.47490853272</v>
          </cell>
          <cell r="T51">
            <v>42413.950955295972</v>
          </cell>
          <cell r="U51">
            <v>41942.624781677347</v>
          </cell>
          <cell r="V51">
            <v>41957.433597088202</v>
          </cell>
          <cell r="W51">
            <v>44560.952085317978</v>
          </cell>
          <cell r="X51">
            <v>43567.893868908192</v>
          </cell>
          <cell r="Y51">
            <v>41949.821317445101</v>
          </cell>
          <cell r="Z51">
            <v>39653.952832726303</v>
          </cell>
          <cell r="AA51">
            <v>36270.227416933005</v>
          </cell>
          <cell r="AB51">
            <v>33002.387472649825</v>
          </cell>
        </row>
        <row r="52">
          <cell r="D52">
            <v>4</v>
          </cell>
          <cell r="E52">
            <v>31030.643219713733</v>
          </cell>
          <cell r="F52">
            <v>29288.193929854478</v>
          </cell>
          <cell r="G52">
            <v>27906.884352647619</v>
          </cell>
          <cell r="H52">
            <v>27046.986218421833</v>
          </cell>
          <cell r="I52">
            <v>27029.87093561087</v>
          </cell>
          <cell r="J52">
            <v>26915.083349431025</v>
          </cell>
          <cell r="K52">
            <v>27331.890261689819</v>
          </cell>
          <cell r="L52">
            <v>30039.682931394156</v>
          </cell>
          <cell r="M52">
            <v>33412.258298402827</v>
          </cell>
          <cell r="N52">
            <v>35336.13252249606</v>
          </cell>
          <cell r="O52">
            <v>37319.054041396812</v>
          </cell>
          <cell r="P52">
            <v>38305.602651164001</v>
          </cell>
          <cell r="Q52">
            <v>37586.539582737583</v>
          </cell>
          <cell r="R52">
            <v>37123.061503284342</v>
          </cell>
          <cell r="S52">
            <v>37512.822547086114</v>
          </cell>
          <cell r="T52">
            <v>37906.573954457708</v>
          </cell>
          <cell r="U52">
            <v>37617.675079127686</v>
          </cell>
          <cell r="V52">
            <v>38991.995615294116</v>
          </cell>
          <cell r="W52">
            <v>42676.430885826929</v>
          </cell>
          <cell r="X52">
            <v>41888.211835613409</v>
          </cell>
          <cell r="Y52">
            <v>40271.732852941146</v>
          </cell>
          <cell r="Z52">
            <v>38238.766455205208</v>
          </cell>
          <cell r="AA52">
            <v>35803.070172476655</v>
          </cell>
          <cell r="AB52">
            <v>33230.924329903697</v>
          </cell>
        </row>
        <row r="53">
          <cell r="D53">
            <v>4</v>
          </cell>
          <cell r="E53">
            <v>30870.025819592505</v>
          </cell>
          <cell r="F53">
            <v>29250.346438942772</v>
          </cell>
          <cell r="G53">
            <v>27964.109460155501</v>
          </cell>
          <cell r="H53">
            <v>27168.138852618689</v>
          </cell>
          <cell r="I53">
            <v>26810.603617313423</v>
          </cell>
          <cell r="J53">
            <v>26235.760497557701</v>
          </cell>
          <cell r="K53">
            <v>25534.730348741406</v>
          </cell>
          <cell r="L53">
            <v>27049.236423442388</v>
          </cell>
          <cell r="M53">
            <v>29016.210531896741</v>
          </cell>
          <cell r="N53">
            <v>30588.123326397341</v>
          </cell>
          <cell r="O53">
            <v>32095.445661467438</v>
          </cell>
          <cell r="P53">
            <v>33300.754734840921</v>
          </cell>
          <cell r="Q53">
            <v>33901.83045746608</v>
          </cell>
          <cell r="R53">
            <v>33966.27760596689</v>
          </cell>
          <cell r="S53">
            <v>34177.15724515295</v>
          </cell>
          <cell r="T53">
            <v>34139.551691178203</v>
          </cell>
          <cell r="U53">
            <v>34394.342884422869</v>
          </cell>
          <cell r="V53">
            <v>36079.608559916429</v>
          </cell>
          <cell r="W53">
            <v>40457.762568427854</v>
          </cell>
          <cell r="X53">
            <v>40725.301412497472</v>
          </cell>
          <cell r="Y53">
            <v>40092.357360754948</v>
          </cell>
          <cell r="Z53">
            <v>38502.125343962878</v>
          </cell>
          <cell r="AA53">
            <v>35615.575110713435</v>
          </cell>
          <cell r="AB53">
            <v>32696.968552494553</v>
          </cell>
        </row>
        <row r="54">
          <cell r="D54">
            <v>1</v>
          </cell>
          <cell r="E54">
            <v>30870.025819592505</v>
          </cell>
          <cell r="F54">
            <v>29250.346438942772</v>
          </cell>
          <cell r="G54">
            <v>27964.109460155501</v>
          </cell>
          <cell r="H54">
            <v>27168.138852618689</v>
          </cell>
          <cell r="I54">
            <v>26810.603617313423</v>
          </cell>
          <cell r="J54">
            <v>26235.760497557701</v>
          </cell>
          <cell r="K54">
            <v>25534.730348741406</v>
          </cell>
          <cell r="L54">
            <v>27049.236423442388</v>
          </cell>
          <cell r="M54">
            <v>29016.210531896741</v>
          </cell>
          <cell r="N54">
            <v>30588.123326397341</v>
          </cell>
          <cell r="O54">
            <v>32095.445661467438</v>
          </cell>
          <cell r="P54">
            <v>33300.754734840921</v>
          </cell>
          <cell r="Q54">
            <v>33901.83045746608</v>
          </cell>
          <cell r="R54">
            <v>33966.27760596689</v>
          </cell>
          <cell r="S54">
            <v>34177.15724515295</v>
          </cell>
          <cell r="T54">
            <v>34139.551691178203</v>
          </cell>
          <cell r="U54">
            <v>34394.342884422869</v>
          </cell>
          <cell r="V54">
            <v>36079.608559916429</v>
          </cell>
          <cell r="W54">
            <v>40457.762568427854</v>
          </cell>
          <cell r="X54">
            <v>40725.301412497472</v>
          </cell>
          <cell r="Y54">
            <v>40092.357360754948</v>
          </cell>
          <cell r="Z54">
            <v>38502.125343962878</v>
          </cell>
          <cell r="AA54">
            <v>35615.575110713435</v>
          </cell>
          <cell r="AB54">
            <v>32696.968552494553</v>
          </cell>
        </row>
        <row r="55">
          <cell r="D55">
            <v>20</v>
          </cell>
          <cell r="E55">
            <v>30071.18171622646</v>
          </cell>
          <cell r="F55">
            <v>28526.000261559118</v>
          </cell>
          <cell r="G55">
            <v>27400.814923828006</v>
          </cell>
          <cell r="H55">
            <v>26638.658551097302</v>
          </cell>
          <cell r="I55">
            <v>26713.808536491131</v>
          </cell>
          <cell r="J55">
            <v>27507.029789024054</v>
          </cell>
          <cell r="K55">
            <v>28231.342649652495</v>
          </cell>
          <cell r="L55">
            <v>31589.402704617165</v>
          </cell>
          <cell r="M55">
            <v>35045.523810460982</v>
          </cell>
          <cell r="N55">
            <v>36759.975221842556</v>
          </cell>
          <cell r="O55">
            <v>38549.238293710951</v>
          </cell>
          <cell r="P55">
            <v>39810.325944832126</v>
          </cell>
          <cell r="Q55">
            <v>38177.904314586318</v>
          </cell>
          <cell r="R55">
            <v>39037.276982554846</v>
          </cell>
          <cell r="S55">
            <v>40984.291080820032</v>
          </cell>
          <cell r="T55">
            <v>41485.286666048036</v>
          </cell>
          <cell r="U55">
            <v>41080.20077249287</v>
          </cell>
          <cell r="V55">
            <v>41616.874672221478</v>
          </cell>
          <cell r="W55">
            <v>43654.234609195177</v>
          </cell>
          <cell r="X55">
            <v>42643.169473385606</v>
          </cell>
          <cell r="Y55">
            <v>41131.532425387959</v>
          </cell>
          <cell r="Z55">
            <v>38941.257469921853</v>
          </cell>
          <cell r="AA55">
            <v>35737.240433094281</v>
          </cell>
          <cell r="AB55">
            <v>32574.47694802731</v>
          </cell>
        </row>
        <row r="56">
          <cell r="D56">
            <v>4</v>
          </cell>
          <cell r="E56">
            <v>29353.83142266822</v>
          </cell>
          <cell r="F56">
            <v>27916.649059092884</v>
          </cell>
          <cell r="G56">
            <v>26908.061705013268</v>
          </cell>
          <cell r="H56">
            <v>26248.479717861421</v>
          </cell>
          <cell r="I56">
            <v>26232.759982437023</v>
          </cell>
          <cell r="J56">
            <v>26168.014943351794</v>
          </cell>
          <cell r="K56">
            <v>26558.870317330649</v>
          </cell>
          <cell r="L56">
            <v>29618.933576041323</v>
          </cell>
          <cell r="M56">
            <v>33060.357542524704</v>
          </cell>
          <cell r="N56">
            <v>34964.868952298188</v>
          </cell>
          <cell r="O56">
            <v>36948.275494433525</v>
          </cell>
          <cell r="P56">
            <v>37783.94453179503</v>
          </cell>
          <cell r="Q56">
            <v>37104.15671502539</v>
          </cell>
          <cell r="R56">
            <v>36334.843833181272</v>
          </cell>
          <cell r="S56">
            <v>36091.138729404884</v>
          </cell>
          <cell r="T56">
            <v>36380.97403546358</v>
          </cell>
          <cell r="U56">
            <v>36200.636484628689</v>
          </cell>
          <cell r="V56">
            <v>38214.878789094444</v>
          </cell>
          <cell r="W56">
            <v>41366.326338788196</v>
          </cell>
          <cell r="X56">
            <v>40667.263532404919</v>
          </cell>
          <cell r="Y56">
            <v>39205.222611650948</v>
          </cell>
          <cell r="Z56">
            <v>37391.35828132023</v>
          </cell>
          <cell r="AA56">
            <v>35099.547487987074</v>
          </cell>
          <cell r="AB56">
            <v>32521.057606178409</v>
          </cell>
        </row>
        <row r="57">
          <cell r="D57">
            <v>4</v>
          </cell>
          <cell r="E57">
            <v>30423.712124649803</v>
          </cell>
          <cell r="F57">
            <v>28980.353773849583</v>
          </cell>
          <cell r="G57">
            <v>27730.531367309559</v>
          </cell>
          <cell r="H57">
            <v>26888.172454252668</v>
          </cell>
          <cell r="I57">
            <v>26546.734794471602</v>
          </cell>
          <cell r="J57">
            <v>26099.441017964309</v>
          </cell>
          <cell r="K57">
            <v>25455.317650032164</v>
          </cell>
          <cell r="L57">
            <v>26856.361432714137</v>
          </cell>
          <cell r="M57">
            <v>28777.118982290827</v>
          </cell>
          <cell r="N57">
            <v>30355.623865586644</v>
          </cell>
          <cell r="O57">
            <v>31874.413387067132</v>
          </cell>
          <cell r="P57">
            <v>32676.707405171583</v>
          </cell>
          <cell r="Q57">
            <v>33272.001061186442</v>
          </cell>
          <cell r="R57">
            <v>33240.634231687829</v>
          </cell>
          <cell r="S57">
            <v>33145.10496636523</v>
          </cell>
          <cell r="T57">
            <v>33296.203882933754</v>
          </cell>
          <cell r="U57">
            <v>33334.906016340479</v>
          </cell>
          <cell r="V57">
            <v>35589.646897956205</v>
          </cell>
          <cell r="W57">
            <v>38981.926782354822</v>
          </cell>
          <cell r="X57">
            <v>39038.962267332528</v>
          </cell>
          <cell r="Y57">
            <v>38178.109504586355</v>
          </cell>
          <cell r="Z57">
            <v>36677.421422258201</v>
          </cell>
          <cell r="AA57">
            <v>34326.712727709157</v>
          </cell>
          <cell r="AB57">
            <v>31840.295266430559</v>
          </cell>
        </row>
        <row r="58">
          <cell r="D58">
            <v>2</v>
          </cell>
          <cell r="E58">
            <v>30423.712124649803</v>
          </cell>
          <cell r="F58">
            <v>28980.353773849583</v>
          </cell>
          <cell r="G58">
            <v>27730.531367309559</v>
          </cell>
          <cell r="H58">
            <v>26888.172454252668</v>
          </cell>
          <cell r="I58">
            <v>26546.734794471602</v>
          </cell>
          <cell r="J58">
            <v>26099.441017964309</v>
          </cell>
          <cell r="K58">
            <v>25455.317650032164</v>
          </cell>
          <cell r="L58">
            <v>26856.361432714137</v>
          </cell>
          <cell r="M58">
            <v>28777.118982290827</v>
          </cell>
          <cell r="N58">
            <v>30355.623865586644</v>
          </cell>
          <cell r="O58">
            <v>31874.413387067132</v>
          </cell>
          <cell r="P58">
            <v>32676.707405171583</v>
          </cell>
          <cell r="Q58">
            <v>33272.001061186442</v>
          </cell>
          <cell r="R58">
            <v>33240.634231687829</v>
          </cell>
          <cell r="S58">
            <v>33145.10496636523</v>
          </cell>
          <cell r="T58">
            <v>33296.203882933754</v>
          </cell>
          <cell r="U58">
            <v>33334.906016340479</v>
          </cell>
          <cell r="V58">
            <v>35589.646897956205</v>
          </cell>
          <cell r="W58">
            <v>38981.926782354822</v>
          </cell>
          <cell r="X58">
            <v>39038.962267332528</v>
          </cell>
          <cell r="Y58">
            <v>38178.109504586355</v>
          </cell>
          <cell r="Z58">
            <v>36677.421422258201</v>
          </cell>
          <cell r="AA58">
            <v>34326.712727709157</v>
          </cell>
          <cell r="AB58">
            <v>31840.295266430559</v>
          </cell>
        </row>
        <row r="59">
          <cell r="D59">
            <v>20</v>
          </cell>
          <cell r="E59">
            <v>32399.481378579912</v>
          </cell>
          <cell r="F59">
            <v>30617.540242221181</v>
          </cell>
          <cell r="G59">
            <v>29344.908065593925</v>
          </cell>
          <cell r="H59">
            <v>28556.312573067575</v>
          </cell>
          <cell r="I59">
            <v>28454.891061552567</v>
          </cell>
          <cell r="J59">
            <v>28963.194657986824</v>
          </cell>
          <cell r="K59">
            <v>29165.762847348458</v>
          </cell>
          <cell r="L59">
            <v>32681.114400864408</v>
          </cell>
          <cell r="M59">
            <v>36251.320208108235</v>
          </cell>
          <cell r="N59">
            <v>38295.605080335663</v>
          </cell>
          <cell r="O59">
            <v>40094.880178014588</v>
          </cell>
          <cell r="P59">
            <v>41396.813163921805</v>
          </cell>
          <cell r="Q59">
            <v>40256.99018069014</v>
          </cell>
          <cell r="R59">
            <v>40772.86614341801</v>
          </cell>
          <cell r="S59">
            <v>42496.806382401119</v>
          </cell>
          <cell r="T59">
            <v>43027.281758030753</v>
          </cell>
          <cell r="U59">
            <v>42672.40192972785</v>
          </cell>
          <cell r="V59">
            <v>42715.726957649014</v>
          </cell>
          <cell r="W59">
            <v>46007.460485068012</v>
          </cell>
          <cell r="X59">
            <v>45122.229189196129</v>
          </cell>
          <cell r="Y59">
            <v>43470.675231830202</v>
          </cell>
          <cell r="Z59">
            <v>41116.20643576984</v>
          </cell>
          <cell r="AA59">
            <v>38094.704277338205</v>
          </cell>
          <cell r="AB59">
            <v>35154.611888586449</v>
          </cell>
        </row>
        <row r="60">
          <cell r="D60">
            <v>4</v>
          </cell>
          <cell r="E60">
            <v>32924.160232651477</v>
          </cell>
          <cell r="F60">
            <v>31060.196276731778</v>
          </cell>
          <cell r="G60">
            <v>29832.300981187549</v>
          </cell>
          <cell r="H60">
            <v>28932.023489138559</v>
          </cell>
          <cell r="I60">
            <v>28683.170452993214</v>
          </cell>
          <cell r="J60">
            <v>28733.199962854305</v>
          </cell>
          <cell r="K60">
            <v>28447.792744518589</v>
          </cell>
          <cell r="L60">
            <v>31059.830095805148</v>
          </cell>
          <cell r="M60">
            <v>34840.566318802856</v>
          </cell>
          <cell r="N60">
            <v>37057.754983248757</v>
          </cell>
          <cell r="O60">
            <v>38925.113041809018</v>
          </cell>
          <cell r="P60">
            <v>40064.831774574632</v>
          </cell>
          <cell r="Q60">
            <v>39415.930478074661</v>
          </cell>
          <cell r="R60">
            <v>39130.907374727001</v>
          </cell>
          <cell r="S60">
            <v>38966.872992916367</v>
          </cell>
          <cell r="T60">
            <v>39385.248559738109</v>
          </cell>
          <cell r="U60">
            <v>39262.899132050719</v>
          </cell>
          <cell r="V60">
            <v>40131.058024407168</v>
          </cell>
          <cell r="W60">
            <v>44576.476213651549</v>
          </cell>
          <cell r="X60">
            <v>43944.166206474081</v>
          </cell>
          <cell r="Y60">
            <v>42289.697521599999</v>
          </cell>
          <cell r="Z60">
            <v>40484.676304062894</v>
          </cell>
          <cell r="AA60">
            <v>37982.041944567703</v>
          </cell>
          <cell r="AB60">
            <v>35403.78812602035</v>
          </cell>
        </row>
        <row r="61">
          <cell r="D61">
            <v>5</v>
          </cell>
          <cell r="E61">
            <v>33132.006222194927</v>
          </cell>
          <cell r="F61">
            <v>31503.560512576565</v>
          </cell>
          <cell r="G61">
            <v>30192.001190178671</v>
          </cell>
          <cell r="H61">
            <v>29268.359855070532</v>
          </cell>
          <cell r="I61">
            <v>28851.681176532154</v>
          </cell>
          <cell r="J61">
            <v>28560.531797806339</v>
          </cell>
          <cell r="K61">
            <v>27288.003188442806</v>
          </cell>
          <cell r="L61">
            <v>28664.491964996261</v>
          </cell>
          <cell r="M61">
            <v>30852.52082380866</v>
          </cell>
          <cell r="N61">
            <v>32730.921047016891</v>
          </cell>
          <cell r="O61">
            <v>33966.608203133641</v>
          </cell>
          <cell r="P61">
            <v>34978.480881426163</v>
          </cell>
          <cell r="Q61">
            <v>35580.220813595493</v>
          </cell>
          <cell r="R61">
            <v>35915.301469154809</v>
          </cell>
          <cell r="S61">
            <v>34900.186638632942</v>
          </cell>
          <cell r="T61">
            <v>35854.69608024248</v>
          </cell>
          <cell r="U61">
            <v>36067.82609642543</v>
          </cell>
          <cell r="V61">
            <v>37272.049409128071</v>
          </cell>
          <cell r="W61">
            <v>41793.034559535765</v>
          </cell>
          <cell r="X61">
            <v>41460.524670161314</v>
          </cell>
          <cell r="Y61">
            <v>40378.513834131641</v>
          </cell>
          <cell r="Z61">
            <v>38896.116599171291</v>
          </cell>
          <cell r="AA61">
            <v>36653.570150111133</v>
          </cell>
          <cell r="AB61">
            <v>34379.373017324331</v>
          </cell>
        </row>
        <row r="62">
          <cell r="D62">
            <v>2</v>
          </cell>
          <cell r="E62">
            <v>33132.006222194927</v>
          </cell>
          <cell r="F62">
            <v>31503.560512576565</v>
          </cell>
          <cell r="G62">
            <v>30192.001190178671</v>
          </cell>
          <cell r="H62">
            <v>29268.359855070532</v>
          </cell>
          <cell r="I62">
            <v>28851.681176532154</v>
          </cell>
          <cell r="J62">
            <v>28560.531797806339</v>
          </cell>
          <cell r="K62">
            <v>27288.003188442806</v>
          </cell>
          <cell r="L62">
            <v>28664.491964996261</v>
          </cell>
          <cell r="M62">
            <v>30852.52082380866</v>
          </cell>
          <cell r="N62">
            <v>32730.921047016891</v>
          </cell>
          <cell r="O62">
            <v>33966.608203133641</v>
          </cell>
          <cell r="P62">
            <v>34978.480881426163</v>
          </cell>
          <cell r="Q62">
            <v>35580.220813595493</v>
          </cell>
          <cell r="R62">
            <v>35915.301469154809</v>
          </cell>
          <cell r="S62">
            <v>34900.186638632942</v>
          </cell>
          <cell r="T62">
            <v>35854.69608024248</v>
          </cell>
          <cell r="U62">
            <v>36067.82609642543</v>
          </cell>
          <cell r="V62">
            <v>37272.049409128071</v>
          </cell>
          <cell r="W62">
            <v>41793.034559535765</v>
          </cell>
          <cell r="X62">
            <v>41460.524670161314</v>
          </cell>
          <cell r="Y62">
            <v>40378.513834131641</v>
          </cell>
          <cell r="Z62">
            <v>38896.116599171291</v>
          </cell>
          <cell r="AA62">
            <v>36653.570150111133</v>
          </cell>
          <cell r="AB62">
            <v>34379.373017324331</v>
          </cell>
        </row>
      </sheetData>
      <sheetData sheetId="29">
        <row r="15">
          <cell r="D15">
            <v>21</v>
          </cell>
          <cell r="E15">
            <v>33502.833255992657</v>
          </cell>
          <cell r="F15">
            <v>31791.899624675611</v>
          </cell>
          <cell r="G15">
            <v>30504.848668209845</v>
          </cell>
          <cell r="H15">
            <v>29570.659278675666</v>
          </cell>
          <cell r="I15">
            <v>29407.66120690203</v>
          </cell>
          <cell r="J15">
            <v>30391.759969649771</v>
          </cell>
          <cell r="K15">
            <v>30117.410437361537</v>
          </cell>
          <cell r="L15">
            <v>33597.576360676714</v>
          </cell>
          <cell r="M15">
            <v>37296.885587224737</v>
          </cell>
          <cell r="N15">
            <v>39219.305170025567</v>
          </cell>
          <cell r="O15">
            <v>41300.485031255776</v>
          </cell>
          <cell r="P15">
            <v>43004.085415200934</v>
          </cell>
          <cell r="Q15">
            <v>41826.591512793326</v>
          </cell>
          <cell r="R15">
            <v>42978.184073725839</v>
          </cell>
          <cell r="S15">
            <v>44971.83523937226</v>
          </cell>
          <cell r="T15">
            <v>45210.914498654092</v>
          </cell>
          <cell r="U15">
            <v>44463.213803144208</v>
          </cell>
          <cell r="V15">
            <v>42824.738914162714</v>
          </cell>
          <cell r="W15">
            <v>45811.633794813286</v>
          </cell>
          <cell r="X15">
            <v>45974.984973161343</v>
          </cell>
          <cell r="Y15">
            <v>44767.329878830933</v>
          </cell>
          <cell r="Z15">
            <v>42804.323232190407</v>
          </cell>
          <cell r="AA15">
            <v>39769.701281132497</v>
          </cell>
          <cell r="AB15">
            <v>36529.918494153004</v>
          </cell>
        </row>
        <row r="16">
          <cell r="D16">
            <v>4</v>
          </cell>
          <cell r="E16">
            <v>33259.991926215007</v>
          </cell>
          <cell r="F16">
            <v>31662.564840524821</v>
          </cell>
          <cell r="G16">
            <v>30407.879821730105</v>
          </cell>
          <cell r="H16">
            <v>29449.646662162286</v>
          </cell>
          <cell r="I16">
            <v>29159.614432864339</v>
          </cell>
          <cell r="J16">
            <v>29392.875729197152</v>
          </cell>
          <cell r="K16">
            <v>28635.369188234406</v>
          </cell>
          <cell r="L16">
            <v>31464.51073259646</v>
          </cell>
          <cell r="M16">
            <v>34962.844426448559</v>
          </cell>
          <cell r="N16">
            <v>37279.806862055528</v>
          </cell>
          <cell r="O16">
            <v>39102.673525109603</v>
          </cell>
          <cell r="P16">
            <v>40089.094987663884</v>
          </cell>
          <cell r="Q16">
            <v>39738.572727672843</v>
          </cell>
          <cell r="R16">
            <v>38897.176157594404</v>
          </cell>
          <cell r="S16">
            <v>39080.732671601712</v>
          </cell>
          <cell r="T16">
            <v>39216.296754742893</v>
          </cell>
          <cell r="U16">
            <v>38827.669948259048</v>
          </cell>
          <cell r="V16">
            <v>38968.323482947897</v>
          </cell>
          <cell r="W16">
            <v>43287.781693304205</v>
          </cell>
          <cell r="X16">
            <v>43597.765923103914</v>
          </cell>
          <cell r="Y16">
            <v>42301.822417096118</v>
          </cell>
          <cell r="Z16">
            <v>40587.691422145952</v>
          </cell>
          <cell r="AA16">
            <v>38360.116636152314</v>
          </cell>
          <cell r="AB16">
            <v>35889.82784710062</v>
          </cell>
        </row>
        <row r="17">
          <cell r="D17">
            <v>4</v>
          </cell>
          <cell r="E17">
            <v>33480.429830300047</v>
          </cell>
          <cell r="F17">
            <v>31835.530906399552</v>
          </cell>
          <cell r="G17">
            <v>30509.156025028336</v>
          </cell>
          <cell r="H17">
            <v>29536.044111287552</v>
          </cell>
          <cell r="I17">
            <v>29057.102919236917</v>
          </cell>
          <cell r="J17">
            <v>28904.680344352269</v>
          </cell>
          <cell r="K17">
            <v>27347.392235339066</v>
          </cell>
          <cell r="L17">
            <v>28567.428470562496</v>
          </cell>
          <cell r="M17">
            <v>30523.079684114829</v>
          </cell>
          <cell r="N17">
            <v>32028.863556291824</v>
          </cell>
          <cell r="O17">
            <v>33469.472739090786</v>
          </cell>
          <cell r="P17">
            <v>34634.867339585311</v>
          </cell>
          <cell r="Q17">
            <v>35429.150274311942</v>
          </cell>
          <cell r="R17">
            <v>35524.724603833143</v>
          </cell>
          <cell r="S17">
            <v>35542.724550679923</v>
          </cell>
          <cell r="T17">
            <v>35665.008456966774</v>
          </cell>
          <cell r="U17">
            <v>35683.131630998636</v>
          </cell>
          <cell r="V17">
            <v>36059.954623587888</v>
          </cell>
          <cell r="W17">
            <v>40767.511957988987</v>
          </cell>
          <cell r="X17">
            <v>41935.233020215841</v>
          </cell>
          <cell r="Y17">
            <v>41491.536828746976</v>
          </cell>
          <cell r="Z17">
            <v>40126.674214978702</v>
          </cell>
          <cell r="AA17">
            <v>37682.400879151566</v>
          </cell>
          <cell r="AB17">
            <v>34766.512460632606</v>
          </cell>
        </row>
        <row r="18">
          <cell r="D18">
            <v>2</v>
          </cell>
          <cell r="E18">
            <v>33480.429830300047</v>
          </cell>
          <cell r="F18">
            <v>31835.530906399552</v>
          </cell>
          <cell r="G18">
            <v>30509.156025028336</v>
          </cell>
          <cell r="H18">
            <v>29536.044111287552</v>
          </cell>
          <cell r="I18">
            <v>29057.102919236917</v>
          </cell>
          <cell r="J18">
            <v>28904.680344352269</v>
          </cell>
          <cell r="K18">
            <v>27347.392235339066</v>
          </cell>
          <cell r="L18">
            <v>28567.428470562496</v>
          </cell>
          <cell r="M18">
            <v>30523.079684114829</v>
          </cell>
          <cell r="N18">
            <v>32028.863556291824</v>
          </cell>
          <cell r="O18">
            <v>33469.472739090786</v>
          </cell>
          <cell r="P18">
            <v>34634.867339585311</v>
          </cell>
          <cell r="Q18">
            <v>35429.150274311942</v>
          </cell>
          <cell r="R18">
            <v>35524.724603833143</v>
          </cell>
          <cell r="S18">
            <v>35542.724550679923</v>
          </cell>
          <cell r="T18">
            <v>35665.008456966774</v>
          </cell>
          <cell r="U18">
            <v>35683.131630998636</v>
          </cell>
          <cell r="V18">
            <v>36059.954623587888</v>
          </cell>
          <cell r="W18">
            <v>40767.511957988987</v>
          </cell>
          <cell r="X18">
            <v>41935.233020215841</v>
          </cell>
          <cell r="Y18">
            <v>41491.536828746976</v>
          </cell>
          <cell r="Z18">
            <v>40126.674214978702</v>
          </cell>
          <cell r="AA18">
            <v>37682.400879151566</v>
          </cell>
          <cell r="AB18">
            <v>34766.512460632606</v>
          </cell>
        </row>
        <row r="19">
          <cell r="D19">
            <v>21</v>
          </cell>
          <cell r="E19">
            <v>34074.116116454294</v>
          </cell>
          <cell r="F19">
            <v>32401.437349854972</v>
          </cell>
          <cell r="G19">
            <v>31066.139526457297</v>
          </cell>
          <cell r="H19">
            <v>30098.167085699271</v>
          </cell>
          <cell r="I19">
            <v>30064.451230280683</v>
          </cell>
          <cell r="J19">
            <v>31871.506756486677</v>
          </cell>
          <cell r="K19">
            <v>31564.663841493926</v>
          </cell>
          <cell r="L19">
            <v>34636.945991947112</v>
          </cell>
          <cell r="M19">
            <v>38016.916612058383</v>
          </cell>
          <cell r="N19">
            <v>39656.925962477886</v>
          </cell>
          <cell r="O19">
            <v>41637.799181717222</v>
          </cell>
          <cell r="P19">
            <v>43204.253150185272</v>
          </cell>
          <cell r="Q19">
            <v>41759.189243290508</v>
          </cell>
          <cell r="R19">
            <v>43259.541666461511</v>
          </cell>
          <cell r="S19">
            <v>45670.047106691956</v>
          </cell>
          <cell r="T19">
            <v>46043.476508694133</v>
          </cell>
          <cell r="U19">
            <v>45356.282738864931</v>
          </cell>
          <cell r="V19">
            <v>43507.014720560415</v>
          </cell>
          <cell r="W19">
            <v>46085.969749555858</v>
          </cell>
          <cell r="X19">
            <v>46737.606685215833</v>
          </cell>
          <cell r="Y19">
            <v>45730.017437778137</v>
          </cell>
          <cell r="Z19">
            <v>43713.307032611447</v>
          </cell>
          <cell r="AA19">
            <v>40270.396615706843</v>
          </cell>
          <cell r="AB19">
            <v>36856.7143748979</v>
          </cell>
        </row>
        <row r="20">
          <cell r="D20">
            <v>4</v>
          </cell>
          <cell r="E20">
            <v>34544.038133913142</v>
          </cell>
          <cell r="F20">
            <v>32676.261540003616</v>
          </cell>
          <cell r="G20">
            <v>31458.205604372171</v>
          </cell>
          <cell r="H20">
            <v>30300.367069325333</v>
          </cell>
          <cell r="I20">
            <v>29935.619639210647</v>
          </cell>
          <cell r="J20">
            <v>30283.465901145435</v>
          </cell>
          <cell r="K20">
            <v>29746.459949304575</v>
          </cell>
          <cell r="L20">
            <v>32495.195129610231</v>
          </cell>
          <cell r="M20">
            <v>35859.950860643767</v>
          </cell>
          <cell r="N20">
            <v>37858.272651908876</v>
          </cell>
          <cell r="O20">
            <v>39695.018666632997</v>
          </cell>
          <cell r="P20">
            <v>40618.299649368899</v>
          </cell>
          <cell r="Q20">
            <v>39970.373454078879</v>
          </cell>
          <cell r="R20">
            <v>39452.148820337017</v>
          </cell>
          <cell r="S20">
            <v>39633.677079980283</v>
          </cell>
          <cell r="T20">
            <v>39747.112019810767</v>
          </cell>
          <cell r="U20">
            <v>39467.735901682754</v>
          </cell>
          <cell r="V20">
            <v>39351.774686155957</v>
          </cell>
          <cell r="W20">
            <v>43437.156514638482</v>
          </cell>
          <cell r="X20">
            <v>44066.481367468434</v>
          </cell>
          <cell r="Y20">
            <v>43036.304780341183</v>
          </cell>
          <cell r="Z20">
            <v>41396.778320441103</v>
          </cell>
          <cell r="AA20">
            <v>39232.419407982699</v>
          </cell>
          <cell r="AB20">
            <v>36655.20332743082</v>
          </cell>
        </row>
        <row r="21">
          <cell r="D21">
            <v>4</v>
          </cell>
          <cell r="E21">
            <v>34447.860674327123</v>
          </cell>
          <cell r="F21">
            <v>32783.654393264987</v>
          </cell>
          <cell r="G21">
            <v>31439.858676004627</v>
          </cell>
          <cell r="H21">
            <v>30442.095899949407</v>
          </cell>
          <cell r="I21">
            <v>29928.472555152588</v>
          </cell>
          <cell r="J21">
            <v>29895.136368931078</v>
          </cell>
          <cell r="K21">
            <v>28326.295341216824</v>
          </cell>
          <cell r="L21">
            <v>29548.001738612689</v>
          </cell>
          <cell r="M21">
            <v>31411.995535729173</v>
          </cell>
          <cell r="N21">
            <v>32732.490693663258</v>
          </cell>
          <cell r="O21">
            <v>34076.893167029841</v>
          </cell>
          <cell r="P21">
            <v>35325.661746940423</v>
          </cell>
          <cell r="Q21">
            <v>36154.909097553929</v>
          </cell>
          <cell r="R21">
            <v>36369.898600020737</v>
          </cell>
          <cell r="S21">
            <v>36732.238194289712</v>
          </cell>
          <cell r="T21">
            <v>37017.090005064354</v>
          </cell>
          <cell r="U21">
            <v>36897.710575748373</v>
          </cell>
          <cell r="V21">
            <v>36671.096764367794</v>
          </cell>
          <cell r="W21">
            <v>41444.501309298765</v>
          </cell>
          <cell r="X21">
            <v>43163.343761113545</v>
          </cell>
          <cell r="Y21">
            <v>43147.324936736964</v>
          </cell>
          <cell r="Z21">
            <v>42122.795416118388</v>
          </cell>
          <cell r="AA21">
            <v>38703.734682741328</v>
          </cell>
          <cell r="AB21">
            <v>35688.14988727904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33013.163300170956</v>
          </cell>
          <cell r="F23">
            <v>31380.20256052784</v>
          </cell>
          <cell r="G23">
            <v>30162.10932178588</v>
          </cell>
          <cell r="H23">
            <v>29362.59235450728</v>
          </cell>
          <cell r="I23">
            <v>29497.340273217415</v>
          </cell>
          <cell r="J23">
            <v>31072.421428104244</v>
          </cell>
          <cell r="K23">
            <v>31074.916736662151</v>
          </cell>
          <cell r="L23">
            <v>34444.030302586172</v>
          </cell>
          <cell r="M23">
            <v>37766.283653645092</v>
          </cell>
          <cell r="N23">
            <v>39488.805732923502</v>
          </cell>
          <cell r="O23">
            <v>41460.910650832884</v>
          </cell>
          <cell r="P23">
            <v>42753.996277935112</v>
          </cell>
          <cell r="Q23">
            <v>40819.738306099229</v>
          </cell>
          <cell r="R23">
            <v>42166.097018310888</v>
          </cell>
          <cell r="S23">
            <v>44483.192067557306</v>
          </cell>
          <cell r="T23">
            <v>44972.64528699837</v>
          </cell>
          <cell r="U23">
            <v>44481.556195381832</v>
          </cell>
          <cell r="V23">
            <v>42918.47758708967</v>
          </cell>
          <cell r="W23">
            <v>45542.845381882267</v>
          </cell>
          <cell r="X23">
            <v>45950.37602749106</v>
          </cell>
          <cell r="Y23">
            <v>44604.689388578263</v>
          </cell>
          <cell r="Z23">
            <v>42379.471626888699</v>
          </cell>
          <cell r="AA23">
            <v>39035.602607577894</v>
          </cell>
          <cell r="AB23">
            <v>35640.898471866145</v>
          </cell>
        </row>
        <row r="24">
          <cell r="D24">
            <v>5</v>
          </cell>
          <cell r="E24">
            <v>33206.431396234577</v>
          </cell>
          <cell r="F24">
            <v>31568.214569861222</v>
          </cell>
          <cell r="G24">
            <v>30275.911132377722</v>
          </cell>
          <cell r="H24">
            <v>29420.501105207753</v>
          </cell>
          <cell r="I24">
            <v>29204.375506574943</v>
          </cell>
          <cell r="J24">
            <v>29536.936845262291</v>
          </cell>
          <cell r="K24">
            <v>29394.955970802439</v>
          </cell>
          <cell r="L24">
            <v>32486.329392947744</v>
          </cell>
          <cell r="M24">
            <v>36082.791096966132</v>
          </cell>
          <cell r="N24">
            <v>38175.395609288877</v>
          </cell>
          <cell r="O24">
            <v>40052.58535193136</v>
          </cell>
          <cell r="P24">
            <v>41169.201871596277</v>
          </cell>
          <cell r="Q24">
            <v>40461.619663995836</v>
          </cell>
          <cell r="R24">
            <v>39922.12932425928</v>
          </cell>
          <cell r="S24">
            <v>40238.326782589676</v>
          </cell>
          <cell r="T24">
            <v>40291.029709865092</v>
          </cell>
          <cell r="U24">
            <v>39933.689884448089</v>
          </cell>
          <cell r="V24">
            <v>39688.16633679693</v>
          </cell>
          <cell r="W24">
            <v>43826.846355303984</v>
          </cell>
          <cell r="X24">
            <v>44533.442079404544</v>
          </cell>
          <cell r="Y24">
            <v>43295.690200651814</v>
          </cell>
          <cell r="Z24">
            <v>41609.29626081793</v>
          </cell>
          <cell r="AA24">
            <v>39263.231360414167</v>
          </cell>
          <cell r="AB24">
            <v>36690.691911387039</v>
          </cell>
        </row>
        <row r="25">
          <cell r="D25">
            <v>5</v>
          </cell>
          <cell r="E25">
            <v>34096.751405193936</v>
          </cell>
          <cell r="F25">
            <v>32341.677685177459</v>
          </cell>
          <cell r="G25">
            <v>30977.95617555454</v>
          </cell>
          <cell r="H25">
            <v>30000.656046088101</v>
          </cell>
          <cell r="I25">
            <v>29509.386734068165</v>
          </cell>
          <cell r="J25">
            <v>29288.658603944161</v>
          </cell>
          <cell r="K25">
            <v>28182.018292180401</v>
          </cell>
          <cell r="L25">
            <v>29674.541108560497</v>
          </cell>
          <cell r="M25">
            <v>31771.435726251242</v>
          </cell>
          <cell r="N25">
            <v>33289.311089214745</v>
          </cell>
          <cell r="O25">
            <v>34646.031978602514</v>
          </cell>
          <cell r="P25">
            <v>35814.998524231807</v>
          </cell>
          <cell r="Q25">
            <v>36557.157388545238</v>
          </cell>
          <cell r="R25">
            <v>36690.260969681149</v>
          </cell>
          <cell r="S25">
            <v>36831.099544395118</v>
          </cell>
          <cell r="T25">
            <v>37233.845652439275</v>
          </cell>
          <cell r="U25">
            <v>37094.462861769229</v>
          </cell>
          <cell r="V25">
            <v>37278.092704523035</v>
          </cell>
          <cell r="W25">
            <v>41676.832153992334</v>
          </cell>
          <cell r="X25">
            <v>43197.719082566589</v>
          </cell>
          <cell r="Y25">
            <v>43037.614053894031</v>
          </cell>
          <cell r="Z25">
            <v>41774.979722733093</v>
          </cell>
          <cell r="AA25">
            <v>39034.083333043251</v>
          </cell>
          <cell r="AB25">
            <v>35880.760122733765</v>
          </cell>
        </row>
        <row r="26">
          <cell r="D26">
            <v>1</v>
          </cell>
          <cell r="E26">
            <v>34096.751405193936</v>
          </cell>
          <cell r="F26">
            <v>32341.677685177459</v>
          </cell>
          <cell r="G26">
            <v>30977.95617555454</v>
          </cell>
          <cell r="H26">
            <v>30000.656046088101</v>
          </cell>
          <cell r="I26">
            <v>29509.386734068165</v>
          </cell>
          <cell r="J26">
            <v>29288.658603944161</v>
          </cell>
          <cell r="K26">
            <v>28182.018292180401</v>
          </cell>
          <cell r="L26">
            <v>29674.541108560497</v>
          </cell>
          <cell r="M26">
            <v>31771.435726251242</v>
          </cell>
          <cell r="N26">
            <v>33289.311089214745</v>
          </cell>
          <cell r="O26">
            <v>34646.031978602514</v>
          </cell>
          <cell r="P26">
            <v>35814.998524231807</v>
          </cell>
          <cell r="Q26">
            <v>36557.157388545238</v>
          </cell>
          <cell r="R26">
            <v>36690.260969681149</v>
          </cell>
          <cell r="S26">
            <v>36831.099544395118</v>
          </cell>
          <cell r="T26">
            <v>37233.845652439275</v>
          </cell>
          <cell r="U26">
            <v>37094.462861769229</v>
          </cell>
          <cell r="V26">
            <v>37278.092704523035</v>
          </cell>
          <cell r="W26">
            <v>41676.832153992334</v>
          </cell>
          <cell r="X26">
            <v>43197.719082566589</v>
          </cell>
          <cell r="Y26">
            <v>43037.614053894031</v>
          </cell>
          <cell r="Z26">
            <v>41774.979722733093</v>
          </cell>
          <cell r="AA26">
            <v>39034.083333043251</v>
          </cell>
          <cell r="AB26">
            <v>35880.760122733765</v>
          </cell>
        </row>
        <row r="27">
          <cell r="D27">
            <v>20</v>
          </cell>
          <cell r="E27">
            <v>32245.244841288688</v>
          </cell>
          <cell r="F27">
            <v>30639.355607833029</v>
          </cell>
          <cell r="G27">
            <v>29464.705241566317</v>
          </cell>
          <cell r="H27">
            <v>28664.643641782088</v>
          </cell>
          <cell r="I27">
            <v>28787.205102022188</v>
          </cell>
          <cell r="J27">
            <v>29709.12189920028</v>
          </cell>
          <cell r="K27">
            <v>30037.714372664879</v>
          </cell>
          <cell r="L27">
            <v>33458.835159900285</v>
          </cell>
          <cell r="M27">
            <v>36980.547609175992</v>
          </cell>
          <cell r="N27">
            <v>38607.655708481274</v>
          </cell>
          <cell r="O27">
            <v>40419.633855222302</v>
          </cell>
          <cell r="P27">
            <v>41952.79327650417</v>
          </cell>
          <cell r="Q27">
            <v>40308.968041079868</v>
          </cell>
          <cell r="R27">
            <v>41494.028563195447</v>
          </cell>
          <cell r="S27">
            <v>43801.952104510601</v>
          </cell>
          <cell r="T27">
            <v>44082.252848834789</v>
          </cell>
          <cell r="U27">
            <v>43414.395361844348</v>
          </cell>
          <cell r="V27">
            <v>42286.994589120673</v>
          </cell>
          <cell r="W27">
            <v>44899.296785356106</v>
          </cell>
          <cell r="X27">
            <v>45035.637019125228</v>
          </cell>
          <cell r="Y27">
            <v>43688.060130416932</v>
          </cell>
          <cell r="Z27">
            <v>41589.363436793166</v>
          </cell>
          <cell r="AA27">
            <v>38437.501773681724</v>
          </cell>
          <cell r="AB27">
            <v>34996.067103787514</v>
          </cell>
        </row>
        <row r="28">
          <cell r="D28">
            <v>4</v>
          </cell>
          <cell r="E28">
            <v>31919.641360218429</v>
          </cell>
          <cell r="F28">
            <v>30255.608348581671</v>
          </cell>
          <cell r="G28">
            <v>29019.589419636552</v>
          </cell>
          <cell r="H28">
            <v>28175.497574488683</v>
          </cell>
          <cell r="I28">
            <v>27962.295337438802</v>
          </cell>
          <cell r="J28">
            <v>27953.812716534001</v>
          </cell>
          <cell r="K28">
            <v>27887.604586439673</v>
          </cell>
          <cell r="L28">
            <v>30739.853608010184</v>
          </cell>
          <cell r="M28">
            <v>34059.571280882003</v>
          </cell>
          <cell r="N28">
            <v>35837.396578951142</v>
          </cell>
          <cell r="O28">
            <v>37578.314845589928</v>
          </cell>
          <cell r="P28">
            <v>38660.909092948692</v>
          </cell>
          <cell r="Q28">
            <v>38157.270260538869</v>
          </cell>
          <cell r="R28">
            <v>37746.567248074542</v>
          </cell>
          <cell r="S28">
            <v>37956.701895362414</v>
          </cell>
          <cell r="T28">
            <v>38028.836266978375</v>
          </cell>
          <cell r="U28">
            <v>37814.571655508946</v>
          </cell>
          <cell r="V28">
            <v>38046.072342217383</v>
          </cell>
          <cell r="W28">
            <v>42255.377619018553</v>
          </cell>
          <cell r="X28">
            <v>42346.75328121597</v>
          </cell>
          <cell r="Y28">
            <v>41172.619299654798</v>
          </cell>
          <cell r="Z28">
            <v>39444.594276202712</v>
          </cell>
          <cell r="AA28">
            <v>37261.144338087237</v>
          </cell>
          <cell r="AB28">
            <v>34766.025053227262</v>
          </cell>
        </row>
        <row r="29">
          <cell r="D29">
            <v>4</v>
          </cell>
          <cell r="E29">
            <v>32543.140195844033</v>
          </cell>
          <cell r="F29">
            <v>30942.116401437801</v>
          </cell>
          <cell r="G29">
            <v>29618.18762672009</v>
          </cell>
          <cell r="H29">
            <v>28712.473807880902</v>
          </cell>
          <cell r="I29">
            <v>28330.790253513103</v>
          </cell>
          <cell r="J29">
            <v>27827.600408566046</v>
          </cell>
          <cell r="K29">
            <v>27243.923584243905</v>
          </cell>
          <cell r="L29">
            <v>28750.796901885264</v>
          </cell>
          <cell r="M29">
            <v>30348.229124078436</v>
          </cell>
          <cell r="N29">
            <v>31773.863547527424</v>
          </cell>
          <cell r="O29">
            <v>33099.790660317914</v>
          </cell>
          <cell r="P29">
            <v>34151.749618696645</v>
          </cell>
          <cell r="Q29">
            <v>34740.002119772784</v>
          </cell>
          <cell r="R29">
            <v>34902.058757262501</v>
          </cell>
          <cell r="S29">
            <v>35115.489581656657</v>
          </cell>
          <cell r="T29">
            <v>35429.988761125984</v>
          </cell>
          <cell r="U29">
            <v>35557.052213087889</v>
          </cell>
          <cell r="V29">
            <v>35992.664696298161</v>
          </cell>
          <cell r="W29">
            <v>39984.756977875528</v>
          </cell>
          <cell r="X29">
            <v>41193.62641109636</v>
          </cell>
          <cell r="Y29">
            <v>41058.153368283776</v>
          </cell>
          <cell r="Z29">
            <v>40049.792042257504</v>
          </cell>
          <cell r="AA29">
            <v>37480.063223678306</v>
          </cell>
          <cell r="AB29">
            <v>34432.825595057206</v>
          </cell>
        </row>
        <row r="30">
          <cell r="D30">
            <v>2</v>
          </cell>
          <cell r="E30">
            <v>32543.140195844033</v>
          </cell>
          <cell r="F30">
            <v>30942.116401437801</v>
          </cell>
          <cell r="G30">
            <v>29618.18762672009</v>
          </cell>
          <cell r="H30">
            <v>28712.473807880902</v>
          </cell>
          <cell r="I30">
            <v>28330.790253513103</v>
          </cell>
          <cell r="J30">
            <v>27827.600408566046</v>
          </cell>
          <cell r="K30">
            <v>27243.923584243905</v>
          </cell>
          <cell r="L30">
            <v>28750.796901885264</v>
          </cell>
          <cell r="M30">
            <v>30348.229124078436</v>
          </cell>
          <cell r="N30">
            <v>31773.863547527424</v>
          </cell>
          <cell r="O30">
            <v>33099.790660317914</v>
          </cell>
          <cell r="P30">
            <v>34151.749618696645</v>
          </cell>
          <cell r="Q30">
            <v>34740.002119772784</v>
          </cell>
          <cell r="R30">
            <v>34902.058757262501</v>
          </cell>
          <cell r="S30">
            <v>35115.489581656657</v>
          </cell>
          <cell r="T30">
            <v>35429.988761125984</v>
          </cell>
          <cell r="U30">
            <v>35557.052213087889</v>
          </cell>
          <cell r="V30">
            <v>35992.664696298161</v>
          </cell>
          <cell r="W30">
            <v>39984.756977875528</v>
          </cell>
          <cell r="X30">
            <v>41193.62641109636</v>
          </cell>
          <cell r="Y30">
            <v>41058.153368283776</v>
          </cell>
          <cell r="Z30">
            <v>40049.792042257504</v>
          </cell>
          <cell r="AA30">
            <v>37480.063223678306</v>
          </cell>
          <cell r="AB30">
            <v>34432.825595057206</v>
          </cell>
        </row>
        <row r="31">
          <cell r="D31">
            <v>20</v>
          </cell>
          <cell r="E31">
            <v>31620.397030251886</v>
          </cell>
          <cell r="F31">
            <v>30119.031906465254</v>
          </cell>
          <cell r="G31">
            <v>28982.67893492286</v>
          </cell>
          <cell r="H31">
            <v>28204.916070650121</v>
          </cell>
          <cell r="I31">
            <v>28343.143370845424</v>
          </cell>
          <cell r="J31">
            <v>29128.146680691698</v>
          </cell>
          <cell r="K31">
            <v>29788.856630594397</v>
          </cell>
          <cell r="L31">
            <v>33270.043440145389</v>
          </cell>
          <cell r="M31">
            <v>36849.415508581376</v>
          </cell>
          <cell r="N31">
            <v>38525.598604645267</v>
          </cell>
          <cell r="O31">
            <v>40524.363241242972</v>
          </cell>
          <cell r="P31">
            <v>41829.817722325781</v>
          </cell>
          <cell r="Q31">
            <v>40130.52113589472</v>
          </cell>
          <cell r="R31">
            <v>41230.331118253729</v>
          </cell>
          <cell r="S31">
            <v>43368.886056830444</v>
          </cell>
          <cell r="T31">
            <v>43582.961889310929</v>
          </cell>
          <cell r="U31">
            <v>42959.34025889176</v>
          </cell>
          <cell r="V31">
            <v>41555.626719509681</v>
          </cell>
          <cell r="W31">
            <v>44140.793772811638</v>
          </cell>
          <cell r="X31">
            <v>44315.732230112349</v>
          </cell>
          <cell r="Y31">
            <v>42948.918522520638</v>
          </cell>
          <cell r="Z31">
            <v>40678.792130752619</v>
          </cell>
          <cell r="AA31">
            <v>37481.099039371824</v>
          </cell>
          <cell r="AB31">
            <v>34214.432728704473</v>
          </cell>
        </row>
        <row r="32">
          <cell r="D32">
            <v>5</v>
          </cell>
          <cell r="E32">
            <v>32169.182551634123</v>
          </cell>
          <cell r="F32">
            <v>30297.678298153889</v>
          </cell>
          <cell r="G32">
            <v>29031.752802858871</v>
          </cell>
          <cell r="H32">
            <v>28216.354780402296</v>
          </cell>
          <cell r="I32">
            <v>28067.401333718171</v>
          </cell>
          <cell r="J32">
            <v>27762.286880393734</v>
          </cell>
          <cell r="K32">
            <v>28029.711386948908</v>
          </cell>
          <cell r="L32">
            <v>31238.780595707041</v>
          </cell>
          <cell r="M32">
            <v>34818.416609244072</v>
          </cell>
          <cell r="N32">
            <v>36827.108226950528</v>
          </cell>
          <cell r="O32">
            <v>38359.454008257664</v>
          </cell>
          <cell r="P32">
            <v>39387.004877342471</v>
          </cell>
          <cell r="Q32">
            <v>38582.038863337657</v>
          </cell>
          <cell r="R32">
            <v>38048.411616982929</v>
          </cell>
          <cell r="S32">
            <v>38327.207690782634</v>
          </cell>
          <cell r="T32">
            <v>38397.081911161251</v>
          </cell>
          <cell r="U32">
            <v>38179.199562237474</v>
          </cell>
          <cell r="V32">
            <v>38456.593235242275</v>
          </cell>
          <cell r="W32">
            <v>42551.703035973733</v>
          </cell>
          <cell r="X32">
            <v>43034.631805057157</v>
          </cell>
          <cell r="Y32">
            <v>41761.223871920076</v>
          </cell>
          <cell r="Z32">
            <v>39879.405414796318</v>
          </cell>
          <cell r="AA32">
            <v>37698.718515280671</v>
          </cell>
          <cell r="AB32">
            <v>35169.5291279913</v>
          </cell>
        </row>
        <row r="33">
          <cell r="D33">
            <v>4</v>
          </cell>
          <cell r="E33">
            <v>32548.920068051288</v>
          </cell>
          <cell r="F33">
            <v>31010.970770146316</v>
          </cell>
          <cell r="G33">
            <v>29785.698339783194</v>
          </cell>
          <cell r="H33">
            <v>28906.895413439255</v>
          </cell>
          <cell r="I33">
            <v>28532.397854892304</v>
          </cell>
          <cell r="J33">
            <v>27671.93910060378</v>
          </cell>
          <cell r="K33">
            <v>27254.38028505617</v>
          </cell>
          <cell r="L33">
            <v>28880.827172790683</v>
          </cell>
          <cell r="M33">
            <v>31092.695237973585</v>
          </cell>
          <cell r="N33">
            <v>32841.561282832867</v>
          </cell>
          <cell r="O33">
            <v>34039.654834994224</v>
          </cell>
          <cell r="P33">
            <v>34932.334513276903</v>
          </cell>
          <cell r="Q33">
            <v>35441.178965782223</v>
          </cell>
          <cell r="R33">
            <v>35549.085225003793</v>
          </cell>
          <cell r="S33">
            <v>35697.330468449094</v>
          </cell>
          <cell r="T33">
            <v>36090.900625449016</v>
          </cell>
          <cell r="U33">
            <v>35987.807347114947</v>
          </cell>
          <cell r="V33">
            <v>36563.321467426489</v>
          </cell>
          <cell r="W33">
            <v>40807.085556076279</v>
          </cell>
          <cell r="X33">
            <v>41928.17206850896</v>
          </cell>
          <cell r="Y33">
            <v>41700.142864216454</v>
          </cell>
          <cell r="Z33">
            <v>40361.591293669604</v>
          </cell>
          <cell r="AA33">
            <v>37659.987043112393</v>
          </cell>
          <cell r="AB33">
            <v>34244.03701468293</v>
          </cell>
        </row>
        <row r="34">
          <cell r="D34">
            <v>2</v>
          </cell>
          <cell r="E34">
            <v>32548.920068051288</v>
          </cell>
          <cell r="F34">
            <v>31010.970770146316</v>
          </cell>
          <cell r="G34">
            <v>29785.698339783194</v>
          </cell>
          <cell r="H34">
            <v>28906.895413439255</v>
          </cell>
          <cell r="I34">
            <v>28532.397854892304</v>
          </cell>
          <cell r="J34">
            <v>27671.93910060378</v>
          </cell>
          <cell r="K34">
            <v>27254.38028505617</v>
          </cell>
          <cell r="L34">
            <v>28880.827172790683</v>
          </cell>
          <cell r="M34">
            <v>31092.695237973585</v>
          </cell>
          <cell r="N34">
            <v>32841.561282832867</v>
          </cell>
          <cell r="O34">
            <v>34039.654834994224</v>
          </cell>
          <cell r="P34">
            <v>34932.334513276903</v>
          </cell>
          <cell r="Q34">
            <v>35441.178965782223</v>
          </cell>
          <cell r="R34">
            <v>35549.085225003793</v>
          </cell>
          <cell r="S34">
            <v>35697.330468449094</v>
          </cell>
          <cell r="T34">
            <v>36090.900625449016</v>
          </cell>
          <cell r="U34">
            <v>35987.807347114947</v>
          </cell>
          <cell r="V34">
            <v>36563.321467426489</v>
          </cell>
          <cell r="W34">
            <v>40807.085556076279</v>
          </cell>
          <cell r="X34">
            <v>41928.17206850896</v>
          </cell>
          <cell r="Y34">
            <v>41700.142864216454</v>
          </cell>
          <cell r="Z34">
            <v>40361.591293669604</v>
          </cell>
          <cell r="AA34">
            <v>37659.987043112393</v>
          </cell>
          <cell r="AB34">
            <v>34244.03701468293</v>
          </cell>
        </row>
        <row r="35">
          <cell r="D35">
            <v>18</v>
          </cell>
          <cell r="E35">
            <v>31876.33150525581</v>
          </cell>
          <cell r="F35">
            <v>30275.527165387717</v>
          </cell>
          <cell r="G35">
            <v>29163.106030247942</v>
          </cell>
          <cell r="H35">
            <v>28292.704250541265</v>
          </cell>
          <cell r="I35">
            <v>28379.85193727228</v>
          </cell>
          <cell r="J35">
            <v>28770.601807173047</v>
          </cell>
          <cell r="K35">
            <v>29391.827116856162</v>
          </cell>
          <cell r="L35">
            <v>33093.028278785845</v>
          </cell>
          <cell r="M35">
            <v>36695.993154864067</v>
          </cell>
          <cell r="N35">
            <v>38479.564370477834</v>
          </cell>
          <cell r="O35">
            <v>40542.922048491302</v>
          </cell>
          <cell r="P35">
            <v>41899.146051887052</v>
          </cell>
          <cell r="Q35">
            <v>40409.503801761406</v>
          </cell>
          <cell r="R35">
            <v>41295.855248278283</v>
          </cell>
          <cell r="S35">
            <v>43326.35198531294</v>
          </cell>
          <cell r="T35">
            <v>43567.16720149813</v>
          </cell>
          <cell r="U35">
            <v>43133.995184182037</v>
          </cell>
          <cell r="V35">
            <v>41786.538613107114</v>
          </cell>
          <cell r="W35">
            <v>44225.501285826351</v>
          </cell>
          <cell r="X35">
            <v>44785.858730041902</v>
          </cell>
          <cell r="Y35">
            <v>43322.598543575281</v>
          </cell>
          <cell r="Z35">
            <v>41102.024158811146</v>
          </cell>
          <cell r="AA35">
            <v>37797.841603661102</v>
          </cell>
          <cell r="AB35">
            <v>34465.785288866573</v>
          </cell>
        </row>
        <row r="36">
          <cell r="D36">
            <v>4</v>
          </cell>
          <cell r="E36">
            <v>31954.698832466565</v>
          </cell>
          <cell r="F36">
            <v>30385.035344826698</v>
          </cell>
          <cell r="G36">
            <v>29218.590194573349</v>
          </cell>
          <cell r="H36">
            <v>28418.025626696337</v>
          </cell>
          <cell r="I36">
            <v>28277.616960143769</v>
          </cell>
          <cell r="J36">
            <v>27919.922490088411</v>
          </cell>
          <cell r="K36">
            <v>28193.673198999179</v>
          </cell>
          <cell r="L36">
            <v>31446.284968929547</v>
          </cell>
          <cell r="M36">
            <v>35015.661638885402</v>
          </cell>
          <cell r="N36">
            <v>37053.962952232534</v>
          </cell>
          <cell r="O36">
            <v>38800.60108559356</v>
          </cell>
          <cell r="P36">
            <v>39858.45787071815</v>
          </cell>
          <cell r="Q36">
            <v>39130.425027804267</v>
          </cell>
          <cell r="R36">
            <v>38343.72201677777</v>
          </cell>
          <cell r="S36">
            <v>38463.014103043592</v>
          </cell>
          <cell r="T36">
            <v>38487.645486028319</v>
          </cell>
          <cell r="U36">
            <v>38040.276943151221</v>
          </cell>
          <cell r="V36">
            <v>38193.690115266363</v>
          </cell>
          <cell r="W36">
            <v>41494.445824089613</v>
          </cell>
          <cell r="X36">
            <v>42364.899900194032</v>
          </cell>
          <cell r="Y36">
            <v>41148.500195176137</v>
          </cell>
          <cell r="Z36">
            <v>39095.392354044379</v>
          </cell>
          <cell r="AA36">
            <v>36709.964115484858</v>
          </cell>
          <cell r="AB36">
            <v>34244.714092877519</v>
          </cell>
        </row>
        <row r="37">
          <cell r="D37">
            <v>5</v>
          </cell>
          <cell r="E37">
            <v>32437.427797679396</v>
          </cell>
          <cell r="F37">
            <v>30794.49439057332</v>
          </cell>
          <cell r="G37">
            <v>29518.365713703599</v>
          </cell>
          <cell r="H37">
            <v>28679.595630518903</v>
          </cell>
          <cell r="I37">
            <v>28352.450989947327</v>
          </cell>
          <cell r="J37">
            <v>27461.730047189409</v>
          </cell>
          <cell r="K37">
            <v>26858.231086289656</v>
          </cell>
          <cell r="L37">
            <v>28330.768022045067</v>
          </cell>
          <cell r="M37">
            <v>30272.104674645743</v>
          </cell>
          <cell r="N37">
            <v>31895.554030474472</v>
          </cell>
          <cell r="O37">
            <v>33044.462053826253</v>
          </cell>
          <cell r="P37">
            <v>33958.016191436684</v>
          </cell>
          <cell r="Q37">
            <v>34672.425587699763</v>
          </cell>
          <cell r="R37">
            <v>34608.01208522552</v>
          </cell>
          <cell r="S37">
            <v>34727.385546742829</v>
          </cell>
          <cell r="T37">
            <v>35009.424103565172</v>
          </cell>
          <cell r="U37">
            <v>35065.573423716807</v>
          </cell>
          <cell r="V37">
            <v>35464.131821539871</v>
          </cell>
          <cell r="W37">
            <v>39541.160428835698</v>
          </cell>
          <cell r="X37">
            <v>41449.441674245958</v>
          </cell>
          <cell r="Y37">
            <v>40925.549788363343</v>
          </cell>
          <cell r="Z37">
            <v>39615.196439113774</v>
          </cell>
          <cell r="AA37">
            <v>37216.908200515434</v>
          </cell>
          <cell r="AB37">
            <v>34496.823744454217</v>
          </cell>
        </row>
        <row r="38">
          <cell r="D38">
            <v>3</v>
          </cell>
          <cell r="E38">
            <v>32437.427797679396</v>
          </cell>
          <cell r="F38">
            <v>30794.49439057332</v>
          </cell>
          <cell r="G38">
            <v>29518.365713703599</v>
          </cell>
          <cell r="H38">
            <v>28679.595630518903</v>
          </cell>
          <cell r="I38">
            <v>28352.450989947327</v>
          </cell>
          <cell r="J38">
            <v>27461.730047189409</v>
          </cell>
          <cell r="K38">
            <v>26858.231086289656</v>
          </cell>
          <cell r="L38">
            <v>28330.768022045067</v>
          </cell>
          <cell r="M38">
            <v>30272.104674645743</v>
          </cell>
          <cell r="N38">
            <v>31895.554030474472</v>
          </cell>
          <cell r="O38">
            <v>33044.462053826253</v>
          </cell>
          <cell r="P38">
            <v>33958.016191436684</v>
          </cell>
          <cell r="Q38">
            <v>34672.425587699763</v>
          </cell>
          <cell r="R38">
            <v>34608.01208522552</v>
          </cell>
          <cell r="S38">
            <v>34727.385546742829</v>
          </cell>
          <cell r="T38">
            <v>35009.424103565172</v>
          </cell>
          <cell r="U38">
            <v>35065.573423716807</v>
          </cell>
          <cell r="V38">
            <v>35464.131821539871</v>
          </cell>
          <cell r="W38">
            <v>39541.160428835698</v>
          </cell>
          <cell r="X38">
            <v>41449.441674245958</v>
          </cell>
          <cell r="Y38">
            <v>40925.549788363343</v>
          </cell>
          <cell r="Z38">
            <v>39615.196439113774</v>
          </cell>
          <cell r="AA38">
            <v>37216.908200515434</v>
          </cell>
          <cell r="AB38">
            <v>34496.823744454217</v>
          </cell>
        </row>
        <row r="39">
          <cell r="D39">
            <v>23</v>
          </cell>
          <cell r="E39">
            <v>31289.479945768384</v>
          </cell>
          <cell r="F39">
            <v>29689.959223995444</v>
          </cell>
          <cell r="G39">
            <v>28496.150691375944</v>
          </cell>
          <cell r="H39">
            <v>27698.963930124279</v>
          </cell>
          <cell r="I39">
            <v>27669.567098333071</v>
          </cell>
          <cell r="J39">
            <v>28381.155312647857</v>
          </cell>
          <cell r="K39">
            <v>28750.015180368835</v>
          </cell>
          <cell r="L39">
            <v>32291.241934666054</v>
          </cell>
          <cell r="M39">
            <v>35763.304182739244</v>
          </cell>
          <cell r="N39">
            <v>37549.14828506043</v>
          </cell>
          <cell r="O39">
            <v>39624.664258481673</v>
          </cell>
          <cell r="P39">
            <v>41181.309151814916</v>
          </cell>
          <cell r="Q39">
            <v>39713.249225379921</v>
          </cell>
          <cell r="R39">
            <v>41049.425114474398</v>
          </cell>
          <cell r="S39">
            <v>43386.677434660953</v>
          </cell>
          <cell r="T39">
            <v>43643.63488862227</v>
          </cell>
          <cell r="U39">
            <v>43051.332124886212</v>
          </cell>
          <cell r="V39">
            <v>41221.917766808197</v>
          </cell>
          <cell r="W39">
            <v>43050.020989346594</v>
          </cell>
          <cell r="X39">
            <v>44053.467963694195</v>
          </cell>
          <cell r="Y39">
            <v>42859.914484965178</v>
          </cell>
          <cell r="Z39">
            <v>40729.096719210305</v>
          </cell>
          <cell r="AA39">
            <v>37398.206272894407</v>
          </cell>
          <cell r="AB39">
            <v>34175.029059181004</v>
          </cell>
        </row>
        <row r="40">
          <cell r="D40">
            <v>4</v>
          </cell>
          <cell r="E40">
            <v>31872.901847786987</v>
          </cell>
          <cell r="F40">
            <v>30071.293131134487</v>
          </cell>
          <cell r="G40">
            <v>28775.036210937171</v>
          </cell>
          <cell r="H40">
            <v>27989.513148357837</v>
          </cell>
          <cell r="I40">
            <v>27617.623718817154</v>
          </cell>
          <cell r="J40">
            <v>27337.365115721826</v>
          </cell>
          <cell r="K40">
            <v>27460.147509801231</v>
          </cell>
          <cell r="L40">
            <v>30467.422076410199</v>
          </cell>
          <cell r="M40">
            <v>33998.191260873529</v>
          </cell>
          <cell r="N40">
            <v>36037.30840821434</v>
          </cell>
          <cell r="O40">
            <v>37955.512618906585</v>
          </cell>
          <cell r="P40">
            <v>38914.237326537761</v>
          </cell>
          <cell r="Q40">
            <v>38292.351235672279</v>
          </cell>
          <cell r="R40">
            <v>37738.759150051512</v>
          </cell>
          <cell r="S40">
            <v>37736.042460250472</v>
          </cell>
          <cell r="T40">
            <v>37513.112610042044</v>
          </cell>
          <cell r="U40">
            <v>37154.033346688608</v>
          </cell>
          <cell r="V40">
            <v>37277.840197065161</v>
          </cell>
          <cell r="W40">
            <v>39615.715129242788</v>
          </cell>
          <cell r="X40">
            <v>40508.002539137291</v>
          </cell>
          <cell r="Y40">
            <v>39180.705294382387</v>
          </cell>
          <cell r="Z40">
            <v>37540.028015825148</v>
          </cell>
          <cell r="AA40">
            <v>35458.64838062448</v>
          </cell>
          <cell r="AB40">
            <v>33074.26619253814</v>
          </cell>
        </row>
        <row r="41">
          <cell r="D41">
            <v>3</v>
          </cell>
          <cell r="E41">
            <v>29973.836864960904</v>
          </cell>
          <cell r="F41">
            <v>28572.365775562426</v>
          </cell>
          <cell r="G41">
            <v>27350.19472554134</v>
          </cell>
          <cell r="H41">
            <v>26603.789169864038</v>
          </cell>
          <cell r="I41">
            <v>26301.983622230742</v>
          </cell>
          <cell r="J41">
            <v>25658.795491594476</v>
          </cell>
          <cell r="K41">
            <v>25092.431170806805</v>
          </cell>
          <cell r="L41">
            <v>26643.448654734511</v>
          </cell>
          <cell r="M41">
            <v>28550.421033433042</v>
          </cell>
          <cell r="N41">
            <v>30086.873005551752</v>
          </cell>
          <cell r="O41">
            <v>31397.343220940664</v>
          </cell>
          <cell r="P41">
            <v>32514.230083434526</v>
          </cell>
          <cell r="Q41">
            <v>33321.788943841915</v>
          </cell>
          <cell r="R41">
            <v>33526.698053161977</v>
          </cell>
          <cell r="S41">
            <v>33717.085000410574</v>
          </cell>
          <cell r="T41">
            <v>34162.89965110019</v>
          </cell>
          <cell r="U41">
            <v>34102.667315793828</v>
          </cell>
          <cell r="V41">
            <v>34264.167612944773</v>
          </cell>
          <cell r="W41">
            <v>38150.240808619892</v>
          </cell>
          <cell r="X41">
            <v>40330.216234344567</v>
          </cell>
          <cell r="Y41">
            <v>39720.407826601353</v>
          </cell>
          <cell r="Z41">
            <v>38088.284258753287</v>
          </cell>
          <cell r="AA41">
            <v>35156.531734874821</v>
          </cell>
          <cell r="AB41">
            <v>32194.708093070418</v>
          </cell>
        </row>
        <row r="42">
          <cell r="D42">
            <v>1</v>
          </cell>
          <cell r="E42">
            <v>29973.836864960904</v>
          </cell>
          <cell r="F42">
            <v>28572.365775562426</v>
          </cell>
          <cell r="G42">
            <v>27350.19472554134</v>
          </cell>
          <cell r="H42">
            <v>26603.789169864038</v>
          </cell>
          <cell r="I42">
            <v>26301.983622230742</v>
          </cell>
          <cell r="J42">
            <v>25658.795491594476</v>
          </cell>
          <cell r="K42">
            <v>25092.431170806805</v>
          </cell>
          <cell r="L42">
            <v>26643.448654734511</v>
          </cell>
          <cell r="M42">
            <v>28550.421033433042</v>
          </cell>
          <cell r="N42">
            <v>30086.873005551752</v>
          </cell>
          <cell r="O42">
            <v>31397.343220940664</v>
          </cell>
          <cell r="P42">
            <v>32514.230083434526</v>
          </cell>
          <cell r="Q42">
            <v>33321.788943841915</v>
          </cell>
          <cell r="R42">
            <v>33526.698053161977</v>
          </cell>
          <cell r="S42">
            <v>33717.085000410574</v>
          </cell>
          <cell r="T42">
            <v>34162.89965110019</v>
          </cell>
          <cell r="U42">
            <v>34102.667315793828</v>
          </cell>
          <cell r="V42">
            <v>34264.167612944773</v>
          </cell>
          <cell r="W42">
            <v>38150.240808619892</v>
          </cell>
          <cell r="X42">
            <v>40330.216234344567</v>
          </cell>
          <cell r="Y42">
            <v>39720.407826601353</v>
          </cell>
          <cell r="Z42">
            <v>38088.284258753287</v>
          </cell>
          <cell r="AA42">
            <v>35156.531734874821</v>
          </cell>
          <cell r="AB42">
            <v>32194.708093070418</v>
          </cell>
        </row>
        <row r="43">
          <cell r="D43">
            <v>19</v>
          </cell>
          <cell r="E43">
            <v>31790.82045598438</v>
          </cell>
          <cell r="F43">
            <v>30051.757147852713</v>
          </cell>
          <cell r="G43">
            <v>28820.379243202697</v>
          </cell>
          <cell r="H43">
            <v>27980.447499882335</v>
          </cell>
          <cell r="I43">
            <v>27951.673618734931</v>
          </cell>
          <cell r="J43">
            <v>28885.749428439223</v>
          </cell>
          <cell r="K43">
            <v>29225.556353365122</v>
          </cell>
          <cell r="L43">
            <v>32510.683322962443</v>
          </cell>
          <cell r="M43">
            <v>36051.773219853188</v>
          </cell>
          <cell r="N43">
            <v>37825.721412968611</v>
          </cell>
          <cell r="O43">
            <v>40031.33527496396</v>
          </cell>
          <cell r="P43">
            <v>41857.955948551949</v>
          </cell>
          <cell r="Q43">
            <v>40175.259542614825</v>
          </cell>
          <cell r="R43">
            <v>41489.061168768152</v>
          </cell>
          <cell r="S43">
            <v>43983.669532625296</v>
          </cell>
          <cell r="T43">
            <v>44266.158229325607</v>
          </cell>
          <cell r="U43">
            <v>43507.030656552044</v>
          </cell>
          <cell r="V43">
            <v>41913.399330505301</v>
          </cell>
          <cell r="W43">
            <v>44422.347848968682</v>
          </cell>
          <cell r="X43">
            <v>45115.118267268532</v>
          </cell>
          <cell r="Y43">
            <v>43847.326431798218</v>
          </cell>
          <cell r="Z43">
            <v>41604.941729861232</v>
          </cell>
          <cell r="AA43">
            <v>38150.924914253403</v>
          </cell>
          <cell r="AB43">
            <v>34888.278380546915</v>
          </cell>
        </row>
        <row r="44">
          <cell r="D44">
            <v>5</v>
          </cell>
          <cell r="E44">
            <v>32226.062821778898</v>
          </cell>
          <cell r="F44">
            <v>30568.979637390228</v>
          </cell>
          <cell r="G44">
            <v>29340.313655959857</v>
          </cell>
          <cell r="H44">
            <v>28407.773202915985</v>
          </cell>
          <cell r="I44">
            <v>27848.60781932898</v>
          </cell>
          <cell r="J44">
            <v>27608.508013369355</v>
          </cell>
          <cell r="K44">
            <v>27651.565019993184</v>
          </cell>
          <cell r="L44">
            <v>30609.862026792616</v>
          </cell>
          <cell r="M44">
            <v>33850.307654578122</v>
          </cell>
          <cell r="N44">
            <v>35911.493350763092</v>
          </cell>
          <cell r="O44">
            <v>37603.877743687248</v>
          </cell>
          <cell r="P44">
            <v>38176.63442016441</v>
          </cell>
          <cell r="Q44">
            <v>37521.065667985553</v>
          </cell>
          <cell r="R44">
            <v>37007.041525796471</v>
          </cell>
          <cell r="S44">
            <v>37415.385279254762</v>
          </cell>
          <cell r="T44">
            <v>37578.085079382152</v>
          </cell>
          <cell r="U44">
            <v>37330.618456525866</v>
          </cell>
          <cell r="V44">
            <v>37618.979381657249</v>
          </cell>
          <cell r="W44">
            <v>41524.804271277775</v>
          </cell>
          <cell r="X44">
            <v>41854.83823799411</v>
          </cell>
          <cell r="Y44">
            <v>40329.0698726146</v>
          </cell>
          <cell r="Z44">
            <v>38499.372529269378</v>
          </cell>
          <cell r="AA44">
            <v>36137.302371023812</v>
          </cell>
          <cell r="AB44">
            <v>33560.067085312745</v>
          </cell>
        </row>
        <row r="45">
          <cell r="D45">
            <v>5</v>
          </cell>
          <cell r="E45">
            <v>31448.557271172391</v>
          </cell>
          <cell r="F45">
            <v>29918.352396608585</v>
          </cell>
          <cell r="G45">
            <v>28592.110923501416</v>
          </cell>
          <cell r="H45">
            <v>27823.378426722909</v>
          </cell>
          <cell r="I45">
            <v>27422.605562850385</v>
          </cell>
          <cell r="J45">
            <v>27005.125671921785</v>
          </cell>
          <cell r="K45">
            <v>26279.200788366572</v>
          </cell>
          <cell r="L45">
            <v>27767.630067049889</v>
          </cell>
          <cell r="M45">
            <v>29554.79482914622</v>
          </cell>
          <cell r="N45">
            <v>31073.861685672648</v>
          </cell>
          <cell r="O45">
            <v>32362.360847239765</v>
          </cell>
          <cell r="P45">
            <v>33436.403438292422</v>
          </cell>
          <cell r="Q45">
            <v>34076.812024039675</v>
          </cell>
          <cell r="R45">
            <v>34210.956150318612</v>
          </cell>
          <cell r="S45">
            <v>34417.315334068408</v>
          </cell>
          <cell r="T45">
            <v>34665.808276806616</v>
          </cell>
          <cell r="U45">
            <v>34661.54372735021</v>
          </cell>
          <cell r="V45">
            <v>35242.652881453439</v>
          </cell>
          <cell r="W45">
            <v>39659.899727501324</v>
          </cell>
          <cell r="X45">
            <v>41372.141584363642</v>
          </cell>
          <cell r="Y45">
            <v>41033.262309656544</v>
          </cell>
          <cell r="Z45">
            <v>39567.023605135044</v>
          </cell>
          <cell r="AA45">
            <v>36671.152382140812</v>
          </cell>
          <cell r="AB45">
            <v>33609.056184597554</v>
          </cell>
        </row>
        <row r="46">
          <cell r="D46">
            <v>2</v>
          </cell>
          <cell r="E46">
            <v>31448.557271172391</v>
          </cell>
          <cell r="F46">
            <v>29918.352396608585</v>
          </cell>
          <cell r="G46">
            <v>28592.110923501416</v>
          </cell>
          <cell r="H46">
            <v>27823.378426722909</v>
          </cell>
          <cell r="I46">
            <v>27422.605562850385</v>
          </cell>
          <cell r="J46">
            <v>27005.125671921785</v>
          </cell>
          <cell r="K46">
            <v>26279.200788366572</v>
          </cell>
          <cell r="L46">
            <v>27767.630067049889</v>
          </cell>
          <cell r="M46">
            <v>29554.79482914622</v>
          </cell>
          <cell r="N46">
            <v>31073.861685672648</v>
          </cell>
          <cell r="O46">
            <v>32362.360847239765</v>
          </cell>
          <cell r="P46">
            <v>33436.403438292422</v>
          </cell>
          <cell r="Q46">
            <v>34076.812024039675</v>
          </cell>
          <cell r="R46">
            <v>34210.956150318612</v>
          </cell>
          <cell r="S46">
            <v>34417.315334068408</v>
          </cell>
          <cell r="T46">
            <v>34665.808276806616</v>
          </cell>
          <cell r="U46">
            <v>34661.54372735021</v>
          </cell>
          <cell r="V46">
            <v>35242.652881453439</v>
          </cell>
          <cell r="W46">
            <v>39659.899727501324</v>
          </cell>
          <cell r="X46">
            <v>41372.141584363642</v>
          </cell>
          <cell r="Y46">
            <v>41033.262309656544</v>
          </cell>
          <cell r="Z46">
            <v>39567.023605135044</v>
          </cell>
          <cell r="AA46">
            <v>36671.152382140812</v>
          </cell>
          <cell r="AB46">
            <v>33609.056184597554</v>
          </cell>
        </row>
        <row r="47">
          <cell r="D47">
            <v>22</v>
          </cell>
          <cell r="E47">
            <v>31259.305402368951</v>
          </cell>
          <cell r="F47">
            <v>29619.644516030268</v>
          </cell>
          <cell r="G47">
            <v>28411.753713723367</v>
          </cell>
          <cell r="H47">
            <v>27527.073343621007</v>
          </cell>
          <cell r="I47">
            <v>27495.819177631245</v>
          </cell>
          <cell r="J47">
            <v>28385.655971643042</v>
          </cell>
          <cell r="K47">
            <v>28786.852570293704</v>
          </cell>
          <cell r="L47">
            <v>32082.27994032373</v>
          </cell>
          <cell r="M47">
            <v>35631.447618929611</v>
          </cell>
          <cell r="N47">
            <v>37403.562192851234</v>
          </cell>
          <cell r="O47">
            <v>39308.45646634476</v>
          </cell>
          <cell r="P47">
            <v>40936.320468150196</v>
          </cell>
          <cell r="Q47">
            <v>39456.730440840722</v>
          </cell>
          <cell r="R47">
            <v>40609.643554063863</v>
          </cell>
          <cell r="S47">
            <v>42913.001257232841</v>
          </cell>
          <cell r="T47">
            <v>43206.69484596041</v>
          </cell>
          <cell r="U47">
            <v>42539.123390056826</v>
          </cell>
          <cell r="V47">
            <v>41457.494502195128</v>
          </cell>
          <cell r="W47">
            <v>44230.883058698491</v>
          </cell>
          <cell r="X47">
            <v>43813.154952092977</v>
          </cell>
          <cell r="Y47">
            <v>42414.27038856881</v>
          </cell>
          <cell r="Z47">
            <v>40126.643748579954</v>
          </cell>
          <cell r="AA47">
            <v>36694.342205870555</v>
          </cell>
          <cell r="AB47">
            <v>33536.838743148546</v>
          </cell>
        </row>
        <row r="48">
          <cell r="D48">
            <v>4</v>
          </cell>
          <cell r="E48">
            <v>30445.879430756329</v>
          </cell>
          <cell r="F48">
            <v>28906.94848544335</v>
          </cell>
          <cell r="G48">
            <v>27750.894417105497</v>
          </cell>
          <cell r="H48">
            <v>26898.830487568888</v>
          </cell>
          <cell r="I48">
            <v>26672.288175857884</v>
          </cell>
          <cell r="J48">
            <v>26518.711497340129</v>
          </cell>
          <cell r="K48">
            <v>26822.761603851828</v>
          </cell>
          <cell r="L48">
            <v>29880.704795597652</v>
          </cell>
          <cell r="M48">
            <v>33300.98137096838</v>
          </cell>
          <cell r="N48">
            <v>34985.730868489598</v>
          </cell>
          <cell r="O48">
            <v>37034.730832567569</v>
          </cell>
          <cell r="P48">
            <v>37946.873930860027</v>
          </cell>
          <cell r="Q48">
            <v>37524.350234136364</v>
          </cell>
          <cell r="R48">
            <v>37065.363029790868</v>
          </cell>
          <cell r="S48">
            <v>37321.497993755103</v>
          </cell>
          <cell r="T48">
            <v>37241.821942366252</v>
          </cell>
          <cell r="U48">
            <v>36799.077824407759</v>
          </cell>
          <cell r="V48">
            <v>37701.836132999008</v>
          </cell>
          <cell r="W48">
            <v>41892.602969543994</v>
          </cell>
          <cell r="X48">
            <v>41582.476344351831</v>
          </cell>
          <cell r="Y48">
            <v>40114.549052009177</v>
          </cell>
          <cell r="Z48">
            <v>38268.723458526692</v>
          </cell>
          <cell r="AA48">
            <v>36153.887739457132</v>
          </cell>
          <cell r="AB48">
            <v>33626.909016912425</v>
          </cell>
        </row>
        <row r="49">
          <cell r="D49">
            <v>4</v>
          </cell>
          <cell r="E49">
            <v>31162.484465539532</v>
          </cell>
          <cell r="F49">
            <v>29574.412336269175</v>
          </cell>
          <cell r="G49">
            <v>28210.902956330981</v>
          </cell>
          <cell r="H49">
            <v>27308.323295002803</v>
          </cell>
          <cell r="I49">
            <v>26926.270267620392</v>
          </cell>
          <cell r="J49">
            <v>26195.572820882415</v>
          </cell>
          <cell r="K49">
            <v>25510.889132113578</v>
          </cell>
          <cell r="L49">
            <v>27114.929312617267</v>
          </cell>
          <cell r="M49">
            <v>28858.426444548804</v>
          </cell>
          <cell r="N49">
            <v>30549.606929572976</v>
          </cell>
          <cell r="O49">
            <v>31843.864592793652</v>
          </cell>
          <cell r="P49">
            <v>32694.043778006668</v>
          </cell>
          <cell r="Q49">
            <v>33422.665902409324</v>
          </cell>
          <cell r="R49">
            <v>33525.23517670326</v>
          </cell>
          <cell r="S49">
            <v>33545.317452427087</v>
          </cell>
          <cell r="T49">
            <v>33962.650645542955</v>
          </cell>
          <cell r="U49">
            <v>33926.659658362099</v>
          </cell>
          <cell r="V49">
            <v>35030.189233591998</v>
          </cell>
          <cell r="W49">
            <v>39611.527024139272</v>
          </cell>
          <cell r="X49">
            <v>40270.466982970887</v>
          </cell>
          <cell r="Y49">
            <v>39750.291678176894</v>
          </cell>
          <cell r="Z49">
            <v>38249.279791824069</v>
          </cell>
          <cell r="AA49">
            <v>35491.492886982865</v>
          </cell>
          <cell r="AB49">
            <v>32554.711157538692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30224.229294445271</v>
          </cell>
          <cell r="F51">
            <v>28633.239521163276</v>
          </cell>
          <cell r="G51">
            <v>27496.430347972233</v>
          </cell>
          <cell r="H51">
            <v>26669.842684226474</v>
          </cell>
          <cell r="I51">
            <v>26756.139379883814</v>
          </cell>
          <cell r="J51">
            <v>27555.252540658261</v>
          </cell>
          <cell r="K51">
            <v>28278.738097086913</v>
          </cell>
          <cell r="L51">
            <v>31498.105536292598</v>
          </cell>
          <cell r="M51">
            <v>34921.590290985034</v>
          </cell>
          <cell r="N51">
            <v>36714.607660394555</v>
          </cell>
          <cell r="O51">
            <v>38581.881205459431</v>
          </cell>
          <cell r="P51">
            <v>40060.409451921179</v>
          </cell>
          <cell r="Q51">
            <v>38332.03599804626</v>
          </cell>
          <cell r="R51">
            <v>39356.7447466331</v>
          </cell>
          <cell r="S51">
            <v>41565.97178787685</v>
          </cell>
          <cell r="T51">
            <v>42065.309273345723</v>
          </cell>
          <cell r="U51">
            <v>41597.857389818368</v>
          </cell>
          <cell r="V51">
            <v>41612.544477113923</v>
          </cell>
          <cell r="W51">
            <v>44194.662104441064</v>
          </cell>
          <cell r="X51">
            <v>43209.766803276048</v>
          </cell>
          <cell r="Y51">
            <v>41604.994770230907</v>
          </cell>
          <cell r="Z51">
            <v>39327.998270602417</v>
          </cell>
          <cell r="AA51">
            <v>35972.086998355022</v>
          </cell>
          <cell r="AB51">
            <v>32731.108621760264</v>
          </cell>
        </row>
        <row r="52">
          <cell r="D52">
            <v>4</v>
          </cell>
          <cell r="E52">
            <v>30775.572060332182</v>
          </cell>
          <cell r="F52">
            <v>29047.445662763024</v>
          </cell>
          <cell r="G52">
            <v>27677.490417879479</v>
          </cell>
          <cell r="H52">
            <v>26824.660626146437</v>
          </cell>
          <cell r="I52">
            <v>26807.686030558703</v>
          </cell>
          <cell r="J52">
            <v>26693.841995644689</v>
          </cell>
          <cell r="K52">
            <v>27107.222764861734</v>
          </cell>
          <cell r="L52">
            <v>29792.757442337686</v>
          </cell>
          <cell r="M52">
            <v>33137.610318939907</v>
          </cell>
          <cell r="N52">
            <v>35045.670342039339</v>
          </cell>
          <cell r="O52">
            <v>37012.292292568025</v>
          </cell>
          <cell r="P52">
            <v>37990.731495904365</v>
          </cell>
          <cell r="Q52">
            <v>37277.579109033373</v>
          </cell>
          <cell r="R52">
            <v>36817.910808521454</v>
          </cell>
          <cell r="S52">
            <v>37204.468025685783</v>
          </cell>
          <cell r="T52">
            <v>37594.982805724991</v>
          </cell>
          <cell r="U52">
            <v>37308.45867237349</v>
          </cell>
          <cell r="V52">
            <v>38671.482325970013</v>
          </cell>
          <cell r="W52">
            <v>42325.631625004695</v>
          </cell>
          <cell r="X52">
            <v>41543.891716894716</v>
          </cell>
          <cell r="Y52">
            <v>39940.700153542333</v>
          </cell>
          <cell r="Z52">
            <v>37924.444691908568</v>
          </cell>
          <cell r="AA52">
            <v>35508.769775490015</v>
          </cell>
          <cell r="AB52">
            <v>32957.766911408296</v>
          </cell>
        </row>
        <row r="53">
          <cell r="D53">
            <v>4</v>
          </cell>
          <cell r="E53">
            <v>30616.274931472366</v>
          </cell>
          <cell r="F53">
            <v>29009.909277338822</v>
          </cell>
          <cell r="G53">
            <v>27734.24513634598</v>
          </cell>
          <cell r="H53">
            <v>26944.817388532065</v>
          </cell>
          <cell r="I53">
            <v>26590.221084474324</v>
          </cell>
          <cell r="J53">
            <v>26020.103161678922</v>
          </cell>
          <cell r="K53">
            <v>25324.83546424186</v>
          </cell>
          <cell r="L53">
            <v>26826.892334534503</v>
          </cell>
          <cell r="M53">
            <v>28777.697961956586</v>
          </cell>
          <cell r="N53">
            <v>30336.689670158692</v>
          </cell>
          <cell r="O53">
            <v>31831.621850991709</v>
          </cell>
          <cell r="P53">
            <v>33027.023312054946</v>
          </cell>
          <cell r="Q53">
            <v>33623.158206339533</v>
          </cell>
          <cell r="R53">
            <v>33687.075600791402</v>
          </cell>
          <cell r="S53">
            <v>33896.221814289944</v>
          </cell>
          <cell r="T53">
            <v>33858.925377086765</v>
          </cell>
          <cell r="U53">
            <v>34111.622192699579</v>
          </cell>
          <cell r="V53">
            <v>35783.035023871795</v>
          </cell>
          <cell r="W53">
            <v>40125.20070913143</v>
          </cell>
          <cell r="X53">
            <v>40390.540390178445</v>
          </cell>
          <cell r="Y53">
            <v>39762.799123694298</v>
          </cell>
          <cell r="Z53">
            <v>38185.638776778258</v>
          </cell>
          <cell r="AA53">
            <v>35322.815918736429</v>
          </cell>
          <cell r="AB53">
            <v>32428.200237964476</v>
          </cell>
        </row>
        <row r="54">
          <cell r="D54">
            <v>1</v>
          </cell>
          <cell r="E54">
            <v>30616.274931472366</v>
          </cell>
          <cell r="F54">
            <v>29009.909277338822</v>
          </cell>
          <cell r="G54">
            <v>27734.24513634598</v>
          </cell>
          <cell r="H54">
            <v>26944.817388532065</v>
          </cell>
          <cell r="I54">
            <v>26590.221084474324</v>
          </cell>
          <cell r="J54">
            <v>26020.103161678922</v>
          </cell>
          <cell r="K54">
            <v>25324.83546424186</v>
          </cell>
          <cell r="L54">
            <v>26826.892334534503</v>
          </cell>
          <cell r="M54">
            <v>28777.697961956586</v>
          </cell>
          <cell r="N54">
            <v>30336.689670158692</v>
          </cell>
          <cell r="O54">
            <v>31831.621850991709</v>
          </cell>
          <cell r="P54">
            <v>33027.023312054946</v>
          </cell>
          <cell r="Q54">
            <v>33623.158206339533</v>
          </cell>
          <cell r="R54">
            <v>33687.075600791402</v>
          </cell>
          <cell r="S54">
            <v>33896.221814289944</v>
          </cell>
          <cell r="T54">
            <v>33858.925377086765</v>
          </cell>
          <cell r="U54">
            <v>34111.622192699579</v>
          </cell>
          <cell r="V54">
            <v>35783.035023871795</v>
          </cell>
          <cell r="W54">
            <v>40125.20070913143</v>
          </cell>
          <cell r="X54">
            <v>40390.540390178445</v>
          </cell>
          <cell r="Y54">
            <v>39762.799123694298</v>
          </cell>
          <cell r="Z54">
            <v>38185.638776778258</v>
          </cell>
          <cell r="AA54">
            <v>35322.815918736429</v>
          </cell>
          <cell r="AB54">
            <v>32428.200237964476</v>
          </cell>
        </row>
        <row r="55">
          <cell r="D55">
            <v>18</v>
          </cell>
          <cell r="E55">
            <v>30021.461837544492</v>
          </cell>
          <cell r="F55">
            <v>28478.835195494521</v>
          </cell>
          <cell r="G55">
            <v>27355.510246191592</v>
          </cell>
          <cell r="H55">
            <v>26594.614027542844</v>
          </cell>
          <cell r="I55">
            <v>26669.639759483911</v>
          </cell>
          <cell r="J55">
            <v>27461.549495069605</v>
          </cell>
          <cell r="K55">
            <v>28184.664772314125</v>
          </cell>
          <cell r="L55">
            <v>31537.172589920287</v>
          </cell>
          <cell r="M55">
            <v>34987.579323654805</v>
          </cell>
          <cell r="N55">
            <v>36699.196050420906</v>
          </cell>
          <cell r="O55">
            <v>38485.500743609577</v>
          </cell>
          <cell r="P55">
            <v>39744.503304573234</v>
          </cell>
          <cell r="Q55">
            <v>38114.780730393119</v>
          </cell>
          <cell r="R55">
            <v>38972.732506253153</v>
          </cell>
          <cell r="S55">
            <v>40916.527399311453</v>
          </cell>
          <cell r="T55">
            <v>41416.694635326159</v>
          </cell>
          <cell r="U55">
            <v>41012.278513304198</v>
          </cell>
          <cell r="V55">
            <v>41548.065073072641</v>
          </cell>
          <cell r="W55">
            <v>43582.056426468422</v>
          </cell>
          <cell r="X55">
            <v>42572.662992036152</v>
          </cell>
          <cell r="Y55">
            <v>41063.525294125466</v>
          </cell>
          <cell r="Z55">
            <v>38876.871752878913</v>
          </cell>
          <cell r="AA55">
            <v>35678.152257726601</v>
          </cell>
          <cell r="AB55">
            <v>32520.618105456102</v>
          </cell>
        </row>
        <row r="56">
          <cell r="D56">
            <v>5</v>
          </cell>
          <cell r="E56">
            <v>29305.29761541852</v>
          </cell>
          <cell r="F56">
            <v>27870.491498092339</v>
          </cell>
          <cell r="G56">
            <v>26863.571748610313</v>
          </cell>
          <cell r="H56">
            <v>26205.08031841401</v>
          </cell>
          <cell r="I56">
            <v>26189.386574097833</v>
          </cell>
          <cell r="J56">
            <v>26124.748584862497</v>
          </cell>
          <cell r="K56">
            <v>26514.957716137618</v>
          </cell>
          <cell r="L56">
            <v>29569.961447244157</v>
          </cell>
          <cell r="M56">
            <v>33005.69534195977</v>
          </cell>
          <cell r="N56">
            <v>34907.057820735601</v>
          </cell>
          <cell r="O56">
            <v>36887.184986171262</v>
          </cell>
          <cell r="P56">
            <v>37721.472323154383</v>
          </cell>
          <cell r="Q56">
            <v>37042.808471784512</v>
          </cell>
          <cell r="R56">
            <v>36274.767576638973</v>
          </cell>
          <cell r="S56">
            <v>36031.465416395316</v>
          </cell>
          <cell r="T56">
            <v>36320.821506958222</v>
          </cell>
          <cell r="U56">
            <v>36140.782127350307</v>
          </cell>
          <cell r="V56">
            <v>38151.69407107537</v>
          </cell>
          <cell r="W56">
            <v>41297.930997810516</v>
          </cell>
          <cell r="X56">
            <v>40600.024026214582</v>
          </cell>
          <cell r="Y56">
            <v>39140.40045300265</v>
          </cell>
          <cell r="Z56">
            <v>37329.535177225262</v>
          </cell>
          <cell r="AA56">
            <v>35041.513678096817</v>
          </cell>
          <cell r="AB56">
            <v>32467.287087478915</v>
          </cell>
        </row>
        <row r="57">
          <cell r="D57">
            <v>5</v>
          </cell>
          <cell r="E57">
            <v>30373.409370000281</v>
          </cell>
          <cell r="F57">
            <v>28932.437476864856</v>
          </cell>
          <cell r="G57">
            <v>27684.68153445697</v>
          </cell>
          <cell r="H57">
            <v>26843.715382860493</v>
          </cell>
          <cell r="I57">
            <v>26502.842258227469</v>
          </cell>
          <cell r="J57">
            <v>26056.288040029289</v>
          </cell>
          <cell r="K57">
            <v>25413.229669675617</v>
          </cell>
          <cell r="L57">
            <v>26811.956957862621</v>
          </cell>
          <cell r="M57">
            <v>28729.538714973161</v>
          </cell>
          <cell r="N57">
            <v>30305.43368848769</v>
          </cell>
          <cell r="O57">
            <v>31821.712033937118</v>
          </cell>
          <cell r="P57">
            <v>32622.679534127365</v>
          </cell>
          <cell r="Q57">
            <v>33216.988927912811</v>
          </cell>
          <cell r="R57">
            <v>33185.67396052499</v>
          </cell>
          <cell r="S57">
            <v>33090.30264388318</v>
          </cell>
          <cell r="T57">
            <v>33241.151732564278</v>
          </cell>
          <cell r="U57">
            <v>33279.789875623181</v>
          </cell>
          <cell r="V57">
            <v>35530.802754656528</v>
          </cell>
          <cell r="W57">
            <v>38917.473822418026</v>
          </cell>
          <cell r="X57">
            <v>38974.41500457051</v>
          </cell>
          <cell r="Y57">
            <v>38114.985581130743</v>
          </cell>
          <cell r="Z57">
            <v>36616.77874580169</v>
          </cell>
          <cell r="AA57">
            <v>34269.956727613178</v>
          </cell>
          <cell r="AB57">
            <v>31787.650324413171</v>
          </cell>
        </row>
        <row r="58">
          <cell r="D58">
            <v>2</v>
          </cell>
          <cell r="E58">
            <v>30373.409370000281</v>
          </cell>
          <cell r="F58">
            <v>28932.437476864856</v>
          </cell>
          <cell r="G58">
            <v>27684.68153445697</v>
          </cell>
          <cell r="H58">
            <v>26843.715382860493</v>
          </cell>
          <cell r="I58">
            <v>26502.842258227469</v>
          </cell>
          <cell r="J58">
            <v>26056.288040029289</v>
          </cell>
          <cell r="K58">
            <v>25413.229669675617</v>
          </cell>
          <cell r="L58">
            <v>26811.956957862621</v>
          </cell>
          <cell r="M58">
            <v>28729.538714973161</v>
          </cell>
          <cell r="N58">
            <v>30305.43368848769</v>
          </cell>
          <cell r="O58">
            <v>31821.712033937118</v>
          </cell>
          <cell r="P58">
            <v>32622.679534127365</v>
          </cell>
          <cell r="Q58">
            <v>33216.988927912811</v>
          </cell>
          <cell r="R58">
            <v>33185.67396052499</v>
          </cell>
          <cell r="S58">
            <v>33090.30264388318</v>
          </cell>
          <cell r="T58">
            <v>33241.151732564278</v>
          </cell>
          <cell r="U58">
            <v>33279.789875623181</v>
          </cell>
          <cell r="V58">
            <v>35530.802754656528</v>
          </cell>
          <cell r="W58">
            <v>38917.473822418026</v>
          </cell>
          <cell r="X58">
            <v>38974.41500457051</v>
          </cell>
          <cell r="Y58">
            <v>38114.985581130743</v>
          </cell>
          <cell r="Z58">
            <v>36616.77874580169</v>
          </cell>
          <cell r="AA58">
            <v>34269.956727613178</v>
          </cell>
          <cell r="AB58">
            <v>31787.650324413171</v>
          </cell>
        </row>
        <row r="59">
          <cell r="D59">
            <v>21</v>
          </cell>
          <cell r="E59">
            <v>32020.328532973999</v>
          </cell>
          <cell r="F59">
            <v>30259.240448077973</v>
          </cell>
          <cell r="G59">
            <v>29001.501167591228</v>
          </cell>
          <cell r="H59">
            <v>28222.134163062263</v>
          </cell>
          <cell r="I59">
            <v>28121.899530258284</v>
          </cell>
          <cell r="J59">
            <v>28624.254736569626</v>
          </cell>
          <cell r="K59">
            <v>28824.452384732514</v>
          </cell>
          <cell r="L59">
            <v>32298.665762941069</v>
          </cell>
          <cell r="M59">
            <v>35827.091466503654</v>
          </cell>
          <cell r="N59">
            <v>37847.453226583792</v>
          </cell>
          <cell r="O59">
            <v>39625.672423233256</v>
          </cell>
          <cell r="P59">
            <v>40912.369622165155</v>
          </cell>
          <cell r="Q59">
            <v>39785.885344035873</v>
          </cell>
          <cell r="R59">
            <v>40295.724301511647</v>
          </cell>
          <cell r="S59">
            <v>41999.49024080066</v>
          </cell>
          <cell r="T59">
            <v>42523.757762488327</v>
          </cell>
          <cell r="U59">
            <v>42173.030892536095</v>
          </cell>
          <cell r="V59">
            <v>42215.848912106419</v>
          </cell>
          <cell r="W59">
            <v>45469.061139776386</v>
          </cell>
          <cell r="X59">
            <v>44594.189206171053</v>
          </cell>
          <cell r="Y59">
            <v>42961.962452697386</v>
          </cell>
          <cell r="Z59">
            <v>40635.046676189573</v>
          </cell>
          <cell r="AA59">
            <v>37648.90345230345</v>
          </cell>
          <cell r="AB59">
            <v>34743.217305507067</v>
          </cell>
        </row>
        <row r="60">
          <cell r="D60">
            <v>4</v>
          </cell>
          <cell r="E60">
            <v>32538.867366524046</v>
          </cell>
          <cell r="F60">
            <v>30696.716328833998</v>
          </cell>
          <cell r="G60">
            <v>29483.190398958675</v>
          </cell>
          <cell r="H60">
            <v>28593.448346318626</v>
          </cell>
          <cell r="I60">
            <v>28347.507496812628</v>
          </cell>
          <cell r="J60">
            <v>28396.951539554451</v>
          </cell>
          <cell r="K60">
            <v>28114.884280822542</v>
          </cell>
          <cell r="L60">
            <v>30696.354433116088</v>
          </cell>
          <cell r="M60">
            <v>34432.846833791918</v>
          </cell>
          <cell r="N60">
            <v>36624.088990590142</v>
          </cell>
          <cell r="O60">
            <v>38469.594411653059</v>
          </cell>
          <cell r="P60">
            <v>39595.975659300646</v>
          </cell>
          <cell r="Q60">
            <v>38954.668088459766</v>
          </cell>
          <cell r="R60">
            <v>38672.980449634968</v>
          </cell>
          <cell r="S60">
            <v>38510.865669620238</v>
          </cell>
          <cell r="T60">
            <v>38924.345223297852</v>
          </cell>
          <cell r="U60">
            <v>38803.427581913573</v>
          </cell>
          <cell r="V60">
            <v>39661.426900706829</v>
          </cell>
          <cell r="W60">
            <v>44054.822869698182</v>
          </cell>
          <cell r="X60">
            <v>43429.912429684315</v>
          </cell>
          <cell r="Y60">
            <v>41794.805058113569</v>
          </cell>
          <cell r="Z60">
            <v>40010.906985203721</v>
          </cell>
          <cell r="AA60">
            <v>37537.559543231277</v>
          </cell>
          <cell r="AB60">
            <v>34989.477574059347</v>
          </cell>
        </row>
        <row r="61">
          <cell r="D61">
            <v>4</v>
          </cell>
          <cell r="E61">
            <v>32744.281051751812</v>
          </cell>
          <cell r="F61">
            <v>31134.892123243677</v>
          </cell>
          <cell r="G61">
            <v>29838.681239404345</v>
          </cell>
          <cell r="H61">
            <v>28925.848757574851</v>
          </cell>
          <cell r="I61">
            <v>28514.04623445468</v>
          </cell>
          <cell r="J61">
            <v>28226.304012595057</v>
          </cell>
          <cell r="K61">
            <v>26968.667087382812</v>
          </cell>
          <cell r="L61">
            <v>28329.047592619303</v>
          </cell>
          <cell r="M61">
            <v>30491.471184532747</v>
          </cell>
          <cell r="N61">
            <v>32347.889550022501</v>
          </cell>
          <cell r="O61">
            <v>33569.116156723467</v>
          </cell>
          <cell r="P61">
            <v>34569.147460122302</v>
          </cell>
          <cell r="Q61">
            <v>35163.84556946333</v>
          </cell>
          <cell r="R61">
            <v>35495.004965216714</v>
          </cell>
          <cell r="S61">
            <v>34491.769450666347</v>
          </cell>
          <cell r="T61">
            <v>35435.108806967568</v>
          </cell>
          <cell r="U61">
            <v>35645.744682853168</v>
          </cell>
          <cell r="V61">
            <v>36835.875649742578</v>
          </cell>
          <cell r="W61">
            <v>41303.954262397703</v>
          </cell>
          <cell r="X61">
            <v>40975.335548603362</v>
          </cell>
          <cell r="Y61">
            <v>39905.986874744238</v>
          </cell>
          <cell r="Z61">
            <v>38440.937298019096</v>
          </cell>
          <cell r="AA61">
            <v>36224.634104449025</v>
          </cell>
          <cell r="AB61">
            <v>33977.050617241606</v>
          </cell>
        </row>
        <row r="62">
          <cell r="D62">
            <v>2</v>
          </cell>
          <cell r="E62">
            <v>32744.281051751812</v>
          </cell>
          <cell r="F62">
            <v>31134.892123243677</v>
          </cell>
          <cell r="G62">
            <v>29838.681239404345</v>
          </cell>
          <cell r="H62">
            <v>28925.848757574851</v>
          </cell>
          <cell r="I62">
            <v>28514.04623445468</v>
          </cell>
          <cell r="J62">
            <v>28226.304012595057</v>
          </cell>
          <cell r="K62">
            <v>26968.667087382812</v>
          </cell>
          <cell r="L62">
            <v>28329.047592619303</v>
          </cell>
          <cell r="M62">
            <v>30491.471184532747</v>
          </cell>
          <cell r="N62">
            <v>32347.889550022501</v>
          </cell>
          <cell r="O62">
            <v>33569.116156723467</v>
          </cell>
          <cell r="P62">
            <v>34569.147460122302</v>
          </cell>
          <cell r="Q62">
            <v>35163.84556946333</v>
          </cell>
          <cell r="R62">
            <v>35495.004965216714</v>
          </cell>
          <cell r="S62">
            <v>34491.769450666347</v>
          </cell>
          <cell r="T62">
            <v>35435.108806967568</v>
          </cell>
          <cell r="U62">
            <v>35645.744682853168</v>
          </cell>
          <cell r="V62">
            <v>36835.875649742578</v>
          </cell>
          <cell r="W62">
            <v>41303.954262397703</v>
          </cell>
          <cell r="X62">
            <v>40975.335548603362</v>
          </cell>
          <cell r="Y62">
            <v>39905.986874744238</v>
          </cell>
          <cell r="Z62">
            <v>38440.937298019096</v>
          </cell>
          <cell r="AA62">
            <v>36224.634104449025</v>
          </cell>
          <cell r="AB62">
            <v>33977.050617241606</v>
          </cell>
        </row>
      </sheetData>
      <sheetData sheetId="30">
        <row r="15">
          <cell r="D15">
            <v>20</v>
          </cell>
          <cell r="E15">
            <v>33596.116790952416</v>
          </cell>
          <cell r="F15">
            <v>31880.419325604038</v>
          </cell>
          <cell r="G15">
            <v>30589.784771835468</v>
          </cell>
          <cell r="H15">
            <v>29652.994274272252</v>
          </cell>
          <cell r="I15">
            <v>29489.542359200928</v>
          </cell>
          <cell r="J15">
            <v>30476.381195023616</v>
          </cell>
          <cell r="K15">
            <v>30201.267778260561</v>
          </cell>
          <cell r="L15">
            <v>33691.123693377107</v>
          </cell>
          <cell r="M15">
            <v>37400.733082867329</v>
          </cell>
          <cell r="N15">
            <v>39328.505350110965</v>
          </cell>
          <cell r="O15">
            <v>41415.479939591751</v>
          </cell>
          <cell r="P15">
            <v>43123.823739258158</v>
          </cell>
          <cell r="Q15">
            <v>41943.051284473477</v>
          </cell>
          <cell r="R15">
            <v>43097.850279443868</v>
          </cell>
          <cell r="S15">
            <v>45097.052463023225</v>
          </cell>
          <cell r="T15">
            <v>45336.797402078199</v>
          </cell>
          <cell r="U15">
            <v>44587.014847895749</v>
          </cell>
          <cell r="V15">
            <v>42943.977875211691</v>
          </cell>
          <cell r="W15">
            <v>45939.189309596433</v>
          </cell>
          <cell r="X15">
            <v>46102.995314413638</v>
          </cell>
          <cell r="Y15">
            <v>44891.977688462386</v>
          </cell>
          <cell r="Z15">
            <v>42923.505348883307</v>
          </cell>
          <cell r="AA15">
            <v>39880.433955335036</v>
          </cell>
          <cell r="AB15">
            <v>36631.630486774309</v>
          </cell>
        </row>
        <row r="16">
          <cell r="D16">
            <v>5</v>
          </cell>
          <cell r="E16">
            <v>33352.599306489486</v>
          </cell>
          <cell r="F16">
            <v>31750.724428451271</v>
          </cell>
          <cell r="G16">
            <v>30492.545930376171</v>
          </cell>
          <cell r="H16">
            <v>29531.644716564773</v>
          </cell>
          <cell r="I16">
            <v>29240.804936711495</v>
          </cell>
          <cell r="J16">
            <v>29474.715713585992</v>
          </cell>
          <cell r="K16">
            <v>28715.100011067978</v>
          </cell>
          <cell r="L16">
            <v>31552.118869033424</v>
          </cell>
          <cell r="M16">
            <v>35060.193140076051</v>
          </cell>
          <cell r="N16">
            <v>37383.606804589872</v>
          </cell>
          <cell r="O16">
            <v>39211.548962148852</v>
          </cell>
          <cell r="P16">
            <v>40200.716964981817</v>
          </cell>
          <cell r="Q16">
            <v>39849.218729160784</v>
          </cell>
          <cell r="R16">
            <v>39005.479418521863</v>
          </cell>
          <cell r="S16">
            <v>39189.547017677127</v>
          </cell>
          <cell r="T16">
            <v>39325.488558354271</v>
          </cell>
          <cell r="U16">
            <v>38935.779679736057</v>
          </cell>
          <cell r="V16">
            <v>39076.824842763323</v>
          </cell>
          <cell r="W16">
            <v>43408.309926425965</v>
          </cell>
          <cell r="X16">
            <v>43719.157260086671</v>
          </cell>
          <cell r="Y16">
            <v>42419.605396826679</v>
          </cell>
          <cell r="Z16">
            <v>40700.701665273264</v>
          </cell>
          <cell r="AA16">
            <v>38466.924536664694</v>
          </cell>
          <cell r="AB16">
            <v>35989.757604834645</v>
          </cell>
        </row>
        <row r="17">
          <cell r="D17">
            <v>4</v>
          </cell>
          <cell r="E17">
            <v>33573.650986334178</v>
          </cell>
          <cell r="F17">
            <v>31924.172091984612</v>
          </cell>
          <cell r="G17">
            <v>30594.104121832785</v>
          </cell>
          <cell r="H17">
            <v>29618.282726224261</v>
          </cell>
          <cell r="I17">
            <v>29138.007995392254</v>
          </cell>
          <cell r="J17">
            <v>28985.161023069817</v>
          </cell>
          <cell r="K17">
            <v>27423.536882573848</v>
          </cell>
          <cell r="L17">
            <v>28646.970122818653</v>
          </cell>
          <cell r="M17">
            <v>30608.0665492267</v>
          </cell>
          <cell r="N17">
            <v>32118.043047185787</v>
          </cell>
          <cell r="O17">
            <v>33562.663386773791</v>
          </cell>
          <cell r="P17">
            <v>34731.302850982574</v>
          </cell>
          <cell r="Q17">
            <v>35527.797345529929</v>
          </cell>
          <cell r="R17">
            <v>35623.63778721069</v>
          </cell>
          <cell r="S17">
            <v>35641.687852167131</v>
          </cell>
          <cell r="T17">
            <v>35764.31223936077</v>
          </cell>
          <cell r="U17">
            <v>35782.485874609614</v>
          </cell>
          <cell r="V17">
            <v>36160.3580734118</v>
          </cell>
          <cell r="W17">
            <v>40881.022884002232</v>
          </cell>
          <cell r="X17">
            <v>42051.995287621605</v>
          </cell>
          <cell r="Y17">
            <v>41607.063691705822</v>
          </cell>
          <cell r="Z17">
            <v>40238.400825929799</v>
          </cell>
          <cell r="AA17">
            <v>37787.321783390282</v>
          </cell>
          <cell r="AB17">
            <v>34863.314517812949</v>
          </cell>
        </row>
        <row r="18">
          <cell r="D18">
            <v>2</v>
          </cell>
          <cell r="E18">
            <v>33573.650986334178</v>
          </cell>
          <cell r="F18">
            <v>31924.172091984612</v>
          </cell>
          <cell r="G18">
            <v>30594.104121832785</v>
          </cell>
          <cell r="H18">
            <v>29618.282726224261</v>
          </cell>
          <cell r="I18">
            <v>29138.007995392254</v>
          </cell>
          <cell r="J18">
            <v>28985.161023069817</v>
          </cell>
          <cell r="K18">
            <v>27423.536882573848</v>
          </cell>
          <cell r="L18">
            <v>28646.970122818653</v>
          </cell>
          <cell r="M18">
            <v>30608.0665492267</v>
          </cell>
          <cell r="N18">
            <v>32118.043047185787</v>
          </cell>
          <cell r="O18">
            <v>33562.663386773791</v>
          </cell>
          <cell r="P18">
            <v>34731.302850982574</v>
          </cell>
          <cell r="Q18">
            <v>35527.797345529929</v>
          </cell>
          <cell r="R18">
            <v>35623.63778721069</v>
          </cell>
          <cell r="S18">
            <v>35641.687852167131</v>
          </cell>
          <cell r="T18">
            <v>35764.31223936077</v>
          </cell>
          <cell r="U18">
            <v>35782.485874609614</v>
          </cell>
          <cell r="V18">
            <v>36160.3580734118</v>
          </cell>
          <cell r="W18">
            <v>40881.022884002232</v>
          </cell>
          <cell r="X18">
            <v>42051.995287621605</v>
          </cell>
          <cell r="Y18">
            <v>41607.063691705822</v>
          </cell>
          <cell r="Z18">
            <v>40238.400825929799</v>
          </cell>
          <cell r="AA18">
            <v>37787.321783390282</v>
          </cell>
          <cell r="AB18">
            <v>34863.314517812949</v>
          </cell>
        </row>
        <row r="19">
          <cell r="D19">
            <v>20</v>
          </cell>
          <cell r="E19">
            <v>35377.292869618992</v>
          </cell>
          <cell r="F19">
            <v>33640.64190556942</v>
          </cell>
          <cell r="G19">
            <v>32254.27513951579</v>
          </cell>
          <cell r="H19">
            <v>31249.282246688272</v>
          </cell>
          <cell r="I19">
            <v>31214.276916324987</v>
          </cell>
          <cell r="J19">
            <v>33090.443927195207</v>
          </cell>
          <cell r="K19">
            <v>32771.86569521507</v>
          </cell>
          <cell r="L19">
            <v>35961.648374924822</v>
          </cell>
          <cell r="M19">
            <v>39470.887179820544</v>
          </cell>
          <cell r="N19">
            <v>41173.619274188415</v>
          </cell>
          <cell r="O19">
            <v>43230.251697905922</v>
          </cell>
          <cell r="P19">
            <v>44856.61525844186</v>
          </cell>
          <cell r="Q19">
            <v>43356.284365783868</v>
          </cell>
          <cell r="R19">
            <v>44914.018303789999</v>
          </cell>
          <cell r="S19">
            <v>47416.714386393964</v>
          </cell>
          <cell r="T19">
            <v>47804.425729385439</v>
          </cell>
          <cell r="U19">
            <v>47090.949988141314</v>
          </cell>
          <cell r="V19">
            <v>45170.956053320318</v>
          </cell>
          <cell r="W19">
            <v>47848.544139436228</v>
          </cell>
          <cell r="X19">
            <v>48525.103162675929</v>
          </cell>
          <cell r="Y19">
            <v>47478.978304233315</v>
          </cell>
          <cell r="Z19">
            <v>45385.138088600041</v>
          </cell>
          <cell r="AA19">
            <v>41810.552331880193</v>
          </cell>
          <cell r="AB19">
            <v>38266.312593300521</v>
          </cell>
        </row>
        <row r="20">
          <cell r="D20">
            <v>4</v>
          </cell>
          <cell r="E20">
            <v>35865.187222643632</v>
          </cell>
          <cell r="F20">
            <v>33925.976845126352</v>
          </cell>
          <cell r="G20">
            <v>32661.335924753297</v>
          </cell>
          <cell r="H20">
            <v>31459.215440979318</v>
          </cell>
          <cell r="I20">
            <v>31080.518114994185</v>
          </cell>
          <cell r="J20">
            <v>31441.667881579811</v>
          </cell>
          <cell r="K20">
            <v>30884.123945118659</v>
          </cell>
          <cell r="L20">
            <v>33737.985485132005</v>
          </cell>
          <cell r="M20">
            <v>37231.427502077539</v>
          </cell>
          <cell r="N20">
            <v>39306.17582469622</v>
          </cell>
          <cell r="O20">
            <v>41213.168847432979</v>
          </cell>
          <cell r="P20">
            <v>42171.761041448102</v>
          </cell>
          <cell r="Q20">
            <v>41499.05467717049</v>
          </cell>
          <cell r="R20">
            <v>40961.010357033789</v>
          </cell>
          <cell r="S20">
            <v>41149.481229867684</v>
          </cell>
          <cell r="T20">
            <v>41267.254529527621</v>
          </cell>
          <cell r="U20">
            <v>40977.193571878321</v>
          </cell>
          <cell r="V20">
            <v>40856.797378204872</v>
          </cell>
          <cell r="W20">
            <v>45098.426095336945</v>
          </cell>
          <cell r="X20">
            <v>45751.819702161702</v>
          </cell>
          <cell r="Y20">
            <v>44682.243643147616</v>
          </cell>
          <cell r="Z20">
            <v>42980.012907619719</v>
          </cell>
          <cell r="AA20">
            <v>40732.877314745579</v>
          </cell>
          <cell r="AB20">
            <v>38057.094683778159</v>
          </cell>
        </row>
        <row r="21">
          <cell r="D21">
            <v>4</v>
          </cell>
          <cell r="E21">
            <v>35765.331421730043</v>
          </cell>
          <cell r="F21">
            <v>34037.47697645615</v>
          </cell>
          <cell r="G21">
            <v>32642.287311550866</v>
          </cell>
          <cell r="H21">
            <v>31606.364741401972</v>
          </cell>
          <cell r="I21">
            <v>31073.097688151065</v>
          </cell>
          <cell r="J21">
            <v>31038.486547569064</v>
          </cell>
          <cell r="K21">
            <v>29409.644633852637</v>
          </cell>
          <cell r="L21">
            <v>30678.075629205428</v>
          </cell>
          <cell r="M21">
            <v>32613.35853551386</v>
          </cell>
          <cell r="N21">
            <v>33984.356502870942</v>
          </cell>
          <cell r="O21">
            <v>35380.176129486652</v>
          </cell>
          <cell r="P21">
            <v>36676.704310199813</v>
          </cell>
          <cell r="Q21">
            <v>37537.666522212778</v>
          </cell>
          <cell r="R21">
            <v>37760.878375065193</v>
          </cell>
          <cell r="S21">
            <v>38137.075776661841</v>
          </cell>
          <cell r="T21">
            <v>38432.821846780716</v>
          </cell>
          <cell r="U21">
            <v>38308.876708509619</v>
          </cell>
          <cell r="V21">
            <v>38073.595970893068</v>
          </cell>
          <cell r="W21">
            <v>43029.561079248342</v>
          </cell>
          <cell r="X21">
            <v>44814.141275159018</v>
          </cell>
          <cell r="Y21">
            <v>44797.509805117043</v>
          </cell>
          <cell r="Z21">
            <v>43733.796786689229</v>
          </cell>
          <cell r="AA21">
            <v>40183.972853170235</v>
          </cell>
          <cell r="AB21">
            <v>37053.055939063626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21</v>
          </cell>
          <cell r="E23">
            <v>32998.831634777089</v>
          </cell>
          <cell r="F23">
            <v>31366.579795602222</v>
          </cell>
          <cell r="G23">
            <v>30149.015355162854</v>
          </cell>
          <cell r="H23">
            <v>29349.845473970712</v>
          </cell>
          <cell r="I23">
            <v>29484.534895951358</v>
          </cell>
          <cell r="J23">
            <v>31058.932277039385</v>
          </cell>
          <cell r="K23">
            <v>31061.426502334627</v>
          </cell>
          <cell r="L23">
            <v>34429.077469601812</v>
          </cell>
          <cell r="M23">
            <v>37749.888564947512</v>
          </cell>
          <cell r="N23">
            <v>39471.662863413476</v>
          </cell>
          <cell r="O23">
            <v>41442.911651677001</v>
          </cell>
          <cell r="P23">
            <v>42735.435924801575</v>
          </cell>
          <cell r="Q23">
            <v>40802.017652505725</v>
          </cell>
          <cell r="R23">
            <v>42147.791883842634</v>
          </cell>
          <cell r="S23">
            <v>44463.881036422026</v>
          </cell>
          <cell r="T23">
            <v>44953.121774565763</v>
          </cell>
          <cell r="U23">
            <v>44462.245874410939</v>
          </cell>
          <cell r="V23">
            <v>42899.845829375336</v>
          </cell>
          <cell r="W23">
            <v>45523.074334340919</v>
          </cell>
          <cell r="X23">
            <v>45930.42806285766</v>
          </cell>
          <cell r="Y23">
            <v>44585.325613059322</v>
          </cell>
          <cell r="Z23">
            <v>42361.073862293932</v>
          </cell>
          <cell r="AA23">
            <v>39018.656482484308</v>
          </cell>
          <cell r="AB23">
            <v>35625.426054800519</v>
          </cell>
        </row>
        <row r="24">
          <cell r="D24">
            <v>4</v>
          </cell>
          <cell r="E24">
            <v>33192.015829347874</v>
          </cell>
          <cell r="F24">
            <v>31554.510185213698</v>
          </cell>
          <cell r="G24">
            <v>30262.7677621439</v>
          </cell>
          <cell r="H24">
            <v>29407.729085340226</v>
          </cell>
          <cell r="I24">
            <v>29191.697311092987</v>
          </cell>
          <cell r="J24">
            <v>29524.114278343241</v>
          </cell>
          <cell r="K24">
            <v>29382.195040581657</v>
          </cell>
          <cell r="L24">
            <v>32472.226436545134</v>
          </cell>
          <cell r="M24">
            <v>36067.126845595354</v>
          </cell>
          <cell r="N24">
            <v>38158.82291702136</v>
          </cell>
          <cell r="O24">
            <v>40035.197734567824</v>
          </cell>
          <cell r="P24">
            <v>41151.329508975592</v>
          </cell>
          <cell r="Q24">
            <v>40444.054476768979</v>
          </cell>
          <cell r="R24">
            <v>39904.79834043068</v>
          </cell>
          <cell r="S24">
            <v>40220.858531207217</v>
          </cell>
          <cell r="T24">
            <v>40273.538579102307</v>
          </cell>
          <cell r="U24">
            <v>39916.353881952287</v>
          </cell>
          <cell r="V24">
            <v>39670.936920916254</v>
          </cell>
          <cell r="W24">
            <v>43807.820256789229</v>
          </cell>
          <cell r="X24">
            <v>44514.109233747913</v>
          </cell>
          <cell r="Y24">
            <v>43276.89468750119</v>
          </cell>
          <cell r="Z24">
            <v>41591.232844541752</v>
          </cell>
          <cell r="AA24">
            <v>39246.186417188845</v>
          </cell>
          <cell r="AB24">
            <v>36674.7637582815</v>
          </cell>
        </row>
        <row r="25">
          <cell r="D25">
            <v>5</v>
          </cell>
          <cell r="E25">
            <v>34081.949332829208</v>
          </cell>
          <cell r="F25">
            <v>32327.637524934529</v>
          </cell>
          <cell r="G25">
            <v>30964.508033719187</v>
          </cell>
          <cell r="H25">
            <v>29987.632169516815</v>
          </cell>
          <cell r="I25">
            <v>29496.576127195825</v>
          </cell>
          <cell r="J25">
            <v>29275.943819507109</v>
          </cell>
          <cell r="K25">
            <v>28169.783922131854</v>
          </cell>
          <cell r="L25">
            <v>29661.658804916417</v>
          </cell>
          <cell r="M25">
            <v>31757.643119291064</v>
          </cell>
          <cell r="N25">
            <v>33274.859542618462</v>
          </cell>
          <cell r="O25">
            <v>34630.991452705981</v>
          </cell>
          <cell r="P25">
            <v>35799.450526899222</v>
          </cell>
          <cell r="Q25">
            <v>36541.287205410103</v>
          </cell>
          <cell r="R25">
            <v>36674.333003655905</v>
          </cell>
          <cell r="S25">
            <v>36815.110437566444</v>
          </cell>
          <cell r="T25">
            <v>37217.68170558069</v>
          </cell>
          <cell r="U25">
            <v>37078.359423729489</v>
          </cell>
          <cell r="V25">
            <v>37261.909549146338</v>
          </cell>
          <cell r="W25">
            <v>41658.739419052748</v>
          </cell>
          <cell r="X25">
            <v>43178.966100610865</v>
          </cell>
          <cell r="Y25">
            <v>43018.930576689425</v>
          </cell>
          <cell r="Z25">
            <v>41756.844379997892</v>
          </cell>
          <cell r="AA25">
            <v>39017.137867496705</v>
          </cell>
          <cell r="AB25">
            <v>35865.183576994088</v>
          </cell>
        </row>
        <row r="26">
          <cell r="D26">
            <v>1</v>
          </cell>
          <cell r="E26">
            <v>34081.949332829208</v>
          </cell>
          <cell r="F26">
            <v>32327.637524934529</v>
          </cell>
          <cell r="G26">
            <v>30964.508033719187</v>
          </cell>
          <cell r="H26">
            <v>29987.632169516815</v>
          </cell>
          <cell r="I26">
            <v>29496.576127195825</v>
          </cell>
          <cell r="J26">
            <v>29275.943819507109</v>
          </cell>
          <cell r="K26">
            <v>28169.783922131854</v>
          </cell>
          <cell r="L26">
            <v>29661.658804916417</v>
          </cell>
          <cell r="M26">
            <v>31757.643119291064</v>
          </cell>
          <cell r="N26">
            <v>33274.859542618462</v>
          </cell>
          <cell r="O26">
            <v>34630.991452705981</v>
          </cell>
          <cell r="P26">
            <v>35799.450526899222</v>
          </cell>
          <cell r="Q26">
            <v>36541.287205410103</v>
          </cell>
          <cell r="R26">
            <v>36674.333003655905</v>
          </cell>
          <cell r="S26">
            <v>36815.110437566444</v>
          </cell>
          <cell r="T26">
            <v>37217.68170558069</v>
          </cell>
          <cell r="U26">
            <v>37078.359423729489</v>
          </cell>
          <cell r="V26">
            <v>37261.909549146338</v>
          </cell>
          <cell r="W26">
            <v>41658.739419052748</v>
          </cell>
          <cell r="X26">
            <v>43178.966100610865</v>
          </cell>
          <cell r="Y26">
            <v>43018.930576689425</v>
          </cell>
          <cell r="Z26">
            <v>41756.844379997892</v>
          </cell>
          <cell r="AA26">
            <v>39017.137867496705</v>
          </cell>
          <cell r="AB26">
            <v>35865.183576994088</v>
          </cell>
        </row>
        <row r="27">
          <cell r="D27">
            <v>20</v>
          </cell>
          <cell r="E27">
            <v>32308.436806501413</v>
          </cell>
          <cell r="F27">
            <v>30699.400464159604</v>
          </cell>
          <cell r="G27">
            <v>29522.448100638801</v>
          </cell>
          <cell r="H27">
            <v>28720.818596345536</v>
          </cell>
          <cell r="I27">
            <v>28843.620243923953</v>
          </cell>
          <cell r="J27">
            <v>29767.3437488651</v>
          </cell>
          <cell r="K27">
            <v>30096.580174771512</v>
          </cell>
          <cell r="L27">
            <v>33524.405434149689</v>
          </cell>
          <cell r="M27">
            <v>37053.019488039645</v>
          </cell>
          <cell r="N27">
            <v>38683.316279473467</v>
          </cell>
          <cell r="O27">
            <v>40498.8454136726</v>
          </cell>
          <cell r="P27">
            <v>42035.009413064887</v>
          </cell>
          <cell r="Q27">
            <v>40387.962724443263</v>
          </cell>
          <cell r="R27">
            <v>41575.345644904926</v>
          </cell>
          <cell r="S27">
            <v>43887.792092616182</v>
          </cell>
          <cell r="T27">
            <v>44168.642150644504</v>
          </cell>
          <cell r="U27">
            <v>43499.475843476306</v>
          </cell>
          <cell r="V27">
            <v>42369.865669932093</v>
          </cell>
          <cell r="W27">
            <v>44987.287272465168</v>
          </cell>
          <cell r="X27">
            <v>45123.894696244846</v>
          </cell>
          <cell r="Y27">
            <v>43773.676921034006</v>
          </cell>
          <cell r="Z27">
            <v>41670.86734908948</v>
          </cell>
          <cell r="AA27">
            <v>38512.828888947923</v>
          </cell>
          <cell r="AB27">
            <v>35064.649937191003</v>
          </cell>
        </row>
        <row r="28">
          <cell r="D28">
            <v>4</v>
          </cell>
          <cell r="E28">
            <v>31982.195230606623</v>
          </cell>
          <cell r="F28">
            <v>30314.901163992552</v>
          </cell>
          <cell r="G28">
            <v>29076.459971996108</v>
          </cell>
          <cell r="H28">
            <v>28230.713934958014</v>
          </cell>
          <cell r="I28">
            <v>28017.093879144053</v>
          </cell>
          <cell r="J28">
            <v>28008.59463459481</v>
          </cell>
          <cell r="K28">
            <v>27942.256754459064</v>
          </cell>
          <cell r="L28">
            <v>30800.095413256284</v>
          </cell>
          <cell r="M28">
            <v>34126.318835572172</v>
          </cell>
          <cell r="N28">
            <v>35907.628190746254</v>
          </cell>
          <cell r="O28">
            <v>37651.958186682961</v>
          </cell>
          <cell r="P28">
            <v>38736.674026182067</v>
          </cell>
          <cell r="Q28">
            <v>38232.048197775352</v>
          </cell>
          <cell r="R28">
            <v>37820.54031840415</v>
          </cell>
          <cell r="S28">
            <v>38031.086772809227</v>
          </cell>
          <cell r="T28">
            <v>38103.362508298342</v>
          </cell>
          <cell r="U28">
            <v>37888.677996098093</v>
          </cell>
          <cell r="V28">
            <v>38120.632361586555</v>
          </cell>
          <cell r="W28">
            <v>42338.186739113444</v>
          </cell>
          <cell r="X28">
            <v>42429.741472913367</v>
          </cell>
          <cell r="Y28">
            <v>41253.306506072564</v>
          </cell>
          <cell r="Z28">
            <v>39521.895020594653</v>
          </cell>
          <cell r="AA28">
            <v>37334.166110704798</v>
          </cell>
          <cell r="AB28">
            <v>34834.157066383355</v>
          </cell>
        </row>
        <row r="29">
          <cell r="D29">
            <v>4</v>
          </cell>
          <cell r="E29">
            <v>32606.915955441786</v>
          </cell>
          <cell r="F29">
            <v>31002.754587094991</v>
          </cell>
          <cell r="G29">
            <v>29676.231269786957</v>
          </cell>
          <cell r="H29">
            <v>28768.742496643205</v>
          </cell>
          <cell r="I29">
            <v>28386.310945663554</v>
          </cell>
          <cell r="J29">
            <v>27882.13498461368</v>
          </cell>
          <cell r="K29">
            <v>27297.314311461752</v>
          </cell>
          <cell r="L29">
            <v>28807.140693554535</v>
          </cell>
          <cell r="M29">
            <v>30407.703451177389</v>
          </cell>
          <cell r="N29">
            <v>31836.131732801001</v>
          </cell>
          <cell r="O29">
            <v>33164.657304384353</v>
          </cell>
          <cell r="P29">
            <v>34218.6778180166</v>
          </cell>
          <cell r="Q29">
            <v>34808.083135012326</v>
          </cell>
          <cell r="R29">
            <v>34970.457359713713</v>
          </cell>
          <cell r="S29">
            <v>35184.306450841359</v>
          </cell>
          <cell r="T29">
            <v>35499.421963705157</v>
          </cell>
          <cell r="U29">
            <v>35626.734425692441</v>
          </cell>
          <cell r="V29">
            <v>36063.200591640147</v>
          </cell>
          <cell r="W29">
            <v>40063.116295177089</v>
          </cell>
          <cell r="X29">
            <v>41274.354785775125</v>
          </cell>
          <cell r="Y29">
            <v>41138.616252411884</v>
          </cell>
          <cell r="Z29">
            <v>40128.278810708733</v>
          </cell>
          <cell r="AA29">
            <v>37553.51401814611</v>
          </cell>
          <cell r="AB29">
            <v>34500.304627326565</v>
          </cell>
        </row>
        <row r="30">
          <cell r="D30">
            <v>2</v>
          </cell>
          <cell r="E30">
            <v>32606.915955441786</v>
          </cell>
          <cell r="F30">
            <v>31002.754587094991</v>
          </cell>
          <cell r="G30">
            <v>29676.231269786957</v>
          </cell>
          <cell r="H30">
            <v>28768.742496643205</v>
          </cell>
          <cell r="I30">
            <v>28386.310945663554</v>
          </cell>
          <cell r="J30">
            <v>27882.13498461368</v>
          </cell>
          <cell r="K30">
            <v>27297.314311461752</v>
          </cell>
          <cell r="L30">
            <v>28807.140693554535</v>
          </cell>
          <cell r="M30">
            <v>30407.703451177389</v>
          </cell>
          <cell r="N30">
            <v>31836.131732801001</v>
          </cell>
          <cell r="O30">
            <v>33164.657304384353</v>
          </cell>
          <cell r="P30">
            <v>34218.6778180166</v>
          </cell>
          <cell r="Q30">
            <v>34808.083135012326</v>
          </cell>
          <cell r="R30">
            <v>34970.457359713713</v>
          </cell>
          <cell r="S30">
            <v>35184.306450841359</v>
          </cell>
          <cell r="T30">
            <v>35499.421963705157</v>
          </cell>
          <cell r="U30">
            <v>35626.734425692441</v>
          </cell>
          <cell r="V30">
            <v>36063.200591640147</v>
          </cell>
          <cell r="W30">
            <v>40063.116295177089</v>
          </cell>
          <cell r="X30">
            <v>41274.354785775125</v>
          </cell>
          <cell r="Y30">
            <v>41138.616252411884</v>
          </cell>
          <cell r="Z30">
            <v>40128.278810708733</v>
          </cell>
          <cell r="AA30">
            <v>37553.51401814611</v>
          </cell>
          <cell r="AB30">
            <v>34500.304627326565</v>
          </cell>
        </row>
        <row r="31">
          <cell r="D31">
            <v>19</v>
          </cell>
          <cell r="E31">
            <v>31752.406524587186</v>
          </cell>
          <cell r="F31">
            <v>30244.773470305754</v>
          </cell>
          <cell r="G31">
            <v>29103.676428629889</v>
          </cell>
          <cell r="H31">
            <v>28322.666543697433</v>
          </cell>
          <cell r="I31">
            <v>28461.470918114326</v>
          </cell>
          <cell r="J31">
            <v>29249.751476183807</v>
          </cell>
          <cell r="K31">
            <v>29913.219771793083</v>
          </cell>
          <cell r="L31">
            <v>33408.939912787566</v>
          </cell>
          <cell r="M31">
            <v>37003.25521853775</v>
          </cell>
          <cell r="N31">
            <v>38686.43607882053</v>
          </cell>
          <cell r="O31">
            <v>40693.545199793931</v>
          </cell>
          <cell r="P31">
            <v>42004.449719526172</v>
          </cell>
          <cell r="Q31">
            <v>40298.05887419363</v>
          </cell>
          <cell r="R31">
            <v>41402.460366251187</v>
          </cell>
          <cell r="S31">
            <v>43549.94338867769</v>
          </cell>
          <cell r="T31">
            <v>43764.912949417427</v>
          </cell>
          <cell r="U31">
            <v>43138.687810382937</v>
          </cell>
          <cell r="V31">
            <v>41729.114018381384</v>
          </cell>
          <cell r="W31">
            <v>44325.073681123133</v>
          </cell>
          <cell r="X31">
            <v>44500.742475151303</v>
          </cell>
          <cell r="Y31">
            <v>43128.222565129021</v>
          </cell>
          <cell r="Z31">
            <v>40848.618802258796</v>
          </cell>
          <cell r="AA31">
            <v>37637.575914933681</v>
          </cell>
          <cell r="AB31">
            <v>34357.27185748468</v>
          </cell>
        </row>
        <row r="32">
          <cell r="D32">
            <v>5</v>
          </cell>
          <cell r="E32">
            <v>32303.483127232794</v>
          </cell>
          <cell r="F32">
            <v>30424.165678683825</v>
          </cell>
          <cell r="G32">
            <v>29152.955171175327</v>
          </cell>
          <cell r="H32">
            <v>28334.153008014142</v>
          </cell>
          <cell r="I32">
            <v>28184.577707367924</v>
          </cell>
          <cell r="J32">
            <v>27878.189455847365</v>
          </cell>
          <cell r="K32">
            <v>28146.730411821227</v>
          </cell>
          <cell r="L32">
            <v>31369.196909776259</v>
          </cell>
          <cell r="M32">
            <v>34963.777262551019</v>
          </cell>
          <cell r="N32">
            <v>36980.854808001372</v>
          </cell>
          <cell r="O32">
            <v>38519.597858499772</v>
          </cell>
          <cell r="P32">
            <v>39551.438568426929</v>
          </cell>
          <cell r="Q32">
            <v>38743.111965484401</v>
          </cell>
          <cell r="R32">
            <v>38207.256920949672</v>
          </cell>
          <cell r="S32">
            <v>38487.216918424645</v>
          </cell>
          <cell r="T32">
            <v>38557.382851158764</v>
          </cell>
          <cell r="U32">
            <v>38338.590882451317</v>
          </cell>
          <cell r="V32">
            <v>38617.142624359229</v>
          </cell>
          <cell r="W32">
            <v>42729.348775067745</v>
          </cell>
          <cell r="X32">
            <v>43214.293685268734</v>
          </cell>
          <cell r="Y32">
            <v>41935.569502080303</v>
          </cell>
          <cell r="Z32">
            <v>40045.894789934886</v>
          </cell>
          <cell r="AA32">
            <v>37856.10391317842</v>
          </cell>
          <cell r="AB32">
            <v>35316.355613179177</v>
          </cell>
        </row>
        <row r="33">
          <cell r="D33">
            <v>5</v>
          </cell>
          <cell r="E33">
            <v>32684.805979769379</v>
          </cell>
          <cell r="F33">
            <v>31140.436018994937</v>
          </cell>
          <cell r="G33">
            <v>29910.048295683406</v>
          </cell>
          <cell r="H33">
            <v>29027.576524517044</v>
          </cell>
          <cell r="I33">
            <v>28651.515505736308</v>
          </cell>
          <cell r="J33">
            <v>27787.464490258219</v>
          </cell>
          <cell r="K33">
            <v>27368.162441441182</v>
          </cell>
          <cell r="L33">
            <v>29001.399453632628</v>
          </cell>
          <cell r="M33">
            <v>31222.501671838403</v>
          </cell>
          <cell r="N33">
            <v>32978.668919210126</v>
          </cell>
          <cell r="O33">
            <v>34181.764297371206</v>
          </cell>
          <cell r="P33">
            <v>35078.170753430291</v>
          </cell>
          <cell r="Q33">
            <v>35589.139540389937</v>
          </cell>
          <cell r="R33">
            <v>35697.496288917573</v>
          </cell>
          <cell r="S33">
            <v>35846.360429703273</v>
          </cell>
          <cell r="T33">
            <v>36241.573671619604</v>
          </cell>
          <cell r="U33">
            <v>36138.049997312672</v>
          </cell>
          <cell r="V33">
            <v>36715.966786000972</v>
          </cell>
          <cell r="W33">
            <v>40977.447829655626</v>
          </cell>
          <cell r="X33">
            <v>42103.214677489246</v>
          </cell>
          <cell r="Y33">
            <v>41874.233492109233</v>
          </cell>
          <cell r="Z33">
            <v>40530.093708492175</v>
          </cell>
          <cell r="AA33">
            <v>37817.21074405071</v>
          </cell>
          <cell r="AB33">
            <v>34386.999736054924</v>
          </cell>
        </row>
        <row r="34">
          <cell r="D34">
            <v>2</v>
          </cell>
          <cell r="E34">
            <v>32684.805979769379</v>
          </cell>
          <cell r="F34">
            <v>31140.436018994937</v>
          </cell>
          <cell r="G34">
            <v>29910.048295683406</v>
          </cell>
          <cell r="H34">
            <v>29027.576524517044</v>
          </cell>
          <cell r="I34">
            <v>28651.515505736308</v>
          </cell>
          <cell r="J34">
            <v>27787.464490258219</v>
          </cell>
          <cell r="K34">
            <v>27368.162441441182</v>
          </cell>
          <cell r="L34">
            <v>29001.399453632628</v>
          </cell>
          <cell r="M34">
            <v>31222.501671838403</v>
          </cell>
          <cell r="N34">
            <v>32978.668919210126</v>
          </cell>
          <cell r="O34">
            <v>34181.764297371206</v>
          </cell>
          <cell r="P34">
            <v>35078.170753430291</v>
          </cell>
          <cell r="Q34">
            <v>35589.139540389937</v>
          </cell>
          <cell r="R34">
            <v>35697.496288917573</v>
          </cell>
          <cell r="S34">
            <v>35846.360429703273</v>
          </cell>
          <cell r="T34">
            <v>36241.573671619604</v>
          </cell>
          <cell r="U34">
            <v>36138.049997312672</v>
          </cell>
          <cell r="V34">
            <v>36715.966786000972</v>
          </cell>
          <cell r="W34">
            <v>40977.447829655626</v>
          </cell>
          <cell r="X34">
            <v>42103.214677489246</v>
          </cell>
          <cell r="Y34">
            <v>41874.233492109233</v>
          </cell>
          <cell r="Z34">
            <v>40530.093708492175</v>
          </cell>
          <cell r="AA34">
            <v>37817.21074405071</v>
          </cell>
          <cell r="AB34">
            <v>34386.999736054924</v>
          </cell>
        </row>
        <row r="35">
          <cell r="D35">
            <v>19</v>
          </cell>
          <cell r="E35">
            <v>31834.455378840081</v>
          </cell>
          <cell r="F35">
            <v>30235.754025160724</v>
          </cell>
          <cell r="G35">
            <v>29124.794284286938</v>
          </cell>
          <cell r="H35">
            <v>28255.535956578606</v>
          </cell>
          <cell r="I35">
            <v>28342.569156874884</v>
          </cell>
          <cell r="J35">
            <v>28732.805696345957</v>
          </cell>
          <cell r="K35">
            <v>29353.214898642411</v>
          </cell>
          <cell r="L35">
            <v>33049.553770577353</v>
          </cell>
          <cell r="M35">
            <v>36647.785410254226</v>
          </cell>
          <cell r="N35">
            <v>38429.013537746818</v>
          </cell>
          <cell r="O35">
            <v>40489.660570498258</v>
          </cell>
          <cell r="P35">
            <v>41844.102894348958</v>
          </cell>
          <cell r="Q35">
            <v>40356.417596113155</v>
          </cell>
          <cell r="R35">
            <v>41241.604637459495</v>
          </cell>
          <cell r="S35">
            <v>43269.433898845862</v>
          </cell>
          <cell r="T35">
            <v>43509.932754648289</v>
          </cell>
          <cell r="U35">
            <v>43077.329797989441</v>
          </cell>
          <cell r="V35">
            <v>41731.643388631557</v>
          </cell>
          <cell r="W35">
            <v>44167.401981571747</v>
          </cell>
          <cell r="X35">
            <v>44727.023280877766</v>
          </cell>
          <cell r="Y35">
            <v>43265.685388026948</v>
          </cell>
          <cell r="Z35">
            <v>41048.028185048192</v>
          </cell>
          <cell r="AA35">
            <v>37748.18635418624</v>
          </cell>
          <cell r="AB35">
            <v>34420.50738160374</v>
          </cell>
        </row>
        <row r="36">
          <cell r="D36">
            <v>4</v>
          </cell>
          <cell r="E36">
            <v>31912.71975442666</v>
          </cell>
          <cell r="F36">
            <v>30345.118343052607</v>
          </cell>
          <cell r="G36">
            <v>29180.205558735455</v>
          </cell>
          <cell r="H36">
            <v>28380.692697295952</v>
          </cell>
          <cell r="I36">
            <v>28240.46848644429</v>
          </cell>
          <cell r="J36">
            <v>27883.243921743124</v>
          </cell>
          <cell r="K36">
            <v>28156.635002718322</v>
          </cell>
          <cell r="L36">
            <v>31404.973797208091</v>
          </cell>
          <cell r="M36">
            <v>34969.661355788878</v>
          </cell>
          <cell r="N36">
            <v>37005.284940569371</v>
          </cell>
          <cell r="O36">
            <v>38749.628505019202</v>
          </cell>
          <cell r="P36">
            <v>39806.095577389147</v>
          </cell>
          <cell r="Q36">
            <v>39079.019155554022</v>
          </cell>
          <cell r="R36">
            <v>38293.34964095529</v>
          </cell>
          <cell r="S36">
            <v>38412.485012497418</v>
          </cell>
          <cell r="T36">
            <v>38437.084037087719</v>
          </cell>
          <cell r="U36">
            <v>37990.303204927979</v>
          </cell>
          <cell r="V36">
            <v>38143.514837245857</v>
          </cell>
          <cell r="W36">
            <v>41439.934323649417</v>
          </cell>
          <cell r="X36">
            <v>42309.244879053404</v>
          </cell>
          <cell r="Y36">
            <v>41094.443165567594</v>
          </cell>
          <cell r="Z36">
            <v>39044.032504426148</v>
          </cell>
          <cell r="AA36">
            <v>36661.73801714091</v>
          </cell>
          <cell r="AB36">
            <v>34199.726608160592</v>
          </cell>
        </row>
        <row r="37">
          <cell r="D37">
            <v>4</v>
          </cell>
          <cell r="E37">
            <v>32394.814555724864</v>
          </cell>
          <cell r="F37">
            <v>30754.039480013882</v>
          </cell>
          <cell r="G37">
            <v>29479.587260982054</v>
          </cell>
          <cell r="H37">
            <v>28641.919075047714</v>
          </cell>
          <cell r="I37">
            <v>28315.204206337508</v>
          </cell>
          <cell r="J37">
            <v>27425.653408983366</v>
          </cell>
          <cell r="K37">
            <v>26822.947268260374</v>
          </cell>
          <cell r="L37">
            <v>28293.549723479235</v>
          </cell>
          <cell r="M37">
            <v>30232.336030565202</v>
          </cell>
          <cell r="N37">
            <v>31853.65265131295</v>
          </cell>
          <cell r="O37">
            <v>33001.051347356537</v>
          </cell>
          <cell r="P37">
            <v>33913.405343459228</v>
          </cell>
          <cell r="Q37">
            <v>34626.876215846496</v>
          </cell>
          <cell r="R37">
            <v>34562.547333773837</v>
          </cell>
          <cell r="S37">
            <v>34681.763973664267</v>
          </cell>
          <cell r="T37">
            <v>34963.432014755919</v>
          </cell>
          <cell r="U37">
            <v>35019.507571211492</v>
          </cell>
          <cell r="V37">
            <v>35417.542380495252</v>
          </cell>
          <cell r="W37">
            <v>39489.214971044552</v>
          </cell>
          <cell r="X37">
            <v>41394.989296025262</v>
          </cell>
          <cell r="Y37">
            <v>40871.785650031161</v>
          </cell>
          <cell r="Z37">
            <v>39563.153719775284</v>
          </cell>
          <cell r="AA37">
            <v>37168.016126709808</v>
          </cell>
          <cell r="AB37">
            <v>34451.505061787568</v>
          </cell>
        </row>
        <row r="38">
          <cell r="D38">
            <v>3</v>
          </cell>
          <cell r="E38">
            <v>32394.814555724864</v>
          </cell>
          <cell r="F38">
            <v>30754.039480013882</v>
          </cell>
          <cell r="G38">
            <v>29479.587260982054</v>
          </cell>
          <cell r="H38">
            <v>28641.919075047714</v>
          </cell>
          <cell r="I38">
            <v>28315.204206337508</v>
          </cell>
          <cell r="J38">
            <v>27425.653408983366</v>
          </cell>
          <cell r="K38">
            <v>26822.947268260374</v>
          </cell>
          <cell r="L38">
            <v>28293.549723479235</v>
          </cell>
          <cell r="M38">
            <v>30232.336030565202</v>
          </cell>
          <cell r="N38">
            <v>31853.65265131295</v>
          </cell>
          <cell r="O38">
            <v>33001.051347356537</v>
          </cell>
          <cell r="P38">
            <v>33913.405343459228</v>
          </cell>
          <cell r="Q38">
            <v>34626.876215846496</v>
          </cell>
          <cell r="R38">
            <v>34562.547333773837</v>
          </cell>
          <cell r="S38">
            <v>34681.763973664267</v>
          </cell>
          <cell r="T38">
            <v>34963.432014755919</v>
          </cell>
          <cell r="U38">
            <v>35019.507571211492</v>
          </cell>
          <cell r="V38">
            <v>35417.542380495252</v>
          </cell>
          <cell r="W38">
            <v>39489.214971044552</v>
          </cell>
          <cell r="X38">
            <v>41394.989296025262</v>
          </cell>
          <cell r="Y38">
            <v>40871.785650031161</v>
          </cell>
          <cell r="Z38">
            <v>39563.153719775284</v>
          </cell>
          <cell r="AA38">
            <v>37168.016126709808</v>
          </cell>
          <cell r="AB38">
            <v>34451.505061787568</v>
          </cell>
        </row>
        <row r="39">
          <cell r="D39">
            <v>22</v>
          </cell>
          <cell r="E39">
            <v>31480.44770233296</v>
          </cell>
          <cell r="F39">
            <v>29871.164693543902</v>
          </cell>
          <cell r="G39">
            <v>28670.070039913851</v>
          </cell>
          <cell r="H39">
            <v>27868.017842495683</v>
          </cell>
          <cell r="I39">
            <v>27838.441594267166</v>
          </cell>
          <cell r="J39">
            <v>28554.372814765527</v>
          </cell>
          <cell r="K39">
            <v>28925.483929280872</v>
          </cell>
          <cell r="L39">
            <v>32488.323702711896</v>
          </cell>
          <cell r="M39">
            <v>35981.57684111999</v>
          </cell>
          <cell r="N39">
            <v>37778.320410047381</v>
          </cell>
          <cell r="O39">
            <v>39866.503792126263</v>
          </cell>
          <cell r="P39">
            <v>41432.64929024945</v>
          </cell>
          <cell r="Q39">
            <v>39955.629415897791</v>
          </cell>
          <cell r="R39">
            <v>41299.96033065451</v>
          </cell>
          <cell r="S39">
            <v>43651.477503848691</v>
          </cell>
          <cell r="T39">
            <v>43910.003235346107</v>
          </cell>
          <cell r="U39">
            <v>43314.085495260377</v>
          </cell>
          <cell r="V39">
            <v>41473.505750081182</v>
          </cell>
          <cell r="W39">
            <v>43312.7663575228</v>
          </cell>
          <cell r="X39">
            <v>44322.337627251938</v>
          </cell>
          <cell r="Y39">
            <v>43121.499584171986</v>
          </cell>
          <cell r="Z39">
            <v>40977.676888674607</v>
          </cell>
          <cell r="AA39">
            <v>37626.457159897065</v>
          </cell>
          <cell r="AB39">
            <v>34383.60806532851</v>
          </cell>
        </row>
        <row r="40">
          <cell r="D40">
            <v>4</v>
          </cell>
          <cell r="E40">
            <v>32067.430378514389</v>
          </cell>
          <cell r="F40">
            <v>30254.825979753306</v>
          </cell>
          <cell r="G40">
            <v>28950.657669644417</v>
          </cell>
          <cell r="H40">
            <v>28160.340357456254</v>
          </cell>
          <cell r="I40">
            <v>27786.181190924977</v>
          </cell>
          <cell r="J40">
            <v>27504.212097377775</v>
          </cell>
          <cell r="K40">
            <v>27627.743864038115</v>
          </cell>
          <cell r="L40">
            <v>30653.372602028467</v>
          </cell>
          <cell r="M40">
            <v>34205.69098038294</v>
          </cell>
          <cell r="N40">
            <v>36257.253384969154</v>
          </cell>
          <cell r="O40">
            <v>38187.164890106149</v>
          </cell>
          <cell r="P40">
            <v>39151.740941604228</v>
          </cell>
          <cell r="Q40">
            <v>38526.059319722677</v>
          </cell>
          <cell r="R40">
            <v>37969.08851899299</v>
          </cell>
          <cell r="S40">
            <v>37966.355248534259</v>
          </cell>
          <cell r="T40">
            <v>37742.064800021239</v>
          </cell>
          <cell r="U40">
            <v>37380.793983421463</v>
          </cell>
          <cell r="V40">
            <v>37505.356458899631</v>
          </cell>
          <cell r="W40">
            <v>39857.500044046254</v>
          </cell>
          <cell r="X40">
            <v>40755.233313864745</v>
          </cell>
          <cell r="Y40">
            <v>39419.835232101192</v>
          </cell>
          <cell r="Z40">
            <v>37769.144477459493</v>
          </cell>
          <cell r="AA40">
            <v>35675.061646162809</v>
          </cell>
          <cell r="AB40">
            <v>33276.126959343965</v>
          </cell>
        </row>
        <row r="41">
          <cell r="D41">
            <v>4</v>
          </cell>
          <cell r="E41">
            <v>30156.774912881647</v>
          </cell>
          <cell r="F41">
            <v>28746.750284392823</v>
          </cell>
          <cell r="G41">
            <v>27517.120009611041</v>
          </cell>
          <cell r="H41">
            <v>26766.158948546567</v>
          </cell>
          <cell r="I41">
            <v>26462.5114039082</v>
          </cell>
          <cell r="J41">
            <v>25815.397730419525</v>
          </cell>
          <cell r="K41">
            <v>25245.576742281468</v>
          </cell>
          <cell r="L41">
            <v>26806.06048546985</v>
          </cell>
          <cell r="M41">
            <v>28724.671607849061</v>
          </cell>
          <cell r="N41">
            <v>30270.500942157658</v>
          </cell>
          <cell r="O41">
            <v>31588.969294860173</v>
          </cell>
          <cell r="P41">
            <v>32712.672805596078</v>
          </cell>
          <cell r="Q41">
            <v>33525.160405763068</v>
          </cell>
          <cell r="R41">
            <v>33731.320128163774</v>
          </cell>
          <cell r="S41">
            <v>33922.869055996838</v>
          </cell>
          <cell r="T41">
            <v>34371.404628345539</v>
          </cell>
          <cell r="U41">
            <v>34310.804679580404</v>
          </cell>
          <cell r="V41">
            <v>34473.290654648816</v>
          </cell>
          <cell r="W41">
            <v>38383.081556125042</v>
          </cell>
          <cell r="X41">
            <v>40576.361933454478</v>
          </cell>
          <cell r="Y41">
            <v>39962.831707906596</v>
          </cell>
          <cell r="Z41">
            <v>38320.746869474024</v>
          </cell>
          <cell r="AA41">
            <v>35371.101104696136</v>
          </cell>
          <cell r="AB41">
            <v>32391.200690213012</v>
          </cell>
        </row>
        <row r="42">
          <cell r="D42">
            <v>1</v>
          </cell>
          <cell r="E42">
            <v>30156.774912881647</v>
          </cell>
          <cell r="F42">
            <v>28746.750284392823</v>
          </cell>
          <cell r="G42">
            <v>27517.120009611041</v>
          </cell>
          <cell r="H42">
            <v>26766.158948546567</v>
          </cell>
          <cell r="I42">
            <v>26462.5114039082</v>
          </cell>
          <cell r="J42">
            <v>25815.397730419525</v>
          </cell>
          <cell r="K42">
            <v>25245.576742281468</v>
          </cell>
          <cell r="L42">
            <v>26806.06048546985</v>
          </cell>
          <cell r="M42">
            <v>28724.671607849061</v>
          </cell>
          <cell r="N42">
            <v>30270.500942157658</v>
          </cell>
          <cell r="O42">
            <v>31588.969294860173</v>
          </cell>
          <cell r="P42">
            <v>32712.672805596078</v>
          </cell>
          <cell r="Q42">
            <v>33525.160405763068</v>
          </cell>
          <cell r="R42">
            <v>33731.320128163774</v>
          </cell>
          <cell r="S42">
            <v>33922.869055996838</v>
          </cell>
          <cell r="T42">
            <v>34371.404628345539</v>
          </cell>
          <cell r="U42">
            <v>34310.804679580404</v>
          </cell>
          <cell r="V42">
            <v>34473.290654648816</v>
          </cell>
          <cell r="W42">
            <v>38383.081556125042</v>
          </cell>
          <cell r="X42">
            <v>40576.361933454478</v>
          </cell>
          <cell r="Y42">
            <v>39962.831707906596</v>
          </cell>
          <cell r="Z42">
            <v>38320.746869474024</v>
          </cell>
          <cell r="AA42">
            <v>35371.101104696136</v>
          </cell>
          <cell r="AB42">
            <v>32391.200690213012</v>
          </cell>
        </row>
        <row r="43">
          <cell r="D43">
            <v>19</v>
          </cell>
          <cell r="E43">
            <v>31842.919325329942</v>
          </cell>
          <cell r="F43">
            <v>30101.006036267481</v>
          </cell>
          <cell r="G43">
            <v>28867.610146688192</v>
          </cell>
          <cell r="H43">
            <v>28026.301921303922</v>
          </cell>
          <cell r="I43">
            <v>27997.480885454224</v>
          </cell>
          <cell r="J43">
            <v>28933.087460733939</v>
          </cell>
          <cell r="K43">
            <v>29273.451262026367</v>
          </cell>
          <cell r="L43">
            <v>32563.96190522247</v>
          </cell>
          <cell r="M43">
            <v>36110.854948343258</v>
          </cell>
          <cell r="N43">
            <v>37887.710291818861</v>
          </cell>
          <cell r="O43">
            <v>40096.938718860809</v>
          </cell>
          <cell r="P43">
            <v>41926.552862590564</v>
          </cell>
          <cell r="Q43">
            <v>40241.098849931004</v>
          </cell>
          <cell r="R43">
            <v>41557.053537197098</v>
          </cell>
          <cell r="S43">
            <v>44055.750070952112</v>
          </cell>
          <cell r="T43">
            <v>44338.701710775327</v>
          </cell>
          <cell r="U43">
            <v>43578.33007799754</v>
          </cell>
          <cell r="V43">
            <v>41982.087105285194</v>
          </cell>
          <cell r="W43">
            <v>44495.147294324655</v>
          </cell>
          <cell r="X43">
            <v>45189.053026372058</v>
          </cell>
          <cell r="Y43">
            <v>43919.183530739261</v>
          </cell>
          <cell r="Z43">
            <v>41673.124003618999</v>
          </cell>
          <cell r="AA43">
            <v>38213.446737346079</v>
          </cell>
          <cell r="AB43">
            <v>34945.453371030606</v>
          </cell>
        </row>
        <row r="44">
          <cell r="D44">
            <v>5</v>
          </cell>
          <cell r="E44">
            <v>32278.874967309974</v>
          </cell>
          <cell r="F44">
            <v>30619.07615120499</v>
          </cell>
          <cell r="G44">
            <v>29388.396629151324</v>
          </cell>
          <cell r="H44">
            <v>28454.327926678041</v>
          </cell>
          <cell r="I44">
            <v>27894.246181580253</v>
          </cell>
          <cell r="J44">
            <v>27653.752899508927</v>
          </cell>
          <cell r="K44">
            <v>27696.880468053783</v>
          </cell>
          <cell r="L44">
            <v>30660.025538760718</v>
          </cell>
          <cell r="M44">
            <v>33905.781616259766</v>
          </cell>
          <cell r="N44">
            <v>35970.345188282554</v>
          </cell>
          <cell r="O44">
            <v>37665.50306462439</v>
          </cell>
          <cell r="P44">
            <v>38239.198376054235</v>
          </cell>
          <cell r="Q44">
            <v>37582.555276303436</v>
          </cell>
          <cell r="R44">
            <v>37067.688750173329</v>
          </cell>
          <cell r="S44">
            <v>37476.701698309662</v>
          </cell>
          <cell r="T44">
            <v>37639.668131241982</v>
          </cell>
          <cell r="U44">
            <v>37391.795959517607</v>
          </cell>
          <cell r="V44">
            <v>37680.629451193272</v>
          </cell>
          <cell r="W44">
            <v>41592.855215584947</v>
          </cell>
          <cell r="X44">
            <v>41923.430042721528</v>
          </cell>
          <cell r="Y44">
            <v>40395.161244651725</v>
          </cell>
          <cell r="Z44">
            <v>38562.465389111298</v>
          </cell>
          <cell r="AA44">
            <v>36196.524264882639</v>
          </cell>
          <cell r="AB44">
            <v>33615.06540008499</v>
          </cell>
        </row>
        <row r="45">
          <cell r="D45">
            <v>5</v>
          </cell>
          <cell r="E45">
            <v>31500.0952388271</v>
          </cell>
          <cell r="F45">
            <v>29967.382661011598</v>
          </cell>
          <cell r="G45">
            <v>28638.967740341981</v>
          </cell>
          <cell r="H45">
            <v>27868.975442987819</v>
          </cell>
          <cell r="I45">
            <v>27467.545791628447</v>
          </cell>
          <cell r="J45">
            <v>27049.381733698807</v>
          </cell>
          <cell r="K45">
            <v>26322.267202782477</v>
          </cell>
          <cell r="L45">
            <v>27813.135722775329</v>
          </cell>
          <cell r="M45">
            <v>29603.229294575347</v>
          </cell>
          <cell r="N45">
            <v>31124.785601344007</v>
          </cell>
          <cell r="O45">
            <v>32415.396358287013</v>
          </cell>
          <cell r="P45">
            <v>33491.199092796829</v>
          </cell>
          <cell r="Q45">
            <v>34132.65718160056</v>
          </cell>
          <cell r="R45">
            <v>34267.021143580751</v>
          </cell>
          <cell r="S45">
            <v>34473.718509233309</v>
          </cell>
          <cell r="T45">
            <v>34722.618682774977</v>
          </cell>
          <cell r="U45">
            <v>34718.347144565159</v>
          </cell>
          <cell r="V45">
            <v>35300.408621680537</v>
          </cell>
          <cell r="W45">
            <v>39724.894461972632</v>
          </cell>
          <cell r="X45">
            <v>41439.942344709983</v>
          </cell>
          <cell r="Y45">
            <v>41100.507713871673</v>
          </cell>
          <cell r="Z45">
            <v>39631.866134004376</v>
          </cell>
          <cell r="AA45">
            <v>36731.249150620053</v>
          </cell>
          <cell r="AB45">
            <v>33664.134782817877</v>
          </cell>
        </row>
        <row r="46">
          <cell r="D46">
            <v>2</v>
          </cell>
          <cell r="E46">
            <v>31500.0952388271</v>
          </cell>
          <cell r="F46">
            <v>29967.382661011598</v>
          </cell>
          <cell r="G46">
            <v>28638.967740341981</v>
          </cell>
          <cell r="H46">
            <v>27868.975442987819</v>
          </cell>
          <cell r="I46">
            <v>27467.545791628447</v>
          </cell>
          <cell r="J46">
            <v>27049.381733698807</v>
          </cell>
          <cell r="K46">
            <v>26322.267202782477</v>
          </cell>
          <cell r="L46">
            <v>27813.135722775329</v>
          </cell>
          <cell r="M46">
            <v>29603.229294575347</v>
          </cell>
          <cell r="N46">
            <v>31124.785601344007</v>
          </cell>
          <cell r="O46">
            <v>32415.396358287013</v>
          </cell>
          <cell r="P46">
            <v>33491.199092796829</v>
          </cell>
          <cell r="Q46">
            <v>34132.65718160056</v>
          </cell>
          <cell r="R46">
            <v>34267.021143580751</v>
          </cell>
          <cell r="S46">
            <v>34473.718509233309</v>
          </cell>
          <cell r="T46">
            <v>34722.618682774977</v>
          </cell>
          <cell r="U46">
            <v>34718.347144565159</v>
          </cell>
          <cell r="V46">
            <v>35300.408621680537</v>
          </cell>
          <cell r="W46">
            <v>39724.894461972632</v>
          </cell>
          <cell r="X46">
            <v>41439.942344709983</v>
          </cell>
          <cell r="Y46">
            <v>41100.507713871673</v>
          </cell>
          <cell r="Z46">
            <v>39631.866134004376</v>
          </cell>
          <cell r="AA46">
            <v>36731.249150620053</v>
          </cell>
          <cell r="AB46">
            <v>33664.134782817877</v>
          </cell>
        </row>
        <row r="47">
          <cell r="D47">
            <v>22</v>
          </cell>
          <cell r="E47">
            <v>31335.415144374863</v>
          </cell>
          <cell r="F47">
            <v>29691.762033467203</v>
          </cell>
          <cell r="G47">
            <v>28480.930274662664</v>
          </cell>
          <cell r="H47">
            <v>27594.095896534229</v>
          </cell>
          <cell r="I47">
            <v>27562.765633315837</v>
          </cell>
          <cell r="J47">
            <v>28454.768990146222</v>
          </cell>
          <cell r="K47">
            <v>28856.942416951697</v>
          </cell>
          <cell r="L47">
            <v>32160.393449814401</v>
          </cell>
          <cell r="M47">
            <v>35718.202594789327</v>
          </cell>
          <cell r="N47">
            <v>37494.631889760887</v>
          </cell>
          <cell r="O47">
            <v>39404.164174554979</v>
          </cell>
          <cell r="P47">
            <v>41035.991678031467</v>
          </cell>
          <cell r="Q47">
            <v>39552.799164556571</v>
          </cell>
          <cell r="R47">
            <v>40708.519375329488</v>
          </cell>
          <cell r="S47">
            <v>43017.48526327029</v>
          </cell>
          <cell r="T47">
            <v>43311.893933250605</v>
          </cell>
          <cell r="U47">
            <v>42642.697083224346</v>
          </cell>
          <cell r="V47">
            <v>41558.434659698905</v>
          </cell>
          <cell r="W47">
            <v>44338.575825858832</v>
          </cell>
          <cell r="X47">
            <v>43919.830640402302</v>
          </cell>
          <cell r="Y47">
            <v>42517.540091305018</v>
          </cell>
          <cell r="Z47">
            <v>40224.343568328237</v>
          </cell>
          <cell r="AA47">
            <v>36783.685103366726</v>
          </cell>
          <cell r="AB47">
            <v>33618.493793111404</v>
          </cell>
        </row>
        <row r="48">
          <cell r="D48">
            <v>4</v>
          </cell>
          <cell r="E48">
            <v>30520.008654000121</v>
          </cell>
          <cell r="F48">
            <v>28977.330740041969</v>
          </cell>
          <cell r="G48">
            <v>27818.461926598498</v>
          </cell>
          <cell r="H48">
            <v>26964.323403112518</v>
          </cell>
          <cell r="I48">
            <v>26737.229509187004</v>
          </cell>
          <cell r="J48">
            <v>26583.278904210241</v>
          </cell>
          <cell r="K48">
            <v>26888.069307886748</v>
          </cell>
          <cell r="L48">
            <v>29953.457939139214</v>
          </cell>
          <cell r="M48">
            <v>33382.062158531116</v>
          </cell>
          <cell r="N48">
            <v>35070.91366177352</v>
          </cell>
          <cell r="O48">
            <v>37124.902503775316</v>
          </cell>
          <cell r="P48">
            <v>38039.266475980046</v>
          </cell>
          <cell r="Q48">
            <v>37615.714024166169</v>
          </cell>
          <cell r="R48">
            <v>37155.609283865953</v>
          </cell>
          <cell r="S48">
            <v>37412.367881841732</v>
          </cell>
          <cell r="T48">
            <v>37332.497836260198</v>
          </cell>
          <cell r="U48">
            <v>36888.67573079819</v>
          </cell>
          <cell r="V48">
            <v>37793.632063340265</v>
          </cell>
          <cell r="W48">
            <v>41994.6025233705</v>
          </cell>
          <cell r="X48">
            <v>41683.720805986472</v>
          </cell>
          <cell r="Y48">
            <v>40212.219423750728</v>
          </cell>
          <cell r="Z48">
            <v>38361.899638605973</v>
          </cell>
          <cell r="AA48">
            <v>36241.914745589915</v>
          </cell>
          <cell r="AB48">
            <v>33708.783368782693</v>
          </cell>
        </row>
        <row r="49">
          <cell r="D49">
            <v>4</v>
          </cell>
          <cell r="E49">
            <v>31238.358469213199</v>
          </cell>
          <cell r="F49">
            <v>29646.41972299503</v>
          </cell>
          <cell r="G49">
            <v>28279.590488511316</v>
          </cell>
          <cell r="H49">
            <v>27374.813238200295</v>
          </cell>
          <cell r="I49">
            <v>26991.82999317638</v>
          </cell>
          <cell r="J49">
            <v>26259.353453990898</v>
          </cell>
          <cell r="K49">
            <v>25573.002706461895</v>
          </cell>
          <cell r="L49">
            <v>27180.948382712646</v>
          </cell>
          <cell r="M49">
            <v>28928.6905583261</v>
          </cell>
          <cell r="N49">
            <v>30623.988707154502</v>
          </cell>
          <cell r="O49">
            <v>31921.397611759749</v>
          </cell>
          <cell r="P49">
            <v>32773.64680197167</v>
          </cell>
          <cell r="Q49">
            <v>33504.042965854547</v>
          </cell>
          <cell r="R49">
            <v>33606.861974456522</v>
          </cell>
          <cell r="S49">
            <v>33626.993146238798</v>
          </cell>
          <cell r="T49">
            <v>34045.342456675571</v>
          </cell>
          <cell r="U49">
            <v>34009.263839116706</v>
          </cell>
          <cell r="V49">
            <v>35115.480273513342</v>
          </cell>
          <cell r="W49">
            <v>39707.972644522088</v>
          </cell>
          <cell r="X49">
            <v>40368.516981621826</v>
          </cell>
          <cell r="Y49">
            <v>39847.075160898057</v>
          </cell>
          <cell r="Z49">
            <v>38342.408630721657</v>
          </cell>
          <cell r="AA49">
            <v>35577.90710291834</v>
          </cell>
          <cell r="AB49">
            <v>32633.974936288225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21</v>
          </cell>
          <cell r="E51">
            <v>30331.886705744466</v>
          </cell>
          <cell r="F51">
            <v>28735.229894976535</v>
          </cell>
          <cell r="G51">
            <v>27594.371456160407</v>
          </cell>
          <cell r="H51">
            <v>26764.839522530241</v>
          </cell>
          <cell r="I51">
            <v>26851.443603324449</v>
          </cell>
          <cell r="J51">
            <v>27653.40317097948</v>
          </cell>
          <cell r="K51">
            <v>28379.465751998519</v>
          </cell>
          <cell r="L51">
            <v>31610.300440249652</v>
          </cell>
          <cell r="M51">
            <v>35045.979501130052</v>
          </cell>
          <cell r="N51">
            <v>36845.38352167714</v>
          </cell>
          <cell r="O51">
            <v>38719.30821519946</v>
          </cell>
          <cell r="P51">
            <v>40203.102916001408</v>
          </cell>
          <cell r="Q51">
            <v>38468.573069849626</v>
          </cell>
          <cell r="R51">
            <v>39496.931787146452</v>
          </cell>
          <cell r="S51">
            <v>41714.028000567116</v>
          </cell>
          <cell r="T51">
            <v>42215.144104790066</v>
          </cell>
          <cell r="U51">
            <v>41746.027177658209</v>
          </cell>
          <cell r="V51">
            <v>41760.766579730174</v>
          </cell>
          <cell r="W51">
            <v>44352.081599543992</v>
          </cell>
          <cell r="X51">
            <v>43363.678143464873</v>
          </cell>
          <cell r="Y51">
            <v>41753.189981114338</v>
          </cell>
          <cell r="Z51">
            <v>39468.082917398373</v>
          </cell>
          <cell r="AA51">
            <v>36100.218032815639</v>
          </cell>
          <cell r="AB51">
            <v>32847.695429941312</v>
          </cell>
        </row>
        <row r="52">
          <cell r="D52">
            <v>5</v>
          </cell>
          <cell r="E52">
            <v>30885.193330968719</v>
          </cell>
          <cell r="F52">
            <v>29150.911421126686</v>
          </cell>
          <cell r="G52">
            <v>27776.076454288181</v>
          </cell>
          <cell r="H52">
            <v>26920.208919333876</v>
          </cell>
          <cell r="I52">
            <v>26903.173860963092</v>
          </cell>
          <cell r="J52">
            <v>26788.924318468678</v>
          </cell>
          <cell r="K52">
            <v>27203.777532295022</v>
          </cell>
          <cell r="L52">
            <v>29898.877969364541</v>
          </cell>
          <cell r="M52">
            <v>33255.645068770042</v>
          </cell>
          <cell r="N52">
            <v>35170.501520016202</v>
          </cell>
          <cell r="O52">
            <v>37144.128493770986</v>
          </cell>
          <cell r="P52">
            <v>38126.052855677248</v>
          </cell>
          <cell r="Q52">
            <v>37410.360250523612</v>
          </cell>
          <cell r="R52">
            <v>36949.054631196792</v>
          </cell>
          <cell r="S52">
            <v>37336.988748625939</v>
          </cell>
          <cell r="T52">
            <v>37728.894525599535</v>
          </cell>
          <cell r="U52">
            <v>37441.349805546874</v>
          </cell>
          <cell r="V52">
            <v>38809.228491066817</v>
          </cell>
          <cell r="W52">
            <v>42476.39371352514</v>
          </cell>
          <cell r="X52">
            <v>41691.869281317064</v>
          </cell>
          <cell r="Y52">
            <v>40082.967218224701</v>
          </cell>
          <cell r="Z52">
            <v>38059.529940922366</v>
          </cell>
          <cell r="AA52">
            <v>35635.250493830477</v>
          </cell>
          <cell r="AB52">
            <v>33075.161066717214</v>
          </cell>
        </row>
        <row r="53">
          <cell r="D53">
            <v>4</v>
          </cell>
          <cell r="E53">
            <v>30725.328792553028</v>
          </cell>
          <cell r="F53">
            <v>29113.241332703972</v>
          </cell>
          <cell r="G53">
            <v>27833.033330633032</v>
          </cell>
          <cell r="H53">
            <v>27040.793674965018</v>
          </cell>
          <cell r="I53">
            <v>26684.934314047179</v>
          </cell>
          <cell r="J53">
            <v>26112.785655609019</v>
          </cell>
          <cell r="K53">
            <v>25415.041444387705</v>
          </cell>
          <cell r="L53">
            <v>26922.448576971718</v>
          </cell>
          <cell r="M53">
            <v>28880.202890553843</v>
          </cell>
          <cell r="N53">
            <v>30444.747660503421</v>
          </cell>
          <cell r="O53">
            <v>31945.004725788855</v>
          </cell>
          <cell r="P53">
            <v>33144.664155699131</v>
          </cell>
          <cell r="Q53">
            <v>33742.92245696552</v>
          </cell>
          <cell r="R53">
            <v>33807.067522441088</v>
          </cell>
          <cell r="S53">
            <v>34016.958705801691</v>
          </cell>
          <cell r="T53">
            <v>33979.529420285297</v>
          </cell>
          <cell r="U53">
            <v>34233.126331141139</v>
          </cell>
          <cell r="V53">
            <v>35910.492663289791</v>
          </cell>
          <cell r="W53">
            <v>40268.124956897089</v>
          </cell>
          <cell r="X53">
            <v>40534.409766532764</v>
          </cell>
          <cell r="Y53">
            <v>39904.432512521627</v>
          </cell>
          <cell r="Z53">
            <v>38321.654387944538</v>
          </cell>
          <cell r="AA53">
            <v>35448.634277397039</v>
          </cell>
          <cell r="AB53">
            <v>32543.708099445419</v>
          </cell>
        </row>
        <row r="54">
          <cell r="D54">
            <v>1</v>
          </cell>
          <cell r="E54">
            <v>30725.328792553028</v>
          </cell>
          <cell r="F54">
            <v>29113.241332703972</v>
          </cell>
          <cell r="G54">
            <v>27833.033330633032</v>
          </cell>
          <cell r="H54">
            <v>27040.793674965018</v>
          </cell>
          <cell r="I54">
            <v>26684.934314047179</v>
          </cell>
          <cell r="J54">
            <v>26112.785655609019</v>
          </cell>
          <cell r="K54">
            <v>25415.041444387705</v>
          </cell>
          <cell r="L54">
            <v>26922.448576971718</v>
          </cell>
          <cell r="M54">
            <v>28880.202890553843</v>
          </cell>
          <cell r="N54">
            <v>30444.747660503421</v>
          </cell>
          <cell r="O54">
            <v>31945.004725788855</v>
          </cell>
          <cell r="P54">
            <v>33144.664155699131</v>
          </cell>
          <cell r="Q54">
            <v>33742.92245696552</v>
          </cell>
          <cell r="R54">
            <v>33807.067522441088</v>
          </cell>
          <cell r="S54">
            <v>34016.958705801691</v>
          </cell>
          <cell r="T54">
            <v>33979.529420285297</v>
          </cell>
          <cell r="U54">
            <v>34233.126331141139</v>
          </cell>
          <cell r="V54">
            <v>35910.492663289791</v>
          </cell>
          <cell r="W54">
            <v>40268.124956897089</v>
          </cell>
          <cell r="X54">
            <v>40534.409766532764</v>
          </cell>
          <cell r="Y54">
            <v>39904.432512521627</v>
          </cell>
          <cell r="Z54">
            <v>38321.654387944538</v>
          </cell>
          <cell r="AA54">
            <v>35448.634277397039</v>
          </cell>
          <cell r="AB54">
            <v>32543.708099445419</v>
          </cell>
        </row>
        <row r="55">
          <cell r="D55">
            <v>19</v>
          </cell>
          <cell r="E55">
            <v>30063.952353228287</v>
          </cell>
          <cell r="F55">
            <v>28519.142373075625</v>
          </cell>
          <cell r="G55">
            <v>27394.227539288226</v>
          </cell>
          <cell r="H55">
            <v>26632.254395308952</v>
          </cell>
          <cell r="I55">
            <v>26707.386314019241</v>
          </cell>
          <cell r="J55">
            <v>27500.416869544431</v>
          </cell>
          <cell r="K55">
            <v>28224.555599317511</v>
          </cell>
          <cell r="L55">
            <v>31581.808348625356</v>
          </cell>
          <cell r="M55">
            <v>35037.098574117503</v>
          </cell>
          <cell r="N55">
            <v>36751.137817074406</v>
          </cell>
          <cell r="O55">
            <v>38539.970735170733</v>
          </cell>
          <cell r="P55">
            <v>39800.75521029807</v>
          </cell>
          <cell r="Q55">
            <v>38168.726027833094</v>
          </cell>
          <cell r="R55">
            <v>39027.892095441639</v>
          </cell>
          <cell r="S55">
            <v>40974.43811527174</v>
          </cell>
          <cell r="T55">
            <v>41475.313256980757</v>
          </cell>
          <cell r="U55">
            <v>41070.324749454434</v>
          </cell>
          <cell r="V55">
            <v>41606.869628299552</v>
          </cell>
          <cell r="W55">
            <v>43643.739766944687</v>
          </cell>
          <cell r="X55">
            <v>42632.917699630081</v>
          </cell>
          <cell r="Y55">
            <v>41121.644061791856</v>
          </cell>
          <cell r="Z55">
            <v>38931.895666700671</v>
          </cell>
          <cell r="AA55">
            <v>35728.648902303037</v>
          </cell>
          <cell r="AB55">
            <v>32566.645771967949</v>
          </cell>
        </row>
        <row r="56">
          <cell r="D56">
            <v>4</v>
          </cell>
          <cell r="E56">
            <v>29346.77451666617</v>
          </cell>
          <cell r="F56">
            <v>27909.937663722871</v>
          </cell>
          <cell r="G56">
            <v>26901.592782458825</v>
          </cell>
          <cell r="H56">
            <v>26242.169364320227</v>
          </cell>
          <cell r="I56">
            <v>26226.453408051399</v>
          </cell>
          <cell r="J56">
            <v>26161.723934213798</v>
          </cell>
          <cell r="K56">
            <v>26552.48534329945</v>
          </cell>
          <cell r="L56">
            <v>29611.812937269602</v>
          </cell>
          <cell r="M56">
            <v>33052.409556716237</v>
          </cell>
          <cell r="N56">
            <v>34956.463106055577</v>
          </cell>
          <cell r="O56">
            <v>36939.392820708672</v>
          </cell>
          <cell r="P56">
            <v>37774.860956260774</v>
          </cell>
          <cell r="Q56">
            <v>37095.236566154439</v>
          </cell>
          <cell r="R56">
            <v>36326.108633546246</v>
          </cell>
          <cell r="S56">
            <v>36082.462118510281</v>
          </cell>
          <cell r="T56">
            <v>36372.227745743017</v>
          </cell>
          <cell r="U56">
            <v>36191.933549560068</v>
          </cell>
          <cell r="V56">
            <v>38205.691613369025</v>
          </cell>
          <cell r="W56">
            <v>41356.381528776197</v>
          </cell>
          <cell r="X56">
            <v>40657.486782924534</v>
          </cell>
          <cell r="Y56">
            <v>39195.79734900716</v>
          </cell>
          <cell r="Z56">
            <v>37382.369086796331</v>
          </cell>
          <cell r="AA56">
            <v>35091.109263900733</v>
          </cell>
          <cell r="AB56">
            <v>32513.239272574552</v>
          </cell>
        </row>
        <row r="57">
          <cell r="D57">
            <v>5</v>
          </cell>
          <cell r="E57">
            <v>30416.398010399927</v>
          </cell>
          <cell r="F57">
            <v>28973.386654990605</v>
          </cell>
          <cell r="G57">
            <v>27723.864716185624</v>
          </cell>
          <cell r="H57">
            <v>26881.708313240062</v>
          </cell>
          <cell r="I57">
            <v>26540.352737921356</v>
          </cell>
          <cell r="J57">
            <v>26093.166494570152</v>
          </cell>
          <cell r="K57">
            <v>25449.197979270211</v>
          </cell>
          <cell r="L57">
            <v>26849.904939336539</v>
          </cell>
          <cell r="M57">
            <v>28770.200722771526</v>
          </cell>
          <cell r="N57">
            <v>30348.326120322374</v>
          </cell>
          <cell r="O57">
            <v>31866.750512129136</v>
          </cell>
          <cell r="P57">
            <v>32668.851652057299</v>
          </cell>
          <cell r="Q57">
            <v>33264.002194510125</v>
          </cell>
          <cell r="R57">
            <v>33232.642905859058</v>
          </cell>
          <cell r="S57">
            <v>33137.136606568929</v>
          </cell>
          <cell r="T57">
            <v>33288.199197697148</v>
          </cell>
          <cell r="U57">
            <v>33326.892026788075</v>
          </cell>
          <cell r="V57">
            <v>35581.090849882334</v>
          </cell>
          <cell r="W57">
            <v>38972.555201891584</v>
          </cell>
          <cell r="X57">
            <v>39029.576975062802</v>
          </cell>
          <cell r="Y57">
            <v>38168.931168503739</v>
          </cell>
          <cell r="Z57">
            <v>36668.603864112301</v>
          </cell>
          <cell r="AA57">
            <v>34318.460299547718</v>
          </cell>
          <cell r="AB57">
            <v>31832.640593773442</v>
          </cell>
        </row>
        <row r="58">
          <cell r="D58">
            <v>2</v>
          </cell>
          <cell r="E58">
            <v>30416.398010399927</v>
          </cell>
          <cell r="F58">
            <v>28973.386654990605</v>
          </cell>
          <cell r="G58">
            <v>27723.864716185624</v>
          </cell>
          <cell r="H58">
            <v>26881.708313240062</v>
          </cell>
          <cell r="I58">
            <v>26540.352737921356</v>
          </cell>
          <cell r="J58">
            <v>26093.166494570152</v>
          </cell>
          <cell r="K58">
            <v>25449.197979270211</v>
          </cell>
          <cell r="L58">
            <v>26849.904939336539</v>
          </cell>
          <cell r="M58">
            <v>28770.200722771526</v>
          </cell>
          <cell r="N58">
            <v>30348.326120322374</v>
          </cell>
          <cell r="O58">
            <v>31866.750512129136</v>
          </cell>
          <cell r="P58">
            <v>32668.851652057299</v>
          </cell>
          <cell r="Q58">
            <v>33264.002194510125</v>
          </cell>
          <cell r="R58">
            <v>33232.642905859058</v>
          </cell>
          <cell r="S58">
            <v>33137.136606568929</v>
          </cell>
          <cell r="T58">
            <v>33288.199197697148</v>
          </cell>
          <cell r="U58">
            <v>33326.892026788075</v>
          </cell>
          <cell r="V58">
            <v>35581.090849882334</v>
          </cell>
          <cell r="W58">
            <v>38972.555201891584</v>
          </cell>
          <cell r="X58">
            <v>39029.576975062802</v>
          </cell>
          <cell r="Y58">
            <v>38168.931168503739</v>
          </cell>
          <cell r="Z58">
            <v>36668.603864112301</v>
          </cell>
          <cell r="AA58">
            <v>34318.460299547718</v>
          </cell>
          <cell r="AB58">
            <v>31832.640593773442</v>
          </cell>
        </row>
        <row r="59">
          <cell r="D59">
            <v>21</v>
          </cell>
          <cell r="E59">
            <v>32069.987274053437</v>
          </cell>
          <cell r="F59">
            <v>30306.168004899391</v>
          </cell>
          <cell r="G59">
            <v>29046.478158877042</v>
          </cell>
          <cell r="H59">
            <v>28265.902472674374</v>
          </cell>
          <cell r="I59">
            <v>28165.512390944481</v>
          </cell>
          <cell r="J59">
            <v>28668.646675056189</v>
          </cell>
          <cell r="K59">
            <v>28869.154799832853</v>
          </cell>
          <cell r="L59">
            <v>32348.756163440292</v>
          </cell>
          <cell r="M59">
            <v>35882.653927611216</v>
          </cell>
          <cell r="N59">
            <v>37906.148966646542</v>
          </cell>
          <cell r="O59">
            <v>39687.125915346485</v>
          </cell>
          <cell r="P59">
            <v>40975.818589214992</v>
          </cell>
          <cell r="Q59">
            <v>39847.587302430256</v>
          </cell>
          <cell r="R59">
            <v>40358.21694388528</v>
          </cell>
          <cell r="S59">
            <v>42064.62516935671</v>
          </cell>
          <cell r="T59">
            <v>42589.705751569003</v>
          </cell>
          <cell r="U59">
            <v>42238.434956690871</v>
          </cell>
          <cell r="V59">
            <v>42281.319380606343</v>
          </cell>
          <cell r="W59">
            <v>45539.576853940285</v>
          </cell>
          <cell r="X59">
            <v>44663.348124798518</v>
          </cell>
          <cell r="Y59">
            <v>43028.590031721316</v>
          </cell>
          <cell r="Z59">
            <v>40698.065556822417</v>
          </cell>
          <cell r="AA59">
            <v>37707.291271358386</v>
          </cell>
          <cell r="AB59">
            <v>34797.098839878709</v>
          </cell>
        </row>
        <row r="60">
          <cell r="D60">
            <v>4</v>
          </cell>
          <cell r="E60">
            <v>32589.330283789513</v>
          </cell>
          <cell r="F60">
            <v>30744.322345324203</v>
          </cell>
          <cell r="G60">
            <v>29528.914418208198</v>
          </cell>
          <cell r="H60">
            <v>28637.792508700855</v>
          </cell>
          <cell r="I60">
            <v>28391.470241716448</v>
          </cell>
          <cell r="J60">
            <v>28440.990964774468</v>
          </cell>
          <cell r="K60">
            <v>28158.486261905964</v>
          </cell>
          <cell r="L60">
            <v>30743.959888360161</v>
          </cell>
          <cell r="M60">
            <v>34486.247029976243</v>
          </cell>
          <cell r="N60">
            <v>36680.887475670686</v>
          </cell>
          <cell r="O60">
            <v>38529.25499965583</v>
          </cell>
          <cell r="P60">
            <v>39657.383096174017</v>
          </cell>
          <cell r="Q60">
            <v>39015.080953195007</v>
          </cell>
          <cell r="R60">
            <v>38732.956458967325</v>
          </cell>
          <cell r="S60">
            <v>38570.59026317222</v>
          </cell>
          <cell r="T60">
            <v>38984.711061803857</v>
          </cell>
          <cell r="U60">
            <v>38863.605895240398</v>
          </cell>
          <cell r="V60">
            <v>39722.935842667728</v>
          </cell>
          <cell r="W60">
            <v>44123.145311797241</v>
          </cell>
          <cell r="X60">
            <v>43497.265729143051</v>
          </cell>
          <cell r="Y60">
            <v>41859.622550560882</v>
          </cell>
          <cell r="Z60">
            <v>40072.957918512722</v>
          </cell>
          <cell r="AA60">
            <v>37595.774684534139</v>
          </cell>
          <cell r="AB60">
            <v>35043.74102128057</v>
          </cell>
        </row>
        <row r="61">
          <cell r="D61">
            <v>4</v>
          </cell>
          <cell r="E61">
            <v>32795.062534924509</v>
          </cell>
          <cell r="F61">
            <v>31183.17768486408</v>
          </cell>
          <cell r="G61">
            <v>29884.956571785577</v>
          </cell>
          <cell r="H61">
            <v>28970.70842328616</v>
          </cell>
          <cell r="I61">
            <v>28558.267256035575</v>
          </cell>
          <cell r="J61">
            <v>28270.078789020223</v>
          </cell>
          <cell r="K61">
            <v>27010.491457010092</v>
          </cell>
          <cell r="L61">
            <v>28372.981708972307</v>
          </cell>
          <cell r="M61">
            <v>30538.758896497497</v>
          </cell>
          <cell r="N61">
            <v>32398.056289254328</v>
          </cell>
          <cell r="O61">
            <v>33621.176835794133</v>
          </cell>
          <cell r="P61">
            <v>34622.759038195007</v>
          </cell>
          <cell r="Q61">
            <v>35218.379435369585</v>
          </cell>
          <cell r="R61">
            <v>35550.052409822601</v>
          </cell>
          <cell r="S61">
            <v>34545.26102701787</v>
          </cell>
          <cell r="T61">
            <v>35490.063361589178</v>
          </cell>
          <cell r="U61">
            <v>35701.02590221876</v>
          </cell>
          <cell r="V61">
            <v>36893.002584259862</v>
          </cell>
          <cell r="W61">
            <v>41368.010518665076</v>
          </cell>
          <cell r="X61">
            <v>41038.882166388867</v>
          </cell>
          <cell r="Y61">
            <v>39967.875092652168</v>
          </cell>
          <cell r="Z61">
            <v>38500.553443124147</v>
          </cell>
          <cell r="AA61">
            <v>36280.813094737583</v>
          </cell>
          <cell r="AB61">
            <v>34029.743941656037</v>
          </cell>
        </row>
        <row r="62">
          <cell r="D62">
            <v>2</v>
          </cell>
          <cell r="E62">
            <v>32795.062534924509</v>
          </cell>
          <cell r="F62">
            <v>31183.17768486408</v>
          </cell>
          <cell r="G62">
            <v>29884.956571785577</v>
          </cell>
          <cell r="H62">
            <v>28970.70842328616</v>
          </cell>
          <cell r="I62">
            <v>28558.267256035575</v>
          </cell>
          <cell r="J62">
            <v>28270.078789020223</v>
          </cell>
          <cell r="K62">
            <v>27010.491457010092</v>
          </cell>
          <cell r="L62">
            <v>28372.981708972307</v>
          </cell>
          <cell r="M62">
            <v>30538.758896497497</v>
          </cell>
          <cell r="N62">
            <v>32398.056289254328</v>
          </cell>
          <cell r="O62">
            <v>33621.176835794133</v>
          </cell>
          <cell r="P62">
            <v>34622.759038195007</v>
          </cell>
          <cell r="Q62">
            <v>35218.379435369585</v>
          </cell>
          <cell r="R62">
            <v>35550.052409822601</v>
          </cell>
          <cell r="S62">
            <v>34545.26102701787</v>
          </cell>
          <cell r="T62">
            <v>35490.063361589178</v>
          </cell>
          <cell r="U62">
            <v>35701.02590221876</v>
          </cell>
          <cell r="V62">
            <v>36893.002584259862</v>
          </cell>
          <cell r="W62">
            <v>41368.010518665076</v>
          </cell>
          <cell r="X62">
            <v>41038.882166388867</v>
          </cell>
          <cell r="Y62">
            <v>39967.875092652168</v>
          </cell>
          <cell r="Z62">
            <v>38500.553443124147</v>
          </cell>
          <cell r="AA62">
            <v>36280.813094737583</v>
          </cell>
          <cell r="AB62">
            <v>34029.743941656037</v>
          </cell>
        </row>
      </sheetData>
      <sheetData sheetId="31">
        <row r="15">
          <cell r="D15">
            <v>19</v>
          </cell>
          <cell r="E15">
            <v>33630.214680446887</v>
          </cell>
          <cell r="F15">
            <v>31912.775892940848</v>
          </cell>
          <cell r="G15">
            <v>30620.831428426765</v>
          </cell>
          <cell r="H15">
            <v>29683.090148990028</v>
          </cell>
          <cell r="I15">
            <v>29519.472340777771</v>
          </cell>
          <cell r="J15">
            <v>30507.312754306058</v>
          </cell>
          <cell r="K15">
            <v>30231.920115186989</v>
          </cell>
          <cell r="L15">
            <v>33725.318008743656</v>
          </cell>
          <cell r="M15">
            <v>37438.692412262651</v>
          </cell>
          <cell r="N15">
            <v>39368.421243895813</v>
          </cell>
          <cell r="O15">
            <v>41457.513977844668</v>
          </cell>
          <cell r="P15">
            <v>43167.591636172845</v>
          </cell>
          <cell r="Q15">
            <v>41985.620773580151</v>
          </cell>
          <cell r="R15">
            <v>43141.591814973763</v>
          </cell>
          <cell r="S15">
            <v>45142.823059696013</v>
          </cell>
          <cell r="T15">
            <v>45382.811324385599</v>
          </cell>
          <cell r="U15">
            <v>44632.267789318474</v>
          </cell>
          <cell r="V15">
            <v>42987.563240185671</v>
          </cell>
          <cell r="W15">
            <v>45985.814620798061</v>
          </cell>
          <cell r="X15">
            <v>46149.786878134422</v>
          </cell>
          <cell r="Y15">
            <v>44937.540147479122</v>
          </cell>
          <cell r="Z15">
            <v>42967.069935564825</v>
          </cell>
          <cell r="AA15">
            <v>39920.910021020303</v>
          </cell>
          <cell r="AB15">
            <v>36668.809226689766</v>
          </cell>
        </row>
        <row r="16">
          <cell r="D16">
            <v>5</v>
          </cell>
          <cell r="E16">
            <v>33386.45004145932</v>
          </cell>
          <cell r="F16">
            <v>31782.949363840897</v>
          </cell>
          <cell r="G16">
            <v>30523.493895821357</v>
          </cell>
          <cell r="H16">
            <v>29561.617429316109</v>
          </cell>
          <cell r="I16">
            <v>29270.48246586361</v>
          </cell>
          <cell r="J16">
            <v>29504.63064707478</v>
          </cell>
          <cell r="K16">
            <v>28744.243983661378</v>
          </cell>
          <cell r="L16">
            <v>31584.142232602702</v>
          </cell>
          <cell r="M16">
            <v>35095.776972540494</v>
          </cell>
          <cell r="N16">
            <v>37421.548751918468</v>
          </cell>
          <cell r="O16">
            <v>39251.346152750906</v>
          </cell>
          <cell r="P16">
            <v>40241.518097243614</v>
          </cell>
          <cell r="Q16">
            <v>39889.663113406801</v>
          </cell>
          <cell r="R16">
            <v>39045.0674618415</v>
          </cell>
          <cell r="S16">
            <v>39229.321877726041</v>
          </cell>
          <cell r="T16">
            <v>39365.401390290259</v>
          </cell>
          <cell r="U16">
            <v>38975.296982320804</v>
          </cell>
          <cell r="V16">
            <v>39116.485297082319</v>
          </cell>
          <cell r="W16">
            <v>43452.366558453505</v>
          </cell>
          <cell r="X16">
            <v>43763.529382088796</v>
          </cell>
          <cell r="Y16">
            <v>42462.658557589864</v>
          </cell>
          <cell r="Z16">
            <v>40742.010249725601</v>
          </cell>
          <cell r="AA16">
            <v>38505.965981549678</v>
          </cell>
          <cell r="AB16">
            <v>36026.284885215842</v>
          </cell>
        </row>
        <row r="17">
          <cell r="D17">
            <v>5</v>
          </cell>
          <cell r="E17">
            <v>33607.726074487407</v>
          </cell>
          <cell r="F17">
            <v>31956.573065554509</v>
          </cell>
          <cell r="G17">
            <v>30625.155162285453</v>
          </cell>
          <cell r="H17">
            <v>29648.343370961837</v>
          </cell>
          <cell r="I17">
            <v>29167.581192285754</v>
          </cell>
          <cell r="J17">
            <v>29014.579090154592</v>
          </cell>
          <cell r="K17">
            <v>27451.370001978328</v>
          </cell>
          <cell r="L17">
            <v>28676.044947974107</v>
          </cell>
          <cell r="M17">
            <v>30639.131760641729</v>
          </cell>
          <cell r="N17">
            <v>32150.640787258431</v>
          </cell>
          <cell r="O17">
            <v>33596.727323222854</v>
          </cell>
          <cell r="P17">
            <v>34766.552881037554</v>
          </cell>
          <cell r="Q17">
            <v>35563.855766073226</v>
          </cell>
          <cell r="R17">
            <v>35659.793479614593</v>
          </cell>
          <cell r="S17">
            <v>35677.86186422161</v>
          </cell>
          <cell r="T17">
            <v>35800.610707251319</v>
          </cell>
          <cell r="U17">
            <v>35818.802787566601</v>
          </cell>
          <cell r="V17">
            <v>36197.0585022542</v>
          </cell>
          <cell r="W17">
            <v>40922.514482849612</v>
          </cell>
          <cell r="X17">
            <v>42094.675347857781</v>
          </cell>
          <cell r="Y17">
            <v>41649.292175098031</v>
          </cell>
          <cell r="Z17">
            <v>40279.240204877497</v>
          </cell>
          <cell r="AA17">
            <v>37825.673475357522</v>
          </cell>
          <cell r="AB17">
            <v>34898.698531186761</v>
          </cell>
        </row>
        <row r="18">
          <cell r="D18">
            <v>2</v>
          </cell>
          <cell r="E18">
            <v>33607.726074487407</v>
          </cell>
          <cell r="F18">
            <v>31956.573065554509</v>
          </cell>
          <cell r="G18">
            <v>30625.155162285453</v>
          </cell>
          <cell r="H18">
            <v>29648.343370961837</v>
          </cell>
          <cell r="I18">
            <v>29167.581192285754</v>
          </cell>
          <cell r="J18">
            <v>29014.579090154592</v>
          </cell>
          <cell r="K18">
            <v>27451.370001978328</v>
          </cell>
          <cell r="L18">
            <v>28676.044947974107</v>
          </cell>
          <cell r="M18">
            <v>30639.131760641729</v>
          </cell>
          <cell r="N18">
            <v>32150.640787258431</v>
          </cell>
          <cell r="O18">
            <v>33596.727323222854</v>
          </cell>
          <cell r="P18">
            <v>34766.552881037554</v>
          </cell>
          <cell r="Q18">
            <v>35563.855766073226</v>
          </cell>
          <cell r="R18">
            <v>35659.793479614593</v>
          </cell>
          <cell r="S18">
            <v>35677.86186422161</v>
          </cell>
          <cell r="T18">
            <v>35800.610707251319</v>
          </cell>
          <cell r="U18">
            <v>35818.802787566601</v>
          </cell>
          <cell r="V18">
            <v>36197.0585022542</v>
          </cell>
          <cell r="W18">
            <v>40922.514482849612</v>
          </cell>
          <cell r="X18">
            <v>42094.675347857781</v>
          </cell>
          <cell r="Y18">
            <v>41649.292175098031</v>
          </cell>
          <cell r="Z18">
            <v>40279.240204877497</v>
          </cell>
          <cell r="AA18">
            <v>37825.673475357522</v>
          </cell>
          <cell r="AB18">
            <v>34898.698531186761</v>
          </cell>
        </row>
        <row r="19">
          <cell r="D19">
            <v>20</v>
          </cell>
          <cell r="E19">
            <v>35303.862143824299</v>
          </cell>
          <cell r="F19">
            <v>33570.815851879299</v>
          </cell>
          <cell r="G19">
            <v>32187.326692041162</v>
          </cell>
          <cell r="H19">
            <v>31184.419808389375</v>
          </cell>
          <cell r="I19">
            <v>31149.48713668952</v>
          </cell>
          <cell r="J19">
            <v>33021.759889572611</v>
          </cell>
          <cell r="K19">
            <v>32703.842913129542</v>
          </cell>
          <cell r="L19">
            <v>35887.004734138725</v>
          </cell>
          <cell r="M19">
            <v>39388.959602601557</v>
          </cell>
          <cell r="N19">
            <v>41088.15742842084</v>
          </cell>
          <cell r="O19">
            <v>43140.521011893186</v>
          </cell>
          <cell r="P19">
            <v>44763.508817899339</v>
          </cell>
          <cell r="Q19">
            <v>43266.292080606079</v>
          </cell>
          <cell r="R19">
            <v>44820.792714863288</v>
          </cell>
          <cell r="S19">
            <v>47318.294087106944</v>
          </cell>
          <cell r="T19">
            <v>47705.200678716799</v>
          </cell>
          <cell r="U19">
            <v>46993.205860326489</v>
          </cell>
          <cell r="V19">
            <v>45077.197152658817</v>
          </cell>
          <cell r="W19">
            <v>47749.227514579521</v>
          </cell>
          <cell r="X19">
            <v>48424.382240992352</v>
          </cell>
          <cell r="Y19">
            <v>47380.428767113022</v>
          </cell>
          <cell r="Z19">
            <v>45290.934621918168</v>
          </cell>
          <cell r="AA19">
            <v>41723.768438750725</v>
          </cell>
          <cell r="AB19">
            <v>38186.88528614142</v>
          </cell>
        </row>
        <row r="20">
          <cell r="D20">
            <v>4</v>
          </cell>
          <cell r="E20">
            <v>35790.743801033415</v>
          </cell>
          <cell r="F20">
            <v>33855.558537196106</v>
          </cell>
          <cell r="G20">
            <v>32593.542563310471</v>
          </cell>
          <cell r="H20">
            <v>31393.917255748576</v>
          </cell>
          <cell r="I20">
            <v>31016.005971239421</v>
          </cell>
          <cell r="J20">
            <v>31376.40611886527</v>
          </cell>
          <cell r="K20">
            <v>30820.019446077949</v>
          </cell>
          <cell r="L20">
            <v>33667.957380659624</v>
          </cell>
          <cell r="M20">
            <v>37154.148249707228</v>
          </cell>
          <cell r="N20">
            <v>39224.590129893098</v>
          </cell>
          <cell r="O20">
            <v>41127.624910763785</v>
          </cell>
          <cell r="P20">
            <v>42084.227407014092</v>
          </cell>
          <cell r="Q20">
            <v>41412.917342808338</v>
          </cell>
          <cell r="R20">
            <v>40875.989812050706</v>
          </cell>
          <cell r="S20">
            <v>41064.069486127992</v>
          </cell>
          <cell r="T20">
            <v>41181.598330145003</v>
          </cell>
          <cell r="U20">
            <v>40892.139436274956</v>
          </cell>
          <cell r="V20">
            <v>40771.993142443112</v>
          </cell>
          <cell r="W20">
            <v>45004.817741170809</v>
          </cell>
          <cell r="X20">
            <v>45656.855134365658</v>
          </cell>
          <cell r="Y20">
            <v>44589.499136298444</v>
          </cell>
          <cell r="Z20">
            <v>42890.801628675814</v>
          </cell>
          <cell r="AA20">
            <v>40648.330293130581</v>
          </cell>
          <cell r="AB20">
            <v>37978.101638873173</v>
          </cell>
        </row>
        <row r="21">
          <cell r="D21">
            <v>4</v>
          </cell>
          <cell r="E21">
            <v>35691.095265383541</v>
          </cell>
          <cell r="F21">
            <v>33966.827233757846</v>
          </cell>
          <cell r="G21">
            <v>32574.533488280118</v>
          </cell>
          <cell r="H21">
            <v>31540.761126358659</v>
          </cell>
          <cell r="I21">
            <v>31008.60094657338</v>
          </cell>
          <cell r="J21">
            <v>30974.061646456466</v>
          </cell>
          <cell r="K21">
            <v>29348.60063145294</v>
          </cell>
          <cell r="L21">
            <v>30614.398813465476</v>
          </cell>
          <cell r="M21">
            <v>32545.664758132672</v>
          </cell>
          <cell r="N21">
            <v>33913.817019455171</v>
          </cell>
          <cell r="O21">
            <v>35306.739419066012</v>
          </cell>
          <cell r="P21">
            <v>36600.576466636965</v>
          </cell>
          <cell r="Q21">
            <v>37459.751626137382</v>
          </cell>
          <cell r="R21">
            <v>37682.500170267413</v>
          </cell>
          <cell r="S21">
            <v>38057.916719345376</v>
          </cell>
          <cell r="T21">
            <v>38353.048925405754</v>
          </cell>
          <cell r="U21">
            <v>38229.361053327841</v>
          </cell>
          <cell r="V21">
            <v>37994.568675162438</v>
          </cell>
          <cell r="W21">
            <v>42940.246955855087</v>
          </cell>
          <cell r="X21">
            <v>44721.122995557227</v>
          </cell>
          <cell r="Y21">
            <v>44704.526046554522</v>
          </cell>
          <cell r="Z21">
            <v>43643.0209194786</v>
          </cell>
          <cell r="AA21">
            <v>40100.565162740182</v>
          </cell>
          <cell r="AB21">
            <v>36976.146922860935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32943.558549922833</v>
          </cell>
          <cell r="F23">
            <v>31314.040734649443</v>
          </cell>
          <cell r="G23">
            <v>30098.515716192553</v>
          </cell>
          <cell r="H23">
            <v>29300.684445565326</v>
          </cell>
          <cell r="I23">
            <v>29435.148262593262</v>
          </cell>
          <cell r="J23">
            <v>31006.908526070518</v>
          </cell>
          <cell r="K23">
            <v>31009.398573535222</v>
          </cell>
          <cell r="L23">
            <v>34371.408721159663</v>
          </cell>
          <cell r="M23">
            <v>37686.657453707507</v>
          </cell>
          <cell r="N23">
            <v>39405.547778039116</v>
          </cell>
          <cell r="O23">
            <v>41373.494722081348</v>
          </cell>
          <cell r="P23">
            <v>42663.8540154086</v>
          </cell>
          <cell r="Q23">
            <v>40733.674221171786</v>
          </cell>
          <cell r="R23">
            <v>42077.194278963812</v>
          </cell>
          <cell r="S23">
            <v>44389.403979274182</v>
          </cell>
          <cell r="T23">
            <v>44877.825238560821</v>
          </cell>
          <cell r="U23">
            <v>44387.771556161541</v>
          </cell>
          <cell r="V23">
            <v>42827.988533183605</v>
          </cell>
          <cell r="W23">
            <v>45446.823127075244</v>
          </cell>
          <cell r="X23">
            <v>45853.494537579907</v>
          </cell>
          <cell r="Y23">
            <v>44510.645136091538</v>
          </cell>
          <cell r="Z23">
            <v>42290.119009830603</v>
          </cell>
          <cell r="AA23">
            <v>38953.300183372732</v>
          </cell>
          <cell r="AB23">
            <v>35565.75342096034</v>
          </cell>
        </row>
        <row r="24">
          <cell r="D24">
            <v>5</v>
          </cell>
          <cell r="E24">
            <v>33136.419160722624</v>
          </cell>
          <cell r="F24">
            <v>31501.656340619887</v>
          </cell>
          <cell r="G24">
            <v>30212.077587747583</v>
          </cell>
          <cell r="H24">
            <v>29358.471101812356</v>
          </cell>
          <cell r="I24">
            <v>29142.801181061066</v>
          </cell>
          <cell r="J24">
            <v>29474.661349469428</v>
          </cell>
          <cell r="K24">
            <v>29332.97982661115</v>
          </cell>
          <cell r="L24">
            <v>32417.835416066035</v>
          </cell>
          <cell r="M24">
            <v>36006.714362370207</v>
          </cell>
          <cell r="N24">
            <v>38094.906840222815</v>
          </cell>
          <cell r="O24">
            <v>39968.138727569312</v>
          </cell>
          <cell r="P24">
            <v>41082.400979838894</v>
          </cell>
          <cell r="Q24">
            <v>40376.310634208552</v>
          </cell>
          <cell r="R24">
            <v>39837.957752582792</v>
          </cell>
          <cell r="S24">
            <v>40153.488542138781</v>
          </cell>
          <cell r="T24">
            <v>40206.080350886812</v>
          </cell>
          <cell r="U24">
            <v>39849.493938557673</v>
          </cell>
          <cell r="V24">
            <v>39604.488051242748</v>
          </cell>
          <cell r="W24">
            <v>43734.442102279623</v>
          </cell>
          <cell r="X24">
            <v>44439.548044305833</v>
          </cell>
          <cell r="Y24">
            <v>43204.405833993718</v>
          </cell>
          <cell r="Z24">
            <v>41521.567476759861</v>
          </cell>
          <cell r="AA24">
            <v>39180.449005147973</v>
          </cell>
          <cell r="AB24">
            <v>36613.333482456677</v>
          </cell>
        </row>
        <row r="25">
          <cell r="D25">
            <v>5</v>
          </cell>
          <cell r="E25">
            <v>34024.862024456575</v>
          </cell>
          <cell r="F25">
            <v>32273.488691065821</v>
          </cell>
          <cell r="G25">
            <v>30912.642443477685</v>
          </cell>
          <cell r="H25">
            <v>29937.402847587215</v>
          </cell>
          <cell r="I25">
            <v>29447.169324760129</v>
          </cell>
          <cell r="J25">
            <v>29226.906576466707</v>
          </cell>
          <cell r="K25">
            <v>28122.599498322947</v>
          </cell>
          <cell r="L25">
            <v>29611.975488786095</v>
          </cell>
          <cell r="M25">
            <v>31704.449026774964</v>
          </cell>
          <cell r="N25">
            <v>33219.124110668374</v>
          </cell>
          <cell r="O25">
            <v>34572.984498085956</v>
          </cell>
          <cell r="P25">
            <v>35739.486401847491</v>
          </cell>
          <cell r="Q25">
            <v>36480.080502980694</v>
          </cell>
          <cell r="R25">
            <v>36612.90344934562</v>
          </cell>
          <cell r="S25">
            <v>36753.445080875768</v>
          </cell>
          <cell r="T25">
            <v>37155.342041505341</v>
          </cell>
          <cell r="U25">
            <v>37016.253124652998</v>
          </cell>
          <cell r="V25">
            <v>37199.495803376907</v>
          </cell>
          <cell r="W25">
            <v>41588.960977672912</v>
          </cell>
          <cell r="X25">
            <v>43106.641277610688</v>
          </cell>
          <cell r="Y25">
            <v>42946.87381339485</v>
          </cell>
          <cell r="Z25">
            <v>41686.901612684</v>
          </cell>
          <cell r="AA25">
            <v>38951.784112067151</v>
          </cell>
          <cell r="AB25">
            <v>35805.109349000057</v>
          </cell>
        </row>
        <row r="26">
          <cell r="D26">
            <v>1</v>
          </cell>
          <cell r="E26">
            <v>34024.862024456575</v>
          </cell>
          <cell r="F26">
            <v>32273.488691065821</v>
          </cell>
          <cell r="G26">
            <v>30912.642443477685</v>
          </cell>
          <cell r="H26">
            <v>29937.402847587215</v>
          </cell>
          <cell r="I26">
            <v>29447.169324760129</v>
          </cell>
          <cell r="J26">
            <v>29226.906576466707</v>
          </cell>
          <cell r="K26">
            <v>28122.599498322947</v>
          </cell>
          <cell r="L26">
            <v>29611.975488786095</v>
          </cell>
          <cell r="M26">
            <v>31704.449026774964</v>
          </cell>
          <cell r="N26">
            <v>33219.124110668374</v>
          </cell>
          <cell r="O26">
            <v>34572.984498085956</v>
          </cell>
          <cell r="P26">
            <v>35739.486401847491</v>
          </cell>
          <cell r="Q26">
            <v>36480.080502980694</v>
          </cell>
          <cell r="R26">
            <v>36612.90344934562</v>
          </cell>
          <cell r="S26">
            <v>36753.445080875768</v>
          </cell>
          <cell r="T26">
            <v>37155.342041505341</v>
          </cell>
          <cell r="U26">
            <v>37016.253124652998</v>
          </cell>
          <cell r="V26">
            <v>37199.495803376907</v>
          </cell>
          <cell r="W26">
            <v>41588.960977672912</v>
          </cell>
          <cell r="X26">
            <v>43106.641277610688</v>
          </cell>
          <cell r="Y26">
            <v>42946.87381339485</v>
          </cell>
          <cell r="Z26">
            <v>41686.901612684</v>
          </cell>
          <cell r="AA26">
            <v>38951.784112067151</v>
          </cell>
          <cell r="AB26">
            <v>35805.109349000057</v>
          </cell>
        </row>
        <row r="27">
          <cell r="D27">
            <v>20</v>
          </cell>
          <cell r="E27">
            <v>32251.463731992848</v>
          </cell>
          <cell r="F27">
            <v>30645.264783114802</v>
          </cell>
          <cell r="G27">
            <v>29470.387871127034</v>
          </cell>
          <cell r="H27">
            <v>28670.171969656771</v>
          </cell>
          <cell r="I27">
            <v>28792.757067376733</v>
          </cell>
          <cell r="J27">
            <v>29714.851667509283</v>
          </cell>
          <cell r="K27">
            <v>30043.507514060013</v>
          </cell>
          <cell r="L27">
            <v>33465.288106372609</v>
          </cell>
          <cell r="M27">
            <v>36987.679761060514</v>
          </cell>
          <cell r="N27">
            <v>38615.10166810653</v>
          </cell>
          <cell r="O27">
            <v>40427.429277042938</v>
          </cell>
          <cell r="P27">
            <v>41960.884386911443</v>
          </cell>
          <cell r="Q27">
            <v>40316.742119641793</v>
          </cell>
          <cell r="R27">
            <v>41502.031195204603</v>
          </cell>
          <cell r="S27">
            <v>43810.39984786338</v>
          </cell>
          <cell r="T27">
            <v>44090.754651621814</v>
          </cell>
          <cell r="U27">
            <v>43422.768360128939</v>
          </cell>
          <cell r="V27">
            <v>42295.150154347466</v>
          </cell>
          <cell r="W27">
            <v>44907.95616508097</v>
          </cell>
          <cell r="X27">
            <v>45044.322693735325</v>
          </cell>
          <cell r="Y27">
            <v>43696.485908306517</v>
          </cell>
          <cell r="Z27">
            <v>41597.384455301239</v>
          </cell>
          <cell r="AA27">
            <v>38444.914917035043</v>
          </cell>
          <cell r="AB27">
            <v>35002.816524282389</v>
          </cell>
        </row>
        <row r="28">
          <cell r="D28">
            <v>4</v>
          </cell>
          <cell r="E28">
            <v>31925.797454300275</v>
          </cell>
          <cell r="F28">
            <v>30261.443513500828</v>
          </cell>
          <cell r="G28">
            <v>29025.186203155125</v>
          </cell>
          <cell r="H28">
            <v>28180.931564548722</v>
          </cell>
          <cell r="I28">
            <v>27967.688208834159</v>
          </cell>
          <cell r="J28">
            <v>27959.203951951942</v>
          </cell>
          <cell r="K28">
            <v>27892.983052808198</v>
          </cell>
          <cell r="L28">
            <v>30745.78216556312</v>
          </cell>
          <cell r="M28">
            <v>34066.140086678599</v>
          </cell>
          <cell r="N28">
            <v>35844.308260147642</v>
          </cell>
          <cell r="O28">
            <v>37585.562284212945</v>
          </cell>
          <cell r="P28">
            <v>38668.365323141887</v>
          </cell>
          <cell r="Q28">
            <v>38164.629357810038</v>
          </cell>
          <cell r="R28">
            <v>37753.847136235679</v>
          </cell>
          <cell r="S28">
            <v>37964.022310565946</v>
          </cell>
          <cell r="T28">
            <v>38036.170594179632</v>
          </cell>
          <cell r="U28">
            <v>37821.864659153602</v>
          </cell>
          <cell r="V28">
            <v>38053.40999360702</v>
          </cell>
          <cell r="W28">
            <v>42263.527086525122</v>
          </cell>
          <cell r="X28">
            <v>42354.920371639004</v>
          </cell>
          <cell r="Y28">
            <v>41180.559943947897</v>
          </cell>
          <cell r="Z28">
            <v>39452.201649689283</v>
          </cell>
          <cell r="AA28">
            <v>37268.330606490235</v>
          </cell>
          <cell r="AB28">
            <v>34772.730107292999</v>
          </cell>
        </row>
        <row r="29">
          <cell r="D29">
            <v>4</v>
          </cell>
          <cell r="E29">
            <v>32549.416539318685</v>
          </cell>
          <cell r="F29">
            <v>30948.083967849627</v>
          </cell>
          <cell r="G29">
            <v>29623.899857240049</v>
          </cell>
          <cell r="H29">
            <v>28718.011360389377</v>
          </cell>
          <cell r="I29">
            <v>28336.254193669745</v>
          </cell>
          <cell r="J29">
            <v>27832.967302393394</v>
          </cell>
          <cell r="K29">
            <v>27249.177908841433</v>
          </cell>
          <cell r="L29">
            <v>28756.341845472154</v>
          </cell>
          <cell r="M29">
            <v>30354.082152049425</v>
          </cell>
          <cell r="N29">
            <v>31779.991526571273</v>
          </cell>
          <cell r="O29">
            <v>33106.174360657613</v>
          </cell>
          <cell r="P29">
            <v>34158.336202215542</v>
          </cell>
          <cell r="Q29">
            <v>34746.702154996856</v>
          </cell>
          <cell r="R29">
            <v>34908.790047095463</v>
          </cell>
          <cell r="S29">
            <v>35122.262034240164</v>
          </cell>
          <cell r="T29">
            <v>35436.821868731138</v>
          </cell>
          <cell r="U29">
            <v>35563.909826437193</v>
          </cell>
          <cell r="V29">
            <v>35999.606322854248</v>
          </cell>
          <cell r="W29">
            <v>39992.468528359997</v>
          </cell>
          <cell r="X29">
            <v>41201.571106868389</v>
          </cell>
          <cell r="Y29">
            <v>41066.071936418964</v>
          </cell>
          <cell r="Z29">
            <v>40057.516135551297</v>
          </cell>
          <cell r="AA29">
            <v>37487.291713271741</v>
          </cell>
          <cell r="AB29">
            <v>34439.466387523345</v>
          </cell>
        </row>
        <row r="30">
          <cell r="D30">
            <v>2</v>
          </cell>
          <cell r="E30">
            <v>32549.416539318685</v>
          </cell>
          <cell r="F30">
            <v>30948.083967849627</v>
          </cell>
          <cell r="G30">
            <v>29623.899857240049</v>
          </cell>
          <cell r="H30">
            <v>28718.011360389377</v>
          </cell>
          <cell r="I30">
            <v>28336.254193669745</v>
          </cell>
          <cell r="J30">
            <v>27832.967302393394</v>
          </cell>
          <cell r="K30">
            <v>27249.177908841433</v>
          </cell>
          <cell r="L30">
            <v>28756.341845472154</v>
          </cell>
          <cell r="M30">
            <v>30354.082152049425</v>
          </cell>
          <cell r="N30">
            <v>31779.991526571273</v>
          </cell>
          <cell r="O30">
            <v>33106.174360657613</v>
          </cell>
          <cell r="P30">
            <v>34158.336202215542</v>
          </cell>
          <cell r="Q30">
            <v>34746.702154996856</v>
          </cell>
          <cell r="R30">
            <v>34908.790047095463</v>
          </cell>
          <cell r="S30">
            <v>35122.262034240164</v>
          </cell>
          <cell r="T30">
            <v>35436.821868731138</v>
          </cell>
          <cell r="U30">
            <v>35563.909826437193</v>
          </cell>
          <cell r="V30">
            <v>35999.606322854248</v>
          </cell>
          <cell r="W30">
            <v>39992.468528359997</v>
          </cell>
          <cell r="X30">
            <v>41201.571106868389</v>
          </cell>
          <cell r="Y30">
            <v>41066.071936418964</v>
          </cell>
          <cell r="Z30">
            <v>40057.516135551297</v>
          </cell>
          <cell r="AA30">
            <v>37487.291713271741</v>
          </cell>
          <cell r="AB30">
            <v>34439.466387523345</v>
          </cell>
        </row>
        <row r="31">
          <cell r="D31">
            <v>21</v>
          </cell>
          <cell r="E31">
            <v>31547.005402234907</v>
          </cell>
          <cell r="F31">
            <v>30049.12497949669</v>
          </cell>
          <cell r="G31">
            <v>28915.409507872577</v>
          </cell>
          <cell r="H31">
            <v>28139.451848093806</v>
          </cell>
          <cell r="I31">
            <v>28277.358319724317</v>
          </cell>
          <cell r="J31">
            <v>29060.539619845247</v>
          </cell>
          <cell r="K31">
            <v>29719.716047609556</v>
          </cell>
          <cell r="L31">
            <v>33192.822946995599</v>
          </cell>
          <cell r="M31">
            <v>36763.88721514908</v>
          </cell>
          <cell r="N31">
            <v>38436.179853855443</v>
          </cell>
          <cell r="O31">
            <v>40430.305314336467</v>
          </cell>
          <cell r="P31">
            <v>41732.729807225973</v>
          </cell>
          <cell r="Q31">
            <v>40037.377325065419</v>
          </cell>
          <cell r="R31">
            <v>41134.634624577418</v>
          </cell>
          <cell r="S31">
            <v>43268.225930711589</v>
          </cell>
          <cell r="T31">
            <v>43481.804888537074</v>
          </cell>
          <cell r="U31">
            <v>42859.630697461551</v>
          </cell>
          <cell r="V31">
            <v>41459.175207680375</v>
          </cell>
          <cell r="W31">
            <v>44038.342032125111</v>
          </cell>
          <cell r="X31">
            <v>44212.874453468336</v>
          </cell>
          <cell r="Y31">
            <v>42849.233150166809</v>
          </cell>
          <cell r="Z31">
            <v>40584.375771040744</v>
          </cell>
          <cell r="AA31">
            <v>37394.104594750104</v>
          </cell>
          <cell r="AB31">
            <v>34135.020287512329</v>
          </cell>
        </row>
        <row r="32">
          <cell r="D32">
            <v>4</v>
          </cell>
          <cell r="E32">
            <v>32094.517180507344</v>
          </cell>
          <cell r="F32">
            <v>30227.356729031631</v>
          </cell>
          <cell r="G32">
            <v>28964.369474295665</v>
          </cell>
          <cell r="H32">
            <v>28150.864008352299</v>
          </cell>
          <cell r="I32">
            <v>28002.256285851858</v>
          </cell>
          <cell r="J32">
            <v>27697.850009797927</v>
          </cell>
          <cell r="K32">
            <v>27964.653818267332</v>
          </cell>
          <cell r="L32">
            <v>31166.274707719902</v>
          </cell>
          <cell r="M32">
            <v>34737.602308352114</v>
          </cell>
          <cell r="N32">
            <v>36741.631709203211</v>
          </cell>
          <cell r="O32">
            <v>38270.420882683211</v>
          </cell>
          <cell r="P32">
            <v>39295.586783891733</v>
          </cell>
          <cell r="Q32">
            <v>38492.489113482028</v>
          </cell>
          <cell r="R32">
            <v>37960.100427551661</v>
          </cell>
          <cell r="S32">
            <v>38238.249409611133</v>
          </cell>
          <cell r="T32">
            <v>38307.961450407223</v>
          </cell>
          <cell r="U32">
            <v>38090.584811145724</v>
          </cell>
          <cell r="V32">
            <v>38367.334647412994</v>
          </cell>
          <cell r="W32">
            <v>42452.939609388122</v>
          </cell>
          <cell r="X32">
            <v>42934.747490313646</v>
          </cell>
          <cell r="Y32">
            <v>41664.295164636307</v>
          </cell>
          <cell r="Z32">
            <v>39786.844449007658</v>
          </cell>
          <cell r="AA32">
            <v>37611.218971130635</v>
          </cell>
          <cell r="AB32">
            <v>35087.899887320331</v>
          </cell>
        </row>
        <row r="33">
          <cell r="D33">
            <v>5</v>
          </cell>
          <cell r="E33">
            <v>32473.373317904425</v>
          </cell>
          <cell r="F33">
            <v>30938.993633710284</v>
          </cell>
          <cell r="G33">
            <v>29716.565087259893</v>
          </cell>
          <cell r="H33">
            <v>28839.801881587682</v>
          </cell>
          <cell r="I33">
            <v>28466.173540004824</v>
          </cell>
          <cell r="J33">
            <v>27607.711929166395</v>
          </cell>
          <cell r="K33">
            <v>27191.122276695289</v>
          </cell>
          <cell r="L33">
            <v>28813.794145891607</v>
          </cell>
          <cell r="M33">
            <v>31020.528417273403</v>
          </cell>
          <cell r="N33">
            <v>32765.335306072971</v>
          </cell>
          <cell r="O33">
            <v>33960.648057087979</v>
          </cell>
          <cell r="P33">
            <v>34851.255806456415</v>
          </cell>
          <cell r="Q33">
            <v>35358.919219939969</v>
          </cell>
          <cell r="R33">
            <v>35466.575026391125</v>
          </cell>
          <cell r="S33">
            <v>35614.476189407847</v>
          </cell>
          <cell r="T33">
            <v>36007.132861528575</v>
          </cell>
          <cell r="U33">
            <v>35904.278864931774</v>
          </cell>
          <cell r="V33">
            <v>36478.457204475097</v>
          </cell>
          <cell r="W33">
            <v>40712.371424538862</v>
          </cell>
          <cell r="X33">
            <v>41830.855870836313</v>
          </cell>
          <cell r="Y33">
            <v>41603.355927277706</v>
          </cell>
          <cell r="Z33">
            <v>40267.911163987359</v>
          </cell>
          <cell r="AA33">
            <v>37572.577395550157</v>
          </cell>
          <cell r="AB33">
            <v>34164.555861300294</v>
          </cell>
        </row>
        <row r="34">
          <cell r="D34">
            <v>1</v>
          </cell>
          <cell r="E34">
            <v>32473.373317904425</v>
          </cell>
          <cell r="F34">
            <v>30938.993633710284</v>
          </cell>
          <cell r="G34">
            <v>29716.565087259893</v>
          </cell>
          <cell r="H34">
            <v>28839.801881587682</v>
          </cell>
          <cell r="I34">
            <v>28466.173540004824</v>
          </cell>
          <cell r="J34">
            <v>27607.711929166395</v>
          </cell>
          <cell r="K34">
            <v>27191.122276695289</v>
          </cell>
          <cell r="L34">
            <v>28813.794145891607</v>
          </cell>
          <cell r="M34">
            <v>31020.528417273403</v>
          </cell>
          <cell r="N34">
            <v>32765.335306072971</v>
          </cell>
          <cell r="O34">
            <v>33960.648057087979</v>
          </cell>
          <cell r="P34">
            <v>34851.255806456415</v>
          </cell>
          <cell r="Q34">
            <v>35358.919219939969</v>
          </cell>
          <cell r="R34">
            <v>35466.575026391125</v>
          </cell>
          <cell r="S34">
            <v>35614.476189407847</v>
          </cell>
          <cell r="T34">
            <v>36007.132861528575</v>
          </cell>
          <cell r="U34">
            <v>35904.278864931774</v>
          </cell>
          <cell r="V34">
            <v>36478.457204475097</v>
          </cell>
          <cell r="W34">
            <v>40712.371424538862</v>
          </cell>
          <cell r="X34">
            <v>41830.855870836313</v>
          </cell>
          <cell r="Y34">
            <v>41603.355927277706</v>
          </cell>
          <cell r="Z34">
            <v>40267.911163987359</v>
          </cell>
          <cell r="AA34">
            <v>37572.577395550157</v>
          </cell>
          <cell r="AB34">
            <v>34164.555861300294</v>
          </cell>
        </row>
        <row r="35">
          <cell r="D35">
            <v>20</v>
          </cell>
          <cell r="E35">
            <v>31674.580512401961</v>
          </cell>
          <cell r="F35">
            <v>30083.907948986242</v>
          </cell>
          <cell r="G35">
            <v>28978.527525806971</v>
          </cell>
          <cell r="H35">
            <v>28113.634674353492</v>
          </cell>
          <cell r="I35">
            <v>28200.230787817054</v>
          </cell>
          <cell r="J35">
            <v>28588.507532032163</v>
          </cell>
          <cell r="K35">
            <v>29205.800995825372</v>
          </cell>
          <cell r="L35">
            <v>32883.57659484019</v>
          </cell>
          <cell r="M35">
            <v>36463.737662994463</v>
          </cell>
          <cell r="N35">
            <v>38236.020337970585</v>
          </cell>
          <cell r="O35">
            <v>40286.318656876712</v>
          </cell>
          <cell r="P35">
            <v>41633.958876433586</v>
          </cell>
          <cell r="Q35">
            <v>40153.74483804901</v>
          </cell>
          <cell r="R35">
            <v>41034.48640802403</v>
          </cell>
          <cell r="S35">
            <v>43052.13176871332</v>
          </cell>
          <cell r="T35">
            <v>43291.422822403467</v>
          </cell>
          <cell r="U35">
            <v>42860.992428117475</v>
          </cell>
          <cell r="V35">
            <v>41522.064150237056</v>
          </cell>
          <cell r="W35">
            <v>43945.590192782169</v>
          </cell>
          <cell r="X35">
            <v>44502.401034694849</v>
          </cell>
          <cell r="Y35">
            <v>43048.402083178502</v>
          </cell>
          <cell r="Z35">
            <v>40841.882110126033</v>
          </cell>
          <cell r="AA35">
            <v>37558.61231625035</v>
          </cell>
          <cell r="AB35">
            <v>34247.645180731168</v>
          </cell>
        </row>
        <row r="36">
          <cell r="D36">
            <v>4</v>
          </cell>
          <cell r="E36">
            <v>31752.451838808181</v>
          </cell>
          <cell r="F36">
            <v>30192.723031607482</v>
          </cell>
          <cell r="G36">
            <v>29033.660520950994</v>
          </cell>
          <cell r="H36">
            <v>28238.162869145741</v>
          </cell>
          <cell r="I36">
            <v>28098.642874110388</v>
          </cell>
          <cell r="J36">
            <v>27743.212316213812</v>
          </cell>
          <cell r="K36">
            <v>28015.230408016239</v>
          </cell>
          <cell r="L36">
            <v>31247.255817378638</v>
          </cell>
          <cell r="M36">
            <v>34794.041265163454</v>
          </cell>
          <cell r="N36">
            <v>36819.441805608411</v>
          </cell>
          <cell r="O36">
            <v>38555.025154402923</v>
          </cell>
          <cell r="P36">
            <v>39606.186575079402</v>
          </cell>
          <cell r="Q36">
            <v>38882.761582001192</v>
          </cell>
          <cell r="R36">
            <v>38101.037754778488</v>
          </cell>
          <cell r="S36">
            <v>38219.574820133595</v>
          </cell>
          <cell r="T36">
            <v>38244.050306698075</v>
          </cell>
          <cell r="U36">
            <v>37799.513239195789</v>
          </cell>
          <cell r="V36">
            <v>37951.955431956376</v>
          </cell>
          <cell r="W36">
            <v>41231.820068627429</v>
          </cell>
          <cell r="X36">
            <v>42096.764885485412</v>
          </cell>
          <cell r="Y36">
            <v>40888.063991359682</v>
          </cell>
          <cell r="Z36">
            <v>38847.950636287773</v>
          </cell>
          <cell r="AA36">
            <v>36477.620198911303</v>
          </cell>
          <cell r="AB36">
            <v>34027.973183808499</v>
          </cell>
        </row>
        <row r="37">
          <cell r="D37">
            <v>4</v>
          </cell>
          <cell r="E37">
            <v>32232.125526220465</v>
          </cell>
          <cell r="F37">
            <v>30599.590537954453</v>
          </cell>
          <cell r="G37">
            <v>29331.538707302909</v>
          </cell>
          <cell r="H37">
            <v>28498.077349717045</v>
          </cell>
          <cell r="I37">
            <v>28173.003265979496</v>
          </cell>
          <cell r="J37">
            <v>27287.919855085227</v>
          </cell>
          <cell r="K37">
            <v>26688.240546849323</v>
          </cell>
          <cell r="L37">
            <v>28151.457533452074</v>
          </cell>
          <cell r="M37">
            <v>30080.507119799175</v>
          </cell>
          <cell r="N37">
            <v>31693.681374826785</v>
          </cell>
          <cell r="O37">
            <v>32835.317754188705</v>
          </cell>
          <cell r="P37">
            <v>33743.089844568953</v>
          </cell>
          <cell r="Q37">
            <v>34452.977616222342</v>
          </cell>
          <cell r="R37">
            <v>34388.971798304774</v>
          </cell>
          <cell r="S37">
            <v>34507.58972387285</v>
          </cell>
          <cell r="T37">
            <v>34787.843208317827</v>
          </cell>
          <cell r="U37">
            <v>34843.637149398099</v>
          </cell>
          <cell r="V37">
            <v>35239.672999968265</v>
          </cell>
          <cell r="W37">
            <v>39290.89736535251</v>
          </cell>
          <cell r="X37">
            <v>41187.100758082568</v>
          </cell>
          <cell r="Y37">
            <v>40666.524677474059</v>
          </cell>
          <cell r="Z37">
            <v>39364.464788504163</v>
          </cell>
          <cell r="AA37">
            <v>36981.355744324967</v>
          </cell>
          <cell r="AB37">
            <v>34278.487188392224</v>
          </cell>
        </row>
        <row r="38">
          <cell r="D38">
            <v>2</v>
          </cell>
          <cell r="E38">
            <v>32232.125526220465</v>
          </cell>
          <cell r="F38">
            <v>30599.590537954453</v>
          </cell>
          <cell r="G38">
            <v>29331.538707302909</v>
          </cell>
          <cell r="H38">
            <v>28498.077349717045</v>
          </cell>
          <cell r="I38">
            <v>28173.003265979496</v>
          </cell>
          <cell r="J38">
            <v>27287.919855085227</v>
          </cell>
          <cell r="K38">
            <v>26688.240546849323</v>
          </cell>
          <cell r="L38">
            <v>28151.457533452074</v>
          </cell>
          <cell r="M38">
            <v>30080.507119799175</v>
          </cell>
          <cell r="N38">
            <v>31693.681374826785</v>
          </cell>
          <cell r="O38">
            <v>32835.317754188705</v>
          </cell>
          <cell r="P38">
            <v>33743.089844568953</v>
          </cell>
          <cell r="Q38">
            <v>34452.977616222342</v>
          </cell>
          <cell r="R38">
            <v>34388.971798304774</v>
          </cell>
          <cell r="S38">
            <v>34507.58972387285</v>
          </cell>
          <cell r="T38">
            <v>34787.843208317827</v>
          </cell>
          <cell r="U38">
            <v>34843.637149398099</v>
          </cell>
          <cell r="V38">
            <v>35239.672999968265</v>
          </cell>
          <cell r="W38">
            <v>39290.89736535251</v>
          </cell>
          <cell r="X38">
            <v>41187.100758082568</v>
          </cell>
          <cell r="Y38">
            <v>40666.524677474059</v>
          </cell>
          <cell r="Z38">
            <v>39364.464788504163</v>
          </cell>
          <cell r="AA38">
            <v>36981.355744324967</v>
          </cell>
          <cell r="AB38">
            <v>34278.487188392224</v>
          </cell>
        </row>
        <row r="39">
          <cell r="D39">
            <v>20</v>
          </cell>
          <cell r="E39">
            <v>31619.370671339406</v>
          </cell>
          <cell r="F39">
            <v>30002.9859092441</v>
          </cell>
          <cell r="G39">
            <v>28796.590834320239</v>
          </cell>
          <cell r="H39">
            <v>27990.99918684033</v>
          </cell>
          <cell r="I39">
            <v>27961.292418860168</v>
          </cell>
          <cell r="J39">
            <v>28680.383038224019</v>
          </cell>
          <cell r="K39">
            <v>29053.131863179427</v>
          </cell>
          <cell r="L39">
            <v>32631.694420609561</v>
          </cell>
          <cell r="M39">
            <v>36140.363257741752</v>
          </cell>
          <cell r="N39">
            <v>37945.035841958219</v>
          </cell>
          <cell r="O39">
            <v>40042.434360937674</v>
          </cell>
          <cell r="P39">
            <v>41615.49124687061</v>
          </cell>
          <cell r="Q39">
            <v>40131.953295388448</v>
          </cell>
          <cell r="R39">
            <v>41482.216731936831</v>
          </cell>
          <cell r="S39">
            <v>43844.111131988095</v>
          </cell>
          <cell r="T39">
            <v>44103.777735512609</v>
          </cell>
          <cell r="U39">
            <v>43505.230215109936</v>
          </cell>
          <cell r="V39">
            <v>41656.528005939392</v>
          </cell>
          <cell r="W39">
            <v>43503.905256027865</v>
          </cell>
          <cell r="X39">
            <v>44517.931755858575</v>
          </cell>
          <cell r="Y39">
            <v>43311.79442390515</v>
          </cell>
          <cell r="Z39">
            <v>41158.511055653122</v>
          </cell>
          <cell r="AA39">
            <v>37792.502420475103</v>
          </cell>
          <cell r="AB39">
            <v>34535.342658265567</v>
          </cell>
        </row>
        <row r="40">
          <cell r="D40">
            <v>5</v>
          </cell>
          <cell r="E40">
            <v>32208.943697470808</v>
          </cell>
          <cell r="F40">
            <v>30388.340289702897</v>
          </cell>
          <cell r="G40">
            <v>29078.416695061918</v>
          </cell>
          <cell r="H40">
            <v>28284.61171876857</v>
          </cell>
          <cell r="I40">
            <v>27908.801390767574</v>
          </cell>
          <cell r="J40">
            <v>27625.587969820277</v>
          </cell>
          <cell r="K40">
            <v>27749.664881198794</v>
          </cell>
          <cell r="L40">
            <v>30788.645695098847</v>
          </cell>
          <cell r="M40">
            <v>34356.640426618411</v>
          </cell>
          <cell r="N40">
            <v>36417.256360018509</v>
          </cell>
          <cell r="O40">
            <v>38355.68454950348</v>
          </cell>
          <cell r="P40">
            <v>39324.517267557698</v>
          </cell>
          <cell r="Q40">
            <v>38696.074517582078</v>
          </cell>
          <cell r="R40">
            <v>38136.645809073605</v>
          </cell>
          <cell r="S40">
            <v>38133.900476713752</v>
          </cell>
          <cell r="T40">
            <v>37908.620236209164</v>
          </cell>
          <cell r="U40">
            <v>37545.755134326908</v>
          </cell>
          <cell r="V40">
            <v>37670.867303033199</v>
          </cell>
          <cell r="W40">
            <v>40033.390879387953</v>
          </cell>
          <cell r="X40">
            <v>40935.085839090847</v>
          </cell>
          <cell r="Y40">
            <v>39593.794656057638</v>
          </cell>
          <cell r="Z40">
            <v>37935.819416051731</v>
          </cell>
          <cell r="AA40">
            <v>35832.495413631303</v>
          </cell>
          <cell r="AB40">
            <v>33422.974246839345</v>
          </cell>
        </row>
        <row r="41">
          <cell r="D41">
            <v>4</v>
          </cell>
          <cell r="E41">
            <v>30289.856524241521</v>
          </cell>
          <cell r="F41">
            <v>28873.609468117171</v>
          </cell>
          <cell r="G41">
            <v>27638.552844569069</v>
          </cell>
          <cell r="H41">
            <v>26884.277798227195</v>
          </cell>
          <cell r="I41">
            <v>26579.290259353947</v>
          </cell>
          <cell r="J41">
            <v>25929.320878295424</v>
          </cell>
          <cell r="K41">
            <v>25356.985274602248</v>
          </cell>
          <cell r="L41">
            <v>26924.355420320218</v>
          </cell>
          <cell r="M41">
            <v>28851.433358546845</v>
          </cell>
          <cell r="N41">
            <v>30404.084425593497</v>
          </cell>
          <cell r="O41">
            <v>31728.371168804002</v>
          </cell>
          <cell r="P41">
            <v>32857.033574326611</v>
          </cell>
          <cell r="Q41">
            <v>33673.106675905881</v>
          </cell>
          <cell r="R41">
            <v>33880.176179545932</v>
          </cell>
          <cell r="S41">
            <v>34072.570411296401</v>
          </cell>
          <cell r="T41">
            <v>34523.085367610816</v>
          </cell>
          <cell r="U41">
            <v>34462.217991746686</v>
          </cell>
          <cell r="V41">
            <v>34625.421016149725</v>
          </cell>
          <cell r="W41">
            <v>38552.465794234173</v>
          </cell>
          <cell r="X41">
            <v>40755.425100680601</v>
          </cell>
          <cell r="Y41">
            <v>40139.18737105545</v>
          </cell>
          <cell r="Z41">
            <v>38489.856025099456</v>
          </cell>
          <cell r="AA41">
            <v>35527.193496677202</v>
          </cell>
          <cell r="AB41">
            <v>32534.142805017651</v>
          </cell>
        </row>
        <row r="42">
          <cell r="D42">
            <v>2</v>
          </cell>
          <cell r="E42">
            <v>30289.856524241521</v>
          </cell>
          <cell r="F42">
            <v>28873.609468117171</v>
          </cell>
          <cell r="G42">
            <v>27638.552844569069</v>
          </cell>
          <cell r="H42">
            <v>26884.277798227195</v>
          </cell>
          <cell r="I42">
            <v>26579.290259353947</v>
          </cell>
          <cell r="J42">
            <v>25929.320878295424</v>
          </cell>
          <cell r="K42">
            <v>25356.985274602248</v>
          </cell>
          <cell r="L42">
            <v>26924.355420320218</v>
          </cell>
          <cell r="M42">
            <v>28851.433358546845</v>
          </cell>
          <cell r="N42">
            <v>30404.084425593497</v>
          </cell>
          <cell r="O42">
            <v>31728.371168804002</v>
          </cell>
          <cell r="P42">
            <v>32857.033574326611</v>
          </cell>
          <cell r="Q42">
            <v>33673.106675905881</v>
          </cell>
          <cell r="R42">
            <v>33880.176179545932</v>
          </cell>
          <cell r="S42">
            <v>34072.570411296401</v>
          </cell>
          <cell r="T42">
            <v>34523.085367610816</v>
          </cell>
          <cell r="U42">
            <v>34462.217991746686</v>
          </cell>
          <cell r="V42">
            <v>34625.421016149725</v>
          </cell>
          <cell r="W42">
            <v>38552.465794234173</v>
          </cell>
          <cell r="X42">
            <v>40755.425100680601</v>
          </cell>
          <cell r="Y42">
            <v>40139.18737105545</v>
          </cell>
          <cell r="Z42">
            <v>38489.856025099456</v>
          </cell>
          <cell r="AA42">
            <v>35527.193496677202</v>
          </cell>
          <cell r="AB42">
            <v>32534.142805017651</v>
          </cell>
        </row>
        <row r="43">
          <cell r="D43">
            <v>21</v>
          </cell>
          <cell r="E43">
            <v>31634.707475759387</v>
          </cell>
          <cell r="F43">
            <v>29904.184065369853</v>
          </cell>
          <cell r="G43">
            <v>28678.85300291267</v>
          </cell>
          <cell r="H43">
            <v>27843.045854231725</v>
          </cell>
          <cell r="I43">
            <v>27814.413270989629</v>
          </cell>
          <cell r="J43">
            <v>28743.90217930801</v>
          </cell>
          <cell r="K43">
            <v>29082.040437902226</v>
          </cell>
          <cell r="L43">
            <v>32351.035362013292</v>
          </cell>
          <cell r="M43">
            <v>35874.736273998366</v>
          </cell>
          <cell r="N43">
            <v>37639.973262583058</v>
          </cell>
          <cell r="O43">
            <v>39834.756169344051</v>
          </cell>
          <cell r="P43">
            <v>41652.406983299479</v>
          </cell>
          <cell r="Q43">
            <v>39977.973678061775</v>
          </cell>
          <cell r="R43">
            <v>41285.32370956162</v>
          </cell>
          <cell r="S43">
            <v>43767.681972899496</v>
          </cell>
          <cell r="T43">
            <v>44048.783471921692</v>
          </cell>
          <cell r="U43">
            <v>43293.383694343633</v>
          </cell>
          <cell r="V43">
            <v>41707.57810327701</v>
          </cell>
          <cell r="W43">
            <v>44204.206102017073</v>
          </cell>
          <cell r="X43">
            <v>44893.574580604101</v>
          </cell>
          <cell r="Y43">
            <v>43632.008402694715</v>
          </cell>
          <cell r="Z43">
            <v>41400.635224009071</v>
          </cell>
          <cell r="AA43">
            <v>37963.579809557232</v>
          </cell>
          <cell r="AB43">
            <v>34716.954928217427</v>
          </cell>
        </row>
        <row r="44">
          <cell r="D44">
            <v>3</v>
          </cell>
          <cell r="E44">
            <v>32067.812527012476</v>
          </cell>
          <cell r="F44">
            <v>30418.866666250105</v>
          </cell>
          <cell r="G44">
            <v>29196.234209759044</v>
          </cell>
          <cell r="H44">
            <v>28268.273118531473</v>
          </cell>
          <cell r="I44">
            <v>27711.853589666633</v>
          </cell>
          <cell r="J44">
            <v>27472.932825195156</v>
          </cell>
          <cell r="K44">
            <v>27515.778394758621</v>
          </cell>
          <cell r="L44">
            <v>30459.54829733431</v>
          </cell>
          <cell r="M44">
            <v>33684.081293204239</v>
          </cell>
          <cell r="N44">
            <v>35735.145267545835</v>
          </cell>
          <cell r="O44">
            <v>37419.218985643834</v>
          </cell>
          <cell r="P44">
            <v>37989.16306557817</v>
          </cell>
          <cell r="Q44">
            <v>37336.813569466838</v>
          </cell>
          <cell r="R44">
            <v>36825.313610032215</v>
          </cell>
          <cell r="S44">
            <v>37231.652138101723</v>
          </cell>
          <cell r="T44">
            <v>37393.552979588989</v>
          </cell>
          <cell r="U44">
            <v>37147.30157393837</v>
          </cell>
          <cell r="V44">
            <v>37434.246465046184</v>
          </cell>
          <cell r="W44">
            <v>41320.891290893262</v>
          </cell>
          <cell r="X44">
            <v>41649.304582666948</v>
          </cell>
          <cell r="Y44">
            <v>40131.028702326716</v>
          </cell>
          <cell r="Z44">
            <v>38310.316327003144</v>
          </cell>
          <cell r="AA44">
            <v>35959.845423089966</v>
          </cell>
          <cell r="AB44">
            <v>33395.265988200685</v>
          </cell>
        </row>
        <row r="45">
          <cell r="D45">
            <v>5</v>
          </cell>
          <cell r="E45">
            <v>31294.12501906438</v>
          </cell>
          <cell r="F45">
            <v>29771.434415598229</v>
          </cell>
          <cell r="G45">
            <v>28451.705624639402</v>
          </cell>
          <cell r="H45">
            <v>27686.748089291479</v>
          </cell>
          <cell r="I45">
            <v>27287.943272964596</v>
          </cell>
          <cell r="J45">
            <v>26872.5134716223</v>
          </cell>
          <cell r="K45">
            <v>26150.153337116211</v>
          </cell>
          <cell r="L45">
            <v>27631.273489227246</v>
          </cell>
          <cell r="M45">
            <v>29409.66214510291</v>
          </cell>
          <cell r="N45">
            <v>30921.269425225459</v>
          </cell>
          <cell r="O45">
            <v>32203.441243199533</v>
          </cell>
          <cell r="P45">
            <v>33272.209607687022</v>
          </cell>
          <cell r="Q45">
            <v>33909.473383346063</v>
          </cell>
          <cell r="R45">
            <v>34042.95877735471</v>
          </cell>
          <cell r="S45">
            <v>34248.304607353013</v>
          </cell>
          <cell r="T45">
            <v>34495.577293007591</v>
          </cell>
          <cell r="U45">
            <v>34491.333685178841</v>
          </cell>
          <cell r="V45">
            <v>35069.589226805838</v>
          </cell>
          <cell r="W45">
            <v>39465.14460469925</v>
          </cell>
          <cell r="X45">
            <v>41168.978274062552</v>
          </cell>
          <cell r="Y45">
            <v>40831.763110339467</v>
          </cell>
          <cell r="Z45">
            <v>39372.724562674586</v>
          </cell>
          <cell r="AA45">
            <v>36491.073893931076</v>
          </cell>
          <cell r="AB45">
            <v>33444.014520108569</v>
          </cell>
        </row>
        <row r="46">
          <cell r="D46">
            <v>2</v>
          </cell>
          <cell r="E46">
            <v>31294.12501906438</v>
          </cell>
          <cell r="F46">
            <v>29771.434415598229</v>
          </cell>
          <cell r="G46">
            <v>28451.705624639402</v>
          </cell>
          <cell r="H46">
            <v>27686.748089291479</v>
          </cell>
          <cell r="I46">
            <v>27287.943272964596</v>
          </cell>
          <cell r="J46">
            <v>26872.5134716223</v>
          </cell>
          <cell r="K46">
            <v>26150.153337116211</v>
          </cell>
          <cell r="L46">
            <v>27631.273489227246</v>
          </cell>
          <cell r="M46">
            <v>29409.66214510291</v>
          </cell>
          <cell r="N46">
            <v>30921.269425225459</v>
          </cell>
          <cell r="O46">
            <v>32203.441243199533</v>
          </cell>
          <cell r="P46">
            <v>33272.209607687022</v>
          </cell>
          <cell r="Q46">
            <v>33909.473383346063</v>
          </cell>
          <cell r="R46">
            <v>34042.95877735471</v>
          </cell>
          <cell r="S46">
            <v>34248.304607353013</v>
          </cell>
          <cell r="T46">
            <v>34495.577293007591</v>
          </cell>
          <cell r="U46">
            <v>34491.333685178841</v>
          </cell>
          <cell r="V46">
            <v>35069.589226805838</v>
          </cell>
          <cell r="W46">
            <v>39465.14460469925</v>
          </cell>
          <cell r="X46">
            <v>41168.978274062552</v>
          </cell>
          <cell r="Y46">
            <v>40831.763110339467</v>
          </cell>
          <cell r="Z46">
            <v>39372.724562674586</v>
          </cell>
          <cell r="AA46">
            <v>36491.073893931076</v>
          </cell>
          <cell r="AB46">
            <v>33444.014520108569</v>
          </cell>
        </row>
        <row r="47">
          <cell r="D47">
            <v>22</v>
          </cell>
          <cell r="E47">
            <v>31294.419749906203</v>
          </cell>
          <cell r="F47">
            <v>29652.916992116279</v>
          </cell>
          <cell r="G47">
            <v>28443.669336326137</v>
          </cell>
          <cell r="H47">
            <v>27557.995182978259</v>
          </cell>
          <cell r="I47">
            <v>27526.705908414195</v>
          </cell>
          <cell r="J47">
            <v>28417.542278009456</v>
          </cell>
          <cell r="K47">
            <v>28819.189550679086</v>
          </cell>
          <cell r="L47">
            <v>32118.318755425706</v>
          </cell>
          <cell r="M47">
            <v>35671.473301485297</v>
          </cell>
          <cell r="N47">
            <v>37445.578535347173</v>
          </cell>
          <cell r="O47">
            <v>39352.61262348725</v>
          </cell>
          <cell r="P47">
            <v>40982.30524501302</v>
          </cell>
          <cell r="Q47">
            <v>39501.053157790106</v>
          </cell>
          <cell r="R47">
            <v>40655.261366704493</v>
          </cell>
          <cell r="S47">
            <v>42961.206488302967</v>
          </cell>
          <cell r="T47">
            <v>43255.229990271138</v>
          </cell>
          <cell r="U47">
            <v>42586.908634911793</v>
          </cell>
          <cell r="V47">
            <v>41504.064726684621</v>
          </cell>
          <cell r="W47">
            <v>44280.568698849827</v>
          </cell>
          <cell r="X47">
            <v>43862.371347975371</v>
          </cell>
          <cell r="Y47">
            <v>42461.915382972635</v>
          </cell>
          <cell r="Z47">
            <v>40171.718995644929</v>
          </cell>
          <cell r="AA47">
            <v>36735.561864090159</v>
          </cell>
          <cell r="AB47">
            <v>33574.511499973087</v>
          </cell>
        </row>
        <row r="48">
          <cell r="D48">
            <v>4</v>
          </cell>
          <cell r="E48">
            <v>30480.080036868585</v>
          </cell>
          <cell r="F48">
            <v>28939.420372527657</v>
          </cell>
          <cell r="G48">
            <v>27782.067680186323</v>
          </cell>
          <cell r="H48">
            <v>26929.046606255088</v>
          </cell>
          <cell r="I48">
            <v>26702.249813986604</v>
          </cell>
          <cell r="J48">
            <v>26548.500619003957</v>
          </cell>
          <cell r="K48">
            <v>26852.892272487712</v>
          </cell>
          <cell r="L48">
            <v>29914.27052712447</v>
          </cell>
          <cell r="M48">
            <v>33338.389183398634</v>
          </cell>
          <cell r="N48">
            <v>35025.031201518366</v>
          </cell>
          <cell r="O48">
            <v>37076.332857713816</v>
          </cell>
          <cell r="P48">
            <v>37989.500588810646</v>
          </cell>
          <cell r="Q48">
            <v>37566.502260813548</v>
          </cell>
          <cell r="R48">
            <v>37106.999464838584</v>
          </cell>
          <cell r="S48">
            <v>37363.422151515326</v>
          </cell>
          <cell r="T48">
            <v>37283.656598055866</v>
          </cell>
          <cell r="U48">
            <v>36840.415134726849</v>
          </cell>
          <cell r="V48">
            <v>37744.187533957091</v>
          </cell>
          <cell r="W48">
            <v>41939.66196208966</v>
          </cell>
          <cell r="X48">
            <v>41629.186964022374</v>
          </cell>
          <cell r="Y48">
            <v>40159.61071280366</v>
          </cell>
          <cell r="Z48">
            <v>38311.711657977474</v>
          </cell>
          <cell r="AA48">
            <v>36194.50029186561</v>
          </cell>
          <cell r="AB48">
            <v>33664.682951893526</v>
          </cell>
        </row>
        <row r="49">
          <cell r="D49">
            <v>4</v>
          </cell>
          <cell r="E49">
            <v>31197.490051734174</v>
          </cell>
          <cell r="F49">
            <v>29607.634001933799</v>
          </cell>
          <cell r="G49">
            <v>28242.592958331898</v>
          </cell>
          <cell r="H49">
            <v>27338.999407043593</v>
          </cell>
          <cell r="I49">
            <v>26956.517210087251</v>
          </cell>
          <cell r="J49">
            <v>26224.998952913495</v>
          </cell>
          <cell r="K49">
            <v>25539.546142096326</v>
          </cell>
          <cell r="L49">
            <v>27145.388180435199</v>
          </cell>
          <cell r="M49">
            <v>28890.843825629679</v>
          </cell>
          <cell r="N49">
            <v>30583.924055338997</v>
          </cell>
          <cell r="O49">
            <v>31879.635590064623</v>
          </cell>
          <cell r="P49">
            <v>32730.769802492552</v>
          </cell>
          <cell r="Q49">
            <v>33460.210406070299</v>
          </cell>
          <cell r="R49">
            <v>33562.894898955885</v>
          </cell>
          <cell r="S49">
            <v>33582.999733594559</v>
          </cell>
          <cell r="T49">
            <v>34000.801727363338</v>
          </cell>
          <cell r="U49">
            <v>33964.77031062029</v>
          </cell>
          <cell r="V49">
            <v>35069.53950779709</v>
          </cell>
          <cell r="W49">
            <v>39656.023627902629</v>
          </cell>
          <cell r="X49">
            <v>40315.703790216787</v>
          </cell>
          <cell r="Y49">
            <v>39794.944159693288</v>
          </cell>
          <cell r="Z49">
            <v>38292.246149725222</v>
          </cell>
          <cell r="AA49">
            <v>35531.361354941691</v>
          </cell>
          <cell r="AB49">
            <v>32591.280666260864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20</v>
          </cell>
          <cell r="E51">
            <v>30383.657924378382</v>
          </cell>
          <cell r="F51">
            <v>28784.275900054316</v>
          </cell>
          <cell r="G51">
            <v>27641.470215679754</v>
          </cell>
          <cell r="H51">
            <v>26810.522416313444</v>
          </cell>
          <cell r="I51">
            <v>26897.274315106737</v>
          </cell>
          <cell r="J51">
            <v>27700.602687297909</v>
          </cell>
          <cell r="K51">
            <v>28427.904529988624</v>
          </cell>
          <cell r="L51">
            <v>31664.253687241897</v>
          </cell>
          <cell r="M51">
            <v>35105.796850594488</v>
          </cell>
          <cell r="N51">
            <v>36908.27213867801</v>
          </cell>
          <cell r="O51">
            <v>38785.395293474859</v>
          </cell>
          <cell r="P51">
            <v>40271.722571976585</v>
          </cell>
          <cell r="Q51">
            <v>38534.232187142741</v>
          </cell>
          <cell r="R51">
            <v>39564.346132675251</v>
          </cell>
          <cell r="S51">
            <v>41785.226541055854</v>
          </cell>
          <cell r="T51">
            <v>42287.19796270907</v>
          </cell>
          <cell r="U51">
            <v>41817.280335138268</v>
          </cell>
          <cell r="V51">
            <v>41832.044894788291</v>
          </cell>
          <cell r="W51">
            <v>44427.78283552824</v>
          </cell>
          <cell r="X51">
            <v>43437.692347847049</v>
          </cell>
          <cell r="Y51">
            <v>41824.455364245492</v>
          </cell>
          <cell r="Z51">
            <v>39535.448022958764</v>
          </cell>
          <cell r="AA51">
            <v>36161.83478282662</v>
          </cell>
          <cell r="AB51">
            <v>32903.760693478042</v>
          </cell>
        </row>
        <row r="52">
          <cell r="D52">
            <v>5</v>
          </cell>
          <cell r="E52">
            <v>30937.908947112224</v>
          </cell>
          <cell r="F52">
            <v>29200.66692177199</v>
          </cell>
          <cell r="G52">
            <v>27823.485352417647</v>
          </cell>
          <cell r="H52">
            <v>26966.15700146784</v>
          </cell>
          <cell r="I52">
            <v>26949.092867235733</v>
          </cell>
          <cell r="J52">
            <v>26834.648320780612</v>
          </cell>
          <cell r="K52">
            <v>27250.209616390406</v>
          </cell>
          <cell r="L52">
            <v>29949.910117917552</v>
          </cell>
          <cell r="M52">
            <v>33312.406630896709</v>
          </cell>
          <cell r="N52">
            <v>35230.531406759532</v>
          </cell>
          <cell r="O52">
            <v>37207.527016120504</v>
          </cell>
          <cell r="P52">
            <v>38191.127350949755</v>
          </cell>
          <cell r="Q52">
            <v>37474.21318385718</v>
          </cell>
          <cell r="R52">
            <v>37012.120196625867</v>
          </cell>
          <cell r="S52">
            <v>37400.716449655207</v>
          </cell>
          <cell r="T52">
            <v>37793.291141156282</v>
          </cell>
          <cell r="U52">
            <v>37505.25563262371</v>
          </cell>
          <cell r="V52">
            <v>38875.469047505532</v>
          </cell>
          <cell r="W52">
            <v>42548.893478774051</v>
          </cell>
          <cell r="X52">
            <v>41763.03000075266</v>
          </cell>
          <cell r="Y52">
            <v>40151.38182360294</v>
          </cell>
          <cell r="Z52">
            <v>38124.490893229442</v>
          </cell>
          <cell r="AA52">
            <v>35696.073625681391</v>
          </cell>
          <cell r="AB52">
            <v>33131.614574260238</v>
          </cell>
        </row>
        <row r="53">
          <cell r="D53">
            <v>5</v>
          </cell>
          <cell r="E53">
            <v>30777.771547926259</v>
          </cell>
          <cell r="F53">
            <v>29162.932537105436</v>
          </cell>
          <cell r="G53">
            <v>27880.539444175665</v>
          </cell>
          <cell r="H53">
            <v>27086.947574159029</v>
          </cell>
          <cell r="I53">
            <v>26730.48082363317</v>
          </cell>
          <cell r="J53">
            <v>26157.355607634494</v>
          </cell>
          <cell r="K53">
            <v>25458.420469239401</v>
          </cell>
          <cell r="L53">
            <v>26968.40048180904</v>
          </cell>
          <cell r="M53">
            <v>28929.496339146197</v>
          </cell>
          <cell r="N53">
            <v>30496.711513021957</v>
          </cell>
          <cell r="O53">
            <v>31999.529254380319</v>
          </cell>
          <cell r="P53">
            <v>33201.236292843088</v>
          </cell>
          <cell r="Q53">
            <v>33800.515716257767</v>
          </cell>
          <cell r="R53">
            <v>33864.770266126478</v>
          </cell>
          <cell r="S53">
            <v>34075.019696979187</v>
          </cell>
          <cell r="T53">
            <v>34037.526526227339</v>
          </cell>
          <cell r="U53">
            <v>34291.556282598016</v>
          </cell>
          <cell r="V53">
            <v>35971.78558532126</v>
          </cell>
          <cell r="W53">
            <v>40336.855594108871</v>
          </cell>
          <cell r="X53">
            <v>40603.594905280588</v>
          </cell>
          <cell r="Y53">
            <v>39972.54239042371</v>
          </cell>
          <cell r="Z53">
            <v>38387.06274077727</v>
          </cell>
          <cell r="AA53">
            <v>35509.138888048292</v>
          </cell>
          <cell r="AB53">
            <v>32599.254509845792</v>
          </cell>
        </row>
        <row r="54">
          <cell r="D54">
            <v>1</v>
          </cell>
          <cell r="E54">
            <v>30777.771547926259</v>
          </cell>
          <cell r="F54">
            <v>29162.932537105436</v>
          </cell>
          <cell r="G54">
            <v>27880.539444175665</v>
          </cell>
          <cell r="H54">
            <v>27086.947574159029</v>
          </cell>
          <cell r="I54">
            <v>26730.48082363317</v>
          </cell>
          <cell r="J54">
            <v>26157.355607634494</v>
          </cell>
          <cell r="K54">
            <v>25458.420469239401</v>
          </cell>
          <cell r="L54">
            <v>26968.40048180904</v>
          </cell>
          <cell r="M54">
            <v>28929.496339146197</v>
          </cell>
          <cell r="N54">
            <v>30496.711513021957</v>
          </cell>
          <cell r="O54">
            <v>31999.529254380319</v>
          </cell>
          <cell r="P54">
            <v>33201.236292843088</v>
          </cell>
          <cell r="Q54">
            <v>33800.515716257767</v>
          </cell>
          <cell r="R54">
            <v>33864.770266126478</v>
          </cell>
          <cell r="S54">
            <v>34075.019696979187</v>
          </cell>
          <cell r="T54">
            <v>34037.526526227339</v>
          </cell>
          <cell r="U54">
            <v>34291.556282598016</v>
          </cell>
          <cell r="V54">
            <v>35971.78558532126</v>
          </cell>
          <cell r="W54">
            <v>40336.855594108871</v>
          </cell>
          <cell r="X54">
            <v>40603.594905280588</v>
          </cell>
          <cell r="Y54">
            <v>39972.54239042371</v>
          </cell>
          <cell r="Z54">
            <v>38387.06274077727</v>
          </cell>
          <cell r="AA54">
            <v>35509.138888048292</v>
          </cell>
          <cell r="AB54">
            <v>32599.254509845792</v>
          </cell>
        </row>
        <row r="55">
          <cell r="D55">
            <v>20</v>
          </cell>
          <cell r="E55">
            <v>29939.267529581255</v>
          </cell>
          <cell r="F55">
            <v>28400.864370384144</v>
          </cell>
          <cell r="G55">
            <v>27280.614918114818</v>
          </cell>
          <cell r="H55">
            <v>26521.801920411875</v>
          </cell>
          <cell r="I55">
            <v>26596.622243031114</v>
          </cell>
          <cell r="J55">
            <v>27386.363847263387</v>
          </cell>
          <cell r="K55">
            <v>28107.499342173767</v>
          </cell>
          <cell r="L55">
            <v>31450.828490816351</v>
          </cell>
          <cell r="M55">
            <v>34891.788522881056</v>
          </cell>
          <cell r="N55">
            <v>36598.719097016881</v>
          </cell>
          <cell r="O55">
            <v>38380.133153005314</v>
          </cell>
          <cell r="P55">
            <v>39635.688751766334</v>
          </cell>
          <cell r="Q55">
            <v>38010.428116178067</v>
          </cell>
          <cell r="R55">
            <v>38866.030947377614</v>
          </cell>
          <cell r="S55">
            <v>40804.504018436652</v>
          </cell>
          <cell r="T55">
            <v>41303.30187077335</v>
          </cell>
          <cell r="U55">
            <v>40899.992980086732</v>
          </cell>
          <cell r="V55">
            <v>41434.312635753879</v>
          </cell>
          <cell r="W55">
            <v>43462.735222625219</v>
          </cell>
          <cell r="X55">
            <v>42456.10535764385</v>
          </cell>
          <cell r="Y55">
            <v>40951.099454826035</v>
          </cell>
          <cell r="Z55">
            <v>38770.432646522429</v>
          </cell>
          <cell r="AA55">
            <v>35580.470770725733</v>
          </cell>
          <cell r="AB55">
            <v>32431.581478453088</v>
          </cell>
        </row>
        <row r="56">
          <cell r="D56">
            <v>4</v>
          </cell>
          <cell r="E56">
            <v>29225.064058831889</v>
          </cell>
          <cell r="F56">
            <v>27794.186227760154</v>
          </cell>
          <cell r="G56">
            <v>26790.023275146683</v>
          </cell>
          <cell r="H56">
            <v>26133.334696780104</v>
          </cell>
          <cell r="I56">
            <v>26117.683919607243</v>
          </cell>
          <cell r="J56">
            <v>26053.222899595527</v>
          </cell>
          <cell r="K56">
            <v>26442.363696167973</v>
          </cell>
          <cell r="L56">
            <v>29489.003280356486</v>
          </cell>
          <cell r="M56">
            <v>32915.33064545838</v>
          </cell>
          <cell r="N56">
            <v>34811.487475889175</v>
          </cell>
          <cell r="O56">
            <v>36786.193346954715</v>
          </cell>
          <cell r="P56">
            <v>37618.196528999717</v>
          </cell>
          <cell r="Q56">
            <v>36941.390758555586</v>
          </cell>
          <cell r="R56">
            <v>36175.452645419988</v>
          </cell>
          <cell r="S56">
            <v>35932.816610390182</v>
          </cell>
          <cell r="T56">
            <v>36221.380486911439</v>
          </cell>
          <cell r="U56">
            <v>36041.834028410885</v>
          </cell>
          <cell r="V56">
            <v>38047.240393610678</v>
          </cell>
          <cell r="W56">
            <v>41184.863390475228</v>
          </cell>
          <cell r="X56">
            <v>40488.867184612936</v>
          </cell>
          <cell r="Y56">
            <v>39033.239844167299</v>
          </cell>
          <cell r="Z56">
            <v>37227.332448820998</v>
          </cell>
          <cell r="AA56">
            <v>34945.575213063326</v>
          </cell>
          <cell r="AB56">
            <v>32378.396472889926</v>
          </cell>
        </row>
        <row r="57">
          <cell r="D57">
            <v>4</v>
          </cell>
          <cell r="E57">
            <v>30290.251481914715</v>
          </cell>
          <cell r="F57">
            <v>28853.224756013045</v>
          </cell>
          <cell r="G57">
            <v>27608.884984234959</v>
          </cell>
          <cell r="H57">
            <v>26770.221273180028</v>
          </cell>
          <cell r="I57">
            <v>26430.281408583902</v>
          </cell>
          <cell r="J57">
            <v>25984.949789575981</v>
          </cell>
          <cell r="K57">
            <v>25343.652017624128</v>
          </cell>
          <cell r="L57">
            <v>26738.549798037518</v>
          </cell>
          <cell r="M57">
            <v>28650.881500825541</v>
          </cell>
          <cell r="N57">
            <v>30222.461907731958</v>
          </cell>
          <cell r="O57">
            <v>31734.588908055081</v>
          </cell>
          <cell r="P57">
            <v>32533.363478076397</v>
          </cell>
          <cell r="Q57">
            <v>33126.045740924557</v>
          </cell>
          <cell r="R57">
            <v>33094.816509270961</v>
          </cell>
          <cell r="S57">
            <v>32999.706305143052</v>
          </cell>
          <cell r="T57">
            <v>33150.142391402136</v>
          </cell>
          <cell r="U57">
            <v>33188.674748958423</v>
          </cell>
          <cell r="V57">
            <v>35433.52468873153</v>
          </cell>
          <cell r="W57">
            <v>38810.923553619621</v>
          </cell>
          <cell r="X57">
            <v>38867.70883926424</v>
          </cell>
          <cell r="Y57">
            <v>38010.63240606476</v>
          </cell>
          <cell r="Z57">
            <v>36516.52743874873</v>
          </cell>
          <cell r="AA57">
            <v>34176.130671027429</v>
          </cell>
          <cell r="AB57">
            <v>31700.620454437783</v>
          </cell>
        </row>
        <row r="58">
          <cell r="D58">
            <v>2</v>
          </cell>
          <cell r="E58">
            <v>30290.251481914715</v>
          </cell>
          <cell r="F58">
            <v>28853.224756013045</v>
          </cell>
          <cell r="G58">
            <v>27608.884984234959</v>
          </cell>
          <cell r="H58">
            <v>26770.221273180028</v>
          </cell>
          <cell r="I58">
            <v>26430.281408583902</v>
          </cell>
          <cell r="J58">
            <v>25984.949789575981</v>
          </cell>
          <cell r="K58">
            <v>25343.652017624128</v>
          </cell>
          <cell r="L58">
            <v>26738.549798037518</v>
          </cell>
          <cell r="M58">
            <v>28650.881500825541</v>
          </cell>
          <cell r="N58">
            <v>30222.461907731958</v>
          </cell>
          <cell r="O58">
            <v>31734.588908055081</v>
          </cell>
          <cell r="P58">
            <v>32533.363478076397</v>
          </cell>
          <cell r="Q58">
            <v>33126.045740924557</v>
          </cell>
          <cell r="R58">
            <v>33094.816509270961</v>
          </cell>
          <cell r="S58">
            <v>32999.706305143052</v>
          </cell>
          <cell r="T58">
            <v>33150.142391402136</v>
          </cell>
          <cell r="U58">
            <v>33188.674748958423</v>
          </cell>
          <cell r="V58">
            <v>35433.52468873153</v>
          </cell>
          <cell r="W58">
            <v>38810.923553619621</v>
          </cell>
          <cell r="X58">
            <v>38867.70883926424</v>
          </cell>
          <cell r="Y58">
            <v>38010.63240606476</v>
          </cell>
          <cell r="Z58">
            <v>36516.52743874873</v>
          </cell>
          <cell r="AA58">
            <v>34176.130671027429</v>
          </cell>
          <cell r="AB58">
            <v>31700.620454437783</v>
          </cell>
        </row>
        <row r="59">
          <cell r="D59">
            <v>23</v>
          </cell>
          <cell r="E59">
            <v>31879.670384827863</v>
          </cell>
          <cell r="F59">
            <v>30126.318366365031</v>
          </cell>
          <cell r="G59">
            <v>28874.10405348946</v>
          </cell>
          <cell r="H59">
            <v>28098.160634058011</v>
          </cell>
          <cell r="I59">
            <v>27998.366309598016</v>
          </cell>
          <cell r="J59">
            <v>28498.514781741778</v>
          </cell>
          <cell r="K59">
            <v>28697.833006371427</v>
          </cell>
          <cell r="L59">
            <v>32156.784941539514</v>
          </cell>
          <cell r="M59">
            <v>35669.711059430338</v>
          </cell>
          <cell r="N59">
            <v>37681.197821758178</v>
          </cell>
          <cell r="O59">
            <v>39451.605698828549</v>
          </cell>
          <cell r="P59">
            <v>40732.650724484338</v>
          </cell>
          <cell r="Q59">
            <v>39611.114840070448</v>
          </cell>
          <cell r="R59">
            <v>40118.714188932041</v>
          </cell>
          <cell r="S59">
            <v>41814.995865164594</v>
          </cell>
          <cell r="T59">
            <v>42336.960396779628</v>
          </cell>
          <cell r="U59">
            <v>41987.774191595461</v>
          </cell>
          <cell r="V59">
            <v>42030.404121173713</v>
          </cell>
          <cell r="W59">
            <v>45269.325714473729</v>
          </cell>
          <cell r="X59">
            <v>44398.296897778309</v>
          </cell>
          <cell r="Y59">
            <v>42773.240151703591</v>
          </cell>
          <cell r="Z59">
            <v>40456.54599624125</v>
          </cell>
          <cell r="AA59">
            <v>37483.520232269337</v>
          </cell>
          <cell r="AB59">
            <v>34590.598115426023</v>
          </cell>
        </row>
        <row r="60">
          <cell r="D60">
            <v>3</v>
          </cell>
          <cell r="E60">
            <v>32395.931393152168</v>
          </cell>
          <cell r="F60">
            <v>30561.872513333023</v>
          </cell>
          <cell r="G60">
            <v>29353.677331699331</v>
          </cell>
          <cell r="H60">
            <v>28467.843717079311</v>
          </cell>
          <cell r="I60">
            <v>28222.983230768503</v>
          </cell>
          <cell r="J60">
            <v>28272.210076879077</v>
          </cell>
          <cell r="K60">
            <v>27991.381876585459</v>
          </cell>
          <cell r="L60">
            <v>30561.512207342133</v>
          </cell>
          <cell r="M60">
            <v>34281.591031839322</v>
          </cell>
          <cell r="N60">
            <v>36463.207551486528</v>
          </cell>
          <cell r="O60">
            <v>38300.606079621946</v>
          </cell>
          <cell r="P60">
            <v>39422.03938614401</v>
          </cell>
          <cell r="Q60">
            <v>38783.548936158521</v>
          </cell>
          <cell r="R60">
            <v>38503.098688186597</v>
          </cell>
          <cell r="S60">
            <v>38341.696042175121</v>
          </cell>
          <cell r="T60">
            <v>38753.359272567461</v>
          </cell>
          <cell r="U60">
            <v>38632.972795362148</v>
          </cell>
          <cell r="V60">
            <v>39487.203114872093</v>
          </cell>
          <cell r="W60">
            <v>43861.29987709751</v>
          </cell>
          <cell r="X60">
            <v>43239.13452900733</v>
          </cell>
          <cell r="Y60">
            <v>41611.209818747142</v>
          </cell>
          <cell r="Z60">
            <v>39835.148011450823</v>
          </cell>
          <cell r="AA60">
            <v>37372.665432109367</v>
          </cell>
          <cell r="AB60">
            <v>34835.776617646625</v>
          </cell>
        </row>
        <row r="61">
          <cell r="D61">
            <v>4</v>
          </cell>
          <cell r="E61">
            <v>32600.442741961422</v>
          </cell>
          <cell r="F61">
            <v>30998.123499390389</v>
          </cell>
          <cell r="G61">
            <v>29707.606580319083</v>
          </cell>
          <cell r="H61">
            <v>28798.783967605388</v>
          </cell>
          <cell r="I61">
            <v>28388.790400949994</v>
          </cell>
          <cell r="J61">
            <v>28102.312166373598</v>
          </cell>
          <cell r="K61">
            <v>26850.199759148672</v>
          </cell>
          <cell r="L61">
            <v>28204.604416809347</v>
          </cell>
          <cell r="M61">
            <v>30357.528965087655</v>
          </cell>
          <cell r="N61">
            <v>32205.792499523588</v>
          </cell>
          <cell r="O61">
            <v>33421.654530630389</v>
          </cell>
          <cell r="P61">
            <v>34417.292919975276</v>
          </cell>
          <cell r="Q61">
            <v>35009.378653410175</v>
          </cell>
          <cell r="R61">
            <v>35339.083339937206</v>
          </cell>
          <cell r="S61">
            <v>34340.254814824373</v>
          </cell>
          <cell r="T61">
            <v>35279.450292127149</v>
          </cell>
          <cell r="U61">
            <v>35489.160891677602</v>
          </cell>
          <cell r="V61">
            <v>36674.063879170062</v>
          </cell>
          <cell r="W61">
            <v>41122.515220893845</v>
          </cell>
          <cell r="X61">
            <v>40795.340055677734</v>
          </cell>
          <cell r="Y61">
            <v>39730.688791591681</v>
          </cell>
          <cell r="Z61">
            <v>38272.074850284589</v>
          </cell>
          <cell r="AA61">
            <v>36065.507381400064</v>
          </cell>
          <cell r="AB61">
            <v>33827.79702621841</v>
          </cell>
        </row>
        <row r="62">
          <cell r="D62">
            <v>1</v>
          </cell>
          <cell r="E62">
            <v>32600.442741961422</v>
          </cell>
          <cell r="F62">
            <v>30998.123499390389</v>
          </cell>
          <cell r="G62">
            <v>29707.606580319083</v>
          </cell>
          <cell r="H62">
            <v>28798.783967605388</v>
          </cell>
          <cell r="I62">
            <v>28388.790400949994</v>
          </cell>
          <cell r="J62">
            <v>28102.312166373598</v>
          </cell>
          <cell r="K62">
            <v>26850.199759148672</v>
          </cell>
          <cell r="L62">
            <v>28204.604416809347</v>
          </cell>
          <cell r="M62">
            <v>30357.528965087655</v>
          </cell>
          <cell r="N62">
            <v>32205.792499523588</v>
          </cell>
          <cell r="O62">
            <v>33421.654530630389</v>
          </cell>
          <cell r="P62">
            <v>34417.292919975276</v>
          </cell>
          <cell r="Q62">
            <v>35009.378653410175</v>
          </cell>
          <cell r="R62">
            <v>35339.083339937206</v>
          </cell>
          <cell r="S62">
            <v>34340.254814824373</v>
          </cell>
          <cell r="T62">
            <v>35279.450292127149</v>
          </cell>
          <cell r="U62">
            <v>35489.160891677602</v>
          </cell>
          <cell r="V62">
            <v>36674.063879170062</v>
          </cell>
          <cell r="W62">
            <v>41122.515220893845</v>
          </cell>
          <cell r="X62">
            <v>40795.340055677734</v>
          </cell>
          <cell r="Y62">
            <v>39730.688791591681</v>
          </cell>
          <cell r="Z62">
            <v>38272.074850284589</v>
          </cell>
          <cell r="AA62">
            <v>36065.507381400064</v>
          </cell>
          <cell r="AB62">
            <v>33827.79702621841</v>
          </cell>
        </row>
      </sheetData>
      <sheetData sheetId="32">
        <row r="15">
          <cell r="D15">
            <v>20</v>
          </cell>
          <cell r="E15">
            <v>33432.44099851582</v>
          </cell>
          <cell r="F15">
            <v>31725.102181994916</v>
          </cell>
          <cell r="G15">
            <v>30440.75542733863</v>
          </cell>
          <cell r="H15">
            <v>29508.52884792077</v>
          </cell>
          <cell r="I15">
            <v>29345.873248741875</v>
          </cell>
          <cell r="J15">
            <v>30327.904337601849</v>
          </cell>
          <cell r="K15">
            <v>30054.131236649078</v>
          </cell>
          <cell r="L15">
            <v>33526.98504000518</v>
          </cell>
          <cell r="M15">
            <v>37218.521708167718</v>
          </cell>
          <cell r="N15">
            <v>39136.902126483059</v>
          </cell>
          <cell r="O15">
            <v>41213.709254591624</v>
          </cell>
          <cell r="P15">
            <v>42913.730231507281</v>
          </cell>
          <cell r="Q15">
            <v>41738.710342366634</v>
          </cell>
          <cell r="R15">
            <v>42887.883310919067</v>
          </cell>
          <cell r="S15">
            <v>44877.34564856103</v>
          </cell>
          <cell r="T15">
            <v>45115.922582303763</v>
          </cell>
          <cell r="U15">
            <v>44369.7928685515</v>
          </cell>
          <cell r="V15">
            <v>42734.760552482374</v>
          </cell>
          <cell r="W15">
            <v>45715.379716930431</v>
          </cell>
          <cell r="X15">
            <v>45878.387680777254</v>
          </cell>
          <cell r="Y15">
            <v>44673.269970903079</v>
          </cell>
          <cell r="Z15">
            <v>42714.387765567044</v>
          </cell>
          <cell r="AA15">
            <v>39686.141809282235</v>
          </cell>
          <cell r="AB15">
            <v>36453.166077167843</v>
          </cell>
        </row>
        <row r="16">
          <cell r="D16">
            <v>4</v>
          </cell>
          <cell r="E16">
            <v>33190.109898702336</v>
          </cell>
          <cell r="F16">
            <v>31596.039141053345</v>
          </cell>
          <cell r="G16">
            <v>30343.99032052344</v>
          </cell>
          <cell r="H16">
            <v>29387.770489045684</v>
          </cell>
          <cell r="I16">
            <v>29098.347641742541</v>
          </cell>
          <cell r="J16">
            <v>29331.118836563481</v>
          </cell>
          <cell r="K16">
            <v>28575.203880260589</v>
          </cell>
          <cell r="L16">
            <v>31398.401161386526</v>
          </cell>
          <cell r="M16">
            <v>34889.384563272703</v>
          </cell>
          <cell r="N16">
            <v>37201.478866829901</v>
          </cell>
          <cell r="O16">
            <v>39020.515534417274</v>
          </cell>
          <cell r="P16">
            <v>40004.864442897036</v>
          </cell>
          <cell r="Q16">
            <v>39655.078659519429</v>
          </cell>
          <cell r="R16">
            <v>38815.449934075164</v>
          </cell>
          <cell r="S16">
            <v>38998.620780479476</v>
          </cell>
          <cell r="T16">
            <v>39133.90003213274</v>
          </cell>
          <cell r="U16">
            <v>38746.089763104574</v>
          </cell>
          <cell r="V16">
            <v>38886.447772941741</v>
          </cell>
          <cell r="W16">
            <v>43196.830439979654</v>
          </cell>
          <cell r="X16">
            <v>43506.163366961147</v>
          </cell>
          <cell r="Y16">
            <v>42212.942746753884</v>
          </cell>
          <cell r="Z16">
            <v>40502.41328452852</v>
          </cell>
          <cell r="AA16">
            <v>38279.518819649435</v>
          </cell>
          <cell r="AB16">
            <v>35814.420314152332</v>
          </cell>
        </row>
        <row r="17">
          <cell r="D17">
            <v>5</v>
          </cell>
          <cell r="E17">
            <v>33410.08464429617</v>
          </cell>
          <cell r="F17">
            <v>31768.641790743219</v>
          </cell>
          <cell r="G17">
            <v>30445.053734039833</v>
          </cell>
          <cell r="H17">
            <v>29473.986409897272</v>
          </cell>
          <cell r="I17">
            <v>28996.051513387352</v>
          </cell>
          <cell r="J17">
            <v>28843.949191093132</v>
          </cell>
          <cell r="K17">
            <v>27289.933074770732</v>
          </cell>
          <cell r="L17">
            <v>28507.405911724396</v>
          </cell>
          <cell r="M17">
            <v>30458.948138352916</v>
          </cell>
          <cell r="N17">
            <v>31961.568232552552</v>
          </cell>
          <cell r="O17">
            <v>33399.150574852851</v>
          </cell>
          <cell r="P17">
            <v>34562.096583726692</v>
          </cell>
          <cell r="Q17">
            <v>35354.710663511301</v>
          </cell>
          <cell r="R17">
            <v>35450.084183364837</v>
          </cell>
          <cell r="S17">
            <v>35468.046310816375</v>
          </cell>
          <cell r="T17">
            <v>35590.073288378691</v>
          </cell>
          <cell r="U17">
            <v>35608.158384104667</v>
          </cell>
          <cell r="V17">
            <v>35984.18964003944</v>
          </cell>
          <cell r="W17">
            <v>40681.856002371453</v>
          </cell>
          <cell r="X17">
            <v>41847.123584886758</v>
          </cell>
          <cell r="Y17">
            <v>41404.359636261732</v>
          </cell>
          <cell r="Z17">
            <v>40042.364713109193</v>
          </cell>
          <cell r="AA17">
            <v>37603.227000191451</v>
          </cell>
          <cell r="AB17">
            <v>34693.465107353528</v>
          </cell>
        </row>
        <row r="18">
          <cell r="D18">
            <v>2</v>
          </cell>
          <cell r="E18">
            <v>33410.08464429617</v>
          </cell>
          <cell r="F18">
            <v>31768.641790743219</v>
          </cell>
          <cell r="G18">
            <v>30445.053734039833</v>
          </cell>
          <cell r="H18">
            <v>29473.986409897272</v>
          </cell>
          <cell r="I18">
            <v>28996.051513387352</v>
          </cell>
          <cell r="J18">
            <v>28843.949191093132</v>
          </cell>
          <cell r="K18">
            <v>27289.933074770732</v>
          </cell>
          <cell r="L18">
            <v>28507.405911724396</v>
          </cell>
          <cell r="M18">
            <v>30458.948138352916</v>
          </cell>
          <cell r="N18">
            <v>31961.568232552552</v>
          </cell>
          <cell r="O18">
            <v>33399.150574852851</v>
          </cell>
          <cell r="P18">
            <v>34562.096583726692</v>
          </cell>
          <cell r="Q18">
            <v>35354.710663511301</v>
          </cell>
          <cell r="R18">
            <v>35450.084183364837</v>
          </cell>
          <cell r="S18">
            <v>35468.046310816375</v>
          </cell>
          <cell r="T18">
            <v>35590.073288378691</v>
          </cell>
          <cell r="U18">
            <v>35608.158384104667</v>
          </cell>
          <cell r="V18">
            <v>35984.18964003944</v>
          </cell>
          <cell r="W18">
            <v>40681.856002371453</v>
          </cell>
          <cell r="X18">
            <v>41847.123584886758</v>
          </cell>
          <cell r="Y18">
            <v>41404.359636261732</v>
          </cell>
          <cell r="Z18">
            <v>40042.364713109193</v>
          </cell>
          <cell r="AA18">
            <v>37603.227000191451</v>
          </cell>
          <cell r="AB18">
            <v>34693.465107353528</v>
          </cell>
        </row>
        <row r="19">
          <cell r="D19">
            <v>20</v>
          </cell>
          <cell r="E19">
            <v>35190.350367157982</v>
          </cell>
          <cell r="F19">
            <v>33462.876303057128</v>
          </cell>
          <cell r="G19">
            <v>32083.835447257003</v>
          </cell>
          <cell r="H19">
            <v>31084.153189334003</v>
          </cell>
          <cell r="I19">
            <v>31049.332835929868</v>
          </cell>
          <cell r="J19">
            <v>32915.585709012899</v>
          </cell>
          <cell r="K19">
            <v>32598.690924438855</v>
          </cell>
          <cell r="L19">
            <v>35771.61799118101</v>
          </cell>
          <cell r="M19">
            <v>39262.313096694808</v>
          </cell>
          <cell r="N19">
            <v>40956.047526941955</v>
          </cell>
          <cell r="O19">
            <v>43001.812188297044</v>
          </cell>
          <cell r="P19">
            <v>44619.581635229129</v>
          </cell>
          <cell r="Q19">
            <v>43127.178867897928</v>
          </cell>
          <cell r="R19">
            <v>44676.681348465754</v>
          </cell>
          <cell r="S19">
            <v>47166.152556280518</v>
          </cell>
          <cell r="T19">
            <v>47551.815135140758</v>
          </cell>
          <cell r="U19">
            <v>46842.109578941745</v>
          </cell>
          <cell r="V19">
            <v>44932.261374383605</v>
          </cell>
          <cell r="W19">
            <v>47595.700412430095</v>
          </cell>
          <cell r="X19">
            <v>48268.684327836272</v>
          </cell>
          <cell r="Y19">
            <v>47228.087455937028</v>
          </cell>
          <cell r="Z19">
            <v>45145.311617985404</v>
          </cell>
          <cell r="AA19">
            <v>41589.614870356374</v>
          </cell>
          <cell r="AB19">
            <v>38064.103784884603</v>
          </cell>
        </row>
        <row r="20">
          <cell r="D20">
            <v>4</v>
          </cell>
          <cell r="E20">
            <v>35675.666563859952</v>
          </cell>
          <cell r="F20">
            <v>33746.703461115998</v>
          </cell>
          <cell r="G20">
            <v>32488.745221049783</v>
          </cell>
          <cell r="H20">
            <v>31292.977043890234</v>
          </cell>
          <cell r="I20">
            <v>30916.280849706109</v>
          </cell>
          <cell r="J20">
            <v>31275.522210202627</v>
          </cell>
          <cell r="K20">
            <v>30720.92447595932</v>
          </cell>
          <cell r="L20">
            <v>33559.705494692163</v>
          </cell>
          <cell r="M20">
            <v>37034.687286451524</v>
          </cell>
          <cell r="N20">
            <v>39098.472117747202</v>
          </cell>
          <cell r="O20">
            <v>40995.388110306434</v>
          </cell>
          <cell r="P20">
            <v>41948.914862365637</v>
          </cell>
          <cell r="Q20">
            <v>41279.763247503797</v>
          </cell>
          <cell r="R20">
            <v>40744.562088713887</v>
          </cell>
          <cell r="S20">
            <v>40932.037034110981</v>
          </cell>
          <cell r="T20">
            <v>41049.187990070328</v>
          </cell>
          <cell r="U20">
            <v>40760.659787385892</v>
          </cell>
          <cell r="V20">
            <v>40640.899797443883</v>
          </cell>
          <cell r="W20">
            <v>44860.114682918087</v>
          </cell>
          <cell r="X20">
            <v>45510.055593788908</v>
          </cell>
          <cell r="Y20">
            <v>44446.13144335305</v>
          </cell>
          <cell r="Z20">
            <v>42752.895722639842</v>
          </cell>
          <cell r="AA20">
            <v>40517.634558729202</v>
          </cell>
          <cell r="AB20">
            <v>37855.991435352662</v>
          </cell>
        </row>
        <row r="21">
          <cell r="D21">
            <v>4</v>
          </cell>
          <cell r="E21">
            <v>35576.338426082628</v>
          </cell>
          <cell r="F21">
            <v>33857.614397742509</v>
          </cell>
          <cell r="G21">
            <v>32469.797265504618</v>
          </cell>
          <cell r="H21">
            <v>31439.348770444882</v>
          </cell>
          <cell r="I21">
            <v>30908.899634262478</v>
          </cell>
          <cell r="J21">
            <v>30874.471387641785</v>
          </cell>
          <cell r="K21">
            <v>29254.236683769977</v>
          </cell>
          <cell r="L21">
            <v>30515.964971107653</v>
          </cell>
          <cell r="M21">
            <v>32441.021356387224</v>
          </cell>
          <cell r="N21">
            <v>33804.774626083825</v>
          </cell>
          <cell r="O21">
            <v>35193.218391156217</v>
          </cell>
          <cell r="P21">
            <v>36482.895391268677</v>
          </cell>
          <cell r="Q21">
            <v>37339.308062675722</v>
          </cell>
          <cell r="R21">
            <v>37561.340408025819</v>
          </cell>
          <cell r="S21">
            <v>37935.549888049922</v>
          </cell>
          <cell r="T21">
            <v>38229.733161641525</v>
          </cell>
          <cell r="U21">
            <v>38106.442980616644</v>
          </cell>
          <cell r="V21">
            <v>37872.405525521244</v>
          </cell>
          <cell r="W21">
            <v>42802.182069282841</v>
          </cell>
          <cell r="X21">
            <v>44577.332095143625</v>
          </cell>
          <cell r="Y21">
            <v>44560.788509967249</v>
          </cell>
          <cell r="Z21">
            <v>43502.69641833839</v>
          </cell>
          <cell r="AA21">
            <v>39971.63064621613</v>
          </cell>
          <cell r="AB21">
            <v>36857.25828358432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22</v>
          </cell>
          <cell r="E23">
            <v>32680.331978887723</v>
          </cell>
          <cell r="F23">
            <v>31063.834383828394</v>
          </cell>
          <cell r="G23">
            <v>29858.021688408222</v>
          </cell>
          <cell r="H23">
            <v>29066.565272194908</v>
          </cell>
          <cell r="I23">
            <v>29199.954692556461</v>
          </cell>
          <cell r="J23">
            <v>30759.15623187472</v>
          </cell>
          <cell r="K23">
            <v>30761.626383290408</v>
          </cell>
          <cell r="L23">
            <v>34096.77330053239</v>
          </cell>
          <cell r="M23">
            <v>37385.532437104295</v>
          </cell>
          <cell r="N23">
            <v>39090.688434424032</v>
          </cell>
          <cell r="O23">
            <v>41042.9110320732</v>
          </cell>
          <cell r="P23">
            <v>42322.960059383768</v>
          </cell>
          <cell r="Q23">
            <v>40408.202843371124</v>
          </cell>
          <cell r="R23">
            <v>41740.987868474025</v>
          </cell>
          <cell r="S23">
            <v>44034.722484193742</v>
          </cell>
          <cell r="T23">
            <v>44519.241145856999</v>
          </cell>
          <cell r="U23">
            <v>44033.103104515299</v>
          </cell>
          <cell r="V23">
            <v>42485.783104804112</v>
          </cell>
          <cell r="W23">
            <v>45083.692611042781</v>
          </cell>
          <cell r="X23">
            <v>45487.114623922018</v>
          </cell>
          <cell r="Y23">
            <v>44154.994896425436</v>
          </cell>
          <cell r="Z23">
            <v>41952.211282019256</v>
          </cell>
          <cell r="AA23">
            <v>38642.054401523375</v>
          </cell>
          <cell r="AB23">
            <v>35281.574912888951</v>
          </cell>
        </row>
        <row r="24">
          <cell r="D24">
            <v>4</v>
          </cell>
          <cell r="E24">
            <v>32871.6515892764</v>
          </cell>
          <cell r="F24">
            <v>31249.950898176499</v>
          </cell>
          <cell r="G24">
            <v>29970.676174624037</v>
          </cell>
          <cell r="H24">
            <v>29123.890199835645</v>
          </cell>
          <cell r="I24">
            <v>28909.943531101246</v>
          </cell>
          <cell r="J24">
            <v>29239.152060827018</v>
          </cell>
          <cell r="K24">
            <v>29098.602605756263</v>
          </cell>
          <cell r="L24">
            <v>32158.809493167617</v>
          </cell>
          <cell r="M24">
            <v>35719.012475475232</v>
          </cell>
          <cell r="N24">
            <v>37790.519817604778</v>
          </cell>
          <cell r="O24">
            <v>39648.784153534129</v>
          </cell>
          <cell r="P24">
            <v>40754.14319544001</v>
          </cell>
          <cell r="Q24">
            <v>40053.694673240476</v>
          </cell>
          <cell r="R24">
            <v>39519.64335432605</v>
          </cell>
          <cell r="S24">
            <v>39832.65298067301</v>
          </cell>
          <cell r="T24">
            <v>39884.824568834963</v>
          </cell>
          <cell r="U24">
            <v>39531.087363535262</v>
          </cell>
          <cell r="V24">
            <v>39288.039129322795</v>
          </cell>
          <cell r="W24">
            <v>43384.993902466245</v>
          </cell>
          <cell r="X24">
            <v>44084.4658866717</v>
          </cell>
          <cell r="Y24">
            <v>42859.192745248081</v>
          </cell>
          <cell r="Z24">
            <v>41189.800651559497</v>
          </cell>
          <cell r="AA24">
            <v>38867.388252235905</v>
          </cell>
          <cell r="AB24">
            <v>36320.784569984236</v>
          </cell>
        </row>
        <row r="25">
          <cell r="D25">
            <v>4</v>
          </cell>
          <cell r="E25">
            <v>33752.995591233572</v>
          </cell>
          <cell r="F25">
            <v>32015.61613152991</v>
          </cell>
          <cell r="G25">
            <v>30665.643356851986</v>
          </cell>
          <cell r="H25">
            <v>29698.196148489264</v>
          </cell>
          <cell r="I25">
            <v>29211.879703685932</v>
          </cell>
          <cell r="J25">
            <v>28993.376905152396</v>
          </cell>
          <cell r="K25">
            <v>27897.893493253116</v>
          </cell>
          <cell r="L25">
            <v>29375.369028750007</v>
          </cell>
          <cell r="M25">
            <v>31451.123224365707</v>
          </cell>
          <cell r="N25">
            <v>32953.695707747356</v>
          </cell>
          <cell r="O25">
            <v>34296.738440875997</v>
          </cell>
          <cell r="P25">
            <v>35453.919727504828</v>
          </cell>
          <cell r="Q25">
            <v>36188.596312305512</v>
          </cell>
          <cell r="R25">
            <v>36320.357972936145</v>
          </cell>
          <cell r="S25">
            <v>36459.776644671292</v>
          </cell>
          <cell r="T25">
            <v>36858.462356622447</v>
          </cell>
          <cell r="U25">
            <v>36720.4847920424</v>
          </cell>
          <cell r="V25">
            <v>36902.263319833299</v>
          </cell>
          <cell r="W25">
            <v>41256.655662979108</v>
          </cell>
          <cell r="X25">
            <v>42762.209350041267</v>
          </cell>
          <cell r="Y25">
            <v>42603.718464422876</v>
          </cell>
          <cell r="Z25">
            <v>41353.813729905451</v>
          </cell>
          <cell r="AA25">
            <v>38640.550443974447</v>
          </cell>
          <cell r="AB25">
            <v>35519.018332293635</v>
          </cell>
        </row>
        <row r="26">
          <cell r="D26">
            <v>1</v>
          </cell>
          <cell r="E26">
            <v>33752.995591233572</v>
          </cell>
          <cell r="F26">
            <v>32015.61613152991</v>
          </cell>
          <cell r="G26">
            <v>30665.643356851986</v>
          </cell>
          <cell r="H26">
            <v>29698.196148489264</v>
          </cell>
          <cell r="I26">
            <v>29211.879703685932</v>
          </cell>
          <cell r="J26">
            <v>28993.376905152396</v>
          </cell>
          <cell r="K26">
            <v>27897.893493253116</v>
          </cell>
          <cell r="L26">
            <v>29375.369028750007</v>
          </cell>
          <cell r="M26">
            <v>31451.123224365707</v>
          </cell>
          <cell r="N26">
            <v>32953.695707747356</v>
          </cell>
          <cell r="O26">
            <v>34296.738440875997</v>
          </cell>
          <cell r="P26">
            <v>35453.919727504828</v>
          </cell>
          <cell r="Q26">
            <v>36188.596312305512</v>
          </cell>
          <cell r="R26">
            <v>36320.357972936145</v>
          </cell>
          <cell r="S26">
            <v>36459.776644671292</v>
          </cell>
          <cell r="T26">
            <v>36858.462356622447</v>
          </cell>
          <cell r="U26">
            <v>36720.4847920424</v>
          </cell>
          <cell r="V26">
            <v>36902.263319833299</v>
          </cell>
          <cell r="W26">
            <v>41256.655662979108</v>
          </cell>
          <cell r="X26">
            <v>42762.209350041267</v>
          </cell>
          <cell r="Y26">
            <v>42603.718464422876</v>
          </cell>
          <cell r="Z26">
            <v>41353.813729905451</v>
          </cell>
          <cell r="AA26">
            <v>38640.550443974447</v>
          </cell>
          <cell r="AB26">
            <v>35519.018332293635</v>
          </cell>
        </row>
        <row r="27">
          <cell r="D27">
            <v>19</v>
          </cell>
          <cell r="E27">
            <v>32230.830865216449</v>
          </cell>
          <cell r="F27">
            <v>30625.659481760053</v>
          </cell>
          <cell r="G27">
            <v>29451.534197016401</v>
          </cell>
          <cell r="H27">
            <v>28651.83023349179</v>
          </cell>
          <cell r="I27">
            <v>28774.336907422654</v>
          </cell>
          <cell r="J27">
            <v>29695.84159773908</v>
          </cell>
          <cell r="K27">
            <v>30024.287186784815</v>
          </cell>
          <cell r="L27">
            <v>33443.878695721651</v>
          </cell>
          <cell r="M27">
            <v>36964.016901128947</v>
          </cell>
          <cell r="N27">
            <v>38590.397665370525</v>
          </cell>
          <cell r="O27">
            <v>40401.565838120681</v>
          </cell>
          <cell r="P27">
            <v>41934.039920422438</v>
          </cell>
          <cell r="Q27">
            <v>40290.949492803971</v>
          </cell>
          <cell r="R27">
            <v>41475.480279943309</v>
          </cell>
          <cell r="S27">
            <v>43782.372154268029</v>
          </cell>
          <cell r="T27">
            <v>44062.547601102888</v>
          </cell>
          <cell r="U27">
            <v>43394.988653691988</v>
          </cell>
          <cell r="V27">
            <v>42268.091841407804</v>
          </cell>
          <cell r="W27">
            <v>44879.226310074868</v>
          </cell>
          <cell r="X27">
            <v>45015.505598272735</v>
          </cell>
          <cell r="Y27">
            <v>43668.531091128752</v>
          </cell>
          <cell r="Z27">
            <v>41570.772537812918</v>
          </cell>
          <cell r="AA27">
            <v>38420.319791235328</v>
          </cell>
          <cell r="AB27">
            <v>34980.423480166755</v>
          </cell>
        </row>
        <row r="28">
          <cell r="D28">
            <v>5</v>
          </cell>
          <cell r="E28">
            <v>31905.372932452876</v>
          </cell>
          <cell r="F28">
            <v>30242.083761718266</v>
          </cell>
          <cell r="G28">
            <v>29006.617346712945</v>
          </cell>
          <cell r="H28">
            <v>28162.902819824514</v>
          </cell>
          <cell r="I28">
            <v>27949.795886499527</v>
          </cell>
          <cell r="J28">
            <v>27941.317057418761</v>
          </cell>
          <cell r="K28">
            <v>27875.138523080568</v>
          </cell>
          <cell r="L28">
            <v>30726.112558235214</v>
          </cell>
          <cell r="M28">
            <v>34044.346281106387</v>
          </cell>
          <cell r="N28">
            <v>35821.376871880442</v>
          </cell>
          <cell r="O28">
            <v>37561.516929069665</v>
          </cell>
          <cell r="P28">
            <v>38643.627244994386</v>
          </cell>
          <cell r="Q28">
            <v>38140.213544634731</v>
          </cell>
          <cell r="R28">
            <v>37729.694120895598</v>
          </cell>
          <cell r="S28">
            <v>37939.734835704672</v>
          </cell>
          <cell r="T28">
            <v>38011.836962469904</v>
          </cell>
          <cell r="U28">
            <v>37797.668129618316</v>
          </cell>
          <cell r="V28">
            <v>38029.06533299532</v>
          </cell>
          <cell r="W28">
            <v>42236.489004436095</v>
          </cell>
          <cell r="X28">
            <v>42327.823820716068</v>
          </cell>
          <cell r="Y28">
            <v>41154.214689848377</v>
          </cell>
          <cell r="Z28">
            <v>39426.962112425557</v>
          </cell>
          <cell r="AA28">
            <v>37244.4882002425</v>
          </cell>
          <cell r="AB28">
            <v>34750.484260911653</v>
          </cell>
        </row>
        <row r="29">
          <cell r="D29">
            <v>4</v>
          </cell>
          <cell r="E29">
            <v>32528.593057299822</v>
          </cell>
          <cell r="F29">
            <v>30928.284937988537</v>
          </cell>
          <cell r="G29">
            <v>29604.947973870316</v>
          </cell>
          <cell r="H29">
            <v>28699.639018984788</v>
          </cell>
          <cell r="I29">
            <v>28318.12608132797</v>
          </cell>
          <cell r="J29">
            <v>27815.161167728795</v>
          </cell>
          <cell r="K29">
            <v>27231.745253312005</v>
          </cell>
          <cell r="L29">
            <v>28737.944982148216</v>
          </cell>
          <cell r="M29">
            <v>30334.663134718383</v>
          </cell>
          <cell r="N29">
            <v>31759.660284033824</v>
          </cell>
          <cell r="O29">
            <v>33084.994692945911</v>
          </cell>
          <cell r="P29">
            <v>34136.483414198839</v>
          </cell>
          <cell r="Q29">
            <v>34724.472959992221</v>
          </cell>
          <cell r="R29">
            <v>34886.457156397773</v>
          </cell>
          <cell r="S29">
            <v>35099.792574886</v>
          </cell>
          <cell r="T29">
            <v>35414.151169792553</v>
          </cell>
          <cell r="U29">
            <v>35541.157823005837</v>
          </cell>
          <cell r="V29">
            <v>35976.575582685844</v>
          </cell>
          <cell r="W29">
            <v>39966.883355480342</v>
          </cell>
          <cell r="X29">
            <v>41175.212410882043</v>
          </cell>
          <cell r="Y29">
            <v>41039.799925996893</v>
          </cell>
          <cell r="Z29">
            <v>40031.889348479352</v>
          </cell>
          <cell r="AA29">
            <v>37463.309226704456</v>
          </cell>
          <cell r="AB29">
            <v>34417.433746532886</v>
          </cell>
        </row>
        <row r="30">
          <cell r="D30">
            <v>2</v>
          </cell>
          <cell r="E30">
            <v>32528.593057299822</v>
          </cell>
          <cell r="F30">
            <v>30928.284937988537</v>
          </cell>
          <cell r="G30">
            <v>29604.947973870316</v>
          </cell>
          <cell r="H30">
            <v>28699.639018984788</v>
          </cell>
          <cell r="I30">
            <v>28318.12608132797</v>
          </cell>
          <cell r="J30">
            <v>27815.161167728795</v>
          </cell>
          <cell r="K30">
            <v>27231.745253312005</v>
          </cell>
          <cell r="L30">
            <v>28737.944982148216</v>
          </cell>
          <cell r="M30">
            <v>30334.663134718383</v>
          </cell>
          <cell r="N30">
            <v>31759.660284033824</v>
          </cell>
          <cell r="O30">
            <v>33084.994692945911</v>
          </cell>
          <cell r="P30">
            <v>34136.483414198839</v>
          </cell>
          <cell r="Q30">
            <v>34724.472959992221</v>
          </cell>
          <cell r="R30">
            <v>34886.457156397773</v>
          </cell>
          <cell r="S30">
            <v>35099.792574886</v>
          </cell>
          <cell r="T30">
            <v>35414.151169792553</v>
          </cell>
          <cell r="U30">
            <v>35541.157823005837</v>
          </cell>
          <cell r="V30">
            <v>35976.575582685844</v>
          </cell>
          <cell r="W30">
            <v>39966.883355480342</v>
          </cell>
          <cell r="X30">
            <v>41175.212410882043</v>
          </cell>
          <cell r="Y30">
            <v>41039.799925996893</v>
          </cell>
          <cell r="Z30">
            <v>40031.889348479352</v>
          </cell>
          <cell r="AA30">
            <v>37463.309226704456</v>
          </cell>
          <cell r="AB30">
            <v>34417.433746532886</v>
          </cell>
        </row>
        <row r="31">
          <cell r="D31">
            <v>21</v>
          </cell>
          <cell r="E31">
            <v>31439.362848782323</v>
          </cell>
          <cell r="F31">
            <v>29946.593392090304</v>
          </cell>
          <cell r="G31">
            <v>28816.746307550748</v>
          </cell>
          <cell r="H31">
            <v>28043.436317901193</v>
          </cell>
          <cell r="I31">
            <v>28180.872234417049</v>
          </cell>
          <cell r="J31">
            <v>28961.381216392845</v>
          </cell>
          <cell r="K31">
            <v>29618.308447031919</v>
          </cell>
          <cell r="L31">
            <v>33079.564646476814</v>
          </cell>
          <cell r="M31">
            <v>36638.443971195375</v>
          </cell>
          <cell r="N31">
            <v>38305.030526314564</v>
          </cell>
          <cell r="O31">
            <v>40292.351767069042</v>
          </cell>
          <cell r="P31">
            <v>41590.332215387411</v>
          </cell>
          <cell r="Q31">
            <v>39900.764500048783</v>
          </cell>
          <cell r="R31">
            <v>40994.277812579829</v>
          </cell>
          <cell r="S31">
            <v>43120.589023082466</v>
          </cell>
          <cell r="T31">
            <v>43333.439221265289</v>
          </cell>
          <cell r="U31">
            <v>42713.387970791118</v>
          </cell>
          <cell r="V31">
            <v>41317.711020303759</v>
          </cell>
          <cell r="W31">
            <v>43888.077386536264</v>
          </cell>
          <cell r="X31">
            <v>44062.014280181895</v>
          </cell>
          <cell r="Y31">
            <v>42703.025901302484</v>
          </cell>
          <cell r="Z31">
            <v>40445.896515004461</v>
          </cell>
          <cell r="AA31">
            <v>37266.510965772351</v>
          </cell>
          <cell r="AB31">
            <v>34018.547085094098</v>
          </cell>
        </row>
        <row r="32">
          <cell r="D32">
            <v>4</v>
          </cell>
          <cell r="E32">
            <v>31985.006444477454</v>
          </cell>
          <cell r="F32">
            <v>30124.216991330737</v>
          </cell>
          <cell r="G32">
            <v>28865.539216095105</v>
          </cell>
          <cell r="H32">
            <v>28054.809538360016</v>
          </cell>
          <cell r="I32">
            <v>27906.708885057069</v>
          </cell>
          <cell r="J32">
            <v>27603.341283464419</v>
          </cell>
          <cell r="K32">
            <v>27869.234722063586</v>
          </cell>
          <cell r="L32">
            <v>31059.931257735705</v>
          </cell>
          <cell r="M32">
            <v>34619.073016407761</v>
          </cell>
          <cell r="N32">
            <v>36616.264403978326</v>
          </cell>
          <cell r="O32">
            <v>38139.83714666796</v>
          </cell>
          <cell r="P32">
            <v>39161.505046278187</v>
          </cell>
          <cell r="Q32">
            <v>38361.147651302308</v>
          </cell>
          <cell r="R32">
            <v>37830.575545958658</v>
          </cell>
          <cell r="S32">
            <v>38107.775446915592</v>
          </cell>
          <cell r="T32">
            <v>38177.249621011433</v>
          </cell>
          <cell r="U32">
            <v>37960.614699583777</v>
          </cell>
          <cell r="V32">
            <v>38236.420228818926</v>
          </cell>
          <cell r="W32">
            <v>42308.084566481288</v>
          </cell>
          <cell r="X32">
            <v>42788.248455214358</v>
          </cell>
          <cell r="Y32">
            <v>41522.131080846411</v>
          </cell>
          <cell r="Z32">
            <v>39651.086475288597</v>
          </cell>
          <cell r="AA32">
            <v>37482.88451919466</v>
          </cell>
          <cell r="AB32">
            <v>34968.175333721592</v>
          </cell>
        </row>
        <row r="33">
          <cell r="D33">
            <v>4</v>
          </cell>
          <cell r="E33">
            <v>32362.569874642886</v>
          </cell>
          <cell r="F33">
            <v>30833.425696800809</v>
          </cell>
          <cell r="G33">
            <v>29615.168238175578</v>
          </cell>
          <cell r="H33">
            <v>28741.396664483273</v>
          </cell>
          <cell r="I33">
            <v>28369.04319220156</v>
          </cell>
          <cell r="J33">
            <v>27513.510765881711</v>
          </cell>
          <cell r="K33">
            <v>27098.342572384663</v>
          </cell>
          <cell r="L33">
            <v>28715.477670620035</v>
          </cell>
          <cell r="M33">
            <v>30914.68227290221</v>
          </cell>
          <cell r="N33">
            <v>32653.535649905727</v>
          </cell>
          <cell r="O33">
            <v>33844.769835774758</v>
          </cell>
          <cell r="P33">
            <v>34732.338713749719</v>
          </cell>
          <cell r="Q33">
            <v>35238.26991254522</v>
          </cell>
          <cell r="R33">
            <v>35345.558383150943</v>
          </cell>
          <cell r="S33">
            <v>35492.954887844542</v>
          </cell>
          <cell r="T33">
            <v>35884.271763484488</v>
          </cell>
          <cell r="U33">
            <v>35781.768718323023</v>
          </cell>
          <cell r="V33">
            <v>36353.987885456241</v>
          </cell>
          <cell r="W33">
            <v>40573.455430409769</v>
          </cell>
          <cell r="X33">
            <v>41688.123459894858</v>
          </cell>
          <cell r="Y33">
            <v>41461.399776222817</v>
          </cell>
          <cell r="Z33">
            <v>40130.511727032033</v>
          </cell>
          <cell r="AA33">
            <v>37444.374793779112</v>
          </cell>
          <cell r="AB33">
            <v>34047.981879599225</v>
          </cell>
        </row>
        <row r="34">
          <cell r="D34">
            <v>2</v>
          </cell>
          <cell r="E34">
            <v>32362.569874642886</v>
          </cell>
          <cell r="F34">
            <v>30833.425696800809</v>
          </cell>
          <cell r="G34">
            <v>29615.168238175578</v>
          </cell>
          <cell r="H34">
            <v>28741.396664483273</v>
          </cell>
          <cell r="I34">
            <v>28369.04319220156</v>
          </cell>
          <cell r="J34">
            <v>27513.510765881711</v>
          </cell>
          <cell r="K34">
            <v>27098.342572384663</v>
          </cell>
          <cell r="L34">
            <v>28715.477670620035</v>
          </cell>
          <cell r="M34">
            <v>30914.68227290221</v>
          </cell>
          <cell r="N34">
            <v>32653.535649905727</v>
          </cell>
          <cell r="O34">
            <v>33844.769835774758</v>
          </cell>
          <cell r="P34">
            <v>34732.338713749719</v>
          </cell>
          <cell r="Q34">
            <v>35238.26991254522</v>
          </cell>
          <cell r="R34">
            <v>35345.558383150943</v>
          </cell>
          <cell r="S34">
            <v>35492.954887844542</v>
          </cell>
          <cell r="T34">
            <v>35884.271763484488</v>
          </cell>
          <cell r="U34">
            <v>35781.768718323023</v>
          </cell>
          <cell r="V34">
            <v>36353.987885456241</v>
          </cell>
          <cell r="W34">
            <v>40573.455430409769</v>
          </cell>
          <cell r="X34">
            <v>41688.123459894858</v>
          </cell>
          <cell r="Y34">
            <v>41461.399776222817</v>
          </cell>
          <cell r="Z34">
            <v>40130.511727032033</v>
          </cell>
          <cell r="AA34">
            <v>37444.374793779112</v>
          </cell>
          <cell r="AB34">
            <v>34047.981879599225</v>
          </cell>
        </row>
        <row r="35">
          <cell r="D35">
            <v>20</v>
          </cell>
          <cell r="E35">
            <v>31589.600637863205</v>
          </cell>
          <cell r="F35">
            <v>30003.195697023217</v>
          </cell>
          <cell r="G35">
            <v>28900.78090395363</v>
          </cell>
          <cell r="H35">
            <v>28038.208477421867</v>
          </cell>
          <cell r="I35">
            <v>28124.572261783094</v>
          </cell>
          <cell r="J35">
            <v>28511.80729657456</v>
          </cell>
          <cell r="K35">
            <v>29127.444620956976</v>
          </cell>
          <cell r="L35">
            <v>32795.353099273438</v>
          </cell>
          <cell r="M35">
            <v>36365.908937193286</v>
          </cell>
          <cell r="N35">
            <v>38133.43674700844</v>
          </cell>
          <cell r="O35">
            <v>40178.234311331908</v>
          </cell>
          <cell r="P35">
            <v>41522.258940881627</v>
          </cell>
          <cell r="Q35">
            <v>40046.016175399091</v>
          </cell>
          <cell r="R35">
            <v>40924.39479985417</v>
          </cell>
          <cell r="S35">
            <v>42936.627010729288</v>
          </cell>
          <cell r="T35">
            <v>43175.27606937509</v>
          </cell>
          <cell r="U35">
            <v>42746.00047873013</v>
          </cell>
          <cell r="V35">
            <v>41410.664417549357</v>
          </cell>
          <cell r="W35">
            <v>43827.688371173143</v>
          </cell>
          <cell r="X35">
            <v>44383.005342773351</v>
          </cell>
          <cell r="Y35">
            <v>42932.907331584567</v>
          </cell>
          <cell r="Z35">
            <v>40732.307240893395</v>
          </cell>
          <cell r="AA35">
            <v>37457.846146316871</v>
          </cell>
          <cell r="AB35">
            <v>34155.762019419308</v>
          </cell>
        </row>
        <row r="36">
          <cell r="D36">
            <v>4</v>
          </cell>
          <cell r="E36">
            <v>31667.263042937524</v>
          </cell>
          <cell r="F36">
            <v>30111.718839169807</v>
          </cell>
          <cell r="G36">
            <v>28955.765982536981</v>
          </cell>
          <cell r="H36">
            <v>28162.402574960142</v>
          </cell>
          <cell r="I36">
            <v>28023.25689874708</v>
          </cell>
          <cell r="J36">
            <v>27668.779927093128</v>
          </cell>
          <cell r="K36">
            <v>27940.068220333429</v>
          </cell>
          <cell r="L36">
            <v>31163.422414186403</v>
          </cell>
          <cell r="M36">
            <v>34700.692175338823</v>
          </cell>
          <cell r="N36">
            <v>36720.658759562953</v>
          </cell>
          <cell r="O36">
            <v>38451.585703983787</v>
          </cell>
          <cell r="P36">
            <v>39499.92695895629</v>
          </cell>
          <cell r="Q36">
            <v>38778.442846046193</v>
          </cell>
          <cell r="R36">
            <v>37998.81630919598</v>
          </cell>
          <cell r="S36">
            <v>38117.035350925238</v>
          </cell>
          <cell r="T36">
            <v>38141.445172096704</v>
          </cell>
          <cell r="U36">
            <v>37698.100755092499</v>
          </cell>
          <cell r="V36">
            <v>37850.133960008396</v>
          </cell>
          <cell r="W36">
            <v>41121.199033091878</v>
          </cell>
          <cell r="X36">
            <v>41983.82328560992</v>
          </cell>
          <cell r="Y36">
            <v>40778.365220550142</v>
          </cell>
          <cell r="Z36">
            <v>38743.725294775613</v>
          </cell>
          <cell r="AA36">
            <v>36379.754227592057</v>
          </cell>
          <cell r="AB36">
            <v>33936.679381485344</v>
          </cell>
        </row>
        <row r="37">
          <cell r="D37">
            <v>4</v>
          </cell>
          <cell r="E37">
            <v>32145.649811656134</v>
          </cell>
          <cell r="F37">
            <v>30517.494758853787</v>
          </cell>
          <cell r="G37">
            <v>29252.844990162779</v>
          </cell>
          <cell r="H37">
            <v>28421.619729802347</v>
          </cell>
          <cell r="I37">
            <v>28097.417788786341</v>
          </cell>
          <cell r="J37">
            <v>27214.708972156546</v>
          </cell>
          <cell r="K37">
            <v>26616.638546234251</v>
          </cell>
          <cell r="L37">
            <v>28075.929861401641</v>
          </cell>
          <cell r="M37">
            <v>29999.803991936082</v>
          </cell>
          <cell r="N37">
            <v>31608.650254498312</v>
          </cell>
          <cell r="O37">
            <v>32747.223732482616</v>
          </cell>
          <cell r="P37">
            <v>33652.560357038135</v>
          </cell>
          <cell r="Q37">
            <v>34360.543567595669</v>
          </cell>
          <cell r="R37">
            <v>34296.709471174901</v>
          </cell>
          <cell r="S37">
            <v>34415.009156176893</v>
          </cell>
          <cell r="T37">
            <v>34694.510747287779</v>
          </cell>
          <cell r="U37">
            <v>34750.154998552556</v>
          </cell>
          <cell r="V37">
            <v>35145.128322757737</v>
          </cell>
          <cell r="W37">
            <v>39185.483640068436</v>
          </cell>
          <cell r="X37">
            <v>41076.599700186431</v>
          </cell>
          <cell r="Y37">
            <v>40557.420275486307</v>
          </cell>
          <cell r="Z37">
            <v>39258.853688849587</v>
          </cell>
          <cell r="AA37">
            <v>36882.138298644983</v>
          </cell>
          <cell r="AB37">
            <v>34186.521280919289</v>
          </cell>
        </row>
        <row r="38">
          <cell r="D38">
            <v>2</v>
          </cell>
          <cell r="E38">
            <v>32145.649811656134</v>
          </cell>
          <cell r="F38">
            <v>30517.494758853787</v>
          </cell>
          <cell r="G38">
            <v>29252.844990162779</v>
          </cell>
          <cell r="H38">
            <v>28421.619729802347</v>
          </cell>
          <cell r="I38">
            <v>28097.417788786341</v>
          </cell>
          <cell r="J38">
            <v>27214.708972156546</v>
          </cell>
          <cell r="K38">
            <v>26616.638546234251</v>
          </cell>
          <cell r="L38">
            <v>28075.929861401641</v>
          </cell>
          <cell r="M38">
            <v>29999.803991936082</v>
          </cell>
          <cell r="N38">
            <v>31608.650254498312</v>
          </cell>
          <cell r="O38">
            <v>32747.223732482616</v>
          </cell>
          <cell r="P38">
            <v>33652.560357038135</v>
          </cell>
          <cell r="Q38">
            <v>34360.543567595669</v>
          </cell>
          <cell r="R38">
            <v>34296.709471174901</v>
          </cell>
          <cell r="S38">
            <v>34415.009156176893</v>
          </cell>
          <cell r="T38">
            <v>34694.510747287779</v>
          </cell>
          <cell r="U38">
            <v>34750.154998552556</v>
          </cell>
          <cell r="V38">
            <v>35145.128322757737</v>
          </cell>
          <cell r="W38">
            <v>39185.483640068436</v>
          </cell>
          <cell r="X38">
            <v>41076.599700186431</v>
          </cell>
          <cell r="Y38">
            <v>40557.420275486307</v>
          </cell>
          <cell r="Z38">
            <v>39258.853688849587</v>
          </cell>
          <cell r="AA38">
            <v>36882.138298644983</v>
          </cell>
          <cell r="AB38">
            <v>34186.521280919289</v>
          </cell>
        </row>
        <row r="39">
          <cell r="D39">
            <v>19</v>
          </cell>
          <cell r="E39">
            <v>31659.782683697733</v>
          </cell>
          <cell r="F39">
            <v>30041.332056292809</v>
          </cell>
          <cell r="G39">
            <v>28833.395114733346</v>
          </cell>
          <cell r="H39">
            <v>28026.773858538196</v>
          </cell>
          <cell r="I39">
            <v>27997.02912300051</v>
          </cell>
          <cell r="J39">
            <v>28717.03879604505</v>
          </cell>
          <cell r="K39">
            <v>29090.264022959152</v>
          </cell>
          <cell r="L39">
            <v>32673.400261371087</v>
          </cell>
          <cell r="M39">
            <v>36186.553449880208</v>
          </cell>
          <cell r="N39">
            <v>37993.532545871807</v>
          </cell>
          <cell r="O39">
            <v>40093.611703114126</v>
          </cell>
          <cell r="P39">
            <v>41668.679077964618</v>
          </cell>
          <cell r="Q39">
            <v>40183.245049718229</v>
          </cell>
          <cell r="R39">
            <v>41535.2342278461</v>
          </cell>
          <cell r="S39">
            <v>43900.147312446024</v>
          </cell>
          <cell r="T39">
            <v>44160.145790064431</v>
          </cell>
          <cell r="U39">
            <v>43560.833279427039</v>
          </cell>
          <cell r="V39">
            <v>41709.768285199818</v>
          </cell>
          <cell r="W39">
            <v>43559.506626944305</v>
          </cell>
          <cell r="X39">
            <v>44574.829131425737</v>
          </cell>
          <cell r="Y39">
            <v>43367.150262252253</v>
          </cell>
          <cell r="Z39">
            <v>41211.114830558057</v>
          </cell>
          <cell r="AA39">
            <v>37840.804174825083</v>
          </cell>
          <cell r="AB39">
            <v>34579.481509377169</v>
          </cell>
        </row>
        <row r="40">
          <cell r="D40">
            <v>5</v>
          </cell>
          <cell r="E40">
            <v>32250.109229962894</v>
          </cell>
          <cell r="F40">
            <v>30427.178949589612</v>
          </cell>
          <cell r="G40">
            <v>29115.581170821275</v>
          </cell>
          <cell r="H40">
            <v>28320.761650094224</v>
          </cell>
          <cell r="I40">
            <v>27944.471007295764</v>
          </cell>
          <cell r="J40">
            <v>27660.895617592469</v>
          </cell>
          <cell r="K40">
            <v>27785.131108903784</v>
          </cell>
          <cell r="L40">
            <v>30827.995976395054</v>
          </cell>
          <cell r="M40">
            <v>34400.550882393851</v>
          </cell>
          <cell r="N40">
            <v>36463.800443054643</v>
          </cell>
          <cell r="O40">
            <v>38404.706094370318</v>
          </cell>
          <cell r="P40">
            <v>39374.777055910854</v>
          </cell>
          <cell r="Q40">
            <v>38745.531107274423</v>
          </cell>
          <cell r="R40">
            <v>38185.387405412141</v>
          </cell>
          <cell r="S40">
            <v>38182.638564304245</v>
          </cell>
          <cell r="T40">
            <v>37957.070398149328</v>
          </cell>
          <cell r="U40">
            <v>37593.741526474369</v>
          </cell>
          <cell r="V40">
            <v>37719.01359825275</v>
          </cell>
          <cell r="W40">
            <v>40084.556663292358</v>
          </cell>
          <cell r="X40">
            <v>40987.404059210188</v>
          </cell>
          <cell r="Y40">
            <v>39644.398601834568</v>
          </cell>
          <cell r="Z40">
            <v>37984.304340656949</v>
          </cell>
          <cell r="AA40">
            <v>35878.292126745444</v>
          </cell>
          <cell r="AB40">
            <v>33465.691404696605</v>
          </cell>
        </row>
        <row r="41">
          <cell r="D41">
            <v>5</v>
          </cell>
          <cell r="E41">
            <v>30328.569314224373</v>
          </cell>
          <cell r="F41">
            <v>28910.51218432817</v>
          </cell>
          <cell r="G41">
            <v>27673.87706245849</v>
          </cell>
          <cell r="H41">
            <v>26918.637994004628</v>
          </cell>
          <cell r="I41">
            <v>26613.260657360948</v>
          </cell>
          <cell r="J41">
            <v>25962.460564934609</v>
          </cell>
          <cell r="K41">
            <v>25389.393471872787</v>
          </cell>
          <cell r="L41">
            <v>26958.766838412488</v>
          </cell>
          <cell r="M41">
            <v>28888.307731966863</v>
          </cell>
          <cell r="N41">
            <v>30442.943207709101</v>
          </cell>
          <cell r="O41">
            <v>31768.922492266778</v>
          </cell>
          <cell r="P41">
            <v>32899.027416034121</v>
          </cell>
          <cell r="Q41">
            <v>33716.143522441322</v>
          </cell>
          <cell r="R41">
            <v>33923.477676995113</v>
          </cell>
          <cell r="S41">
            <v>34116.117803521673</v>
          </cell>
          <cell r="T41">
            <v>34567.208552952638</v>
          </cell>
          <cell r="U41">
            <v>34506.263383853118</v>
          </cell>
          <cell r="V41">
            <v>34669.674994401255</v>
          </cell>
          <cell r="W41">
            <v>38601.738840820522</v>
          </cell>
          <cell r="X41">
            <v>40807.513700417665</v>
          </cell>
          <cell r="Y41">
            <v>40190.488371095984</v>
          </cell>
          <cell r="Z41">
            <v>38539.049051536451</v>
          </cell>
          <cell r="AA41">
            <v>35572.6000102213</v>
          </cell>
          <cell r="AB41">
            <v>32575.723967235255</v>
          </cell>
        </row>
        <row r="42">
          <cell r="D42">
            <v>2</v>
          </cell>
          <cell r="E42">
            <v>30328.569314224373</v>
          </cell>
          <cell r="F42">
            <v>28910.51218432817</v>
          </cell>
          <cell r="G42">
            <v>27673.87706245849</v>
          </cell>
          <cell r="H42">
            <v>26918.637994004628</v>
          </cell>
          <cell r="I42">
            <v>26613.260657360948</v>
          </cell>
          <cell r="J42">
            <v>25962.460564934609</v>
          </cell>
          <cell r="K42">
            <v>25389.393471872787</v>
          </cell>
          <cell r="L42">
            <v>26958.766838412488</v>
          </cell>
          <cell r="M42">
            <v>28888.307731966863</v>
          </cell>
          <cell r="N42">
            <v>30442.943207709101</v>
          </cell>
          <cell r="O42">
            <v>31768.922492266778</v>
          </cell>
          <cell r="P42">
            <v>32899.027416034121</v>
          </cell>
          <cell r="Q42">
            <v>33716.143522441322</v>
          </cell>
          <cell r="R42">
            <v>33923.477676995113</v>
          </cell>
          <cell r="S42">
            <v>34116.117803521673</v>
          </cell>
          <cell r="T42">
            <v>34567.208552952638</v>
          </cell>
          <cell r="U42">
            <v>34506.263383853118</v>
          </cell>
          <cell r="V42">
            <v>34669.674994401255</v>
          </cell>
          <cell r="W42">
            <v>38601.738840820522</v>
          </cell>
          <cell r="X42">
            <v>40807.513700417665</v>
          </cell>
          <cell r="Y42">
            <v>40190.488371095984</v>
          </cell>
          <cell r="Z42">
            <v>38539.049051536451</v>
          </cell>
          <cell r="AA42">
            <v>35572.6000102213</v>
          </cell>
          <cell r="AB42">
            <v>32575.723967235255</v>
          </cell>
        </row>
        <row r="43">
          <cell r="D43">
            <v>22</v>
          </cell>
          <cell r="E43">
            <v>31359.56406597338</v>
          </cell>
          <cell r="F43">
            <v>29644.091912568409</v>
          </cell>
          <cell r="G43">
            <v>28429.418188001884</v>
          </cell>
          <cell r="H43">
            <v>27600.880486303733</v>
          </cell>
          <cell r="I43">
            <v>27572.496935444513</v>
          </cell>
          <cell r="J43">
            <v>28493.901598072018</v>
          </cell>
          <cell r="K43">
            <v>28829.098893373943</v>
          </cell>
          <cell r="L43">
            <v>32069.661678174652</v>
          </cell>
          <cell r="M43">
            <v>35562.715141159839</v>
          </cell>
          <cell r="N43">
            <v>37312.598950819389</v>
          </cell>
          <cell r="O43">
            <v>39488.292695679062</v>
          </cell>
          <cell r="P43">
            <v>41290.134460565983</v>
          </cell>
          <cell r="Q43">
            <v>39630.264567663136</v>
          </cell>
          <cell r="R43">
            <v>40926.243899885107</v>
          </cell>
          <cell r="S43">
            <v>43387.011809735166</v>
          </cell>
          <cell r="T43">
            <v>43665.668423657793</v>
          </cell>
          <cell r="U43">
            <v>42916.838748575974</v>
          </cell>
          <cell r="V43">
            <v>41344.825728783093</v>
          </cell>
          <cell r="W43">
            <v>43819.73926276742</v>
          </cell>
          <cell r="X43">
            <v>44503.111947211488</v>
          </cell>
          <cell r="Y43">
            <v>43252.518262729667</v>
          </cell>
          <cell r="Z43">
            <v>41040.552490461778</v>
          </cell>
          <cell r="AA43">
            <v>37633.390924311847</v>
          </cell>
          <cell r="AB43">
            <v>34415.003618452458</v>
          </cell>
        </row>
        <row r="44">
          <cell r="D44">
            <v>4</v>
          </cell>
          <cell r="E44">
            <v>31788.902178629411</v>
          </cell>
          <cell r="F44">
            <v>30154.298052717284</v>
          </cell>
          <cell r="G44">
            <v>28942.299462945295</v>
          </cell>
          <cell r="H44">
            <v>28022.409329193302</v>
          </cell>
          <cell r="I44">
            <v>27470.829268705416</v>
          </cell>
          <cell r="J44">
            <v>27233.986521672719</v>
          </cell>
          <cell r="K44">
            <v>27276.459441161485</v>
          </cell>
          <cell r="L44">
            <v>30194.625854618756</v>
          </cell>
          <cell r="M44">
            <v>33391.113419560294</v>
          </cell>
          <cell r="N44">
            <v>35424.338229875408</v>
          </cell>
          <cell r="O44">
            <v>37093.764687982679</v>
          </cell>
          <cell r="P44">
            <v>37658.751669525605</v>
          </cell>
          <cell r="Q44">
            <v>37012.075994323481</v>
          </cell>
          <cell r="R44">
            <v>36505.024814541779</v>
          </cell>
          <cell r="S44">
            <v>36907.829206307797</v>
          </cell>
          <cell r="T44">
            <v>37068.321912454841</v>
          </cell>
          <cell r="U44">
            <v>36824.212282620145</v>
          </cell>
          <cell r="V44">
            <v>37108.661465625679</v>
          </cell>
          <cell r="W44">
            <v>40961.502131569287</v>
          </cell>
          <cell r="X44">
            <v>41287.059043116053</v>
          </cell>
          <cell r="Y44">
            <v>39781.988393234577</v>
          </cell>
          <cell r="Z44">
            <v>37977.111694961917</v>
          </cell>
          <cell r="AA44">
            <v>35647.084051970342</v>
          </cell>
          <cell r="AB44">
            <v>33104.810090615894</v>
          </cell>
        </row>
        <row r="45">
          <cell r="D45">
            <v>3</v>
          </cell>
          <cell r="E45">
            <v>31021.943831025495</v>
          </cell>
          <cell r="F45">
            <v>29512.496855148045</v>
          </cell>
          <cell r="G45">
            <v>28204.246427939397</v>
          </cell>
          <cell r="H45">
            <v>27445.942123849523</v>
          </cell>
          <cell r="I45">
            <v>27050.6059192393</v>
          </cell>
          <cell r="J45">
            <v>26638.789325705409</v>
          </cell>
          <cell r="K45">
            <v>25922.711930834383</v>
          </cell>
          <cell r="L45">
            <v>27390.950015068953</v>
          </cell>
          <cell r="M45">
            <v>29153.871105168102</v>
          </cell>
          <cell r="N45">
            <v>30652.331155096435</v>
          </cell>
          <cell r="O45">
            <v>31923.351261735759</v>
          </cell>
          <cell r="P45">
            <v>32982.823995078201</v>
          </cell>
          <cell r="Q45">
            <v>33614.545158139903</v>
          </cell>
          <cell r="R45">
            <v>33746.869560649197</v>
          </cell>
          <cell r="S45">
            <v>33950.429391776022</v>
          </cell>
          <cell r="T45">
            <v>34195.551419014359</v>
          </cell>
          <cell r="U45">
            <v>34191.344720037341</v>
          </cell>
          <cell r="V45">
            <v>34764.570874192592</v>
          </cell>
          <cell r="W45">
            <v>39121.895833944669</v>
          </cell>
          <cell r="X45">
            <v>40810.910380802867</v>
          </cell>
          <cell r="Y45">
            <v>40476.628151738631</v>
          </cell>
          <cell r="Z45">
            <v>39030.279616817556</v>
          </cell>
          <cell r="AA45">
            <v>36173.69215409286</v>
          </cell>
          <cell r="AB45">
            <v>33153.134631333036</v>
          </cell>
        </row>
        <row r="46">
          <cell r="D46">
            <v>2</v>
          </cell>
          <cell r="E46">
            <v>31021.943831025495</v>
          </cell>
          <cell r="F46">
            <v>29512.496855148045</v>
          </cell>
          <cell r="G46">
            <v>28204.246427939397</v>
          </cell>
          <cell r="H46">
            <v>27445.942123849523</v>
          </cell>
          <cell r="I46">
            <v>27050.6059192393</v>
          </cell>
          <cell r="J46">
            <v>26638.789325705409</v>
          </cell>
          <cell r="K46">
            <v>25922.711930834383</v>
          </cell>
          <cell r="L46">
            <v>27390.950015068953</v>
          </cell>
          <cell r="M46">
            <v>29153.871105168102</v>
          </cell>
          <cell r="N46">
            <v>30652.331155096435</v>
          </cell>
          <cell r="O46">
            <v>31923.351261735759</v>
          </cell>
          <cell r="P46">
            <v>32982.823995078201</v>
          </cell>
          <cell r="Q46">
            <v>33614.545158139903</v>
          </cell>
          <cell r="R46">
            <v>33746.869560649197</v>
          </cell>
          <cell r="S46">
            <v>33950.429391776022</v>
          </cell>
          <cell r="T46">
            <v>34195.551419014359</v>
          </cell>
          <cell r="U46">
            <v>34191.344720037341</v>
          </cell>
          <cell r="V46">
            <v>34764.570874192592</v>
          </cell>
          <cell r="W46">
            <v>39121.895833944669</v>
          </cell>
          <cell r="X46">
            <v>40810.910380802867</v>
          </cell>
          <cell r="Y46">
            <v>40476.628151738631</v>
          </cell>
          <cell r="Z46">
            <v>39030.279616817556</v>
          </cell>
          <cell r="AA46">
            <v>36173.69215409286</v>
          </cell>
          <cell r="AB46">
            <v>33153.134631333036</v>
          </cell>
        </row>
        <row r="47">
          <cell r="D47">
            <v>22</v>
          </cell>
          <cell r="E47">
            <v>31216.896082265735</v>
          </cell>
          <cell r="F47">
            <v>29579.459714434237</v>
          </cell>
          <cell r="G47">
            <v>28373.20765064138</v>
          </cell>
          <cell r="H47">
            <v>27489.727521316017</v>
          </cell>
          <cell r="I47">
            <v>27458.515757673747</v>
          </cell>
          <cell r="J47">
            <v>28347.14531521784</v>
          </cell>
          <cell r="K47">
            <v>28747.797612747367</v>
          </cell>
          <cell r="L47">
            <v>32038.754095391589</v>
          </cell>
          <cell r="M47">
            <v>35583.106638592355</v>
          </cell>
          <cell r="N47">
            <v>37352.816994849592</v>
          </cell>
          <cell r="O47">
            <v>39255.126909222919</v>
          </cell>
          <cell r="P47">
            <v>40880.782397286661</v>
          </cell>
          <cell r="Q47">
            <v>39403.199721269295</v>
          </cell>
          <cell r="R47">
            <v>40554.548683893423</v>
          </cell>
          <cell r="S47">
            <v>42854.781434895718</v>
          </cell>
          <cell r="T47">
            <v>43148.076571218284</v>
          </cell>
          <cell r="U47">
            <v>42481.41080567475</v>
          </cell>
          <cell r="V47">
            <v>41401.249357512941</v>
          </cell>
          <cell r="W47">
            <v>44170.875273690515</v>
          </cell>
          <cell r="X47">
            <v>43753.713896408037</v>
          </cell>
          <cell r="Y47">
            <v>42356.727191536767</v>
          </cell>
          <cell r="Z47">
            <v>40072.204161471527</v>
          </cell>
          <cell r="AA47">
            <v>36644.559202551878</v>
          </cell>
          <cell r="AB47">
            <v>33491.339506642784</v>
          </cell>
        </row>
        <row r="48">
          <cell r="D48">
            <v>4</v>
          </cell>
          <cell r="E48">
            <v>30404.573680996935</v>
          </cell>
          <cell r="F48">
            <v>28867.730594458695</v>
          </cell>
          <cell r="G48">
            <v>27713.244938035612</v>
          </cell>
          <cell r="H48">
            <v>26862.336998738425</v>
          </cell>
          <cell r="I48">
            <v>26636.102035680582</v>
          </cell>
          <cell r="J48">
            <v>26482.733713760517</v>
          </cell>
          <cell r="K48">
            <v>26786.371317238998</v>
          </cell>
          <cell r="L48">
            <v>29840.165815019725</v>
          </cell>
          <cell r="M48">
            <v>33255.802120804823</v>
          </cell>
          <cell r="N48">
            <v>34938.265928359033</v>
          </cell>
          <cell r="O48">
            <v>36984.486025954058</v>
          </cell>
          <cell r="P48">
            <v>37895.391624943921</v>
          </cell>
          <cell r="Q48">
            <v>37473.441163692849</v>
          </cell>
          <cell r="R48">
            <v>37015.076664651322</v>
          </cell>
          <cell r="S48">
            <v>37270.86413178104</v>
          </cell>
          <cell r="T48">
            <v>37191.296176433483</v>
          </cell>
          <cell r="U48">
            <v>36749.152726876957</v>
          </cell>
          <cell r="V48">
            <v>37650.68626845588</v>
          </cell>
          <cell r="W48">
            <v>41835.767515703184</v>
          </cell>
          <cell r="X48">
            <v>41526.061637522223</v>
          </cell>
          <cell r="Y48">
            <v>40060.125873706122</v>
          </cell>
          <cell r="Z48">
            <v>38216.804501204919</v>
          </cell>
          <cell r="AA48">
            <v>36104.837967608968</v>
          </cell>
          <cell r="AB48">
            <v>33581.287582583573</v>
          </cell>
        </row>
        <row r="49">
          <cell r="D49">
            <v>4</v>
          </cell>
          <cell r="E49">
            <v>31120.206501845227</v>
          </cell>
          <cell r="F49">
            <v>29534.288900911644</v>
          </cell>
          <cell r="G49">
            <v>28172.629386317964</v>
          </cell>
          <cell r="H49">
            <v>27271.274249632392</v>
          </cell>
          <cell r="I49">
            <v>26889.739551397935</v>
          </cell>
          <cell r="J49">
            <v>26160.033437689228</v>
          </cell>
          <cell r="K49">
            <v>25476.278655348495</v>
          </cell>
          <cell r="L49">
            <v>27078.142643752002</v>
          </cell>
          <cell r="M49">
            <v>28819.274383138338</v>
          </cell>
          <cell r="N49">
            <v>30508.160453311692</v>
          </cell>
          <cell r="O49">
            <v>31800.662204594166</v>
          </cell>
          <cell r="P49">
            <v>32649.687956589572</v>
          </cell>
          <cell r="Q49">
            <v>33377.321563540856</v>
          </cell>
          <cell r="R49">
            <v>33479.751682689464</v>
          </cell>
          <cell r="S49">
            <v>33499.806712905149</v>
          </cell>
          <cell r="T49">
            <v>33916.573712474848</v>
          </cell>
          <cell r="U49">
            <v>33880.63155405959</v>
          </cell>
          <cell r="V49">
            <v>34982.663977052827</v>
          </cell>
          <cell r="W49">
            <v>39557.786292932346</v>
          </cell>
          <cell r="X49">
            <v>40215.8322717064</v>
          </cell>
          <cell r="Y49">
            <v>39696.362685760818</v>
          </cell>
          <cell r="Z49">
            <v>38197.387213613227</v>
          </cell>
          <cell r="AA49">
            <v>35443.341782426629</v>
          </cell>
          <cell r="AB49">
            <v>32510.544367887534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20</v>
          </cell>
          <cell r="E51">
            <v>30301.18996089332</v>
          </cell>
          <cell r="F51">
            <v>28706.149012904069</v>
          </cell>
          <cell r="G51">
            <v>27566.445155757952</v>
          </cell>
          <cell r="H51">
            <v>26737.752732388388</v>
          </cell>
          <cell r="I51">
            <v>26824.269167353072</v>
          </cell>
          <cell r="J51">
            <v>27625.417128777735</v>
          </cell>
          <cell r="K51">
            <v>28350.744913507591</v>
          </cell>
          <cell r="L51">
            <v>31578.309903798818</v>
          </cell>
          <cell r="M51">
            <v>35010.511958301584</v>
          </cell>
          <cell r="N51">
            <v>36808.094930041545</v>
          </cell>
          <cell r="O51">
            <v>38680.123157684735</v>
          </cell>
          <cell r="P51">
            <v>40162.416215420955</v>
          </cell>
          <cell r="Q51">
            <v>38429.64176353925</v>
          </cell>
          <cell r="R51">
            <v>39456.95975213145</v>
          </cell>
          <cell r="S51">
            <v>41671.812200189474</v>
          </cell>
          <cell r="T51">
            <v>42172.421160450634</v>
          </cell>
          <cell r="U51">
            <v>41703.778993189713</v>
          </cell>
          <cell r="V51">
            <v>41718.503478561346</v>
          </cell>
          <cell r="W51">
            <v>44307.196012778928</v>
          </cell>
          <cell r="X51">
            <v>43319.792849526821</v>
          </cell>
          <cell r="Y51">
            <v>41710.934547682002</v>
          </cell>
          <cell r="Z51">
            <v>39428.140078272249</v>
          </cell>
          <cell r="AA51">
            <v>36063.683570163368</v>
          </cell>
          <cell r="AB51">
            <v>32814.45261404453</v>
          </cell>
        </row>
        <row r="52">
          <cell r="D52">
            <v>5</v>
          </cell>
          <cell r="E52">
            <v>30853.936623842103</v>
          </cell>
          <cell r="F52">
            <v>29121.409857351446</v>
          </cell>
          <cell r="G52">
            <v>27747.966263182869</v>
          </cell>
          <cell r="H52">
            <v>26892.964890877844</v>
          </cell>
          <cell r="I52">
            <v>26875.947072477833</v>
          </cell>
          <cell r="J52">
            <v>26761.813153818148</v>
          </cell>
          <cell r="K52">
            <v>27176.246524217699</v>
          </cell>
          <cell r="L52">
            <v>29868.61944185305</v>
          </cell>
          <cell r="M52">
            <v>33221.989396063625</v>
          </cell>
          <cell r="N52">
            <v>35134.907957310381</v>
          </cell>
          <cell r="O52">
            <v>37106.537563600599</v>
          </cell>
          <cell r="P52">
            <v>38087.468189710169</v>
          </cell>
          <cell r="Q52">
            <v>37372.499886130841</v>
          </cell>
          <cell r="R52">
            <v>36911.661121405989</v>
          </cell>
          <cell r="S52">
            <v>37299.202638310897</v>
          </cell>
          <cell r="T52">
            <v>37690.711795326155</v>
          </cell>
          <cell r="U52">
            <v>37403.458078829914</v>
          </cell>
          <cell r="V52">
            <v>38769.952431637437</v>
          </cell>
          <cell r="W52">
            <v>42433.406377040919</v>
          </cell>
          <cell r="X52">
            <v>41649.675906202901</v>
          </cell>
          <cell r="Y52">
            <v>40042.402098438019</v>
          </cell>
          <cell r="Z52">
            <v>38021.012598065157</v>
          </cell>
          <cell r="AA52">
            <v>35599.186591748563</v>
          </cell>
          <cell r="AB52">
            <v>33041.68804903041</v>
          </cell>
        </row>
        <row r="53">
          <cell r="D53">
            <v>5</v>
          </cell>
          <cell r="E53">
            <v>30694.233872953646</v>
          </cell>
          <cell r="F53">
            <v>29083.777892145539</v>
          </cell>
          <cell r="G53">
            <v>27804.865497524843</v>
          </cell>
          <cell r="H53">
            <v>27013.427611255702</v>
          </cell>
          <cell r="I53">
            <v>26657.928390282719</v>
          </cell>
          <cell r="J53">
            <v>26086.358762801487</v>
          </cell>
          <cell r="K53">
            <v>25389.320688861739</v>
          </cell>
          <cell r="L53">
            <v>26895.202281917514</v>
          </cell>
          <cell r="M53">
            <v>28850.975291625327</v>
          </cell>
          <cell r="N53">
            <v>30413.936697108416</v>
          </cell>
          <cell r="O53">
            <v>31912.675458940103</v>
          </cell>
          <cell r="P53">
            <v>33111.120798880132</v>
          </cell>
          <cell r="Q53">
            <v>33708.773645477406</v>
          </cell>
          <cell r="R53">
            <v>33772.85379429521</v>
          </cell>
          <cell r="S53">
            <v>33982.53256171992</v>
          </cell>
          <cell r="T53">
            <v>33945.141155720827</v>
          </cell>
          <cell r="U53">
            <v>34198.481419183023</v>
          </cell>
          <cell r="V53">
            <v>35874.150208187748</v>
          </cell>
          <cell r="W53">
            <v>40227.372452134441</v>
          </cell>
          <cell r="X53">
            <v>40493.387773856673</v>
          </cell>
          <cell r="Y53">
            <v>39864.048075010367</v>
          </cell>
          <cell r="Z53">
            <v>38282.871767580946</v>
          </cell>
          <cell r="AA53">
            <v>35412.759236312682</v>
          </cell>
          <cell r="AB53">
            <v>32510.772927501443</v>
          </cell>
        </row>
        <row r="54">
          <cell r="D54">
            <v>1</v>
          </cell>
          <cell r="E54">
            <v>30694.233872953646</v>
          </cell>
          <cell r="F54">
            <v>29083.777892145539</v>
          </cell>
          <cell r="G54">
            <v>27804.865497524843</v>
          </cell>
          <cell r="H54">
            <v>27013.427611255702</v>
          </cell>
          <cell r="I54">
            <v>26657.928390282719</v>
          </cell>
          <cell r="J54">
            <v>26086.358762801487</v>
          </cell>
          <cell r="K54">
            <v>25389.320688861739</v>
          </cell>
          <cell r="L54">
            <v>26895.202281917514</v>
          </cell>
          <cell r="M54">
            <v>28850.975291625327</v>
          </cell>
          <cell r="N54">
            <v>30413.936697108416</v>
          </cell>
          <cell r="O54">
            <v>31912.675458940103</v>
          </cell>
          <cell r="P54">
            <v>33111.120798880132</v>
          </cell>
          <cell r="Q54">
            <v>33708.773645477406</v>
          </cell>
          <cell r="R54">
            <v>33772.85379429521</v>
          </cell>
          <cell r="S54">
            <v>33982.53256171992</v>
          </cell>
          <cell r="T54">
            <v>33945.141155720827</v>
          </cell>
          <cell r="U54">
            <v>34198.481419183023</v>
          </cell>
          <cell r="V54">
            <v>35874.150208187748</v>
          </cell>
          <cell r="W54">
            <v>40227.372452134441</v>
          </cell>
          <cell r="X54">
            <v>40493.387773856673</v>
          </cell>
          <cell r="Y54">
            <v>39864.048075010367</v>
          </cell>
          <cell r="Z54">
            <v>38282.871767580946</v>
          </cell>
          <cell r="AA54">
            <v>35412.759236312682</v>
          </cell>
          <cell r="AB54">
            <v>32510.772927501443</v>
          </cell>
        </row>
        <row r="55">
          <cell r="D55">
            <v>20</v>
          </cell>
          <cell r="E55">
            <v>29887.714164929272</v>
          </cell>
          <cell r="F55">
            <v>28351.960030427559</v>
          </cell>
          <cell r="G55">
            <v>27233.639570858431</v>
          </cell>
          <cell r="H55">
            <v>26476.133197077892</v>
          </cell>
          <cell r="I55">
            <v>26550.824684234758</v>
          </cell>
          <cell r="J55">
            <v>27339.206407606096</v>
          </cell>
          <cell r="K55">
            <v>28059.100156668959</v>
          </cell>
          <cell r="L55">
            <v>31396.672321892318</v>
          </cell>
          <cell r="M55">
            <v>34831.707256854679</v>
          </cell>
          <cell r="N55">
            <v>36535.698613648681</v>
          </cell>
          <cell r="O55">
            <v>38314.04519684962</v>
          </cell>
          <cell r="P55">
            <v>39567.438815009082</v>
          </cell>
          <cell r="Q55">
            <v>37944.976766731554</v>
          </cell>
          <cell r="R55">
            <v>38799.106308555856</v>
          </cell>
          <cell r="S55">
            <v>40734.241461978745</v>
          </cell>
          <cell r="T55">
            <v>41232.180418634591</v>
          </cell>
          <cell r="U55">
            <v>40829.565998188031</v>
          </cell>
          <cell r="V55">
            <v>41362.965592066023</v>
          </cell>
          <cell r="W55">
            <v>43387.895374406129</v>
          </cell>
          <cell r="X55">
            <v>42382.998856990722</v>
          </cell>
          <cell r="Y55">
            <v>40880.58447108409</v>
          </cell>
          <cell r="Z55">
            <v>38703.672621416052</v>
          </cell>
          <cell r="AA55">
            <v>35519.203641116765</v>
          </cell>
          <cell r="AB55">
            <v>32375.736520170554</v>
          </cell>
        </row>
        <row r="56">
          <cell r="D56">
            <v>4</v>
          </cell>
          <cell r="E56">
            <v>29174.740503557401</v>
          </cell>
          <cell r="F56">
            <v>27746.326545942989</v>
          </cell>
          <cell r="G56">
            <v>26743.892693041635</v>
          </cell>
          <cell r="H56">
            <v>26088.334887353769</v>
          </cell>
          <cell r="I56">
            <v>26072.711059745452</v>
          </cell>
          <cell r="J56">
            <v>26008.361037187729</v>
          </cell>
          <cell r="K56">
            <v>26396.831760006142</v>
          </cell>
          <cell r="L56">
            <v>29438.22523985053</v>
          </cell>
          <cell r="M56">
            <v>32858.652704298693</v>
          </cell>
          <cell r="N56">
            <v>34751.544482756515</v>
          </cell>
          <cell r="O56">
            <v>36722.850045790117</v>
          </cell>
          <cell r="P56">
            <v>37553.420575436619</v>
          </cell>
          <cell r="Q56">
            <v>36877.780218095788</v>
          </cell>
          <cell r="R56">
            <v>36113.160997842533</v>
          </cell>
          <cell r="S56">
            <v>35870.942765418607</v>
          </cell>
          <cell r="T56">
            <v>36159.009754741899</v>
          </cell>
          <cell r="U56">
            <v>35979.772462924782</v>
          </cell>
          <cell r="V56">
            <v>37981.725655947994</v>
          </cell>
          <cell r="W56">
            <v>41113.945881273867</v>
          </cell>
          <cell r="X56">
            <v>40419.148133128074</v>
          </cell>
          <cell r="Y56">
            <v>38966.027283096904</v>
          </cell>
          <cell r="Z56">
            <v>37163.229536388069</v>
          </cell>
          <cell r="AA56">
            <v>34885.401330046574</v>
          </cell>
          <cell r="AB56">
            <v>32322.643095538118</v>
          </cell>
        </row>
        <row r="57">
          <cell r="D57">
            <v>4</v>
          </cell>
          <cell r="E57">
            <v>30238.093746976658</v>
          </cell>
          <cell r="F57">
            <v>28803.541482507353</v>
          </cell>
          <cell r="G57">
            <v>27561.344378446243</v>
          </cell>
          <cell r="H57">
            <v>26724.124788763809</v>
          </cell>
          <cell r="I57">
            <v>26384.770277292369</v>
          </cell>
          <cell r="J57">
            <v>25940.205488779651</v>
          </cell>
          <cell r="K57">
            <v>25300.011987593778</v>
          </cell>
          <cell r="L57">
            <v>26692.507849728616</v>
          </cell>
          <cell r="M57">
            <v>28601.546648523181</v>
          </cell>
          <cell r="N57">
            <v>30170.420901789832</v>
          </cell>
          <cell r="O57">
            <v>31679.944123160421</v>
          </cell>
          <cell r="P57">
            <v>32477.343258173441</v>
          </cell>
          <cell r="Q57">
            <v>33069.004962826948</v>
          </cell>
          <cell r="R57">
            <v>33037.829505767717</v>
          </cell>
          <cell r="S57">
            <v>32942.883074886122</v>
          </cell>
          <cell r="T57">
            <v>33093.060120525588</v>
          </cell>
          <cell r="U57">
            <v>33131.526128005738</v>
          </cell>
          <cell r="V57">
            <v>35372.510590194273</v>
          </cell>
          <cell r="W57">
            <v>38744.093805949175</v>
          </cell>
          <cell r="X57">
            <v>38800.781311227765</v>
          </cell>
          <cell r="Y57">
            <v>37945.180704845079</v>
          </cell>
          <cell r="Z57">
            <v>36453.648483777171</v>
          </cell>
          <cell r="AA57">
            <v>34117.281718723018</v>
          </cell>
          <cell r="AB57">
            <v>31646.034160889787</v>
          </cell>
        </row>
        <row r="58">
          <cell r="D58">
            <v>2</v>
          </cell>
          <cell r="E58">
            <v>30238.093746976658</v>
          </cell>
          <cell r="F58">
            <v>28803.541482507353</v>
          </cell>
          <cell r="G58">
            <v>27561.344378446243</v>
          </cell>
          <cell r="H58">
            <v>26724.124788763809</v>
          </cell>
          <cell r="I58">
            <v>26384.770277292369</v>
          </cell>
          <cell r="J58">
            <v>25940.205488779651</v>
          </cell>
          <cell r="K58">
            <v>25300.011987593778</v>
          </cell>
          <cell r="L58">
            <v>26692.507849728616</v>
          </cell>
          <cell r="M58">
            <v>28601.546648523181</v>
          </cell>
          <cell r="N58">
            <v>30170.420901789832</v>
          </cell>
          <cell r="O58">
            <v>31679.944123160421</v>
          </cell>
          <cell r="P58">
            <v>32477.343258173441</v>
          </cell>
          <cell r="Q58">
            <v>33069.004962826948</v>
          </cell>
          <cell r="R58">
            <v>33037.829505767717</v>
          </cell>
          <cell r="S58">
            <v>32942.883074886122</v>
          </cell>
          <cell r="T58">
            <v>33093.060120525588</v>
          </cell>
          <cell r="U58">
            <v>33131.526128005738</v>
          </cell>
          <cell r="V58">
            <v>35372.510590194273</v>
          </cell>
          <cell r="W58">
            <v>38744.093805949175</v>
          </cell>
          <cell r="X58">
            <v>38800.781311227765</v>
          </cell>
          <cell r="Y58">
            <v>37945.180704845079</v>
          </cell>
          <cell r="Z58">
            <v>36453.648483777171</v>
          </cell>
          <cell r="AA58">
            <v>34117.281718723018</v>
          </cell>
          <cell r="AB58">
            <v>31646.034160889787</v>
          </cell>
        </row>
        <row r="59">
          <cell r="D59">
            <v>21</v>
          </cell>
          <cell r="E59">
            <v>31834.382236322137</v>
          </cell>
          <cell r="F59">
            <v>30083.521023618476</v>
          </cell>
          <cell r="G59">
            <v>28833.085602026222</v>
          </cell>
          <cell r="H59">
            <v>28058.244485108793</v>
          </cell>
          <cell r="I59">
            <v>27958.591928117901</v>
          </cell>
          <cell r="J59">
            <v>28458.029891087379</v>
          </cell>
          <cell r="K59">
            <v>28657.064964942634</v>
          </cell>
          <cell r="L59">
            <v>32111.103125061498</v>
          </cell>
          <cell r="M59">
            <v>35619.038792367493</v>
          </cell>
          <cell r="N59">
            <v>37627.668043619771</v>
          </cell>
          <cell r="O59">
            <v>39395.56088543775</v>
          </cell>
          <cell r="P59">
            <v>40674.786063000247</v>
          </cell>
          <cell r="Q59">
            <v>39554.843428550201</v>
          </cell>
          <cell r="R59">
            <v>40061.72168354805</v>
          </cell>
          <cell r="S59">
            <v>41755.593627950475</v>
          </cell>
          <cell r="T59">
            <v>42276.816658573276</v>
          </cell>
          <cell r="U59">
            <v>41928.126506093715</v>
          </cell>
          <cell r="V59">
            <v>41970.695875742756</v>
          </cell>
          <cell r="W59">
            <v>45205.016268329433</v>
          </cell>
          <cell r="X59">
            <v>44335.224832131578</v>
          </cell>
          <cell r="Y59">
            <v>42712.476635999767</v>
          </cell>
          <cell r="Z59">
            <v>40399.07356817065</v>
          </cell>
          <cell r="AA59">
            <v>37430.271274224768</v>
          </cell>
          <cell r="AB59">
            <v>34541.458832445896</v>
          </cell>
        </row>
        <row r="60">
          <cell r="D60">
            <v>5</v>
          </cell>
          <cell r="E60">
            <v>32349.909846059498</v>
          </cell>
          <cell r="F60">
            <v>30518.456423885142</v>
          </cell>
          <cell r="G60">
            <v>29311.977600110517</v>
          </cell>
          <cell r="H60">
            <v>28427.402397632351</v>
          </cell>
          <cell r="I60">
            <v>28182.889759273956</v>
          </cell>
          <cell r="J60">
            <v>28232.046673898727</v>
          </cell>
          <cell r="K60">
            <v>27951.617417166497</v>
          </cell>
          <cell r="L60">
            <v>30518.09662974369</v>
          </cell>
          <cell r="M60">
            <v>34232.890723243865</v>
          </cell>
          <cell r="N60">
            <v>36411.408046075936</v>
          </cell>
          <cell r="O60">
            <v>38246.196372273815</v>
          </cell>
          <cell r="P60">
            <v>39366.036574553844</v>
          </cell>
          <cell r="Q60">
            <v>38728.4531618736</v>
          </cell>
          <cell r="R60">
            <v>38448.401320545338</v>
          </cell>
          <cell r="S60">
            <v>38287.227962569588</v>
          </cell>
          <cell r="T60">
            <v>38698.306385613309</v>
          </cell>
          <cell r="U60">
            <v>38578.090929017431</v>
          </cell>
          <cell r="V60">
            <v>39431.10773191628</v>
          </cell>
          <cell r="W60">
            <v>43798.990667544538</v>
          </cell>
          <cell r="X60">
            <v>43177.709165376829</v>
          </cell>
          <cell r="Y60">
            <v>41552.097079279447</v>
          </cell>
          <cell r="Z60">
            <v>39778.558339189083</v>
          </cell>
          <cell r="AA60">
            <v>37319.573954007086</v>
          </cell>
          <cell r="AB60">
            <v>34786.289034941787</v>
          </cell>
        </row>
        <row r="61">
          <cell r="D61">
            <v>3</v>
          </cell>
          <cell r="E61">
            <v>32554.130666760266</v>
          </cell>
          <cell r="F61">
            <v>30954.087673313988</v>
          </cell>
          <cell r="G61">
            <v>29665.404058074706</v>
          </cell>
          <cell r="H61">
            <v>28757.872515593324</v>
          </cell>
          <cell r="I61">
            <v>28348.46138436806</v>
          </cell>
          <cell r="J61">
            <v>28062.390119772052</v>
          </cell>
          <cell r="K61">
            <v>26812.056459063631</v>
          </cell>
          <cell r="L61">
            <v>28164.537054193781</v>
          </cell>
          <cell r="M61">
            <v>30314.403165371357</v>
          </cell>
          <cell r="N61">
            <v>32160.041063079723</v>
          </cell>
          <cell r="O61">
            <v>33374.175844827834</v>
          </cell>
          <cell r="P61">
            <v>34368.399833751057</v>
          </cell>
          <cell r="Q61">
            <v>34959.644452259112</v>
          </cell>
          <cell r="R61">
            <v>35288.880761458946</v>
          </cell>
          <cell r="S61">
            <v>34291.471168663506</v>
          </cell>
          <cell r="T61">
            <v>35229.332428148533</v>
          </cell>
          <cell r="U61">
            <v>35438.745113553035</v>
          </cell>
          <cell r="V61">
            <v>36621.964831996142</v>
          </cell>
          <cell r="W61">
            <v>41064.096719266578</v>
          </cell>
          <cell r="X61">
            <v>40737.386337948512</v>
          </cell>
          <cell r="Y61">
            <v>39674.247513733149</v>
          </cell>
          <cell r="Z61">
            <v>38217.705674301309</v>
          </cell>
          <cell r="AA61">
            <v>36014.272847463348</v>
          </cell>
          <cell r="AB61">
            <v>33779.741375803853</v>
          </cell>
        </row>
        <row r="62">
          <cell r="D62">
            <v>2</v>
          </cell>
          <cell r="E62">
            <v>32554.130666760266</v>
          </cell>
          <cell r="F62">
            <v>30954.087673313988</v>
          </cell>
          <cell r="G62">
            <v>29665.404058074706</v>
          </cell>
          <cell r="H62">
            <v>28757.872515593324</v>
          </cell>
          <cell r="I62">
            <v>28348.46138436806</v>
          </cell>
          <cell r="J62">
            <v>28062.390119772052</v>
          </cell>
          <cell r="K62">
            <v>26812.056459063631</v>
          </cell>
          <cell r="L62">
            <v>28164.537054193781</v>
          </cell>
          <cell r="M62">
            <v>30314.403165371357</v>
          </cell>
          <cell r="N62">
            <v>32160.041063079723</v>
          </cell>
          <cell r="O62">
            <v>33374.175844827834</v>
          </cell>
          <cell r="P62">
            <v>34368.399833751057</v>
          </cell>
          <cell r="Q62">
            <v>34959.644452259112</v>
          </cell>
          <cell r="R62">
            <v>35288.880761458946</v>
          </cell>
          <cell r="S62">
            <v>34291.471168663506</v>
          </cell>
          <cell r="T62">
            <v>35229.332428148533</v>
          </cell>
          <cell r="U62">
            <v>35438.745113553035</v>
          </cell>
          <cell r="V62">
            <v>36621.964831996142</v>
          </cell>
          <cell r="W62">
            <v>41064.096719266578</v>
          </cell>
          <cell r="X62">
            <v>40737.386337948512</v>
          </cell>
          <cell r="Y62">
            <v>39674.247513733149</v>
          </cell>
          <cell r="Z62">
            <v>38217.705674301309</v>
          </cell>
          <cell r="AA62">
            <v>36014.272847463348</v>
          </cell>
          <cell r="AB62">
            <v>33779.741375803853</v>
          </cell>
        </row>
      </sheetData>
      <sheetData sheetId="33">
        <row r="15">
          <cell r="D15">
            <v>21</v>
          </cell>
          <cell r="E15">
            <v>27806.937473891605</v>
          </cell>
          <cell r="F15">
            <v>26386.883708752157</v>
          </cell>
          <cell r="G15">
            <v>25318.64732412477</v>
          </cell>
          <cell r="H15">
            <v>24543.281678328131</v>
          </cell>
          <cell r="I15">
            <v>24407.995293575474</v>
          </cell>
          <cell r="J15">
            <v>25224.78510220952</v>
          </cell>
          <cell r="K15">
            <v>24997.078381645344</v>
          </cell>
          <cell r="L15">
            <v>27885.573079659684</v>
          </cell>
          <cell r="M15">
            <v>30955.95401052653</v>
          </cell>
          <cell r="N15">
            <v>32551.538501219286</v>
          </cell>
          <cell r="O15">
            <v>34278.89206057234</v>
          </cell>
          <cell r="P15">
            <v>35692.859321039403</v>
          </cell>
          <cell r="Q15">
            <v>34715.553937045341</v>
          </cell>
          <cell r="R15">
            <v>35671.361527781606</v>
          </cell>
          <cell r="S15">
            <v>37326.06735174248</v>
          </cell>
          <cell r="T15">
            <v>37524.500181687246</v>
          </cell>
          <cell r="U15">
            <v>36903.917846743687</v>
          </cell>
          <cell r="V15">
            <v>35544.003942080104</v>
          </cell>
          <cell r="W15">
            <v>38023.089772007072</v>
          </cell>
          <cell r="X15">
            <v>38158.669230851745</v>
          </cell>
          <cell r="Y15">
            <v>37156.330430384311</v>
          </cell>
          <cell r="Z15">
            <v>35527.059178401367</v>
          </cell>
          <cell r="AA15">
            <v>33008.360469990716</v>
          </cell>
          <cell r="AB15">
            <v>30319.380803758606</v>
          </cell>
        </row>
        <row r="16">
          <cell r="D16">
            <v>4</v>
          </cell>
          <cell r="E16">
            <v>27605.382171938272</v>
          </cell>
          <cell r="F16">
            <v>26279.537436614504</v>
          </cell>
          <cell r="G16">
            <v>25238.164380178678</v>
          </cell>
          <cell r="H16">
            <v>24442.842702459195</v>
          </cell>
          <cell r="I16">
            <v>24202.11953723081</v>
          </cell>
          <cell r="J16">
            <v>24395.723529843737</v>
          </cell>
          <cell r="K16">
            <v>23767.002464384379</v>
          </cell>
          <cell r="L16">
            <v>26115.154975181151</v>
          </cell>
          <cell r="M16">
            <v>29018.728698169296</v>
          </cell>
          <cell r="N16">
            <v>30941.778879746242</v>
          </cell>
          <cell r="O16">
            <v>32454.735677623004</v>
          </cell>
          <cell r="P16">
            <v>33273.453298385582</v>
          </cell>
          <cell r="Q16">
            <v>32982.524155399311</v>
          </cell>
          <cell r="R16">
            <v>32284.175402738725</v>
          </cell>
          <cell r="S16">
            <v>32436.525040422395</v>
          </cell>
          <cell r="T16">
            <v>32549.041553721694</v>
          </cell>
          <cell r="U16">
            <v>32226.486108156754</v>
          </cell>
          <cell r="V16">
            <v>32343.226803329904</v>
          </cell>
          <cell r="W16">
            <v>35928.32372509491</v>
          </cell>
          <cell r="X16">
            <v>36185.606804113049</v>
          </cell>
          <cell r="Y16">
            <v>35109.989713286588</v>
          </cell>
          <cell r="Z16">
            <v>33687.28217585427</v>
          </cell>
          <cell r="AA16">
            <v>31838.4226385355</v>
          </cell>
          <cell r="AB16">
            <v>29788.11347886677</v>
          </cell>
        </row>
        <row r="17">
          <cell r="D17">
            <v>4</v>
          </cell>
          <cell r="E17">
            <v>27788.342907495527</v>
          </cell>
          <cell r="F17">
            <v>26423.097133256684</v>
          </cell>
          <cell r="G17">
            <v>25322.222377040871</v>
          </cell>
          <cell r="H17">
            <v>24514.551517274143</v>
          </cell>
          <cell r="I17">
            <v>24117.036248065051</v>
          </cell>
          <cell r="J17">
            <v>23990.52739500652</v>
          </cell>
          <cell r="K17">
            <v>22697.997514166687</v>
          </cell>
          <cell r="L17">
            <v>23710.612508532027</v>
          </cell>
          <cell r="M17">
            <v>25333.778841972286</v>
          </cell>
          <cell r="N17">
            <v>26583.560842882038</v>
          </cell>
          <cell r="O17">
            <v>27779.248657232467</v>
          </cell>
          <cell r="P17">
            <v>28746.511770198165</v>
          </cell>
          <cell r="Q17">
            <v>29405.756787888473</v>
          </cell>
          <cell r="R17">
            <v>29485.082299996604</v>
          </cell>
          <cell r="S17">
            <v>29500.022033382065</v>
          </cell>
          <cell r="T17">
            <v>29601.516164048564</v>
          </cell>
          <cell r="U17">
            <v>29616.558174474423</v>
          </cell>
          <cell r="V17">
            <v>29929.316600413811</v>
          </cell>
          <cell r="W17">
            <v>33836.530997842026</v>
          </cell>
          <cell r="X17">
            <v>34805.725045288164</v>
          </cell>
          <cell r="Y17">
            <v>34437.462690898414</v>
          </cell>
          <cell r="Z17">
            <v>33304.643592539986</v>
          </cell>
          <cell r="AA17">
            <v>31275.926937470565</v>
          </cell>
          <cell r="AB17">
            <v>28855.775593401835</v>
          </cell>
        </row>
        <row r="18">
          <cell r="D18">
            <v>2</v>
          </cell>
          <cell r="E18">
            <v>27788.342907495527</v>
          </cell>
          <cell r="F18">
            <v>26423.097133256684</v>
          </cell>
          <cell r="G18">
            <v>25322.222377040871</v>
          </cell>
          <cell r="H18">
            <v>24514.551517274143</v>
          </cell>
          <cell r="I18">
            <v>24117.036248065051</v>
          </cell>
          <cell r="J18">
            <v>23990.52739500652</v>
          </cell>
          <cell r="K18">
            <v>22697.997514166687</v>
          </cell>
          <cell r="L18">
            <v>23710.612508532027</v>
          </cell>
          <cell r="M18">
            <v>25333.778841972286</v>
          </cell>
          <cell r="N18">
            <v>26583.560842882038</v>
          </cell>
          <cell r="O18">
            <v>27779.248657232467</v>
          </cell>
          <cell r="P18">
            <v>28746.511770198165</v>
          </cell>
          <cell r="Q18">
            <v>29405.756787888473</v>
          </cell>
          <cell r="R18">
            <v>29485.082299996604</v>
          </cell>
          <cell r="S18">
            <v>29500.022033382065</v>
          </cell>
          <cell r="T18">
            <v>29601.516164048564</v>
          </cell>
          <cell r="U18">
            <v>29616.558174474423</v>
          </cell>
          <cell r="V18">
            <v>29929.316600413811</v>
          </cell>
          <cell r="W18">
            <v>33836.530997842026</v>
          </cell>
          <cell r="X18">
            <v>34805.725045288164</v>
          </cell>
          <cell r="Y18">
            <v>34437.462690898414</v>
          </cell>
          <cell r="Z18">
            <v>33304.643592539986</v>
          </cell>
          <cell r="AA18">
            <v>31275.926937470565</v>
          </cell>
          <cell r="AB18">
            <v>28855.775593401835</v>
          </cell>
        </row>
        <row r="19">
          <cell r="D19">
            <v>21</v>
          </cell>
          <cell r="E19">
            <v>28365.753246307144</v>
          </cell>
          <cell r="F19">
            <v>26973.294730537116</v>
          </cell>
          <cell r="G19">
            <v>25861.696459304505</v>
          </cell>
          <cell r="H19">
            <v>25055.88634496646</v>
          </cell>
          <cell r="I19">
            <v>25027.818833779285</v>
          </cell>
          <cell r="J19">
            <v>26532.14226167247</v>
          </cell>
          <cell r="K19">
            <v>26276.704075621943</v>
          </cell>
          <cell r="L19">
            <v>28834.293451820187</v>
          </cell>
          <cell r="M19">
            <v>31648.024914792641</v>
          </cell>
          <cell r="N19">
            <v>33013.287050915125</v>
          </cell>
          <cell r="O19">
            <v>34662.30887020826</v>
          </cell>
          <cell r="P19">
            <v>35966.338198200327</v>
          </cell>
          <cell r="Q19">
            <v>34763.362717691023</v>
          </cell>
          <cell r="R19">
            <v>36012.364349096984</v>
          </cell>
          <cell r="S19">
            <v>38019.043033960632</v>
          </cell>
          <cell r="T19">
            <v>38329.912617074922</v>
          </cell>
          <cell r="U19">
            <v>37757.842931077648</v>
          </cell>
          <cell r="V19">
            <v>36218.378778457045</v>
          </cell>
          <cell r="W19">
            <v>38365.287057333335</v>
          </cell>
          <cell r="X19">
            <v>38907.756668575406</v>
          </cell>
          <cell r="Y19">
            <v>38068.966665372704</v>
          </cell>
          <cell r="Z19">
            <v>36390.111386289056</v>
          </cell>
          <cell r="AA19">
            <v>33523.9842943556</v>
          </cell>
          <cell r="AB19">
            <v>30682.188845483251</v>
          </cell>
        </row>
        <row r="20">
          <cell r="D20">
            <v>4</v>
          </cell>
          <cell r="E20">
            <v>28756.950246008848</v>
          </cell>
          <cell r="F20">
            <v>27202.078219365692</v>
          </cell>
          <cell r="G20">
            <v>26188.080556381949</v>
          </cell>
          <cell r="H20">
            <v>25224.212203290768</v>
          </cell>
          <cell r="I20">
            <v>24920.570120118384</v>
          </cell>
          <cell r="J20">
            <v>25210.142451208954</v>
          </cell>
          <cell r="K20">
            <v>24763.09994335179</v>
          </cell>
          <cell r="L20">
            <v>27051.345472524667</v>
          </cell>
          <cell r="M20">
            <v>29852.41096383187</v>
          </cell>
          <cell r="N20">
            <v>31515.958233672049</v>
          </cell>
          <cell r="O20">
            <v>33044.99816685004</v>
          </cell>
          <cell r="P20">
            <v>33813.603886328936</v>
          </cell>
          <cell r="Q20">
            <v>33274.223363159908</v>
          </cell>
          <cell r="R20">
            <v>32842.815779860008</v>
          </cell>
          <cell r="S20">
            <v>32993.933003346421</v>
          </cell>
          <cell r="T20">
            <v>33088.364433401548</v>
          </cell>
          <cell r="U20">
            <v>32855.791591228735</v>
          </cell>
          <cell r="V20">
            <v>32759.257106972909</v>
          </cell>
          <cell r="W20">
            <v>36160.223766463801</v>
          </cell>
          <cell r="X20">
            <v>36684.11918978551</v>
          </cell>
          <cell r="Y20">
            <v>35826.525854988395</v>
          </cell>
          <cell r="Z20">
            <v>34461.665711782523</v>
          </cell>
          <cell r="AA20">
            <v>32659.897160034419</v>
          </cell>
          <cell r="AB20">
            <v>30514.436507335417</v>
          </cell>
        </row>
        <row r="21">
          <cell r="D21">
            <v>4</v>
          </cell>
          <cell r="E21">
            <v>28676.885187911677</v>
          </cell>
          <cell r="F21">
            <v>27291.479780527767</v>
          </cell>
          <cell r="G21">
            <v>26172.807249185284</v>
          </cell>
          <cell r="H21">
            <v>25342.197509897996</v>
          </cell>
          <cell r="I21">
            <v>24914.620371572342</v>
          </cell>
          <cell r="J21">
            <v>24886.868924424005</v>
          </cell>
          <cell r="K21">
            <v>23580.852436051005</v>
          </cell>
          <cell r="L21">
            <v>24597.889006846497</v>
          </cell>
          <cell r="M21">
            <v>26149.611960450002</v>
          </cell>
          <cell r="N21">
            <v>27248.887424702283</v>
          </cell>
          <cell r="O21">
            <v>28368.065063614715</v>
          </cell>
          <cell r="P21">
            <v>29407.630148103584</v>
          </cell>
          <cell r="Q21">
            <v>30097.955486177361</v>
          </cell>
          <cell r="R21">
            <v>30276.92826295249</v>
          </cell>
          <cell r="S21">
            <v>30578.56588980314</v>
          </cell>
          <cell r="T21">
            <v>30815.697093693572</v>
          </cell>
          <cell r="U21">
            <v>30716.317041600985</v>
          </cell>
          <cell r="V21">
            <v>30527.667351206743</v>
          </cell>
          <cell r="W21">
            <v>34501.393771682495</v>
          </cell>
          <cell r="X21">
            <v>35932.282270472089</v>
          </cell>
          <cell r="Y21">
            <v>35918.947045047331</v>
          </cell>
          <cell r="Z21">
            <v>35066.054735937956</v>
          </cell>
          <cell r="AA21">
            <v>32219.781841707885</v>
          </cell>
          <cell r="AB21">
            <v>29709.391435422567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19</v>
          </cell>
          <cell r="E23">
            <v>27471.545699474027</v>
          </cell>
          <cell r="F23">
            <v>26112.695135029018</v>
          </cell>
          <cell r="G23">
            <v>25099.072060800725</v>
          </cell>
          <cell r="H23">
            <v>24433.762689978172</v>
          </cell>
          <cell r="I23">
            <v>24545.891708730371</v>
          </cell>
          <cell r="J23">
            <v>25856.578404622665</v>
          </cell>
          <cell r="K23">
            <v>25858.654848568967</v>
          </cell>
          <cell r="L23">
            <v>28662.226152883224</v>
          </cell>
          <cell r="M23">
            <v>31426.803237756907</v>
          </cell>
          <cell r="N23">
            <v>32860.181299380136</v>
          </cell>
          <cell r="O23">
            <v>34501.247012589884</v>
          </cell>
          <cell r="P23">
            <v>35577.27418924302</v>
          </cell>
          <cell r="Q23">
            <v>33967.702401628652</v>
          </cell>
          <cell r="R23">
            <v>35088.06019812663</v>
          </cell>
          <cell r="S23">
            <v>37016.205706529574</v>
          </cell>
          <cell r="T23">
            <v>37423.49889329185</v>
          </cell>
          <cell r="U23">
            <v>37014.844433245402</v>
          </cell>
          <cell r="V23">
            <v>35714.145526293149</v>
          </cell>
          <cell r="W23">
            <v>37897.984716477607</v>
          </cell>
          <cell r="X23">
            <v>38237.106922156105</v>
          </cell>
          <cell r="Y23">
            <v>37117.308384162832</v>
          </cell>
          <cell r="Z23">
            <v>35265.617563876622</v>
          </cell>
          <cell r="AA23">
            <v>32483.053235163043</v>
          </cell>
          <cell r="AB23">
            <v>29658.187015817246</v>
          </cell>
        </row>
        <row r="24">
          <cell r="D24">
            <v>5</v>
          </cell>
          <cell r="E24">
            <v>27632.371648959295</v>
          </cell>
          <cell r="F24">
            <v>26269.147288961962</v>
          </cell>
          <cell r="G24">
            <v>25193.771002914531</v>
          </cell>
          <cell r="H24">
            <v>24481.950828654943</v>
          </cell>
          <cell r="I24">
            <v>24302.10425637458</v>
          </cell>
          <cell r="J24">
            <v>24578.841566597152</v>
          </cell>
          <cell r="K24">
            <v>24460.693722183976</v>
          </cell>
          <cell r="L24">
            <v>27033.146578895365</v>
          </cell>
          <cell r="M24">
            <v>30025.903169956051</v>
          </cell>
          <cell r="N24">
            <v>31767.241313426297</v>
          </cell>
          <cell r="O24">
            <v>33329.324393217692</v>
          </cell>
          <cell r="P24">
            <v>34258.504716528398</v>
          </cell>
          <cell r="Q24">
            <v>33669.697858624859</v>
          </cell>
          <cell r="R24">
            <v>33220.766825032544</v>
          </cell>
          <cell r="S24">
            <v>33483.88710973836</v>
          </cell>
          <cell r="T24">
            <v>33527.743278926951</v>
          </cell>
          <cell r="U24">
            <v>33230.386819779815</v>
          </cell>
          <cell r="V24">
            <v>33026.077063145232</v>
          </cell>
          <cell r="W24">
            <v>36470.034742393967</v>
          </cell>
          <cell r="X24">
            <v>37058.020708754884</v>
          </cell>
          <cell r="Y24">
            <v>36028.038910506868</v>
          </cell>
          <cell r="Z24">
            <v>34624.724488189058</v>
          </cell>
          <cell r="AA24">
            <v>32672.472032422716</v>
          </cell>
          <cell r="AB24">
            <v>30531.761237911178</v>
          </cell>
        </row>
        <row r="25">
          <cell r="D25">
            <v>4</v>
          </cell>
          <cell r="E25">
            <v>28373.241785846676</v>
          </cell>
          <cell r="F25">
            <v>26912.776229517251</v>
          </cell>
          <cell r="G25">
            <v>25777.970169512453</v>
          </cell>
          <cell r="H25">
            <v>24964.720468942258</v>
          </cell>
          <cell r="I25">
            <v>24555.916040442215</v>
          </cell>
          <cell r="J25">
            <v>24372.239521511678</v>
          </cell>
          <cell r="K25">
            <v>23451.360791379779</v>
          </cell>
          <cell r="L25">
            <v>24693.347461511483</v>
          </cell>
          <cell r="M25">
            <v>26438.255569622837</v>
          </cell>
          <cell r="N25">
            <v>27701.339086358763</v>
          </cell>
          <cell r="O25">
            <v>28830.319656180563</v>
          </cell>
          <cell r="P25">
            <v>29803.062485682316</v>
          </cell>
          <cell r="Q25">
            <v>30420.641933367366</v>
          </cell>
          <cell r="R25">
            <v>30531.402634445658</v>
          </cell>
          <cell r="S25">
            <v>30648.599926517432</v>
          </cell>
          <cell r="T25">
            <v>30983.740731166203</v>
          </cell>
          <cell r="U25">
            <v>30867.754853993614</v>
          </cell>
          <cell r="V25">
            <v>31020.560435546959</v>
          </cell>
          <cell r="W25">
            <v>34680.923749036207</v>
          </cell>
          <cell r="X25">
            <v>35946.513307424386</v>
          </cell>
          <cell r="Y25">
            <v>35813.283644701616</v>
          </cell>
          <cell r="Z25">
            <v>34762.596183617476</v>
          </cell>
          <cell r="AA25">
            <v>32481.788987340769</v>
          </cell>
          <cell r="AB25">
            <v>29857.785286466074</v>
          </cell>
        </row>
        <row r="26">
          <cell r="D26">
            <v>3</v>
          </cell>
          <cell r="E26">
            <v>28373.241785846676</v>
          </cell>
          <cell r="F26">
            <v>26912.776229517251</v>
          </cell>
          <cell r="G26">
            <v>25777.970169512453</v>
          </cell>
          <cell r="H26">
            <v>24964.720468942258</v>
          </cell>
          <cell r="I26">
            <v>24555.916040442215</v>
          </cell>
          <cell r="J26">
            <v>24372.239521511678</v>
          </cell>
          <cell r="K26">
            <v>23451.360791379779</v>
          </cell>
          <cell r="L26">
            <v>24693.347461511483</v>
          </cell>
          <cell r="M26">
            <v>26438.255569622837</v>
          </cell>
          <cell r="N26">
            <v>27701.339086358763</v>
          </cell>
          <cell r="O26">
            <v>28830.319656180563</v>
          </cell>
          <cell r="P26">
            <v>29803.062485682316</v>
          </cell>
          <cell r="Q26">
            <v>30420.641933367366</v>
          </cell>
          <cell r="R26">
            <v>30531.402634445658</v>
          </cell>
          <cell r="S26">
            <v>30648.599926517432</v>
          </cell>
          <cell r="T26">
            <v>30983.740731166203</v>
          </cell>
          <cell r="U26">
            <v>30867.754853993614</v>
          </cell>
          <cell r="V26">
            <v>31020.560435546959</v>
          </cell>
          <cell r="W26">
            <v>34680.923749036207</v>
          </cell>
          <cell r="X26">
            <v>35946.513307424386</v>
          </cell>
          <cell r="Y26">
            <v>35813.283644701616</v>
          </cell>
          <cell r="Z26">
            <v>34762.596183617476</v>
          </cell>
          <cell r="AA26">
            <v>32481.788987340769</v>
          </cell>
          <cell r="AB26">
            <v>29857.785286466074</v>
          </cell>
        </row>
        <row r="27">
          <cell r="D27">
            <v>21</v>
          </cell>
          <cell r="E27">
            <v>26778.956232377863</v>
          </cell>
          <cell r="F27">
            <v>25445.301062183866</v>
          </cell>
          <cell r="G27">
            <v>24469.780147350401</v>
          </cell>
          <cell r="H27">
            <v>23805.346843485571</v>
          </cell>
          <cell r="I27">
            <v>23907.131401044368</v>
          </cell>
          <cell r="J27">
            <v>24672.762726935689</v>
          </cell>
          <cell r="K27">
            <v>24945.651443039656</v>
          </cell>
          <cell r="L27">
            <v>27786.815908621473</v>
          </cell>
          <cell r="M27">
            <v>30711.519504651162</v>
          </cell>
          <cell r="N27">
            <v>32062.796469397632</v>
          </cell>
          <cell r="O27">
            <v>33567.603882845193</v>
          </cell>
          <cell r="P27">
            <v>34840.858567120194</v>
          </cell>
          <cell r="Q27">
            <v>33475.698393898623</v>
          </cell>
          <cell r="R27">
            <v>34459.864710843976</v>
          </cell>
          <cell r="S27">
            <v>36376.543706607583</v>
          </cell>
          <cell r="T27">
            <v>36609.32721937375</v>
          </cell>
          <cell r="U27">
            <v>36054.686480821118</v>
          </cell>
          <cell r="V27">
            <v>35118.405298968886</v>
          </cell>
          <cell r="W27">
            <v>37287.863974908578</v>
          </cell>
          <cell r="X27">
            <v>37401.091496386114</v>
          </cell>
          <cell r="Y27">
            <v>36281.958963818841</v>
          </cell>
          <cell r="Z27">
            <v>34539.038195804569</v>
          </cell>
          <cell r="AA27">
            <v>31921.487423825442</v>
          </cell>
          <cell r="AB27">
            <v>29063.45273203485</v>
          </cell>
        </row>
        <row r="28">
          <cell r="D28">
            <v>4</v>
          </cell>
          <cell r="E28">
            <v>26508.549807752872</v>
          </cell>
          <cell r="F28">
            <v>25126.607527358268</v>
          </cell>
          <cell r="G28">
            <v>24100.121390765824</v>
          </cell>
          <cell r="H28">
            <v>23399.121950737434</v>
          </cell>
          <cell r="I28">
            <v>23222.06225084353</v>
          </cell>
          <cell r="J28">
            <v>23215.017623486423</v>
          </cell>
          <cell r="K28">
            <v>23160.033248991822</v>
          </cell>
          <cell r="L28">
            <v>25528.7624085446</v>
          </cell>
          <cell r="M28">
            <v>28285.713850633045</v>
          </cell>
          <cell r="N28">
            <v>29762.158085438386</v>
          </cell>
          <cell r="O28">
            <v>31207.951854284966</v>
          </cell>
          <cell r="P28">
            <v>32107.02221675661</v>
          </cell>
          <cell r="Q28">
            <v>31688.761406010366</v>
          </cell>
          <cell r="R28">
            <v>31347.681719705564</v>
          </cell>
          <cell r="S28">
            <v>31522.193854760684</v>
          </cell>
          <cell r="T28">
            <v>31582.099840584695</v>
          </cell>
          <cell r="U28">
            <v>31404.157862444077</v>
          </cell>
          <cell r="V28">
            <v>31596.414016417908</v>
          </cell>
          <cell r="W28">
            <v>35092.148110886359</v>
          </cell>
          <cell r="X28">
            <v>35168.033559135642</v>
          </cell>
          <cell r="Y28">
            <v>34192.941490276113</v>
          </cell>
          <cell r="Z28">
            <v>32757.855272161123</v>
          </cell>
          <cell r="AA28">
            <v>30944.548826011462</v>
          </cell>
          <cell r="AB28">
            <v>28872.407942830097</v>
          </cell>
        </row>
        <row r="29">
          <cell r="D29">
            <v>5</v>
          </cell>
          <cell r="E29">
            <v>27026.3516762869</v>
          </cell>
          <cell r="F29">
            <v>25696.737144642782</v>
          </cell>
          <cell r="G29">
            <v>24597.243842996184</v>
          </cell>
          <cell r="H29">
            <v>23845.068729017898</v>
          </cell>
          <cell r="I29">
            <v>23528.08905504295</v>
          </cell>
          <cell r="J29">
            <v>23110.201118364606</v>
          </cell>
          <cell r="K29">
            <v>22625.470541521165</v>
          </cell>
          <cell r="L29">
            <v>23876.895203342505</v>
          </cell>
          <cell r="M29">
            <v>25203.527014415817</v>
          </cell>
          <cell r="N29">
            <v>26387.484587596577</v>
          </cell>
          <cell r="O29">
            <v>27488.637464416246</v>
          </cell>
          <cell r="P29">
            <v>28362.265903069347</v>
          </cell>
          <cell r="Q29">
            <v>28850.796477342854</v>
          </cell>
          <cell r="R29">
            <v>28985.380898204392</v>
          </cell>
          <cell r="S29">
            <v>29162.630434786388</v>
          </cell>
          <cell r="T29">
            <v>29423.814984743465</v>
          </cell>
          <cell r="U29">
            <v>29529.338345957513</v>
          </cell>
          <cell r="V29">
            <v>29891.104791818969</v>
          </cell>
          <cell r="W29">
            <v>33206.448341237061</v>
          </cell>
          <cell r="X29">
            <v>34210.38742751837</v>
          </cell>
          <cell r="Y29">
            <v>34097.880088777369</v>
          </cell>
          <cell r="Z29">
            <v>33260.458510836565</v>
          </cell>
          <cell r="AA29">
            <v>31126.356074941941</v>
          </cell>
          <cell r="AB29">
            <v>28595.693228741078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D31">
            <v>21</v>
          </cell>
          <cell r="E31">
            <v>26263.506663152988</v>
          </cell>
          <cell r="F31">
            <v>25016.491551525163</v>
          </cell>
          <cell r="G31">
            <v>24072.650972570871</v>
          </cell>
          <cell r="H31">
            <v>23426.650855980395</v>
          </cell>
          <cell r="I31">
            <v>23541.460724314304</v>
          </cell>
          <cell r="J31">
            <v>24193.474664525751</v>
          </cell>
          <cell r="K31">
            <v>24742.252093065919</v>
          </cell>
          <cell r="L31">
            <v>27633.68235818408</v>
          </cell>
          <cell r="M31">
            <v>30606.66407246597</v>
          </cell>
          <cell r="N31">
            <v>31998.880807443125</v>
          </cell>
          <cell r="O31">
            <v>33659.029739195495</v>
          </cell>
          <cell r="P31">
            <v>34743.323918979477</v>
          </cell>
          <cell r="Q31">
            <v>33331.909407716164</v>
          </cell>
          <cell r="R31">
            <v>34245.39783647476</v>
          </cell>
          <cell r="S31">
            <v>36021.654846312216</v>
          </cell>
          <cell r="T31">
            <v>36199.463557802846</v>
          </cell>
          <cell r="U31">
            <v>35681.491223991514</v>
          </cell>
          <cell r="V31">
            <v>34515.584298172449</v>
          </cell>
          <cell r="W31">
            <v>36662.791749894284</v>
          </cell>
          <cell r="X31">
            <v>36808.093446598577</v>
          </cell>
          <cell r="Y31">
            <v>35672.835059985649</v>
          </cell>
          <cell r="Z31">
            <v>33787.296445168206</v>
          </cell>
          <cell r="AA31">
            <v>31131.332519988846</v>
          </cell>
          <cell r="AB31">
            <v>28418.080300719474</v>
          </cell>
        </row>
        <row r="32">
          <cell r="D32">
            <v>4</v>
          </cell>
          <cell r="E32">
            <v>26719.321059906928</v>
          </cell>
          <cell r="F32">
            <v>25164.873012199863</v>
          </cell>
          <cell r="G32">
            <v>24113.411114079885</v>
          </cell>
          <cell r="H32">
            <v>23436.151705369051</v>
          </cell>
          <cell r="I32">
            <v>23312.432833789251</v>
          </cell>
          <cell r="J32">
            <v>23059.008581391539</v>
          </cell>
          <cell r="K32">
            <v>23281.128034954461</v>
          </cell>
          <cell r="L32">
            <v>25946.540821078059</v>
          </cell>
          <cell r="M32">
            <v>28919.741764862778</v>
          </cell>
          <cell r="N32">
            <v>30588.135923082267</v>
          </cell>
          <cell r="O32">
            <v>31860.883181730263</v>
          </cell>
          <cell r="P32">
            <v>32714.354093911352</v>
          </cell>
          <cell r="Q32">
            <v>32045.759381068223</v>
          </cell>
          <cell r="R32">
            <v>31602.535258143107</v>
          </cell>
          <cell r="S32">
            <v>31834.099793366815</v>
          </cell>
          <cell r="T32">
            <v>31892.136447705492</v>
          </cell>
          <cell r="U32">
            <v>31711.166091221079</v>
          </cell>
          <cell r="V32">
            <v>31941.565809868134</v>
          </cell>
          <cell r="W32">
            <v>35342.912840234538</v>
          </cell>
          <cell r="X32">
            <v>35744.027441436934</v>
          </cell>
          <cell r="Y32">
            <v>34686.350723941541</v>
          </cell>
          <cell r="Z32">
            <v>33123.335827568495</v>
          </cell>
          <cell r="AA32">
            <v>31312.084537431751</v>
          </cell>
          <cell r="AB32">
            <v>29211.371435635479</v>
          </cell>
        </row>
        <row r="33">
          <cell r="D33">
            <v>4</v>
          </cell>
          <cell r="E33">
            <v>27034.726296062876</v>
          </cell>
          <cell r="F33">
            <v>25757.324826547017</v>
          </cell>
          <cell r="G33">
            <v>24739.628856182302</v>
          </cell>
          <cell r="H33">
            <v>24009.706126573605</v>
          </cell>
          <cell r="I33">
            <v>23698.653133949178</v>
          </cell>
          <cell r="J33">
            <v>22983.966844431543</v>
          </cell>
          <cell r="K33">
            <v>22637.147709810914</v>
          </cell>
          <cell r="L33">
            <v>23988.054171624535</v>
          </cell>
          <cell r="M33">
            <v>25825.204148342706</v>
          </cell>
          <cell r="N33">
            <v>27277.790432385264</v>
          </cell>
          <cell r="O33">
            <v>28272.911966127107</v>
          </cell>
          <cell r="P33">
            <v>29014.360552500271</v>
          </cell>
          <cell r="Q33">
            <v>29437.000396525527</v>
          </cell>
          <cell r="R33">
            <v>29526.625987100815</v>
          </cell>
          <cell r="S33">
            <v>29649.756633919744</v>
          </cell>
          <cell r="T33">
            <v>29976.651088499064</v>
          </cell>
          <cell r="U33">
            <v>29891.023099708706</v>
          </cell>
          <cell r="V33">
            <v>30369.03793674822</v>
          </cell>
          <cell r="W33">
            <v>33893.855361161673</v>
          </cell>
          <cell r="X33">
            <v>34825.015809940276</v>
          </cell>
          <cell r="Y33">
            <v>34635.617602175829</v>
          </cell>
          <cell r="Z33">
            <v>33523.833393445064</v>
          </cell>
          <cell r="AA33">
            <v>31279.914660614832</v>
          </cell>
          <cell r="AB33">
            <v>28442.669250735165</v>
          </cell>
        </row>
        <row r="34">
          <cell r="D34">
            <v>2</v>
          </cell>
          <cell r="E34">
            <v>27034.726296062876</v>
          </cell>
          <cell r="F34">
            <v>25757.324826547017</v>
          </cell>
          <cell r="G34">
            <v>24739.628856182302</v>
          </cell>
          <cell r="H34">
            <v>24009.706126573605</v>
          </cell>
          <cell r="I34">
            <v>23698.653133949178</v>
          </cell>
          <cell r="J34">
            <v>22983.966844431543</v>
          </cell>
          <cell r="K34">
            <v>22637.147709810914</v>
          </cell>
          <cell r="L34">
            <v>23988.054171624535</v>
          </cell>
          <cell r="M34">
            <v>25825.204148342706</v>
          </cell>
          <cell r="N34">
            <v>27277.790432385264</v>
          </cell>
          <cell r="O34">
            <v>28272.911966127107</v>
          </cell>
          <cell r="P34">
            <v>29014.360552500271</v>
          </cell>
          <cell r="Q34">
            <v>29437.000396525527</v>
          </cell>
          <cell r="R34">
            <v>29526.625987100815</v>
          </cell>
          <cell r="S34">
            <v>29649.756633919744</v>
          </cell>
          <cell r="T34">
            <v>29976.651088499064</v>
          </cell>
          <cell r="U34">
            <v>29891.023099708706</v>
          </cell>
          <cell r="V34">
            <v>30369.03793674822</v>
          </cell>
          <cell r="W34">
            <v>33893.855361161673</v>
          </cell>
          <cell r="X34">
            <v>34825.015809940276</v>
          </cell>
          <cell r="Y34">
            <v>34635.617602175829</v>
          </cell>
          <cell r="Z34">
            <v>33523.833393445064</v>
          </cell>
          <cell r="AA34">
            <v>31279.914660614832</v>
          </cell>
          <cell r="AB34">
            <v>28442.669250735165</v>
          </cell>
        </row>
        <row r="35">
          <cell r="D35">
            <v>19</v>
          </cell>
          <cell r="E35">
            <v>26451.91751377903</v>
          </cell>
          <cell r="F35">
            <v>25123.522985478041</v>
          </cell>
          <cell r="G35">
            <v>24200.403206075258</v>
          </cell>
          <cell r="H35">
            <v>23478.118206722327</v>
          </cell>
          <cell r="I35">
            <v>23550.435920589287</v>
          </cell>
          <cell r="J35">
            <v>23874.6916563985</v>
          </cell>
          <cell r="K35">
            <v>24390.202691490482</v>
          </cell>
          <cell r="L35">
            <v>27461.5682851481</v>
          </cell>
          <cell r="M35">
            <v>30451.414519221496</v>
          </cell>
          <cell r="N35">
            <v>31931.474377037528</v>
          </cell>
          <cell r="O35">
            <v>33643.709271170053</v>
          </cell>
          <cell r="P35">
            <v>34769.143842024496</v>
          </cell>
          <cell r="Q35">
            <v>33532.994885584303</v>
          </cell>
          <cell r="R35">
            <v>34268.515387610001</v>
          </cell>
          <cell r="S35">
            <v>35953.481306325659</v>
          </cell>
          <cell r="T35">
            <v>36153.316856208279</v>
          </cell>
          <cell r="U35">
            <v>35793.85797464176</v>
          </cell>
          <cell r="V35">
            <v>34675.698877017989</v>
          </cell>
          <cell r="W35">
            <v>36699.621844041903</v>
          </cell>
          <cell r="X35">
            <v>37164.622933962732</v>
          </cell>
          <cell r="Y35">
            <v>35950.366589965612</v>
          </cell>
          <cell r="Z35">
            <v>34107.668648099039</v>
          </cell>
          <cell r="AA35">
            <v>31365.760772505339</v>
          </cell>
          <cell r="AB35">
            <v>28600.722431262126</v>
          </cell>
        </row>
        <row r="36">
          <cell r="D36">
            <v>5</v>
          </cell>
          <cell r="E36">
            <v>26516.94902704499</v>
          </cell>
          <cell r="F36">
            <v>25214.396093919844</v>
          </cell>
          <cell r="G36">
            <v>24246.445597679034</v>
          </cell>
          <cell r="H36">
            <v>23582.113570938578</v>
          </cell>
          <cell r="I36">
            <v>23465.598329363311</v>
          </cell>
          <cell r="J36">
            <v>23168.77293665841</v>
          </cell>
          <cell r="K36">
            <v>23395.939327190277</v>
          </cell>
          <cell r="L36">
            <v>26095.052248272776</v>
          </cell>
          <cell r="M36">
            <v>29057.026000920938</v>
          </cell>
          <cell r="N36">
            <v>30748.468386629462</v>
          </cell>
          <cell r="O36">
            <v>32197.880086418976</v>
          </cell>
          <cell r="P36">
            <v>33075.720763188619</v>
          </cell>
          <cell r="Q36">
            <v>32471.577695316937</v>
          </cell>
          <cell r="R36">
            <v>31818.748396183699</v>
          </cell>
          <cell r="S36">
            <v>31917.740478300493</v>
          </cell>
          <cell r="T36">
            <v>31938.180324424411</v>
          </cell>
          <cell r="U36">
            <v>31566.940748361729</v>
          </cell>
          <cell r="V36">
            <v>31694.247511175643</v>
          </cell>
          <cell r="W36">
            <v>34433.311688887916</v>
          </cell>
          <cell r="X36">
            <v>35155.640085329978</v>
          </cell>
          <cell r="Y36">
            <v>34146.23583015045</v>
          </cell>
          <cell r="Z36">
            <v>32442.506552157596</v>
          </cell>
          <cell r="AA36">
            <v>30463.008033295358</v>
          </cell>
          <cell r="AB36">
            <v>28417.27105010143</v>
          </cell>
        </row>
        <row r="37">
          <cell r="D37">
            <v>4</v>
          </cell>
          <cell r="E37">
            <v>26917.531721675852</v>
          </cell>
          <cell r="F37">
            <v>25554.177254169561</v>
          </cell>
          <cell r="G37">
            <v>24495.208141241368</v>
          </cell>
          <cell r="H37">
            <v>23799.172054097249</v>
          </cell>
          <cell r="I37">
            <v>23527.697808510115</v>
          </cell>
          <cell r="J37">
            <v>22788.551369976463</v>
          </cell>
          <cell r="K37">
            <v>22287.750180519033</v>
          </cell>
          <cell r="L37">
            <v>23509.704643948204</v>
          </cell>
          <cell r="M37">
            <v>25120.682901989028</v>
          </cell>
          <cell r="N37">
            <v>26467.868930629073</v>
          </cell>
          <cell r="O37">
            <v>27421.266603118755</v>
          </cell>
          <cell r="P37">
            <v>28179.360698371154</v>
          </cell>
          <cell r="Q37">
            <v>28772.198629483264</v>
          </cell>
          <cell r="R37">
            <v>28718.746410430354</v>
          </cell>
          <cell r="S37">
            <v>28817.806020124441</v>
          </cell>
          <cell r="T37">
            <v>29051.849910637371</v>
          </cell>
          <cell r="U37">
            <v>29098.44426811107</v>
          </cell>
          <cell r="V37">
            <v>29429.179750075222</v>
          </cell>
          <cell r="W37">
            <v>32812.418012725509</v>
          </cell>
          <cell r="X37">
            <v>34395.965921566923</v>
          </cell>
          <cell r="Y37">
            <v>33961.225024571926</v>
          </cell>
          <cell r="Z37">
            <v>32873.855271796616</v>
          </cell>
          <cell r="AA37">
            <v>30883.685146629934</v>
          </cell>
          <cell r="AB37">
            <v>28626.479054693649</v>
          </cell>
        </row>
        <row r="38">
          <cell r="D38">
            <v>2</v>
          </cell>
          <cell r="E38">
            <v>26917.531721675852</v>
          </cell>
          <cell r="F38">
            <v>25554.177254169561</v>
          </cell>
          <cell r="G38">
            <v>24495.208141241368</v>
          </cell>
          <cell r="H38">
            <v>23799.172054097249</v>
          </cell>
          <cell r="I38">
            <v>23527.697808510115</v>
          </cell>
          <cell r="J38">
            <v>22788.551369976463</v>
          </cell>
          <cell r="K38">
            <v>22287.750180519033</v>
          </cell>
          <cell r="L38">
            <v>23509.704643948204</v>
          </cell>
          <cell r="M38">
            <v>25120.682901989028</v>
          </cell>
          <cell r="N38">
            <v>26467.868930629073</v>
          </cell>
          <cell r="O38">
            <v>27421.266603118755</v>
          </cell>
          <cell r="P38">
            <v>28179.360698371154</v>
          </cell>
          <cell r="Q38">
            <v>28772.198629483264</v>
          </cell>
          <cell r="R38">
            <v>28718.746410430354</v>
          </cell>
          <cell r="S38">
            <v>28817.806020124441</v>
          </cell>
          <cell r="T38">
            <v>29051.849910637371</v>
          </cell>
          <cell r="U38">
            <v>29098.44426811107</v>
          </cell>
          <cell r="V38">
            <v>29429.179750075222</v>
          </cell>
          <cell r="W38">
            <v>32812.418012725509</v>
          </cell>
          <cell r="X38">
            <v>34395.965921566923</v>
          </cell>
          <cell r="Y38">
            <v>33961.225024571926</v>
          </cell>
          <cell r="Z38">
            <v>32873.855271796616</v>
          </cell>
          <cell r="AA38">
            <v>30883.685146629934</v>
          </cell>
          <cell r="AB38">
            <v>28626.479054693649</v>
          </cell>
        </row>
        <row r="39">
          <cell r="D39">
            <v>20</v>
          </cell>
          <cell r="E39">
            <v>26400.47664181561</v>
          </cell>
          <cell r="F39">
            <v>25050.882160652709</v>
          </cell>
          <cell r="G39">
            <v>24043.607053017571</v>
          </cell>
          <cell r="H39">
            <v>23370.981285313312</v>
          </cell>
          <cell r="I39">
            <v>23346.177729217394</v>
          </cell>
          <cell r="J39">
            <v>23946.579783299767</v>
          </cell>
          <cell r="K39">
            <v>24257.805036603735</v>
          </cell>
          <cell r="L39">
            <v>27245.712613598793</v>
          </cell>
          <cell r="M39">
            <v>30175.262687235696</v>
          </cell>
          <cell r="N39">
            <v>31682.06738935829</v>
          </cell>
          <cell r="O39">
            <v>33433.282528471951</v>
          </cell>
          <cell r="P39">
            <v>34746.700559620906</v>
          </cell>
          <cell r="Q39">
            <v>33508.026031830479</v>
          </cell>
          <cell r="R39">
            <v>34635.423496107178</v>
          </cell>
          <cell r="S39">
            <v>36607.478493251976</v>
          </cell>
          <cell r="T39">
            <v>36824.28616384937</v>
          </cell>
          <cell r="U39">
            <v>36324.531124583809</v>
          </cell>
          <cell r="V39">
            <v>34780.964049888069</v>
          </cell>
          <cell r="W39">
            <v>36323.424854896752</v>
          </cell>
          <cell r="X39">
            <v>37170.082531965207</v>
          </cell>
          <cell r="Y39">
            <v>36163.022625870333</v>
          </cell>
          <cell r="Z39">
            <v>34365.146638468847</v>
          </cell>
          <cell r="AA39">
            <v>31554.710173023454</v>
          </cell>
          <cell r="AB39">
            <v>28835.156671637087</v>
          </cell>
        </row>
        <row r="40">
          <cell r="D40">
            <v>4</v>
          </cell>
          <cell r="E40">
            <v>26892.73846026904</v>
          </cell>
          <cell r="F40">
            <v>25372.632375920126</v>
          </cell>
          <cell r="G40">
            <v>24278.916513503267</v>
          </cell>
          <cell r="H40">
            <v>23616.131983329651</v>
          </cell>
          <cell r="I40">
            <v>23302.350539376472</v>
          </cell>
          <cell r="J40">
            <v>23065.882540627044</v>
          </cell>
          <cell r="K40">
            <v>23169.480099056836</v>
          </cell>
          <cell r="L40">
            <v>25706.865894183276</v>
          </cell>
          <cell r="M40">
            <v>28685.949904004698</v>
          </cell>
          <cell r="N40">
            <v>30406.453559278045</v>
          </cell>
          <cell r="O40">
            <v>32024.937009510708</v>
          </cell>
          <cell r="P40">
            <v>32833.860305571157</v>
          </cell>
          <cell r="Q40">
            <v>32309.144354899552</v>
          </cell>
          <cell r="R40">
            <v>31842.051422998597</v>
          </cell>
          <cell r="S40">
            <v>31839.759217894531</v>
          </cell>
          <cell r="T40">
            <v>31651.662313970537</v>
          </cell>
          <cell r="U40">
            <v>31348.689438705318</v>
          </cell>
          <cell r="V40">
            <v>31453.151381413463</v>
          </cell>
          <cell r="W40">
            <v>33425.731706986728</v>
          </cell>
          <cell r="X40">
            <v>34178.598579927268</v>
          </cell>
          <cell r="Y40">
            <v>33058.69246555167</v>
          </cell>
          <cell r="Z40">
            <v>31674.37216862179</v>
          </cell>
          <cell r="AA40">
            <v>29918.209569016257</v>
          </cell>
          <cell r="AB40">
            <v>27906.388779062599</v>
          </cell>
        </row>
        <row r="41">
          <cell r="D41">
            <v>5</v>
          </cell>
          <cell r="E41">
            <v>25290.403720053251</v>
          </cell>
          <cell r="F41">
            <v>24107.913476560134</v>
          </cell>
          <cell r="G41">
            <v>23076.707514866011</v>
          </cell>
          <cell r="H41">
            <v>22446.928353558964</v>
          </cell>
          <cell r="I41">
            <v>22192.280135548528</v>
          </cell>
          <cell r="J41">
            <v>21649.59060384053</v>
          </cell>
          <cell r="K41">
            <v>21171.721107523281</v>
          </cell>
          <cell r="L41">
            <v>22480.391015954247</v>
          </cell>
          <cell r="M41">
            <v>24089.397615861861</v>
          </cell>
          <cell r="N41">
            <v>25385.777883974213</v>
          </cell>
          <cell r="O41">
            <v>26491.486204187095</v>
          </cell>
          <cell r="P41">
            <v>27433.858706891719</v>
          </cell>
          <cell r="Q41">
            <v>28115.23592594517</v>
          </cell>
          <cell r="R41">
            <v>28288.127842451166</v>
          </cell>
          <cell r="S41">
            <v>28448.766694949027</v>
          </cell>
          <cell r="T41">
            <v>28824.922492121423</v>
          </cell>
          <cell r="U41">
            <v>28774.101501676923</v>
          </cell>
          <cell r="V41">
            <v>28910.367263523076</v>
          </cell>
          <cell r="W41">
            <v>32189.238782277138</v>
          </cell>
          <cell r="X41">
            <v>34028.591510616738</v>
          </cell>
          <cell r="Y41">
            <v>33514.066096563489</v>
          </cell>
          <cell r="Z41">
            <v>32136.962987013172</v>
          </cell>
          <cell r="AA41">
            <v>29663.298862189491</v>
          </cell>
          <cell r="AB41">
            <v>27164.26225281915</v>
          </cell>
        </row>
        <row r="42">
          <cell r="D42">
            <v>2</v>
          </cell>
          <cell r="E42">
            <v>25290.403720053251</v>
          </cell>
          <cell r="F42">
            <v>24107.913476560134</v>
          </cell>
          <cell r="G42">
            <v>23076.707514866011</v>
          </cell>
          <cell r="H42">
            <v>22446.928353558964</v>
          </cell>
          <cell r="I42">
            <v>22192.280135548528</v>
          </cell>
          <cell r="J42">
            <v>21649.59060384053</v>
          </cell>
          <cell r="K42">
            <v>21171.721107523281</v>
          </cell>
          <cell r="L42">
            <v>22480.391015954247</v>
          </cell>
          <cell r="M42">
            <v>24089.397615861861</v>
          </cell>
          <cell r="N42">
            <v>25385.777883974213</v>
          </cell>
          <cell r="O42">
            <v>26491.486204187095</v>
          </cell>
          <cell r="P42">
            <v>27433.858706891719</v>
          </cell>
          <cell r="Q42">
            <v>28115.23592594517</v>
          </cell>
          <cell r="R42">
            <v>28288.127842451166</v>
          </cell>
          <cell r="S42">
            <v>28448.766694949027</v>
          </cell>
          <cell r="T42">
            <v>28824.922492121423</v>
          </cell>
          <cell r="U42">
            <v>28774.101501676923</v>
          </cell>
          <cell r="V42">
            <v>28910.367263523076</v>
          </cell>
          <cell r="W42">
            <v>32189.238782277138</v>
          </cell>
          <cell r="X42">
            <v>34028.591510616738</v>
          </cell>
          <cell r="Y42">
            <v>33514.066096563489</v>
          </cell>
          <cell r="Z42">
            <v>32136.962987013172</v>
          </cell>
          <cell r="AA42">
            <v>29663.298862189491</v>
          </cell>
          <cell r="AB42">
            <v>27164.26225281915</v>
          </cell>
        </row>
        <row r="43">
          <cell r="D43">
            <v>21</v>
          </cell>
          <cell r="E43">
            <v>26303.674090738092</v>
          </cell>
          <cell r="F43">
            <v>24864.775886031799</v>
          </cell>
          <cell r="G43">
            <v>23845.935773638514</v>
          </cell>
          <cell r="H43">
            <v>23150.977590179435</v>
          </cell>
          <cell r="I43">
            <v>23127.170126856025</v>
          </cell>
          <cell r="J43">
            <v>23900.022960538681</v>
          </cell>
          <cell r="K43">
            <v>24181.178667715289</v>
          </cell>
          <cell r="L43">
            <v>26899.287477603379</v>
          </cell>
          <cell r="M43">
            <v>29829.179604885248</v>
          </cell>
          <cell r="N43">
            <v>31296.941507732834</v>
          </cell>
          <cell r="O43">
            <v>33121.862895850667</v>
          </cell>
          <cell r="P43">
            <v>34633.205924948816</v>
          </cell>
          <cell r="Q43">
            <v>33240.94560512765</v>
          </cell>
          <cell r="R43">
            <v>34327.982973102</v>
          </cell>
          <cell r="S43">
            <v>36392.017950676032</v>
          </cell>
          <cell r="T43">
            <v>36625.748647328233</v>
          </cell>
          <cell r="U43">
            <v>35997.647705574469</v>
          </cell>
          <cell r="V43">
            <v>34679.079690660794</v>
          </cell>
          <cell r="W43">
            <v>36754.979689261745</v>
          </cell>
          <cell r="X43">
            <v>37328.176827344199</v>
          </cell>
          <cell r="Y43">
            <v>36279.207886725606</v>
          </cell>
          <cell r="Z43">
            <v>34423.862364345288</v>
          </cell>
          <cell r="AA43">
            <v>31566.01436550339</v>
          </cell>
          <cell r="AB43">
            <v>28866.505832380986</v>
          </cell>
        </row>
        <row r="44">
          <cell r="D44">
            <v>4</v>
          </cell>
          <cell r="E44">
            <v>26663.79292932522</v>
          </cell>
          <cell r="F44">
            <v>25292.724948121322</v>
          </cell>
          <cell r="G44">
            <v>24276.128676670334</v>
          </cell>
          <cell r="H44">
            <v>23504.5461946373</v>
          </cell>
          <cell r="I44">
            <v>23041.893648973713</v>
          </cell>
          <cell r="J44">
            <v>22843.23545284582</v>
          </cell>
          <cell r="K44">
            <v>22878.860751385189</v>
          </cell>
          <cell r="L44">
            <v>25326.550971843481</v>
          </cell>
          <cell r="M44">
            <v>28007.690510850949</v>
          </cell>
          <cell r="N44">
            <v>29713.112265159114</v>
          </cell>
          <cell r="O44">
            <v>31113.388409946332</v>
          </cell>
          <cell r="P44">
            <v>31587.286369648522</v>
          </cell>
          <cell r="Q44">
            <v>31044.86983072152</v>
          </cell>
          <cell r="R44">
            <v>30619.567076121886</v>
          </cell>
          <cell r="S44">
            <v>30957.430045806075</v>
          </cell>
          <cell r="T44">
            <v>31092.047600678692</v>
          </cell>
          <cell r="U44">
            <v>30887.29411201175</v>
          </cell>
          <cell r="V44">
            <v>31125.883481092707</v>
          </cell>
          <cell r="W44">
            <v>34357.556759054045</v>
          </cell>
          <cell r="X44">
            <v>34630.626336210742</v>
          </cell>
          <cell r="Y44">
            <v>33368.20802660886</v>
          </cell>
          <cell r="Z44">
            <v>31854.319365865522</v>
          </cell>
          <cell r="AA44">
            <v>29899.946288015184</v>
          </cell>
          <cell r="AB44">
            <v>27767.5459272144</v>
          </cell>
        </row>
        <row r="45">
          <cell r="D45">
            <v>4</v>
          </cell>
          <cell r="E45">
            <v>26020.486078053196</v>
          </cell>
          <cell r="F45">
            <v>24754.397007835181</v>
          </cell>
          <cell r="G45">
            <v>23657.066930351615</v>
          </cell>
          <cell r="H45">
            <v>23021.01888981057</v>
          </cell>
          <cell r="I45">
            <v>22689.420062082609</v>
          </cell>
          <cell r="J45">
            <v>22343.997866841477</v>
          </cell>
          <cell r="K45">
            <v>21743.368777138352</v>
          </cell>
          <cell r="L45">
            <v>22974.892786020238</v>
          </cell>
          <cell r="M45">
            <v>24453.590056942183</v>
          </cell>
          <cell r="N45">
            <v>25710.463548818087</v>
          </cell>
          <cell r="O45">
            <v>26776.565697989598</v>
          </cell>
          <cell r="P45">
            <v>27665.22682310074</v>
          </cell>
          <cell r="Q45">
            <v>28195.099864525662</v>
          </cell>
          <cell r="R45">
            <v>28306.090500445654</v>
          </cell>
          <cell r="S45">
            <v>28476.831759624554</v>
          </cell>
          <cell r="T45">
            <v>28682.434423723273</v>
          </cell>
          <cell r="U45">
            <v>28678.90594231146</v>
          </cell>
          <cell r="V45">
            <v>29159.714728666597</v>
          </cell>
          <cell r="W45">
            <v>32814.537716882769</v>
          </cell>
          <cell r="X45">
            <v>34231.243895629661</v>
          </cell>
          <cell r="Y45">
            <v>33950.855724763096</v>
          </cell>
          <cell r="Z45">
            <v>32737.692161515093</v>
          </cell>
          <cell r="AA45">
            <v>30341.652934913465</v>
          </cell>
          <cell r="AB45">
            <v>27808.079429750796</v>
          </cell>
        </row>
        <row r="46">
          <cell r="D46">
            <v>2</v>
          </cell>
          <cell r="E46">
            <v>26020.486078053196</v>
          </cell>
          <cell r="F46">
            <v>24754.397007835181</v>
          </cell>
          <cell r="G46">
            <v>23657.066930351615</v>
          </cell>
          <cell r="H46">
            <v>23021.01888981057</v>
          </cell>
          <cell r="I46">
            <v>22689.420062082609</v>
          </cell>
          <cell r="J46">
            <v>22343.997866841477</v>
          </cell>
          <cell r="K46">
            <v>21743.368777138352</v>
          </cell>
          <cell r="L46">
            <v>22974.892786020238</v>
          </cell>
          <cell r="M46">
            <v>24453.590056942183</v>
          </cell>
          <cell r="N46">
            <v>25710.463548818087</v>
          </cell>
          <cell r="O46">
            <v>26776.565697989598</v>
          </cell>
          <cell r="P46">
            <v>27665.22682310074</v>
          </cell>
          <cell r="Q46">
            <v>28195.099864525662</v>
          </cell>
          <cell r="R46">
            <v>28306.090500445654</v>
          </cell>
          <cell r="S46">
            <v>28476.831759624554</v>
          </cell>
          <cell r="T46">
            <v>28682.434423723273</v>
          </cell>
          <cell r="U46">
            <v>28678.90594231146</v>
          </cell>
          <cell r="V46">
            <v>29159.714728666597</v>
          </cell>
          <cell r="W46">
            <v>32814.537716882769</v>
          </cell>
          <cell r="X46">
            <v>34231.243895629661</v>
          </cell>
          <cell r="Y46">
            <v>33950.855724763096</v>
          </cell>
          <cell r="Z46">
            <v>32737.692161515093</v>
          </cell>
          <cell r="AA46">
            <v>30341.652934913465</v>
          </cell>
          <cell r="AB46">
            <v>27808.079429750796</v>
          </cell>
        </row>
        <row r="47">
          <cell r="D47">
            <v>20</v>
          </cell>
          <cell r="E47">
            <v>26262.600975557212</v>
          </cell>
          <cell r="F47">
            <v>24885.03487039743</v>
          </cell>
          <cell r="G47">
            <v>23870.221721010319</v>
          </cell>
          <cell r="H47">
            <v>23126.954804108642</v>
          </cell>
          <cell r="I47">
            <v>23100.696521026297</v>
          </cell>
          <cell r="J47">
            <v>23848.29562323571</v>
          </cell>
          <cell r="K47">
            <v>24185.362171819819</v>
          </cell>
          <cell r="L47">
            <v>26954.025548980782</v>
          </cell>
          <cell r="M47">
            <v>29935.869621930233</v>
          </cell>
          <cell r="N47">
            <v>31424.717097547727</v>
          </cell>
          <cell r="O47">
            <v>33025.119843591878</v>
          </cell>
          <cell r="P47">
            <v>34392.774760154753</v>
          </cell>
          <cell r="Q47">
            <v>33149.692676453124</v>
          </cell>
          <cell r="R47">
            <v>34118.316152321277</v>
          </cell>
          <cell r="S47">
            <v>36053.489166681298</v>
          </cell>
          <cell r="T47">
            <v>36300.236732903519</v>
          </cell>
          <cell r="U47">
            <v>35739.374533843293</v>
          </cell>
          <cell r="V47">
            <v>34830.640717787515</v>
          </cell>
          <cell r="W47">
            <v>37160.711590190993</v>
          </cell>
          <cell r="X47">
            <v>36809.756044671289</v>
          </cell>
          <cell r="Y47">
            <v>35634.478903039169</v>
          </cell>
          <cell r="Z47">
            <v>33712.522389490761</v>
          </cell>
          <cell r="AA47">
            <v>30828.863757807427</v>
          </cell>
          <cell r="AB47">
            <v>28176.077572925533</v>
          </cell>
        </row>
        <row r="48">
          <cell r="D48">
            <v>5</v>
          </cell>
          <cell r="E48">
            <v>25579.198659330501</v>
          </cell>
          <cell r="F48">
            <v>24286.261121997093</v>
          </cell>
          <cell r="G48">
            <v>23314.998763089206</v>
          </cell>
          <cell r="H48">
            <v>22599.1346484186</v>
          </cell>
          <cell r="I48">
            <v>22408.804432824763</v>
          </cell>
          <cell r="J48">
            <v>22279.776516972302</v>
          </cell>
          <cell r="K48">
            <v>22535.225143264779</v>
          </cell>
          <cell r="L48">
            <v>25104.36546218743</v>
          </cell>
          <cell r="M48">
            <v>27977.921280807746</v>
          </cell>
          <cell r="N48">
            <v>29393.368720462528</v>
          </cell>
          <cell r="O48">
            <v>31114.842302899604</v>
          </cell>
          <cell r="P48">
            <v>31881.182114828</v>
          </cell>
          <cell r="Q48">
            <v>31526.197539613146</v>
          </cell>
          <cell r="R48">
            <v>31140.57803702182</v>
          </cell>
          <cell r="S48">
            <v>31355.770609853953</v>
          </cell>
          <cell r="T48">
            <v>31288.830531755641</v>
          </cell>
          <cell r="U48">
            <v>30916.857707838146</v>
          </cell>
          <cell r="V48">
            <v>31675.312860015136</v>
          </cell>
          <cell r="W48">
            <v>35196.198426507544</v>
          </cell>
          <cell r="X48">
            <v>34935.64459447324</v>
          </cell>
          <cell r="Y48">
            <v>33702.360993200273</v>
          </cell>
          <cell r="Z48">
            <v>32151.584979206447</v>
          </cell>
          <cell r="AA48">
            <v>30374.799285991059</v>
          </cell>
          <cell r="AB48">
            <v>28251.750388721397</v>
          </cell>
        </row>
        <row r="49">
          <cell r="D49">
            <v>5</v>
          </cell>
          <cell r="E49">
            <v>26181.256569553942</v>
          </cell>
          <cell r="F49">
            <v>24847.032916322343</v>
          </cell>
          <cell r="G49">
            <v>23701.476343301601</v>
          </cell>
          <cell r="H49">
            <v>22943.171282168707</v>
          </cell>
          <cell r="I49">
            <v>22622.188263496533</v>
          </cell>
          <cell r="J49">
            <v>22008.290570296867</v>
          </cell>
          <cell r="K49">
            <v>21433.051476492637</v>
          </cell>
          <cell r="L49">
            <v>22780.690736773078</v>
          </cell>
          <cell r="M49">
            <v>24245.495181035501</v>
          </cell>
          <cell r="N49">
            <v>25666.345634496738</v>
          </cell>
          <cell r="O49">
            <v>26753.720166054492</v>
          </cell>
          <cell r="P49">
            <v>27468.000807021061</v>
          </cell>
          <cell r="Q49">
            <v>28080.154911817623</v>
          </cell>
          <cell r="R49">
            <v>28166.328801111085</v>
          </cell>
          <cell r="S49">
            <v>28183.200986440446</v>
          </cell>
          <cell r="T49">
            <v>28533.824744184814</v>
          </cell>
          <cell r="U49">
            <v>28503.586806301031</v>
          </cell>
          <cell r="V49">
            <v>29430.720551787017</v>
          </cell>
          <cell r="W49">
            <v>33279.745499035715</v>
          </cell>
          <cell r="X49">
            <v>33833.355919449379</v>
          </cell>
          <cell r="Y49">
            <v>33396.329047249332</v>
          </cell>
          <cell r="Z49">
            <v>32135.249323198095</v>
          </cell>
          <cell r="AA49">
            <v>29818.286226123895</v>
          </cell>
          <cell r="AB49">
            <v>27350.940080075037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25212.453103257933</v>
          </cell>
          <cell r="F51">
            <v>23885.280964115656</v>
          </cell>
          <cell r="G51">
            <v>22936.977280762512</v>
          </cell>
          <cell r="H51">
            <v>22247.454232717359</v>
          </cell>
          <cell r="I51">
            <v>22319.441226034229</v>
          </cell>
          <cell r="J51">
            <v>22986.045588181678</v>
          </cell>
          <cell r="K51">
            <v>23589.562901547688</v>
          </cell>
          <cell r="L51">
            <v>26275.095418932553</v>
          </cell>
          <cell r="M51">
            <v>29130.89855576439</v>
          </cell>
          <cell r="N51">
            <v>30626.598111877563</v>
          </cell>
          <cell r="O51">
            <v>32184.240698137146</v>
          </cell>
          <cell r="P51">
            <v>33417.599660332751</v>
          </cell>
          <cell r="Q51">
            <v>31975.824777465972</v>
          </cell>
          <cell r="R51">
            <v>32830.616508184867</v>
          </cell>
          <cell r="S51">
            <v>34673.509924231184</v>
          </cell>
          <cell r="T51">
            <v>35090.047358897762</v>
          </cell>
          <cell r="U51">
            <v>34700.108261472073</v>
          </cell>
          <cell r="V51">
            <v>34712.359938629997</v>
          </cell>
          <cell r="W51">
            <v>36866.311291759986</v>
          </cell>
          <cell r="X51">
            <v>36044.731149870116</v>
          </cell>
          <cell r="Y51">
            <v>34706.062122765885</v>
          </cell>
          <cell r="Z51">
            <v>32806.636767568605</v>
          </cell>
          <cell r="AA51">
            <v>30007.20209064263</v>
          </cell>
          <cell r="AB51">
            <v>27303.642157566486</v>
          </cell>
        </row>
        <row r="52">
          <cell r="D52">
            <v>4</v>
          </cell>
          <cell r="E52">
            <v>25672.372312225118</v>
          </cell>
          <cell r="F52">
            <v>24230.803518832527</v>
          </cell>
          <cell r="G52">
            <v>23088.014002888227</v>
          </cell>
          <cell r="H52">
            <v>22376.60029173423</v>
          </cell>
          <cell r="I52">
            <v>22362.440420492087</v>
          </cell>
          <cell r="J52">
            <v>22267.47398269171</v>
          </cell>
          <cell r="K52">
            <v>22612.308028123894</v>
          </cell>
          <cell r="L52">
            <v>24852.527835001787</v>
          </cell>
          <cell r="M52">
            <v>27642.737817432331</v>
          </cell>
          <cell r="N52">
            <v>29234.403675374877</v>
          </cell>
          <cell r="O52">
            <v>30874.920732617255</v>
          </cell>
          <cell r="P52">
            <v>31691.115325643324</v>
          </cell>
          <cell r="Q52">
            <v>31096.217737542851</v>
          </cell>
          <cell r="R52">
            <v>30712.771550816062</v>
          </cell>
          <cell r="S52">
            <v>31035.229920706501</v>
          </cell>
          <cell r="T52">
            <v>31360.989611117431</v>
          </cell>
          <cell r="U52">
            <v>31121.976857319813</v>
          </cell>
          <cell r="V52">
            <v>32258.984177180544</v>
          </cell>
          <cell r="W52">
            <v>35307.203105666071</v>
          </cell>
          <cell r="X52">
            <v>34655.091166593716</v>
          </cell>
          <cell r="Y52">
            <v>33317.740535985933</v>
          </cell>
          <cell r="Z52">
            <v>31635.820187400848</v>
          </cell>
          <cell r="AA52">
            <v>29620.712045202079</v>
          </cell>
          <cell r="AB52">
            <v>27492.716010948938</v>
          </cell>
        </row>
        <row r="53">
          <cell r="D53">
            <v>4</v>
          </cell>
          <cell r="E53">
            <v>25539.489804230117</v>
          </cell>
          <cell r="F53">
            <v>24199.491409995808</v>
          </cell>
          <cell r="G53">
            <v>23135.35766428601</v>
          </cell>
          <cell r="H53">
            <v>22476.832681687803</v>
          </cell>
          <cell r="I53">
            <v>22181.035472119667</v>
          </cell>
          <cell r="J53">
            <v>21705.454399339505</v>
          </cell>
          <cell r="K53">
            <v>21125.475864731721</v>
          </cell>
          <cell r="L53">
            <v>22378.461938644272</v>
          </cell>
          <cell r="M53">
            <v>24005.78533259398</v>
          </cell>
          <cell r="N53">
            <v>25306.265319974082</v>
          </cell>
          <cell r="O53">
            <v>26553.308119134243</v>
          </cell>
          <cell r="P53">
            <v>27550.488327867046</v>
          </cell>
          <cell r="Q53">
            <v>28047.772242667408</v>
          </cell>
          <cell r="R53">
            <v>28101.090866424558</v>
          </cell>
          <cell r="S53">
            <v>28275.556492931868</v>
          </cell>
          <cell r="T53">
            <v>28244.444544145907</v>
          </cell>
          <cell r="U53">
            <v>28455.239219864954</v>
          </cell>
          <cell r="V53">
            <v>29849.498680100653</v>
          </cell>
          <cell r="W53">
            <v>33471.647243084997</v>
          </cell>
          <cell r="X53">
            <v>33692.988346596969</v>
          </cell>
          <cell r="Y53">
            <v>33169.339022472755</v>
          </cell>
          <cell r="Z53">
            <v>31853.703116737797</v>
          </cell>
          <cell r="AA53">
            <v>29465.593023072659</v>
          </cell>
          <cell r="AB53">
            <v>27050.961986746097</v>
          </cell>
        </row>
        <row r="54">
          <cell r="D54">
            <v>1</v>
          </cell>
          <cell r="E54">
            <v>25539.489804230117</v>
          </cell>
          <cell r="F54">
            <v>24199.491409995808</v>
          </cell>
          <cell r="G54">
            <v>23135.35766428601</v>
          </cell>
          <cell r="H54">
            <v>22476.832681687803</v>
          </cell>
          <cell r="I54">
            <v>22181.035472119667</v>
          </cell>
          <cell r="J54">
            <v>21705.454399339505</v>
          </cell>
          <cell r="K54">
            <v>21125.475864731721</v>
          </cell>
          <cell r="L54">
            <v>22378.461938644272</v>
          </cell>
          <cell r="M54">
            <v>24005.78533259398</v>
          </cell>
          <cell r="N54">
            <v>25306.265319974082</v>
          </cell>
          <cell r="O54">
            <v>26553.308119134243</v>
          </cell>
          <cell r="P54">
            <v>27550.488327867046</v>
          </cell>
          <cell r="Q54">
            <v>28047.772242667408</v>
          </cell>
          <cell r="R54">
            <v>28101.090866424558</v>
          </cell>
          <cell r="S54">
            <v>28275.556492931868</v>
          </cell>
          <cell r="T54">
            <v>28244.444544145907</v>
          </cell>
          <cell r="U54">
            <v>28455.239219864954</v>
          </cell>
          <cell r="V54">
            <v>29849.498680100653</v>
          </cell>
          <cell r="W54">
            <v>33471.647243084997</v>
          </cell>
          <cell r="X54">
            <v>33692.988346596969</v>
          </cell>
          <cell r="Y54">
            <v>33169.339022472755</v>
          </cell>
          <cell r="Z54">
            <v>31853.703116737797</v>
          </cell>
          <cell r="AA54">
            <v>29465.593023072659</v>
          </cell>
          <cell r="AB54">
            <v>27050.961986746097</v>
          </cell>
        </row>
        <row r="55">
          <cell r="D55">
            <v>20</v>
          </cell>
          <cell r="E55">
            <v>25008.048105727514</v>
          </cell>
          <cell r="F55">
            <v>23723.031357298652</v>
          </cell>
          <cell r="G55">
            <v>22787.295298790006</v>
          </cell>
          <cell r="H55">
            <v>22153.464429980104</v>
          </cell>
          <cell r="I55">
            <v>22215.961290516174</v>
          </cell>
          <cell r="J55">
            <v>22875.626594960286</v>
          </cell>
          <cell r="K55">
            <v>23477.985725144343</v>
          </cell>
          <cell r="L55">
            <v>26270.64376528926</v>
          </cell>
          <cell r="M55">
            <v>29144.852158221289</v>
          </cell>
          <cell r="N55">
            <v>30570.638606368339</v>
          </cell>
          <cell r="O55">
            <v>32058.640554457441</v>
          </cell>
          <cell r="P55">
            <v>33107.396833555038</v>
          </cell>
          <cell r="Q55">
            <v>31749.828679324877</v>
          </cell>
          <cell r="R55">
            <v>32464.507378157236</v>
          </cell>
          <cell r="S55">
            <v>34083.699556616644</v>
          </cell>
          <cell r="T55">
            <v>34500.341703053433</v>
          </cell>
          <cell r="U55">
            <v>34163.460778034358</v>
          </cell>
          <cell r="V55">
            <v>34609.774023325248</v>
          </cell>
          <cell r="W55">
            <v>36304.100365180559</v>
          </cell>
          <cell r="X55">
            <v>35463.269905208785</v>
          </cell>
          <cell r="Y55">
            <v>34206.149637323651</v>
          </cell>
          <cell r="Z55">
            <v>32384.654826512473</v>
          </cell>
          <cell r="AA55">
            <v>29720.103331839477</v>
          </cell>
          <cell r="AB55">
            <v>27089.859461545759</v>
          </cell>
        </row>
        <row r="56">
          <cell r="D56">
            <v>4</v>
          </cell>
          <cell r="E56">
            <v>24411.47924390982</v>
          </cell>
          <cell r="F56">
            <v>23216.277604540886</v>
          </cell>
          <cell r="G56">
            <v>22377.507738172739</v>
          </cell>
          <cell r="H56">
            <v>21828.980639370231</v>
          </cell>
          <cell r="I56">
            <v>21815.907661280697</v>
          </cell>
          <cell r="J56">
            <v>21762.063849376998</v>
          </cell>
          <cell r="K56">
            <v>22087.110270468278</v>
          </cell>
          <cell r="L56">
            <v>24631.945717992861</v>
          </cell>
          <cell r="M56">
            <v>27493.931552742411</v>
          </cell>
          <cell r="N56">
            <v>29077.777289267691</v>
          </cell>
          <cell r="O56">
            <v>30727.234456831226</v>
          </cell>
          <cell r="P56">
            <v>31422.200543765102</v>
          </cell>
          <cell r="Q56">
            <v>30856.869703630895</v>
          </cell>
          <cell r="R56">
            <v>30217.087278747607</v>
          </cell>
          <cell r="S56">
            <v>30014.415198336384</v>
          </cell>
          <cell r="T56">
            <v>30255.450464095265</v>
          </cell>
          <cell r="U56">
            <v>30105.476639018925</v>
          </cell>
          <cell r="V56">
            <v>31780.577701624992</v>
          </cell>
          <cell r="W56">
            <v>34401.410918927249</v>
          </cell>
          <cell r="X56">
            <v>33820.050450425122</v>
          </cell>
          <cell r="Y56">
            <v>32604.175729445069</v>
          </cell>
          <cell r="Z56">
            <v>31095.714676659212</v>
          </cell>
          <cell r="AA56">
            <v>29189.779781590736</v>
          </cell>
          <cell r="AB56">
            <v>27045.434420875914</v>
          </cell>
        </row>
        <row r="57">
          <cell r="D57">
            <v>4</v>
          </cell>
          <cell r="E57">
            <v>25301.222397838079</v>
          </cell>
          <cell r="F57">
            <v>24100.884632224486</v>
          </cell>
          <cell r="G57">
            <v>23061.496850217132</v>
          </cell>
          <cell r="H57">
            <v>22360.967272802882</v>
          </cell>
          <cell r="I57">
            <v>22077.018025264519</v>
          </cell>
          <cell r="J57">
            <v>21705.035826964307</v>
          </cell>
          <cell r="K57">
            <v>21169.36455460529</v>
          </cell>
          <cell r="L57">
            <v>22334.512324525982</v>
          </cell>
          <cell r="M57">
            <v>23931.868811961049</v>
          </cell>
          <cell r="N57">
            <v>25244.598269323433</v>
          </cell>
          <cell r="O57">
            <v>26507.666737137049</v>
          </cell>
          <cell r="P57">
            <v>27174.877210906598</v>
          </cell>
          <cell r="Q57">
            <v>27669.940309096077</v>
          </cell>
          <cell r="R57">
            <v>27643.854763525316</v>
          </cell>
          <cell r="S57">
            <v>27564.409915456592</v>
          </cell>
          <cell r="T57">
            <v>27690.068062513379</v>
          </cell>
          <cell r="U57">
            <v>27722.253854982835</v>
          </cell>
          <cell r="V57">
            <v>29597.360359459522</v>
          </cell>
          <cell r="W57">
            <v>32418.476580886741</v>
          </cell>
          <cell r="X57">
            <v>32465.908908805082</v>
          </cell>
          <cell r="Y57">
            <v>31749.999321152001</v>
          </cell>
          <cell r="Z57">
            <v>30501.984523838473</v>
          </cell>
          <cell r="AA57">
            <v>28547.068462654457</v>
          </cell>
          <cell r="AB57">
            <v>26479.293139777019</v>
          </cell>
        </row>
        <row r="58">
          <cell r="D58">
            <v>2</v>
          </cell>
          <cell r="E58">
            <v>25301.222397838079</v>
          </cell>
          <cell r="F58">
            <v>24100.884632224486</v>
          </cell>
          <cell r="G58">
            <v>23061.496850217132</v>
          </cell>
          <cell r="H58">
            <v>22360.967272802882</v>
          </cell>
          <cell r="I58">
            <v>22077.018025264519</v>
          </cell>
          <cell r="J58">
            <v>21705.035826964307</v>
          </cell>
          <cell r="K58">
            <v>21169.36455460529</v>
          </cell>
          <cell r="L58">
            <v>22334.512324525982</v>
          </cell>
          <cell r="M58">
            <v>23931.868811961049</v>
          </cell>
          <cell r="N58">
            <v>25244.598269323433</v>
          </cell>
          <cell r="O58">
            <v>26507.666737137049</v>
          </cell>
          <cell r="P58">
            <v>27174.877210906598</v>
          </cell>
          <cell r="Q58">
            <v>27669.940309096077</v>
          </cell>
          <cell r="R58">
            <v>27643.854763525316</v>
          </cell>
          <cell r="S58">
            <v>27564.409915456592</v>
          </cell>
          <cell r="T58">
            <v>27690.068062513379</v>
          </cell>
          <cell r="U58">
            <v>27722.253854982835</v>
          </cell>
          <cell r="V58">
            <v>29597.360359459522</v>
          </cell>
          <cell r="W58">
            <v>32418.476580886741</v>
          </cell>
          <cell r="X58">
            <v>32465.908908805082</v>
          </cell>
          <cell r="Y58">
            <v>31749.999321152001</v>
          </cell>
          <cell r="Z58">
            <v>30501.984523838473</v>
          </cell>
          <cell r="AA58">
            <v>28547.068462654457</v>
          </cell>
          <cell r="AB58">
            <v>26479.293139777019</v>
          </cell>
        </row>
        <row r="59">
          <cell r="D59">
            <v>20</v>
          </cell>
          <cell r="E59">
            <v>26724.310975272954</v>
          </cell>
          <cell r="F59">
            <v>25254.498896763402</v>
          </cell>
          <cell r="G59">
            <v>24204.78400633276</v>
          </cell>
          <cell r="H59">
            <v>23554.320780402682</v>
          </cell>
          <cell r="I59">
            <v>23470.664502648153</v>
          </cell>
          <cell r="J59">
            <v>23889.932429261924</v>
          </cell>
          <cell r="K59">
            <v>24057.018291623208</v>
          </cell>
          <cell r="L59">
            <v>26956.612485920366</v>
          </cell>
          <cell r="M59">
            <v>29901.452532081967</v>
          </cell>
          <cell r="N59">
            <v>31587.655592220162</v>
          </cell>
          <cell r="O59">
            <v>33071.765374058392</v>
          </cell>
          <cell r="P59">
            <v>34145.648674158161</v>
          </cell>
          <cell r="Q59">
            <v>33205.479802171678</v>
          </cell>
          <cell r="R59">
            <v>33630.993701345462</v>
          </cell>
          <cell r="S59">
            <v>35052.964457946211</v>
          </cell>
          <cell r="T59">
            <v>35490.520502050778</v>
          </cell>
          <cell r="U59">
            <v>35197.802270558081</v>
          </cell>
          <cell r="V59">
            <v>35233.538383295469</v>
          </cell>
          <cell r="W59">
            <v>37948.68401808443</v>
          </cell>
          <cell r="X59">
            <v>37218.511946516497</v>
          </cell>
          <cell r="Y59">
            <v>35856.248117865543</v>
          </cell>
          <cell r="Z59">
            <v>33914.193689516193</v>
          </cell>
          <cell r="AA59">
            <v>31421.945052852221</v>
          </cell>
          <cell r="AB59">
            <v>28996.846256518376</v>
          </cell>
        </row>
        <row r="60">
          <cell r="D60">
            <v>4</v>
          </cell>
          <cell r="E60">
            <v>27157.0858303553</v>
          </cell>
          <cell r="F60">
            <v>25619.618244913312</v>
          </cell>
          <cell r="G60">
            <v>24606.804016816033</v>
          </cell>
          <cell r="H60">
            <v>23864.221276665678</v>
          </cell>
          <cell r="I60">
            <v>23658.957931633071</v>
          </cell>
          <cell r="J60">
            <v>23700.224153269326</v>
          </cell>
          <cell r="K60">
            <v>23464.809543749256</v>
          </cell>
          <cell r="L60">
            <v>25619.316205110808</v>
          </cell>
          <cell r="M60">
            <v>28737.809657467991</v>
          </cell>
          <cell r="N60">
            <v>30566.630269352096</v>
          </cell>
          <cell r="O60">
            <v>32106.897438324104</v>
          </cell>
          <cell r="P60">
            <v>33046.9803206047</v>
          </cell>
          <cell r="Q60">
            <v>32511.742122273921</v>
          </cell>
          <cell r="R60">
            <v>32276.644345244811</v>
          </cell>
          <cell r="S60">
            <v>32141.342616833746</v>
          </cell>
          <cell r="T60">
            <v>32486.434521903313</v>
          </cell>
          <cell r="U60">
            <v>32385.516111668323</v>
          </cell>
          <cell r="V60">
            <v>33101.606222623646</v>
          </cell>
          <cell r="W60">
            <v>36768.354363322091</v>
          </cell>
          <cell r="X60">
            <v>36246.801284520043</v>
          </cell>
          <cell r="Y60">
            <v>34882.1332789804</v>
          </cell>
          <cell r="Z60">
            <v>33393.283881337913</v>
          </cell>
          <cell r="AA60">
            <v>31329.016922893046</v>
          </cell>
          <cell r="AB60">
            <v>29202.376190131283</v>
          </cell>
        </row>
        <row r="61">
          <cell r="D61">
            <v>5</v>
          </cell>
          <cell r="E61">
            <v>27328.525020835514</v>
          </cell>
          <cell r="F61">
            <v>25985.321744163262</v>
          </cell>
          <cell r="G61">
            <v>24903.498279623102</v>
          </cell>
          <cell r="H61">
            <v>24141.644162866622</v>
          </cell>
          <cell r="I61">
            <v>23797.951915083071</v>
          </cell>
          <cell r="J61">
            <v>23557.800955676961</v>
          </cell>
          <cell r="K61">
            <v>22508.171491421228</v>
          </cell>
          <cell r="L61">
            <v>23643.551212125873</v>
          </cell>
          <cell r="M61">
            <v>25448.319719452429</v>
          </cell>
          <cell r="N61">
            <v>26997.694881186544</v>
          </cell>
          <cell r="O61">
            <v>28016.936128981546</v>
          </cell>
          <cell r="P61">
            <v>28851.566776493997</v>
          </cell>
          <cell r="Q61">
            <v>29347.904507509793</v>
          </cell>
          <cell r="R61">
            <v>29624.291636560749</v>
          </cell>
          <cell r="S61">
            <v>28786.986739933203</v>
          </cell>
          <cell r="T61">
            <v>29574.302032062282</v>
          </cell>
          <cell r="U61">
            <v>29750.099686477941</v>
          </cell>
          <cell r="V61">
            <v>30743.388372685593</v>
          </cell>
          <cell r="W61">
            <v>34472.466985467443</v>
          </cell>
          <cell r="X61">
            <v>34198.200321067336</v>
          </cell>
          <cell r="Y61">
            <v>33305.717082746458</v>
          </cell>
          <cell r="Z61">
            <v>32082.980081710502</v>
          </cell>
          <cell r="AA61">
            <v>30233.243415221776</v>
          </cell>
          <cell r="AB61">
            <v>28357.400074227771</v>
          </cell>
        </row>
        <row r="62">
          <cell r="D62">
            <v>2</v>
          </cell>
          <cell r="E62">
            <v>27328.525020835514</v>
          </cell>
          <cell r="F62">
            <v>25985.321744163262</v>
          </cell>
          <cell r="G62">
            <v>24903.498279623102</v>
          </cell>
          <cell r="H62">
            <v>24141.644162866622</v>
          </cell>
          <cell r="I62">
            <v>23797.951915083071</v>
          </cell>
          <cell r="J62">
            <v>23557.800955676961</v>
          </cell>
          <cell r="K62">
            <v>22508.171491421228</v>
          </cell>
          <cell r="L62">
            <v>23643.551212125873</v>
          </cell>
          <cell r="M62">
            <v>25448.319719452429</v>
          </cell>
          <cell r="N62">
            <v>26997.694881186544</v>
          </cell>
          <cell r="O62">
            <v>28016.936128981546</v>
          </cell>
          <cell r="P62">
            <v>28851.566776493997</v>
          </cell>
          <cell r="Q62">
            <v>29347.904507509793</v>
          </cell>
          <cell r="R62">
            <v>29624.291636560749</v>
          </cell>
          <cell r="S62">
            <v>28786.986739933203</v>
          </cell>
          <cell r="T62">
            <v>29574.302032062282</v>
          </cell>
          <cell r="U62">
            <v>29750.099686477941</v>
          </cell>
          <cell r="V62">
            <v>30743.388372685593</v>
          </cell>
          <cell r="W62">
            <v>34472.466985467443</v>
          </cell>
          <cell r="X62">
            <v>34198.200321067336</v>
          </cell>
          <cell r="Y62">
            <v>33305.717082746458</v>
          </cell>
          <cell r="Z62">
            <v>32082.980081710502</v>
          </cell>
          <cell r="AA62">
            <v>30233.243415221776</v>
          </cell>
          <cell r="AB62">
            <v>28357.400074227771</v>
          </cell>
        </row>
      </sheetData>
      <sheetData sheetId="34"/>
      <sheetData sheetId="35"/>
      <sheetData sheetId="3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.Dda Comercial ESSA historica"/>
      <sheetName val="2.Dinam_Dda Cial ESSA"/>
      <sheetName val="3.Proy Dda Cial ESSA"/>
      <sheetName val="4. Dda cial Horaria LP"/>
      <sheetName val="5. Energía Horaria Contratada"/>
      <sheetName val="6.Gráficas_DemandaVsCobertura"/>
      <sheetName val="7. Energía Expuesta Bolsa"/>
      <sheetName val="8.Calendarios_TipoDia"/>
      <sheetName val="9.Estrategia_Convocatoria"/>
      <sheetName val="10.Energ_productos_Necesidad"/>
      <sheetName val="11.E_productos_Demanda"/>
      <sheetName val="12.Eproductos_MIX_PL Y CNec"/>
      <sheetName val="13.Eproductos_MIX_ %Mensual"/>
      <sheetName val="14.Energ_prod Necesidad y plano"/>
      <sheetName val="15.Eprod_MIX_ %Mensual y plana"/>
      <sheetName val="16.Cronograma Pliegos"/>
      <sheetName val="17.Simulación_Cronograma"/>
      <sheetName val="18.Festivos_Colombia"/>
      <sheetName val="19.Compromisos Plurianuales"/>
      <sheetName val="20.Árbol de Productos"/>
      <sheetName val="sema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0">
          <cell r="AJ260">
            <v>58184.777249772567</v>
          </cell>
          <cell r="AK260">
            <v>54915.146825611075</v>
          </cell>
          <cell r="AL260">
            <v>52373.018967191842</v>
          </cell>
          <cell r="AM260">
            <v>50494.537287130734</v>
          </cell>
          <cell r="AN260">
            <v>50006.861246407781</v>
          </cell>
          <cell r="AO260">
            <v>51618.601203186925</v>
          </cell>
          <cell r="AP260">
            <v>50560.129664753185</v>
          </cell>
          <cell r="AQ260">
            <v>53955.187778084626</v>
          </cell>
          <cell r="AR260">
            <v>58307.463623599651</v>
          </cell>
          <cell r="AS260">
            <v>60470.726938850334</v>
          </cell>
          <cell r="AT260">
            <v>63565.856155583344</v>
          </cell>
          <cell r="AU260">
            <v>66607.618905933938</v>
          </cell>
          <cell r="AV260">
            <v>64596.729400068827</v>
          </cell>
          <cell r="AW260">
            <v>67410.168200479544</v>
          </cell>
          <cell r="AX260">
            <v>71748.650388666443</v>
          </cell>
          <cell r="AY260">
            <v>72964.895501494058</v>
          </cell>
          <cell r="AZ260">
            <v>73526.99609600236</v>
          </cell>
          <cell r="BA260">
            <v>78276.98742724405</v>
          </cell>
          <cell r="BB260">
            <v>84475.294189622087</v>
          </cell>
          <cell r="BC260">
            <v>84849.604394061127</v>
          </cell>
          <cell r="BD260">
            <v>82982.329302197599</v>
          </cell>
          <cell r="BE260">
            <v>79451.274416497778</v>
          </cell>
          <cell r="BF260">
            <v>73895.455854022846</v>
          </cell>
          <cell r="BG260">
            <v>68114.330832302134</v>
          </cell>
        </row>
        <row r="261">
          <cell r="AJ261">
            <v>57430.259576742363</v>
          </cell>
          <cell r="AK261">
            <v>54485.325633839413</v>
          </cell>
          <cell r="AL261">
            <v>52023.018519089164</v>
          </cell>
          <cell r="AM261">
            <v>50130.713996311788</v>
          </cell>
          <cell r="AN261">
            <v>49424.068827078881</v>
          </cell>
          <cell r="AO261">
            <v>49605.32158636189</v>
          </cell>
          <cell r="AP261">
            <v>47585.653098818992</v>
          </cell>
          <cell r="AQ261">
            <v>49847.530030777911</v>
          </cell>
          <cell r="AR261">
            <v>53804.78845426489</v>
          </cell>
          <cell r="AS261">
            <v>56862.928556401814</v>
          </cell>
          <cell r="AT261">
            <v>59363.179273880312</v>
          </cell>
          <cell r="AU261">
            <v>60766.060412187217</v>
          </cell>
          <cell r="AV261">
            <v>60278.048892462939</v>
          </cell>
          <cell r="AW261">
            <v>58829.938847269579</v>
          </cell>
          <cell r="AX261">
            <v>59896.453079137449</v>
          </cell>
          <cell r="AY261">
            <v>61146.369236830607</v>
          </cell>
          <cell r="AZ261">
            <v>62555.363597340736</v>
          </cell>
          <cell r="BA261">
            <v>70930.412396267318</v>
          </cell>
          <cell r="BB261">
            <v>79513.797032520917</v>
          </cell>
          <cell r="BC261">
            <v>79916.230517380478</v>
          </cell>
          <cell r="BD261">
            <v>77776.390492622217</v>
          </cell>
          <cell r="BE261">
            <v>74831.456859287413</v>
          </cell>
          <cell r="BF261">
            <v>70965.590177701277</v>
          </cell>
          <cell r="BG261">
            <v>66480.419494185378</v>
          </cell>
        </row>
        <row r="262">
          <cell r="AJ262">
            <v>57964.936528286875</v>
          </cell>
          <cell r="AK262">
            <v>54911.822494254506</v>
          </cell>
          <cell r="AL262">
            <v>52294.158846264123</v>
          </cell>
          <cell r="AM262">
            <v>50361.656396470622</v>
          </cell>
          <cell r="AN262">
            <v>49415.474405692687</v>
          </cell>
          <cell r="AO262">
            <v>48952.122049400408</v>
          </cell>
          <cell r="AP262">
            <v>45547.943383577935</v>
          </cell>
          <cell r="AQ262">
            <v>44930.345487174105</v>
          </cell>
          <cell r="AR262">
            <v>46024.768407001255</v>
          </cell>
          <cell r="AS262">
            <v>47148.693206961827</v>
          </cell>
          <cell r="AT262">
            <v>49114.253981306902</v>
          </cell>
          <cell r="AU262">
            <v>51055.062449830562</v>
          </cell>
          <cell r="AV262">
            <v>52771.981466657373</v>
          </cell>
          <cell r="AW262">
            <v>53395.497216847143</v>
          </cell>
          <cell r="AX262">
            <v>54100.11798263032</v>
          </cell>
          <cell r="AY262">
            <v>55245.087989101958</v>
          </cell>
          <cell r="AZ262">
            <v>57334.489697495366</v>
          </cell>
          <cell r="BA262">
            <v>65563.037913669934</v>
          </cell>
          <cell r="BB262">
            <v>74890.81152345326</v>
          </cell>
          <cell r="BC262">
            <v>76918.187034233328</v>
          </cell>
          <cell r="BD262">
            <v>76271.843875261577</v>
          </cell>
          <cell r="BE262">
            <v>74212.675949142722</v>
          </cell>
          <cell r="BF262">
            <v>69521.912839623226</v>
          </cell>
          <cell r="BG262">
            <v>64035.221998651752</v>
          </cell>
        </row>
        <row r="263">
          <cell r="AJ263">
            <v>57926.231397532174</v>
          </cell>
          <cell r="AK263">
            <v>54791.131016739142</v>
          </cell>
          <cell r="AL263">
            <v>52133.764683077694</v>
          </cell>
          <cell r="AM263">
            <v>50200.92654813773</v>
          </cell>
          <cell r="AN263">
            <v>49282.726764473904</v>
          </cell>
          <cell r="AO263">
            <v>48900.961732975731</v>
          </cell>
          <cell r="AP263">
            <v>45646.204126259749</v>
          </cell>
          <cell r="AQ263">
            <v>45144.857796283228</v>
          </cell>
          <cell r="AR263">
            <v>46350.243658060492</v>
          </cell>
          <cell r="AS263">
            <v>47523.048648922624</v>
          </cell>
          <cell r="AT263">
            <v>49461.396758517643</v>
          </cell>
          <cell r="AU263">
            <v>51353.154026725511</v>
          </cell>
          <cell r="AV263">
            <v>53044.598974513618</v>
          </cell>
          <cell r="AW263">
            <v>53704.932418219534</v>
          </cell>
          <cell r="AX263">
            <v>54460.5076557621</v>
          </cell>
          <cell r="AY263">
            <v>55661.863266315515</v>
          </cell>
          <cell r="AZ263">
            <v>57739.949851800528</v>
          </cell>
          <cell r="BA263">
            <v>65860.977482196671</v>
          </cell>
          <cell r="BB263">
            <v>75122.23793036642</v>
          </cell>
          <cell r="BC263">
            <v>77189.471302026766</v>
          </cell>
          <cell r="BD263">
            <v>76565.72038677978</v>
          </cell>
          <cell r="BE263">
            <v>74513.953368087998</v>
          </cell>
          <cell r="BF263">
            <v>69757.877329695562</v>
          </cell>
          <cell r="BG263">
            <v>64197.00957188008</v>
          </cell>
        </row>
        <row r="264">
          <cell r="AJ264">
            <v>61513.581017875935</v>
          </cell>
          <cell r="AK264">
            <v>58283.530365468869</v>
          </cell>
          <cell r="AL264">
            <v>55513.397543917425</v>
          </cell>
          <cell r="AM264">
            <v>53469.222003085801</v>
          </cell>
          <cell r="AN264">
            <v>53115.386333531547</v>
          </cell>
          <cell r="AO264">
            <v>56226.34976854975</v>
          </cell>
          <cell r="AP264">
            <v>55119.073052808264</v>
          </cell>
          <cell r="AQ264">
            <v>58358.821149614581</v>
          </cell>
          <cell r="AR264">
            <v>61945.530352818147</v>
          </cell>
          <cell r="AS264">
            <v>63126.495256293179</v>
          </cell>
          <cell r="AT264">
            <v>65860.019957438242</v>
          </cell>
          <cell r="AU264">
            <v>68638.04500392075</v>
          </cell>
          <cell r="AV264">
            <v>66190.354083509781</v>
          </cell>
          <cell r="AW264">
            <v>69708.153196998595</v>
          </cell>
          <cell r="AX264">
            <v>75062.925145848043</v>
          </cell>
          <cell r="AY264">
            <v>76689.321839755925</v>
          </cell>
          <cell r="AZ264">
            <v>77371.190458158322</v>
          </cell>
          <cell r="BA264">
            <v>81595.23402420769</v>
          </cell>
          <cell r="BB264">
            <v>87431.735436725634</v>
          </cell>
          <cell r="BC264">
            <v>89046.93203677627</v>
          </cell>
          <cell r="BD264">
            <v>87683.230409314245</v>
          </cell>
          <cell r="BE264">
            <v>84083.877339892832</v>
          </cell>
          <cell r="BF264">
            <v>77478.503586782041</v>
          </cell>
          <cell r="BG264">
            <v>71104.924708141159</v>
          </cell>
        </row>
        <row r="265">
          <cell r="AJ265">
            <v>61769.563165774511</v>
          </cell>
          <cell r="AK265">
            <v>58055.610017008832</v>
          </cell>
          <cell r="AL265">
            <v>55764.846299256162</v>
          </cell>
          <cell r="AM265">
            <v>53291.856384853461</v>
          </cell>
          <cell r="AN265">
            <v>52445.421078056163</v>
          </cell>
          <cell r="AO265">
            <v>52954.682193794797</v>
          </cell>
          <cell r="AP265">
            <v>51448.588505272091</v>
          </cell>
          <cell r="AQ265">
            <v>53800.874227449414</v>
          </cell>
          <cell r="AR265">
            <v>57088.983910019764</v>
          </cell>
          <cell r="AS265">
            <v>58821.309906325041</v>
          </cell>
          <cell r="AT265">
            <v>61319.723364770151</v>
          </cell>
          <cell r="AU265">
            <v>62587.706751181446</v>
          </cell>
          <cell r="AV265">
            <v>61452.928145790276</v>
          </cell>
          <cell r="AW265">
            <v>61245.152338760548</v>
          </cell>
          <cell r="AX265">
            <v>62466.482128631404</v>
          </cell>
          <cell r="AY265">
            <v>63973.832462076934</v>
          </cell>
          <cell r="AZ265">
            <v>65653.203894984152</v>
          </cell>
          <cell r="BA265">
            <v>73239.369706071579</v>
          </cell>
          <cell r="BB265">
            <v>82179.09354082802</v>
          </cell>
          <cell r="BC265">
            <v>83266.387360997789</v>
          </cell>
          <cell r="BD265">
            <v>81747.035672740545</v>
          </cell>
          <cell r="BE265">
            <v>78824.811038744738</v>
          </cell>
          <cell r="BF265">
            <v>74868.081352539768</v>
          </cell>
          <cell r="BG265">
            <v>70032.310186034636</v>
          </cell>
        </row>
        <row r="266">
          <cell r="AJ266">
            <v>61844.890139653005</v>
          </cell>
          <cell r="AK266">
            <v>58771.81216962207</v>
          </cell>
          <cell r="AL266">
            <v>56068.321699362874</v>
          </cell>
          <cell r="AM266">
            <v>54117.179464063745</v>
          </cell>
          <cell r="AN266">
            <v>53079.552576057977</v>
          </cell>
          <cell r="AO266">
            <v>52903.161053975819</v>
          </cell>
          <cell r="AP266">
            <v>49408.775971409086</v>
          </cell>
          <cell r="AQ266">
            <v>49063.236218304584</v>
          </cell>
          <cell r="AR266">
            <v>49872.513000153973</v>
          </cell>
          <cell r="AS266">
            <v>50255.3432784631</v>
          </cell>
          <cell r="AT266">
            <v>51902.644830212375</v>
          </cell>
          <cell r="AU266">
            <v>54198.328369811432</v>
          </cell>
          <cell r="AV266">
            <v>56009.115216084399</v>
          </cell>
          <cell r="AW266">
            <v>57170.226957369399</v>
          </cell>
          <cell r="AX266">
            <v>58704.813658453422</v>
          </cell>
          <cell r="AY266">
            <v>60217.543277395707</v>
          </cell>
          <cell r="AZ266">
            <v>61797.255993068677</v>
          </cell>
          <cell r="BA266">
            <v>68203.080461889622</v>
          </cell>
          <cell r="BB266">
            <v>78540.988959769806</v>
          </cell>
          <cell r="BC266">
            <v>81991.654785727384</v>
          </cell>
          <cell r="BD266">
            <v>82479.158592565189</v>
          </cell>
          <cell r="BE266">
            <v>81215.383458098266</v>
          </cell>
          <cell r="BF266">
            <v>74256.921002557574</v>
          </cell>
          <cell r="BG266">
            <v>68347.735519004666</v>
          </cell>
        </row>
        <row r="267"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</row>
        <row r="268">
          <cell r="AJ268">
            <v>57344.001212859243</v>
          </cell>
          <cell r="AK268">
            <v>54208.256679329934</v>
          </cell>
          <cell r="AL268">
            <v>51744.812349711552</v>
          </cell>
          <cell r="AM268">
            <v>50144.792881126537</v>
          </cell>
          <cell r="AN268">
            <v>50143.428132592737</v>
          </cell>
          <cell r="AO268">
            <v>52613.158001606302</v>
          </cell>
          <cell r="AP268">
            <v>52182.030305702567</v>
          </cell>
          <cell r="AQ268">
            <v>55949.973094344408</v>
          </cell>
          <cell r="AR268">
            <v>59622.202235702833</v>
          </cell>
          <cell r="AS268">
            <v>61028.0018415456</v>
          </cell>
          <cell r="AT268">
            <v>63644.42322549715</v>
          </cell>
          <cell r="AU268">
            <v>65623.22425687121</v>
          </cell>
          <cell r="AV268">
            <v>61857.521405783787</v>
          </cell>
          <cell r="AW268">
            <v>64742.842537397351</v>
          </cell>
          <cell r="AX268">
            <v>69724.038190770429</v>
          </cell>
          <cell r="AY268">
            <v>71680.894547246513</v>
          </cell>
          <cell r="AZ268">
            <v>73031.174330877795</v>
          </cell>
          <cell r="BA268">
            <v>77654.839589108553</v>
          </cell>
          <cell r="BB268">
            <v>83541.037987459975</v>
          </cell>
          <cell r="BC268">
            <v>84235.946314881658</v>
          </cell>
          <cell r="BD268">
            <v>82087.12913420242</v>
          </cell>
          <cell r="BE268">
            <v>78106.948772538162</v>
          </cell>
          <cell r="BF268">
            <v>71993.573132582271</v>
          </cell>
          <cell r="BG268">
            <v>65916.820878605096</v>
          </cell>
        </row>
        <row r="269">
          <cell r="AJ269">
            <v>57197.550959687484</v>
          </cell>
          <cell r="AK269">
            <v>54187.78947757787</v>
          </cell>
          <cell r="AL269">
            <v>51593.916624533274</v>
          </cell>
          <cell r="AM269">
            <v>50002.338964871378</v>
          </cell>
          <cell r="AN269">
            <v>49491.643243748309</v>
          </cell>
          <cell r="AO269">
            <v>49793.754852521888</v>
          </cell>
          <cell r="AP269">
            <v>49173.224042728631</v>
          </cell>
          <cell r="AQ269">
            <v>52108.842648189617</v>
          </cell>
          <cell r="AR269">
            <v>56281.188031871468</v>
          </cell>
          <cell r="AS269">
            <v>58471.585176079672</v>
          </cell>
          <cell r="AT269">
            <v>60959.882003129962</v>
          </cell>
          <cell r="AU269">
            <v>62630.255611285902</v>
          </cell>
          <cell r="AV269">
            <v>61330.555028282026</v>
          </cell>
          <cell r="AW269">
            <v>60857.407318869758</v>
          </cell>
          <cell r="AX269">
            <v>62268.693672442751</v>
          </cell>
          <cell r="AY269">
            <v>63449.106317939331</v>
          </cell>
          <cell r="AZ269">
            <v>65255.460706725455</v>
          </cell>
          <cell r="BA269">
            <v>72145.208225255788</v>
          </cell>
          <cell r="BB269">
            <v>80853.460116239992</v>
          </cell>
          <cell r="BC269">
            <v>82071.263306947367</v>
          </cell>
          <cell r="BD269">
            <v>80092.855914734857</v>
          </cell>
          <cell r="BE269">
            <v>77267.901931513275</v>
          </cell>
          <cell r="BF269">
            <v>72995.642021363863</v>
          </cell>
          <cell r="BG269">
            <v>68495.073031635897</v>
          </cell>
        </row>
        <row r="270">
          <cell r="AJ270">
            <v>59477.9946853191</v>
          </cell>
          <cell r="AK270">
            <v>56197.444038464666</v>
          </cell>
          <cell r="AL270">
            <v>53485.541585147614</v>
          </cell>
          <cell r="AM270">
            <v>51558.075293194088</v>
          </cell>
          <cell r="AN270">
            <v>50493.563961710162</v>
          </cell>
          <cell r="AO270">
            <v>49883.582488783148</v>
          </cell>
          <cell r="AP270">
            <v>47480.497784465566</v>
          </cell>
          <cell r="AQ270">
            <v>47972.190256483227</v>
          </cell>
          <cell r="AR270">
            <v>49680.102906552056</v>
          </cell>
          <cell r="AS270">
            <v>50735.071999914762</v>
          </cell>
          <cell r="AT270">
            <v>52581.680692312395</v>
          </cell>
          <cell r="AU270">
            <v>54734.514950734541</v>
          </cell>
          <cell r="AV270">
            <v>56328.100984755962</v>
          </cell>
          <cell r="AW270">
            <v>57150.897035986498</v>
          </cell>
          <cell r="AX270">
            <v>58216.316845946123</v>
          </cell>
          <cell r="AY270">
            <v>60095.820538678905</v>
          </cell>
          <cell r="AZ270">
            <v>61615.091455868009</v>
          </cell>
          <cell r="BA270">
            <v>68590.4440556427</v>
          </cell>
          <cell r="BB270">
            <v>77622.961395086779</v>
          </cell>
          <cell r="BC270">
            <v>80410.663546544412</v>
          </cell>
          <cell r="BD270">
            <v>80685.098736060885</v>
          </cell>
          <cell r="BE270">
            <v>78911.690240807467</v>
          </cell>
          <cell r="BF270">
            <v>74092.37794350386</v>
          </cell>
          <cell r="BG270">
            <v>67954.029152714429</v>
          </cell>
        </row>
        <row r="271">
          <cell r="AJ271">
            <v>59678.753403946495</v>
          </cell>
          <cell r="AK271">
            <v>56334.54608606438</v>
          </cell>
          <cell r="AL271">
            <v>53599.373685047634</v>
          </cell>
          <cell r="AM271">
            <v>51861.525165068328</v>
          </cell>
          <cell r="AN271">
            <v>50612.124155229627</v>
          </cell>
          <cell r="AO271">
            <v>49948.002368492882</v>
          </cell>
          <cell r="AP271">
            <v>47504.245925156909</v>
          </cell>
          <cell r="AQ271">
            <v>47906.985000204433</v>
          </cell>
          <cell r="AR271">
            <v>49634.278717219655</v>
          </cell>
          <cell r="AS271">
            <v>50685.976463824903</v>
          </cell>
          <cell r="AT271">
            <v>52249.20988947463</v>
          </cell>
          <cell r="AU271">
            <v>54253.392631154355</v>
          </cell>
          <cell r="AV271">
            <v>55804.76784142929</v>
          </cell>
          <cell r="AW271">
            <v>56603.689078328309</v>
          </cell>
          <cell r="AX271">
            <v>57663.304068727019</v>
          </cell>
          <cell r="AY271">
            <v>59579.669790749998</v>
          </cell>
          <cell r="AZ271">
            <v>61187.004222587035</v>
          </cell>
          <cell r="BA271">
            <v>68236.07771410112</v>
          </cell>
          <cell r="BB271">
            <v>77157.666946846148</v>
          </cell>
          <cell r="BC271">
            <v>79909.30827978767</v>
          </cell>
          <cell r="BD271">
            <v>80156.977329135669</v>
          </cell>
          <cell r="BE271">
            <v>78439.121558779923</v>
          </cell>
          <cell r="BF271">
            <v>73621.842373401072</v>
          </cell>
          <cell r="BG271">
            <v>67480.87777194209</v>
          </cell>
        </row>
        <row r="272">
          <cell r="AJ272">
            <v>54411.659013436729</v>
          </cell>
          <cell r="AK272">
            <v>51406.818105162434</v>
          </cell>
          <cell r="AL272">
            <v>49112.67144712725</v>
          </cell>
          <cell r="AM272">
            <v>47653.240117546571</v>
          </cell>
          <cell r="AN272">
            <v>47699.716174295281</v>
          </cell>
          <cell r="AO272">
            <v>48946.92869064671</v>
          </cell>
          <cell r="AP272">
            <v>48973.941560278698</v>
          </cell>
          <cell r="AQ272">
            <v>52648.658298669143</v>
          </cell>
          <cell r="AR272">
            <v>56942.390033345284</v>
          </cell>
          <cell r="AS272">
            <v>58452.324266509539</v>
          </cell>
          <cell r="AT272">
            <v>60796.05481321743</v>
          </cell>
          <cell r="AU272">
            <v>63265.684689234426</v>
          </cell>
          <cell r="AV272">
            <v>60289.026163236565</v>
          </cell>
          <cell r="AW272">
            <v>63040.291866879408</v>
          </cell>
          <cell r="AX272">
            <v>67950.230208376481</v>
          </cell>
          <cell r="AY272">
            <v>69223.285830946799</v>
          </cell>
          <cell r="AZ272">
            <v>69804.453020975488</v>
          </cell>
          <cell r="BA272">
            <v>75598.362460068282</v>
          </cell>
          <cell r="BB272">
            <v>80887.34730174749</v>
          </cell>
          <cell r="BC272">
            <v>81070.680898485865</v>
          </cell>
          <cell r="BD272">
            <v>78911.922601068451</v>
          </cell>
          <cell r="BE272">
            <v>75329.438560838957</v>
          </cell>
          <cell r="BF272">
            <v>69777.984147363255</v>
          </cell>
          <cell r="BG272">
            <v>63524.192434835633</v>
          </cell>
        </row>
        <row r="273">
          <cell r="AJ273">
            <v>53167.316545536341</v>
          </cell>
          <cell r="AK273">
            <v>50029.523587251169</v>
          </cell>
          <cell r="AL273">
            <v>47565.351257897652</v>
          </cell>
          <cell r="AM273">
            <v>45933.079365570353</v>
          </cell>
          <cell r="AN273">
            <v>45371.679088340497</v>
          </cell>
          <cell r="AO273">
            <v>45346.661526063624</v>
          </cell>
          <cell r="AP273">
            <v>44394.661183358468</v>
          </cell>
          <cell r="AQ273">
            <v>46571.834769673696</v>
          </cell>
          <cell r="AR273">
            <v>50423.167412282193</v>
          </cell>
          <cell r="AS273">
            <v>51913.407756773078</v>
          </cell>
          <cell r="AT273">
            <v>54093.601441463994</v>
          </cell>
          <cell r="AU273">
            <v>55715.214451649248</v>
          </cell>
          <cell r="AV273">
            <v>54876.740081553769</v>
          </cell>
          <cell r="AW273">
            <v>54569.620283119482</v>
          </cell>
          <cell r="AX273">
            <v>55557.930368534806</v>
          </cell>
          <cell r="AY273">
            <v>56743.051808907549</v>
          </cell>
          <cell r="AZ273">
            <v>58558.921520781092</v>
          </cell>
          <cell r="BA273">
            <v>66801.08235549918</v>
          </cell>
          <cell r="BB273">
            <v>75240.495869891587</v>
          </cell>
          <cell r="BC273">
            <v>75161.159854703816</v>
          </cell>
          <cell r="BD273">
            <v>73389.784322057181</v>
          </cell>
          <cell r="BE273">
            <v>70537.920116146372</v>
          </cell>
          <cell r="BF273">
            <v>66839.362458307776</v>
          </cell>
          <cell r="BG273">
            <v>62305.900777034789</v>
          </cell>
        </row>
        <row r="274">
          <cell r="AJ274">
            <v>53929.554033157212</v>
          </cell>
          <cell r="AK274">
            <v>51132.214039104278</v>
          </cell>
          <cell r="AL274">
            <v>48806.185457981599</v>
          </cell>
          <cell r="AM274">
            <v>47078.202066985323</v>
          </cell>
          <cell r="AN274">
            <v>46419.170987383819</v>
          </cell>
          <cell r="AO274">
            <v>45340.310083248696</v>
          </cell>
          <cell r="AP274">
            <v>43952.389404054964</v>
          </cell>
          <cell r="AQ274">
            <v>44130.868332926017</v>
          </cell>
          <cell r="AR274">
            <v>44587.941788025557</v>
          </cell>
          <cell r="AS274">
            <v>45621.789914223773</v>
          </cell>
          <cell r="AT274">
            <v>47342.677621342176</v>
          </cell>
          <cell r="AU274">
            <v>48915.438624040798</v>
          </cell>
          <cell r="AV274">
            <v>50101.103036448359</v>
          </cell>
          <cell r="AW274">
            <v>50880.477904708227</v>
          </cell>
          <cell r="AX274">
            <v>51902.591278576634</v>
          </cell>
          <cell r="AY274">
            <v>53430.8421571445</v>
          </cell>
          <cell r="AZ274">
            <v>55624.543539329061</v>
          </cell>
          <cell r="BA274">
            <v>63859.349782494224</v>
          </cell>
          <cell r="BB274">
            <v>71436.659118123032</v>
          </cell>
          <cell r="BC274">
            <v>73542.921089898766</v>
          </cell>
          <cell r="BD274">
            <v>73770.5606206886</v>
          </cell>
          <cell r="BE274">
            <v>72735.040411998139</v>
          </cell>
          <cell r="BF274">
            <v>68368.271024026893</v>
          </cell>
          <cell r="BG274">
            <v>62552.559951305768</v>
          </cell>
        </row>
        <row r="275">
          <cell r="AJ275">
            <v>53685.906786808409</v>
          </cell>
          <cell r="AK275">
            <v>50890.720244638396</v>
          </cell>
          <cell r="AL275">
            <v>48488.348627424777</v>
          </cell>
          <cell r="AM275">
            <v>46811.329208710886</v>
          </cell>
          <cell r="AN275">
            <v>46123.935901074758</v>
          </cell>
          <cell r="AO275">
            <v>45118.083349453067</v>
          </cell>
          <cell r="AP275">
            <v>43763.012311997067</v>
          </cell>
          <cell r="AQ275">
            <v>44011.513262314482</v>
          </cell>
          <cell r="AR275">
            <v>44595.29519283757</v>
          </cell>
          <cell r="AS275">
            <v>45792.001284523583</v>
          </cell>
          <cell r="AT275">
            <v>47371.559211301501</v>
          </cell>
          <cell r="AU275">
            <v>48848.687949351901</v>
          </cell>
          <cell r="AV275">
            <v>49923.402087173374</v>
          </cell>
          <cell r="AW275">
            <v>50686.379052712902</v>
          </cell>
          <cell r="AX275">
            <v>51726.923441226405</v>
          </cell>
          <cell r="AY275">
            <v>53363.891971472338</v>
          </cell>
          <cell r="AZ275">
            <v>55662.988989121404</v>
          </cell>
          <cell r="BA275">
            <v>63998.674952478963</v>
          </cell>
          <cell r="BB275">
            <v>71574.058848777146</v>
          </cell>
          <cell r="BC275">
            <v>73583.614996804172</v>
          </cell>
          <cell r="BD275">
            <v>73766.469062111035</v>
          </cell>
          <cell r="BE275">
            <v>72525.085187094228</v>
          </cell>
          <cell r="BF275">
            <v>67897.288929342511</v>
          </cell>
          <cell r="BG275">
            <v>62003.322048563808</v>
          </cell>
        </row>
        <row r="276">
          <cell r="AJ276">
            <v>52850.086014756242</v>
          </cell>
          <cell r="AK276">
            <v>50132.687221515545</v>
          </cell>
          <cell r="AL276">
            <v>47950.638955159309</v>
          </cell>
          <cell r="AM276">
            <v>46468.392247389835</v>
          </cell>
          <cell r="AN276">
            <v>46585.303273356658</v>
          </cell>
          <cell r="AO276">
            <v>47872.48425974408</v>
          </cell>
          <cell r="AP276">
            <v>48230.287620259143</v>
          </cell>
          <cell r="AQ276">
            <v>51964.624086095275</v>
          </cell>
          <cell r="AR276">
            <v>56696.697831533609</v>
          </cell>
          <cell r="AS276">
            <v>58412.221048294872</v>
          </cell>
          <cell r="AT276">
            <v>61442.221912063149</v>
          </cell>
          <cell r="AU276">
            <v>63482.304338800153</v>
          </cell>
          <cell r="AV276">
            <v>60302.615707888719</v>
          </cell>
          <cell r="AW276">
            <v>62727.946088328717</v>
          </cell>
          <cell r="AX276">
            <v>67326.876211685565</v>
          </cell>
          <cell r="AY276">
            <v>68620.071832868751</v>
          </cell>
          <cell r="AZ276">
            <v>69189.521279124674</v>
          </cell>
          <cell r="BA276">
            <v>74002.510574622254</v>
          </cell>
          <cell r="BB276">
            <v>79367.946878422255</v>
          </cell>
          <cell r="BC276">
            <v>79542.33390143147</v>
          </cell>
          <cell r="BD276">
            <v>77274.301598624079</v>
          </cell>
          <cell r="BE276">
            <v>73301.418987666519</v>
          </cell>
          <cell r="BF276">
            <v>67659.540768788633</v>
          </cell>
          <cell r="BG276">
            <v>61878.296144315842</v>
          </cell>
        </row>
        <row r="277">
          <cell r="AJ277">
            <v>54481.009013510353</v>
          </cell>
          <cell r="AK277">
            <v>50687.932736219584</v>
          </cell>
          <cell r="AL277">
            <v>48237.513941944002</v>
          </cell>
          <cell r="AM277">
            <v>46574.798104420137</v>
          </cell>
          <cell r="AN277">
            <v>46116.727947461361</v>
          </cell>
          <cell r="AO277">
            <v>45490.814895319956</v>
          </cell>
          <cell r="AP277">
            <v>44987.535810228539</v>
          </cell>
          <cell r="AQ277">
            <v>48154.797042291888</v>
          </cell>
          <cell r="AR277">
            <v>52766.374416434897</v>
          </cell>
          <cell r="AS277">
            <v>55100.599357375162</v>
          </cell>
          <cell r="AT277">
            <v>56946.789756549515</v>
          </cell>
          <cell r="AU277">
            <v>58494.067351590602</v>
          </cell>
          <cell r="AV277">
            <v>56943.568164061457</v>
          </cell>
          <cell r="AW277">
            <v>56535.892958080316</v>
          </cell>
          <cell r="AX277">
            <v>58093.483477238049</v>
          </cell>
          <cell r="AY277">
            <v>59333.912885870908</v>
          </cell>
          <cell r="AZ277">
            <v>60917.176390733955</v>
          </cell>
          <cell r="BA277">
            <v>69068.87618087171</v>
          </cell>
          <cell r="BB277">
            <v>77318.102757356901</v>
          </cell>
          <cell r="BC277">
            <v>77938.731960564677</v>
          </cell>
          <cell r="BD277">
            <v>75775.218295243234</v>
          </cell>
          <cell r="BE277">
            <v>72551.763929989786</v>
          </cell>
          <cell r="BF277">
            <v>68894.323398840614</v>
          </cell>
          <cell r="BG277">
            <v>64408.070246889278</v>
          </cell>
        </row>
        <row r="278">
          <cell r="AJ278">
            <v>55148.870292134692</v>
          </cell>
          <cell r="AK278">
            <v>52316.560095912035</v>
          </cell>
          <cell r="AL278">
            <v>49987.186074305682</v>
          </cell>
          <cell r="AM278">
            <v>48226.465160157481</v>
          </cell>
          <cell r="AN278">
            <v>47476.261578898819</v>
          </cell>
          <cell r="AO278">
            <v>45831.139296997455</v>
          </cell>
          <cell r="AP278">
            <v>44295.235403501385</v>
          </cell>
          <cell r="AQ278">
            <v>44738.450879996257</v>
          </cell>
          <cell r="AR278">
            <v>47069.522159812732</v>
          </cell>
          <cell r="AS278">
            <v>48881.963539073062</v>
          </cell>
          <cell r="AT278">
            <v>50266.807286585572</v>
          </cell>
          <cell r="AU278">
            <v>51562.855748198519</v>
          </cell>
          <cell r="AV278">
            <v>52819.456298310892</v>
          </cell>
          <cell r="AW278">
            <v>53577.84613788654</v>
          </cell>
          <cell r="AX278">
            <v>54308.069200398211</v>
          </cell>
          <cell r="AY278">
            <v>55998.229096250034</v>
          </cell>
          <cell r="AZ278">
            <v>57301.571196269229</v>
          </cell>
          <cell r="BA278">
            <v>65603.694971182689</v>
          </cell>
          <cell r="BB278">
            <v>73924.776522040425</v>
          </cell>
          <cell r="BC278">
            <v>75570.723569122303</v>
          </cell>
          <cell r="BD278">
            <v>75482.987620195592</v>
          </cell>
          <cell r="BE278">
            <v>73392.135099478008</v>
          </cell>
          <cell r="BF278">
            <v>68529.736065122532</v>
          </cell>
          <cell r="BG278">
            <v>61815.462256424129</v>
          </cell>
        </row>
        <row r="279">
          <cell r="AJ279">
            <v>55104.990543178938</v>
          </cell>
          <cell r="AK279">
            <v>52272.499837019037</v>
          </cell>
          <cell r="AL279">
            <v>49949.858519387853</v>
          </cell>
          <cell r="AM279">
            <v>48195.962147603939</v>
          </cell>
          <cell r="AN279">
            <v>47349.211084646799</v>
          </cell>
          <cell r="AO279">
            <v>45453.550510371249</v>
          </cell>
          <cell r="AP279">
            <v>43825.725889884015</v>
          </cell>
          <cell r="AQ279">
            <v>44090.27453059757</v>
          </cell>
          <cell r="AR279">
            <v>46248.718140427947</v>
          </cell>
          <cell r="AS279">
            <v>48068.778939144657</v>
          </cell>
          <cell r="AT279">
            <v>49353.718353494121</v>
          </cell>
          <cell r="AU279">
            <v>50570.313941149871</v>
          </cell>
          <cell r="AV279">
            <v>52058.185722966191</v>
          </cell>
          <cell r="AW279">
            <v>52630.897340776981</v>
          </cell>
          <cell r="AX279">
            <v>53158.271569598408</v>
          </cell>
          <cell r="AY279">
            <v>54876.001983233771</v>
          </cell>
          <cell r="AZ279">
            <v>56367.558944662276</v>
          </cell>
          <cell r="BA279">
            <v>64900.526427744109</v>
          </cell>
          <cell r="BB279">
            <v>73292.51354868841</v>
          </cell>
          <cell r="BC279">
            <v>75039.204141799462</v>
          </cell>
          <cell r="BD279">
            <v>75065.404798525924</v>
          </cell>
          <cell r="BE279">
            <v>73059.369780426845</v>
          </cell>
          <cell r="BF279">
            <v>68305.444550992092</v>
          </cell>
          <cell r="BG279">
            <v>61715.393247528846</v>
          </cell>
        </row>
        <row r="280">
          <cell r="AJ280">
            <v>55009.196824978244</v>
          </cell>
          <cell r="AK280">
            <v>51979.994917431766</v>
          </cell>
          <cell r="AL280">
            <v>49813.174379595643</v>
          </cell>
          <cell r="AM280">
            <v>47947.93450649811</v>
          </cell>
          <cell r="AN280">
            <v>47929.046459282676</v>
          </cell>
          <cell r="AO280">
            <v>48346.090913637971</v>
          </cell>
          <cell r="AP280">
            <v>48408.328206423939</v>
          </cell>
          <cell r="AQ280">
            <v>52361.252309563846</v>
          </cell>
          <cell r="AR280">
            <v>57011.279649093842</v>
          </cell>
          <cell r="AS280">
            <v>59115.723841270687</v>
          </cell>
          <cell r="AT280">
            <v>62398.323853952425</v>
          </cell>
          <cell r="AU280">
            <v>64722.96022102912</v>
          </cell>
          <cell r="AV280">
            <v>62137.499424651738</v>
          </cell>
          <cell r="AW280">
            <v>64316.016081893627</v>
          </cell>
          <cell r="AX280">
            <v>68839.721001365397</v>
          </cell>
          <cell r="AY280">
            <v>70012.084587203528</v>
          </cell>
          <cell r="AZ280">
            <v>71051.339322212239</v>
          </cell>
          <cell r="BA280">
            <v>75544.580186247171</v>
          </cell>
          <cell r="BB280">
            <v>80964.394799135902</v>
          </cell>
          <cell r="BC280">
            <v>81875.291674261491</v>
          </cell>
          <cell r="BD280">
            <v>79385.303460967596</v>
          </cell>
          <cell r="BE280">
            <v>75558.137174871285</v>
          </cell>
          <cell r="BF280">
            <v>69539.120078582608</v>
          </cell>
          <cell r="BG280">
            <v>63440.473355121132</v>
          </cell>
        </row>
        <row r="281">
          <cell r="AJ281">
            <v>54637.280588139482</v>
          </cell>
          <cell r="AK281">
            <v>51707.023940459294</v>
          </cell>
          <cell r="AL281">
            <v>49572.150075575075</v>
          </cell>
          <cell r="AM281">
            <v>48133.343995027673</v>
          </cell>
          <cell r="AN281">
            <v>47692.003779343795</v>
          </cell>
          <cell r="AO281">
            <v>46745.684758091542</v>
          </cell>
          <cell r="AP281">
            <v>46355.670848284608</v>
          </cell>
          <cell r="AQ281">
            <v>49699.348969822873</v>
          </cell>
          <cell r="AR281">
            <v>54200.069713950317</v>
          </cell>
          <cell r="AS281">
            <v>56754.289871636647</v>
          </cell>
          <cell r="AT281">
            <v>59366.492509945601</v>
          </cell>
          <cell r="AU281">
            <v>61259.987449765053</v>
          </cell>
          <cell r="AV281">
            <v>60089.777139790152</v>
          </cell>
          <cell r="AW281">
            <v>59070.980189430731</v>
          </cell>
          <cell r="AX281">
            <v>60162.227571487369</v>
          </cell>
          <cell r="AY281">
            <v>61240.184531931038</v>
          </cell>
          <cell r="AZ281">
            <v>62159.596205242895</v>
          </cell>
          <cell r="BA281">
            <v>69311.67662360883</v>
          </cell>
          <cell r="BB281">
            <v>75717.638433752756</v>
          </cell>
          <cell r="BC281">
            <v>77230.880613860107</v>
          </cell>
          <cell r="BD281">
            <v>75397.188868647849</v>
          </cell>
          <cell r="BE281">
            <v>71711.974383603345</v>
          </cell>
          <cell r="BF281">
            <v>67607.159769289909</v>
          </cell>
          <cell r="BG281">
            <v>63259.709842690922</v>
          </cell>
        </row>
        <row r="282">
          <cell r="AJ282">
            <v>56563.928631792762</v>
          </cell>
          <cell r="AK282">
            <v>53397.344614717425</v>
          </cell>
          <cell r="AL282">
            <v>50803.997329411293</v>
          </cell>
          <cell r="AM282">
            <v>49142.154384356749</v>
          </cell>
          <cell r="AN282">
            <v>48445.683658578164</v>
          </cell>
          <cell r="AO282">
            <v>46427.007140629001</v>
          </cell>
          <cell r="AP282">
            <v>44635.735686034874</v>
          </cell>
          <cell r="AQ282">
            <v>44694.372652384569</v>
          </cell>
          <cell r="AR282">
            <v>46358.301372592723</v>
          </cell>
          <cell r="AS282">
            <v>48143.667172918154</v>
          </cell>
          <cell r="AT282">
            <v>49696.758718077559</v>
          </cell>
          <cell r="AU282">
            <v>51250.84391908798</v>
          </cell>
          <cell r="AV282">
            <v>52941.352002797168</v>
          </cell>
          <cell r="AW282">
            <v>53433.467186060952</v>
          </cell>
          <cell r="AX282">
            <v>54660.334371965633</v>
          </cell>
          <cell r="AY282">
            <v>56095.630912539375</v>
          </cell>
          <cell r="AZ282">
            <v>57666.976277529167</v>
          </cell>
          <cell r="BA282">
            <v>64690.507341913406</v>
          </cell>
          <cell r="BB282">
            <v>72999.478041079376</v>
          </cell>
          <cell r="BC282">
            <v>76623.469574461677</v>
          </cell>
          <cell r="BD282">
            <v>75984.772751025652</v>
          </cell>
          <cell r="BE282">
            <v>74070.896692405309</v>
          </cell>
          <cell r="BF282">
            <v>69988.581726031378</v>
          </cell>
          <cell r="BG282">
            <v>64907.744050939436</v>
          </cell>
        </row>
        <row r="283">
          <cell r="AJ283">
            <v>56885.787350425067</v>
          </cell>
          <cell r="AK283">
            <v>53682.746659708078</v>
          </cell>
          <cell r="AL283">
            <v>51072.250930363596</v>
          </cell>
          <cell r="AM283">
            <v>49377.447504136166</v>
          </cell>
          <cell r="AN283">
            <v>48636.473161723996</v>
          </cell>
          <cell r="AO283">
            <v>46655.884240533684</v>
          </cell>
          <cell r="AP283">
            <v>44815.944773385279</v>
          </cell>
          <cell r="AQ283">
            <v>44787.138925923908</v>
          </cell>
          <cell r="AR283">
            <v>46359.925962027941</v>
          </cell>
          <cell r="AS283">
            <v>48027.957136302583</v>
          </cell>
          <cell r="AT283">
            <v>49406.733085220592</v>
          </cell>
          <cell r="AU283">
            <v>50842.729952021204</v>
          </cell>
          <cell r="AV283">
            <v>52498.288778406801</v>
          </cell>
          <cell r="AW283">
            <v>53023.731796399967</v>
          </cell>
          <cell r="AX283">
            <v>54316.846129273872</v>
          </cell>
          <cell r="AY283">
            <v>55837.64421012305</v>
          </cell>
          <cell r="AZ283">
            <v>57532.676884218272</v>
          </cell>
          <cell r="BA283">
            <v>64617.502156240982</v>
          </cell>
          <cell r="BB283">
            <v>72928.645308335908</v>
          </cell>
          <cell r="BC283">
            <v>76487.475921213467</v>
          </cell>
          <cell r="BD283">
            <v>75925.169636483493</v>
          </cell>
          <cell r="BE283">
            <v>74088.881182468802</v>
          </cell>
          <cell r="BF283">
            <v>70038.392968188215</v>
          </cell>
          <cell r="BG283">
            <v>65007.319032638035</v>
          </cell>
        </row>
        <row r="284">
          <cell r="AJ284">
            <v>53722.365692183317</v>
          </cell>
          <cell r="AK284">
            <v>50678.668649842104</v>
          </cell>
          <cell r="AL284">
            <v>48305.43200081087</v>
          </cell>
          <cell r="AM284">
            <v>46719.637996476893</v>
          </cell>
          <cell r="AN284">
            <v>46349.937789817806</v>
          </cell>
          <cell r="AO284">
            <v>47142.449570068638</v>
          </cell>
          <cell r="AP284">
            <v>46871.048789798071</v>
          </cell>
          <cell r="AQ284">
            <v>50380.122210627313</v>
          </cell>
          <cell r="AR284">
            <v>54703.266367758806</v>
          </cell>
          <cell r="AS284">
            <v>56742.43032918618</v>
          </cell>
          <cell r="AT284">
            <v>60077.258493017151</v>
          </cell>
          <cell r="AU284">
            <v>62991.259927226682</v>
          </cell>
          <cell r="AV284">
            <v>60662.083504882779</v>
          </cell>
          <cell r="AW284">
            <v>63846.478351809776</v>
          </cell>
          <cell r="AX284">
            <v>69175.876628460072</v>
          </cell>
          <cell r="AY284">
            <v>70348.956199191642</v>
          </cell>
          <cell r="AZ284">
            <v>70854.41969604326</v>
          </cell>
          <cell r="BA284">
            <v>74258.778367354273</v>
          </cell>
          <cell r="BB284">
            <v>78421.496336655749</v>
          </cell>
          <cell r="BC284">
            <v>80311.887588047262</v>
          </cell>
          <cell r="BD284">
            <v>78514.401920202625</v>
          </cell>
          <cell r="BE284">
            <v>74918.955977612219</v>
          </cell>
          <cell r="BF284">
            <v>68940.049443620315</v>
          </cell>
          <cell r="BG284">
            <v>62944.648446473249</v>
          </cell>
        </row>
        <row r="285">
          <cell r="AJ285">
            <v>54521.461950298595</v>
          </cell>
          <cell r="AK285">
            <v>51040.800912404047</v>
          </cell>
          <cell r="AL285">
            <v>48412.990186546842</v>
          </cell>
          <cell r="AM285">
            <v>46983.105453196134</v>
          </cell>
          <cell r="AN285">
            <v>46005.237308377211</v>
          </cell>
          <cell r="AO285">
            <v>45389.259088920589</v>
          </cell>
          <cell r="AP285">
            <v>44706.041436834093</v>
          </cell>
          <cell r="AQ285">
            <v>46846.371119209929</v>
          </cell>
          <cell r="AR285">
            <v>51037.20521317151</v>
          </cell>
          <cell r="AS285">
            <v>53576.256452579561</v>
          </cell>
          <cell r="AT285">
            <v>56585.163185293393</v>
          </cell>
          <cell r="AU285">
            <v>58104.759870225535</v>
          </cell>
          <cell r="AV285">
            <v>57084.578913302154</v>
          </cell>
          <cell r="AW285">
            <v>56637.143362151422</v>
          </cell>
          <cell r="AX285">
            <v>57362.865273074247</v>
          </cell>
          <cell r="AY285">
            <v>57486.635517386312</v>
          </cell>
          <cell r="AZ285">
            <v>58499.418615459064</v>
          </cell>
          <cell r="BA285">
            <v>66129.149162769303</v>
          </cell>
          <cell r="BB285">
            <v>70637.665078922451</v>
          </cell>
          <cell r="BC285">
            <v>71765.758415940087</v>
          </cell>
          <cell r="BD285">
            <v>69485.593350899886</v>
          </cell>
          <cell r="BE285">
            <v>66657.578241230149</v>
          </cell>
          <cell r="BF285">
            <v>63205.799115444308</v>
          </cell>
          <cell r="BG285">
            <v>59011.142885270914</v>
          </cell>
        </row>
        <row r="286">
          <cell r="AJ286">
            <v>48936.059462065714</v>
          </cell>
          <cell r="AK286">
            <v>46492.907152023552</v>
          </cell>
          <cell r="AL286">
            <v>44134.622806665429</v>
          </cell>
          <cell r="AM286">
            <v>42839.006229076731</v>
          </cell>
          <cell r="AN286">
            <v>42339.335912212497</v>
          </cell>
          <cell r="AO286">
            <v>41121.778808306124</v>
          </cell>
          <cell r="AP286">
            <v>39598.718203111377</v>
          </cell>
          <cell r="AQ286">
            <v>39449.583227464442</v>
          </cell>
          <cell r="AR286">
            <v>40601.333639156299</v>
          </cell>
          <cell r="AS286">
            <v>41978.037071406339</v>
          </cell>
          <cell r="AT286">
            <v>43890.670227685812</v>
          </cell>
          <cell r="AU286">
            <v>45808.062388496</v>
          </cell>
          <cell r="AV286">
            <v>47649.639777924349</v>
          </cell>
          <cell r="AW286">
            <v>48773.464307384129</v>
          </cell>
          <cell r="AX286">
            <v>50035.019784212782</v>
          </cell>
          <cell r="AY286">
            <v>51920.495952080215</v>
          </cell>
          <cell r="AZ286">
            <v>53500.368114692086</v>
          </cell>
          <cell r="BA286">
            <v>60361.694116358354</v>
          </cell>
          <cell r="BB286">
            <v>68568.949173312139</v>
          </cell>
          <cell r="BC286">
            <v>72546.556657008477</v>
          </cell>
          <cell r="BD286">
            <v>71435.620466118984</v>
          </cell>
          <cell r="BE286">
            <v>68476.508072539422</v>
          </cell>
          <cell r="BF286">
            <v>63058.074243292896</v>
          </cell>
          <cell r="BG286">
            <v>57620.443469929087</v>
          </cell>
        </row>
        <row r="287">
          <cell r="AJ287">
            <v>48944.467424932169</v>
          </cell>
          <cell r="AK287">
            <v>46501.387952233104</v>
          </cell>
          <cell r="AL287">
            <v>44164.726797252421</v>
          </cell>
          <cell r="AM287">
            <v>42849.827324788464</v>
          </cell>
          <cell r="AN287">
            <v>42308.712559700798</v>
          </cell>
          <cell r="AO287">
            <v>41047.183868449545</v>
          </cell>
          <cell r="AP287">
            <v>39491.593472458495</v>
          </cell>
          <cell r="AQ287">
            <v>39262.137908419179</v>
          </cell>
          <cell r="AR287">
            <v>40379.917616657774</v>
          </cell>
          <cell r="AS287">
            <v>41731.226150894225</v>
          </cell>
          <cell r="AT287">
            <v>43558.953133007082</v>
          </cell>
          <cell r="AU287">
            <v>45442.314420384915</v>
          </cell>
          <cell r="AV287">
            <v>47359.797821845641</v>
          </cell>
          <cell r="AW287">
            <v>48504.944691787452</v>
          </cell>
          <cell r="AX287">
            <v>49831.60408598277</v>
          </cell>
          <cell r="AY287">
            <v>51726.808789415445</v>
          </cell>
          <cell r="AZ287">
            <v>53315.199754328918</v>
          </cell>
          <cell r="BA287">
            <v>60210.93981718905</v>
          </cell>
          <cell r="BB287">
            <v>68402.648851652673</v>
          </cell>
          <cell r="BC287">
            <v>72324.089243296519</v>
          </cell>
          <cell r="BD287">
            <v>71284.039621447562</v>
          </cell>
          <cell r="BE287">
            <v>68442.73371322843</v>
          </cell>
          <cell r="BF287">
            <v>63033.68956755969</v>
          </cell>
          <cell r="BG287">
            <v>57607.560760723551</v>
          </cell>
        </row>
        <row r="288">
          <cell r="AJ288">
            <v>54104.324303538444</v>
          </cell>
          <cell r="AK288">
            <v>50742.351681620377</v>
          </cell>
          <cell r="AL288">
            <v>48310.75524043887</v>
          </cell>
          <cell r="AM288">
            <v>46629.765124517769</v>
          </cell>
          <cell r="AN288">
            <v>46221.79564546296</v>
          </cell>
          <cell r="AO288">
            <v>47449.177528224667</v>
          </cell>
          <cell r="AP288">
            <v>47308.493286930927</v>
          </cell>
          <cell r="AQ288">
            <v>50207.041560887919</v>
          </cell>
          <cell r="AR288">
            <v>54607.529442776882</v>
          </cell>
          <cell r="AS288">
            <v>56612.166508420829</v>
          </cell>
          <cell r="AT288">
            <v>60148.203140777907</v>
          </cell>
          <cell r="AU288">
            <v>63736.910147438757</v>
          </cell>
          <cell r="AV288">
            <v>60846.546231243679</v>
          </cell>
          <cell r="AW288">
            <v>63673.784270028948</v>
          </cell>
          <cell r="AX288">
            <v>69189.999901995368</v>
          </cell>
          <cell r="AY288">
            <v>70421.71211056145</v>
          </cell>
          <cell r="AZ288">
            <v>70531.151935494418</v>
          </cell>
          <cell r="BA288">
            <v>75069.470448635257</v>
          </cell>
          <cell r="BB288">
            <v>80683.064159261558</v>
          </cell>
          <cell r="BC288">
            <v>82089.340215308883</v>
          </cell>
          <cell r="BD288">
            <v>80196.924045430234</v>
          </cell>
          <cell r="BE288">
            <v>76296.123781707181</v>
          </cell>
          <cell r="BF288">
            <v>70155.061307599564</v>
          </cell>
          <cell r="BG288">
            <v>64222.83409306383</v>
          </cell>
        </row>
        <row r="289">
          <cell r="AJ289">
            <v>54363.965223696912</v>
          </cell>
          <cell r="AK289">
            <v>51332.24486816454</v>
          </cell>
          <cell r="AL289">
            <v>49041.079549825008</v>
          </cell>
          <cell r="AM289">
            <v>47248.657399104894</v>
          </cell>
          <cell r="AN289">
            <v>45799.577559375219</v>
          </cell>
          <cell r="AO289">
            <v>45028.439185811556</v>
          </cell>
          <cell r="AP289">
            <v>44349.032714753164</v>
          </cell>
          <cell r="AQ289">
            <v>46501.749005393634</v>
          </cell>
          <cell r="AR289">
            <v>50137.334230382548</v>
          </cell>
          <cell r="AS289">
            <v>52674.08855335808</v>
          </cell>
          <cell r="AT289">
            <v>55186.440287197998</v>
          </cell>
          <cell r="AU289">
            <v>55711.120833149995</v>
          </cell>
          <cell r="AV289">
            <v>54674.111957833782</v>
          </cell>
          <cell r="AW289">
            <v>54469.358393015769</v>
          </cell>
          <cell r="AX289">
            <v>56358.947848147807</v>
          </cell>
          <cell r="AY289">
            <v>57835.890526972951</v>
          </cell>
          <cell r="AZ289">
            <v>58911.604553065081</v>
          </cell>
          <cell r="BA289">
            <v>66900.236670112121</v>
          </cell>
          <cell r="BB289">
            <v>75100.3816902502</v>
          </cell>
          <cell r="BC289">
            <v>75460.952354591253</v>
          </cell>
          <cell r="BD289">
            <v>72755.200486740316</v>
          </cell>
          <cell r="BE289">
            <v>69751.690062202862</v>
          </cell>
          <cell r="BF289">
            <v>65593.455003695897</v>
          </cell>
          <cell r="BG289">
            <v>61037.814852738011</v>
          </cell>
        </row>
        <row r="290">
          <cell r="AJ290">
            <v>52817.876655582477</v>
          </cell>
          <cell r="AK290">
            <v>50296.077979276401</v>
          </cell>
          <cell r="AL290">
            <v>47631.827667322432</v>
          </cell>
          <cell r="AM290">
            <v>46177.102764917967</v>
          </cell>
          <cell r="AN290">
            <v>45299.980286687278</v>
          </cell>
          <cell r="AO290">
            <v>44510.986257456039</v>
          </cell>
          <cell r="AP290">
            <v>42760.063560439652</v>
          </cell>
          <cell r="AQ290">
            <v>42645.224290478807</v>
          </cell>
          <cell r="AR290">
            <v>43726.961115408485</v>
          </cell>
          <cell r="AS290">
            <v>45115.376962861039</v>
          </cell>
          <cell r="AT290">
            <v>46890.846339370721</v>
          </cell>
          <cell r="AU290">
            <v>48679.174765372634</v>
          </cell>
          <cell r="AV290">
            <v>49948.777010464051</v>
          </cell>
          <cell r="AW290">
            <v>50770.411886851274</v>
          </cell>
          <cell r="AX290">
            <v>52005.118650959776</v>
          </cell>
          <cell r="AY290">
            <v>53430.934801949996</v>
          </cell>
          <cell r="AZ290">
            <v>55049.107588596402</v>
          </cell>
          <cell r="BA290">
            <v>63113.459735501034</v>
          </cell>
          <cell r="BB290">
            <v>72217.430709627268</v>
          </cell>
          <cell r="BC290">
            <v>75665.642417883995</v>
          </cell>
          <cell r="BD290">
            <v>75508.229354412222</v>
          </cell>
          <cell r="BE290">
            <v>73292.294279696958</v>
          </cell>
          <cell r="BF290">
            <v>68097.00632888003</v>
          </cell>
          <cell r="BG290">
            <v>62189.673522325385</v>
          </cell>
        </row>
        <row r="291">
          <cell r="AJ291">
            <v>53195.259597543394</v>
          </cell>
          <cell r="AK291">
            <v>50514.064312967268</v>
          </cell>
          <cell r="AL291">
            <v>47844.363867644868</v>
          </cell>
          <cell r="AM291">
            <v>46350.933834485695</v>
          </cell>
          <cell r="AN291">
            <v>45450.177221839818</v>
          </cell>
          <cell r="AO291">
            <v>44637.80240547374</v>
          </cell>
          <cell r="AP291">
            <v>42812.186596529631</v>
          </cell>
          <cell r="AQ291">
            <v>42631.657543616318</v>
          </cell>
          <cell r="AR291">
            <v>43614.87711174284</v>
          </cell>
          <cell r="AS291">
            <v>44835.776570590286</v>
          </cell>
          <cell r="AT291">
            <v>46609.684694484837</v>
          </cell>
          <cell r="AU291">
            <v>48314.72203523232</v>
          </cell>
          <cell r="AV291">
            <v>49605.203263065174</v>
          </cell>
          <cell r="AW291">
            <v>50409.958876899407</v>
          </cell>
          <cell r="AX291">
            <v>51631.738596028306</v>
          </cell>
          <cell r="AY291">
            <v>53047.091504340271</v>
          </cell>
          <cell r="AZ291">
            <v>54664.621422262804</v>
          </cell>
          <cell r="BA291">
            <v>62868.548919591522</v>
          </cell>
          <cell r="BB291">
            <v>71987.527553237189</v>
          </cell>
          <cell r="BC291">
            <v>75247.552901653631</v>
          </cell>
          <cell r="BD291">
            <v>75055.063907218093</v>
          </cell>
          <cell r="BE291">
            <v>72861.375890558134</v>
          </cell>
          <cell r="BF291">
            <v>67686.070706478407</v>
          </cell>
          <cell r="BG291">
            <v>61882.771793756452</v>
          </cell>
        </row>
        <row r="292">
          <cell r="AJ292">
            <v>52799.833167971308</v>
          </cell>
          <cell r="AK292">
            <v>49638.447573683661</v>
          </cell>
          <cell r="AL292">
            <v>47244.499333178537</v>
          </cell>
          <cell r="AM292">
            <v>45412.312497721548</v>
          </cell>
          <cell r="AN292">
            <v>44937.607080752714</v>
          </cell>
          <cell r="AO292">
            <v>46097.923300634764</v>
          </cell>
          <cell r="AP292">
            <v>45839.994934440219</v>
          </cell>
          <cell r="AQ292">
            <v>48999.471051524801</v>
          </cell>
          <cell r="AR292">
            <v>53844.039989836572</v>
          </cell>
          <cell r="AS292">
            <v>55993.330925832299</v>
          </cell>
          <cell r="AT292">
            <v>58828.278870618946</v>
          </cell>
          <cell r="AU292">
            <v>61966.58041258809</v>
          </cell>
          <cell r="AV292">
            <v>59634.781125625275</v>
          </cell>
          <cell r="AW292">
            <v>62042.672978687238</v>
          </cell>
          <cell r="AX292">
            <v>67028.742160506328</v>
          </cell>
          <cell r="AY292">
            <v>68291.482400355293</v>
          </cell>
          <cell r="AZ292">
            <v>68595.613273859388</v>
          </cell>
          <cell r="BA292">
            <v>73869.187672943721</v>
          </cell>
          <cell r="BB292">
            <v>79431.708801339089</v>
          </cell>
          <cell r="BC292">
            <v>78815.642006909766</v>
          </cell>
          <cell r="BD292">
            <v>76756.451624605805</v>
          </cell>
          <cell r="BE292">
            <v>72795.683173972327</v>
          </cell>
          <cell r="BF292">
            <v>66613.041314891496</v>
          </cell>
          <cell r="BG292">
            <v>60947.304565132225</v>
          </cell>
        </row>
        <row r="293">
          <cell r="AJ293">
            <v>49775.7644725758</v>
          </cell>
          <cell r="AK293">
            <v>46941.712676040719</v>
          </cell>
          <cell r="AL293">
            <v>44741.871681476834</v>
          </cell>
          <cell r="AM293">
            <v>43132.992102024371</v>
          </cell>
          <cell r="AN293">
            <v>42537.51322785682</v>
          </cell>
          <cell r="AO293">
            <v>42065.451829790982</v>
          </cell>
          <cell r="AP293">
            <v>41829.188812568311</v>
          </cell>
          <cell r="AQ293">
            <v>44489.93809707155</v>
          </cell>
          <cell r="AR293">
            <v>48767.137310844832</v>
          </cell>
          <cell r="AS293">
            <v>50421.282983095894</v>
          </cell>
          <cell r="AT293">
            <v>53643.049024932247</v>
          </cell>
          <cell r="AU293">
            <v>55004.94895203576</v>
          </cell>
          <cell r="AV293">
            <v>54668.452620187505</v>
          </cell>
          <cell r="AW293">
            <v>54274.280898457844</v>
          </cell>
          <cell r="AX293">
            <v>55600.28252496248</v>
          </cell>
          <cell r="AY293">
            <v>56342.639799672259</v>
          </cell>
          <cell r="AZ293">
            <v>57211.249222479186</v>
          </cell>
          <cell r="BA293">
            <v>66717.287981775691</v>
          </cell>
          <cell r="BB293">
            <v>75049.490102560987</v>
          </cell>
          <cell r="BC293">
            <v>74498.612886700968</v>
          </cell>
          <cell r="BD293">
            <v>72296.666241802974</v>
          </cell>
          <cell r="BE293">
            <v>69450.384221954198</v>
          </cell>
          <cell r="BF293">
            <v>66360.924753921412</v>
          </cell>
          <cell r="BG293">
            <v>61828.080172873961</v>
          </cell>
        </row>
        <row r="294">
          <cell r="AJ294">
            <v>52550.914747263763</v>
          </cell>
          <cell r="AK294">
            <v>49576.512818560084</v>
          </cell>
          <cell r="AL294">
            <v>46806.884674060464</v>
          </cell>
          <cell r="AM294">
            <v>44928.837241694033</v>
          </cell>
          <cell r="AN294">
            <v>44074.676879491562</v>
          </cell>
          <cell r="AO294">
            <v>42463.353323609277</v>
          </cell>
          <cell r="AP294">
            <v>40382.665779608091</v>
          </cell>
          <cell r="AQ294">
            <v>40721.335467808545</v>
          </cell>
          <cell r="AR294">
            <v>42030.145676114218</v>
          </cell>
          <cell r="AS294">
            <v>44270.72379490114</v>
          </cell>
          <cell r="AT294">
            <v>46323.08362472029</v>
          </cell>
          <cell r="AU294">
            <v>47106.3007603019</v>
          </cell>
          <cell r="AV294">
            <v>48677.195851244142</v>
          </cell>
          <cell r="AW294">
            <v>49355.371520171357</v>
          </cell>
          <cell r="AX294">
            <v>50070.356622884989</v>
          </cell>
          <cell r="AY294">
            <v>51923.667368575596</v>
          </cell>
          <cell r="AZ294">
            <v>53360.119241193061</v>
          </cell>
          <cell r="BA294">
            <v>62459.792380945466</v>
          </cell>
          <cell r="BB294">
            <v>71150.604980196455</v>
          </cell>
          <cell r="BC294">
            <v>72252.729092184352</v>
          </cell>
          <cell r="BD294">
            <v>71718.398844777199</v>
          </cell>
          <cell r="BE294">
            <v>69398.081613524904</v>
          </cell>
          <cell r="BF294">
            <v>64503.691012550647</v>
          </cell>
          <cell r="BG294">
            <v>59073.652655875456</v>
          </cell>
        </row>
        <row r="295"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</row>
        <row r="296">
          <cell r="AJ296">
            <v>50626.231137976283</v>
          </cell>
          <cell r="AK296">
            <v>47637.646027348434</v>
          </cell>
          <cell r="AL296">
            <v>45352.974020361253</v>
          </cell>
          <cell r="AM296">
            <v>43586.001236564174</v>
          </cell>
          <cell r="AN296">
            <v>43403.183828469635</v>
          </cell>
          <cell r="AO296">
            <v>44426.587538362561</v>
          </cell>
          <cell r="AP296">
            <v>44849.966065818939</v>
          </cell>
          <cell r="AQ296">
            <v>48001.784593001212</v>
          </cell>
          <cell r="AR296">
            <v>52443.734123888884</v>
          </cell>
          <cell r="AS296">
            <v>54523.920905527106</v>
          </cell>
          <cell r="AT296">
            <v>57199.969304974482</v>
          </cell>
          <cell r="AU296">
            <v>59992.953697381148</v>
          </cell>
          <cell r="AV296">
            <v>56952.997900196926</v>
          </cell>
          <cell r="AW296">
            <v>59151.459538258721</v>
          </cell>
          <cell r="AX296">
            <v>63994.843356692196</v>
          </cell>
          <cell r="AY296">
            <v>65936.458854630968</v>
          </cell>
          <cell r="AZ296">
            <v>67101.829633409434</v>
          </cell>
          <cell r="BA296">
            <v>74348.139262684592</v>
          </cell>
          <cell r="BB296">
            <v>79629.514837625626</v>
          </cell>
          <cell r="BC296">
            <v>77923.600284854663</v>
          </cell>
          <cell r="BD296">
            <v>75389.124353772233</v>
          </cell>
          <cell r="BE296">
            <v>71398.927908746584</v>
          </cell>
          <cell r="BF296">
            <v>65350.250649563306</v>
          </cell>
          <cell r="BG296">
            <v>59363.825843789476</v>
          </cell>
        </row>
        <row r="297">
          <cell r="AJ297">
            <v>51170.557256793909</v>
          </cell>
          <cell r="AK297">
            <v>47914.800450448602</v>
          </cell>
          <cell r="AL297">
            <v>45153.322116613097</v>
          </cell>
          <cell r="AM297">
            <v>43469.027494715439</v>
          </cell>
          <cell r="AN297">
            <v>43277.648621628956</v>
          </cell>
          <cell r="AO297">
            <v>42733.399950359504</v>
          </cell>
          <cell r="AP297">
            <v>42988.377582496047</v>
          </cell>
          <cell r="AQ297">
            <v>45061.981290553886</v>
          </cell>
          <cell r="AR297">
            <v>49328.544423777435</v>
          </cell>
          <cell r="AS297">
            <v>51618.234344742319</v>
          </cell>
          <cell r="AT297">
            <v>54663.911122459642</v>
          </cell>
          <cell r="AU297">
            <v>56148.0682018113</v>
          </cell>
          <cell r="AV297">
            <v>55074.779341795904</v>
          </cell>
          <cell r="AW297">
            <v>54854.17474696094</v>
          </cell>
          <cell r="AX297">
            <v>56576.112393326985</v>
          </cell>
          <cell r="AY297">
            <v>58631.65157080545</v>
          </cell>
          <cell r="AZ297">
            <v>60061.603640639325</v>
          </cell>
          <cell r="BA297">
            <v>69646.18376730298</v>
          </cell>
          <cell r="BB297">
            <v>76620.687810507123</v>
          </cell>
          <cell r="BC297">
            <v>75177.93707456658</v>
          </cell>
          <cell r="BD297">
            <v>72332.423574758155</v>
          </cell>
          <cell r="BE297">
            <v>68825.513601861632</v>
          </cell>
          <cell r="BF297">
            <v>64669.105424584159</v>
          </cell>
          <cell r="BG297">
            <v>59948.795164237185</v>
          </cell>
        </row>
        <row r="298">
          <cell r="AJ298">
            <v>51200.978359641122</v>
          </cell>
          <cell r="AK298">
            <v>48123.530567130292</v>
          </cell>
          <cell r="AL298">
            <v>45616.855767070854</v>
          </cell>
          <cell r="AM298">
            <v>44131.656407741335</v>
          </cell>
          <cell r="AN298">
            <v>43277.054749317969</v>
          </cell>
          <cell r="AO298">
            <v>42105.795661144948</v>
          </cell>
          <cell r="AP298">
            <v>39806.245740621722</v>
          </cell>
          <cell r="AQ298">
            <v>40098.21866492572</v>
          </cell>
          <cell r="AR298">
            <v>41499.07876786527</v>
          </cell>
          <cell r="AS298">
            <v>42862.148024297487</v>
          </cell>
          <cell r="AT298">
            <v>45005.081174256316</v>
          </cell>
          <cell r="AU298">
            <v>47131.888476486361</v>
          </cell>
          <cell r="AV298">
            <v>48600.885615274259</v>
          </cell>
          <cell r="AW298">
            <v>49499.619802290108</v>
          </cell>
          <cell r="AX298">
            <v>50949.581225382928</v>
          </cell>
          <cell r="AY298">
            <v>51875.565786513434</v>
          </cell>
          <cell r="AZ298">
            <v>54266.07136135389</v>
          </cell>
          <cell r="BA298">
            <v>64040.531281308737</v>
          </cell>
          <cell r="BB298">
            <v>72714.964096509109</v>
          </cell>
          <cell r="BC298">
            <v>73376.277474864459</v>
          </cell>
          <cell r="BD298">
            <v>72623.272253683303</v>
          </cell>
          <cell r="BE298">
            <v>69992.491637548766</v>
          </cell>
          <cell r="BF298">
            <v>64716.237629753727</v>
          </cell>
          <cell r="BG298">
            <v>59307.196288658051</v>
          </cell>
        </row>
        <row r="299">
          <cell r="AJ299">
            <v>51422.191704315366</v>
          </cell>
          <cell r="AK299">
            <v>48396.125907099529</v>
          </cell>
          <cell r="AL299">
            <v>45882.870411433119</v>
          </cell>
          <cell r="AM299">
            <v>44351.770858587086</v>
          </cell>
          <cell r="AN299">
            <v>43449.638083529986</v>
          </cell>
          <cell r="AO299">
            <v>42335.106618267237</v>
          </cell>
          <cell r="AP299">
            <v>39925.974498471776</v>
          </cell>
          <cell r="AQ299">
            <v>40170.527145577194</v>
          </cell>
          <cell r="AR299">
            <v>41658.741390779702</v>
          </cell>
          <cell r="AS299">
            <v>43026.133385182809</v>
          </cell>
          <cell r="AT299">
            <v>45086.716001665489</v>
          </cell>
          <cell r="AU299">
            <v>47161.694784018953</v>
          </cell>
          <cell r="AV299">
            <v>48609.651431174192</v>
          </cell>
          <cell r="AW299">
            <v>49462.517093083581</v>
          </cell>
          <cell r="AX299">
            <v>50837.326212303058</v>
          </cell>
          <cell r="AY299">
            <v>51688.139468514208</v>
          </cell>
          <cell r="AZ299">
            <v>54131.949311139237</v>
          </cell>
          <cell r="BA299">
            <v>63853.310807974776</v>
          </cell>
          <cell r="BB299">
            <v>72433.669444301035</v>
          </cell>
          <cell r="BC299">
            <v>73068.378191379161</v>
          </cell>
          <cell r="BD299">
            <v>72530.863833177471</v>
          </cell>
          <cell r="BE299">
            <v>69912.237552817474</v>
          </cell>
          <cell r="BF299">
            <v>64679.020914271045</v>
          </cell>
          <cell r="BG299">
            <v>59310.097115018005</v>
          </cell>
        </row>
        <row r="300">
          <cell r="AJ300">
            <v>48857.200506083682</v>
          </cell>
          <cell r="AK300">
            <v>45944.352741905575</v>
          </cell>
          <cell r="AL300">
            <v>43745.709190594484</v>
          </cell>
          <cell r="AM300">
            <v>42182.629217081143</v>
          </cell>
          <cell r="AN300">
            <v>42057.365675875968</v>
          </cell>
          <cell r="AO300">
            <v>43053.837235580228</v>
          </cell>
          <cell r="AP300">
            <v>43539.324509727281</v>
          </cell>
          <cell r="AQ300">
            <v>47214.733431332963</v>
          </cell>
          <cell r="AR300">
            <v>51595.645154295686</v>
          </cell>
          <cell r="AS300">
            <v>53546.263199356414</v>
          </cell>
          <cell r="AT300">
            <v>55937.320420196789</v>
          </cell>
          <cell r="AU300">
            <v>57864.087073881732</v>
          </cell>
          <cell r="AV300">
            <v>55174.907127980245</v>
          </cell>
          <cell r="AW300">
            <v>57033.584223529113</v>
          </cell>
          <cell r="AX300">
            <v>61117.170644588332</v>
          </cell>
          <cell r="AY300">
            <v>63073.007743832379</v>
          </cell>
          <cell r="AZ300">
            <v>64257.564866789049</v>
          </cell>
          <cell r="BA300">
            <v>72090.047356651106</v>
          </cell>
          <cell r="BB300">
            <v>76196.630828484762</v>
          </cell>
          <cell r="BC300">
            <v>74602.896058531929</v>
          </cell>
          <cell r="BD300">
            <v>72372.186781588069</v>
          </cell>
          <cell r="BE300">
            <v>68736.075322619101</v>
          </cell>
          <cell r="BF300">
            <v>63215.37196599559</v>
          </cell>
          <cell r="BG300">
            <v>57615.910425611713</v>
          </cell>
        </row>
        <row r="301">
          <cell r="AJ301">
            <v>46800.644716983246</v>
          </cell>
          <cell r="AK301">
            <v>44258.510029441008</v>
          </cell>
          <cell r="AL301">
            <v>42404.698196836973</v>
          </cell>
          <cell r="AM301">
            <v>41177.911543682603</v>
          </cell>
          <cell r="AN301">
            <v>40942.050259580654</v>
          </cell>
          <cell r="AO301">
            <v>40207.8293097161</v>
          </cell>
          <cell r="AP301">
            <v>40588.57052100564</v>
          </cell>
          <cell r="AQ301">
            <v>43559.275780769531</v>
          </cell>
          <cell r="AR301">
            <v>47857.915295836319</v>
          </cell>
          <cell r="AS301">
            <v>50110.264494266405</v>
          </cell>
          <cell r="AT301">
            <v>53311.611594730843</v>
          </cell>
          <cell r="AU301">
            <v>54469.457654424885</v>
          </cell>
          <cell r="AV301">
            <v>53601.097163113052</v>
          </cell>
          <cell r="AW301">
            <v>52473.379989422501</v>
          </cell>
          <cell r="AX301">
            <v>52412.255145962416</v>
          </cell>
          <cell r="AY301">
            <v>54238.484052601358</v>
          </cell>
          <cell r="AZ301">
            <v>56091.648966026318</v>
          </cell>
          <cell r="BA301">
            <v>66622.746391922585</v>
          </cell>
          <cell r="BB301">
            <v>72616.389993340301</v>
          </cell>
          <cell r="BC301">
            <v>71516.516027015867</v>
          </cell>
          <cell r="BD301">
            <v>69235.482939057751</v>
          </cell>
          <cell r="BE301">
            <v>66327.230061247363</v>
          </cell>
          <cell r="BF301">
            <v>62607.573429440243</v>
          </cell>
          <cell r="BG301">
            <v>58002.224453389128</v>
          </cell>
        </row>
        <row r="302">
          <cell r="AJ302">
            <v>49977.012105990354</v>
          </cell>
          <cell r="AK302">
            <v>47384.542114310287</v>
          </cell>
          <cell r="AL302">
            <v>44939.610209250699</v>
          </cell>
          <cell r="AM302">
            <v>43215.274008532288</v>
          </cell>
          <cell r="AN302">
            <v>42370.69916114262</v>
          </cell>
          <cell r="AO302">
            <v>41488.050088833726</v>
          </cell>
          <cell r="AP302">
            <v>39551.810899142612</v>
          </cell>
          <cell r="AQ302">
            <v>39658.648208147039</v>
          </cell>
          <cell r="AR302">
            <v>41007.06832369764</v>
          </cell>
          <cell r="AS302">
            <v>42465.952767884839</v>
          </cell>
          <cell r="AT302">
            <v>44710.808708338925</v>
          </cell>
          <cell r="AU302">
            <v>45671.936410072012</v>
          </cell>
          <cell r="AV302">
            <v>46851.761397168513</v>
          </cell>
          <cell r="AW302">
            <v>47348.959922393304</v>
          </cell>
          <cell r="AX302">
            <v>47902.207358322776</v>
          </cell>
          <cell r="AY302">
            <v>49244.317943510578</v>
          </cell>
          <cell r="AZ302">
            <v>51143.91696166269</v>
          </cell>
          <cell r="BA302">
            <v>61945.013615597432</v>
          </cell>
          <cell r="BB302">
            <v>68086.197737176481</v>
          </cell>
          <cell r="BC302">
            <v>68214.09714830108</v>
          </cell>
          <cell r="BD302">
            <v>66856.670431103499</v>
          </cell>
          <cell r="BE302">
            <v>64511.048824130456</v>
          </cell>
          <cell r="BF302">
            <v>60672.563603276118</v>
          </cell>
          <cell r="BG302">
            <v>56447.619158716581</v>
          </cell>
        </row>
        <row r="303">
          <cell r="AJ303">
            <v>50005.684684443411</v>
          </cell>
          <cell r="AK303">
            <v>47405.630108557998</v>
          </cell>
          <cell r="AL303">
            <v>44961.388574837358</v>
          </cell>
          <cell r="AM303">
            <v>43232.3971178426</v>
          </cell>
          <cell r="AN303">
            <v>42392.613700892471</v>
          </cell>
          <cell r="AO303">
            <v>41508.428710696484</v>
          </cell>
          <cell r="AP303">
            <v>39515.952758450781</v>
          </cell>
          <cell r="AQ303">
            <v>39565.660255737414</v>
          </cell>
          <cell r="AR303">
            <v>40972.210904763167</v>
          </cell>
          <cell r="AS303">
            <v>42441.267242256225</v>
          </cell>
          <cell r="AT303">
            <v>44593.075060321593</v>
          </cell>
          <cell r="AU303">
            <v>45465.477377636867</v>
          </cell>
          <cell r="AV303">
            <v>46678.259679065231</v>
          </cell>
          <cell r="AW303">
            <v>47131.217435459788</v>
          </cell>
          <cell r="AX303">
            <v>47640.34760935817</v>
          </cell>
          <cell r="AY303">
            <v>48973.831719650232</v>
          </cell>
          <cell r="AZ303">
            <v>50969.39235391502</v>
          </cell>
          <cell r="BA303">
            <v>61746.566690903179</v>
          </cell>
          <cell r="BB303">
            <v>67724.867512266414</v>
          </cell>
          <cell r="BC303">
            <v>67846.03105257485</v>
          </cell>
          <cell r="BD303">
            <v>66608.098746992982</v>
          </cell>
          <cell r="BE303">
            <v>64361.820942325241</v>
          </cell>
          <cell r="BF303">
            <v>60551.675781618484</v>
          </cell>
          <cell r="BG303">
            <v>56350.289467290044</v>
          </cell>
        </row>
        <row r="304">
          <cell r="AJ304">
            <v>54056.842793981996</v>
          </cell>
          <cell r="AK304">
            <v>50775.95984273545</v>
          </cell>
          <cell r="AL304">
            <v>48277.952482824134</v>
          </cell>
          <cell r="AM304">
            <v>46760.565323665578</v>
          </cell>
          <cell r="AN304">
            <v>46356.797243499961</v>
          </cell>
          <cell r="AO304">
            <v>47062.130268730412</v>
          </cell>
          <cell r="AP304">
            <v>46820.70637169067</v>
          </cell>
          <cell r="AQ304">
            <v>50037.951449533692</v>
          </cell>
          <cell r="AR304">
            <v>54254.181115844127</v>
          </cell>
          <cell r="AS304">
            <v>56521.507308236469</v>
          </cell>
          <cell r="AT304">
            <v>58684.840877972922</v>
          </cell>
          <cell r="AU304">
            <v>60732.74495540138</v>
          </cell>
          <cell r="AV304">
            <v>58936.377782547861</v>
          </cell>
          <cell r="AW304">
            <v>60026.280435890316</v>
          </cell>
          <cell r="AX304">
            <v>63463.153857896061</v>
          </cell>
          <cell r="AY304">
            <v>65501.847822856747</v>
          </cell>
          <cell r="AZ304">
            <v>67299.020014301263</v>
          </cell>
          <cell r="BA304">
            <v>75686.088974154569</v>
          </cell>
          <cell r="BB304">
            <v>82390.85365274192</v>
          </cell>
          <cell r="BC304">
            <v>80865.12429550651</v>
          </cell>
          <cell r="BD304">
            <v>78052.701660029576</v>
          </cell>
          <cell r="BE304">
            <v>73689.632391304607</v>
          </cell>
          <cell r="BF304">
            <v>68254.537707294425</v>
          </cell>
          <cell r="BG304">
            <v>63060.195506697062</v>
          </cell>
        </row>
        <row r="305">
          <cell r="AJ305">
            <v>54535.072999825381</v>
          </cell>
          <cell r="AK305">
            <v>51073.870756878612</v>
          </cell>
          <cell r="AL305">
            <v>48856.572489318663</v>
          </cell>
          <cell r="AM305">
            <v>47155.965914660424</v>
          </cell>
          <cell r="AN305">
            <v>46535.855646347103</v>
          </cell>
          <cell r="AO305">
            <v>46377.702250637762</v>
          </cell>
          <cell r="AP305">
            <v>45594.57509417156</v>
          </cell>
          <cell r="AQ305">
            <v>47334.399918493284</v>
          </cell>
          <cell r="AR305">
            <v>52452.609934332737</v>
          </cell>
          <cell r="AS305">
            <v>55193.91983763648</v>
          </cell>
          <cell r="AT305">
            <v>57808.691931739922</v>
          </cell>
          <cell r="AU305">
            <v>59676.347046024101</v>
          </cell>
          <cell r="AV305">
            <v>58600.817277598209</v>
          </cell>
          <cell r="AW305">
            <v>58631.130835907803</v>
          </cell>
          <cell r="AX305">
            <v>58654.445244275732</v>
          </cell>
          <cell r="AY305">
            <v>60573.520340393188</v>
          </cell>
          <cell r="AZ305">
            <v>62743.918364756806</v>
          </cell>
          <cell r="BA305">
            <v>72021.826996442935</v>
          </cell>
          <cell r="BB305">
            <v>80399.591949561858</v>
          </cell>
          <cell r="BC305">
            <v>79108.274368528917</v>
          </cell>
          <cell r="BD305">
            <v>76268.285809626701</v>
          </cell>
          <cell r="BE305">
            <v>73473.225260539955</v>
          </cell>
          <cell r="BF305">
            <v>68925.96523982595</v>
          </cell>
          <cell r="BG305">
            <v>64079.615038815493</v>
          </cell>
        </row>
        <row r="306">
          <cell r="AJ306">
            <v>55690.706646435698</v>
          </cell>
          <cell r="AK306">
            <v>52692.665835444772</v>
          </cell>
          <cell r="AL306">
            <v>50207.627063710868</v>
          </cell>
          <cell r="AM306">
            <v>48420.344690188838</v>
          </cell>
          <cell r="AN306">
            <v>47544.084533978472</v>
          </cell>
          <cell r="AO306">
            <v>47012.716936744895</v>
          </cell>
          <cell r="AP306">
            <v>44024.893242675549</v>
          </cell>
          <cell r="AQ306">
            <v>43664.894933796866</v>
          </cell>
          <cell r="AR306">
            <v>45507.869517061728</v>
          </cell>
          <cell r="AS306">
            <v>47499.344433651589</v>
          </cell>
          <cell r="AT306">
            <v>48545.504624639383</v>
          </cell>
          <cell r="AU306">
            <v>50162.364878382577</v>
          </cell>
          <cell r="AV306">
            <v>51605.134496487961</v>
          </cell>
          <cell r="AW306">
            <v>53207.471824627799</v>
          </cell>
          <cell r="AX306">
            <v>51223.587727721089</v>
          </cell>
          <cell r="AY306">
            <v>54674.078669336806</v>
          </cell>
          <cell r="AZ306">
            <v>57352.741509312109</v>
          </cell>
          <cell r="BA306">
            <v>66877.152900693429</v>
          </cell>
          <cell r="BB306">
            <v>75450.680510610866</v>
          </cell>
          <cell r="BC306">
            <v>74467.786955459815</v>
          </cell>
          <cell r="BD306">
            <v>72414.386165943099</v>
          </cell>
          <cell r="BE306">
            <v>70111.383593187158</v>
          </cell>
          <cell r="BF306">
            <v>66139.559668873088</v>
          </cell>
          <cell r="BG306">
            <v>62343.986673252788</v>
          </cell>
        </row>
        <row r="307">
          <cell r="AJ307">
            <v>55560.387972267221</v>
          </cell>
          <cell r="AK307">
            <v>52526.865874663978</v>
          </cell>
          <cell r="AL307">
            <v>50051.590473746379</v>
          </cell>
          <cell r="AM307">
            <v>48311.440194891526</v>
          </cell>
          <cell r="AN307">
            <v>47503.320956570955</v>
          </cell>
          <cell r="AO307">
            <v>47089.151811224991</v>
          </cell>
          <cell r="AP307">
            <v>44229.699184106466</v>
          </cell>
          <cell r="AQ307">
            <v>43989.496136738911</v>
          </cell>
          <cell r="AR307">
            <v>46003.977328274341</v>
          </cell>
          <cell r="AS307">
            <v>48064.251865682876</v>
          </cell>
          <cell r="AT307">
            <v>49237.912242345308</v>
          </cell>
          <cell r="AU307">
            <v>50802.481617425292</v>
          </cell>
          <cell r="AV307">
            <v>52136.910437932136</v>
          </cell>
          <cell r="AW307">
            <v>53610.325668786412</v>
          </cell>
          <cell r="AX307">
            <v>51605.10339719263</v>
          </cell>
          <cell r="AY307">
            <v>55036.732633786669</v>
          </cell>
          <cell r="AZ307">
            <v>57645.145439763299</v>
          </cell>
          <cell r="BA307">
            <v>67228.925599452472</v>
          </cell>
          <cell r="BB307">
            <v>75728.098949429652</v>
          </cell>
          <cell r="BC307">
            <v>74662.813691869422</v>
          </cell>
          <cell r="BD307">
            <v>72613.409455700137</v>
          </cell>
          <cell r="BE307">
            <v>70248.954333255504</v>
          </cell>
          <cell r="BF307">
            <v>66276.946732163182</v>
          </cell>
          <cell r="BG307">
            <v>62401.993699928789</v>
          </cell>
        </row>
        <row r="719">
          <cell r="AJ719">
            <v>28471.465170930205</v>
          </cell>
          <cell r="AK719">
            <v>26916.190910101395</v>
          </cell>
          <cell r="AL719">
            <v>25740.600992034244</v>
          </cell>
          <cell r="AM719">
            <v>24883.666047675266</v>
          </cell>
          <cell r="AN719">
            <v>24714.615502411129</v>
          </cell>
          <cell r="AO719">
            <v>25559.815606517441</v>
          </cell>
          <cell r="AP719">
            <v>25244.712643926472</v>
          </cell>
          <cell r="AQ719">
            <v>28084.568588631471</v>
          </cell>
          <cell r="AR719">
            <v>30676.468414433217</v>
          </cell>
          <cell r="AS719">
            <v>32031.473420076927</v>
          </cell>
          <cell r="AT719">
            <v>33673.697476055801</v>
          </cell>
          <cell r="AU719">
            <v>35131.70592190569</v>
          </cell>
          <cell r="AV719">
            <v>34114.862549741098</v>
          </cell>
          <cell r="AW719">
            <v>35274.924022863263</v>
          </cell>
          <cell r="AX719">
            <v>37192.079785373644</v>
          </cell>
          <cell r="AY719">
            <v>37618.051521436435</v>
          </cell>
          <cell r="AZ719">
            <v>37514.457706261579</v>
          </cell>
          <cell r="BA719">
            <v>38652.280471763617</v>
          </cell>
          <cell r="BB719">
            <v>41494.192825202976</v>
          </cell>
          <cell r="BC719">
            <v>41613.147402530107</v>
          </cell>
          <cell r="BD719">
            <v>40575.01221393892</v>
          </cell>
          <cell r="BE719">
            <v>38845.395673607163</v>
          </cell>
          <cell r="BF719">
            <v>36151.611656771645</v>
          </cell>
          <cell r="BG719">
            <v>33276.065350422767</v>
          </cell>
        </row>
        <row r="720">
          <cell r="AJ720">
            <v>28179.29212948135</v>
          </cell>
          <cell r="AK720">
            <v>26738.872981270288</v>
          </cell>
          <cell r="AL720">
            <v>25589.578395009998</v>
          </cell>
          <cell r="AM720">
            <v>24717.790592708472</v>
          </cell>
          <cell r="AN720">
            <v>24442.001385936481</v>
          </cell>
          <cell r="AO720">
            <v>24621.159557190324</v>
          </cell>
          <cell r="AP720">
            <v>23880.522644059161</v>
          </cell>
          <cell r="AQ720">
            <v>26158.032014450207</v>
          </cell>
          <cell r="AR720">
            <v>28591.692376628806</v>
          </cell>
          <cell r="AS720">
            <v>30325.838467117919</v>
          </cell>
          <cell r="AT720">
            <v>31737.151888735509</v>
          </cell>
          <cell r="AU720">
            <v>32524.475014875268</v>
          </cell>
          <cell r="AV720">
            <v>32241.982383382132</v>
          </cell>
          <cell r="AW720">
            <v>31543.327826942092</v>
          </cell>
          <cell r="AX720">
            <v>31876.243058410771</v>
          </cell>
          <cell r="AY720">
            <v>32228.641823256963</v>
          </cell>
          <cell r="AZ720">
            <v>32454.006361209646</v>
          </cell>
          <cell r="BA720">
            <v>35219.043813527584</v>
          </cell>
          <cell r="BB720">
            <v>39220.555796718138</v>
          </cell>
          <cell r="BC720">
            <v>39443.179341648516</v>
          </cell>
          <cell r="BD720">
            <v>38292.393733521625</v>
          </cell>
          <cell r="BE720">
            <v>36783.119923605664</v>
          </cell>
          <cell r="BF720">
            <v>34822.807304725226</v>
          </cell>
          <cell r="BG720">
            <v>32633.121223415175</v>
          </cell>
        </row>
        <row r="721">
          <cell r="AJ721">
            <v>28396.060053417041</v>
          </cell>
          <cell r="AK721">
            <v>26909.0220591096</v>
          </cell>
          <cell r="AL721">
            <v>25701.156930523139</v>
          </cell>
          <cell r="AM721">
            <v>24812.780424773253</v>
          </cell>
          <cell r="AN721">
            <v>24381.521821955332</v>
          </cell>
          <cell r="AO721">
            <v>24216.985287907137</v>
          </cell>
          <cell r="AP721">
            <v>22759.89065098816</v>
          </cell>
          <cell r="AQ721">
            <v>23627.993572091556</v>
          </cell>
          <cell r="AR721">
            <v>24725.313949212246</v>
          </cell>
          <cell r="AS721">
            <v>25703.768495890177</v>
          </cell>
          <cell r="AT721">
            <v>26788.842449346383</v>
          </cell>
          <cell r="AU721">
            <v>27766.693111612214</v>
          </cell>
          <cell r="AV721">
            <v>28502.629055096833</v>
          </cell>
          <cell r="AW721">
            <v>28679.437668826526</v>
          </cell>
          <cell r="AX721">
            <v>28837.080141106249</v>
          </cell>
          <cell r="AY721">
            <v>29176.59691390636</v>
          </cell>
          <cell r="AZ721">
            <v>29743.619425269535</v>
          </cell>
          <cell r="BA721">
            <v>32628.614213967227</v>
          </cell>
          <cell r="BB721">
            <v>36987.617404847726</v>
          </cell>
          <cell r="BC721">
            <v>37987.750541919348</v>
          </cell>
          <cell r="BD721">
            <v>37606.273435668627</v>
          </cell>
          <cell r="BE721">
            <v>36514.449723890153</v>
          </cell>
          <cell r="BF721">
            <v>34250.671696122561</v>
          </cell>
          <cell r="BG721">
            <v>31648.911177374059</v>
          </cell>
        </row>
        <row r="722">
          <cell r="AJ722">
            <v>28396.060053417041</v>
          </cell>
          <cell r="AK722">
            <v>26909.0220591096</v>
          </cell>
          <cell r="AL722">
            <v>25701.156930523139</v>
          </cell>
          <cell r="AM722">
            <v>24812.780424773253</v>
          </cell>
          <cell r="AN722">
            <v>24381.521821955332</v>
          </cell>
          <cell r="AO722">
            <v>24216.985287907137</v>
          </cell>
          <cell r="AP722">
            <v>22759.89065098816</v>
          </cell>
          <cell r="AQ722">
            <v>23627.993572091556</v>
          </cell>
          <cell r="AR722">
            <v>24725.313949212246</v>
          </cell>
          <cell r="AS722">
            <v>25703.768495890177</v>
          </cell>
          <cell r="AT722">
            <v>26788.842449346383</v>
          </cell>
          <cell r="AU722">
            <v>27766.693111612214</v>
          </cell>
          <cell r="AV722">
            <v>28502.629055096833</v>
          </cell>
          <cell r="AW722">
            <v>28679.437668826526</v>
          </cell>
          <cell r="AX722">
            <v>28837.080141106249</v>
          </cell>
          <cell r="AY722">
            <v>29176.59691390636</v>
          </cell>
          <cell r="AZ722">
            <v>29743.619425269535</v>
          </cell>
          <cell r="BA722">
            <v>32628.614213967227</v>
          </cell>
          <cell r="BB722">
            <v>36987.617404847726</v>
          </cell>
          <cell r="BC722">
            <v>37987.750541919348</v>
          </cell>
          <cell r="BD722">
            <v>37606.273435668627</v>
          </cell>
          <cell r="BE722">
            <v>36514.449723890153</v>
          </cell>
          <cell r="BF722">
            <v>34250.671696122561</v>
          </cell>
          <cell r="BG722">
            <v>31648.911177374059</v>
          </cell>
        </row>
        <row r="723">
          <cell r="AJ723">
            <v>29041.003285704024</v>
          </cell>
          <cell r="AK723">
            <v>27542.506293849092</v>
          </cell>
          <cell r="AL723">
            <v>26320.624321919338</v>
          </cell>
          <cell r="AM723">
            <v>25432.459609437617</v>
          </cell>
          <cell r="AN723">
            <v>25382.343218201728</v>
          </cell>
          <cell r="AO723">
            <v>26977.57787204293</v>
          </cell>
          <cell r="AP723">
            <v>26644.569292259948</v>
          </cell>
          <cell r="AQ723">
            <v>29239.46104477008</v>
          </cell>
          <cell r="AR723">
            <v>31482.824873932175</v>
          </cell>
          <cell r="AS723">
            <v>32488.12332602598</v>
          </cell>
          <cell r="AT723">
            <v>33991.621179280774</v>
          </cell>
          <cell r="AU723">
            <v>35295.847090090669</v>
          </cell>
          <cell r="AV723">
            <v>34026.003530687623</v>
          </cell>
          <cell r="AW723">
            <v>35570.221039610908</v>
          </cell>
          <cell r="AX723">
            <v>37903.474389825562</v>
          </cell>
          <cell r="AY723">
            <v>38496.182484575715</v>
          </cell>
          <cell r="AZ723">
            <v>38434.702502998</v>
          </cell>
          <cell r="BA723">
            <v>39309.046520706521</v>
          </cell>
          <cell r="BB723">
            <v>41864.403696715548</v>
          </cell>
          <cell r="BC723">
            <v>42554.598906281979</v>
          </cell>
          <cell r="BD723">
            <v>41713.371126368998</v>
          </cell>
          <cell r="BE723">
            <v>39920.429278265263</v>
          </cell>
          <cell r="BF723">
            <v>36817.844016377952</v>
          </cell>
          <cell r="BG723">
            <v>33751.684890266013</v>
          </cell>
        </row>
        <row r="724">
          <cell r="AJ724">
            <v>29470.998247665462</v>
          </cell>
          <cell r="AK724">
            <v>27772.417432089966</v>
          </cell>
          <cell r="AL724">
            <v>26672.461982338766</v>
          </cell>
          <cell r="AM724">
            <v>25602.827549387086</v>
          </cell>
          <cell r="AN724">
            <v>25255.456428332018</v>
          </cell>
          <cell r="AO724">
            <v>25538.736824196876</v>
          </cell>
          <cell r="AP724">
            <v>25022.634887017426</v>
          </cell>
          <cell r="AQ724">
            <v>27313.392328851478</v>
          </cell>
          <cell r="AR724">
            <v>29556.94145378485</v>
          </cell>
          <cell r="AS724">
            <v>30864.836824585207</v>
          </cell>
          <cell r="AT724">
            <v>32255.897893087524</v>
          </cell>
          <cell r="AU724">
            <v>32968.508956494705</v>
          </cell>
          <cell r="AV724">
            <v>32373.76525071948</v>
          </cell>
          <cell r="AW724">
            <v>32094.065429678943</v>
          </cell>
          <cell r="AX724">
            <v>32432.358421308676</v>
          </cell>
          <cell r="AY724">
            <v>32810.211865533274</v>
          </cell>
          <cell r="AZ724">
            <v>33124.825393868006</v>
          </cell>
          <cell r="BA724">
            <v>35582.357037368252</v>
          </cell>
          <cell r="BB724">
            <v>39482.638903660169</v>
          </cell>
          <cell r="BC724">
            <v>40085.165531534527</v>
          </cell>
          <cell r="BD724">
            <v>39178.070593577148</v>
          </cell>
          <cell r="BE724">
            <v>37725.315625203897</v>
          </cell>
          <cell r="BF724">
            <v>35802.885925993571</v>
          </cell>
          <cell r="BG724">
            <v>33509.329346665392</v>
          </cell>
        </row>
        <row r="725">
          <cell r="AJ725">
            <v>29372.930853472899</v>
          </cell>
          <cell r="AK725">
            <v>27870.775532462405</v>
          </cell>
          <cell r="AL725">
            <v>26656.768270438024</v>
          </cell>
          <cell r="AM725">
            <v>25757.068461072551</v>
          </cell>
          <cell r="AN725">
            <v>25276.408404398797</v>
          </cell>
          <cell r="AO725">
            <v>25224.431037318209</v>
          </cell>
          <cell r="AP725">
            <v>23764.732530228997</v>
          </cell>
          <cell r="AQ725">
            <v>24703.587745680368</v>
          </cell>
          <cell r="AR725">
            <v>25663.821291768763</v>
          </cell>
          <cell r="AS725">
            <v>26384.209403745062</v>
          </cell>
          <cell r="AT725">
            <v>27337.465153593377</v>
          </cell>
          <cell r="AU725">
            <v>28386.600046693649</v>
          </cell>
          <cell r="AV725">
            <v>29136.580223521192</v>
          </cell>
          <cell r="AW725">
            <v>29509.74170273355</v>
          </cell>
          <cell r="AX725">
            <v>30013.220129841466</v>
          </cell>
          <cell r="AY725">
            <v>30523.012250791955</v>
          </cell>
          <cell r="AZ725">
            <v>30948.026926573082</v>
          </cell>
          <cell r="BA725">
            <v>33189.445664611099</v>
          </cell>
          <cell r="BB725">
            <v>37688.746512678605</v>
          </cell>
          <cell r="BC725">
            <v>39313.970273813968</v>
          </cell>
          <cell r="BD725">
            <v>39377.436131047842</v>
          </cell>
          <cell r="BE725">
            <v>38523.420001247861</v>
          </cell>
          <cell r="BF725">
            <v>35392.791543988496</v>
          </cell>
          <cell r="BG725">
            <v>32643.910955719035</v>
          </cell>
        </row>
        <row r="726"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</row>
        <row r="727">
          <cell r="AJ727">
            <v>28073.846949239123</v>
          </cell>
          <cell r="AK727">
            <v>26592.133986207802</v>
          </cell>
          <cell r="AL727">
            <v>25471.171960078438</v>
          </cell>
          <cell r="AM727">
            <v>24737.427805451363</v>
          </cell>
          <cell r="AN727">
            <v>24835.05962868984</v>
          </cell>
          <cell r="AO727">
            <v>26186.569233308233</v>
          </cell>
          <cell r="AP727">
            <v>26134.838637803277</v>
          </cell>
          <cell r="AQ727">
            <v>29029.751251006099</v>
          </cell>
          <cell r="AR727">
            <v>31319.593871927096</v>
          </cell>
          <cell r="AS727">
            <v>32411.0117173418</v>
          </cell>
          <cell r="AT727">
            <v>33899.52449374985</v>
          </cell>
          <cell r="AU727">
            <v>34935.897906384467</v>
          </cell>
          <cell r="AV727">
            <v>33182.318308871865</v>
          </cell>
          <cell r="AW727">
            <v>34504.43886490618</v>
          </cell>
          <cell r="AX727">
            <v>36726.781999617386</v>
          </cell>
          <cell r="AY727">
            <v>37419.804784289401</v>
          </cell>
          <cell r="AZ727">
            <v>37594.433116682616</v>
          </cell>
          <cell r="BA727">
            <v>38702.800237162424</v>
          </cell>
          <cell r="BB727">
            <v>41295.352360333738</v>
          </cell>
          <cell r="BC727">
            <v>41629.408690256401</v>
          </cell>
          <cell r="BD727">
            <v>40450.142439833166</v>
          </cell>
          <cell r="BE727">
            <v>38485.964276945153</v>
          </cell>
          <cell r="BF727">
            <v>35508.59840077944</v>
          </cell>
          <cell r="BG727">
            <v>32486.231787922847</v>
          </cell>
        </row>
        <row r="728">
          <cell r="AJ728">
            <v>28203.778386176789</v>
          </cell>
          <cell r="AK728">
            <v>26718.727080846198</v>
          </cell>
          <cell r="AL728">
            <v>25541.925884654323</v>
          </cell>
          <cell r="AM728">
            <v>24767.838985599192</v>
          </cell>
          <cell r="AN728">
            <v>24556.224356123254</v>
          </cell>
          <cell r="AO728">
            <v>24816.362192105607</v>
          </cell>
          <cell r="AP728">
            <v>24649.097428731791</v>
          </cell>
          <cell r="AQ728">
            <v>27275.612585777715</v>
          </cell>
          <cell r="AR728">
            <v>29824.945588462466</v>
          </cell>
          <cell r="AS728">
            <v>31264.847057226216</v>
          </cell>
          <cell r="AT728">
            <v>32665.625247656</v>
          </cell>
          <cell r="AU728">
            <v>33555.609967798664</v>
          </cell>
          <cell r="AV728">
            <v>32889.424886812056</v>
          </cell>
          <cell r="AW728">
            <v>32491.855380046622</v>
          </cell>
          <cell r="AX728">
            <v>32945.832864194505</v>
          </cell>
          <cell r="AY728">
            <v>33245.303217198743</v>
          </cell>
          <cell r="AZ728">
            <v>33561.139910964259</v>
          </cell>
          <cell r="BA728">
            <v>35856.378433074053</v>
          </cell>
          <cell r="BB728">
            <v>39772.539640448878</v>
          </cell>
          <cell r="BC728">
            <v>40342.204721523136</v>
          </cell>
          <cell r="BD728">
            <v>39277.077852693852</v>
          </cell>
          <cell r="BE728">
            <v>37796.974602585207</v>
          </cell>
          <cell r="BF728">
            <v>35717.662470601041</v>
          </cell>
          <cell r="BG728">
            <v>33436.65197167961</v>
          </cell>
        </row>
        <row r="729">
          <cell r="AJ729">
            <v>29021.543743444734</v>
          </cell>
          <cell r="AK729">
            <v>27444.126184382778</v>
          </cell>
          <cell r="AL729">
            <v>26208.195178099577</v>
          </cell>
          <cell r="AM729">
            <v>25317.171928407523</v>
          </cell>
          <cell r="AN729">
            <v>24853.694393800484</v>
          </cell>
          <cell r="AO729">
            <v>24621.273652584645</v>
          </cell>
          <cell r="AP729">
            <v>23583.216742195218</v>
          </cell>
          <cell r="AQ729">
            <v>24832.667734062798</v>
          </cell>
          <cell r="AR729">
            <v>26109.811892802994</v>
          </cell>
          <cell r="AS729">
            <v>27063.302179383427</v>
          </cell>
          <cell r="AT729">
            <v>28038.882106530462</v>
          </cell>
          <cell r="AU729">
            <v>29011.444784576332</v>
          </cell>
          <cell r="AV729">
            <v>29687.36239801105</v>
          </cell>
          <cell r="AW729">
            <v>29893.302611493862</v>
          </cell>
          <cell r="AX729">
            <v>30185.08339300278</v>
          </cell>
          <cell r="AY729">
            <v>30796.802095193798</v>
          </cell>
          <cell r="AZ729">
            <v>31217.315755694901</v>
          </cell>
          <cell r="BA729">
            <v>33818.835277909777</v>
          </cell>
          <cell r="BB729">
            <v>37945.274829644703</v>
          </cell>
          <cell r="BC729">
            <v>39262.437050054796</v>
          </cell>
          <cell r="BD729">
            <v>39182.560695065629</v>
          </cell>
          <cell r="BE729">
            <v>38100.735048603063</v>
          </cell>
          <cell r="BF729">
            <v>35676.190276159134</v>
          </cell>
          <cell r="BG729">
            <v>32857.534298912717</v>
          </cell>
        </row>
        <row r="730">
          <cell r="AJ730">
            <v>29021.543743444734</v>
          </cell>
          <cell r="AK730">
            <v>27444.126184382778</v>
          </cell>
          <cell r="AL730">
            <v>26208.195178099577</v>
          </cell>
          <cell r="AM730">
            <v>25317.171928407523</v>
          </cell>
          <cell r="AN730">
            <v>24853.694393800484</v>
          </cell>
          <cell r="AO730">
            <v>24621.273652584645</v>
          </cell>
          <cell r="AP730">
            <v>23583.216742195218</v>
          </cell>
          <cell r="AQ730">
            <v>24832.667734062798</v>
          </cell>
          <cell r="AR730">
            <v>26109.811892802994</v>
          </cell>
          <cell r="AS730">
            <v>27063.302179383427</v>
          </cell>
          <cell r="AT730">
            <v>28038.882106530462</v>
          </cell>
          <cell r="AU730">
            <v>29011.444784576332</v>
          </cell>
          <cell r="AV730">
            <v>29687.36239801105</v>
          </cell>
          <cell r="AW730">
            <v>29893.302611493862</v>
          </cell>
          <cell r="AX730">
            <v>30185.08339300278</v>
          </cell>
          <cell r="AY730">
            <v>30796.802095193798</v>
          </cell>
          <cell r="AZ730">
            <v>31217.315755694901</v>
          </cell>
          <cell r="BA730">
            <v>33818.835277909777</v>
          </cell>
          <cell r="BB730">
            <v>37945.274829644703</v>
          </cell>
          <cell r="BC730">
            <v>39262.437050054796</v>
          </cell>
          <cell r="BD730">
            <v>39182.560695065629</v>
          </cell>
          <cell r="BE730">
            <v>38100.735048603063</v>
          </cell>
          <cell r="BF730">
            <v>35676.190276159134</v>
          </cell>
          <cell r="BG730">
            <v>32857.534298912717</v>
          </cell>
        </row>
        <row r="731">
          <cell r="AJ731">
            <v>27235.503927245609</v>
          </cell>
          <cell r="AK731">
            <v>25794.503267350272</v>
          </cell>
          <cell r="AL731">
            <v>24723.367661416738</v>
          </cell>
          <cell r="AM731">
            <v>24004.160915535416</v>
          </cell>
          <cell r="AN731">
            <v>24103.801986659761</v>
          </cell>
          <cell r="AO731">
            <v>24885.531194504161</v>
          </cell>
          <cell r="AP731">
            <v>25078.238652648615</v>
          </cell>
          <cell r="AQ731">
            <v>28012.726343538459</v>
          </cell>
          <cell r="AR731">
            <v>30564.071216304223</v>
          </cell>
          <cell r="AS731">
            <v>31669.986049819294</v>
          </cell>
          <cell r="AT731">
            <v>33059.060729314799</v>
          </cell>
          <cell r="AU731">
            <v>34315.845343213521</v>
          </cell>
          <cell r="AV731">
            <v>32835.822726636245</v>
          </cell>
          <cell r="AW731">
            <v>34005.166477527542</v>
          </cell>
          <cell r="AX731">
            <v>36177.384430883845</v>
          </cell>
          <cell r="AY731">
            <v>36636.813897414664</v>
          </cell>
          <cell r="AZ731">
            <v>36570.563566890312</v>
          </cell>
          <cell r="BA731">
            <v>38086.606827182957</v>
          </cell>
          <cell r="BB731">
            <v>40573.51850969829</v>
          </cell>
          <cell r="BC731">
            <v>40655.122242847305</v>
          </cell>
          <cell r="BD731">
            <v>39473.125622093372</v>
          </cell>
          <cell r="BE731">
            <v>37623.779312281869</v>
          </cell>
          <cell r="BF731">
            <v>34839.272894924434</v>
          </cell>
          <cell r="BG731">
            <v>31769.405221360619</v>
          </cell>
        </row>
        <row r="732">
          <cell r="AJ732">
            <v>26948.690897725286</v>
          </cell>
          <cell r="AK732">
            <v>25443.82265473028</v>
          </cell>
          <cell r="AL732">
            <v>24312.718959832549</v>
          </cell>
          <cell r="AM732">
            <v>23542.766098613509</v>
          </cell>
          <cell r="AN732">
            <v>23332.468934292909</v>
          </cell>
          <cell r="AO732">
            <v>23308.225854698281</v>
          </cell>
          <cell r="AP732">
            <v>23143.484291010889</v>
          </cell>
          <cell r="AQ732">
            <v>25530.887140462299</v>
          </cell>
          <cell r="AR732">
            <v>27909.993008684603</v>
          </cell>
          <cell r="AS732">
            <v>29119.176193367755</v>
          </cell>
          <cell r="AT732">
            <v>30447.032400076645</v>
          </cell>
          <cell r="AU732">
            <v>31295.179613674991</v>
          </cell>
          <cell r="AV732">
            <v>30829.53187761924</v>
          </cell>
          <cell r="AW732">
            <v>30544.986433327216</v>
          </cell>
          <cell r="AX732">
            <v>30856.503694601746</v>
          </cell>
          <cell r="AY732">
            <v>31158.900059576164</v>
          </cell>
          <cell r="AZ732">
            <v>31536.051651398673</v>
          </cell>
          <cell r="BA732">
            <v>34280.046613002014</v>
          </cell>
          <cell r="BB732">
            <v>38193.376275371527</v>
          </cell>
          <cell r="BC732">
            <v>38178.470353153425</v>
          </cell>
          <cell r="BD732">
            <v>37156.104776578053</v>
          </cell>
          <cell r="BE732">
            <v>35634.429508230773</v>
          </cell>
          <cell r="BF732">
            <v>33714.192056081527</v>
          </cell>
          <cell r="BG732">
            <v>31492.745412736491</v>
          </cell>
        </row>
        <row r="733">
          <cell r="AJ733">
            <v>27468.083788025328</v>
          </cell>
          <cell r="AK733">
            <v>26031.677285693382</v>
          </cell>
          <cell r="AL733">
            <v>24838.597601506619</v>
          </cell>
          <cell r="AM733">
            <v>24024.453103758638</v>
          </cell>
          <cell r="AN733">
            <v>23677.054969907691</v>
          </cell>
          <cell r="AO733">
            <v>23201.34810684538</v>
          </cell>
          <cell r="AP733">
            <v>22606.605275805097</v>
          </cell>
          <cell r="AQ733">
            <v>23834.966597831495</v>
          </cell>
          <cell r="AR733">
            <v>24696.250278593008</v>
          </cell>
          <cell r="AS733">
            <v>25628.087082217065</v>
          </cell>
          <cell r="AT733">
            <v>26618.757419659367</v>
          </cell>
          <cell r="AU733">
            <v>27449.580643549594</v>
          </cell>
          <cell r="AV733">
            <v>27964.73537005252</v>
          </cell>
          <cell r="AW733">
            <v>28182.372591436335</v>
          </cell>
          <cell r="AX733">
            <v>28520.450225275679</v>
          </cell>
          <cell r="AY733">
            <v>29024.758025893709</v>
          </cell>
          <cell r="AZ733">
            <v>29680.464497072029</v>
          </cell>
          <cell r="BA733">
            <v>32541.92479637896</v>
          </cell>
          <cell r="BB733">
            <v>36213.551951545371</v>
          </cell>
          <cell r="BC733">
            <v>37229.296759402663</v>
          </cell>
          <cell r="BD733">
            <v>37147.342419814595</v>
          </cell>
          <cell r="BE733">
            <v>36299.137668834679</v>
          </cell>
          <cell r="BF733">
            <v>34029.084404305169</v>
          </cell>
          <cell r="BG733">
            <v>31279.629982154383</v>
          </cell>
        </row>
        <row r="734"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</row>
        <row r="735">
          <cell r="AJ735">
            <v>26686.134106112775</v>
          </cell>
          <cell r="AK735">
            <v>25336.858325619964</v>
          </cell>
          <cell r="AL735">
            <v>24301.725995901787</v>
          </cell>
          <cell r="AM735">
            <v>23593.60998181926</v>
          </cell>
          <cell r="AN735">
            <v>23712.450866946965</v>
          </cell>
          <cell r="AO735">
            <v>24398.002559860815</v>
          </cell>
          <cell r="AP735">
            <v>24846.873061796559</v>
          </cell>
          <cell r="AQ735">
            <v>27839.351971233074</v>
          </cell>
          <cell r="AR735">
            <v>30520.784569932861</v>
          </cell>
          <cell r="AS735">
            <v>31702.320922154853</v>
          </cell>
          <cell r="AT735">
            <v>33311.748343572683</v>
          </cell>
          <cell r="AU735">
            <v>34397.18774163998</v>
          </cell>
          <cell r="AV735">
            <v>32871.099505839855</v>
          </cell>
          <cell r="AW735">
            <v>33975.46349183948</v>
          </cell>
          <cell r="AX735">
            <v>36015.946825266903</v>
          </cell>
          <cell r="AY735">
            <v>36405.205852422972</v>
          </cell>
          <cell r="AZ735">
            <v>36336.353969059484</v>
          </cell>
          <cell r="BA735">
            <v>37476.018743514942</v>
          </cell>
          <cell r="BB735">
            <v>39891.943370441375</v>
          </cell>
          <cell r="BC735">
            <v>40008.220282917508</v>
          </cell>
          <cell r="BD735">
            <v>38809.667355731021</v>
          </cell>
          <cell r="BE735">
            <v>36799.945620934639</v>
          </cell>
          <cell r="BF735">
            <v>33968.728446072833</v>
          </cell>
          <cell r="BG735">
            <v>31073.743787780106</v>
          </cell>
        </row>
        <row r="736">
          <cell r="AJ736">
            <v>27224.652915758732</v>
          </cell>
          <cell r="AK736">
            <v>25510.545909781536</v>
          </cell>
          <cell r="AL736">
            <v>24358.10138767531</v>
          </cell>
          <cell r="AM736">
            <v>23612.205176934709</v>
          </cell>
          <cell r="AN736">
            <v>23454.485699158486</v>
          </cell>
          <cell r="AO736">
            <v>23133.815678017156</v>
          </cell>
          <cell r="AP736">
            <v>23240.622896161312</v>
          </cell>
          <cell r="AQ736">
            <v>26009.58873195147</v>
          </cell>
          <cell r="AR736">
            <v>28704.281705525285</v>
          </cell>
          <cell r="AS736">
            <v>30188.109767129466</v>
          </cell>
          <cell r="AT736">
            <v>31349.977372488851</v>
          </cell>
          <cell r="AU736">
            <v>32192.808390873306</v>
          </cell>
          <cell r="AV736">
            <v>31460.872012546657</v>
          </cell>
          <cell r="AW736">
            <v>31082.862007081811</v>
          </cell>
          <cell r="AX736">
            <v>31502.558712979931</v>
          </cell>
          <cell r="AY736">
            <v>31793.657601220119</v>
          </cell>
          <cell r="AZ736">
            <v>32100.825497965339</v>
          </cell>
          <cell r="BA736">
            <v>34767.423388629941</v>
          </cell>
          <cell r="BB736">
            <v>38548.623877423182</v>
          </cell>
          <cell r="BC736">
            <v>38904.091102827246</v>
          </cell>
          <cell r="BD736">
            <v>37769.772518733575</v>
          </cell>
          <cell r="BE736">
            <v>36099.54552240645</v>
          </cell>
          <cell r="BF736">
            <v>34197.951385327324</v>
          </cell>
          <cell r="BG736">
            <v>31975.783199467103</v>
          </cell>
        </row>
        <row r="737">
          <cell r="AJ737">
            <v>27548.798245983875</v>
          </cell>
          <cell r="AK737">
            <v>26165.81229124645</v>
          </cell>
          <cell r="AL737">
            <v>25060.071617152247</v>
          </cell>
          <cell r="AM737">
            <v>24258.976223781134</v>
          </cell>
          <cell r="AN737">
            <v>23912.46021286587</v>
          </cell>
          <cell r="AO737">
            <v>23104.825334942288</v>
          </cell>
          <cell r="AP737">
            <v>22606.339567530897</v>
          </cell>
          <cell r="AQ737">
            <v>23976.777804048565</v>
          </cell>
          <cell r="AR737">
            <v>25479.83293021204</v>
          </cell>
          <cell r="AS737">
            <v>26740.575228003712</v>
          </cell>
          <cell r="AT737">
            <v>27634.143514674961</v>
          </cell>
          <cell r="AU737">
            <v>28348.665003318405</v>
          </cell>
          <cell r="AV737">
            <v>28814.033437880218</v>
          </cell>
          <cell r="AW737">
            <v>28996.33284627146</v>
          </cell>
          <cell r="AX737">
            <v>29270.664097368699</v>
          </cell>
          <cell r="AY737">
            <v>29852.837188349087</v>
          </cell>
          <cell r="AZ737">
            <v>30235.581466430489</v>
          </cell>
          <cell r="BA737">
            <v>33118.167341122477</v>
          </cell>
          <cell r="BB737">
            <v>37001.122754519201</v>
          </cell>
          <cell r="BC737">
            <v>37929.271241608571</v>
          </cell>
          <cell r="BD737">
            <v>37763.779390761127</v>
          </cell>
          <cell r="BE737">
            <v>36606.1146149985</v>
          </cell>
          <cell r="BF737">
            <v>34210.242132745094</v>
          </cell>
          <cell r="BG737">
            <v>31118.617342187201</v>
          </cell>
        </row>
        <row r="738">
          <cell r="AJ738">
            <v>27548.798245983875</v>
          </cell>
          <cell r="AK738">
            <v>26165.81229124645</v>
          </cell>
          <cell r="AL738">
            <v>25060.071617152247</v>
          </cell>
          <cell r="AM738">
            <v>24258.976223781134</v>
          </cell>
          <cell r="AN738">
            <v>23912.46021286587</v>
          </cell>
          <cell r="AO738">
            <v>23104.825334942288</v>
          </cell>
          <cell r="AP738">
            <v>22606.339567530897</v>
          </cell>
          <cell r="AQ738">
            <v>23976.777804048565</v>
          </cell>
          <cell r="AR738">
            <v>25479.83293021204</v>
          </cell>
          <cell r="AS738">
            <v>26740.575228003712</v>
          </cell>
          <cell r="AT738">
            <v>27634.143514674961</v>
          </cell>
          <cell r="AU738">
            <v>28348.665003318405</v>
          </cell>
          <cell r="AV738">
            <v>28814.033437880218</v>
          </cell>
          <cell r="AW738">
            <v>28996.33284627146</v>
          </cell>
          <cell r="AX738">
            <v>29270.664097368699</v>
          </cell>
          <cell r="AY738">
            <v>29852.837188349087</v>
          </cell>
          <cell r="AZ738">
            <v>30235.581466430489</v>
          </cell>
          <cell r="BA738">
            <v>33118.167341122477</v>
          </cell>
          <cell r="BB738">
            <v>37001.122754519201</v>
          </cell>
          <cell r="BC738">
            <v>37929.271241608571</v>
          </cell>
          <cell r="BD738">
            <v>37763.779390761127</v>
          </cell>
          <cell r="BE738">
            <v>36606.1146149985</v>
          </cell>
          <cell r="BF738">
            <v>34210.242132745094</v>
          </cell>
          <cell r="BG738">
            <v>31118.617342187201</v>
          </cell>
        </row>
        <row r="739">
          <cell r="AJ739">
            <v>26938.081069070078</v>
          </cell>
          <cell r="AK739">
            <v>25492.970889342654</v>
          </cell>
          <cell r="AL739">
            <v>24481.644259544428</v>
          </cell>
          <cell r="AM739">
            <v>23679.145927056856</v>
          </cell>
          <cell r="AN739">
            <v>23749.197259532451</v>
          </cell>
          <cell r="AO739">
            <v>24074.400063188554</v>
          </cell>
          <cell r="AP739">
            <v>24464.687577301283</v>
          </cell>
          <cell r="AQ739">
            <v>27554.711390228444</v>
          </cell>
          <cell r="AR739">
            <v>30214.929605624933</v>
          </cell>
          <cell r="AS739">
            <v>31504.574311570785</v>
          </cell>
          <cell r="AT739">
            <v>33182.29418621576</v>
          </cell>
          <cell r="AU739">
            <v>34363.682393095951</v>
          </cell>
          <cell r="AV739">
            <v>33064.574244122115</v>
          </cell>
          <cell r="AW739">
            <v>33990.151094250199</v>
          </cell>
          <cell r="AX739">
            <v>35946.27955004495</v>
          </cell>
          <cell r="AY739">
            <v>36339.979745412733</v>
          </cell>
          <cell r="AZ739">
            <v>36433.687551002498</v>
          </cell>
          <cell r="BA739">
            <v>37665.863834507676</v>
          </cell>
          <cell r="BB739">
            <v>40046.393356191154</v>
          </cell>
          <cell r="BC739">
            <v>40495.061924447196</v>
          </cell>
          <cell r="BD739">
            <v>39199.623017330086</v>
          </cell>
          <cell r="BE739">
            <v>37224.496055920572</v>
          </cell>
          <cell r="BF739">
            <v>34279.933896867762</v>
          </cell>
          <cell r="BG739">
            <v>31311.145026056103</v>
          </cell>
        </row>
        <row r="740">
          <cell r="AJ740">
            <v>26937.442322666644</v>
          </cell>
          <cell r="AK740">
            <v>25534.114545770346</v>
          </cell>
          <cell r="AL740">
            <v>24485.08443512506</v>
          </cell>
          <cell r="AM740">
            <v>23763.973711329818</v>
          </cell>
          <cell r="AN740">
            <v>23625.289962651546</v>
          </cell>
          <cell r="AO740">
            <v>23269.530014346117</v>
          </cell>
          <cell r="AP740">
            <v>23386.983474958608</v>
          </cell>
          <cell r="AQ740">
            <v>26121.194780829894</v>
          </cell>
          <cell r="AR740">
            <v>28768.414745843216</v>
          </cell>
          <cell r="AS740">
            <v>30295.521590121349</v>
          </cell>
          <cell r="AT740">
            <v>31673.639107157695</v>
          </cell>
          <cell r="AU740">
            <v>32576.23051078109</v>
          </cell>
          <cell r="AV740">
            <v>31939.724901756545</v>
          </cell>
          <cell r="AW740">
            <v>31320.32528388</v>
          </cell>
          <cell r="AX740">
            <v>31580.164907009137</v>
          </cell>
          <cell r="AY740">
            <v>31800.092319005154</v>
          </cell>
          <cell r="AZ740">
            <v>31885.816122009386</v>
          </cell>
          <cell r="BA740">
            <v>34451.738355311456</v>
          </cell>
          <cell r="BB740">
            <v>37540.871257785613</v>
          </cell>
          <cell r="BC740">
            <v>38247.603931459977</v>
          </cell>
          <cell r="BD740">
            <v>37172.720947283538</v>
          </cell>
          <cell r="BE740">
            <v>35330.021191922278</v>
          </cell>
          <cell r="BF740">
            <v>33215.10861368569</v>
          </cell>
          <cell r="BG740">
            <v>31011.990795226448</v>
          </cell>
        </row>
        <row r="741">
          <cell r="AJ741">
            <v>27427.941122824741</v>
          </cell>
          <cell r="AK741">
            <v>25952.511410103973</v>
          </cell>
          <cell r="AL741">
            <v>24788.837658625238</v>
          </cell>
          <cell r="AM741">
            <v>24034.044735469401</v>
          </cell>
          <cell r="AN741">
            <v>23730.944116231909</v>
          </cell>
          <cell r="AO741">
            <v>22896.090047942984</v>
          </cell>
          <cell r="AP741">
            <v>22227.323039608589</v>
          </cell>
          <cell r="AQ741">
            <v>23401.604863755965</v>
          </cell>
          <cell r="AR741">
            <v>24649.201707538115</v>
          </cell>
          <cell r="AS741">
            <v>25817.070660128527</v>
          </cell>
          <cell r="AT741">
            <v>26665.80882671435</v>
          </cell>
          <cell r="AU741">
            <v>27434.148162064699</v>
          </cell>
          <cell r="AV741">
            <v>28111.32971332518</v>
          </cell>
          <cell r="AW741">
            <v>28143.032567119575</v>
          </cell>
          <cell r="AX741">
            <v>28425.75934032541</v>
          </cell>
          <cell r="AY741">
            <v>28888.190509715976</v>
          </cell>
          <cell r="AZ741">
            <v>29389.410035722638</v>
          </cell>
          <cell r="BA741">
            <v>32094.937691529838</v>
          </cell>
          <cell r="BB741">
            <v>35902.088108335854</v>
          </cell>
          <cell r="BC741">
            <v>37558.971808341943</v>
          </cell>
          <cell r="BD741">
            <v>37111.525251857776</v>
          </cell>
          <cell r="BE741">
            <v>35985.823949977523</v>
          </cell>
          <cell r="BF741">
            <v>33885.929580430129</v>
          </cell>
          <cell r="BG741">
            <v>31483.299842995246</v>
          </cell>
        </row>
        <row r="742">
          <cell r="AJ742">
            <v>27427.941122824741</v>
          </cell>
          <cell r="AK742">
            <v>25952.511410103973</v>
          </cell>
          <cell r="AL742">
            <v>24788.837658625238</v>
          </cell>
          <cell r="AM742">
            <v>24034.044735469401</v>
          </cell>
          <cell r="AN742">
            <v>23730.944116231909</v>
          </cell>
          <cell r="AO742">
            <v>22896.090047942984</v>
          </cell>
          <cell r="AP742">
            <v>22227.323039608589</v>
          </cell>
          <cell r="AQ742">
            <v>23401.604863755965</v>
          </cell>
          <cell r="AR742">
            <v>24649.201707538115</v>
          </cell>
          <cell r="AS742">
            <v>25817.070660128527</v>
          </cell>
          <cell r="AT742">
            <v>26665.80882671435</v>
          </cell>
          <cell r="AU742">
            <v>27434.148162064699</v>
          </cell>
          <cell r="AV742">
            <v>28111.32971332518</v>
          </cell>
          <cell r="AW742">
            <v>28143.032567119575</v>
          </cell>
          <cell r="AX742">
            <v>28425.75934032541</v>
          </cell>
          <cell r="AY742">
            <v>28888.190509715976</v>
          </cell>
          <cell r="AZ742">
            <v>29389.410035722638</v>
          </cell>
          <cell r="BA742">
            <v>32094.937691529838</v>
          </cell>
          <cell r="BB742">
            <v>35902.088108335854</v>
          </cell>
          <cell r="BC742">
            <v>37558.971808341943</v>
          </cell>
          <cell r="BD742">
            <v>37111.525251857776</v>
          </cell>
          <cell r="BE742">
            <v>35985.823949977523</v>
          </cell>
          <cell r="BF742">
            <v>33885.929580430129</v>
          </cell>
          <cell r="BG742">
            <v>31483.299842995246</v>
          </cell>
        </row>
        <row r="743">
          <cell r="AJ743">
            <v>26802.036892088745</v>
          </cell>
          <cell r="AK743">
            <v>25326.148916126727</v>
          </cell>
          <cell r="AL743">
            <v>24212.434745467333</v>
          </cell>
          <cell r="AM743">
            <v>23472.863146075604</v>
          </cell>
          <cell r="AN743">
            <v>23414.02762823768</v>
          </cell>
          <cell r="AO743">
            <v>24003.113014776416</v>
          </cell>
          <cell r="AP743">
            <v>24202.856028220198</v>
          </cell>
          <cell r="AQ743">
            <v>27112.195477376426</v>
          </cell>
          <cell r="AR743">
            <v>29686.300052703784</v>
          </cell>
          <cell r="AS743">
            <v>31029.69170065099</v>
          </cell>
          <cell r="AT743">
            <v>32772.824453266767</v>
          </cell>
          <cell r="AU743">
            <v>34169.813623485199</v>
          </cell>
          <cell r="AV743">
            <v>32900.021955613025</v>
          </cell>
          <cell r="AW743">
            <v>34258.701967390167</v>
          </cell>
          <cell r="AX743">
            <v>36546.168166330237</v>
          </cell>
          <cell r="AY743">
            <v>36957.595353103039</v>
          </cell>
          <cell r="AZ743">
            <v>36867.444567690611</v>
          </cell>
          <cell r="BA743">
            <v>37674.465537318385</v>
          </cell>
          <cell r="BB743">
            <v>39543.823995717423</v>
          </cell>
          <cell r="BC743">
            <v>40445.332631745274</v>
          </cell>
          <cell r="BD743">
            <v>39400.832629540113</v>
          </cell>
          <cell r="BE743">
            <v>37489.596902455538</v>
          </cell>
          <cell r="BF743">
            <v>34486.315450647606</v>
          </cell>
          <cell r="BG743">
            <v>31559.643843929869</v>
          </cell>
        </row>
        <row r="744">
          <cell r="AJ744">
            <v>27298.022173411431</v>
          </cell>
          <cell r="AK744">
            <v>25639.121072969443</v>
          </cell>
          <cell r="AL744">
            <v>24427.301673885428</v>
          </cell>
          <cell r="AM744">
            <v>23709.873596494992</v>
          </cell>
          <cell r="AN744">
            <v>23338.219077752954</v>
          </cell>
          <cell r="AO744">
            <v>23070.68288098741</v>
          </cell>
          <cell r="AP744">
            <v>23050.547582886269</v>
          </cell>
          <cell r="AQ744">
            <v>25458.165247751145</v>
          </cell>
          <cell r="AR744">
            <v>28083.808967131226</v>
          </cell>
          <cell r="AS744">
            <v>29657.815944117119</v>
          </cell>
          <cell r="AT744">
            <v>31254.059140821726</v>
          </cell>
          <cell r="AU744">
            <v>32080.753646840414</v>
          </cell>
          <cell r="AV744">
            <v>31542.378740861765</v>
          </cell>
          <cell r="AW744">
            <v>31155.795757194479</v>
          </cell>
          <cell r="AX744">
            <v>31303.585980080174</v>
          </cell>
          <cell r="AY744">
            <v>31259.07879923411</v>
          </cell>
          <cell r="AZ744">
            <v>31398.304249500685</v>
          </cell>
          <cell r="BA744">
            <v>34055.586001368632</v>
          </cell>
          <cell r="BB744">
            <v>36344.937150668302</v>
          </cell>
          <cell r="BC744">
            <v>37053.001459064719</v>
          </cell>
          <cell r="BD744">
            <v>35852.735160128745</v>
          </cell>
          <cell r="BE744">
            <v>34389.29097888578</v>
          </cell>
          <cell r="BF744">
            <v>32540.756532122115</v>
          </cell>
          <cell r="BG744">
            <v>30403.958878765054</v>
          </cell>
        </row>
        <row r="745">
          <cell r="AJ745">
            <v>25430.431978712924</v>
          </cell>
          <cell r="AK745">
            <v>24149.079774182566</v>
          </cell>
          <cell r="AL745">
            <v>23021.30685624008</v>
          </cell>
          <cell r="AM745">
            <v>22349.512591310555</v>
          </cell>
          <cell r="AN745">
            <v>22068.575665055199</v>
          </cell>
          <cell r="AO745">
            <v>21457.988802432013</v>
          </cell>
          <cell r="AP745">
            <v>20831.570692837999</v>
          </cell>
          <cell r="AQ745">
            <v>21944.072914090411</v>
          </cell>
          <cell r="AR745">
            <v>23102.842687618344</v>
          </cell>
          <cell r="AS745">
            <v>24214.826776923819</v>
          </cell>
          <cell r="AT745">
            <v>25260.328288168435</v>
          </cell>
          <cell r="AU745">
            <v>26242.767808694465</v>
          </cell>
          <cell r="AV745">
            <v>27027.891234941839</v>
          </cell>
          <cell r="AW745">
            <v>27333.514576131925</v>
          </cell>
          <cell r="AX745">
            <v>27676.517842542838</v>
          </cell>
          <cell r="AY745">
            <v>28296.155114678088</v>
          </cell>
          <cell r="AZ745">
            <v>28692.214152432432</v>
          </cell>
          <cell r="BA745">
            <v>31290.950160205</v>
          </cell>
          <cell r="BB745">
            <v>35059.236487624461</v>
          </cell>
          <cell r="BC745">
            <v>36998.256132392627</v>
          </cell>
          <cell r="BD745">
            <v>36456.874678370397</v>
          </cell>
          <cell r="BE745">
            <v>34990.507336811221</v>
          </cell>
          <cell r="BF745">
            <v>32316.836867265389</v>
          </cell>
          <cell r="BG745">
            <v>29631.917029227301</v>
          </cell>
        </row>
        <row r="746">
          <cell r="AJ746">
            <v>25430.431978712924</v>
          </cell>
          <cell r="AK746">
            <v>24149.079774182566</v>
          </cell>
          <cell r="AL746">
            <v>23021.30685624008</v>
          </cell>
          <cell r="AM746">
            <v>22349.512591310555</v>
          </cell>
          <cell r="AN746">
            <v>22068.575665055199</v>
          </cell>
          <cell r="AO746">
            <v>21457.988802432013</v>
          </cell>
          <cell r="AP746">
            <v>20831.570692837999</v>
          </cell>
          <cell r="AQ746">
            <v>21944.072914090411</v>
          </cell>
          <cell r="AR746">
            <v>23102.842687618344</v>
          </cell>
          <cell r="AS746">
            <v>24214.826776923819</v>
          </cell>
          <cell r="AT746">
            <v>25260.328288168435</v>
          </cell>
          <cell r="AU746">
            <v>26242.767808694465</v>
          </cell>
          <cell r="AV746">
            <v>27027.891234941839</v>
          </cell>
          <cell r="AW746">
            <v>27333.514576131925</v>
          </cell>
          <cell r="AX746">
            <v>27676.517842542838</v>
          </cell>
          <cell r="AY746">
            <v>28296.155114678088</v>
          </cell>
          <cell r="AZ746">
            <v>28692.214152432432</v>
          </cell>
          <cell r="BA746">
            <v>31290.950160205</v>
          </cell>
          <cell r="BB746">
            <v>35059.236487624461</v>
          </cell>
          <cell r="BC746">
            <v>36998.256132392627</v>
          </cell>
          <cell r="BD746">
            <v>36456.874678370397</v>
          </cell>
          <cell r="BE746">
            <v>34990.507336811221</v>
          </cell>
          <cell r="BF746">
            <v>32316.836867265389</v>
          </cell>
          <cell r="BG746">
            <v>29631.917029227301</v>
          </cell>
        </row>
        <row r="747">
          <cell r="AJ747">
            <v>26665.266246374998</v>
          </cell>
          <cell r="AK747">
            <v>25089.634480313649</v>
          </cell>
          <cell r="AL747">
            <v>23970.344975104257</v>
          </cell>
          <cell r="AM747">
            <v>23201.536094202573</v>
          </cell>
          <cell r="AN747">
            <v>23146.845422204638</v>
          </cell>
          <cell r="AO747">
            <v>23930.163561097052</v>
          </cell>
          <cell r="AP747">
            <v>24112.488285984851</v>
          </cell>
          <cell r="AQ747">
            <v>26761.906323747316</v>
          </cell>
          <cell r="AR747">
            <v>29356.900285706655</v>
          </cell>
          <cell r="AS747">
            <v>30647.457115985224</v>
          </cell>
          <cell r="AT747">
            <v>32470.941538616215</v>
          </cell>
          <cell r="AU747">
            <v>34097.347747008898</v>
          </cell>
          <cell r="AV747">
            <v>32648.195819725152</v>
          </cell>
          <cell r="AW747">
            <v>33910.490876488853</v>
          </cell>
          <cell r="AX747">
            <v>36270.885298276269</v>
          </cell>
          <cell r="AY747">
            <v>36703.694591357918</v>
          </cell>
          <cell r="AZ747">
            <v>36478.449318788917</v>
          </cell>
          <cell r="BA747">
            <v>37534.90821210252</v>
          </cell>
          <cell r="BB747">
            <v>39953.456778256106</v>
          </cell>
          <cell r="BC747">
            <v>40547.685018176046</v>
          </cell>
          <cell r="BD747">
            <v>39450.171927785792</v>
          </cell>
          <cell r="BE747">
            <v>37480.102469114026</v>
          </cell>
          <cell r="BF747">
            <v>34439.486399908848</v>
          </cell>
          <cell r="BG747">
            <v>31552.38393221924</v>
          </cell>
        </row>
        <row r="748">
          <cell r="AJ748">
            <v>27014.411531724461</v>
          </cell>
          <cell r="AK748">
            <v>25535.371397359278</v>
          </cell>
          <cell r="AL748">
            <v>24436.070595694211</v>
          </cell>
          <cell r="AM748">
            <v>23582.92047005866</v>
          </cell>
          <cell r="AN748">
            <v>23039.112345672362</v>
          </cell>
          <cell r="AO748">
            <v>22782.820317791316</v>
          </cell>
          <cell r="AP748">
            <v>22705.143805485284</v>
          </cell>
          <cell r="AQ748">
            <v>25073.483302734327</v>
          </cell>
          <cell r="AR748">
            <v>27404.853161267813</v>
          </cell>
          <cell r="AS748">
            <v>28957.451076226174</v>
          </cell>
          <cell r="AT748">
            <v>30319.8408169225</v>
          </cell>
          <cell r="AU748">
            <v>30759.015784732808</v>
          </cell>
          <cell r="AV748">
            <v>30214.259949906063</v>
          </cell>
          <cell r="AW748">
            <v>29874.293257475238</v>
          </cell>
          <cell r="AX748">
            <v>30423.42690691087</v>
          </cell>
          <cell r="AY748">
            <v>30796.110445491089</v>
          </cell>
          <cell r="AZ748">
            <v>31016.228867415557</v>
          </cell>
          <cell r="BA748">
            <v>33744.153115519694</v>
          </cell>
          <cell r="BB748">
            <v>37399.173080297885</v>
          </cell>
          <cell r="BC748">
            <v>37636.187260324587</v>
          </cell>
          <cell r="BD748">
            <v>36281.037789456357</v>
          </cell>
          <cell r="BE748">
            <v>34681.425965954862</v>
          </cell>
          <cell r="BF748">
            <v>32625.258176405598</v>
          </cell>
          <cell r="BG748">
            <v>30345.411384074552</v>
          </cell>
        </row>
        <row r="749">
          <cell r="AJ749">
            <v>26335.823281747442</v>
          </cell>
          <cell r="AK749">
            <v>24969.544627652718</v>
          </cell>
          <cell r="AL749">
            <v>23764.876626346046</v>
          </cell>
          <cell r="AM749">
            <v>23067.907125395905</v>
          </cell>
          <cell r="AN749">
            <v>22686.504738633474</v>
          </cell>
          <cell r="AO749">
            <v>22309.652856477394</v>
          </cell>
          <cell r="AP749">
            <v>21570.045474649083</v>
          </cell>
          <cell r="AQ749">
            <v>22680.328708340741</v>
          </cell>
          <cell r="AR749">
            <v>23724.101419928007</v>
          </cell>
          <cell r="AS749">
            <v>24782.954588594355</v>
          </cell>
          <cell r="AT749">
            <v>25775.754718948592</v>
          </cell>
          <cell r="AU749">
            <v>26683.691941273817</v>
          </cell>
          <cell r="AV749">
            <v>27282.038431312823</v>
          </cell>
          <cell r="AW749">
            <v>27489.868367293846</v>
          </cell>
          <cell r="AX749">
            <v>27824.163687540444</v>
          </cell>
          <cell r="AY749">
            <v>28255.644809988164</v>
          </cell>
          <cell r="AZ749">
            <v>28711.630373351178</v>
          </cell>
          <cell r="BA749">
            <v>31653.369837953811</v>
          </cell>
          <cell r="BB749">
            <v>35744.483959374193</v>
          </cell>
          <cell r="BC749">
            <v>37229.531727908201</v>
          </cell>
          <cell r="BD749">
            <v>36957.675507340849</v>
          </cell>
          <cell r="BE749">
            <v>35699.309889826065</v>
          </cell>
          <cell r="BF749">
            <v>33136.398264411764</v>
          </cell>
          <cell r="BG749">
            <v>30401.736456492486</v>
          </cell>
        </row>
        <row r="750">
          <cell r="AJ750">
            <v>26335.823281747442</v>
          </cell>
          <cell r="AK750">
            <v>24969.544627652718</v>
          </cell>
          <cell r="AL750">
            <v>23764.876626346046</v>
          </cell>
          <cell r="AM750">
            <v>23067.907125395905</v>
          </cell>
          <cell r="AN750">
            <v>22686.504738633474</v>
          </cell>
          <cell r="AO750">
            <v>22309.652856477394</v>
          </cell>
          <cell r="AP750">
            <v>21570.045474649083</v>
          </cell>
          <cell r="AQ750">
            <v>22680.328708340741</v>
          </cell>
          <cell r="AR750">
            <v>23724.101419928007</v>
          </cell>
          <cell r="AS750">
            <v>24782.954588594355</v>
          </cell>
          <cell r="AT750">
            <v>25775.754718948592</v>
          </cell>
          <cell r="AU750">
            <v>26683.691941273817</v>
          </cell>
          <cell r="AV750">
            <v>27282.038431312823</v>
          </cell>
          <cell r="AW750">
            <v>27489.868367293846</v>
          </cell>
          <cell r="AX750">
            <v>27824.163687540444</v>
          </cell>
          <cell r="AY750">
            <v>28255.644809988164</v>
          </cell>
          <cell r="AZ750">
            <v>28711.630373351178</v>
          </cell>
          <cell r="BA750">
            <v>31653.369837953811</v>
          </cell>
          <cell r="BB750">
            <v>35744.483959374193</v>
          </cell>
          <cell r="BC750">
            <v>37229.531727908201</v>
          </cell>
          <cell r="BD750">
            <v>36957.675507340849</v>
          </cell>
          <cell r="BE750">
            <v>35699.309889826065</v>
          </cell>
          <cell r="BF750">
            <v>33136.398264411764</v>
          </cell>
          <cell r="BG750">
            <v>30401.736456492486</v>
          </cell>
        </row>
        <row r="751">
          <cell r="AJ751">
            <v>26581.68385894872</v>
          </cell>
          <cell r="AK751">
            <v>25075.598824237695</v>
          </cell>
          <cell r="AL751">
            <v>23957.187412059026</v>
          </cell>
          <cell r="AM751">
            <v>23132.326573214232</v>
          </cell>
          <cell r="AN751">
            <v>23062.452311762405</v>
          </cell>
          <cell r="AO751">
            <v>23818.484881261629</v>
          </cell>
          <cell r="AP751">
            <v>24033.294244310266</v>
          </cell>
          <cell r="AQ751">
            <v>26813.40459341072</v>
          </cell>
          <cell r="AR751">
            <v>29551.450748098519</v>
          </cell>
          <cell r="AS751">
            <v>30906.668971046292</v>
          </cell>
          <cell r="AT751">
            <v>32477.75160692725</v>
          </cell>
          <cell r="AU751">
            <v>33948.471194814752</v>
          </cell>
          <cell r="AV751">
            <v>32680.201587036587</v>
          </cell>
          <cell r="AW751">
            <v>33787.491727807166</v>
          </cell>
          <cell r="AX751">
            <v>35986.275111446128</v>
          </cell>
          <cell r="AY751">
            <v>36426.638822885288</v>
          </cell>
          <cell r="AZ751">
            <v>36255.910258746138</v>
          </cell>
          <cell r="BA751">
            <v>37687.959416066922</v>
          </cell>
          <cell r="BB751">
            <v>40247.54485643487</v>
          </cell>
          <cell r="BC751">
            <v>39874.699480860341</v>
          </cell>
          <cell r="BD751">
            <v>38654.423046058015</v>
          </cell>
          <cell r="BE751">
            <v>36609.496001301413</v>
          </cell>
          <cell r="BF751">
            <v>33527.293928837913</v>
          </cell>
          <cell r="BG751">
            <v>30709.182277316697</v>
          </cell>
        </row>
        <row r="752">
          <cell r="AJ752">
            <v>25712.67529263395</v>
          </cell>
          <cell r="AK752">
            <v>24315.167512178785</v>
          </cell>
          <cell r="AL752">
            <v>23258.391861646196</v>
          </cell>
          <cell r="AM752">
            <v>22480.914200289451</v>
          </cell>
          <cell r="AN752">
            <v>22250.06639383006</v>
          </cell>
          <cell r="AO752">
            <v>22087.747787525295</v>
          </cell>
          <cell r="AP752">
            <v>22237.668428392972</v>
          </cell>
          <cell r="AQ752">
            <v>24824.33242434455</v>
          </cell>
          <cell r="AR752">
            <v>27441.824521683535</v>
          </cell>
          <cell r="AS752">
            <v>28695.884338916399</v>
          </cell>
          <cell r="AT752">
            <v>30420.321469289771</v>
          </cell>
          <cell r="AU752">
            <v>31211.468780015603</v>
          </cell>
          <cell r="AV752">
            <v>30871.130027838622</v>
          </cell>
          <cell r="AW752">
            <v>30535.677175945475</v>
          </cell>
          <cell r="AX752">
            <v>30905.907271318381</v>
          </cell>
          <cell r="AY752">
            <v>31014.948882285757</v>
          </cell>
          <cell r="AZ752">
            <v>31056.660571458477</v>
          </cell>
          <cell r="BA752">
            <v>34326.271616099861</v>
          </cell>
          <cell r="BB752">
            <v>38166.957167630011</v>
          </cell>
          <cell r="BC752">
            <v>37868.765807595897</v>
          </cell>
          <cell r="BD752">
            <v>36569.415453819885</v>
          </cell>
          <cell r="BE752">
            <v>34945.868581562703</v>
          </cell>
          <cell r="BF752">
            <v>33097.217114989842</v>
          </cell>
          <cell r="BG752">
            <v>30830.414681259521</v>
          </cell>
        </row>
        <row r="753">
          <cell r="AJ753">
            <v>26453.571620065894</v>
          </cell>
          <cell r="AK753">
            <v>25011.488141443253</v>
          </cell>
          <cell r="AL753">
            <v>23752.504927616668</v>
          </cell>
          <cell r="AM753">
            <v>22918.09256491956</v>
          </cell>
          <cell r="AN753">
            <v>22554.193563407978</v>
          </cell>
          <cell r="AO753">
            <v>21868.461000440042</v>
          </cell>
          <cell r="AP753">
            <v>21102.940529810923</v>
          </cell>
          <cell r="AQ753">
            <v>22415.28988888504</v>
          </cell>
          <cell r="AR753">
            <v>23535.486421704783</v>
          </cell>
          <cell r="AS753">
            <v>24824.457796783023</v>
          </cell>
          <cell r="AT753">
            <v>25873.194194617907</v>
          </cell>
          <cell r="AU753">
            <v>26584.919692661857</v>
          </cell>
          <cell r="AV753">
            <v>27292.790973052448</v>
          </cell>
          <cell r="AW753">
            <v>27474.828877733446</v>
          </cell>
          <cell r="AX753">
            <v>27613.776354479596</v>
          </cell>
          <cell r="AY753">
            <v>28202.527307929213</v>
          </cell>
          <cell r="AZ753">
            <v>28595.07340714326</v>
          </cell>
          <cell r="BA753">
            <v>31953.310020284895</v>
          </cell>
          <cell r="BB753">
            <v>36129.95079721394</v>
          </cell>
          <cell r="BC753">
            <v>36702.448975309249</v>
          </cell>
          <cell r="BD753">
            <v>36270.218171032458</v>
          </cell>
          <cell r="BE753">
            <v>34955.973564688938</v>
          </cell>
          <cell r="BF753">
            <v>32499.118989235318</v>
          </cell>
          <cell r="BG753">
            <v>29851.588169846287</v>
          </cell>
        </row>
        <row r="754"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</row>
        <row r="755">
          <cell r="AJ755">
            <v>25434.744274133918</v>
          </cell>
          <cell r="AK755">
            <v>23993.456559506631</v>
          </cell>
          <cell r="AL755">
            <v>22949.546679662322</v>
          </cell>
          <cell r="AM755">
            <v>22181.485458115134</v>
          </cell>
          <cell r="AN755">
            <v>22223.28230117599</v>
          </cell>
          <cell r="AO755">
            <v>22888.096214647547</v>
          </cell>
          <cell r="AP755">
            <v>23393.723503343008</v>
          </cell>
          <cell r="AQ755">
            <v>26168.826229339731</v>
          </cell>
          <cell r="AR755">
            <v>28741.857404144237</v>
          </cell>
          <cell r="AS755">
            <v>30058.261259644925</v>
          </cell>
          <cell r="AT755">
            <v>31543.232321391428</v>
          </cell>
          <cell r="AU755">
            <v>32856.805721519602</v>
          </cell>
          <cell r="AV755">
            <v>31351.44209689381</v>
          </cell>
          <cell r="AW755">
            <v>32329.865800700281</v>
          </cell>
          <cell r="AX755">
            <v>34424.780886486304</v>
          </cell>
          <cell r="AY755">
            <v>35110.186070887787</v>
          </cell>
          <cell r="AZ755">
            <v>35233.657732024898</v>
          </cell>
          <cell r="BA755">
            <v>37610.957340424029</v>
          </cell>
          <cell r="BB755">
            <v>39971.210170180027</v>
          </cell>
          <cell r="BC755">
            <v>39096.124052978463</v>
          </cell>
          <cell r="BD755">
            <v>37690.675045436525</v>
          </cell>
          <cell r="BE755">
            <v>35670.5561655321</v>
          </cell>
          <cell r="BF755">
            <v>32689.03656084519</v>
          </cell>
          <cell r="BG755">
            <v>29776.46524871037</v>
          </cell>
        </row>
        <row r="756">
          <cell r="AJ756">
            <v>25837.936371472973</v>
          </cell>
          <cell r="AK756">
            <v>24260.107205324097</v>
          </cell>
          <cell r="AL756">
            <v>23008.707519465755</v>
          </cell>
          <cell r="AM756">
            <v>22227.790344592664</v>
          </cell>
          <cell r="AN756">
            <v>22196.841416668227</v>
          </cell>
          <cell r="AO756">
            <v>22073.705967239999</v>
          </cell>
          <cell r="AP756">
            <v>22320.112759499021</v>
          </cell>
          <cell r="AQ756">
            <v>24612.435087855902</v>
          </cell>
          <cell r="AR756">
            <v>27119.888482324957</v>
          </cell>
          <cell r="AS756">
            <v>28525.64545026113</v>
          </cell>
          <cell r="AT756">
            <v>30121.871274478366</v>
          </cell>
          <cell r="AU756">
            <v>30953.954956822621</v>
          </cell>
          <cell r="AV756">
            <v>30341.417586871667</v>
          </cell>
          <cell r="AW756">
            <v>30024.38065129504</v>
          </cell>
          <cell r="AX756">
            <v>30519.382150216599</v>
          </cell>
          <cell r="AY756">
            <v>31122.388820511347</v>
          </cell>
          <cell r="AZ756">
            <v>31401.945663816892</v>
          </cell>
          <cell r="BA756">
            <v>34965.336020483657</v>
          </cell>
          <cell r="BB756">
            <v>38251.13771064789</v>
          </cell>
          <cell r="BC756">
            <v>37532.660829843444</v>
          </cell>
          <cell r="BD756">
            <v>36098.397786822701</v>
          </cell>
          <cell r="BE756">
            <v>34306.24924875515</v>
          </cell>
          <cell r="BF756">
            <v>32180.648992945968</v>
          </cell>
          <cell r="BG756">
            <v>29901.477367572123</v>
          </cell>
        </row>
        <row r="757">
          <cell r="AJ757">
            <v>25700.369683436733</v>
          </cell>
          <cell r="AK757">
            <v>24247.501495383465</v>
          </cell>
          <cell r="AL757">
            <v>23081.897174962931</v>
          </cell>
          <cell r="AM757">
            <v>22368.074108368502</v>
          </cell>
          <cell r="AN757">
            <v>22030.168030635738</v>
          </cell>
          <cell r="AO757">
            <v>21505.637464548094</v>
          </cell>
          <cell r="AP757">
            <v>20719.93151714648</v>
          </cell>
          <cell r="AQ757">
            <v>21995.070336257806</v>
          </cell>
          <cell r="AR757">
            <v>23259.5536835122</v>
          </cell>
          <cell r="AS757">
            <v>24356.671453069535</v>
          </cell>
          <cell r="AT757">
            <v>25529.37131723627</v>
          </cell>
          <cell r="AU757">
            <v>26580.347872502654</v>
          </cell>
          <cell r="AV757">
            <v>27155.741593215214</v>
          </cell>
          <cell r="AW757">
            <v>27315.37315769829</v>
          </cell>
          <cell r="AX757">
            <v>27658.695753310592</v>
          </cell>
          <cell r="AY757">
            <v>27816.645568908923</v>
          </cell>
          <cell r="AZ757">
            <v>28565.894066429122</v>
          </cell>
          <cell r="BA757">
            <v>32372.834227127532</v>
          </cell>
          <cell r="BB757">
            <v>36293.912420649183</v>
          </cell>
          <cell r="BC757">
            <v>36532.574965330205</v>
          </cell>
          <cell r="BD757">
            <v>35997.642573097917</v>
          </cell>
          <cell r="BE757">
            <v>34615.336136321523</v>
          </cell>
          <cell r="BF757">
            <v>32064.309792058502</v>
          </cell>
          <cell r="BG757">
            <v>29482.343534215372</v>
          </cell>
        </row>
        <row r="758">
          <cell r="AJ758">
            <v>25700.369683436733</v>
          </cell>
          <cell r="AK758">
            <v>24247.501495383465</v>
          </cell>
          <cell r="AL758">
            <v>23081.897174962931</v>
          </cell>
          <cell r="AM758">
            <v>22368.074108368502</v>
          </cell>
          <cell r="AN758">
            <v>22030.168030635738</v>
          </cell>
          <cell r="AO758">
            <v>21505.637464548094</v>
          </cell>
          <cell r="AP758">
            <v>20719.93151714648</v>
          </cell>
          <cell r="AQ758">
            <v>21995.070336257806</v>
          </cell>
          <cell r="AR758">
            <v>23259.5536835122</v>
          </cell>
          <cell r="AS758">
            <v>24356.671453069535</v>
          </cell>
          <cell r="AT758">
            <v>25529.37131723627</v>
          </cell>
          <cell r="AU758">
            <v>26580.347872502654</v>
          </cell>
          <cell r="AV758">
            <v>27155.741593215214</v>
          </cell>
          <cell r="AW758">
            <v>27315.37315769829</v>
          </cell>
          <cell r="AX758">
            <v>27658.695753310592</v>
          </cell>
          <cell r="AY758">
            <v>27816.645568908923</v>
          </cell>
          <cell r="AZ758">
            <v>28565.894066429122</v>
          </cell>
          <cell r="BA758">
            <v>32372.834227127532</v>
          </cell>
          <cell r="BB758">
            <v>36293.912420649183</v>
          </cell>
          <cell r="BC758">
            <v>36532.574965330205</v>
          </cell>
          <cell r="BD758">
            <v>35997.642573097917</v>
          </cell>
          <cell r="BE758">
            <v>34615.336136321523</v>
          </cell>
          <cell r="BF758">
            <v>32064.309792058502</v>
          </cell>
          <cell r="BG758">
            <v>29482.343534215372</v>
          </cell>
        </row>
        <row r="759">
          <cell r="AJ759">
            <v>25147.963309987845</v>
          </cell>
          <cell r="AK759">
            <v>23750.192404323647</v>
          </cell>
          <cell r="AL759">
            <v>22719.465946810666</v>
          </cell>
          <cell r="AM759">
            <v>22020.773903049903</v>
          </cell>
          <cell r="AN759">
            <v>22065.677504635241</v>
          </cell>
          <cell r="AO759">
            <v>22733.570194912798</v>
          </cell>
          <cell r="AP759">
            <v>23262.959523879817</v>
          </cell>
          <cell r="AQ759">
            <v>26213.03958617125</v>
          </cell>
          <cell r="AR759">
            <v>28828.109583781548</v>
          </cell>
          <cell r="AS759">
            <v>30079.350418772774</v>
          </cell>
          <cell r="AT759">
            <v>31481.845145212759</v>
          </cell>
          <cell r="AU759">
            <v>32543.618901076552</v>
          </cell>
          <cell r="AV759">
            <v>31121.812964450855</v>
          </cell>
          <cell r="AW759">
            <v>31945.113668654816</v>
          </cell>
          <cell r="AX759">
            <v>33784.041939676616</v>
          </cell>
          <cell r="AY759">
            <v>34483.820407501415</v>
          </cell>
          <cell r="AZ759">
            <v>34695.261400844982</v>
          </cell>
          <cell r="BA759">
            <v>37382.116243092656</v>
          </cell>
          <cell r="BB759">
            <v>39201.171907870063</v>
          </cell>
          <cell r="BC759">
            <v>38317.87237946051</v>
          </cell>
          <cell r="BD759">
            <v>37024.214169773142</v>
          </cell>
          <cell r="BE759">
            <v>35102.460376875737</v>
          </cell>
          <cell r="BF759">
            <v>32272.706198801126</v>
          </cell>
          <cell r="BG759">
            <v>29473.447691446476</v>
          </cell>
        </row>
        <row r="760">
          <cell r="AJ760">
            <v>24407.699626840335</v>
          </cell>
          <cell r="AK760">
            <v>23137.953599256289</v>
          </cell>
          <cell r="AL760">
            <v>22226.133132110572</v>
          </cell>
          <cell r="AM760">
            <v>21630.603351983791</v>
          </cell>
          <cell r="AN760">
            <v>21592.83141467514</v>
          </cell>
          <cell r="AO760">
            <v>21499.998007046095</v>
          </cell>
          <cell r="AP760">
            <v>21760.157529485616</v>
          </cell>
          <cell r="AQ760">
            <v>24474.901204404967</v>
          </cell>
          <cell r="AR760">
            <v>27088.286809936038</v>
          </cell>
          <cell r="AS760">
            <v>28521.57773369355</v>
          </cell>
          <cell r="AT760">
            <v>30141.912890148924</v>
          </cell>
          <cell r="AU760">
            <v>30815.099698520164</v>
          </cell>
          <cell r="AV760">
            <v>30230.585085658018</v>
          </cell>
          <cell r="AW760">
            <v>29606.736992329341</v>
          </cell>
          <cell r="AX760">
            <v>29486.813578807883</v>
          </cell>
          <cell r="AY760">
            <v>30010.367412433847</v>
          </cell>
          <cell r="AZ760">
            <v>30400.063098870338</v>
          </cell>
          <cell r="BA760">
            <v>34437.344187624425</v>
          </cell>
          <cell r="BB760">
            <v>37235.93163191474</v>
          </cell>
          <cell r="BC760">
            <v>36605.583774352635</v>
          </cell>
          <cell r="BD760">
            <v>35324.120351221587</v>
          </cell>
          <cell r="BE760">
            <v>33731.701319806336</v>
          </cell>
          <cell r="BF760">
            <v>31720.841423474209</v>
          </cell>
          <cell r="BG760">
            <v>29436.110684659561</v>
          </cell>
        </row>
        <row r="761">
          <cell r="AJ761">
            <v>25477.068579647108</v>
          </cell>
          <cell r="AK761">
            <v>24183.659570750311</v>
          </cell>
          <cell r="AL761">
            <v>23040.397327013874</v>
          </cell>
          <cell r="AM761">
            <v>22264.198251597783</v>
          </cell>
          <cell r="AN761">
            <v>21934.140437950966</v>
          </cell>
          <cell r="AO761">
            <v>21518.132069224437</v>
          </cell>
          <cell r="AP761">
            <v>20823.333870951108</v>
          </cell>
          <cell r="AQ761">
            <v>22067.497424891157</v>
          </cell>
          <cell r="AR761">
            <v>23328.678380394205</v>
          </cell>
          <cell r="AS761">
            <v>24458.515778481655</v>
          </cell>
          <cell r="AT761">
            <v>25667.149062481843</v>
          </cell>
          <cell r="AU761">
            <v>26305.892745890735</v>
          </cell>
          <cell r="AV761">
            <v>26862.647809492355</v>
          </cell>
          <cell r="AW761">
            <v>26918.662655820783</v>
          </cell>
          <cell r="AX761">
            <v>26954.817654124545</v>
          </cell>
          <cell r="AY761">
            <v>27325.754718577922</v>
          </cell>
          <cell r="AZ761">
            <v>27871.970887819774</v>
          </cell>
          <cell r="BA761">
            <v>32110.33803565945</v>
          </cell>
          <cell r="BB761">
            <v>35096.493579023816</v>
          </cell>
          <cell r="BC761">
            <v>35137.694114882048</v>
          </cell>
          <cell r="BD761">
            <v>34374.971568339723</v>
          </cell>
          <cell r="BE761">
            <v>33069.513918654069</v>
          </cell>
          <cell r="BF761">
            <v>31016.471507043574</v>
          </cell>
          <cell r="BG761">
            <v>28829.627095591524</v>
          </cell>
        </row>
        <row r="762">
          <cell r="AJ762">
            <v>25477.068579647108</v>
          </cell>
          <cell r="AK762">
            <v>24183.659570750311</v>
          </cell>
          <cell r="AL762">
            <v>23040.397327013874</v>
          </cell>
          <cell r="AM762">
            <v>22264.198251597783</v>
          </cell>
          <cell r="AN762">
            <v>21934.140437950966</v>
          </cell>
          <cell r="AO762">
            <v>21518.132069224437</v>
          </cell>
          <cell r="AP762">
            <v>20823.333870951108</v>
          </cell>
          <cell r="AQ762">
            <v>22067.497424891157</v>
          </cell>
          <cell r="AR762">
            <v>23328.678380394205</v>
          </cell>
          <cell r="AS762">
            <v>24458.515778481655</v>
          </cell>
          <cell r="AT762">
            <v>25667.149062481843</v>
          </cell>
          <cell r="AU762">
            <v>26305.892745890735</v>
          </cell>
          <cell r="AV762">
            <v>26862.647809492355</v>
          </cell>
          <cell r="AW762">
            <v>26918.662655820783</v>
          </cell>
          <cell r="AX762">
            <v>26954.817654124545</v>
          </cell>
          <cell r="AY762">
            <v>27325.754718577922</v>
          </cell>
          <cell r="AZ762">
            <v>27871.970887819774</v>
          </cell>
          <cell r="BA762">
            <v>32110.33803565945</v>
          </cell>
          <cell r="BB762">
            <v>35096.493579023816</v>
          </cell>
          <cell r="BC762">
            <v>35137.694114882048</v>
          </cell>
          <cell r="BD762">
            <v>34374.971568339723</v>
          </cell>
          <cell r="BE762">
            <v>33069.513918654069</v>
          </cell>
          <cell r="BF762">
            <v>31016.471507043574</v>
          </cell>
          <cell r="BG762">
            <v>28829.627095591524</v>
          </cell>
        </row>
        <row r="763">
          <cell r="AJ763">
            <v>27051.403967596627</v>
          </cell>
          <cell r="AK763">
            <v>25455.900295000694</v>
          </cell>
          <cell r="AL763">
            <v>24300.684242100138</v>
          </cell>
          <cell r="AM763">
            <v>23585.709861723793</v>
          </cell>
          <cell r="AN763">
            <v>23471.221347480445</v>
          </cell>
          <cell r="AO763">
            <v>23900.482552430374</v>
          </cell>
          <cell r="AP763">
            <v>23988.035624178476</v>
          </cell>
          <cell r="AQ763">
            <v>26838.504235904526</v>
          </cell>
          <cell r="AR763">
            <v>29406.229954391463</v>
          </cell>
          <cell r="AS763">
            <v>30886.452890452059</v>
          </cell>
          <cell r="AT763">
            <v>32262.213971242425</v>
          </cell>
          <cell r="AU763">
            <v>33369.627141079378</v>
          </cell>
          <cell r="AV763">
            <v>32402.309033381513</v>
          </cell>
          <cell r="AW763">
            <v>32907.93230291878</v>
          </cell>
          <cell r="AX763">
            <v>34523.411858184954</v>
          </cell>
          <cell r="AY763">
            <v>35221.528976820053</v>
          </cell>
          <cell r="AZ763">
            <v>35493.239789818108</v>
          </cell>
          <cell r="BA763">
            <v>38122.967122540489</v>
          </cell>
          <cell r="BB763">
            <v>41123.34407935194</v>
          </cell>
          <cell r="BC763">
            <v>40349.709658500644</v>
          </cell>
          <cell r="BD763">
            <v>38909.561376335107</v>
          </cell>
          <cell r="BE763">
            <v>36819.770104281721</v>
          </cell>
          <cell r="BF763">
            <v>34166.944901916002</v>
          </cell>
          <cell r="BG763">
            <v>31598.393408374686</v>
          </cell>
        </row>
        <row r="764">
          <cell r="AJ764">
            <v>27486.296497849737</v>
          </cell>
          <cell r="AK764">
            <v>25810.41600734627</v>
          </cell>
          <cell r="AL764">
            <v>24720.420575203043</v>
          </cell>
          <cell r="AM764">
            <v>23908.665224606008</v>
          </cell>
          <cell r="AN764">
            <v>23663.347592085065</v>
          </cell>
          <cell r="AO764">
            <v>23684.252786300967</v>
          </cell>
          <cell r="AP764">
            <v>23353.446036470283</v>
          </cell>
          <cell r="AQ764">
            <v>25426.700022024783</v>
          </cell>
          <cell r="AR764">
            <v>28252.843220571147</v>
          </cell>
          <cell r="AS764">
            <v>29895.260373515532</v>
          </cell>
          <cell r="AT764">
            <v>31369.860839694309</v>
          </cell>
          <cell r="AU764">
            <v>32331.42429064586</v>
          </cell>
          <cell r="AV764">
            <v>31751.760845605088</v>
          </cell>
          <cell r="AW764">
            <v>31599.778765776111</v>
          </cell>
          <cell r="AX764">
            <v>31573.195674712719</v>
          </cell>
          <cell r="AY764">
            <v>32195.131403523228</v>
          </cell>
          <cell r="AZ764">
            <v>32660.74261386519</v>
          </cell>
          <cell r="BA764">
            <v>35969.850345554114</v>
          </cell>
          <cell r="BB764">
            <v>39950.197311889591</v>
          </cell>
          <cell r="BC764">
            <v>39351.360603774308</v>
          </cell>
          <cell r="BD764">
            <v>37864.063865089745</v>
          </cell>
          <cell r="BE764">
            <v>36286.661803375195</v>
          </cell>
          <cell r="BF764">
            <v>34072.8483654144</v>
          </cell>
          <cell r="BG764">
            <v>31810.784230107063</v>
          </cell>
        </row>
        <row r="765">
          <cell r="AJ765">
            <v>27657.729209578545</v>
          </cell>
          <cell r="AK765">
            <v>26199.399116401688</v>
          </cell>
          <cell r="AL765">
            <v>25026.113623663368</v>
          </cell>
          <cell r="AM765">
            <v>24199.821682804592</v>
          </cell>
          <cell r="AN765">
            <v>23827.285298836068</v>
          </cell>
          <cell r="AO765">
            <v>23568.735301753171</v>
          </cell>
          <cell r="AP765">
            <v>22339.090550457884</v>
          </cell>
          <cell r="AQ765">
            <v>23367.645147565967</v>
          </cell>
          <cell r="AR765">
            <v>24791.531998921051</v>
          </cell>
          <cell r="AS765">
            <v>26154.861383375235</v>
          </cell>
          <cell r="AT765">
            <v>27048.414117844677</v>
          </cell>
          <cell r="AU765">
            <v>27888.786739683019</v>
          </cell>
          <cell r="AV765">
            <v>28440.604667633008</v>
          </cell>
          <cell r="AW765">
            <v>28849.144871983273</v>
          </cell>
          <cell r="AX765">
            <v>28002.193411119311</v>
          </cell>
          <cell r="AY765">
            <v>29123.023762700705</v>
          </cell>
          <cell r="AZ765">
            <v>29873.627823177489</v>
          </cell>
          <cell r="BA765">
            <v>33425.97726544844</v>
          </cell>
          <cell r="BB765">
            <v>37436.202304844111</v>
          </cell>
          <cell r="BC765">
            <v>37087.803669954774</v>
          </cell>
          <cell r="BD765">
            <v>36133.839252953359</v>
          </cell>
          <cell r="BE765">
            <v>34859.268570270156</v>
          </cell>
          <cell r="BF765">
            <v>32899.528376889451</v>
          </cell>
          <cell r="BG765">
            <v>30904.804540990779</v>
          </cell>
        </row>
        <row r="766">
          <cell r="AJ766">
            <v>27657.729209578545</v>
          </cell>
          <cell r="AK766">
            <v>26199.399116401688</v>
          </cell>
          <cell r="AL766">
            <v>25026.113623663368</v>
          </cell>
          <cell r="AM766">
            <v>24199.821682804592</v>
          </cell>
          <cell r="AN766">
            <v>23827.285298836068</v>
          </cell>
          <cell r="AO766">
            <v>23568.735301753171</v>
          </cell>
          <cell r="AP766">
            <v>22339.090550457884</v>
          </cell>
          <cell r="AQ766">
            <v>23367.645147565967</v>
          </cell>
          <cell r="AR766">
            <v>24791.531998921051</v>
          </cell>
          <cell r="AS766">
            <v>26154.861383375235</v>
          </cell>
          <cell r="AT766">
            <v>27048.414117844677</v>
          </cell>
          <cell r="AU766">
            <v>27888.786739683019</v>
          </cell>
          <cell r="AV766">
            <v>28440.604667633008</v>
          </cell>
          <cell r="AW766">
            <v>28849.144871983273</v>
          </cell>
          <cell r="AX766">
            <v>28002.193411119311</v>
          </cell>
          <cell r="AY766">
            <v>29123.023762700705</v>
          </cell>
          <cell r="AZ766">
            <v>29873.627823177489</v>
          </cell>
          <cell r="BA766">
            <v>33425.97726544844</v>
          </cell>
          <cell r="BB766">
            <v>37436.202304844111</v>
          </cell>
          <cell r="BC766">
            <v>37087.803669954774</v>
          </cell>
          <cell r="BD766">
            <v>36133.839252953359</v>
          </cell>
          <cell r="BE766">
            <v>34859.268570270156</v>
          </cell>
          <cell r="BF766">
            <v>32899.528376889451</v>
          </cell>
          <cell r="BG766">
            <v>30904.804540990779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481B11-2688-4DAB-8CD7-DB8ACD2B677A}" name="Tabla1" displayName="Tabla1" ref="A9:D36" totalsRowShown="0" headerRowDxfId="32" headerRowBorderDxfId="31" tableBorderDxfId="30" totalsRowBorderDxfId="29">
  <tableColumns count="4">
    <tableColumn id="1" xr3:uid="{46BF30A6-99EE-4B16-9713-C2C3F022B534}" name="AGENTE" dataDxfId="28"/>
    <tableColumn id="2" xr3:uid="{CEC97315-508D-4CFB-8E2F-3C2C251498FF}" name="N° pregunta" dataDxfId="27"/>
    <tableColumn id="3" xr3:uid="{59BA41B6-307D-4CDC-B128-11E197CFE8D3}" name="PREGUNTA" dataDxfId="26"/>
    <tableColumn id="4" xr3:uid="{36A5A987-433D-4937-893E-CAE5FD1E450E}" name="RESPUESTA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7537-6679-43E1-9C83-9E026E2A3CBF}">
  <sheetPr>
    <tabColor rgb="FFFFC000"/>
  </sheetPr>
  <dimension ref="A2:B8"/>
  <sheetViews>
    <sheetView workbookViewId="0">
      <selection activeCell="B8" sqref="B8"/>
    </sheetView>
  </sheetViews>
  <sheetFormatPr baseColWidth="10" defaultRowHeight="14.5" x14ac:dyDescent="0.35"/>
  <cols>
    <col min="1" max="1" width="28" customWidth="1"/>
    <col min="2" max="2" width="23.90625" customWidth="1"/>
  </cols>
  <sheetData>
    <row r="2" spans="1:2" x14ac:dyDescent="0.35">
      <c r="A2" t="s">
        <v>44</v>
      </c>
      <c r="B2" t="s">
        <v>46</v>
      </c>
    </row>
    <row r="3" spans="1:2" x14ac:dyDescent="0.35">
      <c r="A3" t="s">
        <v>58</v>
      </c>
      <c r="B3" t="s">
        <v>57</v>
      </c>
    </row>
    <row r="4" spans="1:2" x14ac:dyDescent="0.35">
      <c r="A4" t="s">
        <v>59</v>
      </c>
      <c r="B4" t="s">
        <v>65</v>
      </c>
    </row>
    <row r="5" spans="1:2" x14ac:dyDescent="0.35">
      <c r="B5" t="s">
        <v>117</v>
      </c>
    </row>
    <row r="6" spans="1:2" x14ac:dyDescent="0.35">
      <c r="B6" t="s">
        <v>64</v>
      </c>
    </row>
    <row r="7" spans="1:2" x14ac:dyDescent="0.35">
      <c r="B7" t="s">
        <v>61</v>
      </c>
    </row>
    <row r="8" spans="1:2" x14ac:dyDescent="0.35">
      <c r="B8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2681-F5D7-4081-BB13-05E91DACDE97}">
  <sheetPr>
    <tabColor rgb="FFFFFF00"/>
  </sheetPr>
  <dimension ref="A1:D211"/>
  <sheetViews>
    <sheetView workbookViewId="0">
      <selection activeCell="A2" sqref="A2"/>
    </sheetView>
  </sheetViews>
  <sheetFormatPr baseColWidth="10" defaultRowHeight="9.5" customHeight="1" x14ac:dyDescent="0.3"/>
  <cols>
    <col min="1" max="1" width="40.7265625" style="87" customWidth="1"/>
    <col min="2" max="2" width="25.7265625" style="87" customWidth="1"/>
    <col min="3" max="3" width="115.81640625" style="85" customWidth="1"/>
    <col min="4" max="4" width="87" style="85" hidden="1" customWidth="1"/>
    <col min="5" max="16384" width="10.90625" style="85"/>
  </cols>
  <sheetData>
    <row r="1" spans="1:4" ht="57.5" customHeight="1" x14ac:dyDescent="0.3"/>
    <row r="2" spans="1:4" ht="60.5" customHeight="1" x14ac:dyDescent="0.3">
      <c r="A2" s="88" t="s">
        <v>106</v>
      </c>
    </row>
    <row r="3" spans="1:4" ht="20.5" thickBot="1" x14ac:dyDescent="0.35">
      <c r="A3" s="89" t="s">
        <v>107</v>
      </c>
      <c r="B3" s="90"/>
    </row>
    <row r="4" spans="1:4" ht="21" thickTop="1" thickBot="1" x14ac:dyDescent="0.35">
      <c r="A4" s="89" t="s">
        <v>108</v>
      </c>
      <c r="B4" s="90"/>
    </row>
    <row r="5" spans="1:4" ht="21" thickTop="1" thickBot="1" x14ac:dyDescent="0.35">
      <c r="A5" s="89" t="s">
        <v>109</v>
      </c>
      <c r="B5" s="90"/>
    </row>
    <row r="6" spans="1:4" ht="21" thickTop="1" thickBot="1" x14ac:dyDescent="0.35">
      <c r="A6" s="89" t="s">
        <v>110</v>
      </c>
      <c r="B6" s="90"/>
    </row>
    <row r="7" spans="1:4" ht="20.5" thickTop="1" x14ac:dyDescent="0.3">
      <c r="A7" s="89"/>
    </row>
    <row r="8" spans="1:4" ht="14" x14ac:dyDescent="0.3"/>
    <row r="9" spans="1:4" s="86" customFormat="1" ht="14" x14ac:dyDescent="0.35">
      <c r="A9" s="91" t="s">
        <v>111</v>
      </c>
      <c r="B9" s="92" t="s">
        <v>112</v>
      </c>
      <c r="C9" s="93" t="s">
        <v>113</v>
      </c>
      <c r="D9" s="94" t="s">
        <v>114</v>
      </c>
    </row>
    <row r="10" spans="1:4" ht="14" x14ac:dyDescent="0.3">
      <c r="A10" s="95"/>
      <c r="B10" s="96"/>
      <c r="C10" s="97"/>
      <c r="D10" s="98"/>
    </row>
    <row r="11" spans="1:4" ht="14" x14ac:dyDescent="0.3">
      <c r="A11" s="95"/>
      <c r="B11" s="96"/>
      <c r="C11" s="99"/>
      <c r="D11" s="100"/>
    </row>
    <row r="12" spans="1:4" ht="14" x14ac:dyDescent="0.3">
      <c r="A12" s="95"/>
      <c r="B12" s="96"/>
      <c r="C12" s="99"/>
      <c r="D12" s="100"/>
    </row>
    <row r="13" spans="1:4" ht="14" x14ac:dyDescent="0.3">
      <c r="A13" s="101"/>
      <c r="B13" s="102"/>
      <c r="C13" s="103"/>
      <c r="D13" s="98"/>
    </row>
    <row r="14" spans="1:4" ht="14" x14ac:dyDescent="0.3">
      <c r="A14" s="95"/>
      <c r="B14" s="96"/>
      <c r="C14" s="104"/>
      <c r="D14" s="105"/>
    </row>
    <row r="15" spans="1:4" ht="14" x14ac:dyDescent="0.3">
      <c r="A15" s="101"/>
      <c r="B15" s="102"/>
      <c r="C15" s="106"/>
      <c r="D15" s="107"/>
    </row>
    <row r="16" spans="1:4" ht="14" x14ac:dyDescent="0.3">
      <c r="A16" s="95"/>
      <c r="B16" s="96"/>
      <c r="C16" s="104"/>
      <c r="D16" s="98"/>
    </row>
    <row r="17" spans="1:4" ht="14" x14ac:dyDescent="0.3">
      <c r="A17" s="95"/>
      <c r="B17" s="96"/>
      <c r="C17" s="97"/>
      <c r="D17" s="98"/>
    </row>
    <row r="18" spans="1:4" ht="14" x14ac:dyDescent="0.3">
      <c r="A18" s="95"/>
      <c r="B18" s="96"/>
      <c r="C18" s="104"/>
      <c r="D18" s="98"/>
    </row>
    <row r="19" spans="1:4" ht="14" x14ac:dyDescent="0.3">
      <c r="A19" s="95"/>
      <c r="B19" s="96"/>
      <c r="C19" s="104"/>
      <c r="D19" s="98"/>
    </row>
    <row r="20" spans="1:4" ht="14" x14ac:dyDescent="0.3">
      <c r="A20" s="95"/>
      <c r="B20" s="96"/>
      <c r="C20" s="106"/>
      <c r="D20" s="107"/>
    </row>
    <row r="21" spans="1:4" ht="14" x14ac:dyDescent="0.3">
      <c r="A21" s="95"/>
      <c r="B21" s="96"/>
      <c r="C21" s="104"/>
      <c r="D21" s="98"/>
    </row>
    <row r="22" spans="1:4" ht="14" x14ac:dyDescent="0.3">
      <c r="A22" s="95"/>
      <c r="B22" s="96"/>
      <c r="C22" s="104"/>
      <c r="D22" s="98"/>
    </row>
    <row r="23" spans="1:4" ht="14" x14ac:dyDescent="0.3">
      <c r="A23" s="95"/>
      <c r="B23" s="96"/>
      <c r="C23" s="104"/>
      <c r="D23" s="98"/>
    </row>
    <row r="24" spans="1:4" ht="14" x14ac:dyDescent="0.3">
      <c r="A24" s="95"/>
      <c r="B24" s="96"/>
      <c r="C24" s="104"/>
      <c r="D24" s="98"/>
    </row>
    <row r="25" spans="1:4" ht="14" x14ac:dyDescent="0.3">
      <c r="A25" s="95"/>
      <c r="B25" s="96"/>
      <c r="C25" s="104"/>
      <c r="D25" s="98"/>
    </row>
    <row r="26" spans="1:4" ht="14" x14ac:dyDescent="0.3">
      <c r="A26" s="95"/>
      <c r="B26" s="96"/>
      <c r="C26" s="104"/>
      <c r="D26" s="98"/>
    </row>
    <row r="27" spans="1:4" ht="14" x14ac:dyDescent="0.3">
      <c r="A27" s="95"/>
      <c r="B27" s="96"/>
      <c r="C27" s="104"/>
      <c r="D27" s="98"/>
    </row>
    <row r="28" spans="1:4" ht="14" x14ac:dyDescent="0.3">
      <c r="A28" s="95"/>
      <c r="B28" s="96"/>
      <c r="C28" s="104"/>
      <c r="D28" s="98"/>
    </row>
    <row r="29" spans="1:4" ht="14" x14ac:dyDescent="0.3">
      <c r="A29" s="95"/>
      <c r="B29" s="96"/>
      <c r="C29" s="104"/>
      <c r="D29" s="98"/>
    </row>
    <row r="30" spans="1:4" ht="14" x14ac:dyDescent="0.3">
      <c r="A30" s="95"/>
      <c r="B30" s="96"/>
      <c r="C30" s="103"/>
      <c r="D30" s="98"/>
    </row>
    <row r="31" spans="1:4" ht="14" x14ac:dyDescent="0.3">
      <c r="A31" s="95"/>
      <c r="B31" s="96"/>
      <c r="C31" s="103"/>
      <c r="D31" s="108"/>
    </row>
    <row r="32" spans="1:4" ht="14" x14ac:dyDescent="0.3">
      <c r="A32" s="95"/>
      <c r="B32" s="96"/>
      <c r="C32" s="103"/>
      <c r="D32" s="98"/>
    </row>
    <row r="33" spans="1:4" ht="14" x14ac:dyDescent="0.3">
      <c r="A33" s="95"/>
      <c r="B33" s="96"/>
      <c r="C33" s="104"/>
      <c r="D33" s="98"/>
    </row>
    <row r="34" spans="1:4" ht="14" x14ac:dyDescent="0.3">
      <c r="A34" s="95"/>
      <c r="B34" s="96"/>
      <c r="C34" s="104"/>
      <c r="D34" s="109"/>
    </row>
    <row r="35" spans="1:4" ht="14" x14ac:dyDescent="0.3">
      <c r="A35" s="95"/>
      <c r="B35" s="96"/>
      <c r="C35" s="104"/>
      <c r="D35" s="98"/>
    </row>
    <row r="36" spans="1:4" ht="14" x14ac:dyDescent="0.3">
      <c r="A36" s="110"/>
      <c r="B36" s="111"/>
      <c r="C36" s="112"/>
      <c r="D36" s="113"/>
    </row>
    <row r="37" spans="1:4" ht="14" x14ac:dyDescent="0.3">
      <c r="C37" s="114"/>
      <c r="D37" s="115"/>
    </row>
    <row r="38" spans="1:4" ht="14" x14ac:dyDescent="0.3">
      <c r="C38" s="114"/>
      <c r="D38" s="115"/>
    </row>
    <row r="39" spans="1:4" ht="14" x14ac:dyDescent="0.3">
      <c r="C39" s="114"/>
      <c r="D39" s="115"/>
    </row>
    <row r="40" spans="1:4" ht="14" x14ac:dyDescent="0.3">
      <c r="C40" s="114"/>
      <c r="D40" s="115"/>
    </row>
    <row r="41" spans="1:4" ht="14" x14ac:dyDescent="0.3">
      <c r="C41" s="114"/>
      <c r="D41" s="115"/>
    </row>
    <row r="42" spans="1:4" ht="14" x14ac:dyDescent="0.3">
      <c r="C42" s="116"/>
      <c r="D42" s="115"/>
    </row>
    <row r="43" spans="1:4" ht="14" x14ac:dyDescent="0.3">
      <c r="C43" s="117"/>
      <c r="D43" s="115"/>
    </row>
    <row r="44" spans="1:4" ht="14" x14ac:dyDescent="0.3">
      <c r="C44" s="116"/>
      <c r="D44" s="116"/>
    </row>
    <row r="45" spans="1:4" ht="14" x14ac:dyDescent="0.3">
      <c r="C45" s="116"/>
      <c r="D45" s="115"/>
    </row>
    <row r="46" spans="1:4" ht="14" x14ac:dyDescent="0.3">
      <c r="C46" s="116"/>
      <c r="D46" s="115"/>
    </row>
    <row r="47" spans="1:4" ht="14" x14ac:dyDescent="0.3">
      <c r="C47" s="116"/>
      <c r="D47" s="115"/>
    </row>
    <row r="48" spans="1:4" ht="14" x14ac:dyDescent="0.3">
      <c r="C48" s="116"/>
      <c r="D48" s="115"/>
    </row>
    <row r="49" spans="1:4" ht="14" x14ac:dyDescent="0.3">
      <c r="C49" s="116"/>
      <c r="D49" s="115"/>
    </row>
    <row r="50" spans="1:4" ht="14" x14ac:dyDescent="0.3">
      <c r="C50" s="116"/>
      <c r="D50" s="115"/>
    </row>
    <row r="51" spans="1:4" ht="14" x14ac:dyDescent="0.3">
      <c r="C51" s="117"/>
      <c r="D51" s="115"/>
    </row>
    <row r="52" spans="1:4" ht="14" x14ac:dyDescent="0.3">
      <c r="C52" s="116"/>
      <c r="D52" s="115"/>
    </row>
    <row r="53" spans="1:4" ht="14" x14ac:dyDescent="0.3">
      <c r="C53" s="116"/>
      <c r="D53" s="115"/>
    </row>
    <row r="54" spans="1:4" ht="14" x14ac:dyDescent="0.3">
      <c r="C54" s="118"/>
      <c r="D54" s="115"/>
    </row>
    <row r="55" spans="1:4" ht="14" x14ac:dyDescent="0.3">
      <c r="C55" s="118"/>
      <c r="D55" s="119"/>
    </row>
    <row r="56" spans="1:4" ht="14" x14ac:dyDescent="0.3">
      <c r="C56" s="118"/>
      <c r="D56" s="119"/>
    </row>
    <row r="57" spans="1:4" ht="14" x14ac:dyDescent="0.3">
      <c r="C57" s="118"/>
      <c r="D57" s="119"/>
    </row>
    <row r="58" spans="1:4" ht="14" x14ac:dyDescent="0.3">
      <c r="C58" s="118"/>
      <c r="D58" s="119"/>
    </row>
    <row r="59" spans="1:4" ht="14" x14ac:dyDescent="0.3">
      <c r="C59" s="118"/>
      <c r="D59" s="119"/>
    </row>
    <row r="60" spans="1:4" ht="14" x14ac:dyDescent="0.3">
      <c r="A60" s="120"/>
      <c r="B60" s="120"/>
      <c r="C60" s="118"/>
      <c r="D60" s="119"/>
    </row>
    <row r="61" spans="1:4" ht="14" x14ac:dyDescent="0.3">
      <c r="C61" s="118"/>
      <c r="D61" s="119"/>
    </row>
    <row r="62" spans="1:4" ht="14" x14ac:dyDescent="0.3">
      <c r="C62" s="118"/>
      <c r="D62" s="119"/>
    </row>
    <row r="63" spans="1:4" ht="14" x14ac:dyDescent="0.3">
      <c r="C63" s="118"/>
      <c r="D63" s="119"/>
    </row>
    <row r="64" spans="1:4" ht="14" x14ac:dyDescent="0.3">
      <c r="C64" s="118"/>
      <c r="D64" s="119"/>
    </row>
    <row r="65" spans="3:4" ht="14" x14ac:dyDescent="0.3">
      <c r="C65" s="114"/>
      <c r="D65" s="121"/>
    </row>
    <row r="66" spans="3:4" ht="14" x14ac:dyDescent="0.3">
      <c r="C66" s="118"/>
      <c r="D66" s="119"/>
    </row>
    <row r="67" spans="3:4" ht="14" x14ac:dyDescent="0.3">
      <c r="C67" s="119"/>
      <c r="D67" s="119"/>
    </row>
    <row r="68" spans="3:4" ht="14" x14ac:dyDescent="0.3">
      <c r="C68" s="114"/>
      <c r="D68" s="119"/>
    </row>
    <row r="69" spans="3:4" ht="14" x14ac:dyDescent="0.3">
      <c r="C69" s="119"/>
      <c r="D69" s="119"/>
    </row>
    <row r="70" spans="3:4" ht="14" x14ac:dyDescent="0.3">
      <c r="C70" s="118"/>
      <c r="D70" s="118"/>
    </row>
    <row r="71" spans="3:4" ht="14" x14ac:dyDescent="0.3">
      <c r="C71" s="114"/>
      <c r="D71" s="122"/>
    </row>
    <row r="72" spans="3:4" ht="14" x14ac:dyDescent="0.3">
      <c r="C72" s="123"/>
      <c r="D72" s="122"/>
    </row>
    <row r="73" spans="3:4" ht="14" x14ac:dyDescent="0.3">
      <c r="C73" s="123"/>
      <c r="D73" s="119"/>
    </row>
    <row r="74" spans="3:4" ht="14" x14ac:dyDescent="0.3">
      <c r="C74" s="114"/>
      <c r="D74" s="119"/>
    </row>
    <row r="75" spans="3:4" ht="14" x14ac:dyDescent="0.3">
      <c r="C75" s="118"/>
      <c r="D75" s="119"/>
    </row>
    <row r="76" spans="3:4" ht="14" x14ac:dyDescent="0.3">
      <c r="C76" s="114"/>
      <c r="D76" s="119"/>
    </row>
    <row r="77" spans="3:4" ht="14" x14ac:dyDescent="0.3">
      <c r="C77" s="118"/>
      <c r="D77" s="119"/>
    </row>
    <row r="78" spans="3:4" ht="14" x14ac:dyDescent="0.3">
      <c r="C78" s="118"/>
      <c r="D78" s="119"/>
    </row>
    <row r="79" spans="3:4" ht="14" x14ac:dyDescent="0.3">
      <c r="C79" s="114"/>
      <c r="D79" s="119"/>
    </row>
    <row r="80" spans="3:4" ht="14" x14ac:dyDescent="0.3">
      <c r="C80" s="114"/>
      <c r="D80" s="119"/>
    </row>
    <row r="81" spans="3:4" ht="14" x14ac:dyDescent="0.3">
      <c r="C81" s="123"/>
      <c r="D81" s="119"/>
    </row>
    <row r="82" spans="3:4" ht="14" x14ac:dyDescent="0.3">
      <c r="C82" s="123"/>
      <c r="D82" s="119"/>
    </row>
    <row r="83" spans="3:4" ht="14" x14ac:dyDescent="0.3">
      <c r="C83" s="118"/>
      <c r="D83" s="124"/>
    </row>
    <row r="84" spans="3:4" ht="14" x14ac:dyDescent="0.3">
      <c r="C84" s="118"/>
      <c r="D84" s="119"/>
    </row>
    <row r="85" spans="3:4" ht="14" x14ac:dyDescent="0.3">
      <c r="D85" s="119"/>
    </row>
    <row r="86" spans="3:4" ht="14" x14ac:dyDescent="0.3">
      <c r="C86" s="118"/>
      <c r="D86" s="119"/>
    </row>
    <row r="87" spans="3:4" ht="14" x14ac:dyDescent="0.3">
      <c r="C87" s="118"/>
      <c r="D87" s="119"/>
    </row>
    <row r="88" spans="3:4" ht="14" x14ac:dyDescent="0.3">
      <c r="C88" s="118"/>
      <c r="D88" s="119"/>
    </row>
    <row r="89" spans="3:4" ht="14" x14ac:dyDescent="0.3">
      <c r="C89" s="118"/>
      <c r="D89" s="119"/>
    </row>
    <row r="90" spans="3:4" ht="14" x14ac:dyDescent="0.3">
      <c r="C90" s="114"/>
      <c r="D90" s="119"/>
    </row>
    <row r="91" spans="3:4" ht="14" x14ac:dyDescent="0.3">
      <c r="C91" s="114"/>
      <c r="D91" s="119"/>
    </row>
    <row r="92" spans="3:4" ht="14" x14ac:dyDescent="0.3">
      <c r="C92" s="118"/>
      <c r="D92" s="119"/>
    </row>
    <row r="93" spans="3:4" ht="14" x14ac:dyDescent="0.3">
      <c r="C93" s="118"/>
      <c r="D93" s="119"/>
    </row>
    <row r="94" spans="3:4" ht="14" x14ac:dyDescent="0.3">
      <c r="C94" s="114"/>
      <c r="D94" s="119"/>
    </row>
    <row r="95" spans="3:4" ht="14" x14ac:dyDescent="0.3">
      <c r="C95" s="114"/>
      <c r="D95" s="119"/>
    </row>
    <row r="96" spans="3:4" ht="14" x14ac:dyDescent="0.3">
      <c r="C96" s="114"/>
      <c r="D96" s="119"/>
    </row>
    <row r="97" spans="3:4" ht="14" x14ac:dyDescent="0.3">
      <c r="C97" s="114"/>
      <c r="D97" s="119"/>
    </row>
    <row r="98" spans="3:4" ht="14" x14ac:dyDescent="0.3">
      <c r="C98" s="114"/>
      <c r="D98" s="119"/>
    </row>
    <row r="99" spans="3:4" ht="14" x14ac:dyDescent="0.3">
      <c r="C99" s="114"/>
      <c r="D99" s="119"/>
    </row>
    <row r="100" spans="3:4" ht="14" x14ac:dyDescent="0.3">
      <c r="C100" s="114"/>
      <c r="D100" s="119"/>
    </row>
    <row r="101" spans="3:4" ht="14" x14ac:dyDescent="0.3">
      <c r="C101" s="114"/>
      <c r="D101" s="119"/>
    </row>
    <row r="102" spans="3:4" ht="14" x14ac:dyDescent="0.3">
      <c r="C102" s="114"/>
      <c r="D102" s="119"/>
    </row>
    <row r="103" spans="3:4" ht="14" x14ac:dyDescent="0.3">
      <c r="C103" s="114"/>
      <c r="D103" s="119"/>
    </row>
    <row r="104" spans="3:4" ht="14" x14ac:dyDescent="0.3">
      <c r="C104" s="114"/>
      <c r="D104" s="119"/>
    </row>
    <row r="105" spans="3:4" ht="14" x14ac:dyDescent="0.3">
      <c r="C105" s="114"/>
      <c r="D105" s="119"/>
    </row>
    <row r="106" spans="3:4" ht="14" x14ac:dyDescent="0.3">
      <c r="C106" s="114"/>
      <c r="D106" s="119"/>
    </row>
    <row r="107" spans="3:4" ht="14" x14ac:dyDescent="0.3">
      <c r="C107" s="114"/>
      <c r="D107" s="119"/>
    </row>
    <row r="108" spans="3:4" ht="14" x14ac:dyDescent="0.3">
      <c r="C108" s="114"/>
      <c r="D108" s="119"/>
    </row>
    <row r="109" spans="3:4" ht="14" x14ac:dyDescent="0.3">
      <c r="C109" s="118"/>
      <c r="D109" s="119"/>
    </row>
    <row r="110" spans="3:4" ht="14" x14ac:dyDescent="0.3">
      <c r="C110" s="118"/>
      <c r="D110" s="119"/>
    </row>
    <row r="111" spans="3:4" ht="14" x14ac:dyDescent="0.3">
      <c r="C111" s="118"/>
      <c r="D111" s="119"/>
    </row>
    <row r="112" spans="3:4" ht="14" x14ac:dyDescent="0.3">
      <c r="C112" s="118"/>
      <c r="D112" s="119"/>
    </row>
    <row r="113" spans="3:4" ht="14" x14ac:dyDescent="0.3">
      <c r="C113" s="118"/>
      <c r="D113" s="119"/>
    </row>
    <row r="114" spans="3:4" ht="14" x14ac:dyDescent="0.3">
      <c r="C114" s="118"/>
      <c r="D114" s="119"/>
    </row>
    <row r="115" spans="3:4" ht="14" x14ac:dyDescent="0.3">
      <c r="C115" s="114"/>
      <c r="D115" s="119"/>
    </row>
    <row r="116" spans="3:4" ht="14" x14ac:dyDescent="0.3">
      <c r="C116" s="118"/>
      <c r="D116" s="119"/>
    </row>
    <row r="117" spans="3:4" ht="14" x14ac:dyDescent="0.3">
      <c r="C117" s="118"/>
      <c r="D117" s="119"/>
    </row>
    <row r="118" spans="3:4" ht="14" x14ac:dyDescent="0.3">
      <c r="C118" s="114"/>
      <c r="D118" s="119"/>
    </row>
    <row r="119" spans="3:4" ht="14" x14ac:dyDescent="0.3">
      <c r="C119" s="118"/>
      <c r="D119" s="123"/>
    </row>
    <row r="120" spans="3:4" ht="14" x14ac:dyDescent="0.3">
      <c r="C120" s="118"/>
      <c r="D120" s="119"/>
    </row>
    <row r="121" spans="3:4" ht="14" x14ac:dyDescent="0.3">
      <c r="C121" s="118"/>
      <c r="D121" s="119"/>
    </row>
    <row r="122" spans="3:4" ht="14" x14ac:dyDescent="0.3">
      <c r="C122" s="118"/>
      <c r="D122" s="119"/>
    </row>
    <row r="123" spans="3:4" ht="14" x14ac:dyDescent="0.3">
      <c r="C123" s="114"/>
      <c r="D123" s="119"/>
    </row>
    <row r="124" spans="3:4" ht="14" x14ac:dyDescent="0.3">
      <c r="C124" s="118"/>
      <c r="D124" s="119"/>
    </row>
    <row r="125" spans="3:4" ht="14" x14ac:dyDescent="0.3">
      <c r="C125" s="118"/>
      <c r="D125" s="119"/>
    </row>
    <row r="126" spans="3:4" ht="14" x14ac:dyDescent="0.3">
      <c r="C126" s="114"/>
      <c r="D126" s="119"/>
    </row>
    <row r="127" spans="3:4" ht="14" x14ac:dyDescent="0.3">
      <c r="C127" s="114"/>
      <c r="D127" s="119"/>
    </row>
    <row r="128" spans="3:4" ht="14" x14ac:dyDescent="0.3">
      <c r="C128" s="114"/>
      <c r="D128" s="119"/>
    </row>
    <row r="129" spans="3:4" ht="14" x14ac:dyDescent="0.3">
      <c r="C129" s="114"/>
      <c r="D129" s="119"/>
    </row>
    <row r="130" spans="3:4" ht="14" x14ac:dyDescent="0.3">
      <c r="C130" s="114"/>
      <c r="D130" s="119"/>
    </row>
    <row r="131" spans="3:4" ht="14" x14ac:dyDescent="0.3">
      <c r="C131" s="114"/>
      <c r="D131" s="119"/>
    </row>
    <row r="132" spans="3:4" ht="14" x14ac:dyDescent="0.3">
      <c r="C132" s="114"/>
      <c r="D132" s="119"/>
    </row>
    <row r="133" spans="3:4" ht="14" x14ac:dyDescent="0.3">
      <c r="C133" s="118"/>
      <c r="D133" s="119"/>
    </row>
    <row r="134" spans="3:4" ht="14" x14ac:dyDescent="0.3">
      <c r="C134" s="118"/>
      <c r="D134" s="119"/>
    </row>
    <row r="135" spans="3:4" ht="14" x14ac:dyDescent="0.3">
      <c r="C135" s="114"/>
      <c r="D135" s="119"/>
    </row>
    <row r="136" spans="3:4" ht="14" x14ac:dyDescent="0.3">
      <c r="C136" s="114"/>
      <c r="D136" s="119"/>
    </row>
    <row r="137" spans="3:4" ht="14" x14ac:dyDescent="0.3">
      <c r="C137" s="114"/>
      <c r="D137" s="119"/>
    </row>
    <row r="138" spans="3:4" ht="14" x14ac:dyDescent="0.3">
      <c r="C138" s="114"/>
      <c r="D138" s="119"/>
    </row>
    <row r="139" spans="3:4" ht="14" x14ac:dyDescent="0.3">
      <c r="C139" s="118"/>
      <c r="D139" s="119"/>
    </row>
    <row r="140" spans="3:4" ht="14" x14ac:dyDescent="0.3">
      <c r="C140" s="114"/>
      <c r="D140" s="119"/>
    </row>
    <row r="141" spans="3:4" ht="14" x14ac:dyDescent="0.3">
      <c r="C141" s="114"/>
      <c r="D141" s="119"/>
    </row>
    <row r="142" spans="3:4" ht="14" x14ac:dyDescent="0.3">
      <c r="C142" s="114"/>
      <c r="D142" s="119"/>
    </row>
    <row r="143" spans="3:4" ht="14" x14ac:dyDescent="0.3">
      <c r="C143" s="118"/>
      <c r="D143" s="119"/>
    </row>
    <row r="144" spans="3:4" ht="14" x14ac:dyDescent="0.3">
      <c r="C144" s="118"/>
      <c r="D144" s="119"/>
    </row>
    <row r="145" spans="3:4" ht="14" x14ac:dyDescent="0.3">
      <c r="C145" s="118"/>
      <c r="D145" s="119"/>
    </row>
    <row r="146" spans="3:4" ht="14" x14ac:dyDescent="0.3">
      <c r="C146" s="118"/>
      <c r="D146" s="119"/>
    </row>
    <row r="147" spans="3:4" ht="14" x14ac:dyDescent="0.3">
      <c r="C147" s="118"/>
      <c r="D147" s="119"/>
    </row>
    <row r="148" spans="3:4" ht="14" x14ac:dyDescent="0.3">
      <c r="C148" s="114"/>
      <c r="D148" s="119"/>
    </row>
    <row r="149" spans="3:4" ht="14" x14ac:dyDescent="0.3">
      <c r="C149" s="118"/>
      <c r="D149" s="119"/>
    </row>
    <row r="150" spans="3:4" ht="14" x14ac:dyDescent="0.3">
      <c r="C150" s="118"/>
      <c r="D150" s="118"/>
    </row>
    <row r="151" spans="3:4" ht="14" x14ac:dyDescent="0.3">
      <c r="C151" s="118"/>
      <c r="D151" s="119"/>
    </row>
    <row r="152" spans="3:4" ht="14" x14ac:dyDescent="0.3">
      <c r="C152" s="118"/>
      <c r="D152" s="119"/>
    </row>
    <row r="153" spans="3:4" ht="14" x14ac:dyDescent="0.3">
      <c r="C153" s="114"/>
      <c r="D153" s="118"/>
    </row>
    <row r="154" spans="3:4" ht="14" x14ac:dyDescent="0.3">
      <c r="C154" s="118"/>
      <c r="D154" s="119"/>
    </row>
    <row r="155" spans="3:4" ht="14" x14ac:dyDescent="0.3">
      <c r="C155" s="118"/>
      <c r="D155" s="118"/>
    </row>
    <row r="156" spans="3:4" ht="14" x14ac:dyDescent="0.3">
      <c r="C156" s="118"/>
      <c r="D156" s="118"/>
    </row>
    <row r="157" spans="3:4" ht="14" x14ac:dyDescent="0.3">
      <c r="C157" s="118"/>
      <c r="D157" s="118"/>
    </row>
    <row r="158" spans="3:4" ht="14" x14ac:dyDescent="0.3">
      <c r="C158" s="118"/>
      <c r="D158" s="118"/>
    </row>
    <row r="159" spans="3:4" ht="14" x14ac:dyDescent="0.3">
      <c r="C159" s="114"/>
      <c r="D159" s="119"/>
    </row>
    <row r="160" spans="3:4" ht="14" x14ac:dyDescent="0.3">
      <c r="C160" s="118"/>
      <c r="D160" s="119"/>
    </row>
    <row r="161" spans="3:4" ht="14" x14ac:dyDescent="0.3">
      <c r="C161" s="114"/>
      <c r="D161" s="118"/>
    </row>
    <row r="162" spans="3:4" ht="14" x14ac:dyDescent="0.3">
      <c r="C162" s="118"/>
      <c r="D162" s="118"/>
    </row>
    <row r="163" spans="3:4" ht="14" x14ac:dyDescent="0.3">
      <c r="C163" s="118"/>
      <c r="D163" s="118"/>
    </row>
    <row r="164" spans="3:4" ht="14" x14ac:dyDescent="0.3">
      <c r="C164" s="114"/>
      <c r="D164" s="118"/>
    </row>
    <row r="165" spans="3:4" ht="14" x14ac:dyDescent="0.3">
      <c r="C165" s="114"/>
      <c r="D165" s="119"/>
    </row>
    <row r="166" spans="3:4" ht="14" x14ac:dyDescent="0.3">
      <c r="C166" s="118"/>
      <c r="D166" s="119"/>
    </row>
    <row r="167" spans="3:4" ht="14" x14ac:dyDescent="0.3">
      <c r="C167" s="114"/>
      <c r="D167" s="118"/>
    </row>
    <row r="168" spans="3:4" ht="14" x14ac:dyDescent="0.3">
      <c r="C168" s="118"/>
      <c r="D168" s="118"/>
    </row>
    <row r="169" spans="3:4" ht="14" x14ac:dyDescent="0.3">
      <c r="C169" s="114"/>
      <c r="D169" s="118"/>
    </row>
    <row r="170" spans="3:4" ht="14" x14ac:dyDescent="0.3">
      <c r="C170" s="114"/>
      <c r="D170" s="118"/>
    </row>
    <row r="171" spans="3:4" ht="14" x14ac:dyDescent="0.3">
      <c r="C171" s="118"/>
      <c r="D171" s="118"/>
    </row>
    <row r="172" spans="3:4" ht="14" x14ac:dyDescent="0.3">
      <c r="C172" s="118"/>
      <c r="D172" s="118"/>
    </row>
    <row r="173" spans="3:4" ht="14" x14ac:dyDescent="0.3">
      <c r="C173" s="114"/>
      <c r="D173" s="118"/>
    </row>
    <row r="174" spans="3:4" ht="14" x14ac:dyDescent="0.3">
      <c r="C174" s="114"/>
      <c r="D174" s="118"/>
    </row>
    <row r="175" spans="3:4" ht="14" x14ac:dyDescent="0.3">
      <c r="C175" s="114"/>
      <c r="D175" s="118"/>
    </row>
    <row r="176" spans="3:4" ht="14" x14ac:dyDescent="0.3">
      <c r="C176" s="114"/>
      <c r="D176" s="118"/>
    </row>
    <row r="177" spans="3:4" ht="14" x14ac:dyDescent="0.3">
      <c r="C177" s="118"/>
      <c r="D177" s="118"/>
    </row>
    <row r="178" spans="3:4" ht="14" x14ac:dyDescent="0.3">
      <c r="C178" s="118"/>
      <c r="D178" s="118"/>
    </row>
    <row r="179" spans="3:4" ht="14" x14ac:dyDescent="0.3">
      <c r="C179" s="118"/>
      <c r="D179" s="118"/>
    </row>
    <row r="180" spans="3:4" ht="14" x14ac:dyDescent="0.3">
      <c r="C180" s="114"/>
      <c r="D180" s="118"/>
    </row>
    <row r="181" spans="3:4" ht="14" x14ac:dyDescent="0.3">
      <c r="C181" s="118"/>
      <c r="D181" s="118"/>
    </row>
    <row r="182" spans="3:4" ht="14" x14ac:dyDescent="0.3">
      <c r="C182" s="118"/>
      <c r="D182" s="118"/>
    </row>
    <row r="183" spans="3:4" ht="14" x14ac:dyDescent="0.3">
      <c r="C183" s="118"/>
      <c r="D183" s="118"/>
    </row>
    <row r="184" spans="3:4" ht="14" x14ac:dyDescent="0.3">
      <c r="C184" s="118"/>
      <c r="D184" s="118"/>
    </row>
    <row r="185" spans="3:4" ht="14" x14ac:dyDescent="0.3">
      <c r="C185" s="118"/>
      <c r="D185" s="118"/>
    </row>
    <row r="186" spans="3:4" ht="14" x14ac:dyDescent="0.3">
      <c r="C186" s="114"/>
      <c r="D186" s="118"/>
    </row>
    <row r="187" spans="3:4" ht="14" x14ac:dyDescent="0.3">
      <c r="C187" s="114"/>
      <c r="D187" s="119"/>
    </row>
    <row r="188" spans="3:4" ht="14" x14ac:dyDescent="0.3">
      <c r="C188" s="114"/>
      <c r="D188" s="119"/>
    </row>
    <row r="189" spans="3:4" ht="14" x14ac:dyDescent="0.3">
      <c r="C189" s="114"/>
      <c r="D189" s="123"/>
    </row>
    <row r="190" spans="3:4" ht="14" x14ac:dyDescent="0.3">
      <c r="C190" s="114"/>
      <c r="D190" s="123"/>
    </row>
    <row r="191" spans="3:4" ht="14" x14ac:dyDescent="0.3">
      <c r="C191" s="114"/>
      <c r="D191" s="125"/>
    </row>
    <row r="192" spans="3:4" ht="14" x14ac:dyDescent="0.3">
      <c r="C192" s="114"/>
      <c r="D192" s="123"/>
    </row>
    <row r="193" spans="3:4" ht="14" x14ac:dyDescent="0.3">
      <c r="C193" s="114"/>
      <c r="D193" s="123"/>
    </row>
    <row r="194" spans="3:4" ht="14" x14ac:dyDescent="0.3">
      <c r="C194" s="114"/>
      <c r="D194" s="123"/>
    </row>
    <row r="195" spans="3:4" ht="14" x14ac:dyDescent="0.3">
      <c r="C195" s="114"/>
      <c r="D195" s="123"/>
    </row>
    <row r="196" spans="3:4" ht="14" x14ac:dyDescent="0.3">
      <c r="C196" s="114"/>
      <c r="D196" s="123"/>
    </row>
    <row r="197" spans="3:4" ht="14" x14ac:dyDescent="0.3">
      <c r="C197" s="114"/>
      <c r="D197" s="123"/>
    </row>
    <row r="198" spans="3:4" ht="14" x14ac:dyDescent="0.3">
      <c r="C198" s="114"/>
      <c r="D198" s="123"/>
    </row>
    <row r="199" spans="3:4" ht="14" x14ac:dyDescent="0.3">
      <c r="C199" s="114"/>
      <c r="D199" s="123"/>
    </row>
    <row r="200" spans="3:4" ht="14" x14ac:dyDescent="0.3">
      <c r="C200" s="114"/>
      <c r="D200" s="123"/>
    </row>
    <row r="201" spans="3:4" ht="14" x14ac:dyDescent="0.3">
      <c r="C201" s="114"/>
      <c r="D201" s="123"/>
    </row>
    <row r="202" spans="3:4" ht="14" x14ac:dyDescent="0.3">
      <c r="C202" s="114"/>
      <c r="D202" s="123"/>
    </row>
    <row r="203" spans="3:4" ht="14" x14ac:dyDescent="0.3">
      <c r="C203" s="114"/>
      <c r="D203" s="123"/>
    </row>
    <row r="204" spans="3:4" ht="14" x14ac:dyDescent="0.3">
      <c r="C204" s="114"/>
      <c r="D204" s="123"/>
    </row>
    <row r="205" spans="3:4" ht="14" x14ac:dyDescent="0.3">
      <c r="C205" s="114"/>
      <c r="D205" s="123"/>
    </row>
    <row r="206" spans="3:4" ht="14" x14ac:dyDescent="0.3">
      <c r="C206" s="114"/>
    </row>
    <row r="207" spans="3:4" ht="14" x14ac:dyDescent="0.3">
      <c r="C207" s="114"/>
    </row>
    <row r="208" spans="3:4" ht="14" x14ac:dyDescent="0.3">
      <c r="C208" s="114"/>
    </row>
    <row r="209" spans="3:3" ht="14" x14ac:dyDescent="0.3">
      <c r="C209" s="114"/>
    </row>
    <row r="210" spans="3:3" ht="14" x14ac:dyDescent="0.3">
      <c r="C210" s="114"/>
    </row>
    <row r="211" spans="3:3" ht="14" x14ac:dyDescent="0.3">
      <c r="C211" s="114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F0460-5DAC-4947-AF61-139C3753A8C1}">
  <sheetPr>
    <tabColor rgb="FFFFC000"/>
  </sheetPr>
  <dimension ref="A2:H184"/>
  <sheetViews>
    <sheetView showGridLines="0" workbookViewId="0">
      <selection activeCell="B14" sqref="B14"/>
    </sheetView>
  </sheetViews>
  <sheetFormatPr baseColWidth="10" defaultRowHeight="12.5" x14ac:dyDescent="0.25"/>
  <cols>
    <col min="1" max="1" width="7.81640625" style="128" customWidth="1"/>
    <col min="2" max="2" width="7.54296875" style="127" customWidth="1"/>
    <col min="3" max="3" width="3.7265625" style="128" customWidth="1"/>
    <col min="4" max="4" width="4.453125" style="128" customWidth="1"/>
    <col min="5" max="5" width="3.81640625" style="128" customWidth="1"/>
    <col min="6" max="6" width="7.81640625" style="128" customWidth="1"/>
    <col min="7" max="16384" width="10.90625" style="128"/>
  </cols>
  <sheetData>
    <row r="2" spans="1:8" x14ac:dyDescent="0.25">
      <c r="A2" s="126" t="s">
        <v>115</v>
      </c>
    </row>
    <row r="4" spans="1:8" ht="14.5" x14ac:dyDescent="0.35">
      <c r="A4" s="138" t="s">
        <v>2</v>
      </c>
      <c r="B4" s="139" t="s">
        <v>116</v>
      </c>
      <c r="C4"/>
    </row>
    <row r="5" spans="1:8" ht="14.5" x14ac:dyDescent="0.35">
      <c r="A5" s="142">
        <v>46388</v>
      </c>
      <c r="B5" s="141">
        <v>0.99</v>
      </c>
      <c r="C5"/>
      <c r="D5" s="137"/>
      <c r="G5" s="129"/>
      <c r="H5" s="130"/>
    </row>
    <row r="6" spans="1:8" ht="14.5" x14ac:dyDescent="0.35">
      <c r="A6" s="142">
        <v>46419</v>
      </c>
      <c r="B6" s="141">
        <v>0.99</v>
      </c>
      <c r="C6"/>
      <c r="D6" s="137"/>
    </row>
    <row r="7" spans="1:8" ht="14.5" x14ac:dyDescent="0.35">
      <c r="A7" s="142">
        <v>46447</v>
      </c>
      <c r="B7" s="141">
        <v>0.99</v>
      </c>
      <c r="C7"/>
      <c r="D7" s="137"/>
    </row>
    <row r="8" spans="1:8" ht="14.5" x14ac:dyDescent="0.35">
      <c r="A8" s="142">
        <v>46478</v>
      </c>
      <c r="B8" s="141">
        <v>0.99</v>
      </c>
      <c r="C8"/>
      <c r="D8" s="137"/>
    </row>
    <row r="9" spans="1:8" ht="14.5" x14ac:dyDescent="0.35">
      <c r="A9" s="142">
        <v>46508</v>
      </c>
      <c r="B9" s="141">
        <v>1</v>
      </c>
      <c r="C9"/>
      <c r="D9" s="137"/>
    </row>
    <row r="10" spans="1:8" ht="14.5" x14ac:dyDescent="0.35">
      <c r="A10" s="142">
        <v>46539</v>
      </c>
      <c r="B10" s="141">
        <v>1</v>
      </c>
      <c r="C10"/>
      <c r="D10" s="137"/>
    </row>
    <row r="11" spans="1:8" ht="14.5" x14ac:dyDescent="0.35">
      <c r="A11" s="142">
        <v>46569</v>
      </c>
      <c r="B11" s="141">
        <v>1</v>
      </c>
      <c r="C11"/>
      <c r="D11" s="137"/>
    </row>
    <row r="12" spans="1:8" ht="14.5" x14ac:dyDescent="0.35">
      <c r="A12" s="142">
        <v>46600</v>
      </c>
      <c r="B12" s="141">
        <v>1</v>
      </c>
      <c r="C12"/>
      <c r="D12" s="137"/>
    </row>
    <row r="13" spans="1:8" ht="14.5" x14ac:dyDescent="0.35">
      <c r="A13" s="142">
        <v>46631</v>
      </c>
      <c r="B13" s="141">
        <v>1</v>
      </c>
      <c r="C13"/>
      <c r="D13" s="137"/>
    </row>
    <row r="14" spans="1:8" ht="14.5" x14ac:dyDescent="0.35">
      <c r="A14" s="142">
        <v>46661</v>
      </c>
      <c r="B14" s="141">
        <v>1</v>
      </c>
      <c r="C14"/>
      <c r="D14" s="137"/>
    </row>
    <row r="15" spans="1:8" ht="14.5" x14ac:dyDescent="0.35">
      <c r="A15" s="142">
        <v>46692</v>
      </c>
      <c r="B15" s="141">
        <v>1.01</v>
      </c>
      <c r="C15"/>
      <c r="D15" s="137"/>
    </row>
    <row r="16" spans="1:8" ht="14.5" x14ac:dyDescent="0.35">
      <c r="A16" s="142">
        <v>46722</v>
      </c>
      <c r="B16" s="141">
        <v>1.01</v>
      </c>
      <c r="C16"/>
      <c r="D16" s="137"/>
    </row>
    <row r="17" spans="1:8" ht="14.5" x14ac:dyDescent="0.35">
      <c r="A17" s="140">
        <v>46753</v>
      </c>
      <c r="B17" s="141">
        <v>1.02</v>
      </c>
      <c r="C17"/>
      <c r="D17" s="137"/>
    </row>
    <row r="18" spans="1:8" ht="14.5" x14ac:dyDescent="0.35">
      <c r="A18" s="140">
        <v>46784</v>
      </c>
      <c r="B18" s="141">
        <v>1.02</v>
      </c>
      <c r="C18"/>
      <c r="D18" s="137"/>
      <c r="G18" s="129"/>
      <c r="H18" s="130"/>
    </row>
    <row r="19" spans="1:8" ht="14.5" x14ac:dyDescent="0.35">
      <c r="A19" s="140">
        <v>46813</v>
      </c>
      <c r="B19" s="141">
        <v>1.02</v>
      </c>
      <c r="C19"/>
      <c r="D19" s="137"/>
      <c r="G19" s="129"/>
      <c r="H19" s="130"/>
    </row>
    <row r="20" spans="1:8" ht="14.5" x14ac:dyDescent="0.35">
      <c r="A20" s="140">
        <v>46844</v>
      </c>
      <c r="B20" s="141">
        <v>1.02</v>
      </c>
      <c r="C20"/>
      <c r="D20" s="137"/>
      <c r="G20" s="129"/>
      <c r="H20" s="130"/>
    </row>
    <row r="21" spans="1:8" ht="14.5" x14ac:dyDescent="0.35">
      <c r="A21" s="140">
        <v>46874</v>
      </c>
      <c r="B21" s="141">
        <v>1.03</v>
      </c>
      <c r="C21"/>
      <c r="D21" s="137"/>
      <c r="G21" s="129"/>
      <c r="H21" s="130"/>
    </row>
    <row r="22" spans="1:8" ht="14.5" x14ac:dyDescent="0.35">
      <c r="A22" s="140">
        <v>46905</v>
      </c>
      <c r="B22" s="141">
        <v>1.03</v>
      </c>
      <c r="C22"/>
      <c r="D22" s="137"/>
      <c r="G22" s="129"/>
      <c r="H22" s="130"/>
    </row>
    <row r="23" spans="1:8" ht="14.5" x14ac:dyDescent="0.35">
      <c r="A23" s="140">
        <v>46935</v>
      </c>
      <c r="B23" s="141">
        <v>1.03</v>
      </c>
      <c r="C23"/>
      <c r="D23" s="137"/>
      <c r="G23" s="129"/>
      <c r="H23" s="130"/>
    </row>
    <row r="24" spans="1:8" ht="14.5" x14ac:dyDescent="0.35">
      <c r="A24" s="140">
        <v>46966</v>
      </c>
      <c r="B24" s="141">
        <v>1.03</v>
      </c>
      <c r="C24"/>
      <c r="D24" s="137"/>
      <c r="G24" s="129"/>
      <c r="H24" s="130"/>
    </row>
    <row r="25" spans="1:8" ht="14.5" x14ac:dyDescent="0.35">
      <c r="A25" s="140">
        <v>46997</v>
      </c>
      <c r="B25" s="141">
        <v>1.03</v>
      </c>
      <c r="C25"/>
      <c r="D25" s="137"/>
      <c r="G25" s="129"/>
      <c r="H25" s="130"/>
    </row>
    <row r="26" spans="1:8" ht="14.5" x14ac:dyDescent="0.35">
      <c r="A26" s="140">
        <v>47027</v>
      </c>
      <c r="B26" s="141">
        <v>1.03</v>
      </c>
      <c r="C26"/>
      <c r="D26" s="137"/>
      <c r="G26" s="129"/>
      <c r="H26" s="130"/>
    </row>
    <row r="27" spans="1:8" ht="14.5" x14ac:dyDescent="0.35">
      <c r="A27" s="140">
        <v>47058</v>
      </c>
      <c r="B27" s="141">
        <v>1.04</v>
      </c>
      <c r="C27"/>
      <c r="D27" s="137"/>
      <c r="G27" s="129"/>
      <c r="H27" s="130"/>
    </row>
    <row r="28" spans="1:8" ht="14.5" x14ac:dyDescent="0.35">
      <c r="A28" s="140">
        <v>47088</v>
      </c>
      <c r="B28" s="141">
        <v>1.04</v>
      </c>
      <c r="C28"/>
      <c r="D28" s="137"/>
      <c r="G28" s="129"/>
      <c r="H28" s="130"/>
    </row>
    <row r="29" spans="1:8" ht="14.5" x14ac:dyDescent="0.35">
      <c r="A29" s="142">
        <v>47119</v>
      </c>
      <c r="B29" s="141">
        <v>1.05</v>
      </c>
      <c r="C29"/>
      <c r="D29" s="137"/>
      <c r="G29" s="129"/>
      <c r="H29" s="130"/>
    </row>
    <row r="30" spans="1:8" ht="14.5" x14ac:dyDescent="0.35">
      <c r="A30" s="142">
        <v>47150</v>
      </c>
      <c r="B30" s="141">
        <v>1.05</v>
      </c>
      <c r="C30"/>
      <c r="D30" s="137"/>
      <c r="G30" s="129"/>
      <c r="H30" s="130"/>
    </row>
    <row r="31" spans="1:8" ht="14.5" x14ac:dyDescent="0.35">
      <c r="A31" s="142">
        <v>47178</v>
      </c>
      <c r="B31" s="141">
        <v>1.05</v>
      </c>
      <c r="C31"/>
      <c r="D31" s="137"/>
      <c r="G31" s="129"/>
      <c r="H31" s="130"/>
    </row>
    <row r="32" spans="1:8" ht="14.5" x14ac:dyDescent="0.35">
      <c r="A32" s="142">
        <v>47209</v>
      </c>
      <c r="B32" s="141">
        <v>1.05</v>
      </c>
      <c r="C32"/>
      <c r="D32" s="137"/>
      <c r="G32" s="129"/>
      <c r="H32" s="130"/>
    </row>
    <row r="33" spans="1:8" ht="14.5" x14ac:dyDescent="0.35">
      <c r="A33" s="142">
        <v>47239</v>
      </c>
      <c r="B33" s="141">
        <v>1.05</v>
      </c>
      <c r="C33"/>
      <c r="D33" s="137"/>
      <c r="G33" s="129"/>
      <c r="H33" s="130"/>
    </row>
    <row r="34" spans="1:8" ht="14.5" x14ac:dyDescent="0.35">
      <c r="A34" s="142">
        <v>47270</v>
      </c>
      <c r="B34" s="141">
        <v>1.06</v>
      </c>
      <c r="C34"/>
      <c r="D34" s="137"/>
      <c r="G34" s="129"/>
      <c r="H34" s="130"/>
    </row>
    <row r="35" spans="1:8" ht="14.5" x14ac:dyDescent="0.35">
      <c r="A35" s="142">
        <v>47300</v>
      </c>
      <c r="B35" s="141">
        <v>1.06</v>
      </c>
      <c r="C35"/>
      <c r="D35" s="137"/>
      <c r="G35" s="129"/>
      <c r="H35" s="130"/>
    </row>
    <row r="36" spans="1:8" ht="14.5" x14ac:dyDescent="0.35">
      <c r="A36" s="142">
        <v>47331</v>
      </c>
      <c r="B36" s="141">
        <v>1.06</v>
      </c>
      <c r="C36"/>
      <c r="D36" s="137"/>
      <c r="G36" s="129"/>
      <c r="H36" s="130"/>
    </row>
    <row r="37" spans="1:8" ht="14.5" x14ac:dyDescent="0.35">
      <c r="A37" s="142">
        <v>47362</v>
      </c>
      <c r="B37" s="141">
        <v>1.06</v>
      </c>
      <c r="C37"/>
      <c r="D37" s="137"/>
      <c r="G37" s="129"/>
      <c r="H37" s="130"/>
    </row>
    <row r="38" spans="1:8" ht="14.5" x14ac:dyDescent="0.35">
      <c r="A38" s="142">
        <v>47392</v>
      </c>
      <c r="B38" s="141">
        <v>1.06</v>
      </c>
      <c r="C38"/>
      <c r="D38" s="137"/>
      <c r="G38" s="129"/>
      <c r="H38" s="130"/>
    </row>
    <row r="39" spans="1:8" ht="14.5" x14ac:dyDescent="0.35">
      <c r="A39" s="142">
        <v>47423</v>
      </c>
      <c r="B39" s="141">
        <v>1.07</v>
      </c>
      <c r="C39"/>
      <c r="D39" s="137"/>
      <c r="G39" s="129"/>
      <c r="H39" s="130"/>
    </row>
    <row r="40" spans="1:8" ht="14.5" x14ac:dyDescent="0.35">
      <c r="A40" s="142">
        <v>47453</v>
      </c>
      <c r="B40" s="141">
        <v>1.07</v>
      </c>
      <c r="C40"/>
      <c r="D40" s="137"/>
      <c r="G40" s="129"/>
      <c r="H40" s="130"/>
    </row>
    <row r="41" spans="1:8" ht="14.5" x14ac:dyDescent="0.35">
      <c r="A41" s="140">
        <v>47484</v>
      </c>
      <c r="B41" s="141">
        <v>1.07</v>
      </c>
      <c r="C41"/>
      <c r="D41" s="137"/>
    </row>
    <row r="42" spans="1:8" ht="14.5" x14ac:dyDescent="0.35">
      <c r="A42" s="140">
        <v>47515</v>
      </c>
      <c r="B42" s="141">
        <v>1.08</v>
      </c>
      <c r="C42"/>
      <c r="D42" s="137"/>
    </row>
    <row r="43" spans="1:8" ht="14.5" x14ac:dyDescent="0.35">
      <c r="A43" s="140">
        <v>47543</v>
      </c>
      <c r="B43" s="141">
        <v>1.08</v>
      </c>
      <c r="C43"/>
      <c r="D43" s="137"/>
    </row>
    <row r="44" spans="1:8" ht="14.5" x14ac:dyDescent="0.35">
      <c r="A44" s="140">
        <v>47574</v>
      </c>
      <c r="B44" s="141">
        <v>1.08</v>
      </c>
      <c r="C44"/>
      <c r="D44" s="137"/>
    </row>
    <row r="45" spans="1:8" ht="14.5" x14ac:dyDescent="0.35">
      <c r="A45" s="140">
        <v>47604</v>
      </c>
      <c r="B45" s="141">
        <v>1.08</v>
      </c>
      <c r="C45"/>
      <c r="D45" s="137"/>
    </row>
    <row r="46" spans="1:8" ht="14.5" x14ac:dyDescent="0.35">
      <c r="A46" s="140">
        <v>47635</v>
      </c>
      <c r="B46" s="141">
        <v>1.0900000000000001</v>
      </c>
      <c r="C46"/>
      <c r="D46" s="137"/>
    </row>
    <row r="47" spans="1:8" ht="14.5" x14ac:dyDescent="0.35">
      <c r="A47" s="140">
        <v>47665</v>
      </c>
      <c r="B47" s="141">
        <v>1.0900000000000001</v>
      </c>
      <c r="C47"/>
      <c r="D47" s="137"/>
    </row>
    <row r="48" spans="1:8" ht="14.5" x14ac:dyDescent="0.35">
      <c r="A48" s="140">
        <v>47696</v>
      </c>
      <c r="B48" s="141">
        <v>1.08</v>
      </c>
      <c r="C48"/>
      <c r="D48" s="137"/>
    </row>
    <row r="49" spans="1:4" ht="14.5" x14ac:dyDescent="0.35">
      <c r="A49" s="140">
        <v>47727</v>
      </c>
      <c r="B49" s="141">
        <v>1.08</v>
      </c>
      <c r="C49"/>
      <c r="D49" s="137"/>
    </row>
    <row r="50" spans="1:4" ht="14.5" x14ac:dyDescent="0.35">
      <c r="A50" s="140">
        <v>47757</v>
      </c>
      <c r="B50" s="141">
        <v>1.0900000000000001</v>
      </c>
      <c r="C50"/>
      <c r="D50" s="137"/>
    </row>
    <row r="51" spans="1:4" ht="14.5" x14ac:dyDescent="0.35">
      <c r="A51" s="140">
        <v>47788</v>
      </c>
      <c r="B51" s="141">
        <v>1.1000000000000001</v>
      </c>
      <c r="C51"/>
      <c r="D51" s="137"/>
    </row>
    <row r="52" spans="1:4" ht="14.5" x14ac:dyDescent="0.35">
      <c r="A52" s="140">
        <v>47818</v>
      </c>
      <c r="B52" s="141">
        <v>1.1000000000000001</v>
      </c>
      <c r="C52"/>
      <c r="D52" s="137"/>
    </row>
    <row r="53" spans="1:4" ht="14.5" x14ac:dyDescent="0.35">
      <c r="A53" s="142">
        <v>47849</v>
      </c>
      <c r="B53" s="141">
        <v>1.1000000000000001</v>
      </c>
      <c r="C53"/>
      <c r="D53" s="137"/>
    </row>
    <row r="54" spans="1:4" ht="14.5" x14ac:dyDescent="0.35">
      <c r="A54" s="142">
        <v>47880</v>
      </c>
      <c r="B54" s="141">
        <v>1.1100000000000001</v>
      </c>
      <c r="C54"/>
      <c r="D54" s="137"/>
    </row>
    <row r="55" spans="1:4" ht="14.5" x14ac:dyDescent="0.35">
      <c r="A55" s="142">
        <v>47908</v>
      </c>
      <c r="B55" s="141">
        <v>1.1100000000000001</v>
      </c>
      <c r="C55"/>
      <c r="D55" s="137"/>
    </row>
    <row r="56" spans="1:4" ht="14.5" x14ac:dyDescent="0.35">
      <c r="A56" s="142">
        <v>47939</v>
      </c>
      <c r="B56" s="141">
        <v>1.1100000000000001</v>
      </c>
      <c r="C56"/>
      <c r="D56" s="137"/>
    </row>
    <row r="57" spans="1:4" ht="14.5" x14ac:dyDescent="0.35">
      <c r="A57" s="142">
        <v>47969</v>
      </c>
      <c r="B57" s="141">
        <v>1.1100000000000001</v>
      </c>
      <c r="C57"/>
      <c r="D57" s="137"/>
    </row>
    <row r="58" spans="1:4" ht="14.5" x14ac:dyDescent="0.35">
      <c r="A58" s="142">
        <v>48000</v>
      </c>
      <c r="B58" s="141">
        <v>1.1200000000000001</v>
      </c>
      <c r="C58"/>
      <c r="D58" s="137"/>
    </row>
    <row r="59" spans="1:4" ht="14.5" x14ac:dyDescent="0.35">
      <c r="A59" s="142">
        <v>48030</v>
      </c>
      <c r="B59" s="141">
        <v>1.1200000000000001</v>
      </c>
      <c r="C59"/>
      <c r="D59" s="137"/>
    </row>
    <row r="60" spans="1:4" ht="14.5" x14ac:dyDescent="0.35">
      <c r="A60" s="142">
        <v>48061</v>
      </c>
      <c r="B60" s="141">
        <v>1.1100000000000001</v>
      </c>
      <c r="C60"/>
      <c r="D60" s="137"/>
    </row>
    <row r="61" spans="1:4" ht="14.5" x14ac:dyDescent="0.35">
      <c r="A61" s="142">
        <v>48092</v>
      </c>
      <c r="B61" s="141">
        <v>1.1200000000000001</v>
      </c>
      <c r="C61"/>
      <c r="D61" s="137"/>
    </row>
    <row r="62" spans="1:4" ht="14.5" x14ac:dyDescent="0.35">
      <c r="A62" s="142">
        <v>48122</v>
      </c>
      <c r="B62" s="141">
        <v>1.1200000000000001</v>
      </c>
      <c r="C62"/>
      <c r="D62" s="137"/>
    </row>
    <row r="63" spans="1:4" ht="14.5" x14ac:dyDescent="0.35">
      <c r="A63" s="142">
        <v>48153</v>
      </c>
      <c r="B63" s="141">
        <v>1.1299999999999999</v>
      </c>
      <c r="C63"/>
      <c r="D63" s="137"/>
    </row>
    <row r="64" spans="1:4" ht="14.5" x14ac:dyDescent="0.35">
      <c r="A64" s="142">
        <v>48183</v>
      </c>
      <c r="B64" s="141">
        <v>1.1299999999999999</v>
      </c>
      <c r="C64"/>
      <c r="D64" s="137"/>
    </row>
    <row r="65" spans="1:2" ht="14.5" x14ac:dyDescent="0.35">
      <c r="A65" s="140">
        <v>48214</v>
      </c>
      <c r="B65" s="141">
        <v>1.1399999999999999</v>
      </c>
    </row>
    <row r="66" spans="1:2" ht="14.5" x14ac:dyDescent="0.35">
      <c r="A66" s="140">
        <v>48245</v>
      </c>
      <c r="B66" s="141">
        <v>1.1399999999999999</v>
      </c>
    </row>
    <row r="67" spans="1:2" ht="14.5" x14ac:dyDescent="0.35">
      <c r="A67" s="140">
        <v>48274</v>
      </c>
      <c r="B67" s="141">
        <v>1.1399999999999999</v>
      </c>
    </row>
    <row r="68" spans="1:2" ht="14.5" x14ac:dyDescent="0.35">
      <c r="A68" s="140">
        <v>48305</v>
      </c>
      <c r="B68" s="141">
        <v>1.1399999999999999</v>
      </c>
    </row>
    <row r="69" spans="1:2" ht="14.5" x14ac:dyDescent="0.35">
      <c r="A69" s="140">
        <v>48335</v>
      </c>
      <c r="B69" s="141">
        <v>1.1499999999999999</v>
      </c>
    </row>
    <row r="70" spans="1:2" ht="14.5" x14ac:dyDescent="0.35">
      <c r="A70" s="140">
        <v>48366</v>
      </c>
      <c r="B70" s="141">
        <v>1.1499999999999999</v>
      </c>
    </row>
    <row r="71" spans="1:2" ht="14.5" x14ac:dyDescent="0.35">
      <c r="A71" s="140">
        <v>48396</v>
      </c>
      <c r="B71" s="141">
        <v>1.1499999999999999</v>
      </c>
    </row>
    <row r="72" spans="1:2" ht="14.5" x14ac:dyDescent="0.35">
      <c r="A72" s="140">
        <v>48427</v>
      </c>
      <c r="B72" s="141">
        <v>1.1499999999999999</v>
      </c>
    </row>
    <row r="73" spans="1:2" ht="14.5" x14ac:dyDescent="0.35">
      <c r="A73" s="140">
        <v>48458</v>
      </c>
      <c r="B73" s="141">
        <v>1.1499999999999999</v>
      </c>
    </row>
    <row r="74" spans="1:2" ht="14.5" x14ac:dyDescent="0.35">
      <c r="A74" s="140">
        <v>48488</v>
      </c>
      <c r="B74" s="141">
        <v>1.1499999999999999</v>
      </c>
    </row>
    <row r="75" spans="1:2" ht="14.5" x14ac:dyDescent="0.35">
      <c r="A75" s="140">
        <v>48519</v>
      </c>
      <c r="B75" s="141">
        <v>1.1599999999999999</v>
      </c>
    </row>
    <row r="76" spans="1:2" ht="14.5" x14ac:dyDescent="0.35">
      <c r="A76" s="140">
        <v>48549</v>
      </c>
      <c r="B76" s="141">
        <v>1.17</v>
      </c>
    </row>
    <row r="77" spans="1:2" ht="14.5" x14ac:dyDescent="0.35">
      <c r="A77" s="142">
        <v>48580</v>
      </c>
      <c r="B77" s="141">
        <v>1.17</v>
      </c>
    </row>
    <row r="78" spans="1:2" ht="14.5" x14ac:dyDescent="0.35">
      <c r="A78" s="142">
        <v>48611</v>
      </c>
      <c r="B78" s="141">
        <v>1.17</v>
      </c>
    </row>
    <row r="79" spans="1:2" ht="14.5" x14ac:dyDescent="0.35">
      <c r="A79" s="142">
        <v>48639</v>
      </c>
      <c r="B79" s="141">
        <v>1.17</v>
      </c>
    </row>
    <row r="80" spans="1:2" ht="14.5" x14ac:dyDescent="0.35">
      <c r="A80" s="142">
        <v>48670</v>
      </c>
      <c r="B80" s="141">
        <v>1.17</v>
      </c>
    </row>
    <row r="81" spans="1:2" ht="14.5" x14ac:dyDescent="0.35">
      <c r="A81" s="142">
        <v>48700</v>
      </c>
      <c r="B81" s="141">
        <v>1.18</v>
      </c>
    </row>
    <row r="82" spans="1:2" ht="14.5" x14ac:dyDescent="0.35">
      <c r="A82" s="142">
        <v>48731</v>
      </c>
      <c r="B82" s="141">
        <v>1.19</v>
      </c>
    </row>
    <row r="83" spans="1:2" ht="14.5" x14ac:dyDescent="0.35">
      <c r="A83" s="142">
        <v>48761</v>
      </c>
      <c r="B83" s="141">
        <v>1.19</v>
      </c>
    </row>
    <row r="84" spans="1:2" ht="14.5" x14ac:dyDescent="0.35">
      <c r="A84" s="142">
        <v>48792</v>
      </c>
      <c r="B84" s="141">
        <v>1.18</v>
      </c>
    </row>
    <row r="85" spans="1:2" ht="14.5" x14ac:dyDescent="0.35">
      <c r="A85" s="142">
        <v>48823</v>
      </c>
      <c r="B85" s="141">
        <v>1.18</v>
      </c>
    </row>
    <row r="86" spans="1:2" ht="14.5" x14ac:dyDescent="0.35">
      <c r="A86" s="142">
        <v>48853</v>
      </c>
      <c r="B86" s="141">
        <v>1.19</v>
      </c>
    </row>
    <row r="87" spans="1:2" ht="14.5" x14ac:dyDescent="0.35">
      <c r="A87" s="142">
        <v>48884</v>
      </c>
      <c r="B87" s="141">
        <v>1.2</v>
      </c>
    </row>
    <row r="88" spans="1:2" ht="14.5" x14ac:dyDescent="0.35">
      <c r="A88" s="142">
        <v>48914</v>
      </c>
      <c r="B88" s="141">
        <v>1.2</v>
      </c>
    </row>
    <row r="89" spans="1:2" ht="14.5" x14ac:dyDescent="0.35">
      <c r="A89" s="140">
        <v>48945</v>
      </c>
      <c r="B89" s="141">
        <v>1.2</v>
      </c>
    </row>
    <row r="90" spans="1:2" ht="14.5" x14ac:dyDescent="0.35">
      <c r="A90" s="140">
        <v>48976</v>
      </c>
      <c r="B90" s="141">
        <v>1.21</v>
      </c>
    </row>
    <row r="91" spans="1:2" ht="14.5" x14ac:dyDescent="0.35">
      <c r="A91" s="140">
        <v>49004</v>
      </c>
      <c r="B91" s="141">
        <v>1.21</v>
      </c>
    </row>
    <row r="92" spans="1:2" ht="14.5" x14ac:dyDescent="0.35">
      <c r="A92" s="140">
        <v>49035</v>
      </c>
      <c r="B92" s="141">
        <v>1.21</v>
      </c>
    </row>
    <row r="93" spans="1:2" ht="14.5" x14ac:dyDescent="0.35">
      <c r="A93" s="140">
        <v>49065</v>
      </c>
      <c r="B93" s="141">
        <v>1.22</v>
      </c>
    </row>
    <row r="94" spans="1:2" ht="14.5" x14ac:dyDescent="0.35">
      <c r="A94" s="140">
        <v>49096</v>
      </c>
      <c r="B94" s="141">
        <v>1.22</v>
      </c>
    </row>
    <row r="95" spans="1:2" ht="14.5" x14ac:dyDescent="0.35">
      <c r="A95" s="140">
        <v>49126</v>
      </c>
      <c r="B95" s="141">
        <v>1.22</v>
      </c>
    </row>
    <row r="96" spans="1:2" ht="14.5" x14ac:dyDescent="0.35">
      <c r="A96" s="140">
        <v>49157</v>
      </c>
      <c r="B96" s="141">
        <v>1.22</v>
      </c>
    </row>
    <row r="97" spans="1:2" ht="14.5" x14ac:dyDescent="0.35">
      <c r="A97" s="140">
        <v>49188</v>
      </c>
      <c r="B97" s="141">
        <v>1.22</v>
      </c>
    </row>
    <row r="98" spans="1:2" ht="14.5" x14ac:dyDescent="0.35">
      <c r="A98" s="140">
        <v>49218</v>
      </c>
      <c r="B98" s="141">
        <v>1.22</v>
      </c>
    </row>
    <row r="99" spans="1:2" ht="14.5" x14ac:dyDescent="0.35">
      <c r="A99" s="140">
        <v>49249</v>
      </c>
      <c r="B99" s="141">
        <v>1.24</v>
      </c>
    </row>
    <row r="100" spans="1:2" ht="14.5" x14ac:dyDescent="0.35">
      <c r="A100" s="140">
        <v>49279</v>
      </c>
      <c r="B100" s="141">
        <v>1.24</v>
      </c>
    </row>
    <row r="101" spans="1:2" ht="14.5" x14ac:dyDescent="0.35">
      <c r="A101" s="142">
        <v>49310</v>
      </c>
      <c r="B101" s="141">
        <v>1.24</v>
      </c>
    </row>
    <row r="102" spans="1:2" ht="14.5" x14ac:dyDescent="0.35">
      <c r="A102" s="142">
        <v>49341</v>
      </c>
      <c r="B102" s="141">
        <v>1.25</v>
      </c>
    </row>
    <row r="103" spans="1:2" ht="14.5" x14ac:dyDescent="0.35">
      <c r="A103" s="142">
        <v>49369</v>
      </c>
      <c r="B103" s="141">
        <v>1.25</v>
      </c>
    </row>
    <row r="104" spans="1:2" ht="14.5" x14ac:dyDescent="0.35">
      <c r="A104" s="142">
        <v>49400</v>
      </c>
      <c r="B104" s="141">
        <v>1.25</v>
      </c>
    </row>
    <row r="105" spans="1:2" ht="14.5" x14ac:dyDescent="0.35">
      <c r="A105" s="142">
        <v>49430</v>
      </c>
      <c r="B105" s="141">
        <v>1.25</v>
      </c>
    </row>
    <row r="106" spans="1:2" ht="14.5" x14ac:dyDescent="0.35">
      <c r="A106" s="142">
        <v>49461</v>
      </c>
      <c r="B106" s="141">
        <v>1.26</v>
      </c>
    </row>
    <row r="107" spans="1:2" ht="14.5" x14ac:dyDescent="0.35">
      <c r="A107" s="142">
        <v>49491</v>
      </c>
      <c r="B107" s="141">
        <v>1.26</v>
      </c>
    </row>
    <row r="108" spans="1:2" ht="14.5" x14ac:dyDescent="0.35">
      <c r="A108" s="142">
        <v>49522</v>
      </c>
      <c r="B108" s="141">
        <v>1.25</v>
      </c>
    </row>
    <row r="109" spans="1:2" ht="14.5" x14ac:dyDescent="0.35">
      <c r="A109" s="142">
        <v>49553</v>
      </c>
      <c r="B109" s="141">
        <v>1.26</v>
      </c>
    </row>
    <row r="110" spans="1:2" ht="14.5" x14ac:dyDescent="0.35">
      <c r="A110" s="142">
        <v>49583</v>
      </c>
      <c r="B110" s="141">
        <v>1.26</v>
      </c>
    </row>
    <row r="111" spans="1:2" ht="14.5" x14ac:dyDescent="0.35">
      <c r="A111" s="142">
        <v>49614</v>
      </c>
      <c r="B111" s="141">
        <v>1.27</v>
      </c>
    </row>
    <row r="112" spans="1:2" ht="14.5" x14ac:dyDescent="0.35">
      <c r="A112" s="142">
        <v>49644</v>
      </c>
      <c r="B112" s="141">
        <v>1.27</v>
      </c>
    </row>
    <row r="113" spans="1:2" ht="14.5" x14ac:dyDescent="0.35">
      <c r="A113" s="140">
        <v>49675</v>
      </c>
      <c r="B113" s="141">
        <v>1.28</v>
      </c>
    </row>
    <row r="114" spans="1:2" ht="14.5" x14ac:dyDescent="0.35">
      <c r="A114" s="140">
        <v>49706</v>
      </c>
      <c r="B114" s="141">
        <v>1.28</v>
      </c>
    </row>
    <row r="115" spans="1:2" ht="14.5" x14ac:dyDescent="0.35">
      <c r="A115" s="140">
        <v>49735</v>
      </c>
      <c r="B115" s="141">
        <v>1.28</v>
      </c>
    </row>
    <row r="116" spans="1:2" ht="14.5" x14ac:dyDescent="0.35">
      <c r="A116" s="140">
        <v>49766</v>
      </c>
      <c r="B116" s="141">
        <v>1.28</v>
      </c>
    </row>
    <row r="117" spans="1:2" ht="14.5" x14ac:dyDescent="0.35">
      <c r="A117" s="140">
        <v>49796</v>
      </c>
      <c r="B117" s="141">
        <v>1.29</v>
      </c>
    </row>
    <row r="118" spans="1:2" ht="14.5" x14ac:dyDescent="0.35">
      <c r="A118" s="140">
        <v>49827</v>
      </c>
      <c r="B118" s="141">
        <v>1.3</v>
      </c>
    </row>
    <row r="119" spans="1:2" ht="14.5" x14ac:dyDescent="0.35">
      <c r="A119" s="140">
        <v>49857</v>
      </c>
      <c r="B119" s="141">
        <v>1.3</v>
      </c>
    </row>
    <row r="120" spans="1:2" ht="14.5" x14ac:dyDescent="0.35">
      <c r="A120" s="140">
        <v>49888</v>
      </c>
      <c r="B120" s="141">
        <v>1.29</v>
      </c>
    </row>
    <row r="121" spans="1:2" ht="14.5" x14ac:dyDescent="0.35">
      <c r="A121" s="140">
        <v>49919</v>
      </c>
      <c r="B121" s="141">
        <v>1.29</v>
      </c>
    </row>
    <row r="122" spans="1:2" ht="14.5" x14ac:dyDescent="0.35">
      <c r="A122" s="140">
        <v>49949</v>
      </c>
      <c r="B122" s="141">
        <v>1.3</v>
      </c>
    </row>
    <row r="123" spans="1:2" ht="14.5" x14ac:dyDescent="0.35">
      <c r="A123" s="140">
        <v>49980</v>
      </c>
      <c r="B123" s="141">
        <v>1.31</v>
      </c>
    </row>
    <row r="124" spans="1:2" ht="14.5" x14ac:dyDescent="0.35">
      <c r="A124" s="140">
        <v>50010</v>
      </c>
      <c r="B124" s="141">
        <v>1.31</v>
      </c>
    </row>
    <row r="125" spans="1:2" ht="14.5" x14ac:dyDescent="0.35">
      <c r="A125" s="142">
        <v>50041</v>
      </c>
      <c r="B125" s="141">
        <v>1.32</v>
      </c>
    </row>
    <row r="126" spans="1:2" ht="14.5" x14ac:dyDescent="0.35">
      <c r="A126" s="142">
        <v>50072</v>
      </c>
      <c r="B126" s="141">
        <v>1.32</v>
      </c>
    </row>
    <row r="127" spans="1:2" ht="14.5" x14ac:dyDescent="0.35">
      <c r="A127" s="142">
        <v>50100</v>
      </c>
      <c r="B127" s="141">
        <v>1.32</v>
      </c>
    </row>
    <row r="128" spans="1:2" ht="14.5" x14ac:dyDescent="0.35">
      <c r="A128" s="142">
        <v>50131</v>
      </c>
      <c r="B128" s="141">
        <v>1.32</v>
      </c>
    </row>
    <row r="129" spans="1:2" ht="14.5" x14ac:dyDescent="0.35">
      <c r="A129" s="142">
        <v>50161</v>
      </c>
      <c r="B129" s="141">
        <v>1.33</v>
      </c>
    </row>
    <row r="130" spans="1:2" ht="14.5" x14ac:dyDescent="0.35">
      <c r="A130" s="142">
        <v>50192</v>
      </c>
      <c r="B130" s="141">
        <v>1.33</v>
      </c>
    </row>
    <row r="131" spans="1:2" ht="14.5" x14ac:dyDescent="0.35">
      <c r="A131" s="142">
        <v>50222</v>
      </c>
      <c r="B131" s="141">
        <v>1.34</v>
      </c>
    </row>
    <row r="132" spans="1:2" ht="14.5" x14ac:dyDescent="0.35">
      <c r="A132" s="142">
        <v>50253</v>
      </c>
      <c r="B132" s="141">
        <v>1.33</v>
      </c>
    </row>
    <row r="133" spans="1:2" ht="14.5" x14ac:dyDescent="0.35">
      <c r="A133" s="142">
        <v>50284</v>
      </c>
      <c r="B133" s="141">
        <v>1.33</v>
      </c>
    </row>
    <row r="134" spans="1:2" ht="14.5" x14ac:dyDescent="0.35">
      <c r="A134" s="142">
        <v>50314</v>
      </c>
      <c r="B134" s="141">
        <v>1.34</v>
      </c>
    </row>
    <row r="135" spans="1:2" ht="14.5" x14ac:dyDescent="0.35">
      <c r="A135" s="142">
        <v>50345</v>
      </c>
      <c r="B135" s="141">
        <v>1.35</v>
      </c>
    </row>
    <row r="136" spans="1:2" ht="14.5" x14ac:dyDescent="0.35">
      <c r="A136" s="142">
        <v>50375</v>
      </c>
      <c r="B136" s="141">
        <v>1.35</v>
      </c>
    </row>
    <row r="137" spans="1:2" ht="14.5" x14ac:dyDescent="0.35">
      <c r="A137" s="140">
        <v>50406</v>
      </c>
      <c r="B137" s="141">
        <v>1.36</v>
      </c>
    </row>
    <row r="138" spans="1:2" ht="14.5" x14ac:dyDescent="0.35">
      <c r="A138" s="140">
        <v>50437</v>
      </c>
      <c r="B138" s="141">
        <v>1.36</v>
      </c>
    </row>
    <row r="139" spans="1:2" ht="14.5" x14ac:dyDescent="0.35">
      <c r="A139" s="140">
        <v>50465</v>
      </c>
      <c r="B139" s="141">
        <v>1.36</v>
      </c>
    </row>
    <row r="140" spans="1:2" ht="14.5" x14ac:dyDescent="0.35">
      <c r="A140" s="140">
        <v>50496</v>
      </c>
      <c r="B140" s="141">
        <v>1.36</v>
      </c>
    </row>
    <row r="141" spans="1:2" ht="14.5" x14ac:dyDescent="0.35">
      <c r="A141" s="140">
        <v>50526</v>
      </c>
      <c r="B141" s="141">
        <v>1.37</v>
      </c>
    </row>
    <row r="142" spans="1:2" ht="14.5" x14ac:dyDescent="0.35">
      <c r="A142" s="140">
        <v>50557</v>
      </c>
      <c r="B142" s="141">
        <v>1.37</v>
      </c>
    </row>
    <row r="143" spans="1:2" ht="14.5" x14ac:dyDescent="0.35">
      <c r="A143" s="140">
        <v>50587</v>
      </c>
      <c r="B143" s="141">
        <v>1.38</v>
      </c>
    </row>
    <row r="144" spans="1:2" ht="14.5" x14ac:dyDescent="0.35">
      <c r="A144" s="140">
        <v>50618</v>
      </c>
      <c r="B144" s="141">
        <v>1.37</v>
      </c>
    </row>
    <row r="145" spans="1:2" ht="14.5" x14ac:dyDescent="0.35">
      <c r="A145" s="140">
        <v>50649</v>
      </c>
      <c r="B145" s="141">
        <v>1.37</v>
      </c>
    </row>
    <row r="146" spans="1:2" ht="14.5" x14ac:dyDescent="0.35">
      <c r="A146" s="140">
        <v>50679</v>
      </c>
      <c r="B146" s="141">
        <v>1.38</v>
      </c>
    </row>
    <row r="147" spans="1:2" ht="14.5" x14ac:dyDescent="0.35">
      <c r="A147" s="140">
        <v>50710</v>
      </c>
      <c r="B147" s="141">
        <v>1.39</v>
      </c>
    </row>
    <row r="148" spans="1:2" ht="14.5" x14ac:dyDescent="0.35">
      <c r="A148" s="140">
        <v>50740</v>
      </c>
      <c r="B148" s="141">
        <v>1.39</v>
      </c>
    </row>
    <row r="149" spans="1:2" ht="14.5" x14ac:dyDescent="0.35">
      <c r="A149" s="142">
        <v>50771</v>
      </c>
      <c r="B149" s="141">
        <v>1.4</v>
      </c>
    </row>
    <row r="150" spans="1:2" ht="14.5" x14ac:dyDescent="0.35">
      <c r="A150" s="142">
        <v>50802</v>
      </c>
      <c r="B150" s="141">
        <v>1.4</v>
      </c>
    </row>
    <row r="151" spans="1:2" ht="14.5" x14ac:dyDescent="0.35">
      <c r="A151" s="142">
        <v>50830</v>
      </c>
      <c r="B151" s="141">
        <v>1.4</v>
      </c>
    </row>
    <row r="152" spans="1:2" ht="14.5" x14ac:dyDescent="0.35">
      <c r="A152" s="142">
        <v>50861</v>
      </c>
      <c r="B152" s="141">
        <v>1.4</v>
      </c>
    </row>
    <row r="153" spans="1:2" ht="14.5" x14ac:dyDescent="0.35">
      <c r="A153" s="142">
        <v>50891</v>
      </c>
      <c r="B153" s="141">
        <v>1.41</v>
      </c>
    </row>
    <row r="154" spans="1:2" ht="14.5" x14ac:dyDescent="0.35">
      <c r="A154" s="142">
        <v>50922</v>
      </c>
      <c r="B154" s="141">
        <v>1.42</v>
      </c>
    </row>
    <row r="155" spans="1:2" ht="14.5" x14ac:dyDescent="0.35">
      <c r="A155" s="142">
        <v>50952</v>
      </c>
      <c r="B155" s="141">
        <v>1.42</v>
      </c>
    </row>
    <row r="156" spans="1:2" ht="14.5" x14ac:dyDescent="0.35">
      <c r="A156" s="142">
        <v>50983</v>
      </c>
      <c r="B156" s="141">
        <v>1.41</v>
      </c>
    </row>
    <row r="157" spans="1:2" ht="14.5" x14ac:dyDescent="0.35">
      <c r="A157" s="142">
        <v>51014</v>
      </c>
      <c r="B157" s="141">
        <v>1.41</v>
      </c>
    </row>
    <row r="158" spans="1:2" ht="14.5" x14ac:dyDescent="0.35">
      <c r="A158" s="142">
        <v>51044</v>
      </c>
      <c r="B158" s="141">
        <v>1.42</v>
      </c>
    </row>
    <row r="159" spans="1:2" ht="14.5" x14ac:dyDescent="0.35">
      <c r="A159" s="142">
        <v>51075</v>
      </c>
      <c r="B159" s="141">
        <v>1.43</v>
      </c>
    </row>
    <row r="160" spans="1:2" ht="14.5" x14ac:dyDescent="0.35">
      <c r="A160" s="142">
        <v>51105</v>
      </c>
      <c r="B160" s="141">
        <v>1.43</v>
      </c>
    </row>
    <row r="161" spans="1:2" ht="14.5" x14ac:dyDescent="0.35">
      <c r="A161" s="140">
        <v>51136</v>
      </c>
      <c r="B161" s="141">
        <v>1.44</v>
      </c>
    </row>
    <row r="162" spans="1:2" ht="14.5" x14ac:dyDescent="0.35">
      <c r="A162" s="140">
        <v>51167</v>
      </c>
      <c r="B162" s="141">
        <v>1.44</v>
      </c>
    </row>
    <row r="163" spans="1:2" ht="14.5" x14ac:dyDescent="0.35">
      <c r="A163" s="140">
        <v>51196</v>
      </c>
      <c r="B163" s="141">
        <v>1.44</v>
      </c>
    </row>
    <row r="164" spans="1:2" ht="14.5" x14ac:dyDescent="0.35">
      <c r="A164" s="140">
        <v>51227</v>
      </c>
      <c r="B164" s="141">
        <v>1.44</v>
      </c>
    </row>
    <row r="165" spans="1:2" ht="14.5" x14ac:dyDescent="0.35">
      <c r="A165" s="140">
        <v>51257</v>
      </c>
      <c r="B165" s="141">
        <v>1.45</v>
      </c>
    </row>
    <row r="166" spans="1:2" ht="14.5" x14ac:dyDescent="0.35">
      <c r="A166" s="140">
        <v>51288</v>
      </c>
      <c r="B166" s="141">
        <v>1.46</v>
      </c>
    </row>
    <row r="167" spans="1:2" ht="14.5" x14ac:dyDescent="0.35">
      <c r="A167" s="140">
        <v>51318</v>
      </c>
      <c r="B167" s="141">
        <v>1.46</v>
      </c>
    </row>
    <row r="168" spans="1:2" ht="14.5" x14ac:dyDescent="0.35">
      <c r="A168" s="140">
        <v>51349</v>
      </c>
      <c r="B168" s="141">
        <v>1.45</v>
      </c>
    </row>
    <row r="169" spans="1:2" ht="14.5" x14ac:dyDescent="0.35">
      <c r="A169" s="140">
        <v>51380</v>
      </c>
      <c r="B169" s="141">
        <v>1.46</v>
      </c>
    </row>
    <row r="170" spans="1:2" ht="14.5" x14ac:dyDescent="0.35">
      <c r="A170" s="140">
        <v>51410</v>
      </c>
      <c r="B170" s="141">
        <v>1.46</v>
      </c>
    </row>
    <row r="171" spans="1:2" ht="14.5" x14ac:dyDescent="0.35">
      <c r="A171" s="140">
        <v>51441</v>
      </c>
      <c r="B171" s="141">
        <v>1.47</v>
      </c>
    </row>
    <row r="172" spans="1:2" ht="14.5" x14ac:dyDescent="0.35">
      <c r="A172" s="140">
        <v>51471</v>
      </c>
      <c r="B172" s="141">
        <v>1.48</v>
      </c>
    </row>
    <row r="173" spans="1:2" ht="14.5" x14ac:dyDescent="0.35">
      <c r="A173" s="142">
        <v>51502</v>
      </c>
      <c r="B173" s="141">
        <v>1.48</v>
      </c>
    </row>
    <row r="174" spans="1:2" ht="14.5" x14ac:dyDescent="0.35">
      <c r="A174" s="142">
        <v>51533</v>
      </c>
      <c r="B174" s="141">
        <v>1.49</v>
      </c>
    </row>
    <row r="175" spans="1:2" ht="14.5" x14ac:dyDescent="0.35">
      <c r="A175" s="142">
        <v>51561</v>
      </c>
      <c r="B175" s="141">
        <v>1.49</v>
      </c>
    </row>
    <row r="176" spans="1:2" ht="14.5" x14ac:dyDescent="0.35">
      <c r="A176" s="142">
        <v>51592</v>
      </c>
      <c r="B176" s="141">
        <v>1.49</v>
      </c>
    </row>
    <row r="177" spans="1:2" ht="14.5" x14ac:dyDescent="0.35">
      <c r="A177" s="142">
        <v>51622</v>
      </c>
      <c r="B177" s="141">
        <v>1.5</v>
      </c>
    </row>
    <row r="178" spans="1:2" ht="14.5" x14ac:dyDescent="0.35">
      <c r="A178" s="142">
        <v>51653</v>
      </c>
      <c r="B178" s="141">
        <v>1.5</v>
      </c>
    </row>
    <row r="179" spans="1:2" ht="14.5" x14ac:dyDescent="0.35">
      <c r="A179" s="142">
        <v>51683</v>
      </c>
      <c r="B179" s="141">
        <v>1.5</v>
      </c>
    </row>
    <row r="180" spans="1:2" ht="14.5" x14ac:dyDescent="0.35">
      <c r="A180" s="142">
        <v>51714</v>
      </c>
      <c r="B180" s="141">
        <v>1.5</v>
      </c>
    </row>
    <row r="181" spans="1:2" ht="14.5" x14ac:dyDescent="0.35">
      <c r="A181" s="142">
        <v>51745</v>
      </c>
      <c r="B181" s="141">
        <v>1.5</v>
      </c>
    </row>
    <row r="182" spans="1:2" ht="14.5" x14ac:dyDescent="0.35">
      <c r="A182" s="142">
        <v>51775</v>
      </c>
      <c r="B182" s="141">
        <v>1.51</v>
      </c>
    </row>
    <row r="183" spans="1:2" ht="14.5" x14ac:dyDescent="0.35">
      <c r="A183" s="142">
        <v>51806</v>
      </c>
      <c r="B183" s="141">
        <v>1.52</v>
      </c>
    </row>
    <row r="184" spans="1:2" ht="14.5" x14ac:dyDescent="0.35">
      <c r="A184" s="142">
        <v>51836</v>
      </c>
      <c r="B184" s="141">
        <v>1.52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E409-0B50-456C-9199-2BCE97B2D693}">
  <sheetPr>
    <tabColor rgb="FF92D050"/>
    <pageSetUpPr fitToPage="1"/>
  </sheetPr>
  <dimension ref="A2:XFC73"/>
  <sheetViews>
    <sheetView showGridLines="0" tabSelected="1" zoomScale="120" zoomScaleNormal="120" zoomScaleSheetLayoutView="100" workbookViewId="0"/>
  </sheetViews>
  <sheetFormatPr baseColWidth="10" defaultColWidth="0" defaultRowHeight="12.5" x14ac:dyDescent="0.25"/>
  <cols>
    <col min="1" max="1" width="8.54296875" style="20" customWidth="1"/>
    <col min="2" max="2" width="32.7265625" style="20" customWidth="1"/>
    <col min="3" max="3" width="40" style="20" customWidth="1"/>
    <col min="4" max="4" width="18.54296875" style="20" customWidth="1"/>
    <col min="5" max="5" width="18.7265625" style="20" customWidth="1"/>
    <col min="6" max="6" width="13" style="20" customWidth="1"/>
    <col min="7" max="7" width="7" style="20" customWidth="1"/>
    <col min="8" max="10" width="1.54296875" style="20" hidden="1"/>
    <col min="11" max="16383" width="3.453125" style="20" hidden="1"/>
    <col min="16384" max="16384" width="6.7265625" style="20" hidden="1"/>
  </cols>
  <sheetData>
    <row r="2" spans="1:7" s="19" customFormat="1" ht="19" x14ac:dyDescent="0.35">
      <c r="B2" s="44" t="s">
        <v>119</v>
      </c>
      <c r="C2" s="63"/>
      <c r="D2" s="63"/>
      <c r="E2" s="63"/>
      <c r="F2" s="63"/>
    </row>
    <row r="3" spans="1:7" ht="16.5" customHeight="1" x14ac:dyDescent="0.25">
      <c r="B3" s="45" t="s">
        <v>133</v>
      </c>
      <c r="C3" s="64"/>
      <c r="D3" s="64"/>
      <c r="E3" s="64"/>
      <c r="F3" s="64"/>
      <c r="G3" s="21"/>
    </row>
    <row r="4" spans="1:7" ht="16.5" customHeight="1" x14ac:dyDescent="0.25">
      <c r="B4" s="65"/>
      <c r="C4" s="64"/>
      <c r="D4" s="64"/>
      <c r="E4" s="64"/>
      <c r="F4" s="64"/>
      <c r="G4" s="21"/>
    </row>
    <row r="5" spans="1:7" ht="16.5" customHeight="1" x14ac:dyDescent="0.25">
      <c r="B5" s="65"/>
      <c r="C5" s="64"/>
      <c r="D5" s="64"/>
      <c r="E5" s="64"/>
      <c r="F5" s="64"/>
      <c r="G5" s="21"/>
    </row>
    <row r="6" spans="1:7" ht="16.5" customHeight="1" x14ac:dyDescent="0.25">
      <c r="B6" s="236" t="s">
        <v>138</v>
      </c>
      <c r="C6" s="236"/>
      <c r="D6" s="236"/>
      <c r="E6" s="236"/>
      <c r="F6" s="236"/>
      <c r="G6" s="21"/>
    </row>
    <row r="7" spans="1:7" ht="18" customHeight="1" x14ac:dyDescent="0.25">
      <c r="B7" s="236"/>
      <c r="C7" s="236"/>
      <c r="D7" s="236"/>
      <c r="E7" s="236"/>
      <c r="F7" s="236"/>
      <c r="G7" s="21"/>
    </row>
    <row r="8" spans="1:7" ht="18" customHeight="1" thickBot="1" x14ac:dyDescent="0.4">
      <c r="B8" s="22" t="s">
        <v>35</v>
      </c>
      <c r="C8" s="23"/>
      <c r="D8" s="55" t="s">
        <v>63</v>
      </c>
    </row>
    <row r="9" spans="1:7" ht="18" customHeight="1" thickBot="1" x14ac:dyDescent="0.4">
      <c r="A9" s="144"/>
      <c r="B9" s="22" t="s">
        <v>44</v>
      </c>
      <c r="C9" s="143"/>
      <c r="D9" s="54" t="s">
        <v>62</v>
      </c>
    </row>
    <row r="10" spans="1:7" ht="18" customHeight="1" thickBot="1" x14ac:dyDescent="0.4">
      <c r="A10" s="144"/>
      <c r="B10" s="40" t="s">
        <v>45</v>
      </c>
      <c r="C10" s="23"/>
      <c r="D10" s="55" t="s">
        <v>63</v>
      </c>
    </row>
    <row r="11" spans="1:7" ht="18" customHeight="1" thickBot="1" x14ac:dyDescent="0.4">
      <c r="A11" s="144"/>
      <c r="B11" s="22" t="s">
        <v>46</v>
      </c>
      <c r="C11" s="149" t="s">
        <v>57</v>
      </c>
      <c r="D11" s="54" t="s">
        <v>105</v>
      </c>
    </row>
    <row r="12" spans="1:7" ht="18" customHeight="1" thickBot="1" x14ac:dyDescent="0.4">
      <c r="A12" s="147"/>
      <c r="B12" s="22" t="s">
        <v>121</v>
      </c>
      <c r="C12" s="143" t="s">
        <v>122</v>
      </c>
      <c r="D12" s="54"/>
    </row>
    <row r="13" spans="1:7" ht="17" thickBot="1" x14ac:dyDescent="0.4">
      <c r="A13" s="144"/>
      <c r="B13" s="22" t="s">
        <v>104</v>
      </c>
      <c r="C13" s="23"/>
      <c r="D13" s="55" t="s">
        <v>63</v>
      </c>
    </row>
    <row r="15" spans="1:7" ht="12.75" customHeight="1" x14ac:dyDescent="0.25">
      <c r="B15" s="237" t="s">
        <v>36</v>
      </c>
      <c r="C15" s="237" t="s">
        <v>37</v>
      </c>
      <c r="D15" s="237" t="s">
        <v>38</v>
      </c>
      <c r="E15" s="237" t="s">
        <v>39</v>
      </c>
      <c r="F15" s="238" t="s">
        <v>40</v>
      </c>
    </row>
    <row r="16" spans="1:7" ht="35.25" customHeight="1" x14ac:dyDescent="0.25">
      <c r="A16" s="25"/>
      <c r="B16" s="237"/>
      <c r="C16" s="237"/>
      <c r="D16" s="237"/>
      <c r="E16" s="237"/>
      <c r="F16" s="239"/>
    </row>
    <row r="17" spans="1:6" ht="15.5" x14ac:dyDescent="0.35">
      <c r="A17" s="151">
        <v>31</v>
      </c>
      <c r="B17" s="145">
        <v>46388</v>
      </c>
      <c r="C17" s="146">
        <f>+'Cantidades 1_(2027-2029)'!AD14</f>
        <v>40000178.749999993</v>
      </c>
      <c r="D17" s="233">
        <v>0</v>
      </c>
      <c r="E17" s="146">
        <f>+C17*$D$17</f>
        <v>0</v>
      </c>
      <c r="F17" s="228">
        <v>0</v>
      </c>
    </row>
    <row r="18" spans="1:6" ht="15.5" x14ac:dyDescent="0.35">
      <c r="A18" s="151">
        <v>28</v>
      </c>
      <c r="B18" s="145">
        <v>46419</v>
      </c>
      <c r="C18" s="146">
        <f>+'Cantidades 1_(2027-2029)'!AD15</f>
        <v>37298924.75999999</v>
      </c>
      <c r="D18" s="234"/>
      <c r="E18" s="146">
        <f>+C18*$D$17</f>
        <v>0</v>
      </c>
      <c r="F18" s="229"/>
    </row>
    <row r="19" spans="1:6" ht="15.5" x14ac:dyDescent="0.35">
      <c r="A19" s="151">
        <v>31</v>
      </c>
      <c r="B19" s="145">
        <v>46447</v>
      </c>
      <c r="C19" s="146">
        <f>+'Cantidades 1_(2027-2029)'!AD16</f>
        <v>40073324.280000001</v>
      </c>
      <c r="D19" s="234"/>
      <c r="E19" s="146">
        <f>+C19*$D$17</f>
        <v>0</v>
      </c>
      <c r="F19" s="229"/>
    </row>
    <row r="20" spans="1:6" ht="15.5" x14ac:dyDescent="0.35">
      <c r="A20" s="151">
        <v>30</v>
      </c>
      <c r="B20" s="145">
        <v>46478</v>
      </c>
      <c r="C20" s="146">
        <f>+'Cantidades 1_(2027-2029)'!AD17</f>
        <v>34634589.100000001</v>
      </c>
      <c r="D20" s="234"/>
      <c r="E20" s="146">
        <f>+C20*$D$17</f>
        <v>0</v>
      </c>
      <c r="F20" s="229"/>
    </row>
    <row r="21" spans="1:6" ht="15.5" x14ac:dyDescent="0.35">
      <c r="A21" s="151">
        <v>31</v>
      </c>
      <c r="B21" s="145">
        <v>46508</v>
      </c>
      <c r="C21" s="146">
        <f>+'Cantidades 1_(2027-2029)'!AD18</f>
        <v>36094806.429999992</v>
      </c>
      <c r="D21" s="234"/>
      <c r="E21" s="146">
        <f t="shared" ref="E21:E26" si="0">+C21*$D$17</f>
        <v>0</v>
      </c>
      <c r="F21" s="229"/>
    </row>
    <row r="22" spans="1:6" ht="15.5" x14ac:dyDescent="0.35">
      <c r="A22" s="151">
        <v>30</v>
      </c>
      <c r="B22" s="145">
        <v>46539</v>
      </c>
      <c r="C22" s="146">
        <f>+'Cantidades 1_(2027-2029)'!AD19</f>
        <v>24337482.57</v>
      </c>
      <c r="D22" s="234"/>
      <c r="E22" s="146">
        <f>+C22*$D$17</f>
        <v>0</v>
      </c>
      <c r="F22" s="229"/>
    </row>
    <row r="23" spans="1:6" ht="15.5" x14ac:dyDescent="0.35">
      <c r="A23" s="151">
        <v>31</v>
      </c>
      <c r="B23" s="145">
        <v>46569</v>
      </c>
      <c r="C23" s="146">
        <f>+'Cantidades 1_(2027-2029)'!AD20</f>
        <v>26662098.829999998</v>
      </c>
      <c r="D23" s="234"/>
      <c r="E23" s="146">
        <f>+C23*$D$17</f>
        <v>0</v>
      </c>
      <c r="F23" s="229"/>
    </row>
    <row r="24" spans="1:6" ht="15.5" x14ac:dyDescent="0.35">
      <c r="A24" s="151">
        <v>31</v>
      </c>
      <c r="B24" s="145">
        <v>46600</v>
      </c>
      <c r="C24" s="146">
        <f>+'Cantidades 1_(2027-2029)'!AD21</f>
        <v>30317580.780000001</v>
      </c>
      <c r="D24" s="234"/>
      <c r="E24" s="146">
        <f>+C24*$D$17</f>
        <v>0</v>
      </c>
      <c r="F24" s="229"/>
    </row>
    <row r="25" spans="1:6" ht="15.5" x14ac:dyDescent="0.35">
      <c r="A25" s="151">
        <v>30</v>
      </c>
      <c r="B25" s="145">
        <v>46631</v>
      </c>
      <c r="C25" s="146">
        <f>+'Cantidades 1_(2027-2029)'!AD22</f>
        <v>28465749.720000003</v>
      </c>
      <c r="D25" s="234"/>
      <c r="E25" s="146">
        <f t="shared" si="0"/>
        <v>0</v>
      </c>
      <c r="F25" s="229"/>
    </row>
    <row r="26" spans="1:6" ht="15.5" x14ac:dyDescent="0.35">
      <c r="A26" s="151">
        <v>31</v>
      </c>
      <c r="B26" s="145">
        <v>46661</v>
      </c>
      <c r="C26" s="146">
        <f>+'Cantidades 1_(2027-2029)'!AD23</f>
        <v>29190980.369999994</v>
      </c>
      <c r="D26" s="234"/>
      <c r="E26" s="146">
        <f t="shared" si="0"/>
        <v>0</v>
      </c>
      <c r="F26" s="229"/>
    </row>
    <row r="27" spans="1:6" ht="15.5" x14ac:dyDescent="0.35">
      <c r="A27" s="151">
        <v>30</v>
      </c>
      <c r="B27" s="145">
        <v>46692</v>
      </c>
      <c r="C27" s="146">
        <f>+'Cantidades 1_(2027-2029)'!AD24</f>
        <v>25956769.579999998</v>
      </c>
      <c r="D27" s="234"/>
      <c r="E27" s="146">
        <f>+C27*$D$17</f>
        <v>0</v>
      </c>
      <c r="F27" s="229"/>
    </row>
    <row r="28" spans="1:6" ht="15.5" x14ac:dyDescent="0.35">
      <c r="A28" s="56">
        <f>SUM(C17:C28)/1000</f>
        <v>391858.94836000004</v>
      </c>
      <c r="B28" s="145">
        <v>46722</v>
      </c>
      <c r="C28" s="146">
        <f>+'Cantidades 1_(2027-2029)'!AD25</f>
        <v>38826463.190000005</v>
      </c>
      <c r="D28" s="234"/>
      <c r="E28" s="146">
        <f>+C28*$D$17</f>
        <v>0</v>
      </c>
      <c r="F28" s="230"/>
    </row>
    <row r="29" spans="1:6" ht="15.5" x14ac:dyDescent="0.35">
      <c r="A29" s="151">
        <v>31</v>
      </c>
      <c r="B29" s="145">
        <v>46753</v>
      </c>
      <c r="C29" s="146">
        <f>+'Cantidades 1_(2027-2029)'!AD64</f>
        <v>39835760.030000001</v>
      </c>
      <c r="D29" s="234"/>
      <c r="E29" s="146">
        <f t="shared" ref="E29:E40" si="1">+C29*$D$17</f>
        <v>0</v>
      </c>
      <c r="F29" s="228">
        <v>0</v>
      </c>
    </row>
    <row r="30" spans="1:6" ht="15.5" x14ac:dyDescent="0.35">
      <c r="A30" s="151">
        <v>29</v>
      </c>
      <c r="B30" s="145">
        <v>46784</v>
      </c>
      <c r="C30" s="146">
        <f>+'Cantidades 1_(2027-2029)'!AD65</f>
        <v>35879986.519999996</v>
      </c>
      <c r="D30" s="234"/>
      <c r="E30" s="146">
        <f t="shared" si="1"/>
        <v>0</v>
      </c>
      <c r="F30" s="229"/>
    </row>
    <row r="31" spans="1:6" ht="15.5" x14ac:dyDescent="0.35">
      <c r="A31" s="151">
        <v>31</v>
      </c>
      <c r="B31" s="145">
        <v>46813</v>
      </c>
      <c r="C31" s="146">
        <f>+'Cantidades 1_(2027-2029)'!AD66</f>
        <v>39320426.219999999</v>
      </c>
      <c r="D31" s="234"/>
      <c r="E31" s="146">
        <f t="shared" si="1"/>
        <v>0</v>
      </c>
      <c r="F31" s="229"/>
    </row>
    <row r="32" spans="1:6" ht="15.5" x14ac:dyDescent="0.35">
      <c r="A32" s="151">
        <v>30</v>
      </c>
      <c r="B32" s="145">
        <v>46844</v>
      </c>
      <c r="C32" s="146">
        <f>+'Cantidades 1_(2027-2029)'!AD67</f>
        <v>33025771.160000008</v>
      </c>
      <c r="D32" s="234"/>
      <c r="E32" s="146">
        <f t="shared" si="1"/>
        <v>0</v>
      </c>
      <c r="F32" s="229"/>
    </row>
    <row r="33" spans="1:6" ht="15.5" x14ac:dyDescent="0.35">
      <c r="A33" s="151">
        <v>31</v>
      </c>
      <c r="B33" s="145">
        <v>46874</v>
      </c>
      <c r="C33" s="146">
        <f>+'Cantidades 1_(2027-2029)'!AD68</f>
        <v>33934182.399999999</v>
      </c>
      <c r="D33" s="234"/>
      <c r="E33" s="146">
        <f t="shared" si="1"/>
        <v>0</v>
      </c>
      <c r="F33" s="229"/>
    </row>
    <row r="34" spans="1:6" ht="15.5" x14ac:dyDescent="0.35">
      <c r="A34" s="151">
        <v>30</v>
      </c>
      <c r="B34" s="145">
        <v>46905</v>
      </c>
      <c r="C34" s="146">
        <f>+'Cantidades 1_(2027-2029)'!AD69</f>
        <v>37087131.359999999</v>
      </c>
      <c r="D34" s="234"/>
      <c r="E34" s="146">
        <f t="shared" si="1"/>
        <v>0</v>
      </c>
      <c r="F34" s="229"/>
    </row>
    <row r="35" spans="1:6" ht="15.5" x14ac:dyDescent="0.35">
      <c r="A35" s="151">
        <v>31</v>
      </c>
      <c r="B35" s="145">
        <v>46935</v>
      </c>
      <c r="C35" s="146">
        <f>+'Cantidades 1_(2027-2029)'!AD70</f>
        <v>29299460.859999999</v>
      </c>
      <c r="D35" s="234"/>
      <c r="E35" s="146">
        <f t="shared" si="1"/>
        <v>0</v>
      </c>
      <c r="F35" s="229"/>
    </row>
    <row r="36" spans="1:6" ht="15.5" x14ac:dyDescent="0.35">
      <c r="A36" s="151">
        <v>31</v>
      </c>
      <c r="B36" s="145">
        <v>46966</v>
      </c>
      <c r="C36" s="146">
        <f>+'Cantidades 1_(2027-2029)'!AD71</f>
        <v>29361381.02</v>
      </c>
      <c r="D36" s="234"/>
      <c r="E36" s="146">
        <f t="shared" si="1"/>
        <v>0</v>
      </c>
      <c r="F36" s="229"/>
    </row>
    <row r="37" spans="1:6" ht="15.5" x14ac:dyDescent="0.35">
      <c r="A37" s="151">
        <v>30</v>
      </c>
      <c r="B37" s="145">
        <v>46997</v>
      </c>
      <c r="C37" s="146">
        <f>+'Cantidades 1_(2027-2029)'!AD72</f>
        <v>28481782.039999999</v>
      </c>
      <c r="D37" s="234"/>
      <c r="E37" s="146">
        <f t="shared" si="1"/>
        <v>0</v>
      </c>
      <c r="F37" s="229"/>
    </row>
    <row r="38" spans="1:6" ht="15.5" x14ac:dyDescent="0.35">
      <c r="A38" s="151">
        <v>31</v>
      </c>
      <c r="B38" s="145">
        <v>47027</v>
      </c>
      <c r="C38" s="146">
        <f>+'Cantidades 1_(2027-2029)'!AD73</f>
        <v>28604598.210000005</v>
      </c>
      <c r="D38" s="234"/>
      <c r="E38" s="146">
        <f t="shared" si="1"/>
        <v>0</v>
      </c>
      <c r="F38" s="229"/>
    </row>
    <row r="39" spans="1:6" ht="15.5" x14ac:dyDescent="0.35">
      <c r="A39" s="151">
        <v>30</v>
      </c>
      <c r="B39" s="145">
        <v>47058</v>
      </c>
      <c r="C39" s="146">
        <f>+'Cantidades 1_(2027-2029)'!AD74</f>
        <v>23500227.640000001</v>
      </c>
      <c r="D39" s="234"/>
      <c r="E39" s="146">
        <f t="shared" si="1"/>
        <v>0</v>
      </c>
      <c r="F39" s="229"/>
    </row>
    <row r="40" spans="1:6" ht="15.5" x14ac:dyDescent="0.35">
      <c r="A40" s="56">
        <f>SUM(C29:C40)/1000</f>
        <v>393168.75341999996</v>
      </c>
      <c r="B40" s="145">
        <v>47088</v>
      </c>
      <c r="C40" s="146">
        <f>+'Cantidades 1_(2027-2029)'!AD75</f>
        <v>34838045.960000001</v>
      </c>
      <c r="D40" s="234"/>
      <c r="E40" s="146">
        <f t="shared" si="1"/>
        <v>0</v>
      </c>
      <c r="F40" s="230"/>
    </row>
    <row r="41" spans="1:6" ht="15.5" x14ac:dyDescent="0.35">
      <c r="A41" s="151">
        <v>31</v>
      </c>
      <c r="B41" s="145">
        <v>47119</v>
      </c>
      <c r="C41" s="146">
        <f>+'Cantidades 1_(2027-2029)'!AD114</f>
        <v>37156387.169999994</v>
      </c>
      <c r="D41" s="234"/>
      <c r="E41" s="146">
        <f t="shared" ref="E41:E52" si="2">+C41*$D$17</f>
        <v>0</v>
      </c>
      <c r="F41" s="228">
        <v>0</v>
      </c>
    </row>
    <row r="42" spans="1:6" ht="15.5" x14ac:dyDescent="0.35">
      <c r="A42" s="151">
        <v>29</v>
      </c>
      <c r="B42" s="145">
        <v>47150</v>
      </c>
      <c r="C42" s="146">
        <f>+'Cantidades 1_(2027-2029)'!AD115</f>
        <v>34422858.199999996</v>
      </c>
      <c r="D42" s="234"/>
      <c r="E42" s="146">
        <f t="shared" si="2"/>
        <v>0</v>
      </c>
      <c r="F42" s="229"/>
    </row>
    <row r="43" spans="1:6" ht="15.5" x14ac:dyDescent="0.35">
      <c r="A43" s="151">
        <v>31</v>
      </c>
      <c r="B43" s="145">
        <v>47178</v>
      </c>
      <c r="C43" s="146">
        <f>+'Cantidades 1_(2027-2029)'!AD116</f>
        <v>36772720.860000007</v>
      </c>
      <c r="D43" s="234"/>
      <c r="E43" s="146">
        <f t="shared" si="2"/>
        <v>0</v>
      </c>
      <c r="F43" s="229"/>
    </row>
    <row r="44" spans="1:6" ht="15.5" x14ac:dyDescent="0.35">
      <c r="A44" s="151">
        <v>30</v>
      </c>
      <c r="B44" s="145">
        <v>47209</v>
      </c>
      <c r="C44" s="146">
        <f>+'Cantidades 1_(2027-2029)'!AD117</f>
        <v>31506565.099999998</v>
      </c>
      <c r="D44" s="234"/>
      <c r="E44" s="146">
        <f t="shared" si="2"/>
        <v>0</v>
      </c>
      <c r="F44" s="229"/>
    </row>
    <row r="45" spans="1:6" ht="15.5" x14ac:dyDescent="0.35">
      <c r="A45" s="151">
        <v>31</v>
      </c>
      <c r="B45" s="145">
        <v>47239</v>
      </c>
      <c r="C45" s="146">
        <f>+'Cantidades 1_(2027-2029)'!AD118</f>
        <v>32474757.449999999</v>
      </c>
      <c r="D45" s="234"/>
      <c r="E45" s="146">
        <f t="shared" si="2"/>
        <v>0</v>
      </c>
      <c r="F45" s="229"/>
    </row>
    <row r="46" spans="1:6" ht="15.5" x14ac:dyDescent="0.35">
      <c r="A46" s="151">
        <v>30</v>
      </c>
      <c r="B46" s="145">
        <v>47270</v>
      </c>
      <c r="C46" s="146">
        <f>+'Cantidades 1_(2027-2029)'!AD119</f>
        <v>34495275.269999996</v>
      </c>
      <c r="D46" s="234"/>
      <c r="E46" s="146">
        <f t="shared" si="2"/>
        <v>0</v>
      </c>
      <c r="F46" s="229"/>
    </row>
    <row r="47" spans="1:6" ht="15.5" x14ac:dyDescent="0.35">
      <c r="A47" s="151">
        <v>31</v>
      </c>
      <c r="B47" s="145">
        <v>47300</v>
      </c>
      <c r="C47" s="146">
        <f>+'Cantidades 1_(2027-2029)'!AD120</f>
        <v>33266013.27</v>
      </c>
      <c r="D47" s="234"/>
      <c r="E47" s="146">
        <f t="shared" si="2"/>
        <v>0</v>
      </c>
      <c r="F47" s="229"/>
    </row>
    <row r="48" spans="1:6" ht="15.5" x14ac:dyDescent="0.35">
      <c r="A48" s="151">
        <v>31</v>
      </c>
      <c r="B48" s="145">
        <v>47331</v>
      </c>
      <c r="C48" s="146">
        <f>+'Cantidades 1_(2027-2029)'!AD121</f>
        <v>33206918.029999994</v>
      </c>
      <c r="D48" s="234"/>
      <c r="E48" s="146">
        <f t="shared" si="2"/>
        <v>0</v>
      </c>
      <c r="F48" s="229"/>
    </row>
    <row r="49" spans="1:7" ht="15.5" x14ac:dyDescent="0.35">
      <c r="A49" s="151">
        <v>30</v>
      </c>
      <c r="B49" s="145">
        <v>47362</v>
      </c>
      <c r="C49" s="146">
        <f>+'Cantidades 1_(2027-2029)'!AD122</f>
        <v>31749930.949999999</v>
      </c>
      <c r="D49" s="234"/>
      <c r="E49" s="146">
        <f t="shared" si="2"/>
        <v>0</v>
      </c>
      <c r="F49" s="229"/>
    </row>
    <row r="50" spans="1:7" ht="15.5" x14ac:dyDescent="0.35">
      <c r="A50" s="151">
        <v>31</v>
      </c>
      <c r="B50" s="145">
        <v>47392</v>
      </c>
      <c r="C50" s="146">
        <f>+'Cantidades 1_(2027-2029)'!AD123</f>
        <v>31984923.690000009</v>
      </c>
      <c r="D50" s="234"/>
      <c r="E50" s="146">
        <f t="shared" si="2"/>
        <v>0</v>
      </c>
      <c r="F50" s="229"/>
    </row>
    <row r="51" spans="1:7" ht="15.5" x14ac:dyDescent="0.35">
      <c r="A51" s="151">
        <v>30</v>
      </c>
      <c r="B51" s="145">
        <v>47423</v>
      </c>
      <c r="C51" s="146">
        <f>+'Cantidades 1_(2027-2029)'!AD124</f>
        <v>27469848.180000003</v>
      </c>
      <c r="D51" s="234"/>
      <c r="E51" s="146">
        <f t="shared" si="2"/>
        <v>0</v>
      </c>
      <c r="F51" s="229"/>
    </row>
    <row r="52" spans="1:7" ht="15.5" x14ac:dyDescent="0.35">
      <c r="A52" s="56">
        <f>SUM(C41:C52)/1000</f>
        <v>397336.62422999996</v>
      </c>
      <c r="B52" s="145">
        <v>47453</v>
      </c>
      <c r="C52" s="146">
        <f>+'Cantidades 1_(2027-2029)'!AD125</f>
        <v>32830426.059999999</v>
      </c>
      <c r="D52" s="235"/>
      <c r="E52" s="146">
        <f t="shared" si="2"/>
        <v>0</v>
      </c>
      <c r="F52" s="230"/>
    </row>
    <row r="53" spans="1:7" ht="15.5" x14ac:dyDescent="0.35">
      <c r="A53" s="66" t="e">
        <f>SUM(#REF!)</f>
        <v>#REF!</v>
      </c>
      <c r="B53" s="67" t="s">
        <v>41</v>
      </c>
      <c r="C53" s="26">
        <f>SUM(C17:C52)</f>
        <v>1182364326.01</v>
      </c>
      <c r="D53" s="48"/>
      <c r="E53" s="150">
        <f>SUM(E17:E52)</f>
        <v>0</v>
      </c>
      <c r="F53" s="266" t="e">
        <f>(SUM(E17:E28)*F17+SUM(E29:E40)*F29+SUM(E41:E52)*F41)/E53</f>
        <v>#DIV/0!</v>
      </c>
    </row>
    <row r="54" spans="1:7" ht="14" x14ac:dyDescent="0.3">
      <c r="A54" s="68"/>
      <c r="B54" s="69"/>
      <c r="C54" s="136"/>
      <c r="D54" s="70"/>
      <c r="E54" s="71"/>
    </row>
    <row r="55" spans="1:7" ht="14" x14ac:dyDescent="0.3">
      <c r="B55" s="27"/>
      <c r="C55" s="28"/>
      <c r="D55" s="30"/>
      <c r="E55" s="30"/>
      <c r="F55" s="31"/>
    </row>
    <row r="56" spans="1:7" ht="13" x14ac:dyDescent="0.3">
      <c r="B56" s="41" t="s">
        <v>47</v>
      </c>
      <c r="C56" s="32"/>
      <c r="D56" s="32"/>
      <c r="E56" s="32"/>
      <c r="F56" s="32"/>
      <c r="G56" s="32"/>
    </row>
    <row r="57" spans="1:7" ht="12.75" customHeight="1" x14ac:dyDescent="0.25">
      <c r="B57" s="231" t="s">
        <v>136</v>
      </c>
      <c r="C57" s="231"/>
      <c r="D57" s="231"/>
      <c r="E57" s="231"/>
      <c r="F57" s="231"/>
      <c r="G57" s="32"/>
    </row>
    <row r="58" spans="1:7" x14ac:dyDescent="0.25">
      <c r="B58" s="231"/>
      <c r="C58" s="231"/>
      <c r="D58" s="231"/>
      <c r="E58" s="231"/>
      <c r="F58" s="231"/>
      <c r="G58" s="32"/>
    </row>
    <row r="59" spans="1:7" ht="12.75" customHeight="1" x14ac:dyDescent="0.35">
      <c r="B59" s="32" t="s">
        <v>42</v>
      </c>
      <c r="C59" s="32"/>
      <c r="D59" s="32"/>
      <c r="E59" s="32"/>
      <c r="F59" s="72"/>
      <c r="G59" s="32"/>
    </row>
    <row r="60" spans="1:7" ht="14.5" x14ac:dyDescent="0.35">
      <c r="B60" s="32" t="s">
        <v>137</v>
      </c>
      <c r="C60" s="32"/>
      <c r="D60" s="32"/>
      <c r="E60" s="32"/>
      <c r="F60" s="72"/>
      <c r="G60" s="32"/>
    </row>
    <row r="61" spans="1:7" ht="14.5" x14ac:dyDescent="0.35">
      <c r="B61" s="20" t="s">
        <v>120</v>
      </c>
      <c r="F61" s="72"/>
    </row>
    <row r="62" spans="1:7" s="35" customFormat="1" ht="20" customHeight="1" x14ac:dyDescent="0.25">
      <c r="B62" s="232" t="s">
        <v>123</v>
      </c>
      <c r="C62" s="232"/>
      <c r="D62" s="232"/>
      <c r="E62" s="232"/>
      <c r="F62" s="232"/>
    </row>
    <row r="63" spans="1:7" s="35" customFormat="1" ht="26.25" customHeight="1" x14ac:dyDescent="0.25">
      <c r="B63" s="221" t="s">
        <v>102</v>
      </c>
      <c r="C63" s="221"/>
      <c r="D63" s="221"/>
      <c r="E63" s="221"/>
      <c r="F63" s="73"/>
    </row>
    <row r="64" spans="1:7" s="35" customFormat="1" ht="13.5" customHeight="1" x14ac:dyDescent="0.25">
      <c r="B64" s="221" t="s">
        <v>54</v>
      </c>
      <c r="C64" s="221"/>
      <c r="D64" s="221"/>
      <c r="E64" s="221"/>
      <c r="F64" s="73"/>
    </row>
    <row r="65" spans="2:6" s="35" customFormat="1" ht="13.5" customHeight="1" x14ac:dyDescent="0.25">
      <c r="B65" s="42" t="s">
        <v>139</v>
      </c>
      <c r="C65" s="73"/>
      <c r="D65" s="73"/>
      <c r="E65" s="73"/>
      <c r="F65" s="73"/>
    </row>
    <row r="66" spans="2:6" s="35" customFormat="1" ht="13.5" customHeight="1" x14ac:dyDescent="0.25">
      <c r="B66" s="42" t="s">
        <v>130</v>
      </c>
      <c r="C66" s="73"/>
      <c r="D66" s="73"/>
      <c r="E66" s="73"/>
      <c r="F66" s="73"/>
    </row>
    <row r="67" spans="2:6" s="35" customFormat="1" ht="13.5" customHeight="1" x14ac:dyDescent="0.25">
      <c r="B67" s="222" t="s">
        <v>118</v>
      </c>
      <c r="C67" s="223"/>
      <c r="D67" s="223"/>
      <c r="E67" s="224"/>
      <c r="F67" s="74"/>
    </row>
    <row r="68" spans="2:6" s="35" customFormat="1" ht="42.75" customHeight="1" x14ac:dyDescent="0.25">
      <c r="B68" s="225"/>
      <c r="C68" s="226"/>
      <c r="D68" s="226"/>
      <c r="E68" s="227"/>
      <c r="F68" s="74"/>
    </row>
    <row r="69" spans="2:6" ht="20.25" customHeight="1" x14ac:dyDescent="0.25">
      <c r="B69" s="43"/>
      <c r="C69" s="43"/>
      <c r="D69" s="43"/>
      <c r="E69" s="43"/>
      <c r="F69" s="43"/>
    </row>
    <row r="70" spans="2:6" ht="20.25" customHeight="1" x14ac:dyDescent="0.25">
      <c r="B70" s="36"/>
      <c r="C70" s="36"/>
      <c r="D70" s="36"/>
      <c r="E70" s="36"/>
      <c r="F70" s="36"/>
    </row>
    <row r="71" spans="2:6" ht="20.25" customHeight="1" x14ac:dyDescent="0.25">
      <c r="B71" s="36"/>
      <c r="C71" s="36"/>
      <c r="D71" s="36"/>
      <c r="E71" s="36"/>
      <c r="F71" s="36"/>
    </row>
    <row r="72" spans="2:6" ht="7.5" customHeight="1" x14ac:dyDescent="0.25"/>
    <row r="73" spans="2:6" ht="17.25" customHeight="1" x14ac:dyDescent="0.4">
      <c r="B73" s="37" t="s">
        <v>43</v>
      </c>
      <c r="C73" s="38"/>
      <c r="E73" s="39"/>
    </row>
  </sheetData>
  <sheetProtection selectLockedCells="1"/>
  <mergeCells count="15">
    <mergeCell ref="B6:F7"/>
    <mergeCell ref="B15:B16"/>
    <mergeCell ref="C15:C16"/>
    <mergeCell ref="D15:D16"/>
    <mergeCell ref="E15:E16"/>
    <mergeCell ref="F15:F16"/>
    <mergeCell ref="B63:E63"/>
    <mergeCell ref="B64:E64"/>
    <mergeCell ref="B67:E68"/>
    <mergeCell ref="F17:F28"/>
    <mergeCell ref="F29:F40"/>
    <mergeCell ref="B57:F58"/>
    <mergeCell ref="B62:F62"/>
    <mergeCell ref="F41:F52"/>
    <mergeCell ref="D17:D52"/>
  </mergeCells>
  <printOptions horizontalCentered="1" verticalCentered="1"/>
  <pageMargins left="0.75" right="0.27559055118110237" top="1" bottom="1" header="0" footer="0"/>
  <pageSetup scale="54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7BCFE9F-112D-43C2-8719-A23D782A14E8}">
          <x14:formula1>
            <xm:f>'Listas desplegables'!$B$3</xm:f>
          </x14:formula1>
          <xm:sqref>C11</xm:sqref>
        </x14:dataValidation>
        <x14:dataValidation type="list" allowBlank="1" showInputMessage="1" showErrorMessage="1" xr:uid="{1ED7CB30-7BE3-40E4-829A-B5AAF5B39071}">
          <x14:formula1>
            <xm:f>'Listas desplegables'!$A$3:$A$4</xm:f>
          </x14:formula1>
          <xm:sqref>C9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FDA2-0E04-42A0-848F-0F2750B3A24F}">
  <sheetPr>
    <tabColor rgb="FF92D050"/>
    <pageSetUpPr fitToPage="1"/>
  </sheetPr>
  <dimension ref="A2:XFC73"/>
  <sheetViews>
    <sheetView showGridLines="0" topLeftCell="A40" zoomScale="120" zoomScaleNormal="120" zoomScaleSheetLayoutView="100" workbookViewId="0">
      <selection activeCell="B8" sqref="B8:F61"/>
    </sheetView>
  </sheetViews>
  <sheetFormatPr baseColWidth="10" defaultColWidth="0" defaultRowHeight="12.5" x14ac:dyDescent="0.25"/>
  <cols>
    <col min="1" max="1" width="8.54296875" style="20" customWidth="1"/>
    <col min="2" max="2" width="32.7265625" style="20" customWidth="1"/>
    <col min="3" max="3" width="40" style="20" customWidth="1"/>
    <col min="4" max="4" width="18.54296875" style="20" customWidth="1"/>
    <col min="5" max="5" width="18.7265625" style="20" customWidth="1"/>
    <col min="6" max="6" width="13" style="20" customWidth="1"/>
    <col min="7" max="7" width="7" style="20" customWidth="1"/>
    <col min="8" max="10" width="1.54296875" style="20" hidden="1"/>
    <col min="11" max="16383" width="3.453125" style="20" hidden="1"/>
    <col min="16384" max="16384" width="6.7265625" style="20" hidden="1"/>
  </cols>
  <sheetData>
    <row r="2" spans="1:7" s="19" customFormat="1" ht="19" x14ac:dyDescent="0.35">
      <c r="B2" s="44" t="s">
        <v>131</v>
      </c>
      <c r="C2" s="63"/>
      <c r="D2" s="63"/>
      <c r="E2" s="63"/>
      <c r="F2" s="63"/>
    </row>
    <row r="3" spans="1:7" ht="16.5" customHeight="1" x14ac:dyDescent="0.25">
      <c r="B3" s="45" t="s">
        <v>140</v>
      </c>
      <c r="C3" s="64"/>
      <c r="D3" s="64"/>
      <c r="E3" s="64"/>
      <c r="F3" s="64"/>
      <c r="G3" s="21"/>
    </row>
    <row r="4" spans="1:7" ht="16.5" customHeight="1" x14ac:dyDescent="0.25">
      <c r="B4" s="65"/>
      <c r="C4" s="64"/>
      <c r="D4" s="64"/>
      <c r="E4" s="64"/>
      <c r="F4" s="64"/>
      <c r="G4" s="21"/>
    </row>
    <row r="5" spans="1:7" ht="16.5" customHeight="1" x14ac:dyDescent="0.25">
      <c r="B5" s="65"/>
      <c r="C5" s="64"/>
      <c r="D5" s="64"/>
      <c r="E5" s="64"/>
      <c r="F5" s="64"/>
      <c r="G5" s="21"/>
    </row>
    <row r="6" spans="1:7" ht="16.5" customHeight="1" x14ac:dyDescent="0.25">
      <c r="B6" s="236" t="s">
        <v>141</v>
      </c>
      <c r="C6" s="236"/>
      <c r="D6" s="236"/>
      <c r="E6" s="236"/>
      <c r="F6" s="236"/>
      <c r="G6" s="21"/>
    </row>
    <row r="7" spans="1:7" ht="18" customHeight="1" x14ac:dyDescent="0.25">
      <c r="B7" s="236"/>
      <c r="C7" s="236"/>
      <c r="D7" s="236"/>
      <c r="E7" s="236"/>
      <c r="F7" s="236"/>
      <c r="G7" s="21"/>
    </row>
    <row r="8" spans="1:7" ht="18" customHeight="1" thickBot="1" x14ac:dyDescent="0.4">
      <c r="B8" s="22" t="s">
        <v>35</v>
      </c>
      <c r="C8" s="23"/>
      <c r="D8" s="55" t="s">
        <v>63</v>
      </c>
    </row>
    <row r="9" spans="1:7" ht="18" customHeight="1" thickBot="1" x14ac:dyDescent="0.4">
      <c r="A9" s="144"/>
      <c r="B9" s="22" t="s">
        <v>44</v>
      </c>
      <c r="C9" s="143"/>
      <c r="D9" s="54" t="s">
        <v>62</v>
      </c>
    </row>
    <row r="10" spans="1:7" ht="18" customHeight="1" thickBot="1" x14ac:dyDescent="0.4">
      <c r="A10" s="144"/>
      <c r="B10" s="40" t="s">
        <v>45</v>
      </c>
      <c r="C10" s="23"/>
      <c r="D10" s="55" t="s">
        <v>63</v>
      </c>
    </row>
    <row r="11" spans="1:7" ht="18" customHeight="1" thickBot="1" x14ac:dyDescent="0.4">
      <c r="A11" s="144"/>
      <c r="B11" s="22" t="s">
        <v>46</v>
      </c>
      <c r="C11" s="149" t="s">
        <v>57</v>
      </c>
      <c r="D11" s="54" t="s">
        <v>105</v>
      </c>
    </row>
    <row r="12" spans="1:7" ht="18" customHeight="1" thickBot="1" x14ac:dyDescent="0.4">
      <c r="A12" s="147"/>
      <c r="B12" s="22" t="s">
        <v>121</v>
      </c>
      <c r="C12" s="143" t="s">
        <v>122</v>
      </c>
      <c r="D12" s="54"/>
    </row>
    <row r="13" spans="1:7" ht="17" thickBot="1" x14ac:dyDescent="0.4">
      <c r="A13" s="144"/>
      <c r="B13" s="22" t="s">
        <v>104</v>
      </c>
      <c r="C13" s="23"/>
      <c r="D13" s="55" t="s">
        <v>63</v>
      </c>
      <c r="E13" s="192"/>
    </row>
    <row r="15" spans="1:7" ht="12.75" customHeight="1" x14ac:dyDescent="0.25">
      <c r="B15" s="237" t="s">
        <v>36</v>
      </c>
      <c r="C15" s="237" t="s">
        <v>37</v>
      </c>
      <c r="D15" s="237" t="s">
        <v>38</v>
      </c>
      <c r="E15" s="237" t="s">
        <v>39</v>
      </c>
      <c r="F15" s="238" t="s">
        <v>40</v>
      </c>
    </row>
    <row r="16" spans="1:7" ht="35.25" customHeight="1" x14ac:dyDescent="0.25">
      <c r="A16" s="25"/>
      <c r="B16" s="237"/>
      <c r="C16" s="237"/>
      <c r="D16" s="237"/>
      <c r="E16" s="237"/>
      <c r="F16" s="239"/>
    </row>
    <row r="17" spans="1:6" ht="15.5" x14ac:dyDescent="0.35">
      <c r="A17" s="151">
        <v>31</v>
      </c>
      <c r="B17" s="145">
        <v>47484</v>
      </c>
      <c r="C17" s="146">
        <f>+'Cantidades P2_(2030-2031)'!AD14</f>
        <v>48414876.630000003</v>
      </c>
      <c r="D17" s="233">
        <v>0</v>
      </c>
      <c r="E17" s="146">
        <f>+C17*$D$17</f>
        <v>0</v>
      </c>
      <c r="F17" s="228">
        <v>0</v>
      </c>
    </row>
    <row r="18" spans="1:6" ht="15.5" x14ac:dyDescent="0.35">
      <c r="A18" s="151">
        <v>28</v>
      </c>
      <c r="B18" s="145">
        <v>47515</v>
      </c>
      <c r="C18" s="146">
        <f>+'Cantidades P2_(2030-2031)'!AD15</f>
        <v>45905373.440000005</v>
      </c>
      <c r="D18" s="234"/>
      <c r="E18" s="146">
        <f>+C18*$D$17</f>
        <v>0</v>
      </c>
      <c r="F18" s="229"/>
    </row>
    <row r="19" spans="1:6" ht="15.5" x14ac:dyDescent="0.35">
      <c r="A19" s="151">
        <v>31</v>
      </c>
      <c r="B19" s="145">
        <v>47543</v>
      </c>
      <c r="C19" s="146">
        <f>+'Cantidades P2_(2030-2031)'!AD16</f>
        <v>48268391.149999999</v>
      </c>
      <c r="D19" s="234"/>
      <c r="E19" s="146">
        <f>+C19*$D$17</f>
        <v>0</v>
      </c>
      <c r="F19" s="229"/>
    </row>
    <row r="20" spans="1:6" ht="15.5" x14ac:dyDescent="0.35">
      <c r="A20" s="151">
        <v>30</v>
      </c>
      <c r="B20" s="145">
        <v>47574</v>
      </c>
      <c r="C20" s="146">
        <f>+'Cantidades P2_(2030-2031)'!AD17</f>
        <v>42393440.760000005</v>
      </c>
      <c r="D20" s="234"/>
      <c r="E20" s="146">
        <f>+C20*$D$17</f>
        <v>0</v>
      </c>
      <c r="F20" s="229"/>
    </row>
    <row r="21" spans="1:6" ht="15.5" x14ac:dyDescent="0.35">
      <c r="A21" s="151">
        <v>31</v>
      </c>
      <c r="B21" s="145">
        <v>47604</v>
      </c>
      <c r="C21" s="146">
        <f>+'Cantidades P2_(2030-2031)'!AD18</f>
        <v>43697879.870000005</v>
      </c>
      <c r="D21" s="234"/>
      <c r="E21" s="146">
        <f t="shared" ref="E21:E26" si="0">+C21*$D$17</f>
        <v>0</v>
      </c>
      <c r="F21" s="229"/>
    </row>
    <row r="22" spans="1:6" ht="15.5" x14ac:dyDescent="0.35">
      <c r="A22" s="151">
        <v>30</v>
      </c>
      <c r="B22" s="145">
        <v>47635</v>
      </c>
      <c r="C22" s="146">
        <f>+'Cantidades P2_(2030-2031)'!AD19</f>
        <v>44636350.409999996</v>
      </c>
      <c r="D22" s="234"/>
      <c r="E22" s="146">
        <f>+C22*$D$17</f>
        <v>0</v>
      </c>
      <c r="F22" s="229"/>
    </row>
    <row r="23" spans="1:6" ht="15.5" x14ac:dyDescent="0.35">
      <c r="A23" s="151">
        <v>31</v>
      </c>
      <c r="B23" s="145">
        <v>47665</v>
      </c>
      <c r="C23" s="146">
        <f>+'Cantidades P2_(2030-2031)'!AD20</f>
        <v>43953036.589999989</v>
      </c>
      <c r="D23" s="234"/>
      <c r="E23" s="146">
        <f>+C23*$D$17</f>
        <v>0</v>
      </c>
      <c r="F23" s="229"/>
    </row>
    <row r="24" spans="1:6" ht="15.5" x14ac:dyDescent="0.35">
      <c r="A24" s="151">
        <v>31</v>
      </c>
      <c r="B24" s="145">
        <v>47696</v>
      </c>
      <c r="C24" s="146">
        <f>+'Cantidades P2_(2030-2031)'!AD21</f>
        <v>43863426.95000001</v>
      </c>
      <c r="D24" s="234"/>
      <c r="E24" s="146">
        <f>+C24*$D$17</f>
        <v>0</v>
      </c>
      <c r="F24" s="229"/>
    </row>
    <row r="25" spans="1:6" ht="15.5" x14ac:dyDescent="0.35">
      <c r="A25" s="151">
        <v>30</v>
      </c>
      <c r="B25" s="145">
        <v>47727</v>
      </c>
      <c r="C25" s="146">
        <f>+'Cantidades P2_(2030-2031)'!AD22</f>
        <v>41663130.99000001</v>
      </c>
      <c r="D25" s="234"/>
      <c r="E25" s="146">
        <f t="shared" si="0"/>
        <v>0</v>
      </c>
      <c r="F25" s="229"/>
    </row>
    <row r="26" spans="1:6" ht="15.5" x14ac:dyDescent="0.35">
      <c r="A26" s="151">
        <v>31</v>
      </c>
      <c r="B26" s="145">
        <v>47757</v>
      </c>
      <c r="C26" s="146">
        <f>+'Cantidades P2_(2030-2031)'!AD23</f>
        <v>41935169.109999992</v>
      </c>
      <c r="D26" s="234"/>
      <c r="E26" s="146">
        <f t="shared" si="0"/>
        <v>0</v>
      </c>
      <c r="F26" s="229"/>
    </row>
    <row r="27" spans="1:6" ht="15.5" x14ac:dyDescent="0.35">
      <c r="A27" s="151">
        <v>30</v>
      </c>
      <c r="B27" s="145">
        <v>47788</v>
      </c>
      <c r="C27" s="146">
        <f>+'Cantidades P2_(2030-2031)'!AD24</f>
        <v>37031373.839999996</v>
      </c>
      <c r="D27" s="234"/>
      <c r="E27" s="146">
        <f>+C27*$D$17</f>
        <v>0</v>
      </c>
      <c r="F27" s="229"/>
    </row>
    <row r="28" spans="1:6" ht="15.5" x14ac:dyDescent="0.35">
      <c r="A28" s="56">
        <f>SUM(C17:C28)/1000</f>
        <v>525234.63623999991</v>
      </c>
      <c r="B28" s="145">
        <v>47818</v>
      </c>
      <c r="C28" s="146">
        <f>+'Cantidades P2_(2030-2031)'!AD25</f>
        <v>43472186.5</v>
      </c>
      <c r="D28" s="234"/>
      <c r="E28" s="146">
        <f>+C28*$D$17</f>
        <v>0</v>
      </c>
      <c r="F28" s="230"/>
    </row>
    <row r="29" spans="1:6" ht="15.5" x14ac:dyDescent="0.35">
      <c r="A29" s="151">
        <v>31</v>
      </c>
      <c r="B29" s="145">
        <v>47849</v>
      </c>
      <c r="C29" s="146">
        <f>+'Cantidades P2_(2030-2031)'!AD64</f>
        <v>47139199.020000003</v>
      </c>
      <c r="D29" s="234"/>
      <c r="E29" s="146">
        <f t="shared" ref="E29:E40" si="1">+C29*$D$17</f>
        <v>0</v>
      </c>
      <c r="F29" s="228">
        <v>0</v>
      </c>
    </row>
    <row r="30" spans="1:6" ht="15.5" x14ac:dyDescent="0.35">
      <c r="A30" s="151">
        <v>29</v>
      </c>
      <c r="B30" s="145">
        <v>47880</v>
      </c>
      <c r="C30" s="146">
        <f>+'Cantidades P2_(2030-2031)'!AD65</f>
        <v>45127186.479999997</v>
      </c>
      <c r="D30" s="234"/>
      <c r="E30" s="146">
        <f t="shared" si="1"/>
        <v>0</v>
      </c>
      <c r="F30" s="229"/>
    </row>
    <row r="31" spans="1:6" ht="15.5" x14ac:dyDescent="0.35">
      <c r="A31" s="151">
        <v>31</v>
      </c>
      <c r="B31" s="145">
        <v>47908</v>
      </c>
      <c r="C31" s="146">
        <f>+'Cantidades P2_(2030-2031)'!AD66</f>
        <v>47341171.38000001</v>
      </c>
      <c r="D31" s="234"/>
      <c r="E31" s="146">
        <f t="shared" si="1"/>
        <v>0</v>
      </c>
      <c r="F31" s="229"/>
    </row>
    <row r="32" spans="1:6" ht="15.5" x14ac:dyDescent="0.35">
      <c r="A32" s="151">
        <v>30</v>
      </c>
      <c r="B32" s="145">
        <v>47939</v>
      </c>
      <c r="C32" s="146">
        <f>+'Cantidades P2_(2030-2031)'!AD67</f>
        <v>43245047.18</v>
      </c>
      <c r="D32" s="234"/>
      <c r="E32" s="146">
        <f t="shared" si="1"/>
        <v>0</v>
      </c>
      <c r="F32" s="229"/>
    </row>
    <row r="33" spans="1:7" ht="15.5" x14ac:dyDescent="0.35">
      <c r="A33" s="151">
        <v>31</v>
      </c>
      <c r="B33" s="145">
        <v>47969</v>
      </c>
      <c r="C33" s="146">
        <f>+'Cantidades P2_(2030-2031)'!AD68</f>
        <v>44593125.789999999</v>
      </c>
      <c r="D33" s="234"/>
      <c r="E33" s="146">
        <f t="shared" si="1"/>
        <v>0</v>
      </c>
      <c r="F33" s="229"/>
    </row>
    <row r="34" spans="1:7" ht="15.5" x14ac:dyDescent="0.35">
      <c r="A34" s="151">
        <v>30</v>
      </c>
      <c r="B34" s="145">
        <v>48000</v>
      </c>
      <c r="C34" s="146">
        <f>+'Cantidades P2_(2030-2031)'!AD69</f>
        <v>43761735.43999999</v>
      </c>
      <c r="D34" s="234"/>
      <c r="E34" s="146">
        <f t="shared" si="1"/>
        <v>0</v>
      </c>
      <c r="F34" s="229"/>
    </row>
    <row r="35" spans="1:7" ht="15.5" x14ac:dyDescent="0.35">
      <c r="A35" s="151">
        <v>31</v>
      </c>
      <c r="B35" s="145">
        <v>48030</v>
      </c>
      <c r="C35" s="146">
        <f>+'Cantidades P2_(2030-2031)'!AD70</f>
        <v>44341109.969999991</v>
      </c>
      <c r="D35" s="234"/>
      <c r="E35" s="146">
        <f t="shared" si="1"/>
        <v>0</v>
      </c>
      <c r="F35" s="229"/>
    </row>
    <row r="36" spans="1:7" ht="15.5" x14ac:dyDescent="0.35">
      <c r="A36" s="151">
        <v>31</v>
      </c>
      <c r="B36" s="145">
        <v>48061</v>
      </c>
      <c r="C36" s="146">
        <f>+'Cantidades P2_(2030-2031)'!AD71</f>
        <v>44277468.480000004</v>
      </c>
      <c r="D36" s="234"/>
      <c r="E36" s="146">
        <f t="shared" si="1"/>
        <v>0</v>
      </c>
      <c r="F36" s="229"/>
    </row>
    <row r="37" spans="1:7" ht="15.5" x14ac:dyDescent="0.35">
      <c r="A37" s="151">
        <v>30</v>
      </c>
      <c r="B37" s="145">
        <v>48092</v>
      </c>
      <c r="C37" s="146">
        <f>+'Cantidades P2_(2030-2031)'!AD72</f>
        <v>42192654.279999994</v>
      </c>
      <c r="D37" s="234"/>
      <c r="E37" s="146">
        <f t="shared" si="1"/>
        <v>0</v>
      </c>
      <c r="F37" s="229"/>
    </row>
    <row r="38" spans="1:7" ht="15.5" x14ac:dyDescent="0.35">
      <c r="A38" s="151">
        <v>31</v>
      </c>
      <c r="B38" s="145">
        <v>48122</v>
      </c>
      <c r="C38" s="146">
        <f>+'Cantidades P2_(2030-2031)'!AD73</f>
        <v>42687347</v>
      </c>
      <c r="D38" s="234"/>
      <c r="E38" s="146">
        <f t="shared" si="1"/>
        <v>0</v>
      </c>
      <c r="F38" s="229"/>
    </row>
    <row r="39" spans="1:7" ht="15.5" x14ac:dyDescent="0.35">
      <c r="A39" s="151">
        <v>30</v>
      </c>
      <c r="B39" s="145">
        <v>48153</v>
      </c>
      <c r="C39" s="146">
        <f>+'Cantidades P2_(2030-2031)'!AD74</f>
        <v>39381211.140000001</v>
      </c>
      <c r="D39" s="234"/>
      <c r="E39" s="146">
        <f t="shared" si="1"/>
        <v>0</v>
      </c>
      <c r="F39" s="229"/>
    </row>
    <row r="40" spans="1:7" ht="15.5" x14ac:dyDescent="0.35">
      <c r="A40" s="56">
        <f>SUM(C29:C40)/1000</f>
        <v>528432.98454999994</v>
      </c>
      <c r="B40" s="145">
        <v>48183</v>
      </c>
      <c r="C40" s="146">
        <f>+'Cantidades P2_(2030-2031)'!AD75</f>
        <v>44345728.390000001</v>
      </c>
      <c r="D40" s="235"/>
      <c r="E40" s="146">
        <f t="shared" si="1"/>
        <v>0</v>
      </c>
      <c r="F40" s="230"/>
    </row>
    <row r="41" spans="1:7" ht="15.5" x14ac:dyDescent="0.35">
      <c r="A41" s="66" t="e">
        <f>SUM(#REF!)</f>
        <v>#REF!</v>
      </c>
      <c r="B41" s="67" t="s">
        <v>41</v>
      </c>
      <c r="C41" s="26">
        <f>SUM(C17:C40)</f>
        <v>1053667620.7899998</v>
      </c>
      <c r="D41" s="48"/>
      <c r="E41" s="150">
        <f>SUM(E17:E40)</f>
        <v>0</v>
      </c>
      <c r="F41" s="191" t="e">
        <f>(SUM(E17:E28)*F17+SUM(E29:E40)*F29)/E41</f>
        <v>#DIV/0!</v>
      </c>
    </row>
    <row r="42" spans="1:7" ht="14" x14ac:dyDescent="0.3">
      <c r="A42" s="68"/>
      <c r="B42" s="69"/>
      <c r="C42" s="136"/>
      <c r="D42" s="70"/>
      <c r="E42" s="71"/>
    </row>
    <row r="43" spans="1:7" ht="14" x14ac:dyDescent="0.3">
      <c r="B43" s="27"/>
      <c r="C43" s="28"/>
      <c r="D43" s="30"/>
      <c r="E43" s="30"/>
      <c r="F43" s="31"/>
    </row>
    <row r="44" spans="1:7" ht="13" x14ac:dyDescent="0.3">
      <c r="B44" s="41" t="s">
        <v>47</v>
      </c>
      <c r="C44" s="32"/>
      <c r="D44" s="32"/>
      <c r="E44" s="32"/>
      <c r="F44" s="32"/>
      <c r="G44" s="32"/>
    </row>
    <row r="45" spans="1:7" ht="12.75" customHeight="1" x14ac:dyDescent="0.25">
      <c r="B45" s="231" t="s">
        <v>142</v>
      </c>
      <c r="C45" s="231"/>
      <c r="D45" s="231"/>
      <c r="E45" s="231"/>
      <c r="F45" s="231"/>
      <c r="G45" s="32"/>
    </row>
    <row r="46" spans="1:7" x14ac:dyDescent="0.25">
      <c r="B46" s="231"/>
      <c r="C46" s="231"/>
      <c r="D46" s="231"/>
      <c r="E46" s="231"/>
      <c r="F46" s="231"/>
      <c r="G46" s="32"/>
    </row>
    <row r="47" spans="1:7" ht="12.75" customHeight="1" x14ac:dyDescent="0.35">
      <c r="B47" s="32" t="s">
        <v>42</v>
      </c>
      <c r="C47" s="32"/>
      <c r="D47" s="32"/>
      <c r="E47" s="32"/>
      <c r="F47" s="72"/>
      <c r="G47" s="32"/>
    </row>
    <row r="48" spans="1:7" ht="14.5" x14ac:dyDescent="0.35">
      <c r="B48" s="32" t="s">
        <v>137</v>
      </c>
      <c r="C48" s="32"/>
      <c r="D48" s="32"/>
      <c r="E48" s="32"/>
      <c r="F48" s="72"/>
      <c r="G48" s="32"/>
    </row>
    <row r="49" spans="2:6" ht="14.5" x14ac:dyDescent="0.35">
      <c r="B49" s="20" t="s">
        <v>120</v>
      </c>
      <c r="F49" s="72"/>
    </row>
    <row r="50" spans="2:6" s="35" customFormat="1" ht="20" customHeight="1" x14ac:dyDescent="0.25">
      <c r="B50" s="232" t="s">
        <v>123</v>
      </c>
      <c r="C50" s="232"/>
      <c r="D50" s="232"/>
      <c r="E50" s="232"/>
      <c r="F50" s="232"/>
    </row>
    <row r="51" spans="2:6" s="35" customFormat="1" ht="26.25" customHeight="1" x14ac:dyDescent="0.25">
      <c r="B51" s="221" t="s">
        <v>102</v>
      </c>
      <c r="C51" s="221"/>
      <c r="D51" s="221"/>
      <c r="E51" s="221"/>
      <c r="F51" s="73"/>
    </row>
    <row r="52" spans="2:6" s="35" customFormat="1" ht="13.5" customHeight="1" x14ac:dyDescent="0.25">
      <c r="B52" s="221" t="s">
        <v>54</v>
      </c>
      <c r="C52" s="221"/>
      <c r="D52" s="221"/>
      <c r="E52" s="221"/>
      <c r="F52" s="73"/>
    </row>
    <row r="53" spans="2:6" s="35" customFormat="1" ht="13.5" customHeight="1" x14ac:dyDescent="0.25">
      <c r="B53" s="42" t="s">
        <v>139</v>
      </c>
      <c r="C53" s="73"/>
      <c r="D53" s="73"/>
      <c r="E53" s="73"/>
      <c r="F53" s="73"/>
    </row>
    <row r="54" spans="2:6" s="35" customFormat="1" ht="13.5" customHeight="1" x14ac:dyDescent="0.25">
      <c r="B54" s="42" t="s">
        <v>130</v>
      </c>
      <c r="C54" s="73"/>
      <c r="D54" s="73"/>
      <c r="E54" s="73"/>
      <c r="F54" s="73"/>
    </row>
    <row r="55" spans="2:6" s="35" customFormat="1" ht="13.5" customHeight="1" x14ac:dyDescent="0.25">
      <c r="B55" s="222" t="s">
        <v>118</v>
      </c>
      <c r="C55" s="223"/>
      <c r="D55" s="223"/>
      <c r="E55" s="224"/>
      <c r="F55" s="74"/>
    </row>
    <row r="56" spans="2:6" s="35" customFormat="1" ht="42.75" customHeight="1" x14ac:dyDescent="0.25">
      <c r="B56" s="225"/>
      <c r="C56" s="226"/>
      <c r="D56" s="226"/>
      <c r="E56" s="227"/>
      <c r="F56" s="74"/>
    </row>
    <row r="57" spans="2:6" ht="20.25" customHeight="1" x14ac:dyDescent="0.25">
      <c r="B57" s="43"/>
      <c r="C57" s="43"/>
      <c r="D57" s="43"/>
      <c r="E57" s="43"/>
      <c r="F57" s="43"/>
    </row>
    <row r="58" spans="2:6" ht="20.25" customHeight="1" x14ac:dyDescent="0.25">
      <c r="B58" s="36"/>
      <c r="C58" s="36"/>
      <c r="D58" s="36"/>
      <c r="E58" s="36"/>
      <c r="F58" s="36"/>
    </row>
    <row r="59" spans="2:6" ht="20.25" customHeight="1" x14ac:dyDescent="0.25">
      <c r="B59" s="36"/>
      <c r="C59" s="36"/>
      <c r="D59" s="36"/>
      <c r="E59" s="36"/>
      <c r="F59" s="36"/>
    </row>
    <row r="60" spans="2:6" ht="7.5" customHeight="1" x14ac:dyDescent="0.25"/>
    <row r="61" spans="2:6" ht="17.25" customHeight="1" x14ac:dyDescent="0.4">
      <c r="B61" s="37" t="s">
        <v>43</v>
      </c>
      <c r="C61" s="38"/>
      <c r="E61" s="39"/>
    </row>
    <row r="65" s="20" customFormat="1" x14ac:dyDescent="0.25"/>
    <row r="66" s="20" customFormat="1" x14ac:dyDescent="0.25"/>
    <row r="67" s="20" customFormat="1" x14ac:dyDescent="0.25"/>
    <row r="68" s="20" customFormat="1" x14ac:dyDescent="0.25"/>
    <row r="69" s="20" customFormat="1" x14ac:dyDescent="0.25"/>
    <row r="70" s="20" customFormat="1" x14ac:dyDescent="0.25"/>
    <row r="71" s="20" customFormat="1" x14ac:dyDescent="0.25"/>
    <row r="72" s="20" customFormat="1" x14ac:dyDescent="0.25"/>
    <row r="73" s="20" customFormat="1" x14ac:dyDescent="0.25"/>
  </sheetData>
  <sheetProtection selectLockedCells="1"/>
  <mergeCells count="14">
    <mergeCell ref="B6:F7"/>
    <mergeCell ref="B15:B16"/>
    <mergeCell ref="C15:C16"/>
    <mergeCell ref="D15:D16"/>
    <mergeCell ref="E15:E16"/>
    <mergeCell ref="F15:F16"/>
    <mergeCell ref="B52:E52"/>
    <mergeCell ref="B55:E56"/>
    <mergeCell ref="D17:D40"/>
    <mergeCell ref="F17:F28"/>
    <mergeCell ref="F29:F40"/>
    <mergeCell ref="B45:F46"/>
    <mergeCell ref="B50:F50"/>
    <mergeCell ref="B51:E51"/>
  </mergeCells>
  <printOptions horizontalCentered="1" verticalCentered="1"/>
  <pageMargins left="0.75" right="0.27559055118110237" top="1" bottom="1" header="0" footer="0"/>
  <pageSetup scale="54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1C89E8-60AD-40F4-BFDB-F396D60D79DB}">
          <x14:formula1>
            <xm:f>'Listas desplegables'!$A$3:$A$4</xm:f>
          </x14:formula1>
          <xm:sqref>C9</xm:sqref>
        </x14:dataValidation>
        <x14:dataValidation type="list" allowBlank="1" showInputMessage="1" showErrorMessage="1" xr:uid="{03C1532F-104C-4E67-9DAD-0B4C577AAEE3}">
          <x14:formula1>
            <xm:f>'Listas desplegables'!$B$3</xm:f>
          </x14:formula1>
          <xm:sqref>C11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CEF3-3DAB-457D-BB73-95F4EDC000EC}">
  <sheetPr>
    <tabColor rgb="FFFFC000"/>
  </sheetPr>
  <dimension ref="B2:M17"/>
  <sheetViews>
    <sheetView topLeftCell="A3" workbookViewId="0">
      <selection activeCell="B2" sqref="B2:M16"/>
    </sheetView>
  </sheetViews>
  <sheetFormatPr baseColWidth="10" defaultRowHeight="14.5" x14ac:dyDescent="0.35"/>
  <cols>
    <col min="1" max="1" width="1.90625" customWidth="1"/>
    <col min="3" max="12" width="13.6328125" customWidth="1"/>
    <col min="13" max="13" width="14.7265625" customWidth="1"/>
  </cols>
  <sheetData>
    <row r="2" spans="2:13" ht="75" customHeight="1" x14ac:dyDescent="0.35">
      <c r="B2" s="61" t="s">
        <v>2</v>
      </c>
      <c r="C2" s="61" t="s">
        <v>66</v>
      </c>
      <c r="D2" s="61" t="s">
        <v>80</v>
      </c>
      <c r="E2" s="61" t="s">
        <v>82</v>
      </c>
      <c r="F2" s="61" t="s">
        <v>84</v>
      </c>
      <c r="G2" s="61" t="s">
        <v>86</v>
      </c>
      <c r="H2" s="61" t="s">
        <v>88</v>
      </c>
      <c r="I2" s="61" t="s">
        <v>90</v>
      </c>
      <c r="J2" s="61" t="s">
        <v>92</v>
      </c>
      <c r="K2" s="61" t="s">
        <v>94</v>
      </c>
      <c r="L2" s="61" t="s">
        <v>98</v>
      </c>
      <c r="M2" s="61" t="s">
        <v>97</v>
      </c>
    </row>
    <row r="3" spans="2:13" ht="38" customHeight="1" x14ac:dyDescent="0.35">
      <c r="B3" s="57" t="s">
        <v>57</v>
      </c>
      <c r="C3" s="62" t="s">
        <v>79</v>
      </c>
      <c r="D3" s="62" t="s">
        <v>81</v>
      </c>
      <c r="E3" s="62" t="s">
        <v>83</v>
      </c>
      <c r="F3" s="62" t="s">
        <v>85</v>
      </c>
      <c r="G3" s="62" t="s">
        <v>87</v>
      </c>
      <c r="H3" s="62" t="s">
        <v>89</v>
      </c>
      <c r="I3" s="62" t="s">
        <v>91</v>
      </c>
      <c r="J3" s="62" t="s">
        <v>93</v>
      </c>
      <c r="K3" s="62" t="s">
        <v>95</v>
      </c>
      <c r="L3" s="62" t="s">
        <v>96</v>
      </c>
      <c r="M3" s="58"/>
    </row>
    <row r="4" spans="2:13" x14ac:dyDescent="0.35">
      <c r="B4" s="47" t="s">
        <v>67</v>
      </c>
      <c r="C4" s="59" t="e">
        <f>+#REF!</f>
        <v>#REF!</v>
      </c>
      <c r="D4" s="59" t="e">
        <f>+#REF!</f>
        <v>#REF!</v>
      </c>
      <c r="E4" s="59" t="e">
        <f>+#REF!</f>
        <v>#REF!</v>
      </c>
      <c r="F4" s="59" t="e">
        <f>+#REF!</f>
        <v>#REF!</v>
      </c>
      <c r="G4" s="59" t="e">
        <f>+#REF!</f>
        <v>#REF!</v>
      </c>
      <c r="H4" s="59" t="e">
        <f>+#REF!</f>
        <v>#REF!</v>
      </c>
      <c r="I4" s="59" t="e">
        <f>+#REF!</f>
        <v>#REF!</v>
      </c>
      <c r="J4" s="59" t="e">
        <f>+#REF!</f>
        <v>#REF!</v>
      </c>
      <c r="K4" s="59" t="e">
        <f>+#REF!</f>
        <v>#REF!</v>
      </c>
      <c r="L4" s="59" t="e">
        <f>+#REF!</f>
        <v>#REF!</v>
      </c>
      <c r="M4" s="59" t="e">
        <f>SUM(C4:L4)</f>
        <v>#REF!</v>
      </c>
    </row>
    <row r="5" spans="2:13" x14ac:dyDescent="0.35">
      <c r="B5" s="47" t="s">
        <v>68</v>
      </c>
      <c r="C5" s="59" t="e">
        <f>+#REF!</f>
        <v>#REF!</v>
      </c>
      <c r="D5" s="59" t="e">
        <f>+#REF!</f>
        <v>#REF!</v>
      </c>
      <c r="E5" s="59" t="e">
        <f>+#REF!</f>
        <v>#REF!</v>
      </c>
      <c r="F5" s="59" t="e">
        <f>+#REF!</f>
        <v>#REF!</v>
      </c>
      <c r="G5" s="59" t="e">
        <f>+#REF!</f>
        <v>#REF!</v>
      </c>
      <c r="H5" s="59" t="e">
        <f>+#REF!</f>
        <v>#REF!</v>
      </c>
      <c r="I5" s="59" t="e">
        <f>+#REF!</f>
        <v>#REF!</v>
      </c>
      <c r="J5" s="59" t="e">
        <f>+#REF!</f>
        <v>#REF!</v>
      </c>
      <c r="K5" s="59" t="e">
        <f>+#REF!</f>
        <v>#REF!</v>
      </c>
      <c r="L5" s="59" t="e">
        <f>+#REF!</f>
        <v>#REF!</v>
      </c>
      <c r="M5" s="59" t="e">
        <f t="shared" ref="M5:M15" si="0">SUM(C5:L5)</f>
        <v>#REF!</v>
      </c>
    </row>
    <row r="6" spans="2:13" x14ac:dyDescent="0.35">
      <c r="B6" s="47" t="s">
        <v>69</v>
      </c>
      <c r="C6" s="59" t="e">
        <f>+#REF!</f>
        <v>#REF!</v>
      </c>
      <c r="D6" s="59" t="e">
        <f>+#REF!</f>
        <v>#REF!</v>
      </c>
      <c r="E6" s="59" t="e">
        <f>+#REF!</f>
        <v>#REF!</v>
      </c>
      <c r="F6" s="59" t="e">
        <f>+#REF!</f>
        <v>#REF!</v>
      </c>
      <c r="G6" s="59" t="e">
        <f>+#REF!</f>
        <v>#REF!</v>
      </c>
      <c r="H6" s="59" t="e">
        <f>+#REF!</f>
        <v>#REF!</v>
      </c>
      <c r="I6" s="59" t="e">
        <f>+#REF!</f>
        <v>#REF!</v>
      </c>
      <c r="J6" s="59" t="e">
        <f>+#REF!</f>
        <v>#REF!</v>
      </c>
      <c r="K6" s="59" t="e">
        <f>+#REF!</f>
        <v>#REF!</v>
      </c>
      <c r="L6" s="59" t="e">
        <f>+#REF!</f>
        <v>#REF!</v>
      </c>
      <c r="M6" s="59" t="e">
        <f t="shared" si="0"/>
        <v>#REF!</v>
      </c>
    </row>
    <row r="7" spans="2:13" x14ac:dyDescent="0.35">
      <c r="B7" s="47" t="s">
        <v>70</v>
      </c>
      <c r="C7" s="59" t="e">
        <f>+#REF!</f>
        <v>#REF!</v>
      </c>
      <c r="D7" s="59" t="e">
        <f>+#REF!</f>
        <v>#REF!</v>
      </c>
      <c r="E7" s="59" t="e">
        <f>+#REF!</f>
        <v>#REF!</v>
      </c>
      <c r="F7" s="59" t="e">
        <f>+#REF!</f>
        <v>#REF!</v>
      </c>
      <c r="G7" s="59" t="e">
        <f>+#REF!</f>
        <v>#REF!</v>
      </c>
      <c r="H7" s="59" t="e">
        <f>+#REF!</f>
        <v>#REF!</v>
      </c>
      <c r="I7" s="59" t="e">
        <f>+#REF!</f>
        <v>#REF!</v>
      </c>
      <c r="J7" s="59" t="e">
        <f>+#REF!</f>
        <v>#REF!</v>
      </c>
      <c r="K7" s="59" t="e">
        <f>+#REF!</f>
        <v>#REF!</v>
      </c>
      <c r="L7" s="59" t="e">
        <f>+#REF!</f>
        <v>#REF!</v>
      </c>
      <c r="M7" s="59" t="e">
        <f t="shared" si="0"/>
        <v>#REF!</v>
      </c>
    </row>
    <row r="8" spans="2:13" x14ac:dyDescent="0.35">
      <c r="B8" s="47" t="s">
        <v>71</v>
      </c>
      <c r="C8" s="59" t="e">
        <f>+#REF!</f>
        <v>#REF!</v>
      </c>
      <c r="D8" s="59" t="e">
        <f>+#REF!</f>
        <v>#REF!</v>
      </c>
      <c r="E8" s="59" t="e">
        <f>+#REF!</f>
        <v>#REF!</v>
      </c>
      <c r="F8" s="59" t="e">
        <f>+#REF!</f>
        <v>#REF!</v>
      </c>
      <c r="G8" s="59" t="e">
        <f>+#REF!</f>
        <v>#REF!</v>
      </c>
      <c r="H8" s="59" t="e">
        <f>+#REF!</f>
        <v>#REF!</v>
      </c>
      <c r="I8" s="59" t="e">
        <f>+#REF!</f>
        <v>#REF!</v>
      </c>
      <c r="J8" s="59" t="e">
        <f>+#REF!</f>
        <v>#REF!</v>
      </c>
      <c r="K8" s="59" t="e">
        <f>+#REF!</f>
        <v>#REF!</v>
      </c>
      <c r="L8" s="59" t="e">
        <f>+#REF!</f>
        <v>#REF!</v>
      </c>
      <c r="M8" s="59" t="e">
        <f t="shared" si="0"/>
        <v>#REF!</v>
      </c>
    </row>
    <row r="9" spans="2:13" x14ac:dyDescent="0.35">
      <c r="B9" s="47" t="s">
        <v>72</v>
      </c>
      <c r="C9" s="59" t="e">
        <f>+#REF!</f>
        <v>#REF!</v>
      </c>
      <c r="D9" s="59" t="e">
        <f>+#REF!</f>
        <v>#REF!</v>
      </c>
      <c r="E9" s="59" t="e">
        <f>+#REF!</f>
        <v>#REF!</v>
      </c>
      <c r="F9" s="59" t="e">
        <f>+#REF!</f>
        <v>#REF!</v>
      </c>
      <c r="G9" s="59" t="e">
        <f>+#REF!</f>
        <v>#REF!</v>
      </c>
      <c r="H9" s="59" t="e">
        <f>+#REF!</f>
        <v>#REF!</v>
      </c>
      <c r="I9" s="59" t="e">
        <f>+#REF!</f>
        <v>#REF!</v>
      </c>
      <c r="J9" s="59" t="e">
        <f>+#REF!</f>
        <v>#REF!</v>
      </c>
      <c r="K9" s="59" t="e">
        <f>+#REF!</f>
        <v>#REF!</v>
      </c>
      <c r="L9" s="59" t="e">
        <f>+#REF!</f>
        <v>#REF!</v>
      </c>
      <c r="M9" s="59" t="e">
        <f t="shared" si="0"/>
        <v>#REF!</v>
      </c>
    </row>
    <row r="10" spans="2:13" x14ac:dyDescent="0.35">
      <c r="B10" s="47" t="s">
        <v>73</v>
      </c>
      <c r="C10" s="59" t="e">
        <f>+#REF!</f>
        <v>#REF!</v>
      </c>
      <c r="D10" s="59" t="e">
        <f>+#REF!</f>
        <v>#REF!</v>
      </c>
      <c r="E10" s="59" t="e">
        <f>+#REF!</f>
        <v>#REF!</v>
      </c>
      <c r="F10" s="59" t="e">
        <f>+#REF!</f>
        <v>#REF!</v>
      </c>
      <c r="G10" s="59" t="e">
        <f>+#REF!</f>
        <v>#REF!</v>
      </c>
      <c r="H10" s="59" t="e">
        <f>+#REF!</f>
        <v>#REF!</v>
      </c>
      <c r="I10" s="59" t="e">
        <f>+#REF!</f>
        <v>#REF!</v>
      </c>
      <c r="J10" s="59" t="e">
        <f>+#REF!</f>
        <v>#REF!</v>
      </c>
      <c r="K10" s="59" t="e">
        <f>+#REF!</f>
        <v>#REF!</v>
      </c>
      <c r="L10" s="59" t="e">
        <f>+#REF!</f>
        <v>#REF!</v>
      </c>
      <c r="M10" s="59" t="e">
        <f t="shared" si="0"/>
        <v>#REF!</v>
      </c>
    </row>
    <row r="11" spans="2:13" x14ac:dyDescent="0.35">
      <c r="B11" s="47" t="s">
        <v>74</v>
      </c>
      <c r="C11" s="59" t="e">
        <f>+#REF!</f>
        <v>#REF!</v>
      </c>
      <c r="D11" s="59" t="e">
        <f>+#REF!</f>
        <v>#REF!</v>
      </c>
      <c r="E11" s="59" t="e">
        <f>+#REF!</f>
        <v>#REF!</v>
      </c>
      <c r="F11" s="59" t="e">
        <f>+#REF!</f>
        <v>#REF!</v>
      </c>
      <c r="G11" s="59" t="e">
        <f>+#REF!</f>
        <v>#REF!</v>
      </c>
      <c r="H11" s="59" t="e">
        <f>+#REF!</f>
        <v>#REF!</v>
      </c>
      <c r="I11" s="59" t="e">
        <f>+#REF!</f>
        <v>#REF!</v>
      </c>
      <c r="J11" s="59" t="e">
        <f>+#REF!</f>
        <v>#REF!</v>
      </c>
      <c r="K11" s="59" t="e">
        <f>+#REF!</f>
        <v>#REF!</v>
      </c>
      <c r="L11" s="59" t="e">
        <f>+#REF!</f>
        <v>#REF!</v>
      </c>
      <c r="M11" s="59" t="e">
        <f t="shared" si="0"/>
        <v>#REF!</v>
      </c>
    </row>
    <row r="12" spans="2:13" x14ac:dyDescent="0.35">
      <c r="B12" s="47" t="s">
        <v>75</v>
      </c>
      <c r="C12" s="59" t="e">
        <f>+#REF!</f>
        <v>#REF!</v>
      </c>
      <c r="D12" s="59" t="e">
        <f>+#REF!</f>
        <v>#REF!</v>
      </c>
      <c r="E12" s="59" t="e">
        <f>+#REF!</f>
        <v>#REF!</v>
      </c>
      <c r="F12" s="59" t="e">
        <f>+#REF!</f>
        <v>#REF!</v>
      </c>
      <c r="G12" s="59" t="e">
        <f>+#REF!</f>
        <v>#REF!</v>
      </c>
      <c r="H12" s="59" t="e">
        <f>+#REF!</f>
        <v>#REF!</v>
      </c>
      <c r="I12" s="59" t="e">
        <f>+#REF!</f>
        <v>#REF!</v>
      </c>
      <c r="J12" s="59" t="e">
        <f>+#REF!</f>
        <v>#REF!</v>
      </c>
      <c r="K12" s="59" t="e">
        <f>+#REF!</f>
        <v>#REF!</v>
      </c>
      <c r="L12" s="59" t="e">
        <f>+#REF!</f>
        <v>#REF!</v>
      </c>
      <c r="M12" s="59" t="e">
        <f t="shared" si="0"/>
        <v>#REF!</v>
      </c>
    </row>
    <row r="13" spans="2:13" x14ac:dyDescent="0.35">
      <c r="B13" s="47" t="s">
        <v>76</v>
      </c>
      <c r="C13" s="59" t="e">
        <f>+#REF!</f>
        <v>#REF!</v>
      </c>
      <c r="D13" s="59" t="e">
        <f>+#REF!</f>
        <v>#REF!</v>
      </c>
      <c r="E13" s="59" t="e">
        <f>+#REF!</f>
        <v>#REF!</v>
      </c>
      <c r="F13" s="59" t="e">
        <f>+#REF!</f>
        <v>#REF!</v>
      </c>
      <c r="G13" s="59" t="e">
        <f>+#REF!</f>
        <v>#REF!</v>
      </c>
      <c r="H13" s="59" t="e">
        <f>+#REF!</f>
        <v>#REF!</v>
      </c>
      <c r="I13" s="59" t="e">
        <f>+#REF!</f>
        <v>#REF!</v>
      </c>
      <c r="J13" s="59" t="e">
        <f>+#REF!</f>
        <v>#REF!</v>
      </c>
      <c r="K13" s="59" t="e">
        <f>+#REF!</f>
        <v>#REF!</v>
      </c>
      <c r="L13" s="59" t="e">
        <f>+#REF!</f>
        <v>#REF!</v>
      </c>
      <c r="M13" s="59" t="e">
        <f t="shared" si="0"/>
        <v>#REF!</v>
      </c>
    </row>
    <row r="14" spans="2:13" x14ac:dyDescent="0.35">
      <c r="B14" s="47" t="s">
        <v>77</v>
      </c>
      <c r="C14" s="59" t="e">
        <f>+#REF!</f>
        <v>#REF!</v>
      </c>
      <c r="D14" s="59" t="e">
        <f>+#REF!</f>
        <v>#REF!</v>
      </c>
      <c r="E14" s="59" t="e">
        <f>+#REF!</f>
        <v>#REF!</v>
      </c>
      <c r="F14" s="59" t="e">
        <f>+#REF!</f>
        <v>#REF!</v>
      </c>
      <c r="G14" s="59" t="e">
        <f>+#REF!</f>
        <v>#REF!</v>
      </c>
      <c r="H14" s="59" t="e">
        <f>+#REF!</f>
        <v>#REF!</v>
      </c>
      <c r="I14" s="59" t="e">
        <f>+#REF!</f>
        <v>#REF!</v>
      </c>
      <c r="J14" s="59" t="e">
        <f>+#REF!</f>
        <v>#REF!</v>
      </c>
      <c r="K14" s="59" t="e">
        <f>+#REF!</f>
        <v>#REF!</v>
      </c>
      <c r="L14" s="59" t="e">
        <f>+#REF!</f>
        <v>#REF!</v>
      </c>
      <c r="M14" s="59" t="e">
        <f t="shared" si="0"/>
        <v>#REF!</v>
      </c>
    </row>
    <row r="15" spans="2:13" x14ac:dyDescent="0.35">
      <c r="B15" s="47" t="s">
        <v>78</v>
      </c>
      <c r="C15" s="59" t="e">
        <f>+#REF!</f>
        <v>#REF!</v>
      </c>
      <c r="D15" s="59" t="e">
        <f>+#REF!</f>
        <v>#REF!</v>
      </c>
      <c r="E15" s="59" t="e">
        <f>+#REF!</f>
        <v>#REF!</v>
      </c>
      <c r="F15" s="59" t="e">
        <f>+#REF!</f>
        <v>#REF!</v>
      </c>
      <c r="G15" s="59" t="e">
        <f>+#REF!</f>
        <v>#REF!</v>
      </c>
      <c r="H15" s="59" t="e">
        <f>+#REF!</f>
        <v>#REF!</v>
      </c>
      <c r="I15" s="59" t="e">
        <f>+#REF!</f>
        <v>#REF!</v>
      </c>
      <c r="J15" s="59" t="e">
        <f>+#REF!</f>
        <v>#REF!</v>
      </c>
      <c r="K15" s="59" t="e">
        <f>+#REF!</f>
        <v>#REF!</v>
      </c>
      <c r="L15" s="59" t="e">
        <f>+#REF!</f>
        <v>#REF!</v>
      </c>
      <c r="M15" s="59" t="e">
        <f t="shared" si="0"/>
        <v>#REF!</v>
      </c>
    </row>
    <row r="16" spans="2:13" x14ac:dyDescent="0.35">
      <c r="B16" s="47" t="s">
        <v>41</v>
      </c>
      <c r="C16" s="60" t="e">
        <f t="shared" ref="C16:M16" si="1">SUM(C4:C15)</f>
        <v>#REF!</v>
      </c>
      <c r="D16" s="60" t="e">
        <f t="shared" si="1"/>
        <v>#REF!</v>
      </c>
      <c r="E16" s="60" t="e">
        <f t="shared" si="1"/>
        <v>#REF!</v>
      </c>
      <c r="F16" s="60" t="e">
        <f t="shared" si="1"/>
        <v>#REF!</v>
      </c>
      <c r="G16" s="60" t="e">
        <f t="shared" si="1"/>
        <v>#REF!</v>
      </c>
      <c r="H16" s="60" t="e">
        <f t="shared" si="1"/>
        <v>#REF!</v>
      </c>
      <c r="I16" s="60" t="e">
        <f t="shared" si="1"/>
        <v>#REF!</v>
      </c>
      <c r="J16" s="60" t="e">
        <f t="shared" si="1"/>
        <v>#REF!</v>
      </c>
      <c r="K16" s="60" t="e">
        <f t="shared" si="1"/>
        <v>#REF!</v>
      </c>
      <c r="L16" s="60" t="e">
        <f t="shared" si="1"/>
        <v>#REF!</v>
      </c>
      <c r="M16" s="60" t="e">
        <f t="shared" si="1"/>
        <v>#REF!</v>
      </c>
    </row>
    <row r="17" spans="13:13" x14ac:dyDescent="0.35">
      <c r="M17" s="56" t="e">
        <f>+M16-#REF!</f>
        <v>#REF!</v>
      </c>
    </row>
  </sheetData>
  <phoneticPr fontId="2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5417-E63B-412C-9705-C823278FAC15}">
  <sheetPr>
    <tabColor rgb="FFFFC000"/>
  </sheetPr>
  <dimension ref="B2:M17"/>
  <sheetViews>
    <sheetView topLeftCell="A3" workbookViewId="0">
      <selection activeCell="B2" sqref="B2:M16"/>
    </sheetView>
  </sheetViews>
  <sheetFormatPr baseColWidth="10" defaultRowHeight="14.5" x14ac:dyDescent="0.35"/>
  <cols>
    <col min="1" max="1" width="1.90625" customWidth="1"/>
    <col min="3" max="12" width="13.6328125" customWidth="1"/>
    <col min="13" max="13" width="14.7265625" customWidth="1"/>
  </cols>
  <sheetData>
    <row r="2" spans="2:13" ht="75" customHeight="1" x14ac:dyDescent="0.35">
      <c r="B2" s="61" t="s">
        <v>2</v>
      </c>
      <c r="C2" s="61" t="s">
        <v>80</v>
      </c>
      <c r="D2" s="61" t="s">
        <v>82</v>
      </c>
      <c r="E2" s="61" t="s">
        <v>84</v>
      </c>
      <c r="F2" s="61" t="s">
        <v>86</v>
      </c>
      <c r="G2" s="61" t="s">
        <v>88</v>
      </c>
      <c r="H2" s="61" t="s">
        <v>90</v>
      </c>
      <c r="I2" s="61" t="s">
        <v>92</v>
      </c>
      <c r="J2" s="61" t="s">
        <v>94</v>
      </c>
      <c r="K2" s="61" t="s">
        <v>98</v>
      </c>
      <c r="L2" s="61" t="s">
        <v>100</v>
      </c>
      <c r="M2" s="61" t="s">
        <v>101</v>
      </c>
    </row>
    <row r="3" spans="2:13" ht="38" customHeight="1" x14ac:dyDescent="0.35">
      <c r="B3" s="57" t="s">
        <v>57</v>
      </c>
      <c r="C3" s="62" t="s">
        <v>81</v>
      </c>
      <c r="D3" s="62" t="s">
        <v>83</v>
      </c>
      <c r="E3" s="62" t="s">
        <v>85</v>
      </c>
      <c r="F3" s="62" t="s">
        <v>87</v>
      </c>
      <c r="G3" s="62" t="s">
        <v>89</v>
      </c>
      <c r="H3" s="62" t="s">
        <v>91</v>
      </c>
      <c r="I3" s="62" t="s">
        <v>93</v>
      </c>
      <c r="J3" s="62" t="s">
        <v>95</v>
      </c>
      <c r="K3" s="62" t="s">
        <v>96</v>
      </c>
      <c r="L3" s="62" t="s">
        <v>99</v>
      </c>
      <c r="M3" s="58"/>
    </row>
    <row r="4" spans="2:13" x14ac:dyDescent="0.35">
      <c r="B4" s="47" t="s">
        <v>67</v>
      </c>
      <c r="C4" s="59" t="e">
        <f>+#REF!</f>
        <v>#REF!</v>
      </c>
      <c r="D4" s="59" t="e">
        <f>+#REF!</f>
        <v>#REF!</v>
      </c>
      <c r="E4" s="59" t="e">
        <f>+#REF!</f>
        <v>#REF!</v>
      </c>
      <c r="F4" s="59" t="e">
        <f>+#REF!</f>
        <v>#REF!</v>
      </c>
      <c r="G4" s="59" t="e">
        <f>+#REF!</f>
        <v>#REF!</v>
      </c>
      <c r="H4" s="59" t="e">
        <f>+#REF!</f>
        <v>#REF!</v>
      </c>
      <c r="I4" s="59" t="e">
        <f>+#REF!</f>
        <v>#REF!</v>
      </c>
      <c r="J4" s="59" t="e">
        <f>+#REF!</f>
        <v>#REF!</v>
      </c>
      <c r="K4" s="59" t="e">
        <f>+#REF!</f>
        <v>#REF!</v>
      </c>
      <c r="L4" s="59" t="e">
        <f>+#REF!</f>
        <v>#REF!</v>
      </c>
      <c r="M4" s="59" t="e">
        <f>SUM(C4:L4)</f>
        <v>#REF!</v>
      </c>
    </row>
    <row r="5" spans="2:13" x14ac:dyDescent="0.35">
      <c r="B5" s="47" t="s">
        <v>68</v>
      </c>
      <c r="C5" s="59" t="e">
        <f>+#REF!</f>
        <v>#REF!</v>
      </c>
      <c r="D5" s="59" t="e">
        <f>+#REF!</f>
        <v>#REF!</v>
      </c>
      <c r="E5" s="59" t="e">
        <f>+#REF!</f>
        <v>#REF!</v>
      </c>
      <c r="F5" s="59" t="e">
        <f>+#REF!</f>
        <v>#REF!</v>
      </c>
      <c r="G5" s="59" t="e">
        <f>+#REF!</f>
        <v>#REF!</v>
      </c>
      <c r="H5" s="59" t="e">
        <f>+#REF!</f>
        <v>#REF!</v>
      </c>
      <c r="I5" s="59" t="e">
        <f>+#REF!</f>
        <v>#REF!</v>
      </c>
      <c r="J5" s="59" t="e">
        <f>+#REF!</f>
        <v>#REF!</v>
      </c>
      <c r="K5" s="59" t="e">
        <f>+#REF!</f>
        <v>#REF!</v>
      </c>
      <c r="L5" s="59" t="e">
        <f>+#REF!</f>
        <v>#REF!</v>
      </c>
      <c r="M5" s="59" t="e">
        <f t="shared" ref="M5:M15" si="0">SUM(C5:L5)</f>
        <v>#REF!</v>
      </c>
    </row>
    <row r="6" spans="2:13" x14ac:dyDescent="0.35">
      <c r="B6" s="47" t="s">
        <v>69</v>
      </c>
      <c r="C6" s="59" t="e">
        <f>+#REF!</f>
        <v>#REF!</v>
      </c>
      <c r="D6" s="59" t="e">
        <f>+#REF!</f>
        <v>#REF!</v>
      </c>
      <c r="E6" s="59" t="e">
        <f>+#REF!</f>
        <v>#REF!</v>
      </c>
      <c r="F6" s="59" t="e">
        <f>+#REF!</f>
        <v>#REF!</v>
      </c>
      <c r="G6" s="59" t="e">
        <f>+#REF!</f>
        <v>#REF!</v>
      </c>
      <c r="H6" s="59" t="e">
        <f>+#REF!</f>
        <v>#REF!</v>
      </c>
      <c r="I6" s="59" t="e">
        <f>+#REF!</f>
        <v>#REF!</v>
      </c>
      <c r="J6" s="59" t="e">
        <f>+#REF!</f>
        <v>#REF!</v>
      </c>
      <c r="K6" s="59" t="e">
        <f>+#REF!</f>
        <v>#REF!</v>
      </c>
      <c r="L6" s="59" t="e">
        <f>+#REF!</f>
        <v>#REF!</v>
      </c>
      <c r="M6" s="59" t="e">
        <f t="shared" si="0"/>
        <v>#REF!</v>
      </c>
    </row>
    <row r="7" spans="2:13" x14ac:dyDescent="0.35">
      <c r="B7" s="47" t="s">
        <v>70</v>
      </c>
      <c r="C7" s="59" t="e">
        <f>+#REF!</f>
        <v>#REF!</v>
      </c>
      <c r="D7" s="59" t="e">
        <f>+#REF!</f>
        <v>#REF!</v>
      </c>
      <c r="E7" s="59" t="e">
        <f>+#REF!</f>
        <v>#REF!</v>
      </c>
      <c r="F7" s="59" t="e">
        <f>+#REF!</f>
        <v>#REF!</v>
      </c>
      <c r="G7" s="59" t="e">
        <f>+#REF!</f>
        <v>#REF!</v>
      </c>
      <c r="H7" s="59" t="e">
        <f>+#REF!</f>
        <v>#REF!</v>
      </c>
      <c r="I7" s="59" t="e">
        <f>+#REF!</f>
        <v>#REF!</v>
      </c>
      <c r="J7" s="59" t="e">
        <f>+#REF!</f>
        <v>#REF!</v>
      </c>
      <c r="K7" s="59" t="e">
        <f>+#REF!</f>
        <v>#REF!</v>
      </c>
      <c r="L7" s="59" t="e">
        <f>+#REF!</f>
        <v>#REF!</v>
      </c>
      <c r="M7" s="59" t="e">
        <f t="shared" si="0"/>
        <v>#REF!</v>
      </c>
    </row>
    <row r="8" spans="2:13" x14ac:dyDescent="0.35">
      <c r="B8" s="47" t="s">
        <v>71</v>
      </c>
      <c r="C8" s="59" t="e">
        <f>+#REF!</f>
        <v>#REF!</v>
      </c>
      <c r="D8" s="59" t="e">
        <f>+#REF!</f>
        <v>#REF!</v>
      </c>
      <c r="E8" s="59" t="e">
        <f>+#REF!</f>
        <v>#REF!</v>
      </c>
      <c r="F8" s="59" t="e">
        <f>+#REF!</f>
        <v>#REF!</v>
      </c>
      <c r="G8" s="59" t="e">
        <f>+#REF!</f>
        <v>#REF!</v>
      </c>
      <c r="H8" s="59" t="e">
        <f>+#REF!</f>
        <v>#REF!</v>
      </c>
      <c r="I8" s="59" t="e">
        <f>+#REF!</f>
        <v>#REF!</v>
      </c>
      <c r="J8" s="59" t="e">
        <f>+#REF!</f>
        <v>#REF!</v>
      </c>
      <c r="K8" s="59" t="e">
        <f>+#REF!</f>
        <v>#REF!</v>
      </c>
      <c r="L8" s="59" t="e">
        <f>+#REF!</f>
        <v>#REF!</v>
      </c>
      <c r="M8" s="59" t="e">
        <f t="shared" si="0"/>
        <v>#REF!</v>
      </c>
    </row>
    <row r="9" spans="2:13" x14ac:dyDescent="0.35">
      <c r="B9" s="47" t="s">
        <v>72</v>
      </c>
      <c r="C9" s="59" t="e">
        <f>+#REF!</f>
        <v>#REF!</v>
      </c>
      <c r="D9" s="59" t="e">
        <f>+#REF!</f>
        <v>#REF!</v>
      </c>
      <c r="E9" s="59" t="e">
        <f>+#REF!</f>
        <v>#REF!</v>
      </c>
      <c r="F9" s="59" t="e">
        <f>+#REF!</f>
        <v>#REF!</v>
      </c>
      <c r="G9" s="59" t="e">
        <f>+#REF!</f>
        <v>#REF!</v>
      </c>
      <c r="H9" s="59" t="e">
        <f>+#REF!</f>
        <v>#REF!</v>
      </c>
      <c r="I9" s="59" t="e">
        <f>+#REF!</f>
        <v>#REF!</v>
      </c>
      <c r="J9" s="59" t="e">
        <f>+#REF!</f>
        <v>#REF!</v>
      </c>
      <c r="K9" s="59" t="e">
        <f>+#REF!</f>
        <v>#REF!</v>
      </c>
      <c r="L9" s="59" t="e">
        <f>+#REF!</f>
        <v>#REF!</v>
      </c>
      <c r="M9" s="59" t="e">
        <f t="shared" si="0"/>
        <v>#REF!</v>
      </c>
    </row>
    <row r="10" spans="2:13" x14ac:dyDescent="0.35">
      <c r="B10" s="47" t="s">
        <v>73</v>
      </c>
      <c r="C10" s="59" t="e">
        <f>+#REF!</f>
        <v>#REF!</v>
      </c>
      <c r="D10" s="59" t="e">
        <f>+#REF!</f>
        <v>#REF!</v>
      </c>
      <c r="E10" s="59" t="e">
        <f>+#REF!</f>
        <v>#REF!</v>
      </c>
      <c r="F10" s="59" t="e">
        <f>+#REF!</f>
        <v>#REF!</v>
      </c>
      <c r="G10" s="59" t="e">
        <f>+#REF!</f>
        <v>#REF!</v>
      </c>
      <c r="H10" s="59" t="e">
        <f>+#REF!</f>
        <v>#REF!</v>
      </c>
      <c r="I10" s="59" t="e">
        <f>+#REF!</f>
        <v>#REF!</v>
      </c>
      <c r="J10" s="59" t="e">
        <f>+#REF!</f>
        <v>#REF!</v>
      </c>
      <c r="K10" s="59" t="e">
        <f>+#REF!</f>
        <v>#REF!</v>
      </c>
      <c r="L10" s="59" t="e">
        <f>+#REF!</f>
        <v>#REF!</v>
      </c>
      <c r="M10" s="59" t="e">
        <f t="shared" si="0"/>
        <v>#REF!</v>
      </c>
    </row>
    <row r="11" spans="2:13" x14ac:dyDescent="0.35">
      <c r="B11" s="47" t="s">
        <v>74</v>
      </c>
      <c r="C11" s="59" t="e">
        <f>+#REF!</f>
        <v>#REF!</v>
      </c>
      <c r="D11" s="59" t="e">
        <f>+#REF!</f>
        <v>#REF!</v>
      </c>
      <c r="E11" s="59" t="e">
        <f>+#REF!</f>
        <v>#REF!</v>
      </c>
      <c r="F11" s="59" t="e">
        <f>+#REF!</f>
        <v>#REF!</v>
      </c>
      <c r="G11" s="59" t="e">
        <f>+#REF!</f>
        <v>#REF!</v>
      </c>
      <c r="H11" s="59" t="e">
        <f>+#REF!</f>
        <v>#REF!</v>
      </c>
      <c r="I11" s="59" t="e">
        <f>+#REF!</f>
        <v>#REF!</v>
      </c>
      <c r="J11" s="59" t="e">
        <f>+#REF!</f>
        <v>#REF!</v>
      </c>
      <c r="K11" s="59" t="e">
        <f>+#REF!</f>
        <v>#REF!</v>
      </c>
      <c r="L11" s="59" t="e">
        <f>+#REF!</f>
        <v>#REF!</v>
      </c>
      <c r="M11" s="59" t="e">
        <f t="shared" si="0"/>
        <v>#REF!</v>
      </c>
    </row>
    <row r="12" spans="2:13" x14ac:dyDescent="0.35">
      <c r="B12" s="47" t="s">
        <v>75</v>
      </c>
      <c r="C12" s="59" t="e">
        <f>+#REF!</f>
        <v>#REF!</v>
      </c>
      <c r="D12" s="59" t="e">
        <f>+#REF!</f>
        <v>#REF!</v>
      </c>
      <c r="E12" s="59" t="e">
        <f>+#REF!</f>
        <v>#REF!</v>
      </c>
      <c r="F12" s="59" t="e">
        <f>+#REF!</f>
        <v>#REF!</v>
      </c>
      <c r="G12" s="59" t="e">
        <f>+#REF!</f>
        <v>#REF!</v>
      </c>
      <c r="H12" s="59" t="e">
        <f>+#REF!</f>
        <v>#REF!</v>
      </c>
      <c r="I12" s="59" t="e">
        <f>+#REF!</f>
        <v>#REF!</v>
      </c>
      <c r="J12" s="59" t="e">
        <f>+#REF!</f>
        <v>#REF!</v>
      </c>
      <c r="K12" s="59" t="e">
        <f>+#REF!</f>
        <v>#REF!</v>
      </c>
      <c r="L12" s="59" t="e">
        <f>+#REF!</f>
        <v>#REF!</v>
      </c>
      <c r="M12" s="59" t="e">
        <f t="shared" si="0"/>
        <v>#REF!</v>
      </c>
    </row>
    <row r="13" spans="2:13" x14ac:dyDescent="0.35">
      <c r="B13" s="47" t="s">
        <v>76</v>
      </c>
      <c r="C13" s="59" t="e">
        <f>+#REF!</f>
        <v>#REF!</v>
      </c>
      <c r="D13" s="59" t="e">
        <f>+#REF!</f>
        <v>#REF!</v>
      </c>
      <c r="E13" s="59" t="e">
        <f>+#REF!</f>
        <v>#REF!</v>
      </c>
      <c r="F13" s="59" t="e">
        <f>+#REF!</f>
        <v>#REF!</v>
      </c>
      <c r="G13" s="59" t="e">
        <f>+#REF!</f>
        <v>#REF!</v>
      </c>
      <c r="H13" s="59" t="e">
        <f>+#REF!</f>
        <v>#REF!</v>
      </c>
      <c r="I13" s="59" t="e">
        <f>+#REF!</f>
        <v>#REF!</v>
      </c>
      <c r="J13" s="59" t="e">
        <f>+#REF!</f>
        <v>#REF!</v>
      </c>
      <c r="K13" s="59" t="e">
        <f>+#REF!</f>
        <v>#REF!</v>
      </c>
      <c r="L13" s="59" t="e">
        <f>+#REF!</f>
        <v>#REF!</v>
      </c>
      <c r="M13" s="59" t="e">
        <f t="shared" si="0"/>
        <v>#REF!</v>
      </c>
    </row>
    <row r="14" spans="2:13" x14ac:dyDescent="0.35">
      <c r="B14" s="47" t="s">
        <v>77</v>
      </c>
      <c r="C14" s="59" t="e">
        <f>+#REF!</f>
        <v>#REF!</v>
      </c>
      <c r="D14" s="59" t="e">
        <f>+#REF!</f>
        <v>#REF!</v>
      </c>
      <c r="E14" s="59" t="e">
        <f>+#REF!</f>
        <v>#REF!</v>
      </c>
      <c r="F14" s="59" t="e">
        <f>+#REF!</f>
        <v>#REF!</v>
      </c>
      <c r="G14" s="59" t="e">
        <f>+#REF!</f>
        <v>#REF!</v>
      </c>
      <c r="H14" s="59" t="e">
        <f>+#REF!</f>
        <v>#REF!</v>
      </c>
      <c r="I14" s="59" t="e">
        <f>+#REF!</f>
        <v>#REF!</v>
      </c>
      <c r="J14" s="59" t="e">
        <f>+#REF!</f>
        <v>#REF!</v>
      </c>
      <c r="K14" s="59" t="e">
        <f>+#REF!</f>
        <v>#REF!</v>
      </c>
      <c r="L14" s="59" t="e">
        <f>+#REF!</f>
        <v>#REF!</v>
      </c>
      <c r="M14" s="59" t="e">
        <f t="shared" si="0"/>
        <v>#REF!</v>
      </c>
    </row>
    <row r="15" spans="2:13" x14ac:dyDescent="0.35">
      <c r="B15" s="47" t="s">
        <v>78</v>
      </c>
      <c r="C15" s="59" t="e">
        <f>+#REF!</f>
        <v>#REF!</v>
      </c>
      <c r="D15" s="59" t="e">
        <f>+#REF!</f>
        <v>#REF!</v>
      </c>
      <c r="E15" s="59" t="e">
        <f>+#REF!</f>
        <v>#REF!</v>
      </c>
      <c r="F15" s="59" t="e">
        <f>+#REF!</f>
        <v>#REF!</v>
      </c>
      <c r="G15" s="59" t="e">
        <f>+#REF!</f>
        <v>#REF!</v>
      </c>
      <c r="H15" s="59" t="e">
        <f>+#REF!</f>
        <v>#REF!</v>
      </c>
      <c r="I15" s="59" t="e">
        <f>+#REF!</f>
        <v>#REF!</v>
      </c>
      <c r="J15" s="59" t="e">
        <f>+#REF!</f>
        <v>#REF!</v>
      </c>
      <c r="K15" s="59" t="e">
        <f>+#REF!</f>
        <v>#REF!</v>
      </c>
      <c r="L15" s="59" t="e">
        <f>+#REF!</f>
        <v>#REF!</v>
      </c>
      <c r="M15" s="59" t="e">
        <f t="shared" si="0"/>
        <v>#REF!</v>
      </c>
    </row>
    <row r="16" spans="2:13" x14ac:dyDescent="0.35">
      <c r="B16" s="47" t="s">
        <v>41</v>
      </c>
      <c r="C16" s="60" t="e">
        <f t="shared" ref="C16:M16" si="1">SUM(C4:C15)</f>
        <v>#REF!</v>
      </c>
      <c r="D16" s="60" t="e">
        <f t="shared" si="1"/>
        <v>#REF!</v>
      </c>
      <c r="E16" s="60" t="e">
        <f t="shared" si="1"/>
        <v>#REF!</v>
      </c>
      <c r="F16" s="60" t="e">
        <f t="shared" si="1"/>
        <v>#REF!</v>
      </c>
      <c r="G16" s="60" t="e">
        <f t="shared" si="1"/>
        <v>#REF!</v>
      </c>
      <c r="H16" s="60" t="e">
        <f t="shared" si="1"/>
        <v>#REF!</v>
      </c>
      <c r="I16" s="60" t="e">
        <f t="shared" si="1"/>
        <v>#REF!</v>
      </c>
      <c r="J16" s="60" t="e">
        <f t="shared" si="1"/>
        <v>#REF!</v>
      </c>
      <c r="K16" s="60" t="e">
        <f t="shared" si="1"/>
        <v>#REF!</v>
      </c>
      <c r="L16" s="60" t="e">
        <f t="shared" si="1"/>
        <v>#REF!</v>
      </c>
      <c r="M16" s="60" t="e">
        <f t="shared" si="1"/>
        <v>#REF!</v>
      </c>
    </row>
    <row r="17" spans="13:13" x14ac:dyDescent="0.35">
      <c r="M17" s="56" t="e">
        <f>+M16-#REF!</f>
        <v>#REF!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82165-5AAA-4502-A85D-D663EBD043E5}">
  <sheetPr>
    <tabColor rgb="FF92D050"/>
    <pageSetUpPr fitToPage="1"/>
  </sheetPr>
  <dimension ref="A2:W95"/>
  <sheetViews>
    <sheetView showGridLines="0" topLeftCell="A60" zoomScale="90" zoomScaleNormal="90" zoomScaleSheetLayoutView="100" workbookViewId="0">
      <selection activeCell="B7" sqref="B7:L95"/>
    </sheetView>
  </sheetViews>
  <sheetFormatPr baseColWidth="10" defaultColWidth="0" defaultRowHeight="12.5" x14ac:dyDescent="0.25"/>
  <cols>
    <col min="1" max="1" width="5.26953125" style="20" customWidth="1"/>
    <col min="2" max="2" width="32.08984375" style="20" customWidth="1"/>
    <col min="3" max="3" width="17.36328125" style="20" customWidth="1"/>
    <col min="4" max="4" width="8.08984375" style="34" customWidth="1"/>
    <col min="5" max="5" width="14.453125" style="20" customWidth="1"/>
    <col min="6" max="6" width="10.08984375" style="20" customWidth="1"/>
    <col min="7" max="7" width="5.26953125" style="20" customWidth="1"/>
    <col min="8" max="8" width="20.6328125" style="20" customWidth="1"/>
    <col min="9" max="9" width="16.36328125" style="20" customWidth="1"/>
    <col min="10" max="10" width="8.54296875" style="34" customWidth="1"/>
    <col min="11" max="11" width="16.54296875" style="20" customWidth="1"/>
    <col min="12" max="12" width="14.90625" style="20" customWidth="1"/>
    <col min="13" max="13" width="19.36328125" style="20" customWidth="1"/>
    <col min="14" max="23" width="1.54296875" style="20" hidden="1" customWidth="1"/>
    <col min="24" max="16384" width="3.453125" style="20" hidden="1"/>
  </cols>
  <sheetData>
    <row r="2" spans="1:14" s="19" customFormat="1" ht="19" x14ac:dyDescent="0.35">
      <c r="B2" s="44" t="s">
        <v>144</v>
      </c>
      <c r="D2" s="153"/>
      <c r="H2" s="44"/>
      <c r="J2" s="153"/>
    </row>
    <row r="3" spans="1:14" ht="16.5" customHeight="1" x14ac:dyDescent="0.25">
      <c r="B3" s="247" t="s">
        <v>145</v>
      </c>
      <c r="C3" s="247"/>
      <c r="D3" s="21"/>
      <c r="E3" s="21"/>
      <c r="F3" s="21"/>
      <c r="H3" s="247"/>
      <c r="I3" s="247"/>
      <c r="J3" s="21"/>
      <c r="K3" s="21"/>
      <c r="L3" s="21"/>
      <c r="M3" s="21"/>
      <c r="N3" s="21"/>
    </row>
    <row r="4" spans="1:14" ht="16.5" customHeight="1" x14ac:dyDescent="0.25">
      <c r="B4" s="45"/>
      <c r="C4" s="21"/>
      <c r="D4" s="21"/>
      <c r="E4" s="21"/>
      <c r="F4" s="21"/>
      <c r="H4" s="45"/>
      <c r="I4" s="21"/>
      <c r="J4" s="21"/>
      <c r="K4" s="21"/>
      <c r="L4" s="21"/>
      <c r="M4" s="21"/>
      <c r="N4" s="21"/>
    </row>
    <row r="5" spans="1:14" ht="16.5" customHeight="1" x14ac:dyDescent="0.25">
      <c r="B5" s="45"/>
      <c r="C5" s="21"/>
      <c r="D5" s="21"/>
      <c r="E5" s="21"/>
      <c r="F5" s="21"/>
      <c r="H5" s="45"/>
      <c r="I5" s="21"/>
      <c r="J5" s="21"/>
      <c r="K5" s="21"/>
      <c r="L5" s="21"/>
      <c r="M5" s="21"/>
      <c r="N5" s="21"/>
    </row>
    <row r="6" spans="1:14" ht="35" customHeight="1" x14ac:dyDescent="0.25">
      <c r="B6" s="236" t="s">
        <v>146</v>
      </c>
      <c r="C6" s="236"/>
      <c r="D6" s="236"/>
      <c r="E6" s="236"/>
      <c r="F6" s="236"/>
      <c r="G6" s="236"/>
      <c r="H6" s="236"/>
      <c r="I6" s="236"/>
      <c r="J6" s="236"/>
      <c r="K6" s="236"/>
      <c r="L6" s="21"/>
      <c r="M6" s="21"/>
      <c r="N6" s="21"/>
    </row>
    <row r="7" spans="1:14" ht="18" customHeight="1" thickBot="1" x14ac:dyDescent="0.4">
      <c r="B7" s="22" t="s">
        <v>35</v>
      </c>
      <c r="C7" s="23"/>
      <c r="D7" s="24"/>
      <c r="E7" s="154"/>
      <c r="F7" s="154"/>
      <c r="G7" s="154"/>
      <c r="H7" s="154"/>
      <c r="I7" s="154"/>
      <c r="J7" s="154"/>
      <c r="K7" s="55" t="s">
        <v>63</v>
      </c>
      <c r="L7" s="55"/>
      <c r="M7" s="21"/>
      <c r="N7" s="21"/>
    </row>
    <row r="8" spans="1:14" ht="18" customHeight="1" thickBot="1" x14ac:dyDescent="0.4">
      <c r="B8" s="22" t="s">
        <v>44</v>
      </c>
      <c r="C8" s="240"/>
      <c r="D8" s="240"/>
      <c r="E8" s="240"/>
      <c r="F8" s="240"/>
      <c r="G8" s="240"/>
      <c r="H8" s="240"/>
      <c r="I8" s="240"/>
      <c r="J8" s="240"/>
      <c r="K8" s="54" t="s">
        <v>62</v>
      </c>
      <c r="L8" s="54"/>
    </row>
    <row r="9" spans="1:14" ht="18" customHeight="1" thickBot="1" x14ac:dyDescent="0.4">
      <c r="B9" s="40" t="s">
        <v>124</v>
      </c>
      <c r="C9" s="155"/>
      <c r="D9" s="156"/>
      <c r="E9" s="157"/>
      <c r="F9" s="157"/>
      <c r="G9" s="157"/>
      <c r="H9" s="158"/>
      <c r="I9" s="159"/>
      <c r="J9" s="159"/>
      <c r="K9" s="55" t="s">
        <v>63</v>
      </c>
      <c r="L9" s="55"/>
    </row>
    <row r="10" spans="1:14" ht="18" customHeight="1" thickBot="1" x14ac:dyDescent="0.4">
      <c r="B10" s="22" t="s">
        <v>46</v>
      </c>
      <c r="C10" s="240" t="s">
        <v>57</v>
      </c>
      <c r="D10" s="240"/>
      <c r="E10" s="240"/>
      <c r="F10" s="240"/>
      <c r="G10" s="240"/>
      <c r="H10" s="240"/>
      <c r="I10" s="240"/>
      <c r="J10" s="240"/>
      <c r="K10" s="54" t="s">
        <v>62</v>
      </c>
      <c r="L10" s="54"/>
    </row>
    <row r="11" spans="1:14" ht="17" thickBot="1" x14ac:dyDescent="0.4">
      <c r="B11" s="22" t="s">
        <v>104</v>
      </c>
      <c r="C11" s="240"/>
      <c r="D11" s="240"/>
      <c r="E11" s="240"/>
      <c r="F11" s="240"/>
      <c r="G11" s="240"/>
      <c r="H11" s="240"/>
      <c r="I11" s="240"/>
      <c r="J11" s="240"/>
      <c r="K11" s="55" t="s">
        <v>63</v>
      </c>
      <c r="L11" s="55"/>
    </row>
    <row r="12" spans="1:14" x14ac:dyDescent="0.25">
      <c r="C12" s="160"/>
    </row>
    <row r="13" spans="1:14" ht="12.75" customHeight="1" x14ac:dyDescent="0.3">
      <c r="B13" s="248" t="s">
        <v>36</v>
      </c>
      <c r="C13" s="248" t="s">
        <v>37</v>
      </c>
      <c r="D13" s="248" t="s">
        <v>38</v>
      </c>
      <c r="E13" s="248" t="s">
        <v>39</v>
      </c>
      <c r="F13" s="249" t="s">
        <v>40</v>
      </c>
      <c r="G13" s="161"/>
      <c r="H13" s="248" t="s">
        <v>36</v>
      </c>
      <c r="I13" s="248" t="s">
        <v>37</v>
      </c>
      <c r="J13" s="248" t="s">
        <v>38</v>
      </c>
      <c r="K13" s="248" t="s">
        <v>39</v>
      </c>
      <c r="L13" s="249" t="s">
        <v>40</v>
      </c>
    </row>
    <row r="14" spans="1:14" ht="53.5" customHeight="1" x14ac:dyDescent="0.3">
      <c r="A14" s="25"/>
      <c r="B14" s="248"/>
      <c r="C14" s="248"/>
      <c r="D14" s="248"/>
      <c r="E14" s="248"/>
      <c r="F14" s="249"/>
      <c r="G14" s="162"/>
      <c r="H14" s="248"/>
      <c r="I14" s="248"/>
      <c r="J14" s="248"/>
      <c r="K14" s="248"/>
      <c r="L14" s="249"/>
    </row>
    <row r="15" spans="1:14" ht="15.75" customHeight="1" x14ac:dyDescent="0.35">
      <c r="A15" s="163">
        <v>31</v>
      </c>
      <c r="B15" s="47">
        <v>48214</v>
      </c>
      <c r="C15" s="164">
        <f>+'Cantidades P3_(2032-2041)'!$AC$11</f>
        <v>25535865.25</v>
      </c>
      <c r="D15" s="244">
        <v>0</v>
      </c>
      <c r="E15" s="165">
        <f t="shared" ref="E15:E26" si="0">+C15*$D$15</f>
        <v>0</v>
      </c>
      <c r="F15" s="241"/>
      <c r="G15" s="166"/>
      <c r="H15" s="47">
        <v>50041</v>
      </c>
      <c r="I15" s="164">
        <f>+'Cantidades P3_(2032-2041)'!$AC$256</f>
        <v>23759509.41</v>
      </c>
      <c r="J15" s="250">
        <f>+$D$15</f>
        <v>0</v>
      </c>
      <c r="K15" s="165">
        <f t="shared" ref="K15:K26" si="1">+I15*$J$15</f>
        <v>0</v>
      </c>
      <c r="L15" s="241"/>
    </row>
    <row r="16" spans="1:14" ht="14.5" x14ac:dyDescent="0.35">
      <c r="A16" s="163">
        <v>29</v>
      </c>
      <c r="B16" s="47">
        <v>48245</v>
      </c>
      <c r="C16" s="164">
        <f>+'Cantidades P3_(2032-2041)'!$AC$15</f>
        <v>24337017.090000004</v>
      </c>
      <c r="D16" s="245"/>
      <c r="E16" s="165">
        <f t="shared" si="0"/>
        <v>0</v>
      </c>
      <c r="F16" s="242"/>
      <c r="G16" s="166"/>
      <c r="H16" s="47">
        <v>50072</v>
      </c>
      <c r="I16" s="164">
        <f>+'Cantidades P3_(2032-2041)'!$AC$260</f>
        <v>22903448.239999998</v>
      </c>
      <c r="J16" s="251"/>
      <c r="K16" s="165">
        <f t="shared" si="1"/>
        <v>0</v>
      </c>
      <c r="L16" s="242"/>
    </row>
    <row r="17" spans="1:12" ht="14.5" x14ac:dyDescent="0.35">
      <c r="A17" s="163">
        <v>31</v>
      </c>
      <c r="B17" s="47">
        <v>48274</v>
      </c>
      <c r="C17" s="164">
        <f>+'Cantidades P3_(2032-2041)'!$AC$19</f>
        <v>25639512.720000003</v>
      </c>
      <c r="D17" s="245"/>
      <c r="E17" s="165">
        <f t="shared" si="0"/>
        <v>0</v>
      </c>
      <c r="F17" s="242"/>
      <c r="G17" s="166"/>
      <c r="H17" s="47">
        <v>50100</v>
      </c>
      <c r="I17" s="164">
        <f>+'Cantidades P3_(2032-2041)'!$AC$264</f>
        <v>23854590.670000002</v>
      </c>
      <c r="J17" s="251"/>
      <c r="K17" s="165">
        <f t="shared" si="1"/>
        <v>0</v>
      </c>
      <c r="L17" s="242"/>
    </row>
    <row r="18" spans="1:12" ht="14.5" x14ac:dyDescent="0.35">
      <c r="A18" s="163">
        <v>30</v>
      </c>
      <c r="B18" s="47">
        <v>48305</v>
      </c>
      <c r="C18" s="164">
        <f>+'Cantidades P3_(2032-2041)'!$AC$23</f>
        <v>23442969.100000001</v>
      </c>
      <c r="D18" s="245"/>
      <c r="E18" s="165">
        <f t="shared" si="0"/>
        <v>0</v>
      </c>
      <c r="F18" s="242"/>
      <c r="G18" s="166"/>
      <c r="H18" s="47">
        <v>50131</v>
      </c>
      <c r="I18" s="164">
        <f>+'Cantidades P3_(2032-2041)'!$AC$268</f>
        <v>22445856.82</v>
      </c>
      <c r="J18" s="251"/>
      <c r="K18" s="165">
        <f t="shared" si="1"/>
        <v>0</v>
      </c>
      <c r="L18" s="242"/>
    </row>
    <row r="19" spans="1:12" ht="14.5" x14ac:dyDescent="0.35">
      <c r="A19" s="163">
        <v>31</v>
      </c>
      <c r="B19" s="47">
        <v>48335</v>
      </c>
      <c r="C19" s="164">
        <f>+'Cantidades P3_(2032-2041)'!$AC$27</f>
        <v>24110566.460000001</v>
      </c>
      <c r="D19" s="245"/>
      <c r="E19" s="165">
        <f t="shared" si="0"/>
        <v>0</v>
      </c>
      <c r="F19" s="242"/>
      <c r="G19" s="166"/>
      <c r="H19" s="47">
        <v>50161</v>
      </c>
      <c r="I19" s="164">
        <f>+'Cantidades P3_(2032-2041)'!$AC$272</f>
        <v>23058763.329999994</v>
      </c>
      <c r="J19" s="251"/>
      <c r="K19" s="165">
        <f t="shared" si="1"/>
        <v>0</v>
      </c>
      <c r="L19" s="242"/>
    </row>
    <row r="20" spans="1:12" ht="14.5" x14ac:dyDescent="0.35">
      <c r="A20" s="163">
        <v>30</v>
      </c>
      <c r="B20" s="47">
        <v>48366</v>
      </c>
      <c r="C20" s="164">
        <f>+'Cantidades P3_(2032-2041)'!$AC$31</f>
        <v>23651155.580000002</v>
      </c>
      <c r="D20" s="245"/>
      <c r="E20" s="165">
        <f t="shared" si="0"/>
        <v>0</v>
      </c>
      <c r="F20" s="242"/>
      <c r="G20" s="166"/>
      <c r="H20" s="47">
        <v>50192</v>
      </c>
      <c r="I20" s="164">
        <f>+'Cantidades P3_(2032-2041)'!$AC$276</f>
        <v>22163487.040000007</v>
      </c>
      <c r="J20" s="251"/>
      <c r="K20" s="165">
        <f t="shared" si="1"/>
        <v>0</v>
      </c>
      <c r="L20" s="242"/>
    </row>
    <row r="21" spans="1:12" ht="14.5" x14ac:dyDescent="0.35">
      <c r="A21" s="163">
        <v>31</v>
      </c>
      <c r="B21" s="47">
        <v>48396</v>
      </c>
      <c r="C21" s="164">
        <f>+'Cantidades P3_(2032-2041)'!$AC$35</f>
        <v>23714592.710000001</v>
      </c>
      <c r="D21" s="245"/>
      <c r="E21" s="165">
        <f t="shared" si="0"/>
        <v>0</v>
      </c>
      <c r="F21" s="242"/>
      <c r="G21" s="166"/>
      <c r="H21" s="47">
        <v>50222</v>
      </c>
      <c r="I21" s="164">
        <f>+'Cantidades P3_(2032-2041)'!$AC$280</f>
        <v>22659465.899999999</v>
      </c>
      <c r="J21" s="251"/>
      <c r="K21" s="165">
        <f t="shared" si="1"/>
        <v>0</v>
      </c>
      <c r="L21" s="242"/>
    </row>
    <row r="22" spans="1:12" ht="14.5" x14ac:dyDescent="0.35">
      <c r="A22" s="163">
        <v>31</v>
      </c>
      <c r="B22" s="47">
        <v>48427</v>
      </c>
      <c r="C22" s="164">
        <f>+'Cantidades P3_(2032-2041)'!$AC$39</f>
        <v>23872912.690000001</v>
      </c>
      <c r="D22" s="245"/>
      <c r="E22" s="165">
        <f t="shared" si="0"/>
        <v>0</v>
      </c>
      <c r="F22" s="242"/>
      <c r="G22" s="166"/>
      <c r="H22" s="47">
        <v>50253</v>
      </c>
      <c r="I22" s="164">
        <f>+'Cantidades P3_(2032-2041)'!$AC$284</f>
        <v>22778903.740000002</v>
      </c>
      <c r="J22" s="251"/>
      <c r="K22" s="165">
        <f t="shared" si="1"/>
        <v>0</v>
      </c>
      <c r="L22" s="242"/>
    </row>
    <row r="23" spans="1:12" ht="14.5" x14ac:dyDescent="0.35">
      <c r="A23" s="163">
        <v>30</v>
      </c>
      <c r="B23" s="47">
        <v>48458</v>
      </c>
      <c r="C23" s="164">
        <f>+'Cantidades P3_(2032-2041)'!$AC$43</f>
        <v>22858419.66</v>
      </c>
      <c r="D23" s="245"/>
      <c r="E23" s="165">
        <f t="shared" si="0"/>
        <v>0</v>
      </c>
      <c r="F23" s="242"/>
      <c r="G23" s="166"/>
      <c r="H23" s="47">
        <v>50284</v>
      </c>
      <c r="I23" s="164">
        <f>+'Cantidades P3_(2032-2041)'!$AC$288</f>
        <v>21876542.199999999</v>
      </c>
      <c r="J23" s="251"/>
      <c r="K23" s="165">
        <f t="shared" si="1"/>
        <v>0</v>
      </c>
      <c r="L23" s="242"/>
    </row>
    <row r="24" spans="1:12" ht="14.5" x14ac:dyDescent="0.35">
      <c r="A24" s="163">
        <v>31</v>
      </c>
      <c r="B24" s="47">
        <v>48488</v>
      </c>
      <c r="C24" s="164">
        <f>+'Cantidades P3_(2032-2041)'!$AC$47</f>
        <v>23065744</v>
      </c>
      <c r="D24" s="245"/>
      <c r="E24" s="165">
        <f t="shared" si="0"/>
        <v>0</v>
      </c>
      <c r="F24" s="242"/>
      <c r="G24" s="166"/>
      <c r="H24" s="47">
        <v>50314</v>
      </c>
      <c r="I24" s="164">
        <f>+'Cantidades P3_(2032-2041)'!$AC$292</f>
        <v>22146231.140000004</v>
      </c>
      <c r="J24" s="251"/>
      <c r="K24" s="165">
        <f t="shared" si="1"/>
        <v>0</v>
      </c>
      <c r="L24" s="242"/>
    </row>
    <row r="25" spans="1:12" ht="14.5" x14ac:dyDescent="0.35">
      <c r="A25" s="163">
        <v>30</v>
      </c>
      <c r="B25" s="47">
        <v>48519</v>
      </c>
      <c r="C25" s="164">
        <f>+'Cantidades P3_(2032-2041)'!$AC$51</f>
        <v>21325926.219999995</v>
      </c>
      <c r="D25" s="245"/>
      <c r="E25" s="165">
        <f t="shared" si="0"/>
        <v>0</v>
      </c>
      <c r="F25" s="242"/>
      <c r="G25" s="166"/>
      <c r="H25" s="47">
        <v>50345</v>
      </c>
      <c r="I25" s="164">
        <f>+'Cantidades P3_(2032-2041)'!$AC$296</f>
        <v>20985825.359999999</v>
      </c>
      <c r="J25" s="251"/>
      <c r="K25" s="165">
        <f t="shared" si="1"/>
        <v>0</v>
      </c>
      <c r="L25" s="242"/>
    </row>
    <row r="26" spans="1:12" ht="14.5" x14ac:dyDescent="0.35">
      <c r="A26" s="163">
        <v>31</v>
      </c>
      <c r="B26" s="47">
        <v>48549</v>
      </c>
      <c r="C26" s="164">
        <f>+'Cantidades P3_(2032-2041)'!$AC$55</f>
        <v>23824689.119999997</v>
      </c>
      <c r="D26" s="246"/>
      <c r="E26" s="165">
        <f t="shared" si="0"/>
        <v>0</v>
      </c>
      <c r="F26" s="243"/>
      <c r="G26" s="166"/>
      <c r="H26" s="47">
        <v>50375</v>
      </c>
      <c r="I26" s="164">
        <f>+'Cantidades P3_(2032-2041)'!$AC$300</f>
        <v>22896078.259999998</v>
      </c>
      <c r="J26" s="252"/>
      <c r="K26" s="165">
        <f t="shared" si="1"/>
        <v>0</v>
      </c>
      <c r="L26" s="243"/>
    </row>
    <row r="27" spans="1:12" ht="15.75" customHeight="1" x14ac:dyDescent="0.35">
      <c r="A27" s="163">
        <v>31</v>
      </c>
      <c r="B27" s="47">
        <v>48580</v>
      </c>
      <c r="C27" s="164">
        <f>+'Cantidades P3_(2032-2041)'!$AC$60</f>
        <v>23800303.260000002</v>
      </c>
      <c r="D27" s="250">
        <f>+$D$15</f>
        <v>0</v>
      </c>
      <c r="E27" s="165">
        <f t="shared" ref="E27:E38" si="2">+C27*$D$27</f>
        <v>0</v>
      </c>
      <c r="F27" s="241"/>
      <c r="G27" s="166"/>
      <c r="H27" s="47">
        <v>50406</v>
      </c>
      <c r="I27" s="164">
        <f>+'Cantidades P3_(2032-2041)'!$AC$305</f>
        <v>23690733.170000002</v>
      </c>
      <c r="J27" s="250">
        <f>+$D$15</f>
        <v>0</v>
      </c>
      <c r="K27" s="165">
        <f t="shared" ref="K27:K38" si="3">+I27*$J$27</f>
        <v>0</v>
      </c>
      <c r="L27" s="241"/>
    </row>
    <row r="28" spans="1:12" ht="14.5" x14ac:dyDescent="0.35">
      <c r="A28" s="163">
        <v>28</v>
      </c>
      <c r="B28" s="47">
        <v>48611</v>
      </c>
      <c r="C28" s="164">
        <f>+'Cantidades P3_(2032-2041)'!$AC$64</f>
        <v>22785937.400000002</v>
      </c>
      <c r="D28" s="251"/>
      <c r="E28" s="165">
        <f t="shared" si="2"/>
        <v>0</v>
      </c>
      <c r="F28" s="242"/>
      <c r="G28" s="166"/>
      <c r="H28" s="47">
        <v>50437</v>
      </c>
      <c r="I28" s="164">
        <f>+'Cantidades P3_(2032-2041)'!$AC$309</f>
        <v>22854248.640000001</v>
      </c>
      <c r="J28" s="251"/>
      <c r="K28" s="165">
        <f t="shared" si="3"/>
        <v>0</v>
      </c>
      <c r="L28" s="242"/>
    </row>
    <row r="29" spans="1:12" ht="14.5" x14ac:dyDescent="0.35">
      <c r="A29" s="163">
        <v>31</v>
      </c>
      <c r="B29" s="47">
        <v>48639</v>
      </c>
      <c r="C29" s="164">
        <f>+'Cantidades P3_(2032-2041)'!$AC$68</f>
        <v>23870208.739999995</v>
      </c>
      <c r="D29" s="251"/>
      <c r="E29" s="165">
        <f t="shared" si="2"/>
        <v>0</v>
      </c>
      <c r="F29" s="242"/>
      <c r="G29" s="166"/>
      <c r="H29" s="47">
        <v>50465</v>
      </c>
      <c r="I29" s="164">
        <f>+'Cantidades P3_(2032-2041)'!$AC$313</f>
        <v>23784036.599999998</v>
      </c>
      <c r="J29" s="251"/>
      <c r="K29" s="165">
        <f t="shared" si="3"/>
        <v>0</v>
      </c>
      <c r="L29" s="242"/>
    </row>
    <row r="30" spans="1:12" ht="14.5" x14ac:dyDescent="0.35">
      <c r="A30" s="163">
        <v>30</v>
      </c>
      <c r="B30" s="47">
        <v>48670</v>
      </c>
      <c r="C30" s="164">
        <f>+'Cantidades P3_(2032-2041)'!$AC$72</f>
        <v>21981869.339999996</v>
      </c>
      <c r="D30" s="251"/>
      <c r="E30" s="165">
        <f t="shared" si="2"/>
        <v>0</v>
      </c>
      <c r="F30" s="242"/>
      <c r="G30" s="166"/>
      <c r="H30" s="47">
        <v>50496</v>
      </c>
      <c r="I30" s="164">
        <f>+'Cantidades P3_(2032-2041)'!$AC$317</f>
        <v>22406465.999999996</v>
      </c>
      <c r="J30" s="251"/>
      <c r="K30" s="165">
        <f t="shared" si="3"/>
        <v>0</v>
      </c>
      <c r="L30" s="242"/>
    </row>
    <row r="31" spans="1:12" ht="14.5" x14ac:dyDescent="0.35">
      <c r="A31" s="163">
        <v>31</v>
      </c>
      <c r="B31" s="47">
        <v>48700</v>
      </c>
      <c r="C31" s="164">
        <f>+'Cantidades P3_(2032-2041)'!$AC$76</f>
        <v>22624603.309999999</v>
      </c>
      <c r="D31" s="251"/>
      <c r="E31" s="165">
        <f t="shared" si="2"/>
        <v>0</v>
      </c>
      <c r="F31" s="242"/>
      <c r="G31" s="166"/>
      <c r="H31" s="47">
        <v>50526</v>
      </c>
      <c r="I31" s="164">
        <f>+'Cantidades P3_(2032-2041)'!$AC$321</f>
        <v>23005062.490000002</v>
      </c>
      <c r="J31" s="251"/>
      <c r="K31" s="165">
        <f t="shared" si="3"/>
        <v>0</v>
      </c>
      <c r="L31" s="242"/>
    </row>
    <row r="32" spans="1:12" ht="14.5" x14ac:dyDescent="0.35">
      <c r="A32" s="163">
        <v>30</v>
      </c>
      <c r="B32" s="47">
        <v>48731</v>
      </c>
      <c r="C32" s="164">
        <f>+'Cantidades P3_(2032-2041)'!$AC$80</f>
        <v>22028552.599999998</v>
      </c>
      <c r="D32" s="251"/>
      <c r="E32" s="165">
        <f t="shared" si="2"/>
        <v>0</v>
      </c>
      <c r="F32" s="242"/>
      <c r="G32" s="166"/>
      <c r="H32" s="47">
        <v>50557</v>
      </c>
      <c r="I32" s="164">
        <f>+'Cantidades P3_(2032-2041)'!$AC$325</f>
        <v>22130030.579999998</v>
      </c>
      <c r="J32" s="251"/>
      <c r="K32" s="165">
        <f t="shared" si="3"/>
        <v>0</v>
      </c>
      <c r="L32" s="242"/>
    </row>
    <row r="33" spans="1:12" ht="14.5" x14ac:dyDescent="0.35">
      <c r="A33" s="163">
        <v>31</v>
      </c>
      <c r="B33" s="47">
        <v>48761</v>
      </c>
      <c r="C33" s="164">
        <f>+'Cantidades P3_(2032-2041)'!$AC$84</f>
        <v>22314602.759999998</v>
      </c>
      <c r="D33" s="251"/>
      <c r="E33" s="165">
        <f t="shared" si="2"/>
        <v>0</v>
      </c>
      <c r="F33" s="242"/>
      <c r="G33" s="166"/>
      <c r="H33" s="47">
        <v>50587</v>
      </c>
      <c r="I33" s="164">
        <f>+'Cantidades P3_(2032-2041)'!$AC$329</f>
        <v>22614457.200000003</v>
      </c>
      <c r="J33" s="251"/>
      <c r="K33" s="165">
        <f t="shared" si="3"/>
        <v>0</v>
      </c>
      <c r="L33" s="242"/>
    </row>
    <row r="34" spans="1:12" ht="14.5" x14ac:dyDescent="0.35">
      <c r="A34" s="163">
        <v>31</v>
      </c>
      <c r="B34" s="47">
        <v>48792</v>
      </c>
      <c r="C34" s="164">
        <f>+'Cantidades P3_(2032-2041)'!$AC$88</f>
        <v>22463034.029999994</v>
      </c>
      <c r="D34" s="251"/>
      <c r="E34" s="165">
        <f t="shared" si="2"/>
        <v>0</v>
      </c>
      <c r="F34" s="242"/>
      <c r="G34" s="166"/>
      <c r="H34" s="47">
        <v>50618</v>
      </c>
      <c r="I34" s="164">
        <f>+'Cantidades P3_(2032-2041)'!$AC$333</f>
        <v>22731543.699999999</v>
      </c>
      <c r="J34" s="251"/>
      <c r="K34" s="165">
        <f t="shared" si="3"/>
        <v>0</v>
      </c>
      <c r="L34" s="242"/>
    </row>
    <row r="35" spans="1:12" ht="14.5" x14ac:dyDescent="0.35">
      <c r="A35" s="163">
        <v>30</v>
      </c>
      <c r="B35" s="47">
        <v>48823</v>
      </c>
      <c r="C35" s="164">
        <f>+'Cantidades P3_(2032-2041)'!$AC$92</f>
        <v>21556560.620000001</v>
      </c>
      <c r="D35" s="251"/>
      <c r="E35" s="165">
        <f t="shared" si="2"/>
        <v>0</v>
      </c>
      <c r="F35" s="242"/>
      <c r="G35" s="166"/>
      <c r="H35" s="47">
        <v>50649</v>
      </c>
      <c r="I35" s="164">
        <f>+'Cantidades P3_(2032-2041)'!$AC$337</f>
        <v>21848933.399999999</v>
      </c>
      <c r="J35" s="251"/>
      <c r="K35" s="165">
        <f t="shared" si="3"/>
        <v>0</v>
      </c>
      <c r="L35" s="242"/>
    </row>
    <row r="36" spans="1:12" ht="14.5" x14ac:dyDescent="0.35">
      <c r="A36" s="163">
        <v>31</v>
      </c>
      <c r="B36" s="47">
        <v>48853</v>
      </c>
      <c r="C36" s="164">
        <f>+'Cantidades P3_(2032-2041)'!$AC$96</f>
        <v>21752953.709999997</v>
      </c>
      <c r="D36" s="251"/>
      <c r="E36" s="165">
        <f t="shared" si="2"/>
        <v>0</v>
      </c>
      <c r="F36" s="242"/>
      <c r="G36" s="166"/>
      <c r="H36" s="47">
        <v>50679</v>
      </c>
      <c r="I36" s="164">
        <f>+'Cantidades P3_(2032-2041)'!$AC$341</f>
        <v>22112723.309999999</v>
      </c>
      <c r="J36" s="251"/>
      <c r="K36" s="165">
        <f t="shared" si="3"/>
        <v>0</v>
      </c>
      <c r="L36" s="242"/>
    </row>
    <row r="37" spans="1:12" ht="14.5" x14ac:dyDescent="0.35">
      <c r="A37" s="163">
        <v>30</v>
      </c>
      <c r="B37" s="47">
        <v>48884</v>
      </c>
      <c r="C37" s="164">
        <f>+'Cantidades P3_(2032-2041)'!$AC$100</f>
        <v>20207510.220000003</v>
      </c>
      <c r="D37" s="251"/>
      <c r="E37" s="165">
        <f t="shared" si="2"/>
        <v>0</v>
      </c>
      <c r="F37" s="242"/>
      <c r="G37" s="166"/>
      <c r="H37" s="47">
        <v>50710</v>
      </c>
      <c r="I37" s="164">
        <f>+'Cantidades P3_(2032-2041)'!$AC$345</f>
        <v>20978009.400000002</v>
      </c>
      <c r="J37" s="251"/>
      <c r="K37" s="165">
        <f t="shared" si="3"/>
        <v>0</v>
      </c>
      <c r="L37" s="242"/>
    </row>
    <row r="38" spans="1:12" ht="14.5" x14ac:dyDescent="0.35">
      <c r="A38" s="163">
        <v>31</v>
      </c>
      <c r="B38" s="47">
        <v>48914</v>
      </c>
      <c r="C38" s="164">
        <f>+'Cantidades P3_(2032-2041)'!$AC$104</f>
        <v>22476422.589999996</v>
      </c>
      <c r="D38" s="252"/>
      <c r="E38" s="165">
        <f t="shared" si="2"/>
        <v>0</v>
      </c>
      <c r="F38" s="243"/>
      <c r="G38" s="166"/>
      <c r="H38" s="47">
        <v>50740</v>
      </c>
      <c r="I38" s="164">
        <f>+'Cantidades P3_(2032-2041)'!$AC$349</f>
        <v>22846474.889999997</v>
      </c>
      <c r="J38" s="252"/>
      <c r="K38" s="165">
        <f t="shared" si="3"/>
        <v>0</v>
      </c>
      <c r="L38" s="243"/>
    </row>
    <row r="39" spans="1:12" ht="15.75" customHeight="1" x14ac:dyDescent="0.35">
      <c r="A39" s="163">
        <v>31</v>
      </c>
      <c r="B39" s="47">
        <v>48945</v>
      </c>
      <c r="C39" s="164">
        <f>+'Cantidades P3_(2032-2041)'!$AC$109</f>
        <v>23965360.670000006</v>
      </c>
      <c r="D39" s="250">
        <f>+$D$15</f>
        <v>0</v>
      </c>
      <c r="E39" s="165">
        <f t="shared" ref="E39:E50" si="4">+C39*$D$39</f>
        <v>0</v>
      </c>
      <c r="F39" s="241"/>
      <c r="G39" s="166"/>
      <c r="H39" s="47">
        <v>50771</v>
      </c>
      <c r="I39" s="164">
        <f>+'Cantidades P3_(2032-2041)'!$AC$354</f>
        <v>23596054.980000004</v>
      </c>
      <c r="J39" s="250">
        <f>+$D$15</f>
        <v>0</v>
      </c>
      <c r="K39" s="165">
        <f t="shared" ref="K39:K50" si="5">+I39*$J$39</f>
        <v>0</v>
      </c>
      <c r="L39" s="241"/>
    </row>
    <row r="40" spans="1:12" ht="14.5" x14ac:dyDescent="0.35">
      <c r="A40" s="163">
        <v>28</v>
      </c>
      <c r="B40" s="47">
        <v>48976</v>
      </c>
      <c r="C40" s="164">
        <f>+'Cantidades P3_(2032-2041)'!$AC$113</f>
        <v>23025746.48</v>
      </c>
      <c r="D40" s="251"/>
      <c r="E40" s="165">
        <f t="shared" si="4"/>
        <v>0</v>
      </c>
      <c r="F40" s="242"/>
      <c r="G40" s="166"/>
      <c r="H40" s="47">
        <v>50802</v>
      </c>
      <c r="I40" s="164">
        <f>+'Cantidades P3_(2032-2041)'!$AC$358</f>
        <v>22779150.560000002</v>
      </c>
      <c r="J40" s="251"/>
      <c r="K40" s="165">
        <f t="shared" si="5"/>
        <v>0</v>
      </c>
      <c r="L40" s="242"/>
    </row>
    <row r="41" spans="1:12" ht="14.5" x14ac:dyDescent="0.35">
      <c r="A41" s="163">
        <v>31</v>
      </c>
      <c r="B41" s="47">
        <v>49004</v>
      </c>
      <c r="C41" s="164">
        <f>+'Cantidades P3_(2032-2041)'!$AC$117</f>
        <v>24061751.279999997</v>
      </c>
      <c r="D41" s="251"/>
      <c r="E41" s="165">
        <f t="shared" si="4"/>
        <v>0</v>
      </c>
      <c r="F41" s="242"/>
      <c r="G41" s="166"/>
      <c r="H41" s="47">
        <v>50830</v>
      </c>
      <c r="I41" s="164">
        <f>+'Cantidades P3_(2032-2041)'!$AC$362</f>
        <v>23687436.010000002</v>
      </c>
      <c r="J41" s="251"/>
      <c r="K41" s="165">
        <f t="shared" si="5"/>
        <v>0</v>
      </c>
      <c r="L41" s="242"/>
    </row>
    <row r="42" spans="1:12" ht="14.5" x14ac:dyDescent="0.35">
      <c r="A42" s="163">
        <v>30</v>
      </c>
      <c r="B42" s="47">
        <v>49035</v>
      </c>
      <c r="C42" s="164">
        <f>+'Cantidades P3_(2032-2041)'!$AC$121</f>
        <v>22358688.669999998</v>
      </c>
      <c r="D42" s="251"/>
      <c r="E42" s="165">
        <f t="shared" si="4"/>
        <v>0</v>
      </c>
      <c r="F42" s="242"/>
      <c r="G42" s="166"/>
      <c r="H42" s="47">
        <v>50861</v>
      </c>
      <c r="I42" s="164">
        <f>+'Cantidades P3_(2032-2041)'!$AC$366</f>
        <v>22341305.469999999</v>
      </c>
      <c r="J42" s="251"/>
      <c r="K42" s="165">
        <f t="shared" si="5"/>
        <v>0</v>
      </c>
      <c r="L42" s="242"/>
    </row>
    <row r="43" spans="1:12" ht="14.5" x14ac:dyDescent="0.35">
      <c r="A43" s="163">
        <v>31</v>
      </c>
      <c r="B43" s="47">
        <v>49065</v>
      </c>
      <c r="C43" s="164">
        <f>+'Cantidades P3_(2032-2041)'!$AC$125</f>
        <v>23005892.470000003</v>
      </c>
      <c r="D43" s="251"/>
      <c r="E43" s="165">
        <f t="shared" si="4"/>
        <v>0</v>
      </c>
      <c r="F43" s="242"/>
      <c r="G43" s="166"/>
      <c r="H43" s="47">
        <v>50891</v>
      </c>
      <c r="I43" s="164">
        <f>+'Cantidades P3_(2032-2041)'!$AC$370</f>
        <v>22925518.110000007</v>
      </c>
      <c r="J43" s="251"/>
      <c r="K43" s="165">
        <f t="shared" si="5"/>
        <v>0</v>
      </c>
      <c r="L43" s="242"/>
    </row>
    <row r="44" spans="1:12" ht="14.5" x14ac:dyDescent="0.35">
      <c r="A44" s="163">
        <v>30</v>
      </c>
      <c r="B44" s="47">
        <v>49096</v>
      </c>
      <c r="C44" s="164">
        <f>+'Cantidades P3_(2032-2041)'!$AC$129</f>
        <v>22210492.299999993</v>
      </c>
      <c r="D44" s="251"/>
      <c r="E44" s="165">
        <f t="shared" si="4"/>
        <v>0</v>
      </c>
      <c r="F44" s="242"/>
      <c r="G44" s="166"/>
      <c r="H44" s="47">
        <v>50922</v>
      </c>
      <c r="I44" s="164">
        <f>+'Cantidades P3_(2032-2041)'!$AC$374</f>
        <v>22070885.359999999</v>
      </c>
      <c r="J44" s="251"/>
      <c r="K44" s="165">
        <f t="shared" si="5"/>
        <v>0</v>
      </c>
      <c r="L44" s="242"/>
    </row>
    <row r="45" spans="1:12" ht="14.5" x14ac:dyDescent="0.35">
      <c r="A45" s="163">
        <v>31</v>
      </c>
      <c r="B45" s="47">
        <v>49126</v>
      </c>
      <c r="C45" s="164">
        <f>+'Cantidades P3_(2032-2041)'!$AC$133</f>
        <v>22628981.010000002</v>
      </c>
      <c r="D45" s="251"/>
      <c r="E45" s="165">
        <f t="shared" si="4"/>
        <v>0</v>
      </c>
      <c r="F45" s="242"/>
      <c r="G45" s="166"/>
      <c r="H45" s="47">
        <v>50952</v>
      </c>
      <c r="I45" s="164">
        <f>+'Cantidades P3_(2032-2041)'!$AC$378</f>
        <v>22543701.899999995</v>
      </c>
      <c r="J45" s="251"/>
      <c r="K45" s="165">
        <f t="shared" si="5"/>
        <v>0</v>
      </c>
      <c r="L45" s="242"/>
    </row>
    <row r="46" spans="1:12" ht="14.5" x14ac:dyDescent="0.35">
      <c r="A46" s="163">
        <v>31</v>
      </c>
      <c r="B46" s="47">
        <v>49157</v>
      </c>
      <c r="C46" s="164">
        <f>+'Cantidades P3_(2032-2041)'!$AC$137</f>
        <v>22768050.270000003</v>
      </c>
      <c r="D46" s="251"/>
      <c r="E46" s="165">
        <f t="shared" si="4"/>
        <v>0</v>
      </c>
      <c r="F46" s="242"/>
      <c r="G46" s="166"/>
      <c r="H46" s="47">
        <v>50983</v>
      </c>
      <c r="I46" s="164">
        <f>+'Cantidades P3_(2032-2041)'!$AC$382</f>
        <v>22658393.620000001</v>
      </c>
      <c r="J46" s="251"/>
      <c r="K46" s="165">
        <f t="shared" si="5"/>
        <v>0</v>
      </c>
      <c r="L46" s="242"/>
    </row>
    <row r="47" spans="1:12" ht="14.5" x14ac:dyDescent="0.35">
      <c r="A47" s="163">
        <v>30</v>
      </c>
      <c r="B47" s="47">
        <v>49188</v>
      </c>
      <c r="C47" s="164">
        <f>+'Cantidades P3_(2032-2041)'!$AC$141</f>
        <v>21855957.079999998</v>
      </c>
      <c r="D47" s="251"/>
      <c r="E47" s="165">
        <f t="shared" si="4"/>
        <v>0</v>
      </c>
      <c r="F47" s="242"/>
      <c r="G47" s="166"/>
      <c r="H47" s="47">
        <v>51014</v>
      </c>
      <c r="I47" s="164">
        <f>+'Cantidades P3_(2032-2041)'!$AC$386</f>
        <v>21795744.059999999</v>
      </c>
      <c r="J47" s="251"/>
      <c r="K47" s="165">
        <f t="shared" si="5"/>
        <v>0</v>
      </c>
      <c r="L47" s="242"/>
    </row>
    <row r="48" spans="1:12" ht="14.5" x14ac:dyDescent="0.35">
      <c r="A48" s="163">
        <v>31</v>
      </c>
      <c r="B48" s="47">
        <v>49218</v>
      </c>
      <c r="C48" s="164">
        <f>+'Cantidades P3_(2032-2041)'!$AC$145</f>
        <v>22088628.060000002</v>
      </c>
      <c r="D48" s="251"/>
      <c r="E48" s="165">
        <f t="shared" si="4"/>
        <v>0</v>
      </c>
      <c r="F48" s="242"/>
      <c r="G48" s="166"/>
      <c r="H48" s="47">
        <v>51044</v>
      </c>
      <c r="I48" s="164">
        <f>+'Cantidades P3_(2032-2041)'!$AC$390</f>
        <v>22053583.649999999</v>
      </c>
      <c r="J48" s="251"/>
      <c r="K48" s="165">
        <f t="shared" si="5"/>
        <v>0</v>
      </c>
      <c r="L48" s="242"/>
    </row>
    <row r="49" spans="1:13" ht="14.5" x14ac:dyDescent="0.35">
      <c r="A49" s="163">
        <v>30</v>
      </c>
      <c r="B49" s="47">
        <v>49249</v>
      </c>
      <c r="C49" s="164">
        <f>+'Cantidades P3_(2032-2041)'!$AC$149</f>
        <v>20721414.540000003</v>
      </c>
      <c r="D49" s="251"/>
      <c r="E49" s="165">
        <f t="shared" si="4"/>
        <v>0</v>
      </c>
      <c r="F49" s="242"/>
      <c r="G49" s="166"/>
      <c r="H49" s="47">
        <v>51075</v>
      </c>
      <c r="I49" s="164">
        <f>+'Cantidades P3_(2032-2041)'!$AC$394</f>
        <v>20944804.560000002</v>
      </c>
      <c r="J49" s="251"/>
      <c r="K49" s="165">
        <f t="shared" si="5"/>
        <v>0</v>
      </c>
      <c r="L49" s="242"/>
    </row>
    <row r="50" spans="1:13" ht="14.5" x14ac:dyDescent="0.35">
      <c r="A50" s="163">
        <v>31</v>
      </c>
      <c r="B50" s="47">
        <v>49279</v>
      </c>
      <c r="C50" s="164">
        <f>+'Cantidades P3_(2032-2041)'!$AC$153</f>
        <v>22856271.239999998</v>
      </c>
      <c r="D50" s="252"/>
      <c r="E50" s="165">
        <f t="shared" si="4"/>
        <v>0</v>
      </c>
      <c r="F50" s="243"/>
      <c r="G50" s="166"/>
      <c r="H50" s="47">
        <v>51105</v>
      </c>
      <c r="I50" s="164">
        <f>+'Cantidades P3_(2032-2041)'!$AC$398</f>
        <v>22771058.379999999</v>
      </c>
      <c r="J50" s="252"/>
      <c r="K50" s="165">
        <f t="shared" si="5"/>
        <v>0</v>
      </c>
      <c r="L50" s="243"/>
    </row>
    <row r="51" spans="1:13" ht="15.75" customHeight="1" x14ac:dyDescent="0.35">
      <c r="A51" s="163">
        <v>31</v>
      </c>
      <c r="B51" s="47">
        <v>49310</v>
      </c>
      <c r="C51" s="164">
        <f>+'Cantidades P3_(2032-2041)'!$AC$158</f>
        <v>24151597.699999999</v>
      </c>
      <c r="D51" s="250">
        <f>+$D$15</f>
        <v>0</v>
      </c>
      <c r="E51" s="165">
        <f t="shared" ref="E51:E62" si="6">+C51*$D$51</f>
        <v>0</v>
      </c>
      <c r="F51" s="241"/>
      <c r="G51" s="166"/>
      <c r="H51" s="47">
        <v>51136</v>
      </c>
      <c r="I51" s="164">
        <f>+'Cantidades P3_(2032-2041)'!$AC$403</f>
        <v>23829653.98</v>
      </c>
      <c r="J51" s="250">
        <f>+$D$15</f>
        <v>0</v>
      </c>
      <c r="K51" s="165">
        <f t="shared" ref="K51:K62" si="7">+I51*$J$51</f>
        <v>0</v>
      </c>
      <c r="L51" s="241"/>
    </row>
    <row r="52" spans="1:13" ht="14.5" x14ac:dyDescent="0.35">
      <c r="A52" s="163">
        <v>28</v>
      </c>
      <c r="B52" s="47">
        <v>49341</v>
      </c>
      <c r="C52" s="164">
        <f>+'Cantidades P3_(2032-2041)'!$AC$162</f>
        <v>23220467.239999995</v>
      </c>
      <c r="D52" s="251"/>
      <c r="E52" s="165">
        <f t="shared" si="6"/>
        <v>0</v>
      </c>
      <c r="F52" s="242"/>
      <c r="G52" s="166"/>
      <c r="H52" s="47">
        <v>51167</v>
      </c>
      <c r="I52" s="164">
        <f>+'Cantidades P3_(2032-2041)'!$AC$407</f>
        <v>22954839.73</v>
      </c>
      <c r="J52" s="251"/>
      <c r="K52" s="165">
        <f t="shared" si="7"/>
        <v>0</v>
      </c>
      <c r="L52" s="242"/>
      <c r="M52" s="32"/>
    </row>
    <row r="53" spans="1:13" ht="14.5" x14ac:dyDescent="0.35">
      <c r="A53" s="163">
        <v>31</v>
      </c>
      <c r="B53" s="47">
        <v>49369</v>
      </c>
      <c r="C53" s="164">
        <f>+'Cantidades P3_(2032-2041)'!$AC$166</f>
        <v>24228136.060000002</v>
      </c>
      <c r="D53" s="251"/>
      <c r="E53" s="165">
        <f t="shared" si="6"/>
        <v>0</v>
      </c>
      <c r="F53" s="242"/>
      <c r="G53" s="166"/>
      <c r="H53" s="47">
        <v>51196</v>
      </c>
      <c r="I53" s="164">
        <f>+'Cantidades P3_(2032-2041)'!$AC$411</f>
        <v>23919617.969999999</v>
      </c>
      <c r="J53" s="251"/>
      <c r="K53" s="165">
        <f t="shared" si="7"/>
        <v>0</v>
      </c>
      <c r="L53" s="242"/>
      <c r="M53" s="32"/>
    </row>
    <row r="54" spans="1:13" ht="14.5" x14ac:dyDescent="0.35">
      <c r="A54" s="163">
        <v>30</v>
      </c>
      <c r="B54" s="47">
        <v>49400</v>
      </c>
      <c r="C54" s="164">
        <f>+'Cantidades P3_(2032-2041)'!$AC$170</f>
        <v>22544106.289999995</v>
      </c>
      <c r="D54" s="251"/>
      <c r="E54" s="165">
        <f t="shared" si="6"/>
        <v>0</v>
      </c>
      <c r="F54" s="242"/>
      <c r="G54" s="166"/>
      <c r="H54" s="47">
        <v>51227</v>
      </c>
      <c r="I54" s="164">
        <f>+'Cantidades P3_(2032-2041)'!$AC$415</f>
        <v>22539141.190000001</v>
      </c>
      <c r="J54" s="251"/>
      <c r="K54" s="165">
        <f t="shared" si="7"/>
        <v>0</v>
      </c>
      <c r="L54" s="242"/>
      <c r="M54" s="32"/>
    </row>
    <row r="55" spans="1:13" ht="14.5" x14ac:dyDescent="0.35">
      <c r="A55" s="163">
        <v>31</v>
      </c>
      <c r="B55" s="47">
        <v>49430</v>
      </c>
      <c r="C55" s="164">
        <f>+'Cantidades P3_(2032-2041)'!$AC$174</f>
        <v>23167949.370000005</v>
      </c>
      <c r="D55" s="251"/>
      <c r="E55" s="165">
        <f t="shared" si="6"/>
        <v>0</v>
      </c>
      <c r="F55" s="242"/>
      <c r="G55" s="166"/>
      <c r="H55" s="47">
        <v>51257</v>
      </c>
      <c r="I55" s="164">
        <f>+'Cantidades P3_(2032-2041)'!$AC$419</f>
        <v>23165123.899999999</v>
      </c>
      <c r="J55" s="251"/>
      <c r="K55" s="165">
        <f t="shared" si="7"/>
        <v>0</v>
      </c>
      <c r="L55" s="242"/>
      <c r="M55" s="32"/>
    </row>
    <row r="56" spans="1:13" ht="14.5" x14ac:dyDescent="0.35">
      <c r="A56" s="163">
        <v>30</v>
      </c>
      <c r="B56" s="47">
        <v>49461</v>
      </c>
      <c r="C56" s="164">
        <f>+'Cantidades P3_(2032-2041)'!$AC$178</f>
        <v>22376236.950000003</v>
      </c>
      <c r="D56" s="251"/>
      <c r="E56" s="165">
        <f t="shared" si="6"/>
        <v>0</v>
      </c>
      <c r="F56" s="242"/>
      <c r="G56" s="166"/>
      <c r="H56" s="47">
        <v>51288</v>
      </c>
      <c r="I56" s="164">
        <f>+'Cantidades P3_(2032-2041)'!$AC$423</f>
        <v>22293954.970000006</v>
      </c>
      <c r="J56" s="251"/>
      <c r="K56" s="165">
        <f t="shared" si="7"/>
        <v>0</v>
      </c>
      <c r="L56" s="242"/>
      <c r="M56" s="32"/>
    </row>
    <row r="57" spans="1:13" ht="14.5" x14ac:dyDescent="0.35">
      <c r="A57" s="163">
        <v>31</v>
      </c>
      <c r="B57" s="47">
        <v>49491</v>
      </c>
      <c r="C57" s="164">
        <f>+'Cantidades P3_(2032-2041)'!$AC$182</f>
        <v>22779077.990000006</v>
      </c>
      <c r="D57" s="251"/>
      <c r="E57" s="165">
        <f t="shared" si="6"/>
        <v>0</v>
      </c>
      <c r="F57" s="242"/>
      <c r="G57" s="166"/>
      <c r="H57" s="47">
        <v>51318</v>
      </c>
      <c r="I57" s="164">
        <f>+'Cantidades P3_(2032-2041)'!$AC$427</f>
        <v>22735065.329999994</v>
      </c>
      <c r="J57" s="251"/>
      <c r="K57" s="165">
        <f t="shared" si="7"/>
        <v>0</v>
      </c>
      <c r="L57" s="242"/>
      <c r="M57" s="32"/>
    </row>
    <row r="58" spans="1:13" ht="14.5" x14ac:dyDescent="0.35">
      <c r="A58" s="163">
        <v>31</v>
      </c>
      <c r="B58" s="47">
        <v>49522</v>
      </c>
      <c r="C58" s="164">
        <f>+'Cantidades P3_(2032-2041)'!$AC$186</f>
        <v>22907717.289999992</v>
      </c>
      <c r="D58" s="251"/>
      <c r="E58" s="165">
        <f t="shared" si="6"/>
        <v>0</v>
      </c>
      <c r="F58" s="242"/>
      <c r="G58" s="166"/>
      <c r="H58" s="47">
        <v>51349</v>
      </c>
      <c r="I58" s="164">
        <f>+'Cantidades P3_(2032-2041)'!$AC$431</f>
        <v>22807847.879999995</v>
      </c>
      <c r="J58" s="251"/>
      <c r="K58" s="165">
        <f t="shared" si="7"/>
        <v>0</v>
      </c>
      <c r="L58" s="242"/>
      <c r="M58" s="32"/>
    </row>
    <row r="59" spans="1:13" ht="14.5" x14ac:dyDescent="0.35">
      <c r="A59" s="163">
        <v>30</v>
      </c>
      <c r="B59" s="47">
        <v>49553</v>
      </c>
      <c r="C59" s="164">
        <f>+'Cantidades P3_(2032-2041)'!$AC$190</f>
        <v>21996339.099999994</v>
      </c>
      <c r="D59" s="251"/>
      <c r="E59" s="165">
        <f t="shared" si="6"/>
        <v>0</v>
      </c>
      <c r="F59" s="242"/>
      <c r="G59" s="166"/>
      <c r="H59" s="47">
        <v>51380</v>
      </c>
      <c r="I59" s="164">
        <f>+'Cantidades P3_(2032-2041)'!$AC$435</f>
        <v>21963926.950000003</v>
      </c>
      <c r="J59" s="251"/>
      <c r="K59" s="165">
        <f t="shared" si="7"/>
        <v>0</v>
      </c>
      <c r="L59" s="242"/>
      <c r="M59" s="32"/>
    </row>
    <row r="60" spans="1:13" ht="14.5" x14ac:dyDescent="0.35">
      <c r="A60" s="163">
        <v>31</v>
      </c>
      <c r="B60" s="47">
        <v>49218</v>
      </c>
      <c r="C60" s="164">
        <f>+'Cantidades P3_(2032-2041)'!$AC$194</f>
        <v>22217077.030000005</v>
      </c>
      <c r="D60" s="251"/>
      <c r="E60" s="165">
        <f t="shared" si="6"/>
        <v>0</v>
      </c>
      <c r="F60" s="242"/>
      <c r="G60" s="166"/>
      <c r="H60" s="47">
        <v>51410</v>
      </c>
      <c r="I60" s="164">
        <f>+'Cantidades P3_(2032-2041)'!$AC$439</f>
        <v>22220390.02</v>
      </c>
      <c r="J60" s="251"/>
      <c r="K60" s="165">
        <f t="shared" si="7"/>
        <v>0</v>
      </c>
      <c r="L60" s="242"/>
      <c r="M60" s="32"/>
    </row>
    <row r="61" spans="1:13" ht="14.5" x14ac:dyDescent="0.35">
      <c r="A61" s="163">
        <v>30</v>
      </c>
      <c r="B61" s="47">
        <v>49249</v>
      </c>
      <c r="C61" s="164">
        <f>+'Cantidades P3_(2032-2041)'!$AC$198</f>
        <v>20858892.879999999</v>
      </c>
      <c r="D61" s="251"/>
      <c r="E61" s="165">
        <f t="shared" si="6"/>
        <v>0</v>
      </c>
      <c r="F61" s="242"/>
      <c r="G61" s="166"/>
      <c r="H61" s="47">
        <v>51441</v>
      </c>
      <c r="I61" s="164">
        <f>+'Cantidades P3_(2032-2041)'!$AC$443</f>
        <v>21134931.079999994</v>
      </c>
      <c r="J61" s="251"/>
      <c r="K61" s="165">
        <f t="shared" si="7"/>
        <v>0</v>
      </c>
      <c r="L61" s="242"/>
      <c r="M61" s="32"/>
    </row>
    <row r="62" spans="1:13" ht="14.5" x14ac:dyDescent="0.35">
      <c r="A62" s="163">
        <v>31</v>
      </c>
      <c r="B62" s="47">
        <v>49279</v>
      </c>
      <c r="C62" s="164">
        <f>+'Cantidades P3_(2032-2041)'!$AC$202</f>
        <v>22958679.940000001</v>
      </c>
      <c r="D62" s="252"/>
      <c r="E62" s="165">
        <f t="shared" si="6"/>
        <v>0</v>
      </c>
      <c r="F62" s="243"/>
      <c r="G62" s="166"/>
      <c r="H62" s="47">
        <v>51471</v>
      </c>
      <c r="I62" s="164">
        <f>+'Cantidades P3_(2032-2041)'!$AC$447</f>
        <v>22886806.18</v>
      </c>
      <c r="J62" s="252"/>
      <c r="K62" s="165">
        <f t="shared" si="7"/>
        <v>0</v>
      </c>
      <c r="L62" s="243"/>
      <c r="M62" s="32"/>
    </row>
    <row r="63" spans="1:13" ht="15.75" customHeight="1" x14ac:dyDescent="0.35">
      <c r="A63" s="163"/>
      <c r="B63" s="47">
        <v>49675</v>
      </c>
      <c r="C63" s="164">
        <f>+'Cantidades P3_(2032-2041)'!$AC$207</f>
        <v>23899060.079999998</v>
      </c>
      <c r="D63" s="250">
        <f>+$D$15</f>
        <v>0</v>
      </c>
      <c r="E63" s="165">
        <f t="shared" ref="E63:E74" si="8">+C63*$D$63</f>
        <v>0</v>
      </c>
      <c r="F63" s="241"/>
      <c r="G63" s="166"/>
      <c r="H63" s="47">
        <v>51502</v>
      </c>
      <c r="I63" s="164">
        <f>+'Cantidades P3_(2032-2041)'!$AC$452</f>
        <v>23640849.510000002</v>
      </c>
      <c r="J63" s="250">
        <f>+$D$15</f>
        <v>0</v>
      </c>
      <c r="K63" s="165">
        <f t="shared" ref="K63:K74" si="9">+I63*$J$63</f>
        <v>0</v>
      </c>
      <c r="L63" s="241"/>
      <c r="M63" s="32"/>
    </row>
    <row r="64" spans="1:13" ht="14.5" x14ac:dyDescent="0.35">
      <c r="A64" s="163"/>
      <c r="B64" s="47">
        <v>49706</v>
      </c>
      <c r="C64" s="164">
        <f>+'Cantidades P3_(2032-2041)'!$AC$211</f>
        <v>22875343.400000002</v>
      </c>
      <c r="D64" s="251"/>
      <c r="E64" s="165">
        <f t="shared" si="8"/>
        <v>0</v>
      </c>
      <c r="F64" s="242"/>
      <c r="G64" s="166"/>
      <c r="H64" s="47">
        <v>51533</v>
      </c>
      <c r="I64" s="164">
        <f>+'Cantidades P3_(2032-2041)'!$AC$456</f>
        <v>22774563.879999999</v>
      </c>
      <c r="J64" s="251"/>
      <c r="K64" s="165">
        <f t="shared" si="9"/>
        <v>0</v>
      </c>
      <c r="L64" s="242"/>
      <c r="M64" s="32"/>
    </row>
    <row r="65" spans="1:14" ht="14.5" x14ac:dyDescent="0.35">
      <c r="A65" s="163"/>
      <c r="B65" s="47">
        <v>49735</v>
      </c>
      <c r="C65" s="164">
        <f>+'Cantidades P3_(2032-2041)'!$AC$215</f>
        <v>23948056.16</v>
      </c>
      <c r="D65" s="251"/>
      <c r="E65" s="165">
        <f t="shared" si="8"/>
        <v>0</v>
      </c>
      <c r="F65" s="242"/>
      <c r="G65" s="166"/>
      <c r="H65" s="47">
        <v>51561</v>
      </c>
      <c r="I65" s="164">
        <f>+'Cantidades P3_(2032-2041)'!$AC$460</f>
        <v>23736022.339999996</v>
      </c>
      <c r="J65" s="251"/>
      <c r="K65" s="165">
        <f t="shared" si="9"/>
        <v>0</v>
      </c>
      <c r="L65" s="242"/>
      <c r="M65" s="32"/>
    </row>
    <row r="66" spans="1:14" ht="14.5" x14ac:dyDescent="0.35">
      <c r="A66" s="163"/>
      <c r="B66" s="47">
        <v>49766</v>
      </c>
      <c r="C66" s="164">
        <f>+'Cantidades P3_(2032-2041)'!$AC$219</f>
        <v>22338170.740000006</v>
      </c>
      <c r="D66" s="251"/>
      <c r="E66" s="165">
        <f t="shared" si="8"/>
        <v>0</v>
      </c>
      <c r="F66" s="242"/>
      <c r="G66" s="166"/>
      <c r="H66" s="47">
        <v>51592</v>
      </c>
      <c r="I66" s="164">
        <f>+'Cantidades P3_(2032-2041)'!$AC$464</f>
        <v>22425416.219999999</v>
      </c>
      <c r="J66" s="251"/>
      <c r="K66" s="165">
        <f t="shared" si="9"/>
        <v>0</v>
      </c>
      <c r="L66" s="242"/>
      <c r="M66" s="32"/>
    </row>
    <row r="67" spans="1:14" ht="14.5" x14ac:dyDescent="0.35">
      <c r="A67" s="163"/>
      <c r="B67" s="47">
        <v>49796</v>
      </c>
      <c r="C67" s="164">
        <f>+'Cantidades P3_(2032-2041)'!$AC$223</f>
        <v>22964146.219999999</v>
      </c>
      <c r="D67" s="251"/>
      <c r="E67" s="165">
        <f t="shared" si="8"/>
        <v>0</v>
      </c>
      <c r="F67" s="242"/>
      <c r="G67" s="166"/>
      <c r="H67" s="47">
        <v>51622</v>
      </c>
      <c r="I67" s="164">
        <f>+'Cantidades P3_(2032-2041)'!$AC$468</f>
        <v>22985180.780000001</v>
      </c>
      <c r="J67" s="251"/>
      <c r="K67" s="165">
        <f t="shared" si="9"/>
        <v>0</v>
      </c>
      <c r="L67" s="242"/>
      <c r="M67" s="32"/>
    </row>
    <row r="68" spans="1:14" ht="14.5" x14ac:dyDescent="0.35">
      <c r="A68" s="163"/>
      <c r="B68" s="47">
        <v>49827</v>
      </c>
      <c r="C68" s="164">
        <f>+'Cantidades P3_(2032-2041)'!$AC$227</f>
        <v>22220516.680000003</v>
      </c>
      <c r="D68" s="251"/>
      <c r="E68" s="165">
        <f t="shared" si="8"/>
        <v>0</v>
      </c>
      <c r="F68" s="242"/>
      <c r="G68" s="166"/>
      <c r="H68" s="47">
        <v>51653</v>
      </c>
      <c r="I68" s="164">
        <f>+'Cantidades P3_(2032-2041)'!$AC$472</f>
        <v>22137969.720000003</v>
      </c>
      <c r="J68" s="251"/>
      <c r="K68" s="165">
        <f t="shared" si="9"/>
        <v>0</v>
      </c>
      <c r="L68" s="242"/>
      <c r="M68" s="32"/>
    </row>
    <row r="69" spans="1:14" ht="14.5" x14ac:dyDescent="0.35">
      <c r="A69" s="163"/>
      <c r="B69" s="47">
        <v>49857</v>
      </c>
      <c r="C69" s="164">
        <f>+'Cantidades P3_(2032-2041)'!$AC$231</f>
        <v>22605395.810000002</v>
      </c>
      <c r="D69" s="251"/>
      <c r="E69" s="165">
        <f t="shared" si="8"/>
        <v>0</v>
      </c>
      <c r="F69" s="242"/>
      <c r="G69" s="166"/>
      <c r="H69" s="47">
        <v>51683</v>
      </c>
      <c r="I69" s="164">
        <f>+'Cantidades P3_(2032-2041)'!$AC$476</f>
        <v>22683649.359999999</v>
      </c>
      <c r="J69" s="251"/>
      <c r="K69" s="165">
        <f t="shared" si="9"/>
        <v>0</v>
      </c>
      <c r="L69" s="242"/>
      <c r="M69" s="32"/>
    </row>
    <row r="70" spans="1:14" ht="14.5" x14ac:dyDescent="0.35">
      <c r="A70" s="163"/>
      <c r="B70" s="47">
        <v>49888</v>
      </c>
      <c r="C70" s="164">
        <f>+'Cantidades P3_(2032-2041)'!$AC$235</f>
        <v>22719412.210000001</v>
      </c>
      <c r="D70" s="251"/>
      <c r="E70" s="165">
        <f t="shared" si="8"/>
        <v>0</v>
      </c>
      <c r="F70" s="242"/>
      <c r="G70" s="166"/>
      <c r="H70" s="47">
        <v>51714</v>
      </c>
      <c r="I70" s="164">
        <f>+'Cantidades P3_(2032-2041)'!$AC$480</f>
        <v>22741080.819999997</v>
      </c>
      <c r="J70" s="251"/>
      <c r="K70" s="165">
        <f t="shared" si="9"/>
        <v>0</v>
      </c>
      <c r="L70" s="242"/>
      <c r="M70" s="32"/>
    </row>
    <row r="71" spans="1:14" ht="14.5" x14ac:dyDescent="0.35">
      <c r="A71" s="163"/>
      <c r="B71" s="47">
        <v>49919</v>
      </c>
      <c r="C71" s="164">
        <f>+'Cantidades P3_(2032-2041)'!$AC$239</f>
        <v>21837923.240000002</v>
      </c>
      <c r="D71" s="251"/>
      <c r="E71" s="165">
        <f t="shared" si="8"/>
        <v>0</v>
      </c>
      <c r="F71" s="242"/>
      <c r="G71" s="166"/>
      <c r="H71" s="47">
        <v>51745</v>
      </c>
      <c r="I71" s="164">
        <f>+'Cantidades P3_(2032-2041)'!$AC$484</f>
        <v>21926953.169999994</v>
      </c>
      <c r="J71" s="251"/>
      <c r="K71" s="165">
        <f t="shared" si="9"/>
        <v>0</v>
      </c>
      <c r="L71" s="242"/>
      <c r="M71" s="32"/>
    </row>
    <row r="72" spans="1:14" ht="14.5" x14ac:dyDescent="0.35">
      <c r="A72" s="163"/>
      <c r="B72" s="47">
        <v>49949</v>
      </c>
      <c r="C72" s="164">
        <f>+'Cantidades P3_(2032-2041)'!$AC$243</f>
        <v>22093318.440000001</v>
      </c>
      <c r="D72" s="251"/>
      <c r="E72" s="165">
        <f t="shared" si="8"/>
        <v>0</v>
      </c>
      <c r="F72" s="242"/>
      <c r="G72" s="166"/>
      <c r="H72" s="47">
        <v>51775</v>
      </c>
      <c r="I72" s="164">
        <f>+'Cantidades P3_(2032-2041)'!$AC$488</f>
        <v>22196881.360000003</v>
      </c>
      <c r="J72" s="251"/>
      <c r="K72" s="165">
        <f t="shared" si="9"/>
        <v>0</v>
      </c>
      <c r="L72" s="242"/>
      <c r="M72" s="32"/>
    </row>
    <row r="73" spans="1:14" ht="14.5" x14ac:dyDescent="0.35">
      <c r="A73" s="163"/>
      <c r="B73" s="47">
        <v>49980</v>
      </c>
      <c r="C73" s="164">
        <f>+'Cantidades P3_(2032-2041)'!$AC$247</f>
        <v>20767525.27</v>
      </c>
      <c r="D73" s="251"/>
      <c r="E73" s="165">
        <f t="shared" si="8"/>
        <v>0</v>
      </c>
      <c r="F73" s="242"/>
      <c r="G73" s="166"/>
      <c r="H73" s="47">
        <v>51806</v>
      </c>
      <c r="I73" s="164">
        <f>+'Cantidades P3_(2032-2041)'!$AC$492</f>
        <v>21151656.289999995</v>
      </c>
      <c r="J73" s="251"/>
      <c r="K73" s="165">
        <f t="shared" si="9"/>
        <v>0</v>
      </c>
      <c r="L73" s="242"/>
      <c r="M73" s="32"/>
    </row>
    <row r="74" spans="1:14" ht="14.5" x14ac:dyDescent="0.35">
      <c r="A74" s="163"/>
      <c r="B74" s="47">
        <v>50010</v>
      </c>
      <c r="C74" s="164">
        <f>+'Cantidades P3_(2032-2041)'!$AC$251</f>
        <v>22777871.189999998</v>
      </c>
      <c r="D74" s="252"/>
      <c r="E74" s="165">
        <f t="shared" si="8"/>
        <v>0</v>
      </c>
      <c r="F74" s="243"/>
      <c r="G74" s="166"/>
      <c r="H74" s="47">
        <v>51836</v>
      </c>
      <c r="I74" s="164">
        <f>+'Cantidades P3_(2032-2041)'!$AC$496</f>
        <v>22876311.260000002</v>
      </c>
      <c r="J74" s="252"/>
      <c r="K74" s="165">
        <f t="shared" si="9"/>
        <v>0</v>
      </c>
      <c r="L74" s="243"/>
      <c r="M74" s="32"/>
    </row>
    <row r="75" spans="1:14" ht="15.75" customHeight="1" x14ac:dyDescent="0.4">
      <c r="A75" s="163"/>
      <c r="G75" s="166"/>
      <c r="H75" s="167" t="s">
        <v>50</v>
      </c>
      <c r="I75" s="26">
        <f>SUM(C15:C74)+SUM(I15:I74)</f>
        <v>2725669072.5700002</v>
      </c>
      <c r="J75" s="168">
        <f>IFERROR(AVERAGE(D15:D38,D27:D62),"")</f>
        <v>0</v>
      </c>
      <c r="K75" s="26">
        <f>SUM(E15:E74,K15:K74)</f>
        <v>0</v>
      </c>
      <c r="L75" s="195" t="e">
        <f>(SUM(E15:E26)*F15+SUM(E27:E38)*F27+SUM(E39:E50)*F39+SUM(E51:E62)*F51+SUM(E63:E74)*F63+SUM(K15:K26)*L15+SUM(K27:K38)*L27+SUM(K39:K50)*L39+SUM(K51:K62)*L51+SUM(K63:K74)*L63)/K75</f>
        <v>#DIV/0!</v>
      </c>
    </row>
    <row r="76" spans="1:14" ht="14" x14ac:dyDescent="0.3">
      <c r="B76" s="27"/>
      <c r="C76" s="28"/>
      <c r="D76" s="29"/>
      <c r="E76" s="30"/>
      <c r="F76" s="30"/>
      <c r="H76" s="27"/>
      <c r="I76" s="136"/>
      <c r="J76" s="29"/>
      <c r="K76" s="30"/>
      <c r="L76" s="30"/>
      <c r="M76" s="31"/>
    </row>
    <row r="77" spans="1:14" ht="17.5" customHeight="1" x14ac:dyDescent="0.3">
      <c r="B77" s="41" t="s">
        <v>47</v>
      </c>
      <c r="C77" s="32"/>
      <c r="D77" s="33"/>
      <c r="E77" s="32"/>
      <c r="F77" s="32"/>
      <c r="H77" s="41"/>
      <c r="I77" s="32"/>
      <c r="J77" s="33"/>
      <c r="K77" s="32"/>
      <c r="L77" s="169"/>
      <c r="M77" s="32"/>
      <c r="N77" s="32"/>
    </row>
    <row r="78" spans="1:14" ht="12.75" customHeight="1" x14ac:dyDescent="0.25">
      <c r="B78" s="254" t="s">
        <v>147</v>
      </c>
      <c r="C78" s="254"/>
      <c r="D78" s="254"/>
      <c r="E78" s="254"/>
      <c r="F78" s="254"/>
      <c r="G78" s="254"/>
      <c r="H78" s="254"/>
      <c r="I78" s="254"/>
      <c r="J78" s="254"/>
      <c r="K78" s="254"/>
      <c r="L78" s="254"/>
      <c r="M78" s="170"/>
      <c r="N78" s="32"/>
    </row>
    <row r="79" spans="1:14" x14ac:dyDescent="0.25">
      <c r="B79" s="254"/>
      <c r="C79" s="254"/>
      <c r="D79" s="254"/>
      <c r="E79" s="254"/>
      <c r="F79" s="254"/>
      <c r="G79" s="254"/>
      <c r="H79" s="254"/>
      <c r="I79" s="254"/>
      <c r="J79" s="254"/>
      <c r="K79" s="254"/>
      <c r="L79" s="254"/>
      <c r="M79" s="170"/>
      <c r="N79" s="32"/>
    </row>
    <row r="80" spans="1:14" ht="12.75" customHeight="1" x14ac:dyDescent="0.35">
      <c r="B80" s="253" t="s">
        <v>42</v>
      </c>
      <c r="C80" s="253"/>
      <c r="D80" s="253"/>
      <c r="E80" s="253"/>
      <c r="F80" s="253"/>
      <c r="G80" s="253"/>
      <c r="H80" s="253"/>
      <c r="I80" s="253"/>
      <c r="J80" s="253"/>
      <c r="K80" s="253"/>
      <c r="L80" s="253"/>
      <c r="M80" s="171"/>
      <c r="N80" s="32"/>
    </row>
    <row r="81" spans="2:14" ht="14.5" customHeight="1" x14ac:dyDescent="0.35">
      <c r="B81" s="254" t="s">
        <v>137</v>
      </c>
      <c r="C81" s="254"/>
      <c r="D81" s="254"/>
      <c r="E81" s="254"/>
      <c r="F81" s="254"/>
      <c r="G81" s="254"/>
      <c r="H81" s="254"/>
      <c r="I81" s="254"/>
      <c r="J81" s="254"/>
      <c r="K81" s="254"/>
      <c r="L81" s="254"/>
      <c r="M81" s="171"/>
      <c r="N81" s="32"/>
    </row>
    <row r="82" spans="2:14" ht="12.75" customHeight="1" x14ac:dyDescent="0.35">
      <c r="B82" s="264" t="s">
        <v>125</v>
      </c>
      <c r="C82" s="264"/>
      <c r="D82" s="264"/>
      <c r="E82" s="264"/>
      <c r="F82" s="264"/>
      <c r="G82" s="264"/>
      <c r="H82" s="264"/>
      <c r="I82" s="264"/>
      <c r="J82" s="264"/>
      <c r="K82" s="264"/>
      <c r="L82" s="264"/>
      <c r="M82" s="171"/>
    </row>
    <row r="83" spans="2:14" s="35" customFormat="1" ht="13.5" customHeight="1" x14ac:dyDescent="0.35">
      <c r="B83" s="265" t="s">
        <v>126</v>
      </c>
      <c r="C83" s="265"/>
      <c r="D83" s="265"/>
      <c r="E83" s="265"/>
      <c r="F83" s="265"/>
      <c r="G83" s="265"/>
      <c r="H83" s="265"/>
      <c r="I83" s="265"/>
      <c r="J83" s="265"/>
      <c r="K83" s="265"/>
      <c r="L83" s="265"/>
      <c r="M83" s="171"/>
    </row>
    <row r="84" spans="2:14" s="35" customFormat="1" ht="17.5" customHeight="1" x14ac:dyDescent="0.25">
      <c r="B84" s="232" t="s">
        <v>127</v>
      </c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172"/>
    </row>
    <row r="85" spans="2:14" s="35" customFormat="1" ht="14" customHeight="1" x14ac:dyDescent="0.25">
      <c r="B85" s="232" t="s">
        <v>54</v>
      </c>
      <c r="C85" s="232"/>
      <c r="D85" s="232"/>
      <c r="E85" s="232"/>
      <c r="F85" s="232"/>
      <c r="G85" s="232"/>
      <c r="H85" s="232"/>
      <c r="I85" s="232"/>
      <c r="J85" s="232"/>
      <c r="K85" s="232"/>
      <c r="L85" s="232"/>
      <c r="M85" s="152"/>
    </row>
    <row r="86" spans="2:14" s="35" customFormat="1" ht="14" customHeight="1" x14ac:dyDescent="0.25">
      <c r="B86" s="232" t="s">
        <v>139</v>
      </c>
      <c r="C86" s="232"/>
      <c r="D86" s="232"/>
      <c r="E86" s="232"/>
      <c r="F86" s="232"/>
      <c r="G86" s="232"/>
      <c r="H86" s="232"/>
      <c r="I86" s="232"/>
      <c r="J86" s="232"/>
      <c r="K86" s="232"/>
      <c r="L86" s="232"/>
      <c r="M86" s="152"/>
    </row>
    <row r="87" spans="2:14" s="35" customFormat="1" ht="14" customHeight="1" thickBot="1" x14ac:dyDescent="0.3">
      <c r="B87" s="42" t="s">
        <v>103</v>
      </c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2:14" s="35" customFormat="1" ht="13.5" customHeight="1" x14ac:dyDescent="0.25">
      <c r="B88" s="255" t="s">
        <v>128</v>
      </c>
      <c r="C88" s="256"/>
      <c r="D88" s="256"/>
      <c r="E88" s="256"/>
      <c r="F88" s="256"/>
      <c r="G88" s="256"/>
      <c r="H88" s="256"/>
      <c r="I88" s="256"/>
      <c r="J88" s="256"/>
      <c r="K88" s="256"/>
      <c r="L88" s="257"/>
      <c r="M88" s="43"/>
    </row>
    <row r="89" spans="2:14" s="35" customFormat="1" ht="13.5" customHeight="1" x14ac:dyDescent="0.25">
      <c r="B89" s="258"/>
      <c r="C89" s="259"/>
      <c r="D89" s="259"/>
      <c r="E89" s="259"/>
      <c r="F89" s="259"/>
      <c r="G89" s="259"/>
      <c r="H89" s="259"/>
      <c r="I89" s="259"/>
      <c r="J89" s="259"/>
      <c r="K89" s="259"/>
      <c r="L89" s="260"/>
      <c r="M89" s="43"/>
    </row>
    <row r="90" spans="2:14" s="35" customFormat="1" ht="27.75" customHeight="1" thickBot="1" x14ac:dyDescent="0.3">
      <c r="B90" s="261"/>
      <c r="C90" s="262"/>
      <c r="D90" s="262"/>
      <c r="E90" s="262"/>
      <c r="F90" s="262"/>
      <c r="G90" s="262"/>
      <c r="H90" s="262"/>
      <c r="I90" s="262"/>
      <c r="J90" s="262"/>
      <c r="K90" s="262"/>
      <c r="L90" s="263"/>
      <c r="M90" s="43"/>
    </row>
    <row r="91" spans="2:14" ht="20.25" customHeight="1" x14ac:dyDescent="0.25">
      <c r="C91" s="173"/>
      <c r="D91" s="174"/>
      <c r="E91" s="173"/>
      <c r="F91" s="173"/>
      <c r="I91" s="173"/>
      <c r="J91" s="174"/>
      <c r="K91" s="173"/>
      <c r="L91" s="173"/>
      <c r="M91" s="36"/>
    </row>
    <row r="92" spans="2:14" ht="20.25" customHeight="1" x14ac:dyDescent="0.25">
      <c r="B92" s="42"/>
      <c r="C92" s="173"/>
      <c r="D92" s="174"/>
      <c r="E92" s="173"/>
      <c r="F92" s="173"/>
      <c r="H92" s="42"/>
      <c r="I92" s="173"/>
      <c r="J92" s="174"/>
      <c r="K92" s="173"/>
      <c r="L92" s="173"/>
      <c r="M92" s="36"/>
    </row>
    <row r="93" spans="2:14" ht="20.25" customHeight="1" x14ac:dyDescent="0.25">
      <c r="B93" s="232"/>
      <c r="C93" s="232"/>
      <c r="D93" s="232"/>
      <c r="E93" s="232"/>
      <c r="F93" s="232"/>
      <c r="H93" s="152"/>
      <c r="I93" s="152"/>
      <c r="J93" s="152"/>
      <c r="K93" s="152"/>
      <c r="L93" s="152"/>
      <c r="M93" s="36"/>
    </row>
    <row r="94" spans="2:14" ht="7.5" customHeight="1" x14ac:dyDescent="0.25">
      <c r="H94" s="152"/>
      <c r="I94" s="152"/>
      <c r="J94" s="152"/>
      <c r="K94" s="152"/>
      <c r="L94" s="152"/>
    </row>
    <row r="95" spans="2:14" ht="17.25" customHeight="1" x14ac:dyDescent="0.4">
      <c r="B95" s="37" t="s">
        <v>43</v>
      </c>
      <c r="C95" s="38"/>
      <c r="F95" s="39"/>
      <c r="H95" s="152"/>
      <c r="I95" s="152"/>
      <c r="J95" s="152"/>
      <c r="K95" s="152"/>
      <c r="L95" s="152"/>
    </row>
  </sheetData>
  <sheetProtection selectLockedCells="1"/>
  <mergeCells count="46">
    <mergeCell ref="B88:L90"/>
    <mergeCell ref="B93:F93"/>
    <mergeCell ref="B81:L81"/>
    <mergeCell ref="B82:L82"/>
    <mergeCell ref="B83:L83"/>
    <mergeCell ref="B84:L84"/>
    <mergeCell ref="B85:L85"/>
    <mergeCell ref="B86:L86"/>
    <mergeCell ref="B80:L80"/>
    <mergeCell ref="D51:D62"/>
    <mergeCell ref="F51:F62"/>
    <mergeCell ref="J39:J50"/>
    <mergeCell ref="L39:L50"/>
    <mergeCell ref="J51:J62"/>
    <mergeCell ref="L51:L62"/>
    <mergeCell ref="J63:J74"/>
    <mergeCell ref="L63:L74"/>
    <mergeCell ref="B78:L79"/>
    <mergeCell ref="L13:L14"/>
    <mergeCell ref="D63:D74"/>
    <mergeCell ref="F63:F74"/>
    <mergeCell ref="H13:H14"/>
    <mergeCell ref="D27:D38"/>
    <mergeCell ref="F27:F38"/>
    <mergeCell ref="J15:J26"/>
    <mergeCell ref="L15:L26"/>
    <mergeCell ref="D39:D50"/>
    <mergeCell ref="F39:F50"/>
    <mergeCell ref="J27:J38"/>
    <mergeCell ref="L27:L38"/>
    <mergeCell ref="C11:J11"/>
    <mergeCell ref="F15:F26"/>
    <mergeCell ref="D15:D26"/>
    <mergeCell ref="B3:C3"/>
    <mergeCell ref="H3:I3"/>
    <mergeCell ref="B6:K6"/>
    <mergeCell ref="C8:J8"/>
    <mergeCell ref="C10:J10"/>
    <mergeCell ref="B13:B14"/>
    <mergeCell ref="C13:C14"/>
    <mergeCell ref="D13:D14"/>
    <mergeCell ref="E13:E14"/>
    <mergeCell ref="F13:F14"/>
    <mergeCell ref="I13:I14"/>
    <mergeCell ref="J13:J14"/>
    <mergeCell ref="K13:K14"/>
  </mergeCells>
  <printOptions horizontalCentered="1" verticalCentered="1"/>
  <pageMargins left="0.75" right="0.27559055118110237" top="1" bottom="1" header="0" footer="0"/>
  <pageSetup scale="35" orientation="portrait" cellComments="asDisplayed" r:id="rId1"/>
  <headerFooter alignWithMargins="0">
    <oddHeader>&amp;R&amp;11 1 de 1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9582-2E56-46DC-8A69-8500158218E6}">
  <sheetPr>
    <tabColor rgb="FFFFC000"/>
  </sheetPr>
  <dimension ref="B2:BJ160"/>
  <sheetViews>
    <sheetView showGridLines="0" zoomScale="80" zoomScaleNormal="80" workbookViewId="0">
      <pane xSplit="4" ySplit="10" topLeftCell="F139" activePane="bottomRight" state="frozen"/>
      <selection activeCell="B27" sqref="B27"/>
      <selection pane="topRight" activeCell="B27" sqref="B27"/>
      <selection pane="bottomLeft" activeCell="B27" sqref="B27"/>
      <selection pane="bottomRight" activeCell="B110" sqref="B110:AC160"/>
    </sheetView>
  </sheetViews>
  <sheetFormatPr baseColWidth="10" defaultRowHeight="12.5" x14ac:dyDescent="0.35"/>
  <cols>
    <col min="1" max="1" width="2.54296875" style="8" customWidth="1"/>
    <col min="2" max="2" width="11.1796875" style="8" customWidth="1"/>
    <col min="3" max="3" width="10.7265625" style="8" customWidth="1"/>
    <col min="4" max="4" width="8.1796875" style="8" customWidth="1"/>
    <col min="5" max="5" width="9.7265625" style="77" customWidth="1"/>
    <col min="6" max="28" width="11" style="17" customWidth="1"/>
    <col min="29" max="29" width="17.26953125" style="133" customWidth="1"/>
    <col min="30" max="30" width="13.26953125" style="8" bestFit="1" customWidth="1"/>
    <col min="31" max="31" width="10.90625" style="8"/>
    <col min="32" max="32" width="10.90625" style="8" hidden="1" customWidth="1"/>
    <col min="33" max="54" width="8.1796875" style="8" hidden="1" customWidth="1"/>
    <col min="55" max="55" width="8.6328125" style="8" hidden="1" customWidth="1"/>
    <col min="56" max="56" width="8.1796875" style="8" hidden="1" customWidth="1"/>
    <col min="57" max="57" width="9.6328125" style="8" hidden="1" customWidth="1"/>
    <col min="58" max="58" width="14.6328125" style="8" hidden="1" customWidth="1"/>
    <col min="59" max="59" width="14.7265625" style="8" hidden="1" customWidth="1"/>
    <col min="60" max="62" width="10.90625" style="8" hidden="1" customWidth="1"/>
    <col min="63" max="63" width="11.6328125" style="8" bestFit="1" customWidth="1"/>
    <col min="64" max="255" width="10.90625" style="8"/>
    <col min="256" max="256" width="7" style="8" customWidth="1"/>
    <col min="257" max="257" width="10.7265625" style="8" customWidth="1"/>
    <col min="258" max="258" width="9.26953125" style="8" customWidth="1"/>
    <col min="259" max="282" width="7.26953125" style="8" customWidth="1"/>
    <col min="283" max="283" width="14.26953125" style="8" bestFit="1" customWidth="1"/>
    <col min="284" max="511" width="10.90625" style="8"/>
    <col min="512" max="512" width="7" style="8" customWidth="1"/>
    <col min="513" max="513" width="10.7265625" style="8" customWidth="1"/>
    <col min="514" max="514" width="9.26953125" style="8" customWidth="1"/>
    <col min="515" max="538" width="7.26953125" style="8" customWidth="1"/>
    <col min="539" max="539" width="14.26953125" style="8" bestFit="1" customWidth="1"/>
    <col min="540" max="767" width="10.90625" style="8"/>
    <col min="768" max="768" width="7" style="8" customWidth="1"/>
    <col min="769" max="769" width="10.7265625" style="8" customWidth="1"/>
    <col min="770" max="770" width="9.26953125" style="8" customWidth="1"/>
    <col min="771" max="794" width="7.26953125" style="8" customWidth="1"/>
    <col min="795" max="795" width="14.26953125" style="8" bestFit="1" customWidth="1"/>
    <col min="796" max="1023" width="10.90625" style="8"/>
    <col min="1024" max="1024" width="7" style="8" customWidth="1"/>
    <col min="1025" max="1025" width="10.7265625" style="8" customWidth="1"/>
    <col min="1026" max="1026" width="9.26953125" style="8" customWidth="1"/>
    <col min="1027" max="1050" width="7.26953125" style="8" customWidth="1"/>
    <col min="1051" max="1051" width="14.26953125" style="8" bestFit="1" customWidth="1"/>
    <col min="1052" max="1279" width="10.90625" style="8"/>
    <col min="1280" max="1280" width="7" style="8" customWidth="1"/>
    <col min="1281" max="1281" width="10.7265625" style="8" customWidth="1"/>
    <col min="1282" max="1282" width="9.26953125" style="8" customWidth="1"/>
    <col min="1283" max="1306" width="7.26953125" style="8" customWidth="1"/>
    <col min="1307" max="1307" width="14.26953125" style="8" bestFit="1" customWidth="1"/>
    <col min="1308" max="1535" width="10.90625" style="8"/>
    <col min="1536" max="1536" width="7" style="8" customWidth="1"/>
    <col min="1537" max="1537" width="10.7265625" style="8" customWidth="1"/>
    <col min="1538" max="1538" width="9.26953125" style="8" customWidth="1"/>
    <col min="1539" max="1562" width="7.26953125" style="8" customWidth="1"/>
    <col min="1563" max="1563" width="14.26953125" style="8" bestFit="1" customWidth="1"/>
    <col min="1564" max="1791" width="10.90625" style="8"/>
    <col min="1792" max="1792" width="7" style="8" customWidth="1"/>
    <col min="1793" max="1793" width="10.7265625" style="8" customWidth="1"/>
    <col min="1794" max="1794" width="9.26953125" style="8" customWidth="1"/>
    <col min="1795" max="1818" width="7.26953125" style="8" customWidth="1"/>
    <col min="1819" max="1819" width="14.26953125" style="8" bestFit="1" customWidth="1"/>
    <col min="1820" max="2047" width="10.90625" style="8"/>
    <col min="2048" max="2048" width="7" style="8" customWidth="1"/>
    <col min="2049" max="2049" width="10.7265625" style="8" customWidth="1"/>
    <col min="2050" max="2050" width="9.26953125" style="8" customWidth="1"/>
    <col min="2051" max="2074" width="7.26953125" style="8" customWidth="1"/>
    <col min="2075" max="2075" width="14.26953125" style="8" bestFit="1" customWidth="1"/>
    <col min="2076" max="2303" width="10.90625" style="8"/>
    <col min="2304" max="2304" width="7" style="8" customWidth="1"/>
    <col min="2305" max="2305" width="10.7265625" style="8" customWidth="1"/>
    <col min="2306" max="2306" width="9.26953125" style="8" customWidth="1"/>
    <col min="2307" max="2330" width="7.26953125" style="8" customWidth="1"/>
    <col min="2331" max="2331" width="14.26953125" style="8" bestFit="1" customWidth="1"/>
    <col min="2332" max="2559" width="10.90625" style="8"/>
    <col min="2560" max="2560" width="7" style="8" customWidth="1"/>
    <col min="2561" max="2561" width="10.7265625" style="8" customWidth="1"/>
    <col min="2562" max="2562" width="9.26953125" style="8" customWidth="1"/>
    <col min="2563" max="2586" width="7.26953125" style="8" customWidth="1"/>
    <col min="2587" max="2587" width="14.26953125" style="8" bestFit="1" customWidth="1"/>
    <col min="2588" max="2815" width="10.90625" style="8"/>
    <col min="2816" max="2816" width="7" style="8" customWidth="1"/>
    <col min="2817" max="2817" width="10.7265625" style="8" customWidth="1"/>
    <col min="2818" max="2818" width="9.26953125" style="8" customWidth="1"/>
    <col min="2819" max="2842" width="7.26953125" style="8" customWidth="1"/>
    <col min="2843" max="2843" width="14.26953125" style="8" bestFit="1" customWidth="1"/>
    <col min="2844" max="3071" width="10.90625" style="8"/>
    <col min="3072" max="3072" width="7" style="8" customWidth="1"/>
    <col min="3073" max="3073" width="10.7265625" style="8" customWidth="1"/>
    <col min="3074" max="3074" width="9.26953125" style="8" customWidth="1"/>
    <col min="3075" max="3098" width="7.26953125" style="8" customWidth="1"/>
    <col min="3099" max="3099" width="14.26953125" style="8" bestFit="1" customWidth="1"/>
    <col min="3100" max="3327" width="10.90625" style="8"/>
    <col min="3328" max="3328" width="7" style="8" customWidth="1"/>
    <col min="3329" max="3329" width="10.7265625" style="8" customWidth="1"/>
    <col min="3330" max="3330" width="9.26953125" style="8" customWidth="1"/>
    <col min="3331" max="3354" width="7.26953125" style="8" customWidth="1"/>
    <col min="3355" max="3355" width="14.26953125" style="8" bestFit="1" customWidth="1"/>
    <col min="3356" max="3583" width="10.90625" style="8"/>
    <col min="3584" max="3584" width="7" style="8" customWidth="1"/>
    <col min="3585" max="3585" width="10.7265625" style="8" customWidth="1"/>
    <col min="3586" max="3586" width="9.26953125" style="8" customWidth="1"/>
    <col min="3587" max="3610" width="7.26953125" style="8" customWidth="1"/>
    <col min="3611" max="3611" width="14.26953125" style="8" bestFit="1" customWidth="1"/>
    <col min="3612" max="3839" width="10.90625" style="8"/>
    <col min="3840" max="3840" width="7" style="8" customWidth="1"/>
    <col min="3841" max="3841" width="10.7265625" style="8" customWidth="1"/>
    <col min="3842" max="3842" width="9.26953125" style="8" customWidth="1"/>
    <col min="3843" max="3866" width="7.26953125" style="8" customWidth="1"/>
    <col min="3867" max="3867" width="14.26953125" style="8" bestFit="1" customWidth="1"/>
    <col min="3868" max="4095" width="10.90625" style="8"/>
    <col min="4096" max="4096" width="7" style="8" customWidth="1"/>
    <col min="4097" max="4097" width="10.7265625" style="8" customWidth="1"/>
    <col min="4098" max="4098" width="9.26953125" style="8" customWidth="1"/>
    <col min="4099" max="4122" width="7.26953125" style="8" customWidth="1"/>
    <col min="4123" max="4123" width="14.26953125" style="8" bestFit="1" customWidth="1"/>
    <col min="4124" max="4351" width="10.90625" style="8"/>
    <col min="4352" max="4352" width="7" style="8" customWidth="1"/>
    <col min="4353" max="4353" width="10.7265625" style="8" customWidth="1"/>
    <col min="4354" max="4354" width="9.26953125" style="8" customWidth="1"/>
    <col min="4355" max="4378" width="7.26953125" style="8" customWidth="1"/>
    <col min="4379" max="4379" width="14.26953125" style="8" bestFit="1" customWidth="1"/>
    <col min="4380" max="4607" width="10.90625" style="8"/>
    <col min="4608" max="4608" width="7" style="8" customWidth="1"/>
    <col min="4609" max="4609" width="10.7265625" style="8" customWidth="1"/>
    <col min="4610" max="4610" width="9.26953125" style="8" customWidth="1"/>
    <col min="4611" max="4634" width="7.26953125" style="8" customWidth="1"/>
    <col min="4635" max="4635" width="14.26953125" style="8" bestFit="1" customWidth="1"/>
    <col min="4636" max="4863" width="10.90625" style="8"/>
    <col min="4864" max="4864" width="7" style="8" customWidth="1"/>
    <col min="4865" max="4865" width="10.7265625" style="8" customWidth="1"/>
    <col min="4866" max="4866" width="9.26953125" style="8" customWidth="1"/>
    <col min="4867" max="4890" width="7.26953125" style="8" customWidth="1"/>
    <col min="4891" max="4891" width="14.26953125" style="8" bestFit="1" customWidth="1"/>
    <col min="4892" max="5119" width="10.90625" style="8"/>
    <col min="5120" max="5120" width="7" style="8" customWidth="1"/>
    <col min="5121" max="5121" width="10.7265625" style="8" customWidth="1"/>
    <col min="5122" max="5122" width="9.26953125" style="8" customWidth="1"/>
    <col min="5123" max="5146" width="7.26953125" style="8" customWidth="1"/>
    <col min="5147" max="5147" width="14.26953125" style="8" bestFit="1" customWidth="1"/>
    <col min="5148" max="5375" width="10.90625" style="8"/>
    <col min="5376" max="5376" width="7" style="8" customWidth="1"/>
    <col min="5377" max="5377" width="10.7265625" style="8" customWidth="1"/>
    <col min="5378" max="5378" width="9.26953125" style="8" customWidth="1"/>
    <col min="5379" max="5402" width="7.26953125" style="8" customWidth="1"/>
    <col min="5403" max="5403" width="14.26953125" style="8" bestFit="1" customWidth="1"/>
    <col min="5404" max="5631" width="10.90625" style="8"/>
    <col min="5632" max="5632" width="7" style="8" customWidth="1"/>
    <col min="5633" max="5633" width="10.7265625" style="8" customWidth="1"/>
    <col min="5634" max="5634" width="9.26953125" style="8" customWidth="1"/>
    <col min="5635" max="5658" width="7.26953125" style="8" customWidth="1"/>
    <col min="5659" max="5659" width="14.26953125" style="8" bestFit="1" customWidth="1"/>
    <col min="5660" max="5887" width="10.90625" style="8"/>
    <col min="5888" max="5888" width="7" style="8" customWidth="1"/>
    <col min="5889" max="5889" width="10.7265625" style="8" customWidth="1"/>
    <col min="5890" max="5890" width="9.26953125" style="8" customWidth="1"/>
    <col min="5891" max="5914" width="7.26953125" style="8" customWidth="1"/>
    <col min="5915" max="5915" width="14.26953125" style="8" bestFit="1" customWidth="1"/>
    <col min="5916" max="6143" width="10.90625" style="8"/>
    <col min="6144" max="6144" width="7" style="8" customWidth="1"/>
    <col min="6145" max="6145" width="10.7265625" style="8" customWidth="1"/>
    <col min="6146" max="6146" width="9.26953125" style="8" customWidth="1"/>
    <col min="6147" max="6170" width="7.26953125" style="8" customWidth="1"/>
    <col min="6171" max="6171" width="14.26953125" style="8" bestFit="1" customWidth="1"/>
    <col min="6172" max="6399" width="10.90625" style="8"/>
    <col min="6400" max="6400" width="7" style="8" customWidth="1"/>
    <col min="6401" max="6401" width="10.7265625" style="8" customWidth="1"/>
    <col min="6402" max="6402" width="9.26953125" style="8" customWidth="1"/>
    <col min="6403" max="6426" width="7.26953125" style="8" customWidth="1"/>
    <col min="6427" max="6427" width="14.26953125" style="8" bestFit="1" customWidth="1"/>
    <col min="6428" max="6655" width="10.90625" style="8"/>
    <col min="6656" max="6656" width="7" style="8" customWidth="1"/>
    <col min="6657" max="6657" width="10.7265625" style="8" customWidth="1"/>
    <col min="6658" max="6658" width="9.26953125" style="8" customWidth="1"/>
    <col min="6659" max="6682" width="7.26953125" style="8" customWidth="1"/>
    <col min="6683" max="6683" width="14.26953125" style="8" bestFit="1" customWidth="1"/>
    <col min="6684" max="6911" width="10.90625" style="8"/>
    <col min="6912" max="6912" width="7" style="8" customWidth="1"/>
    <col min="6913" max="6913" width="10.7265625" style="8" customWidth="1"/>
    <col min="6914" max="6914" width="9.26953125" style="8" customWidth="1"/>
    <col min="6915" max="6938" width="7.26953125" style="8" customWidth="1"/>
    <col min="6939" max="6939" width="14.26953125" style="8" bestFit="1" customWidth="1"/>
    <col min="6940" max="7167" width="10.90625" style="8"/>
    <col min="7168" max="7168" width="7" style="8" customWidth="1"/>
    <col min="7169" max="7169" width="10.7265625" style="8" customWidth="1"/>
    <col min="7170" max="7170" width="9.26953125" style="8" customWidth="1"/>
    <col min="7171" max="7194" width="7.26953125" style="8" customWidth="1"/>
    <col min="7195" max="7195" width="14.26953125" style="8" bestFit="1" customWidth="1"/>
    <col min="7196" max="7423" width="10.90625" style="8"/>
    <col min="7424" max="7424" width="7" style="8" customWidth="1"/>
    <col min="7425" max="7425" width="10.7265625" style="8" customWidth="1"/>
    <col min="7426" max="7426" width="9.26953125" style="8" customWidth="1"/>
    <col min="7427" max="7450" width="7.26953125" style="8" customWidth="1"/>
    <col min="7451" max="7451" width="14.26953125" style="8" bestFit="1" customWidth="1"/>
    <col min="7452" max="7679" width="10.90625" style="8"/>
    <col min="7680" max="7680" width="7" style="8" customWidth="1"/>
    <col min="7681" max="7681" width="10.7265625" style="8" customWidth="1"/>
    <col min="7682" max="7682" width="9.26953125" style="8" customWidth="1"/>
    <col min="7683" max="7706" width="7.26953125" style="8" customWidth="1"/>
    <col min="7707" max="7707" width="14.26953125" style="8" bestFit="1" customWidth="1"/>
    <col min="7708" max="7935" width="10.90625" style="8"/>
    <col min="7936" max="7936" width="7" style="8" customWidth="1"/>
    <col min="7937" max="7937" width="10.7265625" style="8" customWidth="1"/>
    <col min="7938" max="7938" width="9.26953125" style="8" customWidth="1"/>
    <col min="7939" max="7962" width="7.26953125" style="8" customWidth="1"/>
    <col min="7963" max="7963" width="14.26953125" style="8" bestFit="1" customWidth="1"/>
    <col min="7964" max="8191" width="10.90625" style="8"/>
    <col min="8192" max="8192" width="7" style="8" customWidth="1"/>
    <col min="8193" max="8193" width="10.7265625" style="8" customWidth="1"/>
    <col min="8194" max="8194" width="9.26953125" style="8" customWidth="1"/>
    <col min="8195" max="8218" width="7.26953125" style="8" customWidth="1"/>
    <col min="8219" max="8219" width="14.26953125" style="8" bestFit="1" customWidth="1"/>
    <col min="8220" max="8447" width="10.90625" style="8"/>
    <col min="8448" max="8448" width="7" style="8" customWidth="1"/>
    <col min="8449" max="8449" width="10.7265625" style="8" customWidth="1"/>
    <col min="8450" max="8450" width="9.26953125" style="8" customWidth="1"/>
    <col min="8451" max="8474" width="7.26953125" style="8" customWidth="1"/>
    <col min="8475" max="8475" width="14.26953125" style="8" bestFit="1" customWidth="1"/>
    <col min="8476" max="8703" width="10.90625" style="8"/>
    <col min="8704" max="8704" width="7" style="8" customWidth="1"/>
    <col min="8705" max="8705" width="10.7265625" style="8" customWidth="1"/>
    <col min="8706" max="8706" width="9.26953125" style="8" customWidth="1"/>
    <col min="8707" max="8730" width="7.26953125" style="8" customWidth="1"/>
    <col min="8731" max="8731" width="14.26953125" style="8" bestFit="1" customWidth="1"/>
    <col min="8732" max="8959" width="10.90625" style="8"/>
    <col min="8960" max="8960" width="7" style="8" customWidth="1"/>
    <col min="8961" max="8961" width="10.7265625" style="8" customWidth="1"/>
    <col min="8962" max="8962" width="9.26953125" style="8" customWidth="1"/>
    <col min="8963" max="8986" width="7.26953125" style="8" customWidth="1"/>
    <col min="8987" max="8987" width="14.26953125" style="8" bestFit="1" customWidth="1"/>
    <col min="8988" max="9215" width="10.90625" style="8"/>
    <col min="9216" max="9216" width="7" style="8" customWidth="1"/>
    <col min="9217" max="9217" width="10.7265625" style="8" customWidth="1"/>
    <col min="9218" max="9218" width="9.26953125" style="8" customWidth="1"/>
    <col min="9219" max="9242" width="7.26953125" style="8" customWidth="1"/>
    <col min="9243" max="9243" width="14.26953125" style="8" bestFit="1" customWidth="1"/>
    <col min="9244" max="9471" width="10.90625" style="8"/>
    <col min="9472" max="9472" width="7" style="8" customWidth="1"/>
    <col min="9473" max="9473" width="10.7265625" style="8" customWidth="1"/>
    <col min="9474" max="9474" width="9.26953125" style="8" customWidth="1"/>
    <col min="9475" max="9498" width="7.26953125" style="8" customWidth="1"/>
    <col min="9499" max="9499" width="14.26953125" style="8" bestFit="1" customWidth="1"/>
    <col min="9500" max="9727" width="10.90625" style="8"/>
    <col min="9728" max="9728" width="7" style="8" customWidth="1"/>
    <col min="9729" max="9729" width="10.7265625" style="8" customWidth="1"/>
    <col min="9730" max="9730" width="9.26953125" style="8" customWidth="1"/>
    <col min="9731" max="9754" width="7.26953125" style="8" customWidth="1"/>
    <col min="9755" max="9755" width="14.26953125" style="8" bestFit="1" customWidth="1"/>
    <col min="9756" max="9983" width="10.90625" style="8"/>
    <col min="9984" max="9984" width="7" style="8" customWidth="1"/>
    <col min="9985" max="9985" width="10.7265625" style="8" customWidth="1"/>
    <col min="9986" max="9986" width="9.26953125" style="8" customWidth="1"/>
    <col min="9987" max="10010" width="7.26953125" style="8" customWidth="1"/>
    <col min="10011" max="10011" width="14.26953125" style="8" bestFit="1" customWidth="1"/>
    <col min="10012" max="10239" width="10.90625" style="8"/>
    <col min="10240" max="10240" width="7" style="8" customWidth="1"/>
    <col min="10241" max="10241" width="10.7265625" style="8" customWidth="1"/>
    <col min="10242" max="10242" width="9.26953125" style="8" customWidth="1"/>
    <col min="10243" max="10266" width="7.26953125" style="8" customWidth="1"/>
    <col min="10267" max="10267" width="14.26953125" style="8" bestFit="1" customWidth="1"/>
    <col min="10268" max="10495" width="10.90625" style="8"/>
    <col min="10496" max="10496" width="7" style="8" customWidth="1"/>
    <col min="10497" max="10497" width="10.7265625" style="8" customWidth="1"/>
    <col min="10498" max="10498" width="9.26953125" style="8" customWidth="1"/>
    <col min="10499" max="10522" width="7.26953125" style="8" customWidth="1"/>
    <col min="10523" max="10523" width="14.26953125" style="8" bestFit="1" customWidth="1"/>
    <col min="10524" max="10751" width="10.90625" style="8"/>
    <col min="10752" max="10752" width="7" style="8" customWidth="1"/>
    <col min="10753" max="10753" width="10.7265625" style="8" customWidth="1"/>
    <col min="10754" max="10754" width="9.26953125" style="8" customWidth="1"/>
    <col min="10755" max="10778" width="7.26953125" style="8" customWidth="1"/>
    <col min="10779" max="10779" width="14.26953125" style="8" bestFit="1" customWidth="1"/>
    <col min="10780" max="11007" width="10.90625" style="8"/>
    <col min="11008" max="11008" width="7" style="8" customWidth="1"/>
    <col min="11009" max="11009" width="10.7265625" style="8" customWidth="1"/>
    <col min="11010" max="11010" width="9.26953125" style="8" customWidth="1"/>
    <col min="11011" max="11034" width="7.26953125" style="8" customWidth="1"/>
    <col min="11035" max="11035" width="14.26953125" style="8" bestFit="1" customWidth="1"/>
    <col min="11036" max="11263" width="10.90625" style="8"/>
    <col min="11264" max="11264" width="7" style="8" customWidth="1"/>
    <col min="11265" max="11265" width="10.7265625" style="8" customWidth="1"/>
    <col min="11266" max="11266" width="9.26953125" style="8" customWidth="1"/>
    <col min="11267" max="11290" width="7.26953125" style="8" customWidth="1"/>
    <col min="11291" max="11291" width="14.26953125" style="8" bestFit="1" customWidth="1"/>
    <col min="11292" max="11519" width="10.90625" style="8"/>
    <col min="11520" max="11520" width="7" style="8" customWidth="1"/>
    <col min="11521" max="11521" width="10.7265625" style="8" customWidth="1"/>
    <col min="11522" max="11522" width="9.26953125" style="8" customWidth="1"/>
    <col min="11523" max="11546" width="7.26953125" style="8" customWidth="1"/>
    <col min="11547" max="11547" width="14.26953125" style="8" bestFit="1" customWidth="1"/>
    <col min="11548" max="11775" width="10.90625" style="8"/>
    <col min="11776" max="11776" width="7" style="8" customWidth="1"/>
    <col min="11777" max="11777" width="10.7265625" style="8" customWidth="1"/>
    <col min="11778" max="11778" width="9.26953125" style="8" customWidth="1"/>
    <col min="11779" max="11802" width="7.26953125" style="8" customWidth="1"/>
    <col min="11803" max="11803" width="14.26953125" style="8" bestFit="1" customWidth="1"/>
    <col min="11804" max="12031" width="10.90625" style="8"/>
    <col min="12032" max="12032" width="7" style="8" customWidth="1"/>
    <col min="12033" max="12033" width="10.7265625" style="8" customWidth="1"/>
    <col min="12034" max="12034" width="9.26953125" style="8" customWidth="1"/>
    <col min="12035" max="12058" width="7.26953125" style="8" customWidth="1"/>
    <col min="12059" max="12059" width="14.26953125" style="8" bestFit="1" customWidth="1"/>
    <col min="12060" max="12287" width="10.90625" style="8"/>
    <col min="12288" max="12288" width="7" style="8" customWidth="1"/>
    <col min="12289" max="12289" width="10.7265625" style="8" customWidth="1"/>
    <col min="12290" max="12290" width="9.26953125" style="8" customWidth="1"/>
    <col min="12291" max="12314" width="7.26953125" style="8" customWidth="1"/>
    <col min="12315" max="12315" width="14.26953125" style="8" bestFit="1" customWidth="1"/>
    <col min="12316" max="12543" width="10.90625" style="8"/>
    <col min="12544" max="12544" width="7" style="8" customWidth="1"/>
    <col min="12545" max="12545" width="10.7265625" style="8" customWidth="1"/>
    <col min="12546" max="12546" width="9.26953125" style="8" customWidth="1"/>
    <col min="12547" max="12570" width="7.26953125" style="8" customWidth="1"/>
    <col min="12571" max="12571" width="14.26953125" style="8" bestFit="1" customWidth="1"/>
    <col min="12572" max="12799" width="10.90625" style="8"/>
    <col min="12800" max="12800" width="7" style="8" customWidth="1"/>
    <col min="12801" max="12801" width="10.7265625" style="8" customWidth="1"/>
    <col min="12802" max="12802" width="9.26953125" style="8" customWidth="1"/>
    <col min="12803" max="12826" width="7.26953125" style="8" customWidth="1"/>
    <col min="12827" max="12827" width="14.26953125" style="8" bestFit="1" customWidth="1"/>
    <col min="12828" max="13055" width="10.90625" style="8"/>
    <col min="13056" max="13056" width="7" style="8" customWidth="1"/>
    <col min="13057" max="13057" width="10.7265625" style="8" customWidth="1"/>
    <col min="13058" max="13058" width="9.26953125" style="8" customWidth="1"/>
    <col min="13059" max="13082" width="7.26953125" style="8" customWidth="1"/>
    <col min="13083" max="13083" width="14.26953125" style="8" bestFit="1" customWidth="1"/>
    <col min="13084" max="13311" width="10.90625" style="8"/>
    <col min="13312" max="13312" width="7" style="8" customWidth="1"/>
    <col min="13313" max="13313" width="10.7265625" style="8" customWidth="1"/>
    <col min="13314" max="13314" width="9.26953125" style="8" customWidth="1"/>
    <col min="13315" max="13338" width="7.26953125" style="8" customWidth="1"/>
    <col min="13339" max="13339" width="14.26953125" style="8" bestFit="1" customWidth="1"/>
    <col min="13340" max="13567" width="10.90625" style="8"/>
    <col min="13568" max="13568" width="7" style="8" customWidth="1"/>
    <col min="13569" max="13569" width="10.7265625" style="8" customWidth="1"/>
    <col min="13570" max="13570" width="9.26953125" style="8" customWidth="1"/>
    <col min="13571" max="13594" width="7.26953125" style="8" customWidth="1"/>
    <col min="13595" max="13595" width="14.26953125" style="8" bestFit="1" customWidth="1"/>
    <col min="13596" max="13823" width="10.90625" style="8"/>
    <col min="13824" max="13824" width="7" style="8" customWidth="1"/>
    <col min="13825" max="13825" width="10.7265625" style="8" customWidth="1"/>
    <col min="13826" max="13826" width="9.26953125" style="8" customWidth="1"/>
    <col min="13827" max="13850" width="7.26953125" style="8" customWidth="1"/>
    <col min="13851" max="13851" width="14.26953125" style="8" bestFit="1" customWidth="1"/>
    <col min="13852" max="14079" width="10.90625" style="8"/>
    <col min="14080" max="14080" width="7" style="8" customWidth="1"/>
    <col min="14081" max="14081" width="10.7265625" style="8" customWidth="1"/>
    <col min="14082" max="14082" width="9.26953125" style="8" customWidth="1"/>
    <col min="14083" max="14106" width="7.26953125" style="8" customWidth="1"/>
    <col min="14107" max="14107" width="14.26953125" style="8" bestFit="1" customWidth="1"/>
    <col min="14108" max="14335" width="10.90625" style="8"/>
    <col min="14336" max="14336" width="7" style="8" customWidth="1"/>
    <col min="14337" max="14337" width="10.7265625" style="8" customWidth="1"/>
    <col min="14338" max="14338" width="9.26953125" style="8" customWidth="1"/>
    <col min="14339" max="14362" width="7.26953125" style="8" customWidth="1"/>
    <col min="14363" max="14363" width="14.26953125" style="8" bestFit="1" customWidth="1"/>
    <col min="14364" max="14591" width="10.90625" style="8"/>
    <col min="14592" max="14592" width="7" style="8" customWidth="1"/>
    <col min="14593" max="14593" width="10.7265625" style="8" customWidth="1"/>
    <col min="14594" max="14594" width="9.26953125" style="8" customWidth="1"/>
    <col min="14595" max="14618" width="7.26953125" style="8" customWidth="1"/>
    <col min="14619" max="14619" width="14.26953125" style="8" bestFit="1" customWidth="1"/>
    <col min="14620" max="14847" width="10.90625" style="8"/>
    <col min="14848" max="14848" width="7" style="8" customWidth="1"/>
    <col min="14849" max="14849" width="10.7265625" style="8" customWidth="1"/>
    <col min="14850" max="14850" width="9.26953125" style="8" customWidth="1"/>
    <col min="14851" max="14874" width="7.26953125" style="8" customWidth="1"/>
    <col min="14875" max="14875" width="14.26953125" style="8" bestFit="1" customWidth="1"/>
    <col min="14876" max="15103" width="10.90625" style="8"/>
    <col min="15104" max="15104" width="7" style="8" customWidth="1"/>
    <col min="15105" max="15105" width="10.7265625" style="8" customWidth="1"/>
    <col min="15106" max="15106" width="9.26953125" style="8" customWidth="1"/>
    <col min="15107" max="15130" width="7.26953125" style="8" customWidth="1"/>
    <col min="15131" max="15131" width="14.26953125" style="8" bestFit="1" customWidth="1"/>
    <col min="15132" max="15359" width="10.90625" style="8"/>
    <col min="15360" max="15360" width="7" style="8" customWidth="1"/>
    <col min="15361" max="15361" width="10.7265625" style="8" customWidth="1"/>
    <col min="15362" max="15362" width="9.26953125" style="8" customWidth="1"/>
    <col min="15363" max="15386" width="7.26953125" style="8" customWidth="1"/>
    <col min="15387" max="15387" width="14.26953125" style="8" bestFit="1" customWidth="1"/>
    <col min="15388" max="15615" width="10.90625" style="8"/>
    <col min="15616" max="15616" width="7" style="8" customWidth="1"/>
    <col min="15617" max="15617" width="10.7265625" style="8" customWidth="1"/>
    <col min="15618" max="15618" width="9.26953125" style="8" customWidth="1"/>
    <col min="15619" max="15642" width="7.26953125" style="8" customWidth="1"/>
    <col min="15643" max="15643" width="14.26953125" style="8" bestFit="1" customWidth="1"/>
    <col min="15644" max="15871" width="10.90625" style="8"/>
    <col min="15872" max="15872" width="7" style="8" customWidth="1"/>
    <col min="15873" max="15873" width="10.7265625" style="8" customWidth="1"/>
    <col min="15874" max="15874" width="9.26953125" style="8" customWidth="1"/>
    <col min="15875" max="15898" width="7.26953125" style="8" customWidth="1"/>
    <col min="15899" max="15899" width="14.26953125" style="8" bestFit="1" customWidth="1"/>
    <col min="15900" max="16127" width="10.90625" style="8"/>
    <col min="16128" max="16128" width="7" style="8" customWidth="1"/>
    <col min="16129" max="16129" width="10.7265625" style="8" customWidth="1"/>
    <col min="16130" max="16130" width="9.26953125" style="8" customWidth="1"/>
    <col min="16131" max="16154" width="7.26953125" style="8" customWidth="1"/>
    <col min="16155" max="16155" width="14.26953125" style="8" bestFit="1" customWidth="1"/>
    <col min="16156" max="16384" width="10.90625" style="8"/>
  </cols>
  <sheetData>
    <row r="2" spans="2:62" ht="2.25" customHeight="1" x14ac:dyDescent="0.35"/>
    <row r="3" spans="2:62" ht="4.5" customHeight="1" x14ac:dyDescent="0.35"/>
    <row r="4" spans="2:62" ht="46.5" customHeight="1" x14ac:dyDescent="0.35">
      <c r="B4" s="202" t="s">
        <v>134</v>
      </c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</row>
    <row r="5" spans="2:62" ht="28.5" customHeight="1" x14ac:dyDescent="0.35">
      <c r="B5" s="204" t="s">
        <v>0</v>
      </c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</row>
    <row r="6" spans="2:62" ht="18.649999999999999" customHeight="1" x14ac:dyDescent="0.35">
      <c r="B6" s="205" t="s">
        <v>135</v>
      </c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</row>
    <row r="7" spans="2:62" ht="18.649999999999999" customHeight="1" x14ac:dyDescent="0.35">
      <c r="B7" s="206" t="s">
        <v>1</v>
      </c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</row>
    <row r="8" spans="2:62" ht="18.649999999999999" customHeight="1" x14ac:dyDescent="0.35"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</row>
    <row r="9" spans="2:62" ht="18.649999999999999" customHeight="1" thickBot="1" x14ac:dyDescent="0.4">
      <c r="BD9" s="18"/>
      <c r="BE9" s="18"/>
      <c r="BF9" s="18"/>
    </row>
    <row r="10" spans="2:62" ht="34.5" customHeight="1" thickBot="1" x14ac:dyDescent="0.4">
      <c r="B10" s="1" t="s">
        <v>2</v>
      </c>
      <c r="C10" s="2" t="s">
        <v>3</v>
      </c>
      <c r="D10" s="1" t="s">
        <v>4</v>
      </c>
      <c r="E10" s="83" t="s">
        <v>5</v>
      </c>
      <c r="F10" s="3" t="s">
        <v>6</v>
      </c>
      <c r="G10" s="3" t="s">
        <v>7</v>
      </c>
      <c r="H10" s="3" t="s">
        <v>8</v>
      </c>
      <c r="I10" s="3" t="s">
        <v>9</v>
      </c>
      <c r="J10" s="3" t="s">
        <v>10</v>
      </c>
      <c r="K10" s="3" t="s">
        <v>11</v>
      </c>
      <c r="L10" s="3" t="s">
        <v>12</v>
      </c>
      <c r="M10" s="3" t="s">
        <v>13</v>
      </c>
      <c r="N10" s="3" t="s">
        <v>14</v>
      </c>
      <c r="O10" s="3" t="s">
        <v>15</v>
      </c>
      <c r="P10" s="4" t="s">
        <v>16</v>
      </c>
      <c r="Q10" s="5" t="s">
        <v>17</v>
      </c>
      <c r="R10" s="3" t="s">
        <v>18</v>
      </c>
      <c r="S10" s="3" t="s">
        <v>19</v>
      </c>
      <c r="T10" s="3" t="s">
        <v>20</v>
      </c>
      <c r="U10" s="3" t="s">
        <v>21</v>
      </c>
      <c r="V10" s="3" t="s">
        <v>22</v>
      </c>
      <c r="W10" s="3" t="s">
        <v>23</v>
      </c>
      <c r="X10" s="3" t="s">
        <v>24</v>
      </c>
      <c r="Y10" s="3" t="s">
        <v>25</v>
      </c>
      <c r="Z10" s="3" t="s">
        <v>26</v>
      </c>
      <c r="AA10" s="3" t="s">
        <v>27</v>
      </c>
      <c r="AB10" s="4" t="s">
        <v>28</v>
      </c>
      <c r="AC10" s="134" t="s">
        <v>48</v>
      </c>
      <c r="AE10" s="8" t="str">
        <f>+AC10</f>
        <v>TOTAL MES
kWh</v>
      </c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2"/>
      <c r="BF10" s="52"/>
      <c r="BH10" s="49"/>
      <c r="BI10" s="50"/>
      <c r="BJ10" s="49"/>
    </row>
    <row r="11" spans="2:62" ht="18.649999999999999" customHeight="1" x14ac:dyDescent="0.35">
      <c r="B11" s="207">
        <v>46388</v>
      </c>
      <c r="C11" s="6" t="s">
        <v>29</v>
      </c>
      <c r="D11" s="46">
        <v>19</v>
      </c>
      <c r="E11" s="78">
        <v>48314.84</v>
      </c>
      <c r="F11" s="78">
        <v>45847.48</v>
      </c>
      <c r="G11" s="78">
        <v>43991.41</v>
      </c>
      <c r="H11" s="78">
        <v>42644.2</v>
      </c>
      <c r="I11" s="78">
        <v>42409.14</v>
      </c>
      <c r="J11" s="78">
        <v>43828.32</v>
      </c>
      <c r="K11" s="78">
        <v>43432.68</v>
      </c>
      <c r="L11" s="78">
        <v>48451.47</v>
      </c>
      <c r="M11" s="78">
        <v>53786.29</v>
      </c>
      <c r="N11" s="78">
        <v>56558.63</v>
      </c>
      <c r="O11" s="78">
        <v>59559.93</v>
      </c>
      <c r="P11" s="78">
        <v>62016.71</v>
      </c>
      <c r="Q11" s="78">
        <v>60318.63</v>
      </c>
      <c r="R11" s="78">
        <v>61979.360000000001</v>
      </c>
      <c r="S11" s="78">
        <v>64854.42</v>
      </c>
      <c r="T11" s="78">
        <v>65199.199999999997</v>
      </c>
      <c r="U11" s="78">
        <v>64120.94</v>
      </c>
      <c r="V11" s="78">
        <v>61758.07</v>
      </c>
      <c r="W11" s="78">
        <v>66065.509999999995</v>
      </c>
      <c r="X11" s="78">
        <v>66301.08</v>
      </c>
      <c r="Y11" s="78">
        <v>64559.5</v>
      </c>
      <c r="Z11" s="78">
        <v>61728.63</v>
      </c>
      <c r="AA11" s="78">
        <v>57352.36</v>
      </c>
      <c r="AB11" s="78">
        <v>52680.23</v>
      </c>
      <c r="AC11" s="209">
        <f>SUM(E11:AB11)*D11+SUM(E12:AB12)*D12+SUM(E13:AB13)*D13+SUM(E14:AB14)*D14</f>
        <v>40000178.749999993</v>
      </c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</row>
    <row r="12" spans="2:62" ht="18.649999999999999" customHeight="1" x14ac:dyDescent="0.35">
      <c r="B12" s="208"/>
      <c r="C12" s="9" t="s">
        <v>30</v>
      </c>
      <c r="D12" s="10">
        <v>5</v>
      </c>
      <c r="E12" s="79">
        <v>47964.63</v>
      </c>
      <c r="F12" s="79">
        <v>45660.97</v>
      </c>
      <c r="G12" s="79">
        <v>43851.57</v>
      </c>
      <c r="H12" s="79">
        <v>42469.69</v>
      </c>
      <c r="I12" s="79">
        <v>42051.43</v>
      </c>
      <c r="J12" s="79">
        <v>42387.82</v>
      </c>
      <c r="K12" s="79">
        <v>41295.410000000003</v>
      </c>
      <c r="L12" s="79">
        <v>45375.35</v>
      </c>
      <c r="M12" s="79">
        <v>50420.34</v>
      </c>
      <c r="N12" s="79">
        <v>53761.66</v>
      </c>
      <c r="O12" s="79">
        <v>56390.44</v>
      </c>
      <c r="P12" s="79">
        <v>57812.97</v>
      </c>
      <c r="Q12" s="79">
        <v>57307.47</v>
      </c>
      <c r="R12" s="79">
        <v>56094.09</v>
      </c>
      <c r="S12" s="79">
        <v>56358.79</v>
      </c>
      <c r="T12" s="79">
        <v>56554.29</v>
      </c>
      <c r="U12" s="79">
        <v>55993.85</v>
      </c>
      <c r="V12" s="79">
        <v>56196.69</v>
      </c>
      <c r="W12" s="79">
        <v>62425.83</v>
      </c>
      <c r="X12" s="79">
        <v>62872.86</v>
      </c>
      <c r="Y12" s="79">
        <v>61003.97</v>
      </c>
      <c r="Z12" s="79">
        <v>58532</v>
      </c>
      <c r="AA12" s="79">
        <v>55319.59</v>
      </c>
      <c r="AB12" s="79">
        <v>51757.15</v>
      </c>
      <c r="AC12" s="210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BG12" s="131"/>
    </row>
    <row r="13" spans="2:62" ht="18.649999999999999" customHeight="1" x14ac:dyDescent="0.35">
      <c r="B13" s="208"/>
      <c r="C13" s="9" t="s">
        <v>31</v>
      </c>
      <c r="D13" s="10">
        <v>5</v>
      </c>
      <c r="E13" s="79">
        <v>48282.53</v>
      </c>
      <c r="F13" s="79">
        <v>45910.400000000001</v>
      </c>
      <c r="G13" s="79">
        <v>43997.62</v>
      </c>
      <c r="H13" s="79">
        <v>42594.28</v>
      </c>
      <c r="I13" s="79">
        <v>41903.599999999999</v>
      </c>
      <c r="J13" s="79">
        <v>41683.79</v>
      </c>
      <c r="K13" s="79">
        <v>39438</v>
      </c>
      <c r="L13" s="79">
        <v>41197.43</v>
      </c>
      <c r="M13" s="79">
        <v>44017.7</v>
      </c>
      <c r="N13" s="79">
        <v>46189.21</v>
      </c>
      <c r="O13" s="79">
        <v>48266.73</v>
      </c>
      <c r="P13" s="79">
        <v>49947.360000000001</v>
      </c>
      <c r="Q13" s="79">
        <v>51092.800000000003</v>
      </c>
      <c r="R13" s="79">
        <v>51230.63</v>
      </c>
      <c r="S13" s="79">
        <v>51256.59</v>
      </c>
      <c r="T13" s="79">
        <v>51432.94</v>
      </c>
      <c r="U13" s="79">
        <v>51459.07</v>
      </c>
      <c r="V13" s="79">
        <v>52002.49</v>
      </c>
      <c r="W13" s="79">
        <v>58791.32</v>
      </c>
      <c r="X13" s="79">
        <v>60475.3</v>
      </c>
      <c r="Y13" s="79">
        <v>59835.44</v>
      </c>
      <c r="Z13" s="79">
        <v>57867.16</v>
      </c>
      <c r="AA13" s="79">
        <v>54342.239999999998</v>
      </c>
      <c r="AB13" s="79">
        <v>50137.21</v>
      </c>
      <c r="AC13" s="210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BG13" s="132"/>
    </row>
    <row r="14" spans="2:62" ht="18.649999999999999" customHeight="1" thickBot="1" x14ac:dyDescent="0.4">
      <c r="B14" s="208"/>
      <c r="C14" s="15" t="s">
        <v>32</v>
      </c>
      <c r="D14" s="16">
        <v>2</v>
      </c>
      <c r="E14" s="80">
        <v>48282.53</v>
      </c>
      <c r="F14" s="80">
        <v>45910.400000000001</v>
      </c>
      <c r="G14" s="80">
        <v>43997.62</v>
      </c>
      <c r="H14" s="80">
        <v>42594.28</v>
      </c>
      <c r="I14" s="80">
        <v>41903.599999999999</v>
      </c>
      <c r="J14" s="80">
        <v>41683.79</v>
      </c>
      <c r="K14" s="80">
        <v>39438</v>
      </c>
      <c r="L14" s="80">
        <v>41197.43</v>
      </c>
      <c r="M14" s="80">
        <v>44017.7</v>
      </c>
      <c r="N14" s="80">
        <v>46189.21</v>
      </c>
      <c r="O14" s="80">
        <v>48266.73</v>
      </c>
      <c r="P14" s="80">
        <v>49947.360000000001</v>
      </c>
      <c r="Q14" s="80">
        <v>51092.800000000003</v>
      </c>
      <c r="R14" s="80">
        <v>51230.63</v>
      </c>
      <c r="S14" s="80">
        <v>51256.59</v>
      </c>
      <c r="T14" s="80">
        <v>51432.94</v>
      </c>
      <c r="U14" s="80">
        <v>51459.07</v>
      </c>
      <c r="V14" s="80">
        <v>52002.49</v>
      </c>
      <c r="W14" s="80">
        <v>58791.32</v>
      </c>
      <c r="X14" s="80">
        <v>60475.3</v>
      </c>
      <c r="Y14" s="80">
        <v>59835.44</v>
      </c>
      <c r="Z14" s="80">
        <v>57867.16</v>
      </c>
      <c r="AA14" s="80">
        <v>54342.239999999998</v>
      </c>
      <c r="AB14" s="80">
        <v>50137.21</v>
      </c>
      <c r="AC14" s="210"/>
      <c r="AD14" s="53">
        <f>+AC11</f>
        <v>40000178.749999993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BG14" s="132"/>
    </row>
    <row r="15" spans="2:62" ht="18.649999999999999" customHeight="1" x14ac:dyDescent="0.35">
      <c r="B15" s="211">
        <v>46419</v>
      </c>
      <c r="C15" s="6" t="s">
        <v>29</v>
      </c>
      <c r="D15" s="7">
        <v>20</v>
      </c>
      <c r="E15" s="78">
        <v>49247</v>
      </c>
      <c r="F15" s="78">
        <v>46829.49</v>
      </c>
      <c r="G15" s="78">
        <v>44899.6</v>
      </c>
      <c r="H15" s="78">
        <v>43500.6</v>
      </c>
      <c r="I15" s="78">
        <v>43451.87</v>
      </c>
      <c r="J15" s="78">
        <v>46063.59</v>
      </c>
      <c r="K15" s="78">
        <v>45620.11</v>
      </c>
      <c r="L15" s="78">
        <v>50060.45</v>
      </c>
      <c r="M15" s="78">
        <v>54945.49</v>
      </c>
      <c r="N15" s="78">
        <v>57315.78</v>
      </c>
      <c r="O15" s="78">
        <v>60178.720000000001</v>
      </c>
      <c r="P15" s="78">
        <v>62442.7</v>
      </c>
      <c r="Q15" s="78">
        <v>60354.16</v>
      </c>
      <c r="R15" s="78">
        <v>62522.6</v>
      </c>
      <c r="S15" s="78">
        <v>66006.490000000005</v>
      </c>
      <c r="T15" s="78">
        <v>66546.2</v>
      </c>
      <c r="U15" s="78">
        <v>65553</v>
      </c>
      <c r="V15" s="78">
        <v>62880.28</v>
      </c>
      <c r="W15" s="78">
        <v>66607.61</v>
      </c>
      <c r="X15" s="78">
        <v>67549.42</v>
      </c>
      <c r="Y15" s="78">
        <v>66093.16</v>
      </c>
      <c r="Z15" s="78">
        <v>63178.43</v>
      </c>
      <c r="AA15" s="78">
        <v>58202.42</v>
      </c>
      <c r="AB15" s="78">
        <v>53268.66</v>
      </c>
      <c r="AC15" s="209">
        <f>SUM(E15:AB15)*D15+SUM(E16:AB16)*D16+SUM(E17:AB17)*D17+SUM(E18:AB18)*D18</f>
        <v>37298924.75999999</v>
      </c>
      <c r="AD15" s="148">
        <f>+AC15</f>
        <v>37298924.75999999</v>
      </c>
      <c r="BG15" s="132"/>
    </row>
    <row r="16" spans="2:62" ht="18.649999999999999" customHeight="1" x14ac:dyDescent="0.35">
      <c r="B16" s="212" t="s">
        <v>34</v>
      </c>
      <c r="C16" s="9" t="s">
        <v>30</v>
      </c>
      <c r="D16" s="10">
        <v>4</v>
      </c>
      <c r="E16" s="79">
        <v>49926.17</v>
      </c>
      <c r="F16" s="79">
        <v>47226.69</v>
      </c>
      <c r="G16" s="79">
        <v>45466.25</v>
      </c>
      <c r="H16" s="79">
        <v>43792.83</v>
      </c>
      <c r="I16" s="79">
        <v>43265.67</v>
      </c>
      <c r="J16" s="79">
        <v>43768.41</v>
      </c>
      <c r="K16" s="79">
        <v>42992.28</v>
      </c>
      <c r="L16" s="79">
        <v>46965</v>
      </c>
      <c r="M16" s="79">
        <v>51828.05</v>
      </c>
      <c r="N16" s="79">
        <v>54716.2</v>
      </c>
      <c r="O16" s="79">
        <v>57370.83</v>
      </c>
      <c r="P16" s="79">
        <v>58705.24</v>
      </c>
      <c r="Q16" s="79">
        <v>57768.800000000003</v>
      </c>
      <c r="R16" s="79">
        <v>57019.82</v>
      </c>
      <c r="S16" s="79">
        <v>57282.18</v>
      </c>
      <c r="T16" s="79">
        <v>57446.12</v>
      </c>
      <c r="U16" s="79">
        <v>57042.34</v>
      </c>
      <c r="V16" s="79">
        <v>56874.75</v>
      </c>
      <c r="W16" s="79">
        <v>62779.31</v>
      </c>
      <c r="X16" s="79">
        <v>63688.87</v>
      </c>
      <c r="Y16" s="79">
        <v>62199.96</v>
      </c>
      <c r="Z16" s="79">
        <v>59830.37</v>
      </c>
      <c r="AA16" s="79">
        <v>56702.239999999998</v>
      </c>
      <c r="AB16" s="79">
        <v>52977.42</v>
      </c>
      <c r="AC16" s="210"/>
      <c r="AD16" s="148">
        <f>+AC19</f>
        <v>40073324.280000001</v>
      </c>
      <c r="BG16" s="132"/>
    </row>
    <row r="17" spans="2:59" ht="18.649999999999999" customHeight="1" x14ac:dyDescent="0.35">
      <c r="B17" s="212" t="s">
        <v>34</v>
      </c>
      <c r="C17" s="9" t="s">
        <v>31</v>
      </c>
      <c r="D17" s="10">
        <v>4</v>
      </c>
      <c r="E17" s="79">
        <v>49787.17</v>
      </c>
      <c r="F17" s="79">
        <v>47381.9</v>
      </c>
      <c r="G17" s="79">
        <v>45439.73</v>
      </c>
      <c r="H17" s="79">
        <v>43997.67</v>
      </c>
      <c r="I17" s="79">
        <v>43255.34</v>
      </c>
      <c r="J17" s="79">
        <v>43207.16</v>
      </c>
      <c r="K17" s="79">
        <v>40939.730000000003</v>
      </c>
      <c r="L17" s="79">
        <v>42705.45</v>
      </c>
      <c r="M17" s="79">
        <v>45399.46</v>
      </c>
      <c r="N17" s="79">
        <v>47307.96</v>
      </c>
      <c r="O17" s="79">
        <v>49251.01</v>
      </c>
      <c r="P17" s="79">
        <v>51055.839999999997</v>
      </c>
      <c r="Q17" s="79">
        <v>52254.35</v>
      </c>
      <c r="R17" s="79">
        <v>52565.07</v>
      </c>
      <c r="S17" s="79">
        <v>53088.76</v>
      </c>
      <c r="T17" s="79">
        <v>53500.45</v>
      </c>
      <c r="U17" s="79">
        <v>53327.91</v>
      </c>
      <c r="V17" s="79">
        <v>53000.39</v>
      </c>
      <c r="W17" s="79">
        <v>59899.34</v>
      </c>
      <c r="X17" s="79">
        <v>62383.57</v>
      </c>
      <c r="Y17" s="79">
        <v>62360.42</v>
      </c>
      <c r="Z17" s="79">
        <v>60879.68</v>
      </c>
      <c r="AA17" s="79">
        <v>55938.14</v>
      </c>
      <c r="AB17" s="79">
        <v>51579.74</v>
      </c>
      <c r="AC17" s="210"/>
      <c r="AD17" s="148">
        <f>+AC23</f>
        <v>34634589.100000001</v>
      </c>
      <c r="BG17" s="132"/>
    </row>
    <row r="18" spans="2:59" ht="18.649999999999999" customHeight="1" thickBot="1" x14ac:dyDescent="0.4">
      <c r="B18" s="213" t="s">
        <v>34</v>
      </c>
      <c r="C18" s="11" t="s">
        <v>32</v>
      </c>
      <c r="D18" s="12">
        <v>0</v>
      </c>
      <c r="E18" s="193">
        <v>0</v>
      </c>
      <c r="F18" s="84">
        <v>0</v>
      </c>
      <c r="G18" s="84">
        <v>0</v>
      </c>
      <c r="H18" s="84">
        <v>0</v>
      </c>
      <c r="I18" s="84">
        <v>0</v>
      </c>
      <c r="J18" s="84">
        <v>0</v>
      </c>
      <c r="K18" s="84">
        <v>0</v>
      </c>
      <c r="L18" s="84">
        <v>0</v>
      </c>
      <c r="M18" s="84">
        <v>0</v>
      </c>
      <c r="N18" s="84">
        <v>0</v>
      </c>
      <c r="O18" s="84">
        <v>0</v>
      </c>
      <c r="P18" s="84">
        <v>0</v>
      </c>
      <c r="Q18" s="84">
        <v>0</v>
      </c>
      <c r="R18" s="84">
        <v>0</v>
      </c>
      <c r="S18" s="84">
        <v>0</v>
      </c>
      <c r="T18" s="84">
        <v>0</v>
      </c>
      <c r="U18" s="84">
        <v>0</v>
      </c>
      <c r="V18" s="84">
        <v>0</v>
      </c>
      <c r="W18" s="84">
        <v>0</v>
      </c>
      <c r="X18" s="84">
        <v>0</v>
      </c>
      <c r="Y18" s="84">
        <v>0</v>
      </c>
      <c r="Z18" s="84">
        <v>0</v>
      </c>
      <c r="AA18" s="84">
        <v>0</v>
      </c>
      <c r="AB18" s="84">
        <v>0</v>
      </c>
      <c r="AC18" s="214"/>
      <c r="AD18" s="148">
        <f>+AC27</f>
        <v>36094806.429999992</v>
      </c>
      <c r="BG18" s="132"/>
    </row>
    <row r="19" spans="2:59" ht="18.649999999999999" customHeight="1" x14ac:dyDescent="0.35">
      <c r="B19" s="207">
        <v>46447</v>
      </c>
      <c r="C19" s="13" t="s">
        <v>29</v>
      </c>
      <c r="D19" s="14">
        <v>20</v>
      </c>
      <c r="E19" s="81">
        <v>47295.54</v>
      </c>
      <c r="F19" s="81">
        <v>44956.12</v>
      </c>
      <c r="G19" s="81">
        <v>43211.05</v>
      </c>
      <c r="H19" s="81">
        <v>42065.64</v>
      </c>
      <c r="I19" s="81">
        <v>42258.68</v>
      </c>
      <c r="J19" s="81">
        <v>44515.19</v>
      </c>
      <c r="K19" s="81">
        <v>44518.76</v>
      </c>
      <c r="L19" s="81">
        <v>49345.440000000002</v>
      </c>
      <c r="M19" s="81">
        <v>54104.99</v>
      </c>
      <c r="N19" s="81">
        <v>56572.72</v>
      </c>
      <c r="O19" s="81">
        <v>59398.01</v>
      </c>
      <c r="P19" s="81">
        <v>61250.52</v>
      </c>
      <c r="Q19" s="81">
        <v>58479.45</v>
      </c>
      <c r="R19" s="81">
        <v>60408.28</v>
      </c>
      <c r="S19" s="81">
        <v>63727.82</v>
      </c>
      <c r="T19" s="81">
        <v>64429.02</v>
      </c>
      <c r="U19" s="81">
        <v>63725.47</v>
      </c>
      <c r="V19" s="81">
        <v>61486.16</v>
      </c>
      <c r="W19" s="81">
        <v>65245.9</v>
      </c>
      <c r="X19" s="81">
        <v>65829.740000000005</v>
      </c>
      <c r="Y19" s="81">
        <v>63901.88</v>
      </c>
      <c r="Z19" s="81">
        <v>60713.97</v>
      </c>
      <c r="AA19" s="81">
        <v>55923.45</v>
      </c>
      <c r="AB19" s="81">
        <v>51060.11</v>
      </c>
      <c r="AC19" s="210">
        <f>SUM(E19:AB19)*D19+SUM(E20:AB20)*D20+SUM(E21:AB21)*D21+SUM(E22:AB22)*D22</f>
        <v>40073324.280000001</v>
      </c>
      <c r="AD19" s="148">
        <f>+AC31</f>
        <v>24337482.57</v>
      </c>
      <c r="BG19" s="132"/>
    </row>
    <row r="20" spans="2:59" ht="18.649999999999999" customHeight="1" x14ac:dyDescent="0.35">
      <c r="B20" s="208"/>
      <c r="C20" s="9" t="s">
        <v>30</v>
      </c>
      <c r="D20" s="10">
        <v>4</v>
      </c>
      <c r="E20" s="79">
        <v>47572.42</v>
      </c>
      <c r="F20" s="79">
        <v>45225.47</v>
      </c>
      <c r="G20" s="79">
        <v>43374.080000000002</v>
      </c>
      <c r="H20" s="79">
        <v>42148.6</v>
      </c>
      <c r="I20" s="79">
        <v>41838.97</v>
      </c>
      <c r="J20" s="79">
        <v>42315.41</v>
      </c>
      <c r="K20" s="79">
        <v>42112</v>
      </c>
      <c r="L20" s="79">
        <v>46540.79</v>
      </c>
      <c r="M20" s="79">
        <v>51693.18</v>
      </c>
      <c r="N20" s="79">
        <v>54691.1</v>
      </c>
      <c r="O20" s="79">
        <v>57380.41</v>
      </c>
      <c r="P20" s="79">
        <v>58980.1</v>
      </c>
      <c r="Q20" s="79">
        <v>57966.400000000001</v>
      </c>
      <c r="R20" s="79">
        <v>57193.51</v>
      </c>
      <c r="S20" s="79">
        <v>57646.51</v>
      </c>
      <c r="T20" s="79">
        <v>57722.01</v>
      </c>
      <c r="U20" s="79">
        <v>57210.080000000002</v>
      </c>
      <c r="V20" s="79">
        <v>56858.33</v>
      </c>
      <c r="W20" s="79">
        <v>62787.519999999997</v>
      </c>
      <c r="X20" s="79">
        <v>63799.8</v>
      </c>
      <c r="Y20" s="79">
        <v>62026.57</v>
      </c>
      <c r="Z20" s="79">
        <v>59610.59</v>
      </c>
      <c r="AA20" s="79">
        <v>56249.56</v>
      </c>
      <c r="AB20" s="79">
        <v>52564.07</v>
      </c>
      <c r="AC20" s="210"/>
      <c r="AD20" s="148">
        <f>+AC35</f>
        <v>26662098.829999998</v>
      </c>
      <c r="BG20" s="53"/>
    </row>
    <row r="21" spans="2:59" ht="18.649999999999999" customHeight="1" x14ac:dyDescent="0.35">
      <c r="B21" s="208"/>
      <c r="C21" s="9" t="s">
        <v>31</v>
      </c>
      <c r="D21" s="10">
        <v>4</v>
      </c>
      <c r="E21" s="79">
        <v>48847.92</v>
      </c>
      <c r="F21" s="79">
        <v>46333.56</v>
      </c>
      <c r="G21" s="79">
        <v>44379.85</v>
      </c>
      <c r="H21" s="79">
        <v>42979.75</v>
      </c>
      <c r="I21" s="79">
        <v>42275.94</v>
      </c>
      <c r="J21" s="79">
        <v>41959.72</v>
      </c>
      <c r="K21" s="79">
        <v>40374.32</v>
      </c>
      <c r="L21" s="79">
        <v>42512.54</v>
      </c>
      <c r="M21" s="79">
        <v>45516.61</v>
      </c>
      <c r="N21" s="79">
        <v>47691.16</v>
      </c>
      <c r="O21" s="79">
        <v>49634.84</v>
      </c>
      <c r="P21" s="79">
        <v>51309.53</v>
      </c>
      <c r="Q21" s="79">
        <v>52372.76</v>
      </c>
      <c r="R21" s="79">
        <v>52563.45</v>
      </c>
      <c r="S21" s="79">
        <v>52765.22</v>
      </c>
      <c r="T21" s="79">
        <v>53342.21</v>
      </c>
      <c r="U21" s="79">
        <v>53142.52</v>
      </c>
      <c r="V21" s="79">
        <v>53405.599999999999</v>
      </c>
      <c r="W21" s="79">
        <v>59707.35</v>
      </c>
      <c r="X21" s="79">
        <v>61886.21</v>
      </c>
      <c r="Y21" s="79">
        <v>61656.84</v>
      </c>
      <c r="Z21" s="79">
        <v>59847.96</v>
      </c>
      <c r="AA21" s="79">
        <v>55921.279999999999</v>
      </c>
      <c r="AB21" s="79">
        <v>51403.74</v>
      </c>
      <c r="AC21" s="210"/>
      <c r="AD21" s="148">
        <f>+AC39</f>
        <v>30317580.780000001</v>
      </c>
      <c r="BG21" s="132"/>
    </row>
    <row r="22" spans="2:59" ht="18.649999999999999" customHeight="1" thickBot="1" x14ac:dyDescent="0.4">
      <c r="B22" s="208"/>
      <c r="C22" s="15" t="s">
        <v>32</v>
      </c>
      <c r="D22" s="16">
        <v>3</v>
      </c>
      <c r="E22" s="80">
        <v>48847.92</v>
      </c>
      <c r="F22" s="80">
        <v>46333.56</v>
      </c>
      <c r="G22" s="80">
        <v>44379.85</v>
      </c>
      <c r="H22" s="80">
        <v>42979.75</v>
      </c>
      <c r="I22" s="80">
        <v>42275.94</v>
      </c>
      <c r="J22" s="80">
        <v>41959.72</v>
      </c>
      <c r="K22" s="80">
        <v>40374.32</v>
      </c>
      <c r="L22" s="80">
        <v>42512.54</v>
      </c>
      <c r="M22" s="80">
        <v>45516.61</v>
      </c>
      <c r="N22" s="80">
        <v>47691.16</v>
      </c>
      <c r="O22" s="80">
        <v>49634.84</v>
      </c>
      <c r="P22" s="80">
        <v>51309.53</v>
      </c>
      <c r="Q22" s="80">
        <v>52372.76</v>
      </c>
      <c r="R22" s="80">
        <v>52563.45</v>
      </c>
      <c r="S22" s="80">
        <v>52765.22</v>
      </c>
      <c r="T22" s="80">
        <v>53342.21</v>
      </c>
      <c r="U22" s="80">
        <v>53142.52</v>
      </c>
      <c r="V22" s="80">
        <v>53405.599999999999</v>
      </c>
      <c r="W22" s="80">
        <v>59707.35</v>
      </c>
      <c r="X22" s="80">
        <v>61886.21</v>
      </c>
      <c r="Y22" s="80">
        <v>61656.84</v>
      </c>
      <c r="Z22" s="80">
        <v>59847.96</v>
      </c>
      <c r="AA22" s="80">
        <v>55921.279999999999</v>
      </c>
      <c r="AB22" s="80">
        <v>51403.74</v>
      </c>
      <c r="AC22" s="210"/>
      <c r="AD22" s="148">
        <f>+AC43</f>
        <v>28465749.720000003</v>
      </c>
      <c r="BG22" s="132"/>
    </row>
    <row r="23" spans="2:59" ht="18.649999999999999" customHeight="1" x14ac:dyDescent="0.35">
      <c r="B23" s="211">
        <v>46478</v>
      </c>
      <c r="C23" s="6" t="s">
        <v>29</v>
      </c>
      <c r="D23" s="7">
        <v>22</v>
      </c>
      <c r="E23" s="78">
        <v>42099.98</v>
      </c>
      <c r="F23" s="78">
        <v>40003.300000000003</v>
      </c>
      <c r="G23" s="78">
        <v>38469.660000000003</v>
      </c>
      <c r="H23" s="78">
        <v>37425.08</v>
      </c>
      <c r="I23" s="78">
        <v>37585.1</v>
      </c>
      <c r="J23" s="78">
        <v>38788.769999999997</v>
      </c>
      <c r="K23" s="78">
        <v>39217.79</v>
      </c>
      <c r="L23" s="78">
        <v>43684.47</v>
      </c>
      <c r="M23" s="78">
        <v>48282.48</v>
      </c>
      <c r="N23" s="78">
        <v>50406.86</v>
      </c>
      <c r="O23" s="78">
        <v>52772.61</v>
      </c>
      <c r="P23" s="78">
        <v>54774.34</v>
      </c>
      <c r="Q23" s="78">
        <v>52628.13</v>
      </c>
      <c r="R23" s="78">
        <v>54175.360000000001</v>
      </c>
      <c r="S23" s="78">
        <v>57188.63</v>
      </c>
      <c r="T23" s="78">
        <v>57554.6</v>
      </c>
      <c r="U23" s="78">
        <v>56682.63</v>
      </c>
      <c r="V23" s="78">
        <v>55210.67</v>
      </c>
      <c r="W23" s="78">
        <v>58621.34</v>
      </c>
      <c r="X23" s="78">
        <v>58799.35</v>
      </c>
      <c r="Y23" s="78">
        <v>57039.93</v>
      </c>
      <c r="Z23" s="78">
        <v>54299.83</v>
      </c>
      <c r="AA23" s="78">
        <v>50184.71</v>
      </c>
      <c r="AB23" s="78">
        <v>45691.51</v>
      </c>
      <c r="AC23" s="209">
        <f>SUM(E23:AB23)*D23+SUM(E24:AB24)*D24+SUM(E25:AB25)*D25+SUM(E26:AB26)*D26</f>
        <v>34634589.100000001</v>
      </c>
      <c r="AD23" s="148">
        <f>+AC47</f>
        <v>29190980.369999994</v>
      </c>
      <c r="BG23" s="132"/>
    </row>
    <row r="24" spans="2:59" ht="18.649999999999999" customHeight="1" x14ac:dyDescent="0.35">
      <c r="B24" s="212" t="s">
        <v>34</v>
      </c>
      <c r="C24" s="9" t="s">
        <v>30</v>
      </c>
      <c r="D24" s="10">
        <v>4</v>
      </c>
      <c r="E24" s="79">
        <v>41674.870000000003</v>
      </c>
      <c r="F24" s="79">
        <v>39502.28</v>
      </c>
      <c r="G24" s="79">
        <v>37888.51</v>
      </c>
      <c r="H24" s="79">
        <v>36786.449999999997</v>
      </c>
      <c r="I24" s="79">
        <v>36508.089999999997</v>
      </c>
      <c r="J24" s="79">
        <v>36497.01</v>
      </c>
      <c r="K24" s="79">
        <v>36410.57</v>
      </c>
      <c r="L24" s="79">
        <v>40134.519999999997</v>
      </c>
      <c r="M24" s="79">
        <v>44468.800000000003</v>
      </c>
      <c r="N24" s="79">
        <v>46789.96</v>
      </c>
      <c r="O24" s="79">
        <v>49062.94</v>
      </c>
      <c r="P24" s="79">
        <v>50476.39</v>
      </c>
      <c r="Q24" s="79">
        <v>49818.83</v>
      </c>
      <c r="R24" s="79">
        <v>49282.61</v>
      </c>
      <c r="S24" s="79">
        <v>49556.97</v>
      </c>
      <c r="T24" s="79">
        <v>49651.15</v>
      </c>
      <c r="U24" s="79">
        <v>49371.4</v>
      </c>
      <c r="V24" s="79">
        <v>49673.65</v>
      </c>
      <c r="W24" s="79">
        <v>55169.4</v>
      </c>
      <c r="X24" s="79">
        <v>55288.7</v>
      </c>
      <c r="Y24" s="79">
        <v>53755.73</v>
      </c>
      <c r="Z24" s="79">
        <v>51499.58</v>
      </c>
      <c r="AA24" s="79">
        <v>48648.83</v>
      </c>
      <c r="AB24" s="79">
        <v>45391.16</v>
      </c>
      <c r="AC24" s="210"/>
      <c r="AD24" s="148">
        <f>+AC51</f>
        <v>25956769.579999998</v>
      </c>
    </row>
    <row r="25" spans="2:59" ht="18.649999999999999" customHeight="1" x14ac:dyDescent="0.35">
      <c r="B25" s="212" t="s">
        <v>34</v>
      </c>
      <c r="C25" s="9" t="s">
        <v>31</v>
      </c>
      <c r="D25" s="10">
        <v>4</v>
      </c>
      <c r="E25" s="79">
        <v>42488.92</v>
      </c>
      <c r="F25" s="79">
        <v>40398.589999999997</v>
      </c>
      <c r="G25" s="79">
        <v>38670.050000000003</v>
      </c>
      <c r="H25" s="79">
        <v>37487.53</v>
      </c>
      <c r="I25" s="79">
        <v>36989.199999999997</v>
      </c>
      <c r="J25" s="79">
        <v>36332.22</v>
      </c>
      <c r="K25" s="79">
        <v>35570.17</v>
      </c>
      <c r="L25" s="79">
        <v>37537.57</v>
      </c>
      <c r="M25" s="79">
        <v>39623.199999999997</v>
      </c>
      <c r="N25" s="79">
        <v>41484.54</v>
      </c>
      <c r="O25" s="79">
        <v>43215.69</v>
      </c>
      <c r="P25" s="79">
        <v>44589.15</v>
      </c>
      <c r="Q25" s="79">
        <v>45357.18</v>
      </c>
      <c r="R25" s="79">
        <v>45568.77</v>
      </c>
      <c r="S25" s="79">
        <v>45847.43</v>
      </c>
      <c r="T25" s="79">
        <v>46258.04</v>
      </c>
      <c r="U25" s="79">
        <v>46423.94</v>
      </c>
      <c r="V25" s="79">
        <v>46992.68</v>
      </c>
      <c r="W25" s="79">
        <v>52204.83</v>
      </c>
      <c r="X25" s="79">
        <v>53783.15</v>
      </c>
      <c r="Y25" s="79">
        <v>53606.28</v>
      </c>
      <c r="Z25" s="79">
        <v>52289.74</v>
      </c>
      <c r="AA25" s="79">
        <v>48934.66</v>
      </c>
      <c r="AB25" s="79">
        <v>44956.13</v>
      </c>
      <c r="AC25" s="210"/>
      <c r="AD25" s="148">
        <f>+AC55</f>
        <v>38826463.190000005</v>
      </c>
      <c r="BG25" s="132"/>
    </row>
    <row r="26" spans="2:59" ht="18.649999999999999" customHeight="1" thickBot="1" x14ac:dyDescent="0.4">
      <c r="B26" s="213" t="s">
        <v>34</v>
      </c>
      <c r="C26" s="11" t="s">
        <v>32</v>
      </c>
      <c r="D26" s="12">
        <v>0</v>
      </c>
      <c r="E26" s="193">
        <v>0</v>
      </c>
      <c r="F26" s="84">
        <v>0</v>
      </c>
      <c r="G26" s="84">
        <v>0</v>
      </c>
      <c r="H26" s="84">
        <v>0</v>
      </c>
      <c r="I26" s="84">
        <v>0</v>
      </c>
      <c r="J26" s="84">
        <v>0</v>
      </c>
      <c r="K26" s="84">
        <v>0</v>
      </c>
      <c r="L26" s="84">
        <v>0</v>
      </c>
      <c r="M26" s="84">
        <v>0</v>
      </c>
      <c r="N26" s="84">
        <v>0</v>
      </c>
      <c r="O26" s="84">
        <v>0</v>
      </c>
      <c r="P26" s="84">
        <v>0</v>
      </c>
      <c r="Q26" s="84">
        <v>0</v>
      </c>
      <c r="R26" s="84">
        <v>0</v>
      </c>
      <c r="S26" s="84">
        <v>0</v>
      </c>
      <c r="T26" s="84">
        <v>0</v>
      </c>
      <c r="U26" s="84">
        <v>0</v>
      </c>
      <c r="V26" s="84">
        <v>0</v>
      </c>
      <c r="W26" s="84">
        <v>0</v>
      </c>
      <c r="X26" s="84">
        <v>0</v>
      </c>
      <c r="Y26" s="84">
        <v>0</v>
      </c>
      <c r="Z26" s="84">
        <v>0</v>
      </c>
      <c r="AA26" s="84">
        <v>0</v>
      </c>
      <c r="AB26" s="84">
        <v>0</v>
      </c>
      <c r="AC26" s="214"/>
      <c r="AD26" s="18"/>
    </row>
    <row r="27" spans="2:59" ht="18.649999999999999" customHeight="1" x14ac:dyDescent="0.35">
      <c r="B27" s="207">
        <v>46508</v>
      </c>
      <c r="C27" s="13" t="s">
        <v>29</v>
      </c>
      <c r="D27" s="14">
        <v>19</v>
      </c>
      <c r="E27" s="81">
        <v>42341.38</v>
      </c>
      <c r="F27" s="81">
        <v>40330.97</v>
      </c>
      <c r="G27" s="81">
        <v>38809.339999999997</v>
      </c>
      <c r="H27" s="81">
        <v>37767.870000000003</v>
      </c>
      <c r="I27" s="81">
        <v>37952.959999999999</v>
      </c>
      <c r="J27" s="81">
        <v>39004.120000000003</v>
      </c>
      <c r="K27" s="81">
        <v>39888.85</v>
      </c>
      <c r="L27" s="81">
        <v>44550.34</v>
      </c>
      <c r="M27" s="81">
        <v>49343.31</v>
      </c>
      <c r="N27" s="81">
        <v>51587.81</v>
      </c>
      <c r="O27" s="81">
        <v>54264.26</v>
      </c>
      <c r="P27" s="81">
        <v>56012.33</v>
      </c>
      <c r="Q27" s="81">
        <v>53736.88</v>
      </c>
      <c r="R27" s="81">
        <v>55209.59</v>
      </c>
      <c r="S27" s="81">
        <v>58073.23</v>
      </c>
      <c r="T27" s="81">
        <v>58359.88</v>
      </c>
      <c r="U27" s="81">
        <v>57524.82</v>
      </c>
      <c r="V27" s="81">
        <v>55645.18</v>
      </c>
      <c r="W27" s="81">
        <v>59106.85</v>
      </c>
      <c r="X27" s="81">
        <v>59341.1</v>
      </c>
      <c r="Y27" s="81">
        <v>57510.87</v>
      </c>
      <c r="Z27" s="81">
        <v>54471.05</v>
      </c>
      <c r="AA27" s="81">
        <v>50189.17</v>
      </c>
      <c r="AB27" s="81">
        <v>45814.93</v>
      </c>
      <c r="AC27" s="210">
        <f>SUM(E27:AB27)*D27+SUM(E28:AB28)*D28+SUM(E29:AB29)*D29+SUM(E30:AB30)*D30</f>
        <v>36094806.429999992</v>
      </c>
      <c r="AD27" s="18"/>
    </row>
    <row r="28" spans="2:59" ht="18.649999999999999" customHeight="1" x14ac:dyDescent="0.35">
      <c r="B28" s="208"/>
      <c r="C28" s="9" t="s">
        <v>30</v>
      </c>
      <c r="D28" s="10">
        <v>4</v>
      </c>
      <c r="E28" s="79">
        <v>43076.23</v>
      </c>
      <c r="F28" s="79">
        <v>40570.19</v>
      </c>
      <c r="G28" s="79">
        <v>38875.050000000003</v>
      </c>
      <c r="H28" s="79">
        <v>37783.19</v>
      </c>
      <c r="I28" s="79">
        <v>37583.730000000003</v>
      </c>
      <c r="J28" s="79">
        <v>37175.17</v>
      </c>
      <c r="K28" s="79">
        <v>37533.26</v>
      </c>
      <c r="L28" s="79">
        <v>41830.370000000003</v>
      </c>
      <c r="M28" s="79">
        <v>46623.7</v>
      </c>
      <c r="N28" s="79">
        <v>49313.440000000002</v>
      </c>
      <c r="O28" s="79">
        <v>51365.33</v>
      </c>
      <c r="P28" s="79">
        <v>52741.279999999999</v>
      </c>
      <c r="Q28" s="79">
        <v>51663.38</v>
      </c>
      <c r="R28" s="79">
        <v>50948.83</v>
      </c>
      <c r="S28" s="79">
        <v>51322.15</v>
      </c>
      <c r="T28" s="79">
        <v>51415.72</v>
      </c>
      <c r="U28" s="79">
        <v>51123.96</v>
      </c>
      <c r="V28" s="79">
        <v>51495.41</v>
      </c>
      <c r="W28" s="79">
        <v>56978.97</v>
      </c>
      <c r="X28" s="79">
        <v>57625.64</v>
      </c>
      <c r="Y28" s="79">
        <v>55920.480000000003</v>
      </c>
      <c r="Z28" s="79">
        <v>53400.63</v>
      </c>
      <c r="AA28" s="79">
        <v>50480.57</v>
      </c>
      <c r="AB28" s="79">
        <v>47093.85</v>
      </c>
      <c r="AC28" s="210"/>
      <c r="AD28" s="18"/>
    </row>
    <row r="29" spans="2:59" ht="18.649999999999999" customHeight="1" x14ac:dyDescent="0.35">
      <c r="B29" s="208"/>
      <c r="C29" s="9" t="s">
        <v>31</v>
      </c>
      <c r="D29" s="10">
        <v>5</v>
      </c>
      <c r="E29" s="79">
        <v>43584.72</v>
      </c>
      <c r="F29" s="79">
        <v>41525.33</v>
      </c>
      <c r="G29" s="79">
        <v>39884.620000000003</v>
      </c>
      <c r="H29" s="79">
        <v>38707.86</v>
      </c>
      <c r="I29" s="79">
        <v>38206.39</v>
      </c>
      <c r="J29" s="79">
        <v>37054.19</v>
      </c>
      <c r="K29" s="79">
        <v>36495.050000000003</v>
      </c>
      <c r="L29" s="79">
        <v>38672.949999999997</v>
      </c>
      <c r="M29" s="79">
        <v>41634.76</v>
      </c>
      <c r="N29" s="79">
        <v>43976.58</v>
      </c>
      <c r="O29" s="79">
        <v>45580.89</v>
      </c>
      <c r="P29" s="79">
        <v>46776.24</v>
      </c>
      <c r="Q29" s="79">
        <v>47457.61</v>
      </c>
      <c r="R29" s="79">
        <v>47602.1</v>
      </c>
      <c r="S29" s="79">
        <v>47800.61</v>
      </c>
      <c r="T29" s="79">
        <v>48327.62</v>
      </c>
      <c r="U29" s="79">
        <v>48189.57</v>
      </c>
      <c r="V29" s="79">
        <v>48960.22</v>
      </c>
      <c r="W29" s="79">
        <v>54642.84</v>
      </c>
      <c r="X29" s="79">
        <v>56144.03</v>
      </c>
      <c r="Y29" s="79">
        <v>55838.69</v>
      </c>
      <c r="Z29" s="79">
        <v>54046.3</v>
      </c>
      <c r="AA29" s="79">
        <v>50428.71</v>
      </c>
      <c r="AB29" s="79">
        <v>45854.57</v>
      </c>
      <c r="AC29" s="210"/>
      <c r="AD29" s="18"/>
    </row>
    <row r="30" spans="2:59" ht="18.649999999999999" customHeight="1" thickBot="1" x14ac:dyDescent="0.4">
      <c r="B30" s="208"/>
      <c r="C30" s="15" t="s">
        <v>32</v>
      </c>
      <c r="D30" s="16">
        <v>3</v>
      </c>
      <c r="E30" s="80">
        <v>43584.72</v>
      </c>
      <c r="F30" s="80">
        <v>41525.33</v>
      </c>
      <c r="G30" s="80">
        <v>39884.620000000003</v>
      </c>
      <c r="H30" s="80">
        <v>38707.86</v>
      </c>
      <c r="I30" s="80">
        <v>38206.39</v>
      </c>
      <c r="J30" s="80">
        <v>37054.19</v>
      </c>
      <c r="K30" s="80">
        <v>36495.050000000003</v>
      </c>
      <c r="L30" s="80">
        <v>38672.949999999997</v>
      </c>
      <c r="M30" s="80">
        <v>41634.76</v>
      </c>
      <c r="N30" s="80">
        <v>43976.58</v>
      </c>
      <c r="O30" s="80">
        <v>45580.89</v>
      </c>
      <c r="P30" s="80">
        <v>46776.24</v>
      </c>
      <c r="Q30" s="80">
        <v>47457.61</v>
      </c>
      <c r="R30" s="80">
        <v>47602.1</v>
      </c>
      <c r="S30" s="80">
        <v>47800.61</v>
      </c>
      <c r="T30" s="80">
        <v>48327.62</v>
      </c>
      <c r="U30" s="80">
        <v>48189.57</v>
      </c>
      <c r="V30" s="80">
        <v>48960.22</v>
      </c>
      <c r="W30" s="80">
        <v>54642.84</v>
      </c>
      <c r="X30" s="80">
        <v>56144.03</v>
      </c>
      <c r="Y30" s="80">
        <v>55838.69</v>
      </c>
      <c r="Z30" s="80">
        <v>54046.3</v>
      </c>
      <c r="AA30" s="80">
        <v>50428.71</v>
      </c>
      <c r="AB30" s="80">
        <v>45854.57</v>
      </c>
      <c r="AC30" s="210"/>
      <c r="AD30" s="18"/>
    </row>
    <row r="31" spans="2:59" ht="18.649999999999999" customHeight="1" x14ac:dyDescent="0.35">
      <c r="B31" s="211">
        <v>46539</v>
      </c>
      <c r="C31" s="6" t="s">
        <v>29</v>
      </c>
      <c r="D31" s="7">
        <v>21</v>
      </c>
      <c r="E31" s="78">
        <v>29555.37</v>
      </c>
      <c r="F31" s="78">
        <v>28071.119999999999</v>
      </c>
      <c r="G31" s="78">
        <v>27039.7</v>
      </c>
      <c r="H31" s="78">
        <v>26232.67</v>
      </c>
      <c r="I31" s="78">
        <v>26313.48</v>
      </c>
      <c r="J31" s="78">
        <v>26675.78</v>
      </c>
      <c r="K31" s="78">
        <v>27251.77</v>
      </c>
      <c r="L31" s="78">
        <v>30683.48</v>
      </c>
      <c r="M31" s="78">
        <v>34024.11</v>
      </c>
      <c r="N31" s="78">
        <v>35677.82</v>
      </c>
      <c r="O31" s="78">
        <v>37590.94</v>
      </c>
      <c r="P31" s="78">
        <v>38848.410000000003</v>
      </c>
      <c r="Q31" s="78">
        <v>37467.230000000003</v>
      </c>
      <c r="R31" s="78">
        <v>38289.050000000003</v>
      </c>
      <c r="S31" s="78">
        <v>40171.699999999997</v>
      </c>
      <c r="T31" s="78">
        <v>40394.980000000003</v>
      </c>
      <c r="U31" s="78">
        <v>39993.35</v>
      </c>
      <c r="V31" s="78">
        <v>38744</v>
      </c>
      <c r="W31" s="78">
        <v>41005.379999999997</v>
      </c>
      <c r="X31" s="78">
        <v>41524.94</v>
      </c>
      <c r="Y31" s="78">
        <v>40168.22</v>
      </c>
      <c r="Z31" s="78">
        <v>38109.33</v>
      </c>
      <c r="AA31" s="78">
        <v>35045.730000000003</v>
      </c>
      <c r="AB31" s="78">
        <v>31956.28</v>
      </c>
      <c r="AC31" s="209">
        <f>SUM(E31:AB31)*D31+SUM(E32:AB32)*D32+SUM(E33:AB33)*D33+SUM(E34:AB34)*D34</f>
        <v>24337482.57</v>
      </c>
      <c r="AD31" s="18"/>
    </row>
    <row r="32" spans="2:59" ht="18.649999999999999" customHeight="1" x14ac:dyDescent="0.35">
      <c r="B32" s="212" t="s">
        <v>34</v>
      </c>
      <c r="C32" s="9" t="s">
        <v>30</v>
      </c>
      <c r="D32" s="10">
        <v>4</v>
      </c>
      <c r="E32" s="79">
        <v>29628.03</v>
      </c>
      <c r="F32" s="79">
        <v>28172.66</v>
      </c>
      <c r="G32" s="79">
        <v>27091.15</v>
      </c>
      <c r="H32" s="79">
        <v>26348.87</v>
      </c>
      <c r="I32" s="79">
        <v>26218.69</v>
      </c>
      <c r="J32" s="79">
        <v>25887.040000000001</v>
      </c>
      <c r="K32" s="79">
        <v>26140.85</v>
      </c>
      <c r="L32" s="79">
        <v>29156.639999999999</v>
      </c>
      <c r="M32" s="79">
        <v>32466.12</v>
      </c>
      <c r="N32" s="79">
        <v>34356.01</v>
      </c>
      <c r="O32" s="79">
        <v>35975.480000000003</v>
      </c>
      <c r="P32" s="79">
        <v>36956.31</v>
      </c>
      <c r="Q32" s="79">
        <v>36281.29</v>
      </c>
      <c r="R32" s="79">
        <v>35551.86</v>
      </c>
      <c r="S32" s="79">
        <v>35662.47</v>
      </c>
      <c r="T32" s="79">
        <v>35685.31</v>
      </c>
      <c r="U32" s="79">
        <v>35270.51</v>
      </c>
      <c r="V32" s="79">
        <v>35412.76</v>
      </c>
      <c r="W32" s="79">
        <v>38473.18</v>
      </c>
      <c r="X32" s="79">
        <v>39280.25</v>
      </c>
      <c r="Y32" s="79">
        <v>38152.42</v>
      </c>
      <c r="Z32" s="79">
        <v>36248.800000000003</v>
      </c>
      <c r="AA32" s="79">
        <v>34037.06</v>
      </c>
      <c r="AB32" s="79">
        <v>31751.31</v>
      </c>
      <c r="AC32" s="210"/>
      <c r="AD32" s="18"/>
    </row>
    <row r="33" spans="2:30" ht="18.649999999999999" customHeight="1" x14ac:dyDescent="0.35">
      <c r="B33" s="212" t="s">
        <v>34</v>
      </c>
      <c r="C33" s="9" t="s">
        <v>31</v>
      </c>
      <c r="D33" s="10">
        <v>4</v>
      </c>
      <c r="E33" s="79">
        <v>30075.61</v>
      </c>
      <c r="F33" s="79">
        <v>28552.31</v>
      </c>
      <c r="G33" s="79">
        <v>27369.09</v>
      </c>
      <c r="H33" s="79">
        <v>26591.4</v>
      </c>
      <c r="I33" s="79">
        <v>26288.07</v>
      </c>
      <c r="J33" s="79">
        <v>25462.2</v>
      </c>
      <c r="K33" s="79">
        <v>24902.65</v>
      </c>
      <c r="L33" s="79">
        <v>26267.97</v>
      </c>
      <c r="M33" s="79">
        <v>28067.95</v>
      </c>
      <c r="N33" s="79">
        <v>29573.200000000001</v>
      </c>
      <c r="O33" s="79">
        <v>30638.45</v>
      </c>
      <c r="P33" s="79">
        <v>31485.49</v>
      </c>
      <c r="Q33" s="79">
        <v>32147.88</v>
      </c>
      <c r="R33" s="79">
        <v>32088.16</v>
      </c>
      <c r="S33" s="79">
        <v>32198.84</v>
      </c>
      <c r="T33" s="79">
        <v>32460.34</v>
      </c>
      <c r="U33" s="79">
        <v>32512.400000000001</v>
      </c>
      <c r="V33" s="79">
        <v>32881.94</v>
      </c>
      <c r="W33" s="79">
        <v>36662.11</v>
      </c>
      <c r="X33" s="79">
        <v>38431.449999999997</v>
      </c>
      <c r="Y33" s="79">
        <v>37945.71</v>
      </c>
      <c r="Z33" s="79">
        <v>36730.76</v>
      </c>
      <c r="AA33" s="79">
        <v>34507.089999999997</v>
      </c>
      <c r="AB33" s="79">
        <v>31985.06</v>
      </c>
      <c r="AC33" s="210"/>
      <c r="AD33" s="18"/>
    </row>
    <row r="34" spans="2:30" ht="18.649999999999999" customHeight="1" thickBot="1" x14ac:dyDescent="0.4">
      <c r="B34" s="213" t="s">
        <v>34</v>
      </c>
      <c r="C34" s="11" t="s">
        <v>32</v>
      </c>
      <c r="D34" s="12">
        <v>1</v>
      </c>
      <c r="E34" s="76">
        <v>30075.61</v>
      </c>
      <c r="F34" s="76">
        <v>28552.31</v>
      </c>
      <c r="G34" s="76">
        <v>27369.09</v>
      </c>
      <c r="H34" s="76">
        <v>26591.4</v>
      </c>
      <c r="I34" s="76">
        <v>26288.07</v>
      </c>
      <c r="J34" s="76">
        <v>25462.2</v>
      </c>
      <c r="K34" s="76">
        <v>24902.65</v>
      </c>
      <c r="L34" s="76">
        <v>26267.97</v>
      </c>
      <c r="M34" s="76">
        <v>28067.95</v>
      </c>
      <c r="N34" s="76">
        <v>29573.200000000001</v>
      </c>
      <c r="O34" s="76">
        <v>30638.45</v>
      </c>
      <c r="P34" s="76">
        <v>31485.49</v>
      </c>
      <c r="Q34" s="76">
        <v>32147.88</v>
      </c>
      <c r="R34" s="76">
        <v>32088.16</v>
      </c>
      <c r="S34" s="76">
        <v>32198.84</v>
      </c>
      <c r="T34" s="76">
        <v>32460.34</v>
      </c>
      <c r="U34" s="76">
        <v>32512.400000000001</v>
      </c>
      <c r="V34" s="76">
        <v>32881.94</v>
      </c>
      <c r="W34" s="76">
        <v>36662.11</v>
      </c>
      <c r="X34" s="76">
        <v>38431.449999999997</v>
      </c>
      <c r="Y34" s="76">
        <v>37945.71</v>
      </c>
      <c r="Z34" s="76">
        <v>36730.76</v>
      </c>
      <c r="AA34" s="76">
        <v>34507.089999999997</v>
      </c>
      <c r="AB34" s="76">
        <v>31985.06</v>
      </c>
      <c r="AC34" s="214"/>
      <c r="AD34" s="18"/>
    </row>
    <row r="35" spans="2:30" ht="18.649999999999999" customHeight="1" x14ac:dyDescent="0.35">
      <c r="B35" s="207">
        <v>46569</v>
      </c>
      <c r="C35" s="13" t="s">
        <v>29</v>
      </c>
      <c r="D35" s="14">
        <v>20</v>
      </c>
      <c r="E35" s="81">
        <v>31605.919999999998</v>
      </c>
      <c r="F35" s="81">
        <v>29990.22</v>
      </c>
      <c r="G35" s="81">
        <v>28784.34</v>
      </c>
      <c r="H35" s="81">
        <v>27979.09</v>
      </c>
      <c r="I35" s="81">
        <v>27949.4</v>
      </c>
      <c r="J35" s="81">
        <v>28668.18</v>
      </c>
      <c r="K35" s="81">
        <v>29040.77</v>
      </c>
      <c r="L35" s="81">
        <v>32617.81</v>
      </c>
      <c r="M35" s="81">
        <v>36124.99</v>
      </c>
      <c r="N35" s="81">
        <v>37928.89</v>
      </c>
      <c r="O35" s="81">
        <v>40025.4</v>
      </c>
      <c r="P35" s="81">
        <v>41597.79</v>
      </c>
      <c r="Q35" s="81">
        <v>40114.879999999997</v>
      </c>
      <c r="R35" s="81">
        <v>41464.57</v>
      </c>
      <c r="S35" s="81">
        <v>43825.46</v>
      </c>
      <c r="T35" s="81">
        <v>44085.02</v>
      </c>
      <c r="U35" s="81">
        <v>43486.720000000001</v>
      </c>
      <c r="V35" s="81">
        <v>41638.81</v>
      </c>
      <c r="W35" s="81">
        <v>43485.4</v>
      </c>
      <c r="X35" s="81">
        <v>44498.99</v>
      </c>
      <c r="Y35" s="81">
        <v>43293.37</v>
      </c>
      <c r="Z35" s="81">
        <v>41141</v>
      </c>
      <c r="AA35" s="81">
        <v>37776.42</v>
      </c>
      <c r="AB35" s="81">
        <v>34520.65</v>
      </c>
      <c r="AC35" s="210">
        <f>SUM(E35:AB35)*D35+SUM(E36:AB36)*D36+SUM(E37:AB37)*D37+SUM(E38:AB38)*D38</f>
        <v>26662098.829999998</v>
      </c>
      <c r="AD35" s="18"/>
    </row>
    <row r="36" spans="2:30" ht="18.649999999999999" customHeight="1" x14ac:dyDescent="0.35">
      <c r="B36" s="208"/>
      <c r="C36" s="9" t="s">
        <v>30</v>
      </c>
      <c r="D36" s="10">
        <v>5</v>
      </c>
      <c r="E36" s="79">
        <v>32195.24</v>
      </c>
      <c r="F36" s="79">
        <v>30375.41</v>
      </c>
      <c r="G36" s="79">
        <v>29066.05</v>
      </c>
      <c r="H36" s="79">
        <v>28272.58</v>
      </c>
      <c r="I36" s="79">
        <v>27896.93</v>
      </c>
      <c r="J36" s="79">
        <v>27613.84</v>
      </c>
      <c r="K36" s="79">
        <v>27737.86</v>
      </c>
      <c r="L36" s="79">
        <v>30775.55</v>
      </c>
      <c r="M36" s="79">
        <v>34342.019999999997</v>
      </c>
      <c r="N36" s="79">
        <v>36401.760000000002</v>
      </c>
      <c r="O36" s="79">
        <v>38339.370000000003</v>
      </c>
      <c r="P36" s="79">
        <v>39307.79</v>
      </c>
      <c r="Q36" s="79">
        <v>38679.61</v>
      </c>
      <c r="R36" s="79">
        <v>38120.42</v>
      </c>
      <c r="S36" s="79">
        <v>38117.68</v>
      </c>
      <c r="T36" s="79">
        <v>37892.49</v>
      </c>
      <c r="U36" s="79">
        <v>37529.78</v>
      </c>
      <c r="V36" s="79">
        <v>37654.839999999997</v>
      </c>
      <c r="W36" s="79">
        <v>40016.36</v>
      </c>
      <c r="X36" s="79">
        <v>40917.67</v>
      </c>
      <c r="Y36" s="79">
        <v>39576.949999999997</v>
      </c>
      <c r="Z36" s="79">
        <v>37919.68</v>
      </c>
      <c r="AA36" s="79">
        <v>35817.25</v>
      </c>
      <c r="AB36" s="79">
        <v>33408.76</v>
      </c>
      <c r="AC36" s="210"/>
      <c r="AD36" s="18"/>
    </row>
    <row r="37" spans="2:30" ht="18.649999999999999" customHeight="1" x14ac:dyDescent="0.35">
      <c r="B37" s="208"/>
      <c r="C37" s="9" t="s">
        <v>31</v>
      </c>
      <c r="D37" s="10">
        <v>4</v>
      </c>
      <c r="E37" s="79">
        <v>30276.97</v>
      </c>
      <c r="F37" s="79">
        <v>28861.33</v>
      </c>
      <c r="G37" s="79">
        <v>27626.79</v>
      </c>
      <c r="H37" s="79">
        <v>26872.84</v>
      </c>
      <c r="I37" s="79">
        <v>26567.98</v>
      </c>
      <c r="J37" s="79">
        <v>25918.29</v>
      </c>
      <c r="K37" s="79">
        <v>25346.2</v>
      </c>
      <c r="L37" s="79">
        <v>26912.9</v>
      </c>
      <c r="M37" s="79">
        <v>28839.16</v>
      </c>
      <c r="N37" s="79">
        <v>30391.15</v>
      </c>
      <c r="O37" s="79">
        <v>31714.87</v>
      </c>
      <c r="P37" s="79">
        <v>32843.06</v>
      </c>
      <c r="Q37" s="79">
        <v>33658.78</v>
      </c>
      <c r="R37" s="79">
        <v>33865.760000000002</v>
      </c>
      <c r="S37" s="79">
        <v>34058.080000000002</v>
      </c>
      <c r="T37" s="79">
        <v>34508.400000000001</v>
      </c>
      <c r="U37" s="79">
        <v>34447.56</v>
      </c>
      <c r="V37" s="79">
        <v>34610.69</v>
      </c>
      <c r="W37" s="79">
        <v>38536.06</v>
      </c>
      <c r="X37" s="79">
        <v>40738.089999999997</v>
      </c>
      <c r="Y37" s="79">
        <v>40122.11</v>
      </c>
      <c r="Z37" s="79">
        <v>38473.480000000003</v>
      </c>
      <c r="AA37" s="79">
        <v>35512.080000000002</v>
      </c>
      <c r="AB37" s="79">
        <v>32520.3</v>
      </c>
      <c r="AC37" s="210"/>
      <c r="AD37" s="18"/>
    </row>
    <row r="38" spans="2:30" ht="18.649999999999999" customHeight="1" thickBot="1" x14ac:dyDescent="0.4">
      <c r="B38" s="208"/>
      <c r="C38" s="15" t="s">
        <v>32</v>
      </c>
      <c r="D38" s="16">
        <v>2</v>
      </c>
      <c r="E38" s="80">
        <v>30276.97</v>
      </c>
      <c r="F38" s="80">
        <v>28861.33</v>
      </c>
      <c r="G38" s="80">
        <v>27626.79</v>
      </c>
      <c r="H38" s="80">
        <v>26872.84</v>
      </c>
      <c r="I38" s="80">
        <v>26567.98</v>
      </c>
      <c r="J38" s="80">
        <v>25918.29</v>
      </c>
      <c r="K38" s="80">
        <v>25346.2</v>
      </c>
      <c r="L38" s="80">
        <v>26912.9</v>
      </c>
      <c r="M38" s="80">
        <v>28839.16</v>
      </c>
      <c r="N38" s="80">
        <v>30391.15</v>
      </c>
      <c r="O38" s="80">
        <v>31714.87</v>
      </c>
      <c r="P38" s="80">
        <v>32843.06</v>
      </c>
      <c r="Q38" s="80">
        <v>33658.78</v>
      </c>
      <c r="R38" s="80">
        <v>33865.760000000002</v>
      </c>
      <c r="S38" s="80">
        <v>34058.080000000002</v>
      </c>
      <c r="T38" s="80">
        <v>34508.400000000001</v>
      </c>
      <c r="U38" s="80">
        <v>34447.56</v>
      </c>
      <c r="V38" s="80">
        <v>34610.69</v>
      </c>
      <c r="W38" s="80">
        <v>38536.06</v>
      </c>
      <c r="X38" s="80">
        <v>40738.089999999997</v>
      </c>
      <c r="Y38" s="80">
        <v>40122.11</v>
      </c>
      <c r="Z38" s="80">
        <v>38473.480000000003</v>
      </c>
      <c r="AA38" s="80">
        <v>35512.080000000002</v>
      </c>
      <c r="AB38" s="80">
        <v>32520.3</v>
      </c>
      <c r="AC38" s="210"/>
      <c r="AD38" s="18"/>
    </row>
    <row r="39" spans="2:30" ht="18.649999999999999" customHeight="1" x14ac:dyDescent="0.35">
      <c r="B39" s="211">
        <v>46600</v>
      </c>
      <c r="C39" s="6" t="s">
        <v>29</v>
      </c>
      <c r="D39" s="7">
        <v>21</v>
      </c>
      <c r="E39" s="78">
        <v>35863.18</v>
      </c>
      <c r="F39" s="78">
        <v>33901.339999999997</v>
      </c>
      <c r="G39" s="78">
        <v>32512.23</v>
      </c>
      <c r="H39" s="78">
        <v>31564.7</v>
      </c>
      <c r="I39" s="78">
        <v>31532.240000000002</v>
      </c>
      <c r="J39" s="78">
        <v>32585.97</v>
      </c>
      <c r="K39" s="78">
        <v>32969.31</v>
      </c>
      <c r="L39" s="78">
        <v>36675.25</v>
      </c>
      <c r="M39" s="78">
        <v>40669.949999999997</v>
      </c>
      <c r="N39" s="78">
        <v>42671.14</v>
      </c>
      <c r="O39" s="78">
        <v>45159.29</v>
      </c>
      <c r="P39" s="78">
        <v>47219.9</v>
      </c>
      <c r="Q39" s="78">
        <v>45321.65</v>
      </c>
      <c r="R39" s="78">
        <v>46803.75</v>
      </c>
      <c r="S39" s="78">
        <v>49617.91</v>
      </c>
      <c r="T39" s="78">
        <v>49936.59</v>
      </c>
      <c r="U39" s="78">
        <v>49080.22</v>
      </c>
      <c r="V39" s="78">
        <v>47282.44</v>
      </c>
      <c r="W39" s="78">
        <v>50112.79</v>
      </c>
      <c r="X39" s="78">
        <v>50894.3</v>
      </c>
      <c r="Y39" s="78">
        <v>49464.1</v>
      </c>
      <c r="Z39" s="78">
        <v>46934.47</v>
      </c>
      <c r="AA39" s="78">
        <v>43038</v>
      </c>
      <c r="AB39" s="78">
        <v>39357.42</v>
      </c>
      <c r="AC39" s="209">
        <f>SUM(E39:AB39)*D39+SUM(E40:AB40)*D40+SUM(E41:AB41)*D41+SUM(E42:AB42)*D42</f>
        <v>30317580.780000001</v>
      </c>
      <c r="AD39" s="18"/>
    </row>
    <row r="40" spans="2:30" ht="18.649999999999999" customHeight="1" x14ac:dyDescent="0.35">
      <c r="B40" s="212" t="s">
        <v>34</v>
      </c>
      <c r="C40" s="9" t="s">
        <v>30</v>
      </c>
      <c r="D40" s="10">
        <v>3</v>
      </c>
      <c r="E40" s="79">
        <v>36354.17</v>
      </c>
      <c r="F40" s="79">
        <v>34484.82</v>
      </c>
      <c r="G40" s="79">
        <v>33098.76</v>
      </c>
      <c r="H40" s="79">
        <v>32046.77</v>
      </c>
      <c r="I40" s="79">
        <v>31415.97</v>
      </c>
      <c r="J40" s="79">
        <v>31145.119999999999</v>
      </c>
      <c r="K40" s="79">
        <v>31193.69</v>
      </c>
      <c r="L40" s="79">
        <v>34530.94</v>
      </c>
      <c r="M40" s="79">
        <v>38186.480000000003</v>
      </c>
      <c r="N40" s="79">
        <v>40511.699999999997</v>
      </c>
      <c r="O40" s="79">
        <v>42420.88</v>
      </c>
      <c r="P40" s="79">
        <v>43067.01</v>
      </c>
      <c r="Q40" s="79">
        <v>42327.46</v>
      </c>
      <c r="R40" s="79">
        <v>41747.589999999997</v>
      </c>
      <c r="S40" s="79">
        <v>42208.24</v>
      </c>
      <c r="T40" s="79">
        <v>42391.78</v>
      </c>
      <c r="U40" s="79">
        <v>42112.62</v>
      </c>
      <c r="V40" s="79">
        <v>42437.919999999998</v>
      </c>
      <c r="W40" s="79">
        <v>46844.07</v>
      </c>
      <c r="X40" s="79">
        <v>47216.38</v>
      </c>
      <c r="Y40" s="79">
        <v>45495.16</v>
      </c>
      <c r="Z40" s="79">
        <v>43431.09</v>
      </c>
      <c r="AA40" s="79">
        <v>40766.44</v>
      </c>
      <c r="AB40" s="79">
        <v>37859.06</v>
      </c>
      <c r="AC40" s="210"/>
      <c r="AD40" s="18"/>
    </row>
    <row r="41" spans="2:30" ht="18.649999999999999" customHeight="1" x14ac:dyDescent="0.35">
      <c r="B41" s="212" t="s">
        <v>34</v>
      </c>
      <c r="C41" s="9" t="s">
        <v>31</v>
      </c>
      <c r="D41" s="10">
        <v>5</v>
      </c>
      <c r="E41" s="79">
        <v>35477.07</v>
      </c>
      <c r="F41" s="79">
        <v>33750.85</v>
      </c>
      <c r="G41" s="79">
        <v>32254.720000000001</v>
      </c>
      <c r="H41" s="79">
        <v>31387.51</v>
      </c>
      <c r="I41" s="79">
        <v>30935.4</v>
      </c>
      <c r="J41" s="79">
        <v>30464.44</v>
      </c>
      <c r="K41" s="79">
        <v>29645.53</v>
      </c>
      <c r="L41" s="79">
        <v>31324.62</v>
      </c>
      <c r="M41" s="79">
        <v>33340.720000000001</v>
      </c>
      <c r="N41" s="79">
        <v>35054.379999999997</v>
      </c>
      <c r="O41" s="79">
        <v>36507.93</v>
      </c>
      <c r="P41" s="79">
        <v>37719.56</v>
      </c>
      <c r="Q41" s="79">
        <v>38442</v>
      </c>
      <c r="R41" s="79">
        <v>38593.33</v>
      </c>
      <c r="S41" s="79">
        <v>38826.120000000003</v>
      </c>
      <c r="T41" s="79">
        <v>39106.449999999997</v>
      </c>
      <c r="U41" s="79">
        <v>39101.64</v>
      </c>
      <c r="V41" s="79">
        <v>39757.19</v>
      </c>
      <c r="W41" s="79">
        <v>44740.27</v>
      </c>
      <c r="X41" s="79">
        <v>46671.85</v>
      </c>
      <c r="Y41" s="79">
        <v>46289.56</v>
      </c>
      <c r="Z41" s="79">
        <v>44635.5</v>
      </c>
      <c r="AA41" s="79">
        <v>41368.67</v>
      </c>
      <c r="AB41" s="79">
        <v>37914.33</v>
      </c>
      <c r="AC41" s="210"/>
      <c r="AD41" s="18"/>
    </row>
    <row r="42" spans="2:30" ht="18.649999999999999" customHeight="1" thickBot="1" x14ac:dyDescent="0.4">
      <c r="B42" s="213" t="s">
        <v>34</v>
      </c>
      <c r="C42" s="11" t="s">
        <v>32</v>
      </c>
      <c r="D42" s="12">
        <v>2</v>
      </c>
      <c r="E42" s="76">
        <v>35477.07</v>
      </c>
      <c r="F42" s="76">
        <v>33750.85</v>
      </c>
      <c r="G42" s="76">
        <v>32254.720000000001</v>
      </c>
      <c r="H42" s="76">
        <v>31387.51</v>
      </c>
      <c r="I42" s="76">
        <v>30935.4</v>
      </c>
      <c r="J42" s="76">
        <v>30464.44</v>
      </c>
      <c r="K42" s="76">
        <v>29645.53</v>
      </c>
      <c r="L42" s="76">
        <v>31324.62</v>
      </c>
      <c r="M42" s="76">
        <v>33340.720000000001</v>
      </c>
      <c r="N42" s="76">
        <v>35054.379999999997</v>
      </c>
      <c r="O42" s="76">
        <v>36507.93</v>
      </c>
      <c r="P42" s="76">
        <v>37719.56</v>
      </c>
      <c r="Q42" s="76">
        <v>38442</v>
      </c>
      <c r="R42" s="76">
        <v>38593.33</v>
      </c>
      <c r="S42" s="76">
        <v>38826.120000000003</v>
      </c>
      <c r="T42" s="76">
        <v>39106.449999999997</v>
      </c>
      <c r="U42" s="76">
        <v>39101.64</v>
      </c>
      <c r="V42" s="76">
        <v>39757.19</v>
      </c>
      <c r="W42" s="76">
        <v>44740.27</v>
      </c>
      <c r="X42" s="76">
        <v>46671.85</v>
      </c>
      <c r="Y42" s="76">
        <v>46289.56</v>
      </c>
      <c r="Z42" s="76">
        <v>44635.5</v>
      </c>
      <c r="AA42" s="76">
        <v>41368.67</v>
      </c>
      <c r="AB42" s="76">
        <v>37914.33</v>
      </c>
      <c r="AC42" s="214"/>
      <c r="AD42" s="18"/>
    </row>
    <row r="43" spans="2:30" ht="18.649999999999999" customHeight="1" x14ac:dyDescent="0.35">
      <c r="B43" s="207">
        <v>46631</v>
      </c>
      <c r="C43" s="13" t="s">
        <v>29</v>
      </c>
      <c r="D43" s="14">
        <v>22</v>
      </c>
      <c r="E43" s="81">
        <v>34618.44</v>
      </c>
      <c r="F43" s="81">
        <v>32802.58</v>
      </c>
      <c r="G43" s="81">
        <v>31464.89</v>
      </c>
      <c r="H43" s="81">
        <v>30485.14</v>
      </c>
      <c r="I43" s="81">
        <v>30450.53</v>
      </c>
      <c r="J43" s="81">
        <v>31435.99</v>
      </c>
      <c r="K43" s="81">
        <v>31880.3</v>
      </c>
      <c r="L43" s="81">
        <v>35529.85</v>
      </c>
      <c r="M43" s="81">
        <v>39460.42</v>
      </c>
      <c r="N43" s="81">
        <v>41422.959999999999</v>
      </c>
      <c r="O43" s="81">
        <v>43532.56</v>
      </c>
      <c r="P43" s="81">
        <v>45335.35</v>
      </c>
      <c r="Q43" s="81">
        <v>43696.77</v>
      </c>
      <c r="R43" s="81">
        <v>44973.57</v>
      </c>
      <c r="S43" s="81">
        <v>47524.45</v>
      </c>
      <c r="T43" s="81">
        <v>47849.7</v>
      </c>
      <c r="U43" s="81">
        <v>47110.39</v>
      </c>
      <c r="V43" s="81">
        <v>45912.53</v>
      </c>
      <c r="W43" s="81">
        <v>48983.95</v>
      </c>
      <c r="X43" s="81">
        <v>48521.33</v>
      </c>
      <c r="Y43" s="81">
        <v>46972.12</v>
      </c>
      <c r="Z43" s="81">
        <v>44438.67</v>
      </c>
      <c r="AA43" s="81">
        <v>40637.53</v>
      </c>
      <c r="AB43" s="81">
        <v>37140.720000000001</v>
      </c>
      <c r="AC43" s="210">
        <f>SUM(E43:AB43)*D43+SUM(E44:AB44)*D44+SUM(E45:AB45)*D45+SUM(E46:AB46)*D46</f>
        <v>28465749.720000003</v>
      </c>
      <c r="AD43" s="18"/>
    </row>
    <row r="44" spans="2:30" ht="18.649999999999999" customHeight="1" x14ac:dyDescent="0.35">
      <c r="B44" s="208"/>
      <c r="C44" s="9" t="s">
        <v>30</v>
      </c>
      <c r="D44" s="10">
        <v>4</v>
      </c>
      <c r="E44" s="79">
        <v>33717.61</v>
      </c>
      <c r="F44" s="79">
        <v>32013.3</v>
      </c>
      <c r="G44" s="79">
        <v>30733.02</v>
      </c>
      <c r="H44" s="79">
        <v>29789.39</v>
      </c>
      <c r="I44" s="79">
        <v>29538.5</v>
      </c>
      <c r="J44" s="79">
        <v>29368.42</v>
      </c>
      <c r="K44" s="79">
        <v>29705.15</v>
      </c>
      <c r="L44" s="79">
        <v>33091.699999999997</v>
      </c>
      <c r="M44" s="79">
        <v>36879.519999999997</v>
      </c>
      <c r="N44" s="79">
        <v>38745.31</v>
      </c>
      <c r="O44" s="79">
        <v>41014.5</v>
      </c>
      <c r="P44" s="79">
        <v>42024.66</v>
      </c>
      <c r="Q44" s="79">
        <v>41556.730000000003</v>
      </c>
      <c r="R44" s="79">
        <v>41048.42</v>
      </c>
      <c r="S44" s="79">
        <v>41332.080000000002</v>
      </c>
      <c r="T44" s="79">
        <v>41243.839999999997</v>
      </c>
      <c r="U44" s="79">
        <v>40753.519999999997</v>
      </c>
      <c r="V44" s="79">
        <v>41753.29</v>
      </c>
      <c r="W44" s="79">
        <v>46394.400000000001</v>
      </c>
      <c r="X44" s="79">
        <v>46050.95</v>
      </c>
      <c r="Y44" s="79">
        <v>44425.27</v>
      </c>
      <c r="Z44" s="79">
        <v>42381.1</v>
      </c>
      <c r="AA44" s="79">
        <v>40039</v>
      </c>
      <c r="AB44" s="79">
        <v>37240.47</v>
      </c>
      <c r="AC44" s="210"/>
      <c r="AD44" s="18"/>
    </row>
    <row r="45" spans="2:30" ht="18.649999999999999" customHeight="1" x14ac:dyDescent="0.35">
      <c r="B45" s="208"/>
      <c r="C45" s="9" t="s">
        <v>31</v>
      </c>
      <c r="D45" s="10">
        <v>4</v>
      </c>
      <c r="E45" s="79">
        <v>34511.22</v>
      </c>
      <c r="F45" s="79">
        <v>32752.49</v>
      </c>
      <c r="G45" s="79">
        <v>31242.46</v>
      </c>
      <c r="H45" s="79">
        <v>30242.89</v>
      </c>
      <c r="I45" s="79">
        <v>29819.78</v>
      </c>
      <c r="J45" s="79">
        <v>29010.560000000001</v>
      </c>
      <c r="K45" s="79">
        <v>28252.3</v>
      </c>
      <c r="L45" s="79">
        <v>30028.71</v>
      </c>
      <c r="M45" s="79">
        <v>31959.56</v>
      </c>
      <c r="N45" s="79">
        <v>33832.480000000003</v>
      </c>
      <c r="O45" s="79">
        <v>35265.82</v>
      </c>
      <c r="P45" s="79">
        <v>36207.360000000001</v>
      </c>
      <c r="Q45" s="79">
        <v>37014.28</v>
      </c>
      <c r="R45" s="79">
        <v>37127.870000000003</v>
      </c>
      <c r="S45" s="79">
        <v>37150.11</v>
      </c>
      <c r="T45" s="79">
        <v>37612.29</v>
      </c>
      <c r="U45" s="79">
        <v>37572.43</v>
      </c>
      <c r="V45" s="79">
        <v>38794.550000000003</v>
      </c>
      <c r="W45" s="79">
        <v>43868.2</v>
      </c>
      <c r="X45" s="79">
        <v>44597.95</v>
      </c>
      <c r="Y45" s="79">
        <v>44021.87</v>
      </c>
      <c r="Z45" s="79">
        <v>42359.56</v>
      </c>
      <c r="AA45" s="79">
        <v>39305.42</v>
      </c>
      <c r="AB45" s="79">
        <v>36053.050000000003</v>
      </c>
      <c r="AC45" s="210"/>
      <c r="AD45" s="18"/>
    </row>
    <row r="46" spans="2:30" ht="18.649999999999999" customHeight="1" thickBot="1" x14ac:dyDescent="0.4">
      <c r="B46" s="208"/>
      <c r="C46" s="15" t="s">
        <v>32</v>
      </c>
      <c r="D46" s="16">
        <v>0</v>
      </c>
      <c r="E46" s="193">
        <v>0</v>
      </c>
      <c r="F46" s="193">
        <v>0</v>
      </c>
      <c r="G46" s="193">
        <v>0</v>
      </c>
      <c r="H46" s="193">
        <v>0</v>
      </c>
      <c r="I46" s="193">
        <v>0</v>
      </c>
      <c r="J46" s="193">
        <v>0</v>
      </c>
      <c r="K46" s="193">
        <v>0</v>
      </c>
      <c r="L46" s="193">
        <v>0</v>
      </c>
      <c r="M46" s="193">
        <v>0</v>
      </c>
      <c r="N46" s="193">
        <v>0</v>
      </c>
      <c r="O46" s="193">
        <v>0</v>
      </c>
      <c r="P46" s="193">
        <v>0</v>
      </c>
      <c r="Q46" s="193">
        <v>0</v>
      </c>
      <c r="R46" s="193">
        <v>0</v>
      </c>
      <c r="S46" s="193">
        <v>0</v>
      </c>
      <c r="T46" s="193">
        <v>0</v>
      </c>
      <c r="U46" s="193">
        <v>0</v>
      </c>
      <c r="V46" s="193">
        <v>0</v>
      </c>
      <c r="W46" s="193">
        <v>0</v>
      </c>
      <c r="X46" s="193">
        <v>0</v>
      </c>
      <c r="Y46" s="193">
        <v>0</v>
      </c>
      <c r="Z46" s="193">
        <v>0</v>
      </c>
      <c r="AA46" s="193">
        <v>0</v>
      </c>
      <c r="AB46" s="193">
        <v>0</v>
      </c>
      <c r="AC46" s="210"/>
      <c r="AD46" s="18"/>
    </row>
    <row r="47" spans="2:30" ht="18.649999999999999" customHeight="1" x14ac:dyDescent="0.35">
      <c r="B47" s="211">
        <v>46661</v>
      </c>
      <c r="C47" s="6" t="s">
        <v>29</v>
      </c>
      <c r="D47" s="7">
        <v>20</v>
      </c>
      <c r="E47" s="78">
        <v>34012.83</v>
      </c>
      <c r="F47" s="78">
        <v>32222.41</v>
      </c>
      <c r="G47" s="78">
        <v>30943.11</v>
      </c>
      <c r="H47" s="78">
        <v>30012.91</v>
      </c>
      <c r="I47" s="78">
        <v>30110.02</v>
      </c>
      <c r="J47" s="78">
        <v>31009.3</v>
      </c>
      <c r="K47" s="78">
        <v>31823.48</v>
      </c>
      <c r="L47" s="78">
        <v>35446.39</v>
      </c>
      <c r="M47" s="78">
        <v>39299.01</v>
      </c>
      <c r="N47" s="78">
        <v>41316.78</v>
      </c>
      <c r="O47" s="78">
        <v>43418.12</v>
      </c>
      <c r="P47" s="78">
        <v>45081.98</v>
      </c>
      <c r="Q47" s="78">
        <v>43136.95</v>
      </c>
      <c r="R47" s="78">
        <v>44290.11</v>
      </c>
      <c r="S47" s="78">
        <v>46776.26</v>
      </c>
      <c r="T47" s="78">
        <v>47338.19</v>
      </c>
      <c r="U47" s="78">
        <v>46812.15</v>
      </c>
      <c r="V47" s="78">
        <v>46828.67</v>
      </c>
      <c r="W47" s="78">
        <v>49734.46</v>
      </c>
      <c r="X47" s="78">
        <v>48626.11</v>
      </c>
      <c r="Y47" s="78">
        <v>46820.18</v>
      </c>
      <c r="Z47" s="78">
        <v>44257.760000000002</v>
      </c>
      <c r="AA47" s="78">
        <v>40481.19</v>
      </c>
      <c r="AB47" s="78">
        <v>36833.949999999997</v>
      </c>
      <c r="AC47" s="209">
        <f>SUM(E47:AB47)*D47+SUM(E48:AB48)*D48+SUM(E49:AB49)*D49+SUM(E50:AB50)*D50</f>
        <v>29190980.369999994</v>
      </c>
      <c r="AD47" s="18"/>
    </row>
    <row r="48" spans="2:30" ht="18.649999999999999" customHeight="1" x14ac:dyDescent="0.35">
      <c r="B48" s="212" t="s">
        <v>34</v>
      </c>
      <c r="C48" s="9" t="s">
        <v>30</v>
      </c>
      <c r="D48" s="10">
        <v>5</v>
      </c>
      <c r="E48" s="79">
        <v>34633.29</v>
      </c>
      <c r="F48" s="79">
        <v>32688.54</v>
      </c>
      <c r="G48" s="79">
        <v>31146.86</v>
      </c>
      <c r="H48" s="79">
        <v>30187.13</v>
      </c>
      <c r="I48" s="79">
        <v>30168.03</v>
      </c>
      <c r="J48" s="79">
        <v>30039.91</v>
      </c>
      <c r="K48" s="79">
        <v>30505.11</v>
      </c>
      <c r="L48" s="79">
        <v>33527.279999999999</v>
      </c>
      <c r="M48" s="79">
        <v>37291.410000000003</v>
      </c>
      <c r="N48" s="79">
        <v>39438.639999999999</v>
      </c>
      <c r="O48" s="79">
        <v>41651.78</v>
      </c>
      <c r="P48" s="79">
        <v>42752.87</v>
      </c>
      <c r="Q48" s="79">
        <v>41950.32</v>
      </c>
      <c r="R48" s="79">
        <v>41433.03</v>
      </c>
      <c r="S48" s="79">
        <v>41868.050000000003</v>
      </c>
      <c r="T48" s="79">
        <v>42307.51</v>
      </c>
      <c r="U48" s="79">
        <v>41985.07</v>
      </c>
      <c r="V48" s="79">
        <v>43518.95</v>
      </c>
      <c r="W48" s="79">
        <v>47631.15</v>
      </c>
      <c r="X48" s="79">
        <v>46751.42</v>
      </c>
      <c r="Y48" s="79">
        <v>44947.26</v>
      </c>
      <c r="Z48" s="79">
        <v>42678.27</v>
      </c>
      <c r="AA48" s="79">
        <v>39959.79</v>
      </c>
      <c r="AB48" s="79">
        <v>37089.019999999997</v>
      </c>
      <c r="AC48" s="210"/>
      <c r="AD48" s="18"/>
    </row>
    <row r="49" spans="2:62" ht="18.649999999999999" customHeight="1" x14ac:dyDescent="0.35">
      <c r="B49" s="212" t="s">
        <v>34</v>
      </c>
      <c r="C49" s="9" t="s">
        <v>31</v>
      </c>
      <c r="D49" s="10">
        <v>5</v>
      </c>
      <c r="E49" s="79">
        <v>34454.019999999997</v>
      </c>
      <c r="F49" s="79">
        <v>32646.3</v>
      </c>
      <c r="G49" s="79">
        <v>31210.73</v>
      </c>
      <c r="H49" s="79">
        <v>30322.35</v>
      </c>
      <c r="I49" s="79">
        <v>29923.3</v>
      </c>
      <c r="J49" s="79">
        <v>29281.72</v>
      </c>
      <c r="K49" s="79">
        <v>28499.3</v>
      </c>
      <c r="L49" s="79">
        <v>30189.64</v>
      </c>
      <c r="M49" s="79">
        <v>32384.98</v>
      </c>
      <c r="N49" s="79">
        <v>34139.39</v>
      </c>
      <c r="O49" s="79">
        <v>35821.71</v>
      </c>
      <c r="P49" s="79">
        <v>37166.959999999999</v>
      </c>
      <c r="Q49" s="79">
        <v>37837.82</v>
      </c>
      <c r="R49" s="79">
        <v>37909.75</v>
      </c>
      <c r="S49" s="79">
        <v>38145.11</v>
      </c>
      <c r="T49" s="79">
        <v>38103.14</v>
      </c>
      <c r="U49" s="79">
        <v>38387.51</v>
      </c>
      <c r="V49" s="79">
        <v>40268.44</v>
      </c>
      <c r="W49" s="79">
        <v>45154.89</v>
      </c>
      <c r="X49" s="79">
        <v>45453.49</v>
      </c>
      <c r="Y49" s="79">
        <v>44747.06</v>
      </c>
      <c r="Z49" s="79">
        <v>42972.21</v>
      </c>
      <c r="AA49" s="79">
        <v>39750.53</v>
      </c>
      <c r="AB49" s="79">
        <v>36493.07</v>
      </c>
      <c r="AC49" s="210"/>
      <c r="AD49" s="18"/>
    </row>
    <row r="50" spans="2:62" ht="18.649999999999999" customHeight="1" thickBot="1" x14ac:dyDescent="0.4">
      <c r="B50" s="213" t="s">
        <v>34</v>
      </c>
      <c r="C50" s="11" t="s">
        <v>32</v>
      </c>
      <c r="D50" s="12">
        <v>1</v>
      </c>
      <c r="E50" s="269">
        <v>34454.019999999997</v>
      </c>
      <c r="F50" s="76">
        <v>32646.3</v>
      </c>
      <c r="G50" s="76">
        <v>31210.73</v>
      </c>
      <c r="H50" s="76">
        <v>30322.35</v>
      </c>
      <c r="I50" s="76">
        <v>29923.3</v>
      </c>
      <c r="J50" s="76">
        <v>29281.72</v>
      </c>
      <c r="K50" s="76">
        <v>28499.3</v>
      </c>
      <c r="L50" s="76">
        <v>30189.64</v>
      </c>
      <c r="M50" s="76">
        <v>32384.98</v>
      </c>
      <c r="N50" s="76">
        <v>34139.39</v>
      </c>
      <c r="O50" s="76">
        <v>35821.71</v>
      </c>
      <c r="P50" s="76">
        <v>37166.959999999999</v>
      </c>
      <c r="Q50" s="76">
        <v>37837.82</v>
      </c>
      <c r="R50" s="76">
        <v>37909.75</v>
      </c>
      <c r="S50" s="76">
        <v>38145.11</v>
      </c>
      <c r="T50" s="76">
        <v>38103.14</v>
      </c>
      <c r="U50" s="76">
        <v>38387.51</v>
      </c>
      <c r="V50" s="76">
        <v>40268.44</v>
      </c>
      <c r="W50" s="76">
        <v>45154.89</v>
      </c>
      <c r="X50" s="76">
        <v>45453.49</v>
      </c>
      <c r="Y50" s="76">
        <v>44747.06</v>
      </c>
      <c r="Z50" s="76">
        <v>42972.21</v>
      </c>
      <c r="AA50" s="76">
        <v>39750.53</v>
      </c>
      <c r="AB50" s="76">
        <v>36493.07</v>
      </c>
      <c r="AC50" s="214"/>
      <c r="AD50" s="18"/>
    </row>
    <row r="51" spans="2:62" ht="18.649999999999999" customHeight="1" x14ac:dyDescent="0.35">
      <c r="B51" s="207">
        <v>46692</v>
      </c>
      <c r="C51" s="13" t="s">
        <v>29</v>
      </c>
      <c r="D51" s="14">
        <v>20</v>
      </c>
      <c r="E51" s="81">
        <v>31356.21</v>
      </c>
      <c r="F51" s="81">
        <v>29745</v>
      </c>
      <c r="G51" s="81">
        <v>28571.73</v>
      </c>
      <c r="H51" s="81">
        <v>27777</v>
      </c>
      <c r="I51" s="81">
        <v>27855.360000000001</v>
      </c>
      <c r="J51" s="81">
        <v>28682.48</v>
      </c>
      <c r="K51" s="81">
        <v>29437.75</v>
      </c>
      <c r="L51" s="81">
        <v>32939.31</v>
      </c>
      <c r="M51" s="81">
        <v>36543.120000000003</v>
      </c>
      <c r="N51" s="81">
        <v>38330.83</v>
      </c>
      <c r="O51" s="81">
        <v>40196.550000000003</v>
      </c>
      <c r="P51" s="81">
        <v>41511.53</v>
      </c>
      <c r="Q51" s="81">
        <v>39809.35</v>
      </c>
      <c r="R51" s="81">
        <v>40705.449999999997</v>
      </c>
      <c r="S51" s="81">
        <v>42735.66</v>
      </c>
      <c r="T51" s="81">
        <v>43258.07</v>
      </c>
      <c r="U51" s="81">
        <v>42835.67</v>
      </c>
      <c r="V51" s="81">
        <v>43395.28</v>
      </c>
      <c r="W51" s="81">
        <v>45519.7</v>
      </c>
      <c r="X51" s="81">
        <v>44465.43</v>
      </c>
      <c r="Y51" s="81">
        <v>42889.2</v>
      </c>
      <c r="Z51" s="81">
        <v>40605.33</v>
      </c>
      <c r="AA51" s="81">
        <v>37264.39</v>
      </c>
      <c r="AB51" s="81">
        <v>33966.480000000003</v>
      </c>
      <c r="AC51" s="210">
        <f>SUM(E51:AB51)*D51+SUM(E52:AB52)*D52+SUM(E53:AB53)*D53+SUM(E54:AB54)*D54</f>
        <v>25956769.579999998</v>
      </c>
      <c r="AD51" s="18"/>
    </row>
    <row r="52" spans="2:62" ht="18.649999999999999" customHeight="1" x14ac:dyDescent="0.35">
      <c r="B52" s="208"/>
      <c r="C52" s="9" t="s">
        <v>30</v>
      </c>
      <c r="D52" s="10">
        <v>4</v>
      </c>
      <c r="E52" s="79">
        <v>30608.2</v>
      </c>
      <c r="F52" s="79">
        <v>29109.61</v>
      </c>
      <c r="G52" s="79">
        <v>28057.919999999998</v>
      </c>
      <c r="H52" s="79">
        <v>27370.15</v>
      </c>
      <c r="I52" s="79">
        <v>27353.759999999998</v>
      </c>
      <c r="J52" s="79">
        <v>27286.25</v>
      </c>
      <c r="K52" s="79">
        <v>27693.81</v>
      </c>
      <c r="L52" s="79">
        <v>30884.63</v>
      </c>
      <c r="M52" s="79">
        <v>34473.120000000003</v>
      </c>
      <c r="N52" s="79">
        <v>36459.019999999997</v>
      </c>
      <c r="O52" s="79">
        <v>38527.18</v>
      </c>
      <c r="P52" s="79">
        <v>39398.559999999998</v>
      </c>
      <c r="Q52" s="79">
        <v>38689.72</v>
      </c>
      <c r="R52" s="79">
        <v>37887.53</v>
      </c>
      <c r="S52" s="79">
        <v>37633.410000000003</v>
      </c>
      <c r="T52" s="79">
        <v>37935.629999999997</v>
      </c>
      <c r="U52" s="79">
        <v>37747.589999999997</v>
      </c>
      <c r="V52" s="79">
        <v>39847.910000000003</v>
      </c>
      <c r="W52" s="79">
        <v>43134.03</v>
      </c>
      <c r="X52" s="79">
        <v>42405.09</v>
      </c>
      <c r="Y52" s="79">
        <v>40880.57</v>
      </c>
      <c r="Z52" s="79">
        <v>38989.199999999997</v>
      </c>
      <c r="AA52" s="79">
        <v>36599.449999999997</v>
      </c>
      <c r="AB52" s="79">
        <v>33910.769999999997</v>
      </c>
      <c r="AC52" s="210"/>
      <c r="AD52" s="18"/>
    </row>
    <row r="53" spans="2:62" ht="18.649999999999999" customHeight="1" x14ac:dyDescent="0.35">
      <c r="B53" s="208"/>
      <c r="C53" s="9" t="s">
        <v>31</v>
      </c>
      <c r="D53" s="10">
        <v>4</v>
      </c>
      <c r="E53" s="79">
        <v>31723.8</v>
      </c>
      <c r="F53" s="79">
        <v>30218.77</v>
      </c>
      <c r="G53" s="79">
        <v>28915.53</v>
      </c>
      <c r="H53" s="79">
        <v>28037.18</v>
      </c>
      <c r="I53" s="79">
        <v>27681.15</v>
      </c>
      <c r="J53" s="79">
        <v>27214.74</v>
      </c>
      <c r="K53" s="79">
        <v>26543.09</v>
      </c>
      <c r="L53" s="79">
        <v>28004.01</v>
      </c>
      <c r="M53" s="79">
        <v>30006.85</v>
      </c>
      <c r="N53" s="79">
        <v>31652.799999999999</v>
      </c>
      <c r="O53" s="79">
        <v>33236.5</v>
      </c>
      <c r="P53" s="79">
        <v>34073.07</v>
      </c>
      <c r="Q53" s="79">
        <v>34693.81</v>
      </c>
      <c r="R53" s="79">
        <v>34661.1</v>
      </c>
      <c r="S53" s="79">
        <v>34561.49</v>
      </c>
      <c r="T53" s="79">
        <v>34719.040000000001</v>
      </c>
      <c r="U53" s="79">
        <v>34759.4</v>
      </c>
      <c r="V53" s="79">
        <v>37110.49</v>
      </c>
      <c r="W53" s="79">
        <v>40647.730000000003</v>
      </c>
      <c r="X53" s="79">
        <v>40707.21</v>
      </c>
      <c r="Y53" s="79">
        <v>39809.57</v>
      </c>
      <c r="Z53" s="79">
        <v>38244.75</v>
      </c>
      <c r="AA53" s="79">
        <v>35793.589999999997</v>
      </c>
      <c r="AB53" s="79">
        <v>33200.92</v>
      </c>
      <c r="AC53" s="210"/>
      <c r="AD53" s="18"/>
    </row>
    <row r="54" spans="2:62" ht="18.649999999999999" customHeight="1" thickBot="1" x14ac:dyDescent="0.4">
      <c r="B54" s="208"/>
      <c r="C54" s="15" t="s">
        <v>32</v>
      </c>
      <c r="D54" s="16">
        <v>2</v>
      </c>
      <c r="E54" s="80">
        <v>31723.8</v>
      </c>
      <c r="F54" s="80">
        <v>30218.77</v>
      </c>
      <c r="G54" s="80">
        <v>28915.53</v>
      </c>
      <c r="H54" s="80">
        <v>28037.18</v>
      </c>
      <c r="I54" s="80">
        <v>27681.15</v>
      </c>
      <c r="J54" s="80">
        <v>27214.74</v>
      </c>
      <c r="K54" s="80">
        <v>26543.09</v>
      </c>
      <c r="L54" s="80">
        <v>28004.01</v>
      </c>
      <c r="M54" s="80">
        <v>30006.85</v>
      </c>
      <c r="N54" s="80">
        <v>31652.799999999999</v>
      </c>
      <c r="O54" s="80">
        <v>33236.5</v>
      </c>
      <c r="P54" s="80">
        <v>34073.07</v>
      </c>
      <c r="Q54" s="80">
        <v>34693.81</v>
      </c>
      <c r="R54" s="80">
        <v>34661.1</v>
      </c>
      <c r="S54" s="80">
        <v>34561.49</v>
      </c>
      <c r="T54" s="80">
        <v>34719.040000000001</v>
      </c>
      <c r="U54" s="80">
        <v>34759.4</v>
      </c>
      <c r="V54" s="80">
        <v>37110.49</v>
      </c>
      <c r="W54" s="80">
        <v>40647.730000000003</v>
      </c>
      <c r="X54" s="80">
        <v>40707.21</v>
      </c>
      <c r="Y54" s="80">
        <v>39809.57</v>
      </c>
      <c r="Z54" s="80">
        <v>38244.75</v>
      </c>
      <c r="AA54" s="80">
        <v>35793.589999999997</v>
      </c>
      <c r="AB54" s="80">
        <v>33200.92</v>
      </c>
      <c r="AC54" s="210"/>
      <c r="AD54" s="18"/>
    </row>
    <row r="55" spans="2:62" ht="18.649999999999999" customHeight="1" x14ac:dyDescent="0.35">
      <c r="B55" s="211">
        <v>46722</v>
      </c>
      <c r="C55" s="6" t="s">
        <v>29</v>
      </c>
      <c r="D55" s="7">
        <v>22</v>
      </c>
      <c r="E55" s="78">
        <v>46135.97</v>
      </c>
      <c r="F55" s="78">
        <v>43598.53</v>
      </c>
      <c r="G55" s="78">
        <v>41786.339999999997</v>
      </c>
      <c r="H55" s="78">
        <v>40663.4</v>
      </c>
      <c r="I55" s="78">
        <v>40518.980000000003</v>
      </c>
      <c r="J55" s="78">
        <v>41242.79</v>
      </c>
      <c r="K55" s="78">
        <v>41531.24</v>
      </c>
      <c r="L55" s="78">
        <v>46537.01</v>
      </c>
      <c r="M55" s="78">
        <v>51620.88</v>
      </c>
      <c r="N55" s="78">
        <v>54531.89</v>
      </c>
      <c r="O55" s="78">
        <v>57094</v>
      </c>
      <c r="P55" s="78">
        <v>58947.92</v>
      </c>
      <c r="Q55" s="78">
        <v>57324.84</v>
      </c>
      <c r="R55" s="78">
        <v>58059.44</v>
      </c>
      <c r="S55" s="78">
        <v>60514.28</v>
      </c>
      <c r="T55" s="78">
        <v>61269.66</v>
      </c>
      <c r="U55" s="78">
        <v>60764.32</v>
      </c>
      <c r="V55" s="78">
        <v>60826.02</v>
      </c>
      <c r="W55" s="78">
        <v>65513.36</v>
      </c>
      <c r="X55" s="78">
        <v>64252.81</v>
      </c>
      <c r="Y55" s="78">
        <v>61901.04</v>
      </c>
      <c r="Z55" s="78">
        <v>58548.34</v>
      </c>
      <c r="AA55" s="78">
        <v>54245.81</v>
      </c>
      <c r="AB55" s="78">
        <v>50059.199999999997</v>
      </c>
      <c r="AC55" s="209">
        <f>SUM(E55:AB55)*D55+SUM(E56:AB56)*D56+SUM(E57:AB57)*D57+SUM(E58:AB58)*D58</f>
        <v>38826463.190000005</v>
      </c>
      <c r="AD55" s="18"/>
    </row>
    <row r="56" spans="2:62" ht="18.649999999999999" customHeight="1" x14ac:dyDescent="0.35">
      <c r="B56" s="212" t="s">
        <v>34</v>
      </c>
      <c r="C56" s="9" t="s">
        <v>30</v>
      </c>
      <c r="D56" s="10">
        <v>3</v>
      </c>
      <c r="E56" s="79">
        <v>46883.1</v>
      </c>
      <c r="F56" s="79">
        <v>44228.86</v>
      </c>
      <c r="G56" s="79">
        <v>42480.37</v>
      </c>
      <c r="H56" s="79">
        <v>41198.400000000001</v>
      </c>
      <c r="I56" s="79">
        <v>40844.04</v>
      </c>
      <c r="J56" s="79">
        <v>40915.279999999999</v>
      </c>
      <c r="K56" s="79">
        <v>40508.870000000003</v>
      </c>
      <c r="L56" s="79">
        <v>44228.34</v>
      </c>
      <c r="M56" s="79">
        <v>49612.01</v>
      </c>
      <c r="N56" s="79">
        <v>52769.22</v>
      </c>
      <c r="O56" s="79">
        <v>55428.29</v>
      </c>
      <c r="P56" s="79">
        <v>57051.22</v>
      </c>
      <c r="Q56" s="79">
        <v>56127.199999999997</v>
      </c>
      <c r="R56" s="79">
        <v>55721.33</v>
      </c>
      <c r="S56" s="79">
        <v>55487.75</v>
      </c>
      <c r="T56" s="79">
        <v>56083.51</v>
      </c>
      <c r="U56" s="79">
        <v>55909.29</v>
      </c>
      <c r="V56" s="79">
        <v>57145.52</v>
      </c>
      <c r="W56" s="79">
        <v>63475.67</v>
      </c>
      <c r="X56" s="79">
        <v>62575.28</v>
      </c>
      <c r="Y56" s="79">
        <v>60219.360000000001</v>
      </c>
      <c r="Z56" s="79">
        <v>57649.06</v>
      </c>
      <c r="AA56" s="79">
        <v>54085.38</v>
      </c>
      <c r="AB56" s="79">
        <v>50414.02</v>
      </c>
      <c r="AC56" s="210"/>
      <c r="AD56" s="18"/>
    </row>
    <row r="57" spans="2:62" ht="18.649999999999999" customHeight="1" x14ac:dyDescent="0.35">
      <c r="B57" s="212" t="s">
        <v>34</v>
      </c>
      <c r="C57" s="9" t="s">
        <v>31</v>
      </c>
      <c r="D57" s="10">
        <v>4</v>
      </c>
      <c r="E57" s="79">
        <v>47179.06</v>
      </c>
      <c r="F57" s="79">
        <v>44860.2</v>
      </c>
      <c r="G57" s="79">
        <v>42992.58</v>
      </c>
      <c r="H57" s="79">
        <v>41677.339999999997</v>
      </c>
      <c r="I57" s="79">
        <v>41084</v>
      </c>
      <c r="J57" s="79">
        <v>40669.410000000003</v>
      </c>
      <c r="K57" s="79">
        <v>38857.360000000001</v>
      </c>
      <c r="L57" s="79">
        <v>40817.449999999997</v>
      </c>
      <c r="M57" s="79">
        <v>43933.14</v>
      </c>
      <c r="N57" s="79">
        <v>46607.93</v>
      </c>
      <c r="O57" s="79">
        <v>48367.51</v>
      </c>
      <c r="P57" s="79">
        <v>49808.39</v>
      </c>
      <c r="Q57" s="79">
        <v>50665.25</v>
      </c>
      <c r="R57" s="79">
        <v>51142.400000000001</v>
      </c>
      <c r="S57" s="79">
        <v>49696.9</v>
      </c>
      <c r="T57" s="79">
        <v>51056.1</v>
      </c>
      <c r="U57" s="79">
        <v>51359.59</v>
      </c>
      <c r="V57" s="79">
        <v>53074.37</v>
      </c>
      <c r="W57" s="79">
        <v>59512.13</v>
      </c>
      <c r="X57" s="79">
        <v>59038.64</v>
      </c>
      <c r="Y57" s="79">
        <v>57497.89</v>
      </c>
      <c r="Z57" s="79">
        <v>55387</v>
      </c>
      <c r="AA57" s="79">
        <v>52193.67</v>
      </c>
      <c r="AB57" s="79">
        <v>48955.28</v>
      </c>
      <c r="AC57" s="210"/>
      <c r="AD57" s="18"/>
    </row>
    <row r="58" spans="2:62" ht="18.649999999999999" customHeight="1" thickBot="1" x14ac:dyDescent="0.4">
      <c r="B58" s="213" t="s">
        <v>34</v>
      </c>
      <c r="C58" s="11" t="s">
        <v>32</v>
      </c>
      <c r="D58" s="12">
        <v>2</v>
      </c>
      <c r="E58" s="76">
        <v>47179.06</v>
      </c>
      <c r="F58" s="76">
        <v>44860.2</v>
      </c>
      <c r="G58" s="76">
        <v>42992.58</v>
      </c>
      <c r="H58" s="76">
        <v>41677.339999999997</v>
      </c>
      <c r="I58" s="76">
        <v>41084</v>
      </c>
      <c r="J58" s="76">
        <v>40669.410000000003</v>
      </c>
      <c r="K58" s="76">
        <v>38857.360000000001</v>
      </c>
      <c r="L58" s="76">
        <v>40817.449999999997</v>
      </c>
      <c r="M58" s="76">
        <v>43933.14</v>
      </c>
      <c r="N58" s="76">
        <v>46607.93</v>
      </c>
      <c r="O58" s="76">
        <v>48367.51</v>
      </c>
      <c r="P58" s="76">
        <v>49808.39</v>
      </c>
      <c r="Q58" s="76">
        <v>50665.25</v>
      </c>
      <c r="R58" s="76">
        <v>51142.400000000001</v>
      </c>
      <c r="S58" s="76">
        <v>49696.9</v>
      </c>
      <c r="T58" s="76">
        <v>51056.1</v>
      </c>
      <c r="U58" s="76">
        <v>51359.59</v>
      </c>
      <c r="V58" s="76">
        <v>53074.37</v>
      </c>
      <c r="W58" s="76">
        <v>59512.13</v>
      </c>
      <c r="X58" s="76">
        <v>59038.64</v>
      </c>
      <c r="Y58" s="76">
        <v>57497.89</v>
      </c>
      <c r="Z58" s="76">
        <v>55387</v>
      </c>
      <c r="AA58" s="76">
        <v>52193.67</v>
      </c>
      <c r="AB58" s="76">
        <v>48955.28</v>
      </c>
      <c r="AC58" s="214"/>
      <c r="AD58" s="18"/>
    </row>
    <row r="59" spans="2:62" ht="18.649999999999999" customHeight="1" thickBot="1" x14ac:dyDescent="0.4"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215" t="s">
        <v>33</v>
      </c>
      <c r="AA59" s="216"/>
      <c r="AB59" s="217"/>
      <c r="AC59" s="135">
        <f>SUM(AC11:AC58)</f>
        <v>391858948.36000001</v>
      </c>
      <c r="AD59" s="17"/>
      <c r="AE59" s="18"/>
    </row>
    <row r="60" spans="2:62" ht="34.5" customHeight="1" thickBot="1" x14ac:dyDescent="0.4">
      <c r="B60" s="1" t="s">
        <v>2</v>
      </c>
      <c r="C60" s="2" t="s">
        <v>3</v>
      </c>
      <c r="D60" s="1" t="s">
        <v>4</v>
      </c>
      <c r="E60" s="83" t="s">
        <v>5</v>
      </c>
      <c r="F60" s="3" t="s">
        <v>6</v>
      </c>
      <c r="G60" s="3" t="s">
        <v>7</v>
      </c>
      <c r="H60" s="3" t="s">
        <v>8</v>
      </c>
      <c r="I60" s="3" t="s">
        <v>9</v>
      </c>
      <c r="J60" s="3" t="s">
        <v>10</v>
      </c>
      <c r="K60" s="3" t="s">
        <v>11</v>
      </c>
      <c r="L60" s="3" t="s">
        <v>12</v>
      </c>
      <c r="M60" s="3" t="s">
        <v>13</v>
      </c>
      <c r="N60" s="3" t="s">
        <v>14</v>
      </c>
      <c r="O60" s="3" t="s">
        <v>15</v>
      </c>
      <c r="P60" s="4" t="s">
        <v>16</v>
      </c>
      <c r="Q60" s="5" t="s">
        <v>17</v>
      </c>
      <c r="R60" s="3" t="s">
        <v>18</v>
      </c>
      <c r="S60" s="3" t="s">
        <v>19</v>
      </c>
      <c r="T60" s="3" t="s">
        <v>20</v>
      </c>
      <c r="U60" s="3" t="s">
        <v>21</v>
      </c>
      <c r="V60" s="3" t="s">
        <v>22</v>
      </c>
      <c r="W60" s="3" t="s">
        <v>23</v>
      </c>
      <c r="X60" s="3" t="s">
        <v>24</v>
      </c>
      <c r="Y60" s="3" t="s">
        <v>25</v>
      </c>
      <c r="Z60" s="3" t="s">
        <v>26</v>
      </c>
      <c r="AA60" s="3" t="s">
        <v>27</v>
      </c>
      <c r="AB60" s="4" t="s">
        <v>28</v>
      </c>
      <c r="AC60" s="134" t="s">
        <v>48</v>
      </c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2"/>
      <c r="BF60" s="52"/>
      <c r="BH60" s="49"/>
      <c r="BI60" s="50"/>
      <c r="BJ60" s="49"/>
    </row>
    <row r="61" spans="2:62" ht="18.649999999999999" customHeight="1" x14ac:dyDescent="0.35">
      <c r="B61" s="207">
        <v>46753</v>
      </c>
      <c r="C61" s="6" t="s">
        <v>29</v>
      </c>
      <c r="D61" s="46">
        <v>20</v>
      </c>
      <c r="E61" s="78">
        <v>48022.720000000001</v>
      </c>
      <c r="F61" s="78">
        <v>45570.28</v>
      </c>
      <c r="G61" s="78">
        <v>43725.43</v>
      </c>
      <c r="H61" s="78">
        <v>42386.37</v>
      </c>
      <c r="I61" s="78">
        <v>42152.73</v>
      </c>
      <c r="J61" s="78">
        <v>43563.33</v>
      </c>
      <c r="K61" s="78">
        <v>43170.080000000002</v>
      </c>
      <c r="L61" s="78">
        <v>48158.52</v>
      </c>
      <c r="M61" s="78">
        <v>53461.09</v>
      </c>
      <c r="N61" s="78">
        <v>56216.67</v>
      </c>
      <c r="O61" s="78">
        <v>59199.82</v>
      </c>
      <c r="P61" s="78">
        <v>61641.74</v>
      </c>
      <c r="Q61" s="78">
        <v>59953.93</v>
      </c>
      <c r="R61" s="78">
        <v>61604.62</v>
      </c>
      <c r="S61" s="78">
        <v>64462.3</v>
      </c>
      <c r="T61" s="78">
        <v>64805</v>
      </c>
      <c r="U61" s="78">
        <v>63733.25</v>
      </c>
      <c r="V61" s="78">
        <v>61384.67</v>
      </c>
      <c r="W61" s="78">
        <v>65666.06</v>
      </c>
      <c r="X61" s="78">
        <v>65900.210000000006</v>
      </c>
      <c r="Y61" s="78">
        <v>64169.17</v>
      </c>
      <c r="Z61" s="78">
        <v>61355.41</v>
      </c>
      <c r="AA61" s="78">
        <v>57005.599999999999</v>
      </c>
      <c r="AB61" s="78">
        <v>52361.72</v>
      </c>
      <c r="AC61" s="209">
        <f>SUM(E61:AB61)*D61+SUM(E62:AB62)*D62+SUM(E63:AB63)*D63+SUM(E64:AB64)*D64</f>
        <v>39835760.030000001</v>
      </c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</row>
    <row r="62" spans="2:62" ht="18.649999999999999" customHeight="1" x14ac:dyDescent="0.35">
      <c r="B62" s="208"/>
      <c r="C62" s="9" t="s">
        <v>30</v>
      </c>
      <c r="D62" s="10">
        <v>4</v>
      </c>
      <c r="E62" s="79">
        <v>47674.63</v>
      </c>
      <c r="F62" s="79">
        <v>45384.89</v>
      </c>
      <c r="G62" s="79">
        <v>43586.43</v>
      </c>
      <c r="H62" s="79">
        <v>42212.91</v>
      </c>
      <c r="I62" s="79">
        <v>41797.18</v>
      </c>
      <c r="J62" s="79">
        <v>42131.54</v>
      </c>
      <c r="K62" s="79">
        <v>41045.730000000003</v>
      </c>
      <c r="L62" s="79">
        <v>45101</v>
      </c>
      <c r="M62" s="79">
        <v>50115.49</v>
      </c>
      <c r="N62" s="79">
        <v>53436.6</v>
      </c>
      <c r="O62" s="79">
        <v>56049.49</v>
      </c>
      <c r="P62" s="79">
        <v>57463.42</v>
      </c>
      <c r="Q62" s="79">
        <v>56960.98</v>
      </c>
      <c r="R62" s="79">
        <v>55754.93</v>
      </c>
      <c r="S62" s="79">
        <v>56018.04</v>
      </c>
      <c r="T62" s="79">
        <v>56212.36</v>
      </c>
      <c r="U62" s="79">
        <v>55655.3</v>
      </c>
      <c r="V62" s="79">
        <v>55856.91</v>
      </c>
      <c r="W62" s="79">
        <v>62048.39</v>
      </c>
      <c r="X62" s="79">
        <v>62492.72</v>
      </c>
      <c r="Y62" s="79">
        <v>60635.13</v>
      </c>
      <c r="Z62" s="79">
        <v>58178.1</v>
      </c>
      <c r="AA62" s="79">
        <v>54985.11</v>
      </c>
      <c r="AB62" s="79">
        <v>51444.22</v>
      </c>
      <c r="AC62" s="210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</row>
    <row r="63" spans="2:62" ht="18.649999999999999" customHeight="1" x14ac:dyDescent="0.35">
      <c r="B63" s="208"/>
      <c r="C63" s="9" t="s">
        <v>31</v>
      </c>
      <c r="D63" s="10">
        <v>5</v>
      </c>
      <c r="E63" s="79">
        <v>47990.61</v>
      </c>
      <c r="F63" s="79">
        <v>45632.82</v>
      </c>
      <c r="G63" s="79">
        <v>43731.6</v>
      </c>
      <c r="H63" s="79">
        <v>42336.75</v>
      </c>
      <c r="I63" s="79">
        <v>41650.239999999998</v>
      </c>
      <c r="J63" s="79">
        <v>41431.760000000002</v>
      </c>
      <c r="K63" s="79">
        <v>39199.550000000003</v>
      </c>
      <c r="L63" s="79">
        <v>40948.339999999997</v>
      </c>
      <c r="M63" s="79">
        <v>43751.56</v>
      </c>
      <c r="N63" s="79">
        <v>45909.94</v>
      </c>
      <c r="O63" s="79">
        <v>47974.9</v>
      </c>
      <c r="P63" s="79">
        <v>49645.37</v>
      </c>
      <c r="Q63" s="79">
        <v>50783.89</v>
      </c>
      <c r="R63" s="79">
        <v>50920.88</v>
      </c>
      <c r="S63" s="79">
        <v>50946.68</v>
      </c>
      <c r="T63" s="79">
        <v>51121.96</v>
      </c>
      <c r="U63" s="79">
        <v>51147.94</v>
      </c>
      <c r="V63" s="79">
        <v>51688.08</v>
      </c>
      <c r="W63" s="79">
        <v>58435.86</v>
      </c>
      <c r="X63" s="79">
        <v>60109.66</v>
      </c>
      <c r="Y63" s="79">
        <v>59473.67</v>
      </c>
      <c r="Z63" s="79">
        <v>57517.279999999999</v>
      </c>
      <c r="AA63" s="79">
        <v>54013.68</v>
      </c>
      <c r="AB63" s="79">
        <v>49834.07</v>
      </c>
      <c r="AC63" s="210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</row>
    <row r="64" spans="2:62" ht="18.649999999999999" customHeight="1" thickBot="1" x14ac:dyDescent="0.4">
      <c r="B64" s="208"/>
      <c r="C64" s="15" t="s">
        <v>32</v>
      </c>
      <c r="D64" s="16">
        <v>2</v>
      </c>
      <c r="E64" s="80">
        <v>47990.61</v>
      </c>
      <c r="F64" s="80">
        <v>45632.82</v>
      </c>
      <c r="G64" s="80">
        <v>43731.6</v>
      </c>
      <c r="H64" s="80">
        <v>42336.75</v>
      </c>
      <c r="I64" s="80">
        <v>41650.239999999998</v>
      </c>
      <c r="J64" s="80">
        <v>41431.760000000002</v>
      </c>
      <c r="K64" s="80">
        <v>39199.550000000003</v>
      </c>
      <c r="L64" s="80">
        <v>40948.339999999997</v>
      </c>
      <c r="M64" s="80">
        <v>43751.56</v>
      </c>
      <c r="N64" s="80">
        <v>45909.94</v>
      </c>
      <c r="O64" s="80">
        <v>47974.9</v>
      </c>
      <c r="P64" s="80">
        <v>49645.37</v>
      </c>
      <c r="Q64" s="80">
        <v>50783.89</v>
      </c>
      <c r="R64" s="80">
        <v>50920.88</v>
      </c>
      <c r="S64" s="80">
        <v>50946.68</v>
      </c>
      <c r="T64" s="80">
        <v>51121.96</v>
      </c>
      <c r="U64" s="80">
        <v>51147.94</v>
      </c>
      <c r="V64" s="80">
        <v>51688.08</v>
      </c>
      <c r="W64" s="80">
        <v>58435.86</v>
      </c>
      <c r="X64" s="80">
        <v>60109.66</v>
      </c>
      <c r="Y64" s="80">
        <v>59473.67</v>
      </c>
      <c r="Z64" s="80">
        <v>57517.279999999999</v>
      </c>
      <c r="AA64" s="80">
        <v>54013.68</v>
      </c>
      <c r="AB64" s="80">
        <v>49834.07</v>
      </c>
      <c r="AC64" s="210"/>
      <c r="AD64" s="53">
        <f>+AC61</f>
        <v>39835760.030000001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</row>
    <row r="65" spans="2:30" ht="18.649999999999999" customHeight="1" x14ac:dyDescent="0.35">
      <c r="B65" s="211">
        <v>46784</v>
      </c>
      <c r="C65" s="6" t="s">
        <v>29</v>
      </c>
      <c r="D65" s="7">
        <v>21</v>
      </c>
      <c r="E65" s="78">
        <v>45703.03</v>
      </c>
      <c r="F65" s="78">
        <v>43459.49</v>
      </c>
      <c r="G65" s="78">
        <v>41668.480000000003</v>
      </c>
      <c r="H65" s="78">
        <v>40370.160000000003</v>
      </c>
      <c r="I65" s="78">
        <v>40324.93</v>
      </c>
      <c r="J65" s="78">
        <v>42748.71</v>
      </c>
      <c r="K65" s="78">
        <v>42337.14</v>
      </c>
      <c r="L65" s="78">
        <v>46457.94</v>
      </c>
      <c r="M65" s="78">
        <v>50991.44</v>
      </c>
      <c r="N65" s="78">
        <v>53191.16</v>
      </c>
      <c r="O65" s="78">
        <v>55848.07</v>
      </c>
      <c r="P65" s="78">
        <v>57949.13</v>
      </c>
      <c r="Q65" s="78">
        <v>56010.89</v>
      </c>
      <c r="R65" s="78">
        <v>58023.28</v>
      </c>
      <c r="S65" s="78">
        <v>61256.45</v>
      </c>
      <c r="T65" s="78">
        <v>61757.33</v>
      </c>
      <c r="U65" s="78">
        <v>60835.61</v>
      </c>
      <c r="V65" s="78">
        <v>58355.22</v>
      </c>
      <c r="W65" s="78">
        <v>61814.32</v>
      </c>
      <c r="X65" s="78">
        <v>62688.35</v>
      </c>
      <c r="Y65" s="78">
        <v>61336.89</v>
      </c>
      <c r="Z65" s="78">
        <v>58631.91</v>
      </c>
      <c r="AA65" s="78">
        <v>54013.99</v>
      </c>
      <c r="AB65" s="78">
        <v>49435.28</v>
      </c>
      <c r="AC65" s="209">
        <f>SUM(E65:AB65)*D65+SUM(E66:AB66)*D66+SUM(E67:AB67)*D67+SUM(E68:AB68)*D68</f>
        <v>35879986.519999996</v>
      </c>
      <c r="AD65" s="148">
        <f>+AC65</f>
        <v>35879986.519999996</v>
      </c>
    </row>
    <row r="66" spans="2:30" ht="18.649999999999999" customHeight="1" x14ac:dyDescent="0.35">
      <c r="B66" s="212" t="s">
        <v>34</v>
      </c>
      <c r="C66" s="9" t="s">
        <v>30</v>
      </c>
      <c r="D66" s="10">
        <v>4</v>
      </c>
      <c r="E66" s="79">
        <v>46333.33</v>
      </c>
      <c r="F66" s="79">
        <v>43828.11</v>
      </c>
      <c r="G66" s="79">
        <v>42194.35</v>
      </c>
      <c r="H66" s="79">
        <v>40641.360000000001</v>
      </c>
      <c r="I66" s="79">
        <v>40152.129999999997</v>
      </c>
      <c r="J66" s="79">
        <v>40618.699999999997</v>
      </c>
      <c r="K66" s="79">
        <v>39898.42</v>
      </c>
      <c r="L66" s="79">
        <v>43585.25</v>
      </c>
      <c r="M66" s="79">
        <v>48098.34</v>
      </c>
      <c r="N66" s="79">
        <v>50778.65</v>
      </c>
      <c r="O66" s="79">
        <v>53242.25</v>
      </c>
      <c r="P66" s="79">
        <v>54480.63</v>
      </c>
      <c r="Q66" s="79">
        <v>53611.58</v>
      </c>
      <c r="R66" s="79">
        <v>52916.49</v>
      </c>
      <c r="S66" s="79">
        <v>53159.97</v>
      </c>
      <c r="T66" s="79">
        <v>53312.12</v>
      </c>
      <c r="U66" s="79">
        <v>52937.4</v>
      </c>
      <c r="V66" s="79">
        <v>52781.86</v>
      </c>
      <c r="W66" s="79">
        <v>58261.52</v>
      </c>
      <c r="X66" s="79">
        <v>59105.62</v>
      </c>
      <c r="Y66" s="79">
        <v>57723.86</v>
      </c>
      <c r="Z66" s="79">
        <v>55524.79</v>
      </c>
      <c r="AA66" s="79">
        <v>52621.77</v>
      </c>
      <c r="AB66" s="79">
        <v>49165</v>
      </c>
      <c r="AC66" s="210"/>
      <c r="AD66" s="148">
        <f>+AC69</f>
        <v>39320426.219999999</v>
      </c>
    </row>
    <row r="67" spans="2:30" ht="18.649999999999999" customHeight="1" x14ac:dyDescent="0.35">
      <c r="B67" s="212" t="s">
        <v>34</v>
      </c>
      <c r="C67" s="9" t="s">
        <v>31</v>
      </c>
      <c r="D67" s="10">
        <v>4</v>
      </c>
      <c r="E67" s="79">
        <v>46204.33</v>
      </c>
      <c r="F67" s="79">
        <v>43972.160000000003</v>
      </c>
      <c r="G67" s="79">
        <v>42169.75</v>
      </c>
      <c r="H67" s="79">
        <v>40831.46</v>
      </c>
      <c r="I67" s="79">
        <v>40142.550000000003</v>
      </c>
      <c r="J67" s="79">
        <v>40097.839999999997</v>
      </c>
      <c r="K67" s="79">
        <v>37993.58</v>
      </c>
      <c r="L67" s="79">
        <v>39632.230000000003</v>
      </c>
      <c r="M67" s="79">
        <v>42132.37</v>
      </c>
      <c r="N67" s="79">
        <v>43903.53</v>
      </c>
      <c r="O67" s="79">
        <v>45706.75</v>
      </c>
      <c r="P67" s="79">
        <v>47381.71</v>
      </c>
      <c r="Q67" s="79">
        <v>48493.96</v>
      </c>
      <c r="R67" s="79">
        <v>48782.32</v>
      </c>
      <c r="S67" s="79">
        <v>49268.32</v>
      </c>
      <c r="T67" s="79">
        <v>49650.39</v>
      </c>
      <c r="U67" s="79">
        <v>49490.27</v>
      </c>
      <c r="V67" s="79">
        <v>49186.32</v>
      </c>
      <c r="W67" s="79">
        <v>55588.800000000003</v>
      </c>
      <c r="X67" s="79">
        <v>57894.26</v>
      </c>
      <c r="Y67" s="79">
        <v>57872.77</v>
      </c>
      <c r="Z67" s="79">
        <v>56498.59</v>
      </c>
      <c r="AA67" s="79">
        <v>51912.66</v>
      </c>
      <c r="AB67" s="79">
        <v>47867.91</v>
      </c>
      <c r="AC67" s="210"/>
      <c r="AD67" s="148">
        <f>+AC73</f>
        <v>33025771.160000008</v>
      </c>
    </row>
    <row r="68" spans="2:30" ht="18.649999999999999" customHeight="1" thickBot="1" x14ac:dyDescent="0.4">
      <c r="B68" s="213" t="s">
        <v>34</v>
      </c>
      <c r="C68" s="11" t="s">
        <v>32</v>
      </c>
      <c r="D68" s="12">
        <v>0</v>
      </c>
      <c r="E68" s="193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0</v>
      </c>
      <c r="X68" s="84">
        <v>0</v>
      </c>
      <c r="Y68" s="84">
        <v>0</v>
      </c>
      <c r="Z68" s="84">
        <v>0</v>
      </c>
      <c r="AA68" s="84">
        <v>0</v>
      </c>
      <c r="AB68" s="84">
        <v>0</v>
      </c>
      <c r="AC68" s="214"/>
      <c r="AD68" s="148">
        <f>+AC77</f>
        <v>33934182.399999999</v>
      </c>
    </row>
    <row r="69" spans="2:30" ht="18.649999999999999" customHeight="1" x14ac:dyDescent="0.35">
      <c r="B69" s="207">
        <v>46813</v>
      </c>
      <c r="C69" s="13" t="s">
        <v>29</v>
      </c>
      <c r="D69" s="14">
        <v>22</v>
      </c>
      <c r="E69" s="81">
        <v>46147.64</v>
      </c>
      <c r="F69" s="81">
        <v>43864.99</v>
      </c>
      <c r="G69" s="81">
        <v>42162.27</v>
      </c>
      <c r="H69" s="81">
        <v>41044.660000000003</v>
      </c>
      <c r="I69" s="81">
        <v>41233.019999999997</v>
      </c>
      <c r="J69" s="81">
        <v>43434.76</v>
      </c>
      <c r="K69" s="81">
        <v>43438.25</v>
      </c>
      <c r="L69" s="81">
        <v>48147.78</v>
      </c>
      <c r="M69" s="81">
        <v>52791.81</v>
      </c>
      <c r="N69" s="81">
        <v>55199.65</v>
      </c>
      <c r="O69" s="81">
        <v>57956.37</v>
      </c>
      <c r="P69" s="81">
        <v>59763.91</v>
      </c>
      <c r="Q69" s="81">
        <v>57060.1</v>
      </c>
      <c r="R69" s="81">
        <v>58942.11</v>
      </c>
      <c r="S69" s="81">
        <v>62181.08</v>
      </c>
      <c r="T69" s="81">
        <v>62865.26</v>
      </c>
      <c r="U69" s="81">
        <v>62178.79</v>
      </c>
      <c r="V69" s="81">
        <v>59993.83</v>
      </c>
      <c r="W69" s="81">
        <v>63662.32</v>
      </c>
      <c r="X69" s="81">
        <v>64231.99</v>
      </c>
      <c r="Y69" s="81">
        <v>62350.91</v>
      </c>
      <c r="Z69" s="81">
        <v>59240.38</v>
      </c>
      <c r="AA69" s="81">
        <v>54566.14</v>
      </c>
      <c r="AB69" s="81">
        <v>49820.83</v>
      </c>
      <c r="AC69" s="210">
        <f>SUM(E69:AB69)*D69+SUM(E70:AB70)*D70+SUM(E71:AB71)*D71+SUM(E72:AB72)*D72</f>
        <v>39320426.219999999</v>
      </c>
      <c r="AD69" s="148">
        <f>+AC81</f>
        <v>37087131.359999999</v>
      </c>
    </row>
    <row r="70" spans="2:30" ht="18.649999999999999" customHeight="1" x14ac:dyDescent="0.35">
      <c r="B70" s="208"/>
      <c r="C70" s="9" t="s">
        <v>30</v>
      </c>
      <c r="D70" s="10">
        <v>4</v>
      </c>
      <c r="E70" s="79">
        <v>46417.8</v>
      </c>
      <c r="F70" s="79">
        <v>44127.81</v>
      </c>
      <c r="G70" s="79">
        <v>42321.35</v>
      </c>
      <c r="H70" s="79">
        <v>41125.61</v>
      </c>
      <c r="I70" s="79">
        <v>40823.5</v>
      </c>
      <c r="J70" s="79">
        <v>41288.370000000003</v>
      </c>
      <c r="K70" s="79">
        <v>41089.9</v>
      </c>
      <c r="L70" s="79">
        <v>45411.199999999997</v>
      </c>
      <c r="M70" s="79">
        <v>50438.53</v>
      </c>
      <c r="N70" s="79">
        <v>53363.69</v>
      </c>
      <c r="O70" s="79">
        <v>55987.73</v>
      </c>
      <c r="P70" s="79">
        <v>57548.6</v>
      </c>
      <c r="Q70" s="79">
        <v>56559.5</v>
      </c>
      <c r="R70" s="79">
        <v>55805.37</v>
      </c>
      <c r="S70" s="79">
        <v>56247.37</v>
      </c>
      <c r="T70" s="79">
        <v>56321.04</v>
      </c>
      <c r="U70" s="79">
        <v>55821.53</v>
      </c>
      <c r="V70" s="79">
        <v>55478.33</v>
      </c>
      <c r="W70" s="79">
        <v>61263.6</v>
      </c>
      <c r="X70" s="79">
        <v>62251.32</v>
      </c>
      <c r="Y70" s="79">
        <v>60521.120000000003</v>
      </c>
      <c r="Z70" s="79">
        <v>58163.79</v>
      </c>
      <c r="AA70" s="79">
        <v>54884.33</v>
      </c>
      <c r="AB70" s="79">
        <v>51288.29</v>
      </c>
      <c r="AC70" s="210"/>
      <c r="AD70" s="148">
        <f>+AC85</f>
        <v>29299460.859999999</v>
      </c>
    </row>
    <row r="71" spans="2:30" ht="18.649999999999999" customHeight="1" x14ac:dyDescent="0.35">
      <c r="B71" s="208"/>
      <c r="C71" s="9" t="s">
        <v>31</v>
      </c>
      <c r="D71" s="10">
        <v>4</v>
      </c>
      <c r="E71" s="79">
        <v>47662.33</v>
      </c>
      <c r="F71" s="79">
        <v>45209</v>
      </c>
      <c r="G71" s="79">
        <v>43302.71</v>
      </c>
      <c r="H71" s="79">
        <v>41936.589999999997</v>
      </c>
      <c r="I71" s="79">
        <v>41249.86</v>
      </c>
      <c r="J71" s="79">
        <v>40941.32</v>
      </c>
      <c r="K71" s="79">
        <v>39394.39</v>
      </c>
      <c r="L71" s="79">
        <v>41480.720000000001</v>
      </c>
      <c r="M71" s="79">
        <v>44411.88</v>
      </c>
      <c r="N71" s="79">
        <v>46533.65</v>
      </c>
      <c r="O71" s="79">
        <v>48430.15</v>
      </c>
      <c r="P71" s="79">
        <v>50064.2</v>
      </c>
      <c r="Q71" s="79">
        <v>51101.63</v>
      </c>
      <c r="R71" s="79">
        <v>51287.69</v>
      </c>
      <c r="S71" s="79">
        <v>51484.56</v>
      </c>
      <c r="T71" s="79">
        <v>52047.54</v>
      </c>
      <c r="U71" s="79">
        <v>51852.7</v>
      </c>
      <c r="V71" s="79">
        <v>52109.39</v>
      </c>
      <c r="W71" s="79">
        <v>58258.19</v>
      </c>
      <c r="X71" s="79">
        <v>60384.17</v>
      </c>
      <c r="Y71" s="79">
        <v>60160.37</v>
      </c>
      <c r="Z71" s="79">
        <v>58395.39</v>
      </c>
      <c r="AA71" s="79">
        <v>54564.01</v>
      </c>
      <c r="AB71" s="79">
        <v>50156.12</v>
      </c>
      <c r="AC71" s="210"/>
      <c r="AD71" s="148">
        <f>+AC89</f>
        <v>29361381.02</v>
      </c>
    </row>
    <row r="72" spans="2:30" ht="18.649999999999999" customHeight="1" thickBot="1" x14ac:dyDescent="0.4">
      <c r="B72" s="208"/>
      <c r="C72" s="15" t="s">
        <v>32</v>
      </c>
      <c r="D72" s="16">
        <v>1</v>
      </c>
      <c r="E72" s="80">
        <v>47662.33</v>
      </c>
      <c r="F72" s="80">
        <v>45209</v>
      </c>
      <c r="G72" s="80">
        <v>43302.71</v>
      </c>
      <c r="H72" s="80">
        <v>41936.589999999997</v>
      </c>
      <c r="I72" s="80">
        <v>41249.86</v>
      </c>
      <c r="J72" s="80">
        <v>40941.32</v>
      </c>
      <c r="K72" s="80">
        <v>39394.39</v>
      </c>
      <c r="L72" s="80">
        <v>41480.720000000001</v>
      </c>
      <c r="M72" s="80">
        <v>44411.88</v>
      </c>
      <c r="N72" s="80">
        <v>46533.65</v>
      </c>
      <c r="O72" s="80">
        <v>48430.15</v>
      </c>
      <c r="P72" s="80">
        <v>50064.2</v>
      </c>
      <c r="Q72" s="80">
        <v>51101.63</v>
      </c>
      <c r="R72" s="80">
        <v>51287.69</v>
      </c>
      <c r="S72" s="80">
        <v>51484.56</v>
      </c>
      <c r="T72" s="80">
        <v>52047.54</v>
      </c>
      <c r="U72" s="80">
        <v>51852.7</v>
      </c>
      <c r="V72" s="80">
        <v>52109.39</v>
      </c>
      <c r="W72" s="80">
        <v>58258.19</v>
      </c>
      <c r="X72" s="80">
        <v>60384.17</v>
      </c>
      <c r="Y72" s="80">
        <v>60160.37</v>
      </c>
      <c r="Z72" s="80">
        <v>58395.39</v>
      </c>
      <c r="AA72" s="80">
        <v>54564.01</v>
      </c>
      <c r="AB72" s="80">
        <v>50156.12</v>
      </c>
      <c r="AC72" s="210"/>
      <c r="AD72" s="148">
        <f>+AC93</f>
        <v>28481782.039999999</v>
      </c>
    </row>
    <row r="73" spans="2:30" ht="18.649999999999999" customHeight="1" x14ac:dyDescent="0.35">
      <c r="B73" s="211">
        <v>46844</v>
      </c>
      <c r="C73" s="6" t="s">
        <v>29</v>
      </c>
      <c r="D73" s="7">
        <v>18</v>
      </c>
      <c r="E73" s="78">
        <v>40676.660000000003</v>
      </c>
      <c r="F73" s="78">
        <v>38650.870000000003</v>
      </c>
      <c r="G73" s="78">
        <v>37169.07</v>
      </c>
      <c r="H73" s="78">
        <v>36159.81</v>
      </c>
      <c r="I73" s="78">
        <v>36314.42</v>
      </c>
      <c r="J73" s="78">
        <v>37477.4</v>
      </c>
      <c r="K73" s="78">
        <v>37891.910000000003</v>
      </c>
      <c r="L73" s="78">
        <v>42207.58</v>
      </c>
      <c r="M73" s="78">
        <v>46650.14</v>
      </c>
      <c r="N73" s="78">
        <v>48702.7</v>
      </c>
      <c r="O73" s="78">
        <v>50988.47</v>
      </c>
      <c r="P73" s="78">
        <v>52922.52</v>
      </c>
      <c r="Q73" s="78">
        <v>50848.87</v>
      </c>
      <c r="R73" s="78">
        <v>52343.8</v>
      </c>
      <c r="S73" s="78">
        <v>55255.19</v>
      </c>
      <c r="T73" s="78">
        <v>55608.79</v>
      </c>
      <c r="U73" s="78">
        <v>54766.3</v>
      </c>
      <c r="V73" s="78">
        <v>53344.11</v>
      </c>
      <c r="W73" s="78">
        <v>56639.47</v>
      </c>
      <c r="X73" s="78">
        <v>56811.46</v>
      </c>
      <c r="Y73" s="78">
        <v>55111.519999999997</v>
      </c>
      <c r="Z73" s="78">
        <v>52464.06</v>
      </c>
      <c r="AA73" s="78">
        <v>48488.06</v>
      </c>
      <c r="AB73" s="78">
        <v>44146.76</v>
      </c>
      <c r="AC73" s="209">
        <f>SUM(E73:AB73)*D73+SUM(E74:AB74)*D74+SUM(E75:AB75)*D75+SUM(E76:AB76)*D76</f>
        <v>33025771.160000008</v>
      </c>
      <c r="AD73" s="148">
        <f>+AC97</f>
        <v>28604598.210000005</v>
      </c>
    </row>
    <row r="74" spans="2:30" ht="18.649999999999999" customHeight="1" x14ac:dyDescent="0.35">
      <c r="B74" s="212" t="s">
        <v>34</v>
      </c>
      <c r="C74" s="9" t="s">
        <v>30</v>
      </c>
      <c r="D74" s="10">
        <v>5</v>
      </c>
      <c r="E74" s="79">
        <v>40265.919999999998</v>
      </c>
      <c r="F74" s="79">
        <v>38166.78</v>
      </c>
      <c r="G74" s="79">
        <v>36607.57</v>
      </c>
      <c r="H74" s="79">
        <v>35542.769999999997</v>
      </c>
      <c r="I74" s="79">
        <v>35273.82</v>
      </c>
      <c r="J74" s="79">
        <v>35263.120000000003</v>
      </c>
      <c r="K74" s="79">
        <v>35179.599999999999</v>
      </c>
      <c r="L74" s="79">
        <v>38777.65</v>
      </c>
      <c r="M74" s="79">
        <v>42965.4</v>
      </c>
      <c r="N74" s="79">
        <v>45208.08</v>
      </c>
      <c r="O74" s="79">
        <v>47404.21</v>
      </c>
      <c r="P74" s="79">
        <v>48769.88</v>
      </c>
      <c r="Q74" s="79">
        <v>48134.55</v>
      </c>
      <c r="R74" s="79">
        <v>47616.46</v>
      </c>
      <c r="S74" s="79">
        <v>47881.54</v>
      </c>
      <c r="T74" s="79">
        <v>47972.54</v>
      </c>
      <c r="U74" s="79">
        <v>47702.25</v>
      </c>
      <c r="V74" s="79">
        <v>47994.28</v>
      </c>
      <c r="W74" s="79">
        <v>53304.22</v>
      </c>
      <c r="X74" s="79">
        <v>53419.49</v>
      </c>
      <c r="Y74" s="79">
        <v>51938.35</v>
      </c>
      <c r="Z74" s="79">
        <v>49758.48</v>
      </c>
      <c r="AA74" s="79">
        <v>47004.11</v>
      </c>
      <c r="AB74" s="79">
        <v>43856.57</v>
      </c>
      <c r="AC74" s="210"/>
      <c r="AD74" s="148">
        <f>+AC101</f>
        <v>23500227.640000001</v>
      </c>
    </row>
    <row r="75" spans="2:30" ht="18.649999999999999" customHeight="1" x14ac:dyDescent="0.35">
      <c r="B75" s="212" t="s">
        <v>34</v>
      </c>
      <c r="C75" s="9" t="s">
        <v>31</v>
      </c>
      <c r="D75" s="10">
        <v>5</v>
      </c>
      <c r="E75" s="79">
        <v>41052.449999999997</v>
      </c>
      <c r="F75" s="79">
        <v>39032.800000000003</v>
      </c>
      <c r="G75" s="79">
        <v>37362.69</v>
      </c>
      <c r="H75" s="79">
        <v>36220.15</v>
      </c>
      <c r="I75" s="79">
        <v>35738.660000000003</v>
      </c>
      <c r="J75" s="79">
        <v>35103.9</v>
      </c>
      <c r="K75" s="79">
        <v>34367.61</v>
      </c>
      <c r="L75" s="79">
        <v>36268.49</v>
      </c>
      <c r="M75" s="79">
        <v>38283.620000000003</v>
      </c>
      <c r="N75" s="79">
        <v>40082.03</v>
      </c>
      <c r="O75" s="79">
        <v>41754.65</v>
      </c>
      <c r="P75" s="79">
        <v>43081.68</v>
      </c>
      <c r="Q75" s="79">
        <v>43823.74</v>
      </c>
      <c r="R75" s="79">
        <v>44028.17</v>
      </c>
      <c r="S75" s="79">
        <v>44297.41</v>
      </c>
      <c r="T75" s="79">
        <v>44694.15</v>
      </c>
      <c r="U75" s="79">
        <v>44854.43</v>
      </c>
      <c r="V75" s="79">
        <v>45403.95</v>
      </c>
      <c r="W75" s="79">
        <v>50439.89</v>
      </c>
      <c r="X75" s="79">
        <v>51964.85</v>
      </c>
      <c r="Y75" s="79">
        <v>51793.95</v>
      </c>
      <c r="Z75" s="79">
        <v>50521.93</v>
      </c>
      <c r="AA75" s="79">
        <v>47280.27</v>
      </c>
      <c r="AB75" s="79">
        <v>43436.25</v>
      </c>
      <c r="AC75" s="210"/>
      <c r="AD75" s="148">
        <f>+AC105</f>
        <v>34838045.960000001</v>
      </c>
    </row>
    <row r="76" spans="2:30" ht="18.649999999999999" customHeight="1" thickBot="1" x14ac:dyDescent="0.4">
      <c r="B76" s="213" t="s">
        <v>34</v>
      </c>
      <c r="C76" s="11" t="s">
        <v>32</v>
      </c>
      <c r="D76" s="12">
        <v>2</v>
      </c>
      <c r="E76" s="76">
        <v>41052.449999999997</v>
      </c>
      <c r="F76" s="76">
        <v>39032.800000000003</v>
      </c>
      <c r="G76" s="76">
        <v>37362.69</v>
      </c>
      <c r="H76" s="76">
        <v>36220.15</v>
      </c>
      <c r="I76" s="76">
        <v>35738.660000000003</v>
      </c>
      <c r="J76" s="76">
        <v>35103.9</v>
      </c>
      <c r="K76" s="76">
        <v>34367.61</v>
      </c>
      <c r="L76" s="76">
        <v>36268.49</v>
      </c>
      <c r="M76" s="76">
        <v>38283.620000000003</v>
      </c>
      <c r="N76" s="76">
        <v>40082.03</v>
      </c>
      <c r="O76" s="76">
        <v>41754.65</v>
      </c>
      <c r="P76" s="76">
        <v>43081.68</v>
      </c>
      <c r="Q76" s="76">
        <v>43823.74</v>
      </c>
      <c r="R76" s="76">
        <v>44028.17</v>
      </c>
      <c r="S76" s="76">
        <v>44297.41</v>
      </c>
      <c r="T76" s="76">
        <v>44694.15</v>
      </c>
      <c r="U76" s="76">
        <v>44854.43</v>
      </c>
      <c r="V76" s="76">
        <v>45403.95</v>
      </c>
      <c r="W76" s="76">
        <v>50439.89</v>
      </c>
      <c r="X76" s="76">
        <v>51964.85</v>
      </c>
      <c r="Y76" s="76">
        <v>51793.95</v>
      </c>
      <c r="Z76" s="76">
        <v>50521.93</v>
      </c>
      <c r="AA76" s="76">
        <v>47280.27</v>
      </c>
      <c r="AB76" s="76">
        <v>43436.25</v>
      </c>
      <c r="AC76" s="214"/>
      <c r="AD76" s="18"/>
    </row>
    <row r="77" spans="2:30" ht="18.649999999999999" customHeight="1" x14ac:dyDescent="0.35">
      <c r="B77" s="207">
        <v>46874</v>
      </c>
      <c r="C77" s="13" t="s">
        <v>29</v>
      </c>
      <c r="D77" s="14">
        <v>21</v>
      </c>
      <c r="E77" s="81">
        <v>39588.699999999997</v>
      </c>
      <c r="F77" s="81">
        <v>37708.99</v>
      </c>
      <c r="G77" s="81">
        <v>36286.28</v>
      </c>
      <c r="H77" s="81">
        <v>35312.519999999997</v>
      </c>
      <c r="I77" s="81">
        <v>35485.58</v>
      </c>
      <c r="J77" s="81">
        <v>36468.400000000001</v>
      </c>
      <c r="K77" s="81">
        <v>37295.61</v>
      </c>
      <c r="L77" s="81">
        <v>41654.050000000003</v>
      </c>
      <c r="M77" s="81">
        <v>46135.42</v>
      </c>
      <c r="N77" s="81">
        <v>48234</v>
      </c>
      <c r="O77" s="81">
        <v>50736.45</v>
      </c>
      <c r="P77" s="81">
        <v>52370.879999999997</v>
      </c>
      <c r="Q77" s="81">
        <v>50243.360000000001</v>
      </c>
      <c r="R77" s="81">
        <v>51620.32</v>
      </c>
      <c r="S77" s="81">
        <v>54297.79</v>
      </c>
      <c r="T77" s="81">
        <v>54565.81</v>
      </c>
      <c r="U77" s="81">
        <v>53785.04</v>
      </c>
      <c r="V77" s="81">
        <v>52027.59</v>
      </c>
      <c r="W77" s="81">
        <v>55264.22</v>
      </c>
      <c r="X77" s="81">
        <v>55483.24</v>
      </c>
      <c r="Y77" s="81">
        <v>53771.99</v>
      </c>
      <c r="Z77" s="81">
        <v>50929.79</v>
      </c>
      <c r="AA77" s="81">
        <v>46926.29</v>
      </c>
      <c r="AB77" s="81">
        <v>42836.42</v>
      </c>
      <c r="AC77" s="210">
        <f>SUM(E77:AB77)*D77+SUM(E78:AB78)*D78+SUM(E79:AB79)*D79+SUM(E80:AB80)*D80</f>
        <v>33934182.399999999</v>
      </c>
      <c r="AD77" s="18"/>
    </row>
    <row r="78" spans="2:30" ht="18.649999999999999" customHeight="1" x14ac:dyDescent="0.35">
      <c r="B78" s="208"/>
      <c r="C78" s="9" t="s">
        <v>30</v>
      </c>
      <c r="D78" s="10">
        <v>4</v>
      </c>
      <c r="E78" s="79">
        <v>40275.769999999997</v>
      </c>
      <c r="F78" s="79">
        <v>37932.65</v>
      </c>
      <c r="G78" s="79">
        <v>36347.72</v>
      </c>
      <c r="H78" s="79">
        <v>35326.839999999997</v>
      </c>
      <c r="I78" s="79">
        <v>35140.35</v>
      </c>
      <c r="J78" s="79">
        <v>34758.35</v>
      </c>
      <c r="K78" s="79">
        <v>35093.160000000003</v>
      </c>
      <c r="L78" s="79">
        <v>39110.910000000003</v>
      </c>
      <c r="M78" s="79">
        <v>43592.61</v>
      </c>
      <c r="N78" s="79">
        <v>46107.49</v>
      </c>
      <c r="O78" s="79">
        <v>48025.99</v>
      </c>
      <c r="P78" s="79">
        <v>49312.480000000003</v>
      </c>
      <c r="Q78" s="79">
        <v>48304.66</v>
      </c>
      <c r="R78" s="79">
        <v>47636.56</v>
      </c>
      <c r="S78" s="79">
        <v>47985.61</v>
      </c>
      <c r="T78" s="79">
        <v>48073.1</v>
      </c>
      <c r="U78" s="79">
        <v>47800.31</v>
      </c>
      <c r="V78" s="79">
        <v>48147.6</v>
      </c>
      <c r="W78" s="79">
        <v>53274.68</v>
      </c>
      <c r="X78" s="79">
        <v>53879.3</v>
      </c>
      <c r="Y78" s="79">
        <v>52285</v>
      </c>
      <c r="Z78" s="79">
        <v>49928.959999999999</v>
      </c>
      <c r="AA78" s="79">
        <v>47198.75</v>
      </c>
      <c r="AB78" s="79">
        <v>44032.2</v>
      </c>
      <c r="AC78" s="210"/>
      <c r="AD78" s="18"/>
    </row>
    <row r="79" spans="2:30" ht="18.649999999999999" customHeight="1" x14ac:dyDescent="0.35">
      <c r="B79" s="208"/>
      <c r="C79" s="9" t="s">
        <v>31</v>
      </c>
      <c r="D79" s="10">
        <v>4</v>
      </c>
      <c r="E79" s="79">
        <v>40751.199999999997</v>
      </c>
      <c r="F79" s="79">
        <v>38825.69</v>
      </c>
      <c r="G79" s="79">
        <v>37291.660000000003</v>
      </c>
      <c r="H79" s="79">
        <v>36191.39</v>
      </c>
      <c r="I79" s="79">
        <v>35722.519999999997</v>
      </c>
      <c r="J79" s="79">
        <v>34645.230000000003</v>
      </c>
      <c r="K79" s="79">
        <v>34122.449999999997</v>
      </c>
      <c r="L79" s="79">
        <v>36158.76</v>
      </c>
      <c r="M79" s="79">
        <v>38928.01</v>
      </c>
      <c r="N79" s="79">
        <v>41117.589999999997</v>
      </c>
      <c r="O79" s="79">
        <v>42617.599999999999</v>
      </c>
      <c r="P79" s="79">
        <v>43735.24</v>
      </c>
      <c r="Q79" s="79">
        <v>44372.31</v>
      </c>
      <c r="R79" s="79">
        <v>44507.41</v>
      </c>
      <c r="S79" s="79">
        <v>44693.01</v>
      </c>
      <c r="T79" s="79">
        <v>45185.760000000002</v>
      </c>
      <c r="U79" s="79">
        <v>45056.69</v>
      </c>
      <c r="V79" s="79">
        <v>45777.23</v>
      </c>
      <c r="W79" s="79">
        <v>51090.42</v>
      </c>
      <c r="X79" s="79">
        <v>52494.02</v>
      </c>
      <c r="Y79" s="79">
        <v>52208.52</v>
      </c>
      <c r="Z79" s="79">
        <v>50532.66</v>
      </c>
      <c r="AA79" s="79">
        <v>47150.25</v>
      </c>
      <c r="AB79" s="79">
        <v>42873.49</v>
      </c>
      <c r="AC79" s="210"/>
      <c r="AD79" s="18"/>
    </row>
    <row r="80" spans="2:30" ht="18.649999999999999" customHeight="1" thickBot="1" x14ac:dyDescent="0.4">
      <c r="B80" s="208"/>
      <c r="C80" s="15" t="s">
        <v>32</v>
      </c>
      <c r="D80" s="16">
        <v>2</v>
      </c>
      <c r="E80" s="80">
        <v>40751.199999999997</v>
      </c>
      <c r="F80" s="80">
        <v>38825.69</v>
      </c>
      <c r="G80" s="80">
        <v>37291.660000000003</v>
      </c>
      <c r="H80" s="80">
        <v>36191.39</v>
      </c>
      <c r="I80" s="80">
        <v>35722.519999999997</v>
      </c>
      <c r="J80" s="80">
        <v>34645.230000000003</v>
      </c>
      <c r="K80" s="80">
        <v>34122.449999999997</v>
      </c>
      <c r="L80" s="80">
        <v>36158.76</v>
      </c>
      <c r="M80" s="80">
        <v>38928.01</v>
      </c>
      <c r="N80" s="80">
        <v>41117.589999999997</v>
      </c>
      <c r="O80" s="80">
        <v>42617.599999999999</v>
      </c>
      <c r="P80" s="80">
        <v>43735.24</v>
      </c>
      <c r="Q80" s="80">
        <v>44372.31</v>
      </c>
      <c r="R80" s="80">
        <v>44507.41</v>
      </c>
      <c r="S80" s="80">
        <v>44693.01</v>
      </c>
      <c r="T80" s="80">
        <v>45185.760000000002</v>
      </c>
      <c r="U80" s="80">
        <v>45056.69</v>
      </c>
      <c r="V80" s="80">
        <v>45777.23</v>
      </c>
      <c r="W80" s="80">
        <v>51090.42</v>
      </c>
      <c r="X80" s="80">
        <v>52494.02</v>
      </c>
      <c r="Y80" s="80">
        <v>52208.52</v>
      </c>
      <c r="Z80" s="80">
        <v>50532.66</v>
      </c>
      <c r="AA80" s="80">
        <v>47150.25</v>
      </c>
      <c r="AB80" s="80">
        <v>42873.49</v>
      </c>
      <c r="AC80" s="210"/>
      <c r="AD80" s="18"/>
    </row>
    <row r="81" spans="2:30" ht="18.649999999999999" customHeight="1" x14ac:dyDescent="0.35">
      <c r="B81" s="211">
        <v>46905</v>
      </c>
      <c r="C81" s="6" t="s">
        <v>29</v>
      </c>
      <c r="D81" s="7">
        <v>20</v>
      </c>
      <c r="E81" s="78">
        <v>45196.38</v>
      </c>
      <c r="F81" s="78">
        <v>42926.65</v>
      </c>
      <c r="G81" s="78">
        <v>41349.39</v>
      </c>
      <c r="H81" s="78">
        <v>40115.269999999997</v>
      </c>
      <c r="I81" s="78">
        <v>40238.839999999997</v>
      </c>
      <c r="J81" s="78">
        <v>40792.870000000003</v>
      </c>
      <c r="K81" s="78">
        <v>41673.68</v>
      </c>
      <c r="L81" s="78">
        <v>46921.49</v>
      </c>
      <c r="M81" s="78">
        <v>52030.01</v>
      </c>
      <c r="N81" s="78">
        <v>54558.879999999997</v>
      </c>
      <c r="O81" s="78">
        <v>57484.44</v>
      </c>
      <c r="P81" s="78">
        <v>59407.39</v>
      </c>
      <c r="Q81" s="78">
        <v>57295.28</v>
      </c>
      <c r="R81" s="78">
        <v>58552</v>
      </c>
      <c r="S81" s="78">
        <v>61430.98</v>
      </c>
      <c r="T81" s="78">
        <v>61772.42</v>
      </c>
      <c r="U81" s="78">
        <v>61158.239999999998</v>
      </c>
      <c r="V81" s="78">
        <v>59247.73</v>
      </c>
      <c r="W81" s="78">
        <v>62705.85</v>
      </c>
      <c r="X81" s="78">
        <v>63500.36</v>
      </c>
      <c r="Y81" s="78">
        <v>61425.65</v>
      </c>
      <c r="Z81" s="78">
        <v>58277.18</v>
      </c>
      <c r="AA81" s="78">
        <v>53592.29</v>
      </c>
      <c r="AB81" s="78">
        <v>48867.88</v>
      </c>
      <c r="AC81" s="209">
        <f>SUM(E81:AB81)*D81+SUM(E82:AB82)*D82+SUM(E83:AB83)*D83+SUM(E84:AB84)*D84</f>
        <v>37087131.359999999</v>
      </c>
      <c r="AD81" s="18"/>
    </row>
    <row r="82" spans="2:30" ht="18.649999999999999" customHeight="1" x14ac:dyDescent="0.35">
      <c r="B82" s="212" t="s">
        <v>34</v>
      </c>
      <c r="C82" s="9" t="s">
        <v>30</v>
      </c>
      <c r="D82" s="10">
        <v>4</v>
      </c>
      <c r="E82" s="79">
        <v>45307.49</v>
      </c>
      <c r="F82" s="79">
        <v>43081.919999999998</v>
      </c>
      <c r="G82" s="79">
        <v>41428.06</v>
      </c>
      <c r="H82" s="79">
        <v>40292.959999999999</v>
      </c>
      <c r="I82" s="79">
        <v>40093.879999999997</v>
      </c>
      <c r="J82" s="79">
        <v>39586.720000000001</v>
      </c>
      <c r="K82" s="79">
        <v>39974.86</v>
      </c>
      <c r="L82" s="79">
        <v>44586.63</v>
      </c>
      <c r="M82" s="79">
        <v>49647.53</v>
      </c>
      <c r="N82" s="79">
        <v>52537.57</v>
      </c>
      <c r="O82" s="79">
        <v>55014.07</v>
      </c>
      <c r="P82" s="79">
        <v>56513.97</v>
      </c>
      <c r="Q82" s="79">
        <v>55481.71</v>
      </c>
      <c r="R82" s="79">
        <v>54366.27</v>
      </c>
      <c r="S82" s="79">
        <v>54535.41</v>
      </c>
      <c r="T82" s="79">
        <v>54570.34</v>
      </c>
      <c r="U82" s="79">
        <v>53936.03</v>
      </c>
      <c r="V82" s="79">
        <v>54153.55</v>
      </c>
      <c r="W82" s="79">
        <v>58833.58</v>
      </c>
      <c r="X82" s="79">
        <v>60067.77</v>
      </c>
      <c r="Y82" s="79">
        <v>58343.07</v>
      </c>
      <c r="Z82" s="79">
        <v>55432.04</v>
      </c>
      <c r="AA82" s="79">
        <v>52049.82</v>
      </c>
      <c r="AB82" s="79">
        <v>48554.43</v>
      </c>
      <c r="AC82" s="210"/>
      <c r="AD82" s="18"/>
    </row>
    <row r="83" spans="2:30" ht="18.649999999999999" customHeight="1" x14ac:dyDescent="0.35">
      <c r="B83" s="212" t="s">
        <v>34</v>
      </c>
      <c r="C83" s="9" t="s">
        <v>31</v>
      </c>
      <c r="D83" s="10">
        <v>4</v>
      </c>
      <c r="E83" s="79">
        <v>45991.94</v>
      </c>
      <c r="F83" s="79">
        <v>43662.48</v>
      </c>
      <c r="G83" s="79">
        <v>41853.1</v>
      </c>
      <c r="H83" s="79">
        <v>40663.83</v>
      </c>
      <c r="I83" s="79">
        <v>40199.99</v>
      </c>
      <c r="J83" s="79">
        <v>38937.06</v>
      </c>
      <c r="K83" s="79">
        <v>38081.379999999997</v>
      </c>
      <c r="L83" s="79">
        <v>40169.24</v>
      </c>
      <c r="M83" s="79">
        <v>42921.8</v>
      </c>
      <c r="N83" s="79">
        <v>45223.63</v>
      </c>
      <c r="O83" s="79">
        <v>46852.63</v>
      </c>
      <c r="P83" s="79">
        <v>48147.93</v>
      </c>
      <c r="Q83" s="79">
        <v>49160.87</v>
      </c>
      <c r="R83" s="79">
        <v>49069.54</v>
      </c>
      <c r="S83" s="79">
        <v>49238.79</v>
      </c>
      <c r="T83" s="79">
        <v>49638.68</v>
      </c>
      <c r="U83" s="79">
        <v>49718.3</v>
      </c>
      <c r="V83" s="79">
        <v>50283.4</v>
      </c>
      <c r="W83" s="79">
        <v>56064.08</v>
      </c>
      <c r="X83" s="79">
        <v>58769.77</v>
      </c>
      <c r="Y83" s="79">
        <v>58026.96</v>
      </c>
      <c r="Z83" s="79">
        <v>56169.05</v>
      </c>
      <c r="AA83" s="79">
        <v>52768.6</v>
      </c>
      <c r="AB83" s="79">
        <v>48911.89</v>
      </c>
      <c r="AC83" s="210"/>
      <c r="AD83" s="18"/>
    </row>
    <row r="84" spans="2:30" ht="18.649999999999999" customHeight="1" thickBot="1" x14ac:dyDescent="0.4">
      <c r="B84" s="213" t="s">
        <v>34</v>
      </c>
      <c r="C84" s="11" t="s">
        <v>32</v>
      </c>
      <c r="D84" s="12">
        <v>2</v>
      </c>
      <c r="E84" s="76">
        <v>45991.94</v>
      </c>
      <c r="F84" s="76">
        <v>43662.48</v>
      </c>
      <c r="G84" s="76">
        <v>41853.1</v>
      </c>
      <c r="H84" s="76">
        <v>40663.83</v>
      </c>
      <c r="I84" s="76">
        <v>40199.99</v>
      </c>
      <c r="J84" s="76">
        <v>38937.06</v>
      </c>
      <c r="K84" s="76">
        <v>38081.379999999997</v>
      </c>
      <c r="L84" s="76">
        <v>40169.24</v>
      </c>
      <c r="M84" s="76">
        <v>42921.8</v>
      </c>
      <c r="N84" s="76">
        <v>45223.63</v>
      </c>
      <c r="O84" s="76">
        <v>46852.63</v>
      </c>
      <c r="P84" s="76">
        <v>48147.93</v>
      </c>
      <c r="Q84" s="76">
        <v>49160.87</v>
      </c>
      <c r="R84" s="76">
        <v>49069.54</v>
      </c>
      <c r="S84" s="76">
        <v>49238.79</v>
      </c>
      <c r="T84" s="76">
        <v>49638.68</v>
      </c>
      <c r="U84" s="76">
        <v>49718.3</v>
      </c>
      <c r="V84" s="76">
        <v>50283.4</v>
      </c>
      <c r="W84" s="76">
        <v>56064.08</v>
      </c>
      <c r="X84" s="76">
        <v>58769.77</v>
      </c>
      <c r="Y84" s="76">
        <v>58026.96</v>
      </c>
      <c r="Z84" s="76">
        <v>56169.05</v>
      </c>
      <c r="AA84" s="76">
        <v>52768.6</v>
      </c>
      <c r="AB84" s="76">
        <v>48911.89</v>
      </c>
      <c r="AC84" s="214"/>
      <c r="AD84" s="18"/>
    </row>
    <row r="85" spans="2:30" ht="18.649999999999999" customHeight="1" x14ac:dyDescent="0.35">
      <c r="B85" s="207">
        <v>46935</v>
      </c>
      <c r="C85" s="13" t="s">
        <v>29</v>
      </c>
      <c r="D85" s="14">
        <v>19</v>
      </c>
      <c r="E85" s="81">
        <v>34887.269999999997</v>
      </c>
      <c r="F85" s="81">
        <v>33103.83</v>
      </c>
      <c r="G85" s="81">
        <v>31772.75</v>
      </c>
      <c r="H85" s="81">
        <v>30883.9</v>
      </c>
      <c r="I85" s="81">
        <v>30851.119999999999</v>
      </c>
      <c r="J85" s="81">
        <v>31644.53</v>
      </c>
      <c r="K85" s="81">
        <v>32055.8</v>
      </c>
      <c r="L85" s="81">
        <v>36004.22</v>
      </c>
      <c r="M85" s="81">
        <v>39875.51</v>
      </c>
      <c r="N85" s="81">
        <v>41866.699999999997</v>
      </c>
      <c r="O85" s="81">
        <v>44180.86</v>
      </c>
      <c r="P85" s="81">
        <v>45916.5</v>
      </c>
      <c r="Q85" s="81">
        <v>44279.63</v>
      </c>
      <c r="R85" s="81">
        <v>45769.45</v>
      </c>
      <c r="S85" s="81">
        <v>48375.45</v>
      </c>
      <c r="T85" s="81">
        <v>48661.95</v>
      </c>
      <c r="U85" s="81">
        <v>48001.54</v>
      </c>
      <c r="V85" s="81">
        <v>45961.78</v>
      </c>
      <c r="W85" s="81">
        <v>48000.08</v>
      </c>
      <c r="X85" s="81">
        <v>49118.91</v>
      </c>
      <c r="Y85" s="81">
        <v>47788.12</v>
      </c>
      <c r="Z85" s="81">
        <v>45412.29</v>
      </c>
      <c r="AA85" s="81">
        <v>41698.400000000001</v>
      </c>
      <c r="AB85" s="81">
        <v>38104.61</v>
      </c>
      <c r="AC85" s="210">
        <f>SUM(E85:AB85)*D85+SUM(E86:AB86)*D86+SUM(E87:AB87)*D87+SUM(E88:AB88)*D88</f>
        <v>29299460.859999999</v>
      </c>
      <c r="AD85" s="18"/>
    </row>
    <row r="86" spans="2:30" ht="18.649999999999999" customHeight="1" x14ac:dyDescent="0.35">
      <c r="B86" s="208"/>
      <c r="C86" s="9" t="s">
        <v>30</v>
      </c>
      <c r="D86" s="10">
        <v>5</v>
      </c>
      <c r="E86" s="79">
        <v>35537.769999999997</v>
      </c>
      <c r="F86" s="79">
        <v>33529.01</v>
      </c>
      <c r="G86" s="79">
        <v>32083.7</v>
      </c>
      <c r="H86" s="79">
        <v>31207.86</v>
      </c>
      <c r="I86" s="79">
        <v>30793.21</v>
      </c>
      <c r="J86" s="79">
        <v>30480.720000000001</v>
      </c>
      <c r="K86" s="79">
        <v>30617.62</v>
      </c>
      <c r="L86" s="79">
        <v>33970.69</v>
      </c>
      <c r="M86" s="79">
        <v>37907.440000000002</v>
      </c>
      <c r="N86" s="79">
        <v>40181.019999999997</v>
      </c>
      <c r="O86" s="79">
        <v>42319.79</v>
      </c>
      <c r="P86" s="79">
        <v>43388.75</v>
      </c>
      <c r="Q86" s="79">
        <v>42695.360000000001</v>
      </c>
      <c r="R86" s="79">
        <v>42078.11</v>
      </c>
      <c r="S86" s="79">
        <v>42075.08</v>
      </c>
      <c r="T86" s="79">
        <v>41826.519999999997</v>
      </c>
      <c r="U86" s="79">
        <v>41426.15</v>
      </c>
      <c r="V86" s="79">
        <v>41564.19</v>
      </c>
      <c r="W86" s="79">
        <v>44170.89</v>
      </c>
      <c r="X86" s="79">
        <v>45165.77</v>
      </c>
      <c r="Y86" s="79">
        <v>43685.86</v>
      </c>
      <c r="Z86" s="79">
        <v>41856.53</v>
      </c>
      <c r="AA86" s="79">
        <v>39535.82</v>
      </c>
      <c r="AB86" s="79">
        <v>36877.279999999999</v>
      </c>
      <c r="AC86" s="210"/>
      <c r="AD86" s="18"/>
    </row>
    <row r="87" spans="2:30" ht="18.649999999999999" customHeight="1" x14ac:dyDescent="0.35">
      <c r="B87" s="208"/>
      <c r="C87" s="9" t="s">
        <v>31</v>
      </c>
      <c r="D87" s="10">
        <v>5</v>
      </c>
      <c r="E87" s="79">
        <v>33420.35</v>
      </c>
      <c r="F87" s="79">
        <v>31857.73</v>
      </c>
      <c r="G87" s="79">
        <v>30495.03</v>
      </c>
      <c r="H87" s="79">
        <v>29662.799999999999</v>
      </c>
      <c r="I87" s="79">
        <v>29326.29</v>
      </c>
      <c r="J87" s="79">
        <v>28609.14</v>
      </c>
      <c r="K87" s="79">
        <v>27977.66</v>
      </c>
      <c r="L87" s="79">
        <v>29707.02</v>
      </c>
      <c r="M87" s="79">
        <v>31833.26</v>
      </c>
      <c r="N87" s="79">
        <v>33546.379999999997</v>
      </c>
      <c r="O87" s="79">
        <v>35007.53</v>
      </c>
      <c r="P87" s="79">
        <v>36252.839999999997</v>
      </c>
      <c r="Q87" s="79">
        <v>37153.26</v>
      </c>
      <c r="R87" s="79">
        <v>37381.730000000003</v>
      </c>
      <c r="S87" s="79">
        <v>37594.01</v>
      </c>
      <c r="T87" s="79">
        <v>38091.08</v>
      </c>
      <c r="U87" s="79">
        <v>38023.93</v>
      </c>
      <c r="V87" s="79">
        <v>38204</v>
      </c>
      <c r="W87" s="79">
        <v>42536.91</v>
      </c>
      <c r="X87" s="79">
        <v>44967.54</v>
      </c>
      <c r="Y87" s="79">
        <v>44287.62</v>
      </c>
      <c r="Z87" s="79">
        <v>42467.82</v>
      </c>
      <c r="AA87" s="79">
        <v>39198.97</v>
      </c>
      <c r="AB87" s="79">
        <v>35896.58</v>
      </c>
      <c r="AC87" s="210"/>
      <c r="AD87" s="18"/>
    </row>
    <row r="88" spans="2:30" ht="18.649999999999999" customHeight="1" thickBot="1" x14ac:dyDescent="0.4">
      <c r="B88" s="208"/>
      <c r="C88" s="15" t="s">
        <v>32</v>
      </c>
      <c r="D88" s="16">
        <v>2</v>
      </c>
      <c r="E88" s="80">
        <v>33420.35</v>
      </c>
      <c r="F88" s="80">
        <v>31857.73</v>
      </c>
      <c r="G88" s="80">
        <v>30495.03</v>
      </c>
      <c r="H88" s="80">
        <v>29662.799999999999</v>
      </c>
      <c r="I88" s="80">
        <v>29326.29</v>
      </c>
      <c r="J88" s="80">
        <v>28609.14</v>
      </c>
      <c r="K88" s="80">
        <v>27977.66</v>
      </c>
      <c r="L88" s="80">
        <v>29707.02</v>
      </c>
      <c r="M88" s="80">
        <v>31833.26</v>
      </c>
      <c r="N88" s="80">
        <v>33546.379999999997</v>
      </c>
      <c r="O88" s="80">
        <v>35007.53</v>
      </c>
      <c r="P88" s="80">
        <v>36252.839999999997</v>
      </c>
      <c r="Q88" s="80">
        <v>37153.26</v>
      </c>
      <c r="R88" s="80">
        <v>37381.730000000003</v>
      </c>
      <c r="S88" s="80">
        <v>37594.01</v>
      </c>
      <c r="T88" s="80">
        <v>38091.08</v>
      </c>
      <c r="U88" s="80">
        <v>38023.93</v>
      </c>
      <c r="V88" s="80">
        <v>38204</v>
      </c>
      <c r="W88" s="80">
        <v>42536.91</v>
      </c>
      <c r="X88" s="80">
        <v>44967.54</v>
      </c>
      <c r="Y88" s="80">
        <v>44287.62</v>
      </c>
      <c r="Z88" s="80">
        <v>42467.82</v>
      </c>
      <c r="AA88" s="80">
        <v>39198.97</v>
      </c>
      <c r="AB88" s="80">
        <v>35896.58</v>
      </c>
      <c r="AC88" s="210"/>
      <c r="AD88" s="18"/>
    </row>
    <row r="89" spans="2:30" ht="18.649999999999999" customHeight="1" x14ac:dyDescent="0.35">
      <c r="B89" s="211">
        <v>46966</v>
      </c>
      <c r="C89" s="6" t="s">
        <v>29</v>
      </c>
      <c r="D89" s="7">
        <v>21</v>
      </c>
      <c r="E89" s="78">
        <v>34674.9</v>
      </c>
      <c r="F89" s="78">
        <v>32778.07</v>
      </c>
      <c r="G89" s="78">
        <v>31434.98</v>
      </c>
      <c r="H89" s="78">
        <v>30518.85</v>
      </c>
      <c r="I89" s="78">
        <v>30487.47</v>
      </c>
      <c r="J89" s="78">
        <v>31506.28</v>
      </c>
      <c r="K89" s="78">
        <v>31876.92</v>
      </c>
      <c r="L89" s="78">
        <v>35460.07</v>
      </c>
      <c r="M89" s="78">
        <v>39322.410000000003</v>
      </c>
      <c r="N89" s="78">
        <v>41257.300000000003</v>
      </c>
      <c r="O89" s="78">
        <v>43663</v>
      </c>
      <c r="P89" s="78">
        <v>45655.34</v>
      </c>
      <c r="Q89" s="78">
        <v>43819.99</v>
      </c>
      <c r="R89" s="78">
        <v>45252.98</v>
      </c>
      <c r="S89" s="78">
        <v>47973.9</v>
      </c>
      <c r="T89" s="78">
        <v>48282.01</v>
      </c>
      <c r="U89" s="78">
        <v>47454.02</v>
      </c>
      <c r="V89" s="78">
        <v>45715.81</v>
      </c>
      <c r="W89" s="78">
        <v>48452.37</v>
      </c>
      <c r="X89" s="78">
        <v>49207.99</v>
      </c>
      <c r="Y89" s="78">
        <v>47825.18</v>
      </c>
      <c r="Z89" s="78">
        <v>45379.37</v>
      </c>
      <c r="AA89" s="78">
        <v>41612</v>
      </c>
      <c r="AB89" s="78">
        <v>38053.370000000003</v>
      </c>
      <c r="AC89" s="209">
        <f>SUM(E89:AB89)*D89+SUM(E90:AB90)*D90+SUM(E91:AB91)*D91+SUM(E92:AB92)*D92</f>
        <v>29361381.02</v>
      </c>
      <c r="AD89" s="18"/>
    </row>
    <row r="90" spans="2:30" ht="18.649999999999999" customHeight="1" x14ac:dyDescent="0.35">
      <c r="B90" s="212" t="s">
        <v>34</v>
      </c>
      <c r="C90" s="9" t="s">
        <v>30</v>
      </c>
      <c r="D90" s="10">
        <v>4</v>
      </c>
      <c r="E90" s="79">
        <v>35149.629999999997</v>
      </c>
      <c r="F90" s="79">
        <v>33342.22</v>
      </c>
      <c r="G90" s="79">
        <v>32002.09</v>
      </c>
      <c r="H90" s="79">
        <v>30984.95</v>
      </c>
      <c r="I90" s="79">
        <v>30375.05</v>
      </c>
      <c r="J90" s="79">
        <v>30113.17</v>
      </c>
      <c r="K90" s="79">
        <v>30160.13</v>
      </c>
      <c r="L90" s="79">
        <v>33386.81</v>
      </c>
      <c r="M90" s="79">
        <v>36921.230000000003</v>
      </c>
      <c r="N90" s="79">
        <v>39169.410000000003</v>
      </c>
      <c r="O90" s="79">
        <v>41015.33</v>
      </c>
      <c r="P90" s="79">
        <v>41640.04</v>
      </c>
      <c r="Q90" s="79">
        <v>40925</v>
      </c>
      <c r="R90" s="79">
        <v>40364.339999999997</v>
      </c>
      <c r="S90" s="79">
        <v>40809.730000000003</v>
      </c>
      <c r="T90" s="79">
        <v>40987.19</v>
      </c>
      <c r="U90" s="79">
        <v>40717.279999999999</v>
      </c>
      <c r="V90" s="79">
        <v>41031.800000000003</v>
      </c>
      <c r="W90" s="79">
        <v>45291.96</v>
      </c>
      <c r="X90" s="79">
        <v>45651.94</v>
      </c>
      <c r="Y90" s="79">
        <v>43987.75</v>
      </c>
      <c r="Z90" s="79">
        <v>41992.06</v>
      </c>
      <c r="AA90" s="79">
        <v>39415.699999999997</v>
      </c>
      <c r="AB90" s="79">
        <v>36604.660000000003</v>
      </c>
      <c r="AC90" s="210"/>
      <c r="AD90" s="18"/>
    </row>
    <row r="91" spans="2:30" ht="18.649999999999999" customHeight="1" x14ac:dyDescent="0.35">
      <c r="B91" s="212" t="s">
        <v>34</v>
      </c>
      <c r="C91" s="9" t="s">
        <v>31</v>
      </c>
      <c r="D91" s="10">
        <v>4</v>
      </c>
      <c r="E91" s="79">
        <v>34301.589999999997</v>
      </c>
      <c r="F91" s="79">
        <v>32632.560000000001</v>
      </c>
      <c r="G91" s="79">
        <v>31186.01</v>
      </c>
      <c r="H91" s="79">
        <v>30347.53</v>
      </c>
      <c r="I91" s="79">
        <v>29910.400000000001</v>
      </c>
      <c r="J91" s="79">
        <v>29455.05</v>
      </c>
      <c r="K91" s="79">
        <v>28663.27</v>
      </c>
      <c r="L91" s="79">
        <v>30286.73</v>
      </c>
      <c r="M91" s="79">
        <v>32236.03</v>
      </c>
      <c r="N91" s="79">
        <v>33892.9</v>
      </c>
      <c r="O91" s="79">
        <v>35298.300000000003</v>
      </c>
      <c r="P91" s="79">
        <v>36469.78</v>
      </c>
      <c r="Q91" s="79">
        <v>37168.28</v>
      </c>
      <c r="R91" s="79">
        <v>37314.6</v>
      </c>
      <c r="S91" s="79">
        <v>37539.68</v>
      </c>
      <c r="T91" s="79">
        <v>37810.71</v>
      </c>
      <c r="U91" s="79">
        <v>37806.06</v>
      </c>
      <c r="V91" s="79">
        <v>38439.89</v>
      </c>
      <c r="W91" s="79">
        <v>43257.87</v>
      </c>
      <c r="X91" s="79">
        <v>45125.45</v>
      </c>
      <c r="Y91" s="79">
        <v>44755.83</v>
      </c>
      <c r="Z91" s="79">
        <v>43156.57</v>
      </c>
      <c r="AA91" s="79">
        <v>39997.980000000003</v>
      </c>
      <c r="AB91" s="79">
        <v>36658.089999999997</v>
      </c>
      <c r="AC91" s="210"/>
      <c r="AD91" s="18"/>
    </row>
    <row r="92" spans="2:30" ht="18.649999999999999" customHeight="1" thickBot="1" x14ac:dyDescent="0.4">
      <c r="B92" s="213" t="s">
        <v>34</v>
      </c>
      <c r="C92" s="11" t="s">
        <v>32</v>
      </c>
      <c r="D92" s="12">
        <v>2</v>
      </c>
      <c r="E92" s="76">
        <v>34301.589999999997</v>
      </c>
      <c r="F92" s="76">
        <v>32632.560000000001</v>
      </c>
      <c r="G92" s="76">
        <v>31186.01</v>
      </c>
      <c r="H92" s="76">
        <v>30347.53</v>
      </c>
      <c r="I92" s="76">
        <v>29910.400000000001</v>
      </c>
      <c r="J92" s="76">
        <v>29455.05</v>
      </c>
      <c r="K92" s="76">
        <v>28663.27</v>
      </c>
      <c r="L92" s="76">
        <v>30286.73</v>
      </c>
      <c r="M92" s="76">
        <v>32236.03</v>
      </c>
      <c r="N92" s="76">
        <v>33892.9</v>
      </c>
      <c r="O92" s="76">
        <v>35298.300000000003</v>
      </c>
      <c r="P92" s="76">
        <v>36469.78</v>
      </c>
      <c r="Q92" s="76">
        <v>37168.28</v>
      </c>
      <c r="R92" s="76">
        <v>37314.6</v>
      </c>
      <c r="S92" s="76">
        <v>37539.68</v>
      </c>
      <c r="T92" s="76">
        <v>37810.71</v>
      </c>
      <c r="U92" s="76">
        <v>37806.06</v>
      </c>
      <c r="V92" s="76">
        <v>38439.89</v>
      </c>
      <c r="W92" s="76">
        <v>43257.87</v>
      </c>
      <c r="X92" s="76">
        <v>45125.45</v>
      </c>
      <c r="Y92" s="76">
        <v>44755.83</v>
      </c>
      <c r="Z92" s="76">
        <v>43156.57</v>
      </c>
      <c r="AA92" s="76">
        <v>39997.980000000003</v>
      </c>
      <c r="AB92" s="76">
        <v>36658.089999999997</v>
      </c>
      <c r="AC92" s="214"/>
      <c r="AD92" s="18"/>
    </row>
    <row r="93" spans="2:30" ht="18.649999999999999" customHeight="1" x14ac:dyDescent="0.35">
      <c r="B93" s="207">
        <v>46997</v>
      </c>
      <c r="C93" s="13" t="s">
        <v>29</v>
      </c>
      <c r="D93" s="14">
        <v>21</v>
      </c>
      <c r="E93" s="81">
        <v>34712.74</v>
      </c>
      <c r="F93" s="81">
        <v>32891.94</v>
      </c>
      <c r="G93" s="81">
        <v>31550.6</v>
      </c>
      <c r="H93" s="81">
        <v>30568.18</v>
      </c>
      <c r="I93" s="81">
        <v>30533.48</v>
      </c>
      <c r="J93" s="81">
        <v>31521.62</v>
      </c>
      <c r="K93" s="81">
        <v>31967.14</v>
      </c>
      <c r="L93" s="81">
        <v>35626.639999999999</v>
      </c>
      <c r="M93" s="81">
        <v>39567.910000000003</v>
      </c>
      <c r="N93" s="81">
        <v>41535.800000000003</v>
      </c>
      <c r="O93" s="81">
        <v>43651.14</v>
      </c>
      <c r="P93" s="81">
        <v>45458.84</v>
      </c>
      <c r="Q93" s="81">
        <v>43815.79</v>
      </c>
      <c r="R93" s="81">
        <v>45096.08</v>
      </c>
      <c r="S93" s="81">
        <v>47653.9</v>
      </c>
      <c r="T93" s="81">
        <v>47980.04</v>
      </c>
      <c r="U93" s="81">
        <v>47238.720000000001</v>
      </c>
      <c r="V93" s="81">
        <v>46037.599999999999</v>
      </c>
      <c r="W93" s="81">
        <v>49117.38</v>
      </c>
      <c r="X93" s="81">
        <v>48653.5</v>
      </c>
      <c r="Y93" s="81">
        <v>47100.07</v>
      </c>
      <c r="Z93" s="81">
        <v>44559.72</v>
      </c>
      <c r="AA93" s="81">
        <v>40748.230000000003</v>
      </c>
      <c r="AB93" s="81">
        <v>37241.89</v>
      </c>
      <c r="AC93" s="210">
        <f>SUM(E93:AB93)*D93+SUM(E94:AB94)*D94+SUM(E95:AB95)*D95+SUM(E96:AB96)*D96</f>
        <v>28481782.039999999</v>
      </c>
      <c r="AD93" s="18"/>
    </row>
    <row r="94" spans="2:30" ht="18.649999999999999" customHeight="1" x14ac:dyDescent="0.35">
      <c r="B94" s="208"/>
      <c r="C94" s="9" t="s">
        <v>30</v>
      </c>
      <c r="D94" s="10">
        <v>5</v>
      </c>
      <c r="E94" s="79">
        <v>33809.449999999997</v>
      </c>
      <c r="F94" s="79">
        <v>32100.5</v>
      </c>
      <c r="G94" s="79">
        <v>30816.73</v>
      </c>
      <c r="H94" s="79">
        <v>29870.53</v>
      </c>
      <c r="I94" s="79">
        <v>29618.959999999999</v>
      </c>
      <c r="J94" s="79">
        <v>29448.42</v>
      </c>
      <c r="K94" s="79">
        <v>29786.06</v>
      </c>
      <c r="L94" s="79">
        <v>33181.839999999997</v>
      </c>
      <c r="M94" s="79">
        <v>36979.980000000003</v>
      </c>
      <c r="N94" s="79">
        <v>38850.85</v>
      </c>
      <c r="O94" s="79">
        <v>41126.22</v>
      </c>
      <c r="P94" s="79">
        <v>42139.13</v>
      </c>
      <c r="Q94" s="79">
        <v>41669.93</v>
      </c>
      <c r="R94" s="79">
        <v>41160.239999999998</v>
      </c>
      <c r="S94" s="79">
        <v>41444.67</v>
      </c>
      <c r="T94" s="79">
        <v>41356.19</v>
      </c>
      <c r="U94" s="79">
        <v>40864.53</v>
      </c>
      <c r="V94" s="79">
        <v>41867.019999999997</v>
      </c>
      <c r="W94" s="79">
        <v>46520.77</v>
      </c>
      <c r="X94" s="79">
        <v>46176.39</v>
      </c>
      <c r="Y94" s="79">
        <v>44546.29</v>
      </c>
      <c r="Z94" s="79">
        <v>42496.54</v>
      </c>
      <c r="AA94" s="79">
        <v>40148.06</v>
      </c>
      <c r="AB94" s="79">
        <v>37341.910000000003</v>
      </c>
      <c r="AC94" s="210"/>
      <c r="AD94" s="18"/>
    </row>
    <row r="95" spans="2:30" ht="18.649999999999999" customHeight="1" x14ac:dyDescent="0.35">
      <c r="B95" s="208"/>
      <c r="C95" s="9" t="s">
        <v>31</v>
      </c>
      <c r="D95" s="10">
        <v>4</v>
      </c>
      <c r="E95" s="79">
        <v>34605.22</v>
      </c>
      <c r="F95" s="79">
        <v>32841.71</v>
      </c>
      <c r="G95" s="79">
        <v>31327.56</v>
      </c>
      <c r="H95" s="79">
        <v>30325.27</v>
      </c>
      <c r="I95" s="79">
        <v>29901.01</v>
      </c>
      <c r="J95" s="79">
        <v>29089.58</v>
      </c>
      <c r="K95" s="79">
        <v>28329.26</v>
      </c>
      <c r="L95" s="79">
        <v>30110.51</v>
      </c>
      <c r="M95" s="79">
        <v>32046.62</v>
      </c>
      <c r="N95" s="79">
        <v>33924.639999999999</v>
      </c>
      <c r="O95" s="79">
        <v>35361.879999999997</v>
      </c>
      <c r="P95" s="79">
        <v>36305.99</v>
      </c>
      <c r="Q95" s="79">
        <v>37115.1</v>
      </c>
      <c r="R95" s="79">
        <v>37229</v>
      </c>
      <c r="S95" s="79">
        <v>37251.31</v>
      </c>
      <c r="T95" s="79">
        <v>37714.74</v>
      </c>
      <c r="U95" s="79">
        <v>37674.78</v>
      </c>
      <c r="V95" s="79">
        <v>38900.22</v>
      </c>
      <c r="W95" s="79">
        <v>43987.69</v>
      </c>
      <c r="X95" s="79">
        <v>44719.43</v>
      </c>
      <c r="Y95" s="79">
        <v>44141.79</v>
      </c>
      <c r="Z95" s="79">
        <v>42474.95</v>
      </c>
      <c r="AA95" s="79">
        <v>39412.49</v>
      </c>
      <c r="AB95" s="79">
        <v>36151.26</v>
      </c>
      <c r="AC95" s="210"/>
      <c r="AD95" s="18"/>
    </row>
    <row r="96" spans="2:30" ht="18.649999999999999" customHeight="1" thickBot="1" x14ac:dyDescent="0.4">
      <c r="B96" s="208"/>
      <c r="C96" s="15" t="s">
        <v>32</v>
      </c>
      <c r="D96" s="16">
        <v>0</v>
      </c>
      <c r="E96" s="193">
        <v>0</v>
      </c>
      <c r="F96" s="84">
        <v>0</v>
      </c>
      <c r="G96" s="84">
        <v>0</v>
      </c>
      <c r="H96" s="84">
        <v>0</v>
      </c>
      <c r="I96" s="84">
        <v>0</v>
      </c>
      <c r="J96" s="84">
        <v>0</v>
      </c>
      <c r="K96" s="84">
        <v>0</v>
      </c>
      <c r="L96" s="84">
        <v>0</v>
      </c>
      <c r="M96" s="84">
        <v>0</v>
      </c>
      <c r="N96" s="84">
        <v>0</v>
      </c>
      <c r="O96" s="84">
        <v>0</v>
      </c>
      <c r="P96" s="84">
        <v>0</v>
      </c>
      <c r="Q96" s="84">
        <v>0</v>
      </c>
      <c r="R96" s="84">
        <v>0</v>
      </c>
      <c r="S96" s="84">
        <v>0</v>
      </c>
      <c r="T96" s="84">
        <v>0</v>
      </c>
      <c r="U96" s="84">
        <v>0</v>
      </c>
      <c r="V96" s="84">
        <v>0</v>
      </c>
      <c r="W96" s="84">
        <v>0</v>
      </c>
      <c r="X96" s="84">
        <v>0</v>
      </c>
      <c r="Y96" s="84">
        <v>0</v>
      </c>
      <c r="Z96" s="84">
        <v>0</v>
      </c>
      <c r="AA96" s="84">
        <v>0</v>
      </c>
      <c r="AB96" s="84">
        <v>0</v>
      </c>
      <c r="AC96" s="210"/>
      <c r="AD96" s="18"/>
    </row>
    <row r="97" spans="2:62" ht="18.649999999999999" customHeight="1" x14ac:dyDescent="0.35">
      <c r="B97" s="211">
        <v>47027</v>
      </c>
      <c r="C97" s="6" t="s">
        <v>29</v>
      </c>
      <c r="D97" s="7">
        <v>21</v>
      </c>
      <c r="E97" s="78">
        <v>33283.440000000002</v>
      </c>
      <c r="F97" s="78">
        <v>31531.41</v>
      </c>
      <c r="G97" s="78">
        <v>30279.54</v>
      </c>
      <c r="H97" s="78">
        <v>29369.279999999999</v>
      </c>
      <c r="I97" s="78">
        <v>29464.32</v>
      </c>
      <c r="J97" s="78">
        <v>30344.31</v>
      </c>
      <c r="K97" s="78">
        <v>31141.03</v>
      </c>
      <c r="L97" s="78">
        <v>34686.25</v>
      </c>
      <c r="M97" s="78">
        <v>38456.25</v>
      </c>
      <c r="N97" s="78">
        <v>40430.75</v>
      </c>
      <c r="O97" s="78">
        <v>42487.02</v>
      </c>
      <c r="P97" s="78">
        <v>44115.199999999997</v>
      </c>
      <c r="Q97" s="78">
        <v>42211.89</v>
      </c>
      <c r="R97" s="78">
        <v>43340.32</v>
      </c>
      <c r="S97" s="78">
        <v>45773.15</v>
      </c>
      <c r="T97" s="78">
        <v>46323.03</v>
      </c>
      <c r="U97" s="78">
        <v>45808.27</v>
      </c>
      <c r="V97" s="78">
        <v>45824.44</v>
      </c>
      <c r="W97" s="78">
        <v>48667.91</v>
      </c>
      <c r="X97" s="78">
        <v>47583.33</v>
      </c>
      <c r="Y97" s="78">
        <v>45816.13</v>
      </c>
      <c r="Z97" s="78">
        <v>43308.66</v>
      </c>
      <c r="AA97" s="78">
        <v>39613.07</v>
      </c>
      <c r="AB97" s="78">
        <v>36044.050000000003</v>
      </c>
      <c r="AC97" s="209">
        <f>SUM(E97:AB97)*D97+SUM(E98:AB98)*D98+SUM(E99:AB99)*D99+SUM(E100:AB100)*D100</f>
        <v>28604598.210000005</v>
      </c>
      <c r="AD97" s="18"/>
    </row>
    <row r="98" spans="2:62" ht="18.649999999999999" customHeight="1" x14ac:dyDescent="0.35">
      <c r="B98" s="212" t="s">
        <v>34</v>
      </c>
      <c r="C98" s="9" t="s">
        <v>30</v>
      </c>
      <c r="D98" s="10">
        <v>4</v>
      </c>
      <c r="E98" s="79">
        <v>33890.58</v>
      </c>
      <c r="F98" s="79">
        <v>31987.54</v>
      </c>
      <c r="G98" s="79">
        <v>30478.92</v>
      </c>
      <c r="H98" s="79">
        <v>29539.77</v>
      </c>
      <c r="I98" s="79">
        <v>29521.08</v>
      </c>
      <c r="J98" s="79">
        <v>29395.71</v>
      </c>
      <c r="K98" s="79">
        <v>29850.93</v>
      </c>
      <c r="L98" s="79">
        <v>32808.29</v>
      </c>
      <c r="M98" s="79">
        <v>36491.699999999997</v>
      </c>
      <c r="N98" s="79">
        <v>38592.89</v>
      </c>
      <c r="O98" s="79">
        <v>40758.57</v>
      </c>
      <c r="P98" s="79">
        <v>41836.04</v>
      </c>
      <c r="Q98" s="79">
        <v>41050.699999999997</v>
      </c>
      <c r="R98" s="79">
        <v>40544.51</v>
      </c>
      <c r="S98" s="79">
        <v>40970.19</v>
      </c>
      <c r="T98" s="79">
        <v>41400.230000000003</v>
      </c>
      <c r="U98" s="79">
        <v>41084.71</v>
      </c>
      <c r="V98" s="79">
        <v>42585.69</v>
      </c>
      <c r="W98" s="79">
        <v>46609.71</v>
      </c>
      <c r="X98" s="79">
        <v>45748.84</v>
      </c>
      <c r="Y98" s="79">
        <v>43983.38</v>
      </c>
      <c r="Z98" s="79">
        <v>41763.040000000001</v>
      </c>
      <c r="AA98" s="79">
        <v>39102.86</v>
      </c>
      <c r="AB98" s="79">
        <v>36293.65</v>
      </c>
      <c r="AC98" s="210"/>
      <c r="AD98" s="18"/>
    </row>
    <row r="99" spans="2:62" ht="18.649999999999999" customHeight="1" x14ac:dyDescent="0.35">
      <c r="B99" s="212" t="s">
        <v>34</v>
      </c>
      <c r="C99" s="9" t="s">
        <v>31</v>
      </c>
      <c r="D99" s="10">
        <v>5</v>
      </c>
      <c r="E99" s="79">
        <v>33715.160000000003</v>
      </c>
      <c r="F99" s="79">
        <v>31946.21</v>
      </c>
      <c r="G99" s="79">
        <v>30541.42</v>
      </c>
      <c r="H99" s="79">
        <v>29672.09</v>
      </c>
      <c r="I99" s="79">
        <v>29281.599999999999</v>
      </c>
      <c r="J99" s="79">
        <v>28653.78</v>
      </c>
      <c r="K99" s="79">
        <v>27888.14</v>
      </c>
      <c r="L99" s="79">
        <v>29542.23</v>
      </c>
      <c r="M99" s="79">
        <v>31690.49</v>
      </c>
      <c r="N99" s="79">
        <v>33407.279999999999</v>
      </c>
      <c r="O99" s="79">
        <v>35053.519999999997</v>
      </c>
      <c r="P99" s="79">
        <v>36369.919999999998</v>
      </c>
      <c r="Q99" s="79">
        <v>37026.39</v>
      </c>
      <c r="R99" s="79">
        <v>37096.78</v>
      </c>
      <c r="S99" s="79">
        <v>37327.1</v>
      </c>
      <c r="T99" s="79">
        <v>37286.019999999997</v>
      </c>
      <c r="U99" s="79">
        <v>37564.300000000003</v>
      </c>
      <c r="V99" s="79">
        <v>39404.89</v>
      </c>
      <c r="W99" s="79">
        <v>44186.55</v>
      </c>
      <c r="X99" s="79">
        <v>44478.75</v>
      </c>
      <c r="Y99" s="79">
        <v>43787.47</v>
      </c>
      <c r="Z99" s="79">
        <v>42050.67</v>
      </c>
      <c r="AA99" s="79">
        <v>38898.089999999997</v>
      </c>
      <c r="AB99" s="79">
        <v>35710.49</v>
      </c>
      <c r="AC99" s="210"/>
      <c r="AD99" s="18"/>
    </row>
    <row r="100" spans="2:62" ht="18.649999999999999" customHeight="1" thickBot="1" x14ac:dyDescent="0.4">
      <c r="B100" s="213" t="s">
        <v>34</v>
      </c>
      <c r="C100" s="11" t="s">
        <v>32</v>
      </c>
      <c r="D100" s="12">
        <v>1</v>
      </c>
      <c r="E100" s="269">
        <v>33715.160000000003</v>
      </c>
      <c r="F100" s="76">
        <v>31946.21</v>
      </c>
      <c r="G100" s="76">
        <v>30541.42</v>
      </c>
      <c r="H100" s="76">
        <v>29672.09</v>
      </c>
      <c r="I100" s="76">
        <v>29281.599999999999</v>
      </c>
      <c r="J100" s="76">
        <v>28653.78</v>
      </c>
      <c r="K100" s="76">
        <v>27888.14</v>
      </c>
      <c r="L100" s="76">
        <v>29542.23</v>
      </c>
      <c r="M100" s="76">
        <v>31690.49</v>
      </c>
      <c r="N100" s="76">
        <v>33407.279999999999</v>
      </c>
      <c r="O100" s="76">
        <v>35053.519999999997</v>
      </c>
      <c r="P100" s="76">
        <v>36369.919999999998</v>
      </c>
      <c r="Q100" s="76">
        <v>37026.39</v>
      </c>
      <c r="R100" s="76">
        <v>37096.78</v>
      </c>
      <c r="S100" s="76">
        <v>37327.1</v>
      </c>
      <c r="T100" s="76">
        <v>37286.019999999997</v>
      </c>
      <c r="U100" s="76">
        <v>37564.300000000003</v>
      </c>
      <c r="V100" s="76">
        <v>39404.89</v>
      </c>
      <c r="W100" s="76">
        <v>44186.55</v>
      </c>
      <c r="X100" s="76">
        <v>44478.75</v>
      </c>
      <c r="Y100" s="76">
        <v>43787.47</v>
      </c>
      <c r="Z100" s="76">
        <v>42050.67</v>
      </c>
      <c r="AA100" s="76">
        <v>38898.089999999997</v>
      </c>
      <c r="AB100" s="76">
        <v>35710.49</v>
      </c>
      <c r="AC100" s="214"/>
      <c r="AD100" s="18"/>
    </row>
    <row r="101" spans="2:62" ht="18.649999999999999" customHeight="1" x14ac:dyDescent="0.35">
      <c r="B101" s="207">
        <v>47058</v>
      </c>
      <c r="C101" s="13" t="s">
        <v>29</v>
      </c>
      <c r="D101" s="14">
        <v>20</v>
      </c>
      <c r="E101" s="81">
        <v>28388.66</v>
      </c>
      <c r="F101" s="81">
        <v>26929.94</v>
      </c>
      <c r="G101" s="81">
        <v>25867.71</v>
      </c>
      <c r="H101" s="81">
        <v>25148.19</v>
      </c>
      <c r="I101" s="81">
        <v>25219.14</v>
      </c>
      <c r="J101" s="81">
        <v>25967.98</v>
      </c>
      <c r="K101" s="81">
        <v>26651.77</v>
      </c>
      <c r="L101" s="81">
        <v>29821.94</v>
      </c>
      <c r="M101" s="81">
        <v>33084.69</v>
      </c>
      <c r="N101" s="81">
        <v>34703.21</v>
      </c>
      <c r="O101" s="81">
        <v>36392.36</v>
      </c>
      <c r="P101" s="81">
        <v>37582.89</v>
      </c>
      <c r="Q101" s="81">
        <v>36041.81</v>
      </c>
      <c r="R101" s="81">
        <v>36853.1</v>
      </c>
      <c r="S101" s="81">
        <v>38691.17</v>
      </c>
      <c r="T101" s="81">
        <v>39164.14</v>
      </c>
      <c r="U101" s="81">
        <v>38781.71</v>
      </c>
      <c r="V101" s="81">
        <v>39288.36</v>
      </c>
      <c r="W101" s="81">
        <v>41211.730000000003</v>
      </c>
      <c r="X101" s="81">
        <v>40257.230000000003</v>
      </c>
      <c r="Y101" s="81">
        <v>38830.17</v>
      </c>
      <c r="Z101" s="81">
        <v>36762.449999999997</v>
      </c>
      <c r="AA101" s="81">
        <v>33737.699999999997</v>
      </c>
      <c r="AB101" s="81">
        <v>30751.9</v>
      </c>
      <c r="AC101" s="210">
        <f>SUM(E101:AB101)*D101+SUM(E102:AB102)*D102+SUM(E103:AB103)*D103+SUM(E104:AB104)*D104</f>
        <v>23500227.640000001</v>
      </c>
      <c r="AD101" s="18"/>
    </row>
    <row r="102" spans="2:62" ht="18.649999999999999" customHeight="1" x14ac:dyDescent="0.35">
      <c r="B102" s="208"/>
      <c r="C102" s="9" t="s">
        <v>30</v>
      </c>
      <c r="D102" s="10">
        <v>4</v>
      </c>
      <c r="E102" s="79">
        <v>27711.45</v>
      </c>
      <c r="F102" s="79">
        <v>26354.68</v>
      </c>
      <c r="G102" s="79">
        <v>25402.52</v>
      </c>
      <c r="H102" s="79">
        <v>24779.85</v>
      </c>
      <c r="I102" s="79">
        <v>24765.01</v>
      </c>
      <c r="J102" s="79">
        <v>24703.88</v>
      </c>
      <c r="K102" s="79">
        <v>25072.87</v>
      </c>
      <c r="L102" s="79">
        <v>27961.72</v>
      </c>
      <c r="M102" s="79">
        <v>31210.59</v>
      </c>
      <c r="N102" s="79">
        <v>33008.54</v>
      </c>
      <c r="O102" s="79">
        <v>34880.980000000003</v>
      </c>
      <c r="P102" s="79">
        <v>35669.89</v>
      </c>
      <c r="Q102" s="79">
        <v>35028.14</v>
      </c>
      <c r="R102" s="79">
        <v>34301.870000000003</v>
      </c>
      <c r="S102" s="79">
        <v>34071.800000000003</v>
      </c>
      <c r="T102" s="79">
        <v>34345.42</v>
      </c>
      <c r="U102" s="79">
        <v>34175.17</v>
      </c>
      <c r="V102" s="79">
        <v>36076.71</v>
      </c>
      <c r="W102" s="79">
        <v>39051.83</v>
      </c>
      <c r="X102" s="79">
        <v>38391.879999999997</v>
      </c>
      <c r="Y102" s="79">
        <v>37011.64</v>
      </c>
      <c r="Z102" s="79">
        <v>35299.269999999997</v>
      </c>
      <c r="AA102" s="79">
        <v>33135.69</v>
      </c>
      <c r="AB102" s="79">
        <v>30701.47</v>
      </c>
      <c r="AC102" s="210"/>
      <c r="AD102" s="18"/>
    </row>
    <row r="103" spans="2:62" ht="18.649999999999999" customHeight="1" x14ac:dyDescent="0.35">
      <c r="B103" s="208"/>
      <c r="C103" s="9" t="s">
        <v>31</v>
      </c>
      <c r="D103" s="10">
        <v>4</v>
      </c>
      <c r="E103" s="79">
        <v>28721.47</v>
      </c>
      <c r="F103" s="79">
        <v>27358.87</v>
      </c>
      <c r="G103" s="79">
        <v>26178.98</v>
      </c>
      <c r="H103" s="79">
        <v>25383.75</v>
      </c>
      <c r="I103" s="79">
        <v>25061.41</v>
      </c>
      <c r="J103" s="79">
        <v>24639.15</v>
      </c>
      <c r="K103" s="79">
        <v>24031.06</v>
      </c>
      <c r="L103" s="79">
        <v>25353.72</v>
      </c>
      <c r="M103" s="79">
        <v>27167.01</v>
      </c>
      <c r="N103" s="79">
        <v>28657.19</v>
      </c>
      <c r="O103" s="79">
        <v>30091</v>
      </c>
      <c r="P103" s="79">
        <v>30848.41</v>
      </c>
      <c r="Q103" s="79">
        <v>31410.39</v>
      </c>
      <c r="R103" s="79">
        <v>31380.78</v>
      </c>
      <c r="S103" s="79">
        <v>31290.6</v>
      </c>
      <c r="T103" s="79">
        <v>31433.24</v>
      </c>
      <c r="U103" s="79">
        <v>31469.78</v>
      </c>
      <c r="V103" s="79">
        <v>33598.36</v>
      </c>
      <c r="W103" s="79">
        <v>36800.839999999997</v>
      </c>
      <c r="X103" s="79">
        <v>36854.69</v>
      </c>
      <c r="Y103" s="79">
        <v>36042</v>
      </c>
      <c r="Z103" s="79">
        <v>34625.279999999999</v>
      </c>
      <c r="AA103" s="79">
        <v>32406.09</v>
      </c>
      <c r="AB103" s="79">
        <v>30058.79</v>
      </c>
      <c r="AC103" s="210"/>
      <c r="AD103" s="18"/>
    </row>
    <row r="104" spans="2:62" ht="18.649999999999999" customHeight="1" thickBot="1" x14ac:dyDescent="0.4">
      <c r="B104" s="208"/>
      <c r="C104" s="15" t="s">
        <v>32</v>
      </c>
      <c r="D104" s="16">
        <v>2</v>
      </c>
      <c r="E104" s="80">
        <v>28721.47</v>
      </c>
      <c r="F104" s="80">
        <v>27358.87</v>
      </c>
      <c r="G104" s="80">
        <v>26178.98</v>
      </c>
      <c r="H104" s="80">
        <v>25383.75</v>
      </c>
      <c r="I104" s="80">
        <v>25061.41</v>
      </c>
      <c r="J104" s="80">
        <v>24639.15</v>
      </c>
      <c r="K104" s="80">
        <v>24031.06</v>
      </c>
      <c r="L104" s="80">
        <v>25353.72</v>
      </c>
      <c r="M104" s="80">
        <v>27167.01</v>
      </c>
      <c r="N104" s="80">
        <v>28657.19</v>
      </c>
      <c r="O104" s="80">
        <v>30091</v>
      </c>
      <c r="P104" s="80">
        <v>30848.41</v>
      </c>
      <c r="Q104" s="80">
        <v>31410.39</v>
      </c>
      <c r="R104" s="80">
        <v>31380.78</v>
      </c>
      <c r="S104" s="80">
        <v>31290.6</v>
      </c>
      <c r="T104" s="80">
        <v>31433.24</v>
      </c>
      <c r="U104" s="80">
        <v>31469.78</v>
      </c>
      <c r="V104" s="80">
        <v>33598.36</v>
      </c>
      <c r="W104" s="80">
        <v>36800.839999999997</v>
      </c>
      <c r="X104" s="80">
        <v>36854.69</v>
      </c>
      <c r="Y104" s="80">
        <v>36042</v>
      </c>
      <c r="Z104" s="80">
        <v>34625.279999999999</v>
      </c>
      <c r="AA104" s="80">
        <v>32406.09</v>
      </c>
      <c r="AB104" s="80">
        <v>30058.79</v>
      </c>
      <c r="AC104" s="210"/>
      <c r="AD104" s="18"/>
    </row>
    <row r="105" spans="2:62" ht="18.649999999999999" customHeight="1" x14ac:dyDescent="0.35">
      <c r="B105" s="211">
        <v>47088</v>
      </c>
      <c r="C105" s="6" t="s">
        <v>29</v>
      </c>
      <c r="D105" s="7">
        <v>19</v>
      </c>
      <c r="E105" s="78">
        <v>41593.75</v>
      </c>
      <c r="F105" s="78">
        <v>39306.129999999997</v>
      </c>
      <c r="G105" s="78">
        <v>37672.35</v>
      </c>
      <c r="H105" s="78">
        <v>36659.97</v>
      </c>
      <c r="I105" s="78">
        <v>36529.769999999997</v>
      </c>
      <c r="J105" s="78">
        <v>37182.32</v>
      </c>
      <c r="K105" s="78">
        <v>37442.370000000003</v>
      </c>
      <c r="L105" s="78">
        <v>41955.3</v>
      </c>
      <c r="M105" s="78">
        <v>46538.65</v>
      </c>
      <c r="N105" s="78">
        <v>49163.06</v>
      </c>
      <c r="O105" s="78">
        <v>51472.93</v>
      </c>
      <c r="P105" s="78">
        <v>53144.32</v>
      </c>
      <c r="Q105" s="78">
        <v>51681.04</v>
      </c>
      <c r="R105" s="78">
        <v>52343.31</v>
      </c>
      <c r="S105" s="78">
        <v>54556.47</v>
      </c>
      <c r="T105" s="78">
        <v>55237.48</v>
      </c>
      <c r="U105" s="78">
        <v>54781.9</v>
      </c>
      <c r="V105" s="78">
        <v>54837.52</v>
      </c>
      <c r="W105" s="78">
        <v>59063.37</v>
      </c>
      <c r="X105" s="78">
        <v>57926.93</v>
      </c>
      <c r="Y105" s="78">
        <v>55806.7</v>
      </c>
      <c r="Z105" s="78">
        <v>52784.09</v>
      </c>
      <c r="AA105" s="78">
        <v>48905.15</v>
      </c>
      <c r="AB105" s="78">
        <v>45130.720000000001</v>
      </c>
      <c r="AC105" s="209">
        <f>SUM(E105:AB105)*D105+SUM(E106:AB106)*D106+SUM(E107:AB107)*D107+SUM(E108:AB108)*D108</f>
        <v>34838045.960000001</v>
      </c>
      <c r="AD105" s="18"/>
    </row>
    <row r="106" spans="2:62" ht="18.649999999999999" customHeight="1" x14ac:dyDescent="0.35">
      <c r="B106" s="212" t="s">
        <v>34</v>
      </c>
      <c r="C106" s="9" t="s">
        <v>30</v>
      </c>
      <c r="D106" s="10">
        <v>5</v>
      </c>
      <c r="E106" s="79">
        <v>42267.32</v>
      </c>
      <c r="F106" s="79">
        <v>39874.400000000001</v>
      </c>
      <c r="G106" s="79">
        <v>38298.06</v>
      </c>
      <c r="H106" s="79">
        <v>37142.300000000003</v>
      </c>
      <c r="I106" s="79">
        <v>36822.83</v>
      </c>
      <c r="J106" s="79">
        <v>36887.050000000003</v>
      </c>
      <c r="K106" s="79">
        <v>36520.65</v>
      </c>
      <c r="L106" s="79">
        <v>39873.93</v>
      </c>
      <c r="M106" s="79">
        <v>44727.56</v>
      </c>
      <c r="N106" s="79">
        <v>47573.94</v>
      </c>
      <c r="O106" s="79">
        <v>49971.21</v>
      </c>
      <c r="P106" s="79">
        <v>51434.36</v>
      </c>
      <c r="Q106" s="79">
        <v>50601.31</v>
      </c>
      <c r="R106" s="79">
        <v>50235.4</v>
      </c>
      <c r="S106" s="79">
        <v>50024.82</v>
      </c>
      <c r="T106" s="79">
        <v>50561.919999999998</v>
      </c>
      <c r="U106" s="79">
        <v>50404.85</v>
      </c>
      <c r="V106" s="79">
        <v>51519.38</v>
      </c>
      <c r="W106" s="79">
        <v>57226.31</v>
      </c>
      <c r="X106" s="79">
        <v>56414.559999999998</v>
      </c>
      <c r="Y106" s="79">
        <v>54290.59</v>
      </c>
      <c r="Z106" s="79">
        <v>51973.34</v>
      </c>
      <c r="AA106" s="79">
        <v>48760.52</v>
      </c>
      <c r="AB106" s="79">
        <v>45450.61</v>
      </c>
      <c r="AC106" s="210"/>
      <c r="AD106" s="18"/>
    </row>
    <row r="107" spans="2:62" ht="18.649999999999999" customHeight="1" x14ac:dyDescent="0.35">
      <c r="B107" s="212" t="s">
        <v>34</v>
      </c>
      <c r="C107" s="9" t="s">
        <v>31</v>
      </c>
      <c r="D107" s="10">
        <v>5</v>
      </c>
      <c r="E107" s="79">
        <v>42534.15</v>
      </c>
      <c r="F107" s="79">
        <v>40443.58</v>
      </c>
      <c r="G107" s="79">
        <v>38759.83</v>
      </c>
      <c r="H107" s="79">
        <v>37574.080000000002</v>
      </c>
      <c r="I107" s="79">
        <v>37039.160000000003</v>
      </c>
      <c r="J107" s="79">
        <v>36665.39</v>
      </c>
      <c r="K107" s="79">
        <v>35031.74</v>
      </c>
      <c r="L107" s="79">
        <v>36798.85</v>
      </c>
      <c r="M107" s="79">
        <v>39607.79</v>
      </c>
      <c r="N107" s="79">
        <v>42019.24</v>
      </c>
      <c r="O107" s="79">
        <v>43605.59</v>
      </c>
      <c r="P107" s="79">
        <v>44904.61</v>
      </c>
      <c r="Q107" s="79">
        <v>45677.11</v>
      </c>
      <c r="R107" s="79">
        <v>46107.28</v>
      </c>
      <c r="S107" s="79">
        <v>44804.1</v>
      </c>
      <c r="T107" s="79">
        <v>46029.48</v>
      </c>
      <c r="U107" s="79">
        <v>46303.09</v>
      </c>
      <c r="V107" s="79">
        <v>47849.04</v>
      </c>
      <c r="W107" s="79">
        <v>53652.98</v>
      </c>
      <c r="X107" s="79">
        <v>53226.12</v>
      </c>
      <c r="Y107" s="79">
        <v>51837.05</v>
      </c>
      <c r="Z107" s="79">
        <v>49933.98</v>
      </c>
      <c r="AA107" s="79">
        <v>47055.05</v>
      </c>
      <c r="AB107" s="79">
        <v>44135.49</v>
      </c>
      <c r="AC107" s="210"/>
      <c r="AD107" s="18"/>
    </row>
    <row r="108" spans="2:62" ht="18.649999999999999" customHeight="1" thickBot="1" x14ac:dyDescent="0.4">
      <c r="B108" s="213" t="s">
        <v>34</v>
      </c>
      <c r="C108" s="11" t="s">
        <v>32</v>
      </c>
      <c r="D108" s="12">
        <v>2</v>
      </c>
      <c r="E108" s="76">
        <v>42534.15</v>
      </c>
      <c r="F108" s="76">
        <v>40443.58</v>
      </c>
      <c r="G108" s="76">
        <v>38759.83</v>
      </c>
      <c r="H108" s="76">
        <v>37574.080000000002</v>
      </c>
      <c r="I108" s="76">
        <v>37039.160000000003</v>
      </c>
      <c r="J108" s="76">
        <v>36665.39</v>
      </c>
      <c r="K108" s="76">
        <v>35031.74</v>
      </c>
      <c r="L108" s="76">
        <v>36798.85</v>
      </c>
      <c r="M108" s="76">
        <v>39607.79</v>
      </c>
      <c r="N108" s="76">
        <v>42019.24</v>
      </c>
      <c r="O108" s="76">
        <v>43605.59</v>
      </c>
      <c r="P108" s="76">
        <v>44904.61</v>
      </c>
      <c r="Q108" s="76">
        <v>45677.11</v>
      </c>
      <c r="R108" s="76">
        <v>46107.28</v>
      </c>
      <c r="S108" s="76">
        <v>44804.1</v>
      </c>
      <c r="T108" s="76">
        <v>46029.48</v>
      </c>
      <c r="U108" s="76">
        <v>46303.09</v>
      </c>
      <c r="V108" s="76">
        <v>47849.04</v>
      </c>
      <c r="W108" s="76">
        <v>53652.98</v>
      </c>
      <c r="X108" s="76">
        <v>53226.12</v>
      </c>
      <c r="Y108" s="76">
        <v>51837.05</v>
      </c>
      <c r="Z108" s="76">
        <v>49933.98</v>
      </c>
      <c r="AA108" s="76">
        <v>47055.05</v>
      </c>
      <c r="AB108" s="76">
        <v>44135.49</v>
      </c>
      <c r="AC108" s="214"/>
      <c r="AD108" s="18"/>
    </row>
    <row r="109" spans="2:62" ht="18.649999999999999" customHeight="1" thickBot="1" x14ac:dyDescent="0.4"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215" t="s">
        <v>33</v>
      </c>
      <c r="AA109" s="216"/>
      <c r="AB109" s="217"/>
      <c r="AC109" s="135">
        <f>SUM(AC61:AC108)</f>
        <v>393168753.41999996</v>
      </c>
      <c r="AD109" s="17"/>
      <c r="AE109" s="18"/>
    </row>
    <row r="110" spans="2:62" ht="34.5" customHeight="1" thickBot="1" x14ac:dyDescent="0.4">
      <c r="B110" s="1" t="s">
        <v>2</v>
      </c>
      <c r="C110" s="2" t="s">
        <v>3</v>
      </c>
      <c r="D110" s="1" t="s">
        <v>4</v>
      </c>
      <c r="E110" s="83" t="s">
        <v>5</v>
      </c>
      <c r="F110" s="3" t="s">
        <v>6</v>
      </c>
      <c r="G110" s="3" t="s">
        <v>7</v>
      </c>
      <c r="H110" s="3" t="s">
        <v>8</v>
      </c>
      <c r="I110" s="3" t="s">
        <v>9</v>
      </c>
      <c r="J110" s="3" t="s">
        <v>10</v>
      </c>
      <c r="K110" s="3" t="s">
        <v>11</v>
      </c>
      <c r="L110" s="3" t="s">
        <v>12</v>
      </c>
      <c r="M110" s="3" t="s">
        <v>13</v>
      </c>
      <c r="N110" s="3" t="s">
        <v>14</v>
      </c>
      <c r="O110" s="3" t="s">
        <v>15</v>
      </c>
      <c r="P110" s="4" t="s">
        <v>16</v>
      </c>
      <c r="Q110" s="5" t="s">
        <v>17</v>
      </c>
      <c r="R110" s="3" t="s">
        <v>18</v>
      </c>
      <c r="S110" s="3" t="s">
        <v>19</v>
      </c>
      <c r="T110" s="3" t="s">
        <v>20</v>
      </c>
      <c r="U110" s="3" t="s">
        <v>21</v>
      </c>
      <c r="V110" s="3" t="s">
        <v>22</v>
      </c>
      <c r="W110" s="3" t="s">
        <v>23</v>
      </c>
      <c r="X110" s="3" t="s">
        <v>24</v>
      </c>
      <c r="Y110" s="3" t="s">
        <v>25</v>
      </c>
      <c r="Z110" s="3" t="s">
        <v>26</v>
      </c>
      <c r="AA110" s="3" t="s">
        <v>27</v>
      </c>
      <c r="AB110" s="4" t="s">
        <v>28</v>
      </c>
      <c r="AC110" s="134" t="s">
        <v>48</v>
      </c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2"/>
      <c r="BF110" s="52"/>
      <c r="BH110" s="49"/>
      <c r="BI110" s="50"/>
      <c r="BJ110" s="49"/>
    </row>
    <row r="111" spans="2:62" ht="18.649999999999999" customHeight="1" x14ac:dyDescent="0.35">
      <c r="B111" s="207">
        <v>47119</v>
      </c>
      <c r="C111" s="6" t="s">
        <v>29</v>
      </c>
      <c r="D111" s="46">
        <v>21</v>
      </c>
      <c r="E111" s="78">
        <v>44620.78</v>
      </c>
      <c r="F111" s="78">
        <v>42342.07</v>
      </c>
      <c r="G111" s="78">
        <v>40627.910000000003</v>
      </c>
      <c r="H111" s="78">
        <v>39383.71</v>
      </c>
      <c r="I111" s="78">
        <v>39166.620000000003</v>
      </c>
      <c r="J111" s="78">
        <v>40477.29</v>
      </c>
      <c r="K111" s="78">
        <v>40111.9</v>
      </c>
      <c r="L111" s="78">
        <v>44746.96</v>
      </c>
      <c r="M111" s="78">
        <v>49673.89</v>
      </c>
      <c r="N111" s="78">
        <v>52234.27</v>
      </c>
      <c r="O111" s="78">
        <v>55006.09</v>
      </c>
      <c r="P111" s="78">
        <v>57275.03</v>
      </c>
      <c r="Q111" s="78">
        <v>55706.78</v>
      </c>
      <c r="R111" s="78">
        <v>57240.53</v>
      </c>
      <c r="S111" s="78">
        <v>59895.78</v>
      </c>
      <c r="T111" s="78">
        <v>60214.2</v>
      </c>
      <c r="U111" s="78">
        <v>59218.37</v>
      </c>
      <c r="V111" s="78">
        <v>57036.17</v>
      </c>
      <c r="W111" s="78">
        <v>61014.26</v>
      </c>
      <c r="X111" s="78">
        <v>61231.82</v>
      </c>
      <c r="Y111" s="78">
        <v>59623.41</v>
      </c>
      <c r="Z111" s="78">
        <v>57008.98</v>
      </c>
      <c r="AA111" s="78">
        <v>52967.31</v>
      </c>
      <c r="AB111" s="78">
        <v>48652.4</v>
      </c>
      <c r="AC111" s="209">
        <f>SUM(E111:AB111)*D111+SUM(E112:AB112)*D112+SUM(E113:AB113)*D113+SUM(E114:AB114)*D114</f>
        <v>37156387.169999994</v>
      </c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</row>
    <row r="112" spans="2:62" ht="18.649999999999999" customHeight="1" x14ac:dyDescent="0.35">
      <c r="B112" s="208"/>
      <c r="C112" s="9" t="s">
        <v>30</v>
      </c>
      <c r="D112" s="10">
        <v>4</v>
      </c>
      <c r="E112" s="79">
        <v>44297.35</v>
      </c>
      <c r="F112" s="79">
        <v>42169.81</v>
      </c>
      <c r="G112" s="79">
        <v>40498.76</v>
      </c>
      <c r="H112" s="79">
        <v>39222.54</v>
      </c>
      <c r="I112" s="79">
        <v>38836.26</v>
      </c>
      <c r="J112" s="79">
        <v>39146.93</v>
      </c>
      <c r="K112" s="79">
        <v>38138.04</v>
      </c>
      <c r="L112" s="79">
        <v>41906.04</v>
      </c>
      <c r="M112" s="79">
        <v>46565.3</v>
      </c>
      <c r="N112" s="79">
        <v>49651.14</v>
      </c>
      <c r="O112" s="79">
        <v>52078.93</v>
      </c>
      <c r="P112" s="79">
        <v>53392.7</v>
      </c>
      <c r="Q112" s="79">
        <v>52925.85</v>
      </c>
      <c r="R112" s="79">
        <v>51805.24</v>
      </c>
      <c r="S112" s="79">
        <v>52049.71</v>
      </c>
      <c r="T112" s="79">
        <v>52230.26</v>
      </c>
      <c r="U112" s="79">
        <v>51712.67</v>
      </c>
      <c r="V112" s="79">
        <v>51900</v>
      </c>
      <c r="W112" s="79">
        <v>57652.87</v>
      </c>
      <c r="X112" s="79">
        <v>58065.72</v>
      </c>
      <c r="Y112" s="79">
        <v>56339.72</v>
      </c>
      <c r="Z112" s="79">
        <v>54056.75</v>
      </c>
      <c r="AA112" s="79">
        <v>51089.96</v>
      </c>
      <c r="AB112" s="79">
        <v>47799.9</v>
      </c>
      <c r="AC112" s="210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</row>
    <row r="113" spans="2:50" ht="18.649999999999999" customHeight="1" x14ac:dyDescent="0.35">
      <c r="B113" s="208"/>
      <c r="C113" s="9" t="s">
        <v>31</v>
      </c>
      <c r="D113" s="10">
        <v>4</v>
      </c>
      <c r="E113" s="79">
        <v>44590.94</v>
      </c>
      <c r="F113" s="79">
        <v>42400.18</v>
      </c>
      <c r="G113" s="79">
        <v>40633.65</v>
      </c>
      <c r="H113" s="79">
        <v>39337.61</v>
      </c>
      <c r="I113" s="79">
        <v>38699.730000000003</v>
      </c>
      <c r="J113" s="79">
        <v>38496.720000000001</v>
      </c>
      <c r="K113" s="79">
        <v>36422.65</v>
      </c>
      <c r="L113" s="79">
        <v>38047.550000000003</v>
      </c>
      <c r="M113" s="79">
        <v>40652.19</v>
      </c>
      <c r="N113" s="79">
        <v>42657.67</v>
      </c>
      <c r="O113" s="79">
        <v>44576.35</v>
      </c>
      <c r="P113" s="79">
        <v>46128.480000000003</v>
      </c>
      <c r="Q113" s="79">
        <v>47186.34</v>
      </c>
      <c r="R113" s="79">
        <v>47313.64</v>
      </c>
      <c r="S113" s="79">
        <v>47337.61</v>
      </c>
      <c r="T113" s="79">
        <v>47500.47</v>
      </c>
      <c r="U113" s="79">
        <v>47524.61</v>
      </c>
      <c r="V113" s="79">
        <v>48026.48</v>
      </c>
      <c r="W113" s="79">
        <v>54296.25</v>
      </c>
      <c r="X113" s="79">
        <v>55851.48</v>
      </c>
      <c r="Y113" s="79">
        <v>55260.54</v>
      </c>
      <c r="Z113" s="79">
        <v>53442.75</v>
      </c>
      <c r="AA113" s="79">
        <v>50187.34</v>
      </c>
      <c r="AB113" s="79">
        <v>46303.81</v>
      </c>
      <c r="AC113" s="210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</row>
    <row r="114" spans="2:50" ht="18.649999999999999" customHeight="1" thickBot="1" x14ac:dyDescent="0.4">
      <c r="B114" s="208"/>
      <c r="C114" s="15" t="s">
        <v>32</v>
      </c>
      <c r="D114" s="16">
        <v>2</v>
      </c>
      <c r="E114" s="80">
        <v>44590.94</v>
      </c>
      <c r="F114" s="80">
        <v>42400.18</v>
      </c>
      <c r="G114" s="80">
        <v>40633.65</v>
      </c>
      <c r="H114" s="80">
        <v>39337.61</v>
      </c>
      <c r="I114" s="80">
        <v>38699.730000000003</v>
      </c>
      <c r="J114" s="80">
        <v>38496.720000000001</v>
      </c>
      <c r="K114" s="80">
        <v>36422.65</v>
      </c>
      <c r="L114" s="80">
        <v>38047.550000000003</v>
      </c>
      <c r="M114" s="80">
        <v>40652.19</v>
      </c>
      <c r="N114" s="80">
        <v>42657.67</v>
      </c>
      <c r="O114" s="80">
        <v>44576.35</v>
      </c>
      <c r="P114" s="80">
        <v>46128.480000000003</v>
      </c>
      <c r="Q114" s="80">
        <v>47186.34</v>
      </c>
      <c r="R114" s="80">
        <v>47313.64</v>
      </c>
      <c r="S114" s="80">
        <v>47337.61</v>
      </c>
      <c r="T114" s="80">
        <v>47500.47</v>
      </c>
      <c r="U114" s="80">
        <v>47524.61</v>
      </c>
      <c r="V114" s="80">
        <v>48026.48</v>
      </c>
      <c r="W114" s="80">
        <v>54296.25</v>
      </c>
      <c r="X114" s="80">
        <v>55851.48</v>
      </c>
      <c r="Y114" s="80">
        <v>55260.54</v>
      </c>
      <c r="Z114" s="80">
        <v>53442.75</v>
      </c>
      <c r="AA114" s="80">
        <v>50187.34</v>
      </c>
      <c r="AB114" s="80">
        <v>46303.81</v>
      </c>
      <c r="AC114" s="210"/>
      <c r="AD114" s="53">
        <f>+AC111</f>
        <v>37156387.169999994</v>
      </c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</row>
    <row r="115" spans="2:50" ht="18.649999999999999" customHeight="1" x14ac:dyDescent="0.35">
      <c r="B115" s="211">
        <v>47150</v>
      </c>
      <c r="C115" s="6" t="s">
        <v>29</v>
      </c>
      <c r="D115" s="7">
        <v>20</v>
      </c>
      <c r="E115" s="78">
        <v>45449.63</v>
      </c>
      <c r="F115" s="78">
        <v>43218.54</v>
      </c>
      <c r="G115" s="78">
        <v>41437.449999999997</v>
      </c>
      <c r="H115" s="78">
        <v>40146.33</v>
      </c>
      <c r="I115" s="78">
        <v>40101.360000000001</v>
      </c>
      <c r="J115" s="78">
        <v>42511.69</v>
      </c>
      <c r="K115" s="78">
        <v>42102.41</v>
      </c>
      <c r="L115" s="78">
        <v>46200.36</v>
      </c>
      <c r="M115" s="78">
        <v>50708.72</v>
      </c>
      <c r="N115" s="78">
        <v>52896.24</v>
      </c>
      <c r="O115" s="78">
        <v>55538.42</v>
      </c>
      <c r="P115" s="78">
        <v>57627.83</v>
      </c>
      <c r="Q115" s="78">
        <v>55700.34</v>
      </c>
      <c r="R115" s="78">
        <v>57701.58</v>
      </c>
      <c r="S115" s="78">
        <v>60916.82</v>
      </c>
      <c r="T115" s="78">
        <v>61414.92</v>
      </c>
      <c r="U115" s="78">
        <v>60498.31</v>
      </c>
      <c r="V115" s="78">
        <v>58031.67</v>
      </c>
      <c r="W115" s="78">
        <v>61471.6</v>
      </c>
      <c r="X115" s="78">
        <v>62340.78</v>
      </c>
      <c r="Y115" s="78">
        <v>60996.81</v>
      </c>
      <c r="Z115" s="78">
        <v>58306.83</v>
      </c>
      <c r="AA115" s="78">
        <v>53714.52</v>
      </c>
      <c r="AB115" s="78">
        <v>49161.19</v>
      </c>
      <c r="AC115" s="209">
        <f>SUM(E115:AB115)*D115+SUM(E116:AB116)*D116+SUM(E117:AB117)*D117+SUM(E118:AB118)*D118</f>
        <v>34422858.199999996</v>
      </c>
      <c r="AD115" s="148">
        <f>+AC115</f>
        <v>34422858.199999996</v>
      </c>
    </row>
    <row r="116" spans="2:50" ht="18.649999999999999" customHeight="1" x14ac:dyDescent="0.35">
      <c r="B116" s="212" t="s">
        <v>34</v>
      </c>
      <c r="C116" s="9" t="s">
        <v>30</v>
      </c>
      <c r="D116" s="10">
        <v>4</v>
      </c>
      <c r="E116" s="79">
        <v>46076.44</v>
      </c>
      <c r="F116" s="79">
        <v>43585.11</v>
      </c>
      <c r="G116" s="79">
        <v>41960.41</v>
      </c>
      <c r="H116" s="79">
        <v>40416.03</v>
      </c>
      <c r="I116" s="79">
        <v>39929.51</v>
      </c>
      <c r="J116" s="79">
        <v>40393.49</v>
      </c>
      <c r="K116" s="79">
        <v>39677.199999999997</v>
      </c>
      <c r="L116" s="79">
        <v>43343.59</v>
      </c>
      <c r="M116" s="79">
        <v>47831.66</v>
      </c>
      <c r="N116" s="79">
        <v>50497.11</v>
      </c>
      <c r="O116" s="79">
        <v>52947.05</v>
      </c>
      <c r="P116" s="79">
        <v>54178.57</v>
      </c>
      <c r="Q116" s="79">
        <v>53314.33</v>
      </c>
      <c r="R116" s="79">
        <v>52623.1</v>
      </c>
      <c r="S116" s="79">
        <v>52865.23</v>
      </c>
      <c r="T116" s="79">
        <v>53016.54</v>
      </c>
      <c r="U116" s="79">
        <v>52643.89</v>
      </c>
      <c r="V116" s="79">
        <v>52489.22</v>
      </c>
      <c r="W116" s="79">
        <v>57938.49</v>
      </c>
      <c r="X116" s="79">
        <v>58777.91</v>
      </c>
      <c r="Y116" s="79">
        <v>57403.81</v>
      </c>
      <c r="Z116" s="79">
        <v>55216.94</v>
      </c>
      <c r="AA116" s="79">
        <v>52330.02</v>
      </c>
      <c r="AB116" s="79">
        <v>48892.41</v>
      </c>
      <c r="AC116" s="210"/>
      <c r="AD116" s="148">
        <f>+AC119</f>
        <v>36772720.860000007</v>
      </c>
    </row>
    <row r="117" spans="2:50" ht="18.649999999999999" customHeight="1" x14ac:dyDescent="0.35">
      <c r="B117" s="212" t="s">
        <v>34</v>
      </c>
      <c r="C117" s="9" t="s">
        <v>31</v>
      </c>
      <c r="D117" s="10">
        <v>4</v>
      </c>
      <c r="E117" s="79">
        <v>45948.15</v>
      </c>
      <c r="F117" s="79">
        <v>43728.35</v>
      </c>
      <c r="G117" s="79">
        <v>41935.94</v>
      </c>
      <c r="H117" s="79">
        <v>40605.08</v>
      </c>
      <c r="I117" s="79">
        <v>39919.980000000003</v>
      </c>
      <c r="J117" s="79">
        <v>39875.519999999997</v>
      </c>
      <c r="K117" s="79">
        <v>37782.92</v>
      </c>
      <c r="L117" s="79">
        <v>39412.49</v>
      </c>
      <c r="M117" s="79">
        <v>41898.769999999997</v>
      </c>
      <c r="N117" s="79">
        <v>43660.11</v>
      </c>
      <c r="O117" s="79">
        <v>45453.34</v>
      </c>
      <c r="P117" s="79">
        <v>47119</v>
      </c>
      <c r="Q117" s="79">
        <v>48225.09</v>
      </c>
      <c r="R117" s="79">
        <v>48511.85</v>
      </c>
      <c r="S117" s="79">
        <v>48995.16</v>
      </c>
      <c r="T117" s="79">
        <v>49375.11</v>
      </c>
      <c r="U117" s="79">
        <v>49215.87</v>
      </c>
      <c r="V117" s="79">
        <v>48913.599999999999</v>
      </c>
      <c r="W117" s="79">
        <v>55280.59</v>
      </c>
      <c r="X117" s="79">
        <v>57573.26</v>
      </c>
      <c r="Y117" s="79">
        <v>57551.9</v>
      </c>
      <c r="Z117" s="79">
        <v>56185.33</v>
      </c>
      <c r="AA117" s="79">
        <v>51624.83</v>
      </c>
      <c r="AB117" s="79">
        <v>47602.5</v>
      </c>
      <c r="AC117" s="210"/>
      <c r="AD117" s="148">
        <f>+AC123</f>
        <v>31506565.099999998</v>
      </c>
    </row>
    <row r="118" spans="2:50" ht="18.649999999999999" customHeight="1" thickBot="1" x14ac:dyDescent="0.4">
      <c r="B118" s="213" t="s">
        <v>34</v>
      </c>
      <c r="C118" s="11" t="s">
        <v>32</v>
      </c>
      <c r="D118" s="12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0</v>
      </c>
      <c r="U118" s="84">
        <v>0</v>
      </c>
      <c r="V118" s="84">
        <v>0</v>
      </c>
      <c r="W118" s="84">
        <v>0</v>
      </c>
      <c r="X118" s="84">
        <v>0</v>
      </c>
      <c r="Y118" s="84">
        <v>0</v>
      </c>
      <c r="Z118" s="84">
        <v>0</v>
      </c>
      <c r="AA118" s="84">
        <v>0</v>
      </c>
      <c r="AB118" s="84">
        <v>0</v>
      </c>
      <c r="AC118" s="214"/>
      <c r="AD118" s="148">
        <f>+AC127</f>
        <v>32474757.449999999</v>
      </c>
    </row>
    <row r="119" spans="2:50" ht="18.649999999999999" customHeight="1" x14ac:dyDescent="0.35">
      <c r="B119" s="207">
        <v>47178</v>
      </c>
      <c r="C119" s="13" t="s">
        <v>29</v>
      </c>
      <c r="D119" s="14">
        <v>19</v>
      </c>
      <c r="E119" s="81">
        <v>43453.13</v>
      </c>
      <c r="F119" s="81">
        <v>41303.769999999997</v>
      </c>
      <c r="G119" s="81">
        <v>39700.47</v>
      </c>
      <c r="H119" s="81">
        <v>38648.120000000003</v>
      </c>
      <c r="I119" s="81">
        <v>38825.480000000003</v>
      </c>
      <c r="J119" s="81">
        <v>40898.65</v>
      </c>
      <c r="K119" s="81">
        <v>40901.94</v>
      </c>
      <c r="L119" s="81">
        <v>45336.49</v>
      </c>
      <c r="M119" s="81">
        <v>49709.36</v>
      </c>
      <c r="N119" s="81">
        <v>51976.61</v>
      </c>
      <c r="O119" s="81">
        <v>54572.36</v>
      </c>
      <c r="P119" s="81">
        <v>56274.37</v>
      </c>
      <c r="Q119" s="81">
        <v>53728.43</v>
      </c>
      <c r="R119" s="81">
        <v>55500.56</v>
      </c>
      <c r="S119" s="81">
        <v>58550.400000000001</v>
      </c>
      <c r="T119" s="81">
        <v>59194.64</v>
      </c>
      <c r="U119" s="81">
        <v>58548.25</v>
      </c>
      <c r="V119" s="81">
        <v>56490.87</v>
      </c>
      <c r="W119" s="81">
        <v>59945.16</v>
      </c>
      <c r="X119" s="81">
        <v>60481.56</v>
      </c>
      <c r="Y119" s="81">
        <v>58710.32</v>
      </c>
      <c r="Z119" s="81">
        <v>55781.41</v>
      </c>
      <c r="AA119" s="81">
        <v>51380.08</v>
      </c>
      <c r="AB119" s="81">
        <v>46911.85</v>
      </c>
      <c r="AC119" s="210">
        <f>SUM(E119:AB119)*D119+SUM(E120:AB120)*D120+SUM(E121:AB121)*D121+SUM(E122:AB122)*D122</f>
        <v>36772720.860000007</v>
      </c>
      <c r="AD119" s="148">
        <f>+AC131</f>
        <v>34495275.269999996</v>
      </c>
    </row>
    <row r="120" spans="2:50" ht="18.649999999999999" customHeight="1" x14ac:dyDescent="0.35">
      <c r="B120" s="208"/>
      <c r="C120" s="9" t="s">
        <v>30</v>
      </c>
      <c r="D120" s="10">
        <v>5</v>
      </c>
      <c r="E120" s="79">
        <v>43707.519999999997</v>
      </c>
      <c r="F120" s="79">
        <v>41551.24</v>
      </c>
      <c r="G120" s="79">
        <v>39850.26</v>
      </c>
      <c r="H120" s="79">
        <v>38724.339999999997</v>
      </c>
      <c r="I120" s="79">
        <v>38439.86</v>
      </c>
      <c r="J120" s="79">
        <v>38877.589999999997</v>
      </c>
      <c r="K120" s="79">
        <v>38690.71</v>
      </c>
      <c r="L120" s="79">
        <v>42759.69</v>
      </c>
      <c r="M120" s="79">
        <v>47493.49</v>
      </c>
      <c r="N120" s="79">
        <v>50247.85</v>
      </c>
      <c r="O120" s="79">
        <v>52718.67</v>
      </c>
      <c r="P120" s="79">
        <v>54188.41</v>
      </c>
      <c r="Q120" s="79">
        <v>53257.06</v>
      </c>
      <c r="R120" s="79">
        <v>52546.96</v>
      </c>
      <c r="S120" s="79">
        <v>52963.15</v>
      </c>
      <c r="T120" s="79">
        <v>53032.52</v>
      </c>
      <c r="U120" s="79">
        <v>52562.18</v>
      </c>
      <c r="V120" s="79">
        <v>52239.01</v>
      </c>
      <c r="W120" s="79">
        <v>57686.49</v>
      </c>
      <c r="X120" s="79">
        <v>58616.54</v>
      </c>
      <c r="Y120" s="79">
        <v>56987.37</v>
      </c>
      <c r="Z120" s="79">
        <v>54767.67</v>
      </c>
      <c r="AA120" s="79">
        <v>51679.7</v>
      </c>
      <c r="AB120" s="79">
        <v>48293.63</v>
      </c>
      <c r="AC120" s="210"/>
      <c r="AD120" s="148">
        <f>+AC135</f>
        <v>33266013.27</v>
      </c>
    </row>
    <row r="121" spans="2:50" ht="18.649999999999999" customHeight="1" x14ac:dyDescent="0.35">
      <c r="B121" s="208"/>
      <c r="C121" s="9" t="s">
        <v>31</v>
      </c>
      <c r="D121" s="10">
        <v>4</v>
      </c>
      <c r="E121" s="79">
        <v>44879.39</v>
      </c>
      <c r="F121" s="79">
        <v>42569.3</v>
      </c>
      <c r="G121" s="79">
        <v>40774.32</v>
      </c>
      <c r="H121" s="79">
        <v>39487.96</v>
      </c>
      <c r="I121" s="79">
        <v>38841.33</v>
      </c>
      <c r="J121" s="79">
        <v>38550.800000000003</v>
      </c>
      <c r="K121" s="79">
        <v>37094.199999999997</v>
      </c>
      <c r="L121" s="79">
        <v>39058.71</v>
      </c>
      <c r="M121" s="79">
        <v>41818.720000000001</v>
      </c>
      <c r="N121" s="79">
        <v>43816.61</v>
      </c>
      <c r="O121" s="79">
        <v>45602.37</v>
      </c>
      <c r="P121" s="79">
        <v>47141.01</v>
      </c>
      <c r="Q121" s="79">
        <v>48117.86</v>
      </c>
      <c r="R121" s="79">
        <v>48293.06</v>
      </c>
      <c r="S121" s="79">
        <v>48478.44</v>
      </c>
      <c r="T121" s="79">
        <v>49008.55</v>
      </c>
      <c r="U121" s="79">
        <v>48825.09</v>
      </c>
      <c r="V121" s="79">
        <v>49066.79</v>
      </c>
      <c r="W121" s="79">
        <v>54856.57</v>
      </c>
      <c r="X121" s="79">
        <v>56858.41</v>
      </c>
      <c r="Y121" s="79">
        <v>56647.68</v>
      </c>
      <c r="Z121" s="79">
        <v>54985.75</v>
      </c>
      <c r="AA121" s="79">
        <v>51378.080000000002</v>
      </c>
      <c r="AB121" s="79">
        <v>47227.57</v>
      </c>
      <c r="AC121" s="210"/>
      <c r="AD121" s="148">
        <f>+AC139</f>
        <v>33206918.029999994</v>
      </c>
    </row>
    <row r="122" spans="2:50" ht="18.649999999999999" customHeight="1" thickBot="1" x14ac:dyDescent="0.4">
      <c r="B122" s="208"/>
      <c r="C122" s="15" t="s">
        <v>32</v>
      </c>
      <c r="D122" s="16">
        <v>3</v>
      </c>
      <c r="E122" s="80">
        <v>44879.39</v>
      </c>
      <c r="F122" s="80">
        <v>42569.3</v>
      </c>
      <c r="G122" s="80">
        <v>40774.32</v>
      </c>
      <c r="H122" s="80">
        <v>39487.96</v>
      </c>
      <c r="I122" s="80">
        <v>38841.33</v>
      </c>
      <c r="J122" s="80">
        <v>38550.800000000003</v>
      </c>
      <c r="K122" s="80">
        <v>37094.199999999997</v>
      </c>
      <c r="L122" s="80">
        <v>39058.71</v>
      </c>
      <c r="M122" s="80">
        <v>41818.720000000001</v>
      </c>
      <c r="N122" s="80">
        <v>43816.61</v>
      </c>
      <c r="O122" s="80">
        <v>45602.37</v>
      </c>
      <c r="P122" s="80">
        <v>47141.01</v>
      </c>
      <c r="Q122" s="80">
        <v>48117.86</v>
      </c>
      <c r="R122" s="80">
        <v>48293.06</v>
      </c>
      <c r="S122" s="80">
        <v>48478.44</v>
      </c>
      <c r="T122" s="80">
        <v>49008.55</v>
      </c>
      <c r="U122" s="80">
        <v>48825.09</v>
      </c>
      <c r="V122" s="80">
        <v>49066.79</v>
      </c>
      <c r="W122" s="80">
        <v>54856.57</v>
      </c>
      <c r="X122" s="80">
        <v>56858.41</v>
      </c>
      <c r="Y122" s="80">
        <v>56647.68</v>
      </c>
      <c r="Z122" s="80">
        <v>54985.75</v>
      </c>
      <c r="AA122" s="80">
        <v>51378.080000000002</v>
      </c>
      <c r="AB122" s="80">
        <v>47227.57</v>
      </c>
      <c r="AC122" s="210"/>
      <c r="AD122" s="148">
        <f>+AC143</f>
        <v>31749930.949999999</v>
      </c>
    </row>
    <row r="123" spans="2:50" ht="18.649999999999999" customHeight="1" x14ac:dyDescent="0.35">
      <c r="B123" s="211">
        <v>47209</v>
      </c>
      <c r="C123" s="6" t="s">
        <v>29</v>
      </c>
      <c r="D123" s="7">
        <v>21</v>
      </c>
      <c r="E123" s="78">
        <v>38436.42</v>
      </c>
      <c r="F123" s="78">
        <v>36522.19</v>
      </c>
      <c r="G123" s="78">
        <v>35122.01</v>
      </c>
      <c r="H123" s="78">
        <v>34168.33</v>
      </c>
      <c r="I123" s="78">
        <v>34314.42</v>
      </c>
      <c r="J123" s="78">
        <v>35413.35</v>
      </c>
      <c r="K123" s="78">
        <v>35805.040000000001</v>
      </c>
      <c r="L123" s="78">
        <v>39883.019999999997</v>
      </c>
      <c r="M123" s="78">
        <v>44080.91</v>
      </c>
      <c r="N123" s="78">
        <v>46020.43</v>
      </c>
      <c r="O123" s="78">
        <v>48180.31</v>
      </c>
      <c r="P123" s="78">
        <v>50007.839999999997</v>
      </c>
      <c r="Q123" s="78">
        <v>48048.4</v>
      </c>
      <c r="R123" s="78">
        <v>49460.99</v>
      </c>
      <c r="S123" s="78">
        <v>52212.04</v>
      </c>
      <c r="T123" s="78">
        <v>52546.16</v>
      </c>
      <c r="U123" s="78">
        <v>51750.07</v>
      </c>
      <c r="V123" s="78">
        <v>50406.21</v>
      </c>
      <c r="W123" s="78">
        <v>53520.08</v>
      </c>
      <c r="X123" s="78">
        <v>53682.6</v>
      </c>
      <c r="Y123" s="78">
        <v>52076.28</v>
      </c>
      <c r="Z123" s="78">
        <v>49574.63</v>
      </c>
      <c r="AA123" s="78">
        <v>45817.599999999999</v>
      </c>
      <c r="AB123" s="78">
        <v>41715.4</v>
      </c>
      <c r="AC123" s="209">
        <f>SUM(E123:AB123)*D123+SUM(E124:AB124)*D124+SUM(E125:AB125)*D125+SUM(E126:AB126)*D126</f>
        <v>31506565.099999998</v>
      </c>
      <c r="AD123" s="148">
        <f>+AC147</f>
        <v>31984923.690000009</v>
      </c>
    </row>
    <row r="124" spans="2:50" ht="18.649999999999999" customHeight="1" x14ac:dyDescent="0.35">
      <c r="B124" s="212" t="s">
        <v>34</v>
      </c>
      <c r="C124" s="9" t="s">
        <v>30</v>
      </c>
      <c r="D124" s="10">
        <v>4</v>
      </c>
      <c r="E124" s="79">
        <v>38048.300000000003</v>
      </c>
      <c r="F124" s="79">
        <v>36064.769999999997</v>
      </c>
      <c r="G124" s="79">
        <v>34591.43</v>
      </c>
      <c r="H124" s="79">
        <v>33585.269999999997</v>
      </c>
      <c r="I124" s="79">
        <v>33331.129999999997</v>
      </c>
      <c r="J124" s="79">
        <v>33321.019999999997</v>
      </c>
      <c r="K124" s="79">
        <v>33242.1</v>
      </c>
      <c r="L124" s="79">
        <v>36641.99</v>
      </c>
      <c r="M124" s="79">
        <v>40599.1</v>
      </c>
      <c r="N124" s="79">
        <v>42718.27</v>
      </c>
      <c r="O124" s="79">
        <v>44793.45</v>
      </c>
      <c r="P124" s="79">
        <v>46083.91</v>
      </c>
      <c r="Q124" s="79">
        <v>45483.57</v>
      </c>
      <c r="R124" s="79">
        <v>44994.01</v>
      </c>
      <c r="S124" s="79">
        <v>45244.49</v>
      </c>
      <c r="T124" s="79">
        <v>45330.47</v>
      </c>
      <c r="U124" s="79">
        <v>45075.07</v>
      </c>
      <c r="V124" s="79">
        <v>45351.02</v>
      </c>
      <c r="W124" s="79">
        <v>50368.52</v>
      </c>
      <c r="X124" s="79">
        <v>50477.440000000002</v>
      </c>
      <c r="Y124" s="79">
        <v>49077.87</v>
      </c>
      <c r="Z124" s="79">
        <v>47018.06</v>
      </c>
      <c r="AA124" s="79">
        <v>44415.38</v>
      </c>
      <c r="AB124" s="79">
        <v>41441.19</v>
      </c>
      <c r="AC124" s="210"/>
      <c r="AD124" s="148">
        <f>+AC151</f>
        <v>27469848.180000003</v>
      </c>
    </row>
    <row r="125" spans="2:50" ht="18.649999999999999" customHeight="1" x14ac:dyDescent="0.35">
      <c r="B125" s="212" t="s">
        <v>34</v>
      </c>
      <c r="C125" s="9" t="s">
        <v>31</v>
      </c>
      <c r="D125" s="10">
        <v>5</v>
      </c>
      <c r="E125" s="79">
        <v>38791.51</v>
      </c>
      <c r="F125" s="79">
        <v>36883.08</v>
      </c>
      <c r="G125" s="79">
        <v>35304.959999999999</v>
      </c>
      <c r="H125" s="79">
        <v>34225.35</v>
      </c>
      <c r="I125" s="79">
        <v>33770.379999999997</v>
      </c>
      <c r="J125" s="79">
        <v>33170.57</v>
      </c>
      <c r="K125" s="79">
        <v>32474.83</v>
      </c>
      <c r="L125" s="79">
        <v>34271.03</v>
      </c>
      <c r="M125" s="79">
        <v>36175.17</v>
      </c>
      <c r="N125" s="79">
        <v>37874.53</v>
      </c>
      <c r="O125" s="79">
        <v>39455.040000000001</v>
      </c>
      <c r="P125" s="79">
        <v>40708.980000000003</v>
      </c>
      <c r="Q125" s="79">
        <v>41410.17</v>
      </c>
      <c r="R125" s="79">
        <v>41603.35</v>
      </c>
      <c r="S125" s="79">
        <v>41857.760000000002</v>
      </c>
      <c r="T125" s="79">
        <v>42232.639999999999</v>
      </c>
      <c r="U125" s="79">
        <v>42384.1</v>
      </c>
      <c r="V125" s="79">
        <v>42903.35</v>
      </c>
      <c r="W125" s="79">
        <v>47661.94</v>
      </c>
      <c r="X125" s="79">
        <v>49102.91</v>
      </c>
      <c r="Y125" s="79">
        <v>48941.43</v>
      </c>
      <c r="Z125" s="79">
        <v>47739.46</v>
      </c>
      <c r="AA125" s="79">
        <v>44676.33</v>
      </c>
      <c r="AB125" s="79">
        <v>41044.019999999997</v>
      </c>
      <c r="AC125" s="210"/>
      <c r="AD125" s="148">
        <f>+AC155</f>
        <v>32830426.059999999</v>
      </c>
    </row>
    <row r="126" spans="2:50" ht="18.649999999999999" customHeight="1" thickBot="1" x14ac:dyDescent="0.4">
      <c r="B126" s="213" t="s">
        <v>34</v>
      </c>
      <c r="C126" s="11" t="s">
        <v>32</v>
      </c>
      <c r="D126" s="12">
        <v>0</v>
      </c>
      <c r="E126" s="76">
        <v>0</v>
      </c>
      <c r="F126" s="76">
        <v>0</v>
      </c>
      <c r="G126" s="76">
        <v>0</v>
      </c>
      <c r="H126" s="76">
        <v>0</v>
      </c>
      <c r="I126" s="76">
        <v>0</v>
      </c>
      <c r="J126" s="76">
        <v>0</v>
      </c>
      <c r="K126" s="76">
        <v>0</v>
      </c>
      <c r="L126" s="76">
        <v>0</v>
      </c>
      <c r="M126" s="76">
        <v>0</v>
      </c>
      <c r="N126" s="76">
        <v>0</v>
      </c>
      <c r="O126" s="76">
        <v>0</v>
      </c>
      <c r="P126" s="76">
        <v>0</v>
      </c>
      <c r="Q126" s="76">
        <v>0</v>
      </c>
      <c r="R126" s="76">
        <v>0</v>
      </c>
      <c r="S126" s="76">
        <v>0</v>
      </c>
      <c r="T126" s="76">
        <v>0</v>
      </c>
      <c r="U126" s="76">
        <v>0</v>
      </c>
      <c r="V126" s="76">
        <v>0</v>
      </c>
      <c r="W126" s="76">
        <v>0</v>
      </c>
      <c r="X126" s="76">
        <v>0</v>
      </c>
      <c r="Y126" s="76">
        <v>0</v>
      </c>
      <c r="Z126" s="76">
        <v>0</v>
      </c>
      <c r="AA126" s="76">
        <v>0</v>
      </c>
      <c r="AB126" s="76">
        <v>0</v>
      </c>
      <c r="AC126" s="214"/>
      <c r="AD126" s="18"/>
    </row>
    <row r="127" spans="2:50" ht="18.649999999999999" customHeight="1" x14ac:dyDescent="0.35">
      <c r="B127" s="207">
        <v>47239</v>
      </c>
      <c r="C127" s="13" t="s">
        <v>29</v>
      </c>
      <c r="D127" s="14">
        <v>21</v>
      </c>
      <c r="E127" s="81">
        <v>37886.080000000002</v>
      </c>
      <c r="F127" s="81">
        <v>36087.22</v>
      </c>
      <c r="G127" s="81">
        <v>34725.69</v>
      </c>
      <c r="H127" s="81">
        <v>33793.81</v>
      </c>
      <c r="I127" s="81">
        <v>33959.43</v>
      </c>
      <c r="J127" s="81">
        <v>34899.99</v>
      </c>
      <c r="K127" s="81">
        <v>35691.620000000003</v>
      </c>
      <c r="L127" s="81">
        <v>39862.61</v>
      </c>
      <c r="M127" s="81">
        <v>44151.25</v>
      </c>
      <c r="N127" s="81">
        <v>46159.57</v>
      </c>
      <c r="O127" s="81">
        <v>48554.400000000001</v>
      </c>
      <c r="P127" s="81">
        <v>50118.54</v>
      </c>
      <c r="Q127" s="81">
        <v>48082.52</v>
      </c>
      <c r="R127" s="81">
        <v>49400.26</v>
      </c>
      <c r="S127" s="81">
        <v>51962.58</v>
      </c>
      <c r="T127" s="81">
        <v>52219.07</v>
      </c>
      <c r="U127" s="81">
        <v>51471.88</v>
      </c>
      <c r="V127" s="81">
        <v>49790.01</v>
      </c>
      <c r="W127" s="81">
        <v>52887.44</v>
      </c>
      <c r="X127" s="81">
        <v>53097.04</v>
      </c>
      <c r="Y127" s="81">
        <v>51459.39</v>
      </c>
      <c r="Z127" s="81">
        <v>48739.43</v>
      </c>
      <c r="AA127" s="81">
        <v>44908.1</v>
      </c>
      <c r="AB127" s="81">
        <v>40994.14</v>
      </c>
      <c r="AC127" s="210">
        <f>SUM(E127:AB127)*D127+SUM(E128:AB128)*D128+SUM(E129:AB129)*D129+SUM(E130:AB130)*D130</f>
        <v>32474757.449999999</v>
      </c>
      <c r="AD127" s="18"/>
    </row>
    <row r="128" spans="2:50" ht="18.649999999999999" customHeight="1" x14ac:dyDescent="0.35">
      <c r="B128" s="208"/>
      <c r="C128" s="9" t="s">
        <v>30</v>
      </c>
      <c r="D128" s="10">
        <v>4</v>
      </c>
      <c r="E128" s="79">
        <v>38543.61</v>
      </c>
      <c r="F128" s="79">
        <v>36301.26</v>
      </c>
      <c r="G128" s="79">
        <v>34784.49</v>
      </c>
      <c r="H128" s="79">
        <v>33807.519999999997</v>
      </c>
      <c r="I128" s="79">
        <v>33629.050000000003</v>
      </c>
      <c r="J128" s="79">
        <v>33263.480000000003</v>
      </c>
      <c r="K128" s="79">
        <v>33583.89</v>
      </c>
      <c r="L128" s="79">
        <v>37428.85</v>
      </c>
      <c r="M128" s="79">
        <v>41717.800000000003</v>
      </c>
      <c r="N128" s="79">
        <v>44124.52</v>
      </c>
      <c r="O128" s="79">
        <v>45960.51</v>
      </c>
      <c r="P128" s="79">
        <v>47191.67</v>
      </c>
      <c r="Q128" s="79">
        <v>46227.199999999997</v>
      </c>
      <c r="R128" s="79">
        <v>45587.83</v>
      </c>
      <c r="S128" s="79">
        <v>45921.87</v>
      </c>
      <c r="T128" s="79">
        <v>46005.59</v>
      </c>
      <c r="U128" s="79">
        <v>45744.54</v>
      </c>
      <c r="V128" s="79">
        <v>46076.9</v>
      </c>
      <c r="W128" s="79">
        <v>50983.47</v>
      </c>
      <c r="X128" s="79">
        <v>51562.09</v>
      </c>
      <c r="Y128" s="79">
        <v>50036.35</v>
      </c>
      <c r="Z128" s="79">
        <v>47781.64</v>
      </c>
      <c r="AA128" s="79">
        <v>45168.85</v>
      </c>
      <c r="AB128" s="79">
        <v>42138.49</v>
      </c>
      <c r="AC128" s="210"/>
      <c r="AD128" s="18"/>
    </row>
    <row r="129" spans="2:30" ht="18.649999999999999" customHeight="1" x14ac:dyDescent="0.35">
      <c r="B129" s="208"/>
      <c r="C129" s="9" t="s">
        <v>31</v>
      </c>
      <c r="D129" s="10">
        <v>4</v>
      </c>
      <c r="E129" s="79">
        <v>38998.6</v>
      </c>
      <c r="F129" s="79">
        <v>37155.9</v>
      </c>
      <c r="G129" s="79">
        <v>35687.83</v>
      </c>
      <c r="H129" s="79">
        <v>34634.89</v>
      </c>
      <c r="I129" s="79">
        <v>34186.19</v>
      </c>
      <c r="J129" s="79">
        <v>33155.230000000003</v>
      </c>
      <c r="K129" s="79">
        <v>32654.93</v>
      </c>
      <c r="L129" s="79">
        <v>34603.660000000003</v>
      </c>
      <c r="M129" s="79">
        <v>37253.82</v>
      </c>
      <c r="N129" s="79">
        <v>39349.230000000003</v>
      </c>
      <c r="O129" s="79">
        <v>40784.730000000003</v>
      </c>
      <c r="P129" s="79">
        <v>41854.29</v>
      </c>
      <c r="Q129" s="79">
        <v>42463.97</v>
      </c>
      <c r="R129" s="79">
        <v>42593.26</v>
      </c>
      <c r="S129" s="79">
        <v>42770.879999999997</v>
      </c>
      <c r="T129" s="79">
        <v>43242.43</v>
      </c>
      <c r="U129" s="79">
        <v>43118.91</v>
      </c>
      <c r="V129" s="79">
        <v>43808.47</v>
      </c>
      <c r="W129" s="79">
        <v>48893.15</v>
      </c>
      <c r="X129" s="79">
        <v>50236.38</v>
      </c>
      <c r="Y129" s="79">
        <v>49963.17</v>
      </c>
      <c r="Z129" s="79">
        <v>48359.38</v>
      </c>
      <c r="AA129" s="79">
        <v>45122.44</v>
      </c>
      <c r="AB129" s="79">
        <v>41029.61</v>
      </c>
      <c r="AC129" s="210"/>
      <c r="AD129" s="18"/>
    </row>
    <row r="130" spans="2:30" ht="18.649999999999999" customHeight="1" thickBot="1" x14ac:dyDescent="0.4">
      <c r="B130" s="208"/>
      <c r="C130" s="15" t="s">
        <v>32</v>
      </c>
      <c r="D130" s="16">
        <v>2</v>
      </c>
      <c r="E130" s="80">
        <v>38998.6</v>
      </c>
      <c r="F130" s="80">
        <v>37155.9</v>
      </c>
      <c r="G130" s="80">
        <v>35687.83</v>
      </c>
      <c r="H130" s="80">
        <v>34634.89</v>
      </c>
      <c r="I130" s="80">
        <v>34186.19</v>
      </c>
      <c r="J130" s="80">
        <v>33155.230000000003</v>
      </c>
      <c r="K130" s="80">
        <v>32654.93</v>
      </c>
      <c r="L130" s="80">
        <v>34603.660000000003</v>
      </c>
      <c r="M130" s="80">
        <v>37253.82</v>
      </c>
      <c r="N130" s="80">
        <v>39349.230000000003</v>
      </c>
      <c r="O130" s="80">
        <v>40784.730000000003</v>
      </c>
      <c r="P130" s="80">
        <v>41854.29</v>
      </c>
      <c r="Q130" s="80">
        <v>42463.97</v>
      </c>
      <c r="R130" s="80">
        <v>42593.26</v>
      </c>
      <c r="S130" s="80">
        <v>42770.879999999997</v>
      </c>
      <c r="T130" s="80">
        <v>43242.43</v>
      </c>
      <c r="U130" s="80">
        <v>43118.91</v>
      </c>
      <c r="V130" s="80">
        <v>43808.47</v>
      </c>
      <c r="W130" s="80">
        <v>48893.15</v>
      </c>
      <c r="X130" s="80">
        <v>50236.38</v>
      </c>
      <c r="Y130" s="80">
        <v>49963.17</v>
      </c>
      <c r="Z130" s="80">
        <v>48359.38</v>
      </c>
      <c r="AA130" s="80">
        <v>45122.44</v>
      </c>
      <c r="AB130" s="80">
        <v>41029.61</v>
      </c>
      <c r="AC130" s="210"/>
      <c r="AD130" s="18"/>
    </row>
    <row r="131" spans="2:30" ht="18.649999999999999" customHeight="1" x14ac:dyDescent="0.35">
      <c r="B131" s="211">
        <v>47270</v>
      </c>
      <c r="C131" s="6" t="s">
        <v>29</v>
      </c>
      <c r="D131" s="7">
        <v>19</v>
      </c>
      <c r="E131" s="78">
        <v>42108.35</v>
      </c>
      <c r="F131" s="78">
        <v>39993.699999999997</v>
      </c>
      <c r="G131" s="78">
        <v>38524.199999999997</v>
      </c>
      <c r="H131" s="78">
        <v>37374.410000000003</v>
      </c>
      <c r="I131" s="78">
        <v>37489.53</v>
      </c>
      <c r="J131" s="78">
        <v>38005.699999999997</v>
      </c>
      <c r="K131" s="78">
        <v>38826.339999999997</v>
      </c>
      <c r="L131" s="78">
        <v>43715.59</v>
      </c>
      <c r="M131" s="78">
        <v>48475.07</v>
      </c>
      <c r="N131" s="78">
        <v>50831.16</v>
      </c>
      <c r="O131" s="78">
        <v>53556.83</v>
      </c>
      <c r="P131" s="78">
        <v>55348.39</v>
      </c>
      <c r="Q131" s="78">
        <v>53380.59</v>
      </c>
      <c r="R131" s="78">
        <v>54551.45</v>
      </c>
      <c r="S131" s="78">
        <v>57233.72</v>
      </c>
      <c r="T131" s="78">
        <v>57551.83</v>
      </c>
      <c r="U131" s="78">
        <v>56979.62</v>
      </c>
      <c r="V131" s="78">
        <v>55199.64</v>
      </c>
      <c r="W131" s="78">
        <v>58421.49</v>
      </c>
      <c r="X131" s="78">
        <v>59161.71</v>
      </c>
      <c r="Y131" s="78">
        <v>57228.76</v>
      </c>
      <c r="Z131" s="78">
        <v>54295.4</v>
      </c>
      <c r="AA131" s="78">
        <v>49930.61</v>
      </c>
      <c r="AB131" s="78">
        <v>45528.99</v>
      </c>
      <c r="AC131" s="209">
        <f>SUM(E131:AB131)*D131+SUM(E132:AB132)*D132+SUM(E133:AB133)*D133+SUM(E134:AB134)*D134</f>
        <v>34495275.269999996</v>
      </c>
      <c r="AD131" s="18"/>
    </row>
    <row r="132" spans="2:30" ht="18.649999999999999" customHeight="1" x14ac:dyDescent="0.35">
      <c r="B132" s="212" t="s">
        <v>34</v>
      </c>
      <c r="C132" s="9" t="s">
        <v>30</v>
      </c>
      <c r="D132" s="10">
        <v>5</v>
      </c>
      <c r="E132" s="79">
        <v>42211.87</v>
      </c>
      <c r="F132" s="79">
        <v>40138.36</v>
      </c>
      <c r="G132" s="79">
        <v>38597.49</v>
      </c>
      <c r="H132" s="79">
        <v>37539.949999999997</v>
      </c>
      <c r="I132" s="79">
        <v>37354.480000000003</v>
      </c>
      <c r="J132" s="79">
        <v>36881.97</v>
      </c>
      <c r="K132" s="79">
        <v>37243.589999999997</v>
      </c>
      <c r="L132" s="79">
        <v>41540.26</v>
      </c>
      <c r="M132" s="79">
        <v>46255.37</v>
      </c>
      <c r="N132" s="79">
        <v>48947.95</v>
      </c>
      <c r="O132" s="79">
        <v>51255.24</v>
      </c>
      <c r="P132" s="79">
        <v>52652.66</v>
      </c>
      <c r="Q132" s="79">
        <v>51690.94</v>
      </c>
      <c r="R132" s="79">
        <v>50651.71</v>
      </c>
      <c r="S132" s="79">
        <v>50809.29</v>
      </c>
      <c r="T132" s="79">
        <v>50841.83</v>
      </c>
      <c r="U132" s="79">
        <v>50250.86</v>
      </c>
      <c r="V132" s="79">
        <v>50453.52</v>
      </c>
      <c r="W132" s="79">
        <v>54813.79</v>
      </c>
      <c r="X132" s="79">
        <v>55963.65</v>
      </c>
      <c r="Y132" s="79">
        <v>54356.800000000003</v>
      </c>
      <c r="Z132" s="79">
        <v>51644.66</v>
      </c>
      <c r="AA132" s="79">
        <v>48493.53</v>
      </c>
      <c r="AB132" s="79">
        <v>45236.959999999999</v>
      </c>
      <c r="AC132" s="210"/>
      <c r="AD132" s="18"/>
    </row>
    <row r="133" spans="2:30" ht="18.649999999999999" customHeight="1" x14ac:dyDescent="0.35">
      <c r="B133" s="212" t="s">
        <v>34</v>
      </c>
      <c r="C133" s="9" t="s">
        <v>31</v>
      </c>
      <c r="D133" s="10">
        <v>4</v>
      </c>
      <c r="E133" s="79">
        <v>42849.55</v>
      </c>
      <c r="F133" s="79">
        <v>40679.25</v>
      </c>
      <c r="G133" s="79">
        <v>38993.49</v>
      </c>
      <c r="H133" s="79">
        <v>37885.49</v>
      </c>
      <c r="I133" s="79">
        <v>37453.33</v>
      </c>
      <c r="J133" s="79">
        <v>36276.699999999997</v>
      </c>
      <c r="K133" s="79">
        <v>35479.480000000003</v>
      </c>
      <c r="L133" s="79">
        <v>37424.69</v>
      </c>
      <c r="M133" s="79">
        <v>39989.18</v>
      </c>
      <c r="N133" s="79">
        <v>42133.74</v>
      </c>
      <c r="O133" s="79">
        <v>43651.44</v>
      </c>
      <c r="P133" s="79">
        <v>44858.23</v>
      </c>
      <c r="Q133" s="79">
        <v>45801.96</v>
      </c>
      <c r="R133" s="79">
        <v>45716.87</v>
      </c>
      <c r="S133" s="79">
        <v>45874.559999999998</v>
      </c>
      <c r="T133" s="79">
        <v>46247.13</v>
      </c>
      <c r="U133" s="79">
        <v>46321.31</v>
      </c>
      <c r="V133" s="79">
        <v>46847.8</v>
      </c>
      <c r="W133" s="79">
        <v>52233.52</v>
      </c>
      <c r="X133" s="79">
        <v>54754.34</v>
      </c>
      <c r="Y133" s="79">
        <v>54062.28</v>
      </c>
      <c r="Z133" s="79">
        <v>52331.32</v>
      </c>
      <c r="AA133" s="79">
        <v>49163.199999999997</v>
      </c>
      <c r="AB133" s="79">
        <v>45569.99</v>
      </c>
      <c r="AC133" s="210"/>
      <c r="AD133" s="18"/>
    </row>
    <row r="134" spans="2:30" ht="18.649999999999999" customHeight="1" thickBot="1" x14ac:dyDescent="0.4">
      <c r="B134" s="213" t="s">
        <v>34</v>
      </c>
      <c r="C134" s="11" t="s">
        <v>32</v>
      </c>
      <c r="D134" s="12">
        <v>2</v>
      </c>
      <c r="E134" s="76">
        <v>42849.55</v>
      </c>
      <c r="F134" s="76">
        <v>40679.25</v>
      </c>
      <c r="G134" s="76">
        <v>38993.49</v>
      </c>
      <c r="H134" s="76">
        <v>37885.49</v>
      </c>
      <c r="I134" s="76">
        <v>37453.33</v>
      </c>
      <c r="J134" s="76">
        <v>36276.699999999997</v>
      </c>
      <c r="K134" s="76">
        <v>35479.480000000003</v>
      </c>
      <c r="L134" s="76">
        <v>37424.69</v>
      </c>
      <c r="M134" s="76">
        <v>39989.18</v>
      </c>
      <c r="N134" s="76">
        <v>42133.74</v>
      </c>
      <c r="O134" s="76">
        <v>43651.44</v>
      </c>
      <c r="P134" s="76">
        <v>44858.23</v>
      </c>
      <c r="Q134" s="76">
        <v>45801.96</v>
      </c>
      <c r="R134" s="76">
        <v>45716.87</v>
      </c>
      <c r="S134" s="76">
        <v>45874.559999999998</v>
      </c>
      <c r="T134" s="76">
        <v>46247.13</v>
      </c>
      <c r="U134" s="76">
        <v>46321.31</v>
      </c>
      <c r="V134" s="76">
        <v>46847.8</v>
      </c>
      <c r="W134" s="76">
        <v>52233.52</v>
      </c>
      <c r="X134" s="76">
        <v>54754.34</v>
      </c>
      <c r="Y134" s="76">
        <v>54062.28</v>
      </c>
      <c r="Z134" s="76">
        <v>52331.32</v>
      </c>
      <c r="AA134" s="76">
        <v>49163.199999999997</v>
      </c>
      <c r="AB134" s="76">
        <v>45569.99</v>
      </c>
      <c r="AC134" s="214"/>
      <c r="AD134" s="18"/>
    </row>
    <row r="135" spans="2:30" ht="18.649999999999999" customHeight="1" x14ac:dyDescent="0.35">
      <c r="B135" s="207">
        <v>47300</v>
      </c>
      <c r="C135" s="13" t="s">
        <v>29</v>
      </c>
      <c r="D135" s="14">
        <v>20</v>
      </c>
      <c r="E135" s="81">
        <v>39530.370000000003</v>
      </c>
      <c r="F135" s="81">
        <v>37509.57</v>
      </c>
      <c r="G135" s="81">
        <v>36001.35</v>
      </c>
      <c r="H135" s="81">
        <v>34994.199999999997</v>
      </c>
      <c r="I135" s="81">
        <v>34957.06</v>
      </c>
      <c r="J135" s="81">
        <v>35856.06</v>
      </c>
      <c r="K135" s="81">
        <v>36322.07</v>
      </c>
      <c r="L135" s="81">
        <v>40795.97</v>
      </c>
      <c r="M135" s="81">
        <v>45182.49</v>
      </c>
      <c r="N135" s="81">
        <v>47438.68</v>
      </c>
      <c r="O135" s="81">
        <v>50060.84</v>
      </c>
      <c r="P135" s="81">
        <v>52027.47</v>
      </c>
      <c r="Q135" s="81">
        <v>50172.76</v>
      </c>
      <c r="R135" s="81">
        <v>51860.85</v>
      </c>
      <c r="S135" s="81">
        <v>54813.68</v>
      </c>
      <c r="T135" s="81">
        <v>55138.31</v>
      </c>
      <c r="U135" s="81">
        <v>54390.01</v>
      </c>
      <c r="V135" s="81">
        <v>52078.77</v>
      </c>
      <c r="W135" s="81">
        <v>54388.35</v>
      </c>
      <c r="X135" s="81">
        <v>55656.08</v>
      </c>
      <c r="Y135" s="81">
        <v>54148.18</v>
      </c>
      <c r="Z135" s="81">
        <v>51456.15</v>
      </c>
      <c r="AA135" s="81">
        <v>47247.99</v>
      </c>
      <c r="AB135" s="81">
        <v>43175.9</v>
      </c>
      <c r="AC135" s="210">
        <f>SUM(E135:AB135)*D135+SUM(E136:AB136)*D136+SUM(E137:AB137)*D137+SUM(E138:AB138)*D138</f>
        <v>33266013.27</v>
      </c>
      <c r="AD135" s="18"/>
    </row>
    <row r="136" spans="2:30" ht="18.649999999999999" customHeight="1" x14ac:dyDescent="0.35">
      <c r="B136" s="208"/>
      <c r="C136" s="9" t="s">
        <v>30</v>
      </c>
      <c r="D136" s="10">
        <v>4</v>
      </c>
      <c r="E136" s="79">
        <v>40267.449999999997</v>
      </c>
      <c r="F136" s="79">
        <v>37991.339999999997</v>
      </c>
      <c r="G136" s="79">
        <v>36353.68</v>
      </c>
      <c r="H136" s="79">
        <v>35361.269999999997</v>
      </c>
      <c r="I136" s="79">
        <v>34891.440000000002</v>
      </c>
      <c r="J136" s="79">
        <v>34537.360000000001</v>
      </c>
      <c r="K136" s="79">
        <v>34692.480000000003</v>
      </c>
      <c r="L136" s="79">
        <v>38491.800000000003</v>
      </c>
      <c r="M136" s="79">
        <v>42952.49</v>
      </c>
      <c r="N136" s="79">
        <v>45528.66</v>
      </c>
      <c r="O136" s="79">
        <v>47952.07</v>
      </c>
      <c r="P136" s="79">
        <v>49163.3</v>
      </c>
      <c r="Q136" s="79">
        <v>48377.63</v>
      </c>
      <c r="R136" s="79">
        <v>47678.23</v>
      </c>
      <c r="S136" s="79">
        <v>47674.8</v>
      </c>
      <c r="T136" s="79">
        <v>47393.16</v>
      </c>
      <c r="U136" s="79">
        <v>46939.5</v>
      </c>
      <c r="V136" s="79">
        <v>47095.92</v>
      </c>
      <c r="W136" s="79">
        <v>50049.53</v>
      </c>
      <c r="X136" s="79">
        <v>51176.83</v>
      </c>
      <c r="Y136" s="79">
        <v>49499.95</v>
      </c>
      <c r="Z136" s="79">
        <v>47427.16</v>
      </c>
      <c r="AA136" s="79">
        <v>44797.599999999999</v>
      </c>
      <c r="AB136" s="79">
        <v>41785.230000000003</v>
      </c>
      <c r="AC136" s="210"/>
      <c r="AD136" s="18"/>
    </row>
    <row r="137" spans="2:30" ht="18.649999999999999" customHeight="1" x14ac:dyDescent="0.35">
      <c r="B137" s="208"/>
      <c r="C137" s="9" t="s">
        <v>31</v>
      </c>
      <c r="D137" s="10">
        <v>5</v>
      </c>
      <c r="E137" s="79">
        <v>37868.22</v>
      </c>
      <c r="F137" s="79">
        <v>36097.629999999997</v>
      </c>
      <c r="G137" s="79">
        <v>34553.57</v>
      </c>
      <c r="H137" s="79">
        <v>33610.58</v>
      </c>
      <c r="I137" s="79">
        <v>33229.29</v>
      </c>
      <c r="J137" s="79">
        <v>32416.7</v>
      </c>
      <c r="K137" s="79">
        <v>31701.17</v>
      </c>
      <c r="L137" s="79">
        <v>33660.69</v>
      </c>
      <c r="M137" s="79">
        <v>36069.910000000003</v>
      </c>
      <c r="N137" s="79">
        <v>38011.03</v>
      </c>
      <c r="O137" s="79">
        <v>39666.639999999999</v>
      </c>
      <c r="P137" s="79">
        <v>41077.69</v>
      </c>
      <c r="Q137" s="79">
        <v>42097.94</v>
      </c>
      <c r="R137" s="79">
        <v>42356.82</v>
      </c>
      <c r="S137" s="79">
        <v>42597.35</v>
      </c>
      <c r="T137" s="79">
        <v>43160.58</v>
      </c>
      <c r="U137" s="79">
        <v>43084.480000000003</v>
      </c>
      <c r="V137" s="79">
        <v>43288.52</v>
      </c>
      <c r="W137" s="79">
        <v>48198.09</v>
      </c>
      <c r="X137" s="79">
        <v>50952.22</v>
      </c>
      <c r="Y137" s="79">
        <v>50181.8</v>
      </c>
      <c r="Z137" s="79">
        <v>48119.81</v>
      </c>
      <c r="AA137" s="79">
        <v>44415.91</v>
      </c>
      <c r="AB137" s="79">
        <v>40674.01</v>
      </c>
      <c r="AC137" s="210"/>
      <c r="AD137" s="18"/>
    </row>
    <row r="138" spans="2:30" ht="18.649999999999999" customHeight="1" thickBot="1" x14ac:dyDescent="0.4">
      <c r="B138" s="208"/>
      <c r="C138" s="15" t="s">
        <v>32</v>
      </c>
      <c r="D138" s="16">
        <v>2</v>
      </c>
      <c r="E138" s="80">
        <v>37868.22</v>
      </c>
      <c r="F138" s="80">
        <v>36097.629999999997</v>
      </c>
      <c r="G138" s="80">
        <v>34553.57</v>
      </c>
      <c r="H138" s="80">
        <v>33610.58</v>
      </c>
      <c r="I138" s="80">
        <v>33229.29</v>
      </c>
      <c r="J138" s="80">
        <v>32416.7</v>
      </c>
      <c r="K138" s="80">
        <v>31701.17</v>
      </c>
      <c r="L138" s="80">
        <v>33660.69</v>
      </c>
      <c r="M138" s="80">
        <v>36069.910000000003</v>
      </c>
      <c r="N138" s="80">
        <v>38011.03</v>
      </c>
      <c r="O138" s="80">
        <v>39666.639999999999</v>
      </c>
      <c r="P138" s="80">
        <v>41077.69</v>
      </c>
      <c r="Q138" s="80">
        <v>42097.94</v>
      </c>
      <c r="R138" s="80">
        <v>42356.82</v>
      </c>
      <c r="S138" s="80">
        <v>42597.35</v>
      </c>
      <c r="T138" s="80">
        <v>43160.58</v>
      </c>
      <c r="U138" s="80">
        <v>43084.480000000003</v>
      </c>
      <c r="V138" s="80">
        <v>43288.52</v>
      </c>
      <c r="W138" s="80">
        <v>48198.09</v>
      </c>
      <c r="X138" s="80">
        <v>50952.22</v>
      </c>
      <c r="Y138" s="80">
        <v>50181.8</v>
      </c>
      <c r="Z138" s="80">
        <v>48119.81</v>
      </c>
      <c r="AA138" s="80">
        <v>44415.91</v>
      </c>
      <c r="AB138" s="80">
        <v>40674.01</v>
      </c>
      <c r="AC138" s="210"/>
      <c r="AD138" s="18"/>
    </row>
    <row r="139" spans="2:30" ht="18.649999999999999" customHeight="1" x14ac:dyDescent="0.35">
      <c r="B139" s="211">
        <v>47331</v>
      </c>
      <c r="C139" s="6" t="s">
        <v>29</v>
      </c>
      <c r="D139" s="7">
        <v>21</v>
      </c>
      <c r="E139" s="78">
        <v>39216.370000000003</v>
      </c>
      <c r="F139" s="78">
        <v>37071.1</v>
      </c>
      <c r="G139" s="78">
        <v>35552.11</v>
      </c>
      <c r="H139" s="78">
        <v>34515.99</v>
      </c>
      <c r="I139" s="78">
        <v>34480.49</v>
      </c>
      <c r="J139" s="78">
        <v>35632.74</v>
      </c>
      <c r="K139" s="78">
        <v>36051.919999999998</v>
      </c>
      <c r="L139" s="78">
        <v>40104.370000000003</v>
      </c>
      <c r="M139" s="78">
        <v>44472.57</v>
      </c>
      <c r="N139" s="78">
        <v>46660.87</v>
      </c>
      <c r="O139" s="78">
        <v>49381.66</v>
      </c>
      <c r="P139" s="78">
        <v>51634.94</v>
      </c>
      <c r="Q139" s="78">
        <v>49559.199999999997</v>
      </c>
      <c r="R139" s="78">
        <v>51179.88</v>
      </c>
      <c r="S139" s="78">
        <v>54257.16</v>
      </c>
      <c r="T139" s="78">
        <v>54605.64</v>
      </c>
      <c r="U139" s="78">
        <v>53669.19</v>
      </c>
      <c r="V139" s="78">
        <v>51703.33</v>
      </c>
      <c r="W139" s="78">
        <v>54798.31</v>
      </c>
      <c r="X139" s="78">
        <v>55652.89</v>
      </c>
      <c r="Y139" s="78">
        <v>54088.97</v>
      </c>
      <c r="Z139" s="78">
        <v>51322.82</v>
      </c>
      <c r="AA139" s="78">
        <v>47062.03</v>
      </c>
      <c r="AB139" s="78">
        <v>43037.32</v>
      </c>
      <c r="AC139" s="209">
        <f>SUM(E139:AB139)*D139+SUM(E140:AB140)*D140+SUM(E141:AB141)*D141+SUM(E142:AB142)*D142</f>
        <v>33206918.029999994</v>
      </c>
      <c r="AD139" s="18"/>
    </row>
    <row r="140" spans="2:30" ht="18.649999999999999" customHeight="1" x14ac:dyDescent="0.35">
      <c r="B140" s="212" t="s">
        <v>34</v>
      </c>
      <c r="C140" s="9" t="s">
        <v>30</v>
      </c>
      <c r="D140" s="10">
        <v>4</v>
      </c>
      <c r="E140" s="79">
        <v>39753.269999999997</v>
      </c>
      <c r="F140" s="79">
        <v>37709.14</v>
      </c>
      <c r="G140" s="79">
        <v>36193.480000000003</v>
      </c>
      <c r="H140" s="79">
        <v>35043.120000000003</v>
      </c>
      <c r="I140" s="79">
        <v>34353.35</v>
      </c>
      <c r="J140" s="79">
        <v>34057.17</v>
      </c>
      <c r="K140" s="79">
        <v>34110.28</v>
      </c>
      <c r="L140" s="79">
        <v>37759.57</v>
      </c>
      <c r="M140" s="79">
        <v>41756.9</v>
      </c>
      <c r="N140" s="79">
        <v>44299.53</v>
      </c>
      <c r="O140" s="79">
        <v>46387.21</v>
      </c>
      <c r="P140" s="79">
        <v>47093.75</v>
      </c>
      <c r="Q140" s="79">
        <v>46285.06</v>
      </c>
      <c r="R140" s="79">
        <v>45650.97</v>
      </c>
      <c r="S140" s="79">
        <v>46154.69</v>
      </c>
      <c r="T140" s="79">
        <v>46355.39</v>
      </c>
      <c r="U140" s="79">
        <v>46050.13</v>
      </c>
      <c r="V140" s="79">
        <v>46405.84</v>
      </c>
      <c r="W140" s="79">
        <v>51223.97</v>
      </c>
      <c r="X140" s="79">
        <v>51631.09</v>
      </c>
      <c r="Y140" s="79">
        <v>49748.94</v>
      </c>
      <c r="Z140" s="79">
        <v>47491.87</v>
      </c>
      <c r="AA140" s="79">
        <v>44578.080000000002</v>
      </c>
      <c r="AB140" s="79">
        <v>41398.870000000003</v>
      </c>
      <c r="AC140" s="210"/>
      <c r="AD140" s="18"/>
    </row>
    <row r="141" spans="2:30" ht="18.649999999999999" customHeight="1" x14ac:dyDescent="0.35">
      <c r="B141" s="212" t="s">
        <v>34</v>
      </c>
      <c r="C141" s="9" t="s">
        <v>31</v>
      </c>
      <c r="D141" s="10">
        <v>4</v>
      </c>
      <c r="E141" s="79">
        <v>38794.160000000003</v>
      </c>
      <c r="F141" s="79">
        <v>36906.54</v>
      </c>
      <c r="G141" s="79">
        <v>35270.519999999997</v>
      </c>
      <c r="H141" s="79">
        <v>34322.230000000003</v>
      </c>
      <c r="I141" s="79">
        <v>33827.85</v>
      </c>
      <c r="J141" s="79">
        <v>33312.85</v>
      </c>
      <c r="K141" s="79">
        <v>32417.37</v>
      </c>
      <c r="L141" s="79">
        <v>34253.46</v>
      </c>
      <c r="M141" s="79">
        <v>36458.06</v>
      </c>
      <c r="N141" s="79">
        <v>38331.949999999997</v>
      </c>
      <c r="O141" s="79">
        <v>39921.410000000003</v>
      </c>
      <c r="P141" s="79">
        <v>41246.32</v>
      </c>
      <c r="Q141" s="79">
        <v>42036.31</v>
      </c>
      <c r="R141" s="79">
        <v>42201.79</v>
      </c>
      <c r="S141" s="79">
        <v>42456.35</v>
      </c>
      <c r="T141" s="79">
        <v>42762.879999999997</v>
      </c>
      <c r="U141" s="79">
        <v>42757.62</v>
      </c>
      <c r="V141" s="79">
        <v>43474.46</v>
      </c>
      <c r="W141" s="79">
        <v>48923.47</v>
      </c>
      <c r="X141" s="79">
        <v>51035.65</v>
      </c>
      <c r="Y141" s="79">
        <v>50617.61</v>
      </c>
      <c r="Z141" s="79">
        <v>48808.9</v>
      </c>
      <c r="AA141" s="79">
        <v>45236.62</v>
      </c>
      <c r="AB141" s="79">
        <v>41459.300000000003</v>
      </c>
      <c r="AC141" s="210"/>
      <c r="AD141" s="18"/>
    </row>
    <row r="142" spans="2:30" ht="18.649999999999999" customHeight="1" thickBot="1" x14ac:dyDescent="0.4">
      <c r="B142" s="213" t="s">
        <v>34</v>
      </c>
      <c r="C142" s="11" t="s">
        <v>32</v>
      </c>
      <c r="D142" s="12">
        <v>2</v>
      </c>
      <c r="E142" s="76">
        <v>38794.160000000003</v>
      </c>
      <c r="F142" s="76">
        <v>36906.54</v>
      </c>
      <c r="G142" s="76">
        <v>35270.519999999997</v>
      </c>
      <c r="H142" s="76">
        <v>34322.230000000003</v>
      </c>
      <c r="I142" s="76">
        <v>33827.85</v>
      </c>
      <c r="J142" s="76">
        <v>33312.85</v>
      </c>
      <c r="K142" s="76">
        <v>32417.37</v>
      </c>
      <c r="L142" s="76">
        <v>34253.46</v>
      </c>
      <c r="M142" s="76">
        <v>36458.06</v>
      </c>
      <c r="N142" s="76">
        <v>38331.949999999997</v>
      </c>
      <c r="O142" s="76">
        <v>39921.410000000003</v>
      </c>
      <c r="P142" s="76">
        <v>41246.32</v>
      </c>
      <c r="Q142" s="76">
        <v>42036.31</v>
      </c>
      <c r="R142" s="76">
        <v>42201.79</v>
      </c>
      <c r="S142" s="76">
        <v>42456.35</v>
      </c>
      <c r="T142" s="76">
        <v>42762.879999999997</v>
      </c>
      <c r="U142" s="76">
        <v>42757.62</v>
      </c>
      <c r="V142" s="76">
        <v>43474.46</v>
      </c>
      <c r="W142" s="76">
        <v>48923.47</v>
      </c>
      <c r="X142" s="76">
        <v>51035.65</v>
      </c>
      <c r="Y142" s="76">
        <v>50617.61</v>
      </c>
      <c r="Z142" s="76">
        <v>48808.9</v>
      </c>
      <c r="AA142" s="76">
        <v>45236.62</v>
      </c>
      <c r="AB142" s="76">
        <v>41459.300000000003</v>
      </c>
      <c r="AC142" s="214"/>
      <c r="AD142" s="18"/>
    </row>
    <row r="143" spans="2:30" ht="18.649999999999999" customHeight="1" x14ac:dyDescent="0.35">
      <c r="B143" s="207">
        <v>47362</v>
      </c>
      <c r="C143" s="13" t="s">
        <v>29</v>
      </c>
      <c r="D143" s="14">
        <v>20</v>
      </c>
      <c r="E143" s="81">
        <v>38851.21</v>
      </c>
      <c r="F143" s="81">
        <v>36813.33</v>
      </c>
      <c r="G143" s="81">
        <v>35312.080000000002</v>
      </c>
      <c r="H143" s="81">
        <v>34212.54</v>
      </c>
      <c r="I143" s="81">
        <v>34173.69</v>
      </c>
      <c r="J143" s="81">
        <v>35279.65</v>
      </c>
      <c r="K143" s="81">
        <v>35778.28</v>
      </c>
      <c r="L143" s="81">
        <v>39874.06</v>
      </c>
      <c r="M143" s="81">
        <v>44285.21</v>
      </c>
      <c r="N143" s="81">
        <v>46487.72</v>
      </c>
      <c r="O143" s="81">
        <v>48855.25</v>
      </c>
      <c r="P143" s="81">
        <v>50878.47</v>
      </c>
      <c r="Q143" s="81">
        <v>49039.54</v>
      </c>
      <c r="R143" s="81">
        <v>50472.46</v>
      </c>
      <c r="S143" s="81">
        <v>53335.23</v>
      </c>
      <c r="T143" s="81">
        <v>53700.25</v>
      </c>
      <c r="U143" s="81">
        <v>52870.55</v>
      </c>
      <c r="V143" s="81">
        <v>51526.22</v>
      </c>
      <c r="W143" s="81">
        <v>54973.18</v>
      </c>
      <c r="X143" s="81">
        <v>54454</v>
      </c>
      <c r="Y143" s="81">
        <v>52715.37</v>
      </c>
      <c r="Z143" s="81">
        <v>49872.15</v>
      </c>
      <c r="AA143" s="81">
        <v>45606.25</v>
      </c>
      <c r="AB143" s="81">
        <v>41681.89</v>
      </c>
      <c r="AC143" s="210">
        <f>SUM(E143:AB143)*D143+SUM(E144:AB144)*D144+SUM(E145:AB145)*D145+SUM(E146:AB146)*D146</f>
        <v>31749930.949999999</v>
      </c>
      <c r="AD143" s="18"/>
    </row>
    <row r="144" spans="2:30" ht="18.649999999999999" customHeight="1" x14ac:dyDescent="0.35">
      <c r="B144" s="208"/>
      <c r="C144" s="9" t="s">
        <v>30</v>
      </c>
      <c r="D144" s="10">
        <v>5</v>
      </c>
      <c r="E144" s="79">
        <v>37840.230000000003</v>
      </c>
      <c r="F144" s="79">
        <v>35927.54</v>
      </c>
      <c r="G144" s="79">
        <v>34490.720000000001</v>
      </c>
      <c r="H144" s="79">
        <v>33431.72</v>
      </c>
      <c r="I144" s="79">
        <v>33150.15</v>
      </c>
      <c r="J144" s="79">
        <v>32959.279999999999</v>
      </c>
      <c r="K144" s="79">
        <v>33337.17</v>
      </c>
      <c r="L144" s="79">
        <v>37137.79</v>
      </c>
      <c r="M144" s="79">
        <v>41388.75</v>
      </c>
      <c r="N144" s="79">
        <v>43482.67</v>
      </c>
      <c r="O144" s="79">
        <v>46029.31</v>
      </c>
      <c r="P144" s="79">
        <v>47162.98</v>
      </c>
      <c r="Q144" s="79">
        <v>46637.84</v>
      </c>
      <c r="R144" s="79">
        <v>46067.38</v>
      </c>
      <c r="S144" s="79">
        <v>46385.72</v>
      </c>
      <c r="T144" s="79">
        <v>46286.7</v>
      </c>
      <c r="U144" s="79">
        <v>45736.42</v>
      </c>
      <c r="V144" s="79">
        <v>46858.43</v>
      </c>
      <c r="W144" s="79">
        <v>52067.01</v>
      </c>
      <c r="X144" s="79">
        <v>51681.56</v>
      </c>
      <c r="Y144" s="79">
        <v>49857.120000000003</v>
      </c>
      <c r="Z144" s="79">
        <v>47563</v>
      </c>
      <c r="AA144" s="79">
        <v>44934.54</v>
      </c>
      <c r="AB144" s="79">
        <v>41793.83</v>
      </c>
      <c r="AC144" s="210"/>
      <c r="AD144" s="18"/>
    </row>
    <row r="145" spans="2:31" ht="18.649999999999999" customHeight="1" x14ac:dyDescent="0.35">
      <c r="B145" s="208"/>
      <c r="C145" s="9" t="s">
        <v>31</v>
      </c>
      <c r="D145" s="10">
        <v>5</v>
      </c>
      <c r="E145" s="79">
        <v>38730.879999999997</v>
      </c>
      <c r="F145" s="79">
        <v>36757.11</v>
      </c>
      <c r="G145" s="79">
        <v>35062.449999999997</v>
      </c>
      <c r="H145" s="79">
        <v>33940.660000000003</v>
      </c>
      <c r="I145" s="79">
        <v>33465.82</v>
      </c>
      <c r="J145" s="79">
        <v>32557.66</v>
      </c>
      <c r="K145" s="79">
        <v>31706.69</v>
      </c>
      <c r="L145" s="79">
        <v>33700.300000000003</v>
      </c>
      <c r="M145" s="79">
        <v>35867.24</v>
      </c>
      <c r="N145" s="79">
        <v>37969.15</v>
      </c>
      <c r="O145" s="79">
        <v>39577.74</v>
      </c>
      <c r="P145" s="79">
        <v>40634.410000000003</v>
      </c>
      <c r="Q145" s="79">
        <v>41539.99</v>
      </c>
      <c r="R145" s="79">
        <v>41667.47</v>
      </c>
      <c r="S145" s="79">
        <v>41692.43</v>
      </c>
      <c r="T145" s="79">
        <v>42211.12</v>
      </c>
      <c r="U145" s="79">
        <v>42166.39</v>
      </c>
      <c r="V145" s="79">
        <v>43537.93</v>
      </c>
      <c r="W145" s="79">
        <v>49231.93</v>
      </c>
      <c r="X145" s="79">
        <v>50050.91</v>
      </c>
      <c r="Y145" s="79">
        <v>49404.4</v>
      </c>
      <c r="Z145" s="79">
        <v>47538.83</v>
      </c>
      <c r="AA145" s="79">
        <v>44111.27</v>
      </c>
      <c r="AB145" s="79">
        <v>40461.230000000003</v>
      </c>
      <c r="AC145" s="210"/>
      <c r="AD145" s="18"/>
    </row>
    <row r="146" spans="2:31" ht="18.649999999999999" customHeight="1" thickBot="1" x14ac:dyDescent="0.4">
      <c r="B146" s="208"/>
      <c r="C146" s="15" t="s">
        <v>32</v>
      </c>
      <c r="D146" s="16">
        <v>0</v>
      </c>
      <c r="E146" s="84">
        <v>0</v>
      </c>
      <c r="F146" s="84">
        <v>0</v>
      </c>
      <c r="G146" s="84">
        <v>0</v>
      </c>
      <c r="H146" s="84">
        <v>0</v>
      </c>
      <c r="I146" s="84">
        <v>0</v>
      </c>
      <c r="J146" s="84">
        <v>0</v>
      </c>
      <c r="K146" s="84">
        <v>0</v>
      </c>
      <c r="L146" s="84">
        <v>0</v>
      </c>
      <c r="M146" s="84">
        <v>0</v>
      </c>
      <c r="N146" s="84">
        <v>0</v>
      </c>
      <c r="O146" s="84">
        <v>0</v>
      </c>
      <c r="P146" s="84">
        <v>0</v>
      </c>
      <c r="Q146" s="84">
        <v>0</v>
      </c>
      <c r="R146" s="84">
        <v>0</v>
      </c>
      <c r="S146" s="84">
        <v>0</v>
      </c>
      <c r="T146" s="84">
        <v>0</v>
      </c>
      <c r="U146" s="84">
        <v>0</v>
      </c>
      <c r="V146" s="84">
        <v>0</v>
      </c>
      <c r="W146" s="84">
        <v>0</v>
      </c>
      <c r="X146" s="84">
        <v>0</v>
      </c>
      <c r="Y146" s="84">
        <v>0</v>
      </c>
      <c r="Z146" s="84">
        <v>0</v>
      </c>
      <c r="AA146" s="84">
        <v>0</v>
      </c>
      <c r="AB146" s="84">
        <v>0</v>
      </c>
      <c r="AC146" s="210"/>
      <c r="AD146" s="18"/>
    </row>
    <row r="147" spans="2:31" ht="18.649999999999999" customHeight="1" x14ac:dyDescent="0.35">
      <c r="B147" s="211">
        <v>47392</v>
      </c>
      <c r="C147" s="6" t="s">
        <v>29</v>
      </c>
      <c r="D147" s="7">
        <v>22</v>
      </c>
      <c r="E147" s="78">
        <v>37095.65</v>
      </c>
      <c r="F147" s="78">
        <v>35142.949999999997</v>
      </c>
      <c r="G147" s="78">
        <v>33747.69</v>
      </c>
      <c r="H147" s="78">
        <v>32733.18</v>
      </c>
      <c r="I147" s="78">
        <v>32839.1</v>
      </c>
      <c r="J147" s="78">
        <v>33819.89</v>
      </c>
      <c r="K147" s="78">
        <v>34707.86</v>
      </c>
      <c r="L147" s="78">
        <v>38659.14</v>
      </c>
      <c r="M147" s="78">
        <v>42860.95</v>
      </c>
      <c r="N147" s="78">
        <v>45061.61</v>
      </c>
      <c r="O147" s="78">
        <v>47353.4</v>
      </c>
      <c r="P147" s="78">
        <v>49168.07</v>
      </c>
      <c r="Q147" s="78">
        <v>47046.75</v>
      </c>
      <c r="R147" s="78">
        <v>48304.43</v>
      </c>
      <c r="S147" s="78">
        <v>51015.92</v>
      </c>
      <c r="T147" s="78">
        <v>51628.78</v>
      </c>
      <c r="U147" s="78">
        <v>51055.05</v>
      </c>
      <c r="V147" s="78">
        <v>51073.08</v>
      </c>
      <c r="W147" s="78">
        <v>54242.239999999998</v>
      </c>
      <c r="X147" s="78">
        <v>53033.43</v>
      </c>
      <c r="Y147" s="78">
        <v>51063.81</v>
      </c>
      <c r="Z147" s="78">
        <v>48269.15</v>
      </c>
      <c r="AA147" s="78">
        <v>44150.27</v>
      </c>
      <c r="AB147" s="78">
        <v>40172.47</v>
      </c>
      <c r="AC147" s="209">
        <f>SUM(E147:AB147)*D147+SUM(E148:AB148)*D148+SUM(E149:AB149)*D149+SUM(E150:AB150)*D150</f>
        <v>31984923.690000009</v>
      </c>
      <c r="AD147" s="18"/>
    </row>
    <row r="148" spans="2:31" ht="18.649999999999999" customHeight="1" x14ac:dyDescent="0.35">
      <c r="B148" s="212" t="s">
        <v>34</v>
      </c>
      <c r="C148" s="9" t="s">
        <v>30</v>
      </c>
      <c r="D148" s="10">
        <v>4</v>
      </c>
      <c r="E148" s="79">
        <v>37772.339999999997</v>
      </c>
      <c r="F148" s="79">
        <v>35651.33</v>
      </c>
      <c r="G148" s="79">
        <v>33969.919999999998</v>
      </c>
      <c r="H148" s="79">
        <v>32923.199999999997</v>
      </c>
      <c r="I148" s="79">
        <v>32902.36</v>
      </c>
      <c r="J148" s="79">
        <v>32762.639999999999</v>
      </c>
      <c r="K148" s="79">
        <v>33270</v>
      </c>
      <c r="L148" s="79">
        <v>36566.089999999997</v>
      </c>
      <c r="M148" s="79">
        <v>40671.379999999997</v>
      </c>
      <c r="N148" s="79">
        <v>43013.24</v>
      </c>
      <c r="O148" s="79">
        <v>45426.97</v>
      </c>
      <c r="P148" s="79">
        <v>46627.85</v>
      </c>
      <c r="Q148" s="79">
        <v>45752.57</v>
      </c>
      <c r="R148" s="79">
        <v>45188.39</v>
      </c>
      <c r="S148" s="79">
        <v>45662.83</v>
      </c>
      <c r="T148" s="79">
        <v>46142.13</v>
      </c>
      <c r="U148" s="79">
        <v>45790.47</v>
      </c>
      <c r="V148" s="79">
        <v>47463.37</v>
      </c>
      <c r="W148" s="79">
        <v>51948.29</v>
      </c>
      <c r="X148" s="79">
        <v>50988.82</v>
      </c>
      <c r="Y148" s="79">
        <v>49021.14</v>
      </c>
      <c r="Z148" s="79">
        <v>46546.5</v>
      </c>
      <c r="AA148" s="79">
        <v>43581.62</v>
      </c>
      <c r="AB148" s="79">
        <v>40450.65</v>
      </c>
      <c r="AC148" s="210"/>
      <c r="AD148" s="18"/>
    </row>
    <row r="149" spans="2:31" ht="18.649999999999999" customHeight="1" x14ac:dyDescent="0.35">
      <c r="B149" s="212" t="s">
        <v>34</v>
      </c>
      <c r="C149" s="9" t="s">
        <v>31</v>
      </c>
      <c r="D149" s="10">
        <v>4</v>
      </c>
      <c r="E149" s="79">
        <v>37576.83</v>
      </c>
      <c r="F149" s="79">
        <v>35605.26</v>
      </c>
      <c r="G149" s="79">
        <v>34039.57</v>
      </c>
      <c r="H149" s="79">
        <v>33070.67</v>
      </c>
      <c r="I149" s="79">
        <v>32635.46</v>
      </c>
      <c r="J149" s="79">
        <v>31935.73</v>
      </c>
      <c r="K149" s="79">
        <v>31082.39</v>
      </c>
      <c r="L149" s="79">
        <v>32925.94</v>
      </c>
      <c r="M149" s="79">
        <v>35320.25</v>
      </c>
      <c r="N149" s="79">
        <v>37233.68</v>
      </c>
      <c r="O149" s="79">
        <v>39068.480000000003</v>
      </c>
      <c r="P149" s="79">
        <v>40535.660000000003</v>
      </c>
      <c r="Q149" s="79">
        <v>41267.32</v>
      </c>
      <c r="R149" s="79">
        <v>41345.769999999997</v>
      </c>
      <c r="S149" s="79">
        <v>41602.46</v>
      </c>
      <c r="T149" s="79">
        <v>41556.69</v>
      </c>
      <c r="U149" s="79">
        <v>41866.839999999997</v>
      </c>
      <c r="V149" s="79">
        <v>43918.239999999998</v>
      </c>
      <c r="W149" s="79">
        <v>49247.59</v>
      </c>
      <c r="X149" s="79">
        <v>49573.25</v>
      </c>
      <c r="Y149" s="79">
        <v>48802.8</v>
      </c>
      <c r="Z149" s="79">
        <v>46867.07</v>
      </c>
      <c r="AA149" s="79">
        <v>43353.39</v>
      </c>
      <c r="AB149" s="79">
        <v>39800.69</v>
      </c>
      <c r="AC149" s="210"/>
      <c r="AD149" s="18"/>
    </row>
    <row r="150" spans="2:31" ht="18.649999999999999" customHeight="1" thickBot="1" x14ac:dyDescent="0.4">
      <c r="B150" s="213" t="s">
        <v>34</v>
      </c>
      <c r="C150" s="11" t="s">
        <v>32</v>
      </c>
      <c r="D150" s="12">
        <v>1</v>
      </c>
      <c r="E150" s="269">
        <v>37576.83</v>
      </c>
      <c r="F150" s="76">
        <v>35605.26</v>
      </c>
      <c r="G150" s="76">
        <v>34039.57</v>
      </c>
      <c r="H150" s="76">
        <v>33070.67</v>
      </c>
      <c r="I150" s="76">
        <v>32635.46</v>
      </c>
      <c r="J150" s="76">
        <v>31935.73</v>
      </c>
      <c r="K150" s="76">
        <v>31082.39</v>
      </c>
      <c r="L150" s="76">
        <v>32925.94</v>
      </c>
      <c r="M150" s="76">
        <v>35320.25</v>
      </c>
      <c r="N150" s="76">
        <v>37233.68</v>
      </c>
      <c r="O150" s="76">
        <v>39068.480000000003</v>
      </c>
      <c r="P150" s="76">
        <v>40535.660000000003</v>
      </c>
      <c r="Q150" s="76">
        <v>41267.32</v>
      </c>
      <c r="R150" s="76">
        <v>41345.769999999997</v>
      </c>
      <c r="S150" s="76">
        <v>41602.46</v>
      </c>
      <c r="T150" s="76">
        <v>41556.69</v>
      </c>
      <c r="U150" s="76">
        <v>41866.839999999997</v>
      </c>
      <c r="V150" s="76">
        <v>43918.239999999998</v>
      </c>
      <c r="W150" s="76">
        <v>49247.59</v>
      </c>
      <c r="X150" s="76">
        <v>49573.25</v>
      </c>
      <c r="Y150" s="76">
        <v>48802.8</v>
      </c>
      <c r="Z150" s="76">
        <v>46867.07</v>
      </c>
      <c r="AA150" s="76">
        <v>43353.39</v>
      </c>
      <c r="AB150" s="76">
        <v>39800.69</v>
      </c>
      <c r="AC150" s="214"/>
      <c r="AD150" s="18"/>
    </row>
    <row r="151" spans="2:31" ht="18.649999999999999" customHeight="1" x14ac:dyDescent="0.35">
      <c r="B151" s="207">
        <v>47423</v>
      </c>
      <c r="C151" s="13" t="s">
        <v>29</v>
      </c>
      <c r="D151" s="14">
        <v>20</v>
      </c>
      <c r="E151" s="81">
        <v>33184.03</v>
      </c>
      <c r="F151" s="81">
        <v>31478.9</v>
      </c>
      <c r="G151" s="81">
        <v>30237.24</v>
      </c>
      <c r="H151" s="81">
        <v>29396.19</v>
      </c>
      <c r="I151" s="81">
        <v>29479.119999999999</v>
      </c>
      <c r="J151" s="81">
        <v>30354.45</v>
      </c>
      <c r="K151" s="81">
        <v>31153.74</v>
      </c>
      <c r="L151" s="81">
        <v>34859.410000000003</v>
      </c>
      <c r="M151" s="81">
        <v>38673.300000000003</v>
      </c>
      <c r="N151" s="81">
        <v>40565.22</v>
      </c>
      <c r="O151" s="81">
        <v>42539.7</v>
      </c>
      <c r="P151" s="81">
        <v>43931.33</v>
      </c>
      <c r="Q151" s="81">
        <v>42129.93</v>
      </c>
      <c r="R151" s="81">
        <v>43078.26</v>
      </c>
      <c r="S151" s="81">
        <v>45226.82</v>
      </c>
      <c r="T151" s="81">
        <v>45779.68</v>
      </c>
      <c r="U151" s="81">
        <v>45332.66</v>
      </c>
      <c r="V151" s="81">
        <v>45924.89</v>
      </c>
      <c r="W151" s="81">
        <v>48173.15</v>
      </c>
      <c r="X151" s="81">
        <v>47057.42</v>
      </c>
      <c r="Y151" s="81">
        <v>45389.31</v>
      </c>
      <c r="Z151" s="81">
        <v>42972.3</v>
      </c>
      <c r="AA151" s="81">
        <v>39436.620000000003</v>
      </c>
      <c r="AB151" s="81">
        <v>35946.46</v>
      </c>
      <c r="AC151" s="210">
        <f>SUM(E151:AB151)*D151+SUM(E152:AB152)*D152+SUM(E153:AB153)*D153+SUM(E154:AB154)*D154</f>
        <v>27469848.180000003</v>
      </c>
      <c r="AD151" s="18"/>
    </row>
    <row r="152" spans="2:31" ht="18.649999999999999" customHeight="1" x14ac:dyDescent="0.35">
      <c r="B152" s="208"/>
      <c r="C152" s="9" t="s">
        <v>30</v>
      </c>
      <c r="D152" s="10">
        <v>4</v>
      </c>
      <c r="E152" s="79">
        <v>32392.42</v>
      </c>
      <c r="F152" s="79">
        <v>30806.47</v>
      </c>
      <c r="G152" s="79">
        <v>29693.48</v>
      </c>
      <c r="H152" s="79">
        <v>28965.62</v>
      </c>
      <c r="I152" s="79">
        <v>28948.27</v>
      </c>
      <c r="J152" s="79">
        <v>28876.82</v>
      </c>
      <c r="K152" s="79">
        <v>29308.14</v>
      </c>
      <c r="L152" s="79">
        <v>32684.97</v>
      </c>
      <c r="M152" s="79">
        <v>36482.629999999997</v>
      </c>
      <c r="N152" s="79">
        <v>38584.29</v>
      </c>
      <c r="O152" s="79">
        <v>40773.01</v>
      </c>
      <c r="P152" s="79">
        <v>41695.19</v>
      </c>
      <c r="Q152" s="79">
        <v>40945.03</v>
      </c>
      <c r="R152" s="79">
        <v>40096.080000000002</v>
      </c>
      <c r="S152" s="79">
        <v>39827.15</v>
      </c>
      <c r="T152" s="79">
        <v>40146.99</v>
      </c>
      <c r="U152" s="79">
        <v>39947.980000000003</v>
      </c>
      <c r="V152" s="79">
        <v>42170.73</v>
      </c>
      <c r="W152" s="79">
        <v>45648.4</v>
      </c>
      <c r="X152" s="79">
        <v>44876.98</v>
      </c>
      <c r="Y152" s="79">
        <v>43263.59</v>
      </c>
      <c r="Z152" s="79">
        <v>41261.96</v>
      </c>
      <c r="AA152" s="79">
        <v>38732.910000000003</v>
      </c>
      <c r="AB152" s="79">
        <v>35887.51</v>
      </c>
      <c r="AC152" s="210"/>
      <c r="AD152" s="18"/>
    </row>
    <row r="153" spans="2:31" ht="18.649999999999999" customHeight="1" x14ac:dyDescent="0.35">
      <c r="B153" s="208"/>
      <c r="C153" s="9" t="s">
        <v>31</v>
      </c>
      <c r="D153" s="10">
        <v>4</v>
      </c>
      <c r="E153" s="79">
        <v>33573.050000000003</v>
      </c>
      <c r="F153" s="79">
        <v>31980.28</v>
      </c>
      <c r="G153" s="79">
        <v>30601.09</v>
      </c>
      <c r="H153" s="79">
        <v>29671.53</v>
      </c>
      <c r="I153" s="79">
        <v>29294.75</v>
      </c>
      <c r="J153" s="79">
        <v>28801.15</v>
      </c>
      <c r="K153" s="79">
        <v>28090.35</v>
      </c>
      <c r="L153" s="79">
        <v>29636.43</v>
      </c>
      <c r="M153" s="79">
        <v>31756.01</v>
      </c>
      <c r="N153" s="79">
        <v>33497.919999999998</v>
      </c>
      <c r="O153" s="79">
        <v>35173.93</v>
      </c>
      <c r="P153" s="79">
        <v>36059.269999999997</v>
      </c>
      <c r="Q153" s="79">
        <v>36716.19</v>
      </c>
      <c r="R153" s="79">
        <v>36681.57</v>
      </c>
      <c r="S153" s="79">
        <v>36576.15</v>
      </c>
      <c r="T153" s="79">
        <v>36742.89</v>
      </c>
      <c r="U153" s="79">
        <v>36785.599999999999</v>
      </c>
      <c r="V153" s="79">
        <v>39273.75</v>
      </c>
      <c r="W153" s="79">
        <v>43017.18</v>
      </c>
      <c r="X153" s="79">
        <v>43080.12</v>
      </c>
      <c r="Y153" s="79">
        <v>42130.16</v>
      </c>
      <c r="Z153" s="79">
        <v>40474.120000000003</v>
      </c>
      <c r="AA153" s="79">
        <v>37880.080000000002</v>
      </c>
      <c r="AB153" s="79">
        <v>35136.28</v>
      </c>
      <c r="AC153" s="210"/>
      <c r="AD153" s="18"/>
    </row>
    <row r="154" spans="2:31" ht="18.649999999999999" customHeight="1" thickBot="1" x14ac:dyDescent="0.4">
      <c r="B154" s="208"/>
      <c r="C154" s="15" t="s">
        <v>32</v>
      </c>
      <c r="D154" s="16">
        <v>2</v>
      </c>
      <c r="E154" s="80">
        <v>33573.050000000003</v>
      </c>
      <c r="F154" s="80">
        <v>31980.28</v>
      </c>
      <c r="G154" s="80">
        <v>30601.09</v>
      </c>
      <c r="H154" s="80">
        <v>29671.53</v>
      </c>
      <c r="I154" s="80">
        <v>29294.75</v>
      </c>
      <c r="J154" s="80">
        <v>28801.15</v>
      </c>
      <c r="K154" s="80">
        <v>28090.35</v>
      </c>
      <c r="L154" s="80">
        <v>29636.43</v>
      </c>
      <c r="M154" s="80">
        <v>31756.01</v>
      </c>
      <c r="N154" s="80">
        <v>33497.919999999998</v>
      </c>
      <c r="O154" s="80">
        <v>35173.93</v>
      </c>
      <c r="P154" s="80">
        <v>36059.269999999997</v>
      </c>
      <c r="Q154" s="80">
        <v>36716.19</v>
      </c>
      <c r="R154" s="80">
        <v>36681.57</v>
      </c>
      <c r="S154" s="80">
        <v>36576.15</v>
      </c>
      <c r="T154" s="80">
        <v>36742.89</v>
      </c>
      <c r="U154" s="80">
        <v>36785.599999999999</v>
      </c>
      <c r="V154" s="80">
        <v>39273.75</v>
      </c>
      <c r="W154" s="80">
        <v>43017.18</v>
      </c>
      <c r="X154" s="80">
        <v>43080.12</v>
      </c>
      <c r="Y154" s="80">
        <v>42130.16</v>
      </c>
      <c r="Z154" s="80">
        <v>40474.120000000003</v>
      </c>
      <c r="AA154" s="80">
        <v>37880.080000000002</v>
      </c>
      <c r="AB154" s="80">
        <v>35136.28</v>
      </c>
      <c r="AC154" s="210"/>
      <c r="AD154" s="18"/>
    </row>
    <row r="155" spans="2:31" ht="18.649999999999999" customHeight="1" x14ac:dyDescent="0.35">
      <c r="B155" s="211">
        <v>47453</v>
      </c>
      <c r="C155" s="6" t="s">
        <v>29</v>
      </c>
      <c r="D155" s="7">
        <v>20</v>
      </c>
      <c r="E155" s="78">
        <v>39159.879999999997</v>
      </c>
      <c r="F155" s="78">
        <v>37006.120000000003</v>
      </c>
      <c r="G155" s="78">
        <v>35467.949999999997</v>
      </c>
      <c r="H155" s="78">
        <v>34514.800000000003</v>
      </c>
      <c r="I155" s="78">
        <v>34392.22</v>
      </c>
      <c r="J155" s="78">
        <v>35006.589999999997</v>
      </c>
      <c r="K155" s="78">
        <v>35251.42</v>
      </c>
      <c r="L155" s="78">
        <v>39500.28</v>
      </c>
      <c r="M155" s="78">
        <v>43815.43</v>
      </c>
      <c r="N155" s="78">
        <v>46286.27</v>
      </c>
      <c r="O155" s="78">
        <v>48460.98</v>
      </c>
      <c r="P155" s="78">
        <v>50034.57</v>
      </c>
      <c r="Q155" s="78">
        <v>48656.92</v>
      </c>
      <c r="R155" s="78">
        <v>49280.43</v>
      </c>
      <c r="S155" s="78">
        <v>51364.09</v>
      </c>
      <c r="T155" s="78">
        <v>52005.25</v>
      </c>
      <c r="U155" s="78">
        <v>51576.32</v>
      </c>
      <c r="V155" s="78">
        <v>51628.69</v>
      </c>
      <c r="W155" s="78">
        <v>55607.27</v>
      </c>
      <c r="X155" s="78">
        <v>54537.32</v>
      </c>
      <c r="Y155" s="78">
        <v>52541.16</v>
      </c>
      <c r="Z155" s="78">
        <v>49695.42</v>
      </c>
      <c r="AA155" s="78">
        <v>46043.45</v>
      </c>
      <c r="AB155" s="78">
        <v>42489.89</v>
      </c>
      <c r="AC155" s="209">
        <f>SUM(E155:AB155)*D155+SUM(E156:AB156)*D156+SUM(E157:AB157)*D157+SUM(E158:AB158)*D158</f>
        <v>32830426.059999999</v>
      </c>
      <c r="AD155" s="18"/>
    </row>
    <row r="156" spans="2:31" ht="18.649999999999999" customHeight="1" x14ac:dyDescent="0.35">
      <c r="B156" s="212" t="s">
        <v>34</v>
      </c>
      <c r="C156" s="9" t="s">
        <v>30</v>
      </c>
      <c r="D156" s="10">
        <v>4</v>
      </c>
      <c r="E156" s="79">
        <v>39794.04</v>
      </c>
      <c r="F156" s="79">
        <v>37541.14</v>
      </c>
      <c r="G156" s="79">
        <v>36057.040000000001</v>
      </c>
      <c r="H156" s="79">
        <v>34968.910000000003</v>
      </c>
      <c r="I156" s="79">
        <v>34668.129999999997</v>
      </c>
      <c r="J156" s="79">
        <v>34728.6</v>
      </c>
      <c r="K156" s="79">
        <v>34383.64</v>
      </c>
      <c r="L156" s="79">
        <v>37540.699999999997</v>
      </c>
      <c r="M156" s="79">
        <v>42110.32</v>
      </c>
      <c r="N156" s="79">
        <v>44790.14</v>
      </c>
      <c r="O156" s="79">
        <v>47047.13</v>
      </c>
      <c r="P156" s="79">
        <v>48424.66</v>
      </c>
      <c r="Q156" s="79">
        <v>47640.36</v>
      </c>
      <c r="R156" s="79">
        <v>47295.87</v>
      </c>
      <c r="S156" s="79">
        <v>47097.61</v>
      </c>
      <c r="T156" s="79">
        <v>47603.28</v>
      </c>
      <c r="U156" s="79">
        <v>47455.4</v>
      </c>
      <c r="V156" s="79">
        <v>48504.71</v>
      </c>
      <c r="W156" s="79">
        <v>53877.7</v>
      </c>
      <c r="X156" s="79">
        <v>53113.45</v>
      </c>
      <c r="Y156" s="79">
        <v>51113.760000000002</v>
      </c>
      <c r="Z156" s="79">
        <v>48932.11</v>
      </c>
      <c r="AA156" s="79">
        <v>45907.28</v>
      </c>
      <c r="AB156" s="79">
        <v>42791.06</v>
      </c>
      <c r="AC156" s="210"/>
      <c r="AD156" s="18"/>
    </row>
    <row r="157" spans="2:31" ht="18.649999999999999" customHeight="1" x14ac:dyDescent="0.35">
      <c r="B157" s="212" t="s">
        <v>34</v>
      </c>
      <c r="C157" s="9" t="s">
        <v>31</v>
      </c>
      <c r="D157" s="10">
        <v>5</v>
      </c>
      <c r="E157" s="79">
        <v>40045.25</v>
      </c>
      <c r="F157" s="79">
        <v>38077.019999999997</v>
      </c>
      <c r="G157" s="79">
        <v>36491.79</v>
      </c>
      <c r="H157" s="79">
        <v>35375.43</v>
      </c>
      <c r="I157" s="79">
        <v>34871.800000000003</v>
      </c>
      <c r="J157" s="79">
        <v>34519.9</v>
      </c>
      <c r="K157" s="79">
        <v>32981.85</v>
      </c>
      <c r="L157" s="79">
        <v>34645.56</v>
      </c>
      <c r="M157" s="79">
        <v>37290.129999999997</v>
      </c>
      <c r="N157" s="79">
        <v>39560.480000000003</v>
      </c>
      <c r="O157" s="79">
        <v>41054</v>
      </c>
      <c r="P157" s="79">
        <v>42277.01</v>
      </c>
      <c r="Q157" s="79">
        <v>43004.3</v>
      </c>
      <c r="R157" s="79">
        <v>43409.3</v>
      </c>
      <c r="S157" s="79">
        <v>42182.38</v>
      </c>
      <c r="T157" s="79">
        <v>43336.05</v>
      </c>
      <c r="U157" s="79">
        <v>43593.65</v>
      </c>
      <c r="V157" s="79">
        <v>45049.15</v>
      </c>
      <c r="W157" s="79">
        <v>50513.47</v>
      </c>
      <c r="X157" s="79">
        <v>50111.58</v>
      </c>
      <c r="Y157" s="79">
        <v>48803.8</v>
      </c>
      <c r="Z157" s="79">
        <v>47012.09</v>
      </c>
      <c r="AA157" s="79">
        <v>44301.62</v>
      </c>
      <c r="AB157" s="79">
        <v>41552.89</v>
      </c>
      <c r="AC157" s="210"/>
      <c r="AD157" s="18"/>
    </row>
    <row r="158" spans="2:31" ht="18.649999999999999" customHeight="1" thickBot="1" x14ac:dyDescent="0.4">
      <c r="B158" s="213" t="s">
        <v>34</v>
      </c>
      <c r="C158" s="11" t="s">
        <v>32</v>
      </c>
      <c r="D158" s="12">
        <v>2</v>
      </c>
      <c r="E158" s="76">
        <v>40045.25</v>
      </c>
      <c r="F158" s="76">
        <v>38077.019999999997</v>
      </c>
      <c r="G158" s="76">
        <v>36491.79</v>
      </c>
      <c r="H158" s="76">
        <v>35375.43</v>
      </c>
      <c r="I158" s="76">
        <v>34871.800000000003</v>
      </c>
      <c r="J158" s="76">
        <v>34519.9</v>
      </c>
      <c r="K158" s="76">
        <v>32981.85</v>
      </c>
      <c r="L158" s="76">
        <v>34645.56</v>
      </c>
      <c r="M158" s="76">
        <v>37290.129999999997</v>
      </c>
      <c r="N158" s="76">
        <v>39560.480000000003</v>
      </c>
      <c r="O158" s="76">
        <v>41054</v>
      </c>
      <c r="P158" s="76">
        <v>42277.01</v>
      </c>
      <c r="Q158" s="76">
        <v>43004.3</v>
      </c>
      <c r="R158" s="76">
        <v>43409.3</v>
      </c>
      <c r="S158" s="76">
        <v>42182.38</v>
      </c>
      <c r="T158" s="76">
        <v>43336.05</v>
      </c>
      <c r="U158" s="76">
        <v>43593.65</v>
      </c>
      <c r="V158" s="76">
        <v>45049.15</v>
      </c>
      <c r="W158" s="76">
        <v>50513.47</v>
      </c>
      <c r="X158" s="76">
        <v>50111.58</v>
      </c>
      <c r="Y158" s="76">
        <v>48803.8</v>
      </c>
      <c r="Z158" s="76">
        <v>47012.09</v>
      </c>
      <c r="AA158" s="76">
        <v>44301.62</v>
      </c>
      <c r="AB158" s="76">
        <v>41552.89</v>
      </c>
      <c r="AC158" s="214"/>
      <c r="AD158" s="18"/>
    </row>
    <row r="159" spans="2:31" ht="18.649999999999999" customHeight="1" thickBot="1" x14ac:dyDescent="0.4"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215" t="s">
        <v>33</v>
      </c>
      <c r="AA159" s="216"/>
      <c r="AB159" s="217"/>
      <c r="AC159" s="135">
        <f>SUM(AC111:AC158)</f>
        <v>397336624.22999996</v>
      </c>
      <c r="AD159" s="17"/>
      <c r="AE159" s="18"/>
    </row>
    <row r="160" spans="2:31" ht="20.25" customHeight="1" thickBot="1" x14ac:dyDescent="0.4">
      <c r="Z160" s="218" t="s">
        <v>50</v>
      </c>
      <c r="AA160" s="219"/>
      <c r="AB160" s="220"/>
      <c r="AC160" s="135">
        <f>AC59+AC109+AC159</f>
        <v>1182364326.01</v>
      </c>
    </row>
  </sheetData>
  <mergeCells count="81">
    <mergeCell ref="B155:B158"/>
    <mergeCell ref="AC155:AC158"/>
    <mergeCell ref="Z159:AB159"/>
    <mergeCell ref="B143:B146"/>
    <mergeCell ref="AC143:AC146"/>
    <mergeCell ref="B147:B150"/>
    <mergeCell ref="AC147:AC150"/>
    <mergeCell ref="B151:B154"/>
    <mergeCell ref="AC151:AC154"/>
    <mergeCell ref="B131:B134"/>
    <mergeCell ref="AC131:AC134"/>
    <mergeCell ref="B135:B138"/>
    <mergeCell ref="AC135:AC138"/>
    <mergeCell ref="B139:B142"/>
    <mergeCell ref="AC139:AC142"/>
    <mergeCell ref="B119:B122"/>
    <mergeCell ref="AC119:AC122"/>
    <mergeCell ref="B123:B126"/>
    <mergeCell ref="AC123:AC126"/>
    <mergeCell ref="B127:B130"/>
    <mergeCell ref="AC127:AC130"/>
    <mergeCell ref="B4:AC4"/>
    <mergeCell ref="B5:AC5"/>
    <mergeCell ref="B6:AC6"/>
    <mergeCell ref="B7:AC7"/>
    <mergeCell ref="B8:AC8"/>
    <mergeCell ref="B11:B14"/>
    <mergeCell ref="AC11:AC14"/>
    <mergeCell ref="B15:B18"/>
    <mergeCell ref="AC15:AC18"/>
    <mergeCell ref="B19:B22"/>
    <mergeCell ref="AC19:AC22"/>
    <mergeCell ref="B23:B26"/>
    <mergeCell ref="AC23:AC26"/>
    <mergeCell ref="B27:B30"/>
    <mergeCell ref="AC27:AC30"/>
    <mergeCell ref="B31:B34"/>
    <mergeCell ref="AC31:AC34"/>
    <mergeCell ref="B35:B38"/>
    <mergeCell ref="AC35:AC38"/>
    <mergeCell ref="B61:B64"/>
    <mergeCell ref="AC61:AC64"/>
    <mergeCell ref="B39:B42"/>
    <mergeCell ref="AC39:AC42"/>
    <mergeCell ref="B43:B46"/>
    <mergeCell ref="AC43:AC46"/>
    <mergeCell ref="B47:B50"/>
    <mergeCell ref="AC47:AC50"/>
    <mergeCell ref="B51:B54"/>
    <mergeCell ref="AC51:AC54"/>
    <mergeCell ref="B55:B58"/>
    <mergeCell ref="AC55:AC58"/>
    <mergeCell ref="Z59:AB59"/>
    <mergeCell ref="B65:B68"/>
    <mergeCell ref="AC65:AC68"/>
    <mergeCell ref="B69:B72"/>
    <mergeCell ref="AC69:AC72"/>
    <mergeCell ref="B73:B76"/>
    <mergeCell ref="AC73:AC76"/>
    <mergeCell ref="B77:B80"/>
    <mergeCell ref="AC77:AC80"/>
    <mergeCell ref="B81:B84"/>
    <mergeCell ref="AC81:AC84"/>
    <mergeCell ref="B85:B88"/>
    <mergeCell ref="AC85:AC88"/>
    <mergeCell ref="Z160:AB160"/>
    <mergeCell ref="B89:B92"/>
    <mergeCell ref="AC89:AC92"/>
    <mergeCell ref="B93:B96"/>
    <mergeCell ref="AC93:AC96"/>
    <mergeCell ref="B97:B100"/>
    <mergeCell ref="AC97:AC100"/>
    <mergeCell ref="B101:B104"/>
    <mergeCell ref="AC101:AC104"/>
    <mergeCell ref="B105:B108"/>
    <mergeCell ref="AC105:AC108"/>
    <mergeCell ref="Z109:AB109"/>
    <mergeCell ref="B111:B114"/>
    <mergeCell ref="AC111:AC114"/>
    <mergeCell ref="B115:B118"/>
    <mergeCell ref="AC115:AC118"/>
  </mergeCells>
  <phoneticPr fontId="23" type="noConversion"/>
  <conditionalFormatting sqref="E11:AB58">
    <cfRule type="cellIs" dxfId="14" priority="3" operator="lessThan">
      <formula>0</formula>
    </cfRule>
  </conditionalFormatting>
  <conditionalFormatting sqref="E61:AB108">
    <cfRule type="cellIs" dxfId="13" priority="2" operator="lessThan">
      <formula>0</formula>
    </cfRule>
  </conditionalFormatting>
  <conditionalFormatting sqref="E111:AB158">
    <cfRule type="cellIs" dxfId="12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181A-4A58-4EF7-993A-23A3229C32F3}">
  <sheetPr>
    <tabColor rgb="FFFFC000"/>
  </sheetPr>
  <dimension ref="B2:BJ112"/>
  <sheetViews>
    <sheetView showGridLines="0" zoomScale="80" zoomScaleNormal="80" workbookViewId="0">
      <pane xSplit="4" ySplit="10" topLeftCell="E89" activePane="bottomRight" state="frozen"/>
      <selection activeCell="V654" sqref="V654"/>
      <selection pane="topRight" activeCell="V654" sqref="V654"/>
      <selection pane="bottomLeft" activeCell="V654" sqref="V654"/>
      <selection pane="bottomRight" activeCell="B60" sqref="B60:AC110"/>
    </sheetView>
  </sheetViews>
  <sheetFormatPr baseColWidth="10" defaultRowHeight="12.5" x14ac:dyDescent="0.35"/>
  <cols>
    <col min="1" max="1" width="2.54296875" style="8" customWidth="1"/>
    <col min="2" max="2" width="11.1796875" style="8" customWidth="1"/>
    <col min="3" max="3" width="10.7265625" style="8" customWidth="1"/>
    <col min="4" max="4" width="8.1796875" style="8" customWidth="1"/>
    <col min="5" max="5" width="9.7265625" style="77" customWidth="1"/>
    <col min="6" max="28" width="11" style="17" customWidth="1"/>
    <col min="29" max="29" width="17.26953125" style="133" customWidth="1"/>
    <col min="30" max="30" width="13.26953125" style="8" bestFit="1" customWidth="1"/>
    <col min="31" max="31" width="10.90625" style="8"/>
    <col min="32" max="32" width="10.90625" style="8" hidden="1" customWidth="1"/>
    <col min="33" max="54" width="8.1796875" style="8" hidden="1" customWidth="1"/>
    <col min="55" max="55" width="8.6328125" style="8" hidden="1" customWidth="1"/>
    <col min="56" max="56" width="8.1796875" style="8" hidden="1" customWidth="1"/>
    <col min="57" max="57" width="9.6328125" style="8" hidden="1" customWidth="1"/>
    <col min="58" max="58" width="14.6328125" style="8" hidden="1" customWidth="1"/>
    <col min="59" max="59" width="14.7265625" style="8" hidden="1" customWidth="1"/>
    <col min="60" max="62" width="10.90625" style="8" hidden="1" customWidth="1"/>
    <col min="63" max="63" width="11.6328125" style="8" bestFit="1" customWidth="1"/>
    <col min="64" max="255" width="10.90625" style="8"/>
    <col min="256" max="256" width="7" style="8" customWidth="1"/>
    <col min="257" max="257" width="10.7265625" style="8" customWidth="1"/>
    <col min="258" max="258" width="9.26953125" style="8" customWidth="1"/>
    <col min="259" max="282" width="7.26953125" style="8" customWidth="1"/>
    <col min="283" max="283" width="14.26953125" style="8" bestFit="1" customWidth="1"/>
    <col min="284" max="511" width="10.90625" style="8"/>
    <col min="512" max="512" width="7" style="8" customWidth="1"/>
    <col min="513" max="513" width="10.7265625" style="8" customWidth="1"/>
    <col min="514" max="514" width="9.26953125" style="8" customWidth="1"/>
    <col min="515" max="538" width="7.26953125" style="8" customWidth="1"/>
    <col min="539" max="539" width="14.26953125" style="8" bestFit="1" customWidth="1"/>
    <col min="540" max="767" width="10.90625" style="8"/>
    <col min="768" max="768" width="7" style="8" customWidth="1"/>
    <col min="769" max="769" width="10.7265625" style="8" customWidth="1"/>
    <col min="770" max="770" width="9.26953125" style="8" customWidth="1"/>
    <col min="771" max="794" width="7.26953125" style="8" customWidth="1"/>
    <col min="795" max="795" width="14.26953125" style="8" bestFit="1" customWidth="1"/>
    <col min="796" max="1023" width="10.90625" style="8"/>
    <col min="1024" max="1024" width="7" style="8" customWidth="1"/>
    <col min="1025" max="1025" width="10.7265625" style="8" customWidth="1"/>
    <col min="1026" max="1026" width="9.26953125" style="8" customWidth="1"/>
    <col min="1027" max="1050" width="7.26953125" style="8" customWidth="1"/>
    <col min="1051" max="1051" width="14.26953125" style="8" bestFit="1" customWidth="1"/>
    <col min="1052" max="1279" width="10.90625" style="8"/>
    <col min="1280" max="1280" width="7" style="8" customWidth="1"/>
    <col min="1281" max="1281" width="10.7265625" style="8" customWidth="1"/>
    <col min="1282" max="1282" width="9.26953125" style="8" customWidth="1"/>
    <col min="1283" max="1306" width="7.26953125" style="8" customWidth="1"/>
    <col min="1307" max="1307" width="14.26953125" style="8" bestFit="1" customWidth="1"/>
    <col min="1308" max="1535" width="10.90625" style="8"/>
    <col min="1536" max="1536" width="7" style="8" customWidth="1"/>
    <col min="1537" max="1537" width="10.7265625" style="8" customWidth="1"/>
    <col min="1538" max="1538" width="9.26953125" style="8" customWidth="1"/>
    <col min="1539" max="1562" width="7.26953125" style="8" customWidth="1"/>
    <col min="1563" max="1563" width="14.26953125" style="8" bestFit="1" customWidth="1"/>
    <col min="1564" max="1791" width="10.90625" style="8"/>
    <col min="1792" max="1792" width="7" style="8" customWidth="1"/>
    <col min="1793" max="1793" width="10.7265625" style="8" customWidth="1"/>
    <col min="1794" max="1794" width="9.26953125" style="8" customWidth="1"/>
    <col min="1795" max="1818" width="7.26953125" style="8" customWidth="1"/>
    <col min="1819" max="1819" width="14.26953125" style="8" bestFit="1" customWidth="1"/>
    <col min="1820" max="2047" width="10.90625" style="8"/>
    <col min="2048" max="2048" width="7" style="8" customWidth="1"/>
    <col min="2049" max="2049" width="10.7265625" style="8" customWidth="1"/>
    <col min="2050" max="2050" width="9.26953125" style="8" customWidth="1"/>
    <col min="2051" max="2074" width="7.26953125" style="8" customWidth="1"/>
    <col min="2075" max="2075" width="14.26953125" style="8" bestFit="1" customWidth="1"/>
    <col min="2076" max="2303" width="10.90625" style="8"/>
    <col min="2304" max="2304" width="7" style="8" customWidth="1"/>
    <col min="2305" max="2305" width="10.7265625" style="8" customWidth="1"/>
    <col min="2306" max="2306" width="9.26953125" style="8" customWidth="1"/>
    <col min="2307" max="2330" width="7.26953125" style="8" customWidth="1"/>
    <col min="2331" max="2331" width="14.26953125" style="8" bestFit="1" customWidth="1"/>
    <col min="2332" max="2559" width="10.90625" style="8"/>
    <col min="2560" max="2560" width="7" style="8" customWidth="1"/>
    <col min="2561" max="2561" width="10.7265625" style="8" customWidth="1"/>
    <col min="2562" max="2562" width="9.26953125" style="8" customWidth="1"/>
    <col min="2563" max="2586" width="7.26953125" style="8" customWidth="1"/>
    <col min="2587" max="2587" width="14.26953125" style="8" bestFit="1" customWidth="1"/>
    <col min="2588" max="2815" width="10.90625" style="8"/>
    <col min="2816" max="2816" width="7" style="8" customWidth="1"/>
    <col min="2817" max="2817" width="10.7265625" style="8" customWidth="1"/>
    <col min="2818" max="2818" width="9.26953125" style="8" customWidth="1"/>
    <col min="2819" max="2842" width="7.26953125" style="8" customWidth="1"/>
    <col min="2843" max="2843" width="14.26953125" style="8" bestFit="1" customWidth="1"/>
    <col min="2844" max="3071" width="10.90625" style="8"/>
    <col min="3072" max="3072" width="7" style="8" customWidth="1"/>
    <col min="3073" max="3073" width="10.7265625" style="8" customWidth="1"/>
    <col min="3074" max="3074" width="9.26953125" style="8" customWidth="1"/>
    <col min="3075" max="3098" width="7.26953125" style="8" customWidth="1"/>
    <col min="3099" max="3099" width="14.26953125" style="8" bestFit="1" customWidth="1"/>
    <col min="3100" max="3327" width="10.90625" style="8"/>
    <col min="3328" max="3328" width="7" style="8" customWidth="1"/>
    <col min="3329" max="3329" width="10.7265625" style="8" customWidth="1"/>
    <col min="3330" max="3330" width="9.26953125" style="8" customWidth="1"/>
    <col min="3331" max="3354" width="7.26953125" style="8" customWidth="1"/>
    <col min="3355" max="3355" width="14.26953125" style="8" bestFit="1" customWidth="1"/>
    <col min="3356" max="3583" width="10.90625" style="8"/>
    <col min="3584" max="3584" width="7" style="8" customWidth="1"/>
    <col min="3585" max="3585" width="10.7265625" style="8" customWidth="1"/>
    <col min="3586" max="3586" width="9.26953125" style="8" customWidth="1"/>
    <col min="3587" max="3610" width="7.26953125" style="8" customWidth="1"/>
    <col min="3611" max="3611" width="14.26953125" style="8" bestFit="1" customWidth="1"/>
    <col min="3612" max="3839" width="10.90625" style="8"/>
    <col min="3840" max="3840" width="7" style="8" customWidth="1"/>
    <col min="3841" max="3841" width="10.7265625" style="8" customWidth="1"/>
    <col min="3842" max="3842" width="9.26953125" style="8" customWidth="1"/>
    <col min="3843" max="3866" width="7.26953125" style="8" customWidth="1"/>
    <col min="3867" max="3867" width="14.26953125" style="8" bestFit="1" customWidth="1"/>
    <col min="3868" max="4095" width="10.90625" style="8"/>
    <col min="4096" max="4096" width="7" style="8" customWidth="1"/>
    <col min="4097" max="4097" width="10.7265625" style="8" customWidth="1"/>
    <col min="4098" max="4098" width="9.26953125" style="8" customWidth="1"/>
    <col min="4099" max="4122" width="7.26953125" style="8" customWidth="1"/>
    <col min="4123" max="4123" width="14.26953125" style="8" bestFit="1" customWidth="1"/>
    <col min="4124" max="4351" width="10.90625" style="8"/>
    <col min="4352" max="4352" width="7" style="8" customWidth="1"/>
    <col min="4353" max="4353" width="10.7265625" style="8" customWidth="1"/>
    <col min="4354" max="4354" width="9.26953125" style="8" customWidth="1"/>
    <col min="4355" max="4378" width="7.26953125" style="8" customWidth="1"/>
    <col min="4379" max="4379" width="14.26953125" style="8" bestFit="1" customWidth="1"/>
    <col min="4380" max="4607" width="10.90625" style="8"/>
    <col min="4608" max="4608" width="7" style="8" customWidth="1"/>
    <col min="4609" max="4609" width="10.7265625" style="8" customWidth="1"/>
    <col min="4610" max="4610" width="9.26953125" style="8" customWidth="1"/>
    <col min="4611" max="4634" width="7.26953125" style="8" customWidth="1"/>
    <col min="4635" max="4635" width="14.26953125" style="8" bestFit="1" customWidth="1"/>
    <col min="4636" max="4863" width="10.90625" style="8"/>
    <col min="4864" max="4864" width="7" style="8" customWidth="1"/>
    <col min="4865" max="4865" width="10.7265625" style="8" customWidth="1"/>
    <col min="4866" max="4866" width="9.26953125" style="8" customWidth="1"/>
    <col min="4867" max="4890" width="7.26953125" style="8" customWidth="1"/>
    <col min="4891" max="4891" width="14.26953125" style="8" bestFit="1" customWidth="1"/>
    <col min="4892" max="5119" width="10.90625" style="8"/>
    <col min="5120" max="5120" width="7" style="8" customWidth="1"/>
    <col min="5121" max="5121" width="10.7265625" style="8" customWidth="1"/>
    <col min="5122" max="5122" width="9.26953125" style="8" customWidth="1"/>
    <col min="5123" max="5146" width="7.26953125" style="8" customWidth="1"/>
    <col min="5147" max="5147" width="14.26953125" style="8" bestFit="1" customWidth="1"/>
    <col min="5148" max="5375" width="10.90625" style="8"/>
    <col min="5376" max="5376" width="7" style="8" customWidth="1"/>
    <col min="5377" max="5377" width="10.7265625" style="8" customWidth="1"/>
    <col min="5378" max="5378" width="9.26953125" style="8" customWidth="1"/>
    <col min="5379" max="5402" width="7.26953125" style="8" customWidth="1"/>
    <col min="5403" max="5403" width="14.26953125" style="8" bestFit="1" customWidth="1"/>
    <col min="5404" max="5631" width="10.90625" style="8"/>
    <col min="5632" max="5632" width="7" style="8" customWidth="1"/>
    <col min="5633" max="5633" width="10.7265625" style="8" customWidth="1"/>
    <col min="5634" max="5634" width="9.26953125" style="8" customWidth="1"/>
    <col min="5635" max="5658" width="7.26953125" style="8" customWidth="1"/>
    <col min="5659" max="5659" width="14.26953125" style="8" bestFit="1" customWidth="1"/>
    <col min="5660" max="5887" width="10.90625" style="8"/>
    <col min="5888" max="5888" width="7" style="8" customWidth="1"/>
    <col min="5889" max="5889" width="10.7265625" style="8" customWidth="1"/>
    <col min="5890" max="5890" width="9.26953125" style="8" customWidth="1"/>
    <col min="5891" max="5914" width="7.26953125" style="8" customWidth="1"/>
    <col min="5915" max="5915" width="14.26953125" style="8" bestFit="1" customWidth="1"/>
    <col min="5916" max="6143" width="10.90625" style="8"/>
    <col min="6144" max="6144" width="7" style="8" customWidth="1"/>
    <col min="6145" max="6145" width="10.7265625" style="8" customWidth="1"/>
    <col min="6146" max="6146" width="9.26953125" style="8" customWidth="1"/>
    <col min="6147" max="6170" width="7.26953125" style="8" customWidth="1"/>
    <col min="6171" max="6171" width="14.26953125" style="8" bestFit="1" customWidth="1"/>
    <col min="6172" max="6399" width="10.90625" style="8"/>
    <col min="6400" max="6400" width="7" style="8" customWidth="1"/>
    <col min="6401" max="6401" width="10.7265625" style="8" customWidth="1"/>
    <col min="6402" max="6402" width="9.26953125" style="8" customWidth="1"/>
    <col min="6403" max="6426" width="7.26953125" style="8" customWidth="1"/>
    <col min="6427" max="6427" width="14.26953125" style="8" bestFit="1" customWidth="1"/>
    <col min="6428" max="6655" width="10.90625" style="8"/>
    <col min="6656" max="6656" width="7" style="8" customWidth="1"/>
    <col min="6657" max="6657" width="10.7265625" style="8" customWidth="1"/>
    <col min="6658" max="6658" width="9.26953125" style="8" customWidth="1"/>
    <col min="6659" max="6682" width="7.26953125" style="8" customWidth="1"/>
    <col min="6683" max="6683" width="14.26953125" style="8" bestFit="1" customWidth="1"/>
    <col min="6684" max="6911" width="10.90625" style="8"/>
    <col min="6912" max="6912" width="7" style="8" customWidth="1"/>
    <col min="6913" max="6913" width="10.7265625" style="8" customWidth="1"/>
    <col min="6914" max="6914" width="9.26953125" style="8" customWidth="1"/>
    <col min="6915" max="6938" width="7.26953125" style="8" customWidth="1"/>
    <col min="6939" max="6939" width="14.26953125" style="8" bestFit="1" customWidth="1"/>
    <col min="6940" max="7167" width="10.90625" style="8"/>
    <col min="7168" max="7168" width="7" style="8" customWidth="1"/>
    <col min="7169" max="7169" width="10.7265625" style="8" customWidth="1"/>
    <col min="7170" max="7170" width="9.26953125" style="8" customWidth="1"/>
    <col min="7171" max="7194" width="7.26953125" style="8" customWidth="1"/>
    <col min="7195" max="7195" width="14.26953125" style="8" bestFit="1" customWidth="1"/>
    <col min="7196" max="7423" width="10.90625" style="8"/>
    <col min="7424" max="7424" width="7" style="8" customWidth="1"/>
    <col min="7425" max="7425" width="10.7265625" style="8" customWidth="1"/>
    <col min="7426" max="7426" width="9.26953125" style="8" customWidth="1"/>
    <col min="7427" max="7450" width="7.26953125" style="8" customWidth="1"/>
    <col min="7451" max="7451" width="14.26953125" style="8" bestFit="1" customWidth="1"/>
    <col min="7452" max="7679" width="10.90625" style="8"/>
    <col min="7680" max="7680" width="7" style="8" customWidth="1"/>
    <col min="7681" max="7681" width="10.7265625" style="8" customWidth="1"/>
    <col min="7682" max="7682" width="9.26953125" style="8" customWidth="1"/>
    <col min="7683" max="7706" width="7.26953125" style="8" customWidth="1"/>
    <col min="7707" max="7707" width="14.26953125" style="8" bestFit="1" customWidth="1"/>
    <col min="7708" max="7935" width="10.90625" style="8"/>
    <col min="7936" max="7936" width="7" style="8" customWidth="1"/>
    <col min="7937" max="7937" width="10.7265625" style="8" customWidth="1"/>
    <col min="7938" max="7938" width="9.26953125" style="8" customWidth="1"/>
    <col min="7939" max="7962" width="7.26953125" style="8" customWidth="1"/>
    <col min="7963" max="7963" width="14.26953125" style="8" bestFit="1" customWidth="1"/>
    <col min="7964" max="8191" width="10.90625" style="8"/>
    <col min="8192" max="8192" width="7" style="8" customWidth="1"/>
    <col min="8193" max="8193" width="10.7265625" style="8" customWidth="1"/>
    <col min="8194" max="8194" width="9.26953125" style="8" customWidth="1"/>
    <col min="8195" max="8218" width="7.26953125" style="8" customWidth="1"/>
    <col min="8219" max="8219" width="14.26953125" style="8" bestFit="1" customWidth="1"/>
    <col min="8220" max="8447" width="10.90625" style="8"/>
    <col min="8448" max="8448" width="7" style="8" customWidth="1"/>
    <col min="8449" max="8449" width="10.7265625" style="8" customWidth="1"/>
    <col min="8450" max="8450" width="9.26953125" style="8" customWidth="1"/>
    <col min="8451" max="8474" width="7.26953125" style="8" customWidth="1"/>
    <col min="8475" max="8475" width="14.26953125" style="8" bestFit="1" customWidth="1"/>
    <col min="8476" max="8703" width="10.90625" style="8"/>
    <col min="8704" max="8704" width="7" style="8" customWidth="1"/>
    <col min="8705" max="8705" width="10.7265625" style="8" customWidth="1"/>
    <col min="8706" max="8706" width="9.26953125" style="8" customWidth="1"/>
    <col min="8707" max="8730" width="7.26953125" style="8" customWidth="1"/>
    <col min="8731" max="8731" width="14.26953125" style="8" bestFit="1" customWidth="1"/>
    <col min="8732" max="8959" width="10.90625" style="8"/>
    <col min="8960" max="8960" width="7" style="8" customWidth="1"/>
    <col min="8961" max="8961" width="10.7265625" style="8" customWidth="1"/>
    <col min="8962" max="8962" width="9.26953125" style="8" customWidth="1"/>
    <col min="8963" max="8986" width="7.26953125" style="8" customWidth="1"/>
    <col min="8987" max="8987" width="14.26953125" style="8" bestFit="1" customWidth="1"/>
    <col min="8988" max="9215" width="10.90625" style="8"/>
    <col min="9216" max="9216" width="7" style="8" customWidth="1"/>
    <col min="9217" max="9217" width="10.7265625" style="8" customWidth="1"/>
    <col min="9218" max="9218" width="9.26953125" style="8" customWidth="1"/>
    <col min="9219" max="9242" width="7.26953125" style="8" customWidth="1"/>
    <col min="9243" max="9243" width="14.26953125" style="8" bestFit="1" customWidth="1"/>
    <col min="9244" max="9471" width="10.90625" style="8"/>
    <col min="9472" max="9472" width="7" style="8" customWidth="1"/>
    <col min="9473" max="9473" width="10.7265625" style="8" customWidth="1"/>
    <col min="9474" max="9474" width="9.26953125" style="8" customWidth="1"/>
    <col min="9475" max="9498" width="7.26953125" style="8" customWidth="1"/>
    <col min="9499" max="9499" width="14.26953125" style="8" bestFit="1" customWidth="1"/>
    <col min="9500" max="9727" width="10.90625" style="8"/>
    <col min="9728" max="9728" width="7" style="8" customWidth="1"/>
    <col min="9729" max="9729" width="10.7265625" style="8" customWidth="1"/>
    <col min="9730" max="9730" width="9.26953125" style="8" customWidth="1"/>
    <col min="9731" max="9754" width="7.26953125" style="8" customWidth="1"/>
    <col min="9755" max="9755" width="14.26953125" style="8" bestFit="1" customWidth="1"/>
    <col min="9756" max="9983" width="10.90625" style="8"/>
    <col min="9984" max="9984" width="7" style="8" customWidth="1"/>
    <col min="9985" max="9985" width="10.7265625" style="8" customWidth="1"/>
    <col min="9986" max="9986" width="9.26953125" style="8" customWidth="1"/>
    <col min="9987" max="10010" width="7.26953125" style="8" customWidth="1"/>
    <col min="10011" max="10011" width="14.26953125" style="8" bestFit="1" customWidth="1"/>
    <col min="10012" max="10239" width="10.90625" style="8"/>
    <col min="10240" max="10240" width="7" style="8" customWidth="1"/>
    <col min="10241" max="10241" width="10.7265625" style="8" customWidth="1"/>
    <col min="10242" max="10242" width="9.26953125" style="8" customWidth="1"/>
    <col min="10243" max="10266" width="7.26953125" style="8" customWidth="1"/>
    <col min="10267" max="10267" width="14.26953125" style="8" bestFit="1" customWidth="1"/>
    <col min="10268" max="10495" width="10.90625" style="8"/>
    <col min="10496" max="10496" width="7" style="8" customWidth="1"/>
    <col min="10497" max="10497" width="10.7265625" style="8" customWidth="1"/>
    <col min="10498" max="10498" width="9.26953125" style="8" customWidth="1"/>
    <col min="10499" max="10522" width="7.26953125" style="8" customWidth="1"/>
    <col min="10523" max="10523" width="14.26953125" style="8" bestFit="1" customWidth="1"/>
    <col min="10524" max="10751" width="10.90625" style="8"/>
    <col min="10752" max="10752" width="7" style="8" customWidth="1"/>
    <col min="10753" max="10753" width="10.7265625" style="8" customWidth="1"/>
    <col min="10754" max="10754" width="9.26953125" style="8" customWidth="1"/>
    <col min="10755" max="10778" width="7.26953125" style="8" customWidth="1"/>
    <col min="10779" max="10779" width="14.26953125" style="8" bestFit="1" customWidth="1"/>
    <col min="10780" max="11007" width="10.90625" style="8"/>
    <col min="11008" max="11008" width="7" style="8" customWidth="1"/>
    <col min="11009" max="11009" width="10.7265625" style="8" customWidth="1"/>
    <col min="11010" max="11010" width="9.26953125" style="8" customWidth="1"/>
    <col min="11011" max="11034" width="7.26953125" style="8" customWidth="1"/>
    <col min="11035" max="11035" width="14.26953125" style="8" bestFit="1" customWidth="1"/>
    <col min="11036" max="11263" width="10.90625" style="8"/>
    <col min="11264" max="11264" width="7" style="8" customWidth="1"/>
    <col min="11265" max="11265" width="10.7265625" style="8" customWidth="1"/>
    <col min="11266" max="11266" width="9.26953125" style="8" customWidth="1"/>
    <col min="11267" max="11290" width="7.26953125" style="8" customWidth="1"/>
    <col min="11291" max="11291" width="14.26953125" style="8" bestFit="1" customWidth="1"/>
    <col min="11292" max="11519" width="10.90625" style="8"/>
    <col min="11520" max="11520" width="7" style="8" customWidth="1"/>
    <col min="11521" max="11521" width="10.7265625" style="8" customWidth="1"/>
    <col min="11522" max="11522" width="9.26953125" style="8" customWidth="1"/>
    <col min="11523" max="11546" width="7.26953125" style="8" customWidth="1"/>
    <col min="11547" max="11547" width="14.26953125" style="8" bestFit="1" customWidth="1"/>
    <col min="11548" max="11775" width="10.90625" style="8"/>
    <col min="11776" max="11776" width="7" style="8" customWidth="1"/>
    <col min="11777" max="11777" width="10.7265625" style="8" customWidth="1"/>
    <col min="11778" max="11778" width="9.26953125" style="8" customWidth="1"/>
    <col min="11779" max="11802" width="7.26953125" style="8" customWidth="1"/>
    <col min="11803" max="11803" width="14.26953125" style="8" bestFit="1" customWidth="1"/>
    <col min="11804" max="12031" width="10.90625" style="8"/>
    <col min="12032" max="12032" width="7" style="8" customWidth="1"/>
    <col min="12033" max="12033" width="10.7265625" style="8" customWidth="1"/>
    <col min="12034" max="12034" width="9.26953125" style="8" customWidth="1"/>
    <col min="12035" max="12058" width="7.26953125" style="8" customWidth="1"/>
    <col min="12059" max="12059" width="14.26953125" style="8" bestFit="1" customWidth="1"/>
    <col min="12060" max="12287" width="10.90625" style="8"/>
    <col min="12288" max="12288" width="7" style="8" customWidth="1"/>
    <col min="12289" max="12289" width="10.7265625" style="8" customWidth="1"/>
    <col min="12290" max="12290" width="9.26953125" style="8" customWidth="1"/>
    <col min="12291" max="12314" width="7.26953125" style="8" customWidth="1"/>
    <col min="12315" max="12315" width="14.26953125" style="8" bestFit="1" customWidth="1"/>
    <col min="12316" max="12543" width="10.90625" style="8"/>
    <col min="12544" max="12544" width="7" style="8" customWidth="1"/>
    <col min="12545" max="12545" width="10.7265625" style="8" customWidth="1"/>
    <col min="12546" max="12546" width="9.26953125" style="8" customWidth="1"/>
    <col min="12547" max="12570" width="7.26953125" style="8" customWidth="1"/>
    <col min="12571" max="12571" width="14.26953125" style="8" bestFit="1" customWidth="1"/>
    <col min="12572" max="12799" width="10.90625" style="8"/>
    <col min="12800" max="12800" width="7" style="8" customWidth="1"/>
    <col min="12801" max="12801" width="10.7265625" style="8" customWidth="1"/>
    <col min="12802" max="12802" width="9.26953125" style="8" customWidth="1"/>
    <col min="12803" max="12826" width="7.26953125" style="8" customWidth="1"/>
    <col min="12827" max="12827" width="14.26953125" style="8" bestFit="1" customWidth="1"/>
    <col min="12828" max="13055" width="10.90625" style="8"/>
    <col min="13056" max="13056" width="7" style="8" customWidth="1"/>
    <col min="13057" max="13057" width="10.7265625" style="8" customWidth="1"/>
    <col min="13058" max="13058" width="9.26953125" style="8" customWidth="1"/>
    <col min="13059" max="13082" width="7.26953125" style="8" customWidth="1"/>
    <col min="13083" max="13083" width="14.26953125" style="8" bestFit="1" customWidth="1"/>
    <col min="13084" max="13311" width="10.90625" style="8"/>
    <col min="13312" max="13312" width="7" style="8" customWidth="1"/>
    <col min="13313" max="13313" width="10.7265625" style="8" customWidth="1"/>
    <col min="13314" max="13314" width="9.26953125" style="8" customWidth="1"/>
    <col min="13315" max="13338" width="7.26953125" style="8" customWidth="1"/>
    <col min="13339" max="13339" width="14.26953125" style="8" bestFit="1" customWidth="1"/>
    <col min="13340" max="13567" width="10.90625" style="8"/>
    <col min="13568" max="13568" width="7" style="8" customWidth="1"/>
    <col min="13569" max="13569" width="10.7265625" style="8" customWidth="1"/>
    <col min="13570" max="13570" width="9.26953125" style="8" customWidth="1"/>
    <col min="13571" max="13594" width="7.26953125" style="8" customWidth="1"/>
    <col min="13595" max="13595" width="14.26953125" style="8" bestFit="1" customWidth="1"/>
    <col min="13596" max="13823" width="10.90625" style="8"/>
    <col min="13824" max="13824" width="7" style="8" customWidth="1"/>
    <col min="13825" max="13825" width="10.7265625" style="8" customWidth="1"/>
    <col min="13826" max="13826" width="9.26953125" style="8" customWidth="1"/>
    <col min="13827" max="13850" width="7.26953125" style="8" customWidth="1"/>
    <col min="13851" max="13851" width="14.26953125" style="8" bestFit="1" customWidth="1"/>
    <col min="13852" max="14079" width="10.90625" style="8"/>
    <col min="14080" max="14080" width="7" style="8" customWidth="1"/>
    <col min="14081" max="14081" width="10.7265625" style="8" customWidth="1"/>
    <col min="14082" max="14082" width="9.26953125" style="8" customWidth="1"/>
    <col min="14083" max="14106" width="7.26953125" style="8" customWidth="1"/>
    <col min="14107" max="14107" width="14.26953125" style="8" bestFit="1" customWidth="1"/>
    <col min="14108" max="14335" width="10.90625" style="8"/>
    <col min="14336" max="14336" width="7" style="8" customWidth="1"/>
    <col min="14337" max="14337" width="10.7265625" style="8" customWidth="1"/>
    <col min="14338" max="14338" width="9.26953125" style="8" customWidth="1"/>
    <col min="14339" max="14362" width="7.26953125" style="8" customWidth="1"/>
    <col min="14363" max="14363" width="14.26953125" style="8" bestFit="1" customWidth="1"/>
    <col min="14364" max="14591" width="10.90625" style="8"/>
    <col min="14592" max="14592" width="7" style="8" customWidth="1"/>
    <col min="14593" max="14593" width="10.7265625" style="8" customWidth="1"/>
    <col min="14594" max="14594" width="9.26953125" style="8" customWidth="1"/>
    <col min="14595" max="14618" width="7.26953125" style="8" customWidth="1"/>
    <col min="14619" max="14619" width="14.26953125" style="8" bestFit="1" customWidth="1"/>
    <col min="14620" max="14847" width="10.90625" style="8"/>
    <col min="14848" max="14848" width="7" style="8" customWidth="1"/>
    <col min="14849" max="14849" width="10.7265625" style="8" customWidth="1"/>
    <col min="14850" max="14850" width="9.26953125" style="8" customWidth="1"/>
    <col min="14851" max="14874" width="7.26953125" style="8" customWidth="1"/>
    <col min="14875" max="14875" width="14.26953125" style="8" bestFit="1" customWidth="1"/>
    <col min="14876" max="15103" width="10.90625" style="8"/>
    <col min="15104" max="15104" width="7" style="8" customWidth="1"/>
    <col min="15105" max="15105" width="10.7265625" style="8" customWidth="1"/>
    <col min="15106" max="15106" width="9.26953125" style="8" customWidth="1"/>
    <col min="15107" max="15130" width="7.26953125" style="8" customWidth="1"/>
    <col min="15131" max="15131" width="14.26953125" style="8" bestFit="1" customWidth="1"/>
    <col min="15132" max="15359" width="10.90625" style="8"/>
    <col min="15360" max="15360" width="7" style="8" customWidth="1"/>
    <col min="15361" max="15361" width="10.7265625" style="8" customWidth="1"/>
    <col min="15362" max="15362" width="9.26953125" style="8" customWidth="1"/>
    <col min="15363" max="15386" width="7.26953125" style="8" customWidth="1"/>
    <col min="15387" max="15387" width="14.26953125" style="8" bestFit="1" customWidth="1"/>
    <col min="15388" max="15615" width="10.90625" style="8"/>
    <col min="15616" max="15616" width="7" style="8" customWidth="1"/>
    <col min="15617" max="15617" width="10.7265625" style="8" customWidth="1"/>
    <col min="15618" max="15618" width="9.26953125" style="8" customWidth="1"/>
    <col min="15619" max="15642" width="7.26953125" style="8" customWidth="1"/>
    <col min="15643" max="15643" width="14.26953125" style="8" bestFit="1" customWidth="1"/>
    <col min="15644" max="15871" width="10.90625" style="8"/>
    <col min="15872" max="15872" width="7" style="8" customWidth="1"/>
    <col min="15873" max="15873" width="10.7265625" style="8" customWidth="1"/>
    <col min="15874" max="15874" width="9.26953125" style="8" customWidth="1"/>
    <col min="15875" max="15898" width="7.26953125" style="8" customWidth="1"/>
    <col min="15899" max="15899" width="14.26953125" style="8" bestFit="1" customWidth="1"/>
    <col min="15900" max="16127" width="10.90625" style="8"/>
    <col min="16128" max="16128" width="7" style="8" customWidth="1"/>
    <col min="16129" max="16129" width="10.7265625" style="8" customWidth="1"/>
    <col min="16130" max="16130" width="9.26953125" style="8" customWidth="1"/>
    <col min="16131" max="16154" width="7.26953125" style="8" customWidth="1"/>
    <col min="16155" max="16155" width="14.26953125" style="8" bestFit="1" customWidth="1"/>
    <col min="16156" max="16384" width="10.90625" style="8"/>
  </cols>
  <sheetData>
    <row r="2" spans="2:62" ht="2.25" customHeight="1" x14ac:dyDescent="0.35"/>
    <row r="3" spans="2:62" ht="4.5" customHeight="1" x14ac:dyDescent="0.35"/>
    <row r="4" spans="2:62" ht="46.5" customHeight="1" x14ac:dyDescent="0.35">
      <c r="B4" s="202" t="s">
        <v>143</v>
      </c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</row>
    <row r="5" spans="2:62" ht="28.5" customHeight="1" x14ac:dyDescent="0.35">
      <c r="B5" s="204" t="s">
        <v>0</v>
      </c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</row>
    <row r="6" spans="2:62" ht="18.649999999999999" customHeight="1" x14ac:dyDescent="0.35">
      <c r="B6" s="205" t="s">
        <v>135</v>
      </c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</row>
    <row r="7" spans="2:62" ht="18.649999999999999" customHeight="1" x14ac:dyDescent="0.35">
      <c r="B7" s="206" t="s">
        <v>1</v>
      </c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</row>
    <row r="8" spans="2:62" ht="18.649999999999999" customHeight="1" x14ac:dyDescent="0.35"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BE8" s="8">
        <v>1000</v>
      </c>
    </row>
    <row r="9" spans="2:62" ht="18.649999999999999" customHeight="1" thickBot="1" x14ac:dyDescent="0.4">
      <c r="BD9" s="18"/>
      <c r="BE9" s="18"/>
      <c r="BF9" s="18"/>
    </row>
    <row r="10" spans="2:62" ht="34.5" customHeight="1" thickBot="1" x14ac:dyDescent="0.4">
      <c r="B10" s="1" t="s">
        <v>2</v>
      </c>
      <c r="C10" s="2" t="s">
        <v>3</v>
      </c>
      <c r="D10" s="1" t="s">
        <v>4</v>
      </c>
      <c r="E10" s="83" t="s">
        <v>5</v>
      </c>
      <c r="F10" s="3" t="s">
        <v>6</v>
      </c>
      <c r="G10" s="3" t="s">
        <v>7</v>
      </c>
      <c r="H10" s="3" t="s">
        <v>8</v>
      </c>
      <c r="I10" s="3" t="s">
        <v>9</v>
      </c>
      <c r="J10" s="3" t="s">
        <v>10</v>
      </c>
      <c r="K10" s="3" t="s">
        <v>11</v>
      </c>
      <c r="L10" s="3" t="s">
        <v>12</v>
      </c>
      <c r="M10" s="3" t="s">
        <v>13</v>
      </c>
      <c r="N10" s="3" t="s">
        <v>14</v>
      </c>
      <c r="O10" s="3" t="s">
        <v>15</v>
      </c>
      <c r="P10" s="4" t="s">
        <v>16</v>
      </c>
      <c r="Q10" s="5" t="s">
        <v>17</v>
      </c>
      <c r="R10" s="3" t="s">
        <v>18</v>
      </c>
      <c r="S10" s="3" t="s">
        <v>19</v>
      </c>
      <c r="T10" s="3" t="s">
        <v>20</v>
      </c>
      <c r="U10" s="3" t="s">
        <v>21</v>
      </c>
      <c r="V10" s="3" t="s">
        <v>22</v>
      </c>
      <c r="W10" s="3" t="s">
        <v>23</v>
      </c>
      <c r="X10" s="3" t="s">
        <v>24</v>
      </c>
      <c r="Y10" s="3" t="s">
        <v>25</v>
      </c>
      <c r="Z10" s="3" t="s">
        <v>26</v>
      </c>
      <c r="AA10" s="3" t="s">
        <v>27</v>
      </c>
      <c r="AB10" s="4" t="s">
        <v>28</v>
      </c>
      <c r="AC10" s="134" t="s">
        <v>48</v>
      </c>
      <c r="AF10" s="51" t="s">
        <v>51</v>
      </c>
      <c r="AG10" s="51" t="s">
        <v>5</v>
      </c>
      <c r="AH10" s="51" t="s">
        <v>6</v>
      </c>
      <c r="AI10" s="51" t="s">
        <v>7</v>
      </c>
      <c r="AJ10" s="51" t="s">
        <v>8</v>
      </c>
      <c r="AK10" s="51" t="s">
        <v>9</v>
      </c>
      <c r="AL10" s="51" t="s">
        <v>10</v>
      </c>
      <c r="AM10" s="51" t="s">
        <v>11</v>
      </c>
      <c r="AN10" s="51" t="s">
        <v>12</v>
      </c>
      <c r="AO10" s="51" t="s">
        <v>13</v>
      </c>
      <c r="AP10" s="51" t="s">
        <v>14</v>
      </c>
      <c r="AQ10" s="51" t="s">
        <v>15</v>
      </c>
      <c r="AR10" s="51" t="s">
        <v>16</v>
      </c>
      <c r="AS10" s="51" t="s">
        <v>17</v>
      </c>
      <c r="AT10" s="51" t="s">
        <v>18</v>
      </c>
      <c r="AU10" s="51" t="s">
        <v>19</v>
      </c>
      <c r="AV10" s="51" t="s">
        <v>20</v>
      </c>
      <c r="AW10" s="51" t="s">
        <v>21</v>
      </c>
      <c r="AX10" s="51" t="s">
        <v>22</v>
      </c>
      <c r="AY10" s="51" t="s">
        <v>23</v>
      </c>
      <c r="AZ10" s="51" t="s">
        <v>24</v>
      </c>
      <c r="BA10" s="51" t="s">
        <v>25</v>
      </c>
      <c r="BB10" s="51" t="s">
        <v>26</v>
      </c>
      <c r="BC10" s="51" t="s">
        <v>27</v>
      </c>
      <c r="BD10" s="51" t="s">
        <v>28</v>
      </c>
      <c r="BE10" s="52" t="s">
        <v>52</v>
      </c>
      <c r="BF10" s="52" t="s">
        <v>53</v>
      </c>
      <c r="BH10" s="49" t="s">
        <v>56</v>
      </c>
      <c r="BI10" s="50" t="e">
        <f>(+#REF!)/1000</f>
        <v>#REF!</v>
      </c>
      <c r="BJ10" s="49" t="s">
        <v>55</v>
      </c>
    </row>
    <row r="11" spans="2:62" ht="18.649999999999999" customHeight="1" x14ac:dyDescent="0.35">
      <c r="B11" s="207">
        <v>47484</v>
      </c>
      <c r="C11" s="6" t="s">
        <v>29</v>
      </c>
      <c r="D11" s="46">
        <v>21</v>
      </c>
      <c r="E11" s="78">
        <v>61153.19</v>
      </c>
      <c r="F11" s="78">
        <v>57478.65</v>
      </c>
      <c r="G11" s="78">
        <v>54492.9</v>
      </c>
      <c r="H11" s="78">
        <v>52241.51</v>
      </c>
      <c r="I11" s="78">
        <v>51451.8</v>
      </c>
      <c r="J11" s="78">
        <v>52960.35</v>
      </c>
      <c r="K11" s="78">
        <v>51228.02</v>
      </c>
      <c r="L11" s="78">
        <v>53605.69</v>
      </c>
      <c r="M11" s="78">
        <v>57256.91</v>
      </c>
      <c r="N11" s="78">
        <v>58868.56</v>
      </c>
      <c r="O11" s="78">
        <v>61962.89</v>
      </c>
      <c r="P11" s="78">
        <v>65472.21</v>
      </c>
      <c r="Q11" s="78">
        <v>63480.85</v>
      </c>
      <c r="R11" s="78">
        <v>67265.03</v>
      </c>
      <c r="S11" s="78">
        <v>72573.31</v>
      </c>
      <c r="T11" s="78">
        <v>74318.48</v>
      </c>
      <c r="U11" s="78">
        <v>75836.98</v>
      </c>
      <c r="V11" s="78">
        <v>83341.62</v>
      </c>
      <c r="W11" s="78">
        <v>89826.42</v>
      </c>
      <c r="X11" s="78">
        <v>90474.85</v>
      </c>
      <c r="Y11" s="78">
        <v>89054.03</v>
      </c>
      <c r="Z11" s="78">
        <v>85406.16</v>
      </c>
      <c r="AA11" s="78">
        <v>79551.7</v>
      </c>
      <c r="AB11" s="78">
        <v>73757</v>
      </c>
      <c r="AC11" s="209">
        <f>SUM(E11:AB11)*D11+SUM(E12:AB12)*D12+SUM(E13:AB13)*D13+SUM(E14:AB14)*D14</f>
        <v>48414876.630000003</v>
      </c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</row>
    <row r="12" spans="2:62" ht="18.649999999999999" customHeight="1" x14ac:dyDescent="0.35">
      <c r="B12" s="208"/>
      <c r="C12" s="9" t="s">
        <v>30</v>
      </c>
      <c r="D12" s="10">
        <v>4</v>
      </c>
      <c r="E12" s="79">
        <v>60046.11</v>
      </c>
      <c r="F12" s="79">
        <v>56888.44</v>
      </c>
      <c r="G12" s="79">
        <v>54036.800000000003</v>
      </c>
      <c r="H12" s="79">
        <v>51801.87</v>
      </c>
      <c r="I12" s="79">
        <v>50776.5</v>
      </c>
      <c r="J12" s="79">
        <v>50623.360000000001</v>
      </c>
      <c r="K12" s="79">
        <v>47682.74</v>
      </c>
      <c r="L12" s="79">
        <v>48797.09</v>
      </c>
      <c r="M12" s="79">
        <v>51839.27</v>
      </c>
      <c r="N12" s="79">
        <v>54609.88</v>
      </c>
      <c r="O12" s="79">
        <v>56819.35</v>
      </c>
      <c r="P12" s="79">
        <v>58060.66</v>
      </c>
      <c r="Q12" s="79">
        <v>57738.87</v>
      </c>
      <c r="R12" s="79">
        <v>56089.77</v>
      </c>
      <c r="S12" s="79">
        <v>57838.93</v>
      </c>
      <c r="T12" s="79">
        <v>59979.51</v>
      </c>
      <c r="U12" s="79">
        <v>62774.67</v>
      </c>
      <c r="V12" s="79">
        <v>75044.03</v>
      </c>
      <c r="W12" s="79">
        <v>84054.69</v>
      </c>
      <c r="X12" s="79">
        <v>84361.66</v>
      </c>
      <c r="Y12" s="79">
        <v>82570.880000000005</v>
      </c>
      <c r="Z12" s="79">
        <v>79802.2</v>
      </c>
      <c r="AA12" s="79">
        <v>76081.95</v>
      </c>
      <c r="AB12" s="79">
        <v>71417.45</v>
      </c>
      <c r="AC12" s="210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BG12" s="131">
        <f>+AC59/1000</f>
        <v>525234.63623999991</v>
      </c>
    </row>
    <row r="13" spans="2:62" ht="18.649999999999999" customHeight="1" x14ac:dyDescent="0.35">
      <c r="B13" s="208"/>
      <c r="C13" s="9" t="s">
        <v>31</v>
      </c>
      <c r="D13" s="10">
        <v>4</v>
      </c>
      <c r="E13" s="79">
        <v>60791.49</v>
      </c>
      <c r="F13" s="79">
        <v>57493.54</v>
      </c>
      <c r="G13" s="79">
        <v>54409.11</v>
      </c>
      <c r="H13" s="79">
        <v>52119.17</v>
      </c>
      <c r="I13" s="79">
        <v>50984.160000000003</v>
      </c>
      <c r="J13" s="79">
        <v>50248.65</v>
      </c>
      <c r="K13" s="79">
        <v>45964.88</v>
      </c>
      <c r="L13" s="79">
        <v>43905.77</v>
      </c>
      <c r="M13" s="79">
        <v>43576.33</v>
      </c>
      <c r="N13" s="79">
        <v>43514.79</v>
      </c>
      <c r="O13" s="79">
        <v>45379.13</v>
      </c>
      <c r="P13" s="79">
        <v>47465.8</v>
      </c>
      <c r="Q13" s="79">
        <v>49733.67</v>
      </c>
      <c r="R13" s="79">
        <v>50836.480000000003</v>
      </c>
      <c r="S13" s="79">
        <v>52198.71</v>
      </c>
      <c r="T13" s="79">
        <v>54095.89</v>
      </c>
      <c r="U13" s="79">
        <v>57633.919999999998</v>
      </c>
      <c r="V13" s="79">
        <v>69306.740000000005</v>
      </c>
      <c r="W13" s="79">
        <v>79148.53</v>
      </c>
      <c r="X13" s="79">
        <v>81211.53</v>
      </c>
      <c r="Y13" s="79">
        <v>80810.490000000005</v>
      </c>
      <c r="Z13" s="79">
        <v>79033.27</v>
      </c>
      <c r="AA13" s="79">
        <v>74039.25</v>
      </c>
      <c r="AB13" s="79">
        <v>68016.83</v>
      </c>
      <c r="AC13" s="210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BG13" s="132">
        <f>(+AC109)/1000</f>
        <v>528432.98454999994</v>
      </c>
    </row>
    <row r="14" spans="2:62" ht="18.649999999999999" customHeight="1" thickBot="1" x14ac:dyDescent="0.4">
      <c r="B14" s="208"/>
      <c r="C14" s="15" t="s">
        <v>32</v>
      </c>
      <c r="D14" s="16">
        <v>2</v>
      </c>
      <c r="E14" s="80">
        <v>60705.69</v>
      </c>
      <c r="F14" s="80">
        <v>57225.99</v>
      </c>
      <c r="G14" s="80">
        <v>54053.55</v>
      </c>
      <c r="H14" s="80">
        <v>51762.87</v>
      </c>
      <c r="I14" s="80">
        <v>50689.89</v>
      </c>
      <c r="J14" s="80">
        <v>50135.24</v>
      </c>
      <c r="K14" s="80">
        <v>46182.71</v>
      </c>
      <c r="L14" s="80">
        <v>44381.29</v>
      </c>
      <c r="M14" s="80">
        <v>44297.83</v>
      </c>
      <c r="N14" s="80">
        <v>44344.639999999999</v>
      </c>
      <c r="O14" s="80">
        <v>46148.65</v>
      </c>
      <c r="P14" s="80">
        <v>48126.59</v>
      </c>
      <c r="Q14" s="80">
        <v>50338</v>
      </c>
      <c r="R14" s="80">
        <v>51522.42</v>
      </c>
      <c r="S14" s="80">
        <v>52997.62</v>
      </c>
      <c r="T14" s="80">
        <v>55019.78</v>
      </c>
      <c r="U14" s="80">
        <v>58532.73</v>
      </c>
      <c r="V14" s="80">
        <v>69967.210000000006</v>
      </c>
      <c r="W14" s="80">
        <v>79661.539999999994</v>
      </c>
      <c r="X14" s="80">
        <v>81812.91</v>
      </c>
      <c r="Y14" s="80">
        <v>81461.95</v>
      </c>
      <c r="Z14" s="80">
        <v>79701.13</v>
      </c>
      <c r="AA14" s="80">
        <v>74562.33</v>
      </c>
      <c r="AB14" s="80">
        <v>68375.48</v>
      </c>
      <c r="AC14" s="210"/>
      <c r="AD14" s="53">
        <f>+AC11</f>
        <v>48414876.630000003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BG14" s="132" t="e">
        <f>(+#REF!)/1000</f>
        <v>#REF!</v>
      </c>
    </row>
    <row r="15" spans="2:62" ht="18.649999999999999" customHeight="1" x14ac:dyDescent="0.35">
      <c r="B15" s="211">
        <v>47515</v>
      </c>
      <c r="C15" s="6" t="s">
        <v>29</v>
      </c>
      <c r="D15" s="7">
        <v>20</v>
      </c>
      <c r="E15" s="78">
        <v>64763</v>
      </c>
      <c r="F15" s="78">
        <v>61167.45</v>
      </c>
      <c r="G15" s="78">
        <v>57832.71</v>
      </c>
      <c r="H15" s="78">
        <v>55318.55</v>
      </c>
      <c r="I15" s="78">
        <v>54473.84</v>
      </c>
      <c r="J15" s="78">
        <v>57336.35</v>
      </c>
      <c r="K15" s="78">
        <v>55551.199999999997</v>
      </c>
      <c r="L15" s="78">
        <v>58016.58</v>
      </c>
      <c r="M15" s="78">
        <v>60434.62</v>
      </c>
      <c r="N15" s="78">
        <v>60413.83</v>
      </c>
      <c r="O15" s="78">
        <v>62807.47</v>
      </c>
      <c r="P15" s="78">
        <v>65969.88</v>
      </c>
      <c r="Q15" s="78">
        <v>63825.29</v>
      </c>
      <c r="R15" s="78">
        <v>68036.22</v>
      </c>
      <c r="S15" s="78">
        <v>74478.42</v>
      </c>
      <c r="T15" s="78">
        <v>76742.259999999995</v>
      </c>
      <c r="U15" s="78">
        <v>78552.59</v>
      </c>
      <c r="V15" s="78">
        <v>85731.75</v>
      </c>
      <c r="W15" s="78">
        <v>91890.2</v>
      </c>
      <c r="X15" s="78">
        <v>93895.71</v>
      </c>
      <c r="Y15" s="78">
        <v>93309.35</v>
      </c>
      <c r="Z15" s="78">
        <v>89941.25</v>
      </c>
      <c r="AA15" s="78">
        <v>82962.679999999993</v>
      </c>
      <c r="AB15" s="78">
        <v>76536.100000000006</v>
      </c>
      <c r="AC15" s="209">
        <f>SUM(E15:AB15)*D15+SUM(E16:AB16)*D16+SUM(E17:AB17)*D17+SUM(E18:AB18)*D18</f>
        <v>45905373.440000005</v>
      </c>
      <c r="AD15" s="148">
        <f>+AC15</f>
        <v>45905373.440000005</v>
      </c>
      <c r="BG15" s="132" t="e">
        <f>(+#REF!)/1000</f>
        <v>#REF!</v>
      </c>
    </row>
    <row r="16" spans="2:62" ht="18.649999999999999" customHeight="1" x14ac:dyDescent="0.35">
      <c r="B16" s="212" t="s">
        <v>34</v>
      </c>
      <c r="C16" s="9" t="s">
        <v>30</v>
      </c>
      <c r="D16" s="10">
        <v>4</v>
      </c>
      <c r="E16" s="79">
        <v>63822.06</v>
      </c>
      <c r="F16" s="79">
        <v>59589.81</v>
      </c>
      <c r="G16" s="79">
        <v>57185.85</v>
      </c>
      <c r="H16" s="79">
        <v>54124.69</v>
      </c>
      <c r="I16" s="79">
        <v>53002.43</v>
      </c>
      <c r="J16" s="79">
        <v>53382.080000000002</v>
      </c>
      <c r="K16" s="79">
        <v>51144.08</v>
      </c>
      <c r="L16" s="79">
        <v>52157.75</v>
      </c>
      <c r="M16" s="79">
        <v>53662.54</v>
      </c>
      <c r="N16" s="79">
        <v>54046.51</v>
      </c>
      <c r="O16" s="79">
        <v>56178.720000000001</v>
      </c>
      <c r="P16" s="79">
        <v>57223.13</v>
      </c>
      <c r="Q16" s="79">
        <v>56273.86</v>
      </c>
      <c r="R16" s="79">
        <v>56714.86</v>
      </c>
      <c r="S16" s="79">
        <v>58867.25</v>
      </c>
      <c r="T16" s="79">
        <v>61639.03</v>
      </c>
      <c r="U16" s="79">
        <v>64925.18</v>
      </c>
      <c r="V16" s="79">
        <v>76044.789999999994</v>
      </c>
      <c r="W16" s="79">
        <v>85980.24</v>
      </c>
      <c r="X16" s="79">
        <v>86744.29</v>
      </c>
      <c r="Y16" s="79">
        <v>85958.54</v>
      </c>
      <c r="Z16" s="79">
        <v>83212.320000000007</v>
      </c>
      <c r="AA16" s="79">
        <v>79304.850000000006</v>
      </c>
      <c r="AB16" s="79">
        <v>74292.259999999995</v>
      </c>
      <c r="AC16" s="210"/>
      <c r="AD16" s="148">
        <f>+AC19</f>
        <v>48268391.149999999</v>
      </c>
      <c r="BG16" s="132" t="e">
        <f>(+#REF!)/1000</f>
        <v>#REF!</v>
      </c>
    </row>
    <row r="17" spans="2:59" ht="18.649999999999999" customHeight="1" x14ac:dyDescent="0.35">
      <c r="B17" s="212" t="s">
        <v>34</v>
      </c>
      <c r="C17" s="9" t="s">
        <v>31</v>
      </c>
      <c r="D17" s="10">
        <v>4</v>
      </c>
      <c r="E17" s="79">
        <v>64429.24</v>
      </c>
      <c r="F17" s="79">
        <v>61309</v>
      </c>
      <c r="G17" s="79">
        <v>58140.38</v>
      </c>
      <c r="H17" s="79">
        <v>55946.43</v>
      </c>
      <c r="I17" s="79">
        <v>54787.07</v>
      </c>
      <c r="J17" s="79">
        <v>54471.61</v>
      </c>
      <c r="K17" s="79">
        <v>50094.86</v>
      </c>
      <c r="L17" s="79">
        <v>48404.07</v>
      </c>
      <c r="M17" s="79">
        <v>47590.78</v>
      </c>
      <c r="N17" s="79">
        <v>46263.58</v>
      </c>
      <c r="O17" s="79">
        <v>47582.28</v>
      </c>
      <c r="P17" s="79">
        <v>50309.55</v>
      </c>
      <c r="Q17" s="79">
        <v>52718.69</v>
      </c>
      <c r="R17" s="79">
        <v>54617.73</v>
      </c>
      <c r="S17" s="79">
        <v>57056.94</v>
      </c>
      <c r="T17" s="79">
        <v>59348.42</v>
      </c>
      <c r="U17" s="79">
        <v>61962.1</v>
      </c>
      <c r="V17" s="79">
        <v>70782.59</v>
      </c>
      <c r="W17" s="79">
        <v>82496.160000000003</v>
      </c>
      <c r="X17" s="79">
        <v>86130.29</v>
      </c>
      <c r="Y17" s="79">
        <v>87352.18</v>
      </c>
      <c r="Z17" s="79">
        <v>87123.98</v>
      </c>
      <c r="AA17" s="79">
        <v>79185.350000000006</v>
      </c>
      <c r="AB17" s="79">
        <v>72826.460000000006</v>
      </c>
      <c r="AC17" s="210"/>
      <c r="AD17" s="148">
        <f>+AC23</f>
        <v>42393440.760000005</v>
      </c>
      <c r="BG17" s="132" t="e">
        <f>(+#REF!)/1000</f>
        <v>#REF!</v>
      </c>
    </row>
    <row r="18" spans="2:59" ht="18.649999999999999" customHeight="1" thickBot="1" x14ac:dyDescent="0.4">
      <c r="B18" s="213" t="s">
        <v>34</v>
      </c>
      <c r="C18" s="11" t="s">
        <v>32</v>
      </c>
      <c r="D18" s="12">
        <v>0</v>
      </c>
      <c r="E18" s="193">
        <v>0</v>
      </c>
      <c r="F18" s="84">
        <v>0</v>
      </c>
      <c r="G18" s="84">
        <v>0</v>
      </c>
      <c r="H18" s="84">
        <v>0</v>
      </c>
      <c r="I18" s="84">
        <v>0</v>
      </c>
      <c r="J18" s="84">
        <v>0</v>
      </c>
      <c r="K18" s="84">
        <v>0</v>
      </c>
      <c r="L18" s="84">
        <v>0</v>
      </c>
      <c r="M18" s="84">
        <v>0</v>
      </c>
      <c r="N18" s="84">
        <v>0</v>
      </c>
      <c r="O18" s="84">
        <v>0</v>
      </c>
      <c r="P18" s="84">
        <v>0</v>
      </c>
      <c r="Q18" s="84">
        <v>0</v>
      </c>
      <c r="R18" s="84">
        <v>0</v>
      </c>
      <c r="S18" s="84">
        <v>0</v>
      </c>
      <c r="T18" s="84">
        <v>0</v>
      </c>
      <c r="U18" s="84">
        <v>0</v>
      </c>
      <c r="V18" s="84">
        <v>0</v>
      </c>
      <c r="W18" s="84">
        <v>0</v>
      </c>
      <c r="X18" s="84">
        <v>0</v>
      </c>
      <c r="Y18" s="84">
        <v>0</v>
      </c>
      <c r="Z18" s="84">
        <v>0</v>
      </c>
      <c r="AA18" s="84">
        <v>0</v>
      </c>
      <c r="AB18" s="84">
        <v>0</v>
      </c>
      <c r="AC18" s="214"/>
      <c r="AD18" s="148">
        <f>+AC27</f>
        <v>43697879.870000005</v>
      </c>
      <c r="BG18" s="132" t="e">
        <f>(+#REF!)/1000</f>
        <v>#REF!</v>
      </c>
    </row>
    <row r="19" spans="2:59" ht="18.649999999999999" customHeight="1" x14ac:dyDescent="0.35">
      <c r="B19" s="207">
        <v>47543</v>
      </c>
      <c r="C19" s="13" t="s">
        <v>29</v>
      </c>
      <c r="D19" s="14">
        <v>20</v>
      </c>
      <c r="E19" s="81">
        <v>60007.69</v>
      </c>
      <c r="F19" s="81">
        <v>56445.09</v>
      </c>
      <c r="G19" s="81">
        <v>53480.34</v>
      </c>
      <c r="H19" s="81">
        <v>51576.56</v>
      </c>
      <c r="I19" s="81">
        <v>51197.13</v>
      </c>
      <c r="J19" s="81">
        <v>53291.21</v>
      </c>
      <c r="K19" s="81">
        <v>52399.79</v>
      </c>
      <c r="L19" s="81">
        <v>55520.37</v>
      </c>
      <c r="M19" s="81">
        <v>58273.7</v>
      </c>
      <c r="N19" s="81">
        <v>58729.97</v>
      </c>
      <c r="O19" s="81">
        <v>61036.06</v>
      </c>
      <c r="P19" s="81">
        <v>63038.64</v>
      </c>
      <c r="Q19" s="81">
        <v>58718.879999999997</v>
      </c>
      <c r="R19" s="81">
        <v>62094.58</v>
      </c>
      <c r="S19" s="81">
        <v>68120.98</v>
      </c>
      <c r="T19" s="81">
        <v>71012.53</v>
      </c>
      <c r="U19" s="81">
        <v>73771.16</v>
      </c>
      <c r="V19" s="81">
        <v>81226.36</v>
      </c>
      <c r="W19" s="81">
        <v>87761.3</v>
      </c>
      <c r="X19" s="81">
        <v>88502.39</v>
      </c>
      <c r="Y19" s="81">
        <v>86802.79</v>
      </c>
      <c r="Z19" s="81">
        <v>82750.22</v>
      </c>
      <c r="AA19" s="81">
        <v>76360.73</v>
      </c>
      <c r="AB19" s="81">
        <v>70267.240000000005</v>
      </c>
      <c r="AC19" s="210">
        <f>SUM(E19:AB19)*D19+SUM(E20:AB20)*D20+SUM(E21:AB21)*D21+SUM(E22:AB22)*D22</f>
        <v>48268391.149999999</v>
      </c>
      <c r="AD19" s="148">
        <f>+AC31</f>
        <v>44636350.409999996</v>
      </c>
      <c r="BG19" s="132" t="e">
        <f>(+#REF!)/1000</f>
        <v>#REF!</v>
      </c>
    </row>
    <row r="20" spans="2:59" ht="18.649999999999999" customHeight="1" x14ac:dyDescent="0.35">
      <c r="B20" s="208"/>
      <c r="C20" s="9" t="s">
        <v>30</v>
      </c>
      <c r="D20" s="10">
        <v>5</v>
      </c>
      <c r="E20" s="79">
        <v>59076.02</v>
      </c>
      <c r="F20" s="79">
        <v>55897.13</v>
      </c>
      <c r="G20" s="79">
        <v>52762.98</v>
      </c>
      <c r="H20" s="79">
        <v>51039.15</v>
      </c>
      <c r="I20" s="79">
        <v>50344.07</v>
      </c>
      <c r="J20" s="79">
        <v>50235.15</v>
      </c>
      <c r="K20" s="79">
        <v>49222.27</v>
      </c>
      <c r="L20" s="79">
        <v>50863.3</v>
      </c>
      <c r="M20" s="79">
        <v>54053.97</v>
      </c>
      <c r="N20" s="79">
        <v>55454.34</v>
      </c>
      <c r="O20" s="79">
        <v>57695.81</v>
      </c>
      <c r="P20" s="79">
        <v>59339.49</v>
      </c>
      <c r="Q20" s="79">
        <v>58111.29</v>
      </c>
      <c r="R20" s="79">
        <v>58179.33</v>
      </c>
      <c r="S20" s="79">
        <v>60474.15</v>
      </c>
      <c r="T20" s="79">
        <v>62601.06</v>
      </c>
      <c r="U20" s="79">
        <v>66207.009999999995</v>
      </c>
      <c r="V20" s="79">
        <v>76111.91</v>
      </c>
      <c r="W20" s="79">
        <v>85829.9</v>
      </c>
      <c r="X20" s="79">
        <v>87192.33</v>
      </c>
      <c r="Y20" s="79">
        <v>85545.11</v>
      </c>
      <c r="Z20" s="79">
        <v>83022.44</v>
      </c>
      <c r="AA20" s="79">
        <v>78552.61</v>
      </c>
      <c r="AB20" s="79">
        <v>74215.240000000005</v>
      </c>
      <c r="AC20" s="210"/>
      <c r="AD20" s="148">
        <f>+AC35</f>
        <v>43953036.589999989</v>
      </c>
      <c r="BG20" s="53" t="e">
        <f>+#REF!/1000</f>
        <v>#REF!</v>
      </c>
    </row>
    <row r="21" spans="2:59" ht="18.649999999999999" customHeight="1" x14ac:dyDescent="0.35">
      <c r="B21" s="208"/>
      <c r="C21" s="9" t="s">
        <v>31</v>
      </c>
      <c r="D21" s="10">
        <v>5</v>
      </c>
      <c r="E21" s="79">
        <v>62661.3</v>
      </c>
      <c r="F21" s="79">
        <v>59039.72</v>
      </c>
      <c r="G21" s="79">
        <v>55784.77</v>
      </c>
      <c r="H21" s="79">
        <v>53519.06</v>
      </c>
      <c r="I21" s="79">
        <v>52157.01</v>
      </c>
      <c r="J21" s="79">
        <v>51248.11</v>
      </c>
      <c r="K21" s="79">
        <v>48306.400000000001</v>
      </c>
      <c r="L21" s="79">
        <v>47926.51</v>
      </c>
      <c r="M21" s="79">
        <v>48657.66</v>
      </c>
      <c r="N21" s="79">
        <v>48518.17</v>
      </c>
      <c r="O21" s="79">
        <v>50459.23</v>
      </c>
      <c r="P21" s="79">
        <v>53187.82</v>
      </c>
      <c r="Q21" s="79">
        <v>55334.15</v>
      </c>
      <c r="R21" s="79">
        <v>56909.81</v>
      </c>
      <c r="S21" s="79">
        <v>58822.57</v>
      </c>
      <c r="T21" s="79">
        <v>61840.480000000003</v>
      </c>
      <c r="U21" s="79">
        <v>64272.76</v>
      </c>
      <c r="V21" s="79">
        <v>73612.94</v>
      </c>
      <c r="W21" s="79">
        <v>83504.02</v>
      </c>
      <c r="X21" s="79">
        <v>86579.69</v>
      </c>
      <c r="Y21" s="79">
        <v>87748.77</v>
      </c>
      <c r="Z21" s="79">
        <v>86794.2</v>
      </c>
      <c r="AA21" s="79">
        <v>82076.38</v>
      </c>
      <c r="AB21" s="79">
        <v>74959.03</v>
      </c>
      <c r="AC21" s="210"/>
      <c r="AD21" s="148">
        <f>+AC39</f>
        <v>43863426.95000001</v>
      </c>
      <c r="BG21" s="132" t="e">
        <f>(+#REF!)/1000</f>
        <v>#REF!</v>
      </c>
    </row>
    <row r="22" spans="2:59" ht="18.649999999999999" customHeight="1" thickBot="1" x14ac:dyDescent="0.4">
      <c r="B22" s="208"/>
      <c r="C22" s="15" t="s">
        <v>32</v>
      </c>
      <c r="D22" s="16">
        <v>1</v>
      </c>
      <c r="E22" s="80">
        <v>63107.01</v>
      </c>
      <c r="F22" s="80">
        <v>59344.1</v>
      </c>
      <c r="G22" s="80">
        <v>56037.5</v>
      </c>
      <c r="H22" s="80">
        <v>54192.76</v>
      </c>
      <c r="I22" s="80">
        <v>52420.23</v>
      </c>
      <c r="J22" s="80">
        <v>51391.13</v>
      </c>
      <c r="K22" s="80">
        <v>48359.12</v>
      </c>
      <c r="L22" s="80">
        <v>47781.75</v>
      </c>
      <c r="M22" s="80">
        <v>48555.92</v>
      </c>
      <c r="N22" s="80">
        <v>48409.17</v>
      </c>
      <c r="O22" s="80">
        <v>49721.1</v>
      </c>
      <c r="P22" s="80">
        <v>52119.67</v>
      </c>
      <c r="Q22" s="80">
        <v>54172.28</v>
      </c>
      <c r="R22" s="80">
        <v>55694.94</v>
      </c>
      <c r="S22" s="80">
        <v>57594.82</v>
      </c>
      <c r="T22" s="80">
        <v>60694.55</v>
      </c>
      <c r="U22" s="80">
        <v>63322.36</v>
      </c>
      <c r="V22" s="80">
        <v>72826.210000000006</v>
      </c>
      <c r="W22" s="80">
        <v>82471</v>
      </c>
      <c r="X22" s="80">
        <v>85466.62</v>
      </c>
      <c r="Y22" s="80">
        <v>86576.27</v>
      </c>
      <c r="Z22" s="80">
        <v>85745.04</v>
      </c>
      <c r="AA22" s="80">
        <v>81031.72</v>
      </c>
      <c r="AB22" s="80">
        <v>73908.58</v>
      </c>
      <c r="AC22" s="210"/>
      <c r="AD22" s="148">
        <f>+AC43</f>
        <v>41663130.99000001</v>
      </c>
      <c r="BG22" s="132" t="e">
        <f>(+#REF!)/1000</f>
        <v>#REF!</v>
      </c>
    </row>
    <row r="23" spans="2:59" ht="18.649999999999999" customHeight="1" x14ac:dyDescent="0.35">
      <c r="B23" s="211">
        <v>47574</v>
      </c>
      <c r="C23" s="6" t="s">
        <v>29</v>
      </c>
      <c r="D23" s="7">
        <v>20</v>
      </c>
      <c r="E23" s="78">
        <v>55086.6</v>
      </c>
      <c r="F23" s="78">
        <v>51743.42</v>
      </c>
      <c r="G23" s="78">
        <v>49078.31</v>
      </c>
      <c r="H23" s="78">
        <v>47527.98</v>
      </c>
      <c r="I23" s="78">
        <v>47283.82</v>
      </c>
      <c r="J23" s="78">
        <v>47966.79</v>
      </c>
      <c r="K23" s="78">
        <v>47544.85</v>
      </c>
      <c r="L23" s="78">
        <v>50338.81</v>
      </c>
      <c r="M23" s="78">
        <v>53876.74</v>
      </c>
      <c r="N23" s="78">
        <v>54508.1</v>
      </c>
      <c r="O23" s="78">
        <v>56366.26</v>
      </c>
      <c r="P23" s="78">
        <v>59000.89</v>
      </c>
      <c r="Q23" s="78">
        <v>55932.94</v>
      </c>
      <c r="R23" s="78">
        <v>59514.62</v>
      </c>
      <c r="S23" s="78">
        <v>65580.3</v>
      </c>
      <c r="T23" s="78">
        <v>67373.78</v>
      </c>
      <c r="U23" s="78">
        <v>68842.89</v>
      </c>
      <c r="V23" s="78">
        <v>77845</v>
      </c>
      <c r="W23" s="78">
        <v>83071.350000000006</v>
      </c>
      <c r="X23" s="78">
        <v>83289.350000000006</v>
      </c>
      <c r="Y23" s="78">
        <v>81559.929999999993</v>
      </c>
      <c r="Z23" s="78">
        <v>78230.28</v>
      </c>
      <c r="AA23" s="78">
        <v>72737.7</v>
      </c>
      <c r="AB23" s="78">
        <v>66272.59</v>
      </c>
      <c r="AC23" s="209">
        <f>SUM(E23:AB23)*D23+SUM(E24:AB24)*D24+SUM(E25:AB25)*D25+SUM(E26:AB26)*D26</f>
        <v>42393440.760000005</v>
      </c>
      <c r="AD23" s="148">
        <f>+AC47</f>
        <v>41935169.109999992</v>
      </c>
      <c r="BG23" s="132" t="e">
        <f>(+#REF!)/1000</f>
        <v>#REF!</v>
      </c>
    </row>
    <row r="24" spans="2:59" ht="18.649999999999999" customHeight="1" x14ac:dyDescent="0.35">
      <c r="B24" s="212" t="s">
        <v>34</v>
      </c>
      <c r="C24" s="9" t="s">
        <v>30</v>
      </c>
      <c r="D24" s="10">
        <v>4</v>
      </c>
      <c r="E24" s="79">
        <v>52522.15</v>
      </c>
      <c r="F24" s="79">
        <v>49030.06</v>
      </c>
      <c r="G24" s="79">
        <v>46093.01</v>
      </c>
      <c r="H24" s="79">
        <v>44226.66</v>
      </c>
      <c r="I24" s="79">
        <v>43375.360000000001</v>
      </c>
      <c r="J24" s="79">
        <v>43392.38</v>
      </c>
      <c r="K24" s="79">
        <v>41446.17</v>
      </c>
      <c r="L24" s="79">
        <v>41888.39</v>
      </c>
      <c r="M24" s="79">
        <v>44763.839999999997</v>
      </c>
      <c r="N24" s="79">
        <v>44927.79</v>
      </c>
      <c r="O24" s="79">
        <v>46529.66</v>
      </c>
      <c r="P24" s="79">
        <v>48220.7</v>
      </c>
      <c r="Q24" s="79">
        <v>47570.23</v>
      </c>
      <c r="R24" s="79">
        <v>47698.61</v>
      </c>
      <c r="S24" s="79">
        <v>49330.27</v>
      </c>
      <c r="T24" s="79">
        <v>51474.54</v>
      </c>
      <c r="U24" s="79">
        <v>54908.33</v>
      </c>
      <c r="V24" s="79">
        <v>66646.149999999994</v>
      </c>
      <c r="W24" s="79">
        <v>75630.81</v>
      </c>
      <c r="X24" s="79">
        <v>75436.75</v>
      </c>
      <c r="Y24" s="79">
        <v>74233.149999999994</v>
      </c>
      <c r="Z24" s="79">
        <v>71784.899999999994</v>
      </c>
      <c r="AA24" s="79">
        <v>68392.759999999995</v>
      </c>
      <c r="AB24" s="79">
        <v>63690.62</v>
      </c>
      <c r="AC24" s="210"/>
      <c r="AD24" s="148">
        <f>+AC51</f>
        <v>37031373.839999996</v>
      </c>
    </row>
    <row r="25" spans="2:59" ht="18.649999999999999" customHeight="1" x14ac:dyDescent="0.35">
      <c r="B25" s="212" t="s">
        <v>34</v>
      </c>
      <c r="C25" s="9" t="s">
        <v>31</v>
      </c>
      <c r="D25" s="10">
        <v>4</v>
      </c>
      <c r="E25" s="79">
        <v>52804.76</v>
      </c>
      <c r="F25" s="79">
        <v>50049.99</v>
      </c>
      <c r="G25" s="79">
        <v>47746.05</v>
      </c>
      <c r="H25" s="79">
        <v>45698.51</v>
      </c>
      <c r="I25" s="79">
        <v>45101.14</v>
      </c>
      <c r="J25" s="79">
        <v>43746.239999999998</v>
      </c>
      <c r="K25" s="79">
        <v>42166.65</v>
      </c>
      <c r="L25" s="79">
        <v>41075.910000000003</v>
      </c>
      <c r="M25" s="79">
        <v>39698.519999999997</v>
      </c>
      <c r="N25" s="79">
        <v>39543.01</v>
      </c>
      <c r="O25" s="79">
        <v>41057.440000000002</v>
      </c>
      <c r="P25" s="79">
        <v>42641.55</v>
      </c>
      <c r="Q25" s="79">
        <v>44208.52</v>
      </c>
      <c r="R25" s="79">
        <v>45613.85</v>
      </c>
      <c r="S25" s="79">
        <v>47258.17</v>
      </c>
      <c r="T25" s="79">
        <v>49654.41</v>
      </c>
      <c r="U25" s="79">
        <v>53190.91</v>
      </c>
      <c r="V25" s="79">
        <v>64750.16</v>
      </c>
      <c r="W25" s="79">
        <v>72127.259999999995</v>
      </c>
      <c r="X25" s="79">
        <v>74362.179999999993</v>
      </c>
      <c r="Y25" s="79">
        <v>75382.289999999994</v>
      </c>
      <c r="Z25" s="79">
        <v>75705.97</v>
      </c>
      <c r="AA25" s="79">
        <v>71723.19</v>
      </c>
      <c r="AB25" s="79">
        <v>65283.98</v>
      </c>
      <c r="AC25" s="210"/>
      <c r="AD25" s="148">
        <f>+AC55</f>
        <v>43472186.5</v>
      </c>
      <c r="BG25" s="132">
        <f>+AC110/1000</f>
        <v>1053667.6207899998</v>
      </c>
    </row>
    <row r="26" spans="2:59" ht="18.649999999999999" customHeight="1" thickBot="1" x14ac:dyDescent="0.4">
      <c r="B26" s="213" t="s">
        <v>34</v>
      </c>
      <c r="C26" s="11" t="s">
        <v>32</v>
      </c>
      <c r="D26" s="12">
        <v>2</v>
      </c>
      <c r="E26" s="270">
        <v>52264</v>
      </c>
      <c r="F26" s="194">
        <v>49514.02</v>
      </c>
      <c r="G26" s="194">
        <v>47040.639999999999</v>
      </c>
      <c r="H26" s="194">
        <v>45106.21</v>
      </c>
      <c r="I26" s="194">
        <v>44445.9</v>
      </c>
      <c r="J26" s="194">
        <v>43253.03</v>
      </c>
      <c r="K26" s="194">
        <v>41746.339999999997</v>
      </c>
      <c r="L26" s="194">
        <v>40811.03</v>
      </c>
      <c r="M26" s="194">
        <v>39714.85</v>
      </c>
      <c r="N26" s="194">
        <v>39920.79</v>
      </c>
      <c r="O26" s="194">
        <v>41121.54</v>
      </c>
      <c r="P26" s="194">
        <v>42493.4</v>
      </c>
      <c r="Q26" s="194">
        <v>43814.14</v>
      </c>
      <c r="R26" s="194">
        <v>45183.07</v>
      </c>
      <c r="S26" s="194">
        <v>46868.3</v>
      </c>
      <c r="T26" s="194">
        <v>49505.82</v>
      </c>
      <c r="U26" s="194">
        <v>53276.23</v>
      </c>
      <c r="V26" s="194">
        <v>65059.37</v>
      </c>
      <c r="W26" s="194">
        <v>72432.2</v>
      </c>
      <c r="X26" s="194">
        <v>74452.5</v>
      </c>
      <c r="Y26" s="194">
        <v>75373.2</v>
      </c>
      <c r="Z26" s="194">
        <v>75240</v>
      </c>
      <c r="AA26" s="194">
        <v>70677.899999999994</v>
      </c>
      <c r="AB26" s="194">
        <v>64065</v>
      </c>
      <c r="AC26" s="214"/>
      <c r="AD26" s="18"/>
      <c r="BG26" s="8">
        <v>1000</v>
      </c>
    </row>
    <row r="27" spans="2:59" ht="18.649999999999999" customHeight="1" x14ac:dyDescent="0.35">
      <c r="B27" s="207">
        <v>47604</v>
      </c>
      <c r="C27" s="13" t="s">
        <v>29</v>
      </c>
      <c r="D27" s="14">
        <v>22</v>
      </c>
      <c r="E27" s="81">
        <v>52261.599999999999</v>
      </c>
      <c r="F27" s="81">
        <v>49434.3</v>
      </c>
      <c r="G27" s="81">
        <v>46979.59</v>
      </c>
      <c r="H27" s="81">
        <v>45331</v>
      </c>
      <c r="I27" s="81">
        <v>45221.21</v>
      </c>
      <c r="J27" s="81">
        <v>46383.03</v>
      </c>
      <c r="K27" s="81">
        <v>45992.49</v>
      </c>
      <c r="L27" s="81">
        <v>48716.160000000003</v>
      </c>
      <c r="M27" s="81">
        <v>52941.59</v>
      </c>
      <c r="N27" s="81">
        <v>53853.599999999999</v>
      </c>
      <c r="O27" s="81">
        <v>56849.19</v>
      </c>
      <c r="P27" s="81">
        <v>58825.04</v>
      </c>
      <c r="Q27" s="81">
        <v>55333.68</v>
      </c>
      <c r="R27" s="81">
        <v>58182.66</v>
      </c>
      <c r="S27" s="81">
        <v>63798.17</v>
      </c>
      <c r="T27" s="81">
        <v>65922.67</v>
      </c>
      <c r="U27" s="81">
        <v>67404.81</v>
      </c>
      <c r="V27" s="81">
        <v>74844.73</v>
      </c>
      <c r="W27" s="81">
        <v>80592.78</v>
      </c>
      <c r="X27" s="81">
        <v>80643.81</v>
      </c>
      <c r="Y27" s="81">
        <v>78665.58</v>
      </c>
      <c r="Z27" s="81">
        <v>74832.88</v>
      </c>
      <c r="AA27" s="81">
        <v>69297.210000000006</v>
      </c>
      <c r="AB27" s="81">
        <v>63599.41</v>
      </c>
      <c r="AC27" s="210">
        <f>SUM(E27:AB27)*D27+SUM(E28:AB28)*D28+SUM(E29:AB29)*D29+SUM(E30:AB30)*D30</f>
        <v>43697879.870000005</v>
      </c>
      <c r="AD27" s="18"/>
    </row>
    <row r="28" spans="2:59" ht="18.649999999999999" customHeight="1" x14ac:dyDescent="0.35">
      <c r="B28" s="208"/>
      <c r="C28" s="9" t="s">
        <v>30</v>
      </c>
      <c r="D28" s="10">
        <v>4</v>
      </c>
      <c r="E28" s="79">
        <v>54992.32</v>
      </c>
      <c r="F28" s="79">
        <v>50400.59</v>
      </c>
      <c r="G28" s="79">
        <v>47605.93</v>
      </c>
      <c r="H28" s="79">
        <v>45572.31</v>
      </c>
      <c r="I28" s="79">
        <v>44829.41</v>
      </c>
      <c r="J28" s="79">
        <v>44213.65</v>
      </c>
      <c r="K28" s="79">
        <v>42578.6</v>
      </c>
      <c r="L28" s="79">
        <v>44426.19</v>
      </c>
      <c r="M28" s="79">
        <v>48212.959999999999</v>
      </c>
      <c r="N28" s="79">
        <v>49763.39</v>
      </c>
      <c r="O28" s="79">
        <v>50975.6</v>
      </c>
      <c r="P28" s="79">
        <v>52420.29</v>
      </c>
      <c r="Q28" s="79">
        <v>50676.42</v>
      </c>
      <c r="R28" s="79">
        <v>50866.34</v>
      </c>
      <c r="S28" s="79">
        <v>53749.63</v>
      </c>
      <c r="T28" s="79">
        <v>56111</v>
      </c>
      <c r="U28" s="79">
        <v>59175.81</v>
      </c>
      <c r="V28" s="79">
        <v>70936.639999999999</v>
      </c>
      <c r="W28" s="79">
        <v>79869.09</v>
      </c>
      <c r="X28" s="79">
        <v>80293.39</v>
      </c>
      <c r="Y28" s="79">
        <v>78368.37</v>
      </c>
      <c r="Z28" s="79">
        <v>75419.89</v>
      </c>
      <c r="AA28" s="79">
        <v>72103.3</v>
      </c>
      <c r="AB28" s="79">
        <v>67583.92</v>
      </c>
      <c r="AC28" s="210"/>
      <c r="AD28" s="18"/>
    </row>
    <row r="29" spans="2:59" ht="18.649999999999999" customHeight="1" x14ac:dyDescent="0.35">
      <c r="B29" s="208"/>
      <c r="C29" s="9" t="s">
        <v>31</v>
      </c>
      <c r="D29" s="10">
        <v>4</v>
      </c>
      <c r="E29" s="79">
        <v>55714.76</v>
      </c>
      <c r="F29" s="79">
        <v>52679.1</v>
      </c>
      <c r="G29" s="79">
        <v>50061.87</v>
      </c>
      <c r="H29" s="79">
        <v>47951.199999999997</v>
      </c>
      <c r="I29" s="79">
        <v>47071.360000000001</v>
      </c>
      <c r="J29" s="79">
        <v>45323.12</v>
      </c>
      <c r="K29" s="79">
        <v>42945.4</v>
      </c>
      <c r="L29" s="79">
        <v>42077.27</v>
      </c>
      <c r="M29" s="79">
        <v>43687.53</v>
      </c>
      <c r="N29" s="79">
        <v>44537.75</v>
      </c>
      <c r="O29" s="79">
        <v>45405.919999999998</v>
      </c>
      <c r="P29" s="79">
        <v>46593.05</v>
      </c>
      <c r="Q29" s="79">
        <v>48514.94</v>
      </c>
      <c r="R29" s="79">
        <v>49989.52</v>
      </c>
      <c r="S29" s="79">
        <v>51008.82</v>
      </c>
      <c r="T29" s="79">
        <v>53594.720000000001</v>
      </c>
      <c r="U29" s="79">
        <v>55588.19</v>
      </c>
      <c r="V29" s="79">
        <v>67156.5</v>
      </c>
      <c r="W29" s="79">
        <v>75905.960000000006</v>
      </c>
      <c r="X29" s="79">
        <v>77099.7</v>
      </c>
      <c r="Y29" s="79">
        <v>77511.48</v>
      </c>
      <c r="Z29" s="79">
        <v>75904.070000000007</v>
      </c>
      <c r="AA29" s="79">
        <v>70952.73</v>
      </c>
      <c r="AB29" s="79">
        <v>63227.53</v>
      </c>
      <c r="AC29" s="210"/>
      <c r="AD29" s="18"/>
    </row>
    <row r="30" spans="2:59" ht="18.649999999999999" customHeight="1" thickBot="1" x14ac:dyDescent="0.4">
      <c r="B30" s="208"/>
      <c r="C30" s="15" t="s">
        <v>32</v>
      </c>
      <c r="D30" s="16">
        <v>1</v>
      </c>
      <c r="E30" s="80">
        <v>55617.599999999999</v>
      </c>
      <c r="F30" s="80">
        <v>52581.53</v>
      </c>
      <c r="G30" s="80">
        <v>49979.21</v>
      </c>
      <c r="H30" s="80">
        <v>47883.65</v>
      </c>
      <c r="I30" s="80">
        <v>46790.03</v>
      </c>
      <c r="J30" s="80">
        <v>44487.01</v>
      </c>
      <c r="K30" s="80">
        <v>41905.74</v>
      </c>
      <c r="L30" s="80">
        <v>40641.980000000003</v>
      </c>
      <c r="M30" s="80">
        <v>41869.980000000003</v>
      </c>
      <c r="N30" s="80">
        <v>42737.08</v>
      </c>
      <c r="O30" s="80">
        <v>43384.03</v>
      </c>
      <c r="P30" s="80">
        <v>44395.23</v>
      </c>
      <c r="Q30" s="80">
        <v>46829.23</v>
      </c>
      <c r="R30" s="80">
        <v>47892.66</v>
      </c>
      <c r="S30" s="80">
        <v>48462.78</v>
      </c>
      <c r="T30" s="80">
        <v>51109.74</v>
      </c>
      <c r="U30" s="80">
        <v>53519.97</v>
      </c>
      <c r="V30" s="80">
        <v>65599.44</v>
      </c>
      <c r="W30" s="80">
        <v>74505.919999999998</v>
      </c>
      <c r="X30" s="80">
        <v>75922.73</v>
      </c>
      <c r="Y30" s="80">
        <v>76586.81</v>
      </c>
      <c r="Z30" s="80">
        <v>75167.210000000006</v>
      </c>
      <c r="AA30" s="80">
        <v>70456.070000000007</v>
      </c>
      <c r="AB30" s="80">
        <v>63005.94</v>
      </c>
      <c r="AC30" s="210"/>
      <c r="AD30" s="18"/>
    </row>
    <row r="31" spans="2:59" ht="18.649999999999999" customHeight="1" x14ac:dyDescent="0.35">
      <c r="B31" s="211">
        <v>47635</v>
      </c>
      <c r="C31" s="6" t="s">
        <v>29</v>
      </c>
      <c r="D31" s="7">
        <v>18</v>
      </c>
      <c r="E31" s="78">
        <v>57418.65</v>
      </c>
      <c r="F31" s="78">
        <v>54027.85</v>
      </c>
      <c r="G31" s="78">
        <v>51516.73</v>
      </c>
      <c r="H31" s="78">
        <v>49095.199999999997</v>
      </c>
      <c r="I31" s="78">
        <v>48772.480000000003</v>
      </c>
      <c r="J31" s="78">
        <v>48756.9</v>
      </c>
      <c r="K31" s="78">
        <v>47749.3</v>
      </c>
      <c r="L31" s="78">
        <v>50724.1</v>
      </c>
      <c r="M31" s="78">
        <v>54864.160000000003</v>
      </c>
      <c r="N31" s="78">
        <v>56507.85</v>
      </c>
      <c r="O31" s="78">
        <v>59980.18</v>
      </c>
      <c r="P31" s="78">
        <v>62385.41</v>
      </c>
      <c r="Q31" s="78">
        <v>59748.27</v>
      </c>
      <c r="R31" s="78">
        <v>62534.35</v>
      </c>
      <c r="S31" s="78">
        <v>68208.850000000006</v>
      </c>
      <c r="T31" s="78">
        <v>69971.69</v>
      </c>
      <c r="U31" s="78">
        <v>72215.17</v>
      </c>
      <c r="V31" s="78">
        <v>79034.600000000006</v>
      </c>
      <c r="W31" s="78">
        <v>85082.12</v>
      </c>
      <c r="X31" s="78">
        <v>86010.13</v>
      </c>
      <c r="Y31" s="78">
        <v>83743.59</v>
      </c>
      <c r="Z31" s="78">
        <v>80193.78</v>
      </c>
      <c r="AA31" s="78">
        <v>73949.77</v>
      </c>
      <c r="AB31" s="78">
        <v>67563.039999999994</v>
      </c>
      <c r="AC31" s="209">
        <f>SUM(E31:AB31)*D31+SUM(E32:AB32)*D32+SUM(E33:AB33)*D33+SUM(E34:AB34)*D34</f>
        <v>44636350.409999996</v>
      </c>
      <c r="AD31" s="18"/>
    </row>
    <row r="32" spans="2:59" ht="18.649999999999999" customHeight="1" x14ac:dyDescent="0.35">
      <c r="B32" s="212" t="s">
        <v>34</v>
      </c>
      <c r="C32" s="9" t="s">
        <v>30</v>
      </c>
      <c r="D32" s="10">
        <v>5</v>
      </c>
      <c r="E32" s="79">
        <v>56324.58</v>
      </c>
      <c r="F32" s="79">
        <v>53066.04</v>
      </c>
      <c r="G32" s="79">
        <v>50793.01</v>
      </c>
      <c r="H32" s="79">
        <v>49314.76</v>
      </c>
      <c r="I32" s="79">
        <v>48546.32</v>
      </c>
      <c r="J32" s="79">
        <v>47120.72</v>
      </c>
      <c r="K32" s="79">
        <v>45790.61</v>
      </c>
      <c r="L32" s="79">
        <v>48224.66</v>
      </c>
      <c r="M32" s="79">
        <v>51924</v>
      </c>
      <c r="N32" s="79">
        <v>53954.23</v>
      </c>
      <c r="O32" s="79">
        <v>56577.86</v>
      </c>
      <c r="P32" s="79">
        <v>58774.19</v>
      </c>
      <c r="Q32" s="79">
        <v>57768.1</v>
      </c>
      <c r="R32" s="79">
        <v>57053.41</v>
      </c>
      <c r="S32" s="79">
        <v>59127.75</v>
      </c>
      <c r="T32" s="79">
        <v>61293.72</v>
      </c>
      <c r="U32" s="79">
        <v>63267.72</v>
      </c>
      <c r="V32" s="79">
        <v>73205.679999999993</v>
      </c>
      <c r="W32" s="79">
        <v>79382.8</v>
      </c>
      <c r="X32" s="79">
        <v>81083.59</v>
      </c>
      <c r="Y32" s="79">
        <v>79908.55</v>
      </c>
      <c r="Z32" s="79">
        <v>76247.23</v>
      </c>
      <c r="AA32" s="79">
        <v>72426.179999999993</v>
      </c>
      <c r="AB32" s="79">
        <v>68227.360000000001</v>
      </c>
      <c r="AC32" s="210"/>
      <c r="AD32" s="18"/>
    </row>
    <row r="33" spans="2:30" ht="18.649999999999999" customHeight="1" x14ac:dyDescent="0.35">
      <c r="B33" s="212" t="s">
        <v>34</v>
      </c>
      <c r="C33" s="9" t="s">
        <v>31</v>
      </c>
      <c r="D33" s="10">
        <v>5</v>
      </c>
      <c r="E33" s="79">
        <v>60116.93</v>
      </c>
      <c r="F33" s="79">
        <v>56438.69</v>
      </c>
      <c r="G33" s="79">
        <v>53255.17</v>
      </c>
      <c r="H33" s="79">
        <v>51250.38</v>
      </c>
      <c r="I33" s="79">
        <v>50359.25</v>
      </c>
      <c r="J33" s="79">
        <v>47609.67</v>
      </c>
      <c r="K33" s="79">
        <v>45114.68</v>
      </c>
      <c r="L33" s="79">
        <v>43710</v>
      </c>
      <c r="M33" s="79">
        <v>44348.84</v>
      </c>
      <c r="N33" s="79">
        <v>45452.99</v>
      </c>
      <c r="O33" s="79">
        <v>46958.11</v>
      </c>
      <c r="P33" s="79">
        <v>48663.77</v>
      </c>
      <c r="Q33" s="79">
        <v>51055.81</v>
      </c>
      <c r="R33" s="79">
        <v>52304.59</v>
      </c>
      <c r="S33" s="79">
        <v>54711.56</v>
      </c>
      <c r="T33" s="79">
        <v>57025.35</v>
      </c>
      <c r="U33" s="79">
        <v>59393.04</v>
      </c>
      <c r="V33" s="79">
        <v>68766.33</v>
      </c>
      <c r="W33" s="79">
        <v>77834.259999999995</v>
      </c>
      <c r="X33" s="79">
        <v>82063.72</v>
      </c>
      <c r="Y33" s="79">
        <v>81954.25</v>
      </c>
      <c r="Z33" s="79">
        <v>80746.2</v>
      </c>
      <c r="AA33" s="79">
        <v>76934.429999999993</v>
      </c>
      <c r="AB33" s="79">
        <v>71326.64</v>
      </c>
      <c r="AC33" s="210"/>
      <c r="AD33" s="18"/>
    </row>
    <row r="34" spans="2:30" ht="18.649999999999999" customHeight="1" thickBot="1" x14ac:dyDescent="0.4">
      <c r="B34" s="213" t="s">
        <v>34</v>
      </c>
      <c r="C34" s="11" t="s">
        <v>32</v>
      </c>
      <c r="D34" s="12">
        <v>2</v>
      </c>
      <c r="E34" s="76">
        <v>60828.62</v>
      </c>
      <c r="F34" s="76">
        <v>57069.77</v>
      </c>
      <c r="G34" s="76">
        <v>53848.32</v>
      </c>
      <c r="H34" s="76">
        <v>51770.65</v>
      </c>
      <c r="I34" s="76">
        <v>50781.11</v>
      </c>
      <c r="J34" s="76">
        <v>48115.75</v>
      </c>
      <c r="K34" s="76">
        <v>45513.15</v>
      </c>
      <c r="L34" s="76">
        <v>43915.11</v>
      </c>
      <c r="M34" s="76">
        <v>44352.43</v>
      </c>
      <c r="N34" s="76">
        <v>45197.14</v>
      </c>
      <c r="O34" s="76">
        <v>46316.82</v>
      </c>
      <c r="P34" s="76">
        <v>47761.36</v>
      </c>
      <c r="Q34" s="76">
        <v>50076.12</v>
      </c>
      <c r="R34" s="76">
        <v>51398.61</v>
      </c>
      <c r="S34" s="76">
        <v>53952.05</v>
      </c>
      <c r="T34" s="76">
        <v>56454.9</v>
      </c>
      <c r="U34" s="76">
        <v>59096.07</v>
      </c>
      <c r="V34" s="76">
        <v>68604.899999999994</v>
      </c>
      <c r="W34" s="76">
        <v>77677.64</v>
      </c>
      <c r="X34" s="76">
        <v>81763.02</v>
      </c>
      <c r="Y34" s="76">
        <v>81822.460000000006</v>
      </c>
      <c r="Z34" s="76">
        <v>80785.97</v>
      </c>
      <c r="AA34" s="76">
        <v>77044.570000000007</v>
      </c>
      <c r="AB34" s="76">
        <v>71546.81</v>
      </c>
      <c r="AC34" s="214"/>
      <c r="AD34" s="18"/>
    </row>
    <row r="35" spans="2:30" ht="18.649999999999999" customHeight="1" x14ac:dyDescent="0.35">
      <c r="B35" s="207">
        <v>47665</v>
      </c>
      <c r="C35" s="13" t="s">
        <v>29</v>
      </c>
      <c r="D35" s="14">
        <v>22</v>
      </c>
      <c r="E35" s="81">
        <v>55879.92</v>
      </c>
      <c r="F35" s="81">
        <v>52456.81</v>
      </c>
      <c r="G35" s="81">
        <v>49646.86</v>
      </c>
      <c r="H35" s="81">
        <v>47751.64</v>
      </c>
      <c r="I35" s="81">
        <v>46878.12</v>
      </c>
      <c r="J35" s="81">
        <v>46991.27</v>
      </c>
      <c r="K35" s="81">
        <v>45681.88</v>
      </c>
      <c r="L35" s="81">
        <v>48182.45</v>
      </c>
      <c r="M35" s="81">
        <v>51904.28</v>
      </c>
      <c r="N35" s="81">
        <v>53222.03</v>
      </c>
      <c r="O35" s="81">
        <v>56706.87</v>
      </c>
      <c r="P35" s="81">
        <v>60149.21</v>
      </c>
      <c r="Q35" s="81">
        <v>58076.67</v>
      </c>
      <c r="R35" s="81">
        <v>62266.1</v>
      </c>
      <c r="S35" s="81">
        <v>69243.73</v>
      </c>
      <c r="T35" s="81">
        <v>70993.98</v>
      </c>
      <c r="U35" s="81">
        <v>72382.080000000002</v>
      </c>
      <c r="V35" s="81">
        <v>77881.100000000006</v>
      </c>
      <c r="W35" s="81">
        <v>82271.83</v>
      </c>
      <c r="X35" s="81">
        <v>84397.77</v>
      </c>
      <c r="Y35" s="81">
        <v>83140.639999999999</v>
      </c>
      <c r="Z35" s="81">
        <v>79899.23</v>
      </c>
      <c r="AA35" s="81">
        <v>73795.17</v>
      </c>
      <c r="AB35" s="81">
        <v>67327.740000000005</v>
      </c>
      <c r="AC35" s="210">
        <f>SUM(E35:AB35)*D35+SUM(E36:AB36)*D36+SUM(E37:AB37)*D37+SUM(E38:AB38)*D38</f>
        <v>43953036.589999989</v>
      </c>
      <c r="AD35" s="18"/>
    </row>
    <row r="36" spans="2:30" ht="18.649999999999999" customHeight="1" x14ac:dyDescent="0.35">
      <c r="B36" s="208"/>
      <c r="C36" s="9" t="s">
        <v>30</v>
      </c>
      <c r="D36" s="10">
        <v>3</v>
      </c>
      <c r="E36" s="79">
        <v>56366.36</v>
      </c>
      <c r="F36" s="79">
        <v>52341.95</v>
      </c>
      <c r="G36" s="79">
        <v>49149.35</v>
      </c>
      <c r="H36" s="79">
        <v>47632.74</v>
      </c>
      <c r="I36" s="79">
        <v>46143.32</v>
      </c>
      <c r="J36" s="79">
        <v>45332.3</v>
      </c>
      <c r="K36" s="79">
        <v>43623.03</v>
      </c>
      <c r="L36" s="79">
        <v>43910.55</v>
      </c>
      <c r="M36" s="79">
        <v>47017.56</v>
      </c>
      <c r="N36" s="79">
        <v>48932</v>
      </c>
      <c r="O36" s="79">
        <v>52001.19</v>
      </c>
      <c r="P36" s="79">
        <v>53469.96</v>
      </c>
      <c r="Q36" s="79">
        <v>52502.55</v>
      </c>
      <c r="R36" s="79">
        <v>52551.040000000001</v>
      </c>
      <c r="S36" s="79">
        <v>54005.32</v>
      </c>
      <c r="T36" s="79">
        <v>54379.87</v>
      </c>
      <c r="U36" s="79">
        <v>56421.79</v>
      </c>
      <c r="V36" s="79">
        <v>67661.63</v>
      </c>
      <c r="W36" s="79">
        <v>71423.179999999993</v>
      </c>
      <c r="X36" s="79">
        <v>71997.210000000006</v>
      </c>
      <c r="Y36" s="79">
        <v>69893.320000000007</v>
      </c>
      <c r="Z36" s="79">
        <v>67181.240000000005</v>
      </c>
      <c r="AA36" s="79">
        <v>64125.27</v>
      </c>
      <c r="AB36" s="79">
        <v>59964.34</v>
      </c>
      <c r="AC36" s="210"/>
      <c r="AD36" s="18"/>
    </row>
    <row r="37" spans="2:30" ht="18.649999999999999" customHeight="1" x14ac:dyDescent="0.35">
      <c r="B37" s="208"/>
      <c r="C37" s="9" t="s">
        <v>31</v>
      </c>
      <c r="D37" s="10">
        <v>4</v>
      </c>
      <c r="E37" s="79">
        <v>46887.81</v>
      </c>
      <c r="F37" s="79">
        <v>44507.67</v>
      </c>
      <c r="G37" s="79">
        <v>41795.46</v>
      </c>
      <c r="H37" s="79">
        <v>40503.81</v>
      </c>
      <c r="I37" s="79">
        <v>40088.870000000003</v>
      </c>
      <c r="J37" s="79">
        <v>38796.660000000003</v>
      </c>
      <c r="K37" s="79">
        <v>36868.620000000003</v>
      </c>
      <c r="L37" s="79">
        <v>35150.660000000003</v>
      </c>
      <c r="M37" s="79">
        <v>34753.61</v>
      </c>
      <c r="N37" s="79">
        <v>34950.33</v>
      </c>
      <c r="O37" s="79">
        <v>36843.94</v>
      </c>
      <c r="P37" s="79">
        <v>38894.550000000003</v>
      </c>
      <c r="Q37" s="79">
        <v>41390.03</v>
      </c>
      <c r="R37" s="79">
        <v>43479.63</v>
      </c>
      <c r="S37" s="79">
        <v>45797.93</v>
      </c>
      <c r="T37" s="79">
        <v>48888.91</v>
      </c>
      <c r="U37" s="79">
        <v>51684.56</v>
      </c>
      <c r="V37" s="79">
        <v>61179.56</v>
      </c>
      <c r="W37" s="79">
        <v>70317.41</v>
      </c>
      <c r="X37" s="79">
        <v>74618.7</v>
      </c>
      <c r="Y37" s="79">
        <v>73416.61</v>
      </c>
      <c r="Z37" s="79">
        <v>70313.86</v>
      </c>
      <c r="AA37" s="79">
        <v>64585.63</v>
      </c>
      <c r="AB37" s="79">
        <v>58844.47</v>
      </c>
      <c r="AC37" s="210"/>
      <c r="AD37" s="18"/>
    </row>
    <row r="38" spans="2:30" ht="18.649999999999999" customHeight="1" thickBot="1" x14ac:dyDescent="0.4">
      <c r="B38" s="208"/>
      <c r="C38" s="15" t="s">
        <v>32</v>
      </c>
      <c r="D38" s="16">
        <v>2</v>
      </c>
      <c r="E38" s="80">
        <v>46906.559999999998</v>
      </c>
      <c r="F38" s="80">
        <v>44526.57</v>
      </c>
      <c r="G38" s="80">
        <v>41862.559999999998</v>
      </c>
      <c r="H38" s="80">
        <v>40527.919999999998</v>
      </c>
      <c r="I38" s="80">
        <v>40020.61</v>
      </c>
      <c r="J38" s="80">
        <v>38630.400000000001</v>
      </c>
      <c r="K38" s="80">
        <v>36629.86</v>
      </c>
      <c r="L38" s="80">
        <v>34732.870000000003</v>
      </c>
      <c r="M38" s="80">
        <v>34260.1</v>
      </c>
      <c r="N38" s="80">
        <v>34400.230000000003</v>
      </c>
      <c r="O38" s="80">
        <v>36104.589999999997</v>
      </c>
      <c r="P38" s="80">
        <v>38079.360000000001</v>
      </c>
      <c r="Q38" s="80">
        <v>40744.019999999997</v>
      </c>
      <c r="R38" s="80">
        <v>42881.14</v>
      </c>
      <c r="S38" s="80">
        <v>45344.56</v>
      </c>
      <c r="T38" s="80">
        <v>48457.21</v>
      </c>
      <c r="U38" s="80">
        <v>51271.85</v>
      </c>
      <c r="V38" s="80">
        <v>60843.54</v>
      </c>
      <c r="W38" s="80">
        <v>69946.75</v>
      </c>
      <c r="X38" s="80">
        <v>74122.86</v>
      </c>
      <c r="Y38" s="80">
        <v>73078.75</v>
      </c>
      <c r="Z38" s="80">
        <v>70238.58</v>
      </c>
      <c r="AA38" s="80">
        <v>64531.28</v>
      </c>
      <c r="AB38" s="80">
        <v>58815.76</v>
      </c>
      <c r="AC38" s="210"/>
      <c r="AD38" s="18"/>
    </row>
    <row r="39" spans="2:30" ht="18.649999999999999" customHeight="1" x14ac:dyDescent="0.35">
      <c r="B39" s="211">
        <v>47696</v>
      </c>
      <c r="C39" s="6" t="s">
        <v>29</v>
      </c>
      <c r="D39" s="7">
        <v>20</v>
      </c>
      <c r="E39" s="78">
        <v>55199.49</v>
      </c>
      <c r="F39" s="78">
        <v>51381.24</v>
      </c>
      <c r="G39" s="78">
        <v>48541.35</v>
      </c>
      <c r="H39" s="78">
        <v>46558.62</v>
      </c>
      <c r="I39" s="78">
        <v>45568.67</v>
      </c>
      <c r="J39" s="78">
        <v>46158.51</v>
      </c>
      <c r="K39" s="78">
        <v>45285.03</v>
      </c>
      <c r="L39" s="78">
        <v>46837.73</v>
      </c>
      <c r="M39" s="78">
        <v>50397.3</v>
      </c>
      <c r="N39" s="78">
        <v>51680.639999999999</v>
      </c>
      <c r="O39" s="78">
        <v>55264.34</v>
      </c>
      <c r="P39" s="78">
        <v>59656.24</v>
      </c>
      <c r="Q39" s="78">
        <v>56767.26</v>
      </c>
      <c r="R39" s="78">
        <v>60147.24</v>
      </c>
      <c r="S39" s="78">
        <v>67150.009999999995</v>
      </c>
      <c r="T39" s="78">
        <v>68935.67</v>
      </c>
      <c r="U39" s="78">
        <v>69696.47</v>
      </c>
      <c r="V39" s="78">
        <v>76881.67</v>
      </c>
      <c r="W39" s="78">
        <v>83242.039999999994</v>
      </c>
      <c r="X39" s="78">
        <v>85060.2</v>
      </c>
      <c r="Y39" s="78">
        <v>83841.05</v>
      </c>
      <c r="Z39" s="78">
        <v>80119.98</v>
      </c>
      <c r="AA39" s="78">
        <v>74010.31</v>
      </c>
      <c r="AB39" s="78">
        <v>67900.33</v>
      </c>
      <c r="AC39" s="209">
        <f>SUM(E39:AB39)*D39+SUM(E40:AB40)*D40+SUM(E41:AB41)*D41+SUM(E42:AB42)*D42</f>
        <v>43863426.95000001</v>
      </c>
      <c r="AD39" s="18"/>
    </row>
    <row r="40" spans="2:30" ht="18.649999999999999" customHeight="1" x14ac:dyDescent="0.35">
      <c r="B40" s="212" t="s">
        <v>34</v>
      </c>
      <c r="C40" s="9" t="s">
        <v>30</v>
      </c>
      <c r="D40" s="10">
        <v>5</v>
      </c>
      <c r="E40" s="79">
        <v>54617.02</v>
      </c>
      <c r="F40" s="79">
        <v>51399.12</v>
      </c>
      <c r="G40" s="79">
        <v>48896.06</v>
      </c>
      <c r="H40" s="79">
        <v>46910.15</v>
      </c>
      <c r="I40" s="79">
        <v>44741.69</v>
      </c>
      <c r="J40" s="79">
        <v>43459.32</v>
      </c>
      <c r="K40" s="79">
        <v>41984.959999999999</v>
      </c>
      <c r="L40" s="79">
        <v>42344.53</v>
      </c>
      <c r="M40" s="79">
        <v>44631.1</v>
      </c>
      <c r="N40" s="79">
        <v>46450.71</v>
      </c>
      <c r="O40" s="79">
        <v>48789.09</v>
      </c>
      <c r="P40" s="79">
        <v>48736.61</v>
      </c>
      <c r="Q40" s="79">
        <v>47812.77</v>
      </c>
      <c r="R40" s="79">
        <v>48453.53</v>
      </c>
      <c r="S40" s="79">
        <v>51781.3</v>
      </c>
      <c r="T40" s="79">
        <v>54532.89</v>
      </c>
      <c r="U40" s="79">
        <v>56453.49</v>
      </c>
      <c r="V40" s="79">
        <v>67675.75</v>
      </c>
      <c r="W40" s="79">
        <v>76822.429999999993</v>
      </c>
      <c r="X40" s="79">
        <v>76934.64</v>
      </c>
      <c r="Y40" s="79">
        <v>74305.22</v>
      </c>
      <c r="Z40" s="79">
        <v>71781.88</v>
      </c>
      <c r="AA40" s="79">
        <v>67636.12</v>
      </c>
      <c r="AB40" s="79">
        <v>63202.51</v>
      </c>
      <c r="AC40" s="210"/>
      <c r="AD40" s="18"/>
    </row>
    <row r="41" spans="2:30" ht="18.649999999999999" customHeight="1" x14ac:dyDescent="0.35">
      <c r="B41" s="212" t="s">
        <v>34</v>
      </c>
      <c r="C41" s="9" t="s">
        <v>31</v>
      </c>
      <c r="D41" s="10">
        <v>4</v>
      </c>
      <c r="E41" s="79">
        <v>52686.3</v>
      </c>
      <c r="F41" s="79">
        <v>50532.27</v>
      </c>
      <c r="G41" s="79">
        <v>47337.29</v>
      </c>
      <c r="H41" s="79">
        <v>45743.46</v>
      </c>
      <c r="I41" s="79">
        <v>44631.97</v>
      </c>
      <c r="J41" s="79">
        <v>43763.35</v>
      </c>
      <c r="K41" s="79">
        <v>41650.61</v>
      </c>
      <c r="L41" s="79">
        <v>40019.550000000003</v>
      </c>
      <c r="M41" s="79">
        <v>39674.01</v>
      </c>
      <c r="N41" s="79">
        <v>39978.71</v>
      </c>
      <c r="O41" s="79">
        <v>41550.01</v>
      </c>
      <c r="P41" s="79">
        <v>43398.2</v>
      </c>
      <c r="Q41" s="79">
        <v>44852.68</v>
      </c>
      <c r="R41" s="79">
        <v>46407.13</v>
      </c>
      <c r="S41" s="79">
        <v>48653.62</v>
      </c>
      <c r="T41" s="79">
        <v>51050.65</v>
      </c>
      <c r="U41" s="79">
        <v>53730.12</v>
      </c>
      <c r="V41" s="79">
        <v>64737.1</v>
      </c>
      <c r="W41" s="79">
        <v>74889.72</v>
      </c>
      <c r="X41" s="79">
        <v>79234.210000000006</v>
      </c>
      <c r="Y41" s="79">
        <v>79879.63</v>
      </c>
      <c r="Z41" s="79">
        <v>78342.759999999995</v>
      </c>
      <c r="AA41" s="79">
        <v>73133.81</v>
      </c>
      <c r="AB41" s="79">
        <v>66468.58</v>
      </c>
      <c r="AC41" s="210"/>
      <c r="AD41" s="18"/>
    </row>
    <row r="42" spans="2:30" ht="18.649999999999999" customHeight="1" thickBot="1" x14ac:dyDescent="0.4">
      <c r="B42" s="213" t="s">
        <v>34</v>
      </c>
      <c r="C42" s="11" t="s">
        <v>32</v>
      </c>
      <c r="D42" s="12">
        <v>2</v>
      </c>
      <c r="E42" s="76">
        <v>53520.480000000003</v>
      </c>
      <c r="F42" s="76">
        <v>51014.12</v>
      </c>
      <c r="G42" s="76">
        <v>47807.09</v>
      </c>
      <c r="H42" s="76">
        <v>46127.71</v>
      </c>
      <c r="I42" s="76">
        <v>44963.98</v>
      </c>
      <c r="J42" s="76">
        <v>44043.67</v>
      </c>
      <c r="K42" s="76">
        <v>41765.83</v>
      </c>
      <c r="L42" s="76">
        <v>39989.56</v>
      </c>
      <c r="M42" s="76">
        <v>39426.25</v>
      </c>
      <c r="N42" s="76">
        <v>39360.660000000003</v>
      </c>
      <c r="O42" s="76">
        <v>40928.519999999997</v>
      </c>
      <c r="P42" s="76">
        <v>42592.6</v>
      </c>
      <c r="Q42" s="76">
        <v>44093.22</v>
      </c>
      <c r="R42" s="76">
        <v>45610.37</v>
      </c>
      <c r="S42" s="76">
        <v>47828.28</v>
      </c>
      <c r="T42" s="76">
        <v>50202.18</v>
      </c>
      <c r="U42" s="76">
        <v>52880.23</v>
      </c>
      <c r="V42" s="76">
        <v>64195.74</v>
      </c>
      <c r="W42" s="76">
        <v>74381.539999999994</v>
      </c>
      <c r="X42" s="76">
        <v>78310.05</v>
      </c>
      <c r="Y42" s="76">
        <v>78877.929999999993</v>
      </c>
      <c r="Z42" s="76">
        <v>77390.23</v>
      </c>
      <c r="AA42" s="76">
        <v>72225.45</v>
      </c>
      <c r="AB42" s="76">
        <v>65790.179999999993</v>
      </c>
      <c r="AC42" s="214"/>
      <c r="AD42" s="18"/>
    </row>
    <row r="43" spans="2:30" ht="18.649999999999999" customHeight="1" x14ac:dyDescent="0.35">
      <c r="B43" s="207">
        <v>47727</v>
      </c>
      <c r="C43" s="13" t="s">
        <v>29</v>
      </c>
      <c r="D43" s="14">
        <v>21</v>
      </c>
      <c r="E43" s="81">
        <v>54523.92</v>
      </c>
      <c r="F43" s="81">
        <v>50887</v>
      </c>
      <c r="G43" s="81">
        <v>48048.98</v>
      </c>
      <c r="H43" s="81">
        <v>45758.98</v>
      </c>
      <c r="I43" s="81">
        <v>44619.41</v>
      </c>
      <c r="J43" s="81">
        <v>45182.04</v>
      </c>
      <c r="K43" s="81">
        <v>43863.16</v>
      </c>
      <c r="L43" s="81">
        <v>45779.77</v>
      </c>
      <c r="M43" s="81">
        <v>50269.38</v>
      </c>
      <c r="N43" s="81">
        <v>51800.32</v>
      </c>
      <c r="O43" s="81">
        <v>54404.44</v>
      </c>
      <c r="P43" s="81">
        <v>58232.47</v>
      </c>
      <c r="Q43" s="81">
        <v>56175.25</v>
      </c>
      <c r="R43" s="81">
        <v>59039.93</v>
      </c>
      <c r="S43" s="81">
        <v>65331.82</v>
      </c>
      <c r="T43" s="81">
        <v>67237.960000000006</v>
      </c>
      <c r="U43" s="81">
        <v>68365.41</v>
      </c>
      <c r="V43" s="81">
        <v>76242.179999999993</v>
      </c>
      <c r="W43" s="81">
        <v>82222.59</v>
      </c>
      <c r="X43" s="81">
        <v>81854.399999999994</v>
      </c>
      <c r="Y43" s="81">
        <v>80521.13</v>
      </c>
      <c r="Z43" s="81">
        <v>76726.83</v>
      </c>
      <c r="AA43" s="81">
        <v>70357.58</v>
      </c>
      <c r="AB43" s="81">
        <v>64496.29</v>
      </c>
      <c r="AC43" s="210">
        <f>SUM(E43:AB43)*D43+SUM(E44:AB44)*D44+SUM(E45:AB45)*D45+SUM(E46:AB46)*D46</f>
        <v>41663130.99000001</v>
      </c>
      <c r="AD43" s="18"/>
    </row>
    <row r="44" spans="2:30" ht="18.649999999999999" customHeight="1" x14ac:dyDescent="0.35">
      <c r="B44" s="208"/>
      <c r="C44" s="9" t="s">
        <v>30</v>
      </c>
      <c r="D44" s="10">
        <v>4</v>
      </c>
      <c r="E44" s="79">
        <v>48875.67</v>
      </c>
      <c r="F44" s="79">
        <v>45795.42</v>
      </c>
      <c r="G44" s="79">
        <v>43298.14</v>
      </c>
      <c r="H44" s="79">
        <v>41489.199999999997</v>
      </c>
      <c r="I44" s="79">
        <v>40602.99</v>
      </c>
      <c r="J44" s="79">
        <v>39822.15</v>
      </c>
      <c r="K44" s="79">
        <v>38798.68</v>
      </c>
      <c r="L44" s="79">
        <v>39925.85</v>
      </c>
      <c r="M44" s="79">
        <v>43174.28</v>
      </c>
      <c r="N44" s="79">
        <v>43613.5</v>
      </c>
      <c r="O44" s="79">
        <v>46774.47</v>
      </c>
      <c r="P44" s="79">
        <v>47924.35</v>
      </c>
      <c r="Q44" s="79">
        <v>48245.21</v>
      </c>
      <c r="R44" s="79">
        <v>48297.599999999999</v>
      </c>
      <c r="S44" s="79">
        <v>50707.77</v>
      </c>
      <c r="T44" s="79">
        <v>52337.94</v>
      </c>
      <c r="U44" s="79">
        <v>54352.639999999999</v>
      </c>
      <c r="V44" s="79">
        <v>68038.559999999998</v>
      </c>
      <c r="W44" s="79">
        <v>77287.839999999997</v>
      </c>
      <c r="X44" s="79">
        <v>76814.22</v>
      </c>
      <c r="Y44" s="79">
        <v>75364.55</v>
      </c>
      <c r="Z44" s="79">
        <v>73264.39</v>
      </c>
      <c r="AA44" s="79">
        <v>71336.03</v>
      </c>
      <c r="AB44" s="79">
        <v>66695.199999999997</v>
      </c>
      <c r="AC44" s="210"/>
      <c r="AD44" s="18"/>
    </row>
    <row r="45" spans="2:30" ht="18.649999999999999" customHeight="1" x14ac:dyDescent="0.35">
      <c r="B45" s="208"/>
      <c r="C45" s="9" t="s">
        <v>31</v>
      </c>
      <c r="D45" s="10">
        <v>5</v>
      </c>
      <c r="E45" s="79">
        <v>54271.35</v>
      </c>
      <c r="F45" s="79">
        <v>50945.37</v>
      </c>
      <c r="G45" s="79">
        <v>47530.06</v>
      </c>
      <c r="H45" s="79">
        <v>45141.15</v>
      </c>
      <c r="I45" s="79">
        <v>43995.040000000001</v>
      </c>
      <c r="J45" s="79">
        <v>41830.82</v>
      </c>
      <c r="K45" s="79">
        <v>38781.21</v>
      </c>
      <c r="L45" s="79">
        <v>37736.46</v>
      </c>
      <c r="M45" s="79">
        <v>37825.699999999997</v>
      </c>
      <c r="N45" s="79">
        <v>39834.620000000003</v>
      </c>
      <c r="O45" s="79">
        <v>42082.21</v>
      </c>
      <c r="P45" s="79">
        <v>41815.08</v>
      </c>
      <c r="Q45" s="79">
        <v>43800.53</v>
      </c>
      <c r="R45" s="79">
        <v>45064.99</v>
      </c>
      <c r="S45" s="79">
        <v>46558.47</v>
      </c>
      <c r="T45" s="79">
        <v>49673.69</v>
      </c>
      <c r="U45" s="79">
        <v>52103.14</v>
      </c>
      <c r="V45" s="79">
        <v>64639.32</v>
      </c>
      <c r="W45" s="79">
        <v>73650.44</v>
      </c>
      <c r="X45" s="79">
        <v>74690.75</v>
      </c>
      <c r="Y45" s="79">
        <v>74815.28</v>
      </c>
      <c r="Z45" s="79">
        <v>73066.02</v>
      </c>
      <c r="AA45" s="79">
        <v>68093.899999999994</v>
      </c>
      <c r="AB45" s="79">
        <v>62258.07</v>
      </c>
      <c r="AC45" s="210"/>
      <c r="AD45" s="18"/>
    </row>
    <row r="46" spans="2:30" ht="18.649999999999999" customHeight="1" thickBot="1" x14ac:dyDescent="0.4">
      <c r="B46" s="208"/>
      <c r="C46" s="15" t="s">
        <v>32</v>
      </c>
      <c r="D46" s="16">
        <v>0</v>
      </c>
      <c r="E46" s="193">
        <v>0</v>
      </c>
      <c r="F46" s="193">
        <v>0</v>
      </c>
      <c r="G46" s="193">
        <v>0</v>
      </c>
      <c r="H46" s="193">
        <v>0</v>
      </c>
      <c r="I46" s="193">
        <v>0</v>
      </c>
      <c r="J46" s="193">
        <v>0</v>
      </c>
      <c r="K46" s="193">
        <v>0</v>
      </c>
      <c r="L46" s="193">
        <v>0</v>
      </c>
      <c r="M46" s="193">
        <v>0</v>
      </c>
      <c r="N46" s="193">
        <v>0</v>
      </c>
      <c r="O46" s="193">
        <v>0</v>
      </c>
      <c r="P46" s="193">
        <v>0</v>
      </c>
      <c r="Q46" s="193">
        <v>0</v>
      </c>
      <c r="R46" s="193">
        <v>0</v>
      </c>
      <c r="S46" s="193">
        <v>0</v>
      </c>
      <c r="T46" s="193">
        <v>0</v>
      </c>
      <c r="U46" s="193">
        <v>0</v>
      </c>
      <c r="V46" s="193">
        <v>0</v>
      </c>
      <c r="W46" s="193">
        <v>0</v>
      </c>
      <c r="X46" s="193">
        <v>0</v>
      </c>
      <c r="Y46" s="193">
        <v>0</v>
      </c>
      <c r="Z46" s="193">
        <v>0</v>
      </c>
      <c r="AA46" s="193">
        <v>0</v>
      </c>
      <c r="AB46" s="193">
        <v>0</v>
      </c>
      <c r="AC46" s="210"/>
      <c r="AD46" s="18"/>
    </row>
    <row r="47" spans="2:30" ht="18.649999999999999" customHeight="1" x14ac:dyDescent="0.35">
      <c r="B47" s="211">
        <v>47757</v>
      </c>
      <c r="C47" s="6" t="s">
        <v>29</v>
      </c>
      <c r="D47" s="7">
        <v>22</v>
      </c>
      <c r="E47" s="78">
        <v>51279.3</v>
      </c>
      <c r="F47" s="78">
        <v>47971.360000000001</v>
      </c>
      <c r="G47" s="78">
        <v>45221.1</v>
      </c>
      <c r="H47" s="78">
        <v>42943.82</v>
      </c>
      <c r="I47" s="78">
        <v>42244.23</v>
      </c>
      <c r="J47" s="78">
        <v>42721.279999999999</v>
      </c>
      <c r="K47" s="78">
        <v>42303.99</v>
      </c>
      <c r="L47" s="78">
        <v>44074.18</v>
      </c>
      <c r="M47" s="78">
        <v>47935.08</v>
      </c>
      <c r="N47" s="78">
        <v>49429.68</v>
      </c>
      <c r="O47" s="78">
        <v>51890.9</v>
      </c>
      <c r="P47" s="78">
        <v>55216.800000000003</v>
      </c>
      <c r="Q47" s="78">
        <v>52017.56</v>
      </c>
      <c r="R47" s="78">
        <v>54673.33</v>
      </c>
      <c r="S47" s="78">
        <v>60825.52</v>
      </c>
      <c r="T47" s="78">
        <v>63725.599999999999</v>
      </c>
      <c r="U47" s="78">
        <v>66183.929999999993</v>
      </c>
      <c r="V47" s="78">
        <v>76218.12</v>
      </c>
      <c r="W47" s="78">
        <v>82098.37</v>
      </c>
      <c r="X47" s="78">
        <v>80481.259999999995</v>
      </c>
      <c r="Y47" s="78">
        <v>78510.77</v>
      </c>
      <c r="Z47" s="78">
        <v>74619.399999999994</v>
      </c>
      <c r="AA47" s="78">
        <v>68390.25</v>
      </c>
      <c r="AB47" s="78">
        <v>62066.36</v>
      </c>
      <c r="AC47" s="209">
        <f>SUM(E47:AB47)*D47+SUM(E48:AB48)*D48+SUM(E49:AB49)*D49+SUM(E50:AB50)*D50</f>
        <v>41935169.109999992</v>
      </c>
      <c r="AD47" s="18"/>
    </row>
    <row r="48" spans="2:30" ht="18.649999999999999" customHeight="1" x14ac:dyDescent="0.35">
      <c r="B48" s="212" t="s">
        <v>34</v>
      </c>
      <c r="C48" s="9" t="s">
        <v>30</v>
      </c>
      <c r="D48" s="10">
        <v>4</v>
      </c>
      <c r="E48" s="79">
        <v>51340.49</v>
      </c>
      <c r="F48" s="79">
        <v>47765.53</v>
      </c>
      <c r="G48" s="79">
        <v>44402.15</v>
      </c>
      <c r="H48" s="79">
        <v>42417.9</v>
      </c>
      <c r="I48" s="79">
        <v>41971.44</v>
      </c>
      <c r="J48" s="79">
        <v>40837.07</v>
      </c>
      <c r="K48" s="79">
        <v>40878.51</v>
      </c>
      <c r="L48" s="79">
        <v>41224.53</v>
      </c>
      <c r="M48" s="79">
        <v>44765.66</v>
      </c>
      <c r="N48" s="79">
        <v>46499.49</v>
      </c>
      <c r="O48" s="79">
        <v>49601.87</v>
      </c>
      <c r="P48" s="79">
        <v>50898.62</v>
      </c>
      <c r="Q48" s="79">
        <v>50084.52</v>
      </c>
      <c r="R48" s="79">
        <v>50562.43</v>
      </c>
      <c r="S48" s="79">
        <v>53633.9</v>
      </c>
      <c r="T48" s="79">
        <v>57207.49</v>
      </c>
      <c r="U48" s="79">
        <v>59924.480000000003</v>
      </c>
      <c r="V48" s="79">
        <v>72702.740000000005</v>
      </c>
      <c r="W48" s="79">
        <v>79963.539999999994</v>
      </c>
      <c r="X48" s="79">
        <v>78505.759999999995</v>
      </c>
      <c r="Y48" s="79">
        <v>75703.91</v>
      </c>
      <c r="Z48" s="79">
        <v>72351.87</v>
      </c>
      <c r="AA48" s="79">
        <v>68386.89</v>
      </c>
      <c r="AB48" s="79">
        <v>63330.42</v>
      </c>
      <c r="AC48" s="210"/>
      <c r="AD48" s="18"/>
    </row>
    <row r="49" spans="2:62" ht="18.649999999999999" customHeight="1" x14ac:dyDescent="0.35">
      <c r="B49" s="212" t="s">
        <v>34</v>
      </c>
      <c r="C49" s="9" t="s">
        <v>31</v>
      </c>
      <c r="D49" s="10">
        <v>4</v>
      </c>
      <c r="E49" s="79">
        <v>51954.75</v>
      </c>
      <c r="F49" s="79">
        <v>48429.37</v>
      </c>
      <c r="G49" s="79">
        <v>45489.38</v>
      </c>
      <c r="H49" s="79">
        <v>43836.28</v>
      </c>
      <c r="I49" s="79">
        <v>42606.559999999998</v>
      </c>
      <c r="J49" s="79">
        <v>41156.120000000003</v>
      </c>
      <c r="K49" s="79">
        <v>37574.57</v>
      </c>
      <c r="L49" s="79">
        <v>36470.019999999997</v>
      </c>
      <c r="M49" s="79">
        <v>36260.01</v>
      </c>
      <c r="N49" s="79">
        <v>36407.519999999997</v>
      </c>
      <c r="O49" s="79">
        <v>38442.78</v>
      </c>
      <c r="P49" s="79">
        <v>40791.160000000003</v>
      </c>
      <c r="Q49" s="79">
        <v>42934.27</v>
      </c>
      <c r="R49" s="79">
        <v>44897.64</v>
      </c>
      <c r="S49" s="79">
        <v>47757.31</v>
      </c>
      <c r="T49" s="79">
        <v>49719.32</v>
      </c>
      <c r="U49" s="79">
        <v>53544.23</v>
      </c>
      <c r="V49" s="79">
        <v>66220.539999999994</v>
      </c>
      <c r="W49" s="79">
        <v>76071.92</v>
      </c>
      <c r="X49" s="79">
        <v>77109.89</v>
      </c>
      <c r="Y49" s="79">
        <v>77005.27</v>
      </c>
      <c r="Z49" s="79">
        <v>74646.97</v>
      </c>
      <c r="AA49" s="79">
        <v>69009.42</v>
      </c>
      <c r="AB49" s="79">
        <v>63093.89</v>
      </c>
      <c r="AC49" s="210"/>
      <c r="AD49" s="18"/>
    </row>
    <row r="50" spans="2:62" ht="18.649999999999999" customHeight="1" thickBot="1" x14ac:dyDescent="0.4">
      <c r="B50" s="213" t="s">
        <v>34</v>
      </c>
      <c r="C50" s="11" t="s">
        <v>32</v>
      </c>
      <c r="D50" s="12">
        <v>1</v>
      </c>
      <c r="E50" s="269">
        <v>52445.59</v>
      </c>
      <c r="F50" s="76">
        <v>49034.22</v>
      </c>
      <c r="G50" s="76">
        <v>46079.63</v>
      </c>
      <c r="H50" s="76">
        <v>44324.68</v>
      </c>
      <c r="I50" s="76">
        <v>42989.48</v>
      </c>
      <c r="J50" s="76">
        <v>41664.93</v>
      </c>
      <c r="K50" s="76">
        <v>37840.230000000003</v>
      </c>
      <c r="L50" s="76">
        <v>36630.449999999997</v>
      </c>
      <c r="M50" s="76">
        <v>36614.269999999997</v>
      </c>
      <c r="N50" s="76">
        <v>36771.370000000003</v>
      </c>
      <c r="O50" s="76">
        <v>38623.910000000003</v>
      </c>
      <c r="P50" s="76">
        <v>40857.300000000003</v>
      </c>
      <c r="Q50" s="76">
        <v>42953.72</v>
      </c>
      <c r="R50" s="76">
        <v>44815.31</v>
      </c>
      <c r="S50" s="76">
        <v>47508.23</v>
      </c>
      <c r="T50" s="76">
        <v>49303.45</v>
      </c>
      <c r="U50" s="76">
        <v>53246.63</v>
      </c>
      <c r="V50" s="76">
        <v>65805.14</v>
      </c>
      <c r="W50" s="76">
        <v>75447.77</v>
      </c>
      <c r="X50" s="76">
        <v>76426.710000000006</v>
      </c>
      <c r="Y50" s="76">
        <v>76800.22</v>
      </c>
      <c r="Z50" s="76">
        <v>74468.899999999994</v>
      </c>
      <c r="AA50" s="76">
        <v>68926.850000000006</v>
      </c>
      <c r="AB50" s="76">
        <v>63100.34</v>
      </c>
      <c r="AC50" s="214"/>
      <c r="AD50" s="18"/>
    </row>
    <row r="51" spans="2:62" ht="18.649999999999999" customHeight="1" x14ac:dyDescent="0.35">
      <c r="B51" s="207">
        <v>47788</v>
      </c>
      <c r="C51" s="13" t="s">
        <v>29</v>
      </c>
      <c r="D51" s="14">
        <v>19</v>
      </c>
      <c r="E51" s="81">
        <v>47311.03</v>
      </c>
      <c r="F51" s="81">
        <v>44050.06</v>
      </c>
      <c r="G51" s="81">
        <v>41496.720000000001</v>
      </c>
      <c r="H51" s="81">
        <v>39553.050000000003</v>
      </c>
      <c r="I51" s="81">
        <v>39016.6</v>
      </c>
      <c r="J51" s="81">
        <v>39416.32</v>
      </c>
      <c r="K51" s="81">
        <v>39076.78</v>
      </c>
      <c r="L51" s="81">
        <v>41720.22</v>
      </c>
      <c r="M51" s="81">
        <v>45267.39</v>
      </c>
      <c r="N51" s="81">
        <v>46636.97</v>
      </c>
      <c r="O51" s="81">
        <v>48603.69</v>
      </c>
      <c r="P51" s="81">
        <v>50370.11</v>
      </c>
      <c r="Q51" s="81">
        <v>47890.05</v>
      </c>
      <c r="R51" s="81">
        <v>50154.9</v>
      </c>
      <c r="S51" s="81">
        <v>55053.53</v>
      </c>
      <c r="T51" s="81">
        <v>57913.07</v>
      </c>
      <c r="U51" s="81">
        <v>60053.599999999999</v>
      </c>
      <c r="V51" s="81">
        <v>70608.320000000007</v>
      </c>
      <c r="W51" s="81">
        <v>75154.95</v>
      </c>
      <c r="X51" s="81">
        <v>73899.87</v>
      </c>
      <c r="Y51" s="81">
        <v>72375.8</v>
      </c>
      <c r="Z51" s="81">
        <v>69134.61</v>
      </c>
      <c r="AA51" s="81">
        <v>63857.24</v>
      </c>
      <c r="AB51" s="81">
        <v>58218.239999999998</v>
      </c>
      <c r="AC51" s="210">
        <f>SUM(E51:AB51)*D51+SUM(E52:AB52)*D52+SUM(E53:AB53)*D53+SUM(E54:AB54)*D54</f>
        <v>37031373.839999996</v>
      </c>
      <c r="AD51" s="18"/>
    </row>
    <row r="52" spans="2:62" ht="18.649999999999999" customHeight="1" x14ac:dyDescent="0.35">
      <c r="B52" s="208"/>
      <c r="C52" s="9" t="s">
        <v>30</v>
      </c>
      <c r="D52" s="10">
        <v>5</v>
      </c>
      <c r="E52" s="79">
        <v>44077.59</v>
      </c>
      <c r="F52" s="79">
        <v>41420.120000000003</v>
      </c>
      <c r="G52" s="79">
        <v>39428.58</v>
      </c>
      <c r="H52" s="79">
        <v>38080.980000000003</v>
      </c>
      <c r="I52" s="79">
        <v>37532.269999999997</v>
      </c>
      <c r="J52" s="79">
        <v>35731.82</v>
      </c>
      <c r="K52" s="79">
        <v>36079.379999999997</v>
      </c>
      <c r="L52" s="79">
        <v>37485.56</v>
      </c>
      <c r="M52" s="79">
        <v>40754.879999999997</v>
      </c>
      <c r="N52" s="79">
        <v>42293.38</v>
      </c>
      <c r="O52" s="79">
        <v>45789.91</v>
      </c>
      <c r="P52" s="79">
        <v>46758.92</v>
      </c>
      <c r="Q52" s="79">
        <v>46451.6</v>
      </c>
      <c r="R52" s="79">
        <v>45430.98</v>
      </c>
      <c r="S52" s="79">
        <v>45587.29</v>
      </c>
      <c r="T52" s="79">
        <v>48757.72</v>
      </c>
      <c r="U52" s="79">
        <v>52249.1</v>
      </c>
      <c r="V52" s="79">
        <v>65953.69</v>
      </c>
      <c r="W52" s="79">
        <v>72260.02</v>
      </c>
      <c r="X52" s="79">
        <v>71476.91</v>
      </c>
      <c r="Y52" s="79">
        <v>69750.149999999994</v>
      </c>
      <c r="Z52" s="79">
        <v>67381.25</v>
      </c>
      <c r="AA52" s="79">
        <v>64247.08</v>
      </c>
      <c r="AB52" s="79">
        <v>59538.22</v>
      </c>
      <c r="AC52" s="210"/>
      <c r="AD52" s="18"/>
    </row>
    <row r="53" spans="2:62" ht="18.649999999999999" customHeight="1" x14ac:dyDescent="0.35">
      <c r="B53" s="208"/>
      <c r="C53" s="9" t="s">
        <v>31</v>
      </c>
      <c r="D53" s="10">
        <v>4</v>
      </c>
      <c r="E53" s="79">
        <v>49349.72</v>
      </c>
      <c r="F53" s="79">
        <v>46633.73</v>
      </c>
      <c r="G53" s="79">
        <v>43783.39</v>
      </c>
      <c r="H53" s="79">
        <v>41659.57</v>
      </c>
      <c r="I53" s="79">
        <v>40430.15</v>
      </c>
      <c r="J53" s="79">
        <v>39413.47</v>
      </c>
      <c r="K53" s="79">
        <v>36550.019999999997</v>
      </c>
      <c r="L53" s="79">
        <v>35040.54</v>
      </c>
      <c r="M53" s="79">
        <v>34716.54</v>
      </c>
      <c r="N53" s="79">
        <v>35041.129999999997</v>
      </c>
      <c r="O53" s="79">
        <v>37262</v>
      </c>
      <c r="P53" s="79">
        <v>37772.400000000001</v>
      </c>
      <c r="Q53" s="79">
        <v>39157.72</v>
      </c>
      <c r="R53" s="79">
        <v>40337.93</v>
      </c>
      <c r="S53" s="79">
        <v>41717.839999999997</v>
      </c>
      <c r="T53" s="79">
        <v>44076.23</v>
      </c>
      <c r="U53" s="79">
        <v>47190.64</v>
      </c>
      <c r="V53" s="79">
        <v>61189.89</v>
      </c>
      <c r="W53" s="79">
        <v>67190.880000000005</v>
      </c>
      <c r="X53" s="79">
        <v>67411.070000000007</v>
      </c>
      <c r="Y53" s="79">
        <v>66383.7</v>
      </c>
      <c r="Z53" s="79">
        <v>64558.79</v>
      </c>
      <c r="AA53" s="79">
        <v>61235.81</v>
      </c>
      <c r="AB53" s="79">
        <v>57283.28</v>
      </c>
      <c r="AC53" s="210"/>
      <c r="AD53" s="18"/>
    </row>
    <row r="54" spans="2:62" ht="18.649999999999999" customHeight="1" thickBot="1" x14ac:dyDescent="0.4">
      <c r="B54" s="208"/>
      <c r="C54" s="15" t="s">
        <v>32</v>
      </c>
      <c r="D54" s="16">
        <v>2</v>
      </c>
      <c r="E54" s="80">
        <v>49413.06</v>
      </c>
      <c r="F54" s="80">
        <v>46680.31</v>
      </c>
      <c r="G54" s="80">
        <v>43831.51</v>
      </c>
      <c r="H54" s="80">
        <v>41697.4</v>
      </c>
      <c r="I54" s="80">
        <v>40478.559999999998</v>
      </c>
      <c r="J54" s="80">
        <v>39458.5</v>
      </c>
      <c r="K54" s="80">
        <v>36470.800000000003</v>
      </c>
      <c r="L54" s="80">
        <v>34835.089999999997</v>
      </c>
      <c r="M54" s="80">
        <v>34639.53</v>
      </c>
      <c r="N54" s="80">
        <v>34986.58</v>
      </c>
      <c r="O54" s="80">
        <v>37001.879999999997</v>
      </c>
      <c r="P54" s="80">
        <v>37316.239999999998</v>
      </c>
      <c r="Q54" s="80">
        <v>38774.379999999997</v>
      </c>
      <c r="R54" s="80">
        <v>39856.839999999997</v>
      </c>
      <c r="S54" s="80">
        <v>41139.269999999997</v>
      </c>
      <c r="T54" s="80">
        <v>43478.61</v>
      </c>
      <c r="U54" s="80">
        <v>46805.03</v>
      </c>
      <c r="V54" s="80">
        <v>60751.42</v>
      </c>
      <c r="W54" s="80">
        <v>66392.53</v>
      </c>
      <c r="X54" s="80">
        <v>66597.850000000006</v>
      </c>
      <c r="Y54" s="80">
        <v>65834.490000000005</v>
      </c>
      <c r="Z54" s="80">
        <v>64229.08</v>
      </c>
      <c r="AA54" s="80">
        <v>60968.71</v>
      </c>
      <c r="AB54" s="80">
        <v>57068.23</v>
      </c>
      <c r="AC54" s="210"/>
      <c r="AD54" s="18"/>
    </row>
    <row r="55" spans="2:62" ht="18.649999999999999" customHeight="1" x14ac:dyDescent="0.35">
      <c r="B55" s="211">
        <v>47818</v>
      </c>
      <c r="C55" s="6" t="s">
        <v>29</v>
      </c>
      <c r="D55" s="7">
        <v>21</v>
      </c>
      <c r="E55" s="78">
        <v>54509.65</v>
      </c>
      <c r="F55" s="78">
        <v>50959.23</v>
      </c>
      <c r="G55" s="78">
        <v>48025.16</v>
      </c>
      <c r="H55" s="78">
        <v>46293.83</v>
      </c>
      <c r="I55" s="78">
        <v>45539.38</v>
      </c>
      <c r="J55" s="78">
        <v>45968.15</v>
      </c>
      <c r="K55" s="78">
        <v>45137.09</v>
      </c>
      <c r="L55" s="78">
        <v>46923.11</v>
      </c>
      <c r="M55" s="78">
        <v>50139.9</v>
      </c>
      <c r="N55" s="78">
        <v>51558.7</v>
      </c>
      <c r="O55" s="78">
        <v>52940.31</v>
      </c>
      <c r="P55" s="78">
        <v>54844.95</v>
      </c>
      <c r="Q55" s="78">
        <v>53282.94</v>
      </c>
      <c r="R55" s="78">
        <v>54454.65</v>
      </c>
      <c r="S55" s="78">
        <v>58252.03</v>
      </c>
      <c r="T55" s="78">
        <v>61387.23</v>
      </c>
      <c r="U55" s="78">
        <v>65116.63</v>
      </c>
      <c r="V55" s="78">
        <v>77422.789999999994</v>
      </c>
      <c r="W55" s="78">
        <v>84881.9</v>
      </c>
      <c r="X55" s="78">
        <v>83417.91</v>
      </c>
      <c r="Y55" s="78">
        <v>80778.09</v>
      </c>
      <c r="Z55" s="78">
        <v>76081.31</v>
      </c>
      <c r="AA55" s="78">
        <v>70439.399999999994</v>
      </c>
      <c r="AB55" s="78">
        <v>65186.5</v>
      </c>
      <c r="AC55" s="209">
        <f>SUM(E55:AB55)*D55+SUM(E56:AB56)*D56+SUM(E57:AB57)*D57+SUM(E58:AB58)*D58</f>
        <v>43472186.5</v>
      </c>
      <c r="AD55" s="18"/>
    </row>
    <row r="56" spans="2:62" ht="18.649999999999999" customHeight="1" x14ac:dyDescent="0.35">
      <c r="B56" s="212" t="s">
        <v>34</v>
      </c>
      <c r="C56" s="9" t="s">
        <v>30</v>
      </c>
      <c r="D56" s="10">
        <v>4</v>
      </c>
      <c r="E56" s="79">
        <v>54245.53</v>
      </c>
      <c r="F56" s="79">
        <v>50471.03</v>
      </c>
      <c r="G56" s="79">
        <v>48117.75</v>
      </c>
      <c r="H56" s="79">
        <v>46218.14</v>
      </c>
      <c r="I56" s="79">
        <v>45328.11</v>
      </c>
      <c r="J56" s="79">
        <v>44778.31</v>
      </c>
      <c r="K56" s="79">
        <v>43940.9</v>
      </c>
      <c r="L56" s="79">
        <v>44259.47</v>
      </c>
      <c r="M56" s="79">
        <v>49102.94</v>
      </c>
      <c r="N56" s="79">
        <v>51266.33</v>
      </c>
      <c r="O56" s="79">
        <v>53582.19</v>
      </c>
      <c r="P56" s="79">
        <v>55506.05</v>
      </c>
      <c r="Q56" s="79">
        <v>54572.04</v>
      </c>
      <c r="R56" s="79">
        <v>55157.31</v>
      </c>
      <c r="S56" s="79">
        <v>55209.42</v>
      </c>
      <c r="T56" s="79">
        <v>58305.1</v>
      </c>
      <c r="U56" s="79">
        <v>62448.29</v>
      </c>
      <c r="V56" s="79">
        <v>75125.960000000006</v>
      </c>
      <c r="W56" s="79">
        <v>83658.05</v>
      </c>
      <c r="X56" s="79">
        <v>82180.78</v>
      </c>
      <c r="Y56" s="79">
        <v>79644.039999999994</v>
      </c>
      <c r="Z56" s="79">
        <v>77622.66</v>
      </c>
      <c r="AA56" s="79">
        <v>72876.34</v>
      </c>
      <c r="AB56" s="79">
        <v>67419.5</v>
      </c>
      <c r="AC56" s="210"/>
      <c r="AD56" s="18"/>
    </row>
    <row r="57" spans="2:62" ht="18.649999999999999" customHeight="1" x14ac:dyDescent="0.35">
      <c r="B57" s="212" t="s">
        <v>34</v>
      </c>
      <c r="C57" s="9" t="s">
        <v>31</v>
      </c>
      <c r="D57" s="10">
        <v>4</v>
      </c>
      <c r="E57" s="79">
        <v>56994.11</v>
      </c>
      <c r="F57" s="79">
        <v>53751.16</v>
      </c>
      <c r="G57" s="79">
        <v>50926.94</v>
      </c>
      <c r="H57" s="79">
        <v>48828.28</v>
      </c>
      <c r="I57" s="79">
        <v>47674.3</v>
      </c>
      <c r="J57" s="79">
        <v>47100.24</v>
      </c>
      <c r="K57" s="79">
        <v>43185.279999999999</v>
      </c>
      <c r="L57" s="79">
        <v>41194.519999999997</v>
      </c>
      <c r="M57" s="79">
        <v>41695.370000000003</v>
      </c>
      <c r="N57" s="79">
        <v>42678.35</v>
      </c>
      <c r="O57" s="79">
        <v>42565.21</v>
      </c>
      <c r="P57" s="79">
        <v>44201.27</v>
      </c>
      <c r="Q57" s="79">
        <v>46348.01</v>
      </c>
      <c r="R57" s="79">
        <v>49426.49</v>
      </c>
      <c r="S57" s="79">
        <v>46716.32</v>
      </c>
      <c r="T57" s="79">
        <v>52440.05</v>
      </c>
      <c r="U57" s="79">
        <v>57067.87</v>
      </c>
      <c r="V57" s="79">
        <v>69894.19</v>
      </c>
      <c r="W57" s="79">
        <v>78915.48</v>
      </c>
      <c r="X57" s="79">
        <v>77344.399999999994</v>
      </c>
      <c r="Y57" s="79">
        <v>75013.13</v>
      </c>
      <c r="Z57" s="79">
        <v>73247.350000000006</v>
      </c>
      <c r="AA57" s="79">
        <v>69212.98</v>
      </c>
      <c r="AB57" s="79">
        <v>65859.350000000006</v>
      </c>
      <c r="AC57" s="210"/>
      <c r="AD57" s="18"/>
    </row>
    <row r="58" spans="2:62" ht="18.649999999999999" customHeight="1" thickBot="1" x14ac:dyDescent="0.4">
      <c r="B58" s="213" t="s">
        <v>34</v>
      </c>
      <c r="C58" s="11" t="s">
        <v>32</v>
      </c>
      <c r="D58" s="12">
        <v>2</v>
      </c>
      <c r="E58" s="76">
        <v>56994.11</v>
      </c>
      <c r="F58" s="76">
        <v>53751.16</v>
      </c>
      <c r="G58" s="76">
        <v>50926.94</v>
      </c>
      <c r="H58" s="76">
        <v>48828.28</v>
      </c>
      <c r="I58" s="76">
        <v>47674.3</v>
      </c>
      <c r="J58" s="76">
        <v>47100.24</v>
      </c>
      <c r="K58" s="76">
        <v>43185.279999999999</v>
      </c>
      <c r="L58" s="76">
        <v>41194.519999999997</v>
      </c>
      <c r="M58" s="76">
        <v>41695.370000000003</v>
      </c>
      <c r="N58" s="76">
        <v>42678.35</v>
      </c>
      <c r="O58" s="76">
        <v>42565.21</v>
      </c>
      <c r="P58" s="76">
        <v>44201.27</v>
      </c>
      <c r="Q58" s="76">
        <v>46348.01</v>
      </c>
      <c r="R58" s="76">
        <v>49426.49</v>
      </c>
      <c r="S58" s="76">
        <v>46716.32</v>
      </c>
      <c r="T58" s="76">
        <v>52440.05</v>
      </c>
      <c r="U58" s="76">
        <v>57067.87</v>
      </c>
      <c r="V58" s="76">
        <v>69894.19</v>
      </c>
      <c r="W58" s="76">
        <v>78915.48</v>
      </c>
      <c r="X58" s="76">
        <v>77344.399999999994</v>
      </c>
      <c r="Y58" s="76">
        <v>75013.13</v>
      </c>
      <c r="Z58" s="76">
        <v>73247.350000000006</v>
      </c>
      <c r="AA58" s="76">
        <v>69212.98</v>
      </c>
      <c r="AB58" s="76">
        <v>65859.350000000006</v>
      </c>
      <c r="AC58" s="214"/>
      <c r="AD58" s="18"/>
    </row>
    <row r="59" spans="2:62" ht="18.649999999999999" customHeight="1" thickBot="1" x14ac:dyDescent="0.4"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215" t="s">
        <v>33</v>
      </c>
      <c r="AA59" s="216"/>
      <c r="AB59" s="217"/>
      <c r="AC59" s="135">
        <f>SUM(AC11:AC58)</f>
        <v>525234636.23999995</v>
      </c>
      <c r="AD59" s="17"/>
      <c r="AE59" s="18"/>
    </row>
    <row r="60" spans="2:62" ht="34.5" customHeight="1" thickBot="1" x14ac:dyDescent="0.4">
      <c r="B60" s="1" t="s">
        <v>2</v>
      </c>
      <c r="C60" s="2" t="s">
        <v>3</v>
      </c>
      <c r="D60" s="1" t="s">
        <v>4</v>
      </c>
      <c r="E60" s="83" t="s">
        <v>5</v>
      </c>
      <c r="F60" s="3" t="s">
        <v>6</v>
      </c>
      <c r="G60" s="3" t="s">
        <v>7</v>
      </c>
      <c r="H60" s="3" t="s">
        <v>8</v>
      </c>
      <c r="I60" s="3" t="s">
        <v>9</v>
      </c>
      <c r="J60" s="3" t="s">
        <v>10</v>
      </c>
      <c r="K60" s="3" t="s">
        <v>11</v>
      </c>
      <c r="L60" s="3" t="s">
        <v>12</v>
      </c>
      <c r="M60" s="3" t="s">
        <v>13</v>
      </c>
      <c r="N60" s="3" t="s">
        <v>14</v>
      </c>
      <c r="O60" s="3" t="s">
        <v>15</v>
      </c>
      <c r="P60" s="4" t="s">
        <v>16</v>
      </c>
      <c r="Q60" s="5" t="s">
        <v>17</v>
      </c>
      <c r="R60" s="3" t="s">
        <v>18</v>
      </c>
      <c r="S60" s="3" t="s">
        <v>19</v>
      </c>
      <c r="T60" s="3" t="s">
        <v>20</v>
      </c>
      <c r="U60" s="3" t="s">
        <v>21</v>
      </c>
      <c r="V60" s="3" t="s">
        <v>22</v>
      </c>
      <c r="W60" s="3" t="s">
        <v>23</v>
      </c>
      <c r="X60" s="3" t="s">
        <v>24</v>
      </c>
      <c r="Y60" s="3" t="s">
        <v>25</v>
      </c>
      <c r="Z60" s="3" t="s">
        <v>26</v>
      </c>
      <c r="AA60" s="3" t="s">
        <v>27</v>
      </c>
      <c r="AB60" s="4" t="s">
        <v>28</v>
      </c>
      <c r="AC60" s="134" t="s">
        <v>48</v>
      </c>
      <c r="AF60" s="51" t="s">
        <v>51</v>
      </c>
      <c r="AG60" s="51" t="s">
        <v>5</v>
      </c>
      <c r="AH60" s="51" t="s">
        <v>6</v>
      </c>
      <c r="AI60" s="51" t="s">
        <v>7</v>
      </c>
      <c r="AJ60" s="51" t="s">
        <v>8</v>
      </c>
      <c r="AK60" s="51" t="s">
        <v>9</v>
      </c>
      <c r="AL60" s="51" t="s">
        <v>10</v>
      </c>
      <c r="AM60" s="51" t="s">
        <v>11</v>
      </c>
      <c r="AN60" s="51" t="s">
        <v>12</v>
      </c>
      <c r="AO60" s="51" t="s">
        <v>13</v>
      </c>
      <c r="AP60" s="51" t="s">
        <v>14</v>
      </c>
      <c r="AQ60" s="51" t="s">
        <v>15</v>
      </c>
      <c r="AR60" s="51" t="s">
        <v>16</v>
      </c>
      <c r="AS60" s="51" t="s">
        <v>17</v>
      </c>
      <c r="AT60" s="51" t="s">
        <v>18</v>
      </c>
      <c r="AU60" s="51" t="s">
        <v>19</v>
      </c>
      <c r="AV60" s="51" t="s">
        <v>20</v>
      </c>
      <c r="AW60" s="51" t="s">
        <v>21</v>
      </c>
      <c r="AX60" s="51" t="s">
        <v>22</v>
      </c>
      <c r="AY60" s="51" t="s">
        <v>23</v>
      </c>
      <c r="AZ60" s="51" t="s">
        <v>24</v>
      </c>
      <c r="BA60" s="51" t="s">
        <v>25</v>
      </c>
      <c r="BB60" s="51" t="s">
        <v>26</v>
      </c>
      <c r="BC60" s="51" t="s">
        <v>27</v>
      </c>
      <c r="BD60" s="51" t="s">
        <v>28</v>
      </c>
      <c r="BE60" s="52" t="s">
        <v>52</v>
      </c>
      <c r="BF60" s="52" t="s">
        <v>53</v>
      </c>
      <c r="BH60" s="49" t="s">
        <v>56</v>
      </c>
      <c r="BI60" s="50" t="e">
        <f>(+#REF!)/1000</f>
        <v>#REF!</v>
      </c>
      <c r="BJ60" s="49" t="s">
        <v>55</v>
      </c>
    </row>
    <row r="61" spans="2:62" ht="18.649999999999999" customHeight="1" x14ac:dyDescent="0.35">
      <c r="B61" s="207">
        <v>47849</v>
      </c>
      <c r="C61" s="6" t="s">
        <v>29</v>
      </c>
      <c r="D61" s="46">
        <v>21</v>
      </c>
      <c r="E61" s="78">
        <f>ROUND('[7]10.Energ_productos_Necesidad'!AJ260,2)</f>
        <v>58184.78</v>
      </c>
      <c r="F61" s="78">
        <f>ROUND('[7]10.Energ_productos_Necesidad'!AK260,2)</f>
        <v>54915.15</v>
      </c>
      <c r="G61" s="78">
        <f>ROUND('[7]10.Energ_productos_Necesidad'!AL260,2)</f>
        <v>52373.02</v>
      </c>
      <c r="H61" s="78">
        <f>ROUND('[7]10.Energ_productos_Necesidad'!AM260,2)</f>
        <v>50494.54</v>
      </c>
      <c r="I61" s="78">
        <f>ROUND('[7]10.Energ_productos_Necesidad'!AN260,2)</f>
        <v>50006.86</v>
      </c>
      <c r="J61" s="78">
        <f>ROUND('[7]10.Energ_productos_Necesidad'!AO260,2)</f>
        <v>51618.6</v>
      </c>
      <c r="K61" s="78">
        <f>ROUND('[7]10.Energ_productos_Necesidad'!AP260,2)</f>
        <v>50560.13</v>
      </c>
      <c r="L61" s="78">
        <f>ROUND('[7]10.Energ_productos_Necesidad'!AQ260,2)</f>
        <v>53955.19</v>
      </c>
      <c r="M61" s="78">
        <f>ROUND('[7]10.Energ_productos_Necesidad'!AR260,2)</f>
        <v>58307.46</v>
      </c>
      <c r="N61" s="78">
        <f>ROUND('[7]10.Energ_productos_Necesidad'!AS260,2)</f>
        <v>60470.73</v>
      </c>
      <c r="O61" s="78">
        <f>ROUND('[7]10.Energ_productos_Necesidad'!AT260,2)</f>
        <v>63565.86</v>
      </c>
      <c r="P61" s="78">
        <f>ROUND('[7]10.Energ_productos_Necesidad'!AU260,2)</f>
        <v>66607.62</v>
      </c>
      <c r="Q61" s="78">
        <f>ROUND('[7]10.Energ_productos_Necesidad'!AV260,2)</f>
        <v>64596.73</v>
      </c>
      <c r="R61" s="78">
        <f>ROUND('[7]10.Energ_productos_Necesidad'!AW260,2)</f>
        <v>67410.17</v>
      </c>
      <c r="S61" s="78">
        <f>ROUND('[7]10.Energ_productos_Necesidad'!AX260,2)</f>
        <v>71748.649999999994</v>
      </c>
      <c r="T61" s="78">
        <f>ROUND('[7]10.Energ_productos_Necesidad'!AY260,2)</f>
        <v>72964.899999999994</v>
      </c>
      <c r="U61" s="78">
        <f>ROUND('[7]10.Energ_productos_Necesidad'!AZ260,2)</f>
        <v>73527</v>
      </c>
      <c r="V61" s="78">
        <f>ROUND('[7]10.Energ_productos_Necesidad'!BA260,2)</f>
        <v>78276.990000000005</v>
      </c>
      <c r="W61" s="78">
        <f>ROUND('[7]10.Energ_productos_Necesidad'!BB260,2)</f>
        <v>84475.29</v>
      </c>
      <c r="X61" s="78">
        <f>ROUND('[7]10.Energ_productos_Necesidad'!BC260,2)</f>
        <v>84849.600000000006</v>
      </c>
      <c r="Y61" s="78">
        <f>ROUND('[7]10.Energ_productos_Necesidad'!BD260,2)</f>
        <v>82982.33</v>
      </c>
      <c r="Z61" s="78">
        <f>ROUND('[7]10.Energ_productos_Necesidad'!BE260,2)</f>
        <v>79451.27</v>
      </c>
      <c r="AA61" s="78">
        <f>ROUND('[7]10.Energ_productos_Necesidad'!BF260,2)</f>
        <v>73895.460000000006</v>
      </c>
      <c r="AB61" s="78">
        <f>ROUND('[7]10.Energ_productos_Necesidad'!BG260,2)</f>
        <v>68114.33</v>
      </c>
      <c r="AC61" s="209">
        <f>SUM(E61:AB61)*D61+SUM(E62:AB62)*D62+SUM(E63:AB63)*D63+SUM(E64:AB64)*D64</f>
        <v>47139199.020000003</v>
      </c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</row>
    <row r="62" spans="2:62" ht="18.649999999999999" customHeight="1" x14ac:dyDescent="0.35">
      <c r="B62" s="208"/>
      <c r="C62" s="9" t="s">
        <v>30</v>
      </c>
      <c r="D62" s="10">
        <v>4</v>
      </c>
      <c r="E62" s="79">
        <f>ROUND('[7]10.Energ_productos_Necesidad'!AJ261,2)</f>
        <v>57430.26</v>
      </c>
      <c r="F62" s="79">
        <f>ROUND('[7]10.Energ_productos_Necesidad'!AK261,2)</f>
        <v>54485.33</v>
      </c>
      <c r="G62" s="79">
        <f>ROUND('[7]10.Energ_productos_Necesidad'!AL261,2)</f>
        <v>52023.02</v>
      </c>
      <c r="H62" s="79">
        <f>ROUND('[7]10.Energ_productos_Necesidad'!AM261,2)</f>
        <v>50130.71</v>
      </c>
      <c r="I62" s="79">
        <f>ROUND('[7]10.Energ_productos_Necesidad'!AN261,2)</f>
        <v>49424.07</v>
      </c>
      <c r="J62" s="79">
        <f>ROUND('[7]10.Energ_productos_Necesidad'!AO261,2)</f>
        <v>49605.32</v>
      </c>
      <c r="K62" s="79">
        <f>ROUND('[7]10.Energ_productos_Necesidad'!AP261,2)</f>
        <v>47585.65</v>
      </c>
      <c r="L62" s="79">
        <f>ROUND('[7]10.Energ_productos_Necesidad'!AQ261,2)</f>
        <v>49847.53</v>
      </c>
      <c r="M62" s="79">
        <f>ROUND('[7]10.Energ_productos_Necesidad'!AR261,2)</f>
        <v>53804.79</v>
      </c>
      <c r="N62" s="79">
        <f>ROUND('[7]10.Energ_productos_Necesidad'!AS261,2)</f>
        <v>56862.93</v>
      </c>
      <c r="O62" s="79">
        <f>ROUND('[7]10.Energ_productos_Necesidad'!AT261,2)</f>
        <v>59363.18</v>
      </c>
      <c r="P62" s="79">
        <f>ROUND('[7]10.Energ_productos_Necesidad'!AU261,2)</f>
        <v>60766.06</v>
      </c>
      <c r="Q62" s="79">
        <f>ROUND('[7]10.Energ_productos_Necesidad'!AV261,2)</f>
        <v>60278.05</v>
      </c>
      <c r="R62" s="79">
        <f>ROUND('[7]10.Energ_productos_Necesidad'!AW261,2)</f>
        <v>58829.94</v>
      </c>
      <c r="S62" s="79">
        <f>ROUND('[7]10.Energ_productos_Necesidad'!AX261,2)</f>
        <v>59896.45</v>
      </c>
      <c r="T62" s="79">
        <f>ROUND('[7]10.Energ_productos_Necesidad'!AY261,2)</f>
        <v>61146.37</v>
      </c>
      <c r="U62" s="79">
        <f>ROUND('[7]10.Energ_productos_Necesidad'!AZ261,2)</f>
        <v>62555.360000000001</v>
      </c>
      <c r="V62" s="79">
        <f>ROUND('[7]10.Energ_productos_Necesidad'!BA261,2)</f>
        <v>70930.41</v>
      </c>
      <c r="W62" s="79">
        <f>ROUND('[7]10.Energ_productos_Necesidad'!BB261,2)</f>
        <v>79513.8</v>
      </c>
      <c r="X62" s="79">
        <f>ROUND('[7]10.Energ_productos_Necesidad'!BC261,2)</f>
        <v>79916.23</v>
      </c>
      <c r="Y62" s="79">
        <f>ROUND('[7]10.Energ_productos_Necesidad'!BD261,2)</f>
        <v>77776.39</v>
      </c>
      <c r="Z62" s="79">
        <f>ROUND('[7]10.Energ_productos_Necesidad'!BE261,2)</f>
        <v>74831.460000000006</v>
      </c>
      <c r="AA62" s="79">
        <f>ROUND('[7]10.Energ_productos_Necesidad'!BF261,2)</f>
        <v>70965.59</v>
      </c>
      <c r="AB62" s="79">
        <f>ROUND('[7]10.Energ_productos_Necesidad'!BG261,2)</f>
        <v>66480.42</v>
      </c>
      <c r="AC62" s="210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</row>
    <row r="63" spans="2:62" ht="18.649999999999999" customHeight="1" x14ac:dyDescent="0.35">
      <c r="B63" s="208"/>
      <c r="C63" s="9" t="s">
        <v>31</v>
      </c>
      <c r="D63" s="10">
        <v>4</v>
      </c>
      <c r="E63" s="79">
        <f>ROUND('[7]10.Energ_productos_Necesidad'!AJ262,2)</f>
        <v>57964.94</v>
      </c>
      <c r="F63" s="79">
        <f>ROUND('[7]10.Energ_productos_Necesidad'!AK262,2)</f>
        <v>54911.82</v>
      </c>
      <c r="G63" s="79">
        <f>ROUND('[7]10.Energ_productos_Necesidad'!AL262,2)</f>
        <v>52294.16</v>
      </c>
      <c r="H63" s="79">
        <f>ROUND('[7]10.Energ_productos_Necesidad'!AM262,2)</f>
        <v>50361.66</v>
      </c>
      <c r="I63" s="79">
        <f>ROUND('[7]10.Energ_productos_Necesidad'!AN262,2)</f>
        <v>49415.47</v>
      </c>
      <c r="J63" s="79">
        <f>ROUND('[7]10.Energ_productos_Necesidad'!AO262,2)</f>
        <v>48952.12</v>
      </c>
      <c r="K63" s="79">
        <f>ROUND('[7]10.Energ_productos_Necesidad'!AP262,2)</f>
        <v>45547.94</v>
      </c>
      <c r="L63" s="79">
        <f>ROUND('[7]10.Energ_productos_Necesidad'!AQ262,2)</f>
        <v>44930.35</v>
      </c>
      <c r="M63" s="79">
        <f>ROUND('[7]10.Energ_productos_Necesidad'!AR262,2)</f>
        <v>46024.77</v>
      </c>
      <c r="N63" s="79">
        <f>ROUND('[7]10.Energ_productos_Necesidad'!AS262,2)</f>
        <v>47148.69</v>
      </c>
      <c r="O63" s="79">
        <f>ROUND('[7]10.Energ_productos_Necesidad'!AT262,2)</f>
        <v>49114.25</v>
      </c>
      <c r="P63" s="79">
        <f>ROUND('[7]10.Energ_productos_Necesidad'!AU262,2)</f>
        <v>51055.06</v>
      </c>
      <c r="Q63" s="79">
        <f>ROUND('[7]10.Energ_productos_Necesidad'!AV262,2)</f>
        <v>52771.98</v>
      </c>
      <c r="R63" s="79">
        <f>ROUND('[7]10.Energ_productos_Necesidad'!AW262,2)</f>
        <v>53395.5</v>
      </c>
      <c r="S63" s="79">
        <f>ROUND('[7]10.Energ_productos_Necesidad'!AX262,2)</f>
        <v>54100.12</v>
      </c>
      <c r="T63" s="79">
        <f>ROUND('[7]10.Energ_productos_Necesidad'!AY262,2)</f>
        <v>55245.09</v>
      </c>
      <c r="U63" s="79">
        <f>ROUND('[7]10.Energ_productos_Necesidad'!AZ262,2)</f>
        <v>57334.49</v>
      </c>
      <c r="V63" s="79">
        <f>ROUND('[7]10.Energ_productos_Necesidad'!BA262,2)</f>
        <v>65563.039999999994</v>
      </c>
      <c r="W63" s="79">
        <f>ROUND('[7]10.Energ_productos_Necesidad'!BB262,2)</f>
        <v>74890.81</v>
      </c>
      <c r="X63" s="79">
        <f>ROUND('[7]10.Energ_productos_Necesidad'!BC262,2)</f>
        <v>76918.19</v>
      </c>
      <c r="Y63" s="79">
        <f>ROUND('[7]10.Energ_productos_Necesidad'!BD262,2)</f>
        <v>76271.839999999997</v>
      </c>
      <c r="Z63" s="79">
        <f>ROUND('[7]10.Energ_productos_Necesidad'!BE262,2)</f>
        <v>74212.679999999993</v>
      </c>
      <c r="AA63" s="79">
        <f>ROUND('[7]10.Energ_productos_Necesidad'!BF262,2)</f>
        <v>69521.91</v>
      </c>
      <c r="AB63" s="79">
        <f>ROUND('[7]10.Energ_productos_Necesidad'!BG262,2)</f>
        <v>64035.22</v>
      </c>
      <c r="AC63" s="210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</row>
    <row r="64" spans="2:62" ht="18.649999999999999" customHeight="1" thickBot="1" x14ac:dyDescent="0.4">
      <c r="B64" s="208"/>
      <c r="C64" s="15" t="s">
        <v>32</v>
      </c>
      <c r="D64" s="16">
        <v>2</v>
      </c>
      <c r="E64" s="80">
        <f>ROUND('[7]10.Energ_productos_Necesidad'!AJ263,2)</f>
        <v>57926.23</v>
      </c>
      <c r="F64" s="80">
        <f>ROUND('[7]10.Energ_productos_Necesidad'!AK263,2)</f>
        <v>54791.13</v>
      </c>
      <c r="G64" s="80">
        <f>ROUND('[7]10.Energ_productos_Necesidad'!AL263,2)</f>
        <v>52133.760000000002</v>
      </c>
      <c r="H64" s="80">
        <f>ROUND('[7]10.Energ_productos_Necesidad'!AM263,2)</f>
        <v>50200.93</v>
      </c>
      <c r="I64" s="80">
        <f>ROUND('[7]10.Energ_productos_Necesidad'!AN263,2)</f>
        <v>49282.73</v>
      </c>
      <c r="J64" s="80">
        <f>ROUND('[7]10.Energ_productos_Necesidad'!AO263,2)</f>
        <v>48900.959999999999</v>
      </c>
      <c r="K64" s="80">
        <f>ROUND('[7]10.Energ_productos_Necesidad'!AP263,2)</f>
        <v>45646.2</v>
      </c>
      <c r="L64" s="80">
        <f>ROUND('[7]10.Energ_productos_Necesidad'!AQ263,2)</f>
        <v>45144.86</v>
      </c>
      <c r="M64" s="80">
        <f>ROUND('[7]10.Energ_productos_Necesidad'!AR263,2)</f>
        <v>46350.239999999998</v>
      </c>
      <c r="N64" s="80">
        <f>ROUND('[7]10.Energ_productos_Necesidad'!AS263,2)</f>
        <v>47523.05</v>
      </c>
      <c r="O64" s="80">
        <f>ROUND('[7]10.Energ_productos_Necesidad'!AT263,2)</f>
        <v>49461.4</v>
      </c>
      <c r="P64" s="80">
        <f>ROUND('[7]10.Energ_productos_Necesidad'!AU263,2)</f>
        <v>51353.15</v>
      </c>
      <c r="Q64" s="80">
        <f>ROUND('[7]10.Energ_productos_Necesidad'!AV263,2)</f>
        <v>53044.6</v>
      </c>
      <c r="R64" s="80">
        <f>ROUND('[7]10.Energ_productos_Necesidad'!AW263,2)</f>
        <v>53704.93</v>
      </c>
      <c r="S64" s="80">
        <f>ROUND('[7]10.Energ_productos_Necesidad'!AX263,2)</f>
        <v>54460.51</v>
      </c>
      <c r="T64" s="80">
        <f>ROUND('[7]10.Energ_productos_Necesidad'!AY263,2)</f>
        <v>55661.86</v>
      </c>
      <c r="U64" s="80">
        <f>ROUND('[7]10.Energ_productos_Necesidad'!AZ263,2)</f>
        <v>57739.95</v>
      </c>
      <c r="V64" s="80">
        <f>ROUND('[7]10.Energ_productos_Necesidad'!BA263,2)</f>
        <v>65860.98</v>
      </c>
      <c r="W64" s="80">
        <f>ROUND('[7]10.Energ_productos_Necesidad'!BB263,2)</f>
        <v>75122.240000000005</v>
      </c>
      <c r="X64" s="80">
        <f>ROUND('[7]10.Energ_productos_Necesidad'!BC263,2)</f>
        <v>77189.47</v>
      </c>
      <c r="Y64" s="80">
        <f>ROUND('[7]10.Energ_productos_Necesidad'!BD263,2)</f>
        <v>76565.72</v>
      </c>
      <c r="Z64" s="80">
        <f>ROUND('[7]10.Energ_productos_Necesidad'!BE263,2)</f>
        <v>74513.95</v>
      </c>
      <c r="AA64" s="80">
        <f>ROUND('[7]10.Energ_productos_Necesidad'!BF263,2)</f>
        <v>69757.88</v>
      </c>
      <c r="AB64" s="80">
        <f>ROUND('[7]10.Energ_productos_Necesidad'!BG263,2)</f>
        <v>64197.01</v>
      </c>
      <c r="AC64" s="210"/>
      <c r="AD64" s="53">
        <f>+AC61</f>
        <v>47139199.020000003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</row>
    <row r="65" spans="2:30" ht="18.649999999999999" customHeight="1" x14ac:dyDescent="0.35">
      <c r="B65" s="211">
        <v>47880</v>
      </c>
      <c r="C65" s="6" t="s">
        <v>29</v>
      </c>
      <c r="D65" s="7">
        <v>20</v>
      </c>
      <c r="E65" s="78">
        <f>ROUND('[7]10.Energ_productos_Necesidad'!AJ264,2)</f>
        <v>61513.58</v>
      </c>
      <c r="F65" s="78">
        <f>ROUND('[7]10.Energ_productos_Necesidad'!AK264,2)</f>
        <v>58283.53</v>
      </c>
      <c r="G65" s="78">
        <f>ROUND('[7]10.Energ_productos_Necesidad'!AL264,2)</f>
        <v>55513.4</v>
      </c>
      <c r="H65" s="78">
        <f>ROUND('[7]10.Energ_productos_Necesidad'!AM264,2)</f>
        <v>53469.22</v>
      </c>
      <c r="I65" s="78">
        <f>ROUND('[7]10.Energ_productos_Necesidad'!AN264,2)</f>
        <v>53115.39</v>
      </c>
      <c r="J65" s="78">
        <f>ROUND('[7]10.Energ_productos_Necesidad'!AO264,2)</f>
        <v>56226.35</v>
      </c>
      <c r="K65" s="78">
        <f>ROUND('[7]10.Energ_productos_Necesidad'!AP264,2)</f>
        <v>55119.07</v>
      </c>
      <c r="L65" s="78">
        <f>ROUND('[7]10.Energ_productos_Necesidad'!AQ264,2)</f>
        <v>58358.82</v>
      </c>
      <c r="M65" s="78">
        <f>ROUND('[7]10.Energ_productos_Necesidad'!AR264,2)</f>
        <v>61945.53</v>
      </c>
      <c r="N65" s="78">
        <f>ROUND('[7]10.Energ_productos_Necesidad'!AS264,2)</f>
        <v>63126.5</v>
      </c>
      <c r="O65" s="78">
        <f>ROUND('[7]10.Energ_productos_Necesidad'!AT264,2)</f>
        <v>65860.02</v>
      </c>
      <c r="P65" s="78">
        <f>ROUND('[7]10.Energ_productos_Necesidad'!AU264,2)</f>
        <v>68638.05</v>
      </c>
      <c r="Q65" s="78">
        <f>ROUND('[7]10.Energ_productos_Necesidad'!AV264,2)</f>
        <v>66190.350000000006</v>
      </c>
      <c r="R65" s="78">
        <f>ROUND('[7]10.Energ_productos_Necesidad'!AW264,2)</f>
        <v>69708.149999999994</v>
      </c>
      <c r="S65" s="78">
        <f>ROUND('[7]10.Energ_productos_Necesidad'!AX264,2)</f>
        <v>75062.929999999993</v>
      </c>
      <c r="T65" s="78">
        <f>ROUND('[7]10.Energ_productos_Necesidad'!AY264,2)</f>
        <v>76689.320000000007</v>
      </c>
      <c r="U65" s="78">
        <f>ROUND('[7]10.Energ_productos_Necesidad'!AZ264,2)</f>
        <v>77371.19</v>
      </c>
      <c r="V65" s="78">
        <f>ROUND('[7]10.Energ_productos_Necesidad'!BA264,2)</f>
        <v>81595.23</v>
      </c>
      <c r="W65" s="78">
        <f>ROUND('[7]10.Energ_productos_Necesidad'!BB264,2)</f>
        <v>87431.74</v>
      </c>
      <c r="X65" s="78">
        <f>ROUND('[7]10.Energ_productos_Necesidad'!BC264,2)</f>
        <v>89046.93</v>
      </c>
      <c r="Y65" s="78">
        <f>ROUND('[7]10.Energ_productos_Necesidad'!BD264,2)</f>
        <v>87683.23</v>
      </c>
      <c r="Z65" s="78">
        <f>ROUND('[7]10.Energ_productos_Necesidad'!BE264,2)</f>
        <v>84083.88</v>
      </c>
      <c r="AA65" s="78">
        <f>ROUND('[7]10.Energ_productos_Necesidad'!BF264,2)</f>
        <v>77478.5</v>
      </c>
      <c r="AB65" s="78">
        <f>ROUND('[7]10.Energ_productos_Necesidad'!BG264,2)</f>
        <v>71104.92</v>
      </c>
      <c r="AC65" s="209">
        <f>SUM(E65:AB65)*D65+SUM(E66:AB66)*D66+SUM(E67:AB67)*D67+SUM(E68:AB68)*D68</f>
        <v>45127186.479999997</v>
      </c>
      <c r="AD65" s="148">
        <f>+AC65</f>
        <v>45127186.479999997</v>
      </c>
    </row>
    <row r="66" spans="2:30" ht="18.649999999999999" customHeight="1" x14ac:dyDescent="0.35">
      <c r="B66" s="212" t="s">
        <v>34</v>
      </c>
      <c r="C66" s="9" t="s">
        <v>30</v>
      </c>
      <c r="D66" s="10">
        <v>4</v>
      </c>
      <c r="E66" s="79">
        <f>ROUND('[7]10.Energ_productos_Necesidad'!AJ265,2)</f>
        <v>61769.56</v>
      </c>
      <c r="F66" s="79">
        <f>ROUND('[7]10.Energ_productos_Necesidad'!AK265,2)</f>
        <v>58055.61</v>
      </c>
      <c r="G66" s="79">
        <f>ROUND('[7]10.Energ_productos_Necesidad'!AL265,2)</f>
        <v>55764.85</v>
      </c>
      <c r="H66" s="79">
        <f>ROUND('[7]10.Energ_productos_Necesidad'!AM265,2)</f>
        <v>53291.86</v>
      </c>
      <c r="I66" s="79">
        <f>ROUND('[7]10.Energ_productos_Necesidad'!AN265,2)</f>
        <v>52445.42</v>
      </c>
      <c r="J66" s="79">
        <f>ROUND('[7]10.Energ_productos_Necesidad'!AO265,2)</f>
        <v>52954.68</v>
      </c>
      <c r="K66" s="79">
        <f>ROUND('[7]10.Energ_productos_Necesidad'!AP265,2)</f>
        <v>51448.59</v>
      </c>
      <c r="L66" s="79">
        <f>ROUND('[7]10.Energ_productos_Necesidad'!AQ265,2)</f>
        <v>53800.87</v>
      </c>
      <c r="M66" s="79">
        <f>ROUND('[7]10.Energ_productos_Necesidad'!AR265,2)</f>
        <v>57088.98</v>
      </c>
      <c r="N66" s="79">
        <f>ROUND('[7]10.Energ_productos_Necesidad'!AS265,2)</f>
        <v>58821.31</v>
      </c>
      <c r="O66" s="79">
        <f>ROUND('[7]10.Energ_productos_Necesidad'!AT265,2)</f>
        <v>61319.72</v>
      </c>
      <c r="P66" s="79">
        <f>ROUND('[7]10.Energ_productos_Necesidad'!AU265,2)</f>
        <v>62587.71</v>
      </c>
      <c r="Q66" s="79">
        <f>ROUND('[7]10.Energ_productos_Necesidad'!AV265,2)</f>
        <v>61452.93</v>
      </c>
      <c r="R66" s="79">
        <f>ROUND('[7]10.Energ_productos_Necesidad'!AW265,2)</f>
        <v>61245.15</v>
      </c>
      <c r="S66" s="79">
        <f>ROUND('[7]10.Energ_productos_Necesidad'!AX265,2)</f>
        <v>62466.48</v>
      </c>
      <c r="T66" s="79">
        <f>ROUND('[7]10.Energ_productos_Necesidad'!AY265,2)</f>
        <v>63973.83</v>
      </c>
      <c r="U66" s="79">
        <f>ROUND('[7]10.Energ_productos_Necesidad'!AZ265,2)</f>
        <v>65653.2</v>
      </c>
      <c r="V66" s="79">
        <f>ROUND('[7]10.Energ_productos_Necesidad'!BA265,2)</f>
        <v>73239.37</v>
      </c>
      <c r="W66" s="79">
        <f>ROUND('[7]10.Energ_productos_Necesidad'!BB265,2)</f>
        <v>82179.09</v>
      </c>
      <c r="X66" s="79">
        <f>ROUND('[7]10.Energ_productos_Necesidad'!BC265,2)</f>
        <v>83266.39</v>
      </c>
      <c r="Y66" s="79">
        <f>ROUND('[7]10.Energ_productos_Necesidad'!BD265,2)</f>
        <v>81747.039999999994</v>
      </c>
      <c r="Z66" s="79">
        <f>ROUND('[7]10.Energ_productos_Necesidad'!BE265,2)</f>
        <v>78824.81</v>
      </c>
      <c r="AA66" s="79">
        <f>ROUND('[7]10.Energ_productos_Necesidad'!BF265,2)</f>
        <v>74868.08</v>
      </c>
      <c r="AB66" s="79">
        <f>ROUND('[7]10.Energ_productos_Necesidad'!BG265,2)</f>
        <v>70032.31</v>
      </c>
      <c r="AC66" s="210"/>
      <c r="AD66" s="148">
        <f>+AC69</f>
        <v>47341171.38000001</v>
      </c>
    </row>
    <row r="67" spans="2:30" ht="18.649999999999999" customHeight="1" x14ac:dyDescent="0.35">
      <c r="B67" s="212" t="s">
        <v>34</v>
      </c>
      <c r="C67" s="9" t="s">
        <v>31</v>
      </c>
      <c r="D67" s="10">
        <v>4</v>
      </c>
      <c r="E67" s="79">
        <f>ROUND('[7]10.Energ_productos_Necesidad'!AJ266,2)</f>
        <v>61844.89</v>
      </c>
      <c r="F67" s="79">
        <f>ROUND('[7]10.Energ_productos_Necesidad'!AK266,2)</f>
        <v>58771.81</v>
      </c>
      <c r="G67" s="79">
        <f>ROUND('[7]10.Energ_productos_Necesidad'!AL266,2)</f>
        <v>56068.32</v>
      </c>
      <c r="H67" s="79">
        <f>ROUND('[7]10.Energ_productos_Necesidad'!AM266,2)</f>
        <v>54117.18</v>
      </c>
      <c r="I67" s="79">
        <f>ROUND('[7]10.Energ_productos_Necesidad'!AN266,2)</f>
        <v>53079.55</v>
      </c>
      <c r="J67" s="79">
        <f>ROUND('[7]10.Energ_productos_Necesidad'!AO266,2)</f>
        <v>52903.16</v>
      </c>
      <c r="K67" s="79">
        <f>ROUND('[7]10.Energ_productos_Necesidad'!AP266,2)</f>
        <v>49408.78</v>
      </c>
      <c r="L67" s="79">
        <f>ROUND('[7]10.Energ_productos_Necesidad'!AQ266,2)</f>
        <v>49063.24</v>
      </c>
      <c r="M67" s="79">
        <f>ROUND('[7]10.Energ_productos_Necesidad'!AR266,2)</f>
        <v>49872.51</v>
      </c>
      <c r="N67" s="79">
        <f>ROUND('[7]10.Energ_productos_Necesidad'!AS266,2)</f>
        <v>50255.34</v>
      </c>
      <c r="O67" s="79">
        <f>ROUND('[7]10.Energ_productos_Necesidad'!AT266,2)</f>
        <v>51902.64</v>
      </c>
      <c r="P67" s="79">
        <f>ROUND('[7]10.Energ_productos_Necesidad'!AU266,2)</f>
        <v>54198.33</v>
      </c>
      <c r="Q67" s="79">
        <f>ROUND('[7]10.Energ_productos_Necesidad'!AV266,2)</f>
        <v>56009.120000000003</v>
      </c>
      <c r="R67" s="79">
        <f>ROUND('[7]10.Energ_productos_Necesidad'!AW266,2)</f>
        <v>57170.23</v>
      </c>
      <c r="S67" s="79">
        <f>ROUND('[7]10.Energ_productos_Necesidad'!AX266,2)</f>
        <v>58704.81</v>
      </c>
      <c r="T67" s="79">
        <f>ROUND('[7]10.Energ_productos_Necesidad'!AY266,2)</f>
        <v>60217.54</v>
      </c>
      <c r="U67" s="79">
        <f>ROUND('[7]10.Energ_productos_Necesidad'!AZ266,2)</f>
        <v>61797.26</v>
      </c>
      <c r="V67" s="79">
        <f>ROUND('[7]10.Energ_productos_Necesidad'!BA266,2)</f>
        <v>68203.08</v>
      </c>
      <c r="W67" s="79">
        <f>ROUND('[7]10.Energ_productos_Necesidad'!BB266,2)</f>
        <v>78540.990000000005</v>
      </c>
      <c r="X67" s="79">
        <f>ROUND('[7]10.Energ_productos_Necesidad'!BC266,2)</f>
        <v>81991.649999999994</v>
      </c>
      <c r="Y67" s="79">
        <f>ROUND('[7]10.Energ_productos_Necesidad'!BD266,2)</f>
        <v>82479.16</v>
      </c>
      <c r="Z67" s="79">
        <f>ROUND('[7]10.Energ_productos_Necesidad'!BE266,2)</f>
        <v>81215.38</v>
      </c>
      <c r="AA67" s="79">
        <f>ROUND('[7]10.Energ_productos_Necesidad'!BF266,2)</f>
        <v>74256.92</v>
      </c>
      <c r="AB67" s="79">
        <f>ROUND('[7]10.Energ_productos_Necesidad'!BG266,2)</f>
        <v>68347.740000000005</v>
      </c>
      <c r="AC67" s="210"/>
      <c r="AD67" s="148">
        <f>+AC73</f>
        <v>43245047.18</v>
      </c>
    </row>
    <row r="68" spans="2:30" ht="18.649999999999999" customHeight="1" thickBot="1" x14ac:dyDescent="0.4">
      <c r="B68" s="213" t="s">
        <v>34</v>
      </c>
      <c r="C68" s="11" t="s">
        <v>32</v>
      </c>
      <c r="D68" s="12">
        <v>0</v>
      </c>
      <c r="E68" s="193">
        <f>ROUND('[7]10.Energ_productos_Necesidad'!AJ267,2)</f>
        <v>0</v>
      </c>
      <c r="F68" s="84">
        <f>ROUND('[7]10.Energ_productos_Necesidad'!AK267,2)</f>
        <v>0</v>
      </c>
      <c r="G68" s="84">
        <f>ROUND('[7]10.Energ_productos_Necesidad'!AL267,2)</f>
        <v>0</v>
      </c>
      <c r="H68" s="84">
        <f>ROUND('[7]10.Energ_productos_Necesidad'!AM267,2)</f>
        <v>0</v>
      </c>
      <c r="I68" s="84">
        <f>ROUND('[7]10.Energ_productos_Necesidad'!AN267,2)</f>
        <v>0</v>
      </c>
      <c r="J68" s="84">
        <f>ROUND('[7]10.Energ_productos_Necesidad'!AO267,2)</f>
        <v>0</v>
      </c>
      <c r="K68" s="84">
        <f>ROUND('[7]10.Energ_productos_Necesidad'!AP267,2)</f>
        <v>0</v>
      </c>
      <c r="L68" s="84">
        <f>ROUND('[7]10.Energ_productos_Necesidad'!AQ267,2)</f>
        <v>0</v>
      </c>
      <c r="M68" s="84">
        <f>ROUND('[7]10.Energ_productos_Necesidad'!AR267,2)</f>
        <v>0</v>
      </c>
      <c r="N68" s="84">
        <f>ROUND('[7]10.Energ_productos_Necesidad'!AS267,2)</f>
        <v>0</v>
      </c>
      <c r="O68" s="84">
        <f>ROUND('[7]10.Energ_productos_Necesidad'!AT267,2)</f>
        <v>0</v>
      </c>
      <c r="P68" s="84">
        <f>ROUND('[7]10.Energ_productos_Necesidad'!AU267,2)</f>
        <v>0</v>
      </c>
      <c r="Q68" s="84">
        <f>ROUND('[7]10.Energ_productos_Necesidad'!AV267,2)</f>
        <v>0</v>
      </c>
      <c r="R68" s="84">
        <f>ROUND('[7]10.Energ_productos_Necesidad'!AW267,2)</f>
        <v>0</v>
      </c>
      <c r="S68" s="84">
        <f>ROUND('[7]10.Energ_productos_Necesidad'!AX267,2)</f>
        <v>0</v>
      </c>
      <c r="T68" s="84">
        <f>ROUND('[7]10.Energ_productos_Necesidad'!AY267,2)</f>
        <v>0</v>
      </c>
      <c r="U68" s="84">
        <f>ROUND('[7]10.Energ_productos_Necesidad'!AZ267,2)</f>
        <v>0</v>
      </c>
      <c r="V68" s="84">
        <f>ROUND('[7]10.Energ_productos_Necesidad'!BA267,2)</f>
        <v>0</v>
      </c>
      <c r="W68" s="84">
        <f>ROUND('[7]10.Energ_productos_Necesidad'!BB267,2)</f>
        <v>0</v>
      </c>
      <c r="X68" s="84">
        <f>ROUND('[7]10.Energ_productos_Necesidad'!BC267,2)</f>
        <v>0</v>
      </c>
      <c r="Y68" s="84">
        <f>ROUND('[7]10.Energ_productos_Necesidad'!BD267,2)</f>
        <v>0</v>
      </c>
      <c r="Z68" s="84">
        <f>ROUND('[7]10.Energ_productos_Necesidad'!BE267,2)</f>
        <v>0</v>
      </c>
      <c r="AA68" s="84">
        <f>ROUND('[7]10.Energ_productos_Necesidad'!BF267,2)</f>
        <v>0</v>
      </c>
      <c r="AB68" s="84">
        <f>ROUND('[7]10.Energ_productos_Necesidad'!BG267,2)</f>
        <v>0</v>
      </c>
      <c r="AC68" s="214"/>
      <c r="AD68" s="148">
        <f>+AC77</f>
        <v>44593125.789999999</v>
      </c>
    </row>
    <row r="69" spans="2:30" ht="18.649999999999999" customHeight="1" x14ac:dyDescent="0.35">
      <c r="B69" s="207">
        <v>47908</v>
      </c>
      <c r="C69" s="13" t="s">
        <v>29</v>
      </c>
      <c r="D69" s="14">
        <v>20</v>
      </c>
      <c r="E69" s="81">
        <f>ROUND('[7]10.Energ_productos_Necesidad'!AJ268,2)</f>
        <v>57344</v>
      </c>
      <c r="F69" s="81">
        <f>ROUND('[7]10.Energ_productos_Necesidad'!AK268,2)</f>
        <v>54208.26</v>
      </c>
      <c r="G69" s="81">
        <f>ROUND('[7]10.Energ_productos_Necesidad'!AL268,2)</f>
        <v>51744.81</v>
      </c>
      <c r="H69" s="81">
        <f>ROUND('[7]10.Energ_productos_Necesidad'!AM268,2)</f>
        <v>50144.79</v>
      </c>
      <c r="I69" s="81">
        <f>ROUND('[7]10.Energ_productos_Necesidad'!AN268,2)</f>
        <v>50143.43</v>
      </c>
      <c r="J69" s="81">
        <f>ROUND('[7]10.Energ_productos_Necesidad'!AO268,2)</f>
        <v>52613.16</v>
      </c>
      <c r="K69" s="81">
        <f>ROUND('[7]10.Energ_productos_Necesidad'!AP268,2)</f>
        <v>52182.03</v>
      </c>
      <c r="L69" s="81">
        <f>ROUND('[7]10.Energ_productos_Necesidad'!AQ268,2)</f>
        <v>55949.97</v>
      </c>
      <c r="M69" s="81">
        <f>ROUND('[7]10.Energ_productos_Necesidad'!AR268,2)</f>
        <v>59622.2</v>
      </c>
      <c r="N69" s="81">
        <f>ROUND('[7]10.Energ_productos_Necesidad'!AS268,2)</f>
        <v>61028</v>
      </c>
      <c r="O69" s="81">
        <f>ROUND('[7]10.Energ_productos_Necesidad'!AT268,2)</f>
        <v>63644.42</v>
      </c>
      <c r="P69" s="81">
        <f>ROUND('[7]10.Energ_productos_Necesidad'!AU268,2)</f>
        <v>65623.22</v>
      </c>
      <c r="Q69" s="81">
        <f>ROUND('[7]10.Energ_productos_Necesidad'!AV268,2)</f>
        <v>61857.52</v>
      </c>
      <c r="R69" s="81">
        <f>ROUND('[7]10.Energ_productos_Necesidad'!AW268,2)</f>
        <v>64742.84</v>
      </c>
      <c r="S69" s="81">
        <f>ROUND('[7]10.Energ_productos_Necesidad'!AX268,2)</f>
        <v>69724.039999999994</v>
      </c>
      <c r="T69" s="81">
        <f>ROUND('[7]10.Energ_productos_Necesidad'!AY268,2)</f>
        <v>71680.89</v>
      </c>
      <c r="U69" s="81">
        <f>ROUND('[7]10.Energ_productos_Necesidad'!AZ268,2)</f>
        <v>73031.17</v>
      </c>
      <c r="V69" s="81">
        <f>ROUND('[7]10.Energ_productos_Necesidad'!BA268,2)</f>
        <v>77654.84</v>
      </c>
      <c r="W69" s="81">
        <f>ROUND('[7]10.Energ_productos_Necesidad'!BB268,2)</f>
        <v>83541.039999999994</v>
      </c>
      <c r="X69" s="81">
        <f>ROUND('[7]10.Energ_productos_Necesidad'!BC268,2)</f>
        <v>84235.95</v>
      </c>
      <c r="Y69" s="81">
        <f>ROUND('[7]10.Energ_productos_Necesidad'!BD268,2)</f>
        <v>82087.13</v>
      </c>
      <c r="Z69" s="81">
        <f>ROUND('[7]10.Energ_productos_Necesidad'!BE268,2)</f>
        <v>78106.95</v>
      </c>
      <c r="AA69" s="81">
        <f>ROUND('[7]10.Energ_productos_Necesidad'!BF268,2)</f>
        <v>71993.570000000007</v>
      </c>
      <c r="AB69" s="81">
        <f>ROUND('[7]10.Energ_productos_Necesidad'!BG268,2)</f>
        <v>65916.820000000007</v>
      </c>
      <c r="AC69" s="210">
        <f>SUM(E69:AB69)*D69+SUM(E70:AB70)*D70+SUM(E71:AB71)*D71+SUM(E72:AB72)*D72</f>
        <v>47341171.38000001</v>
      </c>
      <c r="AD69" s="148">
        <f>+AC81</f>
        <v>43761735.43999999</v>
      </c>
    </row>
    <row r="70" spans="2:30" ht="18.649999999999999" customHeight="1" x14ac:dyDescent="0.35">
      <c r="B70" s="208"/>
      <c r="C70" s="9" t="s">
        <v>30</v>
      </c>
      <c r="D70" s="10">
        <v>5</v>
      </c>
      <c r="E70" s="79">
        <f>ROUND('[7]10.Energ_productos_Necesidad'!AJ269,2)</f>
        <v>57197.55</v>
      </c>
      <c r="F70" s="79">
        <f>ROUND('[7]10.Energ_productos_Necesidad'!AK269,2)</f>
        <v>54187.79</v>
      </c>
      <c r="G70" s="79">
        <f>ROUND('[7]10.Energ_productos_Necesidad'!AL269,2)</f>
        <v>51593.919999999998</v>
      </c>
      <c r="H70" s="79">
        <f>ROUND('[7]10.Energ_productos_Necesidad'!AM269,2)</f>
        <v>50002.34</v>
      </c>
      <c r="I70" s="79">
        <f>ROUND('[7]10.Energ_productos_Necesidad'!AN269,2)</f>
        <v>49491.64</v>
      </c>
      <c r="J70" s="79">
        <f>ROUND('[7]10.Energ_productos_Necesidad'!AO269,2)</f>
        <v>49793.75</v>
      </c>
      <c r="K70" s="79">
        <f>ROUND('[7]10.Energ_productos_Necesidad'!AP269,2)</f>
        <v>49173.22</v>
      </c>
      <c r="L70" s="79">
        <f>ROUND('[7]10.Energ_productos_Necesidad'!AQ269,2)</f>
        <v>52108.84</v>
      </c>
      <c r="M70" s="79">
        <f>ROUND('[7]10.Energ_productos_Necesidad'!AR269,2)</f>
        <v>56281.19</v>
      </c>
      <c r="N70" s="79">
        <f>ROUND('[7]10.Energ_productos_Necesidad'!AS269,2)</f>
        <v>58471.59</v>
      </c>
      <c r="O70" s="79">
        <f>ROUND('[7]10.Energ_productos_Necesidad'!AT269,2)</f>
        <v>60959.88</v>
      </c>
      <c r="P70" s="79">
        <f>ROUND('[7]10.Energ_productos_Necesidad'!AU269,2)</f>
        <v>62630.26</v>
      </c>
      <c r="Q70" s="79">
        <f>ROUND('[7]10.Energ_productos_Necesidad'!AV269,2)</f>
        <v>61330.559999999998</v>
      </c>
      <c r="R70" s="79">
        <f>ROUND('[7]10.Energ_productos_Necesidad'!AW269,2)</f>
        <v>60857.41</v>
      </c>
      <c r="S70" s="79">
        <f>ROUND('[7]10.Energ_productos_Necesidad'!AX269,2)</f>
        <v>62268.69</v>
      </c>
      <c r="T70" s="79">
        <f>ROUND('[7]10.Energ_productos_Necesidad'!AY269,2)</f>
        <v>63449.11</v>
      </c>
      <c r="U70" s="79">
        <f>ROUND('[7]10.Energ_productos_Necesidad'!AZ269,2)</f>
        <v>65255.46</v>
      </c>
      <c r="V70" s="79">
        <f>ROUND('[7]10.Energ_productos_Necesidad'!BA269,2)</f>
        <v>72145.210000000006</v>
      </c>
      <c r="W70" s="79">
        <f>ROUND('[7]10.Energ_productos_Necesidad'!BB269,2)</f>
        <v>80853.460000000006</v>
      </c>
      <c r="X70" s="79">
        <f>ROUND('[7]10.Energ_productos_Necesidad'!BC269,2)</f>
        <v>82071.259999999995</v>
      </c>
      <c r="Y70" s="79">
        <f>ROUND('[7]10.Energ_productos_Necesidad'!BD269,2)</f>
        <v>80092.86</v>
      </c>
      <c r="Z70" s="79">
        <f>ROUND('[7]10.Energ_productos_Necesidad'!BE269,2)</f>
        <v>77267.899999999994</v>
      </c>
      <c r="AA70" s="79">
        <f>ROUND('[7]10.Energ_productos_Necesidad'!BF269,2)</f>
        <v>72995.64</v>
      </c>
      <c r="AB70" s="79">
        <f>ROUND('[7]10.Energ_productos_Necesidad'!BG269,2)</f>
        <v>68495.070000000007</v>
      </c>
      <c r="AC70" s="210"/>
      <c r="AD70" s="148">
        <f>+AC85</f>
        <v>44341109.969999991</v>
      </c>
    </row>
    <row r="71" spans="2:30" ht="18.649999999999999" customHeight="1" x14ac:dyDescent="0.35">
      <c r="B71" s="208"/>
      <c r="C71" s="9" t="s">
        <v>31</v>
      </c>
      <c r="D71" s="10">
        <v>5</v>
      </c>
      <c r="E71" s="79">
        <f>ROUND('[7]10.Energ_productos_Necesidad'!AJ270,2)</f>
        <v>59477.99</v>
      </c>
      <c r="F71" s="79">
        <f>ROUND('[7]10.Energ_productos_Necesidad'!AK270,2)</f>
        <v>56197.440000000002</v>
      </c>
      <c r="G71" s="79">
        <f>ROUND('[7]10.Energ_productos_Necesidad'!AL270,2)</f>
        <v>53485.54</v>
      </c>
      <c r="H71" s="79">
        <f>ROUND('[7]10.Energ_productos_Necesidad'!AM270,2)</f>
        <v>51558.080000000002</v>
      </c>
      <c r="I71" s="79">
        <f>ROUND('[7]10.Energ_productos_Necesidad'!AN270,2)</f>
        <v>50493.56</v>
      </c>
      <c r="J71" s="79">
        <f>ROUND('[7]10.Energ_productos_Necesidad'!AO270,2)</f>
        <v>49883.58</v>
      </c>
      <c r="K71" s="79">
        <f>ROUND('[7]10.Energ_productos_Necesidad'!AP270,2)</f>
        <v>47480.5</v>
      </c>
      <c r="L71" s="79">
        <f>ROUND('[7]10.Energ_productos_Necesidad'!AQ270,2)</f>
        <v>47972.19</v>
      </c>
      <c r="M71" s="79">
        <f>ROUND('[7]10.Energ_productos_Necesidad'!AR270,2)</f>
        <v>49680.1</v>
      </c>
      <c r="N71" s="79">
        <f>ROUND('[7]10.Energ_productos_Necesidad'!AS270,2)</f>
        <v>50735.07</v>
      </c>
      <c r="O71" s="79">
        <f>ROUND('[7]10.Energ_productos_Necesidad'!AT270,2)</f>
        <v>52581.68</v>
      </c>
      <c r="P71" s="79">
        <f>ROUND('[7]10.Energ_productos_Necesidad'!AU270,2)</f>
        <v>54734.51</v>
      </c>
      <c r="Q71" s="79">
        <f>ROUND('[7]10.Energ_productos_Necesidad'!AV270,2)</f>
        <v>56328.1</v>
      </c>
      <c r="R71" s="79">
        <f>ROUND('[7]10.Energ_productos_Necesidad'!AW270,2)</f>
        <v>57150.9</v>
      </c>
      <c r="S71" s="79">
        <f>ROUND('[7]10.Energ_productos_Necesidad'!AX270,2)</f>
        <v>58216.32</v>
      </c>
      <c r="T71" s="79">
        <f>ROUND('[7]10.Energ_productos_Necesidad'!AY270,2)</f>
        <v>60095.82</v>
      </c>
      <c r="U71" s="79">
        <f>ROUND('[7]10.Energ_productos_Necesidad'!AZ270,2)</f>
        <v>61615.09</v>
      </c>
      <c r="V71" s="79">
        <f>ROUND('[7]10.Energ_productos_Necesidad'!BA270,2)</f>
        <v>68590.44</v>
      </c>
      <c r="W71" s="79">
        <f>ROUND('[7]10.Energ_productos_Necesidad'!BB270,2)</f>
        <v>77622.960000000006</v>
      </c>
      <c r="X71" s="79">
        <f>ROUND('[7]10.Energ_productos_Necesidad'!BC270,2)</f>
        <v>80410.66</v>
      </c>
      <c r="Y71" s="79">
        <f>ROUND('[7]10.Energ_productos_Necesidad'!BD270,2)</f>
        <v>80685.100000000006</v>
      </c>
      <c r="Z71" s="79">
        <f>ROUND('[7]10.Energ_productos_Necesidad'!BE270,2)</f>
        <v>78911.69</v>
      </c>
      <c r="AA71" s="79">
        <f>ROUND('[7]10.Energ_productos_Necesidad'!BF270,2)</f>
        <v>74092.38</v>
      </c>
      <c r="AB71" s="79">
        <f>ROUND('[7]10.Energ_productos_Necesidad'!BG270,2)</f>
        <v>67954.03</v>
      </c>
      <c r="AC71" s="210"/>
      <c r="AD71" s="148">
        <f>+AC89</f>
        <v>44277468.480000004</v>
      </c>
    </row>
    <row r="72" spans="2:30" ht="18.649999999999999" customHeight="1" thickBot="1" x14ac:dyDescent="0.4">
      <c r="B72" s="208"/>
      <c r="C72" s="15" t="s">
        <v>32</v>
      </c>
      <c r="D72" s="16">
        <v>1</v>
      </c>
      <c r="E72" s="80">
        <f>ROUND('[7]10.Energ_productos_Necesidad'!AJ271,2)</f>
        <v>59678.75</v>
      </c>
      <c r="F72" s="80">
        <f>ROUND('[7]10.Energ_productos_Necesidad'!AK271,2)</f>
        <v>56334.55</v>
      </c>
      <c r="G72" s="80">
        <f>ROUND('[7]10.Energ_productos_Necesidad'!AL271,2)</f>
        <v>53599.37</v>
      </c>
      <c r="H72" s="80">
        <f>ROUND('[7]10.Energ_productos_Necesidad'!AM271,2)</f>
        <v>51861.53</v>
      </c>
      <c r="I72" s="80">
        <f>ROUND('[7]10.Energ_productos_Necesidad'!AN271,2)</f>
        <v>50612.12</v>
      </c>
      <c r="J72" s="80">
        <f>ROUND('[7]10.Energ_productos_Necesidad'!AO271,2)</f>
        <v>49948</v>
      </c>
      <c r="K72" s="80">
        <f>ROUND('[7]10.Energ_productos_Necesidad'!AP271,2)</f>
        <v>47504.25</v>
      </c>
      <c r="L72" s="80">
        <f>ROUND('[7]10.Energ_productos_Necesidad'!AQ271,2)</f>
        <v>47906.99</v>
      </c>
      <c r="M72" s="80">
        <f>ROUND('[7]10.Energ_productos_Necesidad'!AR271,2)</f>
        <v>49634.28</v>
      </c>
      <c r="N72" s="80">
        <f>ROUND('[7]10.Energ_productos_Necesidad'!AS271,2)</f>
        <v>50685.98</v>
      </c>
      <c r="O72" s="80">
        <f>ROUND('[7]10.Energ_productos_Necesidad'!AT271,2)</f>
        <v>52249.21</v>
      </c>
      <c r="P72" s="80">
        <f>ROUND('[7]10.Energ_productos_Necesidad'!AU271,2)</f>
        <v>54253.39</v>
      </c>
      <c r="Q72" s="80">
        <f>ROUND('[7]10.Energ_productos_Necesidad'!AV271,2)</f>
        <v>55804.77</v>
      </c>
      <c r="R72" s="80">
        <f>ROUND('[7]10.Energ_productos_Necesidad'!AW271,2)</f>
        <v>56603.69</v>
      </c>
      <c r="S72" s="80">
        <f>ROUND('[7]10.Energ_productos_Necesidad'!AX271,2)</f>
        <v>57663.3</v>
      </c>
      <c r="T72" s="80">
        <f>ROUND('[7]10.Energ_productos_Necesidad'!AY271,2)</f>
        <v>59579.67</v>
      </c>
      <c r="U72" s="80">
        <f>ROUND('[7]10.Energ_productos_Necesidad'!AZ271,2)</f>
        <v>61187</v>
      </c>
      <c r="V72" s="80">
        <f>ROUND('[7]10.Energ_productos_Necesidad'!BA271,2)</f>
        <v>68236.08</v>
      </c>
      <c r="W72" s="80">
        <f>ROUND('[7]10.Energ_productos_Necesidad'!BB271,2)</f>
        <v>77157.67</v>
      </c>
      <c r="X72" s="80">
        <f>ROUND('[7]10.Energ_productos_Necesidad'!BC271,2)</f>
        <v>79909.31</v>
      </c>
      <c r="Y72" s="80">
        <f>ROUND('[7]10.Energ_productos_Necesidad'!BD271,2)</f>
        <v>80156.98</v>
      </c>
      <c r="Z72" s="80">
        <f>ROUND('[7]10.Energ_productos_Necesidad'!BE271,2)</f>
        <v>78439.12</v>
      </c>
      <c r="AA72" s="80">
        <f>ROUND('[7]10.Energ_productos_Necesidad'!BF271,2)</f>
        <v>73621.84</v>
      </c>
      <c r="AB72" s="80">
        <f>ROUND('[7]10.Energ_productos_Necesidad'!BG271,2)</f>
        <v>67480.88</v>
      </c>
      <c r="AC72" s="210"/>
      <c r="AD72" s="148">
        <f>+AC93</f>
        <v>42192654.279999994</v>
      </c>
    </row>
    <row r="73" spans="2:30" ht="18.649999999999999" customHeight="1" x14ac:dyDescent="0.35">
      <c r="B73" s="211">
        <v>47939</v>
      </c>
      <c r="C73" s="6" t="s">
        <v>29</v>
      </c>
      <c r="D73" s="7">
        <v>20</v>
      </c>
      <c r="E73" s="78">
        <f>ROUND('[7]10.Energ_productos_Necesidad'!AJ272,2)</f>
        <v>54411.66</v>
      </c>
      <c r="F73" s="78">
        <f>ROUND('[7]10.Energ_productos_Necesidad'!AK272,2)</f>
        <v>51406.82</v>
      </c>
      <c r="G73" s="78">
        <f>ROUND('[7]10.Energ_productos_Necesidad'!AL272,2)</f>
        <v>49112.67</v>
      </c>
      <c r="H73" s="78">
        <f>ROUND('[7]10.Energ_productos_Necesidad'!AM272,2)</f>
        <v>47653.24</v>
      </c>
      <c r="I73" s="78">
        <f>ROUND('[7]10.Energ_productos_Necesidad'!AN272,2)</f>
        <v>47699.72</v>
      </c>
      <c r="J73" s="78">
        <f>ROUND('[7]10.Energ_productos_Necesidad'!AO272,2)</f>
        <v>48946.93</v>
      </c>
      <c r="K73" s="78">
        <f>ROUND('[7]10.Energ_productos_Necesidad'!AP272,2)</f>
        <v>48973.94</v>
      </c>
      <c r="L73" s="78">
        <f>ROUND('[7]10.Energ_productos_Necesidad'!AQ272,2)</f>
        <v>52648.66</v>
      </c>
      <c r="M73" s="78">
        <f>ROUND('[7]10.Energ_productos_Necesidad'!AR272,2)</f>
        <v>56942.39</v>
      </c>
      <c r="N73" s="78">
        <f>ROUND('[7]10.Energ_productos_Necesidad'!AS272,2)</f>
        <v>58452.32</v>
      </c>
      <c r="O73" s="78">
        <f>ROUND('[7]10.Energ_productos_Necesidad'!AT272,2)</f>
        <v>60796.05</v>
      </c>
      <c r="P73" s="78">
        <f>ROUND('[7]10.Energ_productos_Necesidad'!AU272,2)</f>
        <v>63265.68</v>
      </c>
      <c r="Q73" s="78">
        <f>ROUND('[7]10.Energ_productos_Necesidad'!AV272,2)</f>
        <v>60289.03</v>
      </c>
      <c r="R73" s="78">
        <f>ROUND('[7]10.Energ_productos_Necesidad'!AW272,2)</f>
        <v>63040.29</v>
      </c>
      <c r="S73" s="78">
        <f>ROUND('[7]10.Energ_productos_Necesidad'!AX272,2)</f>
        <v>67950.23</v>
      </c>
      <c r="T73" s="78">
        <f>ROUND('[7]10.Energ_productos_Necesidad'!AY272,2)</f>
        <v>69223.289999999994</v>
      </c>
      <c r="U73" s="78">
        <f>ROUND('[7]10.Energ_productos_Necesidad'!AZ272,2)</f>
        <v>69804.45</v>
      </c>
      <c r="V73" s="78">
        <f>ROUND('[7]10.Energ_productos_Necesidad'!BA272,2)</f>
        <v>75598.36</v>
      </c>
      <c r="W73" s="78">
        <f>ROUND('[7]10.Energ_productos_Necesidad'!BB272,2)</f>
        <v>80887.350000000006</v>
      </c>
      <c r="X73" s="78">
        <f>ROUND('[7]10.Energ_productos_Necesidad'!BC272,2)</f>
        <v>81070.679999999993</v>
      </c>
      <c r="Y73" s="78">
        <f>ROUND('[7]10.Energ_productos_Necesidad'!BD272,2)</f>
        <v>78911.92</v>
      </c>
      <c r="Z73" s="78">
        <f>ROUND('[7]10.Energ_productos_Necesidad'!BE272,2)</f>
        <v>75329.440000000002</v>
      </c>
      <c r="AA73" s="78">
        <f>ROUND('[7]10.Energ_productos_Necesidad'!BF272,2)</f>
        <v>69777.98</v>
      </c>
      <c r="AB73" s="78">
        <f>ROUND('[7]10.Energ_productos_Necesidad'!BG272,2)</f>
        <v>63524.19</v>
      </c>
      <c r="AC73" s="209">
        <f>SUM(E73:AB73)*D73+SUM(E74:AB74)*D74+SUM(E75:AB75)*D75+SUM(E76:AB76)*D76</f>
        <v>43245047.18</v>
      </c>
      <c r="AD73" s="148">
        <f>+AC97</f>
        <v>42687347</v>
      </c>
    </row>
    <row r="74" spans="2:30" ht="18.649999999999999" customHeight="1" x14ac:dyDescent="0.35">
      <c r="B74" s="212" t="s">
        <v>34</v>
      </c>
      <c r="C74" s="9" t="s">
        <v>30</v>
      </c>
      <c r="D74" s="10">
        <v>4</v>
      </c>
      <c r="E74" s="79">
        <f>ROUND('[7]10.Energ_productos_Necesidad'!AJ273,2)</f>
        <v>53167.32</v>
      </c>
      <c r="F74" s="79">
        <f>ROUND('[7]10.Energ_productos_Necesidad'!AK273,2)</f>
        <v>50029.52</v>
      </c>
      <c r="G74" s="79">
        <f>ROUND('[7]10.Energ_productos_Necesidad'!AL273,2)</f>
        <v>47565.35</v>
      </c>
      <c r="H74" s="79">
        <f>ROUND('[7]10.Energ_productos_Necesidad'!AM273,2)</f>
        <v>45933.08</v>
      </c>
      <c r="I74" s="79">
        <f>ROUND('[7]10.Energ_productos_Necesidad'!AN273,2)</f>
        <v>45371.68</v>
      </c>
      <c r="J74" s="79">
        <f>ROUND('[7]10.Energ_productos_Necesidad'!AO273,2)</f>
        <v>45346.66</v>
      </c>
      <c r="K74" s="79">
        <f>ROUND('[7]10.Energ_productos_Necesidad'!AP273,2)</f>
        <v>44394.66</v>
      </c>
      <c r="L74" s="79">
        <f>ROUND('[7]10.Energ_productos_Necesidad'!AQ273,2)</f>
        <v>46571.83</v>
      </c>
      <c r="M74" s="79">
        <f>ROUND('[7]10.Energ_productos_Necesidad'!AR273,2)</f>
        <v>50423.17</v>
      </c>
      <c r="N74" s="79">
        <f>ROUND('[7]10.Energ_productos_Necesidad'!AS273,2)</f>
        <v>51913.41</v>
      </c>
      <c r="O74" s="79">
        <f>ROUND('[7]10.Energ_productos_Necesidad'!AT273,2)</f>
        <v>54093.599999999999</v>
      </c>
      <c r="P74" s="79">
        <f>ROUND('[7]10.Energ_productos_Necesidad'!AU273,2)</f>
        <v>55715.21</v>
      </c>
      <c r="Q74" s="79">
        <f>ROUND('[7]10.Energ_productos_Necesidad'!AV273,2)</f>
        <v>54876.74</v>
      </c>
      <c r="R74" s="79">
        <f>ROUND('[7]10.Energ_productos_Necesidad'!AW273,2)</f>
        <v>54569.62</v>
      </c>
      <c r="S74" s="79">
        <f>ROUND('[7]10.Energ_productos_Necesidad'!AX273,2)</f>
        <v>55557.93</v>
      </c>
      <c r="T74" s="79">
        <f>ROUND('[7]10.Energ_productos_Necesidad'!AY273,2)</f>
        <v>56743.05</v>
      </c>
      <c r="U74" s="79">
        <f>ROUND('[7]10.Energ_productos_Necesidad'!AZ273,2)</f>
        <v>58558.92</v>
      </c>
      <c r="V74" s="79">
        <f>ROUND('[7]10.Energ_productos_Necesidad'!BA273,2)</f>
        <v>66801.08</v>
      </c>
      <c r="W74" s="79">
        <f>ROUND('[7]10.Energ_productos_Necesidad'!BB273,2)</f>
        <v>75240.5</v>
      </c>
      <c r="X74" s="79">
        <f>ROUND('[7]10.Energ_productos_Necesidad'!BC273,2)</f>
        <v>75161.16</v>
      </c>
      <c r="Y74" s="79">
        <f>ROUND('[7]10.Energ_productos_Necesidad'!BD273,2)</f>
        <v>73389.78</v>
      </c>
      <c r="Z74" s="79">
        <f>ROUND('[7]10.Energ_productos_Necesidad'!BE273,2)</f>
        <v>70537.919999999998</v>
      </c>
      <c r="AA74" s="79">
        <f>ROUND('[7]10.Energ_productos_Necesidad'!BF273,2)</f>
        <v>66839.360000000001</v>
      </c>
      <c r="AB74" s="79">
        <f>ROUND('[7]10.Energ_productos_Necesidad'!BG273,2)</f>
        <v>62305.9</v>
      </c>
      <c r="AC74" s="210"/>
      <c r="AD74" s="148">
        <f>+AC101</f>
        <v>39381211.140000001</v>
      </c>
    </row>
    <row r="75" spans="2:30" ht="18.649999999999999" customHeight="1" x14ac:dyDescent="0.35">
      <c r="B75" s="212" t="s">
        <v>34</v>
      </c>
      <c r="C75" s="9" t="s">
        <v>31</v>
      </c>
      <c r="D75" s="10">
        <v>4</v>
      </c>
      <c r="E75" s="79">
        <f>ROUND('[7]10.Energ_productos_Necesidad'!AJ274,2)</f>
        <v>53929.55</v>
      </c>
      <c r="F75" s="79">
        <f>ROUND('[7]10.Energ_productos_Necesidad'!AK274,2)</f>
        <v>51132.21</v>
      </c>
      <c r="G75" s="79">
        <f>ROUND('[7]10.Energ_productos_Necesidad'!AL274,2)</f>
        <v>48806.19</v>
      </c>
      <c r="H75" s="79">
        <f>ROUND('[7]10.Energ_productos_Necesidad'!AM274,2)</f>
        <v>47078.2</v>
      </c>
      <c r="I75" s="79">
        <f>ROUND('[7]10.Energ_productos_Necesidad'!AN274,2)</f>
        <v>46419.17</v>
      </c>
      <c r="J75" s="79">
        <f>ROUND('[7]10.Energ_productos_Necesidad'!AO274,2)</f>
        <v>45340.31</v>
      </c>
      <c r="K75" s="79">
        <f>ROUND('[7]10.Energ_productos_Necesidad'!AP274,2)</f>
        <v>43952.39</v>
      </c>
      <c r="L75" s="79">
        <f>ROUND('[7]10.Energ_productos_Necesidad'!AQ274,2)</f>
        <v>44130.87</v>
      </c>
      <c r="M75" s="79">
        <f>ROUND('[7]10.Energ_productos_Necesidad'!AR274,2)</f>
        <v>44587.94</v>
      </c>
      <c r="N75" s="79">
        <f>ROUND('[7]10.Energ_productos_Necesidad'!AS274,2)</f>
        <v>45621.79</v>
      </c>
      <c r="O75" s="79">
        <f>ROUND('[7]10.Energ_productos_Necesidad'!AT274,2)</f>
        <v>47342.68</v>
      </c>
      <c r="P75" s="79">
        <f>ROUND('[7]10.Energ_productos_Necesidad'!AU274,2)</f>
        <v>48915.44</v>
      </c>
      <c r="Q75" s="79">
        <f>ROUND('[7]10.Energ_productos_Necesidad'!AV274,2)</f>
        <v>50101.1</v>
      </c>
      <c r="R75" s="79">
        <f>ROUND('[7]10.Energ_productos_Necesidad'!AW274,2)</f>
        <v>50880.480000000003</v>
      </c>
      <c r="S75" s="79">
        <f>ROUND('[7]10.Energ_productos_Necesidad'!AX274,2)</f>
        <v>51902.59</v>
      </c>
      <c r="T75" s="79">
        <f>ROUND('[7]10.Energ_productos_Necesidad'!AY274,2)</f>
        <v>53430.84</v>
      </c>
      <c r="U75" s="79">
        <f>ROUND('[7]10.Energ_productos_Necesidad'!AZ274,2)</f>
        <v>55624.54</v>
      </c>
      <c r="V75" s="79">
        <f>ROUND('[7]10.Energ_productos_Necesidad'!BA274,2)</f>
        <v>63859.35</v>
      </c>
      <c r="W75" s="79">
        <f>ROUND('[7]10.Energ_productos_Necesidad'!BB274,2)</f>
        <v>71436.66</v>
      </c>
      <c r="X75" s="79">
        <f>ROUND('[7]10.Energ_productos_Necesidad'!BC274,2)</f>
        <v>73542.92</v>
      </c>
      <c r="Y75" s="79">
        <f>ROUND('[7]10.Energ_productos_Necesidad'!BD274,2)</f>
        <v>73770.559999999998</v>
      </c>
      <c r="Z75" s="79">
        <f>ROUND('[7]10.Energ_productos_Necesidad'!BE274,2)</f>
        <v>72735.039999999994</v>
      </c>
      <c r="AA75" s="79">
        <f>ROUND('[7]10.Energ_productos_Necesidad'!BF274,2)</f>
        <v>68368.27</v>
      </c>
      <c r="AB75" s="79">
        <f>ROUND('[7]10.Energ_productos_Necesidad'!BG274,2)</f>
        <v>62552.56</v>
      </c>
      <c r="AC75" s="210"/>
      <c r="AD75" s="148">
        <f>+AC105</f>
        <v>44345728.390000001</v>
      </c>
    </row>
    <row r="76" spans="2:30" ht="18.649999999999999" customHeight="1" thickBot="1" x14ac:dyDescent="0.4">
      <c r="B76" s="213" t="s">
        <v>34</v>
      </c>
      <c r="C76" s="11" t="s">
        <v>32</v>
      </c>
      <c r="D76" s="12">
        <v>2</v>
      </c>
      <c r="E76" s="76">
        <f>ROUND('[7]10.Energ_productos_Necesidad'!AJ275,2)</f>
        <v>53685.91</v>
      </c>
      <c r="F76" s="76">
        <f>ROUND('[7]10.Energ_productos_Necesidad'!AK275,2)</f>
        <v>50890.720000000001</v>
      </c>
      <c r="G76" s="76">
        <f>ROUND('[7]10.Energ_productos_Necesidad'!AL275,2)</f>
        <v>48488.35</v>
      </c>
      <c r="H76" s="76">
        <f>ROUND('[7]10.Energ_productos_Necesidad'!AM275,2)</f>
        <v>46811.33</v>
      </c>
      <c r="I76" s="76">
        <f>ROUND('[7]10.Energ_productos_Necesidad'!AN275,2)</f>
        <v>46123.94</v>
      </c>
      <c r="J76" s="76">
        <f>ROUND('[7]10.Energ_productos_Necesidad'!AO275,2)</f>
        <v>45118.080000000002</v>
      </c>
      <c r="K76" s="76">
        <f>ROUND('[7]10.Energ_productos_Necesidad'!AP275,2)</f>
        <v>43763.01</v>
      </c>
      <c r="L76" s="76">
        <f>ROUND('[7]10.Energ_productos_Necesidad'!AQ275,2)</f>
        <v>44011.51</v>
      </c>
      <c r="M76" s="76">
        <f>ROUND('[7]10.Energ_productos_Necesidad'!AR275,2)</f>
        <v>44595.3</v>
      </c>
      <c r="N76" s="76">
        <f>ROUND('[7]10.Energ_productos_Necesidad'!AS275,2)</f>
        <v>45792</v>
      </c>
      <c r="O76" s="76">
        <f>ROUND('[7]10.Energ_productos_Necesidad'!AT275,2)</f>
        <v>47371.56</v>
      </c>
      <c r="P76" s="76">
        <f>ROUND('[7]10.Energ_productos_Necesidad'!AU275,2)</f>
        <v>48848.69</v>
      </c>
      <c r="Q76" s="76">
        <f>ROUND('[7]10.Energ_productos_Necesidad'!AV275,2)</f>
        <v>49923.4</v>
      </c>
      <c r="R76" s="76">
        <f>ROUND('[7]10.Energ_productos_Necesidad'!AW275,2)</f>
        <v>50686.38</v>
      </c>
      <c r="S76" s="76">
        <f>ROUND('[7]10.Energ_productos_Necesidad'!AX275,2)</f>
        <v>51726.92</v>
      </c>
      <c r="T76" s="76">
        <f>ROUND('[7]10.Energ_productos_Necesidad'!AY275,2)</f>
        <v>53363.89</v>
      </c>
      <c r="U76" s="76">
        <f>ROUND('[7]10.Energ_productos_Necesidad'!AZ275,2)</f>
        <v>55662.99</v>
      </c>
      <c r="V76" s="76">
        <f>ROUND('[7]10.Energ_productos_Necesidad'!BA275,2)</f>
        <v>63998.67</v>
      </c>
      <c r="W76" s="76">
        <f>ROUND('[7]10.Energ_productos_Necesidad'!BB275,2)</f>
        <v>71574.06</v>
      </c>
      <c r="X76" s="76">
        <f>ROUND('[7]10.Energ_productos_Necesidad'!BC275,2)</f>
        <v>73583.61</v>
      </c>
      <c r="Y76" s="76">
        <f>ROUND('[7]10.Energ_productos_Necesidad'!BD275,2)</f>
        <v>73766.47</v>
      </c>
      <c r="Z76" s="76">
        <f>ROUND('[7]10.Energ_productos_Necesidad'!BE275,2)</f>
        <v>72525.09</v>
      </c>
      <c r="AA76" s="76">
        <f>ROUND('[7]10.Energ_productos_Necesidad'!BF275,2)</f>
        <v>67897.289999999994</v>
      </c>
      <c r="AB76" s="76">
        <f>ROUND('[7]10.Energ_productos_Necesidad'!BG275,2)</f>
        <v>62003.32</v>
      </c>
      <c r="AC76" s="214"/>
      <c r="AD76" s="18"/>
    </row>
    <row r="77" spans="2:30" ht="18.649999999999999" customHeight="1" x14ac:dyDescent="0.35">
      <c r="B77" s="207">
        <v>47969</v>
      </c>
      <c r="C77" s="13" t="s">
        <v>29</v>
      </c>
      <c r="D77" s="14">
        <v>20</v>
      </c>
      <c r="E77" s="81">
        <f>ROUND('[7]10.Energ_productos_Necesidad'!AJ276,2)</f>
        <v>52850.09</v>
      </c>
      <c r="F77" s="81">
        <f>ROUND('[7]10.Energ_productos_Necesidad'!AK276,2)</f>
        <v>50132.69</v>
      </c>
      <c r="G77" s="81">
        <f>ROUND('[7]10.Energ_productos_Necesidad'!AL276,2)</f>
        <v>47950.64</v>
      </c>
      <c r="H77" s="81">
        <f>ROUND('[7]10.Energ_productos_Necesidad'!AM276,2)</f>
        <v>46468.39</v>
      </c>
      <c r="I77" s="81">
        <f>ROUND('[7]10.Energ_productos_Necesidad'!AN276,2)</f>
        <v>46585.3</v>
      </c>
      <c r="J77" s="81">
        <f>ROUND('[7]10.Energ_productos_Necesidad'!AO276,2)</f>
        <v>47872.480000000003</v>
      </c>
      <c r="K77" s="81">
        <f>ROUND('[7]10.Energ_productos_Necesidad'!AP276,2)</f>
        <v>48230.29</v>
      </c>
      <c r="L77" s="81">
        <f>ROUND('[7]10.Energ_productos_Necesidad'!AQ276,2)</f>
        <v>51964.62</v>
      </c>
      <c r="M77" s="81">
        <f>ROUND('[7]10.Energ_productos_Necesidad'!AR276,2)</f>
        <v>56696.7</v>
      </c>
      <c r="N77" s="81">
        <f>ROUND('[7]10.Energ_productos_Necesidad'!AS276,2)</f>
        <v>58412.22</v>
      </c>
      <c r="O77" s="81">
        <f>ROUND('[7]10.Energ_productos_Necesidad'!AT276,2)</f>
        <v>61442.22</v>
      </c>
      <c r="P77" s="81">
        <f>ROUND('[7]10.Energ_productos_Necesidad'!AU276,2)</f>
        <v>63482.3</v>
      </c>
      <c r="Q77" s="81">
        <f>ROUND('[7]10.Energ_productos_Necesidad'!AV276,2)</f>
        <v>60302.62</v>
      </c>
      <c r="R77" s="81">
        <f>ROUND('[7]10.Energ_productos_Necesidad'!AW276,2)</f>
        <v>62727.95</v>
      </c>
      <c r="S77" s="81">
        <f>ROUND('[7]10.Energ_productos_Necesidad'!AX276,2)</f>
        <v>67326.880000000005</v>
      </c>
      <c r="T77" s="81">
        <f>ROUND('[7]10.Energ_productos_Necesidad'!AY276,2)</f>
        <v>68620.070000000007</v>
      </c>
      <c r="U77" s="81">
        <f>ROUND('[7]10.Energ_productos_Necesidad'!AZ276,2)</f>
        <v>69189.52</v>
      </c>
      <c r="V77" s="81">
        <f>ROUND('[7]10.Energ_productos_Necesidad'!BA276,2)</f>
        <v>74002.509999999995</v>
      </c>
      <c r="W77" s="81">
        <f>ROUND('[7]10.Energ_productos_Necesidad'!BB276,2)</f>
        <v>79367.95</v>
      </c>
      <c r="X77" s="81">
        <f>ROUND('[7]10.Energ_productos_Necesidad'!BC276,2)</f>
        <v>79542.33</v>
      </c>
      <c r="Y77" s="81">
        <f>ROUND('[7]10.Energ_productos_Necesidad'!BD276,2)</f>
        <v>77274.3</v>
      </c>
      <c r="Z77" s="81">
        <f>ROUND('[7]10.Energ_productos_Necesidad'!BE276,2)</f>
        <v>73301.42</v>
      </c>
      <c r="AA77" s="81">
        <f>ROUND('[7]10.Energ_productos_Necesidad'!BF276,2)</f>
        <v>67659.539999999994</v>
      </c>
      <c r="AB77" s="81">
        <f>ROUND('[7]10.Energ_productos_Necesidad'!BG276,2)</f>
        <v>61878.3</v>
      </c>
      <c r="AC77" s="210">
        <f>SUM(E77:AB77)*D77+SUM(E78:AB78)*D78+SUM(E79:AB79)*D79+SUM(E80:AB80)*D80</f>
        <v>44593125.789999999</v>
      </c>
      <c r="AD77" s="18"/>
    </row>
    <row r="78" spans="2:30" ht="18.649999999999999" customHeight="1" x14ac:dyDescent="0.35">
      <c r="B78" s="208"/>
      <c r="C78" s="9" t="s">
        <v>30</v>
      </c>
      <c r="D78" s="10">
        <v>5</v>
      </c>
      <c r="E78" s="79">
        <f>ROUND('[7]10.Energ_productos_Necesidad'!AJ277,2)</f>
        <v>54481.01</v>
      </c>
      <c r="F78" s="79">
        <f>ROUND('[7]10.Energ_productos_Necesidad'!AK277,2)</f>
        <v>50687.93</v>
      </c>
      <c r="G78" s="79">
        <f>ROUND('[7]10.Energ_productos_Necesidad'!AL277,2)</f>
        <v>48237.51</v>
      </c>
      <c r="H78" s="79">
        <f>ROUND('[7]10.Energ_productos_Necesidad'!AM277,2)</f>
        <v>46574.8</v>
      </c>
      <c r="I78" s="79">
        <f>ROUND('[7]10.Energ_productos_Necesidad'!AN277,2)</f>
        <v>46116.73</v>
      </c>
      <c r="J78" s="79">
        <f>ROUND('[7]10.Energ_productos_Necesidad'!AO277,2)</f>
        <v>45490.81</v>
      </c>
      <c r="K78" s="79">
        <f>ROUND('[7]10.Energ_productos_Necesidad'!AP277,2)</f>
        <v>44987.54</v>
      </c>
      <c r="L78" s="79">
        <f>ROUND('[7]10.Energ_productos_Necesidad'!AQ277,2)</f>
        <v>48154.8</v>
      </c>
      <c r="M78" s="79">
        <f>ROUND('[7]10.Energ_productos_Necesidad'!AR277,2)</f>
        <v>52766.37</v>
      </c>
      <c r="N78" s="79">
        <f>ROUND('[7]10.Energ_productos_Necesidad'!AS277,2)</f>
        <v>55100.6</v>
      </c>
      <c r="O78" s="79">
        <f>ROUND('[7]10.Energ_productos_Necesidad'!AT277,2)</f>
        <v>56946.79</v>
      </c>
      <c r="P78" s="79">
        <f>ROUND('[7]10.Energ_productos_Necesidad'!AU277,2)</f>
        <v>58494.07</v>
      </c>
      <c r="Q78" s="79">
        <f>ROUND('[7]10.Energ_productos_Necesidad'!AV277,2)</f>
        <v>56943.57</v>
      </c>
      <c r="R78" s="79">
        <f>ROUND('[7]10.Energ_productos_Necesidad'!AW277,2)</f>
        <v>56535.89</v>
      </c>
      <c r="S78" s="79">
        <f>ROUND('[7]10.Energ_productos_Necesidad'!AX277,2)</f>
        <v>58093.48</v>
      </c>
      <c r="T78" s="79">
        <f>ROUND('[7]10.Energ_productos_Necesidad'!AY277,2)</f>
        <v>59333.91</v>
      </c>
      <c r="U78" s="79">
        <f>ROUND('[7]10.Energ_productos_Necesidad'!AZ277,2)</f>
        <v>60917.18</v>
      </c>
      <c r="V78" s="79">
        <f>ROUND('[7]10.Energ_productos_Necesidad'!BA277,2)</f>
        <v>69068.88</v>
      </c>
      <c r="W78" s="79">
        <f>ROUND('[7]10.Energ_productos_Necesidad'!BB277,2)</f>
        <v>77318.100000000006</v>
      </c>
      <c r="X78" s="79">
        <f>ROUND('[7]10.Energ_productos_Necesidad'!BC277,2)</f>
        <v>77938.73</v>
      </c>
      <c r="Y78" s="79">
        <f>ROUND('[7]10.Energ_productos_Necesidad'!BD277,2)</f>
        <v>75775.22</v>
      </c>
      <c r="Z78" s="79">
        <f>ROUND('[7]10.Energ_productos_Necesidad'!BE277,2)</f>
        <v>72551.759999999995</v>
      </c>
      <c r="AA78" s="79">
        <f>ROUND('[7]10.Energ_productos_Necesidad'!BF277,2)</f>
        <v>68894.320000000007</v>
      </c>
      <c r="AB78" s="79">
        <f>ROUND('[7]10.Energ_productos_Necesidad'!BG277,2)</f>
        <v>64408.07</v>
      </c>
      <c r="AC78" s="210"/>
      <c r="AD78" s="18"/>
    </row>
    <row r="79" spans="2:30" ht="18.649999999999999" customHeight="1" x14ac:dyDescent="0.35">
      <c r="B79" s="208"/>
      <c r="C79" s="9" t="s">
        <v>31</v>
      </c>
      <c r="D79" s="10">
        <v>4</v>
      </c>
      <c r="E79" s="79">
        <f>ROUND('[7]10.Energ_productos_Necesidad'!AJ278,2)</f>
        <v>55148.87</v>
      </c>
      <c r="F79" s="79">
        <f>ROUND('[7]10.Energ_productos_Necesidad'!AK278,2)</f>
        <v>52316.56</v>
      </c>
      <c r="G79" s="79">
        <f>ROUND('[7]10.Energ_productos_Necesidad'!AL278,2)</f>
        <v>49987.19</v>
      </c>
      <c r="H79" s="79">
        <f>ROUND('[7]10.Energ_productos_Necesidad'!AM278,2)</f>
        <v>48226.47</v>
      </c>
      <c r="I79" s="79">
        <f>ROUND('[7]10.Energ_productos_Necesidad'!AN278,2)</f>
        <v>47476.26</v>
      </c>
      <c r="J79" s="79">
        <f>ROUND('[7]10.Energ_productos_Necesidad'!AO278,2)</f>
        <v>45831.14</v>
      </c>
      <c r="K79" s="79">
        <f>ROUND('[7]10.Energ_productos_Necesidad'!AP278,2)</f>
        <v>44295.24</v>
      </c>
      <c r="L79" s="79">
        <f>ROUND('[7]10.Energ_productos_Necesidad'!AQ278,2)</f>
        <v>44738.45</v>
      </c>
      <c r="M79" s="79">
        <f>ROUND('[7]10.Energ_productos_Necesidad'!AR278,2)</f>
        <v>47069.52</v>
      </c>
      <c r="N79" s="79">
        <f>ROUND('[7]10.Energ_productos_Necesidad'!AS278,2)</f>
        <v>48881.96</v>
      </c>
      <c r="O79" s="79">
        <f>ROUND('[7]10.Energ_productos_Necesidad'!AT278,2)</f>
        <v>50266.81</v>
      </c>
      <c r="P79" s="79">
        <f>ROUND('[7]10.Energ_productos_Necesidad'!AU278,2)</f>
        <v>51562.86</v>
      </c>
      <c r="Q79" s="79">
        <f>ROUND('[7]10.Energ_productos_Necesidad'!AV278,2)</f>
        <v>52819.46</v>
      </c>
      <c r="R79" s="79">
        <f>ROUND('[7]10.Energ_productos_Necesidad'!AW278,2)</f>
        <v>53577.85</v>
      </c>
      <c r="S79" s="79">
        <f>ROUND('[7]10.Energ_productos_Necesidad'!AX278,2)</f>
        <v>54308.07</v>
      </c>
      <c r="T79" s="79">
        <f>ROUND('[7]10.Energ_productos_Necesidad'!AY278,2)</f>
        <v>55998.23</v>
      </c>
      <c r="U79" s="79">
        <f>ROUND('[7]10.Energ_productos_Necesidad'!AZ278,2)</f>
        <v>57301.57</v>
      </c>
      <c r="V79" s="79">
        <f>ROUND('[7]10.Energ_productos_Necesidad'!BA278,2)</f>
        <v>65603.69</v>
      </c>
      <c r="W79" s="79">
        <f>ROUND('[7]10.Energ_productos_Necesidad'!BB278,2)</f>
        <v>73924.78</v>
      </c>
      <c r="X79" s="79">
        <f>ROUND('[7]10.Energ_productos_Necesidad'!BC278,2)</f>
        <v>75570.720000000001</v>
      </c>
      <c r="Y79" s="79">
        <f>ROUND('[7]10.Energ_productos_Necesidad'!BD278,2)</f>
        <v>75482.990000000005</v>
      </c>
      <c r="Z79" s="79">
        <f>ROUND('[7]10.Energ_productos_Necesidad'!BE278,2)</f>
        <v>73392.14</v>
      </c>
      <c r="AA79" s="79">
        <f>ROUND('[7]10.Energ_productos_Necesidad'!BF278,2)</f>
        <v>68529.740000000005</v>
      </c>
      <c r="AB79" s="79">
        <f>ROUND('[7]10.Energ_productos_Necesidad'!BG278,2)</f>
        <v>61815.46</v>
      </c>
      <c r="AC79" s="210"/>
      <c r="AD79" s="18"/>
    </row>
    <row r="80" spans="2:30" ht="18.649999999999999" customHeight="1" thickBot="1" x14ac:dyDescent="0.4">
      <c r="B80" s="208"/>
      <c r="C80" s="15" t="s">
        <v>32</v>
      </c>
      <c r="D80" s="16">
        <v>2</v>
      </c>
      <c r="E80" s="80">
        <f>ROUND('[7]10.Energ_productos_Necesidad'!AJ279,2)</f>
        <v>55104.99</v>
      </c>
      <c r="F80" s="80">
        <f>ROUND('[7]10.Energ_productos_Necesidad'!AK279,2)</f>
        <v>52272.5</v>
      </c>
      <c r="G80" s="80">
        <f>ROUND('[7]10.Energ_productos_Necesidad'!AL279,2)</f>
        <v>49949.86</v>
      </c>
      <c r="H80" s="80">
        <f>ROUND('[7]10.Energ_productos_Necesidad'!AM279,2)</f>
        <v>48195.96</v>
      </c>
      <c r="I80" s="80">
        <f>ROUND('[7]10.Energ_productos_Necesidad'!AN279,2)</f>
        <v>47349.21</v>
      </c>
      <c r="J80" s="80">
        <f>ROUND('[7]10.Energ_productos_Necesidad'!AO279,2)</f>
        <v>45453.55</v>
      </c>
      <c r="K80" s="80">
        <f>ROUND('[7]10.Energ_productos_Necesidad'!AP279,2)</f>
        <v>43825.73</v>
      </c>
      <c r="L80" s="80">
        <f>ROUND('[7]10.Energ_productos_Necesidad'!AQ279,2)</f>
        <v>44090.27</v>
      </c>
      <c r="M80" s="80">
        <f>ROUND('[7]10.Energ_productos_Necesidad'!AR279,2)</f>
        <v>46248.72</v>
      </c>
      <c r="N80" s="80">
        <f>ROUND('[7]10.Energ_productos_Necesidad'!AS279,2)</f>
        <v>48068.78</v>
      </c>
      <c r="O80" s="80">
        <f>ROUND('[7]10.Energ_productos_Necesidad'!AT279,2)</f>
        <v>49353.72</v>
      </c>
      <c r="P80" s="80">
        <f>ROUND('[7]10.Energ_productos_Necesidad'!AU279,2)</f>
        <v>50570.31</v>
      </c>
      <c r="Q80" s="80">
        <f>ROUND('[7]10.Energ_productos_Necesidad'!AV279,2)</f>
        <v>52058.19</v>
      </c>
      <c r="R80" s="80">
        <f>ROUND('[7]10.Energ_productos_Necesidad'!AW279,2)</f>
        <v>52630.9</v>
      </c>
      <c r="S80" s="80">
        <f>ROUND('[7]10.Energ_productos_Necesidad'!AX279,2)</f>
        <v>53158.27</v>
      </c>
      <c r="T80" s="80">
        <f>ROUND('[7]10.Energ_productos_Necesidad'!AY279,2)</f>
        <v>54876</v>
      </c>
      <c r="U80" s="80">
        <f>ROUND('[7]10.Energ_productos_Necesidad'!AZ279,2)</f>
        <v>56367.56</v>
      </c>
      <c r="V80" s="80">
        <f>ROUND('[7]10.Energ_productos_Necesidad'!BA279,2)</f>
        <v>64900.53</v>
      </c>
      <c r="W80" s="80">
        <f>ROUND('[7]10.Energ_productos_Necesidad'!BB279,2)</f>
        <v>73292.509999999995</v>
      </c>
      <c r="X80" s="80">
        <f>ROUND('[7]10.Energ_productos_Necesidad'!BC279,2)</f>
        <v>75039.199999999997</v>
      </c>
      <c r="Y80" s="80">
        <f>ROUND('[7]10.Energ_productos_Necesidad'!BD279,2)</f>
        <v>75065.399999999994</v>
      </c>
      <c r="Z80" s="80">
        <f>ROUND('[7]10.Energ_productos_Necesidad'!BE279,2)</f>
        <v>73059.37</v>
      </c>
      <c r="AA80" s="80">
        <f>ROUND('[7]10.Energ_productos_Necesidad'!BF279,2)</f>
        <v>68305.440000000002</v>
      </c>
      <c r="AB80" s="80">
        <f>ROUND('[7]10.Energ_productos_Necesidad'!BG279,2)</f>
        <v>61715.39</v>
      </c>
      <c r="AC80" s="210"/>
      <c r="AD80" s="18"/>
    </row>
    <row r="81" spans="2:30" ht="18.649999999999999" customHeight="1" x14ac:dyDescent="0.35">
      <c r="B81" s="211">
        <v>48000</v>
      </c>
      <c r="C81" s="6" t="s">
        <v>29</v>
      </c>
      <c r="D81" s="7">
        <v>18</v>
      </c>
      <c r="E81" s="78">
        <f>ROUND('[7]10.Energ_productos_Necesidad'!AJ280,2)</f>
        <v>55009.2</v>
      </c>
      <c r="F81" s="78">
        <f>ROUND('[7]10.Energ_productos_Necesidad'!AK280,2)</f>
        <v>51979.99</v>
      </c>
      <c r="G81" s="78">
        <f>ROUND('[7]10.Energ_productos_Necesidad'!AL280,2)</f>
        <v>49813.17</v>
      </c>
      <c r="H81" s="78">
        <f>ROUND('[7]10.Energ_productos_Necesidad'!AM280,2)</f>
        <v>47947.93</v>
      </c>
      <c r="I81" s="78">
        <f>ROUND('[7]10.Energ_productos_Necesidad'!AN280,2)</f>
        <v>47929.05</v>
      </c>
      <c r="J81" s="78">
        <f>ROUND('[7]10.Energ_productos_Necesidad'!AO280,2)</f>
        <v>48346.09</v>
      </c>
      <c r="K81" s="78">
        <f>ROUND('[7]10.Energ_productos_Necesidad'!AP280,2)</f>
        <v>48408.33</v>
      </c>
      <c r="L81" s="78">
        <f>ROUND('[7]10.Energ_productos_Necesidad'!AQ280,2)</f>
        <v>52361.25</v>
      </c>
      <c r="M81" s="78">
        <f>ROUND('[7]10.Energ_productos_Necesidad'!AR280,2)</f>
        <v>57011.28</v>
      </c>
      <c r="N81" s="78">
        <f>ROUND('[7]10.Energ_productos_Necesidad'!AS280,2)</f>
        <v>59115.72</v>
      </c>
      <c r="O81" s="78">
        <f>ROUND('[7]10.Energ_productos_Necesidad'!AT280,2)</f>
        <v>62398.32</v>
      </c>
      <c r="P81" s="78">
        <f>ROUND('[7]10.Energ_productos_Necesidad'!AU280,2)</f>
        <v>64722.96</v>
      </c>
      <c r="Q81" s="78">
        <f>ROUND('[7]10.Energ_productos_Necesidad'!AV280,2)</f>
        <v>62137.5</v>
      </c>
      <c r="R81" s="78">
        <f>ROUND('[7]10.Energ_productos_Necesidad'!AW280,2)</f>
        <v>64316.02</v>
      </c>
      <c r="S81" s="78">
        <f>ROUND('[7]10.Energ_productos_Necesidad'!AX280,2)</f>
        <v>68839.72</v>
      </c>
      <c r="T81" s="78">
        <f>ROUND('[7]10.Energ_productos_Necesidad'!AY280,2)</f>
        <v>70012.08</v>
      </c>
      <c r="U81" s="78">
        <f>ROUND('[7]10.Energ_productos_Necesidad'!AZ280,2)</f>
        <v>71051.34</v>
      </c>
      <c r="V81" s="78">
        <f>ROUND('[7]10.Energ_productos_Necesidad'!BA280,2)</f>
        <v>75544.58</v>
      </c>
      <c r="W81" s="78">
        <f>ROUND('[7]10.Energ_productos_Necesidad'!BB280,2)</f>
        <v>80964.39</v>
      </c>
      <c r="X81" s="78">
        <f>ROUND('[7]10.Energ_productos_Necesidad'!BC280,2)</f>
        <v>81875.289999999994</v>
      </c>
      <c r="Y81" s="78">
        <f>ROUND('[7]10.Energ_productos_Necesidad'!BD280,2)</f>
        <v>79385.3</v>
      </c>
      <c r="Z81" s="78">
        <f>ROUND('[7]10.Energ_productos_Necesidad'!BE280,2)</f>
        <v>75558.14</v>
      </c>
      <c r="AA81" s="78">
        <f>ROUND('[7]10.Energ_productos_Necesidad'!BF280,2)</f>
        <v>69539.12</v>
      </c>
      <c r="AB81" s="78">
        <f>ROUND('[7]10.Energ_productos_Necesidad'!BG280,2)</f>
        <v>63440.47</v>
      </c>
      <c r="AC81" s="209">
        <f>SUM(E81:AB81)*D81+SUM(E82:AB82)*D82+SUM(E83:AB83)*D83+SUM(E84:AB84)*D84</f>
        <v>43761735.43999999</v>
      </c>
      <c r="AD81" s="18"/>
    </row>
    <row r="82" spans="2:30" ht="18.649999999999999" customHeight="1" x14ac:dyDescent="0.35">
      <c r="B82" s="212" t="s">
        <v>34</v>
      </c>
      <c r="C82" s="9" t="s">
        <v>30</v>
      </c>
      <c r="D82" s="10">
        <v>4</v>
      </c>
      <c r="E82" s="79">
        <f>ROUND('[7]10.Energ_productos_Necesidad'!AJ281,2)</f>
        <v>54637.279999999999</v>
      </c>
      <c r="F82" s="79">
        <f>ROUND('[7]10.Energ_productos_Necesidad'!AK281,2)</f>
        <v>51707.02</v>
      </c>
      <c r="G82" s="79">
        <f>ROUND('[7]10.Energ_productos_Necesidad'!AL281,2)</f>
        <v>49572.15</v>
      </c>
      <c r="H82" s="79">
        <f>ROUND('[7]10.Energ_productos_Necesidad'!AM281,2)</f>
        <v>48133.34</v>
      </c>
      <c r="I82" s="79">
        <f>ROUND('[7]10.Energ_productos_Necesidad'!AN281,2)</f>
        <v>47692</v>
      </c>
      <c r="J82" s="79">
        <f>ROUND('[7]10.Energ_productos_Necesidad'!AO281,2)</f>
        <v>46745.68</v>
      </c>
      <c r="K82" s="79">
        <f>ROUND('[7]10.Energ_productos_Necesidad'!AP281,2)</f>
        <v>46355.67</v>
      </c>
      <c r="L82" s="79">
        <f>ROUND('[7]10.Energ_productos_Necesidad'!AQ281,2)</f>
        <v>49699.35</v>
      </c>
      <c r="M82" s="79">
        <f>ROUND('[7]10.Energ_productos_Necesidad'!AR281,2)</f>
        <v>54200.07</v>
      </c>
      <c r="N82" s="79">
        <f>ROUND('[7]10.Energ_productos_Necesidad'!AS281,2)</f>
        <v>56754.29</v>
      </c>
      <c r="O82" s="79">
        <f>ROUND('[7]10.Energ_productos_Necesidad'!AT281,2)</f>
        <v>59366.49</v>
      </c>
      <c r="P82" s="79">
        <f>ROUND('[7]10.Energ_productos_Necesidad'!AU281,2)</f>
        <v>61259.99</v>
      </c>
      <c r="Q82" s="79">
        <f>ROUND('[7]10.Energ_productos_Necesidad'!AV281,2)</f>
        <v>60089.78</v>
      </c>
      <c r="R82" s="79">
        <f>ROUND('[7]10.Energ_productos_Necesidad'!AW281,2)</f>
        <v>59070.98</v>
      </c>
      <c r="S82" s="79">
        <f>ROUND('[7]10.Energ_productos_Necesidad'!AX281,2)</f>
        <v>60162.23</v>
      </c>
      <c r="T82" s="79">
        <f>ROUND('[7]10.Energ_productos_Necesidad'!AY281,2)</f>
        <v>61240.18</v>
      </c>
      <c r="U82" s="79">
        <f>ROUND('[7]10.Energ_productos_Necesidad'!AZ281,2)</f>
        <v>62159.6</v>
      </c>
      <c r="V82" s="79">
        <f>ROUND('[7]10.Energ_productos_Necesidad'!BA281,2)</f>
        <v>69311.679999999993</v>
      </c>
      <c r="W82" s="79">
        <f>ROUND('[7]10.Energ_productos_Necesidad'!BB281,2)</f>
        <v>75717.64</v>
      </c>
      <c r="X82" s="79">
        <f>ROUND('[7]10.Energ_productos_Necesidad'!BC281,2)</f>
        <v>77230.880000000005</v>
      </c>
      <c r="Y82" s="79">
        <f>ROUND('[7]10.Energ_productos_Necesidad'!BD281,2)</f>
        <v>75397.19</v>
      </c>
      <c r="Z82" s="79">
        <f>ROUND('[7]10.Energ_productos_Necesidad'!BE281,2)</f>
        <v>71711.97</v>
      </c>
      <c r="AA82" s="79">
        <f>ROUND('[7]10.Energ_productos_Necesidad'!BF281,2)</f>
        <v>67607.16</v>
      </c>
      <c r="AB82" s="79">
        <f>ROUND('[7]10.Energ_productos_Necesidad'!BG281,2)</f>
        <v>63259.71</v>
      </c>
      <c r="AC82" s="210"/>
      <c r="AD82" s="18"/>
    </row>
    <row r="83" spans="2:30" ht="18.649999999999999" customHeight="1" x14ac:dyDescent="0.35">
      <c r="B83" s="212" t="s">
        <v>34</v>
      </c>
      <c r="C83" s="9" t="s">
        <v>31</v>
      </c>
      <c r="D83" s="10">
        <v>5</v>
      </c>
      <c r="E83" s="79">
        <f>ROUND('[7]10.Energ_productos_Necesidad'!AJ282,2)</f>
        <v>56563.93</v>
      </c>
      <c r="F83" s="79">
        <f>ROUND('[7]10.Energ_productos_Necesidad'!AK282,2)</f>
        <v>53397.34</v>
      </c>
      <c r="G83" s="79">
        <f>ROUND('[7]10.Energ_productos_Necesidad'!AL282,2)</f>
        <v>50804</v>
      </c>
      <c r="H83" s="79">
        <f>ROUND('[7]10.Energ_productos_Necesidad'!AM282,2)</f>
        <v>49142.15</v>
      </c>
      <c r="I83" s="79">
        <f>ROUND('[7]10.Energ_productos_Necesidad'!AN282,2)</f>
        <v>48445.68</v>
      </c>
      <c r="J83" s="79">
        <f>ROUND('[7]10.Energ_productos_Necesidad'!AO282,2)</f>
        <v>46427.01</v>
      </c>
      <c r="K83" s="79">
        <f>ROUND('[7]10.Energ_productos_Necesidad'!AP282,2)</f>
        <v>44635.74</v>
      </c>
      <c r="L83" s="79">
        <f>ROUND('[7]10.Energ_productos_Necesidad'!AQ282,2)</f>
        <v>44694.37</v>
      </c>
      <c r="M83" s="79">
        <f>ROUND('[7]10.Energ_productos_Necesidad'!AR282,2)</f>
        <v>46358.3</v>
      </c>
      <c r="N83" s="79">
        <f>ROUND('[7]10.Energ_productos_Necesidad'!AS282,2)</f>
        <v>48143.67</v>
      </c>
      <c r="O83" s="79">
        <f>ROUND('[7]10.Energ_productos_Necesidad'!AT282,2)</f>
        <v>49696.76</v>
      </c>
      <c r="P83" s="79">
        <f>ROUND('[7]10.Energ_productos_Necesidad'!AU282,2)</f>
        <v>51250.84</v>
      </c>
      <c r="Q83" s="79">
        <f>ROUND('[7]10.Energ_productos_Necesidad'!AV282,2)</f>
        <v>52941.35</v>
      </c>
      <c r="R83" s="79">
        <f>ROUND('[7]10.Energ_productos_Necesidad'!AW282,2)</f>
        <v>53433.47</v>
      </c>
      <c r="S83" s="79">
        <f>ROUND('[7]10.Energ_productos_Necesidad'!AX282,2)</f>
        <v>54660.33</v>
      </c>
      <c r="T83" s="79">
        <f>ROUND('[7]10.Energ_productos_Necesidad'!AY282,2)</f>
        <v>56095.63</v>
      </c>
      <c r="U83" s="79">
        <f>ROUND('[7]10.Energ_productos_Necesidad'!AZ282,2)</f>
        <v>57666.98</v>
      </c>
      <c r="V83" s="79">
        <f>ROUND('[7]10.Energ_productos_Necesidad'!BA282,2)</f>
        <v>64690.51</v>
      </c>
      <c r="W83" s="79">
        <f>ROUND('[7]10.Energ_productos_Necesidad'!BB282,2)</f>
        <v>72999.48</v>
      </c>
      <c r="X83" s="79">
        <f>ROUND('[7]10.Energ_productos_Necesidad'!BC282,2)</f>
        <v>76623.47</v>
      </c>
      <c r="Y83" s="79">
        <f>ROUND('[7]10.Energ_productos_Necesidad'!BD282,2)</f>
        <v>75984.77</v>
      </c>
      <c r="Z83" s="79">
        <f>ROUND('[7]10.Energ_productos_Necesidad'!BE282,2)</f>
        <v>74070.899999999994</v>
      </c>
      <c r="AA83" s="79">
        <f>ROUND('[7]10.Energ_productos_Necesidad'!BF282,2)</f>
        <v>69988.58</v>
      </c>
      <c r="AB83" s="79">
        <f>ROUND('[7]10.Energ_productos_Necesidad'!BG282,2)</f>
        <v>64907.74</v>
      </c>
      <c r="AC83" s="210"/>
      <c r="AD83" s="18"/>
    </row>
    <row r="84" spans="2:30" ht="18.649999999999999" customHeight="1" thickBot="1" x14ac:dyDescent="0.4">
      <c r="B84" s="213" t="s">
        <v>34</v>
      </c>
      <c r="C84" s="11" t="s">
        <v>32</v>
      </c>
      <c r="D84" s="12">
        <v>3</v>
      </c>
      <c r="E84" s="76">
        <f>ROUND('[7]10.Energ_productos_Necesidad'!AJ283,2)</f>
        <v>56885.79</v>
      </c>
      <c r="F84" s="76">
        <f>ROUND('[7]10.Energ_productos_Necesidad'!AK283,2)</f>
        <v>53682.75</v>
      </c>
      <c r="G84" s="76">
        <f>ROUND('[7]10.Energ_productos_Necesidad'!AL283,2)</f>
        <v>51072.25</v>
      </c>
      <c r="H84" s="76">
        <f>ROUND('[7]10.Energ_productos_Necesidad'!AM283,2)</f>
        <v>49377.45</v>
      </c>
      <c r="I84" s="76">
        <f>ROUND('[7]10.Energ_productos_Necesidad'!AN283,2)</f>
        <v>48636.47</v>
      </c>
      <c r="J84" s="76">
        <f>ROUND('[7]10.Energ_productos_Necesidad'!AO283,2)</f>
        <v>46655.88</v>
      </c>
      <c r="K84" s="76">
        <f>ROUND('[7]10.Energ_productos_Necesidad'!AP283,2)</f>
        <v>44815.94</v>
      </c>
      <c r="L84" s="76">
        <f>ROUND('[7]10.Energ_productos_Necesidad'!AQ283,2)</f>
        <v>44787.14</v>
      </c>
      <c r="M84" s="76">
        <f>ROUND('[7]10.Energ_productos_Necesidad'!AR283,2)</f>
        <v>46359.93</v>
      </c>
      <c r="N84" s="76">
        <f>ROUND('[7]10.Energ_productos_Necesidad'!AS283,2)</f>
        <v>48027.96</v>
      </c>
      <c r="O84" s="76">
        <f>ROUND('[7]10.Energ_productos_Necesidad'!AT283,2)</f>
        <v>49406.73</v>
      </c>
      <c r="P84" s="76">
        <f>ROUND('[7]10.Energ_productos_Necesidad'!AU283,2)</f>
        <v>50842.73</v>
      </c>
      <c r="Q84" s="76">
        <f>ROUND('[7]10.Energ_productos_Necesidad'!AV283,2)</f>
        <v>52498.29</v>
      </c>
      <c r="R84" s="76">
        <f>ROUND('[7]10.Energ_productos_Necesidad'!AW283,2)</f>
        <v>53023.73</v>
      </c>
      <c r="S84" s="76">
        <f>ROUND('[7]10.Energ_productos_Necesidad'!AX283,2)</f>
        <v>54316.85</v>
      </c>
      <c r="T84" s="76">
        <f>ROUND('[7]10.Energ_productos_Necesidad'!AY283,2)</f>
        <v>55837.64</v>
      </c>
      <c r="U84" s="76">
        <f>ROUND('[7]10.Energ_productos_Necesidad'!AZ283,2)</f>
        <v>57532.68</v>
      </c>
      <c r="V84" s="76">
        <f>ROUND('[7]10.Energ_productos_Necesidad'!BA283,2)</f>
        <v>64617.5</v>
      </c>
      <c r="W84" s="76">
        <f>ROUND('[7]10.Energ_productos_Necesidad'!BB283,2)</f>
        <v>72928.649999999994</v>
      </c>
      <c r="X84" s="76">
        <f>ROUND('[7]10.Energ_productos_Necesidad'!BC283,2)</f>
        <v>76487.48</v>
      </c>
      <c r="Y84" s="76">
        <f>ROUND('[7]10.Energ_productos_Necesidad'!BD283,2)</f>
        <v>75925.17</v>
      </c>
      <c r="Z84" s="76">
        <f>ROUND('[7]10.Energ_productos_Necesidad'!BE283,2)</f>
        <v>74088.88</v>
      </c>
      <c r="AA84" s="76">
        <f>ROUND('[7]10.Energ_productos_Necesidad'!BF283,2)</f>
        <v>70038.39</v>
      </c>
      <c r="AB84" s="76">
        <f>ROUND('[7]10.Energ_productos_Necesidad'!BG283,2)</f>
        <v>65007.32</v>
      </c>
      <c r="AC84" s="214"/>
      <c r="AD84" s="18"/>
    </row>
    <row r="85" spans="2:30" ht="18.649999999999999" customHeight="1" x14ac:dyDescent="0.35">
      <c r="B85" s="207">
        <v>48030</v>
      </c>
      <c r="C85" s="13" t="s">
        <v>29</v>
      </c>
      <c r="D85" s="14">
        <v>23</v>
      </c>
      <c r="E85" s="81">
        <f>ROUND('[7]10.Energ_productos_Necesidad'!AJ284,2)</f>
        <v>53722.37</v>
      </c>
      <c r="F85" s="81">
        <f>ROUND('[7]10.Energ_productos_Necesidad'!AK284,2)</f>
        <v>50678.67</v>
      </c>
      <c r="G85" s="81">
        <f>ROUND('[7]10.Energ_productos_Necesidad'!AL284,2)</f>
        <v>48305.43</v>
      </c>
      <c r="H85" s="81">
        <f>ROUND('[7]10.Energ_productos_Necesidad'!AM284,2)</f>
        <v>46719.64</v>
      </c>
      <c r="I85" s="81">
        <f>ROUND('[7]10.Energ_productos_Necesidad'!AN284,2)</f>
        <v>46349.94</v>
      </c>
      <c r="J85" s="81">
        <f>ROUND('[7]10.Energ_productos_Necesidad'!AO284,2)</f>
        <v>47142.45</v>
      </c>
      <c r="K85" s="81">
        <f>ROUND('[7]10.Energ_productos_Necesidad'!AP284,2)</f>
        <v>46871.05</v>
      </c>
      <c r="L85" s="81">
        <f>ROUND('[7]10.Energ_productos_Necesidad'!AQ284,2)</f>
        <v>50380.12</v>
      </c>
      <c r="M85" s="81">
        <f>ROUND('[7]10.Energ_productos_Necesidad'!AR284,2)</f>
        <v>54703.27</v>
      </c>
      <c r="N85" s="81">
        <f>ROUND('[7]10.Energ_productos_Necesidad'!AS284,2)</f>
        <v>56742.43</v>
      </c>
      <c r="O85" s="81">
        <f>ROUND('[7]10.Energ_productos_Necesidad'!AT284,2)</f>
        <v>60077.26</v>
      </c>
      <c r="P85" s="81">
        <f>ROUND('[7]10.Energ_productos_Necesidad'!AU284,2)</f>
        <v>62991.26</v>
      </c>
      <c r="Q85" s="81">
        <f>ROUND('[7]10.Energ_productos_Necesidad'!AV284,2)</f>
        <v>60662.080000000002</v>
      </c>
      <c r="R85" s="81">
        <f>ROUND('[7]10.Energ_productos_Necesidad'!AW284,2)</f>
        <v>63846.48</v>
      </c>
      <c r="S85" s="81">
        <f>ROUND('[7]10.Energ_productos_Necesidad'!AX284,2)</f>
        <v>69175.88</v>
      </c>
      <c r="T85" s="81">
        <f>ROUND('[7]10.Energ_productos_Necesidad'!AY284,2)</f>
        <v>70348.960000000006</v>
      </c>
      <c r="U85" s="81">
        <f>ROUND('[7]10.Energ_productos_Necesidad'!AZ284,2)</f>
        <v>70854.42</v>
      </c>
      <c r="V85" s="81">
        <f>ROUND('[7]10.Energ_productos_Necesidad'!BA284,2)</f>
        <v>74258.78</v>
      </c>
      <c r="W85" s="81">
        <f>ROUND('[7]10.Energ_productos_Necesidad'!BB284,2)</f>
        <v>78421.5</v>
      </c>
      <c r="X85" s="81">
        <f>ROUND('[7]10.Energ_productos_Necesidad'!BC284,2)</f>
        <v>80311.89</v>
      </c>
      <c r="Y85" s="81">
        <f>ROUND('[7]10.Energ_productos_Necesidad'!BD284,2)</f>
        <v>78514.399999999994</v>
      </c>
      <c r="Z85" s="81">
        <f>ROUND('[7]10.Energ_productos_Necesidad'!BE284,2)</f>
        <v>74918.960000000006</v>
      </c>
      <c r="AA85" s="81">
        <f>ROUND('[7]10.Energ_productos_Necesidad'!BF284,2)</f>
        <v>68940.05</v>
      </c>
      <c r="AB85" s="81">
        <f>ROUND('[7]10.Energ_productos_Necesidad'!BG284,2)</f>
        <v>62944.65</v>
      </c>
      <c r="AC85" s="210">
        <f>SUM(E85:AB85)*D85+SUM(E86:AB86)*D86+SUM(E87:AB87)*D87+SUM(E88:AB88)*D88</f>
        <v>44341109.969999991</v>
      </c>
      <c r="AD85" s="18"/>
    </row>
    <row r="86" spans="2:30" ht="18.649999999999999" customHeight="1" x14ac:dyDescent="0.35">
      <c r="B86" s="208"/>
      <c r="C86" s="9" t="s">
        <v>30</v>
      </c>
      <c r="D86" s="10">
        <v>4</v>
      </c>
      <c r="E86" s="79">
        <f>ROUND('[7]10.Energ_productos_Necesidad'!AJ285,2)</f>
        <v>54521.46</v>
      </c>
      <c r="F86" s="79">
        <f>ROUND('[7]10.Energ_productos_Necesidad'!AK285,2)</f>
        <v>51040.800000000003</v>
      </c>
      <c r="G86" s="79">
        <f>ROUND('[7]10.Energ_productos_Necesidad'!AL285,2)</f>
        <v>48412.99</v>
      </c>
      <c r="H86" s="79">
        <f>ROUND('[7]10.Energ_productos_Necesidad'!AM285,2)</f>
        <v>46983.11</v>
      </c>
      <c r="I86" s="79">
        <f>ROUND('[7]10.Energ_productos_Necesidad'!AN285,2)</f>
        <v>46005.24</v>
      </c>
      <c r="J86" s="79">
        <f>ROUND('[7]10.Energ_productos_Necesidad'!AO285,2)</f>
        <v>45389.26</v>
      </c>
      <c r="K86" s="79">
        <f>ROUND('[7]10.Energ_productos_Necesidad'!AP285,2)</f>
        <v>44706.04</v>
      </c>
      <c r="L86" s="79">
        <f>ROUND('[7]10.Energ_productos_Necesidad'!AQ285,2)</f>
        <v>46846.37</v>
      </c>
      <c r="M86" s="79">
        <f>ROUND('[7]10.Energ_productos_Necesidad'!AR285,2)</f>
        <v>51037.21</v>
      </c>
      <c r="N86" s="79">
        <f>ROUND('[7]10.Energ_productos_Necesidad'!AS285,2)</f>
        <v>53576.26</v>
      </c>
      <c r="O86" s="79">
        <f>ROUND('[7]10.Energ_productos_Necesidad'!AT285,2)</f>
        <v>56585.16</v>
      </c>
      <c r="P86" s="79">
        <f>ROUND('[7]10.Energ_productos_Necesidad'!AU285,2)</f>
        <v>58104.76</v>
      </c>
      <c r="Q86" s="79">
        <f>ROUND('[7]10.Energ_productos_Necesidad'!AV285,2)</f>
        <v>57084.58</v>
      </c>
      <c r="R86" s="79">
        <f>ROUND('[7]10.Energ_productos_Necesidad'!AW285,2)</f>
        <v>56637.14</v>
      </c>
      <c r="S86" s="79">
        <f>ROUND('[7]10.Energ_productos_Necesidad'!AX285,2)</f>
        <v>57362.87</v>
      </c>
      <c r="T86" s="79">
        <f>ROUND('[7]10.Energ_productos_Necesidad'!AY285,2)</f>
        <v>57486.64</v>
      </c>
      <c r="U86" s="79">
        <f>ROUND('[7]10.Energ_productos_Necesidad'!AZ285,2)</f>
        <v>58499.42</v>
      </c>
      <c r="V86" s="79">
        <f>ROUND('[7]10.Energ_productos_Necesidad'!BA285,2)</f>
        <v>66129.149999999994</v>
      </c>
      <c r="W86" s="79">
        <f>ROUND('[7]10.Energ_productos_Necesidad'!BB285,2)</f>
        <v>70637.67</v>
      </c>
      <c r="X86" s="79">
        <f>ROUND('[7]10.Energ_productos_Necesidad'!BC285,2)</f>
        <v>71765.759999999995</v>
      </c>
      <c r="Y86" s="79">
        <f>ROUND('[7]10.Energ_productos_Necesidad'!BD285,2)</f>
        <v>69485.59</v>
      </c>
      <c r="Z86" s="79">
        <f>ROUND('[7]10.Energ_productos_Necesidad'!BE285,2)</f>
        <v>66657.58</v>
      </c>
      <c r="AA86" s="79">
        <f>ROUND('[7]10.Energ_productos_Necesidad'!BF285,2)</f>
        <v>63205.8</v>
      </c>
      <c r="AB86" s="79">
        <f>ROUND('[7]10.Energ_productos_Necesidad'!BG285,2)</f>
        <v>59011.14</v>
      </c>
      <c r="AC86" s="210"/>
      <c r="AD86" s="18"/>
    </row>
    <row r="87" spans="2:30" ht="18.649999999999999" customHeight="1" x14ac:dyDescent="0.35">
      <c r="B87" s="208"/>
      <c r="C87" s="9" t="s">
        <v>31</v>
      </c>
      <c r="D87" s="10">
        <v>3</v>
      </c>
      <c r="E87" s="79">
        <f>ROUND('[7]10.Energ_productos_Necesidad'!AJ286,2)</f>
        <v>48936.06</v>
      </c>
      <c r="F87" s="79">
        <f>ROUND('[7]10.Energ_productos_Necesidad'!AK286,2)</f>
        <v>46492.91</v>
      </c>
      <c r="G87" s="79">
        <f>ROUND('[7]10.Energ_productos_Necesidad'!AL286,2)</f>
        <v>44134.62</v>
      </c>
      <c r="H87" s="79">
        <f>ROUND('[7]10.Energ_productos_Necesidad'!AM286,2)</f>
        <v>42839.01</v>
      </c>
      <c r="I87" s="79">
        <f>ROUND('[7]10.Energ_productos_Necesidad'!AN286,2)</f>
        <v>42339.34</v>
      </c>
      <c r="J87" s="79">
        <f>ROUND('[7]10.Energ_productos_Necesidad'!AO286,2)</f>
        <v>41121.78</v>
      </c>
      <c r="K87" s="79">
        <f>ROUND('[7]10.Energ_productos_Necesidad'!AP286,2)</f>
        <v>39598.720000000001</v>
      </c>
      <c r="L87" s="79">
        <f>ROUND('[7]10.Energ_productos_Necesidad'!AQ286,2)</f>
        <v>39449.58</v>
      </c>
      <c r="M87" s="79">
        <f>ROUND('[7]10.Energ_productos_Necesidad'!AR286,2)</f>
        <v>40601.33</v>
      </c>
      <c r="N87" s="79">
        <f>ROUND('[7]10.Energ_productos_Necesidad'!AS286,2)</f>
        <v>41978.04</v>
      </c>
      <c r="O87" s="79">
        <f>ROUND('[7]10.Energ_productos_Necesidad'!AT286,2)</f>
        <v>43890.67</v>
      </c>
      <c r="P87" s="79">
        <f>ROUND('[7]10.Energ_productos_Necesidad'!AU286,2)</f>
        <v>45808.06</v>
      </c>
      <c r="Q87" s="79">
        <f>ROUND('[7]10.Energ_productos_Necesidad'!AV286,2)</f>
        <v>47649.64</v>
      </c>
      <c r="R87" s="79">
        <f>ROUND('[7]10.Energ_productos_Necesidad'!AW286,2)</f>
        <v>48773.46</v>
      </c>
      <c r="S87" s="79">
        <f>ROUND('[7]10.Energ_productos_Necesidad'!AX286,2)</f>
        <v>50035.02</v>
      </c>
      <c r="T87" s="79">
        <f>ROUND('[7]10.Energ_productos_Necesidad'!AY286,2)</f>
        <v>51920.5</v>
      </c>
      <c r="U87" s="79">
        <f>ROUND('[7]10.Energ_productos_Necesidad'!AZ286,2)</f>
        <v>53500.37</v>
      </c>
      <c r="V87" s="79">
        <f>ROUND('[7]10.Energ_productos_Necesidad'!BA286,2)</f>
        <v>60361.69</v>
      </c>
      <c r="W87" s="79">
        <f>ROUND('[7]10.Energ_productos_Necesidad'!BB286,2)</f>
        <v>68568.95</v>
      </c>
      <c r="X87" s="79">
        <f>ROUND('[7]10.Energ_productos_Necesidad'!BC286,2)</f>
        <v>72546.559999999998</v>
      </c>
      <c r="Y87" s="79">
        <f>ROUND('[7]10.Energ_productos_Necesidad'!BD286,2)</f>
        <v>71435.62</v>
      </c>
      <c r="Z87" s="79">
        <f>ROUND('[7]10.Energ_productos_Necesidad'!BE286,2)</f>
        <v>68476.509999999995</v>
      </c>
      <c r="AA87" s="79">
        <f>ROUND('[7]10.Energ_productos_Necesidad'!BF286,2)</f>
        <v>63058.07</v>
      </c>
      <c r="AB87" s="79">
        <f>ROUND('[7]10.Energ_productos_Necesidad'!BG286,2)</f>
        <v>57620.44</v>
      </c>
      <c r="AC87" s="210"/>
      <c r="AD87" s="18"/>
    </row>
    <row r="88" spans="2:30" ht="18.649999999999999" customHeight="1" thickBot="1" x14ac:dyDescent="0.4">
      <c r="B88" s="208"/>
      <c r="C88" s="15" t="s">
        <v>32</v>
      </c>
      <c r="D88" s="16">
        <v>1</v>
      </c>
      <c r="E88" s="80">
        <f>ROUND('[7]10.Energ_productos_Necesidad'!AJ287,2)</f>
        <v>48944.47</v>
      </c>
      <c r="F88" s="80">
        <f>ROUND('[7]10.Energ_productos_Necesidad'!AK287,2)</f>
        <v>46501.39</v>
      </c>
      <c r="G88" s="80">
        <f>ROUND('[7]10.Energ_productos_Necesidad'!AL287,2)</f>
        <v>44164.73</v>
      </c>
      <c r="H88" s="80">
        <f>ROUND('[7]10.Energ_productos_Necesidad'!AM287,2)</f>
        <v>42849.83</v>
      </c>
      <c r="I88" s="80">
        <f>ROUND('[7]10.Energ_productos_Necesidad'!AN287,2)</f>
        <v>42308.71</v>
      </c>
      <c r="J88" s="80">
        <f>ROUND('[7]10.Energ_productos_Necesidad'!AO287,2)</f>
        <v>41047.18</v>
      </c>
      <c r="K88" s="80">
        <f>ROUND('[7]10.Energ_productos_Necesidad'!AP287,2)</f>
        <v>39491.589999999997</v>
      </c>
      <c r="L88" s="80">
        <f>ROUND('[7]10.Energ_productos_Necesidad'!AQ287,2)</f>
        <v>39262.14</v>
      </c>
      <c r="M88" s="80">
        <f>ROUND('[7]10.Energ_productos_Necesidad'!AR287,2)</f>
        <v>40379.919999999998</v>
      </c>
      <c r="N88" s="80">
        <f>ROUND('[7]10.Energ_productos_Necesidad'!AS287,2)</f>
        <v>41731.230000000003</v>
      </c>
      <c r="O88" s="80">
        <f>ROUND('[7]10.Energ_productos_Necesidad'!AT287,2)</f>
        <v>43558.95</v>
      </c>
      <c r="P88" s="80">
        <f>ROUND('[7]10.Energ_productos_Necesidad'!AU287,2)</f>
        <v>45442.31</v>
      </c>
      <c r="Q88" s="80">
        <f>ROUND('[7]10.Energ_productos_Necesidad'!AV287,2)</f>
        <v>47359.8</v>
      </c>
      <c r="R88" s="80">
        <f>ROUND('[7]10.Energ_productos_Necesidad'!AW287,2)</f>
        <v>48504.94</v>
      </c>
      <c r="S88" s="80">
        <f>ROUND('[7]10.Energ_productos_Necesidad'!AX287,2)</f>
        <v>49831.6</v>
      </c>
      <c r="T88" s="80">
        <f>ROUND('[7]10.Energ_productos_Necesidad'!AY287,2)</f>
        <v>51726.81</v>
      </c>
      <c r="U88" s="80">
        <f>ROUND('[7]10.Energ_productos_Necesidad'!AZ287,2)</f>
        <v>53315.199999999997</v>
      </c>
      <c r="V88" s="80">
        <f>ROUND('[7]10.Energ_productos_Necesidad'!BA287,2)</f>
        <v>60210.94</v>
      </c>
      <c r="W88" s="80">
        <f>ROUND('[7]10.Energ_productos_Necesidad'!BB287,2)</f>
        <v>68402.649999999994</v>
      </c>
      <c r="X88" s="80">
        <f>ROUND('[7]10.Energ_productos_Necesidad'!BC287,2)</f>
        <v>72324.09</v>
      </c>
      <c r="Y88" s="80">
        <f>ROUND('[7]10.Energ_productos_Necesidad'!BD287,2)</f>
        <v>71284.039999999994</v>
      </c>
      <c r="Z88" s="80">
        <f>ROUND('[7]10.Energ_productos_Necesidad'!BE287,2)</f>
        <v>68442.73</v>
      </c>
      <c r="AA88" s="80">
        <f>ROUND('[7]10.Energ_productos_Necesidad'!BF287,2)</f>
        <v>63033.69</v>
      </c>
      <c r="AB88" s="80">
        <f>ROUND('[7]10.Energ_productos_Necesidad'!BG287,2)</f>
        <v>57607.56</v>
      </c>
      <c r="AC88" s="210"/>
      <c r="AD88" s="18"/>
    </row>
    <row r="89" spans="2:30" ht="18.649999999999999" customHeight="1" x14ac:dyDescent="0.35">
      <c r="B89" s="211">
        <v>48061</v>
      </c>
      <c r="C89" s="6" t="s">
        <v>29</v>
      </c>
      <c r="D89" s="7">
        <v>19</v>
      </c>
      <c r="E89" s="78">
        <f>ROUND('[7]10.Energ_productos_Necesidad'!AJ288,2)</f>
        <v>54104.32</v>
      </c>
      <c r="F89" s="78">
        <f>ROUND('[7]10.Energ_productos_Necesidad'!AK288,2)</f>
        <v>50742.35</v>
      </c>
      <c r="G89" s="78">
        <f>ROUND('[7]10.Energ_productos_Necesidad'!AL288,2)</f>
        <v>48310.76</v>
      </c>
      <c r="H89" s="78">
        <f>ROUND('[7]10.Energ_productos_Necesidad'!AM288,2)</f>
        <v>46629.77</v>
      </c>
      <c r="I89" s="78">
        <f>ROUND('[7]10.Energ_productos_Necesidad'!AN288,2)</f>
        <v>46221.8</v>
      </c>
      <c r="J89" s="78">
        <f>ROUND('[7]10.Energ_productos_Necesidad'!AO288,2)</f>
        <v>47449.18</v>
      </c>
      <c r="K89" s="78">
        <f>ROUND('[7]10.Energ_productos_Necesidad'!AP288,2)</f>
        <v>47308.49</v>
      </c>
      <c r="L89" s="78">
        <f>ROUND('[7]10.Energ_productos_Necesidad'!AQ288,2)</f>
        <v>50207.040000000001</v>
      </c>
      <c r="M89" s="78">
        <f>ROUND('[7]10.Energ_productos_Necesidad'!AR288,2)</f>
        <v>54607.53</v>
      </c>
      <c r="N89" s="78">
        <f>ROUND('[7]10.Energ_productos_Necesidad'!AS288,2)</f>
        <v>56612.17</v>
      </c>
      <c r="O89" s="78">
        <f>ROUND('[7]10.Energ_productos_Necesidad'!AT288,2)</f>
        <v>60148.2</v>
      </c>
      <c r="P89" s="78">
        <f>ROUND('[7]10.Energ_productos_Necesidad'!AU288,2)</f>
        <v>63736.91</v>
      </c>
      <c r="Q89" s="78">
        <f>ROUND('[7]10.Energ_productos_Necesidad'!AV288,2)</f>
        <v>60846.55</v>
      </c>
      <c r="R89" s="78">
        <f>ROUND('[7]10.Energ_productos_Necesidad'!AW288,2)</f>
        <v>63673.78</v>
      </c>
      <c r="S89" s="78">
        <f>ROUND('[7]10.Energ_productos_Necesidad'!AX288,2)</f>
        <v>69190</v>
      </c>
      <c r="T89" s="78">
        <f>ROUND('[7]10.Energ_productos_Necesidad'!AY288,2)</f>
        <v>70421.710000000006</v>
      </c>
      <c r="U89" s="78">
        <f>ROUND('[7]10.Energ_productos_Necesidad'!AZ288,2)</f>
        <v>70531.149999999994</v>
      </c>
      <c r="V89" s="78">
        <f>ROUND('[7]10.Energ_productos_Necesidad'!BA288,2)</f>
        <v>75069.47</v>
      </c>
      <c r="W89" s="78">
        <f>ROUND('[7]10.Energ_productos_Necesidad'!BB288,2)</f>
        <v>80683.06</v>
      </c>
      <c r="X89" s="78">
        <f>ROUND('[7]10.Energ_productos_Necesidad'!BC288,2)</f>
        <v>82089.34</v>
      </c>
      <c r="Y89" s="78">
        <f>ROUND('[7]10.Energ_productos_Necesidad'!BD288,2)</f>
        <v>80196.92</v>
      </c>
      <c r="Z89" s="78">
        <f>ROUND('[7]10.Energ_productos_Necesidad'!BE288,2)</f>
        <v>76296.12</v>
      </c>
      <c r="AA89" s="78">
        <f>ROUND('[7]10.Energ_productos_Necesidad'!BF288,2)</f>
        <v>70155.06</v>
      </c>
      <c r="AB89" s="78">
        <f>ROUND('[7]10.Energ_productos_Necesidad'!BG288,2)</f>
        <v>64222.83</v>
      </c>
      <c r="AC89" s="209">
        <f>SUM(E89:AB89)*D89+SUM(E90:AB90)*D90+SUM(E91:AB91)*D91+SUM(E92:AB92)*D92</f>
        <v>44277468.480000004</v>
      </c>
      <c r="AD89" s="18"/>
    </row>
    <row r="90" spans="2:30" ht="18.649999999999999" customHeight="1" x14ac:dyDescent="0.35">
      <c r="B90" s="212" t="s">
        <v>34</v>
      </c>
      <c r="C90" s="9" t="s">
        <v>30</v>
      </c>
      <c r="D90" s="10">
        <v>5</v>
      </c>
      <c r="E90" s="79">
        <f>ROUND('[7]10.Energ_productos_Necesidad'!AJ289,2)</f>
        <v>54363.97</v>
      </c>
      <c r="F90" s="79">
        <f>ROUND('[7]10.Energ_productos_Necesidad'!AK289,2)</f>
        <v>51332.24</v>
      </c>
      <c r="G90" s="79">
        <f>ROUND('[7]10.Energ_productos_Necesidad'!AL289,2)</f>
        <v>49041.08</v>
      </c>
      <c r="H90" s="79">
        <f>ROUND('[7]10.Energ_productos_Necesidad'!AM289,2)</f>
        <v>47248.66</v>
      </c>
      <c r="I90" s="79">
        <f>ROUND('[7]10.Energ_productos_Necesidad'!AN289,2)</f>
        <v>45799.58</v>
      </c>
      <c r="J90" s="79">
        <f>ROUND('[7]10.Energ_productos_Necesidad'!AO289,2)</f>
        <v>45028.44</v>
      </c>
      <c r="K90" s="79">
        <f>ROUND('[7]10.Energ_productos_Necesidad'!AP289,2)</f>
        <v>44349.03</v>
      </c>
      <c r="L90" s="79">
        <f>ROUND('[7]10.Energ_productos_Necesidad'!AQ289,2)</f>
        <v>46501.75</v>
      </c>
      <c r="M90" s="79">
        <f>ROUND('[7]10.Energ_productos_Necesidad'!AR289,2)</f>
        <v>50137.33</v>
      </c>
      <c r="N90" s="79">
        <f>ROUND('[7]10.Energ_productos_Necesidad'!AS289,2)</f>
        <v>52674.09</v>
      </c>
      <c r="O90" s="79">
        <f>ROUND('[7]10.Energ_productos_Necesidad'!AT289,2)</f>
        <v>55186.44</v>
      </c>
      <c r="P90" s="79">
        <f>ROUND('[7]10.Energ_productos_Necesidad'!AU289,2)</f>
        <v>55711.12</v>
      </c>
      <c r="Q90" s="79">
        <f>ROUND('[7]10.Energ_productos_Necesidad'!AV289,2)</f>
        <v>54674.11</v>
      </c>
      <c r="R90" s="79">
        <f>ROUND('[7]10.Energ_productos_Necesidad'!AW289,2)</f>
        <v>54469.36</v>
      </c>
      <c r="S90" s="79">
        <f>ROUND('[7]10.Energ_productos_Necesidad'!AX289,2)</f>
        <v>56358.95</v>
      </c>
      <c r="T90" s="79">
        <f>ROUND('[7]10.Energ_productos_Necesidad'!AY289,2)</f>
        <v>57835.89</v>
      </c>
      <c r="U90" s="79">
        <f>ROUND('[7]10.Energ_productos_Necesidad'!AZ289,2)</f>
        <v>58911.6</v>
      </c>
      <c r="V90" s="79">
        <f>ROUND('[7]10.Energ_productos_Necesidad'!BA289,2)</f>
        <v>66900.240000000005</v>
      </c>
      <c r="W90" s="79">
        <f>ROUND('[7]10.Energ_productos_Necesidad'!BB289,2)</f>
        <v>75100.38</v>
      </c>
      <c r="X90" s="79">
        <f>ROUND('[7]10.Energ_productos_Necesidad'!BC289,2)</f>
        <v>75460.95</v>
      </c>
      <c r="Y90" s="79">
        <f>ROUND('[7]10.Energ_productos_Necesidad'!BD289,2)</f>
        <v>72755.199999999997</v>
      </c>
      <c r="Z90" s="79">
        <f>ROUND('[7]10.Energ_productos_Necesidad'!BE289,2)</f>
        <v>69751.69</v>
      </c>
      <c r="AA90" s="79">
        <f>ROUND('[7]10.Energ_productos_Necesidad'!BF289,2)</f>
        <v>65593.460000000006</v>
      </c>
      <c r="AB90" s="79">
        <f>ROUND('[7]10.Energ_productos_Necesidad'!BG289,2)</f>
        <v>61037.81</v>
      </c>
      <c r="AC90" s="210"/>
      <c r="AD90" s="18"/>
    </row>
    <row r="91" spans="2:30" ht="18.649999999999999" customHeight="1" x14ac:dyDescent="0.35">
      <c r="B91" s="212" t="s">
        <v>34</v>
      </c>
      <c r="C91" s="9" t="s">
        <v>31</v>
      </c>
      <c r="D91" s="10">
        <v>5</v>
      </c>
      <c r="E91" s="79">
        <f>ROUND('[7]10.Energ_productos_Necesidad'!AJ290,2)</f>
        <v>52817.88</v>
      </c>
      <c r="F91" s="79">
        <f>ROUND('[7]10.Energ_productos_Necesidad'!AK290,2)</f>
        <v>50296.08</v>
      </c>
      <c r="G91" s="79">
        <f>ROUND('[7]10.Energ_productos_Necesidad'!AL290,2)</f>
        <v>47631.83</v>
      </c>
      <c r="H91" s="79">
        <f>ROUND('[7]10.Energ_productos_Necesidad'!AM290,2)</f>
        <v>46177.1</v>
      </c>
      <c r="I91" s="79">
        <f>ROUND('[7]10.Energ_productos_Necesidad'!AN290,2)</f>
        <v>45299.98</v>
      </c>
      <c r="J91" s="79">
        <f>ROUND('[7]10.Energ_productos_Necesidad'!AO290,2)</f>
        <v>44510.99</v>
      </c>
      <c r="K91" s="79">
        <f>ROUND('[7]10.Energ_productos_Necesidad'!AP290,2)</f>
        <v>42760.06</v>
      </c>
      <c r="L91" s="79">
        <f>ROUND('[7]10.Energ_productos_Necesidad'!AQ290,2)</f>
        <v>42645.22</v>
      </c>
      <c r="M91" s="79">
        <f>ROUND('[7]10.Energ_productos_Necesidad'!AR290,2)</f>
        <v>43726.96</v>
      </c>
      <c r="N91" s="79">
        <f>ROUND('[7]10.Energ_productos_Necesidad'!AS290,2)</f>
        <v>45115.38</v>
      </c>
      <c r="O91" s="79">
        <f>ROUND('[7]10.Energ_productos_Necesidad'!AT290,2)</f>
        <v>46890.85</v>
      </c>
      <c r="P91" s="79">
        <f>ROUND('[7]10.Energ_productos_Necesidad'!AU290,2)</f>
        <v>48679.17</v>
      </c>
      <c r="Q91" s="79">
        <f>ROUND('[7]10.Energ_productos_Necesidad'!AV290,2)</f>
        <v>49948.78</v>
      </c>
      <c r="R91" s="79">
        <f>ROUND('[7]10.Energ_productos_Necesidad'!AW290,2)</f>
        <v>50770.41</v>
      </c>
      <c r="S91" s="79">
        <f>ROUND('[7]10.Energ_productos_Necesidad'!AX290,2)</f>
        <v>52005.120000000003</v>
      </c>
      <c r="T91" s="79">
        <f>ROUND('[7]10.Energ_productos_Necesidad'!AY290,2)</f>
        <v>53430.93</v>
      </c>
      <c r="U91" s="79">
        <f>ROUND('[7]10.Energ_productos_Necesidad'!AZ290,2)</f>
        <v>55049.11</v>
      </c>
      <c r="V91" s="79">
        <f>ROUND('[7]10.Energ_productos_Necesidad'!BA290,2)</f>
        <v>63113.46</v>
      </c>
      <c r="W91" s="79">
        <f>ROUND('[7]10.Energ_productos_Necesidad'!BB290,2)</f>
        <v>72217.429999999993</v>
      </c>
      <c r="X91" s="79">
        <f>ROUND('[7]10.Energ_productos_Necesidad'!BC290,2)</f>
        <v>75665.64</v>
      </c>
      <c r="Y91" s="79">
        <f>ROUND('[7]10.Energ_productos_Necesidad'!BD290,2)</f>
        <v>75508.23</v>
      </c>
      <c r="Z91" s="79">
        <f>ROUND('[7]10.Energ_productos_Necesidad'!BE290,2)</f>
        <v>73292.289999999994</v>
      </c>
      <c r="AA91" s="79">
        <f>ROUND('[7]10.Energ_productos_Necesidad'!BF290,2)</f>
        <v>68097.009999999995</v>
      </c>
      <c r="AB91" s="79">
        <f>ROUND('[7]10.Energ_productos_Necesidad'!BG290,2)</f>
        <v>62189.67</v>
      </c>
      <c r="AC91" s="210"/>
      <c r="AD91" s="18"/>
    </row>
    <row r="92" spans="2:30" ht="18.649999999999999" customHeight="1" thickBot="1" x14ac:dyDescent="0.4">
      <c r="B92" s="213" t="s">
        <v>34</v>
      </c>
      <c r="C92" s="11" t="s">
        <v>32</v>
      </c>
      <c r="D92" s="12">
        <v>2</v>
      </c>
      <c r="E92" s="76">
        <f>ROUND('[7]10.Energ_productos_Necesidad'!AJ291,2)</f>
        <v>53195.26</v>
      </c>
      <c r="F92" s="76">
        <f>ROUND('[7]10.Energ_productos_Necesidad'!AK291,2)</f>
        <v>50514.06</v>
      </c>
      <c r="G92" s="76">
        <f>ROUND('[7]10.Energ_productos_Necesidad'!AL291,2)</f>
        <v>47844.36</v>
      </c>
      <c r="H92" s="76">
        <f>ROUND('[7]10.Energ_productos_Necesidad'!AM291,2)</f>
        <v>46350.93</v>
      </c>
      <c r="I92" s="76">
        <f>ROUND('[7]10.Energ_productos_Necesidad'!AN291,2)</f>
        <v>45450.18</v>
      </c>
      <c r="J92" s="76">
        <f>ROUND('[7]10.Energ_productos_Necesidad'!AO291,2)</f>
        <v>44637.8</v>
      </c>
      <c r="K92" s="76">
        <f>ROUND('[7]10.Energ_productos_Necesidad'!AP291,2)</f>
        <v>42812.19</v>
      </c>
      <c r="L92" s="76">
        <f>ROUND('[7]10.Energ_productos_Necesidad'!AQ291,2)</f>
        <v>42631.66</v>
      </c>
      <c r="M92" s="76">
        <f>ROUND('[7]10.Energ_productos_Necesidad'!AR291,2)</f>
        <v>43614.879999999997</v>
      </c>
      <c r="N92" s="76">
        <f>ROUND('[7]10.Energ_productos_Necesidad'!AS291,2)</f>
        <v>44835.78</v>
      </c>
      <c r="O92" s="76">
        <f>ROUND('[7]10.Energ_productos_Necesidad'!AT291,2)</f>
        <v>46609.68</v>
      </c>
      <c r="P92" s="76">
        <f>ROUND('[7]10.Energ_productos_Necesidad'!AU291,2)</f>
        <v>48314.720000000001</v>
      </c>
      <c r="Q92" s="76">
        <f>ROUND('[7]10.Energ_productos_Necesidad'!AV291,2)</f>
        <v>49605.2</v>
      </c>
      <c r="R92" s="76">
        <f>ROUND('[7]10.Energ_productos_Necesidad'!AW291,2)</f>
        <v>50409.96</v>
      </c>
      <c r="S92" s="76">
        <f>ROUND('[7]10.Energ_productos_Necesidad'!AX291,2)</f>
        <v>51631.74</v>
      </c>
      <c r="T92" s="76">
        <f>ROUND('[7]10.Energ_productos_Necesidad'!AY291,2)</f>
        <v>53047.09</v>
      </c>
      <c r="U92" s="76">
        <f>ROUND('[7]10.Energ_productos_Necesidad'!AZ291,2)</f>
        <v>54664.62</v>
      </c>
      <c r="V92" s="76">
        <f>ROUND('[7]10.Energ_productos_Necesidad'!BA291,2)</f>
        <v>62868.55</v>
      </c>
      <c r="W92" s="76">
        <f>ROUND('[7]10.Energ_productos_Necesidad'!BB291,2)</f>
        <v>71987.53</v>
      </c>
      <c r="X92" s="76">
        <f>ROUND('[7]10.Energ_productos_Necesidad'!BC291,2)</f>
        <v>75247.55</v>
      </c>
      <c r="Y92" s="76">
        <f>ROUND('[7]10.Energ_productos_Necesidad'!BD291,2)</f>
        <v>75055.06</v>
      </c>
      <c r="Z92" s="76">
        <f>ROUND('[7]10.Energ_productos_Necesidad'!BE291,2)</f>
        <v>72861.38</v>
      </c>
      <c r="AA92" s="76">
        <f>ROUND('[7]10.Energ_productos_Necesidad'!BF291,2)</f>
        <v>67686.070000000007</v>
      </c>
      <c r="AB92" s="76">
        <f>ROUND('[7]10.Energ_productos_Necesidad'!BG291,2)</f>
        <v>61882.77</v>
      </c>
      <c r="AC92" s="214"/>
      <c r="AD92" s="18"/>
    </row>
    <row r="93" spans="2:30" ht="18.649999999999999" customHeight="1" x14ac:dyDescent="0.35">
      <c r="B93" s="207">
        <v>48092</v>
      </c>
      <c r="C93" s="13" t="s">
        <v>29</v>
      </c>
      <c r="D93" s="14">
        <v>22</v>
      </c>
      <c r="E93" s="81">
        <f>ROUND('[7]10.Energ_productos_Necesidad'!AJ292,2)</f>
        <v>52799.83</v>
      </c>
      <c r="F93" s="81">
        <f>ROUND('[7]10.Energ_productos_Necesidad'!AK292,2)</f>
        <v>49638.45</v>
      </c>
      <c r="G93" s="81">
        <f>ROUND('[7]10.Energ_productos_Necesidad'!AL292,2)</f>
        <v>47244.5</v>
      </c>
      <c r="H93" s="81">
        <f>ROUND('[7]10.Energ_productos_Necesidad'!AM292,2)</f>
        <v>45412.31</v>
      </c>
      <c r="I93" s="81">
        <f>ROUND('[7]10.Energ_productos_Necesidad'!AN292,2)</f>
        <v>44937.61</v>
      </c>
      <c r="J93" s="81">
        <f>ROUND('[7]10.Energ_productos_Necesidad'!AO292,2)</f>
        <v>46097.919999999998</v>
      </c>
      <c r="K93" s="81">
        <f>ROUND('[7]10.Energ_productos_Necesidad'!AP292,2)</f>
        <v>45839.99</v>
      </c>
      <c r="L93" s="81">
        <f>ROUND('[7]10.Energ_productos_Necesidad'!AQ292,2)</f>
        <v>48999.47</v>
      </c>
      <c r="M93" s="81">
        <f>ROUND('[7]10.Energ_productos_Necesidad'!AR292,2)</f>
        <v>53844.04</v>
      </c>
      <c r="N93" s="81">
        <f>ROUND('[7]10.Energ_productos_Necesidad'!AS292,2)</f>
        <v>55993.33</v>
      </c>
      <c r="O93" s="81">
        <f>ROUND('[7]10.Energ_productos_Necesidad'!AT292,2)</f>
        <v>58828.28</v>
      </c>
      <c r="P93" s="81">
        <f>ROUND('[7]10.Energ_productos_Necesidad'!AU292,2)</f>
        <v>61966.58</v>
      </c>
      <c r="Q93" s="81">
        <f>ROUND('[7]10.Energ_productos_Necesidad'!AV292,2)</f>
        <v>59634.78</v>
      </c>
      <c r="R93" s="81">
        <f>ROUND('[7]10.Energ_productos_Necesidad'!AW292,2)</f>
        <v>62042.67</v>
      </c>
      <c r="S93" s="81">
        <f>ROUND('[7]10.Energ_productos_Necesidad'!AX292,2)</f>
        <v>67028.740000000005</v>
      </c>
      <c r="T93" s="81">
        <f>ROUND('[7]10.Energ_productos_Necesidad'!AY292,2)</f>
        <v>68291.48</v>
      </c>
      <c r="U93" s="81">
        <f>ROUND('[7]10.Energ_productos_Necesidad'!AZ292,2)</f>
        <v>68595.61</v>
      </c>
      <c r="V93" s="81">
        <f>ROUND('[7]10.Energ_productos_Necesidad'!BA292,2)</f>
        <v>73869.19</v>
      </c>
      <c r="W93" s="81">
        <f>ROUND('[7]10.Energ_productos_Necesidad'!BB292,2)</f>
        <v>79431.710000000006</v>
      </c>
      <c r="X93" s="81">
        <f>ROUND('[7]10.Energ_productos_Necesidad'!BC292,2)</f>
        <v>78815.64</v>
      </c>
      <c r="Y93" s="81">
        <f>ROUND('[7]10.Energ_productos_Necesidad'!BD292,2)</f>
        <v>76756.45</v>
      </c>
      <c r="Z93" s="81">
        <f>ROUND('[7]10.Energ_productos_Necesidad'!BE292,2)</f>
        <v>72795.679999999993</v>
      </c>
      <c r="AA93" s="81">
        <f>ROUND('[7]10.Energ_productos_Necesidad'!BF292,2)</f>
        <v>66613.039999999994</v>
      </c>
      <c r="AB93" s="81">
        <f>ROUND('[7]10.Energ_productos_Necesidad'!BG292,2)</f>
        <v>60947.3</v>
      </c>
      <c r="AC93" s="210">
        <f>SUM(E93:AB93)*D93+SUM(E94:AB94)*D94+SUM(E95:AB95)*D95+SUM(E96:AB96)*D96</f>
        <v>42192654.279999994</v>
      </c>
      <c r="AD93" s="18"/>
    </row>
    <row r="94" spans="2:30" ht="18.649999999999999" customHeight="1" x14ac:dyDescent="0.35">
      <c r="B94" s="208"/>
      <c r="C94" s="9" t="s">
        <v>30</v>
      </c>
      <c r="D94" s="10">
        <v>4</v>
      </c>
      <c r="E94" s="79">
        <f>ROUND('[7]10.Energ_productos_Necesidad'!AJ293,2)</f>
        <v>49775.76</v>
      </c>
      <c r="F94" s="79">
        <f>ROUND('[7]10.Energ_productos_Necesidad'!AK293,2)</f>
        <v>46941.71</v>
      </c>
      <c r="G94" s="79">
        <f>ROUND('[7]10.Energ_productos_Necesidad'!AL293,2)</f>
        <v>44741.87</v>
      </c>
      <c r="H94" s="79">
        <f>ROUND('[7]10.Energ_productos_Necesidad'!AM293,2)</f>
        <v>43132.99</v>
      </c>
      <c r="I94" s="79">
        <f>ROUND('[7]10.Energ_productos_Necesidad'!AN293,2)</f>
        <v>42537.51</v>
      </c>
      <c r="J94" s="79">
        <f>ROUND('[7]10.Energ_productos_Necesidad'!AO293,2)</f>
        <v>42065.45</v>
      </c>
      <c r="K94" s="79">
        <f>ROUND('[7]10.Energ_productos_Necesidad'!AP293,2)</f>
        <v>41829.19</v>
      </c>
      <c r="L94" s="79">
        <f>ROUND('[7]10.Energ_productos_Necesidad'!AQ293,2)</f>
        <v>44489.94</v>
      </c>
      <c r="M94" s="79">
        <f>ROUND('[7]10.Energ_productos_Necesidad'!AR293,2)</f>
        <v>48767.14</v>
      </c>
      <c r="N94" s="79">
        <f>ROUND('[7]10.Energ_productos_Necesidad'!AS293,2)</f>
        <v>50421.279999999999</v>
      </c>
      <c r="O94" s="79">
        <f>ROUND('[7]10.Energ_productos_Necesidad'!AT293,2)</f>
        <v>53643.05</v>
      </c>
      <c r="P94" s="79">
        <f>ROUND('[7]10.Energ_productos_Necesidad'!AU293,2)</f>
        <v>55004.95</v>
      </c>
      <c r="Q94" s="79">
        <f>ROUND('[7]10.Energ_productos_Necesidad'!AV293,2)</f>
        <v>54668.45</v>
      </c>
      <c r="R94" s="79">
        <f>ROUND('[7]10.Energ_productos_Necesidad'!AW293,2)</f>
        <v>54274.28</v>
      </c>
      <c r="S94" s="79">
        <f>ROUND('[7]10.Energ_productos_Necesidad'!AX293,2)</f>
        <v>55600.28</v>
      </c>
      <c r="T94" s="79">
        <f>ROUND('[7]10.Energ_productos_Necesidad'!AY293,2)</f>
        <v>56342.64</v>
      </c>
      <c r="U94" s="79">
        <f>ROUND('[7]10.Energ_productos_Necesidad'!AZ293,2)</f>
        <v>57211.25</v>
      </c>
      <c r="V94" s="79">
        <f>ROUND('[7]10.Energ_productos_Necesidad'!BA293,2)</f>
        <v>66717.289999999994</v>
      </c>
      <c r="W94" s="79">
        <f>ROUND('[7]10.Energ_productos_Necesidad'!BB293,2)</f>
        <v>75049.490000000005</v>
      </c>
      <c r="X94" s="79">
        <f>ROUND('[7]10.Energ_productos_Necesidad'!BC293,2)</f>
        <v>74498.61</v>
      </c>
      <c r="Y94" s="79">
        <f>ROUND('[7]10.Energ_productos_Necesidad'!BD293,2)</f>
        <v>72296.67</v>
      </c>
      <c r="Z94" s="79">
        <f>ROUND('[7]10.Energ_productos_Necesidad'!BE293,2)</f>
        <v>69450.38</v>
      </c>
      <c r="AA94" s="79">
        <f>ROUND('[7]10.Energ_productos_Necesidad'!BF293,2)</f>
        <v>66360.92</v>
      </c>
      <c r="AB94" s="79">
        <f>ROUND('[7]10.Energ_productos_Necesidad'!BG293,2)</f>
        <v>61828.08</v>
      </c>
      <c r="AC94" s="210"/>
      <c r="AD94" s="18"/>
    </row>
    <row r="95" spans="2:30" ht="18.649999999999999" customHeight="1" x14ac:dyDescent="0.35">
      <c r="B95" s="208"/>
      <c r="C95" s="9" t="s">
        <v>31</v>
      </c>
      <c r="D95" s="10">
        <v>4</v>
      </c>
      <c r="E95" s="79">
        <f>ROUND('[7]10.Energ_productos_Necesidad'!AJ294,2)</f>
        <v>52550.91</v>
      </c>
      <c r="F95" s="79">
        <f>ROUND('[7]10.Energ_productos_Necesidad'!AK294,2)</f>
        <v>49576.51</v>
      </c>
      <c r="G95" s="79">
        <f>ROUND('[7]10.Energ_productos_Necesidad'!AL294,2)</f>
        <v>46806.879999999997</v>
      </c>
      <c r="H95" s="79">
        <f>ROUND('[7]10.Energ_productos_Necesidad'!AM294,2)</f>
        <v>44928.84</v>
      </c>
      <c r="I95" s="79">
        <f>ROUND('[7]10.Energ_productos_Necesidad'!AN294,2)</f>
        <v>44074.68</v>
      </c>
      <c r="J95" s="79">
        <f>ROUND('[7]10.Energ_productos_Necesidad'!AO294,2)</f>
        <v>42463.35</v>
      </c>
      <c r="K95" s="79">
        <f>ROUND('[7]10.Energ_productos_Necesidad'!AP294,2)</f>
        <v>40382.67</v>
      </c>
      <c r="L95" s="79">
        <f>ROUND('[7]10.Energ_productos_Necesidad'!AQ294,2)</f>
        <v>40721.339999999997</v>
      </c>
      <c r="M95" s="79">
        <f>ROUND('[7]10.Energ_productos_Necesidad'!AR294,2)</f>
        <v>42030.15</v>
      </c>
      <c r="N95" s="79">
        <f>ROUND('[7]10.Energ_productos_Necesidad'!AS294,2)</f>
        <v>44270.720000000001</v>
      </c>
      <c r="O95" s="79">
        <f>ROUND('[7]10.Energ_productos_Necesidad'!AT294,2)</f>
        <v>46323.08</v>
      </c>
      <c r="P95" s="79">
        <f>ROUND('[7]10.Energ_productos_Necesidad'!AU294,2)</f>
        <v>47106.3</v>
      </c>
      <c r="Q95" s="79">
        <f>ROUND('[7]10.Energ_productos_Necesidad'!AV294,2)</f>
        <v>48677.2</v>
      </c>
      <c r="R95" s="79">
        <f>ROUND('[7]10.Energ_productos_Necesidad'!AW294,2)</f>
        <v>49355.37</v>
      </c>
      <c r="S95" s="79">
        <f>ROUND('[7]10.Energ_productos_Necesidad'!AX294,2)</f>
        <v>50070.36</v>
      </c>
      <c r="T95" s="79">
        <f>ROUND('[7]10.Energ_productos_Necesidad'!AY294,2)</f>
        <v>51923.67</v>
      </c>
      <c r="U95" s="79">
        <f>ROUND('[7]10.Energ_productos_Necesidad'!AZ294,2)</f>
        <v>53360.12</v>
      </c>
      <c r="V95" s="79">
        <f>ROUND('[7]10.Energ_productos_Necesidad'!BA294,2)</f>
        <v>62459.79</v>
      </c>
      <c r="W95" s="79">
        <f>ROUND('[7]10.Energ_productos_Necesidad'!BB294,2)</f>
        <v>71150.600000000006</v>
      </c>
      <c r="X95" s="79">
        <f>ROUND('[7]10.Energ_productos_Necesidad'!BC294,2)</f>
        <v>72252.73</v>
      </c>
      <c r="Y95" s="79">
        <f>ROUND('[7]10.Energ_productos_Necesidad'!BD294,2)</f>
        <v>71718.399999999994</v>
      </c>
      <c r="Z95" s="79">
        <f>ROUND('[7]10.Energ_productos_Necesidad'!BE294,2)</f>
        <v>69398.080000000002</v>
      </c>
      <c r="AA95" s="79">
        <f>ROUND('[7]10.Energ_productos_Necesidad'!BF294,2)</f>
        <v>64503.69</v>
      </c>
      <c r="AB95" s="79">
        <f>ROUND('[7]10.Energ_productos_Necesidad'!BG294,2)</f>
        <v>59073.65</v>
      </c>
      <c r="AC95" s="210"/>
      <c r="AD95" s="18"/>
    </row>
    <row r="96" spans="2:30" ht="18.649999999999999" customHeight="1" thickBot="1" x14ac:dyDescent="0.4">
      <c r="B96" s="208"/>
      <c r="C96" s="15" t="s">
        <v>32</v>
      </c>
      <c r="D96" s="16">
        <v>0</v>
      </c>
      <c r="E96" s="193">
        <f>ROUND('[7]10.Energ_productos_Necesidad'!AJ295,2)</f>
        <v>0</v>
      </c>
      <c r="F96" s="84">
        <f>ROUND('[7]10.Energ_productos_Necesidad'!AK295,2)</f>
        <v>0</v>
      </c>
      <c r="G96" s="84">
        <f>ROUND('[7]10.Energ_productos_Necesidad'!AL295,2)</f>
        <v>0</v>
      </c>
      <c r="H96" s="84">
        <f>ROUND('[7]10.Energ_productos_Necesidad'!AM295,2)</f>
        <v>0</v>
      </c>
      <c r="I96" s="84">
        <f>ROUND('[7]10.Energ_productos_Necesidad'!AN295,2)</f>
        <v>0</v>
      </c>
      <c r="J96" s="84">
        <f>ROUND('[7]10.Energ_productos_Necesidad'!AO295,2)</f>
        <v>0</v>
      </c>
      <c r="K96" s="84">
        <f>ROUND('[7]10.Energ_productos_Necesidad'!AP295,2)</f>
        <v>0</v>
      </c>
      <c r="L96" s="84">
        <f>ROUND('[7]10.Energ_productos_Necesidad'!AQ295,2)</f>
        <v>0</v>
      </c>
      <c r="M96" s="84">
        <f>ROUND('[7]10.Energ_productos_Necesidad'!AR295,2)</f>
        <v>0</v>
      </c>
      <c r="N96" s="84">
        <f>ROUND('[7]10.Energ_productos_Necesidad'!AS295,2)</f>
        <v>0</v>
      </c>
      <c r="O96" s="84">
        <f>ROUND('[7]10.Energ_productos_Necesidad'!AT295,2)</f>
        <v>0</v>
      </c>
      <c r="P96" s="84">
        <f>ROUND('[7]10.Energ_productos_Necesidad'!AU295,2)</f>
        <v>0</v>
      </c>
      <c r="Q96" s="84">
        <f>ROUND('[7]10.Energ_productos_Necesidad'!AV295,2)</f>
        <v>0</v>
      </c>
      <c r="R96" s="84">
        <f>ROUND('[7]10.Energ_productos_Necesidad'!AW295,2)</f>
        <v>0</v>
      </c>
      <c r="S96" s="84">
        <f>ROUND('[7]10.Energ_productos_Necesidad'!AX295,2)</f>
        <v>0</v>
      </c>
      <c r="T96" s="84">
        <f>ROUND('[7]10.Energ_productos_Necesidad'!AY295,2)</f>
        <v>0</v>
      </c>
      <c r="U96" s="84">
        <f>ROUND('[7]10.Energ_productos_Necesidad'!AZ295,2)</f>
        <v>0</v>
      </c>
      <c r="V96" s="84">
        <f>ROUND('[7]10.Energ_productos_Necesidad'!BA295,2)</f>
        <v>0</v>
      </c>
      <c r="W96" s="84">
        <f>ROUND('[7]10.Energ_productos_Necesidad'!BB295,2)</f>
        <v>0</v>
      </c>
      <c r="X96" s="84">
        <f>ROUND('[7]10.Energ_productos_Necesidad'!BC295,2)</f>
        <v>0</v>
      </c>
      <c r="Y96" s="84">
        <f>ROUND('[7]10.Energ_productos_Necesidad'!BD295,2)</f>
        <v>0</v>
      </c>
      <c r="Z96" s="84">
        <f>ROUND('[7]10.Energ_productos_Necesidad'!BE295,2)</f>
        <v>0</v>
      </c>
      <c r="AA96" s="84">
        <f>ROUND('[7]10.Energ_productos_Necesidad'!BF295,2)</f>
        <v>0</v>
      </c>
      <c r="AB96" s="84">
        <f>ROUND('[7]10.Energ_productos_Necesidad'!BG295,2)</f>
        <v>0</v>
      </c>
      <c r="AC96" s="210"/>
      <c r="AD96" s="18"/>
    </row>
    <row r="97" spans="2:31" ht="18.649999999999999" customHeight="1" x14ac:dyDescent="0.35">
      <c r="B97" s="211">
        <v>48122</v>
      </c>
      <c r="C97" s="6" t="s">
        <v>29</v>
      </c>
      <c r="D97" s="7">
        <v>22</v>
      </c>
      <c r="E97" s="78">
        <f>ROUND('[7]10.Energ_productos_Necesidad'!AJ296,2)</f>
        <v>50626.23</v>
      </c>
      <c r="F97" s="78">
        <f>ROUND('[7]10.Energ_productos_Necesidad'!AK296,2)</f>
        <v>47637.65</v>
      </c>
      <c r="G97" s="78">
        <f>ROUND('[7]10.Energ_productos_Necesidad'!AL296,2)</f>
        <v>45352.97</v>
      </c>
      <c r="H97" s="78">
        <f>ROUND('[7]10.Energ_productos_Necesidad'!AM296,2)</f>
        <v>43586</v>
      </c>
      <c r="I97" s="78">
        <f>ROUND('[7]10.Energ_productos_Necesidad'!AN296,2)</f>
        <v>43403.18</v>
      </c>
      <c r="J97" s="78">
        <f>ROUND('[7]10.Energ_productos_Necesidad'!AO296,2)</f>
        <v>44426.59</v>
      </c>
      <c r="K97" s="78">
        <f>ROUND('[7]10.Energ_productos_Necesidad'!AP296,2)</f>
        <v>44849.97</v>
      </c>
      <c r="L97" s="78">
        <f>ROUND('[7]10.Energ_productos_Necesidad'!AQ296,2)</f>
        <v>48001.78</v>
      </c>
      <c r="M97" s="78">
        <f>ROUND('[7]10.Energ_productos_Necesidad'!AR296,2)</f>
        <v>52443.73</v>
      </c>
      <c r="N97" s="78">
        <f>ROUND('[7]10.Energ_productos_Necesidad'!AS296,2)</f>
        <v>54523.92</v>
      </c>
      <c r="O97" s="78">
        <f>ROUND('[7]10.Energ_productos_Necesidad'!AT296,2)</f>
        <v>57199.97</v>
      </c>
      <c r="P97" s="78">
        <f>ROUND('[7]10.Energ_productos_Necesidad'!AU296,2)</f>
        <v>59992.95</v>
      </c>
      <c r="Q97" s="78">
        <f>ROUND('[7]10.Energ_productos_Necesidad'!AV296,2)</f>
        <v>56953</v>
      </c>
      <c r="R97" s="78">
        <f>ROUND('[7]10.Energ_productos_Necesidad'!AW296,2)</f>
        <v>59151.46</v>
      </c>
      <c r="S97" s="78">
        <f>ROUND('[7]10.Energ_productos_Necesidad'!AX296,2)</f>
        <v>63994.84</v>
      </c>
      <c r="T97" s="78">
        <f>ROUND('[7]10.Energ_productos_Necesidad'!AY296,2)</f>
        <v>65936.460000000006</v>
      </c>
      <c r="U97" s="78">
        <f>ROUND('[7]10.Energ_productos_Necesidad'!AZ296,2)</f>
        <v>67101.83</v>
      </c>
      <c r="V97" s="78">
        <f>ROUND('[7]10.Energ_productos_Necesidad'!BA296,2)</f>
        <v>74348.14</v>
      </c>
      <c r="W97" s="78">
        <f>ROUND('[7]10.Energ_productos_Necesidad'!BB296,2)</f>
        <v>79629.509999999995</v>
      </c>
      <c r="X97" s="78">
        <f>ROUND('[7]10.Energ_productos_Necesidad'!BC296,2)</f>
        <v>77923.600000000006</v>
      </c>
      <c r="Y97" s="78">
        <f>ROUND('[7]10.Energ_productos_Necesidad'!BD296,2)</f>
        <v>75389.119999999995</v>
      </c>
      <c r="Z97" s="78">
        <f>ROUND('[7]10.Energ_productos_Necesidad'!BE296,2)</f>
        <v>71398.929999999993</v>
      </c>
      <c r="AA97" s="78">
        <f>ROUND('[7]10.Energ_productos_Necesidad'!BF296,2)</f>
        <v>65350.25</v>
      </c>
      <c r="AB97" s="78">
        <f>ROUND('[7]10.Energ_productos_Necesidad'!BG296,2)</f>
        <v>59363.83</v>
      </c>
      <c r="AC97" s="209">
        <f>SUM(E97:AB97)*D97+SUM(E98:AB98)*D98+SUM(E99:AB99)*D99+SUM(E100:AB100)*D100</f>
        <v>42687347</v>
      </c>
      <c r="AD97" s="18"/>
    </row>
    <row r="98" spans="2:31" ht="18.649999999999999" customHeight="1" x14ac:dyDescent="0.35">
      <c r="B98" s="212" t="s">
        <v>34</v>
      </c>
      <c r="C98" s="9" t="s">
        <v>30</v>
      </c>
      <c r="D98" s="10">
        <v>4</v>
      </c>
      <c r="E98" s="79">
        <f>ROUND('[7]10.Energ_productos_Necesidad'!AJ297,2)</f>
        <v>51170.559999999998</v>
      </c>
      <c r="F98" s="79">
        <f>ROUND('[7]10.Energ_productos_Necesidad'!AK297,2)</f>
        <v>47914.8</v>
      </c>
      <c r="G98" s="79">
        <f>ROUND('[7]10.Energ_productos_Necesidad'!AL297,2)</f>
        <v>45153.32</v>
      </c>
      <c r="H98" s="79">
        <f>ROUND('[7]10.Energ_productos_Necesidad'!AM297,2)</f>
        <v>43469.03</v>
      </c>
      <c r="I98" s="79">
        <f>ROUND('[7]10.Energ_productos_Necesidad'!AN297,2)</f>
        <v>43277.65</v>
      </c>
      <c r="J98" s="79">
        <f>ROUND('[7]10.Energ_productos_Necesidad'!AO297,2)</f>
        <v>42733.4</v>
      </c>
      <c r="K98" s="79">
        <f>ROUND('[7]10.Energ_productos_Necesidad'!AP297,2)</f>
        <v>42988.38</v>
      </c>
      <c r="L98" s="79">
        <f>ROUND('[7]10.Energ_productos_Necesidad'!AQ297,2)</f>
        <v>45061.98</v>
      </c>
      <c r="M98" s="79">
        <f>ROUND('[7]10.Energ_productos_Necesidad'!AR297,2)</f>
        <v>49328.54</v>
      </c>
      <c r="N98" s="79">
        <f>ROUND('[7]10.Energ_productos_Necesidad'!AS297,2)</f>
        <v>51618.23</v>
      </c>
      <c r="O98" s="79">
        <f>ROUND('[7]10.Energ_productos_Necesidad'!AT297,2)</f>
        <v>54663.91</v>
      </c>
      <c r="P98" s="79">
        <f>ROUND('[7]10.Energ_productos_Necesidad'!AU297,2)</f>
        <v>56148.07</v>
      </c>
      <c r="Q98" s="79">
        <f>ROUND('[7]10.Energ_productos_Necesidad'!AV297,2)</f>
        <v>55074.78</v>
      </c>
      <c r="R98" s="79">
        <f>ROUND('[7]10.Energ_productos_Necesidad'!AW297,2)</f>
        <v>54854.17</v>
      </c>
      <c r="S98" s="79">
        <f>ROUND('[7]10.Energ_productos_Necesidad'!AX297,2)</f>
        <v>56576.11</v>
      </c>
      <c r="T98" s="79">
        <f>ROUND('[7]10.Energ_productos_Necesidad'!AY297,2)</f>
        <v>58631.65</v>
      </c>
      <c r="U98" s="79">
        <f>ROUND('[7]10.Energ_productos_Necesidad'!AZ297,2)</f>
        <v>60061.599999999999</v>
      </c>
      <c r="V98" s="79">
        <f>ROUND('[7]10.Energ_productos_Necesidad'!BA297,2)</f>
        <v>69646.179999999993</v>
      </c>
      <c r="W98" s="79">
        <f>ROUND('[7]10.Energ_productos_Necesidad'!BB297,2)</f>
        <v>76620.69</v>
      </c>
      <c r="X98" s="79">
        <f>ROUND('[7]10.Energ_productos_Necesidad'!BC297,2)</f>
        <v>75177.94</v>
      </c>
      <c r="Y98" s="79">
        <f>ROUND('[7]10.Energ_productos_Necesidad'!BD297,2)</f>
        <v>72332.42</v>
      </c>
      <c r="Z98" s="79">
        <f>ROUND('[7]10.Energ_productos_Necesidad'!BE297,2)</f>
        <v>68825.509999999995</v>
      </c>
      <c r="AA98" s="79">
        <f>ROUND('[7]10.Energ_productos_Necesidad'!BF297,2)</f>
        <v>64669.11</v>
      </c>
      <c r="AB98" s="79">
        <f>ROUND('[7]10.Energ_productos_Necesidad'!BG297,2)</f>
        <v>59948.800000000003</v>
      </c>
      <c r="AC98" s="210"/>
      <c r="AD98" s="18"/>
    </row>
    <row r="99" spans="2:31" ht="18.649999999999999" customHeight="1" x14ac:dyDescent="0.35">
      <c r="B99" s="212" t="s">
        <v>34</v>
      </c>
      <c r="C99" s="9" t="s">
        <v>31</v>
      </c>
      <c r="D99" s="10">
        <v>4</v>
      </c>
      <c r="E99" s="79">
        <f>ROUND('[7]10.Energ_productos_Necesidad'!AJ298,2)</f>
        <v>51200.98</v>
      </c>
      <c r="F99" s="79">
        <f>ROUND('[7]10.Energ_productos_Necesidad'!AK298,2)</f>
        <v>48123.53</v>
      </c>
      <c r="G99" s="79">
        <f>ROUND('[7]10.Energ_productos_Necesidad'!AL298,2)</f>
        <v>45616.86</v>
      </c>
      <c r="H99" s="79">
        <f>ROUND('[7]10.Energ_productos_Necesidad'!AM298,2)</f>
        <v>44131.66</v>
      </c>
      <c r="I99" s="79">
        <f>ROUND('[7]10.Energ_productos_Necesidad'!AN298,2)</f>
        <v>43277.05</v>
      </c>
      <c r="J99" s="79">
        <f>ROUND('[7]10.Energ_productos_Necesidad'!AO298,2)</f>
        <v>42105.8</v>
      </c>
      <c r="K99" s="79">
        <f>ROUND('[7]10.Energ_productos_Necesidad'!AP298,2)</f>
        <v>39806.25</v>
      </c>
      <c r="L99" s="79">
        <f>ROUND('[7]10.Energ_productos_Necesidad'!AQ298,2)</f>
        <v>40098.22</v>
      </c>
      <c r="M99" s="79">
        <f>ROUND('[7]10.Energ_productos_Necesidad'!AR298,2)</f>
        <v>41499.08</v>
      </c>
      <c r="N99" s="79">
        <f>ROUND('[7]10.Energ_productos_Necesidad'!AS298,2)</f>
        <v>42862.15</v>
      </c>
      <c r="O99" s="79">
        <f>ROUND('[7]10.Energ_productos_Necesidad'!AT298,2)</f>
        <v>45005.08</v>
      </c>
      <c r="P99" s="79">
        <f>ROUND('[7]10.Energ_productos_Necesidad'!AU298,2)</f>
        <v>47131.89</v>
      </c>
      <c r="Q99" s="79">
        <f>ROUND('[7]10.Energ_productos_Necesidad'!AV298,2)</f>
        <v>48600.89</v>
      </c>
      <c r="R99" s="79">
        <f>ROUND('[7]10.Energ_productos_Necesidad'!AW298,2)</f>
        <v>49499.62</v>
      </c>
      <c r="S99" s="79">
        <f>ROUND('[7]10.Energ_productos_Necesidad'!AX298,2)</f>
        <v>50949.58</v>
      </c>
      <c r="T99" s="79">
        <f>ROUND('[7]10.Energ_productos_Necesidad'!AY298,2)</f>
        <v>51875.57</v>
      </c>
      <c r="U99" s="79">
        <f>ROUND('[7]10.Energ_productos_Necesidad'!AZ298,2)</f>
        <v>54266.07</v>
      </c>
      <c r="V99" s="79">
        <f>ROUND('[7]10.Energ_productos_Necesidad'!BA298,2)</f>
        <v>64040.53</v>
      </c>
      <c r="W99" s="79">
        <f>ROUND('[7]10.Energ_productos_Necesidad'!BB298,2)</f>
        <v>72714.960000000006</v>
      </c>
      <c r="X99" s="79">
        <f>ROUND('[7]10.Energ_productos_Necesidad'!BC298,2)</f>
        <v>73376.28</v>
      </c>
      <c r="Y99" s="79">
        <f>ROUND('[7]10.Energ_productos_Necesidad'!BD298,2)</f>
        <v>72623.27</v>
      </c>
      <c r="Z99" s="79">
        <f>ROUND('[7]10.Energ_productos_Necesidad'!BE298,2)</f>
        <v>69992.490000000005</v>
      </c>
      <c r="AA99" s="79">
        <f>ROUND('[7]10.Energ_productos_Necesidad'!BF298,2)</f>
        <v>64716.24</v>
      </c>
      <c r="AB99" s="79">
        <f>ROUND('[7]10.Energ_productos_Necesidad'!BG298,2)</f>
        <v>59307.199999999997</v>
      </c>
      <c r="AC99" s="210"/>
      <c r="AD99" s="18"/>
    </row>
    <row r="100" spans="2:31" ht="18.649999999999999" customHeight="1" thickBot="1" x14ac:dyDescent="0.4">
      <c r="B100" s="213" t="s">
        <v>34</v>
      </c>
      <c r="C100" s="11" t="s">
        <v>32</v>
      </c>
      <c r="D100" s="12">
        <v>1</v>
      </c>
      <c r="E100" s="269">
        <f>ROUND('[7]10.Energ_productos_Necesidad'!AJ299,2)</f>
        <v>51422.19</v>
      </c>
      <c r="F100" s="76">
        <f>ROUND('[7]10.Energ_productos_Necesidad'!AK299,2)</f>
        <v>48396.13</v>
      </c>
      <c r="G100" s="76">
        <f>ROUND('[7]10.Energ_productos_Necesidad'!AL299,2)</f>
        <v>45882.87</v>
      </c>
      <c r="H100" s="76">
        <f>ROUND('[7]10.Energ_productos_Necesidad'!AM299,2)</f>
        <v>44351.77</v>
      </c>
      <c r="I100" s="76">
        <f>ROUND('[7]10.Energ_productos_Necesidad'!AN299,2)</f>
        <v>43449.64</v>
      </c>
      <c r="J100" s="76">
        <f>ROUND('[7]10.Energ_productos_Necesidad'!AO299,2)</f>
        <v>42335.11</v>
      </c>
      <c r="K100" s="76">
        <f>ROUND('[7]10.Energ_productos_Necesidad'!AP299,2)</f>
        <v>39925.97</v>
      </c>
      <c r="L100" s="76">
        <f>ROUND('[7]10.Energ_productos_Necesidad'!AQ299,2)</f>
        <v>40170.53</v>
      </c>
      <c r="M100" s="76">
        <f>ROUND('[7]10.Energ_productos_Necesidad'!AR299,2)</f>
        <v>41658.74</v>
      </c>
      <c r="N100" s="76">
        <f>ROUND('[7]10.Energ_productos_Necesidad'!AS299,2)</f>
        <v>43026.13</v>
      </c>
      <c r="O100" s="76">
        <f>ROUND('[7]10.Energ_productos_Necesidad'!AT299,2)</f>
        <v>45086.720000000001</v>
      </c>
      <c r="P100" s="76">
        <f>ROUND('[7]10.Energ_productos_Necesidad'!AU299,2)</f>
        <v>47161.69</v>
      </c>
      <c r="Q100" s="76">
        <f>ROUND('[7]10.Energ_productos_Necesidad'!AV299,2)</f>
        <v>48609.65</v>
      </c>
      <c r="R100" s="76">
        <f>ROUND('[7]10.Energ_productos_Necesidad'!AW299,2)</f>
        <v>49462.52</v>
      </c>
      <c r="S100" s="76">
        <f>ROUND('[7]10.Energ_productos_Necesidad'!AX299,2)</f>
        <v>50837.33</v>
      </c>
      <c r="T100" s="76">
        <f>ROUND('[7]10.Energ_productos_Necesidad'!AY299,2)</f>
        <v>51688.14</v>
      </c>
      <c r="U100" s="76">
        <f>ROUND('[7]10.Energ_productos_Necesidad'!AZ299,2)</f>
        <v>54131.95</v>
      </c>
      <c r="V100" s="76">
        <f>ROUND('[7]10.Energ_productos_Necesidad'!BA299,2)</f>
        <v>63853.31</v>
      </c>
      <c r="W100" s="76">
        <f>ROUND('[7]10.Energ_productos_Necesidad'!BB299,2)</f>
        <v>72433.67</v>
      </c>
      <c r="X100" s="76">
        <f>ROUND('[7]10.Energ_productos_Necesidad'!BC299,2)</f>
        <v>73068.38</v>
      </c>
      <c r="Y100" s="76">
        <f>ROUND('[7]10.Energ_productos_Necesidad'!BD299,2)</f>
        <v>72530.86</v>
      </c>
      <c r="Z100" s="76">
        <f>ROUND('[7]10.Energ_productos_Necesidad'!BE299,2)</f>
        <v>69912.240000000005</v>
      </c>
      <c r="AA100" s="76">
        <f>ROUND('[7]10.Energ_productos_Necesidad'!BF299,2)</f>
        <v>64679.02</v>
      </c>
      <c r="AB100" s="76">
        <f>ROUND('[7]10.Energ_productos_Necesidad'!BG299,2)</f>
        <v>59310.1</v>
      </c>
      <c r="AC100" s="214"/>
      <c r="AD100" s="18"/>
    </row>
    <row r="101" spans="2:31" ht="18.649999999999999" customHeight="1" x14ac:dyDescent="0.35">
      <c r="B101" s="207">
        <v>48153</v>
      </c>
      <c r="C101" s="13" t="s">
        <v>29</v>
      </c>
      <c r="D101" s="14">
        <v>18</v>
      </c>
      <c r="E101" s="81">
        <f>ROUND('[7]10.Energ_productos_Necesidad'!AJ300,2)</f>
        <v>48857.2</v>
      </c>
      <c r="F101" s="81">
        <f>ROUND('[7]10.Energ_productos_Necesidad'!AK300,2)</f>
        <v>45944.35</v>
      </c>
      <c r="G101" s="81">
        <f>ROUND('[7]10.Energ_productos_Necesidad'!AL300,2)</f>
        <v>43745.71</v>
      </c>
      <c r="H101" s="81">
        <f>ROUND('[7]10.Energ_productos_Necesidad'!AM300,2)</f>
        <v>42182.63</v>
      </c>
      <c r="I101" s="81">
        <f>ROUND('[7]10.Energ_productos_Necesidad'!AN300,2)</f>
        <v>42057.37</v>
      </c>
      <c r="J101" s="81">
        <f>ROUND('[7]10.Energ_productos_Necesidad'!AO300,2)</f>
        <v>43053.84</v>
      </c>
      <c r="K101" s="81">
        <f>ROUND('[7]10.Energ_productos_Necesidad'!AP300,2)</f>
        <v>43539.32</v>
      </c>
      <c r="L101" s="81">
        <f>ROUND('[7]10.Energ_productos_Necesidad'!AQ300,2)</f>
        <v>47214.73</v>
      </c>
      <c r="M101" s="81">
        <f>ROUND('[7]10.Energ_productos_Necesidad'!AR300,2)</f>
        <v>51595.65</v>
      </c>
      <c r="N101" s="81">
        <f>ROUND('[7]10.Energ_productos_Necesidad'!AS300,2)</f>
        <v>53546.26</v>
      </c>
      <c r="O101" s="81">
        <f>ROUND('[7]10.Energ_productos_Necesidad'!AT300,2)</f>
        <v>55937.32</v>
      </c>
      <c r="P101" s="81">
        <f>ROUND('[7]10.Energ_productos_Necesidad'!AU300,2)</f>
        <v>57864.09</v>
      </c>
      <c r="Q101" s="81">
        <f>ROUND('[7]10.Energ_productos_Necesidad'!AV300,2)</f>
        <v>55174.91</v>
      </c>
      <c r="R101" s="81">
        <f>ROUND('[7]10.Energ_productos_Necesidad'!AW300,2)</f>
        <v>57033.58</v>
      </c>
      <c r="S101" s="81">
        <f>ROUND('[7]10.Energ_productos_Necesidad'!AX300,2)</f>
        <v>61117.17</v>
      </c>
      <c r="T101" s="81">
        <f>ROUND('[7]10.Energ_productos_Necesidad'!AY300,2)</f>
        <v>63073.01</v>
      </c>
      <c r="U101" s="81">
        <f>ROUND('[7]10.Energ_productos_Necesidad'!AZ300,2)</f>
        <v>64257.56</v>
      </c>
      <c r="V101" s="81">
        <f>ROUND('[7]10.Energ_productos_Necesidad'!BA300,2)</f>
        <v>72090.05</v>
      </c>
      <c r="W101" s="81">
        <f>ROUND('[7]10.Energ_productos_Necesidad'!BB300,2)</f>
        <v>76196.63</v>
      </c>
      <c r="X101" s="81">
        <f>ROUND('[7]10.Energ_productos_Necesidad'!BC300,2)</f>
        <v>74602.899999999994</v>
      </c>
      <c r="Y101" s="81">
        <f>ROUND('[7]10.Energ_productos_Necesidad'!BD300,2)</f>
        <v>72372.19</v>
      </c>
      <c r="Z101" s="81">
        <f>ROUND('[7]10.Energ_productos_Necesidad'!BE300,2)</f>
        <v>68736.08</v>
      </c>
      <c r="AA101" s="81">
        <f>ROUND('[7]10.Energ_productos_Necesidad'!BF300,2)</f>
        <v>63215.37</v>
      </c>
      <c r="AB101" s="81">
        <f>ROUND('[7]10.Energ_productos_Necesidad'!BG300,2)</f>
        <v>57615.91</v>
      </c>
      <c r="AC101" s="210">
        <f>SUM(E101:AB101)*D101+SUM(E102:AB102)*D102+SUM(E103:AB103)*D103+SUM(E104:AB104)*D104</f>
        <v>39381211.140000001</v>
      </c>
      <c r="AD101" s="18"/>
    </row>
    <row r="102" spans="2:31" ht="18.649999999999999" customHeight="1" x14ac:dyDescent="0.35">
      <c r="B102" s="208"/>
      <c r="C102" s="9" t="s">
        <v>30</v>
      </c>
      <c r="D102" s="10">
        <v>5</v>
      </c>
      <c r="E102" s="79">
        <f>ROUND('[7]10.Energ_productos_Necesidad'!AJ301,2)</f>
        <v>46800.639999999999</v>
      </c>
      <c r="F102" s="79">
        <f>ROUND('[7]10.Energ_productos_Necesidad'!AK301,2)</f>
        <v>44258.51</v>
      </c>
      <c r="G102" s="79">
        <f>ROUND('[7]10.Energ_productos_Necesidad'!AL301,2)</f>
        <v>42404.7</v>
      </c>
      <c r="H102" s="79">
        <f>ROUND('[7]10.Energ_productos_Necesidad'!AM301,2)</f>
        <v>41177.910000000003</v>
      </c>
      <c r="I102" s="79">
        <f>ROUND('[7]10.Energ_productos_Necesidad'!AN301,2)</f>
        <v>40942.050000000003</v>
      </c>
      <c r="J102" s="79">
        <f>ROUND('[7]10.Energ_productos_Necesidad'!AO301,2)</f>
        <v>40207.83</v>
      </c>
      <c r="K102" s="79">
        <f>ROUND('[7]10.Energ_productos_Necesidad'!AP301,2)</f>
        <v>40588.57</v>
      </c>
      <c r="L102" s="79">
        <f>ROUND('[7]10.Energ_productos_Necesidad'!AQ301,2)</f>
        <v>43559.28</v>
      </c>
      <c r="M102" s="79">
        <f>ROUND('[7]10.Energ_productos_Necesidad'!AR301,2)</f>
        <v>47857.919999999998</v>
      </c>
      <c r="N102" s="79">
        <f>ROUND('[7]10.Energ_productos_Necesidad'!AS301,2)</f>
        <v>50110.26</v>
      </c>
      <c r="O102" s="79">
        <f>ROUND('[7]10.Energ_productos_Necesidad'!AT301,2)</f>
        <v>53311.61</v>
      </c>
      <c r="P102" s="79">
        <f>ROUND('[7]10.Energ_productos_Necesidad'!AU301,2)</f>
        <v>54469.46</v>
      </c>
      <c r="Q102" s="79">
        <f>ROUND('[7]10.Energ_productos_Necesidad'!AV301,2)</f>
        <v>53601.1</v>
      </c>
      <c r="R102" s="79">
        <f>ROUND('[7]10.Energ_productos_Necesidad'!AW301,2)</f>
        <v>52473.38</v>
      </c>
      <c r="S102" s="79">
        <f>ROUND('[7]10.Energ_productos_Necesidad'!AX301,2)</f>
        <v>52412.26</v>
      </c>
      <c r="T102" s="79">
        <f>ROUND('[7]10.Energ_productos_Necesidad'!AY301,2)</f>
        <v>54238.48</v>
      </c>
      <c r="U102" s="79">
        <f>ROUND('[7]10.Energ_productos_Necesidad'!AZ301,2)</f>
        <v>56091.65</v>
      </c>
      <c r="V102" s="79">
        <f>ROUND('[7]10.Energ_productos_Necesidad'!BA301,2)</f>
        <v>66622.75</v>
      </c>
      <c r="W102" s="79">
        <f>ROUND('[7]10.Energ_productos_Necesidad'!BB301,2)</f>
        <v>72616.39</v>
      </c>
      <c r="X102" s="79">
        <f>ROUND('[7]10.Energ_productos_Necesidad'!BC301,2)</f>
        <v>71516.52</v>
      </c>
      <c r="Y102" s="79">
        <f>ROUND('[7]10.Energ_productos_Necesidad'!BD301,2)</f>
        <v>69235.48</v>
      </c>
      <c r="Z102" s="79">
        <f>ROUND('[7]10.Energ_productos_Necesidad'!BE301,2)</f>
        <v>66327.23</v>
      </c>
      <c r="AA102" s="79">
        <f>ROUND('[7]10.Energ_productos_Necesidad'!BF301,2)</f>
        <v>62607.57</v>
      </c>
      <c r="AB102" s="79">
        <f>ROUND('[7]10.Energ_productos_Necesidad'!BG301,2)</f>
        <v>58002.22</v>
      </c>
      <c r="AC102" s="210"/>
      <c r="AD102" s="18"/>
    </row>
    <row r="103" spans="2:31" ht="18.649999999999999" customHeight="1" x14ac:dyDescent="0.35">
      <c r="B103" s="208"/>
      <c r="C103" s="9" t="s">
        <v>31</v>
      </c>
      <c r="D103" s="10">
        <v>5</v>
      </c>
      <c r="E103" s="79">
        <f>ROUND('[7]10.Energ_productos_Necesidad'!AJ302,2)</f>
        <v>49977.01</v>
      </c>
      <c r="F103" s="79">
        <f>ROUND('[7]10.Energ_productos_Necesidad'!AK302,2)</f>
        <v>47384.54</v>
      </c>
      <c r="G103" s="79">
        <f>ROUND('[7]10.Energ_productos_Necesidad'!AL302,2)</f>
        <v>44939.61</v>
      </c>
      <c r="H103" s="79">
        <f>ROUND('[7]10.Energ_productos_Necesidad'!AM302,2)</f>
        <v>43215.27</v>
      </c>
      <c r="I103" s="79">
        <f>ROUND('[7]10.Energ_productos_Necesidad'!AN302,2)</f>
        <v>42370.7</v>
      </c>
      <c r="J103" s="79">
        <f>ROUND('[7]10.Energ_productos_Necesidad'!AO302,2)</f>
        <v>41488.050000000003</v>
      </c>
      <c r="K103" s="79">
        <f>ROUND('[7]10.Energ_productos_Necesidad'!AP302,2)</f>
        <v>39551.81</v>
      </c>
      <c r="L103" s="79">
        <f>ROUND('[7]10.Energ_productos_Necesidad'!AQ302,2)</f>
        <v>39658.65</v>
      </c>
      <c r="M103" s="79">
        <f>ROUND('[7]10.Energ_productos_Necesidad'!AR302,2)</f>
        <v>41007.07</v>
      </c>
      <c r="N103" s="79">
        <f>ROUND('[7]10.Energ_productos_Necesidad'!AS302,2)</f>
        <v>42465.95</v>
      </c>
      <c r="O103" s="79">
        <f>ROUND('[7]10.Energ_productos_Necesidad'!AT302,2)</f>
        <v>44710.81</v>
      </c>
      <c r="P103" s="79">
        <f>ROUND('[7]10.Energ_productos_Necesidad'!AU302,2)</f>
        <v>45671.94</v>
      </c>
      <c r="Q103" s="79">
        <f>ROUND('[7]10.Energ_productos_Necesidad'!AV302,2)</f>
        <v>46851.76</v>
      </c>
      <c r="R103" s="79">
        <f>ROUND('[7]10.Energ_productos_Necesidad'!AW302,2)</f>
        <v>47348.959999999999</v>
      </c>
      <c r="S103" s="79">
        <f>ROUND('[7]10.Energ_productos_Necesidad'!AX302,2)</f>
        <v>47902.21</v>
      </c>
      <c r="T103" s="79">
        <f>ROUND('[7]10.Energ_productos_Necesidad'!AY302,2)</f>
        <v>49244.32</v>
      </c>
      <c r="U103" s="79">
        <f>ROUND('[7]10.Energ_productos_Necesidad'!AZ302,2)</f>
        <v>51143.92</v>
      </c>
      <c r="V103" s="79">
        <f>ROUND('[7]10.Energ_productos_Necesidad'!BA302,2)</f>
        <v>61945.01</v>
      </c>
      <c r="W103" s="79">
        <f>ROUND('[7]10.Energ_productos_Necesidad'!BB302,2)</f>
        <v>68086.2</v>
      </c>
      <c r="X103" s="79">
        <f>ROUND('[7]10.Energ_productos_Necesidad'!BC302,2)</f>
        <v>68214.100000000006</v>
      </c>
      <c r="Y103" s="79">
        <f>ROUND('[7]10.Energ_productos_Necesidad'!BD302,2)</f>
        <v>66856.67</v>
      </c>
      <c r="Z103" s="79">
        <f>ROUND('[7]10.Energ_productos_Necesidad'!BE302,2)</f>
        <v>64511.05</v>
      </c>
      <c r="AA103" s="79">
        <f>ROUND('[7]10.Energ_productos_Necesidad'!BF302,2)</f>
        <v>60672.56</v>
      </c>
      <c r="AB103" s="79">
        <f>ROUND('[7]10.Energ_productos_Necesidad'!BG302,2)</f>
        <v>56447.62</v>
      </c>
      <c r="AC103" s="210"/>
      <c r="AD103" s="18"/>
    </row>
    <row r="104" spans="2:31" ht="18.649999999999999" customHeight="1" thickBot="1" x14ac:dyDescent="0.4">
      <c r="B104" s="208"/>
      <c r="C104" s="15" t="s">
        <v>32</v>
      </c>
      <c r="D104" s="16">
        <v>2</v>
      </c>
      <c r="E104" s="80">
        <f>ROUND('[7]10.Energ_productos_Necesidad'!AJ303,2)</f>
        <v>50005.68</v>
      </c>
      <c r="F104" s="80">
        <f>ROUND('[7]10.Energ_productos_Necesidad'!AK303,2)</f>
        <v>47405.63</v>
      </c>
      <c r="G104" s="80">
        <f>ROUND('[7]10.Energ_productos_Necesidad'!AL303,2)</f>
        <v>44961.39</v>
      </c>
      <c r="H104" s="80">
        <f>ROUND('[7]10.Energ_productos_Necesidad'!AM303,2)</f>
        <v>43232.4</v>
      </c>
      <c r="I104" s="80">
        <f>ROUND('[7]10.Energ_productos_Necesidad'!AN303,2)</f>
        <v>42392.61</v>
      </c>
      <c r="J104" s="80">
        <f>ROUND('[7]10.Energ_productos_Necesidad'!AO303,2)</f>
        <v>41508.43</v>
      </c>
      <c r="K104" s="80">
        <f>ROUND('[7]10.Energ_productos_Necesidad'!AP303,2)</f>
        <v>39515.949999999997</v>
      </c>
      <c r="L104" s="80">
        <f>ROUND('[7]10.Energ_productos_Necesidad'!AQ303,2)</f>
        <v>39565.660000000003</v>
      </c>
      <c r="M104" s="80">
        <f>ROUND('[7]10.Energ_productos_Necesidad'!AR303,2)</f>
        <v>40972.21</v>
      </c>
      <c r="N104" s="80">
        <f>ROUND('[7]10.Energ_productos_Necesidad'!AS303,2)</f>
        <v>42441.27</v>
      </c>
      <c r="O104" s="80">
        <f>ROUND('[7]10.Energ_productos_Necesidad'!AT303,2)</f>
        <v>44593.08</v>
      </c>
      <c r="P104" s="80">
        <f>ROUND('[7]10.Energ_productos_Necesidad'!AU303,2)</f>
        <v>45465.48</v>
      </c>
      <c r="Q104" s="80">
        <f>ROUND('[7]10.Energ_productos_Necesidad'!AV303,2)</f>
        <v>46678.26</v>
      </c>
      <c r="R104" s="80">
        <f>ROUND('[7]10.Energ_productos_Necesidad'!AW303,2)</f>
        <v>47131.22</v>
      </c>
      <c r="S104" s="80">
        <f>ROUND('[7]10.Energ_productos_Necesidad'!AX303,2)</f>
        <v>47640.35</v>
      </c>
      <c r="T104" s="80">
        <f>ROUND('[7]10.Energ_productos_Necesidad'!AY303,2)</f>
        <v>48973.83</v>
      </c>
      <c r="U104" s="80">
        <f>ROUND('[7]10.Energ_productos_Necesidad'!AZ303,2)</f>
        <v>50969.39</v>
      </c>
      <c r="V104" s="80">
        <f>ROUND('[7]10.Energ_productos_Necesidad'!BA303,2)</f>
        <v>61746.57</v>
      </c>
      <c r="W104" s="80">
        <f>ROUND('[7]10.Energ_productos_Necesidad'!BB303,2)</f>
        <v>67724.87</v>
      </c>
      <c r="X104" s="80">
        <f>ROUND('[7]10.Energ_productos_Necesidad'!BC303,2)</f>
        <v>67846.03</v>
      </c>
      <c r="Y104" s="80">
        <f>ROUND('[7]10.Energ_productos_Necesidad'!BD303,2)</f>
        <v>66608.100000000006</v>
      </c>
      <c r="Z104" s="80">
        <f>ROUND('[7]10.Energ_productos_Necesidad'!BE303,2)</f>
        <v>64361.82</v>
      </c>
      <c r="AA104" s="80">
        <f>ROUND('[7]10.Energ_productos_Necesidad'!BF303,2)</f>
        <v>60551.68</v>
      </c>
      <c r="AB104" s="80">
        <f>ROUND('[7]10.Energ_productos_Necesidad'!BG303,2)</f>
        <v>56350.29</v>
      </c>
      <c r="AC104" s="210"/>
      <c r="AD104" s="18"/>
    </row>
    <row r="105" spans="2:31" ht="18.649999999999999" customHeight="1" x14ac:dyDescent="0.35">
      <c r="B105" s="211">
        <v>48183</v>
      </c>
      <c r="C105" s="6" t="s">
        <v>29</v>
      </c>
      <c r="D105" s="7">
        <v>21</v>
      </c>
      <c r="E105" s="78">
        <f>ROUND('[7]10.Energ_productos_Necesidad'!AJ304,2)</f>
        <v>54056.84</v>
      </c>
      <c r="F105" s="78">
        <f>ROUND('[7]10.Energ_productos_Necesidad'!AK304,2)</f>
        <v>50775.96</v>
      </c>
      <c r="G105" s="78">
        <f>ROUND('[7]10.Energ_productos_Necesidad'!AL304,2)</f>
        <v>48277.95</v>
      </c>
      <c r="H105" s="78">
        <f>ROUND('[7]10.Energ_productos_Necesidad'!AM304,2)</f>
        <v>46760.57</v>
      </c>
      <c r="I105" s="78">
        <f>ROUND('[7]10.Energ_productos_Necesidad'!AN304,2)</f>
        <v>46356.800000000003</v>
      </c>
      <c r="J105" s="78">
        <f>ROUND('[7]10.Energ_productos_Necesidad'!AO304,2)</f>
        <v>47062.13</v>
      </c>
      <c r="K105" s="78">
        <f>ROUND('[7]10.Energ_productos_Necesidad'!AP304,2)</f>
        <v>46820.71</v>
      </c>
      <c r="L105" s="78">
        <f>ROUND('[7]10.Energ_productos_Necesidad'!AQ304,2)</f>
        <v>50037.95</v>
      </c>
      <c r="M105" s="78">
        <f>ROUND('[7]10.Energ_productos_Necesidad'!AR304,2)</f>
        <v>54254.18</v>
      </c>
      <c r="N105" s="78">
        <f>ROUND('[7]10.Energ_productos_Necesidad'!AS304,2)</f>
        <v>56521.51</v>
      </c>
      <c r="O105" s="78">
        <f>ROUND('[7]10.Energ_productos_Necesidad'!AT304,2)</f>
        <v>58684.84</v>
      </c>
      <c r="P105" s="78">
        <f>ROUND('[7]10.Energ_productos_Necesidad'!AU304,2)</f>
        <v>60732.74</v>
      </c>
      <c r="Q105" s="78">
        <f>ROUND('[7]10.Energ_productos_Necesidad'!AV304,2)</f>
        <v>58936.38</v>
      </c>
      <c r="R105" s="78">
        <f>ROUND('[7]10.Energ_productos_Necesidad'!AW304,2)</f>
        <v>60026.28</v>
      </c>
      <c r="S105" s="78">
        <f>ROUND('[7]10.Energ_productos_Necesidad'!AX304,2)</f>
        <v>63463.15</v>
      </c>
      <c r="T105" s="78">
        <f>ROUND('[7]10.Energ_productos_Necesidad'!AY304,2)</f>
        <v>65501.85</v>
      </c>
      <c r="U105" s="78">
        <f>ROUND('[7]10.Energ_productos_Necesidad'!AZ304,2)</f>
        <v>67299.02</v>
      </c>
      <c r="V105" s="78">
        <f>ROUND('[7]10.Energ_productos_Necesidad'!BA304,2)</f>
        <v>75686.09</v>
      </c>
      <c r="W105" s="78">
        <f>ROUND('[7]10.Energ_productos_Necesidad'!BB304,2)</f>
        <v>82390.850000000006</v>
      </c>
      <c r="X105" s="78">
        <f>ROUND('[7]10.Energ_productos_Necesidad'!BC304,2)</f>
        <v>80865.119999999995</v>
      </c>
      <c r="Y105" s="78">
        <f>ROUND('[7]10.Energ_productos_Necesidad'!BD304,2)</f>
        <v>78052.7</v>
      </c>
      <c r="Z105" s="78">
        <f>ROUND('[7]10.Energ_productos_Necesidad'!BE304,2)</f>
        <v>73689.63</v>
      </c>
      <c r="AA105" s="78">
        <f>ROUND('[7]10.Energ_productos_Necesidad'!BF304,2)</f>
        <v>68254.539999999994</v>
      </c>
      <c r="AB105" s="78">
        <f>ROUND('[7]10.Energ_productos_Necesidad'!BG304,2)</f>
        <v>63060.2</v>
      </c>
      <c r="AC105" s="209">
        <f>SUM(E105:AB105)*D105+SUM(E106:AB106)*D106+SUM(E107:AB107)*D107+SUM(E108:AB108)*D108</f>
        <v>44345728.390000001</v>
      </c>
      <c r="AD105" s="18"/>
    </row>
    <row r="106" spans="2:31" ht="18.649999999999999" customHeight="1" x14ac:dyDescent="0.35">
      <c r="B106" s="212" t="s">
        <v>34</v>
      </c>
      <c r="C106" s="9" t="s">
        <v>30</v>
      </c>
      <c r="D106" s="10">
        <v>4</v>
      </c>
      <c r="E106" s="79">
        <f>ROUND('[7]10.Energ_productos_Necesidad'!AJ305,2)</f>
        <v>54535.07</v>
      </c>
      <c r="F106" s="79">
        <f>ROUND('[7]10.Energ_productos_Necesidad'!AK305,2)</f>
        <v>51073.87</v>
      </c>
      <c r="G106" s="79">
        <f>ROUND('[7]10.Energ_productos_Necesidad'!AL305,2)</f>
        <v>48856.57</v>
      </c>
      <c r="H106" s="79">
        <f>ROUND('[7]10.Energ_productos_Necesidad'!AM305,2)</f>
        <v>47155.97</v>
      </c>
      <c r="I106" s="79">
        <f>ROUND('[7]10.Energ_productos_Necesidad'!AN305,2)</f>
        <v>46535.86</v>
      </c>
      <c r="J106" s="79">
        <f>ROUND('[7]10.Energ_productos_Necesidad'!AO305,2)</f>
        <v>46377.7</v>
      </c>
      <c r="K106" s="79">
        <f>ROUND('[7]10.Energ_productos_Necesidad'!AP305,2)</f>
        <v>45594.58</v>
      </c>
      <c r="L106" s="79">
        <f>ROUND('[7]10.Energ_productos_Necesidad'!AQ305,2)</f>
        <v>47334.400000000001</v>
      </c>
      <c r="M106" s="79">
        <f>ROUND('[7]10.Energ_productos_Necesidad'!AR305,2)</f>
        <v>52452.61</v>
      </c>
      <c r="N106" s="79">
        <f>ROUND('[7]10.Energ_productos_Necesidad'!AS305,2)</f>
        <v>55193.919999999998</v>
      </c>
      <c r="O106" s="79">
        <f>ROUND('[7]10.Energ_productos_Necesidad'!AT305,2)</f>
        <v>57808.69</v>
      </c>
      <c r="P106" s="79">
        <f>ROUND('[7]10.Energ_productos_Necesidad'!AU305,2)</f>
        <v>59676.35</v>
      </c>
      <c r="Q106" s="79">
        <f>ROUND('[7]10.Energ_productos_Necesidad'!AV305,2)</f>
        <v>58600.82</v>
      </c>
      <c r="R106" s="79">
        <f>ROUND('[7]10.Energ_productos_Necesidad'!AW305,2)</f>
        <v>58631.13</v>
      </c>
      <c r="S106" s="79">
        <f>ROUND('[7]10.Energ_productos_Necesidad'!AX305,2)</f>
        <v>58654.45</v>
      </c>
      <c r="T106" s="79">
        <f>ROUND('[7]10.Energ_productos_Necesidad'!AY305,2)</f>
        <v>60573.52</v>
      </c>
      <c r="U106" s="79">
        <f>ROUND('[7]10.Energ_productos_Necesidad'!AZ305,2)</f>
        <v>62743.92</v>
      </c>
      <c r="V106" s="79">
        <f>ROUND('[7]10.Energ_productos_Necesidad'!BA305,2)</f>
        <v>72021.83</v>
      </c>
      <c r="W106" s="79">
        <f>ROUND('[7]10.Energ_productos_Necesidad'!BB305,2)</f>
        <v>80399.59</v>
      </c>
      <c r="X106" s="79">
        <f>ROUND('[7]10.Energ_productos_Necesidad'!BC305,2)</f>
        <v>79108.27</v>
      </c>
      <c r="Y106" s="79">
        <f>ROUND('[7]10.Energ_productos_Necesidad'!BD305,2)</f>
        <v>76268.289999999994</v>
      </c>
      <c r="Z106" s="79">
        <f>ROUND('[7]10.Energ_productos_Necesidad'!BE305,2)</f>
        <v>73473.23</v>
      </c>
      <c r="AA106" s="79">
        <f>ROUND('[7]10.Energ_productos_Necesidad'!BF305,2)</f>
        <v>68925.97</v>
      </c>
      <c r="AB106" s="79">
        <f>ROUND('[7]10.Energ_productos_Necesidad'!BG305,2)</f>
        <v>64079.62</v>
      </c>
      <c r="AC106" s="210"/>
      <c r="AD106" s="18"/>
    </row>
    <row r="107" spans="2:31" ht="18.649999999999999" customHeight="1" x14ac:dyDescent="0.35">
      <c r="B107" s="212" t="s">
        <v>34</v>
      </c>
      <c r="C107" s="9" t="s">
        <v>31</v>
      </c>
      <c r="D107" s="10">
        <v>4</v>
      </c>
      <c r="E107" s="79">
        <f>ROUND('[7]10.Energ_productos_Necesidad'!AJ306,2)</f>
        <v>55690.71</v>
      </c>
      <c r="F107" s="79">
        <f>ROUND('[7]10.Energ_productos_Necesidad'!AK306,2)</f>
        <v>52692.67</v>
      </c>
      <c r="G107" s="79">
        <f>ROUND('[7]10.Energ_productos_Necesidad'!AL306,2)</f>
        <v>50207.63</v>
      </c>
      <c r="H107" s="79">
        <f>ROUND('[7]10.Energ_productos_Necesidad'!AM306,2)</f>
        <v>48420.34</v>
      </c>
      <c r="I107" s="79">
        <f>ROUND('[7]10.Energ_productos_Necesidad'!AN306,2)</f>
        <v>47544.08</v>
      </c>
      <c r="J107" s="79">
        <f>ROUND('[7]10.Energ_productos_Necesidad'!AO306,2)</f>
        <v>47012.72</v>
      </c>
      <c r="K107" s="79">
        <f>ROUND('[7]10.Energ_productos_Necesidad'!AP306,2)</f>
        <v>44024.89</v>
      </c>
      <c r="L107" s="79">
        <f>ROUND('[7]10.Energ_productos_Necesidad'!AQ306,2)</f>
        <v>43664.89</v>
      </c>
      <c r="M107" s="79">
        <f>ROUND('[7]10.Energ_productos_Necesidad'!AR306,2)</f>
        <v>45507.87</v>
      </c>
      <c r="N107" s="79">
        <f>ROUND('[7]10.Energ_productos_Necesidad'!AS306,2)</f>
        <v>47499.34</v>
      </c>
      <c r="O107" s="79">
        <f>ROUND('[7]10.Energ_productos_Necesidad'!AT306,2)</f>
        <v>48545.5</v>
      </c>
      <c r="P107" s="79">
        <f>ROUND('[7]10.Energ_productos_Necesidad'!AU306,2)</f>
        <v>50162.36</v>
      </c>
      <c r="Q107" s="79">
        <f>ROUND('[7]10.Energ_productos_Necesidad'!AV306,2)</f>
        <v>51605.13</v>
      </c>
      <c r="R107" s="79">
        <f>ROUND('[7]10.Energ_productos_Necesidad'!AW306,2)</f>
        <v>53207.47</v>
      </c>
      <c r="S107" s="79">
        <f>ROUND('[7]10.Energ_productos_Necesidad'!AX306,2)</f>
        <v>51223.59</v>
      </c>
      <c r="T107" s="79">
        <f>ROUND('[7]10.Energ_productos_Necesidad'!AY306,2)</f>
        <v>54674.080000000002</v>
      </c>
      <c r="U107" s="79">
        <f>ROUND('[7]10.Energ_productos_Necesidad'!AZ306,2)</f>
        <v>57352.74</v>
      </c>
      <c r="V107" s="79">
        <f>ROUND('[7]10.Energ_productos_Necesidad'!BA306,2)</f>
        <v>66877.149999999994</v>
      </c>
      <c r="W107" s="79">
        <f>ROUND('[7]10.Energ_productos_Necesidad'!BB306,2)</f>
        <v>75450.679999999993</v>
      </c>
      <c r="X107" s="79">
        <f>ROUND('[7]10.Energ_productos_Necesidad'!BC306,2)</f>
        <v>74467.789999999994</v>
      </c>
      <c r="Y107" s="79">
        <f>ROUND('[7]10.Energ_productos_Necesidad'!BD306,2)</f>
        <v>72414.39</v>
      </c>
      <c r="Z107" s="79">
        <f>ROUND('[7]10.Energ_productos_Necesidad'!BE306,2)</f>
        <v>70111.38</v>
      </c>
      <c r="AA107" s="79">
        <f>ROUND('[7]10.Energ_productos_Necesidad'!BF306,2)</f>
        <v>66139.56</v>
      </c>
      <c r="AB107" s="79">
        <f>ROUND('[7]10.Energ_productos_Necesidad'!BG306,2)</f>
        <v>62343.99</v>
      </c>
      <c r="AC107" s="210"/>
      <c r="AD107" s="18"/>
    </row>
    <row r="108" spans="2:31" ht="18.649999999999999" customHeight="1" thickBot="1" x14ac:dyDescent="0.4">
      <c r="B108" s="213" t="s">
        <v>34</v>
      </c>
      <c r="C108" s="11" t="s">
        <v>32</v>
      </c>
      <c r="D108" s="12">
        <v>2</v>
      </c>
      <c r="E108" s="76">
        <f>ROUND('[7]10.Energ_productos_Necesidad'!AJ307,2)</f>
        <v>55560.39</v>
      </c>
      <c r="F108" s="76">
        <f>ROUND('[7]10.Energ_productos_Necesidad'!AK307,2)</f>
        <v>52526.87</v>
      </c>
      <c r="G108" s="76">
        <f>ROUND('[7]10.Energ_productos_Necesidad'!AL307,2)</f>
        <v>50051.59</v>
      </c>
      <c r="H108" s="76">
        <f>ROUND('[7]10.Energ_productos_Necesidad'!AM307,2)</f>
        <v>48311.44</v>
      </c>
      <c r="I108" s="76">
        <f>ROUND('[7]10.Energ_productos_Necesidad'!AN307,2)</f>
        <v>47503.32</v>
      </c>
      <c r="J108" s="76">
        <f>ROUND('[7]10.Energ_productos_Necesidad'!AO307,2)</f>
        <v>47089.15</v>
      </c>
      <c r="K108" s="76">
        <f>ROUND('[7]10.Energ_productos_Necesidad'!AP307,2)</f>
        <v>44229.7</v>
      </c>
      <c r="L108" s="76">
        <f>ROUND('[7]10.Energ_productos_Necesidad'!AQ307,2)</f>
        <v>43989.5</v>
      </c>
      <c r="M108" s="76">
        <f>ROUND('[7]10.Energ_productos_Necesidad'!AR307,2)</f>
        <v>46003.98</v>
      </c>
      <c r="N108" s="76">
        <f>ROUND('[7]10.Energ_productos_Necesidad'!AS307,2)</f>
        <v>48064.25</v>
      </c>
      <c r="O108" s="76">
        <f>ROUND('[7]10.Energ_productos_Necesidad'!AT307,2)</f>
        <v>49237.91</v>
      </c>
      <c r="P108" s="76">
        <f>ROUND('[7]10.Energ_productos_Necesidad'!AU307,2)</f>
        <v>50802.48</v>
      </c>
      <c r="Q108" s="76">
        <f>ROUND('[7]10.Energ_productos_Necesidad'!AV307,2)</f>
        <v>52136.91</v>
      </c>
      <c r="R108" s="76">
        <f>ROUND('[7]10.Energ_productos_Necesidad'!AW307,2)</f>
        <v>53610.33</v>
      </c>
      <c r="S108" s="76">
        <f>ROUND('[7]10.Energ_productos_Necesidad'!AX307,2)</f>
        <v>51605.1</v>
      </c>
      <c r="T108" s="76">
        <f>ROUND('[7]10.Energ_productos_Necesidad'!AY307,2)</f>
        <v>55036.73</v>
      </c>
      <c r="U108" s="76">
        <f>ROUND('[7]10.Energ_productos_Necesidad'!AZ307,2)</f>
        <v>57645.15</v>
      </c>
      <c r="V108" s="76">
        <f>ROUND('[7]10.Energ_productos_Necesidad'!BA307,2)</f>
        <v>67228.929999999993</v>
      </c>
      <c r="W108" s="76">
        <f>ROUND('[7]10.Energ_productos_Necesidad'!BB307,2)</f>
        <v>75728.100000000006</v>
      </c>
      <c r="X108" s="76">
        <f>ROUND('[7]10.Energ_productos_Necesidad'!BC307,2)</f>
        <v>74662.81</v>
      </c>
      <c r="Y108" s="76">
        <f>ROUND('[7]10.Energ_productos_Necesidad'!BD307,2)</f>
        <v>72613.41</v>
      </c>
      <c r="Z108" s="76">
        <f>ROUND('[7]10.Energ_productos_Necesidad'!BE307,2)</f>
        <v>70248.95</v>
      </c>
      <c r="AA108" s="76">
        <f>ROUND('[7]10.Energ_productos_Necesidad'!BF307,2)</f>
        <v>66276.95</v>
      </c>
      <c r="AB108" s="76">
        <f>ROUND('[7]10.Energ_productos_Necesidad'!BG307,2)</f>
        <v>62401.99</v>
      </c>
      <c r="AC108" s="214"/>
      <c r="AD108" s="18"/>
    </row>
    <row r="109" spans="2:31" ht="18.649999999999999" customHeight="1" thickBot="1" x14ac:dyDescent="0.4"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215" t="s">
        <v>33</v>
      </c>
      <c r="AA109" s="216"/>
      <c r="AB109" s="217"/>
      <c r="AC109" s="135">
        <f>SUM(AC61:AC108)</f>
        <v>528432984.54999989</v>
      </c>
      <c r="AD109" s="17"/>
      <c r="AE109" s="18"/>
    </row>
    <row r="110" spans="2:31" ht="20.25" customHeight="1" thickBot="1" x14ac:dyDescent="0.4">
      <c r="Z110" s="218" t="s">
        <v>49</v>
      </c>
      <c r="AA110" s="219"/>
      <c r="AB110" s="220"/>
      <c r="AC110" s="135">
        <f>+AC59+AC109</f>
        <v>1053667620.7899998</v>
      </c>
    </row>
    <row r="112" spans="2:31" x14ac:dyDescent="0.35">
      <c r="AC112" s="133">
        <f>+AC110/1000</f>
        <v>1053667.6207899998</v>
      </c>
    </row>
  </sheetData>
  <mergeCells count="56">
    <mergeCell ref="B11:B14"/>
    <mergeCell ref="AC11:AC14"/>
    <mergeCell ref="B4:AC4"/>
    <mergeCell ref="B5:AC5"/>
    <mergeCell ref="B6:AC6"/>
    <mergeCell ref="B7:AC7"/>
    <mergeCell ref="B8:AC8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27:B30"/>
    <mergeCell ref="AC27:AC30"/>
    <mergeCell ref="B61:B64"/>
    <mergeCell ref="AC61:AC64"/>
    <mergeCell ref="B39:B42"/>
    <mergeCell ref="AC39:AC42"/>
    <mergeCell ref="B43:B46"/>
    <mergeCell ref="AC43:AC46"/>
    <mergeCell ref="B47:B50"/>
    <mergeCell ref="AC47:AC50"/>
    <mergeCell ref="B51:B54"/>
    <mergeCell ref="AC51:AC54"/>
    <mergeCell ref="B55:B58"/>
    <mergeCell ref="AC55:AC58"/>
    <mergeCell ref="Z59:AB59"/>
    <mergeCell ref="B65:B68"/>
    <mergeCell ref="AC65:AC68"/>
    <mergeCell ref="B69:B72"/>
    <mergeCell ref="AC69:AC72"/>
    <mergeCell ref="B73:B76"/>
    <mergeCell ref="AC73:AC76"/>
    <mergeCell ref="B77:B80"/>
    <mergeCell ref="AC77:AC80"/>
    <mergeCell ref="B81:B84"/>
    <mergeCell ref="AC81:AC84"/>
    <mergeCell ref="B85:B88"/>
    <mergeCell ref="AC85:AC88"/>
    <mergeCell ref="B89:B92"/>
    <mergeCell ref="AC89:AC92"/>
    <mergeCell ref="B93:B96"/>
    <mergeCell ref="AC93:AC96"/>
    <mergeCell ref="B97:B100"/>
    <mergeCell ref="AC97:AC100"/>
    <mergeCell ref="Z110:AB110"/>
    <mergeCell ref="B101:B104"/>
    <mergeCell ref="AC101:AC104"/>
    <mergeCell ref="B105:B108"/>
    <mergeCell ref="AC105:AC108"/>
    <mergeCell ref="Z109:AB109"/>
  </mergeCells>
  <phoneticPr fontId="23" type="noConversion"/>
  <conditionalFormatting sqref="E11:AB58">
    <cfRule type="cellIs" dxfId="11" priority="22" operator="lessThan">
      <formula>0</formula>
    </cfRule>
  </conditionalFormatting>
  <conditionalFormatting sqref="E61:AB108">
    <cfRule type="cellIs" dxfId="10" priority="20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9A539-5A18-4743-BEA7-A94BA28B6F04}">
  <sheetPr>
    <tabColor rgb="FFFFC000"/>
  </sheetPr>
  <dimension ref="B2:BJ503"/>
  <sheetViews>
    <sheetView showGridLines="0" zoomScale="80" zoomScaleNormal="80" workbookViewId="0">
      <pane xSplit="4" ySplit="10" topLeftCell="E11" activePane="bottomRight" state="frozen"/>
      <selection activeCell="V654" sqref="V654"/>
      <selection pane="topRight" activeCell="V654" sqref="V654"/>
      <selection pane="bottomLeft" activeCell="V654" sqref="V654"/>
      <selection pane="bottomRight" activeCell="C11" sqref="C11"/>
    </sheetView>
  </sheetViews>
  <sheetFormatPr baseColWidth="10" defaultRowHeight="12.5" x14ac:dyDescent="0.35"/>
  <cols>
    <col min="1" max="1" width="2.54296875" style="8" customWidth="1"/>
    <col min="2" max="2" width="11.1796875" style="8" customWidth="1"/>
    <col min="3" max="3" width="10.7265625" style="8" customWidth="1"/>
    <col min="4" max="4" width="8.1796875" style="8" customWidth="1"/>
    <col min="5" max="5" width="9.7265625" style="77" customWidth="1"/>
    <col min="6" max="28" width="11" style="17" customWidth="1"/>
    <col min="29" max="29" width="17.26953125" style="133" customWidth="1"/>
    <col min="30" max="30" width="13.26953125" style="8" bestFit="1" customWidth="1"/>
    <col min="31" max="31" width="10.90625" style="8"/>
    <col min="32" max="32" width="10.90625" style="8" hidden="1" customWidth="1"/>
    <col min="33" max="54" width="8.1796875" style="8" hidden="1" customWidth="1"/>
    <col min="55" max="55" width="8.6328125" style="8" hidden="1" customWidth="1"/>
    <col min="56" max="56" width="8.1796875" style="8" hidden="1" customWidth="1"/>
    <col min="57" max="57" width="9.6328125" style="8" hidden="1" customWidth="1"/>
    <col min="58" max="58" width="14.6328125" style="8" hidden="1" customWidth="1"/>
    <col min="59" max="59" width="14.7265625" style="8" customWidth="1"/>
    <col min="60" max="62" width="10.90625" style="8" hidden="1" customWidth="1"/>
    <col min="63" max="63" width="11.6328125" style="8" bestFit="1" customWidth="1"/>
    <col min="64" max="255" width="10.90625" style="8"/>
    <col min="256" max="256" width="7" style="8" customWidth="1"/>
    <col min="257" max="257" width="10.7265625" style="8" customWidth="1"/>
    <col min="258" max="258" width="9.26953125" style="8" customWidth="1"/>
    <col min="259" max="282" width="7.26953125" style="8" customWidth="1"/>
    <col min="283" max="283" width="14.26953125" style="8" bestFit="1" customWidth="1"/>
    <col min="284" max="511" width="10.90625" style="8"/>
    <col min="512" max="512" width="7" style="8" customWidth="1"/>
    <col min="513" max="513" width="10.7265625" style="8" customWidth="1"/>
    <col min="514" max="514" width="9.26953125" style="8" customWidth="1"/>
    <col min="515" max="538" width="7.26953125" style="8" customWidth="1"/>
    <col min="539" max="539" width="14.26953125" style="8" bestFit="1" customWidth="1"/>
    <col min="540" max="767" width="10.90625" style="8"/>
    <col min="768" max="768" width="7" style="8" customWidth="1"/>
    <col min="769" max="769" width="10.7265625" style="8" customWidth="1"/>
    <col min="770" max="770" width="9.26953125" style="8" customWidth="1"/>
    <col min="771" max="794" width="7.26953125" style="8" customWidth="1"/>
    <col min="795" max="795" width="14.26953125" style="8" bestFit="1" customWidth="1"/>
    <col min="796" max="1023" width="10.90625" style="8"/>
    <col min="1024" max="1024" width="7" style="8" customWidth="1"/>
    <col min="1025" max="1025" width="10.7265625" style="8" customWidth="1"/>
    <col min="1026" max="1026" width="9.26953125" style="8" customWidth="1"/>
    <col min="1027" max="1050" width="7.26953125" style="8" customWidth="1"/>
    <col min="1051" max="1051" width="14.26953125" style="8" bestFit="1" customWidth="1"/>
    <col min="1052" max="1279" width="10.90625" style="8"/>
    <col min="1280" max="1280" width="7" style="8" customWidth="1"/>
    <col min="1281" max="1281" width="10.7265625" style="8" customWidth="1"/>
    <col min="1282" max="1282" width="9.26953125" style="8" customWidth="1"/>
    <col min="1283" max="1306" width="7.26953125" style="8" customWidth="1"/>
    <col min="1307" max="1307" width="14.26953125" style="8" bestFit="1" customWidth="1"/>
    <col min="1308" max="1535" width="10.90625" style="8"/>
    <col min="1536" max="1536" width="7" style="8" customWidth="1"/>
    <col min="1537" max="1537" width="10.7265625" style="8" customWidth="1"/>
    <col min="1538" max="1538" width="9.26953125" style="8" customWidth="1"/>
    <col min="1539" max="1562" width="7.26953125" style="8" customWidth="1"/>
    <col min="1563" max="1563" width="14.26953125" style="8" bestFit="1" customWidth="1"/>
    <col min="1564" max="1791" width="10.90625" style="8"/>
    <col min="1792" max="1792" width="7" style="8" customWidth="1"/>
    <col min="1793" max="1793" width="10.7265625" style="8" customWidth="1"/>
    <col min="1794" max="1794" width="9.26953125" style="8" customWidth="1"/>
    <col min="1795" max="1818" width="7.26953125" style="8" customWidth="1"/>
    <col min="1819" max="1819" width="14.26953125" style="8" bestFit="1" customWidth="1"/>
    <col min="1820" max="2047" width="10.90625" style="8"/>
    <col min="2048" max="2048" width="7" style="8" customWidth="1"/>
    <col min="2049" max="2049" width="10.7265625" style="8" customWidth="1"/>
    <col min="2050" max="2050" width="9.26953125" style="8" customWidth="1"/>
    <col min="2051" max="2074" width="7.26953125" style="8" customWidth="1"/>
    <col min="2075" max="2075" width="14.26953125" style="8" bestFit="1" customWidth="1"/>
    <col min="2076" max="2303" width="10.90625" style="8"/>
    <col min="2304" max="2304" width="7" style="8" customWidth="1"/>
    <col min="2305" max="2305" width="10.7265625" style="8" customWidth="1"/>
    <col min="2306" max="2306" width="9.26953125" style="8" customWidth="1"/>
    <col min="2307" max="2330" width="7.26953125" style="8" customWidth="1"/>
    <col min="2331" max="2331" width="14.26953125" style="8" bestFit="1" customWidth="1"/>
    <col min="2332" max="2559" width="10.90625" style="8"/>
    <col min="2560" max="2560" width="7" style="8" customWidth="1"/>
    <col min="2561" max="2561" width="10.7265625" style="8" customWidth="1"/>
    <col min="2562" max="2562" width="9.26953125" style="8" customWidth="1"/>
    <col min="2563" max="2586" width="7.26953125" style="8" customWidth="1"/>
    <col min="2587" max="2587" width="14.26953125" style="8" bestFit="1" customWidth="1"/>
    <col min="2588" max="2815" width="10.90625" style="8"/>
    <col min="2816" max="2816" width="7" style="8" customWidth="1"/>
    <col min="2817" max="2817" width="10.7265625" style="8" customWidth="1"/>
    <col min="2818" max="2818" width="9.26953125" style="8" customWidth="1"/>
    <col min="2819" max="2842" width="7.26953125" style="8" customWidth="1"/>
    <col min="2843" max="2843" width="14.26953125" style="8" bestFit="1" customWidth="1"/>
    <col min="2844" max="3071" width="10.90625" style="8"/>
    <col min="3072" max="3072" width="7" style="8" customWidth="1"/>
    <col min="3073" max="3073" width="10.7265625" style="8" customWidth="1"/>
    <col min="3074" max="3074" width="9.26953125" style="8" customWidth="1"/>
    <col min="3075" max="3098" width="7.26953125" style="8" customWidth="1"/>
    <col min="3099" max="3099" width="14.26953125" style="8" bestFit="1" customWidth="1"/>
    <col min="3100" max="3327" width="10.90625" style="8"/>
    <col min="3328" max="3328" width="7" style="8" customWidth="1"/>
    <col min="3329" max="3329" width="10.7265625" style="8" customWidth="1"/>
    <col min="3330" max="3330" width="9.26953125" style="8" customWidth="1"/>
    <col min="3331" max="3354" width="7.26953125" style="8" customWidth="1"/>
    <col min="3355" max="3355" width="14.26953125" style="8" bestFit="1" customWidth="1"/>
    <col min="3356" max="3583" width="10.90625" style="8"/>
    <col min="3584" max="3584" width="7" style="8" customWidth="1"/>
    <col min="3585" max="3585" width="10.7265625" style="8" customWidth="1"/>
    <col min="3586" max="3586" width="9.26953125" style="8" customWidth="1"/>
    <col min="3587" max="3610" width="7.26953125" style="8" customWidth="1"/>
    <col min="3611" max="3611" width="14.26953125" style="8" bestFit="1" customWidth="1"/>
    <col min="3612" max="3839" width="10.90625" style="8"/>
    <col min="3840" max="3840" width="7" style="8" customWidth="1"/>
    <col min="3841" max="3841" width="10.7265625" style="8" customWidth="1"/>
    <col min="3842" max="3842" width="9.26953125" style="8" customWidth="1"/>
    <col min="3843" max="3866" width="7.26953125" style="8" customWidth="1"/>
    <col min="3867" max="3867" width="14.26953125" style="8" bestFit="1" customWidth="1"/>
    <col min="3868" max="4095" width="10.90625" style="8"/>
    <col min="4096" max="4096" width="7" style="8" customWidth="1"/>
    <col min="4097" max="4097" width="10.7265625" style="8" customWidth="1"/>
    <col min="4098" max="4098" width="9.26953125" style="8" customWidth="1"/>
    <col min="4099" max="4122" width="7.26953125" style="8" customWidth="1"/>
    <col min="4123" max="4123" width="14.26953125" style="8" bestFit="1" customWidth="1"/>
    <col min="4124" max="4351" width="10.90625" style="8"/>
    <col min="4352" max="4352" width="7" style="8" customWidth="1"/>
    <col min="4353" max="4353" width="10.7265625" style="8" customWidth="1"/>
    <col min="4354" max="4354" width="9.26953125" style="8" customWidth="1"/>
    <col min="4355" max="4378" width="7.26953125" style="8" customWidth="1"/>
    <col min="4379" max="4379" width="14.26953125" style="8" bestFit="1" customWidth="1"/>
    <col min="4380" max="4607" width="10.90625" style="8"/>
    <col min="4608" max="4608" width="7" style="8" customWidth="1"/>
    <col min="4609" max="4609" width="10.7265625" style="8" customWidth="1"/>
    <col min="4610" max="4610" width="9.26953125" style="8" customWidth="1"/>
    <col min="4611" max="4634" width="7.26953125" style="8" customWidth="1"/>
    <col min="4635" max="4635" width="14.26953125" style="8" bestFit="1" customWidth="1"/>
    <col min="4636" max="4863" width="10.90625" style="8"/>
    <col min="4864" max="4864" width="7" style="8" customWidth="1"/>
    <col min="4865" max="4865" width="10.7265625" style="8" customWidth="1"/>
    <col min="4866" max="4866" width="9.26953125" style="8" customWidth="1"/>
    <col min="4867" max="4890" width="7.26953125" style="8" customWidth="1"/>
    <col min="4891" max="4891" width="14.26953125" style="8" bestFit="1" customWidth="1"/>
    <col min="4892" max="5119" width="10.90625" style="8"/>
    <col min="5120" max="5120" width="7" style="8" customWidth="1"/>
    <col min="5121" max="5121" width="10.7265625" style="8" customWidth="1"/>
    <col min="5122" max="5122" width="9.26953125" style="8" customWidth="1"/>
    <col min="5123" max="5146" width="7.26953125" style="8" customWidth="1"/>
    <col min="5147" max="5147" width="14.26953125" style="8" bestFit="1" customWidth="1"/>
    <col min="5148" max="5375" width="10.90625" style="8"/>
    <col min="5376" max="5376" width="7" style="8" customWidth="1"/>
    <col min="5377" max="5377" width="10.7265625" style="8" customWidth="1"/>
    <col min="5378" max="5378" width="9.26953125" style="8" customWidth="1"/>
    <col min="5379" max="5402" width="7.26953125" style="8" customWidth="1"/>
    <col min="5403" max="5403" width="14.26953125" style="8" bestFit="1" customWidth="1"/>
    <col min="5404" max="5631" width="10.90625" style="8"/>
    <col min="5632" max="5632" width="7" style="8" customWidth="1"/>
    <col min="5633" max="5633" width="10.7265625" style="8" customWidth="1"/>
    <col min="5634" max="5634" width="9.26953125" style="8" customWidth="1"/>
    <col min="5635" max="5658" width="7.26953125" style="8" customWidth="1"/>
    <col min="5659" max="5659" width="14.26953125" style="8" bestFit="1" customWidth="1"/>
    <col min="5660" max="5887" width="10.90625" style="8"/>
    <col min="5888" max="5888" width="7" style="8" customWidth="1"/>
    <col min="5889" max="5889" width="10.7265625" style="8" customWidth="1"/>
    <col min="5890" max="5890" width="9.26953125" style="8" customWidth="1"/>
    <col min="5891" max="5914" width="7.26953125" style="8" customWidth="1"/>
    <col min="5915" max="5915" width="14.26953125" style="8" bestFit="1" customWidth="1"/>
    <col min="5916" max="6143" width="10.90625" style="8"/>
    <col min="6144" max="6144" width="7" style="8" customWidth="1"/>
    <col min="6145" max="6145" width="10.7265625" style="8" customWidth="1"/>
    <col min="6146" max="6146" width="9.26953125" style="8" customWidth="1"/>
    <col min="6147" max="6170" width="7.26953125" style="8" customWidth="1"/>
    <col min="6171" max="6171" width="14.26953125" style="8" bestFit="1" customWidth="1"/>
    <col min="6172" max="6399" width="10.90625" style="8"/>
    <col min="6400" max="6400" width="7" style="8" customWidth="1"/>
    <col min="6401" max="6401" width="10.7265625" style="8" customWidth="1"/>
    <col min="6402" max="6402" width="9.26953125" style="8" customWidth="1"/>
    <col min="6403" max="6426" width="7.26953125" style="8" customWidth="1"/>
    <col min="6427" max="6427" width="14.26953125" style="8" bestFit="1" customWidth="1"/>
    <col min="6428" max="6655" width="10.90625" style="8"/>
    <col min="6656" max="6656" width="7" style="8" customWidth="1"/>
    <col min="6657" max="6657" width="10.7265625" style="8" customWidth="1"/>
    <col min="6658" max="6658" width="9.26953125" style="8" customWidth="1"/>
    <col min="6659" max="6682" width="7.26953125" style="8" customWidth="1"/>
    <col min="6683" max="6683" width="14.26953125" style="8" bestFit="1" customWidth="1"/>
    <col min="6684" max="6911" width="10.90625" style="8"/>
    <col min="6912" max="6912" width="7" style="8" customWidth="1"/>
    <col min="6913" max="6913" width="10.7265625" style="8" customWidth="1"/>
    <col min="6914" max="6914" width="9.26953125" style="8" customWidth="1"/>
    <col min="6915" max="6938" width="7.26953125" style="8" customWidth="1"/>
    <col min="6939" max="6939" width="14.26953125" style="8" bestFit="1" customWidth="1"/>
    <col min="6940" max="7167" width="10.90625" style="8"/>
    <col min="7168" max="7168" width="7" style="8" customWidth="1"/>
    <col min="7169" max="7169" width="10.7265625" style="8" customWidth="1"/>
    <col min="7170" max="7170" width="9.26953125" style="8" customWidth="1"/>
    <col min="7171" max="7194" width="7.26953125" style="8" customWidth="1"/>
    <col min="7195" max="7195" width="14.26953125" style="8" bestFit="1" customWidth="1"/>
    <col min="7196" max="7423" width="10.90625" style="8"/>
    <col min="7424" max="7424" width="7" style="8" customWidth="1"/>
    <col min="7425" max="7425" width="10.7265625" style="8" customWidth="1"/>
    <col min="7426" max="7426" width="9.26953125" style="8" customWidth="1"/>
    <col min="7427" max="7450" width="7.26953125" style="8" customWidth="1"/>
    <col min="7451" max="7451" width="14.26953125" style="8" bestFit="1" customWidth="1"/>
    <col min="7452" max="7679" width="10.90625" style="8"/>
    <col min="7680" max="7680" width="7" style="8" customWidth="1"/>
    <col min="7681" max="7681" width="10.7265625" style="8" customWidth="1"/>
    <col min="7682" max="7682" width="9.26953125" style="8" customWidth="1"/>
    <col min="7683" max="7706" width="7.26953125" style="8" customWidth="1"/>
    <col min="7707" max="7707" width="14.26953125" style="8" bestFit="1" customWidth="1"/>
    <col min="7708" max="7935" width="10.90625" style="8"/>
    <col min="7936" max="7936" width="7" style="8" customWidth="1"/>
    <col min="7937" max="7937" width="10.7265625" style="8" customWidth="1"/>
    <col min="7938" max="7938" width="9.26953125" style="8" customWidth="1"/>
    <col min="7939" max="7962" width="7.26953125" style="8" customWidth="1"/>
    <col min="7963" max="7963" width="14.26953125" style="8" bestFit="1" customWidth="1"/>
    <col min="7964" max="8191" width="10.90625" style="8"/>
    <col min="8192" max="8192" width="7" style="8" customWidth="1"/>
    <col min="8193" max="8193" width="10.7265625" style="8" customWidth="1"/>
    <col min="8194" max="8194" width="9.26953125" style="8" customWidth="1"/>
    <col min="8195" max="8218" width="7.26953125" style="8" customWidth="1"/>
    <col min="8219" max="8219" width="14.26953125" style="8" bestFit="1" customWidth="1"/>
    <col min="8220" max="8447" width="10.90625" style="8"/>
    <col min="8448" max="8448" width="7" style="8" customWidth="1"/>
    <col min="8449" max="8449" width="10.7265625" style="8" customWidth="1"/>
    <col min="8450" max="8450" width="9.26953125" style="8" customWidth="1"/>
    <col min="8451" max="8474" width="7.26953125" style="8" customWidth="1"/>
    <col min="8475" max="8475" width="14.26953125" style="8" bestFit="1" customWidth="1"/>
    <col min="8476" max="8703" width="10.90625" style="8"/>
    <col min="8704" max="8704" width="7" style="8" customWidth="1"/>
    <col min="8705" max="8705" width="10.7265625" style="8" customWidth="1"/>
    <col min="8706" max="8706" width="9.26953125" style="8" customWidth="1"/>
    <col min="8707" max="8730" width="7.26953125" style="8" customWidth="1"/>
    <col min="8731" max="8731" width="14.26953125" style="8" bestFit="1" customWidth="1"/>
    <col min="8732" max="8959" width="10.90625" style="8"/>
    <col min="8960" max="8960" width="7" style="8" customWidth="1"/>
    <col min="8961" max="8961" width="10.7265625" style="8" customWidth="1"/>
    <col min="8962" max="8962" width="9.26953125" style="8" customWidth="1"/>
    <col min="8963" max="8986" width="7.26953125" style="8" customWidth="1"/>
    <col min="8987" max="8987" width="14.26953125" style="8" bestFit="1" customWidth="1"/>
    <col min="8988" max="9215" width="10.90625" style="8"/>
    <col min="9216" max="9216" width="7" style="8" customWidth="1"/>
    <col min="9217" max="9217" width="10.7265625" style="8" customWidth="1"/>
    <col min="9218" max="9218" width="9.26953125" style="8" customWidth="1"/>
    <col min="9219" max="9242" width="7.26953125" style="8" customWidth="1"/>
    <col min="9243" max="9243" width="14.26953125" style="8" bestFit="1" customWidth="1"/>
    <col min="9244" max="9471" width="10.90625" style="8"/>
    <col min="9472" max="9472" width="7" style="8" customWidth="1"/>
    <col min="9473" max="9473" width="10.7265625" style="8" customWidth="1"/>
    <col min="9474" max="9474" width="9.26953125" style="8" customWidth="1"/>
    <col min="9475" max="9498" width="7.26953125" style="8" customWidth="1"/>
    <col min="9499" max="9499" width="14.26953125" style="8" bestFit="1" customWidth="1"/>
    <col min="9500" max="9727" width="10.90625" style="8"/>
    <col min="9728" max="9728" width="7" style="8" customWidth="1"/>
    <col min="9729" max="9729" width="10.7265625" style="8" customWidth="1"/>
    <col min="9730" max="9730" width="9.26953125" style="8" customWidth="1"/>
    <col min="9731" max="9754" width="7.26953125" style="8" customWidth="1"/>
    <col min="9755" max="9755" width="14.26953125" style="8" bestFit="1" customWidth="1"/>
    <col min="9756" max="9983" width="10.90625" style="8"/>
    <col min="9984" max="9984" width="7" style="8" customWidth="1"/>
    <col min="9985" max="9985" width="10.7265625" style="8" customWidth="1"/>
    <col min="9986" max="9986" width="9.26953125" style="8" customWidth="1"/>
    <col min="9987" max="10010" width="7.26953125" style="8" customWidth="1"/>
    <col min="10011" max="10011" width="14.26953125" style="8" bestFit="1" customWidth="1"/>
    <col min="10012" max="10239" width="10.90625" style="8"/>
    <col min="10240" max="10240" width="7" style="8" customWidth="1"/>
    <col min="10241" max="10241" width="10.7265625" style="8" customWidth="1"/>
    <col min="10242" max="10242" width="9.26953125" style="8" customWidth="1"/>
    <col min="10243" max="10266" width="7.26953125" style="8" customWidth="1"/>
    <col min="10267" max="10267" width="14.26953125" style="8" bestFit="1" customWidth="1"/>
    <col min="10268" max="10495" width="10.90625" style="8"/>
    <col min="10496" max="10496" width="7" style="8" customWidth="1"/>
    <col min="10497" max="10497" width="10.7265625" style="8" customWidth="1"/>
    <col min="10498" max="10498" width="9.26953125" style="8" customWidth="1"/>
    <col min="10499" max="10522" width="7.26953125" style="8" customWidth="1"/>
    <col min="10523" max="10523" width="14.26953125" style="8" bestFit="1" customWidth="1"/>
    <col min="10524" max="10751" width="10.90625" style="8"/>
    <col min="10752" max="10752" width="7" style="8" customWidth="1"/>
    <col min="10753" max="10753" width="10.7265625" style="8" customWidth="1"/>
    <col min="10754" max="10754" width="9.26953125" style="8" customWidth="1"/>
    <col min="10755" max="10778" width="7.26953125" style="8" customWidth="1"/>
    <col min="10779" max="10779" width="14.26953125" style="8" bestFit="1" customWidth="1"/>
    <col min="10780" max="11007" width="10.90625" style="8"/>
    <col min="11008" max="11008" width="7" style="8" customWidth="1"/>
    <col min="11009" max="11009" width="10.7265625" style="8" customWidth="1"/>
    <col min="11010" max="11010" width="9.26953125" style="8" customWidth="1"/>
    <col min="11011" max="11034" width="7.26953125" style="8" customWidth="1"/>
    <col min="11035" max="11035" width="14.26953125" style="8" bestFit="1" customWidth="1"/>
    <col min="11036" max="11263" width="10.90625" style="8"/>
    <col min="11264" max="11264" width="7" style="8" customWidth="1"/>
    <col min="11265" max="11265" width="10.7265625" style="8" customWidth="1"/>
    <col min="11266" max="11266" width="9.26953125" style="8" customWidth="1"/>
    <col min="11267" max="11290" width="7.26953125" style="8" customWidth="1"/>
    <col min="11291" max="11291" width="14.26953125" style="8" bestFit="1" customWidth="1"/>
    <col min="11292" max="11519" width="10.90625" style="8"/>
    <col min="11520" max="11520" width="7" style="8" customWidth="1"/>
    <col min="11521" max="11521" width="10.7265625" style="8" customWidth="1"/>
    <col min="11522" max="11522" width="9.26953125" style="8" customWidth="1"/>
    <col min="11523" max="11546" width="7.26953125" style="8" customWidth="1"/>
    <col min="11547" max="11547" width="14.26953125" style="8" bestFit="1" customWidth="1"/>
    <col min="11548" max="11775" width="10.90625" style="8"/>
    <col min="11776" max="11776" width="7" style="8" customWidth="1"/>
    <col min="11777" max="11777" width="10.7265625" style="8" customWidth="1"/>
    <col min="11778" max="11778" width="9.26953125" style="8" customWidth="1"/>
    <col min="11779" max="11802" width="7.26953125" style="8" customWidth="1"/>
    <col min="11803" max="11803" width="14.26953125" style="8" bestFit="1" customWidth="1"/>
    <col min="11804" max="12031" width="10.90625" style="8"/>
    <col min="12032" max="12032" width="7" style="8" customWidth="1"/>
    <col min="12033" max="12033" width="10.7265625" style="8" customWidth="1"/>
    <col min="12034" max="12034" width="9.26953125" style="8" customWidth="1"/>
    <col min="12035" max="12058" width="7.26953125" style="8" customWidth="1"/>
    <col min="12059" max="12059" width="14.26953125" style="8" bestFit="1" customWidth="1"/>
    <col min="12060" max="12287" width="10.90625" style="8"/>
    <col min="12288" max="12288" width="7" style="8" customWidth="1"/>
    <col min="12289" max="12289" width="10.7265625" style="8" customWidth="1"/>
    <col min="12290" max="12290" width="9.26953125" style="8" customWidth="1"/>
    <col min="12291" max="12314" width="7.26953125" style="8" customWidth="1"/>
    <col min="12315" max="12315" width="14.26953125" style="8" bestFit="1" customWidth="1"/>
    <col min="12316" max="12543" width="10.90625" style="8"/>
    <col min="12544" max="12544" width="7" style="8" customWidth="1"/>
    <col min="12545" max="12545" width="10.7265625" style="8" customWidth="1"/>
    <col min="12546" max="12546" width="9.26953125" style="8" customWidth="1"/>
    <col min="12547" max="12570" width="7.26953125" style="8" customWidth="1"/>
    <col min="12571" max="12571" width="14.26953125" style="8" bestFit="1" customWidth="1"/>
    <col min="12572" max="12799" width="10.90625" style="8"/>
    <col min="12800" max="12800" width="7" style="8" customWidth="1"/>
    <col min="12801" max="12801" width="10.7265625" style="8" customWidth="1"/>
    <col min="12802" max="12802" width="9.26953125" style="8" customWidth="1"/>
    <col min="12803" max="12826" width="7.26953125" style="8" customWidth="1"/>
    <col min="12827" max="12827" width="14.26953125" style="8" bestFit="1" customWidth="1"/>
    <col min="12828" max="13055" width="10.90625" style="8"/>
    <col min="13056" max="13056" width="7" style="8" customWidth="1"/>
    <col min="13057" max="13057" width="10.7265625" style="8" customWidth="1"/>
    <col min="13058" max="13058" width="9.26953125" style="8" customWidth="1"/>
    <col min="13059" max="13082" width="7.26953125" style="8" customWidth="1"/>
    <col min="13083" max="13083" width="14.26953125" style="8" bestFit="1" customWidth="1"/>
    <col min="13084" max="13311" width="10.90625" style="8"/>
    <col min="13312" max="13312" width="7" style="8" customWidth="1"/>
    <col min="13313" max="13313" width="10.7265625" style="8" customWidth="1"/>
    <col min="13314" max="13314" width="9.26953125" style="8" customWidth="1"/>
    <col min="13315" max="13338" width="7.26953125" style="8" customWidth="1"/>
    <col min="13339" max="13339" width="14.26953125" style="8" bestFit="1" customWidth="1"/>
    <col min="13340" max="13567" width="10.90625" style="8"/>
    <col min="13568" max="13568" width="7" style="8" customWidth="1"/>
    <col min="13569" max="13569" width="10.7265625" style="8" customWidth="1"/>
    <col min="13570" max="13570" width="9.26953125" style="8" customWidth="1"/>
    <col min="13571" max="13594" width="7.26953125" style="8" customWidth="1"/>
    <col min="13595" max="13595" width="14.26953125" style="8" bestFit="1" customWidth="1"/>
    <col min="13596" max="13823" width="10.90625" style="8"/>
    <col min="13824" max="13824" width="7" style="8" customWidth="1"/>
    <col min="13825" max="13825" width="10.7265625" style="8" customWidth="1"/>
    <col min="13826" max="13826" width="9.26953125" style="8" customWidth="1"/>
    <col min="13827" max="13850" width="7.26953125" style="8" customWidth="1"/>
    <col min="13851" max="13851" width="14.26953125" style="8" bestFit="1" customWidth="1"/>
    <col min="13852" max="14079" width="10.90625" style="8"/>
    <col min="14080" max="14080" width="7" style="8" customWidth="1"/>
    <col min="14081" max="14081" width="10.7265625" style="8" customWidth="1"/>
    <col min="14082" max="14082" width="9.26953125" style="8" customWidth="1"/>
    <col min="14083" max="14106" width="7.26953125" style="8" customWidth="1"/>
    <col min="14107" max="14107" width="14.26953125" style="8" bestFit="1" customWidth="1"/>
    <col min="14108" max="14335" width="10.90625" style="8"/>
    <col min="14336" max="14336" width="7" style="8" customWidth="1"/>
    <col min="14337" max="14337" width="10.7265625" style="8" customWidth="1"/>
    <col min="14338" max="14338" width="9.26953125" style="8" customWidth="1"/>
    <col min="14339" max="14362" width="7.26953125" style="8" customWidth="1"/>
    <col min="14363" max="14363" width="14.26953125" style="8" bestFit="1" customWidth="1"/>
    <col min="14364" max="14591" width="10.90625" style="8"/>
    <col min="14592" max="14592" width="7" style="8" customWidth="1"/>
    <col min="14593" max="14593" width="10.7265625" style="8" customWidth="1"/>
    <col min="14594" max="14594" width="9.26953125" style="8" customWidth="1"/>
    <col min="14595" max="14618" width="7.26953125" style="8" customWidth="1"/>
    <col min="14619" max="14619" width="14.26953125" style="8" bestFit="1" customWidth="1"/>
    <col min="14620" max="14847" width="10.90625" style="8"/>
    <col min="14848" max="14848" width="7" style="8" customWidth="1"/>
    <col min="14849" max="14849" width="10.7265625" style="8" customWidth="1"/>
    <col min="14850" max="14850" width="9.26953125" style="8" customWidth="1"/>
    <col min="14851" max="14874" width="7.26953125" style="8" customWidth="1"/>
    <col min="14875" max="14875" width="14.26953125" style="8" bestFit="1" customWidth="1"/>
    <col min="14876" max="15103" width="10.90625" style="8"/>
    <col min="15104" max="15104" width="7" style="8" customWidth="1"/>
    <col min="15105" max="15105" width="10.7265625" style="8" customWidth="1"/>
    <col min="15106" max="15106" width="9.26953125" style="8" customWidth="1"/>
    <col min="15107" max="15130" width="7.26953125" style="8" customWidth="1"/>
    <col min="15131" max="15131" width="14.26953125" style="8" bestFit="1" customWidth="1"/>
    <col min="15132" max="15359" width="10.90625" style="8"/>
    <col min="15360" max="15360" width="7" style="8" customWidth="1"/>
    <col min="15361" max="15361" width="10.7265625" style="8" customWidth="1"/>
    <col min="15362" max="15362" width="9.26953125" style="8" customWidth="1"/>
    <col min="15363" max="15386" width="7.26953125" style="8" customWidth="1"/>
    <col min="15387" max="15387" width="14.26953125" style="8" bestFit="1" customWidth="1"/>
    <col min="15388" max="15615" width="10.90625" style="8"/>
    <col min="15616" max="15616" width="7" style="8" customWidth="1"/>
    <col min="15617" max="15617" width="10.7265625" style="8" customWidth="1"/>
    <col min="15618" max="15618" width="9.26953125" style="8" customWidth="1"/>
    <col min="15619" max="15642" width="7.26953125" style="8" customWidth="1"/>
    <col min="15643" max="15643" width="14.26953125" style="8" bestFit="1" customWidth="1"/>
    <col min="15644" max="15871" width="10.90625" style="8"/>
    <col min="15872" max="15872" width="7" style="8" customWidth="1"/>
    <col min="15873" max="15873" width="10.7265625" style="8" customWidth="1"/>
    <col min="15874" max="15874" width="9.26953125" style="8" customWidth="1"/>
    <col min="15875" max="15898" width="7.26953125" style="8" customWidth="1"/>
    <col min="15899" max="15899" width="14.26953125" style="8" bestFit="1" customWidth="1"/>
    <col min="15900" max="16127" width="10.90625" style="8"/>
    <col min="16128" max="16128" width="7" style="8" customWidth="1"/>
    <col min="16129" max="16129" width="10.7265625" style="8" customWidth="1"/>
    <col min="16130" max="16130" width="9.26953125" style="8" customWidth="1"/>
    <col min="16131" max="16154" width="7.26953125" style="8" customWidth="1"/>
    <col min="16155" max="16155" width="14.26953125" style="8" bestFit="1" customWidth="1"/>
    <col min="16156" max="16384" width="10.90625" style="8"/>
  </cols>
  <sheetData>
    <row r="2" spans="2:62" ht="2.25" customHeight="1" x14ac:dyDescent="0.35"/>
    <row r="3" spans="2:62" ht="4.5" customHeight="1" x14ac:dyDescent="0.35"/>
    <row r="4" spans="2:62" ht="46.5" customHeight="1" x14ac:dyDescent="0.35">
      <c r="B4" s="202" t="s">
        <v>148</v>
      </c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</row>
    <row r="5" spans="2:62" ht="28.5" customHeight="1" x14ac:dyDescent="0.35">
      <c r="B5" s="204" t="s">
        <v>0</v>
      </c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</row>
    <row r="6" spans="2:62" ht="18.649999999999999" customHeight="1" x14ac:dyDescent="0.35">
      <c r="B6" s="205" t="s">
        <v>135</v>
      </c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</row>
    <row r="7" spans="2:62" ht="18.649999999999999" customHeight="1" x14ac:dyDescent="0.35">
      <c r="B7" s="206" t="s">
        <v>1</v>
      </c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</row>
    <row r="8" spans="2:62" ht="18.649999999999999" customHeight="1" x14ac:dyDescent="0.35"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BE8" s="8">
        <v>1000</v>
      </c>
    </row>
    <row r="9" spans="2:62" ht="18.649999999999999" customHeight="1" thickBot="1" x14ac:dyDescent="0.4">
      <c r="BD9" s="18"/>
      <c r="BE9" s="18"/>
      <c r="BF9" s="18"/>
    </row>
    <row r="10" spans="2:62" ht="34.5" customHeight="1" thickBot="1" x14ac:dyDescent="0.4">
      <c r="B10" s="1" t="s">
        <v>2</v>
      </c>
      <c r="C10" s="2" t="s">
        <v>3</v>
      </c>
      <c r="D10" s="1" t="s">
        <v>4</v>
      </c>
      <c r="E10" s="83" t="s">
        <v>5</v>
      </c>
      <c r="F10" s="3" t="s">
        <v>6</v>
      </c>
      <c r="G10" s="3" t="s">
        <v>7</v>
      </c>
      <c r="H10" s="3" t="s">
        <v>8</v>
      </c>
      <c r="I10" s="3" t="s">
        <v>9</v>
      </c>
      <c r="J10" s="3" t="s">
        <v>10</v>
      </c>
      <c r="K10" s="3" t="s">
        <v>11</v>
      </c>
      <c r="L10" s="3" t="s">
        <v>12</v>
      </c>
      <c r="M10" s="3" t="s">
        <v>13</v>
      </c>
      <c r="N10" s="3" t="s">
        <v>14</v>
      </c>
      <c r="O10" s="3" t="s">
        <v>15</v>
      </c>
      <c r="P10" s="4" t="s">
        <v>16</v>
      </c>
      <c r="Q10" s="5" t="s">
        <v>17</v>
      </c>
      <c r="R10" s="3" t="s">
        <v>18</v>
      </c>
      <c r="S10" s="3" t="s">
        <v>19</v>
      </c>
      <c r="T10" s="3" t="s">
        <v>20</v>
      </c>
      <c r="U10" s="3" t="s">
        <v>21</v>
      </c>
      <c r="V10" s="3" t="s">
        <v>22</v>
      </c>
      <c r="W10" s="3" t="s">
        <v>23</v>
      </c>
      <c r="X10" s="3" t="s">
        <v>24</v>
      </c>
      <c r="Y10" s="3" t="s">
        <v>25</v>
      </c>
      <c r="Z10" s="3" t="s">
        <v>26</v>
      </c>
      <c r="AA10" s="3" t="s">
        <v>27</v>
      </c>
      <c r="AB10" s="4" t="s">
        <v>28</v>
      </c>
      <c r="AC10" s="134" t="s">
        <v>48</v>
      </c>
      <c r="AF10" s="51" t="s">
        <v>51</v>
      </c>
      <c r="AG10" s="51" t="s">
        <v>5</v>
      </c>
      <c r="AH10" s="51" t="s">
        <v>6</v>
      </c>
      <c r="AI10" s="51" t="s">
        <v>7</v>
      </c>
      <c r="AJ10" s="51" t="s">
        <v>8</v>
      </c>
      <c r="AK10" s="51" t="s">
        <v>9</v>
      </c>
      <c r="AL10" s="51" t="s">
        <v>10</v>
      </c>
      <c r="AM10" s="51" t="s">
        <v>11</v>
      </c>
      <c r="AN10" s="51" t="s">
        <v>12</v>
      </c>
      <c r="AO10" s="51" t="s">
        <v>13</v>
      </c>
      <c r="AP10" s="51" t="s">
        <v>14</v>
      </c>
      <c r="AQ10" s="51" t="s">
        <v>15</v>
      </c>
      <c r="AR10" s="51" t="s">
        <v>16</v>
      </c>
      <c r="AS10" s="51" t="s">
        <v>17</v>
      </c>
      <c r="AT10" s="51" t="s">
        <v>18</v>
      </c>
      <c r="AU10" s="51" t="s">
        <v>19</v>
      </c>
      <c r="AV10" s="51" t="s">
        <v>20</v>
      </c>
      <c r="AW10" s="51" t="s">
        <v>21</v>
      </c>
      <c r="AX10" s="51" t="s">
        <v>22</v>
      </c>
      <c r="AY10" s="51" t="s">
        <v>23</v>
      </c>
      <c r="AZ10" s="51" t="s">
        <v>24</v>
      </c>
      <c r="BA10" s="51" t="s">
        <v>25</v>
      </c>
      <c r="BB10" s="51" t="s">
        <v>26</v>
      </c>
      <c r="BC10" s="51" t="s">
        <v>27</v>
      </c>
      <c r="BD10" s="51" t="s">
        <v>28</v>
      </c>
      <c r="BE10" s="52" t="s">
        <v>52</v>
      </c>
      <c r="BF10" s="52" t="s">
        <v>53</v>
      </c>
      <c r="BH10" s="49" t="s">
        <v>56</v>
      </c>
      <c r="BI10" s="50" t="e">
        <f>(+#REF!)/1000</f>
        <v>#REF!</v>
      </c>
      <c r="BJ10" s="49" t="s">
        <v>55</v>
      </c>
    </row>
    <row r="11" spans="2:62" ht="18.649999999999999" customHeight="1" x14ac:dyDescent="0.35">
      <c r="B11" s="207">
        <v>48214</v>
      </c>
      <c r="C11" s="6" t="s">
        <v>29</v>
      </c>
      <c r="D11" s="46">
        <v>20</v>
      </c>
      <c r="E11" s="196">
        <v>31631.52</v>
      </c>
      <c r="F11" s="196">
        <v>29809.9</v>
      </c>
      <c r="G11" s="196">
        <v>28398.83</v>
      </c>
      <c r="H11" s="196">
        <v>27357.81</v>
      </c>
      <c r="I11" s="196">
        <v>27094.98</v>
      </c>
      <c r="J11" s="196">
        <v>27920.400000000001</v>
      </c>
      <c r="K11" s="196">
        <v>27344.94</v>
      </c>
      <c r="L11" s="196">
        <v>29070.53</v>
      </c>
      <c r="M11" s="196">
        <v>31475.56</v>
      </c>
      <c r="N11" s="196">
        <v>32667.63</v>
      </c>
      <c r="O11" s="196">
        <v>34357.879999999997</v>
      </c>
      <c r="P11" s="196">
        <v>36009.589999999997</v>
      </c>
      <c r="Q11" s="196">
        <v>34915.589999999997</v>
      </c>
      <c r="R11" s="196">
        <v>36440.49</v>
      </c>
      <c r="S11" s="196">
        <v>38788.39</v>
      </c>
      <c r="T11" s="196">
        <v>39432.51</v>
      </c>
      <c r="U11" s="196">
        <v>39695.839999999997</v>
      </c>
      <c r="V11" s="196">
        <v>42847.01</v>
      </c>
      <c r="W11" s="196">
        <v>46288.03</v>
      </c>
      <c r="X11" s="196">
        <v>46484.959999999999</v>
      </c>
      <c r="Y11" s="196">
        <v>45450.44</v>
      </c>
      <c r="Z11" s="196">
        <v>43511.9</v>
      </c>
      <c r="AA11" s="196">
        <v>40462.54</v>
      </c>
      <c r="AB11" s="196">
        <v>37282.54</v>
      </c>
      <c r="AC11" s="209">
        <f>SUM(E11:AB11)*D11+SUM(E12:AB12)*D12+SUM(E13:AB13)*D13+SUM(E14:AB14)*D14</f>
        <v>25535865.25</v>
      </c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</row>
    <row r="12" spans="2:62" ht="18.649999999999999" customHeight="1" x14ac:dyDescent="0.35">
      <c r="B12" s="267"/>
      <c r="C12" s="9" t="s">
        <v>30</v>
      </c>
      <c r="D12" s="10">
        <v>5</v>
      </c>
      <c r="E12" s="197">
        <v>31216.31</v>
      </c>
      <c r="F12" s="197">
        <v>29569.88</v>
      </c>
      <c r="G12" s="197">
        <v>28201.02</v>
      </c>
      <c r="H12" s="197">
        <v>27151.5</v>
      </c>
      <c r="I12" s="197">
        <v>26767</v>
      </c>
      <c r="J12" s="197">
        <v>26823.03</v>
      </c>
      <c r="K12" s="197">
        <v>25724.23</v>
      </c>
      <c r="L12" s="197">
        <v>26799.53</v>
      </c>
      <c r="M12" s="197">
        <v>28970.42</v>
      </c>
      <c r="N12" s="197">
        <v>30637.54</v>
      </c>
      <c r="O12" s="197">
        <v>31999.71</v>
      </c>
      <c r="P12" s="197">
        <v>32760.01</v>
      </c>
      <c r="Q12" s="197">
        <v>32492.35</v>
      </c>
      <c r="R12" s="197">
        <v>31704.25</v>
      </c>
      <c r="S12" s="197">
        <v>32279.52</v>
      </c>
      <c r="T12" s="197">
        <v>32945</v>
      </c>
      <c r="U12" s="197">
        <v>33683.769999999997</v>
      </c>
      <c r="V12" s="197">
        <v>38815.269999999997</v>
      </c>
      <c r="W12" s="197">
        <v>43574.5</v>
      </c>
      <c r="X12" s="197">
        <v>43793.08</v>
      </c>
      <c r="Y12" s="197">
        <v>42607.62</v>
      </c>
      <c r="Z12" s="197">
        <v>40984.550000000003</v>
      </c>
      <c r="AA12" s="197">
        <v>38856.03</v>
      </c>
      <c r="AB12" s="197">
        <v>36393.15</v>
      </c>
      <c r="AC12" s="210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</row>
    <row r="13" spans="2:62" ht="18.649999999999999" customHeight="1" x14ac:dyDescent="0.35">
      <c r="B13" s="267"/>
      <c r="C13" s="9" t="s">
        <v>31</v>
      </c>
      <c r="D13" s="10">
        <v>4</v>
      </c>
      <c r="E13" s="197">
        <v>31509.24</v>
      </c>
      <c r="F13" s="197">
        <v>29803.06</v>
      </c>
      <c r="G13" s="197">
        <v>28350.82</v>
      </c>
      <c r="H13" s="197">
        <v>27279.07</v>
      </c>
      <c r="I13" s="197">
        <v>26755.47</v>
      </c>
      <c r="J13" s="197">
        <v>26466.11</v>
      </c>
      <c r="K13" s="197">
        <v>24608.33</v>
      </c>
      <c r="L13" s="197">
        <v>24085.08</v>
      </c>
      <c r="M13" s="197">
        <v>24683.08</v>
      </c>
      <c r="N13" s="197">
        <v>25294.21</v>
      </c>
      <c r="O13" s="197">
        <v>26355.85</v>
      </c>
      <c r="P13" s="197">
        <v>27403.919999999998</v>
      </c>
      <c r="Q13" s="197">
        <v>28331.040000000001</v>
      </c>
      <c r="R13" s="197">
        <v>28667.119999999999</v>
      </c>
      <c r="S13" s="197">
        <v>29046.39</v>
      </c>
      <c r="T13" s="197">
        <v>29662.81</v>
      </c>
      <c r="U13" s="197">
        <v>30788.37</v>
      </c>
      <c r="V13" s="197">
        <v>35858.9</v>
      </c>
      <c r="W13" s="197">
        <v>41038.370000000003</v>
      </c>
      <c r="X13" s="197">
        <v>42149.32</v>
      </c>
      <c r="Y13" s="197">
        <v>41789.15</v>
      </c>
      <c r="Z13" s="197">
        <v>40661.21</v>
      </c>
      <c r="AA13" s="197">
        <v>38078.800000000003</v>
      </c>
      <c r="AB13" s="197">
        <v>35071.78</v>
      </c>
      <c r="AC13" s="210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</row>
    <row r="14" spans="2:62" ht="18.649999999999999" customHeight="1" thickBot="1" x14ac:dyDescent="0.4">
      <c r="B14" s="268"/>
      <c r="C14" s="15" t="s">
        <v>32</v>
      </c>
      <c r="D14" s="16">
        <v>2</v>
      </c>
      <c r="E14" s="198">
        <v>31488.41</v>
      </c>
      <c r="F14" s="198">
        <v>29738.13</v>
      </c>
      <c r="G14" s="198">
        <v>28264.52</v>
      </c>
      <c r="H14" s="198">
        <v>27192.59</v>
      </c>
      <c r="I14" s="198">
        <v>26684.05</v>
      </c>
      <c r="J14" s="198">
        <v>26438.58</v>
      </c>
      <c r="K14" s="198">
        <v>24661.200000000001</v>
      </c>
      <c r="L14" s="198">
        <v>24200.49</v>
      </c>
      <c r="M14" s="198">
        <v>24858.18</v>
      </c>
      <c r="N14" s="198">
        <v>25495.62</v>
      </c>
      <c r="O14" s="198">
        <v>26542.62</v>
      </c>
      <c r="P14" s="198">
        <v>27564.3</v>
      </c>
      <c r="Q14" s="198">
        <v>28477.71</v>
      </c>
      <c r="R14" s="198">
        <v>28833.599999999999</v>
      </c>
      <c r="S14" s="198">
        <v>29240.29</v>
      </c>
      <c r="T14" s="198">
        <v>29887.05</v>
      </c>
      <c r="U14" s="198">
        <v>31006.52</v>
      </c>
      <c r="V14" s="198">
        <v>36019.19</v>
      </c>
      <c r="W14" s="198">
        <v>41162.879999999997</v>
      </c>
      <c r="X14" s="198">
        <v>42295.28</v>
      </c>
      <c r="Y14" s="198">
        <v>41947.26</v>
      </c>
      <c r="Z14" s="198">
        <v>40823.300000000003</v>
      </c>
      <c r="AA14" s="198">
        <v>38205.75</v>
      </c>
      <c r="AB14" s="198">
        <v>35158.83</v>
      </c>
      <c r="AC14" s="210"/>
      <c r="AD14" s="53">
        <f>+AC11</f>
        <v>25535865.25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</row>
    <row r="15" spans="2:62" ht="18.649999999999999" customHeight="1" x14ac:dyDescent="0.35">
      <c r="B15" s="207">
        <v>48245</v>
      </c>
      <c r="C15" s="6" t="s">
        <v>29</v>
      </c>
      <c r="D15" s="7">
        <v>20</v>
      </c>
      <c r="E15" s="196">
        <v>32188.57</v>
      </c>
      <c r="F15" s="196">
        <v>30452.05</v>
      </c>
      <c r="G15" s="196">
        <v>28970.66</v>
      </c>
      <c r="H15" s="196">
        <v>27879.47</v>
      </c>
      <c r="I15" s="196">
        <v>27705.74</v>
      </c>
      <c r="J15" s="196">
        <v>29262.95</v>
      </c>
      <c r="K15" s="196">
        <v>28673.52</v>
      </c>
      <c r="L15" s="196">
        <v>30192.36</v>
      </c>
      <c r="M15" s="196">
        <v>32065.599999999999</v>
      </c>
      <c r="N15" s="196">
        <v>32680.62</v>
      </c>
      <c r="O15" s="196">
        <v>34109.58</v>
      </c>
      <c r="P15" s="196">
        <v>35559.51</v>
      </c>
      <c r="Q15" s="196">
        <v>34270.54</v>
      </c>
      <c r="R15" s="196">
        <v>36127.449999999997</v>
      </c>
      <c r="S15" s="196">
        <v>38936.410000000003</v>
      </c>
      <c r="T15" s="196">
        <v>39788.519999999997</v>
      </c>
      <c r="U15" s="196">
        <v>40142.32</v>
      </c>
      <c r="V15" s="196">
        <v>43063.55</v>
      </c>
      <c r="W15" s="196">
        <v>46213.26</v>
      </c>
      <c r="X15" s="196">
        <v>47073.15</v>
      </c>
      <c r="Y15" s="196">
        <v>46338.38</v>
      </c>
      <c r="Z15" s="196">
        <v>44422.99</v>
      </c>
      <c r="AA15" s="196">
        <v>40920.51</v>
      </c>
      <c r="AB15" s="196">
        <v>37535.440000000002</v>
      </c>
      <c r="AC15" s="209">
        <f>SUM(E15:AB15)*D15+SUM(E16:AB16)*D16+SUM(E17:AB17)*D17+SUM(E18:AB18)*D18</f>
        <v>24337017.090000004</v>
      </c>
      <c r="AD15" s="148">
        <f>+AC15</f>
        <v>24337017.090000004</v>
      </c>
    </row>
    <row r="16" spans="2:62" ht="18.649999999999999" customHeight="1" x14ac:dyDescent="0.35">
      <c r="B16" s="267" t="s">
        <v>34</v>
      </c>
      <c r="C16" s="9" t="s">
        <v>30</v>
      </c>
      <c r="D16" s="10">
        <v>4</v>
      </c>
      <c r="E16" s="197">
        <v>32376.73</v>
      </c>
      <c r="F16" s="197">
        <v>30381.759999999998</v>
      </c>
      <c r="G16" s="197">
        <v>29143.5</v>
      </c>
      <c r="H16" s="197">
        <v>27823.58</v>
      </c>
      <c r="I16" s="197">
        <v>27373.97</v>
      </c>
      <c r="J16" s="197">
        <v>27548.44</v>
      </c>
      <c r="K16" s="197">
        <v>26751.11</v>
      </c>
      <c r="L16" s="197">
        <v>27795.22</v>
      </c>
      <c r="M16" s="197">
        <v>29508.06</v>
      </c>
      <c r="N16" s="197">
        <v>30405.17</v>
      </c>
      <c r="O16" s="197">
        <v>31707.599999999999</v>
      </c>
      <c r="P16" s="197">
        <v>32366.58</v>
      </c>
      <c r="Q16" s="197">
        <v>31764.73</v>
      </c>
      <c r="R16" s="197">
        <v>31661.57</v>
      </c>
      <c r="S16" s="197">
        <v>32300.46</v>
      </c>
      <c r="T16" s="197">
        <v>33087.75</v>
      </c>
      <c r="U16" s="197">
        <v>33969.5</v>
      </c>
      <c r="V16" s="197">
        <v>38645.199999999997</v>
      </c>
      <c r="W16" s="197">
        <v>43436.15</v>
      </c>
      <c r="X16" s="197">
        <v>44024.13</v>
      </c>
      <c r="Y16" s="197">
        <v>43203.25</v>
      </c>
      <c r="Z16" s="197">
        <v>41648.910000000003</v>
      </c>
      <c r="AA16" s="197">
        <v>39547.769999999997</v>
      </c>
      <c r="AB16" s="197">
        <v>36984.32</v>
      </c>
      <c r="AC16" s="210"/>
      <c r="AD16" s="148">
        <f>+AC19</f>
        <v>25639512.720000003</v>
      </c>
    </row>
    <row r="17" spans="2:30" ht="18.649999999999999" customHeight="1" x14ac:dyDescent="0.35">
      <c r="B17" s="267" t="s">
        <v>34</v>
      </c>
      <c r="C17" s="9" t="s">
        <v>31</v>
      </c>
      <c r="D17" s="10">
        <v>5</v>
      </c>
      <c r="E17" s="197">
        <v>32394.93</v>
      </c>
      <c r="F17" s="197">
        <v>30729.59</v>
      </c>
      <c r="G17" s="197">
        <v>29281.7</v>
      </c>
      <c r="H17" s="197">
        <v>28233.1</v>
      </c>
      <c r="I17" s="197">
        <v>27673.58</v>
      </c>
      <c r="J17" s="197">
        <v>27511.200000000001</v>
      </c>
      <c r="K17" s="197">
        <v>25664.58</v>
      </c>
      <c r="L17" s="197">
        <v>25248.33</v>
      </c>
      <c r="M17" s="197">
        <v>25622.48</v>
      </c>
      <c r="N17" s="197">
        <v>25790.27</v>
      </c>
      <c r="O17" s="197">
        <v>26629.26</v>
      </c>
      <c r="P17" s="197">
        <v>27818.04</v>
      </c>
      <c r="Q17" s="197">
        <v>28759.35</v>
      </c>
      <c r="R17" s="197">
        <v>29376.86</v>
      </c>
      <c r="S17" s="197">
        <v>30188.23</v>
      </c>
      <c r="T17" s="197">
        <v>30993.1</v>
      </c>
      <c r="U17" s="197">
        <v>31851.43</v>
      </c>
      <c r="V17" s="197">
        <v>35951.29</v>
      </c>
      <c r="W17" s="197">
        <v>41499.65</v>
      </c>
      <c r="X17" s="197">
        <v>43336.81</v>
      </c>
      <c r="Y17" s="197">
        <v>43587.8</v>
      </c>
      <c r="Z17" s="197">
        <v>42900.93</v>
      </c>
      <c r="AA17" s="197">
        <v>39218.9</v>
      </c>
      <c r="AB17" s="197">
        <v>36085.040000000001</v>
      </c>
      <c r="AC17" s="210"/>
      <c r="AD17" s="148">
        <f>+AC23</f>
        <v>23442969.100000001</v>
      </c>
    </row>
    <row r="18" spans="2:30" ht="18.649999999999999" customHeight="1" thickBot="1" x14ac:dyDescent="0.4">
      <c r="B18" s="268" t="s">
        <v>34</v>
      </c>
      <c r="C18" s="11" t="s">
        <v>32</v>
      </c>
      <c r="D18" s="12">
        <v>0</v>
      </c>
      <c r="E18" s="199">
        <v>0</v>
      </c>
      <c r="F18" s="199">
        <v>0</v>
      </c>
      <c r="G18" s="199">
        <v>0</v>
      </c>
      <c r="H18" s="199">
        <v>0</v>
      </c>
      <c r="I18" s="199">
        <v>0</v>
      </c>
      <c r="J18" s="199">
        <v>0</v>
      </c>
      <c r="K18" s="199">
        <v>0</v>
      </c>
      <c r="L18" s="199">
        <v>0</v>
      </c>
      <c r="M18" s="199">
        <v>0</v>
      </c>
      <c r="N18" s="199">
        <v>0</v>
      </c>
      <c r="O18" s="199">
        <v>0</v>
      </c>
      <c r="P18" s="199">
        <v>0</v>
      </c>
      <c r="Q18" s="199">
        <v>0</v>
      </c>
      <c r="R18" s="199">
        <v>0</v>
      </c>
      <c r="S18" s="199">
        <v>0</v>
      </c>
      <c r="T18" s="199">
        <v>0</v>
      </c>
      <c r="U18" s="199">
        <v>0</v>
      </c>
      <c r="V18" s="199">
        <v>0</v>
      </c>
      <c r="W18" s="199">
        <v>0</v>
      </c>
      <c r="X18" s="199">
        <v>0</v>
      </c>
      <c r="Y18" s="199">
        <v>0</v>
      </c>
      <c r="Z18" s="199">
        <v>0</v>
      </c>
      <c r="AA18" s="199">
        <v>0</v>
      </c>
      <c r="AB18" s="199">
        <v>0</v>
      </c>
      <c r="AC18" s="214"/>
      <c r="AD18" s="148">
        <f>+AC27</f>
        <v>24110566.460000001</v>
      </c>
    </row>
    <row r="19" spans="2:30" ht="18.649999999999999" customHeight="1" x14ac:dyDescent="0.35">
      <c r="B19" s="207">
        <v>48274</v>
      </c>
      <c r="C19" s="13" t="s">
        <v>29</v>
      </c>
      <c r="D19" s="14">
        <v>20</v>
      </c>
      <c r="E19" s="200">
        <v>31123.77</v>
      </c>
      <c r="F19" s="200">
        <v>29379.95</v>
      </c>
      <c r="G19" s="200">
        <v>28016</v>
      </c>
      <c r="H19" s="200">
        <v>27129.3</v>
      </c>
      <c r="I19" s="200">
        <v>27143.23</v>
      </c>
      <c r="J19" s="200">
        <v>28423.02</v>
      </c>
      <c r="K19" s="200">
        <v>28188.52</v>
      </c>
      <c r="L19" s="200">
        <v>30094.46</v>
      </c>
      <c r="M19" s="200">
        <v>32127.7</v>
      </c>
      <c r="N19" s="200">
        <v>32917.33</v>
      </c>
      <c r="O19" s="200">
        <v>34355.699999999997</v>
      </c>
      <c r="P19" s="200">
        <v>35435.74</v>
      </c>
      <c r="Q19" s="200">
        <v>33394.28</v>
      </c>
      <c r="R19" s="200">
        <v>34965.699999999997</v>
      </c>
      <c r="S19" s="200">
        <v>37660.33</v>
      </c>
      <c r="T19" s="200">
        <v>38702.17</v>
      </c>
      <c r="U19" s="200">
        <v>39384.480000000003</v>
      </c>
      <c r="V19" s="200">
        <v>42501.9</v>
      </c>
      <c r="W19" s="200">
        <v>45764.72</v>
      </c>
      <c r="X19" s="200">
        <v>46142.75</v>
      </c>
      <c r="Y19" s="200">
        <v>44951.9</v>
      </c>
      <c r="Z19" s="200">
        <v>42766.54</v>
      </c>
      <c r="AA19" s="200">
        <v>39411.24</v>
      </c>
      <c r="AB19" s="200">
        <v>36069.72</v>
      </c>
      <c r="AC19" s="210">
        <f>SUM(E19:AB19)*D19+SUM(E20:AB20)*D20+SUM(E21:AB21)*D21+SUM(E22:AB22)*D22</f>
        <v>25639512.720000003</v>
      </c>
      <c r="AD19" s="148">
        <f>+AC31</f>
        <v>23651155.580000002</v>
      </c>
    </row>
    <row r="20" spans="2:30" ht="18.649999999999999" customHeight="1" x14ac:dyDescent="0.35">
      <c r="B20" s="267"/>
      <c r="C20" s="9" t="s">
        <v>30</v>
      </c>
      <c r="D20" s="10">
        <v>4</v>
      </c>
      <c r="E20" s="197">
        <v>31072.51</v>
      </c>
      <c r="F20" s="197">
        <v>29388.02</v>
      </c>
      <c r="G20" s="197">
        <v>27953.61</v>
      </c>
      <c r="H20" s="197">
        <v>27064.9</v>
      </c>
      <c r="I20" s="197">
        <v>26784.58</v>
      </c>
      <c r="J20" s="197">
        <v>26890.9</v>
      </c>
      <c r="K20" s="197">
        <v>26550.42</v>
      </c>
      <c r="L20" s="197">
        <v>27985.82</v>
      </c>
      <c r="M20" s="197">
        <v>30274.53</v>
      </c>
      <c r="N20" s="197">
        <v>31475.95</v>
      </c>
      <c r="O20" s="197">
        <v>32832.92</v>
      </c>
      <c r="P20" s="197">
        <v>33741.440000000002</v>
      </c>
      <c r="Q20" s="197">
        <v>33030.35</v>
      </c>
      <c r="R20" s="197">
        <v>32768.239999999998</v>
      </c>
      <c r="S20" s="197">
        <v>33526.559999999998</v>
      </c>
      <c r="T20" s="197">
        <v>34151.81</v>
      </c>
      <c r="U20" s="197">
        <v>35098.519999999997</v>
      </c>
      <c r="V20" s="197">
        <v>39453.33</v>
      </c>
      <c r="W20" s="197">
        <v>44268.59</v>
      </c>
      <c r="X20" s="197">
        <v>44928.57</v>
      </c>
      <c r="Y20" s="197">
        <v>43836.23</v>
      </c>
      <c r="Z20" s="197">
        <v>42277.42</v>
      </c>
      <c r="AA20" s="197">
        <v>39933.730000000003</v>
      </c>
      <c r="AB20" s="197">
        <v>37455.589999999997</v>
      </c>
      <c r="AC20" s="210"/>
      <c r="AD20" s="148">
        <f>+AC35</f>
        <v>23714592.710000001</v>
      </c>
    </row>
    <row r="21" spans="2:30" ht="18.649999999999999" customHeight="1" x14ac:dyDescent="0.35">
      <c r="B21" s="267"/>
      <c r="C21" s="9" t="s">
        <v>31</v>
      </c>
      <c r="D21" s="10">
        <v>4</v>
      </c>
      <c r="E21" s="197">
        <v>32296.68</v>
      </c>
      <c r="F21" s="197">
        <v>30469.040000000001</v>
      </c>
      <c r="G21" s="197">
        <v>28968.94</v>
      </c>
      <c r="H21" s="197">
        <v>27900.080000000002</v>
      </c>
      <c r="I21" s="197">
        <v>27313.27</v>
      </c>
      <c r="J21" s="197">
        <v>26928.68</v>
      </c>
      <c r="K21" s="197">
        <v>25613.01</v>
      </c>
      <c r="L21" s="197">
        <v>25674.45</v>
      </c>
      <c r="M21" s="197">
        <v>26595.05</v>
      </c>
      <c r="N21" s="197">
        <v>27161.56</v>
      </c>
      <c r="O21" s="197">
        <v>28150.67</v>
      </c>
      <c r="P21" s="197">
        <v>29307.49</v>
      </c>
      <c r="Q21" s="197">
        <v>30165.84</v>
      </c>
      <c r="R21" s="197">
        <v>30607.59</v>
      </c>
      <c r="S21" s="197">
        <v>31184.03</v>
      </c>
      <c r="T21" s="197">
        <v>32198.77</v>
      </c>
      <c r="U21" s="197">
        <v>33025.89</v>
      </c>
      <c r="V21" s="197">
        <v>37463.69</v>
      </c>
      <c r="W21" s="197">
        <v>42478.77</v>
      </c>
      <c r="X21" s="197">
        <v>44000.93</v>
      </c>
      <c r="Y21" s="197">
        <v>44136.38</v>
      </c>
      <c r="Z21" s="197">
        <v>43145.34</v>
      </c>
      <c r="AA21" s="197">
        <v>40494.089999999997</v>
      </c>
      <c r="AB21" s="197">
        <v>37141.21</v>
      </c>
      <c r="AC21" s="210"/>
      <c r="AD21" s="148">
        <f>+AC39</f>
        <v>23872912.690000001</v>
      </c>
    </row>
    <row r="22" spans="2:30" ht="18.649999999999999" customHeight="1" thickBot="1" x14ac:dyDescent="0.4">
      <c r="B22" s="268"/>
      <c r="C22" s="15" t="s">
        <v>32</v>
      </c>
      <c r="D22" s="16">
        <v>3</v>
      </c>
      <c r="E22" s="198">
        <v>32404.58</v>
      </c>
      <c r="F22" s="198">
        <v>30542.720000000001</v>
      </c>
      <c r="G22" s="198">
        <v>29030.12</v>
      </c>
      <c r="H22" s="198">
        <v>28063.17</v>
      </c>
      <c r="I22" s="198">
        <v>27376.99</v>
      </c>
      <c r="J22" s="198">
        <v>26963.3</v>
      </c>
      <c r="K22" s="198">
        <v>25625.78</v>
      </c>
      <c r="L22" s="198">
        <v>25639.4</v>
      </c>
      <c r="M22" s="198">
        <v>26570.42</v>
      </c>
      <c r="N22" s="198">
        <v>27135.17</v>
      </c>
      <c r="O22" s="198">
        <v>27971.98</v>
      </c>
      <c r="P22" s="198">
        <v>29048.9</v>
      </c>
      <c r="Q22" s="198">
        <v>29884.560000000001</v>
      </c>
      <c r="R22" s="198">
        <v>30313.48</v>
      </c>
      <c r="S22" s="198">
        <v>30886.81</v>
      </c>
      <c r="T22" s="198">
        <v>31921.360000000001</v>
      </c>
      <c r="U22" s="198">
        <v>32795.81</v>
      </c>
      <c r="V22" s="198">
        <v>37273.230000000003</v>
      </c>
      <c r="W22" s="198">
        <v>42228.69</v>
      </c>
      <c r="X22" s="198">
        <v>43731.47</v>
      </c>
      <c r="Y22" s="198">
        <v>43852.53</v>
      </c>
      <c r="Z22" s="198">
        <v>42891.35</v>
      </c>
      <c r="AA22" s="198">
        <v>40241.19</v>
      </c>
      <c r="AB22" s="198">
        <v>36886.910000000003</v>
      </c>
      <c r="AC22" s="210"/>
      <c r="AD22" s="148">
        <f>+AC43</f>
        <v>22858419.66</v>
      </c>
    </row>
    <row r="23" spans="2:30" ht="18.649999999999999" customHeight="1" x14ac:dyDescent="0.35">
      <c r="B23" s="207">
        <v>48305</v>
      </c>
      <c r="C23" s="6" t="s">
        <v>29</v>
      </c>
      <c r="D23" s="7">
        <v>22</v>
      </c>
      <c r="E23" s="196">
        <v>29270.62</v>
      </c>
      <c r="F23" s="196">
        <v>27611.82</v>
      </c>
      <c r="G23" s="196">
        <v>26348.71</v>
      </c>
      <c r="H23" s="196">
        <v>25539.72</v>
      </c>
      <c r="I23" s="196">
        <v>25577.3</v>
      </c>
      <c r="J23" s="196">
        <v>26193.65</v>
      </c>
      <c r="K23" s="196">
        <v>26209.32</v>
      </c>
      <c r="L23" s="196">
        <v>28034.17</v>
      </c>
      <c r="M23" s="196">
        <v>30367.38</v>
      </c>
      <c r="N23" s="196">
        <v>31193.64</v>
      </c>
      <c r="O23" s="196">
        <v>32464.75</v>
      </c>
      <c r="P23" s="196">
        <v>33796.46</v>
      </c>
      <c r="Q23" s="196">
        <v>32190.79</v>
      </c>
      <c r="R23" s="196">
        <v>33671.089999999997</v>
      </c>
      <c r="S23" s="196">
        <v>36305.35</v>
      </c>
      <c r="T23" s="196">
        <v>36976.83</v>
      </c>
      <c r="U23" s="196">
        <v>37258.07</v>
      </c>
      <c r="V23" s="196">
        <v>41018.65</v>
      </c>
      <c r="W23" s="196">
        <v>43953.1</v>
      </c>
      <c r="X23" s="196">
        <v>44048.44</v>
      </c>
      <c r="Y23" s="196">
        <v>42862.96</v>
      </c>
      <c r="Z23" s="196">
        <v>40905.33</v>
      </c>
      <c r="AA23" s="196">
        <v>37878.730000000003</v>
      </c>
      <c r="AB23" s="196">
        <v>34472.769999999997</v>
      </c>
      <c r="AC23" s="209">
        <f>SUM(E23:AB23)*D23+SUM(E24:AB24)*D24+SUM(E25:AB25)*D25+SUM(E26:AB26)*D26</f>
        <v>23442969.100000001</v>
      </c>
      <c r="AD23" s="148">
        <f>+AC47</f>
        <v>23065744</v>
      </c>
    </row>
    <row r="24" spans="2:30" ht="18.649999999999999" customHeight="1" x14ac:dyDescent="0.35">
      <c r="B24" s="267" t="s">
        <v>34</v>
      </c>
      <c r="C24" s="9" t="s">
        <v>30</v>
      </c>
      <c r="D24" s="10">
        <v>4</v>
      </c>
      <c r="E24" s="197">
        <v>28635.43</v>
      </c>
      <c r="F24" s="197">
        <v>26902.22</v>
      </c>
      <c r="G24" s="197">
        <v>25548.39</v>
      </c>
      <c r="H24" s="197">
        <v>24648.36</v>
      </c>
      <c r="I24" s="197">
        <v>24346.58</v>
      </c>
      <c r="J24" s="197">
        <v>24261.56</v>
      </c>
      <c r="K24" s="197">
        <v>23753.45</v>
      </c>
      <c r="L24" s="197">
        <v>24769.63</v>
      </c>
      <c r="M24" s="197">
        <v>26862.69</v>
      </c>
      <c r="N24" s="197">
        <v>27678.18</v>
      </c>
      <c r="O24" s="197">
        <v>28860.06</v>
      </c>
      <c r="P24" s="197">
        <v>29732.59</v>
      </c>
      <c r="Q24" s="197">
        <v>29276.95</v>
      </c>
      <c r="R24" s="197">
        <v>29108.16</v>
      </c>
      <c r="S24" s="197">
        <v>29633.27</v>
      </c>
      <c r="T24" s="197">
        <v>30256.02</v>
      </c>
      <c r="U24" s="197">
        <v>31203.119999999999</v>
      </c>
      <c r="V24" s="197">
        <v>36271.54</v>
      </c>
      <c r="W24" s="197">
        <v>40912.94</v>
      </c>
      <c r="X24" s="197">
        <v>40863.1</v>
      </c>
      <c r="Y24" s="197">
        <v>39886.14</v>
      </c>
      <c r="Z24" s="197">
        <v>38323.199999999997</v>
      </c>
      <c r="AA24" s="197">
        <v>36301.47</v>
      </c>
      <c r="AB24" s="197">
        <v>33833.21</v>
      </c>
      <c r="AC24" s="210"/>
      <c r="AD24" s="148">
        <f>+AC51</f>
        <v>21325926.219999995</v>
      </c>
    </row>
    <row r="25" spans="2:30" ht="18.649999999999999" customHeight="1" x14ac:dyDescent="0.35">
      <c r="B25" s="267" t="s">
        <v>34</v>
      </c>
      <c r="C25" s="9" t="s">
        <v>31</v>
      </c>
      <c r="D25" s="10">
        <v>4</v>
      </c>
      <c r="E25" s="197">
        <v>29086.38</v>
      </c>
      <c r="F25" s="197">
        <v>27525.15</v>
      </c>
      <c r="G25" s="197">
        <v>26224.27</v>
      </c>
      <c r="H25" s="197">
        <v>25250.33</v>
      </c>
      <c r="I25" s="197">
        <v>24886.37</v>
      </c>
      <c r="J25" s="197">
        <v>24240.91</v>
      </c>
      <c r="K25" s="197">
        <v>23490.67</v>
      </c>
      <c r="L25" s="197">
        <v>23393.14</v>
      </c>
      <c r="M25" s="197">
        <v>23642.48</v>
      </c>
      <c r="N25" s="197">
        <v>24197.7</v>
      </c>
      <c r="O25" s="197">
        <v>25119.21</v>
      </c>
      <c r="P25" s="197">
        <v>25955.279999999999</v>
      </c>
      <c r="Q25" s="197">
        <v>26591.919999999998</v>
      </c>
      <c r="R25" s="197">
        <v>27005.67</v>
      </c>
      <c r="S25" s="197">
        <v>27556.18</v>
      </c>
      <c r="T25" s="197">
        <v>28370.15</v>
      </c>
      <c r="U25" s="197">
        <v>29545.3</v>
      </c>
      <c r="V25" s="197">
        <v>34627.040000000001</v>
      </c>
      <c r="W25" s="197">
        <v>38822.92</v>
      </c>
      <c r="X25" s="197">
        <v>39960.080000000002</v>
      </c>
      <c r="Y25" s="197">
        <v>40065.519999999997</v>
      </c>
      <c r="Z25" s="197">
        <v>39473.660000000003</v>
      </c>
      <c r="AA25" s="197">
        <v>37089.199999999997</v>
      </c>
      <c r="AB25" s="197">
        <v>33931.410000000003</v>
      </c>
      <c r="AC25" s="210"/>
      <c r="AD25" s="148">
        <f>+AC55</f>
        <v>23824689.119999997</v>
      </c>
    </row>
    <row r="26" spans="2:30" ht="18.649999999999999" customHeight="1" thickBot="1" x14ac:dyDescent="0.4">
      <c r="B26" s="268" t="s">
        <v>34</v>
      </c>
      <c r="C26" s="11" t="s">
        <v>32</v>
      </c>
      <c r="D26" s="12">
        <v>0</v>
      </c>
      <c r="E26" s="201">
        <v>0</v>
      </c>
      <c r="F26" s="201">
        <v>0</v>
      </c>
      <c r="G26" s="201">
        <v>0</v>
      </c>
      <c r="H26" s="201">
        <v>0</v>
      </c>
      <c r="I26" s="201">
        <v>0</v>
      </c>
      <c r="J26" s="201">
        <v>0</v>
      </c>
      <c r="K26" s="201">
        <v>0</v>
      </c>
      <c r="L26" s="201">
        <v>0</v>
      </c>
      <c r="M26" s="201">
        <v>0</v>
      </c>
      <c r="N26" s="201">
        <v>0</v>
      </c>
      <c r="O26" s="201">
        <v>0</v>
      </c>
      <c r="P26" s="201">
        <v>0</v>
      </c>
      <c r="Q26" s="201">
        <v>0</v>
      </c>
      <c r="R26" s="201">
        <v>0</v>
      </c>
      <c r="S26" s="201">
        <v>0</v>
      </c>
      <c r="T26" s="201">
        <v>0</v>
      </c>
      <c r="U26" s="201">
        <v>0</v>
      </c>
      <c r="V26" s="201">
        <v>0</v>
      </c>
      <c r="W26" s="201">
        <v>0</v>
      </c>
      <c r="X26" s="201">
        <v>0</v>
      </c>
      <c r="Y26" s="201">
        <v>0</v>
      </c>
      <c r="Z26" s="201">
        <v>0</v>
      </c>
      <c r="AA26" s="201">
        <v>0</v>
      </c>
      <c r="AB26" s="201">
        <v>0</v>
      </c>
      <c r="AC26" s="214"/>
      <c r="AD26" s="18"/>
    </row>
    <row r="27" spans="2:30" ht="18.649999999999999" customHeight="1" x14ac:dyDescent="0.35">
      <c r="B27" s="207">
        <v>48335</v>
      </c>
      <c r="C27" s="13" t="s">
        <v>29</v>
      </c>
      <c r="D27" s="14">
        <v>19</v>
      </c>
      <c r="E27" s="200">
        <v>28751.279999999999</v>
      </c>
      <c r="F27" s="200">
        <v>27229.3</v>
      </c>
      <c r="G27" s="200">
        <v>26013.7</v>
      </c>
      <c r="H27" s="200">
        <v>25187.17</v>
      </c>
      <c r="I27" s="200">
        <v>25262.07</v>
      </c>
      <c r="J27" s="200">
        <v>25886.71</v>
      </c>
      <c r="K27" s="200">
        <v>26091.24</v>
      </c>
      <c r="L27" s="200">
        <v>27972.99</v>
      </c>
      <c r="M27" s="200">
        <v>30565.7</v>
      </c>
      <c r="N27" s="200">
        <v>31515.14</v>
      </c>
      <c r="O27" s="200">
        <v>33170.94</v>
      </c>
      <c r="P27" s="200">
        <v>34282.17</v>
      </c>
      <c r="Q27" s="200">
        <v>32549.64</v>
      </c>
      <c r="R27" s="200">
        <v>33871.15</v>
      </c>
      <c r="S27" s="200">
        <v>36362.769999999997</v>
      </c>
      <c r="T27" s="200">
        <v>37045.760000000002</v>
      </c>
      <c r="U27" s="200">
        <v>37319.47</v>
      </c>
      <c r="V27" s="200">
        <v>40558.04</v>
      </c>
      <c r="W27" s="200">
        <v>43545.14</v>
      </c>
      <c r="X27" s="200">
        <v>43639.58</v>
      </c>
      <c r="Y27" s="200">
        <v>42387.64</v>
      </c>
      <c r="Z27" s="200">
        <v>40200.660000000003</v>
      </c>
      <c r="AA27" s="200">
        <v>37096.97</v>
      </c>
      <c r="AB27" s="200">
        <v>33916.89</v>
      </c>
      <c r="AC27" s="210">
        <f>SUM(E27:AB27)*D27+SUM(E28:AB28)*D28+SUM(E29:AB29)*D29+SUM(E30:AB30)*D30</f>
        <v>24110566.460000001</v>
      </c>
      <c r="AD27" s="18"/>
    </row>
    <row r="28" spans="2:30" ht="18.649999999999999" customHeight="1" x14ac:dyDescent="0.35">
      <c r="B28" s="267"/>
      <c r="C28" s="9" t="s">
        <v>30</v>
      </c>
      <c r="D28" s="10">
        <v>4</v>
      </c>
      <c r="E28" s="197">
        <v>29624.84</v>
      </c>
      <c r="F28" s="197">
        <v>27524.9</v>
      </c>
      <c r="G28" s="197">
        <v>26161.51</v>
      </c>
      <c r="H28" s="197">
        <v>25241.99</v>
      </c>
      <c r="I28" s="197">
        <v>24994.48</v>
      </c>
      <c r="J28" s="197">
        <v>24581.73</v>
      </c>
      <c r="K28" s="197">
        <v>24311.81</v>
      </c>
      <c r="L28" s="197">
        <v>25859.56</v>
      </c>
      <c r="M28" s="197">
        <v>28375.24</v>
      </c>
      <c r="N28" s="197">
        <v>29650.69</v>
      </c>
      <c r="O28" s="197">
        <v>30657.89</v>
      </c>
      <c r="P28" s="197">
        <v>31496.67</v>
      </c>
      <c r="Q28" s="197">
        <v>30648.03</v>
      </c>
      <c r="R28" s="197">
        <v>30422.1</v>
      </c>
      <c r="S28" s="197">
        <v>31261.54</v>
      </c>
      <c r="T28" s="197">
        <v>31923.22</v>
      </c>
      <c r="U28" s="197">
        <v>32763.599999999999</v>
      </c>
      <c r="V28" s="197">
        <v>37818.57</v>
      </c>
      <c r="W28" s="197">
        <v>42395.67</v>
      </c>
      <c r="X28" s="197">
        <v>42733.41</v>
      </c>
      <c r="Y28" s="197">
        <v>41538.089999999997</v>
      </c>
      <c r="Z28" s="197">
        <v>39759.599999999999</v>
      </c>
      <c r="AA28" s="197">
        <v>37744.660000000003</v>
      </c>
      <c r="AB28" s="197">
        <v>35281.17</v>
      </c>
      <c r="AC28" s="210"/>
      <c r="AD28" s="18"/>
    </row>
    <row r="29" spans="2:30" ht="18.649999999999999" customHeight="1" x14ac:dyDescent="0.35">
      <c r="B29" s="267"/>
      <c r="C29" s="9" t="s">
        <v>31</v>
      </c>
      <c r="D29" s="10">
        <v>5</v>
      </c>
      <c r="E29" s="197">
        <v>29995.98</v>
      </c>
      <c r="F29" s="197">
        <v>28413.38</v>
      </c>
      <c r="G29" s="197">
        <v>27116.61</v>
      </c>
      <c r="H29" s="197">
        <v>26141.3</v>
      </c>
      <c r="I29" s="197">
        <v>25724.39</v>
      </c>
      <c r="J29" s="197">
        <v>24762.94</v>
      </c>
      <c r="K29" s="197">
        <v>23918.71</v>
      </c>
      <c r="L29" s="197">
        <v>23959.85</v>
      </c>
      <c r="M29" s="197">
        <v>25222.03</v>
      </c>
      <c r="N29" s="197">
        <v>26207.68</v>
      </c>
      <c r="O29" s="197">
        <v>26959.13</v>
      </c>
      <c r="P29" s="197">
        <v>27656.32</v>
      </c>
      <c r="Q29" s="197">
        <v>28327.25</v>
      </c>
      <c r="R29" s="197">
        <v>28734.13</v>
      </c>
      <c r="S29" s="197">
        <v>29136.2</v>
      </c>
      <c r="T29" s="197">
        <v>30052.02</v>
      </c>
      <c r="U29" s="197">
        <v>30762.77</v>
      </c>
      <c r="V29" s="197">
        <v>35917.18</v>
      </c>
      <c r="W29" s="197">
        <v>40542.75</v>
      </c>
      <c r="X29" s="197">
        <v>41450.639999999999</v>
      </c>
      <c r="Y29" s="197">
        <v>41395.21</v>
      </c>
      <c r="Z29" s="197">
        <v>40238.07</v>
      </c>
      <c r="AA29" s="197">
        <v>37566.79</v>
      </c>
      <c r="AB29" s="197">
        <v>33891.25</v>
      </c>
      <c r="AC29" s="210"/>
      <c r="AD29" s="18"/>
    </row>
    <row r="30" spans="2:30" ht="18.649999999999999" customHeight="1" thickBot="1" x14ac:dyDescent="0.4">
      <c r="B30" s="268"/>
      <c r="C30" s="15" t="s">
        <v>32</v>
      </c>
      <c r="D30" s="16">
        <v>3</v>
      </c>
      <c r="E30" s="198">
        <v>29972.35</v>
      </c>
      <c r="F30" s="198">
        <v>28389.66</v>
      </c>
      <c r="G30" s="198">
        <v>27096.51</v>
      </c>
      <c r="H30" s="198">
        <v>26124.880000000001</v>
      </c>
      <c r="I30" s="198">
        <v>25655.99</v>
      </c>
      <c r="J30" s="198">
        <v>24559.64</v>
      </c>
      <c r="K30" s="198">
        <v>23665.919999999998</v>
      </c>
      <c r="L30" s="198">
        <v>23610.86</v>
      </c>
      <c r="M30" s="198">
        <v>24780.1</v>
      </c>
      <c r="N30" s="198">
        <v>25769.85</v>
      </c>
      <c r="O30" s="198">
        <v>26467.52</v>
      </c>
      <c r="P30" s="198">
        <v>27121.93</v>
      </c>
      <c r="Q30" s="198">
        <v>27917.38</v>
      </c>
      <c r="R30" s="198">
        <v>28224.29</v>
      </c>
      <c r="S30" s="198">
        <v>28517.14</v>
      </c>
      <c r="T30" s="198">
        <v>29447.8</v>
      </c>
      <c r="U30" s="198">
        <v>30259.89</v>
      </c>
      <c r="V30" s="198">
        <v>35538.58</v>
      </c>
      <c r="W30" s="198">
        <v>40202.339999999997</v>
      </c>
      <c r="X30" s="198">
        <v>41164.47</v>
      </c>
      <c r="Y30" s="198">
        <v>41170.39</v>
      </c>
      <c r="Z30" s="198">
        <v>40058.910000000003</v>
      </c>
      <c r="AA30" s="198">
        <v>37446.03</v>
      </c>
      <c r="AB30" s="198">
        <v>33837.370000000003</v>
      </c>
      <c r="AC30" s="210"/>
      <c r="AD30" s="18"/>
    </row>
    <row r="31" spans="2:30" ht="18.649999999999999" customHeight="1" x14ac:dyDescent="0.35">
      <c r="B31" s="207">
        <v>48366</v>
      </c>
      <c r="C31" s="6" t="s">
        <v>29</v>
      </c>
      <c r="D31" s="7">
        <v>21</v>
      </c>
      <c r="E31" s="196">
        <v>29416.73</v>
      </c>
      <c r="F31" s="196">
        <v>27750.89</v>
      </c>
      <c r="G31" s="196">
        <v>26562.39</v>
      </c>
      <c r="H31" s="196">
        <v>25549.59</v>
      </c>
      <c r="I31" s="196">
        <v>25551.48</v>
      </c>
      <c r="J31" s="196">
        <v>25755.919999999998</v>
      </c>
      <c r="K31" s="196">
        <v>25810.29</v>
      </c>
      <c r="L31" s="196">
        <v>27822.86</v>
      </c>
      <c r="M31" s="196">
        <v>30345.95</v>
      </c>
      <c r="N31" s="196">
        <v>31488.45</v>
      </c>
      <c r="O31" s="196">
        <v>33257.89</v>
      </c>
      <c r="P31" s="196">
        <v>34505.53</v>
      </c>
      <c r="Q31" s="196">
        <v>33114.75</v>
      </c>
      <c r="R31" s="196">
        <v>34285.699999999997</v>
      </c>
      <c r="S31" s="196">
        <v>36700.379999999997</v>
      </c>
      <c r="T31" s="196">
        <v>37313.129999999997</v>
      </c>
      <c r="U31" s="196">
        <v>37826.639999999999</v>
      </c>
      <c r="V31" s="196">
        <v>40816.74</v>
      </c>
      <c r="W31" s="196">
        <v>43787.37</v>
      </c>
      <c r="X31" s="196">
        <v>44277.09</v>
      </c>
      <c r="Y31" s="196">
        <v>42920.14</v>
      </c>
      <c r="Z31" s="196">
        <v>40835.11</v>
      </c>
      <c r="AA31" s="196">
        <v>37570.47</v>
      </c>
      <c r="AB31" s="196">
        <v>34264.06</v>
      </c>
      <c r="AC31" s="209">
        <f>SUM(E31:AB31)*D31+SUM(E32:AB32)*D32+SUM(E33:AB33)*D33+SUM(E34:AB34)*D34</f>
        <v>23651155.580000002</v>
      </c>
      <c r="AD31" s="18"/>
    </row>
    <row r="32" spans="2:30" ht="18.649999999999999" customHeight="1" x14ac:dyDescent="0.35">
      <c r="B32" s="267" t="s">
        <v>34</v>
      </c>
      <c r="C32" s="9" t="s">
        <v>30</v>
      </c>
      <c r="D32" s="10">
        <v>4</v>
      </c>
      <c r="E32" s="197">
        <v>29235.27</v>
      </c>
      <c r="F32" s="197">
        <v>27624.1</v>
      </c>
      <c r="G32" s="197">
        <v>26445.38</v>
      </c>
      <c r="H32" s="197">
        <v>25648.58</v>
      </c>
      <c r="I32" s="197">
        <v>25416.68</v>
      </c>
      <c r="J32" s="197">
        <v>24890.91</v>
      </c>
      <c r="K32" s="197">
        <v>24687.040000000001</v>
      </c>
      <c r="L32" s="197">
        <v>26324.38</v>
      </c>
      <c r="M32" s="197">
        <v>28748.27</v>
      </c>
      <c r="N32" s="197">
        <v>30120.67</v>
      </c>
      <c r="O32" s="197">
        <v>31520.75</v>
      </c>
      <c r="P32" s="197">
        <v>32530.31</v>
      </c>
      <c r="Q32" s="197">
        <v>31896.81</v>
      </c>
      <c r="R32" s="197">
        <v>31349.05</v>
      </c>
      <c r="S32" s="197">
        <v>31927.42</v>
      </c>
      <c r="T32" s="197">
        <v>32492.43</v>
      </c>
      <c r="U32" s="197">
        <v>32967.74</v>
      </c>
      <c r="V32" s="197">
        <v>37404.9</v>
      </c>
      <c r="W32" s="197">
        <v>40940.75</v>
      </c>
      <c r="X32" s="197">
        <v>41752.11</v>
      </c>
      <c r="Y32" s="197">
        <v>40741.839999999997</v>
      </c>
      <c r="Z32" s="197">
        <v>38738.129999999997</v>
      </c>
      <c r="AA32" s="197">
        <v>36502.79</v>
      </c>
      <c r="AB32" s="197">
        <v>34137.129999999997</v>
      </c>
      <c r="AC32" s="210"/>
      <c r="AD32" s="18"/>
    </row>
    <row r="33" spans="2:30" ht="18.649999999999999" customHeight="1" x14ac:dyDescent="0.35">
      <c r="B33" s="267" t="s">
        <v>34</v>
      </c>
      <c r="C33" s="9" t="s">
        <v>31</v>
      </c>
      <c r="D33" s="10">
        <v>4</v>
      </c>
      <c r="E33" s="197">
        <v>30228.93</v>
      </c>
      <c r="F33" s="197">
        <v>28493.97</v>
      </c>
      <c r="G33" s="197">
        <v>27078.92</v>
      </c>
      <c r="H33" s="197">
        <v>26171.49</v>
      </c>
      <c r="I33" s="197">
        <v>25792.62</v>
      </c>
      <c r="J33" s="197">
        <v>24711.94</v>
      </c>
      <c r="K33" s="197">
        <v>23732.560000000001</v>
      </c>
      <c r="L33" s="197">
        <v>23557.759999999998</v>
      </c>
      <c r="M33" s="197">
        <v>24437.01</v>
      </c>
      <c r="N33" s="197">
        <v>25383.82</v>
      </c>
      <c r="O33" s="197">
        <v>26205.03</v>
      </c>
      <c r="P33" s="197">
        <v>27031.42</v>
      </c>
      <c r="Q33" s="197">
        <v>27932.82</v>
      </c>
      <c r="R33" s="197">
        <v>28195.32</v>
      </c>
      <c r="S33" s="197">
        <v>28854.240000000002</v>
      </c>
      <c r="T33" s="197">
        <v>29624.15</v>
      </c>
      <c r="U33" s="197">
        <v>30476.19</v>
      </c>
      <c r="V33" s="197">
        <v>34880.660000000003</v>
      </c>
      <c r="W33" s="197">
        <v>39447</v>
      </c>
      <c r="X33" s="197">
        <v>41397.839999999997</v>
      </c>
      <c r="Y33" s="197">
        <v>41040.639999999999</v>
      </c>
      <c r="Z33" s="197">
        <v>39988.79</v>
      </c>
      <c r="AA33" s="197">
        <v>37768.44</v>
      </c>
      <c r="AB33" s="197">
        <v>35022.32</v>
      </c>
      <c r="AC33" s="210"/>
      <c r="AD33" s="18"/>
    </row>
    <row r="34" spans="2:30" ht="18.649999999999999" customHeight="1" thickBot="1" x14ac:dyDescent="0.4">
      <c r="B34" s="268" t="s">
        <v>34</v>
      </c>
      <c r="C34" s="11" t="s">
        <v>32</v>
      </c>
      <c r="D34" s="12">
        <v>1</v>
      </c>
      <c r="E34" s="201">
        <v>30399.65</v>
      </c>
      <c r="F34" s="201">
        <v>28645.360000000001</v>
      </c>
      <c r="G34" s="201">
        <v>27221.22</v>
      </c>
      <c r="H34" s="201">
        <v>26296.29</v>
      </c>
      <c r="I34" s="201">
        <v>25893.82</v>
      </c>
      <c r="J34" s="201">
        <v>24833.34</v>
      </c>
      <c r="K34" s="201">
        <v>23828.16</v>
      </c>
      <c r="L34" s="201">
        <v>23606.959999999999</v>
      </c>
      <c r="M34" s="201">
        <v>24437.87</v>
      </c>
      <c r="N34" s="201">
        <v>25322.44</v>
      </c>
      <c r="O34" s="201">
        <v>26051.19</v>
      </c>
      <c r="P34" s="201">
        <v>26814.94</v>
      </c>
      <c r="Q34" s="201">
        <v>27697.8</v>
      </c>
      <c r="R34" s="201">
        <v>27977.99</v>
      </c>
      <c r="S34" s="201">
        <v>28672.04</v>
      </c>
      <c r="T34" s="201">
        <v>29487.3</v>
      </c>
      <c r="U34" s="201">
        <v>30404.95</v>
      </c>
      <c r="V34" s="201">
        <v>34841.93</v>
      </c>
      <c r="W34" s="201">
        <v>39409.43</v>
      </c>
      <c r="X34" s="201">
        <v>41325.71</v>
      </c>
      <c r="Y34" s="201">
        <v>41009.03</v>
      </c>
      <c r="Z34" s="201">
        <v>39998.33</v>
      </c>
      <c r="AA34" s="201">
        <v>37794.86</v>
      </c>
      <c r="AB34" s="201">
        <v>35075.14</v>
      </c>
      <c r="AC34" s="214"/>
      <c r="AD34" s="18"/>
    </row>
    <row r="35" spans="2:30" ht="18.649999999999999" customHeight="1" x14ac:dyDescent="0.35">
      <c r="B35" s="207">
        <v>48396</v>
      </c>
      <c r="C35" s="13" t="s">
        <v>29</v>
      </c>
      <c r="D35" s="14">
        <v>20</v>
      </c>
      <c r="E35" s="200">
        <v>29063.81</v>
      </c>
      <c r="F35" s="200">
        <v>27352.17</v>
      </c>
      <c r="G35" s="200">
        <v>26022.83</v>
      </c>
      <c r="H35" s="200">
        <v>25135.75</v>
      </c>
      <c r="I35" s="200">
        <v>24945.7</v>
      </c>
      <c r="J35" s="200">
        <v>25347.9</v>
      </c>
      <c r="K35" s="200">
        <v>25212.16</v>
      </c>
      <c r="L35" s="200">
        <v>26927.89</v>
      </c>
      <c r="M35" s="200">
        <v>29328.99</v>
      </c>
      <c r="N35" s="200">
        <v>30460.41</v>
      </c>
      <c r="O35" s="200">
        <v>32294.080000000002</v>
      </c>
      <c r="P35" s="200">
        <v>33888.06</v>
      </c>
      <c r="Q35" s="200">
        <v>32604.78</v>
      </c>
      <c r="R35" s="200">
        <v>34345.870000000003</v>
      </c>
      <c r="S35" s="200">
        <v>37251.57</v>
      </c>
      <c r="T35" s="200">
        <v>37881.440000000002</v>
      </c>
      <c r="U35" s="200">
        <v>38122.76</v>
      </c>
      <c r="V35" s="200">
        <v>40943.040000000001</v>
      </c>
      <c r="W35" s="200">
        <v>43284.5</v>
      </c>
      <c r="X35" s="200">
        <v>44327.93</v>
      </c>
      <c r="Y35" s="200">
        <v>43319.94</v>
      </c>
      <c r="Z35" s="200">
        <v>41316.17</v>
      </c>
      <c r="AA35" s="200">
        <v>37999.85</v>
      </c>
      <c r="AB35" s="200">
        <v>34680.82</v>
      </c>
      <c r="AC35" s="210">
        <f>SUM(E35:AB35)*D35+SUM(E36:AB36)*D36+SUM(E37:AB37)*D37+SUM(E38:AB38)*D38</f>
        <v>23714592.710000001</v>
      </c>
      <c r="AD35" s="18"/>
    </row>
    <row r="36" spans="2:30" ht="18.649999999999999" customHeight="1" x14ac:dyDescent="0.35">
      <c r="B36" s="267"/>
      <c r="C36" s="9" t="s">
        <v>30</v>
      </c>
      <c r="D36" s="10">
        <v>5</v>
      </c>
      <c r="E36" s="197">
        <v>29528.01</v>
      </c>
      <c r="F36" s="197">
        <v>27575.93</v>
      </c>
      <c r="G36" s="197">
        <v>26107.47</v>
      </c>
      <c r="H36" s="197">
        <v>25299.9</v>
      </c>
      <c r="I36" s="197">
        <v>24765.040000000001</v>
      </c>
      <c r="J36" s="197">
        <v>24383.55</v>
      </c>
      <c r="K36" s="197">
        <v>24017.51</v>
      </c>
      <c r="L36" s="197">
        <v>24974.5</v>
      </c>
      <c r="M36" s="197">
        <v>27302.38</v>
      </c>
      <c r="N36" s="197">
        <v>28704.36</v>
      </c>
      <c r="O36" s="197">
        <v>30357.73</v>
      </c>
      <c r="P36" s="197">
        <v>31189.81</v>
      </c>
      <c r="Q36" s="197">
        <v>30626.080000000002</v>
      </c>
      <c r="R36" s="197">
        <v>30375.1</v>
      </c>
      <c r="S36" s="197">
        <v>30762.66</v>
      </c>
      <c r="T36" s="197">
        <v>30819.78</v>
      </c>
      <c r="U36" s="197">
        <v>31345.63</v>
      </c>
      <c r="V36" s="197">
        <v>36468.1</v>
      </c>
      <c r="W36" s="197">
        <v>39027.74</v>
      </c>
      <c r="X36" s="197">
        <v>39658.04</v>
      </c>
      <c r="Y36" s="197">
        <v>38387.49</v>
      </c>
      <c r="Z36" s="197">
        <v>36816.17</v>
      </c>
      <c r="AA36" s="197">
        <v>34892.93</v>
      </c>
      <c r="AB36" s="197">
        <v>32564.6</v>
      </c>
      <c r="AC36" s="210"/>
      <c r="AD36" s="18"/>
    </row>
    <row r="37" spans="2:30" ht="18.649999999999999" customHeight="1" x14ac:dyDescent="0.35">
      <c r="B37" s="267"/>
      <c r="C37" s="9" t="s">
        <v>31</v>
      </c>
      <c r="D37" s="10">
        <v>4</v>
      </c>
      <c r="E37" s="197">
        <v>26521.38</v>
      </c>
      <c r="F37" s="197">
        <v>25131.87</v>
      </c>
      <c r="G37" s="197">
        <v>23808.38</v>
      </c>
      <c r="H37" s="197">
        <v>23073.82</v>
      </c>
      <c r="I37" s="197">
        <v>22785.95</v>
      </c>
      <c r="J37" s="197">
        <v>22061.41</v>
      </c>
      <c r="K37" s="197">
        <v>21216.01</v>
      </c>
      <c r="L37" s="197">
        <v>20869.400000000001</v>
      </c>
      <c r="M37" s="197">
        <v>21514.11</v>
      </c>
      <c r="N37" s="197">
        <v>22276.880000000001</v>
      </c>
      <c r="O37" s="197">
        <v>23323.56</v>
      </c>
      <c r="P37" s="197">
        <v>24370.75</v>
      </c>
      <c r="Q37" s="197">
        <v>25374.89</v>
      </c>
      <c r="R37" s="197">
        <v>25984.33</v>
      </c>
      <c r="S37" s="197">
        <v>26668.71</v>
      </c>
      <c r="T37" s="197">
        <v>27690.19</v>
      </c>
      <c r="U37" s="197">
        <v>28538.61</v>
      </c>
      <c r="V37" s="197">
        <v>33262.949999999997</v>
      </c>
      <c r="W37" s="197">
        <v>37859.25</v>
      </c>
      <c r="X37" s="197">
        <v>40057.019999999997</v>
      </c>
      <c r="Y37" s="197">
        <v>39443.31</v>
      </c>
      <c r="Z37" s="197">
        <v>37804.49</v>
      </c>
      <c r="AA37" s="197">
        <v>34800.86</v>
      </c>
      <c r="AB37" s="197">
        <v>31787.98</v>
      </c>
      <c r="AC37" s="210"/>
      <c r="AD37" s="18"/>
    </row>
    <row r="38" spans="2:30" ht="18.649999999999999" customHeight="1" thickBot="1" x14ac:dyDescent="0.4">
      <c r="B38" s="268"/>
      <c r="C38" s="15" t="s">
        <v>32</v>
      </c>
      <c r="D38" s="16">
        <v>2</v>
      </c>
      <c r="E38" s="198">
        <v>26525.919999999998</v>
      </c>
      <c r="F38" s="198">
        <v>25136.45</v>
      </c>
      <c r="G38" s="198">
        <v>23824.65</v>
      </c>
      <c r="H38" s="198">
        <v>23079.67</v>
      </c>
      <c r="I38" s="198">
        <v>22769.4</v>
      </c>
      <c r="J38" s="198">
        <v>22021.11</v>
      </c>
      <c r="K38" s="198">
        <v>21158.14</v>
      </c>
      <c r="L38" s="198">
        <v>20768.14</v>
      </c>
      <c r="M38" s="198">
        <v>21394.49</v>
      </c>
      <c r="N38" s="198">
        <v>22143.54</v>
      </c>
      <c r="O38" s="198">
        <v>23144.35</v>
      </c>
      <c r="P38" s="198">
        <v>24173.16</v>
      </c>
      <c r="Q38" s="198">
        <v>25218.31</v>
      </c>
      <c r="R38" s="198">
        <v>25839.26</v>
      </c>
      <c r="S38" s="198">
        <v>26558.82</v>
      </c>
      <c r="T38" s="198">
        <v>27585.55</v>
      </c>
      <c r="U38" s="198">
        <v>28438.58</v>
      </c>
      <c r="V38" s="198">
        <v>33181.5</v>
      </c>
      <c r="W38" s="198">
        <v>37769.410000000003</v>
      </c>
      <c r="X38" s="198">
        <v>39936.839999999997</v>
      </c>
      <c r="Y38" s="198">
        <v>39361.42</v>
      </c>
      <c r="Z38" s="198">
        <v>37786.239999999998</v>
      </c>
      <c r="AA38" s="198">
        <v>34787.69</v>
      </c>
      <c r="AB38" s="198">
        <v>31781.02</v>
      </c>
      <c r="AC38" s="210"/>
      <c r="AD38" s="18"/>
    </row>
    <row r="39" spans="2:30" ht="18.649999999999999" customHeight="1" x14ac:dyDescent="0.35">
      <c r="B39" s="207">
        <v>48427</v>
      </c>
      <c r="C39" s="6" t="s">
        <v>29</v>
      </c>
      <c r="D39" s="7">
        <v>21</v>
      </c>
      <c r="E39" s="196">
        <v>29007.21</v>
      </c>
      <c r="F39" s="196">
        <v>27152.12</v>
      </c>
      <c r="G39" s="196">
        <v>25813.439999999999</v>
      </c>
      <c r="H39" s="196">
        <v>24888.33</v>
      </c>
      <c r="I39" s="196">
        <v>24683.24</v>
      </c>
      <c r="J39" s="196">
        <v>25304.63</v>
      </c>
      <c r="K39" s="196">
        <v>25234.73</v>
      </c>
      <c r="L39" s="196">
        <v>26648.57</v>
      </c>
      <c r="M39" s="196">
        <v>29044.560000000001</v>
      </c>
      <c r="N39" s="196">
        <v>30133.58</v>
      </c>
      <c r="O39" s="196">
        <v>32042.15</v>
      </c>
      <c r="P39" s="196">
        <v>33970.910000000003</v>
      </c>
      <c r="Q39" s="196">
        <v>32410.05</v>
      </c>
      <c r="R39" s="196">
        <v>33932.69</v>
      </c>
      <c r="S39" s="196">
        <v>36892.58</v>
      </c>
      <c r="T39" s="196">
        <v>37545.19</v>
      </c>
      <c r="U39" s="196">
        <v>37575.07</v>
      </c>
      <c r="V39" s="196">
        <v>40732.800000000003</v>
      </c>
      <c r="W39" s="196">
        <v>43819.47</v>
      </c>
      <c r="X39" s="196">
        <v>44574.98</v>
      </c>
      <c r="Y39" s="196">
        <v>43530.52</v>
      </c>
      <c r="Z39" s="196">
        <v>41401.089999999997</v>
      </c>
      <c r="AA39" s="196">
        <v>38053.71</v>
      </c>
      <c r="AB39" s="196">
        <v>34823.26</v>
      </c>
      <c r="AC39" s="209">
        <f>SUM(E39:AB39)*D39+SUM(E40:AB40)*D40+SUM(E41:AB41)*D41+SUM(E42:AB42)*D42</f>
        <v>23872912.690000001</v>
      </c>
      <c r="AD39" s="18"/>
    </row>
    <row r="40" spans="2:30" ht="18.649999999999999" customHeight="1" x14ac:dyDescent="0.35">
      <c r="B40" s="267" t="s">
        <v>34</v>
      </c>
      <c r="C40" s="9" t="s">
        <v>30</v>
      </c>
      <c r="D40" s="10">
        <v>3</v>
      </c>
      <c r="E40" s="197">
        <v>29184.07</v>
      </c>
      <c r="F40" s="197">
        <v>27503.63</v>
      </c>
      <c r="G40" s="197">
        <v>26236.45</v>
      </c>
      <c r="H40" s="197">
        <v>25244.47</v>
      </c>
      <c r="I40" s="197">
        <v>24463.91</v>
      </c>
      <c r="J40" s="197">
        <v>23999.58</v>
      </c>
      <c r="K40" s="197">
        <v>23634.75</v>
      </c>
      <c r="L40" s="197">
        <v>24629.18</v>
      </c>
      <c r="M40" s="197">
        <v>26607.78</v>
      </c>
      <c r="N40" s="197">
        <v>27979.41</v>
      </c>
      <c r="O40" s="197">
        <v>29334.32</v>
      </c>
      <c r="P40" s="197">
        <v>29617.16</v>
      </c>
      <c r="Q40" s="197">
        <v>29054.85</v>
      </c>
      <c r="R40" s="197">
        <v>28939.54</v>
      </c>
      <c r="S40" s="197">
        <v>29948.49</v>
      </c>
      <c r="T40" s="197">
        <v>30732.2</v>
      </c>
      <c r="U40" s="197">
        <v>31290.16</v>
      </c>
      <c r="V40" s="197">
        <v>36295.120000000003</v>
      </c>
      <c r="W40" s="197">
        <v>40795.47</v>
      </c>
      <c r="X40" s="197">
        <v>40991.94</v>
      </c>
      <c r="Y40" s="197">
        <v>39514.43</v>
      </c>
      <c r="Z40" s="197">
        <v>37868.01</v>
      </c>
      <c r="AA40" s="197">
        <v>35604.050000000003</v>
      </c>
      <c r="AB40" s="197">
        <v>33117.480000000003</v>
      </c>
      <c r="AC40" s="210"/>
      <c r="AD40" s="18"/>
    </row>
    <row r="41" spans="2:30" ht="18.649999999999999" customHeight="1" x14ac:dyDescent="0.35">
      <c r="B41" s="267" t="s">
        <v>34</v>
      </c>
      <c r="C41" s="9" t="s">
        <v>31</v>
      </c>
      <c r="D41" s="10">
        <v>5</v>
      </c>
      <c r="E41" s="197">
        <v>28341.03</v>
      </c>
      <c r="F41" s="197">
        <v>26920.75</v>
      </c>
      <c r="G41" s="197">
        <v>25457.69</v>
      </c>
      <c r="H41" s="197">
        <v>24652.42</v>
      </c>
      <c r="I41" s="197">
        <v>24171.67</v>
      </c>
      <c r="J41" s="197">
        <v>23716.1</v>
      </c>
      <c r="K41" s="197">
        <v>22755.67</v>
      </c>
      <c r="L41" s="197">
        <v>22465.64</v>
      </c>
      <c r="M41" s="197">
        <v>23036.93</v>
      </c>
      <c r="N41" s="197">
        <v>23777.64</v>
      </c>
      <c r="O41" s="197">
        <v>24725.61</v>
      </c>
      <c r="P41" s="197">
        <v>25681.52</v>
      </c>
      <c r="Q41" s="197">
        <v>26362.93</v>
      </c>
      <c r="R41" s="197">
        <v>26803.11</v>
      </c>
      <c r="S41" s="197">
        <v>27466.86</v>
      </c>
      <c r="T41" s="197">
        <v>28233.23</v>
      </c>
      <c r="U41" s="197">
        <v>29108.880000000001</v>
      </c>
      <c r="V41" s="197">
        <v>34191.99</v>
      </c>
      <c r="W41" s="197">
        <v>39201.71</v>
      </c>
      <c r="X41" s="197">
        <v>41058.449999999997</v>
      </c>
      <c r="Y41" s="197">
        <v>40957.440000000002</v>
      </c>
      <c r="Z41" s="197">
        <v>39738</v>
      </c>
      <c r="AA41" s="197">
        <v>36905.620000000003</v>
      </c>
      <c r="AB41" s="197">
        <v>33699.21</v>
      </c>
      <c r="AC41" s="210"/>
      <c r="AD41" s="18"/>
    </row>
    <row r="42" spans="2:30" ht="18.649999999999999" customHeight="1" thickBot="1" x14ac:dyDescent="0.4">
      <c r="B42" s="268" t="s">
        <v>34</v>
      </c>
      <c r="C42" s="11" t="s">
        <v>32</v>
      </c>
      <c r="D42" s="12">
        <v>2</v>
      </c>
      <c r="E42" s="201">
        <v>28543.1</v>
      </c>
      <c r="F42" s="201">
        <v>27037.48</v>
      </c>
      <c r="G42" s="201">
        <v>25571.49</v>
      </c>
      <c r="H42" s="201">
        <v>24745.5</v>
      </c>
      <c r="I42" s="201">
        <v>24252.09</v>
      </c>
      <c r="J42" s="201">
        <v>23784</v>
      </c>
      <c r="K42" s="201">
        <v>22783.58</v>
      </c>
      <c r="L42" s="201">
        <v>22458.37</v>
      </c>
      <c r="M42" s="201">
        <v>22976.92</v>
      </c>
      <c r="N42" s="201">
        <v>23627.93</v>
      </c>
      <c r="O42" s="201">
        <v>24575.06</v>
      </c>
      <c r="P42" s="201">
        <v>25486.38</v>
      </c>
      <c r="Q42" s="201">
        <v>26178.959999999999</v>
      </c>
      <c r="R42" s="201">
        <v>26610.1</v>
      </c>
      <c r="S42" s="201">
        <v>27266.93</v>
      </c>
      <c r="T42" s="201">
        <v>28027.71</v>
      </c>
      <c r="U42" s="201">
        <v>28903</v>
      </c>
      <c r="V42" s="201">
        <v>34060.85</v>
      </c>
      <c r="W42" s="201">
        <v>39078.61</v>
      </c>
      <c r="X42" s="201">
        <v>40834.589999999997</v>
      </c>
      <c r="Y42" s="201">
        <v>40714.800000000003</v>
      </c>
      <c r="Z42" s="201">
        <v>39507.269999999997</v>
      </c>
      <c r="AA42" s="201">
        <v>36685.58</v>
      </c>
      <c r="AB42" s="201">
        <v>33534.879999999997</v>
      </c>
      <c r="AC42" s="214"/>
      <c r="AD42" s="18"/>
    </row>
    <row r="43" spans="2:30" ht="18.649999999999999" customHeight="1" x14ac:dyDescent="0.35">
      <c r="B43" s="207">
        <v>48458</v>
      </c>
      <c r="C43" s="13" t="s">
        <v>29</v>
      </c>
      <c r="D43" s="14">
        <v>22</v>
      </c>
      <c r="E43" s="200">
        <v>28586.66</v>
      </c>
      <c r="F43" s="200">
        <v>26830.01</v>
      </c>
      <c r="G43" s="200">
        <v>25502.81</v>
      </c>
      <c r="H43" s="200">
        <v>24492.04</v>
      </c>
      <c r="I43" s="200">
        <v>24251.91</v>
      </c>
      <c r="J43" s="200">
        <v>24863.43</v>
      </c>
      <c r="K43" s="200">
        <v>24736.639999999999</v>
      </c>
      <c r="L43" s="200">
        <v>26315.65</v>
      </c>
      <c r="M43" s="200">
        <v>28965.06</v>
      </c>
      <c r="N43" s="200">
        <v>30144.76</v>
      </c>
      <c r="O43" s="200">
        <v>31689.64</v>
      </c>
      <c r="P43" s="200">
        <v>33383.25</v>
      </c>
      <c r="Q43" s="200">
        <v>32111.72</v>
      </c>
      <c r="R43" s="200">
        <v>33418.230000000003</v>
      </c>
      <c r="S43" s="200">
        <v>36114.78</v>
      </c>
      <c r="T43" s="200">
        <v>36789.93</v>
      </c>
      <c r="U43" s="200">
        <v>36924.629999999997</v>
      </c>
      <c r="V43" s="200">
        <v>40419.300000000003</v>
      </c>
      <c r="W43" s="200">
        <v>43512.53</v>
      </c>
      <c r="X43" s="200">
        <v>43167.27</v>
      </c>
      <c r="Y43" s="200">
        <v>42019.199999999997</v>
      </c>
      <c r="Z43" s="200">
        <v>39836.879999999997</v>
      </c>
      <c r="AA43" s="200">
        <v>36440.559999999998</v>
      </c>
      <c r="AB43" s="200">
        <v>33330.800000000003</v>
      </c>
      <c r="AC43" s="210">
        <f>SUM(E43:AB43)*D43+SUM(E44:AB44)*D44+SUM(E45:AB45)*D45+SUM(E46:AB46)*D46</f>
        <v>22858419.66</v>
      </c>
      <c r="AD43" s="18"/>
    </row>
    <row r="44" spans="2:30" ht="18.649999999999999" customHeight="1" x14ac:dyDescent="0.35">
      <c r="B44" s="267"/>
      <c r="C44" s="9" t="s">
        <v>30</v>
      </c>
      <c r="D44" s="10">
        <v>4</v>
      </c>
      <c r="E44" s="197">
        <v>26995.75</v>
      </c>
      <c r="F44" s="197">
        <v>25414.19</v>
      </c>
      <c r="G44" s="197">
        <v>24190.78</v>
      </c>
      <c r="H44" s="197">
        <v>23295.37</v>
      </c>
      <c r="I44" s="197">
        <v>22971.57</v>
      </c>
      <c r="J44" s="197">
        <v>22683.43</v>
      </c>
      <c r="K44" s="197">
        <v>22562.53</v>
      </c>
      <c r="L44" s="197">
        <v>23864.61</v>
      </c>
      <c r="M44" s="197">
        <v>26210.39</v>
      </c>
      <c r="N44" s="197">
        <v>27125.11</v>
      </c>
      <c r="O44" s="197">
        <v>28878.97</v>
      </c>
      <c r="P44" s="197">
        <v>29615.43</v>
      </c>
      <c r="Q44" s="197">
        <v>29421.58</v>
      </c>
      <c r="R44" s="197">
        <v>29202.97</v>
      </c>
      <c r="S44" s="197">
        <v>29912.16</v>
      </c>
      <c r="T44" s="197">
        <v>30301.83</v>
      </c>
      <c r="U44" s="197">
        <v>30745.67</v>
      </c>
      <c r="V44" s="197">
        <v>36511.4</v>
      </c>
      <c r="W44" s="197">
        <v>41118.559999999998</v>
      </c>
      <c r="X44" s="197">
        <v>40811.230000000003</v>
      </c>
      <c r="Y44" s="197">
        <v>39582</v>
      </c>
      <c r="Z44" s="197">
        <v>38000.17</v>
      </c>
      <c r="AA44" s="197">
        <v>36275.39</v>
      </c>
      <c r="AB44" s="197">
        <v>33784.86</v>
      </c>
      <c r="AC44" s="210"/>
      <c r="AD44" s="18"/>
    </row>
    <row r="45" spans="2:30" ht="18.649999999999999" customHeight="1" x14ac:dyDescent="0.35">
      <c r="B45" s="267"/>
      <c r="C45" s="9" t="s">
        <v>31</v>
      </c>
      <c r="D45" s="10">
        <v>4</v>
      </c>
      <c r="E45" s="197">
        <v>28442.62</v>
      </c>
      <c r="F45" s="197">
        <v>26787.11</v>
      </c>
      <c r="G45" s="197">
        <v>25258.25</v>
      </c>
      <c r="H45" s="197">
        <v>24224.9</v>
      </c>
      <c r="I45" s="197">
        <v>23756.62</v>
      </c>
      <c r="J45" s="197">
        <v>22880.99</v>
      </c>
      <c r="K45" s="197">
        <v>21740.35</v>
      </c>
      <c r="L45" s="197">
        <v>21729.58</v>
      </c>
      <c r="M45" s="197">
        <v>22441.279999999999</v>
      </c>
      <c r="N45" s="197">
        <v>23651.06</v>
      </c>
      <c r="O45" s="197">
        <v>24757.68</v>
      </c>
      <c r="P45" s="197">
        <v>25187.77</v>
      </c>
      <c r="Q45" s="197">
        <v>26038.05</v>
      </c>
      <c r="R45" s="197">
        <v>26403.83</v>
      </c>
      <c r="S45" s="197">
        <v>26787.88</v>
      </c>
      <c r="T45" s="197">
        <v>27786.53</v>
      </c>
      <c r="U45" s="197">
        <v>28564.01</v>
      </c>
      <c r="V45" s="197">
        <v>34139.19</v>
      </c>
      <c r="W45" s="197">
        <v>38968</v>
      </c>
      <c r="X45" s="197">
        <v>39573.78</v>
      </c>
      <c r="Y45" s="197">
        <v>39266.25</v>
      </c>
      <c r="Z45" s="197">
        <v>37978.379999999997</v>
      </c>
      <c r="AA45" s="197">
        <v>35290.089999999997</v>
      </c>
      <c r="AB45" s="197">
        <v>32312.47</v>
      </c>
      <c r="AC45" s="210"/>
      <c r="AD45" s="18"/>
    </row>
    <row r="46" spans="2:30" ht="18.649999999999999" customHeight="1" thickBot="1" x14ac:dyDescent="0.4">
      <c r="B46" s="268"/>
      <c r="C46" s="15" t="s">
        <v>32</v>
      </c>
      <c r="D46" s="16">
        <v>0</v>
      </c>
      <c r="E46" s="199">
        <v>0</v>
      </c>
      <c r="F46" s="199">
        <v>0</v>
      </c>
      <c r="G46" s="199">
        <v>0</v>
      </c>
      <c r="H46" s="199">
        <v>0</v>
      </c>
      <c r="I46" s="199">
        <v>0</v>
      </c>
      <c r="J46" s="199">
        <v>0</v>
      </c>
      <c r="K46" s="199">
        <v>0</v>
      </c>
      <c r="L46" s="199">
        <v>0</v>
      </c>
      <c r="M46" s="199">
        <v>0</v>
      </c>
      <c r="N46" s="199">
        <v>0</v>
      </c>
      <c r="O46" s="199">
        <v>0</v>
      </c>
      <c r="P46" s="199">
        <v>0</v>
      </c>
      <c r="Q46" s="199">
        <v>0</v>
      </c>
      <c r="R46" s="199">
        <v>0</v>
      </c>
      <c r="S46" s="199">
        <v>0</v>
      </c>
      <c r="T46" s="199">
        <v>0</v>
      </c>
      <c r="U46" s="199">
        <v>0</v>
      </c>
      <c r="V46" s="199">
        <v>0</v>
      </c>
      <c r="W46" s="199">
        <v>0</v>
      </c>
      <c r="X46" s="199">
        <v>0</v>
      </c>
      <c r="Y46" s="199">
        <v>0</v>
      </c>
      <c r="Z46" s="199">
        <v>0</v>
      </c>
      <c r="AA46" s="199">
        <v>0</v>
      </c>
      <c r="AB46" s="199">
        <v>0</v>
      </c>
      <c r="AC46" s="210"/>
      <c r="AD46" s="18"/>
    </row>
    <row r="47" spans="2:30" ht="18.649999999999999" customHeight="1" x14ac:dyDescent="0.35">
      <c r="B47" s="207">
        <v>48488</v>
      </c>
      <c r="C47" s="6" t="s">
        <v>29</v>
      </c>
      <c r="D47" s="7">
        <v>20</v>
      </c>
      <c r="E47" s="196">
        <v>27491.22</v>
      </c>
      <c r="F47" s="196">
        <v>25822.51</v>
      </c>
      <c r="G47" s="196">
        <v>24555.27</v>
      </c>
      <c r="H47" s="196">
        <v>23581.02</v>
      </c>
      <c r="I47" s="196">
        <v>23497.39</v>
      </c>
      <c r="J47" s="196">
        <v>24032.799999999999</v>
      </c>
      <c r="K47" s="196">
        <v>24275.42</v>
      </c>
      <c r="L47" s="196">
        <v>25851.01</v>
      </c>
      <c r="M47" s="196">
        <v>28289.27</v>
      </c>
      <c r="N47" s="196">
        <v>29433.46</v>
      </c>
      <c r="O47" s="196">
        <v>30895.3</v>
      </c>
      <c r="P47" s="196">
        <v>32411.82</v>
      </c>
      <c r="Q47" s="196">
        <v>30759.7</v>
      </c>
      <c r="R47" s="196">
        <v>31953.97</v>
      </c>
      <c r="S47" s="196">
        <v>34579.379999999997</v>
      </c>
      <c r="T47" s="196">
        <v>35623.85</v>
      </c>
      <c r="U47" s="196">
        <v>36212.980000000003</v>
      </c>
      <c r="V47" s="196">
        <v>40775.370000000003</v>
      </c>
      <c r="W47" s="196">
        <v>43719.99</v>
      </c>
      <c r="X47" s="196">
        <v>42778.44</v>
      </c>
      <c r="Y47" s="196">
        <v>41371.53</v>
      </c>
      <c r="Z47" s="196">
        <v>39172.129999999997</v>
      </c>
      <c r="AA47" s="196">
        <v>35845.46</v>
      </c>
      <c r="AB47" s="196">
        <v>32553.26</v>
      </c>
      <c r="AC47" s="209">
        <f>SUM(E47:AB47)*D47+SUM(E48:AB48)*D48+SUM(E49:AB49)*D49+SUM(E50:AB50)*D50</f>
        <v>23065744</v>
      </c>
      <c r="AD47" s="18"/>
    </row>
    <row r="48" spans="2:30" ht="18.649999999999999" customHeight="1" x14ac:dyDescent="0.35">
      <c r="B48" s="267" t="s">
        <v>34</v>
      </c>
      <c r="C48" s="9" t="s">
        <v>30</v>
      </c>
      <c r="D48" s="10">
        <v>5</v>
      </c>
      <c r="E48" s="197">
        <v>27809.56</v>
      </c>
      <c r="F48" s="197">
        <v>25989.18</v>
      </c>
      <c r="G48" s="197">
        <v>24459.87</v>
      </c>
      <c r="H48" s="197">
        <v>23523.919999999998</v>
      </c>
      <c r="I48" s="197">
        <v>23425.919999999998</v>
      </c>
      <c r="J48" s="197">
        <v>23107.01</v>
      </c>
      <c r="K48" s="197">
        <v>23236.7</v>
      </c>
      <c r="L48" s="197">
        <v>24191.86</v>
      </c>
      <c r="M48" s="197">
        <v>26515.03</v>
      </c>
      <c r="N48" s="197">
        <v>27756.67</v>
      </c>
      <c r="O48" s="197">
        <v>29408.7</v>
      </c>
      <c r="P48" s="197">
        <v>30214.240000000002</v>
      </c>
      <c r="Q48" s="197">
        <v>29626.54</v>
      </c>
      <c r="R48" s="197">
        <v>29503.66</v>
      </c>
      <c r="S48" s="197">
        <v>30433.47</v>
      </c>
      <c r="T48" s="197">
        <v>31543.26</v>
      </c>
      <c r="U48" s="197">
        <v>32306.92</v>
      </c>
      <c r="V48" s="197">
        <v>38150.29</v>
      </c>
      <c r="W48" s="197">
        <v>42035.97</v>
      </c>
      <c r="X48" s="197">
        <v>41239.25</v>
      </c>
      <c r="Y48" s="197">
        <v>39670.160000000003</v>
      </c>
      <c r="Z48" s="197">
        <v>37735.18</v>
      </c>
      <c r="AA48" s="197">
        <v>35443.949999999997</v>
      </c>
      <c r="AB48" s="197">
        <v>32851.129999999997</v>
      </c>
      <c r="AC48" s="210"/>
      <c r="AD48" s="18"/>
    </row>
    <row r="49" spans="2:50" ht="18.649999999999999" customHeight="1" x14ac:dyDescent="0.35">
      <c r="B49" s="267" t="s">
        <v>34</v>
      </c>
      <c r="C49" s="9" t="s">
        <v>31</v>
      </c>
      <c r="D49" s="10">
        <v>5</v>
      </c>
      <c r="E49" s="197">
        <v>27801.439999999999</v>
      </c>
      <c r="F49" s="197">
        <v>26088.639999999999</v>
      </c>
      <c r="G49" s="197">
        <v>24695.360000000001</v>
      </c>
      <c r="H49" s="197">
        <v>23866.63</v>
      </c>
      <c r="I49" s="197">
        <v>23400.39</v>
      </c>
      <c r="J49" s="197">
        <v>22754.959999999999</v>
      </c>
      <c r="K49" s="197">
        <v>21491.32</v>
      </c>
      <c r="L49" s="197">
        <v>21447.4</v>
      </c>
      <c r="M49" s="197">
        <v>22203.94</v>
      </c>
      <c r="N49" s="197">
        <v>22938.76</v>
      </c>
      <c r="O49" s="197">
        <v>24093.040000000001</v>
      </c>
      <c r="P49" s="197">
        <v>25243.56</v>
      </c>
      <c r="Q49" s="197">
        <v>26038.09</v>
      </c>
      <c r="R49" s="197">
        <v>26523.43</v>
      </c>
      <c r="S49" s="197">
        <v>27308.17</v>
      </c>
      <c r="T49" s="197">
        <v>27808.76</v>
      </c>
      <c r="U49" s="197">
        <v>29115.64</v>
      </c>
      <c r="V49" s="197">
        <v>35078.25</v>
      </c>
      <c r="W49" s="197">
        <v>39884.550000000003</v>
      </c>
      <c r="X49" s="197">
        <v>40240.1</v>
      </c>
      <c r="Y49" s="197">
        <v>39812.49</v>
      </c>
      <c r="Z49" s="197">
        <v>38359.31</v>
      </c>
      <c r="AA49" s="197">
        <v>35461.480000000003</v>
      </c>
      <c r="AB49" s="197">
        <v>32493.69</v>
      </c>
      <c r="AC49" s="210"/>
      <c r="AD49" s="18"/>
    </row>
    <row r="50" spans="2:50" ht="18.649999999999999" customHeight="1" thickBot="1" x14ac:dyDescent="0.4">
      <c r="B50" s="268" t="s">
        <v>34</v>
      </c>
      <c r="C50" s="11" t="s">
        <v>32</v>
      </c>
      <c r="D50" s="12">
        <v>1</v>
      </c>
      <c r="E50" s="201">
        <v>27920.95</v>
      </c>
      <c r="F50" s="201">
        <v>26235.91</v>
      </c>
      <c r="G50" s="201">
        <v>24839.08</v>
      </c>
      <c r="H50" s="201">
        <v>23985.55</v>
      </c>
      <c r="I50" s="201">
        <v>23493.63</v>
      </c>
      <c r="J50" s="201">
        <v>22878.85</v>
      </c>
      <c r="K50" s="201">
        <v>21556</v>
      </c>
      <c r="L50" s="201">
        <v>21486.47</v>
      </c>
      <c r="M50" s="201">
        <v>22290.19</v>
      </c>
      <c r="N50" s="201">
        <v>23027.360000000001</v>
      </c>
      <c r="O50" s="201">
        <v>24137.15</v>
      </c>
      <c r="P50" s="201">
        <v>25259.66</v>
      </c>
      <c r="Q50" s="201">
        <v>26042.83</v>
      </c>
      <c r="R50" s="201">
        <v>26503.38</v>
      </c>
      <c r="S50" s="201">
        <v>27247.52</v>
      </c>
      <c r="T50" s="201">
        <v>27707.5</v>
      </c>
      <c r="U50" s="201">
        <v>29043.18</v>
      </c>
      <c r="V50" s="201">
        <v>34977.1</v>
      </c>
      <c r="W50" s="201">
        <v>39732.58</v>
      </c>
      <c r="X50" s="201">
        <v>40073.760000000002</v>
      </c>
      <c r="Y50" s="201">
        <v>39762.559999999998</v>
      </c>
      <c r="Z50" s="201">
        <v>38315.949999999997</v>
      </c>
      <c r="AA50" s="201">
        <v>35441.379999999997</v>
      </c>
      <c r="AB50" s="201">
        <v>32495.26</v>
      </c>
      <c r="AC50" s="214"/>
      <c r="AD50" s="18"/>
    </row>
    <row r="51" spans="2:50" ht="18.649999999999999" customHeight="1" x14ac:dyDescent="0.35">
      <c r="B51" s="207">
        <v>48519</v>
      </c>
      <c r="C51" s="13" t="s">
        <v>29</v>
      </c>
      <c r="D51" s="14">
        <v>20</v>
      </c>
      <c r="E51" s="200">
        <v>26302.27</v>
      </c>
      <c r="F51" s="200">
        <v>24690.87</v>
      </c>
      <c r="G51" s="200">
        <v>23477.43</v>
      </c>
      <c r="H51" s="200">
        <v>22620.720000000001</v>
      </c>
      <c r="I51" s="200">
        <v>22567.32</v>
      </c>
      <c r="J51" s="200">
        <v>23068.53</v>
      </c>
      <c r="K51" s="200">
        <v>23340.49</v>
      </c>
      <c r="L51" s="200">
        <v>25174.62</v>
      </c>
      <c r="M51" s="200">
        <v>27561.82</v>
      </c>
      <c r="N51" s="200">
        <v>28625.23</v>
      </c>
      <c r="O51" s="200">
        <v>29925.66</v>
      </c>
      <c r="P51" s="200">
        <v>30968.87</v>
      </c>
      <c r="Q51" s="200">
        <v>29511.83</v>
      </c>
      <c r="R51" s="200">
        <v>30512.71</v>
      </c>
      <c r="S51" s="200">
        <v>32709.49</v>
      </c>
      <c r="T51" s="200">
        <v>33747.9</v>
      </c>
      <c r="U51" s="200">
        <v>34350.32</v>
      </c>
      <c r="V51" s="200">
        <v>39254.129999999997</v>
      </c>
      <c r="W51" s="200">
        <v>41538.35</v>
      </c>
      <c r="X51" s="200">
        <v>40660.199999999997</v>
      </c>
      <c r="Y51" s="200">
        <v>39428.32</v>
      </c>
      <c r="Z51" s="200">
        <v>37433.449999999997</v>
      </c>
      <c r="AA51" s="200">
        <v>34411.58</v>
      </c>
      <c r="AB51" s="200">
        <v>31353.279999999999</v>
      </c>
      <c r="AC51" s="210">
        <f>SUM(E51:AB51)*D51+SUM(E52:AB52)*D52+SUM(E53:AB53)*D53+SUM(E54:AB54)*D54</f>
        <v>21325926.219999995</v>
      </c>
      <c r="AD51" s="18"/>
    </row>
    <row r="52" spans="2:50" ht="18.649999999999999" customHeight="1" x14ac:dyDescent="0.35">
      <c r="B52" s="267"/>
      <c r="C52" s="9" t="s">
        <v>30</v>
      </c>
      <c r="D52" s="10">
        <v>4</v>
      </c>
      <c r="E52" s="197">
        <v>25197.93</v>
      </c>
      <c r="F52" s="197">
        <v>23786.12</v>
      </c>
      <c r="G52" s="197">
        <v>22756.74</v>
      </c>
      <c r="H52" s="197">
        <v>22077</v>
      </c>
      <c r="I52" s="197">
        <v>21957.19</v>
      </c>
      <c r="J52" s="197">
        <v>21536.77</v>
      </c>
      <c r="K52" s="197">
        <v>21735.42</v>
      </c>
      <c r="L52" s="197">
        <v>23180.26</v>
      </c>
      <c r="M52" s="197">
        <v>25513.26</v>
      </c>
      <c r="N52" s="197">
        <v>26734.33</v>
      </c>
      <c r="O52" s="197">
        <v>28459.61</v>
      </c>
      <c r="P52" s="197">
        <v>29082.53</v>
      </c>
      <c r="Q52" s="197">
        <v>28603.26</v>
      </c>
      <c r="R52" s="197">
        <v>27994.21</v>
      </c>
      <c r="S52" s="197">
        <v>27959.63</v>
      </c>
      <c r="T52" s="197">
        <v>28930.55</v>
      </c>
      <c r="U52" s="197">
        <v>29902.54</v>
      </c>
      <c r="V52" s="197">
        <v>36252</v>
      </c>
      <c r="W52" s="197">
        <v>39571.47</v>
      </c>
      <c r="X52" s="197">
        <v>38961.040000000001</v>
      </c>
      <c r="Y52" s="197">
        <v>37701.94</v>
      </c>
      <c r="Z52" s="197">
        <v>36100.589999999997</v>
      </c>
      <c r="AA52" s="197">
        <v>34055.26</v>
      </c>
      <c r="AB52" s="197">
        <v>31541.439999999999</v>
      </c>
      <c r="AC52" s="210"/>
      <c r="AD52" s="18"/>
    </row>
    <row r="53" spans="2:50" ht="18.649999999999999" customHeight="1" x14ac:dyDescent="0.35">
      <c r="B53" s="267"/>
      <c r="C53" s="9" t="s">
        <v>31</v>
      </c>
      <c r="D53" s="10">
        <v>4</v>
      </c>
      <c r="E53" s="197">
        <v>26886.44</v>
      </c>
      <c r="F53" s="197">
        <v>25444.94</v>
      </c>
      <c r="G53" s="197">
        <v>24096.27</v>
      </c>
      <c r="H53" s="197">
        <v>23149.79</v>
      </c>
      <c r="I53" s="197">
        <v>22693.45</v>
      </c>
      <c r="J53" s="197">
        <v>22200.02</v>
      </c>
      <c r="K53" s="197">
        <v>21146.39</v>
      </c>
      <c r="L53" s="197">
        <v>21017.74</v>
      </c>
      <c r="M53" s="197">
        <v>21746.84</v>
      </c>
      <c r="N53" s="197">
        <v>22532.06</v>
      </c>
      <c r="O53" s="197">
        <v>23735.88</v>
      </c>
      <c r="P53" s="197">
        <v>24251.81</v>
      </c>
      <c r="Q53" s="197">
        <v>24886.63</v>
      </c>
      <c r="R53" s="197">
        <v>25152.19</v>
      </c>
      <c r="S53" s="197">
        <v>25447.37</v>
      </c>
      <c r="T53" s="197">
        <v>26168.66</v>
      </c>
      <c r="U53" s="197">
        <v>27194.66</v>
      </c>
      <c r="V53" s="197">
        <v>33695.97</v>
      </c>
      <c r="W53" s="197">
        <v>37106.89</v>
      </c>
      <c r="X53" s="197">
        <v>37173.31</v>
      </c>
      <c r="Y53" s="197">
        <v>36423.07</v>
      </c>
      <c r="Z53" s="197">
        <v>35130.730000000003</v>
      </c>
      <c r="AA53" s="197">
        <v>33023.42</v>
      </c>
      <c r="AB53" s="197">
        <v>30709.65</v>
      </c>
      <c r="AC53" s="210"/>
      <c r="AD53" s="18"/>
    </row>
    <row r="54" spans="2:50" ht="18.649999999999999" customHeight="1" thickBot="1" x14ac:dyDescent="0.4">
      <c r="B54" s="268"/>
      <c r="C54" s="15" t="s">
        <v>32</v>
      </c>
      <c r="D54" s="16">
        <v>2</v>
      </c>
      <c r="E54" s="198">
        <v>26901.75</v>
      </c>
      <c r="F54" s="198">
        <v>25456.21</v>
      </c>
      <c r="G54" s="198">
        <v>24107.91</v>
      </c>
      <c r="H54" s="198">
        <v>23158.94</v>
      </c>
      <c r="I54" s="198">
        <v>22705.16</v>
      </c>
      <c r="J54" s="198">
        <v>22210.91</v>
      </c>
      <c r="K54" s="198">
        <v>21127.23</v>
      </c>
      <c r="L54" s="198">
        <v>20968.060000000001</v>
      </c>
      <c r="M54" s="198">
        <v>21728.22</v>
      </c>
      <c r="N54" s="198">
        <v>22518.87</v>
      </c>
      <c r="O54" s="198">
        <v>23672.98</v>
      </c>
      <c r="P54" s="198">
        <v>24141.5</v>
      </c>
      <c r="Q54" s="198">
        <v>24793.919999999998</v>
      </c>
      <c r="R54" s="198">
        <v>25035.85</v>
      </c>
      <c r="S54" s="198">
        <v>25307.46</v>
      </c>
      <c r="T54" s="198">
        <v>26024.15</v>
      </c>
      <c r="U54" s="198">
        <v>27101.42</v>
      </c>
      <c r="V54" s="198">
        <v>33589.94</v>
      </c>
      <c r="W54" s="198">
        <v>36913.82</v>
      </c>
      <c r="X54" s="198">
        <v>36976.660000000003</v>
      </c>
      <c r="Y54" s="198">
        <v>36290.26</v>
      </c>
      <c r="Z54" s="198">
        <v>35050.99</v>
      </c>
      <c r="AA54" s="198">
        <v>32958.82</v>
      </c>
      <c r="AB54" s="198">
        <v>30657.64</v>
      </c>
      <c r="AC54" s="210"/>
      <c r="AD54" s="18"/>
    </row>
    <row r="55" spans="2:50" ht="18.649999999999999" customHeight="1" x14ac:dyDescent="0.35">
      <c r="B55" s="207">
        <v>48549</v>
      </c>
      <c r="C55" s="6" t="s">
        <v>29</v>
      </c>
      <c r="D55" s="7">
        <v>22</v>
      </c>
      <c r="E55" s="196">
        <v>29061.21</v>
      </c>
      <c r="F55" s="196">
        <v>27242.73</v>
      </c>
      <c r="G55" s="196">
        <v>25866.09</v>
      </c>
      <c r="H55" s="196">
        <v>25027.86</v>
      </c>
      <c r="I55" s="196">
        <v>24814.77</v>
      </c>
      <c r="J55" s="196">
        <v>25131.19</v>
      </c>
      <c r="K55" s="196">
        <v>25001.55</v>
      </c>
      <c r="L55" s="196">
        <v>26578.69</v>
      </c>
      <c r="M55" s="196">
        <v>28871.75</v>
      </c>
      <c r="N55" s="196">
        <v>30104.04</v>
      </c>
      <c r="O55" s="196">
        <v>31276.32</v>
      </c>
      <c r="P55" s="196">
        <v>32383.32</v>
      </c>
      <c r="Q55" s="196">
        <v>31415.4</v>
      </c>
      <c r="R55" s="196">
        <v>32002.33</v>
      </c>
      <c r="S55" s="196">
        <v>33849.360000000001</v>
      </c>
      <c r="T55" s="196">
        <v>34935.370000000003</v>
      </c>
      <c r="U55" s="196">
        <v>35864.47</v>
      </c>
      <c r="V55" s="196">
        <v>41088.74</v>
      </c>
      <c r="W55" s="196">
        <v>44781.7</v>
      </c>
      <c r="X55" s="196">
        <v>43948.99</v>
      </c>
      <c r="Y55" s="196">
        <v>42413.21</v>
      </c>
      <c r="Z55" s="196">
        <v>40038.879999999997</v>
      </c>
      <c r="AA55" s="196">
        <v>37079.800000000003</v>
      </c>
      <c r="AB55" s="196">
        <v>34250.29</v>
      </c>
      <c r="AC55" s="209">
        <f>SUM(E55:AB55)*D55+SUM(E56:AB56)*D56+SUM(E57:AB57)*D57+SUM(E58:AB58)*D58</f>
        <v>23824689.119999997</v>
      </c>
      <c r="AD55" s="18"/>
    </row>
    <row r="56" spans="2:50" ht="18.649999999999999" customHeight="1" x14ac:dyDescent="0.35">
      <c r="B56" s="267" t="s">
        <v>34</v>
      </c>
      <c r="C56" s="9" t="s">
        <v>30</v>
      </c>
      <c r="D56" s="10">
        <v>3</v>
      </c>
      <c r="E56" s="197">
        <v>29354.79</v>
      </c>
      <c r="F56" s="197">
        <v>27436.91</v>
      </c>
      <c r="G56" s="197">
        <v>26206.92</v>
      </c>
      <c r="H56" s="197">
        <v>25266.22</v>
      </c>
      <c r="I56" s="197">
        <v>24929.33</v>
      </c>
      <c r="J56" s="197">
        <v>24765.53</v>
      </c>
      <c r="K56" s="197">
        <v>24333.17</v>
      </c>
      <c r="L56" s="197">
        <v>25081.72</v>
      </c>
      <c r="M56" s="197">
        <v>27844.79</v>
      </c>
      <c r="N56" s="197">
        <v>29320.68</v>
      </c>
      <c r="O56" s="197">
        <v>30728.06</v>
      </c>
      <c r="P56" s="197">
        <v>31732.33</v>
      </c>
      <c r="Q56" s="197">
        <v>31149.14</v>
      </c>
      <c r="R56" s="197">
        <v>31165.81</v>
      </c>
      <c r="S56" s="197">
        <v>31179.13</v>
      </c>
      <c r="T56" s="197">
        <v>32207.83</v>
      </c>
      <c r="U56" s="197">
        <v>33356.639999999999</v>
      </c>
      <c r="V56" s="197">
        <v>39070.519999999997</v>
      </c>
      <c r="W56" s="197">
        <v>43689.04</v>
      </c>
      <c r="X56" s="197">
        <v>42984.38</v>
      </c>
      <c r="Y56" s="197">
        <v>41426.550000000003</v>
      </c>
      <c r="Z56" s="197">
        <v>39888.03</v>
      </c>
      <c r="AA56" s="197">
        <v>37411.199999999997</v>
      </c>
      <c r="AB56" s="197">
        <v>34781.279999999999</v>
      </c>
      <c r="AC56" s="210"/>
      <c r="AD56" s="18"/>
    </row>
    <row r="57" spans="2:50" ht="18.649999999999999" customHeight="1" x14ac:dyDescent="0.35">
      <c r="B57" s="267" t="s">
        <v>34</v>
      </c>
      <c r="C57" s="9" t="s">
        <v>31</v>
      </c>
      <c r="D57" s="10">
        <v>4</v>
      </c>
      <c r="E57" s="197">
        <v>29933.14</v>
      </c>
      <c r="F57" s="197">
        <v>28271.35</v>
      </c>
      <c r="G57" s="197">
        <v>26899.56</v>
      </c>
      <c r="H57" s="197">
        <v>25915.68</v>
      </c>
      <c r="I57" s="197">
        <v>25438.400000000001</v>
      </c>
      <c r="J57" s="197">
        <v>25094.54</v>
      </c>
      <c r="K57" s="197">
        <v>23469.759999999998</v>
      </c>
      <c r="L57" s="197">
        <v>23045.360000000001</v>
      </c>
      <c r="M57" s="197">
        <v>24027.61</v>
      </c>
      <c r="N57" s="197">
        <v>25090.36</v>
      </c>
      <c r="O57" s="197">
        <v>25646.65</v>
      </c>
      <c r="P57" s="197">
        <v>26510.78</v>
      </c>
      <c r="Q57" s="197">
        <v>27283.17</v>
      </c>
      <c r="R57" s="197">
        <v>28143.19</v>
      </c>
      <c r="S57" s="197">
        <v>27078.75</v>
      </c>
      <c r="T57" s="197">
        <v>28933.78</v>
      </c>
      <c r="U57" s="197">
        <v>30383.87</v>
      </c>
      <c r="V57" s="197">
        <v>36257.339999999997</v>
      </c>
      <c r="W57" s="197">
        <v>40979.85</v>
      </c>
      <c r="X57" s="197">
        <v>40450.080000000002</v>
      </c>
      <c r="Y57" s="197">
        <v>39335.71</v>
      </c>
      <c r="Z57" s="197">
        <v>38072.089999999997</v>
      </c>
      <c r="AA57" s="197">
        <v>35908.82</v>
      </c>
      <c r="AB57" s="197">
        <v>33830.89</v>
      </c>
      <c r="AC57" s="210"/>
      <c r="AD57" s="18"/>
    </row>
    <row r="58" spans="2:50" ht="18.649999999999999" customHeight="1" thickBot="1" x14ac:dyDescent="0.4">
      <c r="B58" s="268" t="s">
        <v>34</v>
      </c>
      <c r="C58" s="11" t="s">
        <v>32</v>
      </c>
      <c r="D58" s="12">
        <v>2</v>
      </c>
      <c r="E58" s="201">
        <v>29863.29</v>
      </c>
      <c r="F58" s="201">
        <v>28182.48</v>
      </c>
      <c r="G58" s="201">
        <v>26815.919999999998</v>
      </c>
      <c r="H58" s="201">
        <v>25857.3</v>
      </c>
      <c r="I58" s="201">
        <v>25416.55</v>
      </c>
      <c r="J58" s="201">
        <v>25135.51</v>
      </c>
      <c r="K58" s="201">
        <v>23579.54</v>
      </c>
      <c r="L58" s="201">
        <v>23219.35</v>
      </c>
      <c r="M58" s="201">
        <v>24293.54</v>
      </c>
      <c r="N58" s="201">
        <v>25393.16</v>
      </c>
      <c r="O58" s="201">
        <v>26017.79</v>
      </c>
      <c r="P58" s="201">
        <v>26853.9</v>
      </c>
      <c r="Q58" s="201">
        <v>27568.21</v>
      </c>
      <c r="R58" s="201">
        <v>28359.13</v>
      </c>
      <c r="S58" s="201">
        <v>27283.25</v>
      </c>
      <c r="T58" s="201">
        <v>29128.17</v>
      </c>
      <c r="U58" s="201">
        <v>30540.61</v>
      </c>
      <c r="V58" s="201">
        <v>36445.9</v>
      </c>
      <c r="W58" s="201">
        <v>41128.550000000003</v>
      </c>
      <c r="X58" s="201">
        <v>40554.620000000003</v>
      </c>
      <c r="Y58" s="201">
        <v>39442.39</v>
      </c>
      <c r="Z58" s="201">
        <v>38145.839999999997</v>
      </c>
      <c r="AA58" s="201">
        <v>35982.46</v>
      </c>
      <c r="AB58" s="201">
        <v>33861.980000000003</v>
      </c>
      <c r="AC58" s="214"/>
      <c r="AD58" s="18"/>
    </row>
    <row r="59" spans="2:50" ht="18.649999999999999" customHeight="1" thickBot="1" x14ac:dyDescent="0.4"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215" t="s">
        <v>33</v>
      </c>
      <c r="AA59" s="216"/>
      <c r="AB59" s="217"/>
      <c r="AC59" s="135">
        <f>SUM(AC11:AC58)</f>
        <v>285379370.60000002</v>
      </c>
      <c r="AD59" s="17"/>
      <c r="AE59" s="18"/>
    </row>
    <row r="60" spans="2:50" ht="18.649999999999999" customHeight="1" x14ac:dyDescent="0.35">
      <c r="B60" s="207">
        <v>48580</v>
      </c>
      <c r="C60" s="6" t="s">
        <v>29</v>
      </c>
      <c r="D60" s="46">
        <v>20</v>
      </c>
      <c r="E60" s="196">
        <v>29626.17</v>
      </c>
      <c r="F60" s="196">
        <v>27922.25</v>
      </c>
      <c r="G60" s="196">
        <v>26608.91</v>
      </c>
      <c r="H60" s="196">
        <v>25643.58</v>
      </c>
      <c r="I60" s="196">
        <v>25418.240000000002</v>
      </c>
      <c r="J60" s="196">
        <v>25889.38</v>
      </c>
      <c r="K60" s="196">
        <v>25336.26</v>
      </c>
      <c r="L60" s="196">
        <v>26760.22</v>
      </c>
      <c r="M60" s="196">
        <v>29184.54</v>
      </c>
      <c r="N60" s="196">
        <v>30405.39</v>
      </c>
      <c r="O60" s="196">
        <v>32074.59</v>
      </c>
      <c r="P60" s="196">
        <v>33653.949999999997</v>
      </c>
      <c r="Q60" s="196">
        <v>32539.18</v>
      </c>
      <c r="R60" s="196">
        <v>33925.449999999997</v>
      </c>
      <c r="S60" s="196">
        <v>36160.74</v>
      </c>
      <c r="T60" s="196">
        <v>36749.699999999997</v>
      </c>
      <c r="U60" s="196">
        <v>36906.53</v>
      </c>
      <c r="V60" s="196">
        <v>40153.81</v>
      </c>
      <c r="W60" s="196">
        <v>43534.57</v>
      </c>
      <c r="X60" s="196">
        <v>43738.57</v>
      </c>
      <c r="Y60" s="196">
        <v>42712.56</v>
      </c>
      <c r="Z60" s="196">
        <v>40850.6</v>
      </c>
      <c r="AA60" s="196">
        <v>37940.6</v>
      </c>
      <c r="AB60" s="196">
        <v>34899.550000000003</v>
      </c>
      <c r="AC60" s="209">
        <f>SUM(E60:AB60)*D60+SUM(E61:AB61)*D61+SUM(E62:AB62)*D62+SUM(E63:AB63)*D63</f>
        <v>23800303.260000002</v>
      </c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</row>
    <row r="61" spans="2:50" ht="18.649999999999999" customHeight="1" x14ac:dyDescent="0.35">
      <c r="B61" s="267"/>
      <c r="C61" s="9" t="s">
        <v>30</v>
      </c>
      <c r="D61" s="10">
        <v>4</v>
      </c>
      <c r="E61" s="197">
        <v>29298.7</v>
      </c>
      <c r="F61" s="197">
        <v>27746.91</v>
      </c>
      <c r="G61" s="197">
        <v>26474.82</v>
      </c>
      <c r="H61" s="197">
        <v>25495.45</v>
      </c>
      <c r="I61" s="197">
        <v>25149.200000000001</v>
      </c>
      <c r="J61" s="197">
        <v>24897.84</v>
      </c>
      <c r="K61" s="197">
        <v>23852.63</v>
      </c>
      <c r="L61" s="197">
        <v>24678.880000000001</v>
      </c>
      <c r="M61" s="197">
        <v>26821.35</v>
      </c>
      <c r="N61" s="197">
        <v>28483.11</v>
      </c>
      <c r="O61" s="197">
        <v>29850.65</v>
      </c>
      <c r="P61" s="197">
        <v>30613.19</v>
      </c>
      <c r="Q61" s="197">
        <v>30306.59</v>
      </c>
      <c r="R61" s="197">
        <v>29542.86</v>
      </c>
      <c r="S61" s="197">
        <v>30023.35</v>
      </c>
      <c r="T61" s="197">
        <v>30595.71</v>
      </c>
      <c r="U61" s="197">
        <v>31176.6</v>
      </c>
      <c r="V61" s="197">
        <v>36334.86</v>
      </c>
      <c r="W61" s="197">
        <v>40983.25</v>
      </c>
      <c r="X61" s="197">
        <v>41237.08</v>
      </c>
      <c r="Y61" s="197">
        <v>40096.620000000003</v>
      </c>
      <c r="Z61" s="197">
        <v>38530.839999999997</v>
      </c>
      <c r="AA61" s="197">
        <v>36478.46</v>
      </c>
      <c r="AB61" s="197">
        <v>34124.300000000003</v>
      </c>
      <c r="AC61" s="210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</row>
    <row r="62" spans="2:50" ht="18.649999999999999" customHeight="1" x14ac:dyDescent="0.35">
      <c r="B62" s="267"/>
      <c r="C62" s="9" t="s">
        <v>31</v>
      </c>
      <c r="D62" s="10">
        <v>5</v>
      </c>
      <c r="E62" s="197">
        <v>29557.34</v>
      </c>
      <c r="F62" s="197">
        <v>27952.720000000001</v>
      </c>
      <c r="G62" s="197">
        <v>26598.34</v>
      </c>
      <c r="H62" s="197">
        <v>25600.78</v>
      </c>
      <c r="I62" s="197">
        <v>25108.91</v>
      </c>
      <c r="J62" s="197">
        <v>24534.38</v>
      </c>
      <c r="K62" s="197">
        <v>22780.06</v>
      </c>
      <c r="L62" s="197">
        <v>22114.65</v>
      </c>
      <c r="M62" s="197">
        <v>22739.59</v>
      </c>
      <c r="N62" s="197">
        <v>23370.89</v>
      </c>
      <c r="O62" s="197">
        <v>24381.23</v>
      </c>
      <c r="P62" s="197">
        <v>25385.48</v>
      </c>
      <c r="Q62" s="197">
        <v>26237.19</v>
      </c>
      <c r="R62" s="197">
        <v>26511.75</v>
      </c>
      <c r="S62" s="197">
        <v>26820.38</v>
      </c>
      <c r="T62" s="197">
        <v>27346.32</v>
      </c>
      <c r="U62" s="197">
        <v>28304.39</v>
      </c>
      <c r="V62" s="197">
        <v>33532.43</v>
      </c>
      <c r="W62" s="197">
        <v>38560.25</v>
      </c>
      <c r="X62" s="197">
        <v>39651.660000000003</v>
      </c>
      <c r="Y62" s="197">
        <v>39292.14</v>
      </c>
      <c r="Z62" s="197">
        <v>38110.199999999997</v>
      </c>
      <c r="AA62" s="197">
        <v>35723.42</v>
      </c>
      <c r="AB62" s="197">
        <v>32869.64</v>
      </c>
      <c r="AC62" s="210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</row>
    <row r="63" spans="2:50" ht="18.649999999999999" customHeight="1" thickBot="1" x14ac:dyDescent="0.4">
      <c r="B63" s="268"/>
      <c r="C63" s="15" t="s">
        <v>32</v>
      </c>
      <c r="D63" s="16">
        <v>2</v>
      </c>
      <c r="E63" s="198">
        <v>29536.79</v>
      </c>
      <c r="F63" s="198">
        <v>27888.62</v>
      </c>
      <c r="G63" s="198">
        <v>26513.16</v>
      </c>
      <c r="H63" s="198">
        <v>25515.42</v>
      </c>
      <c r="I63" s="198">
        <v>25038.42</v>
      </c>
      <c r="J63" s="198">
        <v>24507.21</v>
      </c>
      <c r="K63" s="198">
        <v>22832.240000000002</v>
      </c>
      <c r="L63" s="198">
        <v>22228.57</v>
      </c>
      <c r="M63" s="198">
        <v>22912.44</v>
      </c>
      <c r="N63" s="198">
        <v>23569.69</v>
      </c>
      <c r="O63" s="198">
        <v>24565.58</v>
      </c>
      <c r="P63" s="198">
        <v>25543.78</v>
      </c>
      <c r="Q63" s="198">
        <v>26381.97</v>
      </c>
      <c r="R63" s="198">
        <v>26676.080000000002</v>
      </c>
      <c r="S63" s="198">
        <v>27011.77</v>
      </c>
      <c r="T63" s="198">
        <v>27567.65</v>
      </c>
      <c r="U63" s="198">
        <v>28519.72</v>
      </c>
      <c r="V63" s="198">
        <v>33690.660000000003</v>
      </c>
      <c r="W63" s="198">
        <v>38683.160000000003</v>
      </c>
      <c r="X63" s="198">
        <v>39795.730000000003</v>
      </c>
      <c r="Y63" s="198">
        <v>39448.21</v>
      </c>
      <c r="Z63" s="198">
        <v>38270.199999999997</v>
      </c>
      <c r="AA63" s="198">
        <v>35848.74</v>
      </c>
      <c r="AB63" s="198">
        <v>32955.57</v>
      </c>
      <c r="AC63" s="210"/>
      <c r="AD63" s="53">
        <f>+AC60</f>
        <v>23800303.260000002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</row>
    <row r="64" spans="2:50" ht="18.649999999999999" customHeight="1" x14ac:dyDescent="0.35">
      <c r="B64" s="207">
        <v>48611</v>
      </c>
      <c r="C64" s="6" t="s">
        <v>29</v>
      </c>
      <c r="D64" s="7">
        <v>20</v>
      </c>
      <c r="E64" s="196">
        <v>31186.65</v>
      </c>
      <c r="F64" s="196">
        <v>29486.62</v>
      </c>
      <c r="G64" s="196">
        <v>28062.99</v>
      </c>
      <c r="H64" s="196">
        <v>27017.200000000001</v>
      </c>
      <c r="I64" s="196">
        <v>26872.97</v>
      </c>
      <c r="J64" s="196">
        <v>28034.94</v>
      </c>
      <c r="K64" s="196">
        <v>27456.44</v>
      </c>
      <c r="L64" s="196">
        <v>28773.88</v>
      </c>
      <c r="M64" s="196">
        <v>30862.83</v>
      </c>
      <c r="N64" s="196">
        <v>31611.17</v>
      </c>
      <c r="O64" s="196">
        <v>33115.64</v>
      </c>
      <c r="P64" s="196">
        <v>34572.699999999997</v>
      </c>
      <c r="Q64" s="196">
        <v>33207.269999999997</v>
      </c>
      <c r="R64" s="196">
        <v>34933.83</v>
      </c>
      <c r="S64" s="196">
        <v>37678.75</v>
      </c>
      <c r="T64" s="196">
        <v>38455.99</v>
      </c>
      <c r="U64" s="196">
        <v>38663.74</v>
      </c>
      <c r="V64" s="196">
        <v>41752.81</v>
      </c>
      <c r="W64" s="196">
        <v>44941.47</v>
      </c>
      <c r="X64" s="196">
        <v>45689.62</v>
      </c>
      <c r="Y64" s="196">
        <v>44899.81</v>
      </c>
      <c r="Z64" s="196">
        <v>43000.24</v>
      </c>
      <c r="AA64" s="196">
        <v>39579.15</v>
      </c>
      <c r="AB64" s="196">
        <v>36258.449999999997</v>
      </c>
      <c r="AC64" s="209">
        <f>SUM(E64:AB64)*D64+SUM(E65:AB65)*D65+SUM(E66:AB66)*D66+SUM(E67:AB67)*D67</f>
        <v>22785937.400000002</v>
      </c>
      <c r="AD64" s="148">
        <f>+AC64</f>
        <v>22785937.400000002</v>
      </c>
    </row>
    <row r="65" spans="2:30" ht="18.649999999999999" customHeight="1" x14ac:dyDescent="0.35">
      <c r="B65" s="267"/>
      <c r="C65" s="9" t="s">
        <v>30</v>
      </c>
      <c r="D65" s="10">
        <v>4</v>
      </c>
      <c r="E65" s="197">
        <v>31388.03</v>
      </c>
      <c r="F65" s="197">
        <v>29458.23</v>
      </c>
      <c r="G65" s="197">
        <v>28250.400000000001</v>
      </c>
      <c r="H65" s="197">
        <v>26991.66</v>
      </c>
      <c r="I65" s="197">
        <v>26572.46</v>
      </c>
      <c r="J65" s="197">
        <v>26389.4</v>
      </c>
      <c r="K65" s="197">
        <v>25591.03</v>
      </c>
      <c r="L65" s="197">
        <v>26426.68</v>
      </c>
      <c r="M65" s="197">
        <v>28382.16</v>
      </c>
      <c r="N65" s="197">
        <v>29446.61</v>
      </c>
      <c r="O65" s="197">
        <v>30814.48</v>
      </c>
      <c r="P65" s="197">
        <v>31514.44</v>
      </c>
      <c r="Q65" s="197">
        <v>30885.279999999999</v>
      </c>
      <c r="R65" s="197">
        <v>30640.15</v>
      </c>
      <c r="S65" s="197">
        <v>31189.59</v>
      </c>
      <c r="T65" s="197">
        <v>31852.41</v>
      </c>
      <c r="U65" s="197">
        <v>32555.64</v>
      </c>
      <c r="V65" s="197">
        <v>37445.49</v>
      </c>
      <c r="W65" s="197">
        <v>42231.39</v>
      </c>
      <c r="X65" s="197">
        <v>42783.48</v>
      </c>
      <c r="Y65" s="197">
        <v>41948.3</v>
      </c>
      <c r="Z65" s="197">
        <v>40402.910000000003</v>
      </c>
      <c r="AA65" s="197">
        <v>38322</v>
      </c>
      <c r="AB65" s="197">
        <v>35792.11</v>
      </c>
      <c r="AC65" s="210"/>
      <c r="AD65" s="148">
        <f>+AC68</f>
        <v>23870208.739999995</v>
      </c>
    </row>
    <row r="66" spans="2:30" ht="18.649999999999999" customHeight="1" x14ac:dyDescent="0.35">
      <c r="B66" s="267"/>
      <c r="C66" s="9" t="s">
        <v>31</v>
      </c>
      <c r="D66" s="10">
        <v>4</v>
      </c>
      <c r="E66" s="197">
        <v>31405.3</v>
      </c>
      <c r="F66" s="197">
        <v>29778.34</v>
      </c>
      <c r="G66" s="197">
        <v>28372.62</v>
      </c>
      <c r="H66" s="197">
        <v>27351.41</v>
      </c>
      <c r="I66" s="197">
        <v>26821</v>
      </c>
      <c r="J66" s="197">
        <v>26314.880000000001</v>
      </c>
      <c r="K66" s="197">
        <v>24517.51</v>
      </c>
      <c r="L66" s="197">
        <v>23942.09</v>
      </c>
      <c r="M66" s="197">
        <v>24431.52</v>
      </c>
      <c r="N66" s="197">
        <v>24729.87</v>
      </c>
      <c r="O66" s="197">
        <v>25636.560000000001</v>
      </c>
      <c r="P66" s="197">
        <v>26809.99</v>
      </c>
      <c r="Q66" s="197">
        <v>27709.68</v>
      </c>
      <c r="R66" s="197">
        <v>28192.32</v>
      </c>
      <c r="S66" s="197">
        <v>28909.18</v>
      </c>
      <c r="T66" s="197">
        <v>29622.2</v>
      </c>
      <c r="U66" s="197">
        <v>30335.9</v>
      </c>
      <c r="V66" s="197">
        <v>34813.69</v>
      </c>
      <c r="W66" s="197">
        <v>40331.550000000003</v>
      </c>
      <c r="X66" s="197">
        <v>42062.49</v>
      </c>
      <c r="Y66" s="197">
        <v>42229.03</v>
      </c>
      <c r="Z66" s="197">
        <v>41479.129999999997</v>
      </c>
      <c r="AA66" s="197">
        <v>37935.269999999997</v>
      </c>
      <c r="AB66" s="197">
        <v>34902.69</v>
      </c>
      <c r="AC66" s="210"/>
      <c r="AD66" s="148">
        <f>+AC72</f>
        <v>21981869.339999996</v>
      </c>
    </row>
    <row r="67" spans="2:30" ht="18.649999999999999" customHeight="1" thickBot="1" x14ac:dyDescent="0.4">
      <c r="B67" s="268"/>
      <c r="C67" s="11" t="s">
        <v>32</v>
      </c>
      <c r="D67" s="12">
        <v>0</v>
      </c>
      <c r="E67" s="199">
        <v>0</v>
      </c>
      <c r="F67" s="199">
        <v>0</v>
      </c>
      <c r="G67" s="199">
        <v>0</v>
      </c>
      <c r="H67" s="199">
        <v>0</v>
      </c>
      <c r="I67" s="199">
        <v>0</v>
      </c>
      <c r="J67" s="199">
        <v>0</v>
      </c>
      <c r="K67" s="199">
        <v>0</v>
      </c>
      <c r="L67" s="199">
        <v>0</v>
      </c>
      <c r="M67" s="199">
        <v>0</v>
      </c>
      <c r="N67" s="199">
        <v>0</v>
      </c>
      <c r="O67" s="199">
        <v>0</v>
      </c>
      <c r="P67" s="199">
        <v>0</v>
      </c>
      <c r="Q67" s="199">
        <v>0</v>
      </c>
      <c r="R67" s="199">
        <v>0</v>
      </c>
      <c r="S67" s="199">
        <v>0</v>
      </c>
      <c r="T67" s="199">
        <v>0</v>
      </c>
      <c r="U67" s="199">
        <v>0</v>
      </c>
      <c r="V67" s="199">
        <v>0</v>
      </c>
      <c r="W67" s="199">
        <v>0</v>
      </c>
      <c r="X67" s="199">
        <v>0</v>
      </c>
      <c r="Y67" s="199">
        <v>0</v>
      </c>
      <c r="Z67" s="199">
        <v>0</v>
      </c>
      <c r="AA67" s="199">
        <v>0</v>
      </c>
      <c r="AB67" s="199">
        <v>0</v>
      </c>
      <c r="AC67" s="214"/>
      <c r="AD67" s="148">
        <f>+AC76</f>
        <v>22624603.309999999</v>
      </c>
    </row>
    <row r="68" spans="2:30" ht="18.649999999999999" customHeight="1" x14ac:dyDescent="0.35">
      <c r="B68" s="207">
        <v>48639</v>
      </c>
      <c r="C68" s="13" t="s">
        <v>29</v>
      </c>
      <c r="D68" s="14">
        <v>22</v>
      </c>
      <c r="E68" s="200">
        <v>28869.73</v>
      </c>
      <c r="F68" s="200">
        <v>27246.63</v>
      </c>
      <c r="G68" s="200">
        <v>25992.3</v>
      </c>
      <c r="H68" s="200">
        <v>25174.98</v>
      </c>
      <c r="I68" s="200">
        <v>25213.8</v>
      </c>
      <c r="J68" s="200">
        <v>26129.360000000001</v>
      </c>
      <c r="K68" s="200">
        <v>25882.59</v>
      </c>
      <c r="L68" s="200">
        <v>27427.33</v>
      </c>
      <c r="M68" s="200">
        <v>29517.64</v>
      </c>
      <c r="N68" s="200">
        <v>30371.25</v>
      </c>
      <c r="O68" s="200">
        <v>31809.38</v>
      </c>
      <c r="P68" s="200">
        <v>32868.57</v>
      </c>
      <c r="Q68" s="200">
        <v>30894.79</v>
      </c>
      <c r="R68" s="200">
        <v>32347.279999999999</v>
      </c>
      <c r="S68" s="200">
        <v>34898.230000000003</v>
      </c>
      <c r="T68" s="200">
        <v>35830.769999999997</v>
      </c>
      <c r="U68" s="200">
        <v>36359.31</v>
      </c>
      <c r="V68" s="200">
        <v>39604.21</v>
      </c>
      <c r="W68" s="200">
        <v>42749.47</v>
      </c>
      <c r="X68" s="200">
        <v>43130.47</v>
      </c>
      <c r="Y68" s="200">
        <v>41976.56</v>
      </c>
      <c r="Z68" s="200">
        <v>39891.160000000003</v>
      </c>
      <c r="AA68" s="200">
        <v>36713.9</v>
      </c>
      <c r="AB68" s="200">
        <v>33544.32</v>
      </c>
      <c r="AC68" s="210">
        <f>SUM(E68:AB68)*D68+SUM(E69:AB69)*D69+SUM(E70:AB70)*D70+SUM(E71:AB71)*D71</f>
        <v>23870208.739999995</v>
      </c>
      <c r="AD68" s="148">
        <f>+AC80</f>
        <v>22028552.599999998</v>
      </c>
    </row>
    <row r="69" spans="2:30" ht="18.649999999999999" customHeight="1" x14ac:dyDescent="0.35">
      <c r="B69" s="267"/>
      <c r="C69" s="9" t="s">
        <v>30</v>
      </c>
      <c r="D69" s="10">
        <v>4</v>
      </c>
      <c r="E69" s="197">
        <v>28870.85</v>
      </c>
      <c r="F69" s="197">
        <v>27297.79</v>
      </c>
      <c r="G69" s="197">
        <v>25969.14</v>
      </c>
      <c r="H69" s="197">
        <v>25138.880000000001</v>
      </c>
      <c r="I69" s="197">
        <v>24892.17</v>
      </c>
      <c r="J69" s="197">
        <v>24698.09</v>
      </c>
      <c r="K69" s="197">
        <v>24343.279999999999</v>
      </c>
      <c r="L69" s="197">
        <v>25484</v>
      </c>
      <c r="M69" s="197">
        <v>27781.72</v>
      </c>
      <c r="N69" s="197">
        <v>29026.77</v>
      </c>
      <c r="O69" s="197">
        <v>30393.09</v>
      </c>
      <c r="P69" s="197">
        <v>31282.53</v>
      </c>
      <c r="Q69" s="197">
        <v>30585.64</v>
      </c>
      <c r="R69" s="197">
        <v>30275.87</v>
      </c>
      <c r="S69" s="197">
        <v>30927.51</v>
      </c>
      <c r="T69" s="197">
        <v>31450.53</v>
      </c>
      <c r="U69" s="197">
        <v>32185.34</v>
      </c>
      <c r="V69" s="197">
        <v>36689.51</v>
      </c>
      <c r="W69" s="197">
        <v>41311</v>
      </c>
      <c r="X69" s="197">
        <v>41982.26</v>
      </c>
      <c r="Y69" s="197">
        <v>40909.58</v>
      </c>
      <c r="Z69" s="197">
        <v>39407.53</v>
      </c>
      <c r="AA69" s="197">
        <v>37180.54</v>
      </c>
      <c r="AB69" s="197">
        <v>34818.81</v>
      </c>
      <c r="AC69" s="210"/>
      <c r="AD69" s="148">
        <f>+AC84</f>
        <v>22314602.759999998</v>
      </c>
    </row>
    <row r="70" spans="2:30" ht="18.649999999999999" customHeight="1" x14ac:dyDescent="0.35">
      <c r="B70" s="267"/>
      <c r="C70" s="9" t="s">
        <v>31</v>
      </c>
      <c r="D70" s="10">
        <v>4</v>
      </c>
      <c r="E70" s="197">
        <v>29985.72</v>
      </c>
      <c r="F70" s="197">
        <v>28270.86</v>
      </c>
      <c r="G70" s="197">
        <v>26876.36</v>
      </c>
      <c r="H70" s="197">
        <v>25886.12</v>
      </c>
      <c r="I70" s="197">
        <v>25356.52</v>
      </c>
      <c r="J70" s="197">
        <v>24704.11</v>
      </c>
      <c r="K70" s="197">
        <v>23450.67</v>
      </c>
      <c r="L70" s="197">
        <v>23296.57</v>
      </c>
      <c r="M70" s="197">
        <v>24205.22</v>
      </c>
      <c r="N70" s="197">
        <v>24779.47</v>
      </c>
      <c r="O70" s="197">
        <v>25716.42</v>
      </c>
      <c r="P70" s="197">
        <v>26793.81</v>
      </c>
      <c r="Q70" s="197">
        <v>27570.18</v>
      </c>
      <c r="R70" s="197">
        <v>27933.98</v>
      </c>
      <c r="S70" s="197">
        <v>28408.89</v>
      </c>
      <c r="T70" s="197">
        <v>29293.23</v>
      </c>
      <c r="U70" s="197">
        <v>29998.49</v>
      </c>
      <c r="V70" s="197">
        <v>34709.96</v>
      </c>
      <c r="W70" s="197">
        <v>39524.699999999997</v>
      </c>
      <c r="X70" s="197">
        <v>40992.800000000003</v>
      </c>
      <c r="Y70" s="197">
        <v>41052.71</v>
      </c>
      <c r="Z70" s="197">
        <v>40061.96</v>
      </c>
      <c r="AA70" s="197">
        <v>37532.11</v>
      </c>
      <c r="AB70" s="197">
        <v>34380.080000000002</v>
      </c>
      <c r="AC70" s="210"/>
      <c r="AD70" s="148">
        <f>+AC88</f>
        <v>22463034.029999994</v>
      </c>
    </row>
    <row r="71" spans="2:30" ht="18.649999999999999" customHeight="1" thickBot="1" x14ac:dyDescent="0.4">
      <c r="B71" s="268"/>
      <c r="C71" s="15" t="s">
        <v>32</v>
      </c>
      <c r="D71" s="16">
        <v>1</v>
      </c>
      <c r="E71" s="198">
        <v>30091.32</v>
      </c>
      <c r="F71" s="198">
        <v>28342.98</v>
      </c>
      <c r="G71" s="198">
        <v>26936.23</v>
      </c>
      <c r="H71" s="198">
        <v>26045.73</v>
      </c>
      <c r="I71" s="198">
        <v>25418.880000000001</v>
      </c>
      <c r="J71" s="198">
        <v>24737.99</v>
      </c>
      <c r="K71" s="198">
        <v>23463.16</v>
      </c>
      <c r="L71" s="198">
        <v>23262.27</v>
      </c>
      <c r="M71" s="198">
        <v>24181.119999999999</v>
      </c>
      <c r="N71" s="198">
        <v>24753.64</v>
      </c>
      <c r="O71" s="198">
        <v>25541.55</v>
      </c>
      <c r="P71" s="198">
        <v>26540.75</v>
      </c>
      <c r="Q71" s="198">
        <v>27294.92</v>
      </c>
      <c r="R71" s="198">
        <v>27646.16</v>
      </c>
      <c r="S71" s="198">
        <v>28118.02</v>
      </c>
      <c r="T71" s="198">
        <v>29021.74</v>
      </c>
      <c r="U71" s="198">
        <v>29773.33</v>
      </c>
      <c r="V71" s="198">
        <v>34523.57</v>
      </c>
      <c r="W71" s="198">
        <v>39279.97</v>
      </c>
      <c r="X71" s="198">
        <v>40729.1</v>
      </c>
      <c r="Y71" s="198">
        <v>40774.93</v>
      </c>
      <c r="Z71" s="198">
        <v>39813.4</v>
      </c>
      <c r="AA71" s="198">
        <v>37284.620000000003</v>
      </c>
      <c r="AB71" s="198">
        <v>34131.22</v>
      </c>
      <c r="AC71" s="210"/>
      <c r="AD71" s="148">
        <f>+AC92</f>
        <v>21556560.620000001</v>
      </c>
    </row>
    <row r="72" spans="2:30" ht="18.649999999999999" customHeight="1" x14ac:dyDescent="0.35">
      <c r="B72" s="207">
        <v>48670</v>
      </c>
      <c r="C72" s="6" t="s">
        <v>29</v>
      </c>
      <c r="D72" s="7">
        <v>19</v>
      </c>
      <c r="E72" s="196">
        <v>27867.8</v>
      </c>
      <c r="F72" s="196">
        <v>26285.67</v>
      </c>
      <c r="G72" s="196">
        <v>25096.83</v>
      </c>
      <c r="H72" s="196">
        <v>24324.87</v>
      </c>
      <c r="I72" s="196">
        <v>24374.720000000001</v>
      </c>
      <c r="J72" s="196">
        <v>24657.5</v>
      </c>
      <c r="K72" s="196">
        <v>24648.09</v>
      </c>
      <c r="L72" s="196">
        <v>26193.73</v>
      </c>
      <c r="M72" s="196">
        <v>28610.59</v>
      </c>
      <c r="N72" s="196">
        <v>29505.07</v>
      </c>
      <c r="O72" s="196">
        <v>30815.01</v>
      </c>
      <c r="P72" s="196">
        <v>32125.11</v>
      </c>
      <c r="Q72" s="196">
        <v>30527.23</v>
      </c>
      <c r="R72" s="196">
        <v>31900.66</v>
      </c>
      <c r="S72" s="196">
        <v>34432.639999999999</v>
      </c>
      <c r="T72" s="196">
        <v>35051.760000000002</v>
      </c>
      <c r="U72" s="196">
        <v>35223.919999999998</v>
      </c>
      <c r="V72" s="196">
        <v>38979.35</v>
      </c>
      <c r="W72" s="196">
        <v>41895.35</v>
      </c>
      <c r="X72" s="196">
        <v>42018.8</v>
      </c>
      <c r="Y72" s="196">
        <v>40853.300000000003</v>
      </c>
      <c r="Z72" s="196">
        <v>38946.32</v>
      </c>
      <c r="AA72" s="196">
        <v>36011.33</v>
      </c>
      <c r="AB72" s="196">
        <v>32738.7</v>
      </c>
      <c r="AC72" s="209">
        <f>SUM(E72:AB72)*D72+SUM(E73:AB73)*D73+SUM(E74:AB74)*D74+SUM(E75:AB75)*D75</f>
        <v>21981869.339999996</v>
      </c>
      <c r="AD72" s="148">
        <f>+AC96</f>
        <v>21752953.709999997</v>
      </c>
    </row>
    <row r="73" spans="2:30" ht="18.649999999999999" customHeight="1" x14ac:dyDescent="0.35">
      <c r="B73" s="267"/>
      <c r="C73" s="9" t="s">
        <v>30</v>
      </c>
      <c r="D73" s="10">
        <v>5</v>
      </c>
      <c r="E73" s="197">
        <v>27280.400000000001</v>
      </c>
      <c r="F73" s="197">
        <v>25636.71</v>
      </c>
      <c r="G73" s="197">
        <v>24366.89</v>
      </c>
      <c r="H73" s="197">
        <v>23519.49</v>
      </c>
      <c r="I73" s="197">
        <v>23251.279999999999</v>
      </c>
      <c r="J73" s="197">
        <v>22839.32</v>
      </c>
      <c r="K73" s="197">
        <v>22343.54</v>
      </c>
      <c r="L73" s="197">
        <v>23155.56</v>
      </c>
      <c r="M73" s="197">
        <v>25316.62</v>
      </c>
      <c r="N73" s="197">
        <v>26251.15</v>
      </c>
      <c r="O73" s="197">
        <v>27478</v>
      </c>
      <c r="P73" s="197">
        <v>28344.97</v>
      </c>
      <c r="Q73" s="197">
        <v>27876.91</v>
      </c>
      <c r="R73" s="197">
        <v>27658.81</v>
      </c>
      <c r="S73" s="197">
        <v>28114.6</v>
      </c>
      <c r="T73" s="197">
        <v>28638.560000000001</v>
      </c>
      <c r="U73" s="197">
        <v>29398.14</v>
      </c>
      <c r="V73" s="197">
        <v>34482.629999999997</v>
      </c>
      <c r="W73" s="197">
        <v>39024.21</v>
      </c>
      <c r="X73" s="197">
        <v>39056.620000000003</v>
      </c>
      <c r="Y73" s="197">
        <v>38084.980000000003</v>
      </c>
      <c r="Z73" s="197">
        <v>36557.089999999997</v>
      </c>
      <c r="AA73" s="197">
        <v>34583.550000000003</v>
      </c>
      <c r="AB73" s="197">
        <v>32208.76</v>
      </c>
      <c r="AC73" s="210"/>
      <c r="AD73" s="148">
        <f>+AC100</f>
        <v>20207510.220000003</v>
      </c>
    </row>
    <row r="74" spans="2:30" ht="18.649999999999999" customHeight="1" x14ac:dyDescent="0.35">
      <c r="B74" s="267"/>
      <c r="C74" s="9" t="s">
        <v>31</v>
      </c>
      <c r="D74" s="10">
        <v>4</v>
      </c>
      <c r="E74" s="197">
        <v>27749.74</v>
      </c>
      <c r="F74" s="197">
        <v>26254.21</v>
      </c>
      <c r="G74" s="197">
        <v>25013.75</v>
      </c>
      <c r="H74" s="197">
        <v>24099.040000000001</v>
      </c>
      <c r="I74" s="197">
        <v>23750.61</v>
      </c>
      <c r="J74" s="197">
        <v>22817.13</v>
      </c>
      <c r="K74" s="197">
        <v>22061.119999999999</v>
      </c>
      <c r="L74" s="197">
        <v>21803.13</v>
      </c>
      <c r="M74" s="197">
        <v>22125.5</v>
      </c>
      <c r="N74" s="197">
        <v>22713.81</v>
      </c>
      <c r="O74" s="197">
        <v>23646.14</v>
      </c>
      <c r="P74" s="197">
        <v>24479.93</v>
      </c>
      <c r="Q74" s="197">
        <v>25080.59</v>
      </c>
      <c r="R74" s="197">
        <v>25438.15</v>
      </c>
      <c r="S74" s="197">
        <v>25897.61</v>
      </c>
      <c r="T74" s="197">
        <v>26621.32</v>
      </c>
      <c r="U74" s="197">
        <v>27622.61</v>
      </c>
      <c r="V74" s="197">
        <v>32818.44</v>
      </c>
      <c r="W74" s="197">
        <v>36975.839999999997</v>
      </c>
      <c r="X74" s="197">
        <v>38119.120000000003</v>
      </c>
      <c r="Y74" s="197">
        <v>38174.769999999997</v>
      </c>
      <c r="Z74" s="197">
        <v>37536.5</v>
      </c>
      <c r="AA74" s="197">
        <v>35214.92</v>
      </c>
      <c r="AB74" s="197">
        <v>32213.53</v>
      </c>
      <c r="AC74" s="210"/>
      <c r="AD74" s="148">
        <f>+AC104</f>
        <v>22476422.589999996</v>
      </c>
    </row>
    <row r="75" spans="2:30" ht="18.649999999999999" customHeight="1" thickBot="1" x14ac:dyDescent="0.4">
      <c r="B75" s="268"/>
      <c r="C75" s="11" t="s">
        <v>32</v>
      </c>
      <c r="D75" s="12">
        <v>2</v>
      </c>
      <c r="E75" s="199">
        <v>27620.67</v>
      </c>
      <c r="F75" s="199">
        <v>26126.29</v>
      </c>
      <c r="G75" s="199">
        <v>24845.39</v>
      </c>
      <c r="H75" s="199">
        <v>23957.67</v>
      </c>
      <c r="I75" s="199">
        <v>23594.22</v>
      </c>
      <c r="J75" s="199">
        <v>22699.42</v>
      </c>
      <c r="K75" s="199">
        <v>21960.799999999999</v>
      </c>
      <c r="L75" s="199">
        <v>21739.91</v>
      </c>
      <c r="M75" s="199">
        <v>22129.39</v>
      </c>
      <c r="N75" s="199">
        <v>22803.98</v>
      </c>
      <c r="O75" s="199">
        <v>23661.43</v>
      </c>
      <c r="P75" s="199">
        <v>24444.57</v>
      </c>
      <c r="Q75" s="199">
        <v>24986.46</v>
      </c>
      <c r="R75" s="199">
        <v>25335.33</v>
      </c>
      <c r="S75" s="199">
        <v>25804.560000000001</v>
      </c>
      <c r="T75" s="199">
        <v>26585.85</v>
      </c>
      <c r="U75" s="199">
        <v>27642.97</v>
      </c>
      <c r="V75" s="199">
        <v>32892.25</v>
      </c>
      <c r="W75" s="199">
        <v>37048.620000000003</v>
      </c>
      <c r="X75" s="199">
        <v>38140.68</v>
      </c>
      <c r="Y75" s="199">
        <v>38172.6</v>
      </c>
      <c r="Z75" s="199">
        <v>37425.279999999999</v>
      </c>
      <c r="AA75" s="199">
        <v>34965.43</v>
      </c>
      <c r="AB75" s="199">
        <v>31922.58</v>
      </c>
      <c r="AC75" s="214"/>
      <c r="AD75" s="18"/>
    </row>
    <row r="76" spans="2:30" ht="18.649999999999999" customHeight="1" x14ac:dyDescent="0.35">
      <c r="B76" s="207">
        <v>48700</v>
      </c>
      <c r="C76" s="13" t="s">
        <v>29</v>
      </c>
      <c r="D76" s="14">
        <v>21</v>
      </c>
      <c r="E76" s="200">
        <v>26950.59</v>
      </c>
      <c r="F76" s="200">
        <v>25519.06</v>
      </c>
      <c r="G76" s="200">
        <v>24390.41</v>
      </c>
      <c r="H76" s="200">
        <v>23622.400000000001</v>
      </c>
      <c r="I76" s="200">
        <v>23701.54</v>
      </c>
      <c r="J76" s="200">
        <v>23965.48</v>
      </c>
      <c r="K76" s="200">
        <v>24138.67</v>
      </c>
      <c r="L76" s="200">
        <v>25744.93</v>
      </c>
      <c r="M76" s="200">
        <v>28347.02</v>
      </c>
      <c r="N76" s="200">
        <v>29334.6</v>
      </c>
      <c r="O76" s="200">
        <v>30948.799999999999</v>
      </c>
      <c r="P76" s="200">
        <v>32032.71</v>
      </c>
      <c r="Q76" s="200">
        <v>30359.279999999999</v>
      </c>
      <c r="R76" s="200">
        <v>31566.26</v>
      </c>
      <c r="S76" s="200">
        <v>33914.910000000003</v>
      </c>
      <c r="T76" s="200">
        <v>34522.080000000002</v>
      </c>
      <c r="U76" s="200">
        <v>34692.11</v>
      </c>
      <c r="V76" s="200">
        <v>37937.68</v>
      </c>
      <c r="W76" s="200">
        <v>40869.629999999997</v>
      </c>
      <c r="X76" s="200">
        <v>40994.14</v>
      </c>
      <c r="Y76" s="200">
        <v>39785.26</v>
      </c>
      <c r="Z76" s="200">
        <v>37697.86</v>
      </c>
      <c r="AA76" s="200">
        <v>34737.769999999997</v>
      </c>
      <c r="AB76" s="200">
        <v>31707.58</v>
      </c>
      <c r="AC76" s="210">
        <f>SUM(E76:AB76)*D76+SUM(E77:AB77)*D77+SUM(E78:AB78)*D78+SUM(E79:AB79)*D79</f>
        <v>22624603.309999999</v>
      </c>
      <c r="AD76" s="18"/>
    </row>
    <row r="77" spans="2:30" ht="18.649999999999999" customHeight="1" x14ac:dyDescent="0.35">
      <c r="B77" s="267"/>
      <c r="C77" s="9" t="s">
        <v>30</v>
      </c>
      <c r="D77" s="10">
        <v>4</v>
      </c>
      <c r="E77" s="197">
        <v>27716.16</v>
      </c>
      <c r="F77" s="197">
        <v>25779.18</v>
      </c>
      <c r="G77" s="197">
        <v>24513.360000000001</v>
      </c>
      <c r="H77" s="197">
        <v>23664.78</v>
      </c>
      <c r="I77" s="197">
        <v>23456.3</v>
      </c>
      <c r="J77" s="197">
        <v>22779.42</v>
      </c>
      <c r="K77" s="197">
        <v>22513.01</v>
      </c>
      <c r="L77" s="197">
        <v>23787.25</v>
      </c>
      <c r="M77" s="197">
        <v>26295.119999999999</v>
      </c>
      <c r="N77" s="197">
        <v>27604</v>
      </c>
      <c r="O77" s="197">
        <v>28645.77</v>
      </c>
      <c r="P77" s="197">
        <v>29464.94</v>
      </c>
      <c r="Q77" s="197">
        <v>28653.17</v>
      </c>
      <c r="R77" s="197">
        <v>28361.1</v>
      </c>
      <c r="S77" s="197">
        <v>29046.73</v>
      </c>
      <c r="T77" s="197">
        <v>29588.05</v>
      </c>
      <c r="U77" s="197">
        <v>30257.19</v>
      </c>
      <c r="V77" s="197">
        <v>35282.080000000002</v>
      </c>
      <c r="W77" s="197">
        <v>39693.29</v>
      </c>
      <c r="X77" s="197">
        <v>40078.85</v>
      </c>
      <c r="Y77" s="197">
        <v>38940.239999999998</v>
      </c>
      <c r="Z77" s="197">
        <v>37242.79</v>
      </c>
      <c r="AA77" s="197">
        <v>35291.21</v>
      </c>
      <c r="AB77" s="197">
        <v>32930.07</v>
      </c>
      <c r="AC77" s="210"/>
      <c r="AD77" s="18"/>
    </row>
    <row r="78" spans="2:30" ht="18.649999999999999" customHeight="1" x14ac:dyDescent="0.35">
      <c r="B78" s="267"/>
      <c r="C78" s="9" t="s">
        <v>31</v>
      </c>
      <c r="D78" s="10">
        <v>4</v>
      </c>
      <c r="E78" s="197">
        <v>28078.61</v>
      </c>
      <c r="F78" s="197">
        <v>26592.400000000001</v>
      </c>
      <c r="G78" s="197">
        <v>25380.02</v>
      </c>
      <c r="H78" s="197">
        <v>24477.07</v>
      </c>
      <c r="I78" s="197">
        <v>24094.86</v>
      </c>
      <c r="J78" s="197">
        <v>22900.14</v>
      </c>
      <c r="K78" s="197">
        <v>22096.13</v>
      </c>
      <c r="L78" s="197">
        <v>21969.24</v>
      </c>
      <c r="M78" s="197">
        <v>23191.4</v>
      </c>
      <c r="N78" s="197">
        <v>24151.81</v>
      </c>
      <c r="O78" s="197">
        <v>24918.81</v>
      </c>
      <c r="P78" s="197">
        <v>25610.02</v>
      </c>
      <c r="Q78" s="197">
        <v>26220.92</v>
      </c>
      <c r="R78" s="197">
        <v>26550.58</v>
      </c>
      <c r="S78" s="197">
        <v>26880.15</v>
      </c>
      <c r="T78" s="197">
        <v>27673.39</v>
      </c>
      <c r="U78" s="197">
        <v>28262.82</v>
      </c>
      <c r="V78" s="197">
        <v>33459.949999999997</v>
      </c>
      <c r="W78" s="197">
        <v>37942.01</v>
      </c>
      <c r="X78" s="197">
        <v>38870.089999999997</v>
      </c>
      <c r="Y78" s="197">
        <v>38776.550000000003</v>
      </c>
      <c r="Z78" s="197">
        <v>37640.78</v>
      </c>
      <c r="AA78" s="197">
        <v>35100.160000000003</v>
      </c>
      <c r="AB78" s="197">
        <v>31674.39</v>
      </c>
      <c r="AC78" s="210"/>
      <c r="AD78" s="18"/>
    </row>
    <row r="79" spans="2:30" ht="18.649999999999999" customHeight="1" thickBot="1" x14ac:dyDescent="0.4">
      <c r="B79" s="268"/>
      <c r="C79" s="15" t="s">
        <v>32</v>
      </c>
      <c r="D79" s="16">
        <v>2</v>
      </c>
      <c r="E79" s="198">
        <v>28055.46</v>
      </c>
      <c r="F79" s="198">
        <v>26569.15</v>
      </c>
      <c r="G79" s="198">
        <v>25360.33</v>
      </c>
      <c r="H79" s="198">
        <v>24460.97</v>
      </c>
      <c r="I79" s="198">
        <v>24027.82</v>
      </c>
      <c r="J79" s="198">
        <v>22700.89</v>
      </c>
      <c r="K79" s="198">
        <v>21848.38</v>
      </c>
      <c r="L79" s="198">
        <v>21627.21</v>
      </c>
      <c r="M79" s="198">
        <v>22758.27</v>
      </c>
      <c r="N79" s="198">
        <v>23722.71</v>
      </c>
      <c r="O79" s="198">
        <v>24436.99</v>
      </c>
      <c r="P79" s="198">
        <v>25086.27</v>
      </c>
      <c r="Q79" s="198">
        <v>25819.22</v>
      </c>
      <c r="R79" s="198">
        <v>26050.9</v>
      </c>
      <c r="S79" s="198">
        <v>26273.43</v>
      </c>
      <c r="T79" s="198">
        <v>27081.21</v>
      </c>
      <c r="U79" s="198">
        <v>27769.96</v>
      </c>
      <c r="V79" s="198">
        <v>33088.9</v>
      </c>
      <c r="W79" s="198">
        <v>37608.379999999997</v>
      </c>
      <c r="X79" s="198">
        <v>38589.61</v>
      </c>
      <c r="Y79" s="198">
        <v>38556.21</v>
      </c>
      <c r="Z79" s="198">
        <v>37465.19</v>
      </c>
      <c r="AA79" s="198">
        <v>34981.81</v>
      </c>
      <c r="AB79" s="198">
        <v>31621.58</v>
      </c>
      <c r="AC79" s="210"/>
      <c r="AD79" s="18"/>
    </row>
    <row r="80" spans="2:30" ht="18.649999999999999" customHeight="1" x14ac:dyDescent="0.35">
      <c r="B80" s="207">
        <v>48731</v>
      </c>
      <c r="C80" s="6" t="s">
        <v>29</v>
      </c>
      <c r="D80" s="7">
        <v>20</v>
      </c>
      <c r="E80" s="196">
        <v>27570.1</v>
      </c>
      <c r="F80" s="196">
        <v>26000.06</v>
      </c>
      <c r="G80" s="196">
        <v>24886.98</v>
      </c>
      <c r="H80" s="196">
        <v>23951.360000000001</v>
      </c>
      <c r="I80" s="196">
        <v>23965.06</v>
      </c>
      <c r="J80" s="196">
        <v>23854.66</v>
      </c>
      <c r="K80" s="196">
        <v>23896.75</v>
      </c>
      <c r="L80" s="196">
        <v>25593.55</v>
      </c>
      <c r="M80" s="196">
        <v>28131.99</v>
      </c>
      <c r="N80" s="196">
        <v>29301.61</v>
      </c>
      <c r="O80" s="196">
        <v>31034.07</v>
      </c>
      <c r="P80" s="196">
        <v>32246.91</v>
      </c>
      <c r="Q80" s="196">
        <v>30860.97</v>
      </c>
      <c r="R80" s="196">
        <v>31925.24</v>
      </c>
      <c r="S80" s="196">
        <v>34227.56</v>
      </c>
      <c r="T80" s="196">
        <v>34786.85</v>
      </c>
      <c r="U80" s="196">
        <v>35176.6</v>
      </c>
      <c r="V80" s="196">
        <v>38399.71</v>
      </c>
      <c r="W80" s="196">
        <v>41282.83</v>
      </c>
      <c r="X80" s="196">
        <v>41791.440000000002</v>
      </c>
      <c r="Y80" s="196">
        <v>40483.51</v>
      </c>
      <c r="Z80" s="196">
        <v>38482.639999999999</v>
      </c>
      <c r="AA80" s="196">
        <v>35367.08</v>
      </c>
      <c r="AB80" s="196">
        <v>32212.3</v>
      </c>
      <c r="AC80" s="209">
        <f>SUM(E80:AB80)*D80+SUM(E81:AB81)*D81+SUM(E82:AB82)*D82+SUM(E83:AB83)*D83</f>
        <v>22028552.599999998</v>
      </c>
      <c r="AD80" s="18"/>
    </row>
    <row r="81" spans="2:30" ht="18.649999999999999" customHeight="1" x14ac:dyDescent="0.35">
      <c r="B81" s="267"/>
      <c r="C81" s="9" t="s">
        <v>30</v>
      </c>
      <c r="D81" s="10">
        <v>4</v>
      </c>
      <c r="E81" s="197">
        <v>27467.23</v>
      </c>
      <c r="F81" s="197">
        <v>25937.48</v>
      </c>
      <c r="G81" s="197">
        <v>24821.43</v>
      </c>
      <c r="H81" s="197">
        <v>24066.95</v>
      </c>
      <c r="I81" s="197">
        <v>23862.5</v>
      </c>
      <c r="J81" s="197">
        <v>23075.97</v>
      </c>
      <c r="K81" s="197">
        <v>22854.45</v>
      </c>
      <c r="L81" s="197">
        <v>24193.83</v>
      </c>
      <c r="M81" s="197">
        <v>26584.37</v>
      </c>
      <c r="N81" s="197">
        <v>27984.17</v>
      </c>
      <c r="O81" s="197">
        <v>29381.66</v>
      </c>
      <c r="P81" s="197">
        <v>30361.439999999999</v>
      </c>
      <c r="Q81" s="197">
        <v>29724.2</v>
      </c>
      <c r="R81" s="197">
        <v>29152.3</v>
      </c>
      <c r="S81" s="197">
        <v>29643.26</v>
      </c>
      <c r="T81" s="197">
        <v>30111.56</v>
      </c>
      <c r="U81" s="197">
        <v>30450.91</v>
      </c>
      <c r="V81" s="197">
        <v>35151.5</v>
      </c>
      <c r="W81" s="197">
        <v>38628.910000000003</v>
      </c>
      <c r="X81" s="197">
        <v>39456.39</v>
      </c>
      <c r="Y81" s="197">
        <v>38471.019999999997</v>
      </c>
      <c r="Z81" s="197">
        <v>36566.25</v>
      </c>
      <c r="AA81" s="197">
        <v>34415.86</v>
      </c>
      <c r="AB81" s="197">
        <v>32157.27</v>
      </c>
      <c r="AC81" s="210"/>
      <c r="AD81" s="18"/>
    </row>
    <row r="82" spans="2:30" ht="18.649999999999999" customHeight="1" x14ac:dyDescent="0.35">
      <c r="B82" s="267"/>
      <c r="C82" s="9" t="s">
        <v>31</v>
      </c>
      <c r="D82" s="10">
        <v>4</v>
      </c>
      <c r="E82" s="197">
        <v>28332.7</v>
      </c>
      <c r="F82" s="197">
        <v>26693.64</v>
      </c>
      <c r="G82" s="197">
        <v>25373.96</v>
      </c>
      <c r="H82" s="197">
        <v>24519.23</v>
      </c>
      <c r="I82" s="197">
        <v>24170.21</v>
      </c>
      <c r="J82" s="197">
        <v>22872.63</v>
      </c>
      <c r="K82" s="197">
        <v>21933.75</v>
      </c>
      <c r="L82" s="197">
        <v>21585.16</v>
      </c>
      <c r="M82" s="197">
        <v>22459.31</v>
      </c>
      <c r="N82" s="197">
        <v>23383.38</v>
      </c>
      <c r="O82" s="197">
        <v>24182.02</v>
      </c>
      <c r="P82" s="197">
        <v>24965.919999999998</v>
      </c>
      <c r="Q82" s="197">
        <v>25782.49</v>
      </c>
      <c r="R82" s="197">
        <v>25998.7</v>
      </c>
      <c r="S82" s="197">
        <v>26555.11</v>
      </c>
      <c r="T82" s="197">
        <v>27220.93</v>
      </c>
      <c r="U82" s="197">
        <v>27947.23</v>
      </c>
      <c r="V82" s="197">
        <v>32686.880000000001</v>
      </c>
      <c r="W82" s="197">
        <v>37096.959999999999</v>
      </c>
      <c r="X82" s="197">
        <v>38985.040000000001</v>
      </c>
      <c r="Y82" s="197">
        <v>38617.93</v>
      </c>
      <c r="Z82" s="197">
        <v>37565.4</v>
      </c>
      <c r="AA82" s="197">
        <v>35408.230000000003</v>
      </c>
      <c r="AB82" s="197">
        <v>32776.68</v>
      </c>
      <c r="AC82" s="210"/>
      <c r="AD82" s="18"/>
    </row>
    <row r="83" spans="2:30" ht="18.649999999999999" customHeight="1" thickBot="1" x14ac:dyDescent="0.4">
      <c r="B83" s="268"/>
      <c r="C83" s="11" t="s">
        <v>32</v>
      </c>
      <c r="D83" s="12">
        <v>2</v>
      </c>
      <c r="E83" s="201">
        <v>28501.82</v>
      </c>
      <c r="F83" s="201">
        <v>26843.61</v>
      </c>
      <c r="G83" s="201">
        <v>25514.91</v>
      </c>
      <c r="H83" s="201">
        <v>24642.86</v>
      </c>
      <c r="I83" s="201">
        <v>24270.46</v>
      </c>
      <c r="J83" s="201">
        <v>22992.89</v>
      </c>
      <c r="K83" s="201">
        <v>22028.44</v>
      </c>
      <c r="L83" s="201">
        <v>21633.9</v>
      </c>
      <c r="M83" s="201">
        <v>22460.16</v>
      </c>
      <c r="N83" s="201">
        <v>23322.59</v>
      </c>
      <c r="O83" s="201">
        <v>24029.63</v>
      </c>
      <c r="P83" s="201">
        <v>24751.48</v>
      </c>
      <c r="Q83" s="201">
        <v>25549.68</v>
      </c>
      <c r="R83" s="201">
        <v>25783.4</v>
      </c>
      <c r="S83" s="201">
        <v>26374.62</v>
      </c>
      <c r="T83" s="201">
        <v>27085.37</v>
      </c>
      <c r="U83" s="201">
        <v>27876.66</v>
      </c>
      <c r="V83" s="201">
        <v>32648.52</v>
      </c>
      <c r="W83" s="201">
        <v>37059.74</v>
      </c>
      <c r="X83" s="201">
        <v>38913.58</v>
      </c>
      <c r="Y83" s="201">
        <v>38586.620000000003</v>
      </c>
      <c r="Z83" s="201">
        <v>37574.85</v>
      </c>
      <c r="AA83" s="201">
        <v>35434.410000000003</v>
      </c>
      <c r="AB83" s="201">
        <v>32829</v>
      </c>
      <c r="AC83" s="214"/>
      <c r="AD83" s="18"/>
    </row>
    <row r="84" spans="2:30" ht="18.649999999999999" customHeight="1" x14ac:dyDescent="0.35">
      <c r="B84" s="207">
        <v>48761</v>
      </c>
      <c r="C84" s="13" t="s">
        <v>29</v>
      </c>
      <c r="D84" s="14">
        <v>19</v>
      </c>
      <c r="E84" s="200">
        <v>27592.37</v>
      </c>
      <c r="F84" s="200">
        <v>26115.68</v>
      </c>
      <c r="G84" s="200">
        <v>24878.959999999999</v>
      </c>
      <c r="H84" s="200">
        <v>23919.47</v>
      </c>
      <c r="I84" s="200">
        <v>23773.67</v>
      </c>
      <c r="J84" s="200">
        <v>23876.16</v>
      </c>
      <c r="K84" s="200">
        <v>23737.86</v>
      </c>
      <c r="L84" s="200">
        <v>25218</v>
      </c>
      <c r="M84" s="200">
        <v>27664.1</v>
      </c>
      <c r="N84" s="200">
        <v>28835.69</v>
      </c>
      <c r="O84" s="200">
        <v>30632.1</v>
      </c>
      <c r="P84" s="200">
        <v>32145.49</v>
      </c>
      <c r="Q84" s="200">
        <v>30820.42</v>
      </c>
      <c r="R84" s="200">
        <v>32426.89</v>
      </c>
      <c r="S84" s="200">
        <v>35168.379999999997</v>
      </c>
      <c r="T84" s="200">
        <v>35730.639999999999</v>
      </c>
      <c r="U84" s="200">
        <v>35876.980000000003</v>
      </c>
      <c r="V84" s="200">
        <v>38650.449999999997</v>
      </c>
      <c r="W84" s="200">
        <v>40982.449999999997</v>
      </c>
      <c r="X84" s="200">
        <v>41982.26</v>
      </c>
      <c r="Y84" s="200">
        <v>40977.68</v>
      </c>
      <c r="Z84" s="200">
        <v>39038.660000000003</v>
      </c>
      <c r="AA84" s="200">
        <v>35857.269999999997</v>
      </c>
      <c r="AB84" s="200">
        <v>32697.08</v>
      </c>
      <c r="AC84" s="210">
        <f>SUM(E84:AB84)*D84+SUM(E85:AB85)*D85+SUM(E86:AB86)*D86+SUM(E87:AB87)*D87</f>
        <v>22314602.759999998</v>
      </c>
      <c r="AD84" s="18"/>
    </row>
    <row r="85" spans="2:30" ht="18.649999999999999" customHeight="1" x14ac:dyDescent="0.35">
      <c r="B85" s="267"/>
      <c r="C85" s="9" t="s">
        <v>30</v>
      </c>
      <c r="D85" s="10">
        <v>5</v>
      </c>
      <c r="E85" s="197">
        <v>28068.98</v>
      </c>
      <c r="F85" s="197">
        <v>26234.21</v>
      </c>
      <c r="G85" s="197">
        <v>24871.21</v>
      </c>
      <c r="H85" s="197">
        <v>24105.21</v>
      </c>
      <c r="I85" s="197">
        <v>23631.86</v>
      </c>
      <c r="J85" s="197">
        <v>22953.599999999999</v>
      </c>
      <c r="K85" s="197">
        <v>22597.759999999998</v>
      </c>
      <c r="L85" s="197">
        <v>23393.71</v>
      </c>
      <c r="M85" s="197">
        <v>25745.31</v>
      </c>
      <c r="N85" s="197">
        <v>27180.34</v>
      </c>
      <c r="O85" s="197">
        <v>28808.14</v>
      </c>
      <c r="P85" s="197">
        <v>29621.71</v>
      </c>
      <c r="Q85" s="197">
        <v>29045.03</v>
      </c>
      <c r="R85" s="197">
        <v>28737.66</v>
      </c>
      <c r="S85" s="197">
        <v>29053.95</v>
      </c>
      <c r="T85" s="197">
        <v>29083.21</v>
      </c>
      <c r="U85" s="197">
        <v>29484.12</v>
      </c>
      <c r="V85" s="197">
        <v>34451.71</v>
      </c>
      <c r="W85" s="197">
        <v>37040.949999999997</v>
      </c>
      <c r="X85" s="197">
        <v>37736.74</v>
      </c>
      <c r="Y85" s="197">
        <v>36516.339999999997</v>
      </c>
      <c r="Z85" s="197">
        <v>34992.379999999997</v>
      </c>
      <c r="AA85" s="197">
        <v>33114.879999999997</v>
      </c>
      <c r="AB85" s="197">
        <v>30868.080000000002</v>
      </c>
      <c r="AC85" s="210"/>
      <c r="AD85" s="18"/>
    </row>
    <row r="86" spans="2:30" ht="18.649999999999999" customHeight="1" x14ac:dyDescent="0.35">
      <c r="B86" s="267"/>
      <c r="C86" s="9" t="s">
        <v>31</v>
      </c>
      <c r="D86" s="10">
        <v>5</v>
      </c>
      <c r="E86" s="197">
        <v>25387.759999999998</v>
      </c>
      <c r="F86" s="197">
        <v>24067.23</v>
      </c>
      <c r="G86" s="197">
        <v>22824.99</v>
      </c>
      <c r="H86" s="197">
        <v>22118.75</v>
      </c>
      <c r="I86" s="197">
        <v>21847.99</v>
      </c>
      <c r="J86" s="197">
        <v>20852.900000000001</v>
      </c>
      <c r="K86" s="197">
        <v>20030.78</v>
      </c>
      <c r="L86" s="197">
        <v>19599.97</v>
      </c>
      <c r="M86" s="197">
        <v>20290.14</v>
      </c>
      <c r="N86" s="197">
        <v>21051.81</v>
      </c>
      <c r="O86" s="197">
        <v>22085.5</v>
      </c>
      <c r="P86" s="197">
        <v>23093.63</v>
      </c>
      <c r="Q86" s="197">
        <v>24011.21</v>
      </c>
      <c r="R86" s="197">
        <v>24524.3</v>
      </c>
      <c r="S86" s="197">
        <v>25097.759999999998</v>
      </c>
      <c r="T86" s="197">
        <v>25982.19</v>
      </c>
      <c r="U86" s="197">
        <v>26694.22</v>
      </c>
      <c r="V86" s="197">
        <v>31437.98</v>
      </c>
      <c r="W86" s="197">
        <v>35870.620000000003</v>
      </c>
      <c r="X86" s="197">
        <v>37996.160000000003</v>
      </c>
      <c r="Y86" s="197">
        <v>37401.79</v>
      </c>
      <c r="Z86" s="197">
        <v>35826.959999999999</v>
      </c>
      <c r="AA86" s="197">
        <v>32974.410000000003</v>
      </c>
      <c r="AB86" s="197">
        <v>30099.77</v>
      </c>
      <c r="AC86" s="210"/>
      <c r="AD86" s="18"/>
    </row>
    <row r="87" spans="2:30" ht="18.649999999999999" customHeight="1" thickBot="1" x14ac:dyDescent="0.4">
      <c r="B87" s="268"/>
      <c r="C87" s="15" t="s">
        <v>32</v>
      </c>
      <c r="D87" s="16">
        <v>2</v>
      </c>
      <c r="E87" s="198">
        <v>25392.25</v>
      </c>
      <c r="F87" s="198">
        <v>24071.759999999998</v>
      </c>
      <c r="G87" s="198">
        <v>22841.05</v>
      </c>
      <c r="H87" s="198">
        <v>22124.53</v>
      </c>
      <c r="I87" s="198">
        <v>21831.65</v>
      </c>
      <c r="J87" s="198">
        <v>20813.09</v>
      </c>
      <c r="K87" s="198">
        <v>19973.62</v>
      </c>
      <c r="L87" s="198">
        <v>19499.939999999999</v>
      </c>
      <c r="M87" s="198">
        <v>20171.98</v>
      </c>
      <c r="N87" s="198">
        <v>20920.099999999999</v>
      </c>
      <c r="O87" s="198">
        <v>21908.48</v>
      </c>
      <c r="P87" s="198">
        <v>22898.45</v>
      </c>
      <c r="Q87" s="198">
        <v>23856.54</v>
      </c>
      <c r="R87" s="198">
        <v>24381</v>
      </c>
      <c r="S87" s="198">
        <v>24989.21</v>
      </c>
      <c r="T87" s="198">
        <v>25878.83</v>
      </c>
      <c r="U87" s="198">
        <v>26595.41</v>
      </c>
      <c r="V87" s="198">
        <v>31357.53</v>
      </c>
      <c r="W87" s="198">
        <v>35781.879999999997</v>
      </c>
      <c r="X87" s="198">
        <v>37877.440000000002</v>
      </c>
      <c r="Y87" s="198">
        <v>37320.9</v>
      </c>
      <c r="Z87" s="198">
        <v>35808.93</v>
      </c>
      <c r="AA87" s="198">
        <v>32961.4</v>
      </c>
      <c r="AB87" s="198">
        <v>30092.89</v>
      </c>
      <c r="AC87" s="210"/>
      <c r="AD87" s="18"/>
    </row>
    <row r="88" spans="2:30" ht="18.649999999999999" customHeight="1" x14ac:dyDescent="0.35">
      <c r="B88" s="207">
        <v>48792</v>
      </c>
      <c r="C88" s="6" t="s">
        <v>29</v>
      </c>
      <c r="D88" s="7">
        <v>22</v>
      </c>
      <c r="E88" s="196">
        <v>27241.29</v>
      </c>
      <c r="F88" s="196">
        <v>25519.58</v>
      </c>
      <c r="G88" s="196">
        <v>24281.22</v>
      </c>
      <c r="H88" s="196">
        <v>23429.95</v>
      </c>
      <c r="I88" s="196">
        <v>23270.34</v>
      </c>
      <c r="J88" s="196">
        <v>23571.47</v>
      </c>
      <c r="K88" s="196">
        <v>23493.06</v>
      </c>
      <c r="L88" s="196">
        <v>24697.06</v>
      </c>
      <c r="M88" s="196">
        <v>27108.98</v>
      </c>
      <c r="N88" s="196">
        <v>28225.32</v>
      </c>
      <c r="O88" s="196">
        <v>30076.35</v>
      </c>
      <c r="P88" s="196">
        <v>31872.26</v>
      </c>
      <c r="Q88" s="196">
        <v>30311.57</v>
      </c>
      <c r="R88" s="196">
        <v>31740.01</v>
      </c>
      <c r="S88" s="196">
        <v>34523.910000000003</v>
      </c>
      <c r="T88" s="196">
        <v>35110.769999999997</v>
      </c>
      <c r="U88" s="196">
        <v>35064.559999999998</v>
      </c>
      <c r="V88" s="196">
        <v>38097.54</v>
      </c>
      <c r="W88" s="196">
        <v>41093.94</v>
      </c>
      <c r="X88" s="196">
        <v>41818.36</v>
      </c>
      <c r="Y88" s="196">
        <v>40794.300000000003</v>
      </c>
      <c r="Z88" s="196">
        <v>38758.35</v>
      </c>
      <c r="AA88" s="196">
        <v>35568.07</v>
      </c>
      <c r="AB88" s="196">
        <v>32505.69</v>
      </c>
      <c r="AC88" s="209">
        <f>SUM(E88:AB88)*D88+SUM(E89:AB89)*D89+SUM(E90:AB90)*D90+SUM(E91:AB91)*D91</f>
        <v>22463034.029999994</v>
      </c>
      <c r="AD88" s="18"/>
    </row>
    <row r="89" spans="2:30" ht="18.649999999999999" customHeight="1" x14ac:dyDescent="0.35">
      <c r="B89" s="267"/>
      <c r="C89" s="9" t="s">
        <v>30</v>
      </c>
      <c r="D89" s="10">
        <v>4</v>
      </c>
      <c r="E89" s="197">
        <v>27454.66</v>
      </c>
      <c r="F89" s="197">
        <v>25873.89</v>
      </c>
      <c r="G89" s="197">
        <v>24685.279999999999</v>
      </c>
      <c r="H89" s="197">
        <v>23770.41</v>
      </c>
      <c r="I89" s="197">
        <v>23083.46</v>
      </c>
      <c r="J89" s="197">
        <v>22364.13</v>
      </c>
      <c r="K89" s="197">
        <v>22011.42</v>
      </c>
      <c r="L89" s="197">
        <v>22836.53</v>
      </c>
      <c r="M89" s="197">
        <v>24820.13</v>
      </c>
      <c r="N89" s="197">
        <v>26210.41</v>
      </c>
      <c r="O89" s="197">
        <v>27538.42</v>
      </c>
      <c r="P89" s="197">
        <v>27854.400000000001</v>
      </c>
      <c r="Q89" s="197">
        <v>27269.02</v>
      </c>
      <c r="R89" s="197">
        <v>27068.06</v>
      </c>
      <c r="S89" s="197">
        <v>27915.03</v>
      </c>
      <c r="T89" s="197">
        <v>28555.93</v>
      </c>
      <c r="U89" s="197">
        <v>29015.85</v>
      </c>
      <c r="V89" s="197">
        <v>33904.25</v>
      </c>
      <c r="W89" s="197">
        <v>38232.28</v>
      </c>
      <c r="X89" s="197">
        <v>38468.410000000003</v>
      </c>
      <c r="Y89" s="197">
        <v>37068.81</v>
      </c>
      <c r="Z89" s="197">
        <v>35481.160000000003</v>
      </c>
      <c r="AA89" s="197">
        <v>33304.629999999997</v>
      </c>
      <c r="AB89" s="197">
        <v>30941.83</v>
      </c>
      <c r="AC89" s="210"/>
      <c r="AD89" s="18"/>
    </row>
    <row r="90" spans="2:30" ht="18.649999999999999" customHeight="1" x14ac:dyDescent="0.35">
      <c r="B90" s="267"/>
      <c r="C90" s="9" t="s">
        <v>31</v>
      </c>
      <c r="D90" s="10">
        <v>4</v>
      </c>
      <c r="E90" s="197">
        <v>26654.36</v>
      </c>
      <c r="F90" s="197">
        <v>25309.43</v>
      </c>
      <c r="G90" s="197">
        <v>23956.560000000001</v>
      </c>
      <c r="H90" s="197">
        <v>23208.68</v>
      </c>
      <c r="I90" s="197">
        <v>22778.77</v>
      </c>
      <c r="J90" s="197">
        <v>22042.2</v>
      </c>
      <c r="K90" s="197">
        <v>21120.959999999999</v>
      </c>
      <c r="L90" s="197">
        <v>20743.560000000001</v>
      </c>
      <c r="M90" s="197">
        <v>21356.85</v>
      </c>
      <c r="N90" s="197">
        <v>22094.2</v>
      </c>
      <c r="O90" s="197">
        <v>22993.52</v>
      </c>
      <c r="P90" s="197">
        <v>23912.04</v>
      </c>
      <c r="Q90" s="197">
        <v>24543.11</v>
      </c>
      <c r="R90" s="197">
        <v>24910.35</v>
      </c>
      <c r="S90" s="197">
        <v>25465.11</v>
      </c>
      <c r="T90" s="197">
        <v>26112.09</v>
      </c>
      <c r="U90" s="197">
        <v>26838.77</v>
      </c>
      <c r="V90" s="197">
        <v>31895.24</v>
      </c>
      <c r="W90" s="197">
        <v>36705.019999999997</v>
      </c>
      <c r="X90" s="197">
        <v>38474.410000000003</v>
      </c>
      <c r="Y90" s="197">
        <v>38340.230000000003</v>
      </c>
      <c r="Z90" s="197">
        <v>37137.97</v>
      </c>
      <c r="AA90" s="197">
        <v>34450.5</v>
      </c>
      <c r="AB90" s="197">
        <v>31442.54</v>
      </c>
      <c r="AC90" s="210"/>
      <c r="AD90" s="18"/>
    </row>
    <row r="91" spans="2:30" ht="18.649999999999999" customHeight="1" thickBot="1" x14ac:dyDescent="0.4">
      <c r="B91" s="268"/>
      <c r="C91" s="11" t="s">
        <v>32</v>
      </c>
      <c r="D91" s="12">
        <v>1</v>
      </c>
      <c r="E91" s="201">
        <v>26852.17</v>
      </c>
      <c r="F91" s="201">
        <v>25423.69</v>
      </c>
      <c r="G91" s="201">
        <v>24067.96</v>
      </c>
      <c r="H91" s="201">
        <v>23299.79</v>
      </c>
      <c r="I91" s="201">
        <v>22857.5</v>
      </c>
      <c r="J91" s="201">
        <v>22108.67</v>
      </c>
      <c r="K91" s="201">
        <v>21148.28</v>
      </c>
      <c r="L91" s="201">
        <v>20736.45</v>
      </c>
      <c r="M91" s="201">
        <v>21298.1</v>
      </c>
      <c r="N91" s="201">
        <v>21947.65</v>
      </c>
      <c r="O91" s="201">
        <v>22846.15</v>
      </c>
      <c r="P91" s="201">
        <v>23721.01</v>
      </c>
      <c r="Q91" s="201">
        <v>24363.02</v>
      </c>
      <c r="R91" s="201">
        <v>24721.42</v>
      </c>
      <c r="S91" s="201">
        <v>25269.4</v>
      </c>
      <c r="T91" s="201">
        <v>25910.9</v>
      </c>
      <c r="U91" s="201">
        <v>26637.25</v>
      </c>
      <c r="V91" s="201">
        <v>31766.87</v>
      </c>
      <c r="W91" s="201">
        <v>36584.519999999997</v>
      </c>
      <c r="X91" s="201">
        <v>38255.269999999997</v>
      </c>
      <c r="Y91" s="201">
        <v>38102.699999999997</v>
      </c>
      <c r="Z91" s="201">
        <v>36912.1</v>
      </c>
      <c r="AA91" s="201">
        <v>34235.11</v>
      </c>
      <c r="AB91" s="201">
        <v>31281.67</v>
      </c>
      <c r="AC91" s="214"/>
      <c r="AD91" s="18"/>
    </row>
    <row r="92" spans="2:30" ht="18.649999999999999" customHeight="1" x14ac:dyDescent="0.35">
      <c r="B92" s="207">
        <v>48823</v>
      </c>
      <c r="C92" s="13" t="s">
        <v>29</v>
      </c>
      <c r="D92" s="14">
        <v>22</v>
      </c>
      <c r="E92" s="200">
        <v>27044.95</v>
      </c>
      <c r="F92" s="200">
        <v>25404.240000000002</v>
      </c>
      <c r="G92" s="200">
        <v>24172.92</v>
      </c>
      <c r="H92" s="200">
        <v>23241.17</v>
      </c>
      <c r="I92" s="200">
        <v>23057.97</v>
      </c>
      <c r="J92" s="200">
        <v>23352.240000000002</v>
      </c>
      <c r="K92" s="200">
        <v>23228.639999999999</v>
      </c>
      <c r="L92" s="200">
        <v>24594.77</v>
      </c>
      <c r="M92" s="200">
        <v>27228.65</v>
      </c>
      <c r="N92" s="200">
        <v>28430.080000000002</v>
      </c>
      <c r="O92" s="200">
        <v>29974.880000000001</v>
      </c>
      <c r="P92" s="200">
        <v>31559.06</v>
      </c>
      <c r="Q92" s="200">
        <v>30241.99</v>
      </c>
      <c r="R92" s="200">
        <v>31481.94</v>
      </c>
      <c r="S92" s="200">
        <v>34038.44</v>
      </c>
      <c r="T92" s="200">
        <v>34636.57</v>
      </c>
      <c r="U92" s="200">
        <v>34680.21</v>
      </c>
      <c r="V92" s="200">
        <v>38085.519999999997</v>
      </c>
      <c r="W92" s="200">
        <v>41152.239999999998</v>
      </c>
      <c r="X92" s="200">
        <v>40816.449999999997</v>
      </c>
      <c r="Y92" s="200">
        <v>39678.26</v>
      </c>
      <c r="Z92" s="200">
        <v>37584.51</v>
      </c>
      <c r="AA92" s="200">
        <v>34345.870000000003</v>
      </c>
      <c r="AB92" s="200">
        <v>31366.720000000001</v>
      </c>
      <c r="AC92" s="210">
        <f>SUM(E92:AB92)*D92+SUM(E93:AB93)*D93+SUM(E94:AB94)*D94+SUM(E95:AB95)*D95</f>
        <v>21556560.620000001</v>
      </c>
      <c r="AD92" s="18"/>
    </row>
    <row r="93" spans="2:30" ht="18.649999999999999" customHeight="1" x14ac:dyDescent="0.35">
      <c r="B93" s="267"/>
      <c r="C93" s="9" t="s">
        <v>30</v>
      </c>
      <c r="D93" s="10">
        <v>4</v>
      </c>
      <c r="E93" s="197">
        <v>25686.34</v>
      </c>
      <c r="F93" s="197">
        <v>24193.84</v>
      </c>
      <c r="G93" s="197">
        <v>23046.65</v>
      </c>
      <c r="H93" s="197">
        <v>22205.62</v>
      </c>
      <c r="I93" s="197">
        <v>21924.15</v>
      </c>
      <c r="J93" s="197">
        <v>21349.97</v>
      </c>
      <c r="K93" s="197">
        <v>21215.119999999999</v>
      </c>
      <c r="L93" s="197">
        <v>22316.639999999999</v>
      </c>
      <c r="M93" s="197">
        <v>24642.95</v>
      </c>
      <c r="N93" s="197">
        <v>25632.03</v>
      </c>
      <c r="O93" s="197">
        <v>27356.3</v>
      </c>
      <c r="P93" s="197">
        <v>28070.720000000001</v>
      </c>
      <c r="Q93" s="197">
        <v>27814.53</v>
      </c>
      <c r="R93" s="197">
        <v>27549.97</v>
      </c>
      <c r="S93" s="197">
        <v>28151.68</v>
      </c>
      <c r="T93" s="197">
        <v>28453.05</v>
      </c>
      <c r="U93" s="197">
        <v>28772.2</v>
      </c>
      <c r="V93" s="197">
        <v>34367.18</v>
      </c>
      <c r="W93" s="197">
        <v>38861.17</v>
      </c>
      <c r="X93" s="197">
        <v>38582.61</v>
      </c>
      <c r="Y93" s="197">
        <v>37380.46</v>
      </c>
      <c r="Z93" s="197">
        <v>35829.440000000002</v>
      </c>
      <c r="AA93" s="197">
        <v>34121.11</v>
      </c>
      <c r="AB93" s="197">
        <v>31743.71</v>
      </c>
      <c r="AC93" s="210"/>
      <c r="AD93" s="18"/>
    </row>
    <row r="94" spans="2:30" ht="18.649999999999999" customHeight="1" x14ac:dyDescent="0.35">
      <c r="B94" s="267"/>
      <c r="C94" s="9" t="s">
        <v>31</v>
      </c>
      <c r="D94" s="10">
        <v>4</v>
      </c>
      <c r="E94" s="197">
        <v>26941.25</v>
      </c>
      <c r="F94" s="197">
        <v>25380.41</v>
      </c>
      <c r="G94" s="197">
        <v>23960.85</v>
      </c>
      <c r="H94" s="197">
        <v>23003.14</v>
      </c>
      <c r="I94" s="197">
        <v>22578.38</v>
      </c>
      <c r="J94" s="197">
        <v>21467.52</v>
      </c>
      <c r="K94" s="197">
        <v>20405.5</v>
      </c>
      <c r="L94" s="197">
        <v>20277.28</v>
      </c>
      <c r="M94" s="197">
        <v>21003.39</v>
      </c>
      <c r="N94" s="197">
        <v>22162.16</v>
      </c>
      <c r="O94" s="197">
        <v>23202.12</v>
      </c>
      <c r="P94" s="197">
        <v>23635.1</v>
      </c>
      <c r="Q94" s="197">
        <v>24405.759999999998</v>
      </c>
      <c r="R94" s="197">
        <v>24698.09</v>
      </c>
      <c r="S94" s="197">
        <v>25006.29</v>
      </c>
      <c r="T94" s="197">
        <v>25857.54</v>
      </c>
      <c r="U94" s="197">
        <v>26506.74</v>
      </c>
      <c r="V94" s="197">
        <v>32073.35</v>
      </c>
      <c r="W94" s="197">
        <v>36794.370000000003</v>
      </c>
      <c r="X94" s="197">
        <v>37389.51</v>
      </c>
      <c r="Y94" s="197">
        <v>37055.69</v>
      </c>
      <c r="Z94" s="197">
        <v>35788.65</v>
      </c>
      <c r="AA94" s="197">
        <v>33207.839999999997</v>
      </c>
      <c r="AB94" s="197">
        <v>30381.19</v>
      </c>
      <c r="AC94" s="210"/>
      <c r="AD94" s="18"/>
    </row>
    <row r="95" spans="2:30" ht="18.649999999999999" customHeight="1" thickBot="1" x14ac:dyDescent="0.4">
      <c r="B95" s="268"/>
      <c r="C95" s="15" t="s">
        <v>32</v>
      </c>
      <c r="D95" s="16">
        <v>0</v>
      </c>
      <c r="E95" s="199">
        <v>0</v>
      </c>
      <c r="F95" s="199">
        <v>0</v>
      </c>
      <c r="G95" s="199">
        <v>0</v>
      </c>
      <c r="H95" s="199">
        <v>0</v>
      </c>
      <c r="I95" s="199">
        <v>0</v>
      </c>
      <c r="J95" s="199">
        <v>0</v>
      </c>
      <c r="K95" s="199">
        <v>0</v>
      </c>
      <c r="L95" s="199">
        <v>0</v>
      </c>
      <c r="M95" s="199">
        <v>0</v>
      </c>
      <c r="N95" s="199">
        <v>0</v>
      </c>
      <c r="O95" s="199">
        <v>0</v>
      </c>
      <c r="P95" s="199">
        <v>0</v>
      </c>
      <c r="Q95" s="199">
        <v>0</v>
      </c>
      <c r="R95" s="199">
        <v>0</v>
      </c>
      <c r="S95" s="199">
        <v>0</v>
      </c>
      <c r="T95" s="199">
        <v>0</v>
      </c>
      <c r="U95" s="199">
        <v>0</v>
      </c>
      <c r="V95" s="199">
        <v>0</v>
      </c>
      <c r="W95" s="199">
        <v>0</v>
      </c>
      <c r="X95" s="199">
        <v>0</v>
      </c>
      <c r="Y95" s="199">
        <v>0</v>
      </c>
      <c r="Z95" s="199">
        <v>0</v>
      </c>
      <c r="AA95" s="199">
        <v>0</v>
      </c>
      <c r="AB95" s="199">
        <v>0</v>
      </c>
      <c r="AC95" s="210"/>
      <c r="AD95" s="18"/>
    </row>
    <row r="96" spans="2:30" ht="18.649999999999999" customHeight="1" x14ac:dyDescent="0.35">
      <c r="B96" s="207">
        <v>48853</v>
      </c>
      <c r="C96" s="6" t="s">
        <v>29</v>
      </c>
      <c r="D96" s="7">
        <v>20</v>
      </c>
      <c r="E96" s="196">
        <v>26028.6</v>
      </c>
      <c r="F96" s="196">
        <v>24460.45</v>
      </c>
      <c r="G96" s="196">
        <v>23284.48</v>
      </c>
      <c r="H96" s="196">
        <v>22389.62</v>
      </c>
      <c r="I96" s="196">
        <v>22348.37</v>
      </c>
      <c r="J96" s="196">
        <v>22575.51</v>
      </c>
      <c r="K96" s="196">
        <v>22790.62</v>
      </c>
      <c r="L96" s="196">
        <v>24141.47</v>
      </c>
      <c r="M96" s="196">
        <v>26589.119999999999</v>
      </c>
      <c r="N96" s="196">
        <v>27751.74</v>
      </c>
      <c r="O96" s="196">
        <v>29212.03</v>
      </c>
      <c r="P96" s="196">
        <v>30636.35</v>
      </c>
      <c r="Q96" s="196">
        <v>28984.12</v>
      </c>
      <c r="R96" s="196">
        <v>30132.58</v>
      </c>
      <c r="S96" s="196">
        <v>32626.44</v>
      </c>
      <c r="T96" s="196">
        <v>33549.46</v>
      </c>
      <c r="U96" s="196">
        <v>33995.21</v>
      </c>
      <c r="V96" s="196">
        <v>38424.22</v>
      </c>
      <c r="W96" s="196">
        <v>41317.42</v>
      </c>
      <c r="X96" s="196">
        <v>40414.480000000003</v>
      </c>
      <c r="Y96" s="196">
        <v>39039.99</v>
      </c>
      <c r="Z96" s="196">
        <v>36930.31</v>
      </c>
      <c r="AA96" s="196">
        <v>33749.33</v>
      </c>
      <c r="AB96" s="196">
        <v>30631.759999999998</v>
      </c>
      <c r="AC96" s="209">
        <f>SUM(E96:AB96)*D96+SUM(E97:AB97)*D97+SUM(E98:AB98)*D98+SUM(E99:AB99)*D99</f>
        <v>21752953.709999997</v>
      </c>
      <c r="AD96" s="18"/>
    </row>
    <row r="97" spans="2:50" ht="18.649999999999999" customHeight="1" x14ac:dyDescent="0.35">
      <c r="B97" s="267"/>
      <c r="C97" s="9" t="s">
        <v>30</v>
      </c>
      <c r="D97" s="10">
        <v>5</v>
      </c>
      <c r="E97" s="197">
        <v>26414.2</v>
      </c>
      <c r="F97" s="197">
        <v>24713.01</v>
      </c>
      <c r="G97" s="197">
        <v>23289.119999999999</v>
      </c>
      <c r="H97" s="197">
        <v>22418.22</v>
      </c>
      <c r="I97" s="197">
        <v>22342.46</v>
      </c>
      <c r="J97" s="197">
        <v>21741.95</v>
      </c>
      <c r="K97" s="197">
        <v>21839.82</v>
      </c>
      <c r="L97" s="197">
        <v>22635.03</v>
      </c>
      <c r="M97" s="197">
        <v>24915.69</v>
      </c>
      <c r="N97" s="197">
        <v>26192.880000000001</v>
      </c>
      <c r="O97" s="197">
        <v>27814.82</v>
      </c>
      <c r="P97" s="197">
        <v>28604.92</v>
      </c>
      <c r="Q97" s="197">
        <v>27991.45</v>
      </c>
      <c r="R97" s="197">
        <v>27807.52</v>
      </c>
      <c r="S97" s="197">
        <v>28607.02</v>
      </c>
      <c r="T97" s="197">
        <v>29550.2</v>
      </c>
      <c r="U97" s="197">
        <v>30153.73</v>
      </c>
      <c r="V97" s="197">
        <v>35917.68</v>
      </c>
      <c r="W97" s="197">
        <v>39737.57</v>
      </c>
      <c r="X97" s="197">
        <v>38995.01</v>
      </c>
      <c r="Y97" s="197">
        <v>37500.33</v>
      </c>
      <c r="Z97" s="197">
        <v>35645.72</v>
      </c>
      <c r="AA97" s="197">
        <v>33431.71</v>
      </c>
      <c r="AB97" s="197">
        <v>30966.77</v>
      </c>
      <c r="AC97" s="210"/>
      <c r="AD97" s="18"/>
    </row>
    <row r="98" spans="2:50" ht="18.649999999999999" customHeight="1" x14ac:dyDescent="0.35">
      <c r="B98" s="267"/>
      <c r="C98" s="9" t="s">
        <v>31</v>
      </c>
      <c r="D98" s="10">
        <v>5</v>
      </c>
      <c r="E98" s="197">
        <v>26391.85</v>
      </c>
      <c r="F98" s="197">
        <v>24782.27</v>
      </c>
      <c r="G98" s="197">
        <v>23483.66</v>
      </c>
      <c r="H98" s="197">
        <v>22703.94</v>
      </c>
      <c r="I98" s="197">
        <v>22283.81</v>
      </c>
      <c r="J98" s="197">
        <v>21376.01</v>
      </c>
      <c r="K98" s="197">
        <v>20211.22</v>
      </c>
      <c r="L98" s="197">
        <v>20049.37</v>
      </c>
      <c r="M98" s="197">
        <v>20827.169999999998</v>
      </c>
      <c r="N98" s="197">
        <v>21562.52</v>
      </c>
      <c r="O98" s="197">
        <v>22683.84</v>
      </c>
      <c r="P98" s="197">
        <v>23774.92</v>
      </c>
      <c r="Q98" s="197">
        <v>24485.67</v>
      </c>
      <c r="R98" s="197">
        <v>24873.62</v>
      </c>
      <c r="S98" s="197">
        <v>25519.67</v>
      </c>
      <c r="T98" s="197">
        <v>25933.81</v>
      </c>
      <c r="U98" s="197">
        <v>27057.85</v>
      </c>
      <c r="V98" s="197">
        <v>33017.800000000003</v>
      </c>
      <c r="W98" s="197">
        <v>37679.71</v>
      </c>
      <c r="X98" s="197">
        <v>38010.370000000003</v>
      </c>
      <c r="Y98" s="197">
        <v>37569.64</v>
      </c>
      <c r="Z98" s="197">
        <v>36157.660000000003</v>
      </c>
      <c r="AA98" s="197">
        <v>33396.959999999999</v>
      </c>
      <c r="AB98" s="197">
        <v>30574.33</v>
      </c>
      <c r="AC98" s="210"/>
      <c r="AD98" s="18"/>
    </row>
    <row r="99" spans="2:50" ht="18.649999999999999" customHeight="1" thickBot="1" x14ac:dyDescent="0.4">
      <c r="B99" s="268"/>
      <c r="C99" s="11" t="s">
        <v>32</v>
      </c>
      <c r="D99" s="12">
        <v>1</v>
      </c>
      <c r="E99" s="201">
        <v>26509.62</v>
      </c>
      <c r="F99" s="201">
        <v>24927.39</v>
      </c>
      <c r="G99" s="201">
        <v>23625.279999999999</v>
      </c>
      <c r="H99" s="201">
        <v>22821.119999999999</v>
      </c>
      <c r="I99" s="201">
        <v>22375.68</v>
      </c>
      <c r="J99" s="201">
        <v>21498.09</v>
      </c>
      <c r="K99" s="201">
        <v>20274.95</v>
      </c>
      <c r="L99" s="201">
        <v>20087.87</v>
      </c>
      <c r="M99" s="201">
        <v>20912.169999999998</v>
      </c>
      <c r="N99" s="201">
        <v>21649.82</v>
      </c>
      <c r="O99" s="201">
        <v>22727.3</v>
      </c>
      <c r="P99" s="201">
        <v>23790.79</v>
      </c>
      <c r="Q99" s="201">
        <v>24490.33</v>
      </c>
      <c r="R99" s="201">
        <v>24853.87</v>
      </c>
      <c r="S99" s="201">
        <v>25459.9</v>
      </c>
      <c r="T99" s="201">
        <v>25834.03</v>
      </c>
      <c r="U99" s="201">
        <v>26986.45</v>
      </c>
      <c r="V99" s="201">
        <v>32918.129999999997</v>
      </c>
      <c r="W99" s="201">
        <v>37529.96</v>
      </c>
      <c r="X99" s="201">
        <v>37846.46</v>
      </c>
      <c r="Y99" s="201">
        <v>37520.44</v>
      </c>
      <c r="Z99" s="201">
        <v>36114.93</v>
      </c>
      <c r="AA99" s="201">
        <v>33377.15</v>
      </c>
      <c r="AB99" s="201">
        <v>30575.88</v>
      </c>
      <c r="AC99" s="214"/>
      <c r="AD99" s="18"/>
    </row>
    <row r="100" spans="2:50" ht="18.649999999999999" customHeight="1" x14ac:dyDescent="0.35">
      <c r="B100" s="207">
        <v>48884</v>
      </c>
      <c r="C100" s="13" t="s">
        <v>29</v>
      </c>
      <c r="D100" s="14">
        <v>20</v>
      </c>
      <c r="E100" s="200">
        <v>25037.52</v>
      </c>
      <c r="F100" s="200">
        <v>23523.68</v>
      </c>
      <c r="G100" s="200">
        <v>22395.54</v>
      </c>
      <c r="H100" s="200">
        <v>21601.13</v>
      </c>
      <c r="I100" s="200">
        <v>21575.68</v>
      </c>
      <c r="J100" s="200">
        <v>21755.89</v>
      </c>
      <c r="K100" s="200">
        <v>22003.84</v>
      </c>
      <c r="L100" s="200">
        <v>23610.57</v>
      </c>
      <c r="M100" s="200">
        <v>26034.97</v>
      </c>
      <c r="N100" s="200">
        <v>27125.25</v>
      </c>
      <c r="O100" s="200">
        <v>28440.71</v>
      </c>
      <c r="P100" s="200">
        <v>29465.82</v>
      </c>
      <c r="Q100" s="200">
        <v>27986.5</v>
      </c>
      <c r="R100" s="200">
        <v>28946.2</v>
      </c>
      <c r="S100" s="200">
        <v>31058.71</v>
      </c>
      <c r="T100" s="200">
        <v>31985.68</v>
      </c>
      <c r="U100" s="200">
        <v>32436.720000000001</v>
      </c>
      <c r="V100" s="200">
        <v>37201.01</v>
      </c>
      <c r="W100" s="200">
        <v>39497.11</v>
      </c>
      <c r="X100" s="200">
        <v>38638.79</v>
      </c>
      <c r="Y100" s="200">
        <v>37407.01</v>
      </c>
      <c r="Z100" s="200">
        <v>35472.14</v>
      </c>
      <c r="AA100" s="200">
        <v>32564.03</v>
      </c>
      <c r="AB100" s="200">
        <v>29631.38</v>
      </c>
      <c r="AC100" s="210">
        <f>SUM(E100:AB100)*D100+SUM(E101:AB101)*D101+SUM(E102:AB102)*D102+SUM(E103:AB103)*D103</f>
        <v>20207510.220000003</v>
      </c>
      <c r="AD100" s="18"/>
    </row>
    <row r="101" spans="2:50" ht="18.649999999999999" customHeight="1" x14ac:dyDescent="0.35">
      <c r="B101" s="267"/>
      <c r="C101" s="9" t="s">
        <v>30</v>
      </c>
      <c r="D101" s="10">
        <v>4</v>
      </c>
      <c r="E101" s="197">
        <v>24088.13</v>
      </c>
      <c r="F101" s="197">
        <v>22734.400000000001</v>
      </c>
      <c r="G101" s="197">
        <v>21765.62</v>
      </c>
      <c r="H101" s="197">
        <v>21125.73</v>
      </c>
      <c r="I101" s="197">
        <v>21036.57</v>
      </c>
      <c r="J101" s="197">
        <v>20351.080000000002</v>
      </c>
      <c r="K101" s="197">
        <v>20506.47</v>
      </c>
      <c r="L101" s="197">
        <v>21729.46</v>
      </c>
      <c r="M101" s="197">
        <v>24061.8</v>
      </c>
      <c r="N101" s="197">
        <v>25309.33</v>
      </c>
      <c r="O101" s="197">
        <v>26977.53</v>
      </c>
      <c r="P101" s="197">
        <v>27601.1</v>
      </c>
      <c r="Q101" s="197">
        <v>27077.26</v>
      </c>
      <c r="R101" s="197">
        <v>26463.33</v>
      </c>
      <c r="S101" s="197">
        <v>26412.49</v>
      </c>
      <c r="T101" s="197">
        <v>27236.93</v>
      </c>
      <c r="U101" s="197">
        <v>28023.08</v>
      </c>
      <c r="V101" s="197">
        <v>34252.230000000003</v>
      </c>
      <c r="W101" s="197">
        <v>37547.949999999997</v>
      </c>
      <c r="X101" s="197">
        <v>36966.04</v>
      </c>
      <c r="Y101" s="197">
        <v>35737.35</v>
      </c>
      <c r="Z101" s="197">
        <v>34180.300000000003</v>
      </c>
      <c r="AA101" s="197">
        <v>32192.74</v>
      </c>
      <c r="AB101" s="197">
        <v>29785.72</v>
      </c>
      <c r="AC101" s="210"/>
      <c r="AD101" s="18"/>
    </row>
    <row r="102" spans="2:50" ht="18.649999999999999" customHeight="1" x14ac:dyDescent="0.35">
      <c r="B102" s="267"/>
      <c r="C102" s="9" t="s">
        <v>31</v>
      </c>
      <c r="D102" s="10">
        <v>4</v>
      </c>
      <c r="E102" s="197">
        <v>25566.05</v>
      </c>
      <c r="F102" s="197">
        <v>24199.09</v>
      </c>
      <c r="G102" s="197">
        <v>22944.05</v>
      </c>
      <c r="H102" s="197">
        <v>22069.33</v>
      </c>
      <c r="I102" s="197">
        <v>21662.09</v>
      </c>
      <c r="J102" s="197">
        <v>20894.740000000002</v>
      </c>
      <c r="K102" s="197">
        <v>19908.84</v>
      </c>
      <c r="L102" s="197">
        <v>19660.07</v>
      </c>
      <c r="M102" s="197">
        <v>20407.12</v>
      </c>
      <c r="N102" s="197">
        <v>21186.75</v>
      </c>
      <c r="O102" s="197">
        <v>22343.24</v>
      </c>
      <c r="P102" s="197">
        <v>22880.54</v>
      </c>
      <c r="Q102" s="197">
        <v>23464.85</v>
      </c>
      <c r="R102" s="197">
        <v>23664.67</v>
      </c>
      <c r="S102" s="197">
        <v>23887.07</v>
      </c>
      <c r="T102" s="197">
        <v>24497.64</v>
      </c>
      <c r="U102" s="197">
        <v>25369.31</v>
      </c>
      <c r="V102" s="197">
        <v>31806.62</v>
      </c>
      <c r="W102" s="197">
        <v>35218.44</v>
      </c>
      <c r="X102" s="197">
        <v>35288.11</v>
      </c>
      <c r="Y102" s="197">
        <v>34562.86</v>
      </c>
      <c r="Z102" s="197">
        <v>33294.449999999997</v>
      </c>
      <c r="AA102" s="197">
        <v>31240.55</v>
      </c>
      <c r="AB102" s="197">
        <v>29004.61</v>
      </c>
      <c r="AC102" s="210"/>
      <c r="AD102" s="18"/>
    </row>
    <row r="103" spans="2:50" ht="18.649999999999999" customHeight="1" thickBot="1" x14ac:dyDescent="0.4">
      <c r="B103" s="268"/>
      <c r="C103" s="15" t="s">
        <v>32</v>
      </c>
      <c r="D103" s="16">
        <v>2</v>
      </c>
      <c r="E103" s="198">
        <v>25581.15</v>
      </c>
      <c r="F103" s="198">
        <v>24210.19</v>
      </c>
      <c r="G103" s="198">
        <v>22955.52</v>
      </c>
      <c r="H103" s="198">
        <v>22078.34</v>
      </c>
      <c r="I103" s="198">
        <v>21673.63</v>
      </c>
      <c r="J103" s="198">
        <v>20905.48</v>
      </c>
      <c r="K103" s="198">
        <v>19889.96</v>
      </c>
      <c r="L103" s="198">
        <v>19611.11</v>
      </c>
      <c r="M103" s="198">
        <v>20388.77</v>
      </c>
      <c r="N103" s="198">
        <v>21173.75</v>
      </c>
      <c r="O103" s="198">
        <v>22281.24</v>
      </c>
      <c r="P103" s="198">
        <v>22771.82</v>
      </c>
      <c r="Q103" s="198">
        <v>23373.48</v>
      </c>
      <c r="R103" s="198">
        <v>23550</v>
      </c>
      <c r="S103" s="198">
        <v>23749.18</v>
      </c>
      <c r="T103" s="198">
        <v>24355.200000000001</v>
      </c>
      <c r="U103" s="198">
        <v>25277.4</v>
      </c>
      <c r="V103" s="198">
        <v>31702.11</v>
      </c>
      <c r="W103" s="198">
        <v>35028.160000000003</v>
      </c>
      <c r="X103" s="198">
        <v>35094.29</v>
      </c>
      <c r="Y103" s="198">
        <v>34431.96</v>
      </c>
      <c r="Z103" s="198">
        <v>33215.870000000003</v>
      </c>
      <c r="AA103" s="198">
        <v>31176.89</v>
      </c>
      <c r="AB103" s="198">
        <v>28953.35</v>
      </c>
      <c r="AC103" s="210"/>
      <c r="AD103" s="18"/>
    </row>
    <row r="104" spans="2:50" ht="18.649999999999999" customHeight="1" x14ac:dyDescent="0.35">
      <c r="B104" s="207">
        <v>48914</v>
      </c>
      <c r="C104" s="6" t="s">
        <v>29</v>
      </c>
      <c r="D104" s="7">
        <v>21</v>
      </c>
      <c r="E104" s="196">
        <v>27491.87</v>
      </c>
      <c r="F104" s="196">
        <v>25783.15</v>
      </c>
      <c r="G104" s="196">
        <v>24506.04</v>
      </c>
      <c r="H104" s="196">
        <v>23726.97</v>
      </c>
      <c r="I104" s="196">
        <v>23550.97</v>
      </c>
      <c r="J104" s="196">
        <v>23531.39</v>
      </c>
      <c r="K104" s="196">
        <v>23390.33</v>
      </c>
      <c r="L104" s="196">
        <v>24745.81</v>
      </c>
      <c r="M104" s="196">
        <v>27109.1</v>
      </c>
      <c r="N104" s="196">
        <v>28379.62</v>
      </c>
      <c r="O104" s="196">
        <v>29583.9</v>
      </c>
      <c r="P104" s="196">
        <v>30655.97</v>
      </c>
      <c r="Q104" s="196">
        <v>29655.9</v>
      </c>
      <c r="R104" s="196">
        <v>30242.26</v>
      </c>
      <c r="S104" s="196">
        <v>32048.99</v>
      </c>
      <c r="T104" s="196">
        <v>33017.339999999997</v>
      </c>
      <c r="U104" s="196">
        <v>33749.760000000002</v>
      </c>
      <c r="V104" s="196">
        <v>38686.449999999997</v>
      </c>
      <c r="W104" s="196">
        <v>42285.64</v>
      </c>
      <c r="X104" s="196">
        <v>41484.980000000003</v>
      </c>
      <c r="Y104" s="196">
        <v>40004.35</v>
      </c>
      <c r="Z104" s="196">
        <v>37758.36</v>
      </c>
      <c r="AA104" s="196">
        <v>34932.1</v>
      </c>
      <c r="AB104" s="196">
        <v>32216.37</v>
      </c>
      <c r="AC104" s="209">
        <f>SUM(E104:AB104)*D104+SUM(E105:AB105)*D105+SUM(E106:AB106)*D106+SUM(E107:AB107)*D107</f>
        <v>22476422.589999996</v>
      </c>
      <c r="AD104" s="18"/>
    </row>
    <row r="105" spans="2:50" ht="18.649999999999999" customHeight="1" x14ac:dyDescent="0.35">
      <c r="B105" s="267"/>
      <c r="C105" s="9" t="s">
        <v>30</v>
      </c>
      <c r="D105" s="10">
        <v>5</v>
      </c>
      <c r="E105" s="197">
        <v>27808.82</v>
      </c>
      <c r="F105" s="197">
        <v>26012.69</v>
      </c>
      <c r="G105" s="197">
        <v>24848.68</v>
      </c>
      <c r="H105" s="197">
        <v>23970.27</v>
      </c>
      <c r="I105" s="197">
        <v>23675.31</v>
      </c>
      <c r="J105" s="197">
        <v>23202.29</v>
      </c>
      <c r="K105" s="197">
        <v>22765.45</v>
      </c>
      <c r="L105" s="197">
        <v>23344.51</v>
      </c>
      <c r="M105" s="197">
        <v>26024.33</v>
      </c>
      <c r="N105" s="197">
        <v>27520.17</v>
      </c>
      <c r="O105" s="197">
        <v>28905.63</v>
      </c>
      <c r="P105" s="197">
        <v>29871.39</v>
      </c>
      <c r="Q105" s="197">
        <v>29291.47</v>
      </c>
      <c r="R105" s="197">
        <v>29253.64</v>
      </c>
      <c r="S105" s="197">
        <v>29252.51</v>
      </c>
      <c r="T105" s="197">
        <v>30138.47</v>
      </c>
      <c r="U105" s="197">
        <v>31081.41</v>
      </c>
      <c r="V105" s="197">
        <v>36636.58</v>
      </c>
      <c r="W105" s="197">
        <v>41157.25</v>
      </c>
      <c r="X105" s="197">
        <v>40522.43</v>
      </c>
      <c r="Y105" s="197">
        <v>39054.089999999997</v>
      </c>
      <c r="Z105" s="197">
        <v>37560.43</v>
      </c>
      <c r="AA105" s="197">
        <v>35208.699999999997</v>
      </c>
      <c r="AB105" s="197">
        <v>32704.37</v>
      </c>
      <c r="AC105" s="210"/>
      <c r="AD105" s="18"/>
    </row>
    <row r="106" spans="2:50" ht="18.649999999999999" customHeight="1" x14ac:dyDescent="0.35">
      <c r="B106" s="267"/>
      <c r="C106" s="9" t="s">
        <v>31</v>
      </c>
      <c r="D106" s="10">
        <v>3</v>
      </c>
      <c r="E106" s="197">
        <v>28338.12</v>
      </c>
      <c r="F106" s="197">
        <v>26776.81</v>
      </c>
      <c r="G106" s="197">
        <v>25489.31</v>
      </c>
      <c r="H106" s="197">
        <v>24567.08</v>
      </c>
      <c r="I106" s="197">
        <v>24121.71</v>
      </c>
      <c r="J106" s="197">
        <v>23467.77</v>
      </c>
      <c r="K106" s="197">
        <v>21943.58</v>
      </c>
      <c r="L106" s="197">
        <v>21412.01</v>
      </c>
      <c r="M106" s="197">
        <v>22372.77</v>
      </c>
      <c r="N106" s="197">
        <v>23401.94</v>
      </c>
      <c r="O106" s="197">
        <v>24018.3</v>
      </c>
      <c r="P106" s="197">
        <v>24857.67</v>
      </c>
      <c r="Q106" s="197">
        <v>25560.95</v>
      </c>
      <c r="R106" s="197">
        <v>26295.18</v>
      </c>
      <c r="S106" s="197">
        <v>25324.27</v>
      </c>
      <c r="T106" s="197">
        <v>26943.5</v>
      </c>
      <c r="U106" s="197">
        <v>28174.9</v>
      </c>
      <c r="V106" s="197">
        <v>33978.82</v>
      </c>
      <c r="W106" s="197">
        <v>38618.26</v>
      </c>
      <c r="X106" s="197">
        <v>38169.4</v>
      </c>
      <c r="Y106" s="197">
        <v>37112.400000000001</v>
      </c>
      <c r="Z106" s="197">
        <v>35870.769999999997</v>
      </c>
      <c r="AA106" s="197">
        <v>33795.339999999997</v>
      </c>
      <c r="AB106" s="197">
        <v>31796.94</v>
      </c>
      <c r="AC106" s="210"/>
      <c r="AD106" s="18"/>
    </row>
    <row r="107" spans="2:50" ht="18.649999999999999" customHeight="1" thickBot="1" x14ac:dyDescent="0.4">
      <c r="B107" s="268"/>
      <c r="C107" s="11" t="s">
        <v>32</v>
      </c>
      <c r="D107" s="12">
        <v>2</v>
      </c>
      <c r="E107" s="201">
        <v>28269.38</v>
      </c>
      <c r="F107" s="201">
        <v>26689.360000000001</v>
      </c>
      <c r="G107" s="201">
        <v>25407.01</v>
      </c>
      <c r="H107" s="201">
        <v>24509.64</v>
      </c>
      <c r="I107" s="201">
        <v>24100.21</v>
      </c>
      <c r="J107" s="201">
        <v>23508.080000000002</v>
      </c>
      <c r="K107" s="201">
        <v>22051.599999999999</v>
      </c>
      <c r="L107" s="201">
        <v>21583.22</v>
      </c>
      <c r="M107" s="201">
        <v>22634.44</v>
      </c>
      <c r="N107" s="201">
        <v>23699.89</v>
      </c>
      <c r="O107" s="201">
        <v>24383.5</v>
      </c>
      <c r="P107" s="201">
        <v>25195.3</v>
      </c>
      <c r="Q107" s="201">
        <v>25841.43</v>
      </c>
      <c r="R107" s="201">
        <v>26507.66</v>
      </c>
      <c r="S107" s="201">
        <v>25525.49</v>
      </c>
      <c r="T107" s="201">
        <v>27134.78</v>
      </c>
      <c r="U107" s="201">
        <v>28329.13</v>
      </c>
      <c r="V107" s="201">
        <v>34164.36</v>
      </c>
      <c r="W107" s="201">
        <v>38764.589999999997</v>
      </c>
      <c r="X107" s="201">
        <v>38272.26</v>
      </c>
      <c r="Y107" s="201">
        <v>37217.370000000003</v>
      </c>
      <c r="Z107" s="201">
        <v>35943.33</v>
      </c>
      <c r="AA107" s="201">
        <v>33867.800000000003</v>
      </c>
      <c r="AB107" s="201">
        <v>31827.53</v>
      </c>
      <c r="AC107" s="214"/>
      <c r="AD107" s="18"/>
    </row>
    <row r="108" spans="2:50" ht="18.649999999999999" customHeight="1" thickBot="1" x14ac:dyDescent="0.4"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215" t="s">
        <v>33</v>
      </c>
      <c r="AA108" s="216"/>
      <c r="AB108" s="217"/>
      <c r="AC108" s="135">
        <f>SUM(AC60:AC107)</f>
        <v>267862558.58000001</v>
      </c>
      <c r="AD108" s="17"/>
      <c r="AE108" s="18"/>
    </row>
    <row r="109" spans="2:50" ht="18.649999999999999" customHeight="1" x14ac:dyDescent="0.35">
      <c r="B109" s="207">
        <v>48945</v>
      </c>
      <c r="C109" s="6" t="s">
        <v>29</v>
      </c>
      <c r="D109" s="46">
        <v>21</v>
      </c>
      <c r="E109" s="78">
        <v>29534.23</v>
      </c>
      <c r="F109" s="78">
        <v>27857.74</v>
      </c>
      <c r="G109" s="78">
        <v>26580.78</v>
      </c>
      <c r="H109" s="78">
        <v>25647.45</v>
      </c>
      <c r="I109" s="78">
        <v>25453.49</v>
      </c>
      <c r="J109" s="78">
        <v>25877.43</v>
      </c>
      <c r="K109" s="78">
        <v>25401.47</v>
      </c>
      <c r="L109" s="78">
        <v>27105.5</v>
      </c>
      <c r="M109" s="78">
        <v>29675.26</v>
      </c>
      <c r="N109" s="78">
        <v>30977.75</v>
      </c>
      <c r="O109" s="78">
        <v>32667.03</v>
      </c>
      <c r="P109" s="78">
        <v>34210.85</v>
      </c>
      <c r="Q109" s="78">
        <v>33086.800000000003</v>
      </c>
      <c r="R109" s="78">
        <v>34378.620000000003</v>
      </c>
      <c r="S109" s="78">
        <v>36522.43</v>
      </c>
      <c r="T109" s="78">
        <v>37052.629999999997</v>
      </c>
      <c r="U109" s="78">
        <v>37093.089999999997</v>
      </c>
      <c r="V109" s="78">
        <v>39809.550000000003</v>
      </c>
      <c r="W109" s="78">
        <v>43180.79</v>
      </c>
      <c r="X109" s="78">
        <v>43351.42</v>
      </c>
      <c r="Y109" s="78">
        <v>42264.42</v>
      </c>
      <c r="Z109" s="78">
        <v>40398.11</v>
      </c>
      <c r="AA109" s="78">
        <v>37493.160000000003</v>
      </c>
      <c r="AB109" s="78">
        <v>34421.629999999997</v>
      </c>
      <c r="AC109" s="209">
        <f>SUM(E109:AB109)*D109+SUM(E110:AB110)*D110+SUM(E111:AB111)*D111+SUM(E112:AB112)*D112</f>
        <v>23965360.670000006</v>
      </c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</row>
    <row r="110" spans="2:50" ht="18.649999999999999" customHeight="1" x14ac:dyDescent="0.35">
      <c r="B110" s="267"/>
      <c r="C110" s="9" t="s">
        <v>30</v>
      </c>
      <c r="D110" s="10">
        <v>4</v>
      </c>
      <c r="E110" s="79">
        <v>29237.86</v>
      </c>
      <c r="F110" s="79">
        <v>27693.49</v>
      </c>
      <c r="G110" s="79">
        <v>26451.46</v>
      </c>
      <c r="H110" s="79">
        <v>25500.99</v>
      </c>
      <c r="I110" s="79">
        <v>25187.48</v>
      </c>
      <c r="J110" s="79">
        <v>24908.55</v>
      </c>
      <c r="K110" s="79">
        <v>23964.86</v>
      </c>
      <c r="L110" s="79">
        <v>25016.1</v>
      </c>
      <c r="M110" s="79">
        <v>27391.74</v>
      </c>
      <c r="N110" s="79">
        <v>29110.15</v>
      </c>
      <c r="O110" s="79">
        <v>30528.67</v>
      </c>
      <c r="P110" s="79">
        <v>31318.9</v>
      </c>
      <c r="Q110" s="79">
        <v>30993.62</v>
      </c>
      <c r="R110" s="79">
        <v>30244.75</v>
      </c>
      <c r="S110" s="79">
        <v>30652.81</v>
      </c>
      <c r="T110" s="79">
        <v>31125.27</v>
      </c>
      <c r="U110" s="79">
        <v>31545.07</v>
      </c>
      <c r="V110" s="79">
        <v>36062.5</v>
      </c>
      <c r="W110" s="79">
        <v>40696.33</v>
      </c>
      <c r="X110" s="79">
        <v>40958.97</v>
      </c>
      <c r="Y110" s="79">
        <v>39764.54</v>
      </c>
      <c r="Z110" s="79">
        <v>38162.31</v>
      </c>
      <c r="AA110" s="79">
        <v>36072.5</v>
      </c>
      <c r="AB110" s="79">
        <v>33715.279999999999</v>
      </c>
      <c r="AC110" s="210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</row>
    <row r="111" spans="2:50" ht="18.649999999999999" customHeight="1" x14ac:dyDescent="0.35">
      <c r="B111" s="267"/>
      <c r="C111" s="9" t="s">
        <v>31</v>
      </c>
      <c r="D111" s="10">
        <v>4</v>
      </c>
      <c r="E111" s="79">
        <v>29476.06</v>
      </c>
      <c r="F111" s="79">
        <v>27881.71</v>
      </c>
      <c r="G111" s="79">
        <v>26566.33</v>
      </c>
      <c r="H111" s="79">
        <v>25598.9</v>
      </c>
      <c r="I111" s="79">
        <v>25124</v>
      </c>
      <c r="J111" s="79">
        <v>24510.42</v>
      </c>
      <c r="K111" s="79">
        <v>22843.77</v>
      </c>
      <c r="L111" s="79">
        <v>22371.73</v>
      </c>
      <c r="M111" s="79">
        <v>23201.82</v>
      </c>
      <c r="N111" s="79">
        <v>24055.61</v>
      </c>
      <c r="O111" s="79">
        <v>25139.89</v>
      </c>
      <c r="P111" s="79">
        <v>26145.03</v>
      </c>
      <c r="Q111" s="79">
        <v>26943.94</v>
      </c>
      <c r="R111" s="79">
        <v>27167.040000000001</v>
      </c>
      <c r="S111" s="79">
        <v>27401.93</v>
      </c>
      <c r="T111" s="79">
        <v>27844.47</v>
      </c>
      <c r="U111" s="79">
        <v>28637.43</v>
      </c>
      <c r="V111" s="79">
        <v>33272.980000000003</v>
      </c>
      <c r="W111" s="79">
        <v>38282.120000000003</v>
      </c>
      <c r="X111" s="79">
        <v>39377.1</v>
      </c>
      <c r="Y111" s="79">
        <v>38985.599999999999</v>
      </c>
      <c r="Z111" s="79">
        <v>37769.46</v>
      </c>
      <c r="AA111" s="79">
        <v>35384.32</v>
      </c>
      <c r="AB111" s="79">
        <v>32563.279999999999</v>
      </c>
      <c r="AC111" s="210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</row>
    <row r="112" spans="2:50" ht="18.649999999999999" customHeight="1" thickBot="1" x14ac:dyDescent="0.4">
      <c r="B112" s="268"/>
      <c r="C112" s="15" t="s">
        <v>32</v>
      </c>
      <c r="D112" s="16">
        <v>2</v>
      </c>
      <c r="E112" s="80">
        <v>29476.06</v>
      </c>
      <c r="F112" s="80">
        <v>27881.71</v>
      </c>
      <c r="G112" s="80">
        <v>26566.33</v>
      </c>
      <c r="H112" s="80">
        <v>25598.9</v>
      </c>
      <c r="I112" s="80">
        <v>25124</v>
      </c>
      <c r="J112" s="80">
        <v>24510.42</v>
      </c>
      <c r="K112" s="80">
        <v>22843.77</v>
      </c>
      <c r="L112" s="80">
        <v>22371.73</v>
      </c>
      <c r="M112" s="80">
        <v>23201.82</v>
      </c>
      <c r="N112" s="80">
        <v>24055.61</v>
      </c>
      <c r="O112" s="80">
        <v>25139.89</v>
      </c>
      <c r="P112" s="80">
        <v>26145.03</v>
      </c>
      <c r="Q112" s="80">
        <v>26943.94</v>
      </c>
      <c r="R112" s="80">
        <v>27167.040000000001</v>
      </c>
      <c r="S112" s="80">
        <v>27401.93</v>
      </c>
      <c r="T112" s="80">
        <v>27844.47</v>
      </c>
      <c r="U112" s="80">
        <v>28637.43</v>
      </c>
      <c r="V112" s="80">
        <v>33272.980000000003</v>
      </c>
      <c r="W112" s="80">
        <v>38282.120000000003</v>
      </c>
      <c r="X112" s="80">
        <v>39377.1</v>
      </c>
      <c r="Y112" s="80">
        <v>38985.599999999999</v>
      </c>
      <c r="Z112" s="80">
        <v>37769.46</v>
      </c>
      <c r="AA112" s="80">
        <v>35384.32</v>
      </c>
      <c r="AB112" s="80">
        <v>32563.279999999999</v>
      </c>
      <c r="AC112" s="210"/>
      <c r="AD112" s="53">
        <f>+AC109</f>
        <v>23965360.670000006</v>
      </c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</row>
    <row r="113" spans="2:30" ht="18.649999999999999" customHeight="1" x14ac:dyDescent="0.35">
      <c r="B113" s="207">
        <v>48976</v>
      </c>
      <c r="C113" s="6" t="s">
        <v>29</v>
      </c>
      <c r="D113" s="7">
        <v>20</v>
      </c>
      <c r="E113" s="78">
        <v>31236.14</v>
      </c>
      <c r="F113" s="78">
        <v>29554.54</v>
      </c>
      <c r="G113" s="78">
        <v>28174.71</v>
      </c>
      <c r="H113" s="78">
        <v>27167.51</v>
      </c>
      <c r="I113" s="78">
        <v>27078</v>
      </c>
      <c r="J113" s="78">
        <v>28316.76</v>
      </c>
      <c r="K113" s="78">
        <v>27816.31</v>
      </c>
      <c r="L113" s="78">
        <v>29331.98</v>
      </c>
      <c r="M113" s="78">
        <v>31597.1</v>
      </c>
      <c r="N113" s="78">
        <v>32505.01</v>
      </c>
      <c r="O113" s="78">
        <v>34074.959999999999</v>
      </c>
      <c r="P113" s="78">
        <v>35509.46</v>
      </c>
      <c r="Q113" s="78">
        <v>34093.29</v>
      </c>
      <c r="R113" s="78">
        <v>35775.599999999999</v>
      </c>
      <c r="S113" s="78">
        <v>38432.94</v>
      </c>
      <c r="T113" s="78">
        <v>39144.97</v>
      </c>
      <c r="U113" s="78">
        <v>39216.089999999997</v>
      </c>
      <c r="V113" s="78">
        <v>41728.79</v>
      </c>
      <c r="W113" s="78">
        <v>44911.25</v>
      </c>
      <c r="X113" s="78">
        <v>45635.15</v>
      </c>
      <c r="Y113" s="78">
        <v>44745.97</v>
      </c>
      <c r="Z113" s="78">
        <v>42790.69</v>
      </c>
      <c r="AA113" s="78">
        <v>39359.93</v>
      </c>
      <c r="AB113" s="78">
        <v>35993.58</v>
      </c>
      <c r="AC113" s="209">
        <f>SUM(E113:AB113)*D113+SUM(E114:AB114)*D114+SUM(E115:AB115)*D115+SUM(E116:AB116)*D116</f>
        <v>23025746.48</v>
      </c>
      <c r="AD113" s="148">
        <f>+AC113</f>
        <v>23025746.48</v>
      </c>
    </row>
    <row r="114" spans="2:30" ht="18.649999999999999" customHeight="1" x14ac:dyDescent="0.35">
      <c r="B114" s="267"/>
      <c r="C114" s="9" t="s">
        <v>30</v>
      </c>
      <c r="D114" s="10">
        <v>4</v>
      </c>
      <c r="E114" s="79">
        <v>31585.32</v>
      </c>
      <c r="F114" s="79">
        <v>29686.21</v>
      </c>
      <c r="G114" s="79">
        <v>28472.95</v>
      </c>
      <c r="H114" s="79">
        <v>27262.6</v>
      </c>
      <c r="I114" s="79">
        <v>26868.09</v>
      </c>
      <c r="J114" s="79">
        <v>26680.68</v>
      </c>
      <c r="K114" s="79">
        <v>25958.84</v>
      </c>
      <c r="L114" s="79">
        <v>27103.86</v>
      </c>
      <c r="M114" s="79">
        <v>29307.75</v>
      </c>
      <c r="N114" s="79">
        <v>30551.46</v>
      </c>
      <c r="O114" s="79">
        <v>31987.24</v>
      </c>
      <c r="P114" s="79">
        <v>32724.53</v>
      </c>
      <c r="Q114" s="79">
        <v>32065.57</v>
      </c>
      <c r="R114" s="79">
        <v>31750.37</v>
      </c>
      <c r="S114" s="79">
        <v>32198.52</v>
      </c>
      <c r="T114" s="79">
        <v>32721.29</v>
      </c>
      <c r="U114" s="79">
        <v>33239.69</v>
      </c>
      <c r="V114" s="79">
        <v>37514.410000000003</v>
      </c>
      <c r="W114" s="79">
        <v>42237.71</v>
      </c>
      <c r="X114" s="79">
        <v>42841.37</v>
      </c>
      <c r="Y114" s="79">
        <v>41906.550000000003</v>
      </c>
      <c r="Z114" s="79">
        <v>40317.82</v>
      </c>
      <c r="AA114" s="79">
        <v>38200.65</v>
      </c>
      <c r="AB114" s="79">
        <v>35654.699999999997</v>
      </c>
      <c r="AC114" s="210"/>
      <c r="AD114" s="148">
        <f>+AC117</f>
        <v>24061751.279999997</v>
      </c>
    </row>
    <row r="115" spans="2:30" ht="18.649999999999999" customHeight="1" x14ac:dyDescent="0.35">
      <c r="B115" s="267"/>
      <c r="C115" s="9" t="s">
        <v>31</v>
      </c>
      <c r="D115" s="10">
        <v>4</v>
      </c>
      <c r="E115" s="79">
        <v>31537.67</v>
      </c>
      <c r="F115" s="79">
        <v>29890.81</v>
      </c>
      <c r="G115" s="79">
        <v>28518.83</v>
      </c>
      <c r="H115" s="79">
        <v>27510.89</v>
      </c>
      <c r="I115" s="79">
        <v>26984.98</v>
      </c>
      <c r="J115" s="79">
        <v>26424.18</v>
      </c>
      <c r="K115" s="79">
        <v>24705.56</v>
      </c>
      <c r="L115" s="79">
        <v>24330.799999999999</v>
      </c>
      <c r="M115" s="79">
        <v>25114.44</v>
      </c>
      <c r="N115" s="79">
        <v>25674.080000000002</v>
      </c>
      <c r="O115" s="79">
        <v>26636.51</v>
      </c>
      <c r="P115" s="79">
        <v>27779.86</v>
      </c>
      <c r="Q115" s="79">
        <v>28625.07</v>
      </c>
      <c r="R115" s="79">
        <v>29037.57</v>
      </c>
      <c r="S115" s="79">
        <v>29659.64</v>
      </c>
      <c r="T115" s="79">
        <v>30290.21</v>
      </c>
      <c r="U115" s="79">
        <v>30886.35</v>
      </c>
      <c r="V115" s="79">
        <v>34868.51</v>
      </c>
      <c r="W115" s="79">
        <v>40289.089999999997</v>
      </c>
      <c r="X115" s="79">
        <v>42033.64</v>
      </c>
      <c r="Y115" s="79">
        <v>42122.46</v>
      </c>
      <c r="Z115" s="79">
        <v>41242.910000000003</v>
      </c>
      <c r="AA115" s="79">
        <v>37755.43</v>
      </c>
      <c r="AB115" s="79">
        <v>34725.300000000003</v>
      </c>
      <c r="AC115" s="210"/>
      <c r="AD115" s="148">
        <f>+AC121</f>
        <v>22358688.669999998</v>
      </c>
    </row>
    <row r="116" spans="2:30" ht="18.649999999999999" customHeight="1" thickBot="1" x14ac:dyDescent="0.4">
      <c r="B116" s="268"/>
      <c r="C116" s="11" t="s">
        <v>32</v>
      </c>
      <c r="D116" s="12">
        <v>0</v>
      </c>
      <c r="E116" s="194">
        <v>0</v>
      </c>
      <c r="F116" s="194">
        <v>0</v>
      </c>
      <c r="G116" s="194">
        <v>0</v>
      </c>
      <c r="H116" s="194">
        <v>0</v>
      </c>
      <c r="I116" s="194">
        <v>0</v>
      </c>
      <c r="J116" s="194">
        <v>0</v>
      </c>
      <c r="K116" s="194">
        <v>0</v>
      </c>
      <c r="L116" s="194">
        <v>0</v>
      </c>
      <c r="M116" s="194">
        <v>0</v>
      </c>
      <c r="N116" s="194">
        <v>0</v>
      </c>
      <c r="O116" s="194">
        <v>0</v>
      </c>
      <c r="P116" s="194">
        <v>0</v>
      </c>
      <c r="Q116" s="194">
        <v>0</v>
      </c>
      <c r="R116" s="194">
        <v>0</v>
      </c>
      <c r="S116" s="194">
        <v>0</v>
      </c>
      <c r="T116" s="194">
        <v>0</v>
      </c>
      <c r="U116" s="194">
        <v>0</v>
      </c>
      <c r="V116" s="194">
        <v>0</v>
      </c>
      <c r="W116" s="194">
        <v>0</v>
      </c>
      <c r="X116" s="194">
        <v>0</v>
      </c>
      <c r="Y116" s="194">
        <v>0</v>
      </c>
      <c r="Z116" s="194">
        <v>0</v>
      </c>
      <c r="AA116" s="194">
        <v>0</v>
      </c>
      <c r="AB116" s="194">
        <v>0</v>
      </c>
      <c r="AC116" s="214"/>
      <c r="AD116" s="148">
        <f>+AC125</f>
        <v>23005892.470000003</v>
      </c>
    </row>
    <row r="117" spans="2:30" ht="18.649999999999999" customHeight="1" x14ac:dyDescent="0.35">
      <c r="B117" s="207">
        <v>49004</v>
      </c>
      <c r="C117" s="13" t="s">
        <v>29</v>
      </c>
      <c r="D117" s="14">
        <v>22</v>
      </c>
      <c r="E117" s="81">
        <v>28907.43</v>
      </c>
      <c r="F117" s="81">
        <v>27311.29</v>
      </c>
      <c r="G117" s="81">
        <v>26096.59</v>
      </c>
      <c r="H117" s="81">
        <v>25302.560000000001</v>
      </c>
      <c r="I117" s="81">
        <v>25384.35</v>
      </c>
      <c r="J117" s="81">
        <v>26310.9</v>
      </c>
      <c r="K117" s="81">
        <v>26129.01</v>
      </c>
      <c r="L117" s="81">
        <v>27917.59</v>
      </c>
      <c r="M117" s="81">
        <v>30148.97</v>
      </c>
      <c r="N117" s="81">
        <v>31129.43</v>
      </c>
      <c r="O117" s="81">
        <v>32625.69</v>
      </c>
      <c r="P117" s="81">
        <v>33697.14</v>
      </c>
      <c r="Q117" s="81">
        <v>31764.75</v>
      </c>
      <c r="R117" s="81">
        <v>33184.239999999998</v>
      </c>
      <c r="S117" s="81">
        <v>35645.64</v>
      </c>
      <c r="T117" s="81">
        <v>36479.68</v>
      </c>
      <c r="U117" s="81">
        <v>36844.47</v>
      </c>
      <c r="V117" s="81">
        <v>39543.269999999997</v>
      </c>
      <c r="W117" s="81">
        <v>42644.99</v>
      </c>
      <c r="X117" s="81">
        <v>43022.64</v>
      </c>
      <c r="Y117" s="81">
        <v>41802.089999999997</v>
      </c>
      <c r="Z117" s="81">
        <v>39699.480000000003</v>
      </c>
      <c r="AA117" s="81">
        <v>36513.040000000001</v>
      </c>
      <c r="AB117" s="81">
        <v>33303.64</v>
      </c>
      <c r="AC117" s="210">
        <f>SUM(E117:AB117)*D117+SUM(E118:AB118)*D118+SUM(E119:AB119)*D119+SUM(E120:AB120)*D120</f>
        <v>24061751.279999997</v>
      </c>
      <c r="AD117" s="148">
        <f>+AC129</f>
        <v>22210492.299999993</v>
      </c>
    </row>
    <row r="118" spans="2:30" ht="18.649999999999999" customHeight="1" x14ac:dyDescent="0.35">
      <c r="B118" s="267"/>
      <c r="C118" s="9" t="s">
        <v>30</v>
      </c>
      <c r="D118" s="10">
        <v>4</v>
      </c>
      <c r="E118" s="79">
        <v>28997.21</v>
      </c>
      <c r="F118" s="79">
        <v>27421.41</v>
      </c>
      <c r="G118" s="79">
        <v>26137.07</v>
      </c>
      <c r="H118" s="79">
        <v>25310.59</v>
      </c>
      <c r="I118" s="79">
        <v>25080.62</v>
      </c>
      <c r="J118" s="79">
        <v>24865.119999999999</v>
      </c>
      <c r="K118" s="79">
        <v>24557.55</v>
      </c>
      <c r="L118" s="79">
        <v>25994.05</v>
      </c>
      <c r="M118" s="79">
        <v>28491.9</v>
      </c>
      <c r="N118" s="79">
        <v>29850.77</v>
      </c>
      <c r="O118" s="79">
        <v>31265.74</v>
      </c>
      <c r="P118" s="79">
        <v>32171.94</v>
      </c>
      <c r="Q118" s="79">
        <v>31458.11</v>
      </c>
      <c r="R118" s="79">
        <v>31082.78</v>
      </c>
      <c r="S118" s="79">
        <v>31641.33</v>
      </c>
      <c r="T118" s="79">
        <v>32059.24</v>
      </c>
      <c r="U118" s="79">
        <v>32590.240000000002</v>
      </c>
      <c r="V118" s="79">
        <v>36545.370000000003</v>
      </c>
      <c r="W118" s="79">
        <v>41098.32</v>
      </c>
      <c r="X118" s="79">
        <v>41755.31</v>
      </c>
      <c r="Y118" s="79">
        <v>40632.89</v>
      </c>
      <c r="Z118" s="79">
        <v>39077.300000000003</v>
      </c>
      <c r="AA118" s="79">
        <v>36845.31</v>
      </c>
      <c r="AB118" s="79">
        <v>34434.01</v>
      </c>
      <c r="AC118" s="210"/>
      <c r="AD118" s="148">
        <f>+AC133</f>
        <v>22628981.010000002</v>
      </c>
    </row>
    <row r="119" spans="2:30" ht="18.649999999999999" customHeight="1" x14ac:dyDescent="0.35">
      <c r="B119" s="267"/>
      <c r="C119" s="9" t="s">
        <v>31</v>
      </c>
      <c r="D119" s="10">
        <v>4</v>
      </c>
      <c r="E119" s="79">
        <v>29974.51</v>
      </c>
      <c r="F119" s="79">
        <v>28276.6</v>
      </c>
      <c r="G119" s="79">
        <v>26926.33</v>
      </c>
      <c r="H119" s="79">
        <v>25961.360000000001</v>
      </c>
      <c r="I119" s="79">
        <v>25457.57</v>
      </c>
      <c r="J119" s="79">
        <v>24763.85</v>
      </c>
      <c r="K119" s="79">
        <v>23561.1</v>
      </c>
      <c r="L119" s="79">
        <v>23537.07</v>
      </c>
      <c r="M119" s="79">
        <v>24620.3</v>
      </c>
      <c r="N119" s="79">
        <v>25419.29</v>
      </c>
      <c r="O119" s="79">
        <v>26398.92</v>
      </c>
      <c r="P119" s="79">
        <v>27431.64</v>
      </c>
      <c r="Q119" s="79">
        <v>28157.77</v>
      </c>
      <c r="R119" s="79">
        <v>28440.11</v>
      </c>
      <c r="S119" s="79">
        <v>28823.86</v>
      </c>
      <c r="T119" s="79">
        <v>29585.96</v>
      </c>
      <c r="U119" s="79">
        <v>30185.53</v>
      </c>
      <c r="V119" s="79">
        <v>34423.74</v>
      </c>
      <c r="W119" s="79">
        <v>39189.85</v>
      </c>
      <c r="X119" s="79">
        <v>40639.449999999997</v>
      </c>
      <c r="Y119" s="79">
        <v>40600.29</v>
      </c>
      <c r="Z119" s="79">
        <v>39503.56</v>
      </c>
      <c r="AA119" s="79">
        <v>36929.879999999997</v>
      </c>
      <c r="AB119" s="79">
        <v>33851.300000000003</v>
      </c>
      <c r="AC119" s="210"/>
      <c r="AD119" s="148">
        <f>+AC137</f>
        <v>22768050.270000003</v>
      </c>
    </row>
    <row r="120" spans="2:30" ht="18.649999999999999" customHeight="1" thickBot="1" x14ac:dyDescent="0.4">
      <c r="B120" s="268"/>
      <c r="C120" s="15" t="s">
        <v>32</v>
      </c>
      <c r="D120" s="16">
        <v>1</v>
      </c>
      <c r="E120" s="80">
        <v>29974.51</v>
      </c>
      <c r="F120" s="80">
        <v>28276.6</v>
      </c>
      <c r="G120" s="80">
        <v>26926.33</v>
      </c>
      <c r="H120" s="80">
        <v>25961.360000000001</v>
      </c>
      <c r="I120" s="80">
        <v>25457.57</v>
      </c>
      <c r="J120" s="80">
        <v>24763.85</v>
      </c>
      <c r="K120" s="80">
        <v>23561.1</v>
      </c>
      <c r="L120" s="80">
        <v>23537.07</v>
      </c>
      <c r="M120" s="80">
        <v>24620.3</v>
      </c>
      <c r="N120" s="80">
        <v>25419.29</v>
      </c>
      <c r="O120" s="80">
        <v>26398.92</v>
      </c>
      <c r="P120" s="80">
        <v>27431.64</v>
      </c>
      <c r="Q120" s="80">
        <v>28157.77</v>
      </c>
      <c r="R120" s="80">
        <v>28440.11</v>
      </c>
      <c r="S120" s="80">
        <v>28823.86</v>
      </c>
      <c r="T120" s="80">
        <v>29585.96</v>
      </c>
      <c r="U120" s="80">
        <v>30185.53</v>
      </c>
      <c r="V120" s="80">
        <v>34423.74</v>
      </c>
      <c r="W120" s="80">
        <v>39189.85</v>
      </c>
      <c r="X120" s="80">
        <v>40639.449999999997</v>
      </c>
      <c r="Y120" s="80">
        <v>40600.29</v>
      </c>
      <c r="Z120" s="80">
        <v>39503.56</v>
      </c>
      <c r="AA120" s="80">
        <v>36929.879999999997</v>
      </c>
      <c r="AB120" s="80">
        <v>33851.300000000003</v>
      </c>
      <c r="AC120" s="210"/>
      <c r="AD120" s="148">
        <f>+AC141</f>
        <v>21855957.079999998</v>
      </c>
    </row>
    <row r="121" spans="2:30" ht="18.649999999999999" customHeight="1" x14ac:dyDescent="0.35">
      <c r="B121" s="207">
        <v>49035</v>
      </c>
      <c r="C121" s="6" t="s">
        <v>29</v>
      </c>
      <c r="D121" s="7">
        <v>18</v>
      </c>
      <c r="E121" s="78">
        <v>28233</v>
      </c>
      <c r="F121" s="78">
        <v>26662.85</v>
      </c>
      <c r="G121" s="78">
        <v>25495.33</v>
      </c>
      <c r="H121" s="78">
        <v>24720.14</v>
      </c>
      <c r="I121" s="78">
        <v>24804.83</v>
      </c>
      <c r="J121" s="78">
        <v>25108.47</v>
      </c>
      <c r="K121" s="78">
        <v>25177.919999999998</v>
      </c>
      <c r="L121" s="78">
        <v>26999.93</v>
      </c>
      <c r="M121" s="78">
        <v>29555.38</v>
      </c>
      <c r="N121" s="78">
        <v>30574.68</v>
      </c>
      <c r="O121" s="78">
        <v>31967.46</v>
      </c>
      <c r="P121" s="78">
        <v>33283.440000000002</v>
      </c>
      <c r="Q121" s="78">
        <v>31670.07</v>
      </c>
      <c r="R121" s="78">
        <v>32973.269999999997</v>
      </c>
      <c r="S121" s="78">
        <v>35411.339999999997</v>
      </c>
      <c r="T121" s="78">
        <v>35975.97</v>
      </c>
      <c r="U121" s="78">
        <v>36039.019999999997</v>
      </c>
      <c r="V121" s="78">
        <v>39229.57</v>
      </c>
      <c r="W121" s="78">
        <v>42193.34</v>
      </c>
      <c r="X121" s="78">
        <v>42310.73</v>
      </c>
      <c r="Y121" s="78">
        <v>41074.49</v>
      </c>
      <c r="Z121" s="78">
        <v>39104.949999999997</v>
      </c>
      <c r="AA121" s="78">
        <v>36112.720000000001</v>
      </c>
      <c r="AB121" s="78">
        <v>32806.589999999997</v>
      </c>
      <c r="AC121" s="209">
        <f>SUM(E121:AB121)*D121+SUM(E122:AB122)*D122+SUM(E123:AB123)*D123+SUM(E124:AB124)*D124</f>
        <v>22358688.669999998</v>
      </c>
      <c r="AD121" s="148">
        <f>+AC145</f>
        <v>22088628.060000002</v>
      </c>
    </row>
    <row r="122" spans="2:30" ht="18.649999999999999" customHeight="1" x14ac:dyDescent="0.35">
      <c r="B122" s="267"/>
      <c r="C122" s="9" t="s">
        <v>30</v>
      </c>
      <c r="D122" s="10">
        <v>5</v>
      </c>
      <c r="E122" s="79">
        <v>27794.39</v>
      </c>
      <c r="F122" s="79">
        <v>26162.29</v>
      </c>
      <c r="G122" s="79">
        <v>24924.080000000002</v>
      </c>
      <c r="H122" s="79">
        <v>24088.19</v>
      </c>
      <c r="I122" s="79">
        <v>23848.07</v>
      </c>
      <c r="J122" s="79">
        <v>23356.83</v>
      </c>
      <c r="K122" s="79">
        <v>22977.279999999999</v>
      </c>
      <c r="L122" s="79">
        <v>24158.93</v>
      </c>
      <c r="M122" s="79">
        <v>26508.66</v>
      </c>
      <c r="N122" s="79">
        <v>27619</v>
      </c>
      <c r="O122" s="79">
        <v>28938.32</v>
      </c>
      <c r="P122" s="79">
        <v>29813.96</v>
      </c>
      <c r="Q122" s="79">
        <v>29316.35</v>
      </c>
      <c r="R122" s="79">
        <v>29044.44</v>
      </c>
      <c r="S122" s="79">
        <v>29432.55</v>
      </c>
      <c r="T122" s="79">
        <v>29850.76</v>
      </c>
      <c r="U122" s="79">
        <v>30428.35</v>
      </c>
      <c r="V122" s="79">
        <v>34938.79</v>
      </c>
      <c r="W122" s="79">
        <v>39484.620000000003</v>
      </c>
      <c r="X122" s="79">
        <v>39521.589999999997</v>
      </c>
      <c r="Y122" s="79">
        <v>38466.49</v>
      </c>
      <c r="Z122" s="79">
        <v>36864.400000000001</v>
      </c>
      <c r="AA122" s="79">
        <v>34821.11</v>
      </c>
      <c r="AB122" s="79">
        <v>32424.31</v>
      </c>
      <c r="AC122" s="210"/>
      <c r="AD122" s="148">
        <f>+AC149</f>
        <v>20721414.540000003</v>
      </c>
    </row>
    <row r="123" spans="2:30" ht="18.649999999999999" customHeight="1" x14ac:dyDescent="0.35">
      <c r="B123" s="267"/>
      <c r="C123" s="9" t="s">
        <v>31</v>
      </c>
      <c r="D123" s="10">
        <v>5</v>
      </c>
      <c r="E123" s="79">
        <v>28325.21</v>
      </c>
      <c r="F123" s="79">
        <v>26797.52</v>
      </c>
      <c r="G123" s="79">
        <v>25531.65</v>
      </c>
      <c r="H123" s="79">
        <v>24640.55</v>
      </c>
      <c r="I123" s="79">
        <v>24277.4</v>
      </c>
      <c r="J123" s="79">
        <v>23292.14</v>
      </c>
      <c r="K123" s="79">
        <v>22552.18</v>
      </c>
      <c r="L123" s="79">
        <v>22470.799999999999</v>
      </c>
      <c r="M123" s="79">
        <v>23110.28</v>
      </c>
      <c r="N123" s="79">
        <v>23919.68</v>
      </c>
      <c r="O123" s="79">
        <v>24897.35</v>
      </c>
      <c r="P123" s="79">
        <v>25747.040000000001</v>
      </c>
      <c r="Q123" s="79">
        <v>26313.97</v>
      </c>
      <c r="R123" s="79">
        <v>26604.21</v>
      </c>
      <c r="S123" s="79">
        <v>27001.09</v>
      </c>
      <c r="T123" s="79">
        <v>27632.76</v>
      </c>
      <c r="U123" s="79">
        <v>28488.15</v>
      </c>
      <c r="V123" s="79">
        <v>33128.33</v>
      </c>
      <c r="W123" s="79">
        <v>37368.74</v>
      </c>
      <c r="X123" s="79">
        <v>38510.89</v>
      </c>
      <c r="Y123" s="79">
        <v>38476.230000000003</v>
      </c>
      <c r="Z123" s="79">
        <v>37667.74</v>
      </c>
      <c r="AA123" s="79">
        <v>35259.949999999997</v>
      </c>
      <c r="AB123" s="79">
        <v>32276.29</v>
      </c>
      <c r="AC123" s="210"/>
      <c r="AD123" s="148">
        <f>+AC153</f>
        <v>22856271.239999998</v>
      </c>
    </row>
    <row r="124" spans="2:30" ht="18.649999999999999" customHeight="1" thickBot="1" x14ac:dyDescent="0.4">
      <c r="B124" s="268"/>
      <c r="C124" s="11" t="s">
        <v>32</v>
      </c>
      <c r="D124" s="12">
        <v>2</v>
      </c>
      <c r="E124" s="76">
        <v>28325.21</v>
      </c>
      <c r="F124" s="76">
        <v>26797.52</v>
      </c>
      <c r="G124" s="76">
        <v>25531.65</v>
      </c>
      <c r="H124" s="76">
        <v>24640.55</v>
      </c>
      <c r="I124" s="76">
        <v>24277.4</v>
      </c>
      <c r="J124" s="76">
        <v>23292.14</v>
      </c>
      <c r="K124" s="76">
        <v>22552.18</v>
      </c>
      <c r="L124" s="76">
        <v>22470.799999999999</v>
      </c>
      <c r="M124" s="76">
        <v>23110.28</v>
      </c>
      <c r="N124" s="76">
        <v>23919.68</v>
      </c>
      <c r="O124" s="76">
        <v>24897.35</v>
      </c>
      <c r="P124" s="76">
        <v>25747.040000000001</v>
      </c>
      <c r="Q124" s="76">
        <v>26313.97</v>
      </c>
      <c r="R124" s="76">
        <v>26604.21</v>
      </c>
      <c r="S124" s="76">
        <v>27001.09</v>
      </c>
      <c r="T124" s="76">
        <v>27632.76</v>
      </c>
      <c r="U124" s="76">
        <v>28488.15</v>
      </c>
      <c r="V124" s="76">
        <v>33128.33</v>
      </c>
      <c r="W124" s="76">
        <v>37368.74</v>
      </c>
      <c r="X124" s="76">
        <v>38510.89</v>
      </c>
      <c r="Y124" s="76">
        <v>38476.230000000003</v>
      </c>
      <c r="Z124" s="76">
        <v>37667.74</v>
      </c>
      <c r="AA124" s="76">
        <v>35259.949999999997</v>
      </c>
      <c r="AB124" s="76">
        <v>32276.29</v>
      </c>
      <c r="AC124" s="214"/>
      <c r="AD124" s="18"/>
    </row>
    <row r="125" spans="2:30" ht="18.649999999999999" customHeight="1" x14ac:dyDescent="0.35">
      <c r="B125" s="207">
        <v>49065</v>
      </c>
      <c r="C125" s="13" t="s">
        <v>29</v>
      </c>
      <c r="D125" s="14">
        <v>21</v>
      </c>
      <c r="E125" s="81">
        <v>27291.62</v>
      </c>
      <c r="F125" s="81">
        <v>25854.17</v>
      </c>
      <c r="G125" s="81">
        <v>24741.78</v>
      </c>
      <c r="H125" s="81">
        <v>23982.560000000001</v>
      </c>
      <c r="I125" s="81">
        <v>24089.43</v>
      </c>
      <c r="J125" s="81">
        <v>24309.62</v>
      </c>
      <c r="K125" s="81">
        <v>24619.09</v>
      </c>
      <c r="L125" s="81">
        <v>26495.57</v>
      </c>
      <c r="M125" s="81">
        <v>29194.5</v>
      </c>
      <c r="N125" s="81">
        <v>30292.37</v>
      </c>
      <c r="O125" s="81">
        <v>31934.22</v>
      </c>
      <c r="P125" s="81">
        <v>33041.47</v>
      </c>
      <c r="Q125" s="81">
        <v>31384.9</v>
      </c>
      <c r="R125" s="81">
        <v>32563.71</v>
      </c>
      <c r="S125" s="81">
        <v>34821.72</v>
      </c>
      <c r="T125" s="81">
        <v>35335.06</v>
      </c>
      <c r="U125" s="81">
        <v>35393.89</v>
      </c>
      <c r="V125" s="81">
        <v>38138.370000000003</v>
      </c>
      <c r="W125" s="81">
        <v>41051.21</v>
      </c>
      <c r="X125" s="81">
        <v>41188.129999999997</v>
      </c>
      <c r="Y125" s="81">
        <v>39930.730000000003</v>
      </c>
      <c r="Z125" s="81">
        <v>37800.81</v>
      </c>
      <c r="AA125" s="81">
        <v>34791.49</v>
      </c>
      <c r="AB125" s="81">
        <v>31713.67</v>
      </c>
      <c r="AC125" s="210">
        <f>SUM(E125:AB125)*D125+SUM(E126:AB126)*D126+SUM(E127:AB127)*D127+SUM(E128:AB128)*D128</f>
        <v>23005892.470000003</v>
      </c>
      <c r="AD125" s="18"/>
    </row>
    <row r="126" spans="2:30" ht="18.649999999999999" customHeight="1" x14ac:dyDescent="0.35">
      <c r="B126" s="267"/>
      <c r="C126" s="9" t="s">
        <v>30</v>
      </c>
      <c r="D126" s="10">
        <v>4</v>
      </c>
      <c r="E126" s="79">
        <v>27939.95</v>
      </c>
      <c r="F126" s="79">
        <v>26069.74</v>
      </c>
      <c r="G126" s="79">
        <v>24826.84</v>
      </c>
      <c r="H126" s="79">
        <v>24010.15</v>
      </c>
      <c r="I126" s="79">
        <v>23830.67</v>
      </c>
      <c r="J126" s="79">
        <v>23074.720000000001</v>
      </c>
      <c r="K126" s="79">
        <v>22947.18</v>
      </c>
      <c r="L126" s="79">
        <v>24529.87</v>
      </c>
      <c r="M126" s="79">
        <v>27208.66</v>
      </c>
      <c r="N126" s="79">
        <v>28629.45</v>
      </c>
      <c r="O126" s="79">
        <v>29759.9</v>
      </c>
      <c r="P126" s="79">
        <v>30603.919999999998</v>
      </c>
      <c r="Q126" s="79">
        <v>29805.26</v>
      </c>
      <c r="R126" s="79">
        <v>29442.69</v>
      </c>
      <c r="S126" s="79">
        <v>29983.71</v>
      </c>
      <c r="T126" s="79">
        <v>30399.16</v>
      </c>
      <c r="U126" s="79">
        <v>30897.74</v>
      </c>
      <c r="V126" s="79">
        <v>35330.01</v>
      </c>
      <c r="W126" s="79">
        <v>39707.57</v>
      </c>
      <c r="X126" s="79">
        <v>40114.11</v>
      </c>
      <c r="Y126" s="79">
        <v>38932.120000000003</v>
      </c>
      <c r="Z126" s="79">
        <v>37180.33</v>
      </c>
      <c r="AA126" s="79">
        <v>35166.730000000003</v>
      </c>
      <c r="AB126" s="79">
        <v>32782.239999999998</v>
      </c>
      <c r="AC126" s="210"/>
      <c r="AD126" s="18"/>
    </row>
    <row r="127" spans="2:30" ht="18.649999999999999" customHeight="1" x14ac:dyDescent="0.35">
      <c r="B127" s="267"/>
      <c r="C127" s="9" t="s">
        <v>31</v>
      </c>
      <c r="D127" s="10">
        <v>4</v>
      </c>
      <c r="E127" s="79">
        <v>28298.95</v>
      </c>
      <c r="F127" s="79">
        <v>26817.23</v>
      </c>
      <c r="G127" s="79">
        <v>25622.77</v>
      </c>
      <c r="H127" s="79">
        <v>24748.62</v>
      </c>
      <c r="I127" s="79">
        <v>24375.87</v>
      </c>
      <c r="J127" s="79">
        <v>23109.43</v>
      </c>
      <c r="K127" s="79">
        <v>22401.93</v>
      </c>
      <c r="L127" s="79">
        <v>22452.71</v>
      </c>
      <c r="M127" s="79">
        <v>23856.880000000001</v>
      </c>
      <c r="N127" s="79">
        <v>25021.82</v>
      </c>
      <c r="O127" s="79">
        <v>25862.560000000001</v>
      </c>
      <c r="P127" s="79">
        <v>26576.68</v>
      </c>
      <c r="Q127" s="79">
        <v>27118.2</v>
      </c>
      <c r="R127" s="79">
        <v>27369.82</v>
      </c>
      <c r="S127" s="79">
        <v>27671.86</v>
      </c>
      <c r="T127" s="79">
        <v>28370.05</v>
      </c>
      <c r="U127" s="79">
        <v>28881.14</v>
      </c>
      <c r="V127" s="79">
        <v>33525.58</v>
      </c>
      <c r="W127" s="79">
        <v>38002.870000000003</v>
      </c>
      <c r="X127" s="79">
        <v>38990.129999999997</v>
      </c>
      <c r="Y127" s="79">
        <v>38839.15</v>
      </c>
      <c r="Z127" s="79">
        <v>37634.120000000003</v>
      </c>
      <c r="AA127" s="79">
        <v>35072.480000000003</v>
      </c>
      <c r="AB127" s="79">
        <v>31719.1</v>
      </c>
      <c r="AC127" s="210"/>
      <c r="AD127" s="18"/>
    </row>
    <row r="128" spans="2:30" ht="18.649999999999999" customHeight="1" thickBot="1" x14ac:dyDescent="0.4">
      <c r="B128" s="268"/>
      <c r="C128" s="15" t="s">
        <v>32</v>
      </c>
      <c r="D128" s="16">
        <v>2</v>
      </c>
      <c r="E128" s="80">
        <v>28298.95</v>
      </c>
      <c r="F128" s="80">
        <v>26817.23</v>
      </c>
      <c r="G128" s="80">
        <v>25622.77</v>
      </c>
      <c r="H128" s="80">
        <v>24748.62</v>
      </c>
      <c r="I128" s="80">
        <v>24375.87</v>
      </c>
      <c r="J128" s="80">
        <v>23109.43</v>
      </c>
      <c r="K128" s="80">
        <v>22401.93</v>
      </c>
      <c r="L128" s="80">
        <v>22452.71</v>
      </c>
      <c r="M128" s="80">
        <v>23856.880000000001</v>
      </c>
      <c r="N128" s="80">
        <v>25021.82</v>
      </c>
      <c r="O128" s="80">
        <v>25862.560000000001</v>
      </c>
      <c r="P128" s="80">
        <v>26576.68</v>
      </c>
      <c r="Q128" s="80">
        <v>27118.2</v>
      </c>
      <c r="R128" s="80">
        <v>27369.82</v>
      </c>
      <c r="S128" s="80">
        <v>27671.86</v>
      </c>
      <c r="T128" s="80">
        <v>28370.05</v>
      </c>
      <c r="U128" s="80">
        <v>28881.14</v>
      </c>
      <c r="V128" s="80">
        <v>33525.58</v>
      </c>
      <c r="W128" s="80">
        <v>38002.870000000003</v>
      </c>
      <c r="X128" s="80">
        <v>38990.129999999997</v>
      </c>
      <c r="Y128" s="80">
        <v>38839.15</v>
      </c>
      <c r="Z128" s="80">
        <v>37634.120000000003</v>
      </c>
      <c r="AA128" s="80">
        <v>35072.480000000003</v>
      </c>
      <c r="AB128" s="80">
        <v>31719.1</v>
      </c>
      <c r="AC128" s="210"/>
      <c r="AD128" s="18"/>
    </row>
    <row r="129" spans="2:30" ht="18.649999999999999" customHeight="1" x14ac:dyDescent="0.35">
      <c r="B129" s="207">
        <v>49096</v>
      </c>
      <c r="C129" s="6" t="s">
        <v>29</v>
      </c>
      <c r="D129" s="7">
        <v>20</v>
      </c>
      <c r="E129" s="78">
        <v>27629.26</v>
      </c>
      <c r="F129" s="78">
        <v>26079.200000000001</v>
      </c>
      <c r="G129" s="78">
        <v>24990.11</v>
      </c>
      <c r="H129" s="78">
        <v>24105.47</v>
      </c>
      <c r="I129" s="78">
        <v>24154.86</v>
      </c>
      <c r="J129" s="78">
        <v>24026.639999999999</v>
      </c>
      <c r="K129" s="78">
        <v>24202.639999999999</v>
      </c>
      <c r="L129" s="78">
        <v>26189.040000000001</v>
      </c>
      <c r="M129" s="78">
        <v>28853.48</v>
      </c>
      <c r="N129" s="78">
        <v>30096.28</v>
      </c>
      <c r="O129" s="78">
        <v>31832.89</v>
      </c>
      <c r="P129" s="78">
        <v>33054.44</v>
      </c>
      <c r="Q129" s="78">
        <v>31657.8</v>
      </c>
      <c r="R129" s="78">
        <v>32670.37</v>
      </c>
      <c r="S129" s="78">
        <v>34866.9</v>
      </c>
      <c r="T129" s="78">
        <v>35361.51</v>
      </c>
      <c r="U129" s="78">
        <v>35610.230000000003</v>
      </c>
      <c r="V129" s="78">
        <v>38344.080000000002</v>
      </c>
      <c r="W129" s="78">
        <v>41186.21</v>
      </c>
      <c r="X129" s="78">
        <v>41694.76</v>
      </c>
      <c r="Y129" s="78">
        <v>40342.69</v>
      </c>
      <c r="Z129" s="78">
        <v>38281.07</v>
      </c>
      <c r="AA129" s="78">
        <v>35148.92</v>
      </c>
      <c r="AB129" s="78">
        <v>31984.62</v>
      </c>
      <c r="AC129" s="209">
        <f>SUM(E129:AB129)*D129+SUM(E130:AB130)*D130+SUM(E131:AB131)*D131+SUM(E132:AB132)*D132</f>
        <v>22210492.299999993</v>
      </c>
      <c r="AD129" s="18"/>
    </row>
    <row r="130" spans="2:30" ht="18.649999999999999" customHeight="1" x14ac:dyDescent="0.35">
      <c r="B130" s="267"/>
      <c r="C130" s="9" t="s">
        <v>30</v>
      </c>
      <c r="D130" s="10">
        <v>4</v>
      </c>
      <c r="E130" s="79">
        <v>27604.080000000002</v>
      </c>
      <c r="F130" s="79">
        <v>26092.3</v>
      </c>
      <c r="G130" s="79">
        <v>24976.65</v>
      </c>
      <c r="H130" s="79">
        <v>24215.87</v>
      </c>
      <c r="I130" s="79">
        <v>24046.31</v>
      </c>
      <c r="J130" s="79">
        <v>23236.22</v>
      </c>
      <c r="K130" s="79">
        <v>23132.080000000002</v>
      </c>
      <c r="L130" s="79">
        <v>24683.82</v>
      </c>
      <c r="M130" s="79">
        <v>27300.84</v>
      </c>
      <c r="N130" s="79">
        <v>28784.84</v>
      </c>
      <c r="O130" s="79">
        <v>30201</v>
      </c>
      <c r="P130" s="79">
        <v>31158.44</v>
      </c>
      <c r="Q130" s="79">
        <v>30493.3</v>
      </c>
      <c r="R130" s="79">
        <v>29878.42</v>
      </c>
      <c r="S130" s="79">
        <v>30260.1</v>
      </c>
      <c r="T130" s="79">
        <v>30605.42</v>
      </c>
      <c r="U130" s="79">
        <v>30822.55</v>
      </c>
      <c r="V130" s="79">
        <v>35000.17</v>
      </c>
      <c r="W130" s="79">
        <v>38542.17</v>
      </c>
      <c r="X130" s="79">
        <v>39351.82</v>
      </c>
      <c r="Y130" s="79">
        <v>38274.79</v>
      </c>
      <c r="Z130" s="79">
        <v>36339.24</v>
      </c>
      <c r="AA130" s="79">
        <v>34125.97</v>
      </c>
      <c r="AB130" s="79">
        <v>31817.43</v>
      </c>
      <c r="AC130" s="210"/>
      <c r="AD130" s="18"/>
    </row>
    <row r="131" spans="2:30" ht="18.649999999999999" customHeight="1" x14ac:dyDescent="0.35">
      <c r="B131" s="267"/>
      <c r="C131" s="9" t="s">
        <v>31</v>
      </c>
      <c r="D131" s="10">
        <v>4</v>
      </c>
      <c r="E131" s="79">
        <v>28264.75</v>
      </c>
      <c r="F131" s="79">
        <v>26663.37</v>
      </c>
      <c r="G131" s="79">
        <v>25393.56</v>
      </c>
      <c r="H131" s="79">
        <v>24567.42</v>
      </c>
      <c r="I131" s="79">
        <v>24235.73</v>
      </c>
      <c r="J131" s="79">
        <v>22936.39</v>
      </c>
      <c r="K131" s="79">
        <v>22074.53</v>
      </c>
      <c r="L131" s="79">
        <v>21924.39</v>
      </c>
      <c r="M131" s="79">
        <v>22943.5</v>
      </c>
      <c r="N131" s="79">
        <v>24031.79</v>
      </c>
      <c r="O131" s="79">
        <v>24884.720000000001</v>
      </c>
      <c r="P131" s="79">
        <v>25690.07</v>
      </c>
      <c r="Q131" s="79">
        <v>26446.81</v>
      </c>
      <c r="R131" s="79">
        <v>26558.02</v>
      </c>
      <c r="S131" s="79">
        <v>26965.05</v>
      </c>
      <c r="T131" s="79">
        <v>27534.28</v>
      </c>
      <c r="U131" s="79">
        <v>28176.69</v>
      </c>
      <c r="V131" s="79">
        <v>32485.99</v>
      </c>
      <c r="W131" s="79">
        <v>36859.11</v>
      </c>
      <c r="X131" s="79">
        <v>38696.699999999997</v>
      </c>
      <c r="Y131" s="79">
        <v>38263.089999999997</v>
      </c>
      <c r="Z131" s="79">
        <v>37115.620000000003</v>
      </c>
      <c r="AA131" s="79">
        <v>34899.72</v>
      </c>
      <c r="AB131" s="79">
        <v>32296.63</v>
      </c>
      <c r="AC131" s="210"/>
      <c r="AD131" s="18"/>
    </row>
    <row r="132" spans="2:30" ht="18.649999999999999" customHeight="1" thickBot="1" x14ac:dyDescent="0.4">
      <c r="B132" s="268"/>
      <c r="C132" s="11" t="s">
        <v>32</v>
      </c>
      <c r="D132" s="12">
        <v>2</v>
      </c>
      <c r="E132" s="76">
        <v>28264.75</v>
      </c>
      <c r="F132" s="76">
        <v>26663.37</v>
      </c>
      <c r="G132" s="76">
        <v>25393.56</v>
      </c>
      <c r="H132" s="76">
        <v>24567.42</v>
      </c>
      <c r="I132" s="76">
        <v>24235.73</v>
      </c>
      <c r="J132" s="76">
        <v>22936.39</v>
      </c>
      <c r="K132" s="76">
        <v>22074.53</v>
      </c>
      <c r="L132" s="76">
        <v>21924.39</v>
      </c>
      <c r="M132" s="76">
        <v>22943.5</v>
      </c>
      <c r="N132" s="76">
        <v>24031.79</v>
      </c>
      <c r="O132" s="76">
        <v>24884.720000000001</v>
      </c>
      <c r="P132" s="76">
        <v>25690.07</v>
      </c>
      <c r="Q132" s="76">
        <v>26446.81</v>
      </c>
      <c r="R132" s="76">
        <v>26558.02</v>
      </c>
      <c r="S132" s="76">
        <v>26965.05</v>
      </c>
      <c r="T132" s="76">
        <v>27534.28</v>
      </c>
      <c r="U132" s="76">
        <v>28176.69</v>
      </c>
      <c r="V132" s="76">
        <v>32485.99</v>
      </c>
      <c r="W132" s="76">
        <v>36859.11</v>
      </c>
      <c r="X132" s="76">
        <v>38696.699999999997</v>
      </c>
      <c r="Y132" s="76">
        <v>38263.089999999997</v>
      </c>
      <c r="Z132" s="76">
        <v>37115.620000000003</v>
      </c>
      <c r="AA132" s="76">
        <v>34899.72</v>
      </c>
      <c r="AB132" s="76">
        <v>32296.63</v>
      </c>
      <c r="AC132" s="214"/>
      <c r="AD132" s="18"/>
    </row>
    <row r="133" spans="2:30" ht="18.649999999999999" customHeight="1" x14ac:dyDescent="0.35">
      <c r="B133" s="207">
        <v>49126</v>
      </c>
      <c r="C133" s="13" t="s">
        <v>29</v>
      </c>
      <c r="D133" s="14">
        <v>19</v>
      </c>
      <c r="E133" s="81">
        <v>27702.37</v>
      </c>
      <c r="F133" s="81">
        <v>26114.5</v>
      </c>
      <c r="G133" s="81">
        <v>24909.34</v>
      </c>
      <c r="H133" s="81">
        <v>24104.61</v>
      </c>
      <c r="I133" s="81">
        <v>24013.83</v>
      </c>
      <c r="J133" s="81">
        <v>24130.01</v>
      </c>
      <c r="K133" s="81">
        <v>24129.11</v>
      </c>
      <c r="L133" s="81">
        <v>25914.85</v>
      </c>
      <c r="M133" s="81">
        <v>28476.65</v>
      </c>
      <c r="N133" s="81">
        <v>29753.119999999999</v>
      </c>
      <c r="O133" s="81">
        <v>31560.15</v>
      </c>
      <c r="P133" s="81">
        <v>33036.28</v>
      </c>
      <c r="Q133" s="81">
        <v>31667.19</v>
      </c>
      <c r="R133" s="81">
        <v>33182.269999999997</v>
      </c>
      <c r="S133" s="81">
        <v>35768.160000000003</v>
      </c>
      <c r="T133" s="81">
        <v>36269.660000000003</v>
      </c>
      <c r="U133" s="81">
        <v>36309.08</v>
      </c>
      <c r="V133" s="81">
        <v>38605.68</v>
      </c>
      <c r="W133" s="81">
        <v>40931.42</v>
      </c>
      <c r="X133" s="81">
        <v>41916.67</v>
      </c>
      <c r="Y133" s="81">
        <v>40836.239999999998</v>
      </c>
      <c r="Z133" s="81">
        <v>38828.33</v>
      </c>
      <c r="AA133" s="81">
        <v>35617.089999999997</v>
      </c>
      <c r="AB133" s="81">
        <v>32466.91</v>
      </c>
      <c r="AC133" s="210">
        <f>SUM(E133:AB133)*D133+SUM(E134:AB134)*D134+SUM(E135:AB135)*D135+SUM(E136:AB136)*D136</f>
        <v>22628981.010000002</v>
      </c>
      <c r="AD133" s="18"/>
    </row>
    <row r="134" spans="2:30" ht="18.649999999999999" customHeight="1" x14ac:dyDescent="0.35">
      <c r="B134" s="267"/>
      <c r="C134" s="9" t="s">
        <v>30</v>
      </c>
      <c r="D134" s="10">
        <v>5</v>
      </c>
      <c r="E134" s="79">
        <v>28219.84</v>
      </c>
      <c r="F134" s="79">
        <v>26421.57</v>
      </c>
      <c r="G134" s="79">
        <v>25103.14</v>
      </c>
      <c r="H134" s="79">
        <v>24336.12</v>
      </c>
      <c r="I134" s="79">
        <v>23913.82</v>
      </c>
      <c r="J134" s="79">
        <v>23183.42</v>
      </c>
      <c r="K134" s="79">
        <v>22950.61</v>
      </c>
      <c r="L134" s="79">
        <v>24099.67</v>
      </c>
      <c r="M134" s="79">
        <v>26675.21</v>
      </c>
      <c r="N134" s="79">
        <v>28207.18</v>
      </c>
      <c r="O134" s="79">
        <v>29853.42</v>
      </c>
      <c r="P134" s="79">
        <v>30686.25</v>
      </c>
      <c r="Q134" s="79">
        <v>30096.93</v>
      </c>
      <c r="R134" s="79">
        <v>29728.78</v>
      </c>
      <c r="S134" s="79">
        <v>29963.57</v>
      </c>
      <c r="T134" s="79">
        <v>29961.55</v>
      </c>
      <c r="U134" s="79">
        <v>30243.8</v>
      </c>
      <c r="V134" s="79">
        <v>34592.07</v>
      </c>
      <c r="W134" s="79">
        <v>37292.129999999997</v>
      </c>
      <c r="X134" s="79">
        <v>38054.269999999997</v>
      </c>
      <c r="Y134" s="79">
        <v>36795.08</v>
      </c>
      <c r="Z134" s="79">
        <v>35237.33</v>
      </c>
      <c r="AA134" s="79">
        <v>33288.68</v>
      </c>
      <c r="AB134" s="79">
        <v>31007.48</v>
      </c>
      <c r="AC134" s="210"/>
      <c r="AD134" s="18"/>
    </row>
    <row r="135" spans="2:30" ht="18.649999999999999" customHeight="1" x14ac:dyDescent="0.35">
      <c r="B135" s="267"/>
      <c r="C135" s="9" t="s">
        <v>31</v>
      </c>
      <c r="D135" s="10">
        <v>5</v>
      </c>
      <c r="E135" s="79">
        <v>25952.38</v>
      </c>
      <c r="F135" s="79">
        <v>24604.400000000001</v>
      </c>
      <c r="G135" s="79">
        <v>23384.91</v>
      </c>
      <c r="H135" s="79">
        <v>22668.68</v>
      </c>
      <c r="I135" s="79">
        <v>22383.14</v>
      </c>
      <c r="J135" s="79">
        <v>21315.35</v>
      </c>
      <c r="K135" s="79">
        <v>20535.48</v>
      </c>
      <c r="L135" s="79">
        <v>20314.560000000001</v>
      </c>
      <c r="M135" s="79">
        <v>21270.22</v>
      </c>
      <c r="N135" s="79">
        <v>22265.54</v>
      </c>
      <c r="O135" s="79">
        <v>23321.45</v>
      </c>
      <c r="P135" s="79">
        <v>24330.720000000001</v>
      </c>
      <c r="Q135" s="79">
        <v>25187.67</v>
      </c>
      <c r="R135" s="79">
        <v>25595.87</v>
      </c>
      <c r="S135" s="79">
        <v>26054.45</v>
      </c>
      <c r="T135" s="79">
        <v>26811.45</v>
      </c>
      <c r="U135" s="79">
        <v>27386.13</v>
      </c>
      <c r="V135" s="79">
        <v>31615.98</v>
      </c>
      <c r="W135" s="79">
        <v>35993.22</v>
      </c>
      <c r="X135" s="79">
        <v>38107.050000000003</v>
      </c>
      <c r="Y135" s="79">
        <v>37516.129999999997</v>
      </c>
      <c r="Z135" s="79">
        <v>35936.89</v>
      </c>
      <c r="AA135" s="79">
        <v>33078.17</v>
      </c>
      <c r="AB135" s="79">
        <v>30197.95</v>
      </c>
      <c r="AC135" s="210"/>
      <c r="AD135" s="18"/>
    </row>
    <row r="136" spans="2:30" ht="18.649999999999999" customHeight="1" thickBot="1" x14ac:dyDescent="0.4">
      <c r="B136" s="268"/>
      <c r="C136" s="15" t="s">
        <v>32</v>
      </c>
      <c r="D136" s="16">
        <v>2</v>
      </c>
      <c r="E136" s="79">
        <v>25952.38</v>
      </c>
      <c r="F136" s="79">
        <v>24604.400000000001</v>
      </c>
      <c r="G136" s="79">
        <v>23384.91</v>
      </c>
      <c r="H136" s="79">
        <v>22668.68</v>
      </c>
      <c r="I136" s="79">
        <v>22383.14</v>
      </c>
      <c r="J136" s="79">
        <v>21315.35</v>
      </c>
      <c r="K136" s="79">
        <v>20535.48</v>
      </c>
      <c r="L136" s="79">
        <v>20314.560000000001</v>
      </c>
      <c r="M136" s="79">
        <v>21270.22</v>
      </c>
      <c r="N136" s="79">
        <v>22265.54</v>
      </c>
      <c r="O136" s="79">
        <v>23321.45</v>
      </c>
      <c r="P136" s="79">
        <v>24330.720000000001</v>
      </c>
      <c r="Q136" s="79">
        <v>25187.67</v>
      </c>
      <c r="R136" s="79">
        <v>25595.87</v>
      </c>
      <c r="S136" s="79">
        <v>26054.45</v>
      </c>
      <c r="T136" s="79">
        <v>26811.45</v>
      </c>
      <c r="U136" s="79">
        <v>27386.13</v>
      </c>
      <c r="V136" s="79">
        <v>31615.98</v>
      </c>
      <c r="W136" s="79">
        <v>35993.22</v>
      </c>
      <c r="X136" s="79">
        <v>38107.050000000003</v>
      </c>
      <c r="Y136" s="79">
        <v>37516.129999999997</v>
      </c>
      <c r="Z136" s="79">
        <v>35936.89</v>
      </c>
      <c r="AA136" s="79">
        <v>33078.17</v>
      </c>
      <c r="AB136" s="79">
        <v>30197.95</v>
      </c>
      <c r="AC136" s="210"/>
      <c r="AD136" s="18"/>
    </row>
    <row r="137" spans="2:30" ht="18.649999999999999" customHeight="1" x14ac:dyDescent="0.35">
      <c r="B137" s="207">
        <v>49157</v>
      </c>
      <c r="C137" s="6" t="s">
        <v>29</v>
      </c>
      <c r="D137" s="7">
        <v>21</v>
      </c>
      <c r="E137" s="78">
        <v>27510.9</v>
      </c>
      <c r="F137" s="78">
        <v>25811.86</v>
      </c>
      <c r="G137" s="78">
        <v>24599.05</v>
      </c>
      <c r="H137" s="78">
        <v>23767.33</v>
      </c>
      <c r="I137" s="78">
        <v>23671.67</v>
      </c>
      <c r="J137" s="78">
        <v>23982.95</v>
      </c>
      <c r="K137" s="78">
        <v>24006.639999999999</v>
      </c>
      <c r="L137" s="78">
        <v>25541.01</v>
      </c>
      <c r="M137" s="78">
        <v>28111.15</v>
      </c>
      <c r="N137" s="78">
        <v>29335.08</v>
      </c>
      <c r="O137" s="78">
        <v>31215.14</v>
      </c>
      <c r="P137" s="78">
        <v>32951.51</v>
      </c>
      <c r="Q137" s="78">
        <v>31368.880000000001</v>
      </c>
      <c r="R137" s="78">
        <v>32757.61</v>
      </c>
      <c r="S137" s="78">
        <v>35412.050000000003</v>
      </c>
      <c r="T137" s="78">
        <v>35941.480000000003</v>
      </c>
      <c r="U137" s="78">
        <v>35811.82</v>
      </c>
      <c r="V137" s="78">
        <v>38347.120000000003</v>
      </c>
      <c r="W137" s="78">
        <v>41293.42</v>
      </c>
      <c r="X137" s="78">
        <v>41978.68</v>
      </c>
      <c r="Y137" s="78">
        <v>40859.300000000003</v>
      </c>
      <c r="Z137" s="78">
        <v>38769.199999999997</v>
      </c>
      <c r="AA137" s="78">
        <v>35523.379999999997</v>
      </c>
      <c r="AB137" s="78">
        <v>32431.06</v>
      </c>
      <c r="AC137" s="209">
        <f>SUM(E137:AB137)*D137+SUM(E138:AB138)*D138+SUM(E139:AB139)*D139+SUM(E140:AB140)*D140</f>
        <v>22768050.270000003</v>
      </c>
      <c r="AD137" s="18"/>
    </row>
    <row r="138" spans="2:30" ht="18.649999999999999" customHeight="1" x14ac:dyDescent="0.35">
      <c r="B138" s="267"/>
      <c r="C138" s="9" t="s">
        <v>30</v>
      </c>
      <c r="D138" s="10">
        <v>4</v>
      </c>
      <c r="E138" s="79">
        <v>27824.69</v>
      </c>
      <c r="F138" s="79">
        <v>26239.08</v>
      </c>
      <c r="G138" s="79">
        <v>25055.14</v>
      </c>
      <c r="H138" s="79">
        <v>24145.62</v>
      </c>
      <c r="I138" s="79">
        <v>23528.41</v>
      </c>
      <c r="J138" s="79">
        <v>22786.49</v>
      </c>
      <c r="K138" s="79">
        <v>22527.56</v>
      </c>
      <c r="L138" s="79">
        <v>23690.31</v>
      </c>
      <c r="M138" s="79">
        <v>25936.77</v>
      </c>
      <c r="N138" s="79">
        <v>27439.06</v>
      </c>
      <c r="O138" s="79">
        <v>28813.13</v>
      </c>
      <c r="P138" s="79">
        <v>29202.33</v>
      </c>
      <c r="Q138" s="79">
        <v>28597.11</v>
      </c>
      <c r="R138" s="79">
        <v>28296.48</v>
      </c>
      <c r="S138" s="79">
        <v>28991.86</v>
      </c>
      <c r="T138" s="79">
        <v>29494.98</v>
      </c>
      <c r="U138" s="79">
        <v>29856.48</v>
      </c>
      <c r="V138" s="79">
        <v>34208.32</v>
      </c>
      <c r="W138" s="79">
        <v>38485.14</v>
      </c>
      <c r="X138" s="79">
        <v>38749.370000000003</v>
      </c>
      <c r="Y138" s="79">
        <v>37316.69</v>
      </c>
      <c r="Z138" s="79">
        <v>35646.93</v>
      </c>
      <c r="AA138" s="79">
        <v>33435.94</v>
      </c>
      <c r="AB138" s="79">
        <v>31019.07</v>
      </c>
      <c r="AC138" s="210"/>
      <c r="AD138" s="18"/>
    </row>
    <row r="139" spans="2:30" ht="18.649999999999999" customHeight="1" x14ac:dyDescent="0.35">
      <c r="B139" s="267"/>
      <c r="C139" s="9" t="s">
        <v>31</v>
      </c>
      <c r="D139" s="10">
        <v>4</v>
      </c>
      <c r="E139" s="79">
        <v>27058.240000000002</v>
      </c>
      <c r="F139" s="79">
        <v>25646.18</v>
      </c>
      <c r="G139" s="79">
        <v>24331.46</v>
      </c>
      <c r="H139" s="79">
        <v>23586.29</v>
      </c>
      <c r="I139" s="79">
        <v>23174.65</v>
      </c>
      <c r="J139" s="79">
        <v>22366.37</v>
      </c>
      <c r="K139" s="79">
        <v>21478.23</v>
      </c>
      <c r="L139" s="79">
        <v>21296.33</v>
      </c>
      <c r="M139" s="79">
        <v>22119.73</v>
      </c>
      <c r="N139" s="79">
        <v>23075.29</v>
      </c>
      <c r="O139" s="79">
        <v>24063.93</v>
      </c>
      <c r="P139" s="79">
        <v>24999.39</v>
      </c>
      <c r="Q139" s="79">
        <v>25621.53</v>
      </c>
      <c r="R139" s="79">
        <v>25909.33</v>
      </c>
      <c r="S139" s="79">
        <v>26355.3</v>
      </c>
      <c r="T139" s="79">
        <v>26899.5</v>
      </c>
      <c r="U139" s="79">
        <v>27509.55</v>
      </c>
      <c r="V139" s="79">
        <v>32064.34</v>
      </c>
      <c r="W139" s="79">
        <v>36818.019999999997</v>
      </c>
      <c r="X139" s="79">
        <v>38506.559999999998</v>
      </c>
      <c r="Y139" s="79">
        <v>38276.79</v>
      </c>
      <c r="Z139" s="79">
        <v>36977.03</v>
      </c>
      <c r="AA139" s="79">
        <v>34246.199999999997</v>
      </c>
      <c r="AB139" s="79">
        <v>31276.15</v>
      </c>
      <c r="AC139" s="210"/>
      <c r="AD139" s="18"/>
    </row>
    <row r="140" spans="2:30" ht="18.649999999999999" customHeight="1" thickBot="1" x14ac:dyDescent="0.4">
      <c r="B140" s="268"/>
      <c r="C140" s="11" t="s">
        <v>32</v>
      </c>
      <c r="D140" s="12">
        <v>2</v>
      </c>
      <c r="E140" s="76">
        <v>27058.240000000002</v>
      </c>
      <c r="F140" s="76">
        <v>25646.18</v>
      </c>
      <c r="G140" s="76">
        <v>24331.46</v>
      </c>
      <c r="H140" s="76">
        <v>23586.29</v>
      </c>
      <c r="I140" s="76">
        <v>23174.65</v>
      </c>
      <c r="J140" s="76">
        <v>22366.37</v>
      </c>
      <c r="K140" s="76">
        <v>21478.23</v>
      </c>
      <c r="L140" s="76">
        <v>21296.33</v>
      </c>
      <c r="M140" s="76">
        <v>22119.73</v>
      </c>
      <c r="N140" s="76">
        <v>23075.29</v>
      </c>
      <c r="O140" s="76">
        <v>24063.93</v>
      </c>
      <c r="P140" s="76">
        <v>24999.39</v>
      </c>
      <c r="Q140" s="76">
        <v>25621.53</v>
      </c>
      <c r="R140" s="76">
        <v>25909.33</v>
      </c>
      <c r="S140" s="76">
        <v>26355.3</v>
      </c>
      <c r="T140" s="76">
        <v>26899.5</v>
      </c>
      <c r="U140" s="76">
        <v>27509.55</v>
      </c>
      <c r="V140" s="76">
        <v>32064.34</v>
      </c>
      <c r="W140" s="76">
        <v>36818.019999999997</v>
      </c>
      <c r="X140" s="76">
        <v>38506.559999999998</v>
      </c>
      <c r="Y140" s="76">
        <v>38276.79</v>
      </c>
      <c r="Z140" s="76">
        <v>36977.03</v>
      </c>
      <c r="AA140" s="76">
        <v>34246.199999999997</v>
      </c>
      <c r="AB140" s="76">
        <v>31276.15</v>
      </c>
      <c r="AC140" s="214"/>
      <c r="AD140" s="18"/>
    </row>
    <row r="141" spans="2:30" ht="18.649999999999999" customHeight="1" x14ac:dyDescent="0.35">
      <c r="B141" s="207">
        <v>49188</v>
      </c>
      <c r="C141" s="13" t="s">
        <v>29</v>
      </c>
      <c r="D141" s="14">
        <v>21</v>
      </c>
      <c r="E141" s="81">
        <v>27231.77</v>
      </c>
      <c r="F141" s="81">
        <v>25617.21</v>
      </c>
      <c r="G141" s="81">
        <v>24415.07</v>
      </c>
      <c r="H141" s="81">
        <v>23519.439999999999</v>
      </c>
      <c r="I141" s="81">
        <v>23408.34</v>
      </c>
      <c r="J141" s="81">
        <v>23709.74</v>
      </c>
      <c r="K141" s="81">
        <v>23715.59</v>
      </c>
      <c r="L141" s="81">
        <v>25400.14</v>
      </c>
      <c r="M141" s="81">
        <v>28146.87</v>
      </c>
      <c r="N141" s="81">
        <v>29445.61</v>
      </c>
      <c r="O141" s="81">
        <v>31044.52</v>
      </c>
      <c r="P141" s="81">
        <v>32579.03</v>
      </c>
      <c r="Q141" s="81">
        <v>31213.59</v>
      </c>
      <c r="R141" s="81">
        <v>32421.54</v>
      </c>
      <c r="S141" s="81">
        <v>34866.99</v>
      </c>
      <c r="T141" s="81">
        <v>35399.089999999997</v>
      </c>
      <c r="U141" s="81">
        <v>35341.24</v>
      </c>
      <c r="V141" s="81">
        <v>38268.959999999999</v>
      </c>
      <c r="W141" s="81">
        <v>41323.71</v>
      </c>
      <c r="X141" s="81">
        <v>40952.730000000003</v>
      </c>
      <c r="Y141" s="81">
        <v>39711.85</v>
      </c>
      <c r="Z141" s="81">
        <v>37563.47</v>
      </c>
      <c r="AA141" s="81">
        <v>34292.050000000003</v>
      </c>
      <c r="AB141" s="81">
        <v>31287.41</v>
      </c>
      <c r="AC141" s="210">
        <f>SUM(E141:AB141)*D141+SUM(E142:AB142)*D142+SUM(E143:AB143)*D143+SUM(E144:AB144)*D144</f>
        <v>21855957.079999998</v>
      </c>
      <c r="AD141" s="18"/>
    </row>
    <row r="142" spans="2:30" ht="18.649999999999999" customHeight="1" x14ac:dyDescent="0.35">
      <c r="B142" s="267"/>
      <c r="C142" s="9" t="s">
        <v>30</v>
      </c>
      <c r="D142" s="10">
        <v>5</v>
      </c>
      <c r="E142" s="79">
        <v>26149.89</v>
      </c>
      <c r="F142" s="79">
        <v>24660.48</v>
      </c>
      <c r="G142" s="79">
        <v>23527.88</v>
      </c>
      <c r="H142" s="79">
        <v>22695.55</v>
      </c>
      <c r="I142" s="79">
        <v>22441.33</v>
      </c>
      <c r="J142" s="79">
        <v>21826.36</v>
      </c>
      <c r="K142" s="79">
        <v>21789.75</v>
      </c>
      <c r="L142" s="79">
        <v>23193.07</v>
      </c>
      <c r="M142" s="79">
        <v>25755.66</v>
      </c>
      <c r="N142" s="79">
        <v>26907.21</v>
      </c>
      <c r="O142" s="79">
        <v>28670.560000000001</v>
      </c>
      <c r="P142" s="79">
        <v>29424.77</v>
      </c>
      <c r="Q142" s="79">
        <v>29089.88</v>
      </c>
      <c r="R142" s="79">
        <v>28770.1</v>
      </c>
      <c r="S142" s="79">
        <v>29255.96</v>
      </c>
      <c r="T142" s="79">
        <v>29457.74</v>
      </c>
      <c r="U142" s="79">
        <v>29643.05</v>
      </c>
      <c r="V142" s="79">
        <v>34614.26</v>
      </c>
      <c r="W142" s="79">
        <v>39061.83</v>
      </c>
      <c r="X142" s="79">
        <v>38767.24</v>
      </c>
      <c r="Y142" s="79">
        <v>37456.400000000001</v>
      </c>
      <c r="Z142" s="79">
        <v>35793.050000000003</v>
      </c>
      <c r="AA142" s="79">
        <v>33921.67</v>
      </c>
      <c r="AB142" s="79">
        <v>31516.99</v>
      </c>
      <c r="AC142" s="210"/>
      <c r="AD142" s="18"/>
    </row>
    <row r="143" spans="2:30" ht="18.649999999999999" customHeight="1" x14ac:dyDescent="0.35">
      <c r="B143" s="267"/>
      <c r="C143" s="9" t="s">
        <v>31</v>
      </c>
      <c r="D143" s="10">
        <v>4</v>
      </c>
      <c r="E143" s="79">
        <v>27122.57</v>
      </c>
      <c r="F143" s="79">
        <v>25576.2</v>
      </c>
      <c r="G143" s="79">
        <v>24206.71</v>
      </c>
      <c r="H143" s="79">
        <v>23291.68</v>
      </c>
      <c r="I143" s="79">
        <v>22892.63</v>
      </c>
      <c r="J143" s="79">
        <v>21759.34</v>
      </c>
      <c r="K143" s="79">
        <v>20797.3</v>
      </c>
      <c r="L143" s="79">
        <v>20850</v>
      </c>
      <c r="M143" s="79">
        <v>21752.48</v>
      </c>
      <c r="N143" s="79">
        <v>23022.32</v>
      </c>
      <c r="O143" s="79">
        <v>24098.54</v>
      </c>
      <c r="P143" s="79">
        <v>24704.53</v>
      </c>
      <c r="Q143" s="79">
        <v>25443.97</v>
      </c>
      <c r="R143" s="79">
        <v>25675.05</v>
      </c>
      <c r="S143" s="79">
        <v>25897.360000000001</v>
      </c>
      <c r="T143" s="79">
        <v>26617.279999999999</v>
      </c>
      <c r="U143" s="79">
        <v>27156.36</v>
      </c>
      <c r="V143" s="79">
        <v>32180.57</v>
      </c>
      <c r="W143" s="79">
        <v>36929.68</v>
      </c>
      <c r="X143" s="79">
        <v>37540.379999999997</v>
      </c>
      <c r="Y143" s="79">
        <v>37125.49</v>
      </c>
      <c r="Z143" s="79">
        <v>35771.9</v>
      </c>
      <c r="AA143" s="79">
        <v>33158.49</v>
      </c>
      <c r="AB143" s="79">
        <v>30331.3</v>
      </c>
      <c r="AC143" s="210"/>
      <c r="AD143" s="18"/>
    </row>
    <row r="144" spans="2:30" ht="18.649999999999999" customHeight="1" thickBot="1" x14ac:dyDescent="0.4">
      <c r="B144" s="268"/>
      <c r="C144" s="15" t="s">
        <v>32</v>
      </c>
      <c r="D144" s="16">
        <v>0</v>
      </c>
      <c r="E144" s="194">
        <v>0</v>
      </c>
      <c r="F144" s="194">
        <v>0</v>
      </c>
      <c r="G144" s="194">
        <v>0</v>
      </c>
      <c r="H144" s="194">
        <v>0</v>
      </c>
      <c r="I144" s="194">
        <v>0</v>
      </c>
      <c r="J144" s="194">
        <v>0</v>
      </c>
      <c r="K144" s="194">
        <v>0</v>
      </c>
      <c r="L144" s="194">
        <v>0</v>
      </c>
      <c r="M144" s="194">
        <v>0</v>
      </c>
      <c r="N144" s="194">
        <v>0</v>
      </c>
      <c r="O144" s="194">
        <v>0</v>
      </c>
      <c r="P144" s="194">
        <v>0</v>
      </c>
      <c r="Q144" s="194">
        <v>0</v>
      </c>
      <c r="R144" s="194">
        <v>0</v>
      </c>
      <c r="S144" s="194">
        <v>0</v>
      </c>
      <c r="T144" s="194">
        <v>0</v>
      </c>
      <c r="U144" s="194">
        <v>0</v>
      </c>
      <c r="V144" s="194">
        <v>0</v>
      </c>
      <c r="W144" s="194">
        <v>0</v>
      </c>
      <c r="X144" s="194">
        <v>0</v>
      </c>
      <c r="Y144" s="194">
        <v>0</v>
      </c>
      <c r="Z144" s="194">
        <v>0</v>
      </c>
      <c r="AA144" s="194">
        <v>0</v>
      </c>
      <c r="AB144" s="194">
        <v>0</v>
      </c>
      <c r="AC144" s="210"/>
      <c r="AD144" s="18"/>
    </row>
    <row r="145" spans="2:50" ht="18.649999999999999" customHeight="1" x14ac:dyDescent="0.35">
      <c r="B145" s="207">
        <v>49218</v>
      </c>
      <c r="C145" s="6" t="s">
        <v>29</v>
      </c>
      <c r="D145" s="7">
        <v>21</v>
      </c>
      <c r="E145" s="78">
        <v>26195.86</v>
      </c>
      <c r="F145" s="78">
        <v>24644.14</v>
      </c>
      <c r="G145" s="78">
        <v>23506.35</v>
      </c>
      <c r="H145" s="78">
        <v>22658.51</v>
      </c>
      <c r="I145" s="78">
        <v>22675.35</v>
      </c>
      <c r="J145" s="78">
        <v>22902.94</v>
      </c>
      <c r="K145" s="78">
        <v>23227.75</v>
      </c>
      <c r="L145" s="78">
        <v>24912.54</v>
      </c>
      <c r="M145" s="78">
        <v>27477.17</v>
      </c>
      <c r="N145" s="78">
        <v>28728.42</v>
      </c>
      <c r="O145" s="78">
        <v>30234.26</v>
      </c>
      <c r="P145" s="78">
        <v>31618.14</v>
      </c>
      <c r="Q145" s="78">
        <v>29968.560000000001</v>
      </c>
      <c r="R145" s="78">
        <v>31076.17</v>
      </c>
      <c r="S145" s="78">
        <v>33445.629999999997</v>
      </c>
      <c r="T145" s="78">
        <v>34268.75</v>
      </c>
      <c r="U145" s="78">
        <v>34562.9</v>
      </c>
      <c r="V145" s="78">
        <v>38503.129999999997</v>
      </c>
      <c r="W145" s="78">
        <v>41353.440000000002</v>
      </c>
      <c r="X145" s="78">
        <v>40428.36</v>
      </c>
      <c r="Y145" s="78">
        <v>38970.5</v>
      </c>
      <c r="Z145" s="78">
        <v>36822.550000000003</v>
      </c>
      <c r="AA145" s="78">
        <v>33623.17</v>
      </c>
      <c r="AB145" s="78">
        <v>30503.53</v>
      </c>
      <c r="AC145" s="209">
        <f>SUM(E145:AB145)*D145+SUM(E146:AB146)*D146+SUM(E147:AB147)*D147+SUM(E148:AB148)*D148</f>
        <v>22088628.060000002</v>
      </c>
      <c r="AD145" s="18"/>
    </row>
    <row r="146" spans="2:50" ht="18.649999999999999" customHeight="1" x14ac:dyDescent="0.35">
      <c r="B146" s="267"/>
      <c r="C146" s="9" t="s">
        <v>30</v>
      </c>
      <c r="D146" s="10">
        <v>4</v>
      </c>
      <c r="E146" s="79">
        <v>26635.35</v>
      </c>
      <c r="F146" s="79">
        <v>24947.42</v>
      </c>
      <c r="G146" s="79">
        <v>23575.06</v>
      </c>
      <c r="H146" s="79">
        <v>22727.23</v>
      </c>
      <c r="I146" s="79">
        <v>22679.61</v>
      </c>
      <c r="J146" s="79">
        <v>22076.42</v>
      </c>
      <c r="K146" s="79">
        <v>22207.48</v>
      </c>
      <c r="L146" s="79">
        <v>23299.63</v>
      </c>
      <c r="M146" s="79">
        <v>25783.040000000001</v>
      </c>
      <c r="N146" s="79">
        <v>27144.75</v>
      </c>
      <c r="O146" s="79">
        <v>28783.5</v>
      </c>
      <c r="P146" s="79">
        <v>29608.13</v>
      </c>
      <c r="Q146" s="79">
        <v>28958.63</v>
      </c>
      <c r="R146" s="79">
        <v>28691.07</v>
      </c>
      <c r="S146" s="79">
        <v>29342.799999999999</v>
      </c>
      <c r="T146" s="79">
        <v>30120.83</v>
      </c>
      <c r="U146" s="79">
        <v>30576.17</v>
      </c>
      <c r="V146" s="79">
        <v>35818.089999999997</v>
      </c>
      <c r="W146" s="79">
        <v>39641.910000000003</v>
      </c>
      <c r="X146" s="79">
        <v>38889.29</v>
      </c>
      <c r="Y146" s="79">
        <v>37369.43</v>
      </c>
      <c r="Z146" s="79">
        <v>35472.61</v>
      </c>
      <c r="AA146" s="79">
        <v>33209.64</v>
      </c>
      <c r="AB146" s="79">
        <v>30752.84</v>
      </c>
      <c r="AC146" s="210"/>
      <c r="AD146" s="18"/>
    </row>
    <row r="147" spans="2:50" ht="18.649999999999999" customHeight="1" x14ac:dyDescent="0.35">
      <c r="B147" s="267"/>
      <c r="C147" s="9" t="s">
        <v>31</v>
      </c>
      <c r="D147" s="10">
        <v>5</v>
      </c>
      <c r="E147" s="79">
        <v>26542.87</v>
      </c>
      <c r="F147" s="79">
        <v>24964.89</v>
      </c>
      <c r="G147" s="79">
        <v>23699.25</v>
      </c>
      <c r="H147" s="79">
        <v>22928.94</v>
      </c>
      <c r="I147" s="79">
        <v>22546.47</v>
      </c>
      <c r="J147" s="79">
        <v>21593.99</v>
      </c>
      <c r="K147" s="79">
        <v>20569.759999999998</v>
      </c>
      <c r="L147" s="79">
        <v>20589.919999999998</v>
      </c>
      <c r="M147" s="79">
        <v>21616.83</v>
      </c>
      <c r="N147" s="79">
        <v>22589.79</v>
      </c>
      <c r="O147" s="79">
        <v>23767.33</v>
      </c>
      <c r="P147" s="79">
        <v>24849.95</v>
      </c>
      <c r="Q147" s="79">
        <v>25493.4</v>
      </c>
      <c r="R147" s="79">
        <v>25761.94</v>
      </c>
      <c r="S147" s="79">
        <v>26251.91</v>
      </c>
      <c r="T147" s="79">
        <v>26546.15</v>
      </c>
      <c r="U147" s="79">
        <v>27510.959999999999</v>
      </c>
      <c r="V147" s="79">
        <v>32984.519999999997</v>
      </c>
      <c r="W147" s="79">
        <v>37556.11</v>
      </c>
      <c r="X147" s="79">
        <v>37845.769999999997</v>
      </c>
      <c r="Y147" s="79">
        <v>37323.53</v>
      </c>
      <c r="Z147" s="79">
        <v>35862.78</v>
      </c>
      <c r="AA147" s="79">
        <v>33110.050000000003</v>
      </c>
      <c r="AB147" s="79">
        <v>30311.86</v>
      </c>
      <c r="AC147" s="210"/>
      <c r="AD147" s="18"/>
    </row>
    <row r="148" spans="2:50" ht="18.649999999999999" customHeight="1" thickBot="1" x14ac:dyDescent="0.4">
      <c r="B148" s="268"/>
      <c r="C148" s="11" t="s">
        <v>32</v>
      </c>
      <c r="D148" s="12">
        <v>1</v>
      </c>
      <c r="E148" s="76">
        <v>26542.87</v>
      </c>
      <c r="F148" s="76">
        <v>24964.89</v>
      </c>
      <c r="G148" s="76">
        <v>23699.25</v>
      </c>
      <c r="H148" s="76">
        <v>22928.94</v>
      </c>
      <c r="I148" s="76">
        <v>22546.47</v>
      </c>
      <c r="J148" s="76">
        <v>21593.99</v>
      </c>
      <c r="K148" s="76">
        <v>20569.759999999998</v>
      </c>
      <c r="L148" s="76">
        <v>20589.919999999998</v>
      </c>
      <c r="M148" s="76">
        <v>21616.83</v>
      </c>
      <c r="N148" s="76">
        <v>22589.79</v>
      </c>
      <c r="O148" s="76">
        <v>23767.33</v>
      </c>
      <c r="P148" s="76">
        <v>24849.95</v>
      </c>
      <c r="Q148" s="76">
        <v>25493.4</v>
      </c>
      <c r="R148" s="76">
        <v>25761.94</v>
      </c>
      <c r="S148" s="76">
        <v>26251.91</v>
      </c>
      <c r="T148" s="76">
        <v>26546.15</v>
      </c>
      <c r="U148" s="76">
        <v>27510.959999999999</v>
      </c>
      <c r="V148" s="76">
        <v>32984.519999999997</v>
      </c>
      <c r="W148" s="76">
        <v>37556.11</v>
      </c>
      <c r="X148" s="76">
        <v>37845.769999999997</v>
      </c>
      <c r="Y148" s="76">
        <v>37323.53</v>
      </c>
      <c r="Z148" s="76">
        <v>35862.78</v>
      </c>
      <c r="AA148" s="76">
        <v>33110.050000000003</v>
      </c>
      <c r="AB148" s="76">
        <v>30311.86</v>
      </c>
      <c r="AC148" s="214"/>
      <c r="AD148" s="18"/>
    </row>
    <row r="149" spans="2:50" ht="18.649999999999999" customHeight="1" x14ac:dyDescent="0.35">
      <c r="B149" s="207">
        <v>49249</v>
      </c>
      <c r="C149" s="13" t="s">
        <v>29</v>
      </c>
      <c r="D149" s="14">
        <v>20</v>
      </c>
      <c r="E149" s="81">
        <v>25477.200000000001</v>
      </c>
      <c r="F149" s="81">
        <v>23982.33</v>
      </c>
      <c r="G149" s="81">
        <v>22878.48</v>
      </c>
      <c r="H149" s="81">
        <v>22116.89</v>
      </c>
      <c r="I149" s="81">
        <v>22138.15</v>
      </c>
      <c r="J149" s="81">
        <v>22324.29</v>
      </c>
      <c r="K149" s="81">
        <v>22702.34</v>
      </c>
      <c r="L149" s="81">
        <v>24593.19</v>
      </c>
      <c r="M149" s="81">
        <v>27154.38</v>
      </c>
      <c r="N149" s="81">
        <v>28331.77</v>
      </c>
      <c r="O149" s="81">
        <v>29717.18</v>
      </c>
      <c r="P149" s="81">
        <v>30777.42</v>
      </c>
      <c r="Q149" s="81">
        <v>29257.31</v>
      </c>
      <c r="R149" s="81">
        <v>30181.17</v>
      </c>
      <c r="S149" s="81">
        <v>32224.11</v>
      </c>
      <c r="T149" s="81">
        <v>33057.17</v>
      </c>
      <c r="U149" s="81">
        <v>33400.14</v>
      </c>
      <c r="V149" s="81">
        <v>37688.28</v>
      </c>
      <c r="W149" s="81">
        <v>39952.019999999997</v>
      </c>
      <c r="X149" s="81">
        <v>39042.69</v>
      </c>
      <c r="Y149" s="81">
        <v>37714.050000000003</v>
      </c>
      <c r="Z149" s="81">
        <v>35707.54</v>
      </c>
      <c r="AA149" s="81">
        <v>32731.88</v>
      </c>
      <c r="AB149" s="81">
        <v>29764.720000000001</v>
      </c>
      <c r="AC149" s="210">
        <f>SUM(E149:AB149)*D149+SUM(E150:AB150)*D150+SUM(E151:AB151)*D151+SUM(E152:AB152)*D152</f>
        <v>20721414.540000003</v>
      </c>
      <c r="AD149" s="18"/>
    </row>
    <row r="150" spans="2:50" ht="18.649999999999999" customHeight="1" x14ac:dyDescent="0.35">
      <c r="B150" s="267"/>
      <c r="C150" s="9" t="s">
        <v>30</v>
      </c>
      <c r="D150" s="10">
        <v>4</v>
      </c>
      <c r="E150" s="79">
        <v>24645.71</v>
      </c>
      <c r="F150" s="79">
        <v>23288.45</v>
      </c>
      <c r="G150" s="79">
        <v>22321.65</v>
      </c>
      <c r="H150" s="79">
        <v>21686.73</v>
      </c>
      <c r="I150" s="79">
        <v>21631.439999999999</v>
      </c>
      <c r="J150" s="79">
        <v>20996.080000000002</v>
      </c>
      <c r="K150" s="79">
        <v>21163.56</v>
      </c>
      <c r="L150" s="79">
        <v>22706.94</v>
      </c>
      <c r="M150" s="79">
        <v>25247.69</v>
      </c>
      <c r="N150" s="79">
        <v>26601.14</v>
      </c>
      <c r="O150" s="79">
        <v>28261.95</v>
      </c>
      <c r="P150" s="79">
        <v>28917.41</v>
      </c>
      <c r="Q150" s="79">
        <v>28322.39</v>
      </c>
      <c r="R150" s="79">
        <v>27687.52</v>
      </c>
      <c r="S150" s="79">
        <v>27608.78</v>
      </c>
      <c r="T150" s="79">
        <v>28286.81</v>
      </c>
      <c r="U150" s="79">
        <v>28886.69</v>
      </c>
      <c r="V150" s="79">
        <v>34609.050000000003</v>
      </c>
      <c r="W150" s="79">
        <v>37900.519999999997</v>
      </c>
      <c r="X150" s="79">
        <v>37271.58</v>
      </c>
      <c r="Y150" s="79">
        <v>35961.129999999997</v>
      </c>
      <c r="Z150" s="79">
        <v>34319.78</v>
      </c>
      <c r="AA150" s="79">
        <v>32237.06</v>
      </c>
      <c r="AB150" s="79">
        <v>29809.99</v>
      </c>
      <c r="AC150" s="210"/>
      <c r="AD150" s="18"/>
    </row>
    <row r="151" spans="2:50" ht="18.649999999999999" customHeight="1" x14ac:dyDescent="0.35">
      <c r="B151" s="267"/>
      <c r="C151" s="9" t="s">
        <v>31</v>
      </c>
      <c r="D151" s="10">
        <v>4</v>
      </c>
      <c r="E151" s="79">
        <v>25904.3</v>
      </c>
      <c r="F151" s="79">
        <v>24532.76</v>
      </c>
      <c r="G151" s="79">
        <v>23306.21</v>
      </c>
      <c r="H151" s="79">
        <v>22464.85</v>
      </c>
      <c r="I151" s="79">
        <v>22095.59</v>
      </c>
      <c r="J151" s="79">
        <v>21265.72</v>
      </c>
      <c r="K151" s="79">
        <v>20379.36</v>
      </c>
      <c r="L151" s="79">
        <v>20335.61</v>
      </c>
      <c r="M151" s="79">
        <v>21351.19</v>
      </c>
      <c r="N151" s="79">
        <v>22357.65</v>
      </c>
      <c r="O151" s="79">
        <v>23556.29</v>
      </c>
      <c r="P151" s="79">
        <v>24155</v>
      </c>
      <c r="Q151" s="79">
        <v>24726.33</v>
      </c>
      <c r="R151" s="79">
        <v>24849.61</v>
      </c>
      <c r="S151" s="79">
        <v>24977.48</v>
      </c>
      <c r="T151" s="79">
        <v>25475.7</v>
      </c>
      <c r="U151" s="79">
        <v>26210.62</v>
      </c>
      <c r="V151" s="79">
        <v>32140.55</v>
      </c>
      <c r="W151" s="79">
        <v>35601.599999999999</v>
      </c>
      <c r="X151" s="79">
        <v>35660.17</v>
      </c>
      <c r="Y151" s="79">
        <v>34885.47</v>
      </c>
      <c r="Z151" s="79">
        <v>33539.86</v>
      </c>
      <c r="AA151" s="79">
        <v>31399.33</v>
      </c>
      <c r="AB151" s="79">
        <v>29102.14</v>
      </c>
      <c r="AC151" s="210"/>
      <c r="AD151" s="18"/>
    </row>
    <row r="152" spans="2:50" ht="18.649999999999999" customHeight="1" thickBot="1" x14ac:dyDescent="0.4">
      <c r="B152" s="268"/>
      <c r="C152" s="15" t="s">
        <v>32</v>
      </c>
      <c r="D152" s="16">
        <v>2</v>
      </c>
      <c r="E152" s="80">
        <v>25904.3</v>
      </c>
      <c r="F152" s="80">
        <v>24532.76</v>
      </c>
      <c r="G152" s="80">
        <v>23306.21</v>
      </c>
      <c r="H152" s="80">
        <v>22464.85</v>
      </c>
      <c r="I152" s="80">
        <v>22095.59</v>
      </c>
      <c r="J152" s="80">
        <v>21265.72</v>
      </c>
      <c r="K152" s="80">
        <v>20379.36</v>
      </c>
      <c r="L152" s="80">
        <v>20335.61</v>
      </c>
      <c r="M152" s="80">
        <v>21351.19</v>
      </c>
      <c r="N152" s="80">
        <v>22357.65</v>
      </c>
      <c r="O152" s="80">
        <v>23556.29</v>
      </c>
      <c r="P152" s="80">
        <v>24155</v>
      </c>
      <c r="Q152" s="80">
        <v>24726.33</v>
      </c>
      <c r="R152" s="80">
        <v>24849.61</v>
      </c>
      <c r="S152" s="80">
        <v>24977.48</v>
      </c>
      <c r="T152" s="80">
        <v>25475.7</v>
      </c>
      <c r="U152" s="80">
        <v>26210.62</v>
      </c>
      <c r="V152" s="80">
        <v>32140.55</v>
      </c>
      <c r="W152" s="80">
        <v>35601.599999999999</v>
      </c>
      <c r="X152" s="80">
        <v>35660.17</v>
      </c>
      <c r="Y152" s="80">
        <v>34885.47</v>
      </c>
      <c r="Z152" s="80">
        <v>33539.86</v>
      </c>
      <c r="AA152" s="80">
        <v>31399.33</v>
      </c>
      <c r="AB152" s="80">
        <v>29102.14</v>
      </c>
      <c r="AC152" s="210"/>
      <c r="AD152" s="18"/>
    </row>
    <row r="153" spans="2:50" ht="18.649999999999999" customHeight="1" x14ac:dyDescent="0.35">
      <c r="B153" s="207">
        <v>49279</v>
      </c>
      <c r="C153" s="6" t="s">
        <v>29</v>
      </c>
      <c r="D153" s="7">
        <v>19</v>
      </c>
      <c r="E153" s="78">
        <v>27948.13</v>
      </c>
      <c r="F153" s="78">
        <v>26235.02</v>
      </c>
      <c r="G153" s="78">
        <v>24981.38</v>
      </c>
      <c r="H153" s="78">
        <v>24210.41</v>
      </c>
      <c r="I153" s="78">
        <v>24070.560000000001</v>
      </c>
      <c r="J153" s="78">
        <v>24014.53</v>
      </c>
      <c r="K153" s="78">
        <v>23959.97</v>
      </c>
      <c r="L153" s="78">
        <v>25677.360000000001</v>
      </c>
      <c r="M153" s="78">
        <v>28213.22</v>
      </c>
      <c r="N153" s="78">
        <v>29615.67</v>
      </c>
      <c r="O153" s="78">
        <v>30940.19</v>
      </c>
      <c r="P153" s="78">
        <v>32054.95</v>
      </c>
      <c r="Q153" s="78">
        <v>31011.16</v>
      </c>
      <c r="R153" s="78">
        <v>31596.400000000001</v>
      </c>
      <c r="S153" s="78">
        <v>33392.44</v>
      </c>
      <c r="T153" s="78">
        <v>34249.360000000001</v>
      </c>
      <c r="U153" s="78">
        <v>34762.21</v>
      </c>
      <c r="V153" s="78">
        <v>39094.44</v>
      </c>
      <c r="W153" s="78">
        <v>42665.16</v>
      </c>
      <c r="X153" s="78">
        <v>41841.26</v>
      </c>
      <c r="Y153" s="78">
        <v>40310.949999999997</v>
      </c>
      <c r="Z153" s="78">
        <v>38057.69</v>
      </c>
      <c r="AA153" s="78">
        <v>35199.46</v>
      </c>
      <c r="AB153" s="78">
        <v>32437.38</v>
      </c>
      <c r="AC153" s="209">
        <f>SUM(E153:AB153)*D153+SUM(E154:AB154)*D154+SUM(E155:AB155)*D155+SUM(E156:AB156)*D156</f>
        <v>22856271.239999998</v>
      </c>
      <c r="AD153" s="18"/>
    </row>
    <row r="154" spans="2:50" ht="18.649999999999999" customHeight="1" x14ac:dyDescent="0.35">
      <c r="B154" s="267"/>
      <c r="C154" s="9" t="s">
        <v>30</v>
      </c>
      <c r="D154" s="10">
        <v>5</v>
      </c>
      <c r="E154" s="79">
        <v>28358.09</v>
      </c>
      <c r="F154" s="79">
        <v>26560.27</v>
      </c>
      <c r="G154" s="79">
        <v>25388.46</v>
      </c>
      <c r="H154" s="79">
        <v>24514.53</v>
      </c>
      <c r="I154" s="79">
        <v>24243.51</v>
      </c>
      <c r="J154" s="79">
        <v>23738.46</v>
      </c>
      <c r="K154" s="79">
        <v>23304.53</v>
      </c>
      <c r="L154" s="79">
        <v>24179.9</v>
      </c>
      <c r="M154" s="79">
        <v>27021.62</v>
      </c>
      <c r="N154" s="79">
        <v>28621.91</v>
      </c>
      <c r="O154" s="79">
        <v>30076.75</v>
      </c>
      <c r="P154" s="79">
        <v>31058.61</v>
      </c>
      <c r="Q154" s="79">
        <v>30449.96</v>
      </c>
      <c r="R154" s="79">
        <v>30346.45</v>
      </c>
      <c r="S154" s="79">
        <v>30340.69</v>
      </c>
      <c r="T154" s="79">
        <v>31106.44</v>
      </c>
      <c r="U154" s="79">
        <v>31828.77</v>
      </c>
      <c r="V154" s="79">
        <v>36849.769999999997</v>
      </c>
      <c r="W154" s="79">
        <v>41429.839999999997</v>
      </c>
      <c r="X154" s="79">
        <v>40800.21</v>
      </c>
      <c r="Y154" s="79">
        <v>39262.06</v>
      </c>
      <c r="Z154" s="79">
        <v>37645.58</v>
      </c>
      <c r="AA154" s="79">
        <v>35268.81</v>
      </c>
      <c r="AB154" s="79">
        <v>32787.93</v>
      </c>
      <c r="AC154" s="210"/>
      <c r="AD154" s="18"/>
    </row>
    <row r="155" spans="2:50" ht="18.649999999999999" customHeight="1" x14ac:dyDescent="0.35">
      <c r="B155" s="267"/>
      <c r="C155" s="9" t="s">
        <v>31</v>
      </c>
      <c r="D155" s="10">
        <v>5</v>
      </c>
      <c r="E155" s="79">
        <v>28704.85</v>
      </c>
      <c r="F155" s="79">
        <v>27139.34</v>
      </c>
      <c r="G155" s="79">
        <v>25865.08</v>
      </c>
      <c r="H155" s="79">
        <v>24960.6</v>
      </c>
      <c r="I155" s="79">
        <v>24539.22</v>
      </c>
      <c r="J155" s="79">
        <v>23808.49</v>
      </c>
      <c r="K155" s="79">
        <v>22366.959999999999</v>
      </c>
      <c r="L155" s="79">
        <v>22043.86</v>
      </c>
      <c r="M155" s="79">
        <v>23279.07</v>
      </c>
      <c r="N155" s="79">
        <v>24532.67</v>
      </c>
      <c r="O155" s="79">
        <v>25303.77</v>
      </c>
      <c r="P155" s="79">
        <v>26160.14</v>
      </c>
      <c r="Q155" s="79">
        <v>26795.61</v>
      </c>
      <c r="R155" s="79">
        <v>27370.2</v>
      </c>
      <c r="S155" s="79">
        <v>26459.17</v>
      </c>
      <c r="T155" s="79">
        <v>27843.78</v>
      </c>
      <c r="U155" s="79">
        <v>28863.14</v>
      </c>
      <c r="V155" s="79">
        <v>34145.269999999997</v>
      </c>
      <c r="W155" s="79">
        <v>38807.550000000003</v>
      </c>
      <c r="X155" s="79">
        <v>38414.910000000003</v>
      </c>
      <c r="Y155" s="79">
        <v>37369.769999999997</v>
      </c>
      <c r="Z155" s="79">
        <v>36040.97</v>
      </c>
      <c r="AA155" s="79">
        <v>33932.21</v>
      </c>
      <c r="AB155" s="79">
        <v>31840.34</v>
      </c>
      <c r="AC155" s="210"/>
      <c r="AD155" s="18"/>
    </row>
    <row r="156" spans="2:50" ht="18.649999999999999" customHeight="1" thickBot="1" x14ac:dyDescent="0.4">
      <c r="B156" s="268"/>
      <c r="C156" s="11" t="s">
        <v>32</v>
      </c>
      <c r="D156" s="12">
        <v>2</v>
      </c>
      <c r="E156" s="76">
        <v>28704.85</v>
      </c>
      <c r="F156" s="76">
        <v>27139.34</v>
      </c>
      <c r="G156" s="76">
        <v>25865.08</v>
      </c>
      <c r="H156" s="76">
        <v>24960.6</v>
      </c>
      <c r="I156" s="76">
        <v>24539.22</v>
      </c>
      <c r="J156" s="76">
        <v>23808.49</v>
      </c>
      <c r="K156" s="76">
        <v>22366.959999999999</v>
      </c>
      <c r="L156" s="76">
        <v>22043.86</v>
      </c>
      <c r="M156" s="76">
        <v>23279.07</v>
      </c>
      <c r="N156" s="76">
        <v>24532.67</v>
      </c>
      <c r="O156" s="76">
        <v>25303.77</v>
      </c>
      <c r="P156" s="76">
        <v>26160.14</v>
      </c>
      <c r="Q156" s="76">
        <v>26795.61</v>
      </c>
      <c r="R156" s="76">
        <v>27370.2</v>
      </c>
      <c r="S156" s="76">
        <v>26459.17</v>
      </c>
      <c r="T156" s="76">
        <v>27843.78</v>
      </c>
      <c r="U156" s="76">
        <v>28863.14</v>
      </c>
      <c r="V156" s="76">
        <v>34145.269999999997</v>
      </c>
      <c r="W156" s="76">
        <v>38807.550000000003</v>
      </c>
      <c r="X156" s="76">
        <v>38414.910000000003</v>
      </c>
      <c r="Y156" s="76">
        <v>37369.769999999997</v>
      </c>
      <c r="Z156" s="76">
        <v>36040.97</v>
      </c>
      <c r="AA156" s="76">
        <v>33932.21</v>
      </c>
      <c r="AB156" s="76">
        <v>31840.34</v>
      </c>
      <c r="AC156" s="214"/>
      <c r="AD156" s="18"/>
    </row>
    <row r="157" spans="2:50" ht="18.649999999999999" customHeight="1" thickBot="1" x14ac:dyDescent="0.4"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215" t="s">
        <v>33</v>
      </c>
      <c r="AA157" s="216"/>
      <c r="AB157" s="217"/>
      <c r="AC157" s="135">
        <f>SUM(AC109:AC156)</f>
        <v>271547234.06999999</v>
      </c>
      <c r="AD157" s="17"/>
      <c r="AE157" s="18"/>
    </row>
    <row r="158" spans="2:50" ht="18.649999999999999" customHeight="1" x14ac:dyDescent="0.35">
      <c r="B158" s="207">
        <v>49310</v>
      </c>
      <c r="C158" s="6" t="s">
        <v>29</v>
      </c>
      <c r="D158" s="46">
        <v>21</v>
      </c>
      <c r="E158" s="78">
        <v>29796.97</v>
      </c>
      <c r="F158" s="78">
        <v>28109.39</v>
      </c>
      <c r="G158" s="78">
        <v>26824.01</v>
      </c>
      <c r="H158" s="78">
        <v>25884.49</v>
      </c>
      <c r="I158" s="78">
        <v>25688.97</v>
      </c>
      <c r="J158" s="78">
        <v>26106.240000000002</v>
      </c>
      <c r="K158" s="78">
        <v>25628.77</v>
      </c>
      <c r="L158" s="78">
        <v>27304.44</v>
      </c>
      <c r="M158" s="78">
        <v>29905.47</v>
      </c>
      <c r="N158" s="78">
        <v>31221.360000000001</v>
      </c>
      <c r="O158" s="78">
        <v>32923.86</v>
      </c>
      <c r="P158" s="78">
        <v>34477.01</v>
      </c>
      <c r="Q158" s="78">
        <v>33346.230000000003</v>
      </c>
      <c r="R158" s="78">
        <v>34645.949999999997</v>
      </c>
      <c r="S158" s="78">
        <v>36799.769999999997</v>
      </c>
      <c r="T158" s="78">
        <v>37326.26</v>
      </c>
      <c r="U158" s="78">
        <v>37349.53</v>
      </c>
      <c r="V158" s="78">
        <v>40082.93</v>
      </c>
      <c r="W158" s="78">
        <v>43492.27</v>
      </c>
      <c r="X158" s="78">
        <v>43662.59</v>
      </c>
      <c r="Y158" s="78">
        <v>42569.22</v>
      </c>
      <c r="Z158" s="78">
        <v>40691.86</v>
      </c>
      <c r="AA158" s="78">
        <v>37769.22</v>
      </c>
      <c r="AB158" s="78">
        <v>34678.47</v>
      </c>
      <c r="AC158" s="209">
        <f>SUM(E158:AB158)*D158+SUM(E159:AB159)*D159+SUM(E160:AB160)*D160+SUM(E161:AB161)*D161</f>
        <v>24151597.699999999</v>
      </c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</row>
    <row r="159" spans="2:50" ht="18.649999999999999" customHeight="1" x14ac:dyDescent="0.35">
      <c r="B159" s="267"/>
      <c r="C159" s="9" t="s">
        <v>30</v>
      </c>
      <c r="D159" s="10">
        <v>4</v>
      </c>
      <c r="E159" s="79">
        <v>29496.639999999999</v>
      </c>
      <c r="F159" s="79">
        <v>27942.18</v>
      </c>
      <c r="G159" s="79">
        <v>26691.77</v>
      </c>
      <c r="H159" s="79">
        <v>25735.18</v>
      </c>
      <c r="I159" s="79">
        <v>25419.599999999999</v>
      </c>
      <c r="J159" s="79">
        <v>25098.66</v>
      </c>
      <c r="K159" s="79">
        <v>24139.22</v>
      </c>
      <c r="L159" s="79">
        <v>25199.68</v>
      </c>
      <c r="M159" s="79">
        <v>27605.07</v>
      </c>
      <c r="N159" s="79">
        <v>29339.39</v>
      </c>
      <c r="O159" s="79">
        <v>30769.4</v>
      </c>
      <c r="P159" s="79">
        <v>31563.86</v>
      </c>
      <c r="Q159" s="79">
        <v>31236.55</v>
      </c>
      <c r="R159" s="79">
        <v>30481.68</v>
      </c>
      <c r="S159" s="79">
        <v>30890.36</v>
      </c>
      <c r="T159" s="79">
        <v>31359.15</v>
      </c>
      <c r="U159" s="79">
        <v>31764.880000000001</v>
      </c>
      <c r="V159" s="79">
        <v>36312.99</v>
      </c>
      <c r="W159" s="79">
        <v>40992.449999999997</v>
      </c>
      <c r="X159" s="79">
        <v>41255.040000000001</v>
      </c>
      <c r="Y159" s="79">
        <v>40052.519999999997</v>
      </c>
      <c r="Z159" s="79">
        <v>38440.39</v>
      </c>
      <c r="AA159" s="79">
        <v>36337.83</v>
      </c>
      <c r="AB159" s="79">
        <v>33966.26</v>
      </c>
      <c r="AC159" s="210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</row>
    <row r="160" spans="2:50" ht="18.649999999999999" customHeight="1" x14ac:dyDescent="0.35">
      <c r="B160" s="267"/>
      <c r="C160" s="9" t="s">
        <v>31</v>
      </c>
      <c r="D160" s="10">
        <v>4</v>
      </c>
      <c r="E160" s="79">
        <v>29736.73</v>
      </c>
      <c r="F160" s="79">
        <v>28131.86</v>
      </c>
      <c r="G160" s="79">
        <v>26807.95</v>
      </c>
      <c r="H160" s="79">
        <v>25834.2</v>
      </c>
      <c r="I160" s="79">
        <v>25356.43</v>
      </c>
      <c r="J160" s="79">
        <v>24672.93</v>
      </c>
      <c r="K160" s="79">
        <v>22953.21</v>
      </c>
      <c r="L160" s="79">
        <v>22476.5</v>
      </c>
      <c r="M160" s="79">
        <v>23388.01</v>
      </c>
      <c r="N160" s="79">
        <v>24251.759999999998</v>
      </c>
      <c r="O160" s="79">
        <v>25345.03</v>
      </c>
      <c r="P160" s="79">
        <v>26356.07</v>
      </c>
      <c r="Q160" s="79">
        <v>27159.33</v>
      </c>
      <c r="R160" s="79">
        <v>27382.97</v>
      </c>
      <c r="S160" s="79">
        <v>27616.68</v>
      </c>
      <c r="T160" s="79">
        <v>28056.01</v>
      </c>
      <c r="U160" s="79">
        <v>28837.75</v>
      </c>
      <c r="V160" s="79">
        <v>33505.51</v>
      </c>
      <c r="W160" s="79">
        <v>38563.74</v>
      </c>
      <c r="X160" s="79">
        <v>39664.230000000003</v>
      </c>
      <c r="Y160" s="79">
        <v>39270.300000000003</v>
      </c>
      <c r="Z160" s="79">
        <v>38050.269999999997</v>
      </c>
      <c r="AA160" s="79">
        <v>35647.39</v>
      </c>
      <c r="AB160" s="79">
        <v>32809.11</v>
      </c>
      <c r="AC160" s="210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</row>
    <row r="161" spans="2:50" ht="18.649999999999999" customHeight="1" thickBot="1" x14ac:dyDescent="0.4">
      <c r="B161" s="268"/>
      <c r="C161" s="15" t="s">
        <v>32</v>
      </c>
      <c r="D161" s="16">
        <v>2</v>
      </c>
      <c r="E161" s="80">
        <v>29736.73</v>
      </c>
      <c r="F161" s="80">
        <v>28131.86</v>
      </c>
      <c r="G161" s="80">
        <v>26807.95</v>
      </c>
      <c r="H161" s="80">
        <v>25834.2</v>
      </c>
      <c r="I161" s="80">
        <v>25356.43</v>
      </c>
      <c r="J161" s="80">
        <v>24672.93</v>
      </c>
      <c r="K161" s="80">
        <v>22953.21</v>
      </c>
      <c r="L161" s="80">
        <v>22476.5</v>
      </c>
      <c r="M161" s="80">
        <v>23388.01</v>
      </c>
      <c r="N161" s="80">
        <v>24251.759999999998</v>
      </c>
      <c r="O161" s="80">
        <v>25345.03</v>
      </c>
      <c r="P161" s="80">
        <v>26356.07</v>
      </c>
      <c r="Q161" s="80">
        <v>27159.33</v>
      </c>
      <c r="R161" s="80">
        <v>27382.97</v>
      </c>
      <c r="S161" s="80">
        <v>27616.68</v>
      </c>
      <c r="T161" s="80">
        <v>28056.01</v>
      </c>
      <c r="U161" s="80">
        <v>28837.75</v>
      </c>
      <c r="V161" s="80">
        <v>33505.51</v>
      </c>
      <c r="W161" s="80">
        <v>38563.74</v>
      </c>
      <c r="X161" s="80">
        <v>39664.230000000003</v>
      </c>
      <c r="Y161" s="80">
        <v>39270.300000000003</v>
      </c>
      <c r="Z161" s="80">
        <v>38050.269999999997</v>
      </c>
      <c r="AA161" s="80">
        <v>35647.39</v>
      </c>
      <c r="AB161" s="80">
        <v>32809.11</v>
      </c>
      <c r="AC161" s="210"/>
      <c r="AD161" s="53">
        <f>+AC158</f>
        <v>24151597.699999999</v>
      </c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</row>
    <row r="162" spans="2:50" ht="18.649999999999999" customHeight="1" x14ac:dyDescent="0.35">
      <c r="B162" s="207">
        <v>49341</v>
      </c>
      <c r="C162" s="6" t="s">
        <v>29</v>
      </c>
      <c r="D162" s="7">
        <v>20</v>
      </c>
      <c r="E162" s="78">
        <v>31529.279999999999</v>
      </c>
      <c r="F162" s="78">
        <v>29836.45</v>
      </c>
      <c r="G162" s="78">
        <v>28446.94</v>
      </c>
      <c r="H162" s="78">
        <v>27432.68</v>
      </c>
      <c r="I162" s="78">
        <v>27342.68</v>
      </c>
      <c r="J162" s="78">
        <v>28599.74</v>
      </c>
      <c r="K162" s="78">
        <v>28092.14</v>
      </c>
      <c r="L162" s="78">
        <v>29556.39</v>
      </c>
      <c r="M162" s="78">
        <v>31854.11</v>
      </c>
      <c r="N162" s="78">
        <v>32777.24</v>
      </c>
      <c r="O162" s="78">
        <v>34362.199999999997</v>
      </c>
      <c r="P162" s="78">
        <v>35806.51</v>
      </c>
      <c r="Q162" s="78">
        <v>34381.21</v>
      </c>
      <c r="R162" s="78">
        <v>36077.19</v>
      </c>
      <c r="S162" s="78">
        <v>38748.33</v>
      </c>
      <c r="T162" s="78">
        <v>39457.35</v>
      </c>
      <c r="U162" s="78">
        <v>39511.160000000003</v>
      </c>
      <c r="V162" s="78">
        <v>42042.82</v>
      </c>
      <c r="W162" s="78">
        <v>45263.27</v>
      </c>
      <c r="X162" s="78">
        <v>45995.42</v>
      </c>
      <c r="Y162" s="78">
        <v>45100.82</v>
      </c>
      <c r="Z162" s="78">
        <v>43131.83</v>
      </c>
      <c r="AA162" s="78">
        <v>39676.83</v>
      </c>
      <c r="AB162" s="78">
        <v>36286.51</v>
      </c>
      <c r="AC162" s="209">
        <f>SUM(E162:AB162)*D162+SUM(E163:AB163)*D163+SUM(E164:AB164)*D164+SUM(E165:AB165)*D165</f>
        <v>23220467.239999995</v>
      </c>
      <c r="AD162" s="148">
        <f>+AC162</f>
        <v>23220467.239999995</v>
      </c>
    </row>
    <row r="163" spans="2:50" ht="18.649999999999999" customHeight="1" x14ac:dyDescent="0.35">
      <c r="B163" s="267"/>
      <c r="C163" s="9" t="s">
        <v>30</v>
      </c>
      <c r="D163" s="10">
        <v>4</v>
      </c>
      <c r="E163" s="79">
        <v>31883.32</v>
      </c>
      <c r="F163" s="79">
        <v>29970.79</v>
      </c>
      <c r="G163" s="79">
        <v>28748.85</v>
      </c>
      <c r="H163" s="79">
        <v>27529.81</v>
      </c>
      <c r="I163" s="79">
        <v>27132.26</v>
      </c>
      <c r="J163" s="79">
        <v>26952.71</v>
      </c>
      <c r="K163" s="79">
        <v>26223</v>
      </c>
      <c r="L163" s="79">
        <v>27313.4</v>
      </c>
      <c r="M163" s="79">
        <v>29550.06</v>
      </c>
      <c r="N163" s="79">
        <v>30810.33</v>
      </c>
      <c r="O163" s="79">
        <v>32260.44</v>
      </c>
      <c r="P163" s="79">
        <v>33002.93</v>
      </c>
      <c r="Q163" s="79">
        <v>32338.89</v>
      </c>
      <c r="R163" s="79">
        <v>32022.84</v>
      </c>
      <c r="S163" s="79">
        <v>32469.71</v>
      </c>
      <c r="T163" s="79">
        <v>32987.97</v>
      </c>
      <c r="U163" s="79">
        <v>33492.410000000003</v>
      </c>
      <c r="V163" s="79">
        <v>37800.239999999998</v>
      </c>
      <c r="W163" s="79">
        <v>42571.67</v>
      </c>
      <c r="X163" s="79">
        <v>43181.54</v>
      </c>
      <c r="Y163" s="79">
        <v>42239.42</v>
      </c>
      <c r="Z163" s="79">
        <v>40639.74</v>
      </c>
      <c r="AA163" s="79">
        <v>38508.120000000003</v>
      </c>
      <c r="AB163" s="79">
        <v>35945.050000000003</v>
      </c>
      <c r="AC163" s="210"/>
      <c r="AD163" s="148">
        <f>+AC166</f>
        <v>24228136.060000002</v>
      </c>
    </row>
    <row r="164" spans="2:50" ht="18.649999999999999" customHeight="1" x14ac:dyDescent="0.35">
      <c r="B164" s="267"/>
      <c r="C164" s="9" t="s">
        <v>31</v>
      </c>
      <c r="D164" s="10">
        <v>4</v>
      </c>
      <c r="E164" s="79">
        <v>31833.99</v>
      </c>
      <c r="F164" s="79">
        <v>30175.18</v>
      </c>
      <c r="G164" s="79">
        <v>28793.96</v>
      </c>
      <c r="H164" s="79">
        <v>27779.11</v>
      </c>
      <c r="I164" s="79">
        <v>27248.97</v>
      </c>
      <c r="J164" s="79">
        <v>26693.64</v>
      </c>
      <c r="K164" s="79">
        <v>24919.21</v>
      </c>
      <c r="L164" s="79">
        <v>24517.26</v>
      </c>
      <c r="M164" s="79">
        <v>25323.13</v>
      </c>
      <c r="N164" s="79">
        <v>25894.21</v>
      </c>
      <c r="O164" s="79">
        <v>26866.71</v>
      </c>
      <c r="P164" s="79">
        <v>28018.13</v>
      </c>
      <c r="Q164" s="79">
        <v>28868.720000000001</v>
      </c>
      <c r="R164" s="79">
        <v>29285.32</v>
      </c>
      <c r="S164" s="79">
        <v>29907.96</v>
      </c>
      <c r="T164" s="79">
        <v>30535.54</v>
      </c>
      <c r="U164" s="79">
        <v>31119.67</v>
      </c>
      <c r="V164" s="79">
        <v>35134.83</v>
      </c>
      <c r="W164" s="79">
        <v>40608.71</v>
      </c>
      <c r="X164" s="79">
        <v>42368.32</v>
      </c>
      <c r="Y164" s="79">
        <v>42459.29</v>
      </c>
      <c r="Z164" s="79">
        <v>41574.03</v>
      </c>
      <c r="AA164" s="79">
        <v>38061.19</v>
      </c>
      <c r="AB164" s="79">
        <v>35008.730000000003</v>
      </c>
      <c r="AC164" s="210"/>
      <c r="AD164" s="148">
        <f>+AC170</f>
        <v>22544106.289999995</v>
      </c>
    </row>
    <row r="165" spans="2:50" ht="18.649999999999999" customHeight="1" thickBot="1" x14ac:dyDescent="0.4">
      <c r="B165" s="268"/>
      <c r="C165" s="11" t="s">
        <v>32</v>
      </c>
      <c r="D165" s="12">
        <v>0</v>
      </c>
      <c r="E165" s="194">
        <v>0</v>
      </c>
      <c r="F165" s="194">
        <v>0</v>
      </c>
      <c r="G165" s="194">
        <v>0</v>
      </c>
      <c r="H165" s="194">
        <v>0</v>
      </c>
      <c r="I165" s="194">
        <v>0</v>
      </c>
      <c r="J165" s="194">
        <v>0</v>
      </c>
      <c r="K165" s="194">
        <v>0</v>
      </c>
      <c r="L165" s="194">
        <v>0</v>
      </c>
      <c r="M165" s="194">
        <v>0</v>
      </c>
      <c r="N165" s="194">
        <v>0</v>
      </c>
      <c r="O165" s="194">
        <v>0</v>
      </c>
      <c r="P165" s="194">
        <v>0</v>
      </c>
      <c r="Q165" s="194">
        <v>0</v>
      </c>
      <c r="R165" s="194">
        <v>0</v>
      </c>
      <c r="S165" s="194">
        <v>0</v>
      </c>
      <c r="T165" s="194">
        <v>0</v>
      </c>
      <c r="U165" s="194">
        <v>0</v>
      </c>
      <c r="V165" s="194">
        <v>0</v>
      </c>
      <c r="W165" s="194">
        <v>0</v>
      </c>
      <c r="X165" s="194">
        <v>0</v>
      </c>
      <c r="Y165" s="194">
        <v>0</v>
      </c>
      <c r="Z165" s="194">
        <v>0</v>
      </c>
      <c r="AA165" s="194">
        <v>0</v>
      </c>
      <c r="AB165" s="194">
        <v>0</v>
      </c>
      <c r="AC165" s="214"/>
      <c r="AD165" s="148">
        <f>+AC174</f>
        <v>23167949.370000005</v>
      </c>
    </row>
    <row r="166" spans="2:50" ht="18.649999999999999" customHeight="1" x14ac:dyDescent="0.35">
      <c r="B166" s="207">
        <v>49369</v>
      </c>
      <c r="C166" s="13" t="s">
        <v>29</v>
      </c>
      <c r="D166" s="14">
        <v>19</v>
      </c>
      <c r="E166" s="81">
        <v>29353.13</v>
      </c>
      <c r="F166" s="81">
        <v>27737.45</v>
      </c>
      <c r="G166" s="81">
        <v>26507.55</v>
      </c>
      <c r="H166" s="81">
        <v>25703.62</v>
      </c>
      <c r="I166" s="81">
        <v>25786.080000000002</v>
      </c>
      <c r="J166" s="81">
        <v>26734.82</v>
      </c>
      <c r="K166" s="81">
        <v>26548.68</v>
      </c>
      <c r="L166" s="81">
        <v>28294.28</v>
      </c>
      <c r="M166" s="81">
        <v>30566.98</v>
      </c>
      <c r="N166" s="81">
        <v>31566.81</v>
      </c>
      <c r="O166" s="81">
        <v>33086.11</v>
      </c>
      <c r="P166" s="81">
        <v>34171.46</v>
      </c>
      <c r="Q166" s="81">
        <v>32216.6</v>
      </c>
      <c r="R166" s="81">
        <v>33654.19</v>
      </c>
      <c r="S166" s="81">
        <v>36141.42</v>
      </c>
      <c r="T166" s="81">
        <v>36977.9</v>
      </c>
      <c r="U166" s="81">
        <v>37327.35</v>
      </c>
      <c r="V166" s="81">
        <v>40052.559999999998</v>
      </c>
      <c r="W166" s="81">
        <v>43207.96</v>
      </c>
      <c r="X166" s="81">
        <v>43589</v>
      </c>
      <c r="Y166" s="81">
        <v>42353.93</v>
      </c>
      <c r="Z166" s="81">
        <v>40226.870000000003</v>
      </c>
      <c r="AA166" s="81">
        <v>37002.660000000003</v>
      </c>
      <c r="AB166" s="81">
        <v>33754.86</v>
      </c>
      <c r="AC166" s="210">
        <f>SUM(E166:AB166)*D166+SUM(E167:AB167)*D167+SUM(E168:AB168)*D168+SUM(E169:AB169)*D169</f>
        <v>24228136.060000002</v>
      </c>
      <c r="AD166" s="148">
        <f>+AC178</f>
        <v>22376236.950000003</v>
      </c>
    </row>
    <row r="167" spans="2:50" ht="18.649999999999999" customHeight="1" x14ac:dyDescent="0.35">
      <c r="B167" s="267"/>
      <c r="C167" s="9" t="s">
        <v>30</v>
      </c>
      <c r="D167" s="10">
        <v>5</v>
      </c>
      <c r="E167" s="79">
        <v>29443.5</v>
      </c>
      <c r="F167" s="79">
        <v>27848.1</v>
      </c>
      <c r="G167" s="79">
        <v>26548.15</v>
      </c>
      <c r="H167" s="79">
        <v>25711.51</v>
      </c>
      <c r="I167" s="79">
        <v>25478.33</v>
      </c>
      <c r="J167" s="79">
        <v>25241.91</v>
      </c>
      <c r="K167" s="79">
        <v>24931.05</v>
      </c>
      <c r="L167" s="79">
        <v>26346.85</v>
      </c>
      <c r="M167" s="79">
        <v>28888.79</v>
      </c>
      <c r="N167" s="79">
        <v>30271.19</v>
      </c>
      <c r="O167" s="79">
        <v>31707.45</v>
      </c>
      <c r="P167" s="79">
        <v>32625.73</v>
      </c>
      <c r="Q167" s="79">
        <v>31902.83</v>
      </c>
      <c r="R167" s="79">
        <v>31522.57</v>
      </c>
      <c r="S167" s="79">
        <v>32085.11</v>
      </c>
      <c r="T167" s="79">
        <v>32500.67</v>
      </c>
      <c r="U167" s="79">
        <v>33019.71</v>
      </c>
      <c r="V167" s="79">
        <v>37018.65</v>
      </c>
      <c r="W167" s="79">
        <v>41641.93</v>
      </c>
      <c r="X167" s="79">
        <v>42304.38</v>
      </c>
      <c r="Y167" s="79">
        <v>41169.440000000002</v>
      </c>
      <c r="Z167" s="79">
        <v>39595.599999999999</v>
      </c>
      <c r="AA167" s="79">
        <v>37337.51</v>
      </c>
      <c r="AB167" s="79">
        <v>34897.47</v>
      </c>
      <c r="AC167" s="210"/>
      <c r="AD167" s="148">
        <f>+AC182</f>
        <v>22779077.990000006</v>
      </c>
    </row>
    <row r="168" spans="2:50" ht="18.649999999999999" customHeight="1" x14ac:dyDescent="0.35">
      <c r="B168" s="267"/>
      <c r="C168" s="9" t="s">
        <v>31</v>
      </c>
      <c r="D168" s="10">
        <v>4</v>
      </c>
      <c r="E168" s="79">
        <v>30431.64</v>
      </c>
      <c r="F168" s="79">
        <v>28713.33</v>
      </c>
      <c r="G168" s="79">
        <v>27346.84</v>
      </c>
      <c r="H168" s="79">
        <v>26370.01</v>
      </c>
      <c r="I168" s="79">
        <v>25859.64</v>
      </c>
      <c r="J168" s="79">
        <v>25104.73</v>
      </c>
      <c r="K168" s="79">
        <v>23853.81</v>
      </c>
      <c r="L168" s="79">
        <v>23818.82</v>
      </c>
      <c r="M168" s="79">
        <v>24968.79</v>
      </c>
      <c r="N168" s="79">
        <v>25784.52</v>
      </c>
      <c r="O168" s="79">
        <v>26780.1</v>
      </c>
      <c r="P168" s="79">
        <v>27826.34</v>
      </c>
      <c r="Q168" s="79">
        <v>28561.599999999999</v>
      </c>
      <c r="R168" s="79">
        <v>28846.82</v>
      </c>
      <c r="S168" s="79">
        <v>29232.7</v>
      </c>
      <c r="T168" s="79">
        <v>29997.06</v>
      </c>
      <c r="U168" s="79">
        <v>30585.45</v>
      </c>
      <c r="V168" s="79">
        <v>34872.93</v>
      </c>
      <c r="W168" s="79">
        <v>39712.58</v>
      </c>
      <c r="X168" s="79">
        <v>41177.769999999997</v>
      </c>
      <c r="Y168" s="79">
        <v>41139.230000000003</v>
      </c>
      <c r="Z168" s="79">
        <v>40029.81</v>
      </c>
      <c r="AA168" s="79">
        <v>37425.760000000002</v>
      </c>
      <c r="AB168" s="79">
        <v>34311.26</v>
      </c>
      <c r="AC168" s="210"/>
      <c r="AD168" s="148">
        <f>+AC186</f>
        <v>22907717.289999992</v>
      </c>
    </row>
    <row r="169" spans="2:50" ht="18.649999999999999" customHeight="1" thickBot="1" x14ac:dyDescent="0.4">
      <c r="B169" s="268"/>
      <c r="C169" s="15" t="s">
        <v>32</v>
      </c>
      <c r="D169" s="16">
        <v>3</v>
      </c>
      <c r="E169" s="80">
        <v>30431.64</v>
      </c>
      <c r="F169" s="80">
        <v>28713.33</v>
      </c>
      <c r="G169" s="80">
        <v>27346.84</v>
      </c>
      <c r="H169" s="80">
        <v>26370.01</v>
      </c>
      <c r="I169" s="80">
        <v>25859.64</v>
      </c>
      <c r="J169" s="80">
        <v>25104.73</v>
      </c>
      <c r="K169" s="80">
        <v>23853.81</v>
      </c>
      <c r="L169" s="80">
        <v>23818.82</v>
      </c>
      <c r="M169" s="80">
        <v>24968.79</v>
      </c>
      <c r="N169" s="80">
        <v>25784.52</v>
      </c>
      <c r="O169" s="80">
        <v>26780.1</v>
      </c>
      <c r="P169" s="80">
        <v>27826.34</v>
      </c>
      <c r="Q169" s="80">
        <v>28561.599999999999</v>
      </c>
      <c r="R169" s="80">
        <v>28846.82</v>
      </c>
      <c r="S169" s="80">
        <v>29232.7</v>
      </c>
      <c r="T169" s="80">
        <v>29997.06</v>
      </c>
      <c r="U169" s="80">
        <v>30585.45</v>
      </c>
      <c r="V169" s="80">
        <v>34872.93</v>
      </c>
      <c r="W169" s="80">
        <v>39712.58</v>
      </c>
      <c r="X169" s="80">
        <v>41177.769999999997</v>
      </c>
      <c r="Y169" s="80">
        <v>41139.230000000003</v>
      </c>
      <c r="Z169" s="80">
        <v>40029.81</v>
      </c>
      <c r="AA169" s="80">
        <v>37425.760000000002</v>
      </c>
      <c r="AB169" s="80">
        <v>34311.26</v>
      </c>
      <c r="AC169" s="210"/>
      <c r="AD169" s="148">
        <f>+AC190</f>
        <v>21996339.099999994</v>
      </c>
    </row>
    <row r="170" spans="2:50" ht="18.649999999999999" customHeight="1" x14ac:dyDescent="0.35">
      <c r="B170" s="207">
        <v>49400</v>
      </c>
      <c r="C170" s="6" t="s">
        <v>29</v>
      </c>
      <c r="D170" s="7">
        <v>21</v>
      </c>
      <c r="E170" s="78">
        <v>28187.61</v>
      </c>
      <c r="F170" s="78">
        <v>26622.45</v>
      </c>
      <c r="G170" s="78">
        <v>25458.26</v>
      </c>
      <c r="H170" s="78">
        <v>24685.38</v>
      </c>
      <c r="I170" s="78">
        <v>24769.919999999998</v>
      </c>
      <c r="J170" s="78">
        <v>25077.02</v>
      </c>
      <c r="K170" s="78">
        <v>25144.26</v>
      </c>
      <c r="L170" s="78">
        <v>26892.32</v>
      </c>
      <c r="M170" s="78">
        <v>29445.39</v>
      </c>
      <c r="N170" s="78">
        <v>30463.69</v>
      </c>
      <c r="O170" s="78">
        <v>31853.26</v>
      </c>
      <c r="P170" s="78">
        <v>33165.300000000003</v>
      </c>
      <c r="Q170" s="78">
        <v>31557.16</v>
      </c>
      <c r="R170" s="78">
        <v>32856.870000000003</v>
      </c>
      <c r="S170" s="78">
        <v>35284.54</v>
      </c>
      <c r="T170" s="78">
        <v>35841.870000000003</v>
      </c>
      <c r="U170" s="78">
        <v>35892.129999999997</v>
      </c>
      <c r="V170" s="78">
        <v>39108.339999999997</v>
      </c>
      <c r="W170" s="78">
        <v>42086.95</v>
      </c>
      <c r="X170" s="78">
        <v>42202.63</v>
      </c>
      <c r="Y170" s="78">
        <v>40970.15</v>
      </c>
      <c r="Z170" s="78">
        <v>39006.949999999997</v>
      </c>
      <c r="AA170" s="78">
        <v>36024.58</v>
      </c>
      <c r="AB170" s="78">
        <v>32728.79</v>
      </c>
      <c r="AC170" s="209">
        <f>SUM(E170:AB170)*D170+SUM(E171:AB171)*D171+SUM(E172:AB172)*D172+SUM(E173:AB173)*D173</f>
        <v>22544106.289999995</v>
      </c>
      <c r="AD170" s="148">
        <f>+AC194</f>
        <v>22217077.030000005</v>
      </c>
    </row>
    <row r="171" spans="2:50" ht="18.649999999999999" customHeight="1" x14ac:dyDescent="0.35">
      <c r="B171" s="267"/>
      <c r="C171" s="9" t="s">
        <v>30</v>
      </c>
      <c r="D171" s="10">
        <v>4</v>
      </c>
      <c r="E171" s="79">
        <v>27752.400000000001</v>
      </c>
      <c r="F171" s="79">
        <v>26125.1</v>
      </c>
      <c r="G171" s="79">
        <v>24890.42</v>
      </c>
      <c r="H171" s="79">
        <v>24056.85</v>
      </c>
      <c r="I171" s="79">
        <v>23817.23</v>
      </c>
      <c r="J171" s="79">
        <v>23307.21</v>
      </c>
      <c r="K171" s="79">
        <v>22945.91</v>
      </c>
      <c r="L171" s="79">
        <v>24060.720000000001</v>
      </c>
      <c r="M171" s="79">
        <v>26408.81</v>
      </c>
      <c r="N171" s="79">
        <v>27517.22</v>
      </c>
      <c r="O171" s="79">
        <v>28833.54</v>
      </c>
      <c r="P171" s="79">
        <v>29706.34</v>
      </c>
      <c r="Q171" s="79">
        <v>29210.01</v>
      </c>
      <c r="R171" s="79">
        <v>28939</v>
      </c>
      <c r="S171" s="79">
        <v>29324.09</v>
      </c>
      <c r="T171" s="79">
        <v>29735.919999999998</v>
      </c>
      <c r="U171" s="79">
        <v>30299.82</v>
      </c>
      <c r="V171" s="79">
        <v>34833.11</v>
      </c>
      <c r="W171" s="79">
        <v>39388.379999999997</v>
      </c>
      <c r="X171" s="79">
        <v>39422.25</v>
      </c>
      <c r="Y171" s="79">
        <v>38370.33</v>
      </c>
      <c r="Z171" s="79">
        <v>36773.14</v>
      </c>
      <c r="AA171" s="79">
        <v>34736.49</v>
      </c>
      <c r="AB171" s="79">
        <v>32347.34</v>
      </c>
      <c r="AC171" s="210"/>
      <c r="AD171" s="148">
        <f>+AC198</f>
        <v>20858892.879999999</v>
      </c>
    </row>
    <row r="172" spans="2:50" ht="18.649999999999999" customHeight="1" x14ac:dyDescent="0.35">
      <c r="B172" s="267"/>
      <c r="C172" s="9" t="s">
        <v>31</v>
      </c>
      <c r="D172" s="10">
        <v>5</v>
      </c>
      <c r="E172" s="79">
        <v>28284.65</v>
      </c>
      <c r="F172" s="79">
        <v>26760.7</v>
      </c>
      <c r="G172" s="79">
        <v>25496.7</v>
      </c>
      <c r="H172" s="79">
        <v>24598.86</v>
      </c>
      <c r="I172" s="79">
        <v>24238.87</v>
      </c>
      <c r="J172" s="79">
        <v>23223.06</v>
      </c>
      <c r="K172" s="79">
        <v>22464.09</v>
      </c>
      <c r="L172" s="79">
        <v>22373.37</v>
      </c>
      <c r="M172" s="79">
        <v>23015.23</v>
      </c>
      <c r="N172" s="79">
        <v>23822.71</v>
      </c>
      <c r="O172" s="79">
        <v>24797.89</v>
      </c>
      <c r="P172" s="79">
        <v>25642.99</v>
      </c>
      <c r="Q172" s="79">
        <v>26209.09</v>
      </c>
      <c r="R172" s="79">
        <v>26497.43</v>
      </c>
      <c r="S172" s="79">
        <v>26892.93</v>
      </c>
      <c r="T172" s="79">
        <v>27517.09</v>
      </c>
      <c r="U172" s="79">
        <v>28359.66</v>
      </c>
      <c r="V172" s="79">
        <v>33023.47</v>
      </c>
      <c r="W172" s="79">
        <v>37275.03</v>
      </c>
      <c r="X172" s="79">
        <v>38410.49</v>
      </c>
      <c r="Y172" s="79">
        <v>38374.49</v>
      </c>
      <c r="Z172" s="79">
        <v>37567.99</v>
      </c>
      <c r="AA172" s="79">
        <v>35169.22</v>
      </c>
      <c r="AB172" s="79">
        <v>32195.5</v>
      </c>
      <c r="AC172" s="210"/>
      <c r="AD172" s="148">
        <f>+AC202</f>
        <v>22958679.940000001</v>
      </c>
    </row>
    <row r="173" spans="2:50" ht="18.649999999999999" customHeight="1" thickBot="1" x14ac:dyDescent="0.4">
      <c r="B173" s="268"/>
      <c r="C173" s="11" t="s">
        <v>32</v>
      </c>
      <c r="D173" s="12">
        <v>0</v>
      </c>
      <c r="E173" s="79">
        <v>0</v>
      </c>
      <c r="F173" s="79">
        <v>0</v>
      </c>
      <c r="G173" s="79">
        <v>0</v>
      </c>
      <c r="H173" s="79">
        <v>0</v>
      </c>
      <c r="I173" s="79">
        <v>0</v>
      </c>
      <c r="J173" s="79">
        <v>0</v>
      </c>
      <c r="K173" s="79">
        <v>0</v>
      </c>
      <c r="L173" s="79">
        <v>0</v>
      </c>
      <c r="M173" s="79">
        <v>0</v>
      </c>
      <c r="N173" s="79">
        <v>0</v>
      </c>
      <c r="O173" s="79">
        <v>0</v>
      </c>
      <c r="P173" s="79">
        <v>0</v>
      </c>
      <c r="Q173" s="79">
        <v>0</v>
      </c>
      <c r="R173" s="79">
        <v>0</v>
      </c>
      <c r="S173" s="79">
        <v>0</v>
      </c>
      <c r="T173" s="79">
        <v>0</v>
      </c>
      <c r="U173" s="79">
        <v>0</v>
      </c>
      <c r="V173" s="79">
        <v>0</v>
      </c>
      <c r="W173" s="79">
        <v>0</v>
      </c>
      <c r="X173" s="79">
        <v>0</v>
      </c>
      <c r="Y173" s="79">
        <v>0</v>
      </c>
      <c r="Z173" s="79">
        <v>0</v>
      </c>
      <c r="AA173" s="79">
        <v>0</v>
      </c>
      <c r="AB173" s="79">
        <v>0</v>
      </c>
      <c r="AC173" s="214"/>
      <c r="AD173" s="18"/>
    </row>
    <row r="174" spans="2:50" ht="18.649999999999999" customHeight="1" x14ac:dyDescent="0.35">
      <c r="B174" s="207">
        <v>49430</v>
      </c>
      <c r="C174" s="13" t="s">
        <v>29</v>
      </c>
      <c r="D174" s="14">
        <v>20</v>
      </c>
      <c r="E174" s="81">
        <v>27605.25</v>
      </c>
      <c r="F174" s="81">
        <v>26155.439999999999</v>
      </c>
      <c r="G174" s="81">
        <v>25033.3</v>
      </c>
      <c r="H174" s="81">
        <v>24267.4</v>
      </c>
      <c r="I174" s="81">
        <v>24375.4</v>
      </c>
      <c r="J174" s="81">
        <v>24607.84</v>
      </c>
      <c r="K174" s="81">
        <v>24920.85</v>
      </c>
      <c r="L174" s="81">
        <v>26746.79</v>
      </c>
      <c r="M174" s="81">
        <v>29476.97</v>
      </c>
      <c r="N174" s="81">
        <v>30586.85</v>
      </c>
      <c r="O174" s="81">
        <v>32244.01</v>
      </c>
      <c r="P174" s="81">
        <v>33360.639999999999</v>
      </c>
      <c r="Q174" s="81">
        <v>31691.01</v>
      </c>
      <c r="R174" s="81">
        <v>32881.51</v>
      </c>
      <c r="S174" s="81">
        <v>35154.1</v>
      </c>
      <c r="T174" s="81">
        <v>35664.050000000003</v>
      </c>
      <c r="U174" s="81">
        <v>35706.99</v>
      </c>
      <c r="V174" s="81">
        <v>38483.279999999999</v>
      </c>
      <c r="W174" s="81">
        <v>41440.230000000003</v>
      </c>
      <c r="X174" s="81">
        <v>41577.08</v>
      </c>
      <c r="Y174" s="81">
        <v>40309.26</v>
      </c>
      <c r="Z174" s="81">
        <v>38161.56</v>
      </c>
      <c r="AA174" s="81">
        <v>35127.29</v>
      </c>
      <c r="AB174" s="81">
        <v>32023.89</v>
      </c>
      <c r="AC174" s="210">
        <f>SUM(E174:AB174)*D174+SUM(E175:AB175)*D175+SUM(E176:AB176)*D176+SUM(E177:AB177)*D177</f>
        <v>23167949.370000005</v>
      </c>
      <c r="AD174" s="18"/>
    </row>
    <row r="175" spans="2:50" ht="18.649999999999999" customHeight="1" x14ac:dyDescent="0.35">
      <c r="B175" s="267"/>
      <c r="C175" s="9" t="s">
        <v>30</v>
      </c>
      <c r="D175" s="10">
        <v>4</v>
      </c>
      <c r="E175" s="79">
        <v>28258.98</v>
      </c>
      <c r="F175" s="79">
        <v>26372.65</v>
      </c>
      <c r="G175" s="79">
        <v>25118.959999999999</v>
      </c>
      <c r="H175" s="79">
        <v>24295.3</v>
      </c>
      <c r="I175" s="79">
        <v>24113.88</v>
      </c>
      <c r="J175" s="79">
        <v>23302.34</v>
      </c>
      <c r="K175" s="79">
        <v>23209.34</v>
      </c>
      <c r="L175" s="79">
        <v>24762.33</v>
      </c>
      <c r="M175" s="79">
        <v>27472.31</v>
      </c>
      <c r="N175" s="79">
        <v>28907.43</v>
      </c>
      <c r="O175" s="79">
        <v>30048.31</v>
      </c>
      <c r="P175" s="79">
        <v>30899.46</v>
      </c>
      <c r="Q175" s="79">
        <v>30094.6</v>
      </c>
      <c r="R175" s="79">
        <v>29729.46</v>
      </c>
      <c r="S175" s="79">
        <v>30271.56</v>
      </c>
      <c r="T175" s="79">
        <v>30683.83</v>
      </c>
      <c r="U175" s="79">
        <v>31170.85</v>
      </c>
      <c r="V175" s="79">
        <v>35650.9</v>
      </c>
      <c r="W175" s="79">
        <v>40085.599999999999</v>
      </c>
      <c r="X175" s="79">
        <v>40493.19</v>
      </c>
      <c r="Y175" s="79">
        <v>39300.82</v>
      </c>
      <c r="Z175" s="79">
        <v>37533.99</v>
      </c>
      <c r="AA175" s="79">
        <v>35504.29</v>
      </c>
      <c r="AB175" s="79">
        <v>33100.839999999997</v>
      </c>
      <c r="AC175" s="210"/>
      <c r="AD175" s="18"/>
    </row>
    <row r="176" spans="2:50" ht="18.649999999999999" customHeight="1" x14ac:dyDescent="0.35">
      <c r="B176" s="267"/>
      <c r="C176" s="9" t="s">
        <v>31</v>
      </c>
      <c r="D176" s="10">
        <v>4</v>
      </c>
      <c r="E176" s="79">
        <v>28620.41</v>
      </c>
      <c r="F176" s="79">
        <v>27126.06</v>
      </c>
      <c r="G176" s="79">
        <v>25921.5</v>
      </c>
      <c r="H176" s="79">
        <v>25039.91</v>
      </c>
      <c r="I176" s="79">
        <v>24663.759999999998</v>
      </c>
      <c r="J176" s="79">
        <v>23314.46</v>
      </c>
      <c r="K176" s="79">
        <v>22601.38</v>
      </c>
      <c r="L176" s="79">
        <v>22659.06</v>
      </c>
      <c r="M176" s="79">
        <v>24090.74</v>
      </c>
      <c r="N176" s="79">
        <v>25267.89</v>
      </c>
      <c r="O176" s="79">
        <v>26117.1</v>
      </c>
      <c r="P176" s="79">
        <v>26836.71</v>
      </c>
      <c r="Q176" s="79">
        <v>27382.77</v>
      </c>
      <c r="R176" s="79">
        <v>27636.42</v>
      </c>
      <c r="S176" s="79">
        <v>27938.46</v>
      </c>
      <c r="T176" s="79">
        <v>28636.720000000001</v>
      </c>
      <c r="U176" s="79">
        <v>29137.74</v>
      </c>
      <c r="V176" s="79">
        <v>33832.699999999997</v>
      </c>
      <c r="W176" s="79">
        <v>38367.72</v>
      </c>
      <c r="X176" s="79">
        <v>39361.519999999997</v>
      </c>
      <c r="Y176" s="79">
        <v>39209.78</v>
      </c>
      <c r="Z176" s="79">
        <v>37995.01</v>
      </c>
      <c r="AA176" s="79">
        <v>35412.29</v>
      </c>
      <c r="AB176" s="79">
        <v>32030.560000000001</v>
      </c>
      <c r="AC176" s="210"/>
      <c r="AD176" s="18"/>
    </row>
    <row r="177" spans="2:30" ht="18.649999999999999" customHeight="1" thickBot="1" x14ac:dyDescent="0.4">
      <c r="B177" s="268"/>
      <c r="C177" s="15" t="s">
        <v>32</v>
      </c>
      <c r="D177" s="16">
        <v>3</v>
      </c>
      <c r="E177" s="80">
        <v>28620.41</v>
      </c>
      <c r="F177" s="80">
        <v>27126.06</v>
      </c>
      <c r="G177" s="80">
        <v>25921.5</v>
      </c>
      <c r="H177" s="80">
        <v>25039.91</v>
      </c>
      <c r="I177" s="80">
        <v>24663.759999999998</v>
      </c>
      <c r="J177" s="80">
        <v>23314.46</v>
      </c>
      <c r="K177" s="80">
        <v>22601.38</v>
      </c>
      <c r="L177" s="80">
        <v>22659.06</v>
      </c>
      <c r="M177" s="80">
        <v>24090.74</v>
      </c>
      <c r="N177" s="80">
        <v>25267.89</v>
      </c>
      <c r="O177" s="80">
        <v>26117.1</v>
      </c>
      <c r="P177" s="80">
        <v>26836.71</v>
      </c>
      <c r="Q177" s="80">
        <v>27382.77</v>
      </c>
      <c r="R177" s="80">
        <v>27636.42</v>
      </c>
      <c r="S177" s="80">
        <v>27938.46</v>
      </c>
      <c r="T177" s="80">
        <v>28636.720000000001</v>
      </c>
      <c r="U177" s="80">
        <v>29137.74</v>
      </c>
      <c r="V177" s="80">
        <v>33832.699999999997</v>
      </c>
      <c r="W177" s="80">
        <v>38367.72</v>
      </c>
      <c r="X177" s="80">
        <v>39361.519999999997</v>
      </c>
      <c r="Y177" s="80">
        <v>39209.78</v>
      </c>
      <c r="Z177" s="80">
        <v>37995.01</v>
      </c>
      <c r="AA177" s="80">
        <v>35412.29</v>
      </c>
      <c r="AB177" s="80">
        <v>32030.560000000001</v>
      </c>
      <c r="AC177" s="210"/>
      <c r="AD177" s="18"/>
    </row>
    <row r="178" spans="2:30" ht="18.649999999999999" customHeight="1" x14ac:dyDescent="0.35">
      <c r="B178" s="207">
        <v>49461</v>
      </c>
      <c r="C178" s="6" t="s">
        <v>29</v>
      </c>
      <c r="D178" s="7">
        <v>20</v>
      </c>
      <c r="E178" s="78">
        <v>27819.200000000001</v>
      </c>
      <c r="F178" s="78">
        <v>26262.12</v>
      </c>
      <c r="G178" s="78">
        <v>25168</v>
      </c>
      <c r="H178" s="78">
        <v>24279.4</v>
      </c>
      <c r="I178" s="78">
        <v>24329.27</v>
      </c>
      <c r="J178" s="78">
        <v>24148.42</v>
      </c>
      <c r="K178" s="78">
        <v>24371.49</v>
      </c>
      <c r="L178" s="78">
        <v>26327.67</v>
      </c>
      <c r="M178" s="78">
        <v>29012.79</v>
      </c>
      <c r="N178" s="78">
        <v>30264.31</v>
      </c>
      <c r="O178" s="78">
        <v>32010.85</v>
      </c>
      <c r="P178" s="78">
        <v>33236.85</v>
      </c>
      <c r="Q178" s="78">
        <v>31833.52</v>
      </c>
      <c r="R178" s="78">
        <v>32851.9</v>
      </c>
      <c r="S178" s="78">
        <v>35054.870000000003</v>
      </c>
      <c r="T178" s="78">
        <v>35545.67</v>
      </c>
      <c r="U178" s="78">
        <v>35779.949999999997</v>
      </c>
      <c r="V178" s="78">
        <v>38531.31</v>
      </c>
      <c r="W178" s="78">
        <v>41405.58</v>
      </c>
      <c r="X178" s="78">
        <v>41914.69</v>
      </c>
      <c r="Y178" s="78">
        <v>40556.39</v>
      </c>
      <c r="Z178" s="78">
        <v>38485.07</v>
      </c>
      <c r="AA178" s="78">
        <v>35339.1</v>
      </c>
      <c r="AB178" s="78">
        <v>32160.98</v>
      </c>
      <c r="AC178" s="209">
        <f>SUM(E178:AB178)*D178+SUM(E179:AB179)*D179+SUM(E180:AB180)*D180+SUM(E181:AB181)*D181</f>
        <v>22376236.950000003</v>
      </c>
      <c r="AD178" s="18"/>
    </row>
    <row r="179" spans="2:30" ht="18.649999999999999" customHeight="1" x14ac:dyDescent="0.35">
      <c r="B179" s="267"/>
      <c r="C179" s="9" t="s">
        <v>30</v>
      </c>
      <c r="D179" s="10">
        <v>5</v>
      </c>
      <c r="E179" s="79">
        <v>27792.75</v>
      </c>
      <c r="F179" s="79">
        <v>26274.54</v>
      </c>
      <c r="G179" s="79">
        <v>25153.74</v>
      </c>
      <c r="H179" s="79">
        <v>24389.33</v>
      </c>
      <c r="I179" s="79">
        <v>24219.09</v>
      </c>
      <c r="J179" s="79">
        <v>23319.64</v>
      </c>
      <c r="K179" s="79">
        <v>23245.96</v>
      </c>
      <c r="L179" s="79">
        <v>24813.45</v>
      </c>
      <c r="M179" s="79">
        <v>27450.89</v>
      </c>
      <c r="N179" s="79">
        <v>28944.54</v>
      </c>
      <c r="O179" s="79">
        <v>30368.47</v>
      </c>
      <c r="P179" s="79">
        <v>31328.240000000002</v>
      </c>
      <c r="Q179" s="79">
        <v>30658.83</v>
      </c>
      <c r="R179" s="79">
        <v>30041.18</v>
      </c>
      <c r="S179" s="79">
        <v>30421.94</v>
      </c>
      <c r="T179" s="79">
        <v>30762.93</v>
      </c>
      <c r="U179" s="79">
        <v>30966.98</v>
      </c>
      <c r="V179" s="79">
        <v>35170.410000000003</v>
      </c>
      <c r="W179" s="79">
        <v>38747.89</v>
      </c>
      <c r="X179" s="79">
        <v>39558.53</v>
      </c>
      <c r="Y179" s="79">
        <v>38475.800000000003</v>
      </c>
      <c r="Z179" s="79">
        <v>36530.99</v>
      </c>
      <c r="AA179" s="79">
        <v>34307.56</v>
      </c>
      <c r="AB179" s="79">
        <v>31988.09</v>
      </c>
      <c r="AC179" s="210"/>
      <c r="AD179" s="18"/>
    </row>
    <row r="180" spans="2:30" ht="18.649999999999999" customHeight="1" x14ac:dyDescent="0.35">
      <c r="B180" s="267"/>
      <c r="C180" s="9" t="s">
        <v>31</v>
      </c>
      <c r="D180" s="10">
        <v>4</v>
      </c>
      <c r="E180" s="79">
        <v>28455.27</v>
      </c>
      <c r="F180" s="79">
        <v>26847.119999999999</v>
      </c>
      <c r="G180" s="79">
        <v>25571.68</v>
      </c>
      <c r="H180" s="79">
        <v>24742.13</v>
      </c>
      <c r="I180" s="79">
        <v>24408.880000000001</v>
      </c>
      <c r="J180" s="79">
        <v>22998.05</v>
      </c>
      <c r="K180" s="79">
        <v>22134.35</v>
      </c>
      <c r="L180" s="79">
        <v>21963.8</v>
      </c>
      <c r="M180" s="79">
        <v>23071.57</v>
      </c>
      <c r="N180" s="79">
        <v>24167.51</v>
      </c>
      <c r="O180" s="79">
        <v>25025.31</v>
      </c>
      <c r="P180" s="79">
        <v>25832.26</v>
      </c>
      <c r="Q180" s="79">
        <v>26591.21</v>
      </c>
      <c r="R180" s="79">
        <v>26702.57</v>
      </c>
      <c r="S180" s="79">
        <v>27109.68</v>
      </c>
      <c r="T180" s="79">
        <v>27676.880000000001</v>
      </c>
      <c r="U180" s="79">
        <v>28308.86</v>
      </c>
      <c r="V180" s="79">
        <v>32646.18</v>
      </c>
      <c r="W180" s="79">
        <v>37058.660000000003</v>
      </c>
      <c r="X180" s="79">
        <v>38902.050000000003</v>
      </c>
      <c r="Y180" s="79">
        <v>38466.230000000003</v>
      </c>
      <c r="Z180" s="79">
        <v>37313.769999999997</v>
      </c>
      <c r="AA180" s="79">
        <v>35088.629999999997</v>
      </c>
      <c r="AB180" s="79">
        <v>32475.37</v>
      </c>
      <c r="AC180" s="210"/>
      <c r="AD180" s="18"/>
    </row>
    <row r="181" spans="2:30" ht="18.649999999999999" customHeight="1" thickBot="1" x14ac:dyDescent="0.4">
      <c r="B181" s="268"/>
      <c r="C181" s="11" t="s">
        <v>32</v>
      </c>
      <c r="D181" s="12">
        <v>1</v>
      </c>
      <c r="E181" s="76">
        <v>28455.27</v>
      </c>
      <c r="F181" s="76">
        <v>26847.119999999999</v>
      </c>
      <c r="G181" s="76">
        <v>25571.68</v>
      </c>
      <c r="H181" s="76">
        <v>24742.13</v>
      </c>
      <c r="I181" s="76">
        <v>24408.880000000001</v>
      </c>
      <c r="J181" s="76">
        <v>22998.05</v>
      </c>
      <c r="K181" s="76">
        <v>22134.35</v>
      </c>
      <c r="L181" s="76">
        <v>21963.8</v>
      </c>
      <c r="M181" s="76">
        <v>23071.57</v>
      </c>
      <c r="N181" s="76">
        <v>24167.51</v>
      </c>
      <c r="O181" s="76">
        <v>25025.31</v>
      </c>
      <c r="P181" s="76">
        <v>25832.26</v>
      </c>
      <c r="Q181" s="76">
        <v>26591.21</v>
      </c>
      <c r="R181" s="76">
        <v>26702.57</v>
      </c>
      <c r="S181" s="76">
        <v>27109.68</v>
      </c>
      <c r="T181" s="76">
        <v>27676.880000000001</v>
      </c>
      <c r="U181" s="76">
        <v>28308.86</v>
      </c>
      <c r="V181" s="76">
        <v>32646.18</v>
      </c>
      <c r="W181" s="76">
        <v>37058.660000000003</v>
      </c>
      <c r="X181" s="76">
        <v>38902.050000000003</v>
      </c>
      <c r="Y181" s="76">
        <v>38466.230000000003</v>
      </c>
      <c r="Z181" s="76">
        <v>37313.769999999997</v>
      </c>
      <c r="AA181" s="76">
        <v>35088.629999999997</v>
      </c>
      <c r="AB181" s="76">
        <v>32475.37</v>
      </c>
      <c r="AC181" s="214"/>
      <c r="AD181" s="18"/>
    </row>
    <row r="182" spans="2:30" ht="18.649999999999999" customHeight="1" x14ac:dyDescent="0.35">
      <c r="B182" s="207">
        <v>49491</v>
      </c>
      <c r="C182" s="13" t="s">
        <v>29</v>
      </c>
      <c r="D182" s="7">
        <v>20</v>
      </c>
      <c r="E182" s="81">
        <v>27852.29</v>
      </c>
      <c r="F182" s="81">
        <v>26343.8</v>
      </c>
      <c r="G182" s="81">
        <v>25049.56</v>
      </c>
      <c r="H182" s="81">
        <v>24242.14</v>
      </c>
      <c r="I182" s="81">
        <v>24150.69</v>
      </c>
      <c r="J182" s="81">
        <v>24248.43</v>
      </c>
      <c r="K182" s="81">
        <v>24273.48</v>
      </c>
      <c r="L182" s="81">
        <v>26003.13</v>
      </c>
      <c r="M182" s="81">
        <v>28580.06</v>
      </c>
      <c r="N182" s="81">
        <v>29861.03</v>
      </c>
      <c r="O182" s="81">
        <v>31674.02</v>
      </c>
      <c r="P182" s="81">
        <v>33153.21</v>
      </c>
      <c r="Q182" s="81">
        <v>31779.68</v>
      </c>
      <c r="R182" s="81">
        <v>33299.599999999999</v>
      </c>
      <c r="S182" s="81">
        <v>35890.5</v>
      </c>
      <c r="T182" s="81">
        <v>36389.620000000003</v>
      </c>
      <c r="U182" s="81">
        <v>36417.46</v>
      </c>
      <c r="V182" s="81">
        <v>38740.949999999997</v>
      </c>
      <c r="W182" s="81">
        <v>41091.800000000003</v>
      </c>
      <c r="X182" s="81">
        <v>42079.51</v>
      </c>
      <c r="Y182" s="81">
        <v>40996.17</v>
      </c>
      <c r="Z182" s="81">
        <v>38982.06</v>
      </c>
      <c r="AA182" s="81">
        <v>35761.4</v>
      </c>
      <c r="AB182" s="81">
        <v>32601.78</v>
      </c>
      <c r="AC182" s="210">
        <f>SUM(E182:AB182)*D182+SUM(E183:AB183)*D183+SUM(E184:AB184)*D184+SUM(E185:AB185)*D185</f>
        <v>22779077.990000006</v>
      </c>
      <c r="AD182" s="18"/>
    </row>
    <row r="183" spans="2:30" ht="18.649999999999999" customHeight="1" x14ac:dyDescent="0.35">
      <c r="B183" s="267"/>
      <c r="C183" s="9" t="s">
        <v>30</v>
      </c>
      <c r="D183" s="10">
        <v>4</v>
      </c>
      <c r="E183" s="79">
        <v>28370.67</v>
      </c>
      <c r="F183" s="79">
        <v>26566.61</v>
      </c>
      <c r="G183" s="79">
        <v>25243.53</v>
      </c>
      <c r="H183" s="79">
        <v>24474.02</v>
      </c>
      <c r="I183" s="79">
        <v>24049.919999999998</v>
      </c>
      <c r="J183" s="79">
        <v>23255.62</v>
      </c>
      <c r="K183" s="79">
        <v>23047.77</v>
      </c>
      <c r="L183" s="79">
        <v>24182.12</v>
      </c>
      <c r="M183" s="79">
        <v>26773.1</v>
      </c>
      <c r="N183" s="79">
        <v>28310.09</v>
      </c>
      <c r="O183" s="79">
        <v>29961.64</v>
      </c>
      <c r="P183" s="79">
        <v>30795.32</v>
      </c>
      <c r="Q183" s="79">
        <v>30203.05</v>
      </c>
      <c r="R183" s="79">
        <v>29833.45</v>
      </c>
      <c r="S183" s="79">
        <v>30066.67</v>
      </c>
      <c r="T183" s="79">
        <v>30060.52</v>
      </c>
      <c r="U183" s="79">
        <v>30332.720000000001</v>
      </c>
      <c r="V183" s="79">
        <v>34715.910000000003</v>
      </c>
      <c r="W183" s="79">
        <v>37442.639999999999</v>
      </c>
      <c r="X183" s="79">
        <v>38204.370000000003</v>
      </c>
      <c r="Y183" s="79">
        <v>36941</v>
      </c>
      <c r="Z183" s="79">
        <v>35378.99</v>
      </c>
      <c r="AA183" s="79">
        <v>33424.92</v>
      </c>
      <c r="AB183" s="79">
        <v>31137.33</v>
      </c>
      <c r="AC183" s="210"/>
      <c r="AD183" s="18"/>
    </row>
    <row r="184" spans="2:30" ht="18.649999999999999" customHeight="1" x14ac:dyDescent="0.35">
      <c r="B184" s="267"/>
      <c r="C184" s="9" t="s">
        <v>31</v>
      </c>
      <c r="D184" s="10">
        <v>5</v>
      </c>
      <c r="E184" s="79">
        <v>26096.79</v>
      </c>
      <c r="F184" s="79">
        <v>24744.04</v>
      </c>
      <c r="G184" s="79">
        <v>23520.5</v>
      </c>
      <c r="H184" s="79">
        <v>22802.17</v>
      </c>
      <c r="I184" s="79">
        <v>22515.32</v>
      </c>
      <c r="J184" s="79">
        <v>21375.42</v>
      </c>
      <c r="K184" s="79">
        <v>20574.150000000001</v>
      </c>
      <c r="L184" s="79">
        <v>20359.5</v>
      </c>
      <c r="M184" s="79">
        <v>21348.52</v>
      </c>
      <c r="N184" s="79">
        <v>22347.4</v>
      </c>
      <c r="O184" s="79">
        <v>23406.639999999999</v>
      </c>
      <c r="P184" s="79">
        <v>24417.360000000001</v>
      </c>
      <c r="Q184" s="79">
        <v>25276.01</v>
      </c>
      <c r="R184" s="79">
        <v>25684.81</v>
      </c>
      <c r="S184" s="79">
        <v>26143.02</v>
      </c>
      <c r="T184" s="79">
        <v>26899.13</v>
      </c>
      <c r="U184" s="79">
        <v>27464.65</v>
      </c>
      <c r="V184" s="79">
        <v>31729.46</v>
      </c>
      <c r="W184" s="79">
        <v>36139.64</v>
      </c>
      <c r="X184" s="79">
        <v>38258.32</v>
      </c>
      <c r="Y184" s="79">
        <v>37666.089999999997</v>
      </c>
      <c r="Z184" s="79">
        <v>36082.53</v>
      </c>
      <c r="AA184" s="79">
        <v>33214.620000000003</v>
      </c>
      <c r="AB184" s="79">
        <v>30325.72</v>
      </c>
      <c r="AC184" s="210"/>
      <c r="AD184" s="18"/>
    </row>
    <row r="185" spans="2:30" ht="18.649999999999999" customHeight="1" thickBot="1" x14ac:dyDescent="0.4">
      <c r="B185" s="268"/>
      <c r="C185" s="15" t="s">
        <v>32</v>
      </c>
      <c r="D185" s="12">
        <v>2</v>
      </c>
      <c r="E185" s="79">
        <v>26096.79</v>
      </c>
      <c r="F185" s="79">
        <v>24744.04</v>
      </c>
      <c r="G185" s="79">
        <v>23520.5</v>
      </c>
      <c r="H185" s="79">
        <v>22802.17</v>
      </c>
      <c r="I185" s="79">
        <v>22515.32</v>
      </c>
      <c r="J185" s="79">
        <v>21375.42</v>
      </c>
      <c r="K185" s="79">
        <v>20574.150000000001</v>
      </c>
      <c r="L185" s="79">
        <v>20359.5</v>
      </c>
      <c r="M185" s="79">
        <v>21348.52</v>
      </c>
      <c r="N185" s="79">
        <v>22347.4</v>
      </c>
      <c r="O185" s="79">
        <v>23406.639999999999</v>
      </c>
      <c r="P185" s="79">
        <v>24417.360000000001</v>
      </c>
      <c r="Q185" s="79">
        <v>25276.01</v>
      </c>
      <c r="R185" s="79">
        <v>25684.81</v>
      </c>
      <c r="S185" s="79">
        <v>26143.02</v>
      </c>
      <c r="T185" s="79">
        <v>26899.13</v>
      </c>
      <c r="U185" s="79">
        <v>27464.65</v>
      </c>
      <c r="V185" s="79">
        <v>31729.46</v>
      </c>
      <c r="W185" s="79">
        <v>36139.64</v>
      </c>
      <c r="X185" s="79">
        <v>38258.32</v>
      </c>
      <c r="Y185" s="79">
        <v>37666.089999999997</v>
      </c>
      <c r="Z185" s="79">
        <v>36082.53</v>
      </c>
      <c r="AA185" s="79">
        <v>33214.620000000003</v>
      </c>
      <c r="AB185" s="79">
        <v>30325.72</v>
      </c>
      <c r="AC185" s="210"/>
      <c r="AD185" s="18"/>
    </row>
    <row r="186" spans="2:30" ht="18.649999999999999" customHeight="1" x14ac:dyDescent="0.35">
      <c r="B186" s="207">
        <v>49522</v>
      </c>
      <c r="C186" s="6" t="s">
        <v>29</v>
      </c>
      <c r="D186" s="7">
        <v>21</v>
      </c>
      <c r="E186" s="78">
        <v>27716.7</v>
      </c>
      <c r="F186" s="78">
        <v>26008.79</v>
      </c>
      <c r="G186" s="78">
        <v>24789.66</v>
      </c>
      <c r="H186" s="78">
        <v>23953.46</v>
      </c>
      <c r="I186" s="78">
        <v>23857.26</v>
      </c>
      <c r="J186" s="78">
        <v>24162.95</v>
      </c>
      <c r="K186" s="78">
        <v>24201.65</v>
      </c>
      <c r="L186" s="78">
        <v>25684.53</v>
      </c>
      <c r="M186" s="78">
        <v>28276.39</v>
      </c>
      <c r="N186" s="78">
        <v>29508.36</v>
      </c>
      <c r="O186" s="78">
        <v>31398.38</v>
      </c>
      <c r="P186" s="78">
        <v>33142.21</v>
      </c>
      <c r="Q186" s="78">
        <v>31551.1</v>
      </c>
      <c r="R186" s="78">
        <v>32946.29</v>
      </c>
      <c r="S186" s="78">
        <v>35610.65</v>
      </c>
      <c r="T186" s="78">
        <v>36138</v>
      </c>
      <c r="U186" s="78">
        <v>35994.639999999999</v>
      </c>
      <c r="V186" s="78">
        <v>38554.769999999997</v>
      </c>
      <c r="W186" s="78">
        <v>41533.82</v>
      </c>
      <c r="X186" s="78">
        <v>42221.08</v>
      </c>
      <c r="Y186" s="78">
        <v>41095.96</v>
      </c>
      <c r="Z186" s="78">
        <v>38995.82</v>
      </c>
      <c r="AA186" s="78">
        <v>35734.620000000003</v>
      </c>
      <c r="AB186" s="78">
        <v>32627.439999999999</v>
      </c>
      <c r="AC186" s="209">
        <f>SUM(E186:AB186)*D186+SUM(E187:AB187)*D187+SUM(E188:AB188)*D188+SUM(E189:AB189)*D189</f>
        <v>22907717.289999992</v>
      </c>
      <c r="AD186" s="18"/>
    </row>
    <row r="187" spans="2:30" ht="18.649999999999999" customHeight="1" x14ac:dyDescent="0.35">
      <c r="B187" s="267"/>
      <c r="C187" s="9" t="s">
        <v>30</v>
      </c>
      <c r="D187" s="10">
        <v>4</v>
      </c>
      <c r="E187" s="79">
        <v>28032.14</v>
      </c>
      <c r="F187" s="79">
        <v>26438.62</v>
      </c>
      <c r="G187" s="79">
        <v>25248.82</v>
      </c>
      <c r="H187" s="79">
        <v>24334.16</v>
      </c>
      <c r="I187" s="79">
        <v>23713.37</v>
      </c>
      <c r="J187" s="79">
        <v>22918.46</v>
      </c>
      <c r="K187" s="79">
        <v>22674.61</v>
      </c>
      <c r="L187" s="79">
        <v>23823.99</v>
      </c>
      <c r="M187" s="79">
        <v>26090.78</v>
      </c>
      <c r="N187" s="79">
        <v>27602.400000000001</v>
      </c>
      <c r="O187" s="79">
        <v>28983.87</v>
      </c>
      <c r="P187" s="79">
        <v>29373.360000000001</v>
      </c>
      <c r="Q187" s="79">
        <v>28764.1</v>
      </c>
      <c r="R187" s="79">
        <v>28461.79</v>
      </c>
      <c r="S187" s="79">
        <v>29158.99</v>
      </c>
      <c r="T187" s="79">
        <v>29660.54</v>
      </c>
      <c r="U187" s="79">
        <v>30010.78</v>
      </c>
      <c r="V187" s="79">
        <v>34397.25</v>
      </c>
      <c r="W187" s="79">
        <v>38713.53</v>
      </c>
      <c r="X187" s="79">
        <v>38977.5</v>
      </c>
      <c r="Y187" s="79">
        <v>37537.5</v>
      </c>
      <c r="Z187" s="79">
        <v>35859.449999999997</v>
      </c>
      <c r="AA187" s="79">
        <v>33638.82</v>
      </c>
      <c r="AB187" s="79">
        <v>31209.93</v>
      </c>
      <c r="AC187" s="210"/>
      <c r="AD187" s="18"/>
    </row>
    <row r="188" spans="2:30" ht="18.649999999999999" customHeight="1" x14ac:dyDescent="0.35">
      <c r="B188" s="267"/>
      <c r="C188" s="9" t="s">
        <v>31</v>
      </c>
      <c r="D188" s="10">
        <v>4</v>
      </c>
      <c r="E188" s="79">
        <v>27262.91</v>
      </c>
      <c r="F188" s="79">
        <v>25842.89</v>
      </c>
      <c r="G188" s="79">
        <v>24521.52</v>
      </c>
      <c r="H188" s="79">
        <v>23772.34</v>
      </c>
      <c r="I188" s="79">
        <v>23358.11</v>
      </c>
      <c r="J188" s="79">
        <v>22452.91</v>
      </c>
      <c r="K188" s="79">
        <v>21543.99</v>
      </c>
      <c r="L188" s="79">
        <v>21359.56</v>
      </c>
      <c r="M188" s="79">
        <v>22251.759999999998</v>
      </c>
      <c r="N188" s="79">
        <v>23213.38</v>
      </c>
      <c r="O188" s="79">
        <v>24206.74</v>
      </c>
      <c r="P188" s="79">
        <v>25144.82</v>
      </c>
      <c r="Q188" s="79">
        <v>25768.66</v>
      </c>
      <c r="R188" s="79">
        <v>26057.07</v>
      </c>
      <c r="S188" s="79">
        <v>26503.4</v>
      </c>
      <c r="T188" s="79">
        <v>27046.52</v>
      </c>
      <c r="U188" s="79">
        <v>27648.17</v>
      </c>
      <c r="V188" s="79">
        <v>32240.76</v>
      </c>
      <c r="W188" s="79">
        <v>37036.49</v>
      </c>
      <c r="X188" s="79">
        <v>38730.74</v>
      </c>
      <c r="Y188" s="79">
        <v>38499.5</v>
      </c>
      <c r="Z188" s="79">
        <v>37193.64</v>
      </c>
      <c r="AA188" s="79">
        <v>34449.43</v>
      </c>
      <c r="AB188" s="79">
        <v>31465.21</v>
      </c>
      <c r="AC188" s="210"/>
      <c r="AD188" s="18"/>
    </row>
    <row r="189" spans="2:30" ht="18.649999999999999" customHeight="1" thickBot="1" x14ac:dyDescent="0.4">
      <c r="B189" s="268"/>
      <c r="C189" s="11" t="s">
        <v>32</v>
      </c>
      <c r="D189" s="12">
        <v>2</v>
      </c>
      <c r="E189" s="76">
        <v>27262.91</v>
      </c>
      <c r="F189" s="76">
        <v>25842.89</v>
      </c>
      <c r="G189" s="76">
        <v>24521.52</v>
      </c>
      <c r="H189" s="76">
        <v>23772.34</v>
      </c>
      <c r="I189" s="76">
        <v>23358.11</v>
      </c>
      <c r="J189" s="76">
        <v>22452.91</v>
      </c>
      <c r="K189" s="76">
        <v>21543.99</v>
      </c>
      <c r="L189" s="76">
        <v>21359.56</v>
      </c>
      <c r="M189" s="76">
        <v>22251.759999999998</v>
      </c>
      <c r="N189" s="76">
        <v>23213.38</v>
      </c>
      <c r="O189" s="76">
        <v>24206.74</v>
      </c>
      <c r="P189" s="76">
        <v>25144.82</v>
      </c>
      <c r="Q189" s="76">
        <v>25768.66</v>
      </c>
      <c r="R189" s="76">
        <v>26057.07</v>
      </c>
      <c r="S189" s="76">
        <v>26503.4</v>
      </c>
      <c r="T189" s="76">
        <v>27046.52</v>
      </c>
      <c r="U189" s="76">
        <v>27648.17</v>
      </c>
      <c r="V189" s="76">
        <v>32240.76</v>
      </c>
      <c r="W189" s="76">
        <v>37036.49</v>
      </c>
      <c r="X189" s="76">
        <v>38730.74</v>
      </c>
      <c r="Y189" s="76">
        <v>38499.5</v>
      </c>
      <c r="Z189" s="76">
        <v>37193.64</v>
      </c>
      <c r="AA189" s="76">
        <v>34449.43</v>
      </c>
      <c r="AB189" s="76">
        <v>31465.21</v>
      </c>
      <c r="AC189" s="214"/>
      <c r="AD189" s="18"/>
    </row>
    <row r="190" spans="2:30" ht="18.649999999999999" customHeight="1" x14ac:dyDescent="0.35">
      <c r="B190" s="207">
        <v>49553</v>
      </c>
      <c r="C190" s="13" t="s">
        <v>29</v>
      </c>
      <c r="D190" s="14">
        <v>20</v>
      </c>
      <c r="E190" s="81">
        <v>27570.27</v>
      </c>
      <c r="F190" s="81">
        <v>25940.21</v>
      </c>
      <c r="G190" s="81">
        <v>24726.37</v>
      </c>
      <c r="H190" s="81">
        <v>23822.05</v>
      </c>
      <c r="I190" s="81">
        <v>23709.5</v>
      </c>
      <c r="J190" s="81">
        <v>23985.69</v>
      </c>
      <c r="K190" s="81">
        <v>24029.18</v>
      </c>
      <c r="L190" s="81">
        <v>25669.43</v>
      </c>
      <c r="M190" s="81">
        <v>28449.759999999998</v>
      </c>
      <c r="N190" s="81">
        <v>29763.82</v>
      </c>
      <c r="O190" s="81">
        <v>31378.32</v>
      </c>
      <c r="P190" s="81">
        <v>32923.839999999997</v>
      </c>
      <c r="Q190" s="81">
        <v>31545.61</v>
      </c>
      <c r="R190" s="81">
        <v>32764.27</v>
      </c>
      <c r="S190" s="81">
        <v>35230.1</v>
      </c>
      <c r="T190" s="81">
        <v>35763.089999999997</v>
      </c>
      <c r="U190" s="81">
        <v>35691.089999999997</v>
      </c>
      <c r="V190" s="81">
        <v>38648.58</v>
      </c>
      <c r="W190" s="81">
        <v>41750.129999999997</v>
      </c>
      <c r="X190" s="81">
        <v>41375.339999999997</v>
      </c>
      <c r="Y190" s="81">
        <v>40122.959999999999</v>
      </c>
      <c r="Z190" s="81">
        <v>37954.559999999998</v>
      </c>
      <c r="AA190" s="81">
        <v>34652.9</v>
      </c>
      <c r="AB190" s="81">
        <v>31621.15</v>
      </c>
      <c r="AC190" s="210">
        <f>SUM(E190:AB190)*D190+SUM(E191:AB191)*D191+SUM(E192:AB192)*D192+SUM(E193:AB193)*D193</f>
        <v>21996339.099999994</v>
      </c>
      <c r="AD190" s="18"/>
    </row>
    <row r="191" spans="2:30" ht="18.649999999999999" customHeight="1" x14ac:dyDescent="0.35">
      <c r="B191" s="267"/>
      <c r="C191" s="9" t="s">
        <v>30</v>
      </c>
      <c r="D191" s="10">
        <v>5</v>
      </c>
      <c r="E191" s="79">
        <v>26477.67</v>
      </c>
      <c r="F191" s="79">
        <v>24974.2</v>
      </c>
      <c r="G191" s="79">
        <v>23830.86</v>
      </c>
      <c r="H191" s="79">
        <v>22990.639999999999</v>
      </c>
      <c r="I191" s="79">
        <v>22733.54</v>
      </c>
      <c r="J191" s="79">
        <v>22047.24</v>
      </c>
      <c r="K191" s="79">
        <v>22037.4</v>
      </c>
      <c r="L191" s="79">
        <v>23442.27</v>
      </c>
      <c r="M191" s="79">
        <v>26037.279999999999</v>
      </c>
      <c r="N191" s="79">
        <v>27202.71</v>
      </c>
      <c r="O191" s="79">
        <v>28983.65</v>
      </c>
      <c r="P191" s="79">
        <v>29741.71</v>
      </c>
      <c r="Q191" s="79">
        <v>29402.21</v>
      </c>
      <c r="R191" s="79">
        <v>29079.1</v>
      </c>
      <c r="S191" s="79">
        <v>29567.87</v>
      </c>
      <c r="T191" s="79">
        <v>29767.32</v>
      </c>
      <c r="U191" s="79">
        <v>29941.06</v>
      </c>
      <c r="V191" s="79">
        <v>34961.699999999997</v>
      </c>
      <c r="W191" s="79">
        <v>39468.74</v>
      </c>
      <c r="X191" s="79">
        <v>39170.550000000003</v>
      </c>
      <c r="Y191" s="79">
        <v>37846.89</v>
      </c>
      <c r="Z191" s="79">
        <v>36167.980000000003</v>
      </c>
      <c r="AA191" s="79">
        <v>34278.99</v>
      </c>
      <c r="AB191" s="79">
        <v>31852.12</v>
      </c>
      <c r="AC191" s="210"/>
      <c r="AD191" s="18"/>
    </row>
    <row r="192" spans="2:30" ht="18.649999999999999" customHeight="1" x14ac:dyDescent="0.35">
      <c r="B192" s="267"/>
      <c r="C192" s="9" t="s">
        <v>31</v>
      </c>
      <c r="D192" s="10">
        <v>5</v>
      </c>
      <c r="E192" s="79">
        <v>27458.55</v>
      </c>
      <c r="F192" s="79">
        <v>25897.759999999998</v>
      </c>
      <c r="G192" s="79">
        <v>24515.31</v>
      </c>
      <c r="H192" s="79">
        <v>23591.74</v>
      </c>
      <c r="I192" s="79">
        <v>23188.7</v>
      </c>
      <c r="J192" s="79">
        <v>21934.400000000001</v>
      </c>
      <c r="K192" s="79">
        <v>20963.57</v>
      </c>
      <c r="L192" s="79">
        <v>21007.56</v>
      </c>
      <c r="M192" s="79">
        <v>21992.51</v>
      </c>
      <c r="N192" s="79">
        <v>23276.12</v>
      </c>
      <c r="O192" s="79">
        <v>24362.799999999999</v>
      </c>
      <c r="P192" s="79">
        <v>24971.65</v>
      </c>
      <c r="Q192" s="79">
        <v>25717.42</v>
      </c>
      <c r="R192" s="79">
        <v>25950.62</v>
      </c>
      <c r="S192" s="79">
        <v>26173.46</v>
      </c>
      <c r="T192" s="79">
        <v>26896.83</v>
      </c>
      <c r="U192" s="79">
        <v>27428.720000000001</v>
      </c>
      <c r="V192" s="79">
        <v>32504.2</v>
      </c>
      <c r="W192" s="79">
        <v>37316.65</v>
      </c>
      <c r="X192" s="79">
        <v>37932.449999999997</v>
      </c>
      <c r="Y192" s="79">
        <v>37513.85</v>
      </c>
      <c r="Z192" s="79">
        <v>36147.870000000003</v>
      </c>
      <c r="AA192" s="79">
        <v>33510.9</v>
      </c>
      <c r="AB192" s="79">
        <v>30657.599999999999</v>
      </c>
      <c r="AC192" s="210"/>
      <c r="AD192" s="18"/>
    </row>
    <row r="193" spans="2:50" ht="18.649999999999999" customHeight="1" thickBot="1" x14ac:dyDescent="0.4">
      <c r="B193" s="268"/>
      <c r="C193" s="15" t="s">
        <v>32</v>
      </c>
      <c r="D193" s="16">
        <v>0</v>
      </c>
      <c r="E193" s="194">
        <v>0</v>
      </c>
      <c r="F193" s="194">
        <v>0</v>
      </c>
      <c r="G193" s="194">
        <v>0</v>
      </c>
      <c r="H193" s="194">
        <v>0</v>
      </c>
      <c r="I193" s="194">
        <v>0</v>
      </c>
      <c r="J193" s="194">
        <v>0</v>
      </c>
      <c r="K193" s="194">
        <v>0</v>
      </c>
      <c r="L193" s="194">
        <v>0</v>
      </c>
      <c r="M193" s="194">
        <v>0</v>
      </c>
      <c r="N193" s="194">
        <v>0</v>
      </c>
      <c r="O193" s="194">
        <v>0</v>
      </c>
      <c r="P193" s="194">
        <v>0</v>
      </c>
      <c r="Q193" s="194">
        <v>0</v>
      </c>
      <c r="R193" s="194">
        <v>0</v>
      </c>
      <c r="S193" s="194">
        <v>0</v>
      </c>
      <c r="T193" s="194">
        <v>0</v>
      </c>
      <c r="U193" s="194">
        <v>0</v>
      </c>
      <c r="V193" s="194">
        <v>0</v>
      </c>
      <c r="W193" s="194">
        <v>0</v>
      </c>
      <c r="X193" s="194">
        <v>0</v>
      </c>
      <c r="Y193" s="194">
        <v>0</v>
      </c>
      <c r="Z193" s="194">
        <v>0</v>
      </c>
      <c r="AA193" s="194">
        <v>0</v>
      </c>
      <c r="AB193" s="194">
        <v>0</v>
      </c>
      <c r="AC193" s="210"/>
      <c r="AD193" s="18"/>
    </row>
    <row r="194" spans="2:50" ht="18.649999999999999" customHeight="1" x14ac:dyDescent="0.35">
      <c r="B194" s="207">
        <v>49583</v>
      </c>
      <c r="C194" s="6" t="s">
        <v>29</v>
      </c>
      <c r="D194" s="7">
        <v>22</v>
      </c>
      <c r="E194" s="78">
        <v>26293.51</v>
      </c>
      <c r="F194" s="78">
        <v>24739.18</v>
      </c>
      <c r="G194" s="78">
        <v>23599.37</v>
      </c>
      <c r="H194" s="78">
        <v>22750</v>
      </c>
      <c r="I194" s="78">
        <v>22766.46</v>
      </c>
      <c r="J194" s="78">
        <v>22953.7</v>
      </c>
      <c r="K194" s="78">
        <v>23322.75</v>
      </c>
      <c r="L194" s="78">
        <v>24949.59</v>
      </c>
      <c r="M194" s="78">
        <v>27522.720000000001</v>
      </c>
      <c r="N194" s="78">
        <v>28777.49</v>
      </c>
      <c r="O194" s="78">
        <v>30285.71</v>
      </c>
      <c r="P194" s="78">
        <v>31670.49</v>
      </c>
      <c r="Q194" s="78">
        <v>30019.78</v>
      </c>
      <c r="R194" s="78">
        <v>31128.91</v>
      </c>
      <c r="S194" s="78">
        <v>33500.35</v>
      </c>
      <c r="T194" s="78">
        <v>34321.949999999997</v>
      </c>
      <c r="U194" s="78">
        <v>34601.68</v>
      </c>
      <c r="V194" s="78">
        <v>38568.339999999997</v>
      </c>
      <c r="W194" s="78">
        <v>41446</v>
      </c>
      <c r="X194" s="78">
        <v>40519.480000000003</v>
      </c>
      <c r="Y194" s="78">
        <v>39059.4</v>
      </c>
      <c r="Z194" s="78">
        <v>36908.410000000003</v>
      </c>
      <c r="AA194" s="78">
        <v>33704.93</v>
      </c>
      <c r="AB194" s="78">
        <v>30580.35</v>
      </c>
      <c r="AC194" s="209">
        <f>SUM(E194:AB194)*D194+SUM(E195:AB195)*D195+SUM(E196:AB196)*D196+SUM(E197:AB197)*D197</f>
        <v>22217077.030000005</v>
      </c>
      <c r="AD194" s="18"/>
    </row>
    <row r="195" spans="2:50" ht="18.649999999999999" customHeight="1" x14ac:dyDescent="0.35">
      <c r="B195" s="267"/>
      <c r="C195" s="9" t="s">
        <v>30</v>
      </c>
      <c r="D195" s="10">
        <v>4</v>
      </c>
      <c r="E195" s="79">
        <v>26731.26</v>
      </c>
      <c r="F195" s="79">
        <v>25039.99</v>
      </c>
      <c r="G195" s="79">
        <v>23665.52</v>
      </c>
      <c r="H195" s="79">
        <v>22816.18</v>
      </c>
      <c r="I195" s="79">
        <v>22768.34</v>
      </c>
      <c r="J195" s="79">
        <v>22094.880000000001</v>
      </c>
      <c r="K195" s="79">
        <v>22240.05</v>
      </c>
      <c r="L195" s="79">
        <v>23330.65</v>
      </c>
      <c r="M195" s="79">
        <v>25821.89</v>
      </c>
      <c r="N195" s="79">
        <v>27186.12</v>
      </c>
      <c r="O195" s="79">
        <v>28827.38</v>
      </c>
      <c r="P195" s="79">
        <v>29651.86</v>
      </c>
      <c r="Q195" s="79">
        <v>29001.53</v>
      </c>
      <c r="R195" s="79">
        <v>28734.15</v>
      </c>
      <c r="S195" s="79">
        <v>29386.33</v>
      </c>
      <c r="T195" s="79">
        <v>30162.76</v>
      </c>
      <c r="U195" s="79">
        <v>30605.06</v>
      </c>
      <c r="V195" s="79">
        <v>35876.199999999997</v>
      </c>
      <c r="W195" s="79">
        <v>39728.449999999997</v>
      </c>
      <c r="X195" s="79">
        <v>38973.94</v>
      </c>
      <c r="Y195" s="79">
        <v>37451.53</v>
      </c>
      <c r="Z195" s="79">
        <v>35551.81</v>
      </c>
      <c r="AA195" s="79">
        <v>33286.14</v>
      </c>
      <c r="AB195" s="79">
        <v>30826.05</v>
      </c>
      <c r="AC195" s="210"/>
      <c r="AD195" s="18"/>
    </row>
    <row r="196" spans="2:50" ht="18.649999999999999" customHeight="1" x14ac:dyDescent="0.35">
      <c r="B196" s="267"/>
      <c r="C196" s="9" t="s">
        <v>31</v>
      </c>
      <c r="D196" s="10">
        <v>4</v>
      </c>
      <c r="E196" s="79">
        <v>26637.8</v>
      </c>
      <c r="F196" s="79">
        <v>25057.48</v>
      </c>
      <c r="G196" s="79">
        <v>23789.65</v>
      </c>
      <c r="H196" s="79">
        <v>23018.11</v>
      </c>
      <c r="I196" s="79">
        <v>22634.91</v>
      </c>
      <c r="J196" s="79">
        <v>21575.52</v>
      </c>
      <c r="K196" s="79">
        <v>20548.78</v>
      </c>
      <c r="L196" s="79">
        <v>20560.259999999998</v>
      </c>
      <c r="M196" s="79">
        <v>21648.46</v>
      </c>
      <c r="N196" s="79">
        <v>22623.93</v>
      </c>
      <c r="O196" s="79">
        <v>23803.03</v>
      </c>
      <c r="P196" s="79">
        <v>24885.97</v>
      </c>
      <c r="Q196" s="79">
        <v>25530.52</v>
      </c>
      <c r="R196" s="79">
        <v>25799.89</v>
      </c>
      <c r="S196" s="79">
        <v>26290.39</v>
      </c>
      <c r="T196" s="79">
        <v>26581.22</v>
      </c>
      <c r="U196" s="79">
        <v>27534.42</v>
      </c>
      <c r="V196" s="79">
        <v>33039.08</v>
      </c>
      <c r="W196" s="79">
        <v>37639.67</v>
      </c>
      <c r="X196" s="79">
        <v>37929.19</v>
      </c>
      <c r="Y196" s="79">
        <v>37405.96</v>
      </c>
      <c r="Z196" s="79">
        <v>35943.42</v>
      </c>
      <c r="AA196" s="79">
        <v>33187.22</v>
      </c>
      <c r="AB196" s="79">
        <v>30385.65</v>
      </c>
      <c r="AC196" s="210"/>
      <c r="AD196" s="18"/>
    </row>
    <row r="197" spans="2:50" ht="18.649999999999999" customHeight="1" thickBot="1" x14ac:dyDescent="0.4">
      <c r="B197" s="268"/>
      <c r="C197" s="11" t="s">
        <v>32</v>
      </c>
      <c r="D197" s="12">
        <v>1</v>
      </c>
      <c r="E197" s="76">
        <v>26637.8</v>
      </c>
      <c r="F197" s="76">
        <v>25057.48</v>
      </c>
      <c r="G197" s="76">
        <v>23789.65</v>
      </c>
      <c r="H197" s="76">
        <v>23018.11</v>
      </c>
      <c r="I197" s="76">
        <v>22634.91</v>
      </c>
      <c r="J197" s="76">
        <v>21575.52</v>
      </c>
      <c r="K197" s="76">
        <v>20548.78</v>
      </c>
      <c r="L197" s="76">
        <v>20560.259999999998</v>
      </c>
      <c r="M197" s="76">
        <v>21648.46</v>
      </c>
      <c r="N197" s="76">
        <v>22623.93</v>
      </c>
      <c r="O197" s="76">
        <v>23803.03</v>
      </c>
      <c r="P197" s="76">
        <v>24885.97</v>
      </c>
      <c r="Q197" s="76">
        <v>25530.52</v>
      </c>
      <c r="R197" s="76">
        <v>25799.89</v>
      </c>
      <c r="S197" s="76">
        <v>26290.39</v>
      </c>
      <c r="T197" s="76">
        <v>26581.22</v>
      </c>
      <c r="U197" s="76">
        <v>27534.42</v>
      </c>
      <c r="V197" s="76">
        <v>33039.08</v>
      </c>
      <c r="W197" s="76">
        <v>37639.67</v>
      </c>
      <c r="X197" s="76">
        <v>37929.19</v>
      </c>
      <c r="Y197" s="76">
        <v>37405.96</v>
      </c>
      <c r="Z197" s="76">
        <v>35943.42</v>
      </c>
      <c r="AA197" s="76">
        <v>33187.22</v>
      </c>
      <c r="AB197" s="76">
        <v>30385.65</v>
      </c>
      <c r="AC197" s="214"/>
      <c r="AD197" s="18"/>
    </row>
    <row r="198" spans="2:50" ht="18.649999999999999" customHeight="1" x14ac:dyDescent="0.35">
      <c r="B198" s="207">
        <v>49614</v>
      </c>
      <c r="C198" s="13" t="s">
        <v>29</v>
      </c>
      <c r="D198" s="14">
        <v>20</v>
      </c>
      <c r="E198" s="81">
        <v>25688.89</v>
      </c>
      <c r="F198" s="81">
        <v>24185.599999999999</v>
      </c>
      <c r="G198" s="81">
        <v>23075.23</v>
      </c>
      <c r="H198" s="81">
        <v>22309.38</v>
      </c>
      <c r="I198" s="81">
        <v>22330.68</v>
      </c>
      <c r="J198" s="81">
        <v>22506.240000000002</v>
      </c>
      <c r="K198" s="81">
        <v>22906.05</v>
      </c>
      <c r="L198" s="81">
        <v>24738.86</v>
      </c>
      <c r="M198" s="81">
        <v>27319.62</v>
      </c>
      <c r="N198" s="81">
        <v>28505.15</v>
      </c>
      <c r="O198" s="81">
        <v>29899.31</v>
      </c>
      <c r="P198" s="81">
        <v>30964.53</v>
      </c>
      <c r="Q198" s="81">
        <v>29435.79</v>
      </c>
      <c r="R198" s="81">
        <v>30364.14</v>
      </c>
      <c r="S198" s="81">
        <v>32416.11</v>
      </c>
      <c r="T198" s="81">
        <v>33248.33</v>
      </c>
      <c r="U198" s="81">
        <v>33578.85</v>
      </c>
      <c r="V198" s="81">
        <v>37907.870000000003</v>
      </c>
      <c r="W198" s="81">
        <v>40206.19</v>
      </c>
      <c r="X198" s="81">
        <v>39291.870000000003</v>
      </c>
      <c r="Y198" s="81">
        <v>37956.559999999998</v>
      </c>
      <c r="Z198" s="81">
        <v>35939.32</v>
      </c>
      <c r="AA198" s="81">
        <v>32947.65</v>
      </c>
      <c r="AB198" s="81">
        <v>29964.79</v>
      </c>
      <c r="AC198" s="210">
        <f>SUM(E198:AB198)*D198+SUM(E199:AB199)*D199+SUM(E200:AB200)*D200+SUM(E201:AB201)*D201</f>
        <v>20858892.879999999</v>
      </c>
      <c r="AD198" s="18"/>
    </row>
    <row r="199" spans="2:50" ht="18.649999999999999" customHeight="1" x14ac:dyDescent="0.35">
      <c r="B199" s="267"/>
      <c r="C199" s="9" t="s">
        <v>30</v>
      </c>
      <c r="D199" s="10">
        <v>4</v>
      </c>
      <c r="E199" s="79">
        <v>24851.19</v>
      </c>
      <c r="F199" s="79">
        <v>23487.01</v>
      </c>
      <c r="G199" s="79">
        <v>22514.62</v>
      </c>
      <c r="H199" s="79">
        <v>21876.11</v>
      </c>
      <c r="I199" s="79">
        <v>21820.21</v>
      </c>
      <c r="J199" s="79">
        <v>21141.61</v>
      </c>
      <c r="K199" s="79">
        <v>21318.69</v>
      </c>
      <c r="L199" s="79">
        <v>22842.25</v>
      </c>
      <c r="M199" s="79">
        <v>25402.38</v>
      </c>
      <c r="N199" s="79">
        <v>26765.09</v>
      </c>
      <c r="O199" s="79">
        <v>28436.13</v>
      </c>
      <c r="P199" s="79">
        <v>29093.84</v>
      </c>
      <c r="Q199" s="79">
        <v>28494.21</v>
      </c>
      <c r="R199" s="79">
        <v>27855.96</v>
      </c>
      <c r="S199" s="79">
        <v>27775.51</v>
      </c>
      <c r="T199" s="79">
        <v>28451.99</v>
      </c>
      <c r="U199" s="79">
        <v>29040.09</v>
      </c>
      <c r="V199" s="79">
        <v>34813.19</v>
      </c>
      <c r="W199" s="79">
        <v>38144.79</v>
      </c>
      <c r="X199" s="79">
        <v>37511.53</v>
      </c>
      <c r="Y199" s="79">
        <v>36193.620000000003</v>
      </c>
      <c r="Z199" s="79">
        <v>34543.08</v>
      </c>
      <c r="AA199" s="79">
        <v>32448.92</v>
      </c>
      <c r="AB199" s="79">
        <v>30009.040000000001</v>
      </c>
      <c r="AC199" s="210"/>
      <c r="AD199" s="18"/>
    </row>
    <row r="200" spans="2:50" ht="18.649999999999999" customHeight="1" x14ac:dyDescent="0.35">
      <c r="B200" s="267"/>
      <c r="C200" s="9" t="s">
        <v>31</v>
      </c>
      <c r="D200" s="10">
        <v>4</v>
      </c>
      <c r="E200" s="79">
        <v>26117.29</v>
      </c>
      <c r="F200" s="79">
        <v>24738.1</v>
      </c>
      <c r="G200" s="79">
        <v>23504.400000000001</v>
      </c>
      <c r="H200" s="79">
        <v>22658.16</v>
      </c>
      <c r="I200" s="79">
        <v>22286.58</v>
      </c>
      <c r="J200" s="79">
        <v>21344.28</v>
      </c>
      <c r="K200" s="79">
        <v>20450.27</v>
      </c>
      <c r="L200" s="79">
        <v>20411.599999999999</v>
      </c>
      <c r="M200" s="79">
        <v>21482.03</v>
      </c>
      <c r="N200" s="79">
        <v>22495.43</v>
      </c>
      <c r="O200" s="79">
        <v>23701.85</v>
      </c>
      <c r="P200" s="79">
        <v>24302.54</v>
      </c>
      <c r="Q200" s="79">
        <v>24876.48</v>
      </c>
      <c r="R200" s="79">
        <v>25000.47</v>
      </c>
      <c r="S200" s="79">
        <v>25127.82</v>
      </c>
      <c r="T200" s="79">
        <v>25623.62</v>
      </c>
      <c r="U200" s="79">
        <v>26348.36</v>
      </c>
      <c r="V200" s="79">
        <v>32331.49</v>
      </c>
      <c r="W200" s="79">
        <v>35833.53</v>
      </c>
      <c r="X200" s="79">
        <v>35891.910000000003</v>
      </c>
      <c r="Y200" s="79">
        <v>35112.49</v>
      </c>
      <c r="Z200" s="79">
        <v>33759.660000000003</v>
      </c>
      <c r="AA200" s="79">
        <v>31607.87</v>
      </c>
      <c r="AB200" s="79">
        <v>29298.51</v>
      </c>
      <c r="AC200" s="210"/>
      <c r="AD200" s="18"/>
    </row>
    <row r="201" spans="2:50" ht="18.649999999999999" customHeight="1" thickBot="1" x14ac:dyDescent="0.4">
      <c r="B201" s="268"/>
      <c r="C201" s="15" t="s">
        <v>32</v>
      </c>
      <c r="D201" s="16">
        <v>2</v>
      </c>
      <c r="E201" s="80">
        <v>26117.29</v>
      </c>
      <c r="F201" s="80">
        <v>24738.1</v>
      </c>
      <c r="G201" s="80">
        <v>23504.400000000001</v>
      </c>
      <c r="H201" s="80">
        <v>22658.16</v>
      </c>
      <c r="I201" s="80">
        <v>22286.58</v>
      </c>
      <c r="J201" s="80">
        <v>21344.28</v>
      </c>
      <c r="K201" s="80">
        <v>20450.27</v>
      </c>
      <c r="L201" s="80">
        <v>20411.599999999999</v>
      </c>
      <c r="M201" s="80">
        <v>21482.03</v>
      </c>
      <c r="N201" s="80">
        <v>22495.43</v>
      </c>
      <c r="O201" s="80">
        <v>23701.85</v>
      </c>
      <c r="P201" s="80">
        <v>24302.54</v>
      </c>
      <c r="Q201" s="80">
        <v>24876.48</v>
      </c>
      <c r="R201" s="80">
        <v>25000.47</v>
      </c>
      <c r="S201" s="80">
        <v>25127.82</v>
      </c>
      <c r="T201" s="80">
        <v>25623.62</v>
      </c>
      <c r="U201" s="80">
        <v>26348.36</v>
      </c>
      <c r="V201" s="80">
        <v>32331.49</v>
      </c>
      <c r="W201" s="80">
        <v>35833.53</v>
      </c>
      <c r="X201" s="80">
        <v>35891.910000000003</v>
      </c>
      <c r="Y201" s="80">
        <v>35112.49</v>
      </c>
      <c r="Z201" s="80">
        <v>33759.660000000003</v>
      </c>
      <c r="AA201" s="80">
        <v>31607.87</v>
      </c>
      <c r="AB201" s="80">
        <v>29298.51</v>
      </c>
      <c r="AC201" s="210"/>
      <c r="AD201" s="18"/>
    </row>
    <row r="202" spans="2:50" ht="18.649999999999999" customHeight="1" x14ac:dyDescent="0.35">
      <c r="B202" s="207">
        <v>49644</v>
      </c>
      <c r="C202" s="6" t="s">
        <v>29</v>
      </c>
      <c r="D202" s="7">
        <v>20</v>
      </c>
      <c r="E202" s="78">
        <v>28084.49</v>
      </c>
      <c r="F202" s="78">
        <v>26366.44</v>
      </c>
      <c r="G202" s="78">
        <v>25109.040000000001</v>
      </c>
      <c r="H202" s="78">
        <v>24335.7</v>
      </c>
      <c r="I202" s="78">
        <v>24195.17</v>
      </c>
      <c r="J202" s="78">
        <v>24141.11</v>
      </c>
      <c r="K202" s="78">
        <v>24089.8</v>
      </c>
      <c r="L202" s="78">
        <v>25746.7</v>
      </c>
      <c r="M202" s="78">
        <v>28292.1</v>
      </c>
      <c r="N202" s="78">
        <v>29705.09</v>
      </c>
      <c r="O202" s="78">
        <v>31049.23</v>
      </c>
      <c r="P202" s="78">
        <v>32162.55</v>
      </c>
      <c r="Q202" s="78">
        <v>31104.66</v>
      </c>
      <c r="R202" s="78">
        <v>31685.34</v>
      </c>
      <c r="S202" s="78">
        <v>33488.589999999997</v>
      </c>
      <c r="T202" s="78">
        <v>34341.24</v>
      </c>
      <c r="U202" s="78">
        <v>34831.1</v>
      </c>
      <c r="V202" s="78">
        <v>39206.32</v>
      </c>
      <c r="W202" s="78">
        <v>42809.46</v>
      </c>
      <c r="X202" s="78">
        <v>41983.519999999997</v>
      </c>
      <c r="Y202" s="78">
        <v>40449.449999999997</v>
      </c>
      <c r="Z202" s="78">
        <v>38190.300000000003</v>
      </c>
      <c r="AA202" s="78">
        <v>35325.25</v>
      </c>
      <c r="AB202" s="78">
        <v>32556.799999999999</v>
      </c>
      <c r="AC202" s="209">
        <f>SUM(E202:AB202)*D202+SUM(E203:AB203)*D203+SUM(E204:AB204)*D204+SUM(E205:AB205)*D205</f>
        <v>22958679.940000001</v>
      </c>
      <c r="AD202" s="18"/>
    </row>
    <row r="203" spans="2:50" ht="18.649999999999999" customHeight="1" x14ac:dyDescent="0.35">
      <c r="B203" s="267"/>
      <c r="C203" s="9" t="s">
        <v>30</v>
      </c>
      <c r="D203" s="10">
        <v>4</v>
      </c>
      <c r="E203" s="79">
        <v>28495.759999999998</v>
      </c>
      <c r="F203" s="79">
        <v>26692.57</v>
      </c>
      <c r="G203" s="79">
        <v>25517.64</v>
      </c>
      <c r="H203" s="79">
        <v>24641.09</v>
      </c>
      <c r="I203" s="79">
        <v>24368.880000000001</v>
      </c>
      <c r="J203" s="79">
        <v>23869.43</v>
      </c>
      <c r="K203" s="79">
        <v>23416.91</v>
      </c>
      <c r="L203" s="79">
        <v>24243.98</v>
      </c>
      <c r="M203" s="79">
        <v>27096.61</v>
      </c>
      <c r="N203" s="79">
        <v>28707.34</v>
      </c>
      <c r="O203" s="79">
        <v>30182.37</v>
      </c>
      <c r="P203" s="79">
        <v>31161.86</v>
      </c>
      <c r="Q203" s="79">
        <v>30538.78</v>
      </c>
      <c r="R203" s="79">
        <v>30429.94</v>
      </c>
      <c r="S203" s="79">
        <v>30428.14</v>
      </c>
      <c r="T203" s="79">
        <v>31190.33</v>
      </c>
      <c r="U203" s="79">
        <v>31890.73</v>
      </c>
      <c r="V203" s="79">
        <v>36957.69</v>
      </c>
      <c r="W203" s="79">
        <v>41572.730000000003</v>
      </c>
      <c r="X203" s="79">
        <v>40940.29</v>
      </c>
      <c r="Y203" s="79">
        <v>39396.589999999997</v>
      </c>
      <c r="Z203" s="79">
        <v>37775.08</v>
      </c>
      <c r="AA203" s="79">
        <v>35392.11</v>
      </c>
      <c r="AB203" s="79">
        <v>32906.06</v>
      </c>
      <c r="AC203" s="210"/>
      <c r="AD203" s="18"/>
    </row>
    <row r="204" spans="2:50" ht="18.649999999999999" customHeight="1" x14ac:dyDescent="0.35">
      <c r="B204" s="267"/>
      <c r="C204" s="9" t="s">
        <v>31</v>
      </c>
      <c r="D204" s="10">
        <v>5</v>
      </c>
      <c r="E204" s="79">
        <v>28840.45</v>
      </c>
      <c r="F204" s="79">
        <v>27270.42</v>
      </c>
      <c r="G204" s="79">
        <v>25992.76</v>
      </c>
      <c r="H204" s="79">
        <v>25085.98</v>
      </c>
      <c r="I204" s="79">
        <v>24663.759999999998</v>
      </c>
      <c r="J204" s="79">
        <v>23885.42</v>
      </c>
      <c r="K204" s="79">
        <v>22407.93</v>
      </c>
      <c r="L204" s="79">
        <v>22086.3</v>
      </c>
      <c r="M204" s="79">
        <v>23343.14</v>
      </c>
      <c r="N204" s="79">
        <v>24606.94</v>
      </c>
      <c r="O204" s="79">
        <v>25396.46</v>
      </c>
      <c r="P204" s="79">
        <v>26249.68</v>
      </c>
      <c r="Q204" s="79">
        <v>26874.05</v>
      </c>
      <c r="R204" s="79">
        <v>27444.2</v>
      </c>
      <c r="S204" s="79">
        <v>26533.79</v>
      </c>
      <c r="T204" s="79">
        <v>27916</v>
      </c>
      <c r="U204" s="79">
        <v>28915.21</v>
      </c>
      <c r="V204" s="79">
        <v>34245.06</v>
      </c>
      <c r="W204" s="79">
        <v>38941.089999999997</v>
      </c>
      <c r="X204" s="79">
        <v>38546.43</v>
      </c>
      <c r="Y204" s="79">
        <v>37498.980000000003</v>
      </c>
      <c r="Z204" s="79">
        <v>36166.94</v>
      </c>
      <c r="AA204" s="79">
        <v>34053.33</v>
      </c>
      <c r="AB204" s="79">
        <v>31955.58</v>
      </c>
      <c r="AC204" s="210"/>
      <c r="AD204" s="18"/>
    </row>
    <row r="205" spans="2:50" ht="18.5" customHeight="1" thickBot="1" x14ac:dyDescent="0.4">
      <c r="B205" s="268"/>
      <c r="C205" s="11" t="s">
        <v>32</v>
      </c>
      <c r="D205" s="12">
        <v>2</v>
      </c>
      <c r="E205" s="76">
        <v>28840.45</v>
      </c>
      <c r="F205" s="76">
        <v>27270.42</v>
      </c>
      <c r="G205" s="76">
        <v>25992.76</v>
      </c>
      <c r="H205" s="76">
        <v>25085.98</v>
      </c>
      <c r="I205" s="76">
        <v>24663.759999999998</v>
      </c>
      <c r="J205" s="76">
        <v>23885.42</v>
      </c>
      <c r="K205" s="76">
        <v>22407.93</v>
      </c>
      <c r="L205" s="76">
        <v>22086.3</v>
      </c>
      <c r="M205" s="76">
        <v>23343.14</v>
      </c>
      <c r="N205" s="76">
        <v>24606.94</v>
      </c>
      <c r="O205" s="76">
        <v>25396.46</v>
      </c>
      <c r="P205" s="76">
        <v>26249.68</v>
      </c>
      <c r="Q205" s="76">
        <v>26874.05</v>
      </c>
      <c r="R205" s="76">
        <v>27444.2</v>
      </c>
      <c r="S205" s="76">
        <v>26533.79</v>
      </c>
      <c r="T205" s="76">
        <v>27916</v>
      </c>
      <c r="U205" s="76">
        <v>28915.21</v>
      </c>
      <c r="V205" s="76">
        <v>34245.06</v>
      </c>
      <c r="W205" s="76">
        <v>38941.089999999997</v>
      </c>
      <c r="X205" s="76">
        <v>38546.43</v>
      </c>
      <c r="Y205" s="76">
        <v>37498.980000000003</v>
      </c>
      <c r="Z205" s="76">
        <v>36166.94</v>
      </c>
      <c r="AA205" s="76">
        <v>34053.33</v>
      </c>
      <c r="AB205" s="76">
        <v>31955.58</v>
      </c>
      <c r="AC205" s="214"/>
      <c r="AD205" s="18"/>
    </row>
    <row r="206" spans="2:50" ht="18.649999999999999" customHeight="1" thickBot="1" x14ac:dyDescent="0.4"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215" t="s">
        <v>33</v>
      </c>
      <c r="AA206" s="216"/>
      <c r="AB206" s="217"/>
      <c r="AC206" s="135">
        <f>SUM(AC158:AC205)</f>
        <v>273406277.84000003</v>
      </c>
      <c r="AD206" s="17"/>
      <c r="AE206" s="18"/>
    </row>
    <row r="207" spans="2:50" ht="20" customHeight="1" x14ac:dyDescent="0.35">
      <c r="B207" s="207">
        <v>49675</v>
      </c>
      <c r="C207" s="6" t="s">
        <v>29</v>
      </c>
      <c r="D207" s="46">
        <v>21</v>
      </c>
      <c r="E207" s="78">
        <v>29326.9</v>
      </c>
      <c r="F207" s="78">
        <v>27753.01</v>
      </c>
      <c r="G207" s="78">
        <v>26549.360000000001</v>
      </c>
      <c r="H207" s="78">
        <v>25668.06</v>
      </c>
      <c r="I207" s="78">
        <v>25477.99</v>
      </c>
      <c r="J207" s="78">
        <v>26325.69</v>
      </c>
      <c r="K207" s="78">
        <v>25916.93</v>
      </c>
      <c r="L207" s="78">
        <v>28250.94</v>
      </c>
      <c r="M207" s="78">
        <v>30724.26</v>
      </c>
      <c r="N207" s="78">
        <v>31993.81</v>
      </c>
      <c r="O207" s="78">
        <v>33616.769999999997</v>
      </c>
      <c r="P207" s="78">
        <v>35103.71</v>
      </c>
      <c r="Q207" s="78">
        <v>34065.5</v>
      </c>
      <c r="R207" s="78">
        <v>35290.620000000003</v>
      </c>
      <c r="S207" s="78">
        <v>37307.339999999997</v>
      </c>
      <c r="T207" s="78">
        <v>37804.33</v>
      </c>
      <c r="U207" s="78">
        <v>37833.910000000003</v>
      </c>
      <c r="V207" s="78">
        <v>38060.42</v>
      </c>
      <c r="W207" s="78">
        <v>40971.46</v>
      </c>
      <c r="X207" s="78">
        <v>41144.400000000001</v>
      </c>
      <c r="Y207" s="78">
        <v>40146.089999999997</v>
      </c>
      <c r="Z207" s="78">
        <v>38401.589999999997</v>
      </c>
      <c r="AA207" s="78">
        <v>35683.82</v>
      </c>
      <c r="AB207" s="78">
        <v>32822.33</v>
      </c>
      <c r="AC207" s="209">
        <f>SUM(E207:AB207)*D207+SUM(E208:AB208)*D208+SUM(E209:AB209)*D209+SUM(E210:AB210)*D210</f>
        <v>23899060.079999998</v>
      </c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</row>
    <row r="208" spans="2:50" ht="20" customHeight="1" x14ac:dyDescent="0.35">
      <c r="B208" s="267"/>
      <c r="C208" s="9" t="s">
        <v>30</v>
      </c>
      <c r="D208" s="10">
        <v>4</v>
      </c>
      <c r="E208" s="79">
        <v>29045.33</v>
      </c>
      <c r="F208" s="79">
        <v>27600.65</v>
      </c>
      <c r="G208" s="79">
        <v>26431.99</v>
      </c>
      <c r="H208" s="79">
        <v>25535.200000000001</v>
      </c>
      <c r="I208" s="79">
        <v>25232.42</v>
      </c>
      <c r="J208" s="79">
        <v>25386.98</v>
      </c>
      <c r="K208" s="79">
        <v>24523.19</v>
      </c>
      <c r="L208" s="79">
        <v>26300.27</v>
      </c>
      <c r="M208" s="79">
        <v>28594.02</v>
      </c>
      <c r="N208" s="79">
        <v>30264.23</v>
      </c>
      <c r="O208" s="79">
        <v>31627.49</v>
      </c>
      <c r="P208" s="79">
        <v>32393.07</v>
      </c>
      <c r="Q208" s="79">
        <v>32105.46</v>
      </c>
      <c r="R208" s="79">
        <v>31392.15</v>
      </c>
      <c r="S208" s="79">
        <v>31775.98</v>
      </c>
      <c r="T208" s="79">
        <v>32228.42</v>
      </c>
      <c r="U208" s="79">
        <v>32617.82</v>
      </c>
      <c r="V208" s="79">
        <v>34539.03</v>
      </c>
      <c r="W208" s="79">
        <v>38628.5</v>
      </c>
      <c r="X208" s="79">
        <v>38875.24</v>
      </c>
      <c r="Y208" s="79">
        <v>37776.839999999997</v>
      </c>
      <c r="Z208" s="79">
        <v>36290.19</v>
      </c>
      <c r="AA208" s="79">
        <v>34347.61</v>
      </c>
      <c r="AB208" s="79">
        <v>32144.46</v>
      </c>
      <c r="AC208" s="210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</row>
    <row r="209" spans="2:50" ht="20" customHeight="1" x14ac:dyDescent="0.35">
      <c r="B209" s="267"/>
      <c r="C209" s="9" t="s">
        <v>31</v>
      </c>
      <c r="D209" s="10">
        <v>4</v>
      </c>
      <c r="E209" s="79">
        <v>29273.31</v>
      </c>
      <c r="F209" s="79">
        <v>27781.279999999999</v>
      </c>
      <c r="G209" s="79">
        <v>26540.61</v>
      </c>
      <c r="H209" s="79">
        <v>25627.8</v>
      </c>
      <c r="I209" s="79">
        <v>25178.51</v>
      </c>
      <c r="J209" s="79">
        <v>25000.21</v>
      </c>
      <c r="K209" s="79">
        <v>23437.4</v>
      </c>
      <c r="L209" s="79">
        <v>23798.41</v>
      </c>
      <c r="M209" s="79">
        <v>24697.65</v>
      </c>
      <c r="N209" s="79">
        <v>25536.65</v>
      </c>
      <c r="O209" s="79">
        <v>26599</v>
      </c>
      <c r="P209" s="79">
        <v>27575.79</v>
      </c>
      <c r="Q209" s="79">
        <v>28351.33</v>
      </c>
      <c r="R209" s="79">
        <v>28565.35</v>
      </c>
      <c r="S209" s="79">
        <v>28788.09</v>
      </c>
      <c r="T209" s="79">
        <v>29203.78</v>
      </c>
      <c r="U209" s="79">
        <v>29935.1</v>
      </c>
      <c r="V209" s="79">
        <v>31933.21</v>
      </c>
      <c r="W209" s="79">
        <v>36367.949999999997</v>
      </c>
      <c r="X209" s="79">
        <v>37393.410000000003</v>
      </c>
      <c r="Y209" s="79">
        <v>37037.24</v>
      </c>
      <c r="Z209" s="79">
        <v>35902.269999999997</v>
      </c>
      <c r="AA209" s="79">
        <v>33679.14</v>
      </c>
      <c r="AB209" s="79">
        <v>31031.49</v>
      </c>
      <c r="AC209" s="210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</row>
    <row r="210" spans="2:50" ht="20" customHeight="1" thickBot="1" x14ac:dyDescent="0.4">
      <c r="B210" s="268"/>
      <c r="C210" s="15" t="s">
        <v>32</v>
      </c>
      <c r="D210" s="16">
        <v>2</v>
      </c>
      <c r="E210" s="80">
        <v>29273.31</v>
      </c>
      <c r="F210" s="80">
        <v>27781.279999999999</v>
      </c>
      <c r="G210" s="80">
        <v>26540.61</v>
      </c>
      <c r="H210" s="80">
        <v>25627.8</v>
      </c>
      <c r="I210" s="80">
        <v>25178.51</v>
      </c>
      <c r="J210" s="80">
        <v>25000.21</v>
      </c>
      <c r="K210" s="80">
        <v>23437.4</v>
      </c>
      <c r="L210" s="80">
        <v>23798.41</v>
      </c>
      <c r="M210" s="80">
        <v>24697.65</v>
      </c>
      <c r="N210" s="80">
        <v>25536.65</v>
      </c>
      <c r="O210" s="80">
        <v>26599</v>
      </c>
      <c r="P210" s="80">
        <v>27575.79</v>
      </c>
      <c r="Q210" s="80">
        <v>28351.33</v>
      </c>
      <c r="R210" s="80">
        <v>28565.35</v>
      </c>
      <c r="S210" s="80">
        <v>28788.09</v>
      </c>
      <c r="T210" s="80">
        <v>29203.78</v>
      </c>
      <c r="U210" s="80">
        <v>29935.1</v>
      </c>
      <c r="V210" s="80">
        <v>31933.21</v>
      </c>
      <c r="W210" s="80">
        <v>36367.949999999997</v>
      </c>
      <c r="X210" s="80">
        <v>37393.410000000003</v>
      </c>
      <c r="Y210" s="80">
        <v>37037.24</v>
      </c>
      <c r="Z210" s="80">
        <v>35902.269999999997</v>
      </c>
      <c r="AA210" s="80">
        <v>33679.14</v>
      </c>
      <c r="AB210" s="80">
        <v>31031.49</v>
      </c>
      <c r="AC210" s="210"/>
      <c r="AD210" s="53">
        <f>+AC207</f>
        <v>23899060.079999998</v>
      </c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</row>
    <row r="211" spans="2:50" ht="20" customHeight="1" x14ac:dyDescent="0.35">
      <c r="B211" s="207">
        <v>49706</v>
      </c>
      <c r="C211" s="6" t="s">
        <v>29</v>
      </c>
      <c r="D211" s="7">
        <v>21</v>
      </c>
      <c r="E211" s="78">
        <v>29844.78</v>
      </c>
      <c r="F211" s="78">
        <v>28316.46</v>
      </c>
      <c r="G211" s="78">
        <v>27055.17</v>
      </c>
      <c r="H211" s="78">
        <v>26132.560000000001</v>
      </c>
      <c r="I211" s="78">
        <v>26035.52</v>
      </c>
      <c r="J211" s="78">
        <v>27599.15</v>
      </c>
      <c r="K211" s="78">
        <v>27180.2</v>
      </c>
      <c r="L211" s="78">
        <v>29289.79</v>
      </c>
      <c r="M211" s="78">
        <v>31367.919999999998</v>
      </c>
      <c r="N211" s="78">
        <v>32208.16</v>
      </c>
      <c r="O211" s="78">
        <v>33652.71</v>
      </c>
      <c r="P211" s="78">
        <v>34985.660000000003</v>
      </c>
      <c r="Q211" s="78">
        <v>33728.160000000003</v>
      </c>
      <c r="R211" s="78">
        <v>35249.96</v>
      </c>
      <c r="S211" s="78">
        <v>37675.85</v>
      </c>
      <c r="T211" s="78">
        <v>38334.980000000003</v>
      </c>
      <c r="U211" s="78">
        <v>38422.47</v>
      </c>
      <c r="V211" s="78">
        <v>38479.589999999997</v>
      </c>
      <c r="W211" s="78">
        <v>41117.19</v>
      </c>
      <c r="X211" s="78">
        <v>41772.21</v>
      </c>
      <c r="Y211" s="78">
        <v>40994.32</v>
      </c>
      <c r="Z211" s="78">
        <v>39240.89</v>
      </c>
      <c r="AA211" s="78">
        <v>36139.35</v>
      </c>
      <c r="AB211" s="78">
        <v>33106.870000000003</v>
      </c>
      <c r="AC211" s="209">
        <f>SUM(E211:AB211)*D211+SUM(E212:AB212)*D212+SUM(E213:AB213)*D213+SUM(E214:AB214)*D214</f>
        <v>22875343.400000002</v>
      </c>
      <c r="AD211" s="148">
        <f>+AC211</f>
        <v>22875343.400000002</v>
      </c>
    </row>
    <row r="212" spans="2:50" ht="20" customHeight="1" x14ac:dyDescent="0.35">
      <c r="B212" s="267"/>
      <c r="C212" s="9" t="s">
        <v>30</v>
      </c>
      <c r="D212" s="10">
        <v>4</v>
      </c>
      <c r="E212" s="79">
        <v>30112.92</v>
      </c>
      <c r="F212" s="79">
        <v>28385.68</v>
      </c>
      <c r="G212" s="79">
        <v>27289.66</v>
      </c>
      <c r="H212" s="79">
        <v>26180.85</v>
      </c>
      <c r="I212" s="79">
        <v>25817.360000000001</v>
      </c>
      <c r="J212" s="79">
        <v>26101.56</v>
      </c>
      <c r="K212" s="79">
        <v>25479.31</v>
      </c>
      <c r="L212" s="79">
        <v>27243.78</v>
      </c>
      <c r="M212" s="79">
        <v>29249.67</v>
      </c>
      <c r="N212" s="79">
        <v>30393.89</v>
      </c>
      <c r="O212" s="79">
        <v>31717.9</v>
      </c>
      <c r="P212" s="79">
        <v>32403.05</v>
      </c>
      <c r="Q212" s="79">
        <v>31828.02</v>
      </c>
      <c r="R212" s="79">
        <v>31550.45</v>
      </c>
      <c r="S212" s="79">
        <v>31979.16</v>
      </c>
      <c r="T212" s="79">
        <v>32487.4</v>
      </c>
      <c r="U212" s="79">
        <v>32989.61</v>
      </c>
      <c r="V212" s="79">
        <v>34639.300000000003</v>
      </c>
      <c r="W212" s="79">
        <v>38685.69</v>
      </c>
      <c r="X212" s="79">
        <v>39212.74</v>
      </c>
      <c r="Y212" s="79">
        <v>38397.1</v>
      </c>
      <c r="Z212" s="79">
        <v>36971.4</v>
      </c>
      <c r="AA212" s="79">
        <v>35064.97</v>
      </c>
      <c r="AB212" s="79">
        <v>32763.98</v>
      </c>
      <c r="AC212" s="210"/>
      <c r="AD212" s="148">
        <f>+AC215</f>
        <v>23948056.16</v>
      </c>
    </row>
    <row r="213" spans="2:50" ht="20" customHeight="1" x14ac:dyDescent="0.35">
      <c r="B213" s="267"/>
      <c r="C213" s="9" t="s">
        <v>31</v>
      </c>
      <c r="D213" s="10">
        <v>4</v>
      </c>
      <c r="E213" s="79">
        <v>30091.47</v>
      </c>
      <c r="F213" s="79">
        <v>28607.72</v>
      </c>
      <c r="G213" s="79">
        <v>27355.58</v>
      </c>
      <c r="H213" s="79">
        <v>26439.24</v>
      </c>
      <c r="I213" s="79">
        <v>25963.24</v>
      </c>
      <c r="J213" s="79">
        <v>25910.12</v>
      </c>
      <c r="K213" s="79">
        <v>24352.44</v>
      </c>
      <c r="L213" s="79">
        <v>24806.97</v>
      </c>
      <c r="M213" s="79">
        <v>25555.599999999999</v>
      </c>
      <c r="N213" s="79">
        <v>26082.67</v>
      </c>
      <c r="O213" s="79">
        <v>26990.46</v>
      </c>
      <c r="P213" s="79">
        <v>28065.54</v>
      </c>
      <c r="Q213" s="79">
        <v>28860.52</v>
      </c>
      <c r="R213" s="79">
        <v>29240.95</v>
      </c>
      <c r="S213" s="79">
        <v>29820.86</v>
      </c>
      <c r="T213" s="79">
        <v>30403.71</v>
      </c>
      <c r="U213" s="79">
        <v>30943.11</v>
      </c>
      <c r="V213" s="79">
        <v>32261.22</v>
      </c>
      <c r="W213" s="79">
        <v>36937.79</v>
      </c>
      <c r="X213" s="79">
        <v>38506.339999999997</v>
      </c>
      <c r="Y213" s="79">
        <v>38605.69</v>
      </c>
      <c r="Z213" s="79">
        <v>37846.03</v>
      </c>
      <c r="AA213" s="79">
        <v>34675.769999999997</v>
      </c>
      <c r="AB213" s="79">
        <v>31935.279999999999</v>
      </c>
      <c r="AC213" s="210"/>
      <c r="AD213" s="148">
        <f>+AC219</f>
        <v>22338170.740000006</v>
      </c>
    </row>
    <row r="214" spans="2:50" ht="20" customHeight="1" thickBot="1" x14ac:dyDescent="0.4">
      <c r="B214" s="268"/>
      <c r="C214" s="11" t="s">
        <v>32</v>
      </c>
      <c r="D214" s="12">
        <v>0</v>
      </c>
      <c r="E214" s="194">
        <v>0</v>
      </c>
      <c r="F214" s="194">
        <v>0</v>
      </c>
      <c r="G214" s="194">
        <v>0</v>
      </c>
      <c r="H214" s="194">
        <v>0</v>
      </c>
      <c r="I214" s="194">
        <v>0</v>
      </c>
      <c r="J214" s="194">
        <v>0</v>
      </c>
      <c r="K214" s="194">
        <v>0</v>
      </c>
      <c r="L214" s="194">
        <v>0</v>
      </c>
      <c r="M214" s="194">
        <v>0</v>
      </c>
      <c r="N214" s="194">
        <v>0</v>
      </c>
      <c r="O214" s="194">
        <v>0</v>
      </c>
      <c r="P214" s="194">
        <v>0</v>
      </c>
      <c r="Q214" s="194">
        <v>0</v>
      </c>
      <c r="R214" s="194">
        <v>0</v>
      </c>
      <c r="S214" s="194">
        <v>0</v>
      </c>
      <c r="T214" s="194">
        <v>0</v>
      </c>
      <c r="U214" s="194">
        <v>0</v>
      </c>
      <c r="V214" s="194">
        <v>0</v>
      </c>
      <c r="W214" s="194">
        <v>0</v>
      </c>
      <c r="X214" s="194">
        <v>0</v>
      </c>
      <c r="Y214" s="194">
        <v>0</v>
      </c>
      <c r="Z214" s="194">
        <v>0</v>
      </c>
      <c r="AA214" s="194">
        <v>0</v>
      </c>
      <c r="AB214" s="194">
        <v>0</v>
      </c>
      <c r="AC214" s="214"/>
      <c r="AD214" s="148">
        <f>+AC223</f>
        <v>22964146.219999999</v>
      </c>
    </row>
    <row r="215" spans="2:50" ht="20" customHeight="1" x14ac:dyDescent="0.35">
      <c r="B215" s="207">
        <v>49735</v>
      </c>
      <c r="C215" s="13" t="s">
        <v>29</v>
      </c>
      <c r="D215" s="14">
        <v>20</v>
      </c>
      <c r="E215" s="81">
        <v>28817</v>
      </c>
      <c r="F215" s="81">
        <v>27312.560000000001</v>
      </c>
      <c r="G215" s="81">
        <v>26162.16</v>
      </c>
      <c r="H215" s="81">
        <v>25410.94</v>
      </c>
      <c r="I215" s="81">
        <v>25474.41</v>
      </c>
      <c r="J215" s="81">
        <v>26801.4</v>
      </c>
      <c r="K215" s="81">
        <v>26669.67</v>
      </c>
      <c r="L215" s="81">
        <v>29092.75</v>
      </c>
      <c r="M215" s="81">
        <v>31241.51</v>
      </c>
      <c r="N215" s="81">
        <v>32200.37</v>
      </c>
      <c r="O215" s="81">
        <v>33629.440000000002</v>
      </c>
      <c r="P215" s="81">
        <v>34656.1</v>
      </c>
      <c r="Q215" s="81">
        <v>32840.39</v>
      </c>
      <c r="R215" s="81">
        <v>34164.74</v>
      </c>
      <c r="S215" s="81">
        <v>36485.769999999997</v>
      </c>
      <c r="T215" s="81">
        <v>37281.57</v>
      </c>
      <c r="U215" s="81">
        <v>37636.83</v>
      </c>
      <c r="V215" s="81">
        <v>37864.31</v>
      </c>
      <c r="W215" s="81">
        <v>40535.75</v>
      </c>
      <c r="X215" s="81">
        <v>40893.449999999997</v>
      </c>
      <c r="Y215" s="81">
        <v>39770.35</v>
      </c>
      <c r="Z215" s="81">
        <v>37802.69</v>
      </c>
      <c r="AA215" s="81">
        <v>34816.93</v>
      </c>
      <c r="AB215" s="81">
        <v>31820.32</v>
      </c>
      <c r="AC215" s="210">
        <f>SUM(E215:AB215)*D215+SUM(E216:AB216)*D216+SUM(E217:AB217)*D217+SUM(E218:AB218)*D218</f>
        <v>23948056.16</v>
      </c>
      <c r="AD215" s="148">
        <f>+AC227</f>
        <v>22220516.680000003</v>
      </c>
    </row>
    <row r="216" spans="2:50" ht="20" customHeight="1" x14ac:dyDescent="0.35">
      <c r="B216" s="267"/>
      <c r="C216" s="9" t="s">
        <v>30</v>
      </c>
      <c r="D216" s="10">
        <v>5</v>
      </c>
      <c r="E216" s="79">
        <v>28873.57</v>
      </c>
      <c r="F216" s="79">
        <v>27398.48</v>
      </c>
      <c r="G216" s="79">
        <v>26180.31</v>
      </c>
      <c r="H216" s="79">
        <v>25404.720000000001</v>
      </c>
      <c r="I216" s="79">
        <v>25184.67</v>
      </c>
      <c r="J216" s="79">
        <v>25414.560000000001</v>
      </c>
      <c r="K216" s="79">
        <v>25170.43</v>
      </c>
      <c r="L216" s="79">
        <v>27278.63</v>
      </c>
      <c r="M216" s="79">
        <v>29681.45</v>
      </c>
      <c r="N216" s="79">
        <v>31005.39</v>
      </c>
      <c r="O216" s="79">
        <v>32366.62</v>
      </c>
      <c r="P216" s="79">
        <v>33238.410000000003</v>
      </c>
      <c r="Q216" s="79">
        <v>32587.74</v>
      </c>
      <c r="R216" s="79">
        <v>32242.880000000001</v>
      </c>
      <c r="S216" s="79">
        <v>32777.33</v>
      </c>
      <c r="T216" s="79">
        <v>33182.230000000003</v>
      </c>
      <c r="U216" s="79">
        <v>33696.480000000003</v>
      </c>
      <c r="V216" s="79">
        <v>35084.47</v>
      </c>
      <c r="W216" s="79">
        <v>39122.36</v>
      </c>
      <c r="X216" s="79">
        <v>39748.36</v>
      </c>
      <c r="Y216" s="79">
        <v>38709.949999999997</v>
      </c>
      <c r="Z216" s="79">
        <v>37267.78</v>
      </c>
      <c r="AA216" s="79">
        <v>35175.089999999997</v>
      </c>
      <c r="AB216" s="79">
        <v>32929.79</v>
      </c>
      <c r="AC216" s="210"/>
      <c r="AD216" s="148">
        <f>+AC231</f>
        <v>22605395.810000002</v>
      </c>
    </row>
    <row r="217" spans="2:50" ht="20" customHeight="1" x14ac:dyDescent="0.35">
      <c r="B217" s="267"/>
      <c r="C217" s="9" t="s">
        <v>31</v>
      </c>
      <c r="D217" s="10">
        <v>5</v>
      </c>
      <c r="E217" s="79">
        <v>29836.42</v>
      </c>
      <c r="F217" s="79">
        <v>28238.97</v>
      </c>
      <c r="G217" s="79">
        <v>26958.639999999999</v>
      </c>
      <c r="H217" s="79">
        <v>26046.29</v>
      </c>
      <c r="I217" s="79">
        <v>25566.77</v>
      </c>
      <c r="J217" s="79">
        <v>25323.02</v>
      </c>
      <c r="K217" s="79">
        <v>24210.3</v>
      </c>
      <c r="L217" s="79">
        <v>25014.94</v>
      </c>
      <c r="M217" s="79">
        <v>26143.26</v>
      </c>
      <c r="N217" s="79">
        <v>26938.22</v>
      </c>
      <c r="O217" s="79">
        <v>27911.58</v>
      </c>
      <c r="P217" s="79">
        <v>28926.75</v>
      </c>
      <c r="Q217" s="79">
        <v>29636.53</v>
      </c>
      <c r="R217" s="79">
        <v>29913.37</v>
      </c>
      <c r="S217" s="79">
        <v>30280.43</v>
      </c>
      <c r="T217" s="79">
        <v>31008.42</v>
      </c>
      <c r="U217" s="79">
        <v>31543.62</v>
      </c>
      <c r="V217" s="79">
        <v>33145.17</v>
      </c>
      <c r="W217" s="79">
        <v>37367.949999999997</v>
      </c>
      <c r="X217" s="79">
        <v>38737.129999999997</v>
      </c>
      <c r="Y217" s="79">
        <v>38730.06</v>
      </c>
      <c r="Z217" s="79">
        <v>37734.980000000003</v>
      </c>
      <c r="AA217" s="79">
        <v>35334.85</v>
      </c>
      <c r="AB217" s="79">
        <v>32422.240000000002</v>
      </c>
      <c r="AC217" s="210"/>
      <c r="AD217" s="148">
        <f>+AC235</f>
        <v>22719412.210000001</v>
      </c>
    </row>
    <row r="218" spans="2:50" ht="20" customHeight="1" thickBot="1" x14ac:dyDescent="0.4">
      <c r="B218" s="268"/>
      <c r="C218" s="15" t="s">
        <v>32</v>
      </c>
      <c r="D218" s="16">
        <v>1</v>
      </c>
      <c r="E218" s="80">
        <v>29836.42</v>
      </c>
      <c r="F218" s="80">
        <v>28238.97</v>
      </c>
      <c r="G218" s="80">
        <v>26958.639999999999</v>
      </c>
      <c r="H218" s="80">
        <v>26046.29</v>
      </c>
      <c r="I218" s="80">
        <v>25566.77</v>
      </c>
      <c r="J218" s="80">
        <v>25323.02</v>
      </c>
      <c r="K218" s="80">
        <v>24210.3</v>
      </c>
      <c r="L218" s="80">
        <v>25014.94</v>
      </c>
      <c r="M218" s="80">
        <v>26143.26</v>
      </c>
      <c r="N218" s="80">
        <v>26938.22</v>
      </c>
      <c r="O218" s="80">
        <v>27911.58</v>
      </c>
      <c r="P218" s="80">
        <v>28926.75</v>
      </c>
      <c r="Q218" s="80">
        <v>29636.53</v>
      </c>
      <c r="R218" s="80">
        <v>29913.37</v>
      </c>
      <c r="S218" s="80">
        <v>30280.43</v>
      </c>
      <c r="T218" s="80">
        <v>31008.42</v>
      </c>
      <c r="U218" s="80">
        <v>31543.62</v>
      </c>
      <c r="V218" s="80">
        <v>33145.17</v>
      </c>
      <c r="W218" s="80">
        <v>37367.949999999997</v>
      </c>
      <c r="X218" s="80">
        <v>38737.129999999997</v>
      </c>
      <c r="Y218" s="80">
        <v>38730.06</v>
      </c>
      <c r="Z218" s="80">
        <v>37734.980000000003</v>
      </c>
      <c r="AA218" s="80">
        <v>35334.85</v>
      </c>
      <c r="AB218" s="80">
        <v>32422.240000000002</v>
      </c>
      <c r="AC218" s="210"/>
      <c r="AD218" s="148">
        <f>+AC239</f>
        <v>21837923.240000002</v>
      </c>
    </row>
    <row r="219" spans="2:50" ht="20" customHeight="1" x14ac:dyDescent="0.35">
      <c r="B219" s="207">
        <v>49766</v>
      </c>
      <c r="C219" s="6" t="s">
        <v>29</v>
      </c>
      <c r="D219" s="7">
        <v>20</v>
      </c>
      <c r="E219" s="78">
        <v>27921.25</v>
      </c>
      <c r="F219" s="78">
        <v>26453.360000000001</v>
      </c>
      <c r="G219" s="78">
        <v>25358.959999999999</v>
      </c>
      <c r="H219" s="78">
        <v>24637.5</v>
      </c>
      <c r="I219" s="78">
        <v>24705.3</v>
      </c>
      <c r="J219" s="78">
        <v>25436.400000000001</v>
      </c>
      <c r="K219" s="78">
        <v>25542.959999999999</v>
      </c>
      <c r="L219" s="78">
        <v>28009.25</v>
      </c>
      <c r="M219" s="78">
        <v>30450.81</v>
      </c>
      <c r="N219" s="78">
        <v>31436.79</v>
      </c>
      <c r="O219" s="78">
        <v>32758.81</v>
      </c>
      <c r="P219" s="78">
        <v>34017.89</v>
      </c>
      <c r="Q219" s="78">
        <v>32527.65</v>
      </c>
      <c r="R219" s="78">
        <v>33752.800000000003</v>
      </c>
      <c r="S219" s="78">
        <v>36048.76</v>
      </c>
      <c r="T219" s="78">
        <v>36578.49</v>
      </c>
      <c r="U219" s="78">
        <v>36632.910000000003</v>
      </c>
      <c r="V219" s="78">
        <v>37259.54</v>
      </c>
      <c r="W219" s="78">
        <v>39757.949999999997</v>
      </c>
      <c r="X219" s="78">
        <v>39872.68</v>
      </c>
      <c r="Y219" s="78">
        <v>38742.36</v>
      </c>
      <c r="Z219" s="78">
        <v>36925.1</v>
      </c>
      <c r="AA219" s="78">
        <v>34151.82</v>
      </c>
      <c r="AB219" s="78">
        <v>31079.759999999998</v>
      </c>
      <c r="AC219" s="209">
        <f>SUM(E219:AB219)*D219+SUM(E220:AB220)*D220+SUM(E221:AB221)*D221+SUM(E222:AB222)*D222</f>
        <v>22338170.740000006</v>
      </c>
      <c r="AD219" s="148">
        <f>+AC243</f>
        <v>22093318.440000001</v>
      </c>
    </row>
    <row r="220" spans="2:50" ht="20" customHeight="1" x14ac:dyDescent="0.35">
      <c r="B220" s="267"/>
      <c r="C220" s="9" t="s">
        <v>30</v>
      </c>
      <c r="D220" s="10">
        <v>4</v>
      </c>
      <c r="E220" s="79">
        <v>27460.81</v>
      </c>
      <c r="F220" s="79">
        <v>25936.22</v>
      </c>
      <c r="G220" s="79">
        <v>24772.76</v>
      </c>
      <c r="H220" s="79">
        <v>23990.53</v>
      </c>
      <c r="I220" s="79">
        <v>23758.52</v>
      </c>
      <c r="J220" s="79">
        <v>23752.04</v>
      </c>
      <c r="K220" s="79">
        <v>23439.64</v>
      </c>
      <c r="L220" s="79">
        <v>25292.87</v>
      </c>
      <c r="M220" s="79">
        <v>27537.22</v>
      </c>
      <c r="N220" s="79">
        <v>28595.07</v>
      </c>
      <c r="O220" s="79">
        <v>29846.560000000001</v>
      </c>
      <c r="P220" s="79">
        <v>30695.64</v>
      </c>
      <c r="Q220" s="79">
        <v>30251.48</v>
      </c>
      <c r="R220" s="79">
        <v>30004.19</v>
      </c>
      <c r="S220" s="79">
        <v>30377.919999999998</v>
      </c>
      <c r="T220" s="79">
        <v>30785.22</v>
      </c>
      <c r="U220" s="79">
        <v>31338.25</v>
      </c>
      <c r="V220" s="79">
        <v>33190.400000000001</v>
      </c>
      <c r="W220" s="79">
        <v>37177.54</v>
      </c>
      <c r="X220" s="79">
        <v>37218.050000000003</v>
      </c>
      <c r="Y220" s="79">
        <v>36260.660000000003</v>
      </c>
      <c r="Z220" s="79">
        <v>34790.339999999997</v>
      </c>
      <c r="AA220" s="79">
        <v>32906.379999999997</v>
      </c>
      <c r="AB220" s="79">
        <v>30678.16</v>
      </c>
      <c r="AC220" s="210"/>
      <c r="AD220" s="148">
        <f>+AC247</f>
        <v>20767525.27</v>
      </c>
    </row>
    <row r="221" spans="2:50" ht="20" customHeight="1" x14ac:dyDescent="0.35">
      <c r="B221" s="267"/>
      <c r="C221" s="9" t="s">
        <v>31</v>
      </c>
      <c r="D221" s="10">
        <v>4</v>
      </c>
      <c r="E221" s="79">
        <v>27938.23</v>
      </c>
      <c r="F221" s="79">
        <v>26524.98</v>
      </c>
      <c r="G221" s="79">
        <v>25353.78</v>
      </c>
      <c r="H221" s="79">
        <v>24513.56</v>
      </c>
      <c r="I221" s="79">
        <v>24180.83</v>
      </c>
      <c r="J221" s="79">
        <v>23691.62</v>
      </c>
      <c r="K221" s="79">
        <v>23040.83</v>
      </c>
      <c r="L221" s="79">
        <v>23805.360000000001</v>
      </c>
      <c r="M221" s="79">
        <v>24437.83</v>
      </c>
      <c r="N221" s="79">
        <v>25224.66</v>
      </c>
      <c r="O221" s="79">
        <v>26175.68</v>
      </c>
      <c r="P221" s="79">
        <v>27000.67</v>
      </c>
      <c r="Q221" s="79">
        <v>27551.68</v>
      </c>
      <c r="R221" s="79">
        <v>27833.57</v>
      </c>
      <c r="S221" s="79">
        <v>28210.58</v>
      </c>
      <c r="T221" s="79">
        <v>28809.39</v>
      </c>
      <c r="U221" s="79">
        <v>29600.9</v>
      </c>
      <c r="V221" s="79">
        <v>31549.040000000001</v>
      </c>
      <c r="W221" s="79">
        <v>35222.92</v>
      </c>
      <c r="X221" s="79">
        <v>36293.35</v>
      </c>
      <c r="Y221" s="79">
        <v>36288.730000000003</v>
      </c>
      <c r="Z221" s="79">
        <v>35589.040000000001</v>
      </c>
      <c r="AA221" s="79">
        <v>33371.43</v>
      </c>
      <c r="AB221" s="79">
        <v>30585.15</v>
      </c>
      <c r="AC221" s="210"/>
      <c r="AD221" s="148">
        <f>+AC251</f>
        <v>22777871.189999998</v>
      </c>
    </row>
    <row r="222" spans="2:50" ht="20" customHeight="1" thickBot="1" x14ac:dyDescent="0.4">
      <c r="B222" s="268"/>
      <c r="C222" s="11" t="s">
        <v>32</v>
      </c>
      <c r="D222" s="12">
        <v>2</v>
      </c>
      <c r="E222" s="194">
        <v>27938.23</v>
      </c>
      <c r="F222" s="194">
        <v>26524.98</v>
      </c>
      <c r="G222" s="194">
        <v>25353.78</v>
      </c>
      <c r="H222" s="194">
        <v>24513.56</v>
      </c>
      <c r="I222" s="194">
        <v>24180.83</v>
      </c>
      <c r="J222" s="194">
        <v>23691.62</v>
      </c>
      <c r="K222" s="194">
        <v>23040.83</v>
      </c>
      <c r="L222" s="194">
        <v>23805.360000000001</v>
      </c>
      <c r="M222" s="194">
        <v>24437.83</v>
      </c>
      <c r="N222" s="194">
        <v>25224.66</v>
      </c>
      <c r="O222" s="194">
        <v>26175.68</v>
      </c>
      <c r="P222" s="194">
        <v>27000.67</v>
      </c>
      <c r="Q222" s="194">
        <v>27551.68</v>
      </c>
      <c r="R222" s="194">
        <v>27833.57</v>
      </c>
      <c r="S222" s="194">
        <v>28210.58</v>
      </c>
      <c r="T222" s="194">
        <v>28809.39</v>
      </c>
      <c r="U222" s="194">
        <v>29600.9</v>
      </c>
      <c r="V222" s="194">
        <v>31549.040000000001</v>
      </c>
      <c r="W222" s="194">
        <v>35222.92</v>
      </c>
      <c r="X222" s="194">
        <v>36293.35</v>
      </c>
      <c r="Y222" s="194">
        <v>36288.730000000003</v>
      </c>
      <c r="Z222" s="194">
        <v>35589.040000000001</v>
      </c>
      <c r="AA222" s="194">
        <v>33371.43</v>
      </c>
      <c r="AB222" s="194">
        <v>30585.15</v>
      </c>
      <c r="AC222" s="214"/>
      <c r="AD222" s="18"/>
    </row>
    <row r="223" spans="2:50" ht="20" customHeight="1" x14ac:dyDescent="0.35">
      <c r="B223" s="207">
        <v>49796</v>
      </c>
      <c r="C223" s="13" t="s">
        <v>29</v>
      </c>
      <c r="D223" s="14">
        <v>20</v>
      </c>
      <c r="E223" s="81">
        <v>27201.01</v>
      </c>
      <c r="F223" s="81">
        <v>25856.07</v>
      </c>
      <c r="G223" s="81">
        <v>24809.33</v>
      </c>
      <c r="H223" s="81">
        <v>24095.67</v>
      </c>
      <c r="I223" s="81">
        <v>24186.85</v>
      </c>
      <c r="J223" s="81">
        <v>24860.41</v>
      </c>
      <c r="K223" s="81">
        <v>25181.78</v>
      </c>
      <c r="L223" s="81">
        <v>27700.46</v>
      </c>
      <c r="M223" s="81">
        <v>30296.13</v>
      </c>
      <c r="N223" s="81">
        <v>31370.17</v>
      </c>
      <c r="O223" s="81">
        <v>32951</v>
      </c>
      <c r="P223" s="81">
        <v>34011.360000000001</v>
      </c>
      <c r="Q223" s="81">
        <v>32453.7</v>
      </c>
      <c r="R223" s="81">
        <v>33549.43</v>
      </c>
      <c r="S223" s="81">
        <v>35690.839999999997</v>
      </c>
      <c r="T223" s="81">
        <v>36191</v>
      </c>
      <c r="U223" s="81">
        <v>36250.61</v>
      </c>
      <c r="V223" s="81">
        <v>36451.15</v>
      </c>
      <c r="W223" s="81">
        <v>38941.58</v>
      </c>
      <c r="X223" s="81">
        <v>39069.03</v>
      </c>
      <c r="Y223" s="81">
        <v>37904.81</v>
      </c>
      <c r="Z223" s="81">
        <v>35920.9</v>
      </c>
      <c r="AA223" s="81">
        <v>33114.25</v>
      </c>
      <c r="AB223" s="81">
        <v>30243.02</v>
      </c>
      <c r="AC223" s="210">
        <f>SUM(E223:AB223)*D223+SUM(E224:AB224)*D224+SUM(E225:AB225)*D225+SUM(E226:AB226)*D226</f>
        <v>22964146.219999999</v>
      </c>
      <c r="AD223" s="18"/>
    </row>
    <row r="224" spans="2:50" ht="20" customHeight="1" x14ac:dyDescent="0.35">
      <c r="B224" s="267"/>
      <c r="C224" s="9" t="s">
        <v>30</v>
      </c>
      <c r="D224" s="10">
        <v>5</v>
      </c>
      <c r="E224" s="79">
        <v>27844.58</v>
      </c>
      <c r="F224" s="79">
        <v>26072.1</v>
      </c>
      <c r="G224" s="79">
        <v>24900.880000000001</v>
      </c>
      <c r="H224" s="79">
        <v>24125.86</v>
      </c>
      <c r="I224" s="79">
        <v>23949.79</v>
      </c>
      <c r="J224" s="79">
        <v>23667.82</v>
      </c>
      <c r="K224" s="79">
        <v>23602.36</v>
      </c>
      <c r="L224" s="79">
        <v>25869.9</v>
      </c>
      <c r="M224" s="79">
        <v>28441</v>
      </c>
      <c r="N224" s="79">
        <v>29822.31</v>
      </c>
      <c r="O224" s="79">
        <v>30909.46</v>
      </c>
      <c r="P224" s="79">
        <v>31724.54</v>
      </c>
      <c r="Q224" s="79">
        <v>30973.599999999999</v>
      </c>
      <c r="R224" s="79">
        <v>30640.22</v>
      </c>
      <c r="S224" s="79">
        <v>31184.880000000001</v>
      </c>
      <c r="T224" s="79">
        <v>31597.83</v>
      </c>
      <c r="U224" s="79">
        <v>32078.9</v>
      </c>
      <c r="V224" s="79">
        <v>33869.22</v>
      </c>
      <c r="W224" s="79">
        <v>37732.339999999997</v>
      </c>
      <c r="X224" s="79">
        <v>38112.61</v>
      </c>
      <c r="Y224" s="79">
        <v>37018.92</v>
      </c>
      <c r="Z224" s="79">
        <v>35394.129999999997</v>
      </c>
      <c r="AA224" s="79">
        <v>33523.57</v>
      </c>
      <c r="AB224" s="79">
        <v>31292.94</v>
      </c>
      <c r="AC224" s="210"/>
      <c r="AD224" s="18"/>
    </row>
    <row r="225" spans="2:30" ht="20" customHeight="1" x14ac:dyDescent="0.35">
      <c r="B225" s="267"/>
      <c r="C225" s="9" t="s">
        <v>31</v>
      </c>
      <c r="D225" s="10">
        <v>4</v>
      </c>
      <c r="E225" s="79">
        <v>28183.56</v>
      </c>
      <c r="F225" s="79">
        <v>26793.66</v>
      </c>
      <c r="G225" s="79">
        <v>25668.7</v>
      </c>
      <c r="H225" s="79">
        <v>24840.74</v>
      </c>
      <c r="I225" s="79">
        <v>24489.06</v>
      </c>
      <c r="J225" s="79">
        <v>23703.39</v>
      </c>
      <c r="K225" s="79">
        <v>23080.65</v>
      </c>
      <c r="L225" s="79">
        <v>23977.45</v>
      </c>
      <c r="M225" s="79">
        <v>25373.58</v>
      </c>
      <c r="N225" s="79">
        <v>26512.82</v>
      </c>
      <c r="O225" s="79">
        <v>27334.25</v>
      </c>
      <c r="P225" s="79">
        <v>28030.959999999999</v>
      </c>
      <c r="Q225" s="79">
        <v>28563.11</v>
      </c>
      <c r="R225" s="79">
        <v>28808.880000000001</v>
      </c>
      <c r="S225" s="79">
        <v>29090.47</v>
      </c>
      <c r="T225" s="79">
        <v>29754.66</v>
      </c>
      <c r="U225" s="79">
        <v>30210.07</v>
      </c>
      <c r="V225" s="79">
        <v>32171.58</v>
      </c>
      <c r="W225" s="79">
        <v>36117.49</v>
      </c>
      <c r="X225" s="79">
        <v>37029.019999999997</v>
      </c>
      <c r="Y225" s="79">
        <v>36903.800000000003</v>
      </c>
      <c r="Z225" s="79">
        <v>35794.42</v>
      </c>
      <c r="AA225" s="79">
        <v>33398.550000000003</v>
      </c>
      <c r="AB225" s="79">
        <v>30233.5</v>
      </c>
      <c r="AC225" s="210"/>
      <c r="AD225" s="18"/>
    </row>
    <row r="226" spans="2:30" ht="20" customHeight="1" thickBot="1" x14ac:dyDescent="0.4">
      <c r="B226" s="268"/>
      <c r="C226" s="15" t="s">
        <v>32</v>
      </c>
      <c r="D226" s="16">
        <v>2</v>
      </c>
      <c r="E226" s="80">
        <v>28183.56</v>
      </c>
      <c r="F226" s="80">
        <v>26793.66</v>
      </c>
      <c r="G226" s="80">
        <v>25668.7</v>
      </c>
      <c r="H226" s="80">
        <v>24840.74</v>
      </c>
      <c r="I226" s="80">
        <v>24489.06</v>
      </c>
      <c r="J226" s="80">
        <v>23703.39</v>
      </c>
      <c r="K226" s="80">
        <v>23080.65</v>
      </c>
      <c r="L226" s="80">
        <v>23977.45</v>
      </c>
      <c r="M226" s="80">
        <v>25373.58</v>
      </c>
      <c r="N226" s="80">
        <v>26512.82</v>
      </c>
      <c r="O226" s="80">
        <v>27334.25</v>
      </c>
      <c r="P226" s="80">
        <v>28030.959999999999</v>
      </c>
      <c r="Q226" s="80">
        <v>28563.11</v>
      </c>
      <c r="R226" s="80">
        <v>28808.880000000001</v>
      </c>
      <c r="S226" s="80">
        <v>29090.47</v>
      </c>
      <c r="T226" s="80">
        <v>29754.66</v>
      </c>
      <c r="U226" s="80">
        <v>30210.07</v>
      </c>
      <c r="V226" s="80">
        <v>32171.58</v>
      </c>
      <c r="W226" s="80">
        <v>36117.49</v>
      </c>
      <c r="X226" s="80">
        <v>37029.019999999997</v>
      </c>
      <c r="Y226" s="80">
        <v>36903.800000000003</v>
      </c>
      <c r="Z226" s="80">
        <v>35794.42</v>
      </c>
      <c r="AA226" s="80">
        <v>33398.550000000003</v>
      </c>
      <c r="AB226" s="80">
        <v>30233.5</v>
      </c>
      <c r="AC226" s="210"/>
      <c r="AD226" s="18"/>
    </row>
    <row r="227" spans="2:30" ht="20" customHeight="1" x14ac:dyDescent="0.35">
      <c r="B227" s="207">
        <v>49827</v>
      </c>
      <c r="C227" s="6" t="s">
        <v>29</v>
      </c>
      <c r="D227" s="7">
        <v>18</v>
      </c>
      <c r="E227" s="78">
        <v>27778.71</v>
      </c>
      <c r="F227" s="78">
        <v>26311.18</v>
      </c>
      <c r="G227" s="78">
        <v>25277.17</v>
      </c>
      <c r="H227" s="78">
        <v>24427.19</v>
      </c>
      <c r="I227" s="78">
        <v>24462.01</v>
      </c>
      <c r="J227" s="78">
        <v>24743.88</v>
      </c>
      <c r="K227" s="78">
        <v>24966.23</v>
      </c>
      <c r="L227" s="78">
        <v>27567.87</v>
      </c>
      <c r="M227" s="78">
        <v>30144.77</v>
      </c>
      <c r="N227" s="78">
        <v>31363.38</v>
      </c>
      <c r="O227" s="78">
        <v>33038.39</v>
      </c>
      <c r="P227" s="78">
        <v>34211.089999999997</v>
      </c>
      <c r="Q227" s="78">
        <v>32902.400000000001</v>
      </c>
      <c r="R227" s="78">
        <v>33850.400000000001</v>
      </c>
      <c r="S227" s="78">
        <v>35933.74</v>
      </c>
      <c r="T227" s="78">
        <v>36407.269999999997</v>
      </c>
      <c r="U227" s="78">
        <v>36660.07</v>
      </c>
      <c r="V227" s="78">
        <v>36938.46</v>
      </c>
      <c r="W227" s="78">
        <v>39393.230000000003</v>
      </c>
      <c r="X227" s="78">
        <v>39876.86</v>
      </c>
      <c r="Y227" s="78">
        <v>38616.18</v>
      </c>
      <c r="Z227" s="78">
        <v>36692.36</v>
      </c>
      <c r="AA227" s="78">
        <v>33743.800000000003</v>
      </c>
      <c r="AB227" s="78">
        <v>30762.42</v>
      </c>
      <c r="AC227" s="209">
        <f>SUM(E227:AB227)*D227+SUM(E228:AB228)*D228+SUM(E229:AB229)*D229+SUM(E230:AB230)*D230</f>
        <v>22220516.680000003</v>
      </c>
      <c r="AD227" s="18"/>
    </row>
    <row r="228" spans="2:30" ht="20" customHeight="1" x14ac:dyDescent="0.35">
      <c r="B228" s="267"/>
      <c r="C228" s="9" t="s">
        <v>30</v>
      </c>
      <c r="D228" s="10">
        <v>4</v>
      </c>
      <c r="E228" s="79">
        <v>27733.53</v>
      </c>
      <c r="F228" s="79">
        <v>26301.72</v>
      </c>
      <c r="G228" s="79">
        <v>25250.01</v>
      </c>
      <c r="H228" s="79">
        <v>24535.21</v>
      </c>
      <c r="I228" s="79">
        <v>24364.25</v>
      </c>
      <c r="J228" s="79">
        <v>23974.71</v>
      </c>
      <c r="K228" s="79">
        <v>23928.39</v>
      </c>
      <c r="L228" s="79">
        <v>26188.91</v>
      </c>
      <c r="M228" s="79">
        <v>28718.74</v>
      </c>
      <c r="N228" s="79">
        <v>30166.41</v>
      </c>
      <c r="O228" s="79">
        <v>31539.65</v>
      </c>
      <c r="P228" s="79">
        <v>32475.83</v>
      </c>
      <c r="Q228" s="79">
        <v>31864.19</v>
      </c>
      <c r="R228" s="79">
        <v>31277.19</v>
      </c>
      <c r="S228" s="79">
        <v>31646.09</v>
      </c>
      <c r="T228" s="79">
        <v>31994</v>
      </c>
      <c r="U228" s="79">
        <v>32199.599999999999</v>
      </c>
      <c r="V228" s="79">
        <v>33825.370000000003</v>
      </c>
      <c r="W228" s="79">
        <v>36901.46</v>
      </c>
      <c r="X228" s="79">
        <v>37676.67</v>
      </c>
      <c r="Y228" s="79">
        <v>36691.83</v>
      </c>
      <c r="Z228" s="79">
        <v>34877.85</v>
      </c>
      <c r="AA228" s="79">
        <v>32811.18</v>
      </c>
      <c r="AB228" s="79">
        <v>30651.49</v>
      </c>
      <c r="AC228" s="210"/>
      <c r="AD228" s="18"/>
    </row>
    <row r="229" spans="2:30" ht="20" customHeight="1" x14ac:dyDescent="0.35">
      <c r="B229" s="267"/>
      <c r="C229" s="9" t="s">
        <v>31</v>
      </c>
      <c r="D229" s="10">
        <v>5</v>
      </c>
      <c r="E229" s="79">
        <v>28422.93</v>
      </c>
      <c r="F229" s="79">
        <v>26900.3</v>
      </c>
      <c r="G229" s="79">
        <v>25687.37</v>
      </c>
      <c r="H229" s="79">
        <v>24898.81</v>
      </c>
      <c r="I229" s="79">
        <v>24580.85</v>
      </c>
      <c r="J229" s="79">
        <v>23685.89</v>
      </c>
      <c r="K229" s="79">
        <v>22910.02</v>
      </c>
      <c r="L229" s="79">
        <v>23579.06</v>
      </c>
      <c r="M229" s="79">
        <v>24677.31</v>
      </c>
      <c r="N229" s="79">
        <v>25753.51</v>
      </c>
      <c r="O229" s="79">
        <v>26600.41</v>
      </c>
      <c r="P229" s="79">
        <v>27389.33</v>
      </c>
      <c r="Q229" s="79">
        <v>28130.83</v>
      </c>
      <c r="R229" s="79">
        <v>28241.57</v>
      </c>
      <c r="S229" s="79">
        <v>28635.71</v>
      </c>
      <c r="T229" s="79">
        <v>29179.49</v>
      </c>
      <c r="U229" s="79">
        <v>29764.59</v>
      </c>
      <c r="V229" s="79">
        <v>31473.25</v>
      </c>
      <c r="W229" s="79">
        <v>35358.379999999997</v>
      </c>
      <c r="X229" s="79">
        <v>37112.51</v>
      </c>
      <c r="Y229" s="79">
        <v>36725.040000000001</v>
      </c>
      <c r="Z229" s="79">
        <v>35672.33</v>
      </c>
      <c r="AA229" s="79">
        <v>33599.69</v>
      </c>
      <c r="AB229" s="79">
        <v>31132.880000000001</v>
      </c>
      <c r="AC229" s="210"/>
      <c r="AD229" s="18"/>
    </row>
    <row r="230" spans="2:30" ht="20" customHeight="1" thickBot="1" x14ac:dyDescent="0.4">
      <c r="B230" s="268"/>
      <c r="C230" s="11" t="s">
        <v>32</v>
      </c>
      <c r="D230" s="12">
        <v>3</v>
      </c>
      <c r="E230" s="76">
        <v>28422.93</v>
      </c>
      <c r="F230" s="76">
        <v>26900.3</v>
      </c>
      <c r="G230" s="76">
        <v>25687.37</v>
      </c>
      <c r="H230" s="76">
        <v>24898.81</v>
      </c>
      <c r="I230" s="76">
        <v>24580.85</v>
      </c>
      <c r="J230" s="76">
        <v>23685.89</v>
      </c>
      <c r="K230" s="76">
        <v>22910.02</v>
      </c>
      <c r="L230" s="76">
        <v>23579.06</v>
      </c>
      <c r="M230" s="76">
        <v>24677.31</v>
      </c>
      <c r="N230" s="76">
        <v>25753.51</v>
      </c>
      <c r="O230" s="76">
        <v>26600.41</v>
      </c>
      <c r="P230" s="76">
        <v>27389.33</v>
      </c>
      <c r="Q230" s="76">
        <v>28130.83</v>
      </c>
      <c r="R230" s="76">
        <v>28241.57</v>
      </c>
      <c r="S230" s="76">
        <v>28635.71</v>
      </c>
      <c r="T230" s="76">
        <v>29179.49</v>
      </c>
      <c r="U230" s="76">
        <v>29764.59</v>
      </c>
      <c r="V230" s="76">
        <v>31473.25</v>
      </c>
      <c r="W230" s="76">
        <v>35358.379999999997</v>
      </c>
      <c r="X230" s="76">
        <v>37112.51</v>
      </c>
      <c r="Y230" s="76">
        <v>36725.040000000001</v>
      </c>
      <c r="Z230" s="76">
        <v>35672.33</v>
      </c>
      <c r="AA230" s="76">
        <v>33599.69</v>
      </c>
      <c r="AB230" s="76">
        <v>31132.880000000001</v>
      </c>
      <c r="AC230" s="214"/>
      <c r="AD230" s="18"/>
    </row>
    <row r="231" spans="2:30" ht="20" customHeight="1" x14ac:dyDescent="0.35">
      <c r="B231" s="207">
        <v>49857</v>
      </c>
      <c r="C231" s="13" t="s">
        <v>29</v>
      </c>
      <c r="D231" s="14">
        <v>23</v>
      </c>
      <c r="E231" s="81">
        <v>27113.63</v>
      </c>
      <c r="F231" s="81">
        <v>25647.8</v>
      </c>
      <c r="G231" s="81">
        <v>24530.55</v>
      </c>
      <c r="H231" s="81">
        <v>23783.34</v>
      </c>
      <c r="I231" s="81">
        <v>23683.4</v>
      </c>
      <c r="J231" s="81">
        <v>24207.119999999999</v>
      </c>
      <c r="K231" s="81">
        <v>24247.62</v>
      </c>
      <c r="L231" s="81">
        <v>26631.73</v>
      </c>
      <c r="M231" s="81">
        <v>29051.99</v>
      </c>
      <c r="N231" s="81">
        <v>30266.03</v>
      </c>
      <c r="O231" s="81">
        <v>31966.37</v>
      </c>
      <c r="P231" s="81">
        <v>33366.17</v>
      </c>
      <c r="Q231" s="81">
        <v>32128.61</v>
      </c>
      <c r="R231" s="81">
        <v>33534.050000000003</v>
      </c>
      <c r="S231" s="81">
        <v>35945.65</v>
      </c>
      <c r="T231" s="81">
        <v>36412.720000000001</v>
      </c>
      <c r="U231" s="81">
        <v>36449.01</v>
      </c>
      <c r="V231" s="81">
        <v>36262.51</v>
      </c>
      <c r="W231" s="81">
        <v>38162.94</v>
      </c>
      <c r="X231" s="81">
        <v>39075.14</v>
      </c>
      <c r="Y231" s="81">
        <v>38104.19</v>
      </c>
      <c r="Z231" s="81">
        <v>36278.81</v>
      </c>
      <c r="AA231" s="81">
        <v>33333.14</v>
      </c>
      <c r="AB231" s="81">
        <v>30431.59</v>
      </c>
      <c r="AC231" s="210">
        <f>SUM(E231:AB231)*D231+SUM(E232:AB232)*D232+SUM(E233:AB233)*D233+SUM(E234:AB234)*D234</f>
        <v>22605395.810000002</v>
      </c>
      <c r="AD231" s="18"/>
    </row>
    <row r="232" spans="2:30" ht="20" customHeight="1" x14ac:dyDescent="0.35">
      <c r="B232" s="267"/>
      <c r="C232" s="9" t="s">
        <v>30</v>
      </c>
      <c r="D232" s="10">
        <v>4</v>
      </c>
      <c r="E232" s="79">
        <v>27578.29</v>
      </c>
      <c r="F232" s="79">
        <v>25913.16</v>
      </c>
      <c r="G232" s="79">
        <v>24687.63</v>
      </c>
      <c r="H232" s="79">
        <v>23982.67</v>
      </c>
      <c r="I232" s="79">
        <v>23579.27</v>
      </c>
      <c r="J232" s="79">
        <v>23303.23</v>
      </c>
      <c r="K232" s="79">
        <v>23133.45</v>
      </c>
      <c r="L232" s="79">
        <v>24950.84</v>
      </c>
      <c r="M232" s="79">
        <v>27368.04</v>
      </c>
      <c r="N232" s="79">
        <v>28821.29</v>
      </c>
      <c r="O232" s="79">
        <v>30372.28</v>
      </c>
      <c r="P232" s="79">
        <v>31163.38</v>
      </c>
      <c r="Q232" s="79">
        <v>30635.27</v>
      </c>
      <c r="R232" s="79">
        <v>30299.42</v>
      </c>
      <c r="S232" s="79">
        <v>30522.73</v>
      </c>
      <c r="T232" s="79">
        <v>30517.25</v>
      </c>
      <c r="U232" s="79">
        <v>30776.720000000001</v>
      </c>
      <c r="V232" s="79">
        <v>32512.33</v>
      </c>
      <c r="W232" s="79">
        <v>34717.129999999997</v>
      </c>
      <c r="X232" s="79">
        <v>35403.51</v>
      </c>
      <c r="Y232" s="79">
        <v>34258.050000000003</v>
      </c>
      <c r="Z232" s="79">
        <v>32834.51</v>
      </c>
      <c r="AA232" s="79">
        <v>31063.02</v>
      </c>
      <c r="AB232" s="79">
        <v>28973.99</v>
      </c>
      <c r="AC232" s="210"/>
      <c r="AD232" s="18"/>
    </row>
    <row r="233" spans="2:30" ht="20" customHeight="1" x14ac:dyDescent="0.35">
      <c r="B233" s="267"/>
      <c r="C233" s="9" t="s">
        <v>31</v>
      </c>
      <c r="D233" s="10">
        <v>3</v>
      </c>
      <c r="E233" s="79">
        <v>25361.06</v>
      </c>
      <c r="F233" s="79">
        <v>24131.1</v>
      </c>
      <c r="G233" s="79">
        <v>23002.78</v>
      </c>
      <c r="H233" s="79">
        <v>22346.83</v>
      </c>
      <c r="I233" s="79">
        <v>22089.78</v>
      </c>
      <c r="J233" s="79">
        <v>21505.58</v>
      </c>
      <c r="K233" s="79">
        <v>20823.12</v>
      </c>
      <c r="L233" s="79">
        <v>21440.720000000001</v>
      </c>
      <c r="M233" s="79">
        <v>22386.16</v>
      </c>
      <c r="N233" s="79">
        <v>23330.04</v>
      </c>
      <c r="O233" s="79">
        <v>24339.86</v>
      </c>
      <c r="P233" s="79">
        <v>25299.57</v>
      </c>
      <c r="Q233" s="79">
        <v>26116.45</v>
      </c>
      <c r="R233" s="79">
        <v>26508.43</v>
      </c>
      <c r="S233" s="79">
        <v>26945.200000000001</v>
      </c>
      <c r="T233" s="79">
        <v>27664.76</v>
      </c>
      <c r="U233" s="79">
        <v>28193.85</v>
      </c>
      <c r="V233" s="79">
        <v>29771.119999999999</v>
      </c>
      <c r="W233" s="79">
        <v>33562.89</v>
      </c>
      <c r="X233" s="79">
        <v>35514.81</v>
      </c>
      <c r="Y233" s="79">
        <v>34969.01</v>
      </c>
      <c r="Z233" s="79">
        <v>33516.42</v>
      </c>
      <c r="AA233" s="79">
        <v>30889.5</v>
      </c>
      <c r="AB233" s="79">
        <v>28241.32</v>
      </c>
      <c r="AC233" s="210"/>
      <c r="AD233" s="18"/>
    </row>
    <row r="234" spans="2:30" ht="20" customHeight="1" thickBot="1" x14ac:dyDescent="0.4">
      <c r="B234" s="268"/>
      <c r="C234" s="15" t="s">
        <v>32</v>
      </c>
      <c r="D234" s="16">
        <v>1</v>
      </c>
      <c r="E234" s="79">
        <v>25361.06</v>
      </c>
      <c r="F234" s="79">
        <v>24131.1</v>
      </c>
      <c r="G234" s="79">
        <v>23002.78</v>
      </c>
      <c r="H234" s="79">
        <v>22346.83</v>
      </c>
      <c r="I234" s="79">
        <v>22089.78</v>
      </c>
      <c r="J234" s="79">
        <v>21505.58</v>
      </c>
      <c r="K234" s="79">
        <v>20823.12</v>
      </c>
      <c r="L234" s="79">
        <v>21440.720000000001</v>
      </c>
      <c r="M234" s="79">
        <v>22386.16</v>
      </c>
      <c r="N234" s="79">
        <v>23330.04</v>
      </c>
      <c r="O234" s="79">
        <v>24339.86</v>
      </c>
      <c r="P234" s="79">
        <v>25299.57</v>
      </c>
      <c r="Q234" s="79">
        <v>26116.45</v>
      </c>
      <c r="R234" s="79">
        <v>26508.43</v>
      </c>
      <c r="S234" s="79">
        <v>26945.200000000001</v>
      </c>
      <c r="T234" s="79">
        <v>27664.76</v>
      </c>
      <c r="U234" s="79">
        <v>28193.85</v>
      </c>
      <c r="V234" s="79">
        <v>29771.119999999999</v>
      </c>
      <c r="W234" s="79">
        <v>33562.89</v>
      </c>
      <c r="X234" s="79">
        <v>35514.81</v>
      </c>
      <c r="Y234" s="79">
        <v>34969.01</v>
      </c>
      <c r="Z234" s="79">
        <v>33516.42</v>
      </c>
      <c r="AA234" s="79">
        <v>30889.5</v>
      </c>
      <c r="AB234" s="79">
        <v>28241.32</v>
      </c>
      <c r="AC234" s="210"/>
      <c r="AD234" s="18"/>
    </row>
    <row r="235" spans="2:30" ht="20" customHeight="1" x14ac:dyDescent="0.35">
      <c r="B235" s="207">
        <v>49888</v>
      </c>
      <c r="C235" s="6" t="s">
        <v>29</v>
      </c>
      <c r="D235" s="7">
        <v>19</v>
      </c>
      <c r="E235" s="78">
        <v>27568.38</v>
      </c>
      <c r="F235" s="78">
        <v>25962.33</v>
      </c>
      <c r="G235" s="78">
        <v>24812.95</v>
      </c>
      <c r="H235" s="78">
        <v>24024.44</v>
      </c>
      <c r="I235" s="78">
        <v>23914.62</v>
      </c>
      <c r="J235" s="78">
        <v>24644.05</v>
      </c>
      <c r="K235" s="78">
        <v>24711.599999999999</v>
      </c>
      <c r="L235" s="78">
        <v>26876.37</v>
      </c>
      <c r="M235" s="78">
        <v>29349.39</v>
      </c>
      <c r="N235" s="78">
        <v>30542.91</v>
      </c>
      <c r="O235" s="78">
        <v>32350.13</v>
      </c>
      <c r="P235" s="78">
        <v>34033.93</v>
      </c>
      <c r="Q235" s="78">
        <v>32562.34</v>
      </c>
      <c r="R235" s="78">
        <v>33868.49</v>
      </c>
      <c r="S235" s="78">
        <v>36393.129999999997</v>
      </c>
      <c r="T235" s="78">
        <v>36892.269999999997</v>
      </c>
      <c r="U235" s="78">
        <v>36760.959999999999</v>
      </c>
      <c r="V235" s="78">
        <v>36810.15</v>
      </c>
      <c r="W235" s="78">
        <v>39355.65</v>
      </c>
      <c r="X235" s="78">
        <v>40016.410000000003</v>
      </c>
      <c r="Y235" s="78">
        <v>38992.35</v>
      </c>
      <c r="Z235" s="78">
        <v>37040.14</v>
      </c>
      <c r="AA235" s="78">
        <v>33999.129999999997</v>
      </c>
      <c r="AB235" s="78">
        <v>31095.23</v>
      </c>
      <c r="AC235" s="209">
        <f>SUM(E235:AB235)*D235+SUM(E236:AB236)*D236+SUM(E237:AB237)*D237+SUM(E238:AB238)*D238</f>
        <v>22719412.210000001</v>
      </c>
      <c r="AD235" s="18"/>
    </row>
    <row r="236" spans="2:30" ht="20" customHeight="1" x14ac:dyDescent="0.35">
      <c r="B236" s="267"/>
      <c r="C236" s="9" t="s">
        <v>30</v>
      </c>
      <c r="D236" s="10">
        <v>5</v>
      </c>
      <c r="E236" s="79">
        <v>27832.42</v>
      </c>
      <c r="F236" s="79">
        <v>26340.81</v>
      </c>
      <c r="G236" s="79">
        <v>25224.42</v>
      </c>
      <c r="H236" s="79">
        <v>24367.67</v>
      </c>
      <c r="I236" s="79">
        <v>23765.919999999998</v>
      </c>
      <c r="J236" s="79">
        <v>23474.63</v>
      </c>
      <c r="K236" s="79">
        <v>23279.05</v>
      </c>
      <c r="L236" s="79">
        <v>25127.79</v>
      </c>
      <c r="M236" s="79">
        <v>27283.22</v>
      </c>
      <c r="N236" s="79">
        <v>28739.93</v>
      </c>
      <c r="O236" s="79">
        <v>30066.74</v>
      </c>
      <c r="P236" s="79">
        <v>30442.23</v>
      </c>
      <c r="Q236" s="79">
        <v>29891.42</v>
      </c>
      <c r="R236" s="79">
        <v>29624.37</v>
      </c>
      <c r="S236" s="79">
        <v>30306.23</v>
      </c>
      <c r="T236" s="79">
        <v>30802.84</v>
      </c>
      <c r="U236" s="79">
        <v>31134.76</v>
      </c>
      <c r="V236" s="79">
        <v>32894.6</v>
      </c>
      <c r="W236" s="79">
        <v>36690</v>
      </c>
      <c r="X236" s="79">
        <v>36933.72</v>
      </c>
      <c r="Y236" s="79">
        <v>35595.339999999997</v>
      </c>
      <c r="Z236" s="79">
        <v>34048.449999999997</v>
      </c>
      <c r="AA236" s="79">
        <v>31973.97</v>
      </c>
      <c r="AB236" s="79">
        <v>29714.85</v>
      </c>
      <c r="AC236" s="210"/>
      <c r="AD236" s="18"/>
    </row>
    <row r="237" spans="2:30" ht="20" customHeight="1" x14ac:dyDescent="0.35">
      <c r="B237" s="267"/>
      <c r="C237" s="9" t="s">
        <v>31</v>
      </c>
      <c r="D237" s="10">
        <v>5</v>
      </c>
      <c r="E237" s="79">
        <v>27097.72</v>
      </c>
      <c r="F237" s="79">
        <v>25791.06</v>
      </c>
      <c r="G237" s="79">
        <v>24541.42</v>
      </c>
      <c r="H237" s="79">
        <v>23839.57</v>
      </c>
      <c r="I237" s="79">
        <v>23447.48</v>
      </c>
      <c r="J237" s="79">
        <v>23066.13</v>
      </c>
      <c r="K237" s="79">
        <v>22265.33</v>
      </c>
      <c r="L237" s="79">
        <v>22918.44</v>
      </c>
      <c r="M237" s="79">
        <v>23805.78</v>
      </c>
      <c r="N237" s="79">
        <v>24744.37</v>
      </c>
      <c r="O237" s="79">
        <v>25714.49</v>
      </c>
      <c r="P237" s="79">
        <v>26626.46</v>
      </c>
      <c r="Q237" s="79">
        <v>27228.94</v>
      </c>
      <c r="R237" s="79">
        <v>27510.18</v>
      </c>
      <c r="S237" s="79">
        <v>27941.83</v>
      </c>
      <c r="T237" s="79">
        <v>28462.39</v>
      </c>
      <c r="U237" s="79">
        <v>29020.5</v>
      </c>
      <c r="V237" s="79">
        <v>30929.81</v>
      </c>
      <c r="W237" s="79">
        <v>35167.370000000003</v>
      </c>
      <c r="X237" s="79">
        <v>36788.85</v>
      </c>
      <c r="Y237" s="79">
        <v>36602.959999999999</v>
      </c>
      <c r="Z237" s="79">
        <v>35408.5</v>
      </c>
      <c r="AA237" s="79">
        <v>32849.910000000003</v>
      </c>
      <c r="AB237" s="79">
        <v>30039.89</v>
      </c>
      <c r="AC237" s="210"/>
      <c r="AD237" s="18"/>
    </row>
    <row r="238" spans="2:30" ht="20" customHeight="1" thickBot="1" x14ac:dyDescent="0.4">
      <c r="B238" s="268"/>
      <c r="C238" s="11" t="s">
        <v>32</v>
      </c>
      <c r="D238" s="12">
        <v>2</v>
      </c>
      <c r="E238" s="76">
        <v>27097.72</v>
      </c>
      <c r="F238" s="76">
        <v>25791.06</v>
      </c>
      <c r="G238" s="76">
        <v>24541.42</v>
      </c>
      <c r="H238" s="76">
        <v>23839.57</v>
      </c>
      <c r="I238" s="76">
        <v>23447.48</v>
      </c>
      <c r="J238" s="76">
        <v>23066.13</v>
      </c>
      <c r="K238" s="76">
        <v>22265.33</v>
      </c>
      <c r="L238" s="76">
        <v>22918.44</v>
      </c>
      <c r="M238" s="76">
        <v>23805.78</v>
      </c>
      <c r="N238" s="76">
        <v>24744.37</v>
      </c>
      <c r="O238" s="76">
        <v>25714.49</v>
      </c>
      <c r="P238" s="76">
        <v>26626.46</v>
      </c>
      <c r="Q238" s="76">
        <v>27228.94</v>
      </c>
      <c r="R238" s="76">
        <v>27510.18</v>
      </c>
      <c r="S238" s="76">
        <v>27941.83</v>
      </c>
      <c r="T238" s="76">
        <v>28462.39</v>
      </c>
      <c r="U238" s="76">
        <v>29020.5</v>
      </c>
      <c r="V238" s="76">
        <v>30929.81</v>
      </c>
      <c r="W238" s="76">
        <v>35167.370000000003</v>
      </c>
      <c r="X238" s="76">
        <v>36788.85</v>
      </c>
      <c r="Y238" s="76">
        <v>36602.959999999999</v>
      </c>
      <c r="Z238" s="76">
        <v>35408.5</v>
      </c>
      <c r="AA238" s="76">
        <v>32849.910000000003</v>
      </c>
      <c r="AB238" s="76">
        <v>30039.89</v>
      </c>
      <c r="AC238" s="214"/>
      <c r="AD238" s="18"/>
    </row>
    <row r="239" spans="2:30" ht="20" customHeight="1" x14ac:dyDescent="0.35">
      <c r="B239" s="207">
        <v>49919</v>
      </c>
      <c r="C239" s="13" t="s">
        <v>29</v>
      </c>
      <c r="D239" s="14">
        <v>22</v>
      </c>
      <c r="E239" s="81">
        <v>27113.57</v>
      </c>
      <c r="F239" s="81">
        <v>25598.46</v>
      </c>
      <c r="G239" s="81">
        <v>24467.66</v>
      </c>
      <c r="H239" s="81">
        <v>23620.560000000001</v>
      </c>
      <c r="I239" s="81">
        <v>23494.83</v>
      </c>
      <c r="J239" s="81">
        <v>24188.57</v>
      </c>
      <c r="K239" s="81">
        <v>24246.46</v>
      </c>
      <c r="L239" s="81">
        <v>26532.85</v>
      </c>
      <c r="M239" s="81">
        <v>29159.38</v>
      </c>
      <c r="N239" s="81">
        <v>30401.56</v>
      </c>
      <c r="O239" s="81">
        <v>31916.17</v>
      </c>
      <c r="P239" s="81">
        <v>33411.11</v>
      </c>
      <c r="Q239" s="81">
        <v>32161.14</v>
      </c>
      <c r="R239" s="81">
        <v>33289.120000000003</v>
      </c>
      <c r="S239" s="81">
        <v>35591.97</v>
      </c>
      <c r="T239" s="81">
        <v>36092.199999999997</v>
      </c>
      <c r="U239" s="81">
        <v>36036.54</v>
      </c>
      <c r="V239" s="81">
        <v>36445.86</v>
      </c>
      <c r="W239" s="81">
        <v>39069.410000000003</v>
      </c>
      <c r="X239" s="81">
        <v>38734.959999999999</v>
      </c>
      <c r="Y239" s="81">
        <v>37608.620000000003</v>
      </c>
      <c r="Z239" s="81">
        <v>35619.550000000003</v>
      </c>
      <c r="AA239" s="81">
        <v>32574.17</v>
      </c>
      <c r="AB239" s="81">
        <v>29774.080000000002</v>
      </c>
      <c r="AC239" s="210">
        <f>SUM(E239:AB239)*D239+SUM(E240:AB240)*D240+SUM(E241:AB241)*D241+SUM(E242:AB242)*D242</f>
        <v>21837923.240000002</v>
      </c>
      <c r="AD239" s="18"/>
    </row>
    <row r="240" spans="2:30" ht="20" customHeight="1" x14ac:dyDescent="0.35">
      <c r="B240" s="267"/>
      <c r="C240" s="9" t="s">
        <v>30</v>
      </c>
      <c r="D240" s="10">
        <v>4</v>
      </c>
      <c r="E240" s="79">
        <v>26016.69</v>
      </c>
      <c r="F240" s="79">
        <v>24625.14</v>
      </c>
      <c r="G240" s="79">
        <v>23563.21</v>
      </c>
      <c r="H240" s="79">
        <v>22783.41</v>
      </c>
      <c r="I240" s="79">
        <v>22538.54</v>
      </c>
      <c r="J240" s="79">
        <v>22356.27</v>
      </c>
      <c r="K240" s="79">
        <v>22376.11</v>
      </c>
      <c r="L240" s="79">
        <v>24439.15</v>
      </c>
      <c r="M240" s="79">
        <v>26870.78</v>
      </c>
      <c r="N240" s="79">
        <v>27956.01</v>
      </c>
      <c r="O240" s="79">
        <v>29628.52</v>
      </c>
      <c r="P240" s="79">
        <v>30366.29</v>
      </c>
      <c r="Q240" s="79">
        <v>30091.81</v>
      </c>
      <c r="R240" s="79">
        <v>29799.85</v>
      </c>
      <c r="S240" s="79">
        <v>30271.759999999998</v>
      </c>
      <c r="T240" s="79">
        <v>30473.85</v>
      </c>
      <c r="U240" s="79">
        <v>30652.400000000001</v>
      </c>
      <c r="V240" s="79">
        <v>33009.01</v>
      </c>
      <c r="W240" s="79">
        <v>36943.97</v>
      </c>
      <c r="X240" s="79">
        <v>36675.97</v>
      </c>
      <c r="Y240" s="79">
        <v>35487.79</v>
      </c>
      <c r="Z240" s="79">
        <v>33970.230000000003</v>
      </c>
      <c r="AA240" s="79">
        <v>32274.77</v>
      </c>
      <c r="AB240" s="79">
        <v>30037.16</v>
      </c>
      <c r="AC240" s="210"/>
      <c r="AD240" s="18"/>
    </row>
    <row r="241" spans="2:50" ht="20" customHeight="1" x14ac:dyDescent="0.35">
      <c r="B241" s="267"/>
      <c r="C241" s="9" t="s">
        <v>31</v>
      </c>
      <c r="D241" s="10">
        <v>4</v>
      </c>
      <c r="E241" s="79">
        <v>27016.880000000001</v>
      </c>
      <c r="F241" s="79">
        <v>25568.13</v>
      </c>
      <c r="G241" s="79">
        <v>24273.67</v>
      </c>
      <c r="H241" s="79">
        <v>23405.599999999999</v>
      </c>
      <c r="I241" s="79">
        <v>23025.39</v>
      </c>
      <c r="J241" s="79">
        <v>22297.38</v>
      </c>
      <c r="K241" s="79">
        <v>21417.25</v>
      </c>
      <c r="L241" s="79">
        <v>22293.96</v>
      </c>
      <c r="M241" s="79">
        <v>23247.63</v>
      </c>
      <c r="N241" s="79">
        <v>24485.97</v>
      </c>
      <c r="O241" s="79">
        <v>25534.1</v>
      </c>
      <c r="P241" s="79">
        <v>26103.82</v>
      </c>
      <c r="Q241" s="79">
        <v>26815.57</v>
      </c>
      <c r="R241" s="79">
        <v>27038.74</v>
      </c>
      <c r="S241" s="79">
        <v>27252.98</v>
      </c>
      <c r="T241" s="79">
        <v>27944.28</v>
      </c>
      <c r="U241" s="79">
        <v>28433.93</v>
      </c>
      <c r="V241" s="79">
        <v>30787.279999999999</v>
      </c>
      <c r="W241" s="79">
        <v>34973.68</v>
      </c>
      <c r="X241" s="79">
        <v>35540.46</v>
      </c>
      <c r="Y241" s="79">
        <v>35178.42</v>
      </c>
      <c r="Z241" s="79">
        <v>33941.26</v>
      </c>
      <c r="AA241" s="79">
        <v>31509.06</v>
      </c>
      <c r="AB241" s="79">
        <v>28868.28</v>
      </c>
      <c r="AC241" s="210"/>
      <c r="AD241" s="18"/>
    </row>
    <row r="242" spans="2:50" ht="20" customHeight="1" thickBot="1" x14ac:dyDescent="0.4">
      <c r="B242" s="268"/>
      <c r="C242" s="15" t="s">
        <v>32</v>
      </c>
      <c r="D242" s="16">
        <v>0</v>
      </c>
      <c r="E242" s="194">
        <v>0</v>
      </c>
      <c r="F242" s="194">
        <v>0</v>
      </c>
      <c r="G242" s="194">
        <v>0</v>
      </c>
      <c r="H242" s="194">
        <v>0</v>
      </c>
      <c r="I242" s="194">
        <v>0</v>
      </c>
      <c r="J242" s="194">
        <v>0</v>
      </c>
      <c r="K242" s="194">
        <v>0</v>
      </c>
      <c r="L242" s="194">
        <v>0</v>
      </c>
      <c r="M242" s="194">
        <v>0</v>
      </c>
      <c r="N242" s="194">
        <v>0</v>
      </c>
      <c r="O242" s="194">
        <v>0</v>
      </c>
      <c r="P242" s="194">
        <v>0</v>
      </c>
      <c r="Q242" s="194">
        <v>0</v>
      </c>
      <c r="R242" s="194">
        <v>0</v>
      </c>
      <c r="S242" s="194">
        <v>0</v>
      </c>
      <c r="T242" s="194">
        <v>0</v>
      </c>
      <c r="U242" s="194">
        <v>0</v>
      </c>
      <c r="V242" s="194">
        <v>0</v>
      </c>
      <c r="W242" s="194">
        <v>0</v>
      </c>
      <c r="X242" s="194">
        <v>0</v>
      </c>
      <c r="Y242" s="194">
        <v>0</v>
      </c>
      <c r="Z242" s="194">
        <v>0</v>
      </c>
      <c r="AA242" s="194">
        <v>0</v>
      </c>
      <c r="AB242" s="194">
        <v>0</v>
      </c>
      <c r="AC242" s="210"/>
      <c r="AD242" s="18"/>
    </row>
    <row r="243" spans="2:50" ht="20" customHeight="1" x14ac:dyDescent="0.35">
      <c r="B243" s="207">
        <v>49949</v>
      </c>
      <c r="C243" s="6" t="s">
        <v>29</v>
      </c>
      <c r="D243" s="7">
        <v>22</v>
      </c>
      <c r="E243" s="78">
        <v>26081.35</v>
      </c>
      <c r="F243" s="78">
        <v>24630.74</v>
      </c>
      <c r="G243" s="78">
        <v>23559.3</v>
      </c>
      <c r="H243" s="78">
        <v>22755.27</v>
      </c>
      <c r="I243" s="78">
        <v>22754.04</v>
      </c>
      <c r="J243" s="78">
        <v>23373.82</v>
      </c>
      <c r="K243" s="78">
        <v>23741.21</v>
      </c>
      <c r="L243" s="78">
        <v>26023.1</v>
      </c>
      <c r="M243" s="78">
        <v>28483.77</v>
      </c>
      <c r="N243" s="78">
        <v>29698.98</v>
      </c>
      <c r="O243" s="78">
        <v>31139.15</v>
      </c>
      <c r="P243" s="78">
        <v>32471.98</v>
      </c>
      <c r="Q243" s="78">
        <v>30934.2</v>
      </c>
      <c r="R243" s="78">
        <v>31959.31</v>
      </c>
      <c r="S243" s="78">
        <v>34183.97</v>
      </c>
      <c r="T243" s="78">
        <v>34953.019999999997</v>
      </c>
      <c r="U243" s="78">
        <v>35240.019999999997</v>
      </c>
      <c r="V243" s="78">
        <v>36609.03</v>
      </c>
      <c r="W243" s="78">
        <v>39049.75</v>
      </c>
      <c r="X243" s="78">
        <v>38194.480000000003</v>
      </c>
      <c r="Y243" s="78">
        <v>36861.49</v>
      </c>
      <c r="Z243" s="78">
        <v>34870.9</v>
      </c>
      <c r="AA243" s="78">
        <v>31893.119999999999</v>
      </c>
      <c r="AB243" s="78">
        <v>28986.86</v>
      </c>
      <c r="AC243" s="209">
        <f>SUM(E243:AB243)*D243+SUM(E244:AB244)*D244+SUM(E245:AB245)*D245+SUM(E246:AB246)*D246</f>
        <v>22093318.440000001</v>
      </c>
      <c r="AD243" s="18"/>
    </row>
    <row r="244" spans="2:50" ht="20" customHeight="1" x14ac:dyDescent="0.35">
      <c r="B244" s="267"/>
      <c r="C244" s="9" t="s">
        <v>30</v>
      </c>
      <c r="D244" s="10">
        <v>4</v>
      </c>
      <c r="E244" s="79">
        <v>26480.02</v>
      </c>
      <c r="F244" s="79">
        <v>24904.65</v>
      </c>
      <c r="G244" s="79">
        <v>23609.91</v>
      </c>
      <c r="H244" s="79">
        <v>22813.19</v>
      </c>
      <c r="I244" s="79">
        <v>22760.49</v>
      </c>
      <c r="J244" s="79">
        <v>22576.79</v>
      </c>
      <c r="K244" s="79">
        <v>22768.02</v>
      </c>
      <c r="L244" s="79">
        <v>24558.69</v>
      </c>
      <c r="M244" s="79">
        <v>26948.34</v>
      </c>
      <c r="N244" s="79">
        <v>28276.16</v>
      </c>
      <c r="O244" s="79">
        <v>29852.99</v>
      </c>
      <c r="P244" s="79">
        <v>30643.360000000001</v>
      </c>
      <c r="Q244" s="79">
        <v>30052.73</v>
      </c>
      <c r="R244" s="79">
        <v>29806.69</v>
      </c>
      <c r="S244" s="79">
        <v>30433.39</v>
      </c>
      <c r="T244" s="79">
        <v>31176.94</v>
      </c>
      <c r="U244" s="79">
        <v>31598.880000000001</v>
      </c>
      <c r="V244" s="79">
        <v>34170.17</v>
      </c>
      <c r="W244" s="79">
        <v>37503.19</v>
      </c>
      <c r="X244" s="79">
        <v>36806.620000000003</v>
      </c>
      <c r="Y244" s="79">
        <v>35398.44</v>
      </c>
      <c r="Z244" s="79">
        <v>33643.74</v>
      </c>
      <c r="AA244" s="79">
        <v>31548.06</v>
      </c>
      <c r="AB244" s="79">
        <v>29254.87</v>
      </c>
      <c r="AC244" s="210"/>
      <c r="AD244" s="18"/>
    </row>
    <row r="245" spans="2:50" ht="20" customHeight="1" x14ac:dyDescent="0.35">
      <c r="B245" s="267"/>
      <c r="C245" s="9" t="s">
        <v>31</v>
      </c>
      <c r="D245" s="10">
        <v>4</v>
      </c>
      <c r="E245" s="79">
        <v>26417.33</v>
      </c>
      <c r="F245" s="79">
        <v>24936.9</v>
      </c>
      <c r="G245" s="79">
        <v>23747.85</v>
      </c>
      <c r="H245" s="79">
        <v>23027.200000000001</v>
      </c>
      <c r="I245" s="79">
        <v>22659.51</v>
      </c>
      <c r="J245" s="79">
        <v>22090.47</v>
      </c>
      <c r="K245" s="79">
        <v>21182.51</v>
      </c>
      <c r="L245" s="79">
        <v>22019.1</v>
      </c>
      <c r="M245" s="79">
        <v>23081.17</v>
      </c>
      <c r="N245" s="79">
        <v>24027.37</v>
      </c>
      <c r="O245" s="79">
        <v>25174.01</v>
      </c>
      <c r="P245" s="79">
        <v>26218.89</v>
      </c>
      <c r="Q245" s="79">
        <v>26843.19</v>
      </c>
      <c r="R245" s="79">
        <v>27107.42</v>
      </c>
      <c r="S245" s="79">
        <v>27583.72</v>
      </c>
      <c r="T245" s="79">
        <v>27862.11</v>
      </c>
      <c r="U245" s="79">
        <v>28751.32</v>
      </c>
      <c r="V245" s="79">
        <v>31508.54</v>
      </c>
      <c r="W245" s="79">
        <v>35567.480000000003</v>
      </c>
      <c r="X245" s="79">
        <v>35851.379999999997</v>
      </c>
      <c r="Y245" s="79">
        <v>35390.19</v>
      </c>
      <c r="Z245" s="79">
        <v>34042.82</v>
      </c>
      <c r="AA245" s="79">
        <v>31473.26</v>
      </c>
      <c r="AB245" s="79">
        <v>28855.9</v>
      </c>
      <c r="AC245" s="210"/>
      <c r="AD245" s="18"/>
    </row>
    <row r="246" spans="2:50" ht="20" customHeight="1" thickBot="1" x14ac:dyDescent="0.4">
      <c r="B246" s="268"/>
      <c r="C246" s="11" t="s">
        <v>32</v>
      </c>
      <c r="D246" s="12">
        <v>1</v>
      </c>
      <c r="E246" s="76">
        <v>26417.33</v>
      </c>
      <c r="F246" s="76">
        <v>24936.9</v>
      </c>
      <c r="G246" s="76">
        <v>23747.85</v>
      </c>
      <c r="H246" s="76">
        <v>23027.200000000001</v>
      </c>
      <c r="I246" s="76">
        <v>22659.51</v>
      </c>
      <c r="J246" s="76">
        <v>22090.47</v>
      </c>
      <c r="K246" s="76">
        <v>21182.51</v>
      </c>
      <c r="L246" s="76">
        <v>22019.1</v>
      </c>
      <c r="M246" s="76">
        <v>23081.17</v>
      </c>
      <c r="N246" s="76">
        <v>24027.37</v>
      </c>
      <c r="O246" s="76">
        <v>25174.01</v>
      </c>
      <c r="P246" s="76">
        <v>26218.89</v>
      </c>
      <c r="Q246" s="76">
        <v>26843.19</v>
      </c>
      <c r="R246" s="76">
        <v>27107.42</v>
      </c>
      <c r="S246" s="76">
        <v>27583.72</v>
      </c>
      <c r="T246" s="76">
        <v>27862.11</v>
      </c>
      <c r="U246" s="76">
        <v>28751.32</v>
      </c>
      <c r="V246" s="76">
        <v>31508.54</v>
      </c>
      <c r="W246" s="76">
        <v>35567.480000000003</v>
      </c>
      <c r="X246" s="76">
        <v>35851.379999999997</v>
      </c>
      <c r="Y246" s="76">
        <v>35390.19</v>
      </c>
      <c r="Z246" s="76">
        <v>34042.82</v>
      </c>
      <c r="AA246" s="76">
        <v>31473.26</v>
      </c>
      <c r="AB246" s="76">
        <v>28855.9</v>
      </c>
      <c r="AC246" s="214"/>
      <c r="AD246" s="18"/>
    </row>
    <row r="247" spans="2:50" ht="20" customHeight="1" x14ac:dyDescent="0.35">
      <c r="B247" s="207">
        <v>49980</v>
      </c>
      <c r="C247" s="13" t="s">
        <v>29</v>
      </c>
      <c r="D247" s="14">
        <v>18</v>
      </c>
      <c r="E247" s="81">
        <v>25642.42</v>
      </c>
      <c r="F247" s="81">
        <v>24228.33</v>
      </c>
      <c r="G247" s="81">
        <v>23181.63</v>
      </c>
      <c r="H247" s="81">
        <v>22453.87</v>
      </c>
      <c r="I247" s="81">
        <v>22459.49</v>
      </c>
      <c r="J247" s="81">
        <v>23068.76</v>
      </c>
      <c r="K247" s="81">
        <v>23469.29</v>
      </c>
      <c r="L247" s="81">
        <v>25984.17</v>
      </c>
      <c r="M247" s="81">
        <v>28459.439999999999</v>
      </c>
      <c r="N247" s="81">
        <v>29618.43</v>
      </c>
      <c r="O247" s="81">
        <v>30952.17</v>
      </c>
      <c r="P247" s="81">
        <v>31973.3</v>
      </c>
      <c r="Q247" s="81">
        <v>30564.720000000001</v>
      </c>
      <c r="R247" s="81">
        <v>31431.17</v>
      </c>
      <c r="S247" s="81">
        <v>33357.839999999997</v>
      </c>
      <c r="T247" s="81">
        <v>34148.980000000003</v>
      </c>
      <c r="U247" s="81">
        <v>34463.879999999997</v>
      </c>
      <c r="V247" s="81">
        <v>36142.730000000003</v>
      </c>
      <c r="W247" s="81">
        <v>38052.75</v>
      </c>
      <c r="X247" s="81">
        <v>37211.81</v>
      </c>
      <c r="Y247" s="81">
        <v>35988.519999999997</v>
      </c>
      <c r="Z247" s="81">
        <v>34119.379999999997</v>
      </c>
      <c r="AA247" s="81">
        <v>31335.57</v>
      </c>
      <c r="AB247" s="81">
        <v>28548.76</v>
      </c>
      <c r="AC247" s="210">
        <f>SUM(E247:AB247)*D247+SUM(E248:AB248)*D248+SUM(E249:AB249)*D249+SUM(E250:AB250)*D250</f>
        <v>20767525.27</v>
      </c>
      <c r="AD247" s="18"/>
    </row>
    <row r="248" spans="2:50" ht="20" customHeight="1" x14ac:dyDescent="0.35">
      <c r="B248" s="267"/>
      <c r="C248" s="9" t="s">
        <v>30</v>
      </c>
      <c r="D248" s="10">
        <v>5</v>
      </c>
      <c r="E248" s="79">
        <v>24826.05</v>
      </c>
      <c r="F248" s="79">
        <v>23546.82</v>
      </c>
      <c r="G248" s="79">
        <v>22635.82</v>
      </c>
      <c r="H248" s="79">
        <v>22036.19</v>
      </c>
      <c r="I248" s="79">
        <v>21974.28</v>
      </c>
      <c r="J248" s="79">
        <v>21765.98</v>
      </c>
      <c r="K248" s="79">
        <v>21992.69</v>
      </c>
      <c r="L248" s="79">
        <v>24203.7</v>
      </c>
      <c r="M248" s="79">
        <v>26658.18</v>
      </c>
      <c r="N248" s="79">
        <v>27980.47</v>
      </c>
      <c r="O248" s="79">
        <v>29600.93</v>
      </c>
      <c r="P248" s="79">
        <v>30244.22</v>
      </c>
      <c r="Q248" s="79">
        <v>29719.81</v>
      </c>
      <c r="R248" s="79">
        <v>29110.51</v>
      </c>
      <c r="S248" s="79">
        <v>29021.19</v>
      </c>
      <c r="T248" s="79">
        <v>29678.98</v>
      </c>
      <c r="U248" s="79">
        <v>30253.93</v>
      </c>
      <c r="V248" s="79">
        <v>33278.89</v>
      </c>
      <c r="W248" s="79">
        <v>36148.19</v>
      </c>
      <c r="X248" s="79">
        <v>35572.339999999997</v>
      </c>
      <c r="Y248" s="79">
        <v>34363.67</v>
      </c>
      <c r="Z248" s="79">
        <v>32843.730000000003</v>
      </c>
      <c r="AA248" s="79">
        <v>30910.84</v>
      </c>
      <c r="AB248" s="79">
        <v>28628.67</v>
      </c>
      <c r="AC248" s="210"/>
      <c r="AD248" s="18"/>
    </row>
    <row r="249" spans="2:50" ht="20" customHeight="1" x14ac:dyDescent="0.35">
      <c r="B249" s="267"/>
      <c r="C249" s="9" t="s">
        <v>31</v>
      </c>
      <c r="D249" s="10">
        <v>5</v>
      </c>
      <c r="E249" s="79">
        <v>26079.22</v>
      </c>
      <c r="F249" s="79">
        <v>24788.45</v>
      </c>
      <c r="G249" s="79">
        <v>23624.74</v>
      </c>
      <c r="H249" s="79">
        <v>22822.1</v>
      </c>
      <c r="I249" s="79">
        <v>22462.94</v>
      </c>
      <c r="J249" s="79">
        <v>22045.96</v>
      </c>
      <c r="K249" s="79">
        <v>21241.599999999999</v>
      </c>
      <c r="L249" s="79">
        <v>22010.92</v>
      </c>
      <c r="M249" s="79">
        <v>23058.400000000001</v>
      </c>
      <c r="N249" s="79">
        <v>24045.88</v>
      </c>
      <c r="O249" s="79">
        <v>25224.42</v>
      </c>
      <c r="P249" s="79">
        <v>25806.58</v>
      </c>
      <c r="Q249" s="79">
        <v>26361.52</v>
      </c>
      <c r="R249" s="79">
        <v>26483.52</v>
      </c>
      <c r="S249" s="79">
        <v>26607.9</v>
      </c>
      <c r="T249" s="79">
        <v>27081.11</v>
      </c>
      <c r="U249" s="79">
        <v>27755.13</v>
      </c>
      <c r="V249" s="79">
        <v>30959.85</v>
      </c>
      <c r="W249" s="79">
        <v>33971.51</v>
      </c>
      <c r="X249" s="79">
        <v>34031.43</v>
      </c>
      <c r="Y249" s="79">
        <v>33318</v>
      </c>
      <c r="Z249" s="79">
        <v>32073.7</v>
      </c>
      <c r="AA249" s="79">
        <v>30082.44</v>
      </c>
      <c r="AB249" s="79">
        <v>27935.75</v>
      </c>
      <c r="AC249" s="210"/>
      <c r="AD249" s="18"/>
    </row>
    <row r="250" spans="2:50" ht="20" customHeight="1" thickBot="1" x14ac:dyDescent="0.4">
      <c r="B250" s="268"/>
      <c r="C250" s="15" t="s">
        <v>32</v>
      </c>
      <c r="D250" s="16">
        <v>2</v>
      </c>
      <c r="E250" s="80">
        <v>26079.22</v>
      </c>
      <c r="F250" s="80">
        <v>24788.45</v>
      </c>
      <c r="G250" s="80">
        <v>23624.74</v>
      </c>
      <c r="H250" s="80">
        <v>22822.1</v>
      </c>
      <c r="I250" s="80">
        <v>22462.94</v>
      </c>
      <c r="J250" s="80">
        <v>22045.96</v>
      </c>
      <c r="K250" s="80">
        <v>21241.599999999999</v>
      </c>
      <c r="L250" s="80">
        <v>22010.92</v>
      </c>
      <c r="M250" s="80">
        <v>23058.400000000001</v>
      </c>
      <c r="N250" s="80">
        <v>24045.88</v>
      </c>
      <c r="O250" s="80">
        <v>25224.42</v>
      </c>
      <c r="P250" s="80">
        <v>25806.58</v>
      </c>
      <c r="Q250" s="80">
        <v>26361.52</v>
      </c>
      <c r="R250" s="80">
        <v>26483.52</v>
      </c>
      <c r="S250" s="80">
        <v>26607.9</v>
      </c>
      <c r="T250" s="80">
        <v>27081.11</v>
      </c>
      <c r="U250" s="80">
        <v>27755.13</v>
      </c>
      <c r="V250" s="80">
        <v>30959.85</v>
      </c>
      <c r="W250" s="80">
        <v>33971.51</v>
      </c>
      <c r="X250" s="80">
        <v>34031.43</v>
      </c>
      <c r="Y250" s="80">
        <v>33318</v>
      </c>
      <c r="Z250" s="80">
        <v>32073.7</v>
      </c>
      <c r="AA250" s="80">
        <v>30082.44</v>
      </c>
      <c r="AB250" s="80">
        <v>27935.75</v>
      </c>
      <c r="AC250" s="210"/>
      <c r="AD250" s="18"/>
    </row>
    <row r="251" spans="2:50" ht="20" customHeight="1" x14ac:dyDescent="0.35">
      <c r="B251" s="207">
        <v>50010</v>
      </c>
      <c r="C251" s="6" t="s">
        <v>29</v>
      </c>
      <c r="D251" s="7">
        <v>21</v>
      </c>
      <c r="E251" s="78">
        <v>27627.439999999999</v>
      </c>
      <c r="F251" s="78">
        <v>26031.72</v>
      </c>
      <c r="G251" s="78">
        <v>24856.31</v>
      </c>
      <c r="H251" s="78">
        <v>24135.5</v>
      </c>
      <c r="I251" s="78">
        <v>23994.89</v>
      </c>
      <c r="J251" s="78">
        <v>24397.26</v>
      </c>
      <c r="K251" s="78">
        <v>24388.29</v>
      </c>
      <c r="L251" s="78">
        <v>26727.63</v>
      </c>
      <c r="M251" s="78">
        <v>29148.11</v>
      </c>
      <c r="N251" s="78">
        <v>30499.01</v>
      </c>
      <c r="O251" s="78">
        <v>31761.98</v>
      </c>
      <c r="P251" s="78">
        <v>32817.440000000002</v>
      </c>
      <c r="Q251" s="78">
        <v>31857.73</v>
      </c>
      <c r="R251" s="78">
        <v>32383.7</v>
      </c>
      <c r="S251" s="78">
        <v>34046.04</v>
      </c>
      <c r="T251" s="78">
        <v>34856.83</v>
      </c>
      <c r="U251" s="78">
        <v>35356.36</v>
      </c>
      <c r="V251" s="78">
        <v>37098.54</v>
      </c>
      <c r="W251" s="78">
        <v>40194.86</v>
      </c>
      <c r="X251" s="78">
        <v>39433</v>
      </c>
      <c r="Y251" s="78">
        <v>38019.83</v>
      </c>
      <c r="Z251" s="78">
        <v>35920.089999999997</v>
      </c>
      <c r="AA251" s="78">
        <v>33261.93</v>
      </c>
      <c r="AB251" s="78">
        <v>30697.32</v>
      </c>
      <c r="AC251" s="209">
        <f>SUM(E251:AB251)*D251+SUM(E252:AB252)*D252+SUM(E253:AB253)*D253+SUM(E254:AB254)*D254</f>
        <v>22777871.189999998</v>
      </c>
      <c r="AD251" s="18"/>
    </row>
    <row r="252" spans="2:50" ht="20" customHeight="1" x14ac:dyDescent="0.35">
      <c r="B252" s="267"/>
      <c r="C252" s="9" t="s">
        <v>30</v>
      </c>
      <c r="D252" s="10">
        <v>4</v>
      </c>
      <c r="E252" s="79">
        <v>27981.38</v>
      </c>
      <c r="F252" s="79">
        <v>26306.32</v>
      </c>
      <c r="G252" s="79">
        <v>25215.69</v>
      </c>
      <c r="H252" s="79">
        <v>24399.84</v>
      </c>
      <c r="I252" s="79">
        <v>24140.91</v>
      </c>
      <c r="J252" s="79">
        <v>24127.47</v>
      </c>
      <c r="K252" s="79">
        <v>23770.93</v>
      </c>
      <c r="L252" s="79">
        <v>25359.08</v>
      </c>
      <c r="M252" s="79">
        <v>28092.11</v>
      </c>
      <c r="N252" s="79">
        <v>29641.29</v>
      </c>
      <c r="O252" s="79">
        <v>31043.599999999999</v>
      </c>
      <c r="P252" s="79">
        <v>31985.55</v>
      </c>
      <c r="Q252" s="79">
        <v>31430.959999999999</v>
      </c>
      <c r="R252" s="79">
        <v>31330.76</v>
      </c>
      <c r="S252" s="79">
        <v>31305.65</v>
      </c>
      <c r="T252" s="79">
        <v>32029.599999999999</v>
      </c>
      <c r="U252" s="79">
        <v>32715.96</v>
      </c>
      <c r="V252" s="79">
        <v>35060.699999999997</v>
      </c>
      <c r="W252" s="79">
        <v>39070.47</v>
      </c>
      <c r="X252" s="79">
        <v>38484.21</v>
      </c>
      <c r="Y252" s="79">
        <v>37073.81</v>
      </c>
      <c r="Z252" s="79">
        <v>35604.6</v>
      </c>
      <c r="AA252" s="79">
        <v>33394.959999999999</v>
      </c>
      <c r="AB252" s="79">
        <v>31070.65</v>
      </c>
      <c r="AC252" s="210"/>
      <c r="AD252" s="18"/>
    </row>
    <row r="253" spans="2:50" ht="20" customHeight="1" x14ac:dyDescent="0.35">
      <c r="B253" s="267"/>
      <c r="C253" s="9" t="s">
        <v>31</v>
      </c>
      <c r="D253" s="10">
        <v>4</v>
      </c>
      <c r="E253" s="79">
        <v>28366.47</v>
      </c>
      <c r="F253" s="79">
        <v>26908.32</v>
      </c>
      <c r="G253" s="79">
        <v>25715.81</v>
      </c>
      <c r="H253" s="79">
        <v>24866.59</v>
      </c>
      <c r="I253" s="79">
        <v>24465.71</v>
      </c>
      <c r="J253" s="79">
        <v>24205.62</v>
      </c>
      <c r="K253" s="79">
        <v>22874.69</v>
      </c>
      <c r="L253" s="79">
        <v>23411.69</v>
      </c>
      <c r="M253" s="79">
        <v>24639.02</v>
      </c>
      <c r="N253" s="79">
        <v>25855.43</v>
      </c>
      <c r="O253" s="79">
        <v>26598.41</v>
      </c>
      <c r="P253" s="79">
        <v>27425.72</v>
      </c>
      <c r="Q253" s="79">
        <v>28043.79</v>
      </c>
      <c r="R253" s="79">
        <v>28605.27</v>
      </c>
      <c r="S253" s="79">
        <v>27716.48</v>
      </c>
      <c r="T253" s="79">
        <v>29049.9</v>
      </c>
      <c r="U253" s="79">
        <v>29997.58</v>
      </c>
      <c r="V253" s="79">
        <v>32556.91</v>
      </c>
      <c r="W253" s="79">
        <v>36654.99</v>
      </c>
      <c r="X253" s="79">
        <v>36274.080000000002</v>
      </c>
      <c r="Y253" s="79">
        <v>35294.6</v>
      </c>
      <c r="Z253" s="79">
        <v>34080.699999999997</v>
      </c>
      <c r="AA253" s="79">
        <v>32122.07</v>
      </c>
      <c r="AB253" s="79">
        <v>30199.68</v>
      </c>
      <c r="AC253" s="210"/>
      <c r="AD253" s="18"/>
    </row>
    <row r="254" spans="2:50" ht="20" customHeight="1" thickBot="1" x14ac:dyDescent="0.4">
      <c r="B254" s="268"/>
      <c r="C254" s="11" t="s">
        <v>32</v>
      </c>
      <c r="D254" s="12">
        <v>2</v>
      </c>
      <c r="E254" s="76">
        <v>28366.47</v>
      </c>
      <c r="F254" s="76">
        <v>26908.32</v>
      </c>
      <c r="G254" s="76">
        <v>25715.81</v>
      </c>
      <c r="H254" s="76">
        <v>24866.59</v>
      </c>
      <c r="I254" s="76">
        <v>24465.71</v>
      </c>
      <c r="J254" s="76">
        <v>24205.62</v>
      </c>
      <c r="K254" s="76">
        <v>22874.69</v>
      </c>
      <c r="L254" s="76">
        <v>23411.69</v>
      </c>
      <c r="M254" s="76">
        <v>24639.02</v>
      </c>
      <c r="N254" s="76">
        <v>25855.43</v>
      </c>
      <c r="O254" s="76">
        <v>26598.41</v>
      </c>
      <c r="P254" s="76">
        <v>27425.72</v>
      </c>
      <c r="Q254" s="76">
        <v>28043.79</v>
      </c>
      <c r="R254" s="76">
        <v>28605.27</v>
      </c>
      <c r="S254" s="76">
        <v>27716.48</v>
      </c>
      <c r="T254" s="76">
        <v>29049.9</v>
      </c>
      <c r="U254" s="76">
        <v>29997.58</v>
      </c>
      <c r="V254" s="76">
        <v>32556.91</v>
      </c>
      <c r="W254" s="76">
        <v>36654.99</v>
      </c>
      <c r="X254" s="76">
        <v>36274.080000000002</v>
      </c>
      <c r="Y254" s="76">
        <v>35294.6</v>
      </c>
      <c r="Z254" s="76">
        <v>34080.699999999997</v>
      </c>
      <c r="AA254" s="76">
        <v>32122.07</v>
      </c>
      <c r="AB254" s="76">
        <v>30199.68</v>
      </c>
      <c r="AC254" s="214"/>
      <c r="AD254" s="18"/>
    </row>
    <row r="255" spans="2:50" ht="20" customHeight="1" thickBot="1" x14ac:dyDescent="0.4"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215" t="s">
        <v>33</v>
      </c>
      <c r="AA255" s="216"/>
      <c r="AB255" s="217"/>
      <c r="AC255" s="135">
        <f>SUM(AC207:AC254)</f>
        <v>271046739.44000006</v>
      </c>
      <c r="AD255" s="17"/>
      <c r="AE255" s="18"/>
    </row>
    <row r="256" spans="2:50" ht="18.649999999999999" customHeight="1" x14ac:dyDescent="0.35">
      <c r="B256" s="207">
        <v>50041</v>
      </c>
      <c r="C256" s="6" t="s">
        <v>29</v>
      </c>
      <c r="D256" s="46">
        <v>20</v>
      </c>
      <c r="E256" s="196">
        <v>28436.16</v>
      </c>
      <c r="F256" s="196">
        <v>26875.97</v>
      </c>
      <c r="G256" s="196">
        <v>25696.75</v>
      </c>
      <c r="H256" s="196">
        <v>24837.22</v>
      </c>
      <c r="I256" s="196">
        <v>24667.9</v>
      </c>
      <c r="J256" s="196">
        <v>25516.31</v>
      </c>
      <c r="K256" s="196">
        <v>25194.45</v>
      </c>
      <c r="L256" s="196">
        <v>28015.51</v>
      </c>
      <c r="M256" s="196">
        <v>30567.119999999999</v>
      </c>
      <c r="N256" s="196">
        <v>31901.89</v>
      </c>
      <c r="O256" s="196">
        <v>33534.36</v>
      </c>
      <c r="P256" s="196">
        <v>34990.75</v>
      </c>
      <c r="Q256" s="196">
        <v>33969.11</v>
      </c>
      <c r="R256" s="196">
        <v>35136.32</v>
      </c>
      <c r="S256" s="196">
        <v>37068.14</v>
      </c>
      <c r="T256" s="196">
        <v>37510.639999999999</v>
      </c>
      <c r="U256" s="196">
        <v>37446.03</v>
      </c>
      <c r="V256" s="196">
        <v>38756.99</v>
      </c>
      <c r="W256" s="196">
        <v>41627.47</v>
      </c>
      <c r="X256" s="196">
        <v>41747.01</v>
      </c>
      <c r="Y256" s="196">
        <v>40704.839999999997</v>
      </c>
      <c r="Z256" s="196">
        <v>38969.15</v>
      </c>
      <c r="AA256" s="196">
        <v>36266.120000000003</v>
      </c>
      <c r="AB256" s="196">
        <v>33380.629999999997</v>
      </c>
      <c r="AC256" s="209">
        <f>SUM(E256:AB256)*D256+SUM(E257:AB257)*D257+SUM(E258:AB258)*D258+SUM(E259:AB259)*D259</f>
        <v>23759509.41</v>
      </c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</row>
    <row r="257" spans="2:50" ht="18.649999999999999" customHeight="1" x14ac:dyDescent="0.35">
      <c r="B257" s="267"/>
      <c r="C257" s="9" t="s">
        <v>30</v>
      </c>
      <c r="D257" s="10">
        <v>5</v>
      </c>
      <c r="E257" s="197">
        <v>28143.81</v>
      </c>
      <c r="F257" s="197">
        <v>26698.68</v>
      </c>
      <c r="G257" s="197">
        <v>25545.86</v>
      </c>
      <c r="H257" s="197">
        <v>24671.35</v>
      </c>
      <c r="I257" s="197">
        <v>24394.87</v>
      </c>
      <c r="J257" s="197">
        <v>24574.99</v>
      </c>
      <c r="K257" s="197">
        <v>23826.52</v>
      </c>
      <c r="L257" s="197">
        <v>26086.81</v>
      </c>
      <c r="M257" s="197">
        <v>28481.9</v>
      </c>
      <c r="N257" s="197">
        <v>30197.94</v>
      </c>
      <c r="O257" s="197">
        <v>31599.59</v>
      </c>
      <c r="P257" s="197">
        <v>32383.89</v>
      </c>
      <c r="Q257" s="197">
        <v>32099.23</v>
      </c>
      <c r="R257" s="197">
        <v>31402.37</v>
      </c>
      <c r="S257" s="197">
        <v>31743.98</v>
      </c>
      <c r="T257" s="197">
        <v>32111.74</v>
      </c>
      <c r="U257" s="197">
        <v>32375.09</v>
      </c>
      <c r="V257" s="197">
        <v>35313.410000000003</v>
      </c>
      <c r="W257" s="197">
        <v>39346.51</v>
      </c>
      <c r="X257" s="197">
        <v>39570.43</v>
      </c>
      <c r="Y257" s="197">
        <v>38415.57</v>
      </c>
      <c r="Z257" s="197">
        <v>36900.910000000003</v>
      </c>
      <c r="AA257" s="197">
        <v>34933.61</v>
      </c>
      <c r="AB257" s="197">
        <v>32736.37</v>
      </c>
      <c r="AC257" s="210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</row>
    <row r="258" spans="2:50" ht="18.649999999999999" customHeight="1" x14ac:dyDescent="0.35">
      <c r="B258" s="267"/>
      <c r="C258" s="9" t="s">
        <v>31</v>
      </c>
      <c r="D258" s="10">
        <v>4</v>
      </c>
      <c r="E258" s="197">
        <v>28361.06</v>
      </c>
      <c r="F258" s="197">
        <v>26869.21</v>
      </c>
      <c r="G258" s="197">
        <v>25657.59</v>
      </c>
      <c r="H258" s="197">
        <v>24766.47</v>
      </c>
      <c r="I258" s="197">
        <v>24333.83</v>
      </c>
      <c r="J258" s="197">
        <v>24169.06</v>
      </c>
      <c r="K258" s="197">
        <v>22702.12</v>
      </c>
      <c r="L258" s="197">
        <v>23552.33</v>
      </c>
      <c r="M258" s="197">
        <v>24609.13</v>
      </c>
      <c r="N258" s="197">
        <v>25568.82</v>
      </c>
      <c r="O258" s="197">
        <v>26643.87</v>
      </c>
      <c r="P258" s="197">
        <v>27619.45</v>
      </c>
      <c r="Q258" s="197">
        <v>28356.76</v>
      </c>
      <c r="R258" s="197">
        <v>28537.68</v>
      </c>
      <c r="S258" s="197">
        <v>28703.26</v>
      </c>
      <c r="T258" s="197">
        <v>29057.39</v>
      </c>
      <c r="U258" s="197">
        <v>29661.48</v>
      </c>
      <c r="V258" s="197">
        <v>32715.58</v>
      </c>
      <c r="W258" s="197">
        <v>37105.879999999997</v>
      </c>
      <c r="X258" s="197">
        <v>38109.82</v>
      </c>
      <c r="Y258" s="197">
        <v>37726.83</v>
      </c>
      <c r="Z258" s="197">
        <v>36630.01</v>
      </c>
      <c r="AA258" s="197">
        <v>34359.379999999997</v>
      </c>
      <c r="AB258" s="197">
        <v>31748.9</v>
      </c>
      <c r="AC258" s="210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</row>
    <row r="259" spans="2:50" ht="18.649999999999999" customHeight="1" thickBot="1" x14ac:dyDescent="0.4">
      <c r="B259" s="268"/>
      <c r="C259" s="15" t="s">
        <v>32</v>
      </c>
      <c r="D259" s="16">
        <v>2</v>
      </c>
      <c r="E259" s="198">
        <v>28361.06</v>
      </c>
      <c r="F259" s="198">
        <v>26869.21</v>
      </c>
      <c r="G259" s="198">
        <v>25657.59</v>
      </c>
      <c r="H259" s="198">
        <v>24766.47</v>
      </c>
      <c r="I259" s="198">
        <v>24333.83</v>
      </c>
      <c r="J259" s="198">
        <v>24169.06</v>
      </c>
      <c r="K259" s="198">
        <v>22702.12</v>
      </c>
      <c r="L259" s="198">
        <v>23552.33</v>
      </c>
      <c r="M259" s="198">
        <v>24609.13</v>
      </c>
      <c r="N259" s="198">
        <v>25568.82</v>
      </c>
      <c r="O259" s="198">
        <v>26643.87</v>
      </c>
      <c r="P259" s="198">
        <v>27619.45</v>
      </c>
      <c r="Q259" s="198">
        <v>28356.76</v>
      </c>
      <c r="R259" s="198">
        <v>28537.68</v>
      </c>
      <c r="S259" s="198">
        <v>28703.26</v>
      </c>
      <c r="T259" s="198">
        <v>29057.39</v>
      </c>
      <c r="U259" s="198">
        <v>29661.48</v>
      </c>
      <c r="V259" s="198">
        <v>32715.58</v>
      </c>
      <c r="W259" s="198">
        <v>37105.879999999997</v>
      </c>
      <c r="X259" s="198">
        <v>38109.82</v>
      </c>
      <c r="Y259" s="198">
        <v>37726.83</v>
      </c>
      <c r="Z259" s="198">
        <v>36630.01</v>
      </c>
      <c r="AA259" s="198">
        <v>34359.379999999997</v>
      </c>
      <c r="AB259" s="198">
        <v>31748.9</v>
      </c>
      <c r="AC259" s="210"/>
      <c r="AD259" s="53">
        <f>+AC256</f>
        <v>23759509.41</v>
      </c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</row>
    <row r="260" spans="2:50" ht="18.649999999999999" customHeight="1" x14ac:dyDescent="0.35">
      <c r="B260" s="207">
        <v>50072</v>
      </c>
      <c r="C260" s="6" t="s">
        <v>29</v>
      </c>
      <c r="D260" s="7">
        <v>20</v>
      </c>
      <c r="E260" s="196">
        <v>30036.98</v>
      </c>
      <c r="F260" s="196">
        <v>28483.67</v>
      </c>
      <c r="G260" s="196">
        <v>27217.79</v>
      </c>
      <c r="H260" s="196">
        <v>26297.7</v>
      </c>
      <c r="I260" s="196">
        <v>26246.2</v>
      </c>
      <c r="J260" s="196">
        <v>27900.27</v>
      </c>
      <c r="K260" s="196">
        <v>27552.560000000001</v>
      </c>
      <c r="L260" s="196">
        <v>30227.45</v>
      </c>
      <c r="M260" s="196">
        <v>32527.22</v>
      </c>
      <c r="N260" s="196">
        <v>33553.370000000003</v>
      </c>
      <c r="O260" s="196">
        <v>35102.75</v>
      </c>
      <c r="P260" s="196">
        <v>36450.94</v>
      </c>
      <c r="Q260" s="196">
        <v>35132.18</v>
      </c>
      <c r="R260" s="196">
        <v>36731.339999999997</v>
      </c>
      <c r="S260" s="196">
        <v>39154.089999999997</v>
      </c>
      <c r="T260" s="196">
        <v>39776.379999999997</v>
      </c>
      <c r="U260" s="196">
        <v>39731.599999999999</v>
      </c>
      <c r="V260" s="196">
        <v>40714.870000000003</v>
      </c>
      <c r="W260" s="196">
        <v>43378.03</v>
      </c>
      <c r="X260" s="196">
        <v>44090.29</v>
      </c>
      <c r="Y260" s="196">
        <v>43216.76</v>
      </c>
      <c r="Z260" s="196">
        <v>41358.06</v>
      </c>
      <c r="AA260" s="196">
        <v>38142.69</v>
      </c>
      <c r="AB260" s="196">
        <v>34964.879999999997</v>
      </c>
      <c r="AC260" s="209">
        <f>SUM(E260:AB260)*D260+SUM(E261:AB261)*D261+SUM(E262:AB262)*D262+SUM(E263:AB263)*D263</f>
        <v>22903448.239999998</v>
      </c>
      <c r="AD260" s="148">
        <f>+AC260</f>
        <v>22903448.239999998</v>
      </c>
    </row>
    <row r="261" spans="2:50" ht="18.649999999999999" customHeight="1" x14ac:dyDescent="0.35">
      <c r="B261" s="267"/>
      <c r="C261" s="9" t="s">
        <v>30</v>
      </c>
      <c r="D261" s="10">
        <v>4</v>
      </c>
      <c r="E261" s="197">
        <v>30481.97</v>
      </c>
      <c r="F261" s="197">
        <v>28722.01</v>
      </c>
      <c r="G261" s="197">
        <v>27582.14</v>
      </c>
      <c r="H261" s="197">
        <v>26474.27</v>
      </c>
      <c r="I261" s="197">
        <v>26114.75</v>
      </c>
      <c r="J261" s="197">
        <v>26409.18</v>
      </c>
      <c r="K261" s="197">
        <v>25871.08</v>
      </c>
      <c r="L261" s="197">
        <v>28232.28</v>
      </c>
      <c r="M261" s="197">
        <v>30532.78</v>
      </c>
      <c r="N261" s="197">
        <v>31873.85</v>
      </c>
      <c r="O261" s="197">
        <v>33306.65</v>
      </c>
      <c r="P261" s="197">
        <v>34042.129999999997</v>
      </c>
      <c r="Q261" s="197">
        <v>33424.36</v>
      </c>
      <c r="R261" s="197">
        <v>33133.449999999997</v>
      </c>
      <c r="S261" s="197">
        <v>33488.120000000003</v>
      </c>
      <c r="T261" s="197">
        <v>33887.040000000001</v>
      </c>
      <c r="U261" s="197">
        <v>34231.14</v>
      </c>
      <c r="V261" s="197">
        <v>36852.61</v>
      </c>
      <c r="W261" s="197">
        <v>40909.4</v>
      </c>
      <c r="X261" s="197">
        <v>41532.620000000003</v>
      </c>
      <c r="Y261" s="197">
        <v>40592.199999999997</v>
      </c>
      <c r="Z261" s="197">
        <v>39086</v>
      </c>
      <c r="AA261" s="197">
        <v>37092.94</v>
      </c>
      <c r="AB261" s="197">
        <v>34715.17</v>
      </c>
      <c r="AC261" s="210"/>
      <c r="AD261" s="148">
        <f>+AC264</f>
        <v>23854590.670000002</v>
      </c>
    </row>
    <row r="262" spans="2:50" ht="18.649999999999999" customHeight="1" x14ac:dyDescent="0.35">
      <c r="B262" s="267"/>
      <c r="C262" s="9" t="s">
        <v>31</v>
      </c>
      <c r="D262" s="10">
        <v>4</v>
      </c>
      <c r="E262" s="197">
        <v>30380.87</v>
      </c>
      <c r="F262" s="197">
        <v>28824.23</v>
      </c>
      <c r="G262" s="197">
        <v>27566.080000000002</v>
      </c>
      <c r="H262" s="197">
        <v>26633.64</v>
      </c>
      <c r="I262" s="197">
        <v>26136.03</v>
      </c>
      <c r="J262" s="197">
        <v>26082.77</v>
      </c>
      <c r="K262" s="197">
        <v>24567.41</v>
      </c>
      <c r="L262" s="197">
        <v>25529.99</v>
      </c>
      <c r="M262" s="197">
        <v>26501.34</v>
      </c>
      <c r="N262" s="197">
        <v>27234.59</v>
      </c>
      <c r="O262" s="197">
        <v>28214.65</v>
      </c>
      <c r="P262" s="197">
        <v>29298.32</v>
      </c>
      <c r="Q262" s="197">
        <v>30074.09</v>
      </c>
      <c r="R262" s="197">
        <v>30459.86</v>
      </c>
      <c r="S262" s="197">
        <v>30985.13</v>
      </c>
      <c r="T262" s="197">
        <v>31520.49</v>
      </c>
      <c r="U262" s="197">
        <v>31977.99</v>
      </c>
      <c r="V262" s="197">
        <v>34373.79</v>
      </c>
      <c r="W262" s="197">
        <v>39050.370000000003</v>
      </c>
      <c r="X262" s="197">
        <v>40732.35</v>
      </c>
      <c r="Y262" s="197">
        <v>40796.01</v>
      </c>
      <c r="Z262" s="197">
        <v>39909.24</v>
      </c>
      <c r="AA262" s="197">
        <v>36666.11</v>
      </c>
      <c r="AB262" s="197">
        <v>33818.22</v>
      </c>
      <c r="AC262" s="210"/>
      <c r="AD262" s="148">
        <f>+AC268</f>
        <v>22445856.82</v>
      </c>
    </row>
    <row r="263" spans="2:50" ht="18.649999999999999" customHeight="1" thickBot="1" x14ac:dyDescent="0.4">
      <c r="B263" s="268"/>
      <c r="C263" s="11" t="s">
        <v>32</v>
      </c>
      <c r="D263" s="12">
        <v>0</v>
      </c>
      <c r="E263" s="199">
        <v>0</v>
      </c>
      <c r="F263" s="199">
        <v>0</v>
      </c>
      <c r="G263" s="199">
        <v>0</v>
      </c>
      <c r="H263" s="199">
        <v>0</v>
      </c>
      <c r="I263" s="199">
        <v>0</v>
      </c>
      <c r="J263" s="199">
        <v>0</v>
      </c>
      <c r="K263" s="199">
        <v>0</v>
      </c>
      <c r="L263" s="199">
        <v>0</v>
      </c>
      <c r="M263" s="199">
        <v>0</v>
      </c>
      <c r="N263" s="199">
        <v>0</v>
      </c>
      <c r="O263" s="199">
        <v>0</v>
      </c>
      <c r="P263" s="199">
        <v>0</v>
      </c>
      <c r="Q263" s="199">
        <v>0</v>
      </c>
      <c r="R263" s="199">
        <v>0</v>
      </c>
      <c r="S263" s="199">
        <v>0</v>
      </c>
      <c r="T263" s="199">
        <v>0</v>
      </c>
      <c r="U263" s="199">
        <v>0</v>
      </c>
      <c r="V263" s="199">
        <v>0</v>
      </c>
      <c r="W263" s="199">
        <v>0</v>
      </c>
      <c r="X263" s="199">
        <v>0</v>
      </c>
      <c r="Y263" s="199">
        <v>0</v>
      </c>
      <c r="Z263" s="199">
        <v>0</v>
      </c>
      <c r="AA263" s="199">
        <v>0</v>
      </c>
      <c r="AB263" s="199">
        <v>0</v>
      </c>
      <c r="AC263" s="214"/>
      <c r="AD263" s="148">
        <f>+AC272</f>
        <v>23058763.329999994</v>
      </c>
    </row>
    <row r="264" spans="2:50" ht="18.649999999999999" customHeight="1" x14ac:dyDescent="0.35">
      <c r="B264" s="207">
        <v>50100</v>
      </c>
      <c r="C264" s="13" t="s">
        <v>29</v>
      </c>
      <c r="D264" s="14">
        <v>21</v>
      </c>
      <c r="E264" s="200">
        <v>27864.11</v>
      </c>
      <c r="F264" s="200">
        <v>26386.240000000002</v>
      </c>
      <c r="G264" s="200">
        <v>25268.39</v>
      </c>
      <c r="H264" s="200">
        <v>24536.66</v>
      </c>
      <c r="I264" s="200">
        <v>24634.38</v>
      </c>
      <c r="J264" s="200">
        <v>25983.34</v>
      </c>
      <c r="K264" s="200">
        <v>25925.86</v>
      </c>
      <c r="L264" s="200">
        <v>28798.43</v>
      </c>
      <c r="M264" s="200">
        <v>31036.59</v>
      </c>
      <c r="N264" s="200">
        <v>32095.33</v>
      </c>
      <c r="O264" s="200">
        <v>33561.5</v>
      </c>
      <c r="P264" s="200">
        <v>34587.29</v>
      </c>
      <c r="Q264" s="200">
        <v>32835.35</v>
      </c>
      <c r="R264" s="200">
        <v>34157.410000000003</v>
      </c>
      <c r="S264" s="200">
        <v>36383.360000000001</v>
      </c>
      <c r="T264" s="200">
        <v>37090.94</v>
      </c>
      <c r="U264" s="200">
        <v>37306.86</v>
      </c>
      <c r="V264" s="200">
        <v>38583.81</v>
      </c>
      <c r="W264" s="200">
        <v>41189.79</v>
      </c>
      <c r="X264" s="200">
        <v>41523.370000000003</v>
      </c>
      <c r="Y264" s="200">
        <v>40346.550000000003</v>
      </c>
      <c r="Z264" s="200">
        <v>38386.79</v>
      </c>
      <c r="AA264" s="200">
        <v>35416.44</v>
      </c>
      <c r="AB264" s="200">
        <v>32401.119999999999</v>
      </c>
      <c r="AC264" s="210">
        <f>SUM(E264:AB264)*D264+SUM(E265:AB265)*D265+SUM(E266:AB266)*D266+SUM(E267:AB267)*D267</f>
        <v>23854590.670000002</v>
      </c>
      <c r="AD264" s="148">
        <f>+AC276</f>
        <v>22163487.040000007</v>
      </c>
    </row>
    <row r="265" spans="2:50" ht="18.649999999999999" customHeight="1" x14ac:dyDescent="0.35">
      <c r="B265" s="267"/>
      <c r="C265" s="9" t="s">
        <v>30</v>
      </c>
      <c r="D265" s="10">
        <v>4</v>
      </c>
      <c r="E265" s="197">
        <v>27994.36</v>
      </c>
      <c r="F265" s="197">
        <v>26513.09</v>
      </c>
      <c r="G265" s="197">
        <v>25339.43</v>
      </c>
      <c r="H265" s="197">
        <v>24567.31</v>
      </c>
      <c r="I265" s="197">
        <v>24356.43</v>
      </c>
      <c r="J265" s="197">
        <v>24616.42</v>
      </c>
      <c r="K265" s="197">
        <v>24443.83</v>
      </c>
      <c r="L265" s="197">
        <v>27051.43</v>
      </c>
      <c r="M265" s="197">
        <v>29550.240000000002</v>
      </c>
      <c r="N265" s="197">
        <v>30957.89</v>
      </c>
      <c r="O265" s="197">
        <v>32337.56</v>
      </c>
      <c r="P265" s="197">
        <v>33217.74</v>
      </c>
      <c r="Q265" s="197">
        <v>32550.82</v>
      </c>
      <c r="R265" s="197">
        <v>32157.56</v>
      </c>
      <c r="S265" s="197">
        <v>32618.79</v>
      </c>
      <c r="T265" s="197">
        <v>32933.1</v>
      </c>
      <c r="U265" s="197">
        <v>33287.660000000003</v>
      </c>
      <c r="V265" s="197">
        <v>35744.79</v>
      </c>
      <c r="W265" s="197">
        <v>39670.300000000003</v>
      </c>
      <c r="X265" s="197">
        <v>40239.230000000003</v>
      </c>
      <c r="Y265" s="197">
        <v>39176.129999999997</v>
      </c>
      <c r="Z265" s="197">
        <v>37699.18</v>
      </c>
      <c r="AA265" s="197">
        <v>35624.67</v>
      </c>
      <c r="AB265" s="197">
        <v>33348.839999999997</v>
      </c>
      <c r="AC265" s="210"/>
      <c r="AD265" s="148">
        <f>+AC280</f>
        <v>22659465.899999999</v>
      </c>
    </row>
    <row r="266" spans="2:50" ht="18.649999999999999" customHeight="1" x14ac:dyDescent="0.35">
      <c r="B266" s="267"/>
      <c r="C266" s="9" t="s">
        <v>31</v>
      </c>
      <c r="D266" s="10">
        <v>5</v>
      </c>
      <c r="E266" s="197">
        <v>28809.65</v>
      </c>
      <c r="F266" s="197">
        <v>27236.15</v>
      </c>
      <c r="G266" s="197">
        <v>26003.45</v>
      </c>
      <c r="H266" s="197">
        <v>25114.81</v>
      </c>
      <c r="I266" s="197">
        <v>24652.75</v>
      </c>
      <c r="J266" s="197">
        <v>24421.3</v>
      </c>
      <c r="K266" s="197">
        <v>23380.7</v>
      </c>
      <c r="L266" s="197">
        <v>24618.41</v>
      </c>
      <c r="M266" s="197">
        <v>25850.91</v>
      </c>
      <c r="N266" s="197">
        <v>26775.88</v>
      </c>
      <c r="O266" s="197">
        <v>27732.76</v>
      </c>
      <c r="P266" s="197">
        <v>28695.81</v>
      </c>
      <c r="Q266" s="197">
        <v>29367.69</v>
      </c>
      <c r="R266" s="197">
        <v>29576.35</v>
      </c>
      <c r="S266" s="197">
        <v>29875.11</v>
      </c>
      <c r="T266" s="197">
        <v>30499.63</v>
      </c>
      <c r="U266" s="197">
        <v>30956.17</v>
      </c>
      <c r="V266" s="197">
        <v>33712.800000000003</v>
      </c>
      <c r="W266" s="197">
        <v>37846.18</v>
      </c>
      <c r="X266" s="197">
        <v>39160.589999999997</v>
      </c>
      <c r="Y266" s="197">
        <v>39080.04</v>
      </c>
      <c r="Z266" s="197">
        <v>38000.1</v>
      </c>
      <c r="AA266" s="197">
        <v>35581.03</v>
      </c>
      <c r="AB266" s="197">
        <v>32769.29</v>
      </c>
      <c r="AC266" s="210"/>
      <c r="AD266" s="148">
        <f>+AC284</f>
        <v>22778903.740000002</v>
      </c>
    </row>
    <row r="267" spans="2:50" ht="18.649999999999999" customHeight="1" thickBot="1" x14ac:dyDescent="0.4">
      <c r="B267" s="268"/>
      <c r="C267" s="15" t="s">
        <v>32</v>
      </c>
      <c r="D267" s="16">
        <v>1</v>
      </c>
      <c r="E267" s="198">
        <v>28809.65</v>
      </c>
      <c r="F267" s="198">
        <v>27236.15</v>
      </c>
      <c r="G267" s="198">
        <v>26003.45</v>
      </c>
      <c r="H267" s="198">
        <v>25114.81</v>
      </c>
      <c r="I267" s="198">
        <v>24652.75</v>
      </c>
      <c r="J267" s="198">
        <v>24421.3</v>
      </c>
      <c r="K267" s="198">
        <v>23380.7</v>
      </c>
      <c r="L267" s="198">
        <v>24618.41</v>
      </c>
      <c r="M267" s="198">
        <v>25850.91</v>
      </c>
      <c r="N267" s="198">
        <v>26775.88</v>
      </c>
      <c r="O267" s="198">
        <v>27732.76</v>
      </c>
      <c r="P267" s="198">
        <v>28695.81</v>
      </c>
      <c r="Q267" s="198">
        <v>29367.69</v>
      </c>
      <c r="R267" s="198">
        <v>29576.35</v>
      </c>
      <c r="S267" s="198">
        <v>29875.11</v>
      </c>
      <c r="T267" s="198">
        <v>30499.63</v>
      </c>
      <c r="U267" s="198">
        <v>30956.17</v>
      </c>
      <c r="V267" s="198">
        <v>33712.800000000003</v>
      </c>
      <c r="W267" s="198">
        <v>37846.18</v>
      </c>
      <c r="X267" s="198">
        <v>39160.589999999997</v>
      </c>
      <c r="Y267" s="198">
        <v>39080.04</v>
      </c>
      <c r="Z267" s="198">
        <v>38000.1</v>
      </c>
      <c r="AA267" s="198">
        <v>35581.03</v>
      </c>
      <c r="AB267" s="198">
        <v>32769.29</v>
      </c>
      <c r="AC267" s="210"/>
      <c r="AD267" s="148">
        <f>+AC288</f>
        <v>21876542.199999999</v>
      </c>
    </row>
    <row r="268" spans="2:50" ht="18.649999999999999" customHeight="1" x14ac:dyDescent="0.35">
      <c r="B268" s="207">
        <v>50131</v>
      </c>
      <c r="C268" s="6" t="s">
        <v>29</v>
      </c>
      <c r="D268" s="7">
        <v>20</v>
      </c>
      <c r="E268" s="196">
        <v>27205.71</v>
      </c>
      <c r="F268" s="196">
        <v>25759.09</v>
      </c>
      <c r="G268" s="196">
        <v>24684.51</v>
      </c>
      <c r="H268" s="196">
        <v>23962.58</v>
      </c>
      <c r="I268" s="196">
        <v>24062.99</v>
      </c>
      <c r="J268" s="196">
        <v>24849.57</v>
      </c>
      <c r="K268" s="196">
        <v>25031.95</v>
      </c>
      <c r="L268" s="196">
        <v>27960.44</v>
      </c>
      <c r="M268" s="196">
        <v>30483.41</v>
      </c>
      <c r="N268" s="196">
        <v>31570.7</v>
      </c>
      <c r="O268" s="196">
        <v>32950.97</v>
      </c>
      <c r="P268" s="196">
        <v>34203.800000000003</v>
      </c>
      <c r="Q268" s="196">
        <v>32715.17</v>
      </c>
      <c r="R268" s="196">
        <v>33890.31</v>
      </c>
      <c r="S268" s="196">
        <v>36077.72</v>
      </c>
      <c r="T268" s="196">
        <v>36554.230000000003</v>
      </c>
      <c r="U268" s="196">
        <v>36524.480000000003</v>
      </c>
      <c r="V268" s="196">
        <v>38204.870000000003</v>
      </c>
      <c r="W268" s="196">
        <v>40719.39</v>
      </c>
      <c r="X268" s="196">
        <v>40803.120000000003</v>
      </c>
      <c r="Y268" s="196">
        <v>39615.49</v>
      </c>
      <c r="Z268" s="196">
        <v>37757.620000000003</v>
      </c>
      <c r="AA268" s="196">
        <v>34960.51</v>
      </c>
      <c r="AB268" s="196">
        <v>31878</v>
      </c>
      <c r="AC268" s="209">
        <f>SUM(E268:AB268)*D268+SUM(E269:AB269)*D269+SUM(E270:AB270)*D270+SUM(E271:AB271)*D271</f>
        <v>22445856.82</v>
      </c>
      <c r="AD268" s="148">
        <f>+AC292</f>
        <v>22146231.140000004</v>
      </c>
    </row>
    <row r="269" spans="2:50" ht="18.649999999999999" customHeight="1" x14ac:dyDescent="0.35">
      <c r="B269" s="267"/>
      <c r="C269" s="9" t="s">
        <v>30</v>
      </c>
      <c r="D269" s="10">
        <v>4</v>
      </c>
      <c r="E269" s="197">
        <v>26917.23</v>
      </c>
      <c r="F269" s="197">
        <v>25407.01</v>
      </c>
      <c r="G269" s="197">
        <v>24272.42</v>
      </c>
      <c r="H269" s="197">
        <v>23500.01</v>
      </c>
      <c r="I269" s="197">
        <v>23289.68</v>
      </c>
      <c r="J269" s="197">
        <v>23266.07</v>
      </c>
      <c r="K269" s="197">
        <v>23090.13</v>
      </c>
      <c r="L269" s="197">
        <v>25472.73</v>
      </c>
      <c r="M269" s="197">
        <v>27823.56</v>
      </c>
      <c r="N269" s="197">
        <v>29016.62</v>
      </c>
      <c r="O269" s="197">
        <v>30335.88</v>
      </c>
      <c r="P269" s="197">
        <v>31179.119999999999</v>
      </c>
      <c r="Q269" s="197">
        <v>30709.360000000001</v>
      </c>
      <c r="R269" s="197">
        <v>30425.86</v>
      </c>
      <c r="S269" s="197">
        <v>30744.17</v>
      </c>
      <c r="T269" s="197">
        <v>31061.35</v>
      </c>
      <c r="U269" s="197">
        <v>31473.99</v>
      </c>
      <c r="V269" s="197">
        <v>34383.800000000003</v>
      </c>
      <c r="W269" s="197">
        <v>38330</v>
      </c>
      <c r="X269" s="197">
        <v>38319.31</v>
      </c>
      <c r="Y269" s="197">
        <v>37291.78</v>
      </c>
      <c r="Z269" s="197">
        <v>35763.089999999997</v>
      </c>
      <c r="AA269" s="197">
        <v>33833.83</v>
      </c>
      <c r="AB269" s="197">
        <v>31603.05</v>
      </c>
      <c r="AC269" s="210"/>
      <c r="AD269" s="148">
        <f>+AC296</f>
        <v>20985825.359999999</v>
      </c>
    </row>
    <row r="270" spans="2:50" ht="18.649999999999999" customHeight="1" x14ac:dyDescent="0.35">
      <c r="B270" s="267"/>
      <c r="C270" s="9" t="s">
        <v>31</v>
      </c>
      <c r="D270" s="10">
        <v>4</v>
      </c>
      <c r="E270" s="197">
        <v>27433.69</v>
      </c>
      <c r="F270" s="197">
        <v>25992.81</v>
      </c>
      <c r="G270" s="197">
        <v>24798.26</v>
      </c>
      <c r="H270" s="197">
        <v>23999.03</v>
      </c>
      <c r="I270" s="197">
        <v>23646.11</v>
      </c>
      <c r="J270" s="197">
        <v>23167.77</v>
      </c>
      <c r="K270" s="197">
        <v>22553.4</v>
      </c>
      <c r="L270" s="197">
        <v>23775.89</v>
      </c>
      <c r="M270" s="197">
        <v>24607.7</v>
      </c>
      <c r="N270" s="197">
        <v>25524.46</v>
      </c>
      <c r="O270" s="197">
        <v>26505.9</v>
      </c>
      <c r="P270" s="197">
        <v>27335.599999999999</v>
      </c>
      <c r="Q270" s="197">
        <v>27848.25</v>
      </c>
      <c r="R270" s="197">
        <v>28070.400000000001</v>
      </c>
      <c r="S270" s="197">
        <v>28412.65</v>
      </c>
      <c r="T270" s="197">
        <v>28933.32</v>
      </c>
      <c r="U270" s="197">
        <v>29622.33</v>
      </c>
      <c r="V270" s="197">
        <v>32646.32</v>
      </c>
      <c r="W270" s="197">
        <v>36349.24</v>
      </c>
      <c r="X270" s="197">
        <v>37373.839999999997</v>
      </c>
      <c r="Y270" s="197">
        <v>37292.879999999997</v>
      </c>
      <c r="Z270" s="197">
        <v>36439.49</v>
      </c>
      <c r="AA270" s="197">
        <v>34156.35</v>
      </c>
      <c r="AB270" s="197">
        <v>31394.98</v>
      </c>
      <c r="AC270" s="210"/>
      <c r="AD270" s="148">
        <f>+AC300</f>
        <v>22896078.259999998</v>
      </c>
    </row>
    <row r="271" spans="2:50" ht="18.649999999999999" customHeight="1" thickBot="1" x14ac:dyDescent="0.4">
      <c r="B271" s="268"/>
      <c r="C271" s="11" t="s">
        <v>32</v>
      </c>
      <c r="D271" s="12">
        <v>2</v>
      </c>
      <c r="E271" s="197">
        <v>27433.69</v>
      </c>
      <c r="F271" s="197">
        <v>25992.81</v>
      </c>
      <c r="G271" s="197">
        <v>24798.26</v>
      </c>
      <c r="H271" s="197">
        <v>23999.03</v>
      </c>
      <c r="I271" s="197">
        <v>23646.11</v>
      </c>
      <c r="J271" s="197">
        <v>23167.77</v>
      </c>
      <c r="K271" s="197">
        <v>22553.4</v>
      </c>
      <c r="L271" s="197">
        <v>23775.89</v>
      </c>
      <c r="M271" s="197">
        <v>24607.7</v>
      </c>
      <c r="N271" s="197">
        <v>25524.46</v>
      </c>
      <c r="O271" s="197">
        <v>26505.9</v>
      </c>
      <c r="P271" s="197">
        <v>27335.599999999999</v>
      </c>
      <c r="Q271" s="197">
        <v>27848.25</v>
      </c>
      <c r="R271" s="197">
        <v>28070.400000000001</v>
      </c>
      <c r="S271" s="197">
        <v>28412.65</v>
      </c>
      <c r="T271" s="197">
        <v>28933.32</v>
      </c>
      <c r="U271" s="197">
        <v>29622.33</v>
      </c>
      <c r="V271" s="197">
        <v>32646.32</v>
      </c>
      <c r="W271" s="197">
        <v>36349.24</v>
      </c>
      <c r="X271" s="197">
        <v>37373.839999999997</v>
      </c>
      <c r="Y271" s="197">
        <v>37292.879999999997</v>
      </c>
      <c r="Z271" s="197">
        <v>36439.49</v>
      </c>
      <c r="AA271" s="197">
        <v>34156.35</v>
      </c>
      <c r="AB271" s="197">
        <v>31394.98</v>
      </c>
      <c r="AC271" s="214"/>
      <c r="AD271" s="18"/>
    </row>
    <row r="272" spans="2:50" ht="18.649999999999999" customHeight="1" x14ac:dyDescent="0.35">
      <c r="B272" s="207">
        <v>50161</v>
      </c>
      <c r="C272" s="13" t="s">
        <v>29</v>
      </c>
      <c r="D272" s="14">
        <v>19</v>
      </c>
      <c r="E272" s="200">
        <v>26659.29</v>
      </c>
      <c r="F272" s="200">
        <v>25305.1</v>
      </c>
      <c r="G272" s="200">
        <v>24266.32</v>
      </c>
      <c r="H272" s="200">
        <v>23555.7</v>
      </c>
      <c r="I272" s="200">
        <v>23675.06</v>
      </c>
      <c r="J272" s="200">
        <v>24363.25</v>
      </c>
      <c r="K272" s="200">
        <v>24800.78</v>
      </c>
      <c r="L272" s="200">
        <v>27787.63</v>
      </c>
      <c r="M272" s="200">
        <v>30443.43</v>
      </c>
      <c r="N272" s="200">
        <v>31608.13</v>
      </c>
      <c r="O272" s="200">
        <v>33210</v>
      </c>
      <c r="P272" s="200">
        <v>34292.9</v>
      </c>
      <c r="Q272" s="200">
        <v>32760</v>
      </c>
      <c r="R272" s="200">
        <v>33871.120000000003</v>
      </c>
      <c r="S272" s="200">
        <v>35926.69</v>
      </c>
      <c r="T272" s="200">
        <v>36331.78</v>
      </c>
      <c r="U272" s="200">
        <v>36297.980000000003</v>
      </c>
      <c r="V272" s="200">
        <v>37597.86</v>
      </c>
      <c r="W272" s="200">
        <v>40035.86</v>
      </c>
      <c r="X272" s="200">
        <v>40152.83</v>
      </c>
      <c r="Y272" s="200">
        <v>38949.65</v>
      </c>
      <c r="Z272" s="200">
        <v>36932.36</v>
      </c>
      <c r="AA272" s="200">
        <v>34090.51</v>
      </c>
      <c r="AB272" s="200">
        <v>31184.67</v>
      </c>
      <c r="AC272" s="210">
        <f>SUM(E272:AB272)*D272+SUM(E273:AB273)*D273+SUM(E274:AB274)*D274+SUM(E275:AB275)*D275</f>
        <v>23058763.329999994</v>
      </c>
      <c r="AD272" s="18"/>
    </row>
    <row r="273" spans="2:30" ht="18.649999999999999" customHeight="1" x14ac:dyDescent="0.35">
      <c r="B273" s="267"/>
      <c r="C273" s="9" t="s">
        <v>30</v>
      </c>
      <c r="D273" s="10">
        <v>5</v>
      </c>
      <c r="E273" s="197">
        <v>27199.26</v>
      </c>
      <c r="F273" s="197">
        <v>25479.25</v>
      </c>
      <c r="G273" s="197">
        <v>24322.75</v>
      </c>
      <c r="H273" s="197">
        <v>23574.28</v>
      </c>
      <c r="I273" s="197">
        <v>23416.19</v>
      </c>
      <c r="J273" s="197">
        <v>23094.61</v>
      </c>
      <c r="K273" s="197">
        <v>23189.91</v>
      </c>
      <c r="L273" s="197">
        <v>25955.33</v>
      </c>
      <c r="M273" s="197">
        <v>28626.03</v>
      </c>
      <c r="N273" s="197">
        <v>30095.18</v>
      </c>
      <c r="O273" s="197">
        <v>31248.92</v>
      </c>
      <c r="P273" s="197">
        <v>32088.76</v>
      </c>
      <c r="Q273" s="197">
        <v>31353.11</v>
      </c>
      <c r="R273" s="197">
        <v>30976.41</v>
      </c>
      <c r="S273" s="197">
        <v>31404.51</v>
      </c>
      <c r="T273" s="197">
        <v>31710.09</v>
      </c>
      <c r="U273" s="197">
        <v>32051.57</v>
      </c>
      <c r="V273" s="197">
        <v>34879.46</v>
      </c>
      <c r="W273" s="197">
        <v>38686.83</v>
      </c>
      <c r="X273" s="197">
        <v>39044.1</v>
      </c>
      <c r="Y273" s="197">
        <v>37905.51</v>
      </c>
      <c r="Z273" s="197">
        <v>36228.99</v>
      </c>
      <c r="AA273" s="197">
        <v>34320.019999999997</v>
      </c>
      <c r="AB273" s="197">
        <v>32089.42</v>
      </c>
      <c r="AC273" s="210"/>
      <c r="AD273" s="18"/>
    </row>
    <row r="274" spans="2:30" ht="18.649999999999999" customHeight="1" x14ac:dyDescent="0.35">
      <c r="B274" s="267"/>
      <c r="C274" s="9" t="s">
        <v>31</v>
      </c>
      <c r="D274" s="10">
        <v>5</v>
      </c>
      <c r="E274" s="197">
        <v>27524.68</v>
      </c>
      <c r="F274" s="197">
        <v>26136.68</v>
      </c>
      <c r="G274" s="197">
        <v>25026.99</v>
      </c>
      <c r="H274" s="197">
        <v>24223.1</v>
      </c>
      <c r="I274" s="197">
        <v>23875.41</v>
      </c>
      <c r="J274" s="197">
        <v>23065.03</v>
      </c>
      <c r="K274" s="197">
        <v>22553.69</v>
      </c>
      <c r="L274" s="197">
        <v>23918.05</v>
      </c>
      <c r="M274" s="197">
        <v>25393.99</v>
      </c>
      <c r="N274" s="197">
        <v>26640.21</v>
      </c>
      <c r="O274" s="197">
        <v>27525.15</v>
      </c>
      <c r="P274" s="197">
        <v>28236.7</v>
      </c>
      <c r="Q274" s="197">
        <v>28702.58</v>
      </c>
      <c r="R274" s="197">
        <v>28888.25</v>
      </c>
      <c r="S274" s="197">
        <v>29170.49</v>
      </c>
      <c r="T274" s="197">
        <v>29767.58</v>
      </c>
      <c r="U274" s="197">
        <v>30183.49</v>
      </c>
      <c r="V274" s="197">
        <v>33224.67</v>
      </c>
      <c r="W274" s="197">
        <v>37133.67</v>
      </c>
      <c r="X274" s="197">
        <v>38065.79</v>
      </c>
      <c r="Y274" s="197">
        <v>37899.339999999997</v>
      </c>
      <c r="Z274" s="197">
        <v>36737.07</v>
      </c>
      <c r="AA274" s="197">
        <v>34332.26</v>
      </c>
      <c r="AB274" s="197">
        <v>31229.67</v>
      </c>
      <c r="AC274" s="210"/>
      <c r="AD274" s="18"/>
    </row>
    <row r="275" spans="2:30" ht="18.649999999999999" customHeight="1" thickBot="1" x14ac:dyDescent="0.4">
      <c r="B275" s="268"/>
      <c r="C275" s="15" t="s">
        <v>32</v>
      </c>
      <c r="D275" s="16">
        <v>2</v>
      </c>
      <c r="E275" s="198">
        <v>27524.68</v>
      </c>
      <c r="F275" s="198">
        <v>26136.68</v>
      </c>
      <c r="G275" s="198">
        <v>25026.99</v>
      </c>
      <c r="H275" s="198">
        <v>24223.1</v>
      </c>
      <c r="I275" s="198">
        <v>23875.41</v>
      </c>
      <c r="J275" s="198">
        <v>23065.03</v>
      </c>
      <c r="K275" s="198">
        <v>22553.69</v>
      </c>
      <c r="L275" s="198">
        <v>23918.05</v>
      </c>
      <c r="M275" s="198">
        <v>25393.99</v>
      </c>
      <c r="N275" s="198">
        <v>26640.21</v>
      </c>
      <c r="O275" s="198">
        <v>27525.15</v>
      </c>
      <c r="P275" s="198">
        <v>28236.7</v>
      </c>
      <c r="Q275" s="198">
        <v>28702.58</v>
      </c>
      <c r="R275" s="198">
        <v>28888.25</v>
      </c>
      <c r="S275" s="198">
        <v>29170.49</v>
      </c>
      <c r="T275" s="198">
        <v>29767.58</v>
      </c>
      <c r="U275" s="198">
        <v>30183.49</v>
      </c>
      <c r="V275" s="198">
        <v>33224.67</v>
      </c>
      <c r="W275" s="198">
        <v>37133.67</v>
      </c>
      <c r="X275" s="198">
        <v>38065.79</v>
      </c>
      <c r="Y275" s="198">
        <v>37899.339999999997</v>
      </c>
      <c r="Z275" s="198">
        <v>36737.07</v>
      </c>
      <c r="AA275" s="198">
        <v>34332.26</v>
      </c>
      <c r="AB275" s="198">
        <v>31229.67</v>
      </c>
      <c r="AC275" s="210"/>
      <c r="AD275" s="18"/>
    </row>
    <row r="276" spans="2:30" ht="18.649999999999999" customHeight="1" x14ac:dyDescent="0.35">
      <c r="B276" s="207">
        <v>50192</v>
      </c>
      <c r="C276" s="6" t="s">
        <v>29</v>
      </c>
      <c r="D276" s="7">
        <v>19</v>
      </c>
      <c r="E276" s="196">
        <v>26808.21</v>
      </c>
      <c r="F276" s="196">
        <v>25362.81</v>
      </c>
      <c r="G276" s="196">
        <v>24351.46</v>
      </c>
      <c r="H276" s="196">
        <v>23549.25</v>
      </c>
      <c r="I276" s="196">
        <v>23619.56</v>
      </c>
      <c r="J276" s="196">
        <v>23945.55</v>
      </c>
      <c r="K276" s="196">
        <v>24321</v>
      </c>
      <c r="L276" s="196">
        <v>27388.77</v>
      </c>
      <c r="M276" s="196">
        <v>30011.81</v>
      </c>
      <c r="N276" s="196">
        <v>31280.720000000001</v>
      </c>
      <c r="O276" s="196">
        <v>32945.870000000003</v>
      </c>
      <c r="P276" s="196">
        <v>34124.639999999999</v>
      </c>
      <c r="Q276" s="196">
        <v>32825.01</v>
      </c>
      <c r="R276" s="196">
        <v>33754</v>
      </c>
      <c r="S276" s="196">
        <v>35720.519999999997</v>
      </c>
      <c r="T276" s="196">
        <v>36127.9</v>
      </c>
      <c r="U276" s="196">
        <v>36256.07</v>
      </c>
      <c r="V276" s="196">
        <v>37653.46</v>
      </c>
      <c r="W276" s="196">
        <v>40052.18</v>
      </c>
      <c r="X276" s="196">
        <v>40502.42</v>
      </c>
      <c r="Y276" s="196">
        <v>39206.03</v>
      </c>
      <c r="Z276" s="196">
        <v>37229.699999999997</v>
      </c>
      <c r="AA276" s="196">
        <v>34283.53</v>
      </c>
      <c r="AB276" s="196">
        <v>31313.11</v>
      </c>
      <c r="AC276" s="209">
        <f>SUM(E276:AB276)*D276+SUM(E277:AB277)*D277+SUM(E278:AB278)*D278+SUM(E279:AB279)*D279</f>
        <v>22163487.040000007</v>
      </c>
      <c r="AD276" s="18"/>
    </row>
    <row r="277" spans="2:30" ht="18.649999999999999" customHeight="1" x14ac:dyDescent="0.35">
      <c r="B277" s="267"/>
      <c r="C277" s="9" t="s">
        <v>30</v>
      </c>
      <c r="D277" s="10">
        <v>4</v>
      </c>
      <c r="E277" s="197">
        <v>26809.439999999999</v>
      </c>
      <c r="F277" s="197">
        <v>25405.48</v>
      </c>
      <c r="G277" s="197">
        <v>24356.13</v>
      </c>
      <c r="H277" s="197">
        <v>23634.82</v>
      </c>
      <c r="I277" s="197">
        <v>23496.43</v>
      </c>
      <c r="J277" s="197">
        <v>23141.45</v>
      </c>
      <c r="K277" s="197">
        <v>23244.6</v>
      </c>
      <c r="L277" s="197">
        <v>25960.19</v>
      </c>
      <c r="M277" s="197">
        <v>28572.21</v>
      </c>
      <c r="N277" s="197">
        <v>30079.81</v>
      </c>
      <c r="O277" s="197">
        <v>31446.59</v>
      </c>
      <c r="P277" s="197">
        <v>32346.9</v>
      </c>
      <c r="Q277" s="197">
        <v>31710.62</v>
      </c>
      <c r="R277" s="197">
        <v>31094.959999999999</v>
      </c>
      <c r="S277" s="197">
        <v>31363.35</v>
      </c>
      <c r="T277" s="197">
        <v>31595.56</v>
      </c>
      <c r="U277" s="197">
        <v>31713.29</v>
      </c>
      <c r="V277" s="197">
        <v>34439.379999999997</v>
      </c>
      <c r="W277" s="197">
        <v>37547.17</v>
      </c>
      <c r="X277" s="197">
        <v>38256.07</v>
      </c>
      <c r="Y277" s="197">
        <v>37180.32</v>
      </c>
      <c r="Z277" s="197">
        <v>35336.94</v>
      </c>
      <c r="AA277" s="197">
        <v>33220.559999999998</v>
      </c>
      <c r="AB277" s="197">
        <v>31016.38</v>
      </c>
      <c r="AC277" s="210"/>
      <c r="AD277" s="18"/>
    </row>
    <row r="278" spans="2:30" ht="18.649999999999999" customHeight="1" x14ac:dyDescent="0.35">
      <c r="B278" s="267"/>
      <c r="C278" s="9" t="s">
        <v>31</v>
      </c>
      <c r="D278" s="10">
        <v>4</v>
      </c>
      <c r="E278" s="197">
        <v>27298.53</v>
      </c>
      <c r="F278" s="197">
        <v>25822.61</v>
      </c>
      <c r="G278" s="197">
        <v>24659.02</v>
      </c>
      <c r="H278" s="197">
        <v>23904.02</v>
      </c>
      <c r="I278" s="197">
        <v>23601.07</v>
      </c>
      <c r="J278" s="197">
        <v>22766.85</v>
      </c>
      <c r="K278" s="197">
        <v>22085.62</v>
      </c>
      <c r="L278" s="197">
        <v>23246.36</v>
      </c>
      <c r="M278" s="197">
        <v>24459.84</v>
      </c>
      <c r="N278" s="197">
        <v>25609.57</v>
      </c>
      <c r="O278" s="197">
        <v>26447.81</v>
      </c>
      <c r="P278" s="197">
        <v>27214.21</v>
      </c>
      <c r="Q278" s="197">
        <v>27891.53</v>
      </c>
      <c r="R278" s="197">
        <v>27926.77</v>
      </c>
      <c r="S278" s="197">
        <v>28216.49</v>
      </c>
      <c r="T278" s="197">
        <v>28689.98</v>
      </c>
      <c r="U278" s="197">
        <v>29221.21</v>
      </c>
      <c r="V278" s="197">
        <v>32081.32</v>
      </c>
      <c r="W278" s="197">
        <v>35904.769999999997</v>
      </c>
      <c r="X278" s="197">
        <v>37563.660000000003</v>
      </c>
      <c r="Y278" s="197">
        <v>37115.43</v>
      </c>
      <c r="Z278" s="197">
        <v>35987.980000000003</v>
      </c>
      <c r="AA278" s="197">
        <v>33885.94</v>
      </c>
      <c r="AB278" s="197">
        <v>31481.47</v>
      </c>
      <c r="AC278" s="210"/>
      <c r="AD278" s="18"/>
    </row>
    <row r="279" spans="2:30" ht="18.649999999999999" customHeight="1" thickBot="1" x14ac:dyDescent="0.4">
      <c r="B279" s="268"/>
      <c r="C279" s="11" t="s">
        <v>32</v>
      </c>
      <c r="D279" s="12">
        <v>3</v>
      </c>
      <c r="E279" s="201">
        <v>27298.53</v>
      </c>
      <c r="F279" s="201">
        <v>25822.61</v>
      </c>
      <c r="G279" s="201">
        <v>24659.02</v>
      </c>
      <c r="H279" s="201">
        <v>23904.02</v>
      </c>
      <c r="I279" s="201">
        <v>23601.07</v>
      </c>
      <c r="J279" s="201">
        <v>22766.85</v>
      </c>
      <c r="K279" s="201">
        <v>22085.62</v>
      </c>
      <c r="L279" s="201">
        <v>23246.36</v>
      </c>
      <c r="M279" s="201">
        <v>24459.84</v>
      </c>
      <c r="N279" s="201">
        <v>25609.57</v>
      </c>
      <c r="O279" s="201">
        <v>26447.81</v>
      </c>
      <c r="P279" s="201">
        <v>27214.21</v>
      </c>
      <c r="Q279" s="201">
        <v>27891.53</v>
      </c>
      <c r="R279" s="201">
        <v>27926.77</v>
      </c>
      <c r="S279" s="201">
        <v>28216.49</v>
      </c>
      <c r="T279" s="201">
        <v>28689.98</v>
      </c>
      <c r="U279" s="201">
        <v>29221.21</v>
      </c>
      <c r="V279" s="201">
        <v>32081.32</v>
      </c>
      <c r="W279" s="201">
        <v>35904.769999999997</v>
      </c>
      <c r="X279" s="201">
        <v>37563.660000000003</v>
      </c>
      <c r="Y279" s="201">
        <v>37115.43</v>
      </c>
      <c r="Z279" s="201">
        <v>35987.980000000003</v>
      </c>
      <c r="AA279" s="201">
        <v>33885.94</v>
      </c>
      <c r="AB279" s="201">
        <v>31481.47</v>
      </c>
      <c r="AC279" s="214"/>
      <c r="AD279" s="18"/>
    </row>
    <row r="280" spans="2:30" ht="18.649999999999999" customHeight="1" x14ac:dyDescent="0.35">
      <c r="B280" s="207">
        <v>50222</v>
      </c>
      <c r="C280" s="13" t="s">
        <v>29</v>
      </c>
      <c r="D280" s="7">
        <v>22</v>
      </c>
      <c r="E280" s="200">
        <v>26446.29</v>
      </c>
      <c r="F280" s="200">
        <v>24984.78</v>
      </c>
      <c r="G280" s="200">
        <v>23881.99</v>
      </c>
      <c r="H280" s="200">
        <v>23149.759999999998</v>
      </c>
      <c r="I280" s="200">
        <v>23091.83</v>
      </c>
      <c r="J280" s="200">
        <v>23675.54</v>
      </c>
      <c r="K280" s="200">
        <v>23862.46</v>
      </c>
      <c r="L280" s="200">
        <v>26731.29</v>
      </c>
      <c r="M280" s="200">
        <v>29235.19</v>
      </c>
      <c r="N280" s="200">
        <v>30544.79</v>
      </c>
      <c r="O280" s="200">
        <v>32258.54</v>
      </c>
      <c r="P280" s="200">
        <v>33637.61</v>
      </c>
      <c r="Q280" s="200">
        <v>32381.040000000001</v>
      </c>
      <c r="R280" s="200">
        <v>33732.639999999999</v>
      </c>
      <c r="S280" s="200">
        <v>36006.65</v>
      </c>
      <c r="T280" s="200">
        <v>36426.85</v>
      </c>
      <c r="U280" s="200">
        <v>36372.92</v>
      </c>
      <c r="V280" s="200">
        <v>37304.43</v>
      </c>
      <c r="W280" s="200">
        <v>39177.83</v>
      </c>
      <c r="X280" s="200">
        <v>40070.199999999997</v>
      </c>
      <c r="Y280" s="200">
        <v>39035.379999999997</v>
      </c>
      <c r="Z280" s="200">
        <v>37142.17</v>
      </c>
      <c r="AA280" s="200">
        <v>34168.089999999997</v>
      </c>
      <c r="AB280" s="200">
        <v>31270.15</v>
      </c>
      <c r="AC280" s="210">
        <f>SUM(E280:AB280)*D280+SUM(E281:AB281)*D281+SUM(E282:AB282)*D282+SUM(E283:AB283)*D283</f>
        <v>22659465.899999999</v>
      </c>
      <c r="AD280" s="18"/>
    </row>
    <row r="281" spans="2:30" ht="18.649999999999999" customHeight="1" x14ac:dyDescent="0.35">
      <c r="B281" s="267"/>
      <c r="C281" s="9" t="s">
        <v>30</v>
      </c>
      <c r="D281" s="10">
        <v>4</v>
      </c>
      <c r="E281" s="197">
        <v>26937.55</v>
      </c>
      <c r="F281" s="197">
        <v>25295.05</v>
      </c>
      <c r="G281" s="197">
        <v>24095.22</v>
      </c>
      <c r="H281" s="197">
        <v>23384.73</v>
      </c>
      <c r="I281" s="197">
        <v>23016.959999999999</v>
      </c>
      <c r="J281" s="197">
        <v>22752.1</v>
      </c>
      <c r="K281" s="197">
        <v>22722.35</v>
      </c>
      <c r="L281" s="197">
        <v>25100.03</v>
      </c>
      <c r="M281" s="197">
        <v>27657.82</v>
      </c>
      <c r="N281" s="197">
        <v>29196.52</v>
      </c>
      <c r="O281" s="197">
        <v>30765.4</v>
      </c>
      <c r="P281" s="197">
        <v>31580.41</v>
      </c>
      <c r="Q281" s="197">
        <v>31048.04</v>
      </c>
      <c r="R281" s="197">
        <v>30671.14</v>
      </c>
      <c r="S281" s="197">
        <v>30826.67</v>
      </c>
      <c r="T281" s="197">
        <v>30795.09</v>
      </c>
      <c r="U281" s="197">
        <v>30966.73</v>
      </c>
      <c r="V281" s="197">
        <v>33724.720000000001</v>
      </c>
      <c r="W281" s="197">
        <v>36013.33</v>
      </c>
      <c r="X281" s="197">
        <v>36714.03</v>
      </c>
      <c r="Y281" s="197">
        <v>35525.01</v>
      </c>
      <c r="Z281" s="197">
        <v>34075.75</v>
      </c>
      <c r="AA281" s="197">
        <v>32244.83</v>
      </c>
      <c r="AB281" s="197">
        <v>30128.81</v>
      </c>
      <c r="AC281" s="210"/>
      <c r="AD281" s="18"/>
    </row>
    <row r="282" spans="2:30" ht="18.649999999999999" customHeight="1" x14ac:dyDescent="0.35">
      <c r="B282" s="267"/>
      <c r="C282" s="9" t="s">
        <v>31</v>
      </c>
      <c r="D282" s="10">
        <v>4</v>
      </c>
      <c r="E282" s="197">
        <v>25092.05</v>
      </c>
      <c r="F282" s="197">
        <v>23822.71</v>
      </c>
      <c r="G282" s="197">
        <v>22706.03</v>
      </c>
      <c r="H282" s="197">
        <v>22040.74</v>
      </c>
      <c r="I282" s="197">
        <v>21762.25</v>
      </c>
      <c r="J282" s="197">
        <v>21157.22</v>
      </c>
      <c r="K282" s="197">
        <v>20528.77</v>
      </c>
      <c r="L282" s="197">
        <v>21634.51</v>
      </c>
      <c r="M282" s="197">
        <v>22745.21</v>
      </c>
      <c r="N282" s="197">
        <v>23829.07</v>
      </c>
      <c r="O282" s="197">
        <v>24853.88</v>
      </c>
      <c r="P282" s="197">
        <v>25823.57</v>
      </c>
      <c r="Q282" s="197">
        <v>26601.41</v>
      </c>
      <c r="R282" s="197">
        <v>26908.68</v>
      </c>
      <c r="S282" s="197">
        <v>27256.02</v>
      </c>
      <c r="T282" s="197">
        <v>27880.51</v>
      </c>
      <c r="U282" s="197">
        <v>28302.21</v>
      </c>
      <c r="V282" s="197">
        <v>30991.31</v>
      </c>
      <c r="W282" s="197">
        <v>34739</v>
      </c>
      <c r="X282" s="197">
        <v>36658.370000000003</v>
      </c>
      <c r="Y282" s="197">
        <v>36122.49</v>
      </c>
      <c r="Z282" s="197">
        <v>34670.6</v>
      </c>
      <c r="AA282" s="197">
        <v>32022.799999999999</v>
      </c>
      <c r="AB282" s="197">
        <v>29364.09</v>
      </c>
      <c r="AC282" s="210"/>
      <c r="AD282" s="18"/>
    </row>
    <row r="283" spans="2:30" ht="18.649999999999999" customHeight="1" thickBot="1" x14ac:dyDescent="0.4">
      <c r="B283" s="268"/>
      <c r="C283" s="15" t="s">
        <v>32</v>
      </c>
      <c r="D283" s="12">
        <v>1</v>
      </c>
      <c r="E283" s="197">
        <v>25092.05</v>
      </c>
      <c r="F283" s="197">
        <v>23822.71</v>
      </c>
      <c r="G283" s="197">
        <v>22706.03</v>
      </c>
      <c r="H283" s="197">
        <v>22040.74</v>
      </c>
      <c r="I283" s="197">
        <v>21762.25</v>
      </c>
      <c r="J283" s="197">
        <v>21157.22</v>
      </c>
      <c r="K283" s="197">
        <v>20528.77</v>
      </c>
      <c r="L283" s="197">
        <v>21634.51</v>
      </c>
      <c r="M283" s="197">
        <v>22745.21</v>
      </c>
      <c r="N283" s="197">
        <v>23829.07</v>
      </c>
      <c r="O283" s="197">
        <v>24853.88</v>
      </c>
      <c r="P283" s="197">
        <v>25823.57</v>
      </c>
      <c r="Q283" s="197">
        <v>26601.41</v>
      </c>
      <c r="R283" s="197">
        <v>26908.68</v>
      </c>
      <c r="S283" s="197">
        <v>27256.02</v>
      </c>
      <c r="T283" s="197">
        <v>27880.51</v>
      </c>
      <c r="U283" s="197">
        <v>28302.21</v>
      </c>
      <c r="V283" s="197">
        <v>30991.31</v>
      </c>
      <c r="W283" s="197">
        <v>34739</v>
      </c>
      <c r="X283" s="197">
        <v>36658.370000000003</v>
      </c>
      <c r="Y283" s="197">
        <v>36122.49</v>
      </c>
      <c r="Z283" s="197">
        <v>34670.6</v>
      </c>
      <c r="AA283" s="197">
        <v>32022.799999999999</v>
      </c>
      <c r="AB283" s="197">
        <v>29364.09</v>
      </c>
      <c r="AC283" s="210"/>
      <c r="AD283" s="18"/>
    </row>
    <row r="284" spans="2:30" ht="18.649999999999999" customHeight="1" x14ac:dyDescent="0.35">
      <c r="B284" s="207">
        <v>50253</v>
      </c>
      <c r="C284" s="6" t="s">
        <v>29</v>
      </c>
      <c r="D284" s="7">
        <v>19</v>
      </c>
      <c r="E284" s="196">
        <v>26795.73</v>
      </c>
      <c r="F284" s="196">
        <v>25209.18</v>
      </c>
      <c r="G284" s="196">
        <v>24082.31</v>
      </c>
      <c r="H284" s="196">
        <v>23308.42</v>
      </c>
      <c r="I284" s="196">
        <v>23254.58</v>
      </c>
      <c r="J284" s="196">
        <v>24045.57</v>
      </c>
      <c r="K284" s="196">
        <v>24218.54</v>
      </c>
      <c r="L284" s="196">
        <v>26875.19</v>
      </c>
      <c r="M284" s="196">
        <v>29451.45</v>
      </c>
      <c r="N284" s="196">
        <v>30732.71</v>
      </c>
      <c r="O284" s="196">
        <v>32558.51</v>
      </c>
      <c r="P284" s="196">
        <v>34191.4</v>
      </c>
      <c r="Q284" s="196">
        <v>32730.61</v>
      </c>
      <c r="R284" s="196">
        <v>34005.78</v>
      </c>
      <c r="S284" s="196">
        <v>36390.410000000003</v>
      </c>
      <c r="T284" s="196">
        <v>36838.25</v>
      </c>
      <c r="U284" s="196">
        <v>36643.83</v>
      </c>
      <c r="V284" s="196">
        <v>37804.15</v>
      </c>
      <c r="W284" s="196">
        <v>40260.449999999997</v>
      </c>
      <c r="X284" s="196">
        <v>40859.19</v>
      </c>
      <c r="Y284" s="196">
        <v>39751.89</v>
      </c>
      <c r="Z284" s="196">
        <v>37766.07</v>
      </c>
      <c r="AA284" s="196">
        <v>34701.550000000003</v>
      </c>
      <c r="AB284" s="196">
        <v>31792.3</v>
      </c>
      <c r="AC284" s="209">
        <f>SUM(E284:AB284)*D284+SUM(E285:AB285)*D285+SUM(E286:AB286)*D286+SUM(E287:AB287)*D287</f>
        <v>22778903.740000002</v>
      </c>
      <c r="AD284" s="18"/>
    </row>
    <row r="285" spans="2:30" ht="18.649999999999999" customHeight="1" x14ac:dyDescent="0.35">
      <c r="B285" s="267"/>
      <c r="C285" s="9" t="s">
        <v>30</v>
      </c>
      <c r="D285" s="10">
        <v>5</v>
      </c>
      <c r="E285" s="197">
        <v>27149.29</v>
      </c>
      <c r="F285" s="197">
        <v>25659.279999999999</v>
      </c>
      <c r="G285" s="197">
        <v>24551.96</v>
      </c>
      <c r="H285" s="197">
        <v>23693</v>
      </c>
      <c r="I285" s="197">
        <v>23146.82</v>
      </c>
      <c r="J285" s="197">
        <v>22890.02</v>
      </c>
      <c r="K285" s="197">
        <v>22802.799999999999</v>
      </c>
      <c r="L285" s="197">
        <v>25184.720000000001</v>
      </c>
      <c r="M285" s="197">
        <v>27499.78</v>
      </c>
      <c r="N285" s="197">
        <v>29046.84</v>
      </c>
      <c r="O285" s="197">
        <v>30409.47</v>
      </c>
      <c r="P285" s="197">
        <v>30849.61</v>
      </c>
      <c r="Q285" s="197">
        <v>30300.21</v>
      </c>
      <c r="R285" s="197">
        <v>29959.7</v>
      </c>
      <c r="S285" s="197">
        <v>30517.5</v>
      </c>
      <c r="T285" s="197">
        <v>30901.9</v>
      </c>
      <c r="U285" s="197">
        <v>31152.82</v>
      </c>
      <c r="V285" s="197">
        <v>33987.79</v>
      </c>
      <c r="W285" s="197">
        <v>37687.160000000003</v>
      </c>
      <c r="X285" s="197">
        <v>37927.43</v>
      </c>
      <c r="Y285" s="197">
        <v>36561.800000000003</v>
      </c>
      <c r="Z285" s="197">
        <v>34948.839999999997</v>
      </c>
      <c r="AA285" s="197">
        <v>32876.04</v>
      </c>
      <c r="AB285" s="197">
        <v>30578.39</v>
      </c>
      <c r="AC285" s="210"/>
      <c r="AD285" s="18"/>
    </row>
    <row r="286" spans="2:30" ht="18.649999999999999" customHeight="1" x14ac:dyDescent="0.35">
      <c r="B286" s="267"/>
      <c r="C286" s="9" t="s">
        <v>31</v>
      </c>
      <c r="D286" s="10">
        <v>5</v>
      </c>
      <c r="E286" s="197">
        <v>26465.7</v>
      </c>
      <c r="F286" s="197">
        <v>25088.67</v>
      </c>
      <c r="G286" s="197">
        <v>23875.93</v>
      </c>
      <c r="H286" s="197">
        <v>23174.07</v>
      </c>
      <c r="I286" s="197">
        <v>22790.53</v>
      </c>
      <c r="J286" s="197">
        <v>22411</v>
      </c>
      <c r="K286" s="197">
        <v>21659.599999999999</v>
      </c>
      <c r="L286" s="197">
        <v>22789.56</v>
      </c>
      <c r="M286" s="197">
        <v>23815.360000000001</v>
      </c>
      <c r="N286" s="197">
        <v>24869.52</v>
      </c>
      <c r="O286" s="197">
        <v>25862.27</v>
      </c>
      <c r="P286" s="197">
        <v>26774.54</v>
      </c>
      <c r="Q286" s="197">
        <v>27377.119999999999</v>
      </c>
      <c r="R286" s="197">
        <v>27588.560000000001</v>
      </c>
      <c r="S286" s="197">
        <v>27929.24</v>
      </c>
      <c r="T286" s="197">
        <v>28371.32</v>
      </c>
      <c r="U286" s="197">
        <v>28852.2</v>
      </c>
      <c r="V286" s="197">
        <v>31885.29</v>
      </c>
      <c r="W286" s="197">
        <v>36018.639999999999</v>
      </c>
      <c r="X286" s="197">
        <v>37514.769999999997</v>
      </c>
      <c r="Y286" s="197">
        <v>37239.300000000003</v>
      </c>
      <c r="Z286" s="197">
        <v>35969.599999999999</v>
      </c>
      <c r="AA286" s="197">
        <v>33386.870000000003</v>
      </c>
      <c r="AB286" s="197">
        <v>30632.42</v>
      </c>
      <c r="AC286" s="210"/>
      <c r="AD286" s="18"/>
    </row>
    <row r="287" spans="2:30" ht="18.649999999999999" customHeight="1" thickBot="1" x14ac:dyDescent="0.4">
      <c r="B287" s="268"/>
      <c r="C287" s="11" t="s">
        <v>32</v>
      </c>
      <c r="D287" s="12">
        <v>2</v>
      </c>
      <c r="E287" s="201">
        <v>26465.7</v>
      </c>
      <c r="F287" s="201">
        <v>25088.67</v>
      </c>
      <c r="G287" s="201">
        <v>23875.93</v>
      </c>
      <c r="H287" s="201">
        <v>23174.07</v>
      </c>
      <c r="I287" s="201">
        <v>22790.53</v>
      </c>
      <c r="J287" s="201">
        <v>22411</v>
      </c>
      <c r="K287" s="201">
        <v>21659.599999999999</v>
      </c>
      <c r="L287" s="201">
        <v>22789.56</v>
      </c>
      <c r="M287" s="201">
        <v>23815.360000000001</v>
      </c>
      <c r="N287" s="201">
        <v>24869.52</v>
      </c>
      <c r="O287" s="201">
        <v>25862.27</v>
      </c>
      <c r="P287" s="201">
        <v>26774.54</v>
      </c>
      <c r="Q287" s="201">
        <v>27377.119999999999</v>
      </c>
      <c r="R287" s="201">
        <v>27588.560000000001</v>
      </c>
      <c r="S287" s="201">
        <v>27929.24</v>
      </c>
      <c r="T287" s="201">
        <v>28371.32</v>
      </c>
      <c r="U287" s="201">
        <v>28852.2</v>
      </c>
      <c r="V287" s="201">
        <v>31885.29</v>
      </c>
      <c r="W287" s="201">
        <v>36018.639999999999</v>
      </c>
      <c r="X287" s="201">
        <v>37514.769999999997</v>
      </c>
      <c r="Y287" s="201">
        <v>37239.300000000003</v>
      </c>
      <c r="Z287" s="201">
        <v>35969.599999999999</v>
      </c>
      <c r="AA287" s="201">
        <v>33386.870000000003</v>
      </c>
      <c r="AB287" s="201">
        <v>30632.42</v>
      </c>
      <c r="AC287" s="214"/>
      <c r="AD287" s="18"/>
    </row>
    <row r="288" spans="2:30" ht="18.649999999999999" customHeight="1" x14ac:dyDescent="0.35">
      <c r="B288" s="207">
        <v>50284</v>
      </c>
      <c r="C288" s="13" t="s">
        <v>29</v>
      </c>
      <c r="D288" s="14">
        <v>22</v>
      </c>
      <c r="E288" s="200">
        <v>26285.96</v>
      </c>
      <c r="F288" s="200">
        <v>24792.19</v>
      </c>
      <c r="G288" s="200">
        <v>23683.14</v>
      </c>
      <c r="H288" s="200">
        <v>22865.38</v>
      </c>
      <c r="I288" s="200">
        <v>22797.27</v>
      </c>
      <c r="J288" s="200">
        <v>23548.75</v>
      </c>
      <c r="K288" s="200">
        <v>23749.8</v>
      </c>
      <c r="L288" s="200">
        <v>26508.959999999999</v>
      </c>
      <c r="M288" s="200">
        <v>29189.9</v>
      </c>
      <c r="N288" s="200">
        <v>30516.19</v>
      </c>
      <c r="O288" s="200">
        <v>32065.200000000001</v>
      </c>
      <c r="P288" s="200">
        <v>33519.910000000003</v>
      </c>
      <c r="Q288" s="200">
        <v>32260.22</v>
      </c>
      <c r="R288" s="200">
        <v>33362.07</v>
      </c>
      <c r="S288" s="200">
        <v>35550.019999999997</v>
      </c>
      <c r="T288" s="200">
        <v>35998.21</v>
      </c>
      <c r="U288" s="200">
        <v>35861.980000000003</v>
      </c>
      <c r="V288" s="200">
        <v>37396.050000000003</v>
      </c>
      <c r="W288" s="200">
        <v>39949.370000000003</v>
      </c>
      <c r="X288" s="200">
        <v>39579.07</v>
      </c>
      <c r="Y288" s="200">
        <v>38366.81</v>
      </c>
      <c r="Z288" s="200">
        <v>36337.050000000003</v>
      </c>
      <c r="AA288" s="200">
        <v>33278.32</v>
      </c>
      <c r="AB288" s="200">
        <v>30481.46</v>
      </c>
      <c r="AC288" s="210">
        <f>SUM(E288:AB288)*D288+SUM(E289:AB289)*D289+SUM(E290:AB290)*D290+SUM(E291:AB291)*D291</f>
        <v>21876542.199999999</v>
      </c>
      <c r="AD288" s="18"/>
    </row>
    <row r="289" spans="2:31" ht="18.649999999999999" customHeight="1" x14ac:dyDescent="0.35">
      <c r="B289" s="267"/>
      <c r="C289" s="9" t="s">
        <v>30</v>
      </c>
      <c r="D289" s="10">
        <v>4</v>
      </c>
      <c r="E289" s="197">
        <v>25428.01</v>
      </c>
      <c r="F289" s="197">
        <v>24041.52</v>
      </c>
      <c r="G289" s="197">
        <v>22993.279999999999</v>
      </c>
      <c r="H289" s="197">
        <v>22222.05</v>
      </c>
      <c r="I289" s="197">
        <v>21993.61</v>
      </c>
      <c r="J289" s="197">
        <v>21833.15</v>
      </c>
      <c r="K289" s="197">
        <v>21970.76</v>
      </c>
      <c r="L289" s="197">
        <v>24542.95</v>
      </c>
      <c r="M289" s="197">
        <v>27107.16</v>
      </c>
      <c r="N289" s="197">
        <v>28335.08</v>
      </c>
      <c r="O289" s="197">
        <v>30036.42</v>
      </c>
      <c r="P289" s="197">
        <v>30818.36</v>
      </c>
      <c r="Q289" s="197">
        <v>30479.56</v>
      </c>
      <c r="R289" s="197">
        <v>30149.39</v>
      </c>
      <c r="S289" s="197">
        <v>30522.22</v>
      </c>
      <c r="T289" s="197">
        <v>30640.65</v>
      </c>
      <c r="U289" s="197">
        <v>30712.41</v>
      </c>
      <c r="V289" s="197">
        <v>34061.68</v>
      </c>
      <c r="W289" s="197">
        <v>37884.78</v>
      </c>
      <c r="X289" s="197">
        <v>37589.050000000003</v>
      </c>
      <c r="Y289" s="197">
        <v>36298.519999999997</v>
      </c>
      <c r="Z289" s="197">
        <v>34686.04</v>
      </c>
      <c r="AA289" s="197">
        <v>32849.519999999997</v>
      </c>
      <c r="AB289" s="197">
        <v>30599.919999999998</v>
      </c>
      <c r="AC289" s="210"/>
      <c r="AD289" s="18"/>
    </row>
    <row r="290" spans="2:31" ht="18.649999999999999" customHeight="1" x14ac:dyDescent="0.35">
      <c r="B290" s="267"/>
      <c r="C290" s="9" t="s">
        <v>31</v>
      </c>
      <c r="D290" s="10">
        <v>4</v>
      </c>
      <c r="E290" s="197">
        <v>26159.39</v>
      </c>
      <c r="F290" s="197">
        <v>24728.78</v>
      </c>
      <c r="G290" s="197">
        <v>23480.42</v>
      </c>
      <c r="H290" s="197">
        <v>22653.15</v>
      </c>
      <c r="I290" s="197">
        <v>22292.57</v>
      </c>
      <c r="J290" s="197">
        <v>21612.959999999999</v>
      </c>
      <c r="K290" s="197">
        <v>20847.18</v>
      </c>
      <c r="L290" s="197">
        <v>22168.98</v>
      </c>
      <c r="M290" s="197">
        <v>23253.81</v>
      </c>
      <c r="N290" s="197">
        <v>24518.33</v>
      </c>
      <c r="O290" s="197">
        <v>25550.69</v>
      </c>
      <c r="P290" s="197">
        <v>26255.77</v>
      </c>
      <c r="Q290" s="197">
        <v>26957.439999999999</v>
      </c>
      <c r="R290" s="197">
        <v>27140.17</v>
      </c>
      <c r="S290" s="197">
        <v>27282.62</v>
      </c>
      <c r="T290" s="197">
        <v>27874.36</v>
      </c>
      <c r="U290" s="197">
        <v>28287.56</v>
      </c>
      <c r="V290" s="197">
        <v>31708.51</v>
      </c>
      <c r="W290" s="197">
        <v>35862.76</v>
      </c>
      <c r="X290" s="197">
        <v>36431.26</v>
      </c>
      <c r="Y290" s="197">
        <v>36001.17</v>
      </c>
      <c r="Z290" s="197">
        <v>34695.83</v>
      </c>
      <c r="AA290" s="197">
        <v>32257.35</v>
      </c>
      <c r="AB290" s="197">
        <v>29630.36</v>
      </c>
      <c r="AC290" s="210"/>
      <c r="AD290" s="18"/>
    </row>
    <row r="291" spans="2:31" ht="18.649999999999999" customHeight="1" thickBot="1" x14ac:dyDescent="0.4">
      <c r="B291" s="268"/>
      <c r="C291" s="15" t="s">
        <v>32</v>
      </c>
      <c r="D291" s="16">
        <v>0</v>
      </c>
      <c r="E291" s="199">
        <v>0</v>
      </c>
      <c r="F291" s="199">
        <v>0</v>
      </c>
      <c r="G291" s="199">
        <v>0</v>
      </c>
      <c r="H291" s="199">
        <v>0</v>
      </c>
      <c r="I291" s="199">
        <v>0</v>
      </c>
      <c r="J291" s="199">
        <v>0</v>
      </c>
      <c r="K291" s="199">
        <v>0</v>
      </c>
      <c r="L291" s="199">
        <v>0</v>
      </c>
      <c r="M291" s="199">
        <v>0</v>
      </c>
      <c r="N291" s="199">
        <v>0</v>
      </c>
      <c r="O291" s="199">
        <v>0</v>
      </c>
      <c r="P291" s="199">
        <v>0</v>
      </c>
      <c r="Q291" s="199">
        <v>0</v>
      </c>
      <c r="R291" s="199">
        <v>0</v>
      </c>
      <c r="S291" s="199">
        <v>0</v>
      </c>
      <c r="T291" s="199">
        <v>0</v>
      </c>
      <c r="U291" s="199">
        <v>0</v>
      </c>
      <c r="V291" s="199">
        <v>0</v>
      </c>
      <c r="W291" s="199">
        <v>0</v>
      </c>
      <c r="X291" s="199">
        <v>0</v>
      </c>
      <c r="Y291" s="199">
        <v>0</v>
      </c>
      <c r="Z291" s="199">
        <v>0</v>
      </c>
      <c r="AA291" s="199">
        <v>0</v>
      </c>
      <c r="AB291" s="199">
        <v>0</v>
      </c>
      <c r="AC291" s="210"/>
      <c r="AD291" s="18"/>
    </row>
    <row r="292" spans="2:31" ht="18.649999999999999" customHeight="1" x14ac:dyDescent="0.35">
      <c r="B292" s="207">
        <v>50314</v>
      </c>
      <c r="C292" s="6" t="s">
        <v>29</v>
      </c>
      <c r="D292" s="7">
        <v>21</v>
      </c>
      <c r="E292" s="196">
        <v>25373.09</v>
      </c>
      <c r="F292" s="196">
        <v>23931.41</v>
      </c>
      <c r="G292" s="196">
        <v>22887.64</v>
      </c>
      <c r="H292" s="196">
        <v>22119.98</v>
      </c>
      <c r="I292" s="196">
        <v>22162.799999999999</v>
      </c>
      <c r="J292" s="196">
        <v>22829.24</v>
      </c>
      <c r="K292" s="196">
        <v>23322.11</v>
      </c>
      <c r="L292" s="196">
        <v>26102.080000000002</v>
      </c>
      <c r="M292" s="196">
        <v>28640.02</v>
      </c>
      <c r="N292" s="196">
        <v>29935.06</v>
      </c>
      <c r="O292" s="196">
        <v>31407.35</v>
      </c>
      <c r="P292" s="196">
        <v>32716.36</v>
      </c>
      <c r="Q292" s="196">
        <v>31209.29</v>
      </c>
      <c r="R292" s="196">
        <v>32192.54</v>
      </c>
      <c r="S292" s="196">
        <v>34294.769999999997</v>
      </c>
      <c r="T292" s="196">
        <v>34993.81</v>
      </c>
      <c r="U292" s="196">
        <v>35157.24</v>
      </c>
      <c r="V292" s="196">
        <v>37635.550000000003</v>
      </c>
      <c r="W292" s="196">
        <v>40005.120000000003</v>
      </c>
      <c r="X292" s="196">
        <v>39129.279999999999</v>
      </c>
      <c r="Y292" s="196">
        <v>37721.879999999997</v>
      </c>
      <c r="Z292" s="196">
        <v>35700.089999999997</v>
      </c>
      <c r="AA292" s="196">
        <v>32716.54</v>
      </c>
      <c r="AB292" s="196">
        <v>29802.54</v>
      </c>
      <c r="AC292" s="209">
        <f>SUM(E292:AB292)*D292+SUM(E293:AB293)*D293+SUM(E294:AB294)*D294+SUM(E295:AB295)*D295</f>
        <v>22146231.140000004</v>
      </c>
      <c r="AD292" s="18"/>
    </row>
    <row r="293" spans="2:31" ht="18.649999999999999" customHeight="1" x14ac:dyDescent="0.35">
      <c r="B293" s="267"/>
      <c r="C293" s="9" t="s">
        <v>30</v>
      </c>
      <c r="D293" s="10">
        <v>5</v>
      </c>
      <c r="E293" s="197">
        <v>25778.11</v>
      </c>
      <c r="F293" s="197">
        <v>24199.94</v>
      </c>
      <c r="G293" s="197">
        <v>22948.69</v>
      </c>
      <c r="H293" s="197">
        <v>22167.8</v>
      </c>
      <c r="I293" s="197">
        <v>22137.31</v>
      </c>
      <c r="J293" s="197">
        <v>22015.01</v>
      </c>
      <c r="K293" s="197">
        <v>22251.01</v>
      </c>
      <c r="L293" s="197">
        <v>24557.33</v>
      </c>
      <c r="M293" s="197">
        <v>27035.17</v>
      </c>
      <c r="N293" s="197">
        <v>28423.42</v>
      </c>
      <c r="O293" s="197">
        <v>30008.94</v>
      </c>
      <c r="P293" s="197">
        <v>30838.21</v>
      </c>
      <c r="Q293" s="197">
        <v>30224.46</v>
      </c>
      <c r="R293" s="197">
        <v>29910.12</v>
      </c>
      <c r="S293" s="197">
        <v>30409.85</v>
      </c>
      <c r="T293" s="197">
        <v>31023.279999999999</v>
      </c>
      <c r="U293" s="197">
        <v>31335.42</v>
      </c>
      <c r="V293" s="197">
        <v>34987.9</v>
      </c>
      <c r="W293" s="197">
        <v>38283.370000000003</v>
      </c>
      <c r="X293" s="197">
        <v>37564.629999999997</v>
      </c>
      <c r="Y293" s="197">
        <v>36129.35</v>
      </c>
      <c r="Z293" s="197">
        <v>34335.67</v>
      </c>
      <c r="AA293" s="197">
        <v>32208.02</v>
      </c>
      <c r="AB293" s="197">
        <v>29927.67</v>
      </c>
      <c r="AC293" s="210"/>
      <c r="AD293" s="18"/>
    </row>
    <row r="294" spans="2:31" ht="18.649999999999999" customHeight="1" x14ac:dyDescent="0.35">
      <c r="B294" s="267"/>
      <c r="C294" s="9" t="s">
        <v>31</v>
      </c>
      <c r="D294" s="10">
        <v>4</v>
      </c>
      <c r="E294" s="197">
        <v>25639.7</v>
      </c>
      <c r="F294" s="197">
        <v>24186.560000000001</v>
      </c>
      <c r="G294" s="197">
        <v>23020.95</v>
      </c>
      <c r="H294" s="197">
        <v>22306.92</v>
      </c>
      <c r="I294" s="197">
        <v>21969.46</v>
      </c>
      <c r="J294" s="197">
        <v>21445.06</v>
      </c>
      <c r="K294" s="197">
        <v>20653.27</v>
      </c>
      <c r="L294" s="197">
        <v>21949.4</v>
      </c>
      <c r="M294" s="197">
        <v>23189.58</v>
      </c>
      <c r="N294" s="197">
        <v>24273.21</v>
      </c>
      <c r="O294" s="197">
        <v>25437.48</v>
      </c>
      <c r="P294" s="197">
        <v>26485.83</v>
      </c>
      <c r="Q294" s="197">
        <v>27060.36</v>
      </c>
      <c r="R294" s="197">
        <v>27221.91</v>
      </c>
      <c r="S294" s="197">
        <v>27568.63</v>
      </c>
      <c r="T294" s="197">
        <v>27735.74</v>
      </c>
      <c r="U294" s="197">
        <v>28510.67</v>
      </c>
      <c r="V294" s="197">
        <v>32395.74</v>
      </c>
      <c r="W294" s="197">
        <v>36324.68</v>
      </c>
      <c r="X294" s="197">
        <v>36563.040000000001</v>
      </c>
      <c r="Y294" s="197">
        <v>36026.69</v>
      </c>
      <c r="Z294" s="197">
        <v>34642.81</v>
      </c>
      <c r="AA294" s="197">
        <v>32090.37</v>
      </c>
      <c r="AB294" s="197">
        <v>29507.17</v>
      </c>
      <c r="AC294" s="210"/>
      <c r="AD294" s="18"/>
    </row>
    <row r="295" spans="2:31" ht="18.649999999999999" customHeight="1" thickBot="1" x14ac:dyDescent="0.4">
      <c r="B295" s="268"/>
      <c r="C295" s="11" t="s">
        <v>32</v>
      </c>
      <c r="D295" s="12">
        <v>1</v>
      </c>
      <c r="E295" s="201">
        <v>25639.7</v>
      </c>
      <c r="F295" s="201">
        <v>24186.560000000001</v>
      </c>
      <c r="G295" s="201">
        <v>23020.95</v>
      </c>
      <c r="H295" s="201">
        <v>22306.92</v>
      </c>
      <c r="I295" s="201">
        <v>21969.46</v>
      </c>
      <c r="J295" s="201">
        <v>21445.06</v>
      </c>
      <c r="K295" s="201">
        <v>20653.27</v>
      </c>
      <c r="L295" s="201">
        <v>21949.4</v>
      </c>
      <c r="M295" s="201">
        <v>23189.58</v>
      </c>
      <c r="N295" s="201">
        <v>24273.21</v>
      </c>
      <c r="O295" s="201">
        <v>25437.48</v>
      </c>
      <c r="P295" s="201">
        <v>26485.83</v>
      </c>
      <c r="Q295" s="201">
        <v>27060.36</v>
      </c>
      <c r="R295" s="201">
        <v>27221.91</v>
      </c>
      <c r="S295" s="201">
        <v>27568.63</v>
      </c>
      <c r="T295" s="201">
        <v>27735.74</v>
      </c>
      <c r="U295" s="201">
        <v>28510.67</v>
      </c>
      <c r="V295" s="201">
        <v>32395.74</v>
      </c>
      <c r="W295" s="201">
        <v>36324.68</v>
      </c>
      <c r="X295" s="201">
        <v>36563.040000000001</v>
      </c>
      <c r="Y295" s="201">
        <v>36026.69</v>
      </c>
      <c r="Z295" s="201">
        <v>34642.81</v>
      </c>
      <c r="AA295" s="201">
        <v>32090.37</v>
      </c>
      <c r="AB295" s="201">
        <v>29507.17</v>
      </c>
      <c r="AC295" s="214"/>
      <c r="AD295" s="18"/>
    </row>
    <row r="296" spans="2:31" ht="18.649999999999999" customHeight="1" x14ac:dyDescent="0.35">
      <c r="B296" s="207">
        <v>50345</v>
      </c>
      <c r="C296" s="13" t="s">
        <v>29</v>
      </c>
      <c r="D296" s="14">
        <v>19</v>
      </c>
      <c r="E296" s="200">
        <v>25050.14</v>
      </c>
      <c r="F296" s="200">
        <v>23654.49</v>
      </c>
      <c r="G296" s="200">
        <v>22625.42</v>
      </c>
      <c r="H296" s="200">
        <v>21928</v>
      </c>
      <c r="I296" s="200">
        <v>21973.26</v>
      </c>
      <c r="J296" s="200">
        <v>22640.9</v>
      </c>
      <c r="K296" s="200">
        <v>23159.16</v>
      </c>
      <c r="L296" s="200">
        <v>26113.43</v>
      </c>
      <c r="M296" s="200">
        <v>28688.93</v>
      </c>
      <c r="N296" s="200">
        <v>29916.799999999999</v>
      </c>
      <c r="O296" s="200">
        <v>31302.65</v>
      </c>
      <c r="P296" s="200">
        <v>32357.200000000001</v>
      </c>
      <c r="Q296" s="200">
        <v>30936.18</v>
      </c>
      <c r="R296" s="200">
        <v>31762.33</v>
      </c>
      <c r="S296" s="200">
        <v>33606.32</v>
      </c>
      <c r="T296" s="200">
        <v>34322.379999999997</v>
      </c>
      <c r="U296" s="200">
        <v>34576.6</v>
      </c>
      <c r="V296" s="200">
        <v>37346.89</v>
      </c>
      <c r="W296" s="200">
        <v>39169.449999999997</v>
      </c>
      <c r="X296" s="200">
        <v>38286.93</v>
      </c>
      <c r="Y296" s="200">
        <v>36994.21</v>
      </c>
      <c r="Z296" s="200">
        <v>35074.49</v>
      </c>
      <c r="AA296" s="200">
        <v>32248.080000000002</v>
      </c>
      <c r="AB296" s="200">
        <v>29452.43</v>
      </c>
      <c r="AC296" s="210">
        <f>SUM(E296:AB296)*D296+SUM(E297:AB297)*D297+SUM(E298:AB298)*D298+SUM(E299:AB299)*D299</f>
        <v>20985825.359999999</v>
      </c>
      <c r="AD296" s="18"/>
    </row>
    <row r="297" spans="2:31" ht="18.649999999999999" customHeight="1" x14ac:dyDescent="0.35">
      <c r="B297" s="267"/>
      <c r="C297" s="9" t="s">
        <v>30</v>
      </c>
      <c r="D297" s="10">
        <v>4</v>
      </c>
      <c r="E297" s="197">
        <v>24311.96</v>
      </c>
      <c r="F297" s="197">
        <v>23043.96</v>
      </c>
      <c r="G297" s="197">
        <v>22133.43</v>
      </c>
      <c r="H297" s="197">
        <v>21538.78</v>
      </c>
      <c r="I297" s="197">
        <v>21501.360000000001</v>
      </c>
      <c r="J297" s="197">
        <v>21409.74</v>
      </c>
      <c r="K297" s="197">
        <v>21660.400000000001</v>
      </c>
      <c r="L297" s="197">
        <v>24386.23</v>
      </c>
      <c r="M297" s="197">
        <v>26964.5</v>
      </c>
      <c r="N297" s="197">
        <v>28377.15</v>
      </c>
      <c r="O297" s="197">
        <v>29982.04</v>
      </c>
      <c r="P297" s="197">
        <v>30649.52</v>
      </c>
      <c r="Q297" s="197">
        <v>30064.6</v>
      </c>
      <c r="R297" s="197">
        <v>29445.35</v>
      </c>
      <c r="S297" s="197">
        <v>29332.57</v>
      </c>
      <c r="T297" s="197">
        <v>29869.64</v>
      </c>
      <c r="U297" s="197">
        <v>30294.76</v>
      </c>
      <c r="V297" s="197">
        <v>34405.57</v>
      </c>
      <c r="W297" s="197">
        <v>37206.04</v>
      </c>
      <c r="X297" s="197">
        <v>36576.15</v>
      </c>
      <c r="Y297" s="197">
        <v>35295.730000000003</v>
      </c>
      <c r="Z297" s="197">
        <v>33704.769999999997</v>
      </c>
      <c r="AA297" s="197">
        <v>31695.86</v>
      </c>
      <c r="AB297" s="197">
        <v>29414.14</v>
      </c>
      <c r="AC297" s="210"/>
      <c r="AD297" s="18"/>
    </row>
    <row r="298" spans="2:31" ht="18.649999999999999" customHeight="1" x14ac:dyDescent="0.35">
      <c r="B298" s="267"/>
      <c r="C298" s="9" t="s">
        <v>31</v>
      </c>
      <c r="D298" s="10">
        <v>5</v>
      </c>
      <c r="E298" s="197">
        <v>25377.86</v>
      </c>
      <c r="F298" s="197">
        <v>24086.21</v>
      </c>
      <c r="G298" s="197">
        <v>22944.799999999999</v>
      </c>
      <c r="H298" s="197">
        <v>22169.99</v>
      </c>
      <c r="I298" s="197">
        <v>21840.73</v>
      </c>
      <c r="J298" s="197">
        <v>21425.37</v>
      </c>
      <c r="K298" s="197">
        <v>20725.78</v>
      </c>
      <c r="L298" s="197">
        <v>21990.34</v>
      </c>
      <c r="M298" s="197">
        <v>23224.05</v>
      </c>
      <c r="N298" s="197">
        <v>24337.51</v>
      </c>
      <c r="O298" s="197">
        <v>25534.27</v>
      </c>
      <c r="P298" s="197">
        <v>26168.880000000001</v>
      </c>
      <c r="Q298" s="197">
        <v>26724.48</v>
      </c>
      <c r="R298" s="197">
        <v>26783.119999999999</v>
      </c>
      <c r="S298" s="197">
        <v>26824.33</v>
      </c>
      <c r="T298" s="197">
        <v>27206.18</v>
      </c>
      <c r="U298" s="197">
        <v>27780.17</v>
      </c>
      <c r="V298" s="197">
        <v>32082.240000000002</v>
      </c>
      <c r="W298" s="197">
        <v>35069.870000000003</v>
      </c>
      <c r="X298" s="197">
        <v>35110.92</v>
      </c>
      <c r="Y298" s="197">
        <v>34348.81</v>
      </c>
      <c r="Z298" s="197">
        <v>33044.480000000003</v>
      </c>
      <c r="AA298" s="197">
        <v>30993.52</v>
      </c>
      <c r="AB298" s="197">
        <v>28809.18</v>
      </c>
      <c r="AC298" s="210"/>
      <c r="AD298" s="18"/>
    </row>
    <row r="299" spans="2:31" ht="18.649999999999999" customHeight="1" thickBot="1" x14ac:dyDescent="0.4">
      <c r="B299" s="268"/>
      <c r="C299" s="15" t="s">
        <v>32</v>
      </c>
      <c r="D299" s="16">
        <v>2</v>
      </c>
      <c r="E299" s="198">
        <v>25377.86</v>
      </c>
      <c r="F299" s="198">
        <v>24086.21</v>
      </c>
      <c r="G299" s="198">
        <v>22944.799999999999</v>
      </c>
      <c r="H299" s="198">
        <v>22169.99</v>
      </c>
      <c r="I299" s="198">
        <v>21840.73</v>
      </c>
      <c r="J299" s="198">
        <v>21425.37</v>
      </c>
      <c r="K299" s="198">
        <v>20725.78</v>
      </c>
      <c r="L299" s="198">
        <v>21990.34</v>
      </c>
      <c r="M299" s="198">
        <v>23224.05</v>
      </c>
      <c r="N299" s="198">
        <v>24337.51</v>
      </c>
      <c r="O299" s="198">
        <v>25534.27</v>
      </c>
      <c r="P299" s="198">
        <v>26168.880000000001</v>
      </c>
      <c r="Q299" s="198">
        <v>26724.48</v>
      </c>
      <c r="R299" s="198">
        <v>26783.119999999999</v>
      </c>
      <c r="S299" s="198">
        <v>26824.33</v>
      </c>
      <c r="T299" s="198">
        <v>27206.18</v>
      </c>
      <c r="U299" s="198">
        <v>27780.17</v>
      </c>
      <c r="V299" s="198">
        <v>32082.240000000002</v>
      </c>
      <c r="W299" s="198">
        <v>35069.870000000003</v>
      </c>
      <c r="X299" s="198">
        <v>35110.92</v>
      </c>
      <c r="Y299" s="198">
        <v>34348.81</v>
      </c>
      <c r="Z299" s="198">
        <v>33044.480000000003</v>
      </c>
      <c r="AA299" s="198">
        <v>30993.52</v>
      </c>
      <c r="AB299" s="198">
        <v>28809.18</v>
      </c>
      <c r="AC299" s="210"/>
      <c r="AD299" s="18"/>
    </row>
    <row r="300" spans="2:31" ht="18.649999999999999" customHeight="1" x14ac:dyDescent="0.35">
      <c r="B300" s="207">
        <v>50375</v>
      </c>
      <c r="C300" s="6" t="s">
        <v>29</v>
      </c>
      <c r="D300" s="7">
        <v>21</v>
      </c>
      <c r="E300" s="196">
        <v>26968.1</v>
      </c>
      <c r="F300" s="196">
        <v>25372.66</v>
      </c>
      <c r="G300" s="196">
        <v>24218.41</v>
      </c>
      <c r="H300" s="196">
        <v>23503.95</v>
      </c>
      <c r="I300" s="196">
        <v>23390.83</v>
      </c>
      <c r="J300" s="196">
        <v>23821.53</v>
      </c>
      <c r="K300" s="196">
        <v>23899.9</v>
      </c>
      <c r="L300" s="196">
        <v>26745.39</v>
      </c>
      <c r="M300" s="196">
        <v>29275.93</v>
      </c>
      <c r="N300" s="196">
        <v>30734.32</v>
      </c>
      <c r="O300" s="196">
        <v>32097.19</v>
      </c>
      <c r="P300" s="196">
        <v>33199.18</v>
      </c>
      <c r="Q300" s="196">
        <v>32228.19</v>
      </c>
      <c r="R300" s="196">
        <v>32740.26</v>
      </c>
      <c r="S300" s="196">
        <v>34366.400000000001</v>
      </c>
      <c r="T300" s="196">
        <v>35077.040000000001</v>
      </c>
      <c r="U300" s="196">
        <v>35386.03</v>
      </c>
      <c r="V300" s="196">
        <v>38128.54</v>
      </c>
      <c r="W300" s="196">
        <v>41143.26</v>
      </c>
      <c r="X300" s="196">
        <v>40368.639999999999</v>
      </c>
      <c r="Y300" s="196">
        <v>38926.44</v>
      </c>
      <c r="Z300" s="196">
        <v>36835.89</v>
      </c>
      <c r="AA300" s="196">
        <v>34180.589999999997</v>
      </c>
      <c r="AB300" s="196">
        <v>31608.93</v>
      </c>
      <c r="AC300" s="209">
        <f>SUM(E300:AB300)*D300+SUM(E301:AB301)*D301+SUM(E302:AB302)*D302+SUM(E303:AB303)*D303</f>
        <v>22896078.259999998</v>
      </c>
      <c r="AD300" s="18"/>
    </row>
    <row r="301" spans="2:31" ht="18.649999999999999" customHeight="1" x14ac:dyDescent="0.35">
      <c r="B301" s="267"/>
      <c r="C301" s="9" t="s">
        <v>30</v>
      </c>
      <c r="D301" s="10">
        <v>4</v>
      </c>
      <c r="E301" s="197">
        <v>27405.279999999999</v>
      </c>
      <c r="F301" s="197">
        <v>25729.8</v>
      </c>
      <c r="G301" s="197">
        <v>24639.38</v>
      </c>
      <c r="H301" s="197">
        <v>23827.97</v>
      </c>
      <c r="I301" s="197">
        <v>23583.88</v>
      </c>
      <c r="J301" s="197">
        <v>23606.2</v>
      </c>
      <c r="K301" s="197">
        <v>23266.59</v>
      </c>
      <c r="L301" s="197">
        <v>25343.08</v>
      </c>
      <c r="M301" s="197">
        <v>28133.29</v>
      </c>
      <c r="N301" s="197">
        <v>29756.44</v>
      </c>
      <c r="O301" s="197">
        <v>31218.29</v>
      </c>
      <c r="P301" s="197">
        <v>32175.15</v>
      </c>
      <c r="Q301" s="197">
        <v>31594.54</v>
      </c>
      <c r="R301" s="197">
        <v>31445.27</v>
      </c>
      <c r="S301" s="197">
        <v>31426.17</v>
      </c>
      <c r="T301" s="197">
        <v>32057.73</v>
      </c>
      <c r="U301" s="197">
        <v>32555.360000000001</v>
      </c>
      <c r="V301" s="197">
        <v>35968.129999999997</v>
      </c>
      <c r="W301" s="197">
        <v>39964.44</v>
      </c>
      <c r="X301" s="197">
        <v>39367.17</v>
      </c>
      <c r="Y301" s="197">
        <v>37879.69</v>
      </c>
      <c r="Z301" s="197">
        <v>36299.660000000003</v>
      </c>
      <c r="AA301" s="197">
        <v>34084.559999999998</v>
      </c>
      <c r="AB301" s="197">
        <v>31820.71</v>
      </c>
      <c r="AC301" s="210"/>
      <c r="AD301" s="18"/>
    </row>
    <row r="302" spans="2:31" ht="18.649999999999999" customHeight="1" x14ac:dyDescent="0.35">
      <c r="B302" s="267"/>
      <c r="C302" s="9" t="s">
        <v>31</v>
      </c>
      <c r="D302" s="10">
        <v>4</v>
      </c>
      <c r="E302" s="197">
        <v>27575.93</v>
      </c>
      <c r="F302" s="197">
        <v>26117.66</v>
      </c>
      <c r="G302" s="197">
        <v>24944.51</v>
      </c>
      <c r="H302" s="197">
        <v>24118.38</v>
      </c>
      <c r="I302" s="197">
        <v>23746.03</v>
      </c>
      <c r="J302" s="197">
        <v>23487.37</v>
      </c>
      <c r="K302" s="197">
        <v>22252.71</v>
      </c>
      <c r="L302" s="197">
        <v>23295.38</v>
      </c>
      <c r="M302" s="197">
        <v>24690.080000000002</v>
      </c>
      <c r="N302" s="197">
        <v>26037.77</v>
      </c>
      <c r="O302" s="197">
        <v>26923.119999999999</v>
      </c>
      <c r="P302" s="197">
        <v>27760.38</v>
      </c>
      <c r="Q302" s="197">
        <v>28310.71</v>
      </c>
      <c r="R302" s="197">
        <v>28720.14</v>
      </c>
      <c r="S302" s="197">
        <v>27882.32</v>
      </c>
      <c r="T302" s="197">
        <v>29008.57</v>
      </c>
      <c r="U302" s="197">
        <v>29783.74</v>
      </c>
      <c r="V302" s="197">
        <v>33425.31</v>
      </c>
      <c r="W302" s="197">
        <v>37450.94</v>
      </c>
      <c r="X302" s="197">
        <v>37105.31</v>
      </c>
      <c r="Y302" s="197">
        <v>36150.82</v>
      </c>
      <c r="Z302" s="197">
        <v>34873.25</v>
      </c>
      <c r="AA302" s="197">
        <v>32911.19</v>
      </c>
      <c r="AB302" s="197">
        <v>30913.97</v>
      </c>
      <c r="AC302" s="210"/>
      <c r="AD302" s="18"/>
    </row>
    <row r="303" spans="2:31" ht="18.649999999999999" customHeight="1" thickBot="1" x14ac:dyDescent="0.4">
      <c r="B303" s="268"/>
      <c r="C303" s="11" t="s">
        <v>32</v>
      </c>
      <c r="D303" s="12">
        <v>2</v>
      </c>
      <c r="E303" s="201">
        <v>27575.93</v>
      </c>
      <c r="F303" s="201">
        <v>26117.66</v>
      </c>
      <c r="G303" s="201">
        <v>24944.51</v>
      </c>
      <c r="H303" s="201">
        <v>24118.38</v>
      </c>
      <c r="I303" s="201">
        <v>23746.03</v>
      </c>
      <c r="J303" s="201">
        <v>23487.37</v>
      </c>
      <c r="K303" s="201">
        <v>22252.71</v>
      </c>
      <c r="L303" s="201">
        <v>23295.38</v>
      </c>
      <c r="M303" s="201">
        <v>24690.080000000002</v>
      </c>
      <c r="N303" s="201">
        <v>26037.77</v>
      </c>
      <c r="O303" s="201">
        <v>26923.119999999999</v>
      </c>
      <c r="P303" s="201">
        <v>27760.38</v>
      </c>
      <c r="Q303" s="201">
        <v>28310.71</v>
      </c>
      <c r="R303" s="201">
        <v>28720.14</v>
      </c>
      <c r="S303" s="201">
        <v>27882.32</v>
      </c>
      <c r="T303" s="201">
        <v>29008.57</v>
      </c>
      <c r="U303" s="201">
        <v>29783.74</v>
      </c>
      <c r="V303" s="201">
        <v>33425.31</v>
      </c>
      <c r="W303" s="201">
        <v>37450.94</v>
      </c>
      <c r="X303" s="201">
        <v>37105.31</v>
      </c>
      <c r="Y303" s="201">
        <v>36150.82</v>
      </c>
      <c r="Z303" s="201">
        <v>34873.25</v>
      </c>
      <c r="AA303" s="201">
        <v>32911.19</v>
      </c>
      <c r="AB303" s="201">
        <v>30913.97</v>
      </c>
      <c r="AC303" s="214"/>
      <c r="AD303" s="18"/>
    </row>
    <row r="304" spans="2:31" ht="18.5" customHeight="1" thickBot="1" x14ac:dyDescent="0.4">
      <c r="Z304" s="218" t="s">
        <v>33</v>
      </c>
      <c r="AA304" s="219"/>
      <c r="AB304" s="220"/>
      <c r="AC304" s="135">
        <f>SUM(AC256:AC303)</f>
        <v>271528702.11000001</v>
      </c>
      <c r="AD304" s="17"/>
      <c r="AE304" s="18"/>
    </row>
    <row r="305" spans="2:50" ht="18.649999999999999" customHeight="1" x14ac:dyDescent="0.35">
      <c r="B305" s="207">
        <v>50406</v>
      </c>
      <c r="C305" s="6" t="s">
        <v>29</v>
      </c>
      <c r="D305" s="46">
        <v>19</v>
      </c>
      <c r="E305" s="78">
        <v>28475.22</v>
      </c>
      <c r="F305" s="78">
        <v>26915.68</v>
      </c>
      <c r="G305" s="78">
        <v>25736.91</v>
      </c>
      <c r="H305" s="78">
        <v>24877.68</v>
      </c>
      <c r="I305" s="78">
        <v>24708.25</v>
      </c>
      <c r="J305" s="78">
        <v>25555.9</v>
      </c>
      <c r="K305" s="78">
        <v>25236.25</v>
      </c>
      <c r="L305" s="78">
        <v>28063.59</v>
      </c>
      <c r="M305" s="78">
        <v>30631.03</v>
      </c>
      <c r="N305" s="78">
        <v>31973.85</v>
      </c>
      <c r="O305" s="78">
        <v>33610.74</v>
      </c>
      <c r="P305" s="78">
        <v>35068.6</v>
      </c>
      <c r="Q305" s="78">
        <v>34048.160000000003</v>
      </c>
      <c r="R305" s="78">
        <v>35213.760000000002</v>
      </c>
      <c r="S305" s="78">
        <v>37141.57</v>
      </c>
      <c r="T305" s="78">
        <v>37578.36</v>
      </c>
      <c r="U305" s="78">
        <v>37499.870000000003</v>
      </c>
      <c r="V305" s="78">
        <v>38746.44</v>
      </c>
      <c r="W305" s="78">
        <v>41608.46</v>
      </c>
      <c r="X305" s="78">
        <v>41727.730000000003</v>
      </c>
      <c r="Y305" s="78">
        <v>40686.5</v>
      </c>
      <c r="Z305" s="78">
        <v>38951.99</v>
      </c>
      <c r="AA305" s="78">
        <v>36250.639999999999</v>
      </c>
      <c r="AB305" s="78">
        <v>33366.94</v>
      </c>
      <c r="AC305" s="209">
        <f>SUM(E305:AB305)*D305+SUM(E306:AB306)*D306+SUM(E307:AB307)*D307+SUM(E308:AB308)*D308</f>
        <v>23690733.170000002</v>
      </c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</row>
    <row r="306" spans="2:50" ht="18.649999999999999" customHeight="1" x14ac:dyDescent="0.35">
      <c r="B306" s="267"/>
      <c r="C306" s="9" t="s">
        <v>30</v>
      </c>
      <c r="D306" s="10">
        <v>5</v>
      </c>
      <c r="E306" s="79">
        <v>28182.41</v>
      </c>
      <c r="F306" s="79">
        <v>26737.99</v>
      </c>
      <c r="G306" s="79">
        <v>25585.58</v>
      </c>
      <c r="H306" s="79">
        <v>24711.43</v>
      </c>
      <c r="I306" s="79">
        <v>24434.959999999999</v>
      </c>
      <c r="J306" s="79">
        <v>24614.73</v>
      </c>
      <c r="K306" s="79">
        <v>23868.61</v>
      </c>
      <c r="L306" s="79">
        <v>26134.25</v>
      </c>
      <c r="M306" s="79">
        <v>28544.5</v>
      </c>
      <c r="N306" s="79">
        <v>30268.14</v>
      </c>
      <c r="O306" s="79">
        <v>31674.03</v>
      </c>
      <c r="P306" s="79">
        <v>32459.75</v>
      </c>
      <c r="Q306" s="79">
        <v>32175.79</v>
      </c>
      <c r="R306" s="79">
        <v>31477.74</v>
      </c>
      <c r="S306" s="79">
        <v>31816.63</v>
      </c>
      <c r="T306" s="79">
        <v>32179.14</v>
      </c>
      <c r="U306" s="79">
        <v>32429.25</v>
      </c>
      <c r="V306" s="79">
        <v>35304.42</v>
      </c>
      <c r="W306" s="79">
        <v>39328.620000000003</v>
      </c>
      <c r="X306" s="79">
        <v>39551.97</v>
      </c>
      <c r="Y306" s="79">
        <v>38397.839999999997</v>
      </c>
      <c r="Z306" s="79">
        <v>36884.230000000003</v>
      </c>
      <c r="AA306" s="79">
        <v>34918.300000000003</v>
      </c>
      <c r="AB306" s="79">
        <v>32722.45</v>
      </c>
      <c r="AC306" s="210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</row>
    <row r="307" spans="2:50" ht="18.649999999999999" customHeight="1" x14ac:dyDescent="0.35">
      <c r="B307" s="267"/>
      <c r="C307" s="9" t="s">
        <v>31</v>
      </c>
      <c r="D307" s="10">
        <v>5</v>
      </c>
      <c r="E307" s="79">
        <v>28399.71</v>
      </c>
      <c r="F307" s="79">
        <v>26908.55</v>
      </c>
      <c r="G307" s="79">
        <v>25697.42</v>
      </c>
      <c r="H307" s="79">
        <v>24806.639999999999</v>
      </c>
      <c r="I307" s="79">
        <v>24374.21</v>
      </c>
      <c r="J307" s="79">
        <v>24209.31</v>
      </c>
      <c r="K307" s="79">
        <v>22744.95</v>
      </c>
      <c r="L307" s="79">
        <v>23599.84</v>
      </c>
      <c r="M307" s="79">
        <v>24671.759999999998</v>
      </c>
      <c r="N307" s="79">
        <v>25638.66</v>
      </c>
      <c r="O307" s="79">
        <v>26717.9</v>
      </c>
      <c r="P307" s="79">
        <v>27694.86</v>
      </c>
      <c r="Q307" s="79">
        <v>28432.21</v>
      </c>
      <c r="R307" s="79">
        <v>28611.82</v>
      </c>
      <c r="S307" s="79">
        <v>28774.73</v>
      </c>
      <c r="T307" s="79">
        <v>29123.9</v>
      </c>
      <c r="U307" s="79">
        <v>29715.27</v>
      </c>
      <c r="V307" s="79">
        <v>32707.58</v>
      </c>
      <c r="W307" s="79">
        <v>37089.410000000003</v>
      </c>
      <c r="X307" s="79">
        <v>38092.42</v>
      </c>
      <c r="Y307" s="79">
        <v>37709.79</v>
      </c>
      <c r="Z307" s="79">
        <v>36614.639999999999</v>
      </c>
      <c r="AA307" s="79">
        <v>34344.639999999999</v>
      </c>
      <c r="AB307" s="79">
        <v>31735.65</v>
      </c>
      <c r="AC307" s="210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</row>
    <row r="308" spans="2:50" ht="18.649999999999999" customHeight="1" thickBot="1" x14ac:dyDescent="0.4">
      <c r="B308" s="268"/>
      <c r="C308" s="15" t="s">
        <v>32</v>
      </c>
      <c r="D308" s="16">
        <v>2</v>
      </c>
      <c r="E308" s="80">
        <v>28399.71</v>
      </c>
      <c r="F308" s="80">
        <v>26908.55</v>
      </c>
      <c r="G308" s="80">
        <v>25697.42</v>
      </c>
      <c r="H308" s="80">
        <v>24806.639999999999</v>
      </c>
      <c r="I308" s="80">
        <v>24374.21</v>
      </c>
      <c r="J308" s="80">
        <v>24209.31</v>
      </c>
      <c r="K308" s="80">
        <v>22744.95</v>
      </c>
      <c r="L308" s="80">
        <v>23599.84</v>
      </c>
      <c r="M308" s="80">
        <v>24671.759999999998</v>
      </c>
      <c r="N308" s="80">
        <v>25638.66</v>
      </c>
      <c r="O308" s="80">
        <v>26717.9</v>
      </c>
      <c r="P308" s="80">
        <v>27694.86</v>
      </c>
      <c r="Q308" s="80">
        <v>28432.21</v>
      </c>
      <c r="R308" s="80">
        <v>28611.82</v>
      </c>
      <c r="S308" s="80">
        <v>28774.73</v>
      </c>
      <c r="T308" s="80">
        <v>29123.9</v>
      </c>
      <c r="U308" s="80">
        <v>29715.27</v>
      </c>
      <c r="V308" s="80">
        <v>32707.58</v>
      </c>
      <c r="W308" s="80">
        <v>37089.410000000003</v>
      </c>
      <c r="X308" s="80">
        <v>38092.42</v>
      </c>
      <c r="Y308" s="80">
        <v>37709.79</v>
      </c>
      <c r="Z308" s="80">
        <v>36614.639999999999</v>
      </c>
      <c r="AA308" s="80">
        <v>34344.639999999999</v>
      </c>
      <c r="AB308" s="80">
        <v>31735.65</v>
      </c>
      <c r="AC308" s="210"/>
      <c r="AD308" s="53">
        <f>+AC305</f>
        <v>23690733.170000002</v>
      </c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</row>
    <row r="309" spans="2:50" ht="18.649999999999999" customHeight="1" x14ac:dyDescent="0.35">
      <c r="B309" s="207">
        <v>50437</v>
      </c>
      <c r="C309" s="6" t="s">
        <v>29</v>
      </c>
      <c r="D309" s="7">
        <v>20</v>
      </c>
      <c r="E309" s="78">
        <v>29976.27</v>
      </c>
      <c r="F309" s="78">
        <v>28428.58</v>
      </c>
      <c r="G309" s="78">
        <v>27167.06</v>
      </c>
      <c r="H309" s="78">
        <v>26250.12</v>
      </c>
      <c r="I309" s="78">
        <v>26198.62</v>
      </c>
      <c r="J309" s="78">
        <v>27846.5</v>
      </c>
      <c r="K309" s="78">
        <v>27501.57</v>
      </c>
      <c r="L309" s="78">
        <v>30174.03</v>
      </c>
      <c r="M309" s="78">
        <v>32483.26</v>
      </c>
      <c r="N309" s="78">
        <v>33516.47</v>
      </c>
      <c r="O309" s="78">
        <v>35066.480000000003</v>
      </c>
      <c r="P309" s="78">
        <v>36412.339999999997</v>
      </c>
      <c r="Q309" s="78">
        <v>35099.5</v>
      </c>
      <c r="R309" s="78">
        <v>36692.26</v>
      </c>
      <c r="S309" s="78">
        <v>39103.089999999997</v>
      </c>
      <c r="T309" s="78">
        <v>39717.519999999997</v>
      </c>
      <c r="U309" s="78">
        <v>39659.919999999998</v>
      </c>
      <c r="V309" s="78">
        <v>40580.699999999997</v>
      </c>
      <c r="W309" s="78">
        <v>43225.43</v>
      </c>
      <c r="X309" s="78">
        <v>43935.95</v>
      </c>
      <c r="Y309" s="78">
        <v>43066.1</v>
      </c>
      <c r="Z309" s="78">
        <v>41214.26</v>
      </c>
      <c r="AA309" s="78">
        <v>38010.39</v>
      </c>
      <c r="AB309" s="78">
        <v>34844.04</v>
      </c>
      <c r="AC309" s="209">
        <f>SUM(E309:AB309)*D309+SUM(E310:AB310)*D310+SUM(E311:AB311)*D311+SUM(E312:AB312)*D312</f>
        <v>22854248.640000001</v>
      </c>
      <c r="AD309" s="148">
        <f>+AC309</f>
        <v>22854248.640000001</v>
      </c>
    </row>
    <row r="310" spans="2:50" ht="18.649999999999999" customHeight="1" x14ac:dyDescent="0.35">
      <c r="B310" s="267"/>
      <c r="C310" s="9" t="s">
        <v>30</v>
      </c>
      <c r="D310" s="10">
        <v>4</v>
      </c>
      <c r="E310" s="79">
        <v>30419.65</v>
      </c>
      <c r="F310" s="79">
        <v>28665.85</v>
      </c>
      <c r="G310" s="79">
        <v>27530.04</v>
      </c>
      <c r="H310" s="79">
        <v>26425.9</v>
      </c>
      <c r="I310" s="79">
        <v>26067.52</v>
      </c>
      <c r="J310" s="79">
        <v>26360.66</v>
      </c>
      <c r="K310" s="79">
        <v>25826.14</v>
      </c>
      <c r="L310" s="79">
        <v>28185.22</v>
      </c>
      <c r="M310" s="79">
        <v>30494.639999999999</v>
      </c>
      <c r="N310" s="79">
        <v>31841.07</v>
      </c>
      <c r="O310" s="79">
        <v>33274.79</v>
      </c>
      <c r="P310" s="79">
        <v>34009.89</v>
      </c>
      <c r="Q310" s="79">
        <v>33395.14</v>
      </c>
      <c r="R310" s="79">
        <v>33104.589999999997</v>
      </c>
      <c r="S310" s="79">
        <v>33454.949999999997</v>
      </c>
      <c r="T310" s="79">
        <v>33847.18</v>
      </c>
      <c r="U310" s="79">
        <v>34177.57</v>
      </c>
      <c r="V310" s="79">
        <v>36731.949999999997</v>
      </c>
      <c r="W310" s="79">
        <v>40765.65</v>
      </c>
      <c r="X310" s="79">
        <v>41386.89</v>
      </c>
      <c r="Y310" s="79">
        <v>40450.04</v>
      </c>
      <c r="Z310" s="79">
        <v>38949.440000000002</v>
      </c>
      <c r="AA310" s="79">
        <v>36963.730000000003</v>
      </c>
      <c r="AB310" s="79">
        <v>34594.69</v>
      </c>
      <c r="AC310" s="210"/>
      <c r="AD310" s="148">
        <f>+AC313</f>
        <v>23784036.599999998</v>
      </c>
    </row>
    <row r="311" spans="2:50" ht="18.649999999999999" customHeight="1" x14ac:dyDescent="0.35">
      <c r="B311" s="267"/>
      <c r="C311" s="9" t="s">
        <v>31</v>
      </c>
      <c r="D311" s="10">
        <v>4</v>
      </c>
      <c r="E311" s="79">
        <v>30318.86</v>
      </c>
      <c r="F311" s="79">
        <v>28767.78</v>
      </c>
      <c r="G311" s="79">
        <v>27514.080000000002</v>
      </c>
      <c r="H311" s="79">
        <v>26584.97</v>
      </c>
      <c r="I311" s="79">
        <v>26089</v>
      </c>
      <c r="J311" s="79">
        <v>26035.759999999998</v>
      </c>
      <c r="K311" s="79">
        <v>24527.24</v>
      </c>
      <c r="L311" s="79">
        <v>25491.13</v>
      </c>
      <c r="M311" s="79">
        <v>26475.11</v>
      </c>
      <c r="N311" s="79">
        <v>27215.01</v>
      </c>
      <c r="O311" s="79">
        <v>28197.02</v>
      </c>
      <c r="P311" s="79">
        <v>29279.13</v>
      </c>
      <c r="Q311" s="79">
        <v>30052.9</v>
      </c>
      <c r="R311" s="79">
        <v>30436.639999999999</v>
      </c>
      <c r="S311" s="79">
        <v>30957.29</v>
      </c>
      <c r="T311" s="79">
        <v>31485.73</v>
      </c>
      <c r="U311" s="79">
        <v>31929.86</v>
      </c>
      <c r="V311" s="79">
        <v>34261.19</v>
      </c>
      <c r="W311" s="79">
        <v>38913.300000000003</v>
      </c>
      <c r="X311" s="79">
        <v>40589.85</v>
      </c>
      <c r="Y311" s="79">
        <v>40653.919999999998</v>
      </c>
      <c r="Z311" s="79">
        <v>39770.910000000003</v>
      </c>
      <c r="AA311" s="79">
        <v>36538.97</v>
      </c>
      <c r="AB311" s="79">
        <v>33701.019999999997</v>
      </c>
      <c r="AC311" s="210"/>
      <c r="AD311" s="148">
        <f>+AC317</f>
        <v>22406465.999999996</v>
      </c>
    </row>
    <row r="312" spans="2:50" ht="18.649999999999999" customHeight="1" thickBot="1" x14ac:dyDescent="0.4">
      <c r="B312" s="268"/>
      <c r="C312" s="11" t="s">
        <v>32</v>
      </c>
      <c r="D312" s="12">
        <v>0</v>
      </c>
      <c r="E312" s="194">
        <v>0</v>
      </c>
      <c r="F312" s="194">
        <v>0</v>
      </c>
      <c r="G312" s="194">
        <v>0</v>
      </c>
      <c r="H312" s="194">
        <v>0</v>
      </c>
      <c r="I312" s="194">
        <v>0</v>
      </c>
      <c r="J312" s="194">
        <v>0</v>
      </c>
      <c r="K312" s="194">
        <v>0</v>
      </c>
      <c r="L312" s="194">
        <v>0</v>
      </c>
      <c r="M312" s="194">
        <v>0</v>
      </c>
      <c r="N312" s="194">
        <v>0</v>
      </c>
      <c r="O312" s="194">
        <v>0</v>
      </c>
      <c r="P312" s="194">
        <v>0</v>
      </c>
      <c r="Q312" s="194">
        <v>0</v>
      </c>
      <c r="R312" s="194">
        <v>0</v>
      </c>
      <c r="S312" s="194">
        <v>0</v>
      </c>
      <c r="T312" s="194">
        <v>0</v>
      </c>
      <c r="U312" s="194">
        <v>0</v>
      </c>
      <c r="V312" s="194">
        <v>0</v>
      </c>
      <c r="W312" s="194">
        <v>0</v>
      </c>
      <c r="X312" s="194">
        <v>0</v>
      </c>
      <c r="Y312" s="194">
        <v>0</v>
      </c>
      <c r="Z312" s="194">
        <v>0</v>
      </c>
      <c r="AA312" s="194">
        <v>0</v>
      </c>
      <c r="AB312" s="194">
        <v>0</v>
      </c>
      <c r="AC312" s="214"/>
      <c r="AD312" s="148">
        <f>+AC321</f>
        <v>23005062.490000002</v>
      </c>
    </row>
    <row r="313" spans="2:50" ht="18.649999999999999" customHeight="1" x14ac:dyDescent="0.35">
      <c r="B313" s="207">
        <v>50465</v>
      </c>
      <c r="C313" s="13" t="s">
        <v>29</v>
      </c>
      <c r="D313" s="14">
        <v>20</v>
      </c>
      <c r="E313" s="81">
        <v>27823.64</v>
      </c>
      <c r="F313" s="81">
        <v>26350.33</v>
      </c>
      <c r="G313" s="81">
        <v>25235.8</v>
      </c>
      <c r="H313" s="81">
        <v>24506.26</v>
      </c>
      <c r="I313" s="81">
        <v>24603.49</v>
      </c>
      <c r="J313" s="81">
        <v>25947.72</v>
      </c>
      <c r="K313" s="81">
        <v>25892.5</v>
      </c>
      <c r="L313" s="81">
        <v>28761.439999999999</v>
      </c>
      <c r="M313" s="81">
        <v>31007.71</v>
      </c>
      <c r="N313" s="81">
        <v>32073.03</v>
      </c>
      <c r="O313" s="81">
        <v>33540.75</v>
      </c>
      <c r="P313" s="81">
        <v>34565.96</v>
      </c>
      <c r="Q313" s="81">
        <v>32820.550000000003</v>
      </c>
      <c r="R313" s="81">
        <v>34137.589999999997</v>
      </c>
      <c r="S313" s="81">
        <v>36353.51</v>
      </c>
      <c r="T313" s="81">
        <v>37053.51</v>
      </c>
      <c r="U313" s="81">
        <v>37254.910000000003</v>
      </c>
      <c r="V313" s="81">
        <v>38471.339999999997</v>
      </c>
      <c r="W313" s="81">
        <v>41062.33</v>
      </c>
      <c r="X313" s="81">
        <v>41394.61</v>
      </c>
      <c r="Y313" s="81">
        <v>40221.75</v>
      </c>
      <c r="Z313" s="81">
        <v>38268.44</v>
      </c>
      <c r="AA313" s="81">
        <v>35307.660000000003</v>
      </c>
      <c r="AB313" s="81">
        <v>32302.080000000002</v>
      </c>
      <c r="AC313" s="210">
        <f>SUM(E313:AB313)*D313+SUM(E314:AB314)*D314+SUM(E315:AB315)*D315+SUM(E316:AB316)*D316</f>
        <v>23784036.599999998</v>
      </c>
      <c r="AD313" s="148">
        <f>+AC325</f>
        <v>22130030.579999998</v>
      </c>
    </row>
    <row r="314" spans="2:50" ht="18.649999999999999" customHeight="1" x14ac:dyDescent="0.35">
      <c r="B314" s="267"/>
      <c r="C314" s="9" t="s">
        <v>30</v>
      </c>
      <c r="D314" s="10">
        <v>5</v>
      </c>
      <c r="E314" s="79">
        <v>27953.14</v>
      </c>
      <c r="F314" s="79">
        <v>26476.45</v>
      </c>
      <c r="G314" s="79">
        <v>25306.37</v>
      </c>
      <c r="H314" s="79">
        <v>24536.65</v>
      </c>
      <c r="I314" s="79">
        <v>24326.3</v>
      </c>
      <c r="J314" s="79">
        <v>24585.18</v>
      </c>
      <c r="K314" s="79">
        <v>24415.200000000001</v>
      </c>
      <c r="L314" s="79">
        <v>27018.95</v>
      </c>
      <c r="M314" s="79">
        <v>29524.43</v>
      </c>
      <c r="N314" s="79">
        <v>30937.119999999999</v>
      </c>
      <c r="O314" s="79">
        <v>32318.23</v>
      </c>
      <c r="P314" s="79">
        <v>33198.17</v>
      </c>
      <c r="Q314" s="79">
        <v>32534.16</v>
      </c>
      <c r="R314" s="79">
        <v>32141.16</v>
      </c>
      <c r="S314" s="79">
        <v>32598.29</v>
      </c>
      <c r="T314" s="79">
        <v>32906.51</v>
      </c>
      <c r="U314" s="79">
        <v>33246.99</v>
      </c>
      <c r="V314" s="79">
        <v>35641.29</v>
      </c>
      <c r="W314" s="79">
        <v>39547.81</v>
      </c>
      <c r="X314" s="79">
        <v>40114.47</v>
      </c>
      <c r="Y314" s="79">
        <v>39055.08</v>
      </c>
      <c r="Z314" s="79">
        <v>37583.07</v>
      </c>
      <c r="AA314" s="79">
        <v>35515.31</v>
      </c>
      <c r="AB314" s="79">
        <v>33246.910000000003</v>
      </c>
      <c r="AC314" s="210"/>
      <c r="AD314" s="148">
        <f>+AC329</f>
        <v>22614457.200000003</v>
      </c>
    </row>
    <row r="315" spans="2:50" ht="18.649999999999999" customHeight="1" x14ac:dyDescent="0.35">
      <c r="B315" s="267"/>
      <c r="C315" s="9" t="s">
        <v>31</v>
      </c>
      <c r="D315" s="10">
        <v>5</v>
      </c>
      <c r="E315" s="79">
        <v>28766.03</v>
      </c>
      <c r="F315" s="79">
        <v>27197.48</v>
      </c>
      <c r="G315" s="79">
        <v>25968.59</v>
      </c>
      <c r="H315" s="79">
        <v>25082.65</v>
      </c>
      <c r="I315" s="79">
        <v>24621.88</v>
      </c>
      <c r="J315" s="79">
        <v>24390.91</v>
      </c>
      <c r="K315" s="79">
        <v>23355.41</v>
      </c>
      <c r="L315" s="79">
        <v>24592.35</v>
      </c>
      <c r="M315" s="79">
        <v>25834.720000000001</v>
      </c>
      <c r="N315" s="79">
        <v>26765.43</v>
      </c>
      <c r="O315" s="79">
        <v>27724.69</v>
      </c>
      <c r="P315" s="79">
        <v>28687.15</v>
      </c>
      <c r="Q315" s="79">
        <v>29357.83</v>
      </c>
      <c r="R315" s="79">
        <v>29564.87</v>
      </c>
      <c r="S315" s="79">
        <v>29860.28</v>
      </c>
      <c r="T315" s="79">
        <v>30478.19</v>
      </c>
      <c r="U315" s="79">
        <v>30920.99</v>
      </c>
      <c r="V315" s="79">
        <v>33615.870000000003</v>
      </c>
      <c r="W315" s="79">
        <v>37730.239999999998</v>
      </c>
      <c r="X315" s="79">
        <v>39040.15</v>
      </c>
      <c r="Y315" s="79">
        <v>38960.35</v>
      </c>
      <c r="Z315" s="79">
        <v>37884.239999999998</v>
      </c>
      <c r="AA315" s="79">
        <v>35473.089999999997</v>
      </c>
      <c r="AB315" s="79">
        <v>32670.31</v>
      </c>
      <c r="AC315" s="210"/>
      <c r="AD315" s="148">
        <f>+AC333</f>
        <v>22731543.699999999</v>
      </c>
    </row>
    <row r="316" spans="2:50" ht="18.649999999999999" customHeight="1" thickBot="1" x14ac:dyDescent="0.4">
      <c r="B316" s="268"/>
      <c r="C316" s="15" t="s">
        <v>32</v>
      </c>
      <c r="D316" s="16">
        <v>1</v>
      </c>
      <c r="E316" s="80">
        <v>28766.03</v>
      </c>
      <c r="F316" s="80">
        <v>27197.48</v>
      </c>
      <c r="G316" s="80">
        <v>25968.59</v>
      </c>
      <c r="H316" s="80">
        <v>25082.65</v>
      </c>
      <c r="I316" s="80">
        <v>24621.88</v>
      </c>
      <c r="J316" s="80">
        <v>24390.91</v>
      </c>
      <c r="K316" s="80">
        <v>23355.41</v>
      </c>
      <c r="L316" s="80">
        <v>24592.35</v>
      </c>
      <c r="M316" s="80">
        <v>25834.720000000001</v>
      </c>
      <c r="N316" s="80">
        <v>26765.43</v>
      </c>
      <c r="O316" s="80">
        <v>27724.69</v>
      </c>
      <c r="P316" s="80">
        <v>28687.15</v>
      </c>
      <c r="Q316" s="80">
        <v>29357.83</v>
      </c>
      <c r="R316" s="80">
        <v>29564.87</v>
      </c>
      <c r="S316" s="80">
        <v>29860.28</v>
      </c>
      <c r="T316" s="80">
        <v>30478.19</v>
      </c>
      <c r="U316" s="80">
        <v>30920.99</v>
      </c>
      <c r="V316" s="80">
        <v>33615.870000000003</v>
      </c>
      <c r="W316" s="80">
        <v>37730.239999999998</v>
      </c>
      <c r="X316" s="80">
        <v>39040.15</v>
      </c>
      <c r="Y316" s="80">
        <v>38960.35</v>
      </c>
      <c r="Z316" s="80">
        <v>37884.239999999998</v>
      </c>
      <c r="AA316" s="80">
        <v>35473.089999999997</v>
      </c>
      <c r="AB316" s="80">
        <v>32670.31</v>
      </c>
      <c r="AC316" s="210"/>
      <c r="AD316" s="148">
        <f>+AC337</f>
        <v>21848933.399999999</v>
      </c>
    </row>
    <row r="317" spans="2:50" ht="18.649999999999999" customHeight="1" x14ac:dyDescent="0.35">
      <c r="B317" s="207">
        <v>50496</v>
      </c>
      <c r="C317" s="6" t="s">
        <v>29</v>
      </c>
      <c r="D317" s="7">
        <v>20</v>
      </c>
      <c r="E317" s="78">
        <v>27164.53</v>
      </c>
      <c r="F317" s="78">
        <v>25722.560000000001</v>
      </c>
      <c r="G317" s="78">
        <v>24651.3</v>
      </c>
      <c r="H317" s="78">
        <v>23931.68</v>
      </c>
      <c r="I317" s="78">
        <v>24031.69</v>
      </c>
      <c r="J317" s="78">
        <v>24815.41</v>
      </c>
      <c r="K317" s="78">
        <v>25000.69</v>
      </c>
      <c r="L317" s="78">
        <v>27925.19</v>
      </c>
      <c r="M317" s="78">
        <v>30453.66</v>
      </c>
      <c r="N317" s="78">
        <v>31545.5</v>
      </c>
      <c r="O317" s="78">
        <v>32926.39</v>
      </c>
      <c r="P317" s="78">
        <v>34178.199999999997</v>
      </c>
      <c r="Q317" s="78">
        <v>32695.16</v>
      </c>
      <c r="R317" s="78">
        <v>33865.68</v>
      </c>
      <c r="S317" s="78">
        <v>36043.74</v>
      </c>
      <c r="T317" s="78">
        <v>36513.47</v>
      </c>
      <c r="U317" s="78">
        <v>36471.019999999997</v>
      </c>
      <c r="V317" s="78">
        <v>38089.550000000003</v>
      </c>
      <c r="W317" s="78">
        <v>40590.28</v>
      </c>
      <c r="X317" s="78">
        <v>40673.47</v>
      </c>
      <c r="Y317" s="78">
        <v>39489.870000000003</v>
      </c>
      <c r="Z317" s="78">
        <v>37638.21</v>
      </c>
      <c r="AA317" s="78">
        <v>34850.410000000003</v>
      </c>
      <c r="AB317" s="78">
        <v>31777.95</v>
      </c>
      <c r="AC317" s="209">
        <f>SUM(E317:AB317)*D317+SUM(E318:AB318)*D318+SUM(E319:AB319)*D319+SUM(E320:AB320)*D320</f>
        <v>22406465.999999996</v>
      </c>
      <c r="AD317" s="148">
        <f>+AC341</f>
        <v>22112723.309999999</v>
      </c>
    </row>
    <row r="318" spans="2:50" ht="18.649999999999999" customHeight="1" x14ac:dyDescent="0.35">
      <c r="B318" s="267"/>
      <c r="C318" s="9" t="s">
        <v>30</v>
      </c>
      <c r="D318" s="10">
        <v>4</v>
      </c>
      <c r="E318" s="79">
        <v>26876.959999999999</v>
      </c>
      <c r="F318" s="79">
        <v>25371.52</v>
      </c>
      <c r="G318" s="79">
        <v>24240.41</v>
      </c>
      <c r="H318" s="79">
        <v>23470.39</v>
      </c>
      <c r="I318" s="79">
        <v>23260.59</v>
      </c>
      <c r="J318" s="79">
        <v>23236.95</v>
      </c>
      <c r="K318" s="79">
        <v>23064.89</v>
      </c>
      <c r="L318" s="79">
        <v>25444.44</v>
      </c>
      <c r="M318" s="79">
        <v>27801.05</v>
      </c>
      <c r="N318" s="79">
        <v>28997.86</v>
      </c>
      <c r="O318" s="79">
        <v>30317.78</v>
      </c>
      <c r="P318" s="79">
        <v>31161.17</v>
      </c>
      <c r="Q318" s="79">
        <v>30693.64</v>
      </c>
      <c r="R318" s="79">
        <v>30410.05</v>
      </c>
      <c r="S318" s="79">
        <v>30725.21</v>
      </c>
      <c r="T318" s="79">
        <v>31036.48</v>
      </c>
      <c r="U318" s="79">
        <v>31435.63</v>
      </c>
      <c r="V318" s="79">
        <v>34280.51</v>
      </c>
      <c r="W318" s="79">
        <v>38208.47</v>
      </c>
      <c r="X318" s="79">
        <v>38197.14</v>
      </c>
      <c r="Y318" s="79">
        <v>37173.15</v>
      </c>
      <c r="Z318" s="79">
        <v>35649.599999999999</v>
      </c>
      <c r="AA318" s="79">
        <v>33726.83</v>
      </c>
      <c r="AB318" s="79">
        <v>31503.34</v>
      </c>
      <c r="AC318" s="210"/>
      <c r="AD318" s="148">
        <f>+AC345</f>
        <v>20978009.400000002</v>
      </c>
    </row>
    <row r="319" spans="2:50" ht="18.649999999999999" customHeight="1" x14ac:dyDescent="0.35">
      <c r="B319" s="267"/>
      <c r="C319" s="9" t="s">
        <v>31</v>
      </c>
      <c r="D319" s="10">
        <v>4</v>
      </c>
      <c r="E319" s="79">
        <v>27391.42</v>
      </c>
      <c r="F319" s="79">
        <v>25955.19</v>
      </c>
      <c r="G319" s="79">
        <v>24764.47</v>
      </c>
      <c r="H319" s="79">
        <v>23967.919999999998</v>
      </c>
      <c r="I319" s="79">
        <v>23616.080000000002</v>
      </c>
      <c r="J319" s="79">
        <v>23139.09</v>
      </c>
      <c r="K319" s="79">
        <v>22529.89</v>
      </c>
      <c r="L319" s="79">
        <v>23752.11</v>
      </c>
      <c r="M319" s="79">
        <v>24593.919999999998</v>
      </c>
      <c r="N319" s="79">
        <v>25515.06</v>
      </c>
      <c r="O319" s="79">
        <v>26498.11</v>
      </c>
      <c r="P319" s="79">
        <v>27327.79</v>
      </c>
      <c r="Q319" s="79">
        <v>27839.39</v>
      </c>
      <c r="R319" s="79">
        <v>28059.8</v>
      </c>
      <c r="S319" s="79">
        <v>28399.09</v>
      </c>
      <c r="T319" s="79">
        <v>28913.43</v>
      </c>
      <c r="U319" s="79">
        <v>29588.74</v>
      </c>
      <c r="V319" s="79">
        <v>32549.01</v>
      </c>
      <c r="W319" s="79">
        <v>36234.559999999998</v>
      </c>
      <c r="X319" s="79">
        <v>37255.4</v>
      </c>
      <c r="Y319" s="79">
        <v>37175.019999999997</v>
      </c>
      <c r="Z319" s="79">
        <v>36324.83</v>
      </c>
      <c r="AA319" s="79">
        <v>34049.279999999999</v>
      </c>
      <c r="AB319" s="79">
        <v>31296.66</v>
      </c>
      <c r="AC319" s="210"/>
      <c r="AD319" s="148">
        <f>+AC349</f>
        <v>22846474.889999997</v>
      </c>
    </row>
    <row r="320" spans="2:50" ht="18.649999999999999" customHeight="1" thickBot="1" x14ac:dyDescent="0.4">
      <c r="B320" s="268"/>
      <c r="C320" s="11" t="s">
        <v>32</v>
      </c>
      <c r="D320" s="12">
        <v>2</v>
      </c>
      <c r="E320" s="79">
        <v>27391.42</v>
      </c>
      <c r="F320" s="79">
        <v>25955.19</v>
      </c>
      <c r="G320" s="79">
        <v>24764.47</v>
      </c>
      <c r="H320" s="79">
        <v>23967.919999999998</v>
      </c>
      <c r="I320" s="79">
        <v>23616.080000000002</v>
      </c>
      <c r="J320" s="79">
        <v>23139.09</v>
      </c>
      <c r="K320" s="79">
        <v>22529.89</v>
      </c>
      <c r="L320" s="79">
        <v>23752.11</v>
      </c>
      <c r="M320" s="79">
        <v>24593.919999999998</v>
      </c>
      <c r="N320" s="79">
        <v>25515.06</v>
      </c>
      <c r="O320" s="79">
        <v>26498.11</v>
      </c>
      <c r="P320" s="79">
        <v>27327.79</v>
      </c>
      <c r="Q320" s="79">
        <v>27839.39</v>
      </c>
      <c r="R320" s="79">
        <v>28059.8</v>
      </c>
      <c r="S320" s="79">
        <v>28399.09</v>
      </c>
      <c r="T320" s="79">
        <v>28913.43</v>
      </c>
      <c r="U320" s="79">
        <v>29588.74</v>
      </c>
      <c r="V320" s="79">
        <v>32549.01</v>
      </c>
      <c r="W320" s="79">
        <v>36234.559999999998</v>
      </c>
      <c r="X320" s="79">
        <v>37255.4</v>
      </c>
      <c r="Y320" s="79">
        <v>37175.019999999997</v>
      </c>
      <c r="Z320" s="79">
        <v>36324.83</v>
      </c>
      <c r="AA320" s="79">
        <v>34049.279999999999</v>
      </c>
      <c r="AB320" s="79">
        <v>31296.66</v>
      </c>
      <c r="AC320" s="214"/>
      <c r="AD320" s="18"/>
    </row>
    <row r="321" spans="2:30" ht="18.649999999999999" customHeight="1" x14ac:dyDescent="0.35">
      <c r="B321" s="207">
        <v>50526</v>
      </c>
      <c r="C321" s="13" t="s">
        <v>29</v>
      </c>
      <c r="D321" s="14">
        <v>21</v>
      </c>
      <c r="E321" s="81">
        <v>26486.06</v>
      </c>
      <c r="F321" s="81">
        <v>25142.47</v>
      </c>
      <c r="G321" s="81">
        <v>24111.74</v>
      </c>
      <c r="H321" s="81">
        <v>23406.63</v>
      </c>
      <c r="I321" s="81">
        <v>23525.01</v>
      </c>
      <c r="J321" s="81">
        <v>24207.7</v>
      </c>
      <c r="K321" s="81">
        <v>24646.45</v>
      </c>
      <c r="L321" s="81">
        <v>27617.14</v>
      </c>
      <c r="M321" s="81">
        <v>30263.27</v>
      </c>
      <c r="N321" s="81">
        <v>31425.59</v>
      </c>
      <c r="O321" s="81">
        <v>33019.300000000003</v>
      </c>
      <c r="P321" s="81">
        <v>34095.94</v>
      </c>
      <c r="Q321" s="81">
        <v>32575.59</v>
      </c>
      <c r="R321" s="81">
        <v>33677.480000000003</v>
      </c>
      <c r="S321" s="81">
        <v>35714.5</v>
      </c>
      <c r="T321" s="81">
        <v>36111.71</v>
      </c>
      <c r="U321" s="81">
        <v>36066.67</v>
      </c>
      <c r="V321" s="81">
        <v>37309.46</v>
      </c>
      <c r="W321" s="81">
        <v>39723.620000000003</v>
      </c>
      <c r="X321" s="81">
        <v>39839.43</v>
      </c>
      <c r="Y321" s="81">
        <v>38645.86</v>
      </c>
      <c r="Z321" s="81">
        <v>36644.559999999998</v>
      </c>
      <c r="AA321" s="81">
        <v>33825.22</v>
      </c>
      <c r="AB321" s="81">
        <v>30942.39</v>
      </c>
      <c r="AC321" s="210">
        <f>SUM(E321:AB321)*D321+SUM(E322:AB322)*D322+SUM(E323:AB323)*D323+SUM(E324:AB324)*D324</f>
        <v>23005062.490000002</v>
      </c>
      <c r="AD321" s="18"/>
    </row>
    <row r="322" spans="2:30" ht="18.649999999999999" customHeight="1" x14ac:dyDescent="0.35">
      <c r="B322" s="267"/>
      <c r="C322" s="9" t="s">
        <v>30</v>
      </c>
      <c r="D322" s="10">
        <v>4</v>
      </c>
      <c r="E322" s="79">
        <v>27022.11</v>
      </c>
      <c r="F322" s="79">
        <v>25315.35</v>
      </c>
      <c r="G322" s="79">
        <v>24167.81</v>
      </c>
      <c r="H322" s="79">
        <v>23425.119999999999</v>
      </c>
      <c r="I322" s="79">
        <v>23268.11</v>
      </c>
      <c r="J322" s="79">
        <v>22948.77</v>
      </c>
      <c r="K322" s="79">
        <v>23047.64</v>
      </c>
      <c r="L322" s="79">
        <v>25797.63</v>
      </c>
      <c r="M322" s="79">
        <v>28458.02</v>
      </c>
      <c r="N322" s="79">
        <v>29922.02</v>
      </c>
      <c r="O322" s="79">
        <v>31070.62</v>
      </c>
      <c r="P322" s="79">
        <v>31905.98</v>
      </c>
      <c r="Q322" s="79">
        <v>31176.52</v>
      </c>
      <c r="R322" s="79">
        <v>30802.18</v>
      </c>
      <c r="S322" s="79">
        <v>31224.93</v>
      </c>
      <c r="T322" s="79">
        <v>31523.9</v>
      </c>
      <c r="U322" s="79">
        <v>31852.01</v>
      </c>
      <c r="V322" s="79">
        <v>34612.550000000003</v>
      </c>
      <c r="W322" s="79">
        <v>38385.71</v>
      </c>
      <c r="X322" s="79">
        <v>38739.699999999997</v>
      </c>
      <c r="Y322" s="79">
        <v>37610.1</v>
      </c>
      <c r="Z322" s="79">
        <v>35946.839999999997</v>
      </c>
      <c r="AA322" s="79">
        <v>34053.19</v>
      </c>
      <c r="AB322" s="79">
        <v>31840.37</v>
      </c>
      <c r="AC322" s="210"/>
      <c r="AD322" s="18"/>
    </row>
    <row r="323" spans="2:30" ht="18.649999999999999" customHeight="1" x14ac:dyDescent="0.35">
      <c r="B323" s="267"/>
      <c r="C323" s="9" t="s">
        <v>31</v>
      </c>
      <c r="D323" s="10">
        <v>5</v>
      </c>
      <c r="E323" s="79">
        <v>27344.880000000001</v>
      </c>
      <c r="F323" s="79">
        <v>25967.74</v>
      </c>
      <c r="G323" s="79">
        <v>24866.7</v>
      </c>
      <c r="H323" s="79">
        <v>24069.040000000001</v>
      </c>
      <c r="I323" s="79">
        <v>23724</v>
      </c>
      <c r="J323" s="79">
        <v>22919.759999999998</v>
      </c>
      <c r="K323" s="79">
        <v>22416.43</v>
      </c>
      <c r="L323" s="79">
        <v>23775.439999999999</v>
      </c>
      <c r="M323" s="79">
        <v>25250.09</v>
      </c>
      <c r="N323" s="79">
        <v>26492.58</v>
      </c>
      <c r="O323" s="79">
        <v>27374.43</v>
      </c>
      <c r="P323" s="79">
        <v>28082.29</v>
      </c>
      <c r="Q323" s="79">
        <v>28545.02</v>
      </c>
      <c r="R323" s="79">
        <v>28728.58</v>
      </c>
      <c r="S323" s="79">
        <v>29006.55</v>
      </c>
      <c r="T323" s="79">
        <v>29595</v>
      </c>
      <c r="U323" s="79">
        <v>29997.439999999999</v>
      </c>
      <c r="V323" s="79">
        <v>32970.74</v>
      </c>
      <c r="W323" s="79">
        <v>36844.82</v>
      </c>
      <c r="X323" s="79">
        <v>37769.14</v>
      </c>
      <c r="Y323" s="79">
        <v>37604.26</v>
      </c>
      <c r="Z323" s="79">
        <v>36451.370000000003</v>
      </c>
      <c r="AA323" s="79">
        <v>34065.589999999997</v>
      </c>
      <c r="AB323" s="79">
        <v>30987.14</v>
      </c>
      <c r="AC323" s="210"/>
      <c r="AD323" s="18"/>
    </row>
    <row r="324" spans="2:30" ht="18.649999999999999" customHeight="1" thickBot="1" x14ac:dyDescent="0.4">
      <c r="B324" s="268"/>
      <c r="C324" s="15" t="s">
        <v>32</v>
      </c>
      <c r="D324" s="16">
        <v>1</v>
      </c>
      <c r="E324" s="80">
        <v>27344.880000000001</v>
      </c>
      <c r="F324" s="80">
        <v>25967.74</v>
      </c>
      <c r="G324" s="80">
        <v>24866.7</v>
      </c>
      <c r="H324" s="80">
        <v>24069.040000000001</v>
      </c>
      <c r="I324" s="80">
        <v>23724</v>
      </c>
      <c r="J324" s="80">
        <v>22919.759999999998</v>
      </c>
      <c r="K324" s="80">
        <v>22416.43</v>
      </c>
      <c r="L324" s="80">
        <v>23775.439999999999</v>
      </c>
      <c r="M324" s="80">
        <v>25250.09</v>
      </c>
      <c r="N324" s="80">
        <v>26492.58</v>
      </c>
      <c r="O324" s="80">
        <v>27374.43</v>
      </c>
      <c r="P324" s="80">
        <v>28082.29</v>
      </c>
      <c r="Q324" s="80">
        <v>28545.02</v>
      </c>
      <c r="R324" s="80">
        <v>28728.58</v>
      </c>
      <c r="S324" s="80">
        <v>29006.55</v>
      </c>
      <c r="T324" s="80">
        <v>29595</v>
      </c>
      <c r="U324" s="80">
        <v>29997.439999999999</v>
      </c>
      <c r="V324" s="80">
        <v>32970.74</v>
      </c>
      <c r="W324" s="80">
        <v>36844.82</v>
      </c>
      <c r="X324" s="80">
        <v>37769.14</v>
      </c>
      <c r="Y324" s="80">
        <v>37604.26</v>
      </c>
      <c r="Z324" s="80">
        <v>36451.370000000003</v>
      </c>
      <c r="AA324" s="80">
        <v>34065.589999999997</v>
      </c>
      <c r="AB324" s="80">
        <v>30987.14</v>
      </c>
      <c r="AC324" s="210"/>
      <c r="AD324" s="18"/>
    </row>
    <row r="325" spans="2:30" ht="18.649999999999999" customHeight="1" x14ac:dyDescent="0.35">
      <c r="B325" s="207">
        <v>50557</v>
      </c>
      <c r="C325" s="6" t="s">
        <v>29</v>
      </c>
      <c r="D325" s="7">
        <v>20</v>
      </c>
      <c r="E325" s="78">
        <v>26675.439999999999</v>
      </c>
      <c r="F325" s="78">
        <v>25239.279999999999</v>
      </c>
      <c r="G325" s="78">
        <v>24234.36</v>
      </c>
      <c r="H325" s="78">
        <v>23437.15</v>
      </c>
      <c r="I325" s="78">
        <v>23506.94</v>
      </c>
      <c r="J325" s="78">
        <v>23830.65</v>
      </c>
      <c r="K325" s="78">
        <v>24209</v>
      </c>
      <c r="L325" s="78">
        <v>27267.16</v>
      </c>
      <c r="M325" s="78">
        <v>29885.96</v>
      </c>
      <c r="N325" s="78">
        <v>31153.74</v>
      </c>
      <c r="O325" s="78">
        <v>32812.6</v>
      </c>
      <c r="P325" s="78">
        <v>33984.769999999997</v>
      </c>
      <c r="Q325" s="78">
        <v>32693.47</v>
      </c>
      <c r="R325" s="78">
        <v>33615.35</v>
      </c>
      <c r="S325" s="78">
        <v>35565.97</v>
      </c>
      <c r="T325" s="78">
        <v>35966.32</v>
      </c>
      <c r="U325" s="78">
        <v>36082.19</v>
      </c>
      <c r="V325" s="78">
        <v>37419.31</v>
      </c>
      <c r="W325" s="78">
        <v>39796.639999999999</v>
      </c>
      <c r="X325" s="78">
        <v>40243.64</v>
      </c>
      <c r="Y325" s="78">
        <v>38955.730000000003</v>
      </c>
      <c r="Z325" s="78">
        <v>36992.26</v>
      </c>
      <c r="AA325" s="78">
        <v>34065.19</v>
      </c>
      <c r="AB325" s="78">
        <v>31114.03</v>
      </c>
      <c r="AC325" s="209">
        <f>SUM(E325:AB325)*D325+SUM(E326:AB326)*D326+SUM(E327:AB327)*D327+SUM(E328:AB328)*D328</f>
        <v>22130030.579999998</v>
      </c>
      <c r="AD325" s="18"/>
    </row>
    <row r="326" spans="2:30" ht="18.649999999999999" customHeight="1" x14ac:dyDescent="0.35">
      <c r="B326" s="267"/>
      <c r="C326" s="9" t="s">
        <v>30</v>
      </c>
      <c r="D326" s="10">
        <v>4</v>
      </c>
      <c r="E326" s="79">
        <v>26676.19</v>
      </c>
      <c r="F326" s="79">
        <v>25281.29</v>
      </c>
      <c r="G326" s="79">
        <v>24238.68</v>
      </c>
      <c r="H326" s="79">
        <v>23522.01</v>
      </c>
      <c r="I326" s="79">
        <v>23384.41</v>
      </c>
      <c r="J326" s="79">
        <v>23031.48</v>
      </c>
      <c r="K326" s="79">
        <v>23138.98</v>
      </c>
      <c r="L326" s="79">
        <v>25845.88</v>
      </c>
      <c r="M326" s="79">
        <v>28453.02</v>
      </c>
      <c r="N326" s="79">
        <v>29957.55</v>
      </c>
      <c r="O326" s="79">
        <v>31319.54</v>
      </c>
      <c r="P326" s="79">
        <v>32214.95</v>
      </c>
      <c r="Q326" s="79">
        <v>31582.61</v>
      </c>
      <c r="R326" s="79">
        <v>30969.59</v>
      </c>
      <c r="S326" s="79">
        <v>31233.37</v>
      </c>
      <c r="T326" s="79">
        <v>31460.09</v>
      </c>
      <c r="U326" s="79">
        <v>31566.39</v>
      </c>
      <c r="V326" s="79">
        <v>34225.519999999997</v>
      </c>
      <c r="W326" s="79">
        <v>37307.410000000003</v>
      </c>
      <c r="X326" s="79">
        <v>38011.300000000003</v>
      </c>
      <c r="Y326" s="79">
        <v>36942.629999999997</v>
      </c>
      <c r="Z326" s="79">
        <v>35111.129999999997</v>
      </c>
      <c r="AA326" s="79">
        <v>33008.559999999998</v>
      </c>
      <c r="AB326" s="79">
        <v>30818.65</v>
      </c>
      <c r="AC326" s="210"/>
      <c r="AD326" s="18"/>
    </row>
    <row r="327" spans="2:30" ht="18.649999999999999" customHeight="1" x14ac:dyDescent="0.35">
      <c r="B327" s="267"/>
      <c r="C327" s="9" t="s">
        <v>31</v>
      </c>
      <c r="D327" s="10">
        <v>4</v>
      </c>
      <c r="E327" s="79">
        <v>27162.59</v>
      </c>
      <c r="F327" s="79">
        <v>25696.15</v>
      </c>
      <c r="G327" s="79">
        <v>24539.91</v>
      </c>
      <c r="H327" s="79">
        <v>23789.74</v>
      </c>
      <c r="I327" s="79">
        <v>23488.67</v>
      </c>
      <c r="J327" s="79">
        <v>22659.57</v>
      </c>
      <c r="K327" s="79">
        <v>21987.06</v>
      </c>
      <c r="L327" s="79">
        <v>23147.16</v>
      </c>
      <c r="M327" s="79">
        <v>24364.09</v>
      </c>
      <c r="N327" s="79">
        <v>25512.53</v>
      </c>
      <c r="O327" s="79">
        <v>26349.02</v>
      </c>
      <c r="P327" s="79">
        <v>27111.25</v>
      </c>
      <c r="Q327" s="79">
        <v>27784.22</v>
      </c>
      <c r="R327" s="79">
        <v>27818.07</v>
      </c>
      <c r="S327" s="79">
        <v>28103.51</v>
      </c>
      <c r="T327" s="79">
        <v>28570.35</v>
      </c>
      <c r="U327" s="79">
        <v>29088.26</v>
      </c>
      <c r="V327" s="79">
        <v>31882.58</v>
      </c>
      <c r="W327" s="79">
        <v>35676.36</v>
      </c>
      <c r="X327" s="79">
        <v>37324.26</v>
      </c>
      <c r="Y327" s="79">
        <v>36879.089999999997</v>
      </c>
      <c r="Z327" s="79">
        <v>35759.25</v>
      </c>
      <c r="AA327" s="79">
        <v>33671.1</v>
      </c>
      <c r="AB327" s="79">
        <v>31282.32</v>
      </c>
      <c r="AC327" s="210"/>
      <c r="AD327" s="18"/>
    </row>
    <row r="328" spans="2:30" ht="18.649999999999999" customHeight="1" thickBot="1" x14ac:dyDescent="0.4">
      <c r="B328" s="268"/>
      <c r="C328" s="11" t="s">
        <v>32</v>
      </c>
      <c r="D328" s="12">
        <v>2</v>
      </c>
      <c r="E328" s="76">
        <v>27162.59</v>
      </c>
      <c r="F328" s="76">
        <v>25696.15</v>
      </c>
      <c r="G328" s="76">
        <v>24539.91</v>
      </c>
      <c r="H328" s="76">
        <v>23789.74</v>
      </c>
      <c r="I328" s="76">
        <v>23488.67</v>
      </c>
      <c r="J328" s="76">
        <v>22659.57</v>
      </c>
      <c r="K328" s="76">
        <v>21987.06</v>
      </c>
      <c r="L328" s="76">
        <v>23147.16</v>
      </c>
      <c r="M328" s="76">
        <v>24364.09</v>
      </c>
      <c r="N328" s="76">
        <v>25512.53</v>
      </c>
      <c r="O328" s="76">
        <v>26349.02</v>
      </c>
      <c r="P328" s="76">
        <v>27111.25</v>
      </c>
      <c r="Q328" s="76">
        <v>27784.22</v>
      </c>
      <c r="R328" s="76">
        <v>27818.07</v>
      </c>
      <c r="S328" s="76">
        <v>28103.51</v>
      </c>
      <c r="T328" s="76">
        <v>28570.35</v>
      </c>
      <c r="U328" s="76">
        <v>29088.26</v>
      </c>
      <c r="V328" s="76">
        <v>31882.58</v>
      </c>
      <c r="W328" s="76">
        <v>35676.36</v>
      </c>
      <c r="X328" s="76">
        <v>37324.26</v>
      </c>
      <c r="Y328" s="76">
        <v>36879.089999999997</v>
      </c>
      <c r="Z328" s="76">
        <v>35759.25</v>
      </c>
      <c r="AA328" s="76">
        <v>33671.1</v>
      </c>
      <c r="AB328" s="76">
        <v>31282.32</v>
      </c>
      <c r="AC328" s="214"/>
      <c r="AD328" s="18"/>
    </row>
    <row r="329" spans="2:30" ht="18.649999999999999" customHeight="1" x14ac:dyDescent="0.35">
      <c r="B329" s="207">
        <v>50587</v>
      </c>
      <c r="C329" s="13" t="s">
        <v>29</v>
      </c>
      <c r="D329" s="14">
        <v>20</v>
      </c>
      <c r="E329" s="81">
        <v>26587.99</v>
      </c>
      <c r="F329" s="81">
        <v>25121.87</v>
      </c>
      <c r="G329" s="81">
        <v>24015.52</v>
      </c>
      <c r="H329" s="81">
        <v>23280.95</v>
      </c>
      <c r="I329" s="81">
        <v>23222.67</v>
      </c>
      <c r="J329" s="81">
        <v>23807.85</v>
      </c>
      <c r="K329" s="81">
        <v>23999.7</v>
      </c>
      <c r="L329" s="81">
        <v>26885.72</v>
      </c>
      <c r="M329" s="81">
        <v>29413.32</v>
      </c>
      <c r="N329" s="81">
        <v>30734.560000000001</v>
      </c>
      <c r="O329" s="81">
        <v>32458.05</v>
      </c>
      <c r="P329" s="81">
        <v>33842.99</v>
      </c>
      <c r="Q329" s="81">
        <v>32582.61</v>
      </c>
      <c r="R329" s="81">
        <v>33936.449999999997</v>
      </c>
      <c r="S329" s="81">
        <v>36214.04</v>
      </c>
      <c r="T329" s="81">
        <v>36630.879999999997</v>
      </c>
      <c r="U329" s="81">
        <v>36564</v>
      </c>
      <c r="V329" s="81">
        <v>37429.480000000003</v>
      </c>
      <c r="W329" s="81">
        <v>39300.44</v>
      </c>
      <c r="X329" s="81">
        <v>40195.51</v>
      </c>
      <c r="Y329" s="81">
        <v>39157.730000000003</v>
      </c>
      <c r="Z329" s="81">
        <v>37258.839999999997</v>
      </c>
      <c r="AA329" s="81">
        <v>34275.75</v>
      </c>
      <c r="AB329" s="81">
        <v>31368.91</v>
      </c>
      <c r="AC329" s="210">
        <f>SUM(E329:AB329)*D329+SUM(E330:AB330)*D330+SUM(E331:AB331)*D331+SUM(E332:AB332)*D332</f>
        <v>22614457.200000003</v>
      </c>
      <c r="AD329" s="18"/>
    </row>
    <row r="330" spans="2:30" ht="18.649999999999999" customHeight="1" x14ac:dyDescent="0.35">
      <c r="B330" s="267"/>
      <c r="C330" s="9" t="s">
        <v>30</v>
      </c>
      <c r="D330" s="10">
        <v>5</v>
      </c>
      <c r="E330" s="79">
        <v>27080.57</v>
      </c>
      <c r="F330" s="79">
        <v>25432.9</v>
      </c>
      <c r="G330" s="79">
        <v>24229.19</v>
      </c>
      <c r="H330" s="79">
        <v>23516.5</v>
      </c>
      <c r="I330" s="79">
        <v>23147.4</v>
      </c>
      <c r="J330" s="79">
        <v>22881.66</v>
      </c>
      <c r="K330" s="79">
        <v>22856.02</v>
      </c>
      <c r="L330" s="79">
        <v>25248.5</v>
      </c>
      <c r="M330" s="79">
        <v>27829.79</v>
      </c>
      <c r="N330" s="79">
        <v>29380.7</v>
      </c>
      <c r="O330" s="79">
        <v>30958.77</v>
      </c>
      <c r="P330" s="79">
        <v>31777.71</v>
      </c>
      <c r="Q330" s="79">
        <v>31243.56</v>
      </c>
      <c r="R330" s="79">
        <v>30863.48</v>
      </c>
      <c r="S330" s="79">
        <v>31016.07</v>
      </c>
      <c r="T330" s="79">
        <v>30979.7</v>
      </c>
      <c r="U330" s="79">
        <v>31139.46</v>
      </c>
      <c r="V330" s="79">
        <v>33838.25</v>
      </c>
      <c r="W330" s="79">
        <v>36125.730000000003</v>
      </c>
      <c r="X330" s="79">
        <v>36828.019999999997</v>
      </c>
      <c r="Y330" s="79">
        <v>35635.39</v>
      </c>
      <c r="Z330" s="79">
        <v>34181.82</v>
      </c>
      <c r="AA330" s="79">
        <v>32345.52</v>
      </c>
      <c r="AB330" s="79">
        <v>30223.15</v>
      </c>
      <c r="AC330" s="210"/>
      <c r="AD330" s="18"/>
    </row>
    <row r="331" spans="2:30" ht="18.649999999999999" customHeight="1" x14ac:dyDescent="0.35">
      <c r="B331" s="267"/>
      <c r="C331" s="9" t="s">
        <v>31</v>
      </c>
      <c r="D331" s="10">
        <v>4</v>
      </c>
      <c r="E331" s="79">
        <v>25228.55</v>
      </c>
      <c r="F331" s="79">
        <v>23955.27</v>
      </c>
      <c r="G331" s="79">
        <v>22835.06</v>
      </c>
      <c r="H331" s="79">
        <v>22167.759999999998</v>
      </c>
      <c r="I331" s="79">
        <v>21888.38</v>
      </c>
      <c r="J331" s="79">
        <v>21281.35</v>
      </c>
      <c r="K331" s="79">
        <v>20654.900000000001</v>
      </c>
      <c r="L331" s="79">
        <v>21769.95</v>
      </c>
      <c r="M331" s="79">
        <v>22898.94</v>
      </c>
      <c r="N331" s="79">
        <v>23993.26</v>
      </c>
      <c r="O331" s="79">
        <v>25025.39</v>
      </c>
      <c r="P331" s="79">
        <v>25999.48</v>
      </c>
      <c r="Q331" s="79">
        <v>26779.71</v>
      </c>
      <c r="R331" s="79">
        <v>27086.04</v>
      </c>
      <c r="S331" s="79">
        <v>27431.35</v>
      </c>
      <c r="T331" s="79">
        <v>28053.55</v>
      </c>
      <c r="U331" s="79">
        <v>28464.68</v>
      </c>
      <c r="V331" s="79">
        <v>31095.63</v>
      </c>
      <c r="W331" s="79">
        <v>34847.75</v>
      </c>
      <c r="X331" s="79">
        <v>36772.81</v>
      </c>
      <c r="Y331" s="79">
        <v>36235.35</v>
      </c>
      <c r="Z331" s="79">
        <v>34779.07</v>
      </c>
      <c r="AA331" s="79">
        <v>32123.09</v>
      </c>
      <c r="AB331" s="79">
        <v>29456.23</v>
      </c>
      <c r="AC331" s="210"/>
      <c r="AD331" s="18"/>
    </row>
    <row r="332" spans="2:30" ht="18.649999999999999" customHeight="1" thickBot="1" x14ac:dyDescent="0.4">
      <c r="B332" s="268"/>
      <c r="C332" s="15" t="s">
        <v>32</v>
      </c>
      <c r="D332" s="16">
        <v>2</v>
      </c>
      <c r="E332" s="79">
        <v>25228.55</v>
      </c>
      <c r="F332" s="79">
        <v>23955.27</v>
      </c>
      <c r="G332" s="79">
        <v>22835.06</v>
      </c>
      <c r="H332" s="79">
        <v>22167.759999999998</v>
      </c>
      <c r="I332" s="79">
        <v>21888.38</v>
      </c>
      <c r="J332" s="79">
        <v>21281.35</v>
      </c>
      <c r="K332" s="79">
        <v>20654.900000000001</v>
      </c>
      <c r="L332" s="79">
        <v>21769.95</v>
      </c>
      <c r="M332" s="79">
        <v>22898.94</v>
      </c>
      <c r="N332" s="79">
        <v>23993.26</v>
      </c>
      <c r="O332" s="79">
        <v>25025.39</v>
      </c>
      <c r="P332" s="79">
        <v>25999.48</v>
      </c>
      <c r="Q332" s="79">
        <v>26779.71</v>
      </c>
      <c r="R332" s="79">
        <v>27086.04</v>
      </c>
      <c r="S332" s="79">
        <v>27431.35</v>
      </c>
      <c r="T332" s="79">
        <v>28053.55</v>
      </c>
      <c r="U332" s="79">
        <v>28464.68</v>
      </c>
      <c r="V332" s="79">
        <v>31095.63</v>
      </c>
      <c r="W332" s="79">
        <v>34847.75</v>
      </c>
      <c r="X332" s="79">
        <v>36772.81</v>
      </c>
      <c r="Y332" s="79">
        <v>36235.35</v>
      </c>
      <c r="Z332" s="79">
        <v>34779.07</v>
      </c>
      <c r="AA332" s="79">
        <v>32123.09</v>
      </c>
      <c r="AB332" s="79">
        <v>29456.23</v>
      </c>
      <c r="AC332" s="210"/>
      <c r="AD332" s="18"/>
    </row>
    <row r="333" spans="2:30" ht="18.649999999999999" customHeight="1" x14ac:dyDescent="0.35">
      <c r="B333" s="207">
        <v>50618</v>
      </c>
      <c r="C333" s="6" t="s">
        <v>29</v>
      </c>
      <c r="D333" s="7">
        <v>21</v>
      </c>
      <c r="E333" s="78">
        <v>26617.97</v>
      </c>
      <c r="F333" s="78">
        <v>25043.93</v>
      </c>
      <c r="G333" s="78">
        <v>23925.91</v>
      </c>
      <c r="H333" s="78">
        <v>23158.06</v>
      </c>
      <c r="I333" s="78">
        <v>23104.43</v>
      </c>
      <c r="J333" s="78">
        <v>23888.75</v>
      </c>
      <c r="K333" s="78">
        <v>24063.63</v>
      </c>
      <c r="L333" s="78">
        <v>26707.67</v>
      </c>
      <c r="M333" s="78">
        <v>29274.62</v>
      </c>
      <c r="N333" s="78">
        <v>30551.32</v>
      </c>
      <c r="O333" s="78">
        <v>32365.83</v>
      </c>
      <c r="P333" s="78">
        <v>33987.160000000003</v>
      </c>
      <c r="Q333" s="78">
        <v>32538.26</v>
      </c>
      <c r="R333" s="78">
        <v>33802.14</v>
      </c>
      <c r="S333" s="78">
        <v>36165.480000000003</v>
      </c>
      <c r="T333" s="78">
        <v>36606.199999999997</v>
      </c>
      <c r="U333" s="78">
        <v>36403.78</v>
      </c>
      <c r="V333" s="78">
        <v>37510.21</v>
      </c>
      <c r="W333" s="78">
        <v>39941.050000000003</v>
      </c>
      <c r="X333" s="78">
        <v>40534.870000000003</v>
      </c>
      <c r="Y333" s="78">
        <v>39436.69</v>
      </c>
      <c r="Z333" s="78">
        <v>37466.94</v>
      </c>
      <c r="AA333" s="78">
        <v>34427.18</v>
      </c>
      <c r="AB333" s="78">
        <v>31541.33</v>
      </c>
      <c r="AC333" s="209">
        <f>SUM(E333:AB333)*D333+SUM(E334:AB334)*D334+SUM(E335:AB335)*D335+SUM(E336:AB336)*D336</f>
        <v>22731543.699999999</v>
      </c>
      <c r="AD333" s="18"/>
    </row>
    <row r="334" spans="2:30" ht="18.649999999999999" customHeight="1" x14ac:dyDescent="0.35">
      <c r="B334" s="267"/>
      <c r="C334" s="9" t="s">
        <v>30</v>
      </c>
      <c r="D334" s="10">
        <v>3</v>
      </c>
      <c r="E334" s="79">
        <v>26968.41</v>
      </c>
      <c r="F334" s="79">
        <v>25490.29</v>
      </c>
      <c r="G334" s="79">
        <v>24391.79</v>
      </c>
      <c r="H334" s="79">
        <v>23539.56</v>
      </c>
      <c r="I334" s="79">
        <v>22997.41</v>
      </c>
      <c r="J334" s="79">
        <v>22742.37</v>
      </c>
      <c r="K334" s="79">
        <v>22658.93</v>
      </c>
      <c r="L334" s="79">
        <v>25029.43</v>
      </c>
      <c r="M334" s="79">
        <v>27336.76</v>
      </c>
      <c r="N334" s="79">
        <v>28876.93</v>
      </c>
      <c r="O334" s="79">
        <v>30231.8</v>
      </c>
      <c r="P334" s="79">
        <v>30669.32</v>
      </c>
      <c r="Q334" s="79">
        <v>30124.45</v>
      </c>
      <c r="R334" s="79">
        <v>29785.82</v>
      </c>
      <c r="S334" s="79">
        <v>30337.37</v>
      </c>
      <c r="T334" s="79">
        <v>30715.63</v>
      </c>
      <c r="U334" s="79">
        <v>30955.37</v>
      </c>
      <c r="V334" s="79">
        <v>33724.21</v>
      </c>
      <c r="W334" s="79">
        <v>37388.480000000003</v>
      </c>
      <c r="X334" s="79">
        <v>37626.44</v>
      </c>
      <c r="Y334" s="79">
        <v>36271.769999999997</v>
      </c>
      <c r="Z334" s="79">
        <v>34671.949999999997</v>
      </c>
      <c r="AA334" s="79">
        <v>32616.05</v>
      </c>
      <c r="AB334" s="79">
        <v>30336.89</v>
      </c>
      <c r="AC334" s="210"/>
      <c r="AD334" s="18"/>
    </row>
    <row r="335" spans="2:30" ht="18.649999999999999" customHeight="1" x14ac:dyDescent="0.35">
      <c r="B335" s="267"/>
      <c r="C335" s="9" t="s">
        <v>31</v>
      </c>
      <c r="D335" s="10">
        <v>5</v>
      </c>
      <c r="E335" s="79">
        <v>26290.36</v>
      </c>
      <c r="F335" s="79">
        <v>24924.35</v>
      </c>
      <c r="G335" s="79">
        <v>23721.14</v>
      </c>
      <c r="H335" s="79">
        <v>23024.81</v>
      </c>
      <c r="I335" s="79">
        <v>22644.17</v>
      </c>
      <c r="J335" s="79">
        <v>22267.64</v>
      </c>
      <c r="K335" s="79">
        <v>21525.05</v>
      </c>
      <c r="L335" s="79">
        <v>22651.83</v>
      </c>
      <c r="M335" s="79">
        <v>23679.24</v>
      </c>
      <c r="N335" s="79">
        <v>24729.87</v>
      </c>
      <c r="O335" s="79">
        <v>25717.47</v>
      </c>
      <c r="P335" s="79">
        <v>26623.4</v>
      </c>
      <c r="Q335" s="79">
        <v>27221.22</v>
      </c>
      <c r="R335" s="79">
        <v>27430.02</v>
      </c>
      <c r="S335" s="79">
        <v>27766.16</v>
      </c>
      <c r="T335" s="79">
        <v>28201.8</v>
      </c>
      <c r="U335" s="79">
        <v>28670.67</v>
      </c>
      <c r="V335" s="79">
        <v>31638.04</v>
      </c>
      <c r="W335" s="79">
        <v>35733.42</v>
      </c>
      <c r="X335" s="79">
        <v>37217.360000000001</v>
      </c>
      <c r="Y335" s="79">
        <v>36944.339999999997</v>
      </c>
      <c r="Z335" s="79">
        <v>35685.15</v>
      </c>
      <c r="AA335" s="79">
        <v>33123.19</v>
      </c>
      <c r="AB335" s="79">
        <v>30390.7</v>
      </c>
      <c r="AC335" s="210"/>
      <c r="AD335" s="18"/>
    </row>
    <row r="336" spans="2:30" ht="18.649999999999999" customHeight="1" thickBot="1" x14ac:dyDescent="0.4">
      <c r="B336" s="268"/>
      <c r="C336" s="11" t="s">
        <v>32</v>
      </c>
      <c r="D336" s="12">
        <v>2</v>
      </c>
      <c r="E336" s="76">
        <v>26290.36</v>
      </c>
      <c r="F336" s="76">
        <v>24924.35</v>
      </c>
      <c r="G336" s="76">
        <v>23721.14</v>
      </c>
      <c r="H336" s="76">
        <v>23024.81</v>
      </c>
      <c r="I336" s="76">
        <v>22644.17</v>
      </c>
      <c r="J336" s="76">
        <v>22267.64</v>
      </c>
      <c r="K336" s="76">
        <v>21525.05</v>
      </c>
      <c r="L336" s="76">
        <v>22651.83</v>
      </c>
      <c r="M336" s="76">
        <v>23679.24</v>
      </c>
      <c r="N336" s="76">
        <v>24729.87</v>
      </c>
      <c r="O336" s="76">
        <v>25717.47</v>
      </c>
      <c r="P336" s="76">
        <v>26623.4</v>
      </c>
      <c r="Q336" s="76">
        <v>27221.22</v>
      </c>
      <c r="R336" s="76">
        <v>27430.02</v>
      </c>
      <c r="S336" s="76">
        <v>27766.16</v>
      </c>
      <c r="T336" s="76">
        <v>28201.8</v>
      </c>
      <c r="U336" s="76">
        <v>28670.67</v>
      </c>
      <c r="V336" s="76">
        <v>31638.04</v>
      </c>
      <c r="W336" s="76">
        <v>35733.42</v>
      </c>
      <c r="X336" s="76">
        <v>37217.360000000001</v>
      </c>
      <c r="Y336" s="76">
        <v>36944.339999999997</v>
      </c>
      <c r="Z336" s="76">
        <v>35685.15</v>
      </c>
      <c r="AA336" s="76">
        <v>33123.19</v>
      </c>
      <c r="AB336" s="76">
        <v>30390.7</v>
      </c>
      <c r="AC336" s="214"/>
      <c r="AD336" s="18"/>
    </row>
    <row r="337" spans="2:30" ht="18.649999999999999" customHeight="1" x14ac:dyDescent="0.35">
      <c r="B337" s="207">
        <v>50649</v>
      </c>
      <c r="C337" s="13" t="s">
        <v>29</v>
      </c>
      <c r="D337" s="14">
        <v>22</v>
      </c>
      <c r="E337" s="81">
        <v>26262.15</v>
      </c>
      <c r="F337" s="81">
        <v>24772.26</v>
      </c>
      <c r="G337" s="81">
        <v>23666.02</v>
      </c>
      <c r="H337" s="81">
        <v>22850.31</v>
      </c>
      <c r="I337" s="81">
        <v>22782.11</v>
      </c>
      <c r="J337" s="81">
        <v>23531.27</v>
      </c>
      <c r="K337" s="81">
        <v>23735.89</v>
      </c>
      <c r="L337" s="81">
        <v>26493.01</v>
      </c>
      <c r="M337" s="81">
        <v>29177.95</v>
      </c>
      <c r="N337" s="81">
        <v>30506.55</v>
      </c>
      <c r="O337" s="81">
        <v>32054.52</v>
      </c>
      <c r="P337" s="81">
        <v>33506.660000000003</v>
      </c>
      <c r="Q337" s="81">
        <v>32250.77</v>
      </c>
      <c r="R337" s="81">
        <v>33348.620000000003</v>
      </c>
      <c r="S337" s="81">
        <v>35528.480000000003</v>
      </c>
      <c r="T337" s="81">
        <v>35971.879999999997</v>
      </c>
      <c r="U337" s="81">
        <v>35825.53</v>
      </c>
      <c r="V337" s="81">
        <v>37301.22</v>
      </c>
      <c r="W337" s="81">
        <v>39843.22</v>
      </c>
      <c r="X337" s="81">
        <v>39473.949999999997</v>
      </c>
      <c r="Y337" s="81">
        <v>38265.230000000003</v>
      </c>
      <c r="Z337" s="81">
        <v>36241.08</v>
      </c>
      <c r="AA337" s="81">
        <v>33190.730000000003</v>
      </c>
      <c r="AB337" s="81">
        <v>30401.63</v>
      </c>
      <c r="AC337" s="210">
        <f>SUM(E337:AB337)*D337+SUM(E338:AB338)*D338+SUM(E339:AB339)*D339+SUM(E340:AB340)*D340</f>
        <v>21848933.399999999</v>
      </c>
      <c r="AD337" s="18"/>
    </row>
    <row r="338" spans="2:30" ht="18.649999999999999" customHeight="1" x14ac:dyDescent="0.35">
      <c r="B338" s="267"/>
      <c r="C338" s="9" t="s">
        <v>30</v>
      </c>
      <c r="D338" s="10">
        <v>4</v>
      </c>
      <c r="E338" s="79">
        <v>25405.66</v>
      </c>
      <c r="F338" s="79">
        <v>24022.87</v>
      </c>
      <c r="G338" s="79">
        <v>22977.38</v>
      </c>
      <c r="H338" s="79">
        <v>22208.18</v>
      </c>
      <c r="I338" s="79">
        <v>21980.19</v>
      </c>
      <c r="J338" s="79">
        <v>21820.01</v>
      </c>
      <c r="K338" s="79">
        <v>21961.29</v>
      </c>
      <c r="L338" s="79">
        <v>24531.35</v>
      </c>
      <c r="M338" s="79">
        <v>27099.53</v>
      </c>
      <c r="N338" s="79">
        <v>28329.71</v>
      </c>
      <c r="O338" s="79">
        <v>30029.65</v>
      </c>
      <c r="P338" s="79">
        <v>30810.58</v>
      </c>
      <c r="Q338" s="79">
        <v>30472.92</v>
      </c>
      <c r="R338" s="79">
        <v>30142.73</v>
      </c>
      <c r="S338" s="79">
        <v>30512.57</v>
      </c>
      <c r="T338" s="79">
        <v>30627.22</v>
      </c>
      <c r="U338" s="79">
        <v>30688.71</v>
      </c>
      <c r="V338" s="79">
        <v>33975.89</v>
      </c>
      <c r="W338" s="79">
        <v>37784.400000000001</v>
      </c>
      <c r="X338" s="79">
        <v>37489.35</v>
      </c>
      <c r="Y338" s="79">
        <v>36202.47</v>
      </c>
      <c r="Z338" s="79">
        <v>34594.629999999997</v>
      </c>
      <c r="AA338" s="79">
        <v>32763.46</v>
      </c>
      <c r="AB338" s="79">
        <v>30520.03</v>
      </c>
      <c r="AC338" s="210"/>
      <c r="AD338" s="18"/>
    </row>
    <row r="339" spans="2:30" ht="18.649999999999999" customHeight="1" x14ac:dyDescent="0.35">
      <c r="B339" s="267"/>
      <c r="C339" s="9" t="s">
        <v>31</v>
      </c>
      <c r="D339" s="10">
        <v>4</v>
      </c>
      <c r="E339" s="79">
        <v>26135.67</v>
      </c>
      <c r="F339" s="79">
        <v>24708.86</v>
      </c>
      <c r="G339" s="79">
        <v>23463.7</v>
      </c>
      <c r="H339" s="79">
        <v>22638.54</v>
      </c>
      <c r="I339" s="79">
        <v>22278.82</v>
      </c>
      <c r="J339" s="79">
        <v>21600.89</v>
      </c>
      <c r="K339" s="79">
        <v>20840.439999999999</v>
      </c>
      <c r="L339" s="79">
        <v>22161.68</v>
      </c>
      <c r="M339" s="79">
        <v>23253.68</v>
      </c>
      <c r="N339" s="79">
        <v>24520.12</v>
      </c>
      <c r="O339" s="79">
        <v>25552.65</v>
      </c>
      <c r="P339" s="79">
        <v>26256.66</v>
      </c>
      <c r="Q339" s="79">
        <v>26956.7</v>
      </c>
      <c r="R339" s="79">
        <v>27138.13</v>
      </c>
      <c r="S339" s="79">
        <v>27278.29</v>
      </c>
      <c r="T339" s="79">
        <v>27865.439999999999</v>
      </c>
      <c r="U339" s="79">
        <v>28268.33</v>
      </c>
      <c r="V339" s="79">
        <v>31628.9</v>
      </c>
      <c r="W339" s="79">
        <v>35767.980000000003</v>
      </c>
      <c r="X339" s="79">
        <v>36334.800000000003</v>
      </c>
      <c r="Y339" s="79">
        <v>35906.11</v>
      </c>
      <c r="Z339" s="79">
        <v>34604.559999999998</v>
      </c>
      <c r="AA339" s="79">
        <v>32172.880000000001</v>
      </c>
      <c r="AB339" s="79">
        <v>29553.02</v>
      </c>
      <c r="AC339" s="210"/>
      <c r="AD339" s="18"/>
    </row>
    <row r="340" spans="2:30" ht="18.649999999999999" customHeight="1" thickBot="1" x14ac:dyDescent="0.4">
      <c r="B340" s="268"/>
      <c r="C340" s="15" t="s">
        <v>32</v>
      </c>
      <c r="D340" s="16">
        <v>0</v>
      </c>
      <c r="E340" s="194">
        <v>0</v>
      </c>
      <c r="F340" s="194">
        <v>0</v>
      </c>
      <c r="G340" s="194">
        <v>0</v>
      </c>
      <c r="H340" s="194">
        <v>0</v>
      </c>
      <c r="I340" s="194">
        <v>0</v>
      </c>
      <c r="J340" s="194">
        <v>0</v>
      </c>
      <c r="K340" s="194">
        <v>0</v>
      </c>
      <c r="L340" s="194">
        <v>0</v>
      </c>
      <c r="M340" s="194">
        <v>0</v>
      </c>
      <c r="N340" s="194">
        <v>0</v>
      </c>
      <c r="O340" s="194">
        <v>0</v>
      </c>
      <c r="P340" s="194">
        <v>0</v>
      </c>
      <c r="Q340" s="194">
        <v>0</v>
      </c>
      <c r="R340" s="194">
        <v>0</v>
      </c>
      <c r="S340" s="194">
        <v>0</v>
      </c>
      <c r="T340" s="194">
        <v>0</v>
      </c>
      <c r="U340" s="194">
        <v>0</v>
      </c>
      <c r="V340" s="194">
        <v>0</v>
      </c>
      <c r="W340" s="194">
        <v>0</v>
      </c>
      <c r="X340" s="194">
        <v>0</v>
      </c>
      <c r="Y340" s="194">
        <v>0</v>
      </c>
      <c r="Z340" s="194">
        <v>0</v>
      </c>
      <c r="AA340" s="194">
        <v>0</v>
      </c>
      <c r="AB340" s="194">
        <v>0</v>
      </c>
      <c r="AC340" s="210"/>
      <c r="AD340" s="18"/>
    </row>
    <row r="341" spans="2:30" ht="18.649999999999999" customHeight="1" x14ac:dyDescent="0.35">
      <c r="B341" s="207">
        <v>50679</v>
      </c>
      <c r="C341" s="6" t="s">
        <v>29</v>
      </c>
      <c r="D341" s="7">
        <v>20</v>
      </c>
      <c r="E341" s="78">
        <v>25435.05</v>
      </c>
      <c r="F341" s="78">
        <v>23992.82</v>
      </c>
      <c r="G341" s="78">
        <v>22948.560000000001</v>
      </c>
      <c r="H341" s="78">
        <v>22180.49</v>
      </c>
      <c r="I341" s="78">
        <v>22223.1</v>
      </c>
      <c r="J341" s="78">
        <v>22889.45</v>
      </c>
      <c r="K341" s="78">
        <v>23386.44</v>
      </c>
      <c r="L341" s="78">
        <v>26168.720000000001</v>
      </c>
      <c r="M341" s="78">
        <v>28719.59</v>
      </c>
      <c r="N341" s="78">
        <v>30022.31</v>
      </c>
      <c r="O341" s="78">
        <v>31499.37</v>
      </c>
      <c r="P341" s="78">
        <v>32810.36</v>
      </c>
      <c r="Q341" s="78">
        <v>31303.13</v>
      </c>
      <c r="R341" s="78">
        <v>32285.14</v>
      </c>
      <c r="S341" s="78">
        <v>34385.699999999997</v>
      </c>
      <c r="T341" s="78">
        <v>35080.519999999997</v>
      </c>
      <c r="U341" s="78">
        <v>35231.269999999997</v>
      </c>
      <c r="V341" s="78">
        <v>37652.36</v>
      </c>
      <c r="W341" s="78">
        <v>40019.800000000003</v>
      </c>
      <c r="X341" s="78">
        <v>39143.72</v>
      </c>
      <c r="Y341" s="78">
        <v>37736.089999999997</v>
      </c>
      <c r="Z341" s="78">
        <v>35713.78</v>
      </c>
      <c r="AA341" s="78">
        <v>32729.43</v>
      </c>
      <c r="AB341" s="78">
        <v>29814.45</v>
      </c>
      <c r="AC341" s="209">
        <f>SUM(E341:AB341)*D341+SUM(E342:AB342)*D342+SUM(E343:AB343)*D343+SUM(E344:AB344)*D344</f>
        <v>22112723.309999999</v>
      </c>
      <c r="AD341" s="18"/>
    </row>
    <row r="342" spans="2:30" ht="18.649999999999999" customHeight="1" x14ac:dyDescent="0.35">
      <c r="B342" s="267"/>
      <c r="C342" s="9" t="s">
        <v>30</v>
      </c>
      <c r="D342" s="10">
        <v>5</v>
      </c>
      <c r="E342" s="79">
        <v>25839.68</v>
      </c>
      <c r="F342" s="79">
        <v>24260.84</v>
      </c>
      <c r="G342" s="79">
        <v>23009.040000000001</v>
      </c>
      <c r="H342" s="79">
        <v>22227.8</v>
      </c>
      <c r="I342" s="79">
        <v>22197.200000000001</v>
      </c>
      <c r="J342" s="79">
        <v>22074.720000000001</v>
      </c>
      <c r="K342" s="79">
        <v>22314.47</v>
      </c>
      <c r="L342" s="79">
        <v>24621.759999999998</v>
      </c>
      <c r="M342" s="79">
        <v>27111.86</v>
      </c>
      <c r="N342" s="79">
        <v>28507.27</v>
      </c>
      <c r="O342" s="79">
        <v>30097.42</v>
      </c>
      <c r="P342" s="79">
        <v>30928.2</v>
      </c>
      <c r="Q342" s="79">
        <v>30314.47</v>
      </c>
      <c r="R342" s="79">
        <v>29998.76</v>
      </c>
      <c r="S342" s="79">
        <v>30496.639999999999</v>
      </c>
      <c r="T342" s="79">
        <v>31106.23</v>
      </c>
      <c r="U342" s="79">
        <v>31406.65</v>
      </c>
      <c r="V342" s="79">
        <v>35003.75</v>
      </c>
      <c r="W342" s="79">
        <v>38297.300000000003</v>
      </c>
      <c r="X342" s="79">
        <v>37578.239999999998</v>
      </c>
      <c r="Y342" s="79">
        <v>36142.519999999997</v>
      </c>
      <c r="Z342" s="79">
        <v>34348.370000000003</v>
      </c>
      <c r="AA342" s="79">
        <v>32220.27</v>
      </c>
      <c r="AB342" s="79">
        <v>29939.23</v>
      </c>
      <c r="AC342" s="210"/>
      <c r="AD342" s="18"/>
    </row>
    <row r="343" spans="2:30" ht="18.649999999999999" customHeight="1" x14ac:dyDescent="0.35">
      <c r="B343" s="267"/>
      <c r="C343" s="9" t="s">
        <v>31</v>
      </c>
      <c r="D343" s="10">
        <v>5</v>
      </c>
      <c r="E343" s="79">
        <v>25701.279999999999</v>
      </c>
      <c r="F343" s="79">
        <v>24247.59</v>
      </c>
      <c r="G343" s="79">
        <v>23081.47</v>
      </c>
      <c r="H343" s="79">
        <v>22367.18</v>
      </c>
      <c r="I343" s="79">
        <v>22029.48</v>
      </c>
      <c r="J343" s="79">
        <v>21504.83</v>
      </c>
      <c r="K343" s="79">
        <v>20715.759999999998</v>
      </c>
      <c r="L343" s="79">
        <v>22011.67</v>
      </c>
      <c r="M343" s="79">
        <v>23263.03</v>
      </c>
      <c r="N343" s="79">
        <v>24353.26</v>
      </c>
      <c r="O343" s="79">
        <v>25521.71</v>
      </c>
      <c r="P343" s="79">
        <v>26571.69</v>
      </c>
      <c r="Q343" s="79">
        <v>27146.67</v>
      </c>
      <c r="R343" s="79">
        <v>27307.14</v>
      </c>
      <c r="S343" s="79">
        <v>27652.15</v>
      </c>
      <c r="T343" s="79">
        <v>27815.200000000001</v>
      </c>
      <c r="U343" s="79">
        <v>28579.45</v>
      </c>
      <c r="V343" s="79">
        <v>32410.59</v>
      </c>
      <c r="W343" s="79">
        <v>36338.07</v>
      </c>
      <c r="X343" s="79">
        <v>36576.53</v>
      </c>
      <c r="Y343" s="79">
        <v>36040.19</v>
      </c>
      <c r="Z343" s="79">
        <v>34656.06</v>
      </c>
      <c r="AA343" s="79">
        <v>32102.89</v>
      </c>
      <c r="AB343" s="79">
        <v>29518.92</v>
      </c>
      <c r="AC343" s="210"/>
      <c r="AD343" s="18"/>
    </row>
    <row r="344" spans="2:30" ht="18.649999999999999" customHeight="1" thickBot="1" x14ac:dyDescent="0.4">
      <c r="B344" s="268"/>
      <c r="C344" s="11" t="s">
        <v>32</v>
      </c>
      <c r="D344" s="12">
        <v>1</v>
      </c>
      <c r="E344" s="76">
        <v>25701.279999999999</v>
      </c>
      <c r="F344" s="76">
        <v>24247.59</v>
      </c>
      <c r="G344" s="76">
        <v>23081.47</v>
      </c>
      <c r="H344" s="76">
        <v>22367.18</v>
      </c>
      <c r="I344" s="76">
        <v>22029.48</v>
      </c>
      <c r="J344" s="76">
        <v>21504.83</v>
      </c>
      <c r="K344" s="76">
        <v>20715.759999999998</v>
      </c>
      <c r="L344" s="76">
        <v>22011.67</v>
      </c>
      <c r="M344" s="76">
        <v>23263.03</v>
      </c>
      <c r="N344" s="76">
        <v>24353.26</v>
      </c>
      <c r="O344" s="76">
        <v>25521.71</v>
      </c>
      <c r="P344" s="76">
        <v>26571.69</v>
      </c>
      <c r="Q344" s="76">
        <v>27146.67</v>
      </c>
      <c r="R344" s="76">
        <v>27307.14</v>
      </c>
      <c r="S344" s="76">
        <v>27652.15</v>
      </c>
      <c r="T344" s="76">
        <v>27815.200000000001</v>
      </c>
      <c r="U344" s="76">
        <v>28579.45</v>
      </c>
      <c r="V344" s="76">
        <v>32410.59</v>
      </c>
      <c r="W344" s="76">
        <v>36338.07</v>
      </c>
      <c r="X344" s="76">
        <v>36576.53</v>
      </c>
      <c r="Y344" s="76">
        <v>36040.19</v>
      </c>
      <c r="Z344" s="76">
        <v>34656.06</v>
      </c>
      <c r="AA344" s="76">
        <v>32102.89</v>
      </c>
      <c r="AB344" s="76">
        <v>29518.92</v>
      </c>
      <c r="AC344" s="214"/>
      <c r="AD344" s="18"/>
    </row>
    <row r="345" spans="2:30" ht="18.649999999999999" customHeight="1" x14ac:dyDescent="0.35">
      <c r="B345" s="207">
        <v>50710</v>
      </c>
      <c r="C345" s="13" t="s">
        <v>29</v>
      </c>
      <c r="D345" s="14">
        <v>20</v>
      </c>
      <c r="E345" s="81">
        <v>24954.799999999999</v>
      </c>
      <c r="F345" s="81">
        <v>23566.6</v>
      </c>
      <c r="G345" s="81">
        <v>22542.98</v>
      </c>
      <c r="H345" s="81">
        <v>21849.24</v>
      </c>
      <c r="I345" s="81">
        <v>21894.15</v>
      </c>
      <c r="J345" s="81">
        <v>22557.99</v>
      </c>
      <c r="K345" s="81">
        <v>23077.1</v>
      </c>
      <c r="L345" s="81">
        <v>26018.93</v>
      </c>
      <c r="M345" s="81">
        <v>28591.83</v>
      </c>
      <c r="N345" s="81">
        <v>29819.94</v>
      </c>
      <c r="O345" s="81">
        <v>31203</v>
      </c>
      <c r="P345" s="81">
        <v>32253.77</v>
      </c>
      <c r="Q345" s="81">
        <v>30840.92</v>
      </c>
      <c r="R345" s="81">
        <v>31661.3</v>
      </c>
      <c r="S345" s="81">
        <v>33492.78</v>
      </c>
      <c r="T345" s="81">
        <v>34199.519999999997</v>
      </c>
      <c r="U345" s="81">
        <v>34438.9</v>
      </c>
      <c r="V345" s="81">
        <v>37148.199999999997</v>
      </c>
      <c r="W345" s="81">
        <v>38958.620000000003</v>
      </c>
      <c r="X345" s="81">
        <v>38080.959999999999</v>
      </c>
      <c r="Y345" s="81">
        <v>36795.49</v>
      </c>
      <c r="Z345" s="81">
        <v>34886.31</v>
      </c>
      <c r="AA345" s="81">
        <v>32075.33</v>
      </c>
      <c r="AB345" s="81">
        <v>29294.9</v>
      </c>
      <c r="AC345" s="210">
        <f>SUM(E345:AB345)*D345+SUM(E346:AB346)*D346+SUM(E347:AB347)*D347+SUM(E348:AB348)*D348</f>
        <v>20978009.400000002</v>
      </c>
      <c r="AD345" s="18"/>
    </row>
    <row r="346" spans="2:30" ht="18.649999999999999" customHeight="1" x14ac:dyDescent="0.35">
      <c r="B346" s="267"/>
      <c r="C346" s="9" t="s">
        <v>30</v>
      </c>
      <c r="D346" s="10">
        <v>4</v>
      </c>
      <c r="E346" s="79">
        <v>24220.14</v>
      </c>
      <c r="F346" s="79">
        <v>22959.06</v>
      </c>
      <c r="G346" s="79">
        <v>22053.4</v>
      </c>
      <c r="H346" s="79">
        <v>21461.919999999998</v>
      </c>
      <c r="I346" s="79">
        <v>21424.6</v>
      </c>
      <c r="J346" s="79">
        <v>21333.31</v>
      </c>
      <c r="K346" s="79">
        <v>21586.09</v>
      </c>
      <c r="L346" s="79">
        <v>24300</v>
      </c>
      <c r="M346" s="79">
        <v>26875.11</v>
      </c>
      <c r="N346" s="79">
        <v>28286.639999999999</v>
      </c>
      <c r="O346" s="79">
        <v>29887.45</v>
      </c>
      <c r="P346" s="79">
        <v>30553.07</v>
      </c>
      <c r="Q346" s="79">
        <v>29971.7</v>
      </c>
      <c r="R346" s="79">
        <v>29354.58</v>
      </c>
      <c r="S346" s="79">
        <v>29240</v>
      </c>
      <c r="T346" s="79">
        <v>29769.15</v>
      </c>
      <c r="U346" s="79">
        <v>30179.31</v>
      </c>
      <c r="V346" s="79">
        <v>34223.15</v>
      </c>
      <c r="W346" s="79">
        <v>37006.19</v>
      </c>
      <c r="X346" s="79">
        <v>36379.67</v>
      </c>
      <c r="Y346" s="79">
        <v>35106.29</v>
      </c>
      <c r="Z346" s="79">
        <v>33524.06</v>
      </c>
      <c r="AA346" s="79">
        <v>31526.18</v>
      </c>
      <c r="AB346" s="79">
        <v>29256.880000000001</v>
      </c>
      <c r="AC346" s="210"/>
      <c r="AD346" s="18"/>
    </row>
    <row r="347" spans="2:30" ht="18.649999999999999" customHeight="1" x14ac:dyDescent="0.35">
      <c r="B347" s="267"/>
      <c r="C347" s="9" t="s">
        <v>31</v>
      </c>
      <c r="D347" s="10">
        <v>4</v>
      </c>
      <c r="E347" s="79">
        <v>25280.81</v>
      </c>
      <c r="F347" s="79">
        <v>23996.13</v>
      </c>
      <c r="G347" s="79">
        <v>22860.76</v>
      </c>
      <c r="H347" s="79">
        <v>22090.02</v>
      </c>
      <c r="I347" s="79">
        <v>21762.43</v>
      </c>
      <c r="J347" s="79">
        <v>21349.23</v>
      </c>
      <c r="K347" s="79">
        <v>20656.39</v>
      </c>
      <c r="L347" s="79">
        <v>21915.93</v>
      </c>
      <c r="M347" s="79">
        <v>23153.01</v>
      </c>
      <c r="N347" s="79">
        <v>24266.43</v>
      </c>
      <c r="O347" s="79">
        <v>25460.95</v>
      </c>
      <c r="P347" s="79">
        <v>26093.67</v>
      </c>
      <c r="Q347" s="79">
        <v>26646.62</v>
      </c>
      <c r="R347" s="79">
        <v>26703.9</v>
      </c>
      <c r="S347" s="79">
        <v>26742.77</v>
      </c>
      <c r="T347" s="79">
        <v>27117.85</v>
      </c>
      <c r="U347" s="79">
        <v>27677.02</v>
      </c>
      <c r="V347" s="79">
        <v>31912.37</v>
      </c>
      <c r="W347" s="79">
        <v>34881.519999999997</v>
      </c>
      <c r="X347" s="79">
        <v>34922.29</v>
      </c>
      <c r="Y347" s="79">
        <v>34164.33</v>
      </c>
      <c r="Z347" s="79">
        <v>32867.22</v>
      </c>
      <c r="AA347" s="79">
        <v>30827.56</v>
      </c>
      <c r="AB347" s="79">
        <v>28655.19</v>
      </c>
      <c r="AC347" s="210"/>
      <c r="AD347" s="18"/>
    </row>
    <row r="348" spans="2:30" ht="18.649999999999999" customHeight="1" thickBot="1" x14ac:dyDescent="0.4">
      <c r="B348" s="268"/>
      <c r="C348" s="15" t="s">
        <v>32</v>
      </c>
      <c r="D348" s="16">
        <v>2</v>
      </c>
      <c r="E348" s="80">
        <v>25280.81</v>
      </c>
      <c r="F348" s="80">
        <v>23996.13</v>
      </c>
      <c r="G348" s="80">
        <v>22860.76</v>
      </c>
      <c r="H348" s="80">
        <v>22090.02</v>
      </c>
      <c r="I348" s="80">
        <v>21762.43</v>
      </c>
      <c r="J348" s="80">
        <v>21349.23</v>
      </c>
      <c r="K348" s="80">
        <v>20656.39</v>
      </c>
      <c r="L348" s="80">
        <v>21915.93</v>
      </c>
      <c r="M348" s="80">
        <v>23153.01</v>
      </c>
      <c r="N348" s="80">
        <v>24266.43</v>
      </c>
      <c r="O348" s="80">
        <v>25460.95</v>
      </c>
      <c r="P348" s="80">
        <v>26093.67</v>
      </c>
      <c r="Q348" s="80">
        <v>26646.62</v>
      </c>
      <c r="R348" s="80">
        <v>26703.9</v>
      </c>
      <c r="S348" s="80">
        <v>26742.77</v>
      </c>
      <c r="T348" s="80">
        <v>27117.85</v>
      </c>
      <c r="U348" s="80">
        <v>27677.02</v>
      </c>
      <c r="V348" s="80">
        <v>31912.37</v>
      </c>
      <c r="W348" s="80">
        <v>34881.519999999997</v>
      </c>
      <c r="X348" s="80">
        <v>34922.29</v>
      </c>
      <c r="Y348" s="80">
        <v>34164.33</v>
      </c>
      <c r="Z348" s="80">
        <v>32867.22</v>
      </c>
      <c r="AA348" s="80">
        <v>30827.56</v>
      </c>
      <c r="AB348" s="80">
        <v>28655.19</v>
      </c>
      <c r="AC348" s="210"/>
      <c r="AD348" s="18"/>
    </row>
    <row r="349" spans="2:30" ht="18.649999999999999" customHeight="1" x14ac:dyDescent="0.35">
      <c r="B349" s="207">
        <v>50740</v>
      </c>
      <c r="C349" s="6" t="s">
        <v>29</v>
      </c>
      <c r="D349" s="7">
        <v>23</v>
      </c>
      <c r="E349" s="78">
        <v>26809.4</v>
      </c>
      <c r="F349" s="78">
        <v>25225.49</v>
      </c>
      <c r="G349" s="78">
        <v>24079.5</v>
      </c>
      <c r="H349" s="78">
        <v>23370.15</v>
      </c>
      <c r="I349" s="78">
        <v>23257.71</v>
      </c>
      <c r="J349" s="78">
        <v>23685.16</v>
      </c>
      <c r="K349" s="78">
        <v>23766.080000000002</v>
      </c>
      <c r="L349" s="78">
        <v>26601.16</v>
      </c>
      <c r="M349" s="78">
        <v>29126.19</v>
      </c>
      <c r="N349" s="78">
        <v>30581.56</v>
      </c>
      <c r="O349" s="78">
        <v>31939.360000000001</v>
      </c>
      <c r="P349" s="78">
        <v>33035.17</v>
      </c>
      <c r="Q349" s="78">
        <v>32071.78</v>
      </c>
      <c r="R349" s="78">
        <v>32578.38</v>
      </c>
      <c r="S349" s="78">
        <v>34189.75</v>
      </c>
      <c r="T349" s="78">
        <v>34890.81</v>
      </c>
      <c r="U349" s="78">
        <v>35184.519999999997</v>
      </c>
      <c r="V349" s="78">
        <v>37856.54</v>
      </c>
      <c r="W349" s="78">
        <v>40845.64</v>
      </c>
      <c r="X349" s="78">
        <v>40076.71</v>
      </c>
      <c r="Y349" s="78">
        <v>38645.14</v>
      </c>
      <c r="Z349" s="78">
        <v>36569.78</v>
      </c>
      <c r="AA349" s="78">
        <v>33933.93</v>
      </c>
      <c r="AB349" s="78">
        <v>31381.18</v>
      </c>
      <c r="AC349" s="209">
        <f>SUM(E349:AB349)*D349+SUM(E350:AB350)*D350+SUM(E351:AB351)*D351+SUM(E352:AB352)*D352</f>
        <v>22846474.889999997</v>
      </c>
      <c r="AD349" s="18"/>
    </row>
    <row r="350" spans="2:30" ht="18.649999999999999" customHeight="1" x14ac:dyDescent="0.35">
      <c r="B350" s="267"/>
      <c r="C350" s="9" t="s">
        <v>30</v>
      </c>
      <c r="D350" s="10">
        <v>3</v>
      </c>
      <c r="E350" s="79">
        <v>27243.21</v>
      </c>
      <c r="F350" s="79">
        <v>25579.81</v>
      </c>
      <c r="G350" s="79">
        <v>24497.32</v>
      </c>
      <c r="H350" s="79">
        <v>23691.73</v>
      </c>
      <c r="I350" s="79">
        <v>23449.29</v>
      </c>
      <c r="J350" s="79">
        <v>23471.31</v>
      </c>
      <c r="K350" s="79">
        <v>23137.16</v>
      </c>
      <c r="L350" s="79">
        <v>25207.75</v>
      </c>
      <c r="M350" s="79">
        <v>27990.33</v>
      </c>
      <c r="N350" s="79">
        <v>29608.93</v>
      </c>
      <c r="O350" s="79">
        <v>31064.92</v>
      </c>
      <c r="P350" s="79">
        <v>32016.55</v>
      </c>
      <c r="Q350" s="79">
        <v>31440.43</v>
      </c>
      <c r="R350" s="79">
        <v>31290.85</v>
      </c>
      <c r="S350" s="79">
        <v>31269.24</v>
      </c>
      <c r="T350" s="79">
        <v>31892.12</v>
      </c>
      <c r="U350" s="79">
        <v>32373.78</v>
      </c>
      <c r="V350" s="79">
        <v>35712.43</v>
      </c>
      <c r="W350" s="79">
        <v>39675.9</v>
      </c>
      <c r="X350" s="79">
        <v>39082.79</v>
      </c>
      <c r="Y350" s="79">
        <v>37606.06</v>
      </c>
      <c r="Z350" s="79">
        <v>36037.69</v>
      </c>
      <c r="AA350" s="79">
        <v>33838.74</v>
      </c>
      <c r="AB350" s="79">
        <v>31591.45</v>
      </c>
      <c r="AC350" s="210"/>
      <c r="AD350" s="18"/>
    </row>
    <row r="351" spans="2:30" ht="18.649999999999999" customHeight="1" x14ac:dyDescent="0.35">
      <c r="B351" s="267"/>
      <c r="C351" s="9" t="s">
        <v>31</v>
      </c>
      <c r="D351" s="10">
        <v>4</v>
      </c>
      <c r="E351" s="79">
        <v>27412.65</v>
      </c>
      <c r="F351" s="79">
        <v>25964.93</v>
      </c>
      <c r="G351" s="79">
        <v>24800.25</v>
      </c>
      <c r="H351" s="79">
        <v>23980.07</v>
      </c>
      <c r="I351" s="79">
        <v>23610.400000000001</v>
      </c>
      <c r="J351" s="79">
        <v>23353.63</v>
      </c>
      <c r="K351" s="79">
        <v>22130.49</v>
      </c>
      <c r="L351" s="79">
        <v>23173.33</v>
      </c>
      <c r="M351" s="79">
        <v>24569.67</v>
      </c>
      <c r="N351" s="79">
        <v>25914.35</v>
      </c>
      <c r="O351" s="79">
        <v>26797.5</v>
      </c>
      <c r="P351" s="79">
        <v>27630.2</v>
      </c>
      <c r="Q351" s="79">
        <v>28176.89</v>
      </c>
      <c r="R351" s="79">
        <v>28582.15</v>
      </c>
      <c r="S351" s="79">
        <v>27747.61</v>
      </c>
      <c r="T351" s="79">
        <v>28862.05</v>
      </c>
      <c r="U351" s="79">
        <v>29620.2</v>
      </c>
      <c r="V351" s="79">
        <v>33187.83</v>
      </c>
      <c r="W351" s="79">
        <v>37180.5</v>
      </c>
      <c r="X351" s="79">
        <v>36837.089999999997</v>
      </c>
      <c r="Y351" s="79">
        <v>35889.57</v>
      </c>
      <c r="Z351" s="79">
        <v>34621.519999999997</v>
      </c>
      <c r="AA351" s="79">
        <v>32673.88</v>
      </c>
      <c r="AB351" s="79">
        <v>30691.33</v>
      </c>
      <c r="AC351" s="210"/>
      <c r="AD351" s="18"/>
    </row>
    <row r="352" spans="2:30" ht="18.649999999999999" customHeight="1" thickBot="1" x14ac:dyDescent="0.4">
      <c r="B352" s="268"/>
      <c r="C352" s="11" t="s">
        <v>32</v>
      </c>
      <c r="D352" s="12">
        <v>1</v>
      </c>
      <c r="E352" s="76">
        <v>27412.65</v>
      </c>
      <c r="F352" s="76">
        <v>25964.93</v>
      </c>
      <c r="G352" s="76">
        <v>24800.25</v>
      </c>
      <c r="H352" s="76">
        <v>23980.07</v>
      </c>
      <c r="I352" s="76">
        <v>23610.400000000001</v>
      </c>
      <c r="J352" s="76">
        <v>23353.63</v>
      </c>
      <c r="K352" s="76">
        <v>22130.49</v>
      </c>
      <c r="L352" s="76">
        <v>23173.33</v>
      </c>
      <c r="M352" s="76">
        <v>24569.67</v>
      </c>
      <c r="N352" s="76">
        <v>25914.35</v>
      </c>
      <c r="O352" s="76">
        <v>26797.5</v>
      </c>
      <c r="P352" s="76">
        <v>27630.2</v>
      </c>
      <c r="Q352" s="76">
        <v>28176.89</v>
      </c>
      <c r="R352" s="76">
        <v>28582.15</v>
      </c>
      <c r="S352" s="76">
        <v>27747.61</v>
      </c>
      <c r="T352" s="76">
        <v>28862.05</v>
      </c>
      <c r="U352" s="76">
        <v>29620.2</v>
      </c>
      <c r="V352" s="76">
        <v>33187.83</v>
      </c>
      <c r="W352" s="76">
        <v>37180.5</v>
      </c>
      <c r="X352" s="76">
        <v>36837.089999999997</v>
      </c>
      <c r="Y352" s="76">
        <v>35889.57</v>
      </c>
      <c r="Z352" s="76">
        <v>34621.519999999997</v>
      </c>
      <c r="AA352" s="76">
        <v>32673.88</v>
      </c>
      <c r="AB352" s="76">
        <v>30691.33</v>
      </c>
      <c r="AC352" s="214"/>
      <c r="AD352" s="18"/>
    </row>
    <row r="353" spans="2:50" ht="18.5" customHeight="1" thickBot="1" x14ac:dyDescent="0.4">
      <c r="Z353" s="218" t="s">
        <v>33</v>
      </c>
      <c r="AA353" s="219"/>
      <c r="AB353" s="220"/>
      <c r="AC353" s="135">
        <f>SUM(AC305:AC352)</f>
        <v>271002719.38</v>
      </c>
      <c r="AD353" s="17"/>
      <c r="AE353" s="18"/>
    </row>
    <row r="354" spans="2:50" s="186" customFormat="1" ht="18.649999999999999" customHeight="1" x14ac:dyDescent="0.35">
      <c r="B354" s="207">
        <v>50771</v>
      </c>
      <c r="C354" s="6" t="s">
        <v>29</v>
      </c>
      <c r="D354" s="46">
        <v>20</v>
      </c>
      <c r="E354" s="78">
        <v>28304.93</v>
      </c>
      <c r="F354" s="78">
        <v>26756.73</v>
      </c>
      <c r="G354" s="78">
        <v>25586.47</v>
      </c>
      <c r="H354" s="78">
        <v>24733.41</v>
      </c>
      <c r="I354" s="78">
        <v>24565.05</v>
      </c>
      <c r="J354" s="78">
        <v>25406.15</v>
      </c>
      <c r="K354" s="78">
        <v>25090.720000000001</v>
      </c>
      <c r="L354" s="78">
        <v>27906.87</v>
      </c>
      <c r="M354" s="78">
        <v>30470.32</v>
      </c>
      <c r="N354" s="78">
        <v>31810.78</v>
      </c>
      <c r="O354" s="78">
        <v>33440.269999999997</v>
      </c>
      <c r="P354" s="78">
        <v>34889.47</v>
      </c>
      <c r="Q354" s="78">
        <v>33877.26</v>
      </c>
      <c r="R354" s="78">
        <v>35033.57</v>
      </c>
      <c r="S354" s="78">
        <v>36944.639999999999</v>
      </c>
      <c r="T354" s="78">
        <v>37373.550000000003</v>
      </c>
      <c r="U354" s="78">
        <v>37283.53</v>
      </c>
      <c r="V354" s="78">
        <v>38470.230000000003</v>
      </c>
      <c r="W354" s="78">
        <v>41304.730000000003</v>
      </c>
      <c r="X354" s="78">
        <v>41422.92</v>
      </c>
      <c r="Y354" s="78">
        <v>40389.75</v>
      </c>
      <c r="Z354" s="78">
        <v>38668.28</v>
      </c>
      <c r="AA354" s="78">
        <v>35987.08</v>
      </c>
      <c r="AB354" s="78">
        <v>33124.910000000003</v>
      </c>
      <c r="AC354" s="209">
        <f>SUM(E354:AB354)*D354+SUM(E355:AB355)*D355+SUM(E356:AB356)*D356+SUM(E357:AB357)*D357</f>
        <v>23596054.980000004</v>
      </c>
      <c r="AD354" s="185"/>
      <c r="AE354" s="185"/>
      <c r="AF354" s="185"/>
      <c r="AG354" s="185"/>
      <c r="AH354" s="185"/>
      <c r="AI354" s="185"/>
      <c r="AJ354" s="185"/>
      <c r="AK354" s="185"/>
      <c r="AL354" s="185"/>
      <c r="AM354" s="185"/>
      <c r="AN354" s="185"/>
      <c r="AO354" s="185"/>
      <c r="AP354" s="185"/>
      <c r="AQ354" s="185"/>
      <c r="AR354" s="185"/>
      <c r="AS354" s="185"/>
      <c r="AT354" s="185"/>
      <c r="AU354" s="185"/>
      <c r="AV354" s="185"/>
      <c r="AW354" s="185"/>
      <c r="AX354" s="185"/>
    </row>
    <row r="355" spans="2:50" s="186" customFormat="1" ht="18.649999999999999" customHeight="1" x14ac:dyDescent="0.35">
      <c r="B355" s="267"/>
      <c r="C355" s="9" t="s">
        <v>30</v>
      </c>
      <c r="D355" s="10">
        <v>4</v>
      </c>
      <c r="E355" s="79">
        <v>28013.68</v>
      </c>
      <c r="F355" s="79">
        <v>26579.86</v>
      </c>
      <c r="G355" s="79">
        <v>25435.75</v>
      </c>
      <c r="H355" s="79">
        <v>24567.94</v>
      </c>
      <c r="I355" s="79">
        <v>24293.37</v>
      </c>
      <c r="J355" s="79">
        <v>24471.58</v>
      </c>
      <c r="K355" s="79">
        <v>23732.75</v>
      </c>
      <c r="L355" s="79">
        <v>25990.2</v>
      </c>
      <c r="M355" s="79">
        <v>28396.91</v>
      </c>
      <c r="N355" s="79">
        <v>30115.18</v>
      </c>
      <c r="O355" s="79">
        <v>31515.06</v>
      </c>
      <c r="P355" s="79">
        <v>32296.69</v>
      </c>
      <c r="Q355" s="79">
        <v>32015.43</v>
      </c>
      <c r="R355" s="79">
        <v>31321.279999999999</v>
      </c>
      <c r="S355" s="79">
        <v>31655.59</v>
      </c>
      <c r="T355" s="79">
        <v>32011.16</v>
      </c>
      <c r="U355" s="79">
        <v>32248.09</v>
      </c>
      <c r="V355" s="79">
        <v>35053.360000000001</v>
      </c>
      <c r="W355" s="79">
        <v>39041.61</v>
      </c>
      <c r="X355" s="79">
        <v>39262.870000000003</v>
      </c>
      <c r="Y355" s="79">
        <v>38117.370000000003</v>
      </c>
      <c r="Z355" s="79">
        <v>36615.160000000003</v>
      </c>
      <c r="AA355" s="79">
        <v>34664.050000000003</v>
      </c>
      <c r="AB355" s="79">
        <v>32484.6</v>
      </c>
      <c r="AC355" s="210"/>
      <c r="AD355" s="185"/>
      <c r="AE355" s="185"/>
      <c r="AF355" s="185"/>
      <c r="AG355" s="185"/>
      <c r="AH355" s="185"/>
      <c r="AI355" s="185"/>
      <c r="AJ355" s="185"/>
      <c r="AK355" s="185"/>
      <c r="AL355" s="185"/>
      <c r="AM355" s="185"/>
      <c r="AN355" s="185"/>
      <c r="AO355" s="185"/>
      <c r="AP355" s="185"/>
      <c r="AQ355" s="185"/>
      <c r="AR355" s="185"/>
      <c r="AS355" s="185"/>
      <c r="AT355" s="185"/>
      <c r="AU355" s="185"/>
      <c r="AV355" s="185"/>
      <c r="AW355" s="185"/>
      <c r="AX355" s="185"/>
    </row>
    <row r="356" spans="2:50" s="186" customFormat="1" ht="18.649999999999999" customHeight="1" x14ac:dyDescent="0.35">
      <c r="B356" s="267"/>
      <c r="C356" s="9" t="s">
        <v>31</v>
      </c>
      <c r="D356" s="10">
        <v>5</v>
      </c>
      <c r="E356" s="79">
        <v>28229.54</v>
      </c>
      <c r="F356" s="79">
        <v>26749.29</v>
      </c>
      <c r="G356" s="79">
        <v>25546.93</v>
      </c>
      <c r="H356" s="79">
        <v>24662.59</v>
      </c>
      <c r="I356" s="79">
        <v>24233.34</v>
      </c>
      <c r="J356" s="79">
        <v>24069.42</v>
      </c>
      <c r="K356" s="79">
        <v>22617.52</v>
      </c>
      <c r="L356" s="79">
        <v>23473.31</v>
      </c>
      <c r="M356" s="79">
        <v>24550.89</v>
      </c>
      <c r="N356" s="79">
        <v>25517.24</v>
      </c>
      <c r="O356" s="79">
        <v>26592.68</v>
      </c>
      <c r="P356" s="79">
        <v>27564.21</v>
      </c>
      <c r="Q356" s="79">
        <v>28296.61</v>
      </c>
      <c r="R356" s="79">
        <v>28474</v>
      </c>
      <c r="S356" s="79">
        <v>28633.56</v>
      </c>
      <c r="T356" s="79">
        <v>28976.15</v>
      </c>
      <c r="U356" s="79">
        <v>29552.47</v>
      </c>
      <c r="V356" s="79">
        <v>32475.31</v>
      </c>
      <c r="W356" s="79">
        <v>36819.129999999997</v>
      </c>
      <c r="X356" s="79">
        <v>37814.370000000003</v>
      </c>
      <c r="Y356" s="79">
        <v>37434.699999999997</v>
      </c>
      <c r="Z356" s="79">
        <v>36348.69</v>
      </c>
      <c r="AA356" s="79">
        <v>34094.879999999997</v>
      </c>
      <c r="AB356" s="79">
        <v>31505.23</v>
      </c>
      <c r="AC356" s="210"/>
      <c r="AD356" s="185"/>
      <c r="AE356" s="185"/>
      <c r="AF356" s="185"/>
      <c r="AG356" s="185"/>
      <c r="AH356" s="185"/>
      <c r="AI356" s="185"/>
      <c r="AJ356" s="185"/>
      <c r="AK356" s="185"/>
      <c r="AL356" s="185"/>
      <c r="AM356" s="185"/>
      <c r="AN356" s="185"/>
      <c r="AO356" s="185"/>
      <c r="AP356" s="185"/>
      <c r="AQ356" s="185"/>
      <c r="AR356" s="185"/>
      <c r="AS356" s="185"/>
      <c r="AT356" s="185"/>
      <c r="AU356" s="185"/>
      <c r="AV356" s="185"/>
      <c r="AW356" s="185"/>
      <c r="AX356" s="185"/>
    </row>
    <row r="357" spans="2:50" s="186" customFormat="1" ht="18.649999999999999" customHeight="1" thickBot="1" x14ac:dyDescent="0.4">
      <c r="B357" s="268"/>
      <c r="C357" s="15" t="s">
        <v>32</v>
      </c>
      <c r="D357" s="16">
        <v>2</v>
      </c>
      <c r="E357" s="80">
        <v>28229.54</v>
      </c>
      <c r="F357" s="80">
        <v>26749.29</v>
      </c>
      <c r="G357" s="80">
        <v>25546.93</v>
      </c>
      <c r="H357" s="80">
        <v>24662.59</v>
      </c>
      <c r="I357" s="80">
        <v>24233.34</v>
      </c>
      <c r="J357" s="80">
        <v>24069.42</v>
      </c>
      <c r="K357" s="80">
        <v>22617.52</v>
      </c>
      <c r="L357" s="80">
        <v>23473.31</v>
      </c>
      <c r="M357" s="80">
        <v>24550.89</v>
      </c>
      <c r="N357" s="80">
        <v>25517.24</v>
      </c>
      <c r="O357" s="80">
        <v>26592.68</v>
      </c>
      <c r="P357" s="80">
        <v>27564.21</v>
      </c>
      <c r="Q357" s="80">
        <v>28296.61</v>
      </c>
      <c r="R357" s="80">
        <v>28474</v>
      </c>
      <c r="S357" s="80">
        <v>28633.56</v>
      </c>
      <c r="T357" s="80">
        <v>28976.15</v>
      </c>
      <c r="U357" s="80">
        <v>29552.47</v>
      </c>
      <c r="V357" s="80">
        <v>32475.31</v>
      </c>
      <c r="W357" s="80">
        <v>36819.129999999997</v>
      </c>
      <c r="X357" s="80">
        <v>37814.370000000003</v>
      </c>
      <c r="Y357" s="80">
        <v>37434.699999999997</v>
      </c>
      <c r="Z357" s="80">
        <v>36348.69</v>
      </c>
      <c r="AA357" s="80">
        <v>34094.879999999997</v>
      </c>
      <c r="AB357" s="80">
        <v>31505.23</v>
      </c>
      <c r="AC357" s="210"/>
      <c r="AD357" s="53">
        <f>+AC354</f>
        <v>23596054.980000004</v>
      </c>
      <c r="AE357" s="185"/>
      <c r="AF357" s="185"/>
      <c r="AG357" s="185"/>
      <c r="AH357" s="185"/>
      <c r="AI357" s="185"/>
      <c r="AJ357" s="185"/>
      <c r="AK357" s="185"/>
      <c r="AL357" s="185"/>
      <c r="AM357" s="185"/>
      <c r="AN357" s="185"/>
      <c r="AO357" s="185"/>
      <c r="AP357" s="185"/>
      <c r="AQ357" s="185"/>
      <c r="AR357" s="185"/>
      <c r="AS357" s="185"/>
      <c r="AT357" s="185"/>
      <c r="AU357" s="185"/>
      <c r="AV357" s="185"/>
      <c r="AW357" s="185"/>
      <c r="AX357" s="185"/>
    </row>
    <row r="358" spans="2:50" s="186" customFormat="1" ht="18.649999999999999" customHeight="1" x14ac:dyDescent="0.35">
      <c r="B358" s="207">
        <v>50802</v>
      </c>
      <c r="C358" s="6" t="s">
        <v>29</v>
      </c>
      <c r="D358" s="7">
        <v>20</v>
      </c>
      <c r="E358" s="78">
        <v>29881.38</v>
      </c>
      <c r="F358" s="78">
        <v>28340.959999999999</v>
      </c>
      <c r="G358" s="78">
        <v>27085.16</v>
      </c>
      <c r="H358" s="78">
        <v>26172.35</v>
      </c>
      <c r="I358" s="78">
        <v>26120.92</v>
      </c>
      <c r="J358" s="78">
        <v>27760.87</v>
      </c>
      <c r="K358" s="78">
        <v>27419.01</v>
      </c>
      <c r="L358" s="78">
        <v>30085.88</v>
      </c>
      <c r="M358" s="78">
        <v>32401.32</v>
      </c>
      <c r="N358" s="78">
        <v>33440.019999999997</v>
      </c>
      <c r="O358" s="78">
        <v>34988.730000000003</v>
      </c>
      <c r="P358" s="78">
        <v>36330.71</v>
      </c>
      <c r="Q358" s="78">
        <v>35025.14</v>
      </c>
      <c r="R358" s="78">
        <v>36609.81</v>
      </c>
      <c r="S358" s="78">
        <v>39006.29</v>
      </c>
      <c r="T358" s="78">
        <v>39612.46</v>
      </c>
      <c r="U358" s="78">
        <v>39542.67</v>
      </c>
      <c r="V358" s="78">
        <v>40402.67</v>
      </c>
      <c r="W358" s="78">
        <v>43026.54</v>
      </c>
      <c r="X358" s="78">
        <v>43734.52</v>
      </c>
      <c r="Y358" s="78">
        <v>42869.26</v>
      </c>
      <c r="Z358" s="78">
        <v>41026.239999999998</v>
      </c>
      <c r="AA358" s="78">
        <v>37837.300000000003</v>
      </c>
      <c r="AB358" s="78">
        <v>34685.79</v>
      </c>
      <c r="AC358" s="209">
        <f>SUM(E358:AB358)*D358+SUM(E359:AB359)*D359+SUM(E360:AB360)*D360+SUM(E361:AB361)*D361</f>
        <v>22779150.560000002</v>
      </c>
      <c r="AD358" s="148">
        <f>+AC358</f>
        <v>22779150.560000002</v>
      </c>
    </row>
    <row r="359" spans="2:50" s="186" customFormat="1" ht="18.649999999999999" customHeight="1" x14ac:dyDescent="0.35">
      <c r="B359" s="267"/>
      <c r="C359" s="9" t="s">
        <v>30</v>
      </c>
      <c r="D359" s="10">
        <v>4</v>
      </c>
      <c r="E359" s="79">
        <v>30322.69</v>
      </c>
      <c r="F359" s="79">
        <v>28576.92</v>
      </c>
      <c r="G359" s="79">
        <v>27446.39</v>
      </c>
      <c r="H359" s="79">
        <v>26347.18</v>
      </c>
      <c r="I359" s="79">
        <v>25990.32</v>
      </c>
      <c r="J359" s="79">
        <v>26281.87</v>
      </c>
      <c r="K359" s="79">
        <v>25751.43</v>
      </c>
      <c r="L359" s="79">
        <v>28105.61</v>
      </c>
      <c r="M359" s="79">
        <v>30420.71</v>
      </c>
      <c r="N359" s="79">
        <v>31770.62</v>
      </c>
      <c r="O359" s="79">
        <v>33203.47</v>
      </c>
      <c r="P359" s="79">
        <v>33937.300000000003</v>
      </c>
      <c r="Q359" s="79">
        <v>33326.19</v>
      </c>
      <c r="R359" s="79">
        <v>33036.33</v>
      </c>
      <c r="S359" s="79">
        <v>33382.160000000003</v>
      </c>
      <c r="T359" s="79">
        <v>33767.5</v>
      </c>
      <c r="U359" s="79">
        <v>34084.370000000003</v>
      </c>
      <c r="V359" s="79">
        <v>36571.56</v>
      </c>
      <c r="W359" s="79">
        <v>40578.239999999998</v>
      </c>
      <c r="X359" s="79">
        <v>41196.82</v>
      </c>
      <c r="Y359" s="79">
        <v>40264.54</v>
      </c>
      <c r="Z359" s="79">
        <v>38771.129999999997</v>
      </c>
      <c r="AA359" s="79">
        <v>36794.89</v>
      </c>
      <c r="AB359" s="79">
        <v>34437.1</v>
      </c>
      <c r="AC359" s="210"/>
      <c r="AD359" s="148">
        <f>+AC362</f>
        <v>23687436.010000002</v>
      </c>
    </row>
    <row r="360" spans="2:50" s="186" customFormat="1" ht="18.649999999999999" customHeight="1" x14ac:dyDescent="0.35">
      <c r="B360" s="267"/>
      <c r="C360" s="9" t="s">
        <v>31</v>
      </c>
      <c r="D360" s="10">
        <v>4</v>
      </c>
      <c r="E360" s="79">
        <v>30222.31</v>
      </c>
      <c r="F360" s="79">
        <v>28678.44</v>
      </c>
      <c r="G360" s="79">
        <v>27430.54</v>
      </c>
      <c r="H360" s="79">
        <v>26505.75</v>
      </c>
      <c r="I360" s="79">
        <v>26011.95</v>
      </c>
      <c r="J360" s="79">
        <v>25958.799999999999</v>
      </c>
      <c r="K360" s="79">
        <v>24458.67</v>
      </c>
      <c r="L360" s="79">
        <v>25422.67</v>
      </c>
      <c r="M360" s="79">
        <v>26417.51</v>
      </c>
      <c r="N360" s="79">
        <v>27162.87</v>
      </c>
      <c r="O360" s="79">
        <v>28145.56</v>
      </c>
      <c r="P360" s="79">
        <v>29224.85</v>
      </c>
      <c r="Q360" s="79">
        <v>29995.77</v>
      </c>
      <c r="R360" s="79">
        <v>30377.08</v>
      </c>
      <c r="S360" s="79">
        <v>30892.69</v>
      </c>
      <c r="T360" s="79">
        <v>31413.85</v>
      </c>
      <c r="U360" s="79">
        <v>31844.65</v>
      </c>
      <c r="V360" s="79">
        <v>34111.53</v>
      </c>
      <c r="W360" s="79">
        <v>38734.559999999998</v>
      </c>
      <c r="X360" s="79">
        <v>40403.85</v>
      </c>
      <c r="Y360" s="79">
        <v>40468.230000000003</v>
      </c>
      <c r="Z360" s="79">
        <v>39589.9</v>
      </c>
      <c r="AA360" s="79">
        <v>36372.620000000003</v>
      </c>
      <c r="AB360" s="79">
        <v>33547.65</v>
      </c>
      <c r="AC360" s="210"/>
      <c r="AD360" s="148">
        <f>+AC366</f>
        <v>22341305.469999999</v>
      </c>
    </row>
    <row r="361" spans="2:50" s="186" customFormat="1" ht="18.649999999999999" customHeight="1" thickBot="1" x14ac:dyDescent="0.4">
      <c r="B361" s="268"/>
      <c r="C361" s="11" t="s">
        <v>32</v>
      </c>
      <c r="D361" s="12">
        <v>0</v>
      </c>
      <c r="E361" s="84">
        <v>0</v>
      </c>
      <c r="F361" s="84">
        <v>0</v>
      </c>
      <c r="G361" s="84">
        <v>0</v>
      </c>
      <c r="H361" s="84">
        <v>0</v>
      </c>
      <c r="I361" s="84">
        <v>0</v>
      </c>
      <c r="J361" s="84">
        <v>0</v>
      </c>
      <c r="K361" s="84">
        <v>0</v>
      </c>
      <c r="L361" s="84">
        <v>0</v>
      </c>
      <c r="M361" s="84">
        <v>0</v>
      </c>
      <c r="N361" s="84">
        <v>0</v>
      </c>
      <c r="O361" s="84">
        <v>0</v>
      </c>
      <c r="P361" s="84">
        <v>0</v>
      </c>
      <c r="Q361" s="84">
        <v>0</v>
      </c>
      <c r="R361" s="84">
        <v>0</v>
      </c>
      <c r="S361" s="84">
        <v>0</v>
      </c>
      <c r="T361" s="84">
        <v>0</v>
      </c>
      <c r="U361" s="84">
        <v>0</v>
      </c>
      <c r="V361" s="84">
        <v>0</v>
      </c>
      <c r="W361" s="84">
        <v>0</v>
      </c>
      <c r="X361" s="84">
        <v>0</v>
      </c>
      <c r="Y361" s="84">
        <v>0</v>
      </c>
      <c r="Z361" s="84">
        <v>0</v>
      </c>
      <c r="AA361" s="84">
        <v>0</v>
      </c>
      <c r="AB361" s="84">
        <v>0</v>
      </c>
      <c r="AC361" s="214"/>
      <c r="AD361" s="148">
        <f>+AC370</f>
        <v>22925518.110000007</v>
      </c>
    </row>
    <row r="362" spans="2:50" s="186" customFormat="1" ht="18.649999999999999" customHeight="1" x14ac:dyDescent="0.35">
      <c r="B362" s="207">
        <v>50830</v>
      </c>
      <c r="C362" s="13" t="s">
        <v>29</v>
      </c>
      <c r="D362" s="14">
        <v>22</v>
      </c>
      <c r="E362" s="81">
        <v>27599.05</v>
      </c>
      <c r="F362" s="81">
        <v>26139.35</v>
      </c>
      <c r="G362" s="81">
        <v>25035.02</v>
      </c>
      <c r="H362" s="81">
        <v>24312.17</v>
      </c>
      <c r="I362" s="81">
        <v>24408.36</v>
      </c>
      <c r="J362" s="81">
        <v>25739.73</v>
      </c>
      <c r="K362" s="81">
        <v>25687.08</v>
      </c>
      <c r="L362" s="81">
        <v>28537.84</v>
      </c>
      <c r="M362" s="81">
        <v>30777.63</v>
      </c>
      <c r="N362" s="81">
        <v>31842.84</v>
      </c>
      <c r="O362" s="81">
        <v>33303.19</v>
      </c>
      <c r="P362" s="81">
        <v>34321.730000000003</v>
      </c>
      <c r="Q362" s="81">
        <v>32593.71</v>
      </c>
      <c r="R362" s="81">
        <v>33897.83</v>
      </c>
      <c r="S362" s="81">
        <v>36090.29</v>
      </c>
      <c r="T362" s="81">
        <v>36778.69</v>
      </c>
      <c r="U362" s="81">
        <v>36964.79</v>
      </c>
      <c r="V362" s="81">
        <v>38122.74</v>
      </c>
      <c r="W362" s="81">
        <v>40682.67</v>
      </c>
      <c r="X362" s="81">
        <v>41011.69</v>
      </c>
      <c r="Y362" s="81">
        <v>39849.919999999998</v>
      </c>
      <c r="Z362" s="81">
        <v>37914.959999999999</v>
      </c>
      <c r="AA362" s="81">
        <v>34981.86</v>
      </c>
      <c r="AB362" s="81">
        <v>32004.39</v>
      </c>
      <c r="AC362" s="210">
        <f>SUM(E362:AB362)*D362+SUM(E363:AB363)*D363+SUM(E364:AB364)*D364+SUM(E365:AB365)*D365</f>
        <v>23687436.010000002</v>
      </c>
      <c r="AD362" s="148">
        <f>+AC374</f>
        <v>22070885.359999999</v>
      </c>
    </row>
    <row r="363" spans="2:50" s="186" customFormat="1" ht="18.649999999999999" customHeight="1" x14ac:dyDescent="0.35">
      <c r="B363" s="267"/>
      <c r="C363" s="9" t="s">
        <v>30</v>
      </c>
      <c r="D363" s="10">
        <v>4</v>
      </c>
      <c r="E363" s="79">
        <v>27727.07</v>
      </c>
      <c r="F363" s="79">
        <v>26264.04</v>
      </c>
      <c r="G363" s="79">
        <v>25104.74</v>
      </c>
      <c r="H363" s="79">
        <v>24342.14</v>
      </c>
      <c r="I363" s="79">
        <v>24133.66</v>
      </c>
      <c r="J363" s="79">
        <v>24389.9</v>
      </c>
      <c r="K363" s="79">
        <v>24223.54</v>
      </c>
      <c r="L363" s="79">
        <v>26810.57</v>
      </c>
      <c r="M363" s="79">
        <v>29306.54</v>
      </c>
      <c r="N363" s="79">
        <v>30715.46</v>
      </c>
      <c r="O363" s="79">
        <v>32089.63</v>
      </c>
      <c r="P363" s="79">
        <v>32964.129999999997</v>
      </c>
      <c r="Q363" s="79">
        <v>32307.3</v>
      </c>
      <c r="R363" s="79">
        <v>31917.15</v>
      </c>
      <c r="S363" s="79">
        <v>32367.47</v>
      </c>
      <c r="T363" s="79">
        <v>32667.98</v>
      </c>
      <c r="U363" s="79">
        <v>32992.68</v>
      </c>
      <c r="V363" s="79">
        <v>35318.910000000003</v>
      </c>
      <c r="W363" s="79">
        <v>39182.370000000003</v>
      </c>
      <c r="X363" s="79">
        <v>39743.410000000003</v>
      </c>
      <c r="Y363" s="79">
        <v>38694.14</v>
      </c>
      <c r="Z363" s="79">
        <v>37236.019999999997</v>
      </c>
      <c r="AA363" s="79">
        <v>35187.64</v>
      </c>
      <c r="AB363" s="79">
        <v>32940.51</v>
      </c>
      <c r="AC363" s="210"/>
      <c r="AD363" s="148">
        <f>+AC378</f>
        <v>22543701.899999995</v>
      </c>
    </row>
    <row r="364" spans="2:50" s="186" customFormat="1" ht="18.649999999999999" customHeight="1" x14ac:dyDescent="0.35">
      <c r="B364" s="267"/>
      <c r="C364" s="9" t="s">
        <v>31</v>
      </c>
      <c r="D364" s="10">
        <v>4</v>
      </c>
      <c r="E364" s="79">
        <v>28532.55</v>
      </c>
      <c r="F364" s="79">
        <v>26978.58</v>
      </c>
      <c r="G364" s="79">
        <v>25761.040000000001</v>
      </c>
      <c r="H364" s="79">
        <v>24883.25</v>
      </c>
      <c r="I364" s="79">
        <v>24426.639999999999</v>
      </c>
      <c r="J364" s="79">
        <v>24197.63</v>
      </c>
      <c r="K364" s="79">
        <v>23173.55</v>
      </c>
      <c r="L364" s="79">
        <v>24405.17</v>
      </c>
      <c r="M364" s="79">
        <v>25648.91</v>
      </c>
      <c r="N364" s="79">
        <v>26579.49</v>
      </c>
      <c r="O364" s="79">
        <v>27535.29</v>
      </c>
      <c r="P364" s="79">
        <v>28491.38</v>
      </c>
      <c r="Q364" s="79">
        <v>29156.9</v>
      </c>
      <c r="R364" s="79">
        <v>29361.25</v>
      </c>
      <c r="S364" s="79">
        <v>29651.59</v>
      </c>
      <c r="T364" s="79">
        <v>30259.360000000001</v>
      </c>
      <c r="U364" s="79">
        <v>30686.19</v>
      </c>
      <c r="V364" s="79">
        <v>33312.28</v>
      </c>
      <c r="W364" s="79">
        <v>37382.31</v>
      </c>
      <c r="X364" s="79">
        <v>38679.78</v>
      </c>
      <c r="Y364" s="79">
        <v>38601.089999999997</v>
      </c>
      <c r="Z364" s="79">
        <v>37535.31</v>
      </c>
      <c r="AA364" s="79">
        <v>35146.800000000003</v>
      </c>
      <c r="AB364" s="79">
        <v>32370.13</v>
      </c>
      <c r="AC364" s="210"/>
      <c r="AD364" s="148">
        <f>+AC382</f>
        <v>22658393.620000001</v>
      </c>
    </row>
    <row r="365" spans="2:50" s="186" customFormat="1" ht="18.649999999999999" customHeight="1" thickBot="1" x14ac:dyDescent="0.4">
      <c r="B365" s="268"/>
      <c r="C365" s="15" t="s">
        <v>32</v>
      </c>
      <c r="D365" s="16">
        <v>1</v>
      </c>
      <c r="E365" s="80">
        <v>28532.55</v>
      </c>
      <c r="F365" s="80">
        <v>26978.58</v>
      </c>
      <c r="G365" s="80">
        <v>25761.040000000001</v>
      </c>
      <c r="H365" s="80">
        <v>24883.25</v>
      </c>
      <c r="I365" s="80">
        <v>24426.639999999999</v>
      </c>
      <c r="J365" s="80">
        <v>24197.63</v>
      </c>
      <c r="K365" s="80">
        <v>23173.55</v>
      </c>
      <c r="L365" s="80">
        <v>24405.17</v>
      </c>
      <c r="M365" s="80">
        <v>25648.91</v>
      </c>
      <c r="N365" s="80">
        <v>26579.49</v>
      </c>
      <c r="O365" s="80">
        <v>27535.29</v>
      </c>
      <c r="P365" s="80">
        <v>28491.38</v>
      </c>
      <c r="Q365" s="80">
        <v>29156.9</v>
      </c>
      <c r="R365" s="80">
        <v>29361.25</v>
      </c>
      <c r="S365" s="80">
        <v>29651.59</v>
      </c>
      <c r="T365" s="80">
        <v>30259.360000000001</v>
      </c>
      <c r="U365" s="80">
        <v>30686.19</v>
      </c>
      <c r="V365" s="80">
        <v>33312.28</v>
      </c>
      <c r="W365" s="80">
        <v>37382.31</v>
      </c>
      <c r="X365" s="80">
        <v>38679.78</v>
      </c>
      <c r="Y365" s="80">
        <v>38601.089999999997</v>
      </c>
      <c r="Z365" s="80">
        <v>37535.31</v>
      </c>
      <c r="AA365" s="80">
        <v>35146.800000000003</v>
      </c>
      <c r="AB365" s="80">
        <v>32370.13</v>
      </c>
      <c r="AC365" s="210"/>
      <c r="AD365" s="148">
        <f>+AC386</f>
        <v>21795744.059999999</v>
      </c>
    </row>
    <row r="366" spans="2:50" s="186" customFormat="1" ht="18.649999999999999" customHeight="1" x14ac:dyDescent="0.35">
      <c r="B366" s="207">
        <v>50861</v>
      </c>
      <c r="C366" s="6" t="s">
        <v>29</v>
      </c>
      <c r="D366" s="7">
        <v>19</v>
      </c>
      <c r="E366" s="78">
        <v>27159.25</v>
      </c>
      <c r="F366" s="78">
        <v>25720.16</v>
      </c>
      <c r="G366" s="78">
        <v>24650.93</v>
      </c>
      <c r="H366" s="78">
        <v>23932.74</v>
      </c>
      <c r="I366" s="78">
        <v>24032.47</v>
      </c>
      <c r="J366" s="78">
        <v>24814.33</v>
      </c>
      <c r="K366" s="78">
        <v>25002.81</v>
      </c>
      <c r="L366" s="78">
        <v>27926.59</v>
      </c>
      <c r="M366" s="78">
        <v>30464.18</v>
      </c>
      <c r="N366" s="78">
        <v>31562.2</v>
      </c>
      <c r="O366" s="78">
        <v>32945.57</v>
      </c>
      <c r="P366" s="78">
        <v>34197.96</v>
      </c>
      <c r="Q366" s="78">
        <v>32718.69</v>
      </c>
      <c r="R366" s="78">
        <v>33885.919999999998</v>
      </c>
      <c r="S366" s="78">
        <v>36057.19</v>
      </c>
      <c r="T366" s="78">
        <v>36520.53</v>
      </c>
      <c r="U366" s="78">
        <v>36464.910000000003</v>
      </c>
      <c r="V366" s="78">
        <v>38020.730000000003</v>
      </c>
      <c r="W366" s="78">
        <v>40510.65</v>
      </c>
      <c r="X366" s="78">
        <v>40593.4</v>
      </c>
      <c r="Y366" s="78">
        <v>39412.35</v>
      </c>
      <c r="Z366" s="78">
        <v>37564.629999999997</v>
      </c>
      <c r="AA366" s="78">
        <v>34782.699999999997</v>
      </c>
      <c r="AB366" s="78">
        <v>31716.5</v>
      </c>
      <c r="AC366" s="209">
        <f>SUM(E366:AB366)*D366+SUM(E367:AB367)*D367+SUM(E368:AB368)*D368+SUM(E369:AB369)*D369</f>
        <v>22341305.469999999</v>
      </c>
      <c r="AD366" s="148">
        <f>+AC390</f>
        <v>22053583.649999999</v>
      </c>
    </row>
    <row r="367" spans="2:50" s="186" customFormat="1" ht="18.649999999999999" customHeight="1" x14ac:dyDescent="0.35">
      <c r="B367" s="267"/>
      <c r="C367" s="9" t="s">
        <v>30</v>
      </c>
      <c r="D367" s="10">
        <v>5</v>
      </c>
      <c r="E367" s="79">
        <v>26872.27</v>
      </c>
      <c r="F367" s="79">
        <v>25369.759999999998</v>
      </c>
      <c r="G367" s="79">
        <v>24240.76</v>
      </c>
      <c r="H367" s="79">
        <v>23472.2</v>
      </c>
      <c r="I367" s="79">
        <v>23262.69</v>
      </c>
      <c r="J367" s="79">
        <v>23239</v>
      </c>
      <c r="K367" s="79">
        <v>23070.67</v>
      </c>
      <c r="L367" s="79">
        <v>25449.84</v>
      </c>
      <c r="M367" s="79">
        <v>27815.63</v>
      </c>
      <c r="N367" s="79">
        <v>29017.97</v>
      </c>
      <c r="O367" s="79">
        <v>30340.36</v>
      </c>
      <c r="P367" s="79">
        <v>31184.99</v>
      </c>
      <c r="Q367" s="79">
        <v>30719.09</v>
      </c>
      <c r="R367" s="79">
        <v>30435</v>
      </c>
      <c r="S367" s="79">
        <v>30747.27</v>
      </c>
      <c r="T367" s="79">
        <v>31052.81</v>
      </c>
      <c r="U367" s="79">
        <v>31438.5</v>
      </c>
      <c r="V367" s="79">
        <v>34219.08</v>
      </c>
      <c r="W367" s="79">
        <v>38133.519999999997</v>
      </c>
      <c r="X367" s="79">
        <v>38121.58</v>
      </c>
      <c r="Y367" s="79">
        <v>37099.86</v>
      </c>
      <c r="Z367" s="79">
        <v>35579.550000000003</v>
      </c>
      <c r="AA367" s="79">
        <v>33660.89</v>
      </c>
      <c r="AB367" s="79">
        <v>31441.97</v>
      </c>
      <c r="AC367" s="210"/>
      <c r="AD367" s="148">
        <f>+AC394</f>
        <v>20944804.560000002</v>
      </c>
    </row>
    <row r="368" spans="2:50" s="186" customFormat="1" ht="18.649999999999999" customHeight="1" x14ac:dyDescent="0.35">
      <c r="B368" s="267"/>
      <c r="C368" s="9" t="s">
        <v>31</v>
      </c>
      <c r="D368" s="10">
        <v>4</v>
      </c>
      <c r="E368" s="79">
        <v>27385.38</v>
      </c>
      <c r="F368" s="79">
        <v>25952.04</v>
      </c>
      <c r="G368" s="79">
        <v>24763.69</v>
      </c>
      <c r="H368" s="79">
        <v>23968.85</v>
      </c>
      <c r="I368" s="79">
        <v>23617.65</v>
      </c>
      <c r="J368" s="79">
        <v>23141.45</v>
      </c>
      <c r="K368" s="79">
        <v>22536.71</v>
      </c>
      <c r="L368" s="79">
        <v>23759.89</v>
      </c>
      <c r="M368" s="79">
        <v>24613.25</v>
      </c>
      <c r="N368" s="79">
        <v>25540.2</v>
      </c>
      <c r="O368" s="79">
        <v>26526.23</v>
      </c>
      <c r="P368" s="79">
        <v>27356.95</v>
      </c>
      <c r="Q368" s="79">
        <v>27868.12</v>
      </c>
      <c r="R368" s="79">
        <v>28086.97</v>
      </c>
      <c r="S368" s="79">
        <v>28423.599999999999</v>
      </c>
      <c r="T368" s="79">
        <v>28932.03</v>
      </c>
      <c r="U368" s="79">
        <v>29594.03</v>
      </c>
      <c r="V368" s="79">
        <v>32491.37</v>
      </c>
      <c r="W368" s="79">
        <v>36164</v>
      </c>
      <c r="X368" s="79">
        <v>37182.370000000003</v>
      </c>
      <c r="Y368" s="79">
        <v>37102.44</v>
      </c>
      <c r="Z368" s="79">
        <v>36254.339999999997</v>
      </c>
      <c r="AA368" s="79">
        <v>33983.56</v>
      </c>
      <c r="AB368" s="79">
        <v>31236.34</v>
      </c>
      <c r="AC368" s="210"/>
      <c r="AD368" s="148">
        <f>+AC398</f>
        <v>22771058.379999999</v>
      </c>
    </row>
    <row r="369" spans="2:30" s="186" customFormat="1" ht="18.649999999999999" customHeight="1" thickBot="1" x14ac:dyDescent="0.4">
      <c r="B369" s="268"/>
      <c r="C369" s="11" t="s">
        <v>32</v>
      </c>
      <c r="D369" s="12">
        <v>2</v>
      </c>
      <c r="E369" s="194">
        <v>27385.38</v>
      </c>
      <c r="F369" s="194">
        <v>25952.04</v>
      </c>
      <c r="G369" s="194">
        <v>24763.69</v>
      </c>
      <c r="H369" s="194">
        <v>23968.85</v>
      </c>
      <c r="I369" s="194">
        <v>23617.65</v>
      </c>
      <c r="J369" s="194">
        <v>23141.45</v>
      </c>
      <c r="K369" s="194">
        <v>22536.71</v>
      </c>
      <c r="L369" s="194">
        <v>23759.89</v>
      </c>
      <c r="M369" s="194">
        <v>24613.25</v>
      </c>
      <c r="N369" s="194">
        <v>25540.2</v>
      </c>
      <c r="O369" s="194">
        <v>26526.23</v>
      </c>
      <c r="P369" s="194">
        <v>27356.95</v>
      </c>
      <c r="Q369" s="194">
        <v>27868.12</v>
      </c>
      <c r="R369" s="194">
        <v>28086.97</v>
      </c>
      <c r="S369" s="194">
        <v>28423.599999999999</v>
      </c>
      <c r="T369" s="194">
        <v>28932.03</v>
      </c>
      <c r="U369" s="194">
        <v>29594.03</v>
      </c>
      <c r="V369" s="194">
        <v>32491.37</v>
      </c>
      <c r="W369" s="194">
        <v>36164</v>
      </c>
      <c r="X369" s="194">
        <v>37182.370000000003</v>
      </c>
      <c r="Y369" s="194">
        <v>37102.44</v>
      </c>
      <c r="Z369" s="194">
        <v>36254.339999999997</v>
      </c>
      <c r="AA369" s="194">
        <v>33983.56</v>
      </c>
      <c r="AB369" s="194">
        <v>31236.34</v>
      </c>
      <c r="AC369" s="214"/>
      <c r="AD369" s="185"/>
    </row>
    <row r="370" spans="2:30" s="186" customFormat="1" ht="18.649999999999999" customHeight="1" x14ac:dyDescent="0.35">
      <c r="B370" s="207">
        <v>50891</v>
      </c>
      <c r="C370" s="13" t="s">
        <v>29</v>
      </c>
      <c r="D370" s="14">
        <v>21</v>
      </c>
      <c r="E370" s="81">
        <v>26402.15</v>
      </c>
      <c r="F370" s="81">
        <v>25064.99</v>
      </c>
      <c r="G370" s="81">
        <v>24039.1</v>
      </c>
      <c r="H370" s="81">
        <v>23337.3</v>
      </c>
      <c r="I370" s="81">
        <v>23455.07</v>
      </c>
      <c r="J370" s="81">
        <v>24134.36</v>
      </c>
      <c r="K370" s="81">
        <v>24575.14</v>
      </c>
      <c r="L370" s="81">
        <v>27536.01</v>
      </c>
      <c r="M370" s="81">
        <v>30180.62</v>
      </c>
      <c r="N370" s="81">
        <v>31343.98</v>
      </c>
      <c r="O370" s="81">
        <v>32934.28</v>
      </c>
      <c r="P370" s="81">
        <v>34007.769999999997</v>
      </c>
      <c r="Q370" s="81">
        <v>32495.15</v>
      </c>
      <c r="R370" s="81">
        <v>33591.18</v>
      </c>
      <c r="S370" s="81">
        <v>35616.019999999997</v>
      </c>
      <c r="T370" s="81">
        <v>36006.720000000001</v>
      </c>
      <c r="U370" s="81">
        <v>35950.730000000003</v>
      </c>
      <c r="V370" s="81">
        <v>37136.74</v>
      </c>
      <c r="W370" s="81">
        <v>39534.81</v>
      </c>
      <c r="X370" s="81">
        <v>39649.78</v>
      </c>
      <c r="Y370" s="81">
        <v>38462.14</v>
      </c>
      <c r="Z370" s="81">
        <v>36470.620000000003</v>
      </c>
      <c r="AA370" s="81">
        <v>33665.06</v>
      </c>
      <c r="AB370" s="81">
        <v>30796.31</v>
      </c>
      <c r="AC370" s="210">
        <f>SUM(E370:AB370)*D370+SUM(E371:AB371)*D371+SUM(E372:AB372)*D372+SUM(E373:AB373)*D373</f>
        <v>22925518.110000007</v>
      </c>
      <c r="AD370" s="185"/>
    </row>
    <row r="371" spans="2:30" s="186" customFormat="1" ht="18.649999999999999" customHeight="1" x14ac:dyDescent="0.35">
      <c r="B371" s="267"/>
      <c r="C371" s="9" t="s">
        <v>30</v>
      </c>
      <c r="D371" s="10">
        <v>4</v>
      </c>
      <c r="E371" s="79">
        <v>26935.96</v>
      </c>
      <c r="F371" s="79">
        <v>25237.14</v>
      </c>
      <c r="G371" s="79">
        <v>24094.99</v>
      </c>
      <c r="H371" s="79">
        <v>23355.759999999998</v>
      </c>
      <c r="I371" s="79">
        <v>23199.34</v>
      </c>
      <c r="J371" s="79">
        <v>22881.22</v>
      </c>
      <c r="K371" s="79">
        <v>22983.42</v>
      </c>
      <c r="L371" s="79">
        <v>25723.73</v>
      </c>
      <c r="M371" s="79">
        <v>28382.04</v>
      </c>
      <c r="N371" s="79">
        <v>29845.27</v>
      </c>
      <c r="O371" s="79">
        <v>30992.12</v>
      </c>
      <c r="P371" s="79">
        <v>31825.360000000001</v>
      </c>
      <c r="Q371" s="79">
        <v>31099.72</v>
      </c>
      <c r="R371" s="79">
        <v>30726.53</v>
      </c>
      <c r="S371" s="79">
        <v>31145.32</v>
      </c>
      <c r="T371" s="79">
        <v>31438.71</v>
      </c>
      <c r="U371" s="79">
        <v>31754.87</v>
      </c>
      <c r="V371" s="79">
        <v>34452.980000000003</v>
      </c>
      <c r="W371" s="79">
        <v>38203.89</v>
      </c>
      <c r="X371" s="79">
        <v>38555.67</v>
      </c>
      <c r="Y371" s="79">
        <v>37431.550000000003</v>
      </c>
      <c r="Z371" s="79">
        <v>35776.400000000001</v>
      </c>
      <c r="AA371" s="79">
        <v>33892.199999999997</v>
      </c>
      <c r="AB371" s="79">
        <v>31690.31</v>
      </c>
      <c r="AC371" s="210"/>
      <c r="AD371" s="185"/>
    </row>
    <row r="372" spans="2:30" s="186" customFormat="1" ht="18.649999999999999" customHeight="1" x14ac:dyDescent="0.35">
      <c r="B372" s="267"/>
      <c r="C372" s="9" t="s">
        <v>31</v>
      </c>
      <c r="D372" s="10">
        <v>4</v>
      </c>
      <c r="E372" s="79">
        <v>27257.08</v>
      </c>
      <c r="F372" s="79">
        <v>25886.52</v>
      </c>
      <c r="G372" s="79">
        <v>24790.720000000001</v>
      </c>
      <c r="H372" s="79">
        <v>23996.79</v>
      </c>
      <c r="I372" s="79">
        <v>23653.33</v>
      </c>
      <c r="J372" s="79">
        <v>22852.720000000001</v>
      </c>
      <c r="K372" s="79">
        <v>22355.32</v>
      </c>
      <c r="L372" s="79">
        <v>23710.48</v>
      </c>
      <c r="M372" s="79">
        <v>25188.43</v>
      </c>
      <c r="N372" s="79">
        <v>26430.93</v>
      </c>
      <c r="O372" s="79">
        <v>27312.26</v>
      </c>
      <c r="P372" s="79">
        <v>28018.400000000001</v>
      </c>
      <c r="Q372" s="79">
        <v>28479.33</v>
      </c>
      <c r="R372" s="79">
        <v>28661.279999999999</v>
      </c>
      <c r="S372" s="79">
        <v>28935.9</v>
      </c>
      <c r="T372" s="79">
        <v>29517.63</v>
      </c>
      <c r="U372" s="79">
        <v>29908.19</v>
      </c>
      <c r="V372" s="79">
        <v>32819.11</v>
      </c>
      <c r="W372" s="79">
        <v>36670.5</v>
      </c>
      <c r="X372" s="79">
        <v>37589.86</v>
      </c>
      <c r="Y372" s="79">
        <v>37426.04</v>
      </c>
      <c r="Z372" s="79">
        <v>36278.980000000003</v>
      </c>
      <c r="AA372" s="79">
        <v>33904.83</v>
      </c>
      <c r="AB372" s="79">
        <v>30840.95</v>
      </c>
      <c r="AC372" s="210"/>
      <c r="AD372" s="185"/>
    </row>
    <row r="373" spans="2:30" s="186" customFormat="1" ht="18.649999999999999" customHeight="1" thickBot="1" x14ac:dyDescent="0.4">
      <c r="B373" s="268"/>
      <c r="C373" s="15" t="s">
        <v>32</v>
      </c>
      <c r="D373" s="16">
        <v>2</v>
      </c>
      <c r="E373" s="80">
        <v>27257.08</v>
      </c>
      <c r="F373" s="80">
        <v>25886.52</v>
      </c>
      <c r="G373" s="80">
        <v>24790.720000000001</v>
      </c>
      <c r="H373" s="80">
        <v>23996.79</v>
      </c>
      <c r="I373" s="80">
        <v>23653.33</v>
      </c>
      <c r="J373" s="80">
        <v>22852.720000000001</v>
      </c>
      <c r="K373" s="80">
        <v>22355.32</v>
      </c>
      <c r="L373" s="80">
        <v>23710.48</v>
      </c>
      <c r="M373" s="80">
        <v>25188.43</v>
      </c>
      <c r="N373" s="80">
        <v>26430.93</v>
      </c>
      <c r="O373" s="80">
        <v>27312.26</v>
      </c>
      <c r="P373" s="80">
        <v>28018.400000000001</v>
      </c>
      <c r="Q373" s="80">
        <v>28479.33</v>
      </c>
      <c r="R373" s="80">
        <v>28661.279999999999</v>
      </c>
      <c r="S373" s="80">
        <v>28935.9</v>
      </c>
      <c r="T373" s="80">
        <v>29517.63</v>
      </c>
      <c r="U373" s="80">
        <v>29908.19</v>
      </c>
      <c r="V373" s="80">
        <v>32819.11</v>
      </c>
      <c r="W373" s="80">
        <v>36670.5</v>
      </c>
      <c r="X373" s="80">
        <v>37589.86</v>
      </c>
      <c r="Y373" s="80">
        <v>37426.04</v>
      </c>
      <c r="Z373" s="80">
        <v>36278.980000000003</v>
      </c>
      <c r="AA373" s="80">
        <v>33904.83</v>
      </c>
      <c r="AB373" s="80">
        <v>30840.95</v>
      </c>
      <c r="AC373" s="210"/>
      <c r="AD373" s="185"/>
    </row>
    <row r="374" spans="2:30" s="186" customFormat="1" ht="18.649999999999999" customHeight="1" x14ac:dyDescent="0.35">
      <c r="B374" s="207">
        <v>50922</v>
      </c>
      <c r="C374" s="6" t="s">
        <v>29</v>
      </c>
      <c r="D374" s="7">
        <v>20</v>
      </c>
      <c r="E374" s="78">
        <v>26611.37</v>
      </c>
      <c r="F374" s="78">
        <v>25181.040000000001</v>
      </c>
      <c r="G374" s="78">
        <v>24180.15</v>
      </c>
      <c r="H374" s="78">
        <v>23386.05</v>
      </c>
      <c r="I374" s="78">
        <v>23455.47</v>
      </c>
      <c r="J374" s="78">
        <v>23777.67</v>
      </c>
      <c r="K374" s="78">
        <v>24159.08</v>
      </c>
      <c r="L374" s="78">
        <v>27211.64</v>
      </c>
      <c r="M374" s="78">
        <v>29831.97</v>
      </c>
      <c r="N374" s="78">
        <v>31101.35</v>
      </c>
      <c r="O374" s="78">
        <v>32757.599999999999</v>
      </c>
      <c r="P374" s="78">
        <v>33925.919999999998</v>
      </c>
      <c r="Q374" s="78">
        <v>32639.9</v>
      </c>
      <c r="R374" s="78">
        <v>33556.910000000003</v>
      </c>
      <c r="S374" s="78">
        <v>35496.449999999997</v>
      </c>
      <c r="T374" s="78">
        <v>35890.83</v>
      </c>
      <c r="U374" s="78">
        <v>35995.230000000003</v>
      </c>
      <c r="V374" s="78">
        <v>37273.339999999997</v>
      </c>
      <c r="W374" s="78">
        <v>39635.47</v>
      </c>
      <c r="X374" s="78">
        <v>40080.28</v>
      </c>
      <c r="Y374" s="78">
        <v>38797.800000000003</v>
      </c>
      <c r="Z374" s="78">
        <v>36842.550000000003</v>
      </c>
      <c r="AA374" s="78">
        <v>33927.65</v>
      </c>
      <c r="AB374" s="78">
        <v>30988.76</v>
      </c>
      <c r="AC374" s="209">
        <f>SUM(E374:AB374)*D374+SUM(E375:AB375)*D375+SUM(E376:AB376)*D376+SUM(E377:AB377)*D377</f>
        <v>22070885.359999999</v>
      </c>
      <c r="AD374" s="185"/>
    </row>
    <row r="375" spans="2:30" s="186" customFormat="1" ht="18.649999999999999" customHeight="1" x14ac:dyDescent="0.35">
      <c r="B375" s="267"/>
      <c r="C375" s="9" t="s">
        <v>30</v>
      </c>
      <c r="D375" s="10">
        <v>4</v>
      </c>
      <c r="E375" s="79">
        <v>26611.61</v>
      </c>
      <c r="F375" s="79">
        <v>25222.46</v>
      </c>
      <c r="G375" s="79">
        <v>24184.12</v>
      </c>
      <c r="H375" s="79">
        <v>23470.37</v>
      </c>
      <c r="I375" s="79">
        <v>23333.24</v>
      </c>
      <c r="J375" s="79">
        <v>22981.51</v>
      </c>
      <c r="K375" s="79">
        <v>23092.94</v>
      </c>
      <c r="L375" s="79">
        <v>25794.46</v>
      </c>
      <c r="M375" s="79">
        <v>28402.52</v>
      </c>
      <c r="N375" s="79">
        <v>29907.31</v>
      </c>
      <c r="O375" s="79">
        <v>31267.51</v>
      </c>
      <c r="P375" s="79">
        <v>32160.1</v>
      </c>
      <c r="Q375" s="79">
        <v>31530.21</v>
      </c>
      <c r="R375" s="79">
        <v>30918.41</v>
      </c>
      <c r="S375" s="79">
        <v>31178.400000000001</v>
      </c>
      <c r="T375" s="79">
        <v>31400.28</v>
      </c>
      <c r="U375" s="79">
        <v>31495.88</v>
      </c>
      <c r="V375" s="79">
        <v>34092.33</v>
      </c>
      <c r="W375" s="79">
        <v>37156.11</v>
      </c>
      <c r="X375" s="79">
        <v>37856.629999999997</v>
      </c>
      <c r="Y375" s="79">
        <v>36792.5</v>
      </c>
      <c r="Z375" s="79">
        <v>34968.54</v>
      </c>
      <c r="AA375" s="79">
        <v>32874.82</v>
      </c>
      <c r="AB375" s="79">
        <v>30694</v>
      </c>
      <c r="AC375" s="210"/>
      <c r="AD375" s="185"/>
    </row>
    <row r="376" spans="2:30" s="186" customFormat="1" ht="18.649999999999999" customHeight="1" x14ac:dyDescent="0.35">
      <c r="B376" s="267"/>
      <c r="C376" s="9" t="s">
        <v>31</v>
      </c>
      <c r="D376" s="10">
        <v>4</v>
      </c>
      <c r="E376" s="79">
        <v>27096.49</v>
      </c>
      <c r="F376" s="79">
        <v>25636.05</v>
      </c>
      <c r="G376" s="79">
        <v>24484.41</v>
      </c>
      <c r="H376" s="79">
        <v>23737.3</v>
      </c>
      <c r="I376" s="79">
        <v>23437.39</v>
      </c>
      <c r="J376" s="79">
        <v>22611.43</v>
      </c>
      <c r="K376" s="79">
        <v>21945.41</v>
      </c>
      <c r="L376" s="79">
        <v>23104.69</v>
      </c>
      <c r="M376" s="79">
        <v>24327.69</v>
      </c>
      <c r="N376" s="79">
        <v>25477.360000000001</v>
      </c>
      <c r="O376" s="79">
        <v>26313.9</v>
      </c>
      <c r="P376" s="79">
        <v>27073.74</v>
      </c>
      <c r="Q376" s="79">
        <v>27743.95</v>
      </c>
      <c r="R376" s="79">
        <v>27776.51</v>
      </c>
      <c r="S376" s="79">
        <v>28058.53</v>
      </c>
      <c r="T376" s="79">
        <v>28519.91</v>
      </c>
      <c r="U376" s="79">
        <v>29026.14</v>
      </c>
      <c r="V376" s="79">
        <v>31759.03</v>
      </c>
      <c r="W376" s="79">
        <v>35532.589999999997</v>
      </c>
      <c r="X376" s="79">
        <v>37173.379999999997</v>
      </c>
      <c r="Y376" s="79">
        <v>36730.230000000003</v>
      </c>
      <c r="Z376" s="79">
        <v>35615.370000000003</v>
      </c>
      <c r="AA376" s="79">
        <v>33536.17</v>
      </c>
      <c r="AB376" s="79">
        <v>31157.45</v>
      </c>
      <c r="AC376" s="210"/>
      <c r="AD376" s="185"/>
    </row>
    <row r="377" spans="2:30" s="186" customFormat="1" ht="18.649999999999999" customHeight="1" thickBot="1" x14ac:dyDescent="0.4">
      <c r="B377" s="268"/>
      <c r="C377" s="11" t="s">
        <v>32</v>
      </c>
      <c r="D377" s="12">
        <v>2</v>
      </c>
      <c r="E377" s="76">
        <v>27096.49</v>
      </c>
      <c r="F377" s="76">
        <v>25636.05</v>
      </c>
      <c r="G377" s="76">
        <v>24484.41</v>
      </c>
      <c r="H377" s="76">
        <v>23737.3</v>
      </c>
      <c r="I377" s="76">
        <v>23437.39</v>
      </c>
      <c r="J377" s="76">
        <v>22611.43</v>
      </c>
      <c r="K377" s="76">
        <v>21945.41</v>
      </c>
      <c r="L377" s="76">
        <v>23104.69</v>
      </c>
      <c r="M377" s="76">
        <v>24327.69</v>
      </c>
      <c r="N377" s="76">
        <v>25477.360000000001</v>
      </c>
      <c r="O377" s="76">
        <v>26313.9</v>
      </c>
      <c r="P377" s="76">
        <v>27073.74</v>
      </c>
      <c r="Q377" s="76">
        <v>27743.95</v>
      </c>
      <c r="R377" s="76">
        <v>27776.51</v>
      </c>
      <c r="S377" s="76">
        <v>28058.53</v>
      </c>
      <c r="T377" s="76">
        <v>28519.91</v>
      </c>
      <c r="U377" s="76">
        <v>29026.14</v>
      </c>
      <c r="V377" s="76">
        <v>31759.03</v>
      </c>
      <c r="W377" s="76">
        <v>35532.589999999997</v>
      </c>
      <c r="X377" s="76">
        <v>37173.379999999997</v>
      </c>
      <c r="Y377" s="76">
        <v>36730.230000000003</v>
      </c>
      <c r="Z377" s="76">
        <v>35615.370000000003</v>
      </c>
      <c r="AA377" s="76">
        <v>33536.17</v>
      </c>
      <c r="AB377" s="76">
        <v>31157.45</v>
      </c>
      <c r="AC377" s="214"/>
      <c r="AD377" s="185"/>
    </row>
    <row r="378" spans="2:30" s="186" customFormat="1" ht="18.649999999999999" customHeight="1" x14ac:dyDescent="0.35">
      <c r="B378" s="207">
        <v>50952</v>
      </c>
      <c r="C378" s="13" t="s">
        <v>29</v>
      </c>
      <c r="D378" s="14">
        <v>19</v>
      </c>
      <c r="E378" s="81">
        <v>26640.42</v>
      </c>
      <c r="F378" s="81">
        <v>25174.25</v>
      </c>
      <c r="G378" s="81">
        <v>24067.8</v>
      </c>
      <c r="H378" s="81">
        <v>23333.18</v>
      </c>
      <c r="I378" s="81">
        <v>23274.7</v>
      </c>
      <c r="J378" s="81">
        <v>23859.51</v>
      </c>
      <c r="K378" s="81">
        <v>24055.37</v>
      </c>
      <c r="L378" s="81">
        <v>26949.31</v>
      </c>
      <c r="M378" s="81">
        <v>29491.25</v>
      </c>
      <c r="N378" s="81">
        <v>30819.279999999999</v>
      </c>
      <c r="O378" s="81">
        <v>32546.73</v>
      </c>
      <c r="P378" s="81">
        <v>33933.11</v>
      </c>
      <c r="Q378" s="81">
        <v>32672.91</v>
      </c>
      <c r="R378" s="81">
        <v>34024.99</v>
      </c>
      <c r="S378" s="81">
        <v>36299.379999999997</v>
      </c>
      <c r="T378" s="81">
        <v>36712</v>
      </c>
      <c r="U378" s="81">
        <v>36633.550000000003</v>
      </c>
      <c r="V378" s="81">
        <v>37437.19</v>
      </c>
      <c r="W378" s="81">
        <v>39300.449999999997</v>
      </c>
      <c r="X378" s="81">
        <v>40195.4</v>
      </c>
      <c r="Y378" s="81">
        <v>39157.93</v>
      </c>
      <c r="Z378" s="81">
        <v>37259.32</v>
      </c>
      <c r="AA378" s="81">
        <v>34276.550000000003</v>
      </c>
      <c r="AB378" s="81">
        <v>31369.88</v>
      </c>
      <c r="AC378" s="210">
        <f>SUM(E378:AB378)*D378+SUM(E379:AB379)*D379+SUM(E380:AB380)*D380+SUM(E381:AB381)*D381</f>
        <v>22543701.899999995</v>
      </c>
      <c r="AD378" s="185"/>
    </row>
    <row r="379" spans="2:30" s="186" customFormat="1" ht="18.649999999999999" customHeight="1" x14ac:dyDescent="0.35">
      <c r="B379" s="267"/>
      <c r="C379" s="9" t="s">
        <v>30</v>
      </c>
      <c r="D379" s="10">
        <v>5</v>
      </c>
      <c r="E379" s="79">
        <v>27132.76</v>
      </c>
      <c r="F379" s="79">
        <v>25485.06</v>
      </c>
      <c r="G379" s="79">
        <v>24281.21</v>
      </c>
      <c r="H379" s="79">
        <v>23568.54</v>
      </c>
      <c r="I379" s="79">
        <v>23199.27</v>
      </c>
      <c r="J379" s="79">
        <v>22933.46</v>
      </c>
      <c r="K379" s="79">
        <v>22911.71</v>
      </c>
      <c r="L379" s="79">
        <v>25311.31</v>
      </c>
      <c r="M379" s="79">
        <v>27906.6</v>
      </c>
      <c r="N379" s="79">
        <v>29464.16</v>
      </c>
      <c r="O379" s="79">
        <v>31046.09</v>
      </c>
      <c r="P379" s="79">
        <v>31866.3</v>
      </c>
      <c r="Q379" s="79">
        <v>31332.06</v>
      </c>
      <c r="R379" s="79">
        <v>30950.21</v>
      </c>
      <c r="S379" s="79">
        <v>31099.71</v>
      </c>
      <c r="T379" s="79">
        <v>31059.11</v>
      </c>
      <c r="U379" s="79">
        <v>31207.63</v>
      </c>
      <c r="V379" s="79">
        <v>33845.660000000003</v>
      </c>
      <c r="W379" s="79">
        <v>36125.4</v>
      </c>
      <c r="X379" s="79">
        <v>36827.050000000003</v>
      </c>
      <c r="Y379" s="79">
        <v>35634.53</v>
      </c>
      <c r="Z379" s="79">
        <v>34181.21</v>
      </c>
      <c r="AA379" s="79">
        <v>32345.279999999999</v>
      </c>
      <c r="AB379" s="79">
        <v>30223.22</v>
      </c>
      <c r="AC379" s="210"/>
      <c r="AD379" s="185"/>
    </row>
    <row r="380" spans="2:30" s="186" customFormat="1" ht="18.649999999999999" customHeight="1" x14ac:dyDescent="0.35">
      <c r="B380" s="267"/>
      <c r="C380" s="9" t="s">
        <v>31</v>
      </c>
      <c r="D380" s="10">
        <v>5</v>
      </c>
      <c r="E380" s="79">
        <v>25279.95</v>
      </c>
      <c r="F380" s="79">
        <v>24006.71</v>
      </c>
      <c r="G380" s="79">
        <v>22886.46</v>
      </c>
      <c r="H380" s="79">
        <v>22219.23</v>
      </c>
      <c r="I380" s="79">
        <v>21939.84</v>
      </c>
      <c r="J380" s="79">
        <v>21332.7</v>
      </c>
      <c r="K380" s="79">
        <v>20709.919999999998</v>
      </c>
      <c r="L380" s="79">
        <v>21830.720000000001</v>
      </c>
      <c r="M380" s="79">
        <v>22973.1</v>
      </c>
      <c r="N380" s="79">
        <v>24073.77</v>
      </c>
      <c r="O380" s="79">
        <v>25109.61</v>
      </c>
      <c r="P380" s="79">
        <v>26084.94</v>
      </c>
      <c r="Q380" s="79">
        <v>26865.17</v>
      </c>
      <c r="R380" s="79">
        <v>27169.82</v>
      </c>
      <c r="S380" s="79">
        <v>27512.35</v>
      </c>
      <c r="T380" s="79">
        <v>28130.77</v>
      </c>
      <c r="U380" s="79">
        <v>28531.13</v>
      </c>
      <c r="V380" s="79">
        <v>31102.44</v>
      </c>
      <c r="W380" s="79">
        <v>34847.79</v>
      </c>
      <c r="X380" s="79">
        <v>36772.49</v>
      </c>
      <c r="Y380" s="79">
        <v>36235.14</v>
      </c>
      <c r="Z380" s="79">
        <v>34779.050000000003</v>
      </c>
      <c r="AA380" s="79">
        <v>32123.17</v>
      </c>
      <c r="AB380" s="79">
        <v>29456.51</v>
      </c>
      <c r="AC380" s="210"/>
      <c r="AD380" s="185"/>
    </row>
    <row r="381" spans="2:30" s="186" customFormat="1" ht="18.649999999999999" customHeight="1" thickBot="1" x14ac:dyDescent="0.4">
      <c r="B381" s="268"/>
      <c r="C381" s="15" t="s">
        <v>32</v>
      </c>
      <c r="D381" s="16">
        <v>2</v>
      </c>
      <c r="E381" s="79">
        <v>25279.95</v>
      </c>
      <c r="F381" s="79">
        <v>24006.71</v>
      </c>
      <c r="G381" s="79">
        <v>22886.46</v>
      </c>
      <c r="H381" s="79">
        <v>22219.23</v>
      </c>
      <c r="I381" s="79">
        <v>21939.84</v>
      </c>
      <c r="J381" s="79">
        <v>21332.7</v>
      </c>
      <c r="K381" s="79">
        <v>20709.919999999998</v>
      </c>
      <c r="L381" s="79">
        <v>21830.720000000001</v>
      </c>
      <c r="M381" s="79">
        <v>22973.1</v>
      </c>
      <c r="N381" s="79">
        <v>24073.77</v>
      </c>
      <c r="O381" s="79">
        <v>25109.61</v>
      </c>
      <c r="P381" s="79">
        <v>26084.94</v>
      </c>
      <c r="Q381" s="79">
        <v>26865.17</v>
      </c>
      <c r="R381" s="79">
        <v>27169.82</v>
      </c>
      <c r="S381" s="79">
        <v>27512.35</v>
      </c>
      <c r="T381" s="79">
        <v>28130.77</v>
      </c>
      <c r="U381" s="79">
        <v>28531.13</v>
      </c>
      <c r="V381" s="79">
        <v>31102.44</v>
      </c>
      <c r="W381" s="79">
        <v>34847.79</v>
      </c>
      <c r="X381" s="79">
        <v>36772.49</v>
      </c>
      <c r="Y381" s="79">
        <v>36235.14</v>
      </c>
      <c r="Z381" s="79">
        <v>34779.050000000003</v>
      </c>
      <c r="AA381" s="79">
        <v>32123.17</v>
      </c>
      <c r="AB381" s="79">
        <v>29456.51</v>
      </c>
      <c r="AC381" s="210"/>
      <c r="AD381" s="185"/>
    </row>
    <row r="382" spans="2:30" s="186" customFormat="1" ht="18.649999999999999" customHeight="1" x14ac:dyDescent="0.35">
      <c r="B382" s="207">
        <v>50983</v>
      </c>
      <c r="C382" s="6" t="s">
        <v>29</v>
      </c>
      <c r="D382" s="7">
        <v>22</v>
      </c>
      <c r="E382" s="78">
        <v>26383.93</v>
      </c>
      <c r="F382" s="78">
        <v>24825.49</v>
      </c>
      <c r="G382" s="78">
        <v>23718.52</v>
      </c>
      <c r="H382" s="78">
        <v>22958.25</v>
      </c>
      <c r="I382" s="78">
        <v>22904.98</v>
      </c>
      <c r="J382" s="78">
        <v>23681.16</v>
      </c>
      <c r="K382" s="78">
        <v>23858.03</v>
      </c>
      <c r="L382" s="78">
        <v>26486.95</v>
      </c>
      <c r="M382" s="78">
        <v>29040.05</v>
      </c>
      <c r="N382" s="78">
        <v>30309.919999999998</v>
      </c>
      <c r="O382" s="78">
        <v>32109.71</v>
      </c>
      <c r="P382" s="78">
        <v>33716.32</v>
      </c>
      <c r="Q382" s="78">
        <v>32282.1</v>
      </c>
      <c r="R382" s="78">
        <v>33532.19</v>
      </c>
      <c r="S382" s="78">
        <v>35869.449999999997</v>
      </c>
      <c r="T382" s="78">
        <v>36302.11</v>
      </c>
      <c r="U382" s="78">
        <v>36091.67</v>
      </c>
      <c r="V382" s="78">
        <v>37143.279999999999</v>
      </c>
      <c r="W382" s="78">
        <v>39543.4</v>
      </c>
      <c r="X382" s="78">
        <v>40131.160000000003</v>
      </c>
      <c r="Y382" s="78">
        <v>39044.17</v>
      </c>
      <c r="Z382" s="78">
        <v>37094.300000000003</v>
      </c>
      <c r="AA382" s="78">
        <v>34085.18</v>
      </c>
      <c r="AB382" s="78">
        <v>31228.33</v>
      </c>
      <c r="AC382" s="209">
        <f>SUM(E382:AB382)*D382+SUM(E383:AB383)*D383+SUM(E384:AB384)*D384+SUM(E385:AB385)*D385</f>
        <v>22658393.620000001</v>
      </c>
      <c r="AD382" s="185"/>
    </row>
    <row r="383" spans="2:30" s="186" customFormat="1" ht="18.649999999999999" customHeight="1" x14ac:dyDescent="0.35">
      <c r="B383" s="267"/>
      <c r="C383" s="9" t="s">
        <v>30</v>
      </c>
      <c r="D383" s="10">
        <v>4</v>
      </c>
      <c r="E383" s="79">
        <v>26730.62</v>
      </c>
      <c r="F383" s="79">
        <v>25267.279999999999</v>
      </c>
      <c r="G383" s="79">
        <v>24179.75</v>
      </c>
      <c r="H383" s="79">
        <v>23335.919999999998</v>
      </c>
      <c r="I383" s="79">
        <v>22798.93</v>
      </c>
      <c r="J383" s="79">
        <v>22546.2</v>
      </c>
      <c r="K383" s="79">
        <v>22467.119999999999</v>
      </c>
      <c r="L383" s="79">
        <v>24824.17</v>
      </c>
      <c r="M383" s="79">
        <v>27119.74</v>
      </c>
      <c r="N383" s="79">
        <v>28650.22</v>
      </c>
      <c r="O383" s="79">
        <v>29994.799999999999</v>
      </c>
      <c r="P383" s="79">
        <v>30428.959999999999</v>
      </c>
      <c r="Q383" s="79">
        <v>29889.67</v>
      </c>
      <c r="R383" s="79">
        <v>29553.48</v>
      </c>
      <c r="S383" s="79">
        <v>30097.48</v>
      </c>
      <c r="T383" s="79">
        <v>30468.720000000001</v>
      </c>
      <c r="U383" s="79">
        <v>30696.42</v>
      </c>
      <c r="V383" s="79">
        <v>33394.97</v>
      </c>
      <c r="W383" s="79">
        <v>37016.51</v>
      </c>
      <c r="X383" s="79">
        <v>37251.769999999997</v>
      </c>
      <c r="Y383" s="79">
        <v>35910.69</v>
      </c>
      <c r="Z383" s="79">
        <v>34327.07</v>
      </c>
      <c r="AA383" s="79">
        <v>32292.02</v>
      </c>
      <c r="AB383" s="79">
        <v>30035.77</v>
      </c>
      <c r="AC383" s="210"/>
      <c r="AD383" s="185"/>
    </row>
    <row r="384" spans="2:30" s="186" customFormat="1" ht="18.649999999999999" customHeight="1" x14ac:dyDescent="0.35">
      <c r="B384" s="267"/>
      <c r="C384" s="9" t="s">
        <v>31</v>
      </c>
      <c r="D384" s="10">
        <v>3</v>
      </c>
      <c r="E384" s="79">
        <v>26059.42</v>
      </c>
      <c r="F384" s="79">
        <v>24707.09</v>
      </c>
      <c r="G384" s="79">
        <v>23515.78</v>
      </c>
      <c r="H384" s="79">
        <v>22826.35</v>
      </c>
      <c r="I384" s="79">
        <v>22449.38</v>
      </c>
      <c r="J384" s="79">
        <v>22076.6</v>
      </c>
      <c r="K384" s="79">
        <v>21344.62</v>
      </c>
      <c r="L384" s="79">
        <v>22468.52</v>
      </c>
      <c r="M384" s="79">
        <v>23495.97</v>
      </c>
      <c r="N384" s="79">
        <v>24541.24</v>
      </c>
      <c r="O384" s="79">
        <v>25521.88</v>
      </c>
      <c r="P384" s="79">
        <v>26419.77</v>
      </c>
      <c r="Q384" s="79">
        <v>27011.66</v>
      </c>
      <c r="R384" s="79">
        <v>27217.35</v>
      </c>
      <c r="S384" s="79">
        <v>27548.14</v>
      </c>
      <c r="T384" s="79">
        <v>27976.36</v>
      </c>
      <c r="U384" s="79">
        <v>28431.919999999998</v>
      </c>
      <c r="V384" s="79">
        <v>31329.13</v>
      </c>
      <c r="W384" s="79">
        <v>35378.080000000002</v>
      </c>
      <c r="X384" s="79">
        <v>36846.980000000003</v>
      </c>
      <c r="Y384" s="79">
        <v>36576.879999999997</v>
      </c>
      <c r="Z384" s="79">
        <v>35330.58</v>
      </c>
      <c r="AA384" s="79">
        <v>32794.36</v>
      </c>
      <c r="AB384" s="79">
        <v>30089.18</v>
      </c>
      <c r="AC384" s="210"/>
      <c r="AD384" s="185"/>
    </row>
    <row r="385" spans="2:30" s="186" customFormat="1" ht="18.649999999999999" customHeight="1" thickBot="1" x14ac:dyDescent="0.4">
      <c r="B385" s="268"/>
      <c r="C385" s="11" t="s">
        <v>32</v>
      </c>
      <c r="D385" s="12">
        <v>2</v>
      </c>
      <c r="E385" s="76">
        <v>26059.42</v>
      </c>
      <c r="F385" s="76">
        <v>24707.09</v>
      </c>
      <c r="G385" s="76">
        <v>23515.78</v>
      </c>
      <c r="H385" s="76">
        <v>22826.35</v>
      </c>
      <c r="I385" s="76">
        <v>22449.38</v>
      </c>
      <c r="J385" s="76">
        <v>22076.6</v>
      </c>
      <c r="K385" s="76">
        <v>21344.62</v>
      </c>
      <c r="L385" s="76">
        <v>22468.52</v>
      </c>
      <c r="M385" s="76">
        <v>23495.97</v>
      </c>
      <c r="N385" s="76">
        <v>24541.24</v>
      </c>
      <c r="O385" s="76">
        <v>25521.88</v>
      </c>
      <c r="P385" s="76">
        <v>26419.77</v>
      </c>
      <c r="Q385" s="76">
        <v>27011.66</v>
      </c>
      <c r="R385" s="76">
        <v>27217.35</v>
      </c>
      <c r="S385" s="76">
        <v>27548.14</v>
      </c>
      <c r="T385" s="76">
        <v>27976.36</v>
      </c>
      <c r="U385" s="76">
        <v>28431.919999999998</v>
      </c>
      <c r="V385" s="76">
        <v>31329.13</v>
      </c>
      <c r="W385" s="76">
        <v>35378.080000000002</v>
      </c>
      <c r="X385" s="76">
        <v>36846.980000000003</v>
      </c>
      <c r="Y385" s="76">
        <v>36576.879999999997</v>
      </c>
      <c r="Z385" s="76">
        <v>35330.58</v>
      </c>
      <c r="AA385" s="76">
        <v>32794.36</v>
      </c>
      <c r="AB385" s="76">
        <v>30089.18</v>
      </c>
      <c r="AC385" s="214"/>
      <c r="AD385" s="185"/>
    </row>
    <row r="386" spans="2:30" s="186" customFormat="1" ht="18.649999999999999" customHeight="1" x14ac:dyDescent="0.35">
      <c r="B386" s="207">
        <v>51014</v>
      </c>
      <c r="C386" s="13" t="s">
        <v>29</v>
      </c>
      <c r="D386" s="14">
        <v>22</v>
      </c>
      <c r="E386" s="81">
        <v>26207.14</v>
      </c>
      <c r="F386" s="81">
        <v>24722.78</v>
      </c>
      <c r="G386" s="81">
        <v>23620.59</v>
      </c>
      <c r="H386" s="81">
        <v>22807.84</v>
      </c>
      <c r="I386" s="81">
        <v>22739.65</v>
      </c>
      <c r="J386" s="81">
        <v>23485.67</v>
      </c>
      <c r="K386" s="81">
        <v>23693.45</v>
      </c>
      <c r="L386" s="81">
        <v>26445.25</v>
      </c>
      <c r="M386" s="81">
        <v>29130.720000000001</v>
      </c>
      <c r="N386" s="81">
        <v>30459.91</v>
      </c>
      <c r="O386" s="81">
        <v>32004.98</v>
      </c>
      <c r="P386" s="81">
        <v>33452.879999999997</v>
      </c>
      <c r="Q386" s="81">
        <v>32202.16</v>
      </c>
      <c r="R386" s="81">
        <v>33294.839999999997</v>
      </c>
      <c r="S386" s="81">
        <v>35464.31</v>
      </c>
      <c r="T386" s="81">
        <v>35902.57</v>
      </c>
      <c r="U386" s="81">
        <v>35746.74</v>
      </c>
      <c r="V386" s="81">
        <v>37164.870000000003</v>
      </c>
      <c r="W386" s="81">
        <v>39692.94</v>
      </c>
      <c r="X386" s="81">
        <v>39325.1</v>
      </c>
      <c r="Y386" s="81">
        <v>38121.26</v>
      </c>
      <c r="Z386" s="81">
        <v>36104.949999999997</v>
      </c>
      <c r="AA386" s="81">
        <v>33066.339999999997</v>
      </c>
      <c r="AB386" s="81">
        <v>30288.07</v>
      </c>
      <c r="AC386" s="210">
        <f>SUM(E386:AB386)*D386+SUM(E387:AB387)*D387+SUM(E388:AB388)*D388+SUM(E389:AB389)*D389</f>
        <v>21795744.059999999</v>
      </c>
      <c r="AD386" s="185"/>
    </row>
    <row r="387" spans="2:30" s="186" customFormat="1" ht="18.649999999999999" customHeight="1" x14ac:dyDescent="0.35">
      <c r="B387" s="267"/>
      <c r="C387" s="9" t="s">
        <v>30</v>
      </c>
      <c r="D387" s="10">
        <v>4</v>
      </c>
      <c r="E387" s="79">
        <v>25353.1</v>
      </c>
      <c r="F387" s="79">
        <v>23975.54</v>
      </c>
      <c r="G387" s="79">
        <v>22933.96</v>
      </c>
      <c r="H387" s="79">
        <v>22167.64</v>
      </c>
      <c r="I387" s="79">
        <v>21940.37</v>
      </c>
      <c r="J387" s="79">
        <v>21780.66</v>
      </c>
      <c r="K387" s="79">
        <v>21925.26</v>
      </c>
      <c r="L387" s="79">
        <v>24490.15</v>
      </c>
      <c r="M387" s="79">
        <v>27058.98</v>
      </c>
      <c r="N387" s="79">
        <v>28289.84</v>
      </c>
      <c r="O387" s="79">
        <v>29986.35</v>
      </c>
      <c r="P387" s="79">
        <v>30765.37</v>
      </c>
      <c r="Q387" s="79">
        <v>30429.200000000001</v>
      </c>
      <c r="R387" s="79">
        <v>30099.38</v>
      </c>
      <c r="S387" s="79">
        <v>30465.91</v>
      </c>
      <c r="T387" s="79">
        <v>30576.81</v>
      </c>
      <c r="U387" s="79">
        <v>30628.41</v>
      </c>
      <c r="V387" s="79">
        <v>33852.25</v>
      </c>
      <c r="W387" s="79">
        <v>37642.15</v>
      </c>
      <c r="X387" s="79">
        <v>37348.120000000003</v>
      </c>
      <c r="Y387" s="79">
        <v>36066.31</v>
      </c>
      <c r="Z387" s="79">
        <v>34464.86</v>
      </c>
      <c r="AA387" s="79">
        <v>32641.05</v>
      </c>
      <c r="AB387" s="79">
        <v>30406.26</v>
      </c>
      <c r="AC387" s="210"/>
      <c r="AD387" s="185"/>
    </row>
    <row r="388" spans="2:30" s="186" customFormat="1" ht="18.649999999999999" customHeight="1" x14ac:dyDescent="0.35">
      <c r="B388" s="267"/>
      <c r="C388" s="9" t="s">
        <v>31</v>
      </c>
      <c r="D388" s="10">
        <v>4</v>
      </c>
      <c r="E388" s="79">
        <v>26080.9</v>
      </c>
      <c r="F388" s="79">
        <v>24659.49</v>
      </c>
      <c r="G388" s="79">
        <v>23418.91</v>
      </c>
      <c r="H388" s="79">
        <v>22596.78</v>
      </c>
      <c r="I388" s="79">
        <v>22238.31</v>
      </c>
      <c r="J388" s="79">
        <v>21562.81</v>
      </c>
      <c r="K388" s="79">
        <v>20808.400000000001</v>
      </c>
      <c r="L388" s="79">
        <v>22127.52</v>
      </c>
      <c r="M388" s="79">
        <v>23225.05</v>
      </c>
      <c r="N388" s="79">
        <v>24491.759999999998</v>
      </c>
      <c r="O388" s="79">
        <v>25523.200000000001</v>
      </c>
      <c r="P388" s="79">
        <v>26225.34</v>
      </c>
      <c r="Q388" s="79">
        <v>26922.95</v>
      </c>
      <c r="R388" s="79">
        <v>27102.91</v>
      </c>
      <c r="S388" s="79">
        <v>27240.71</v>
      </c>
      <c r="T388" s="79">
        <v>27822.75</v>
      </c>
      <c r="U388" s="79">
        <v>28215.27</v>
      </c>
      <c r="V388" s="79">
        <v>31514.06</v>
      </c>
      <c r="W388" s="79">
        <v>35633.56</v>
      </c>
      <c r="X388" s="79">
        <v>36198.089999999997</v>
      </c>
      <c r="Y388" s="79">
        <v>35771.26</v>
      </c>
      <c r="Z388" s="79">
        <v>34474.92</v>
      </c>
      <c r="AA388" s="79">
        <v>32052.71</v>
      </c>
      <c r="AB388" s="79">
        <v>29442.87</v>
      </c>
      <c r="AC388" s="210"/>
      <c r="AD388" s="185"/>
    </row>
    <row r="389" spans="2:30" s="186" customFormat="1" ht="18.649999999999999" customHeight="1" thickBot="1" x14ac:dyDescent="0.4">
      <c r="B389" s="268"/>
      <c r="C389" s="15" t="s">
        <v>32</v>
      </c>
      <c r="D389" s="16">
        <v>0</v>
      </c>
      <c r="E389" s="84">
        <v>0</v>
      </c>
      <c r="F389" s="84">
        <v>0</v>
      </c>
      <c r="G389" s="84">
        <v>0</v>
      </c>
      <c r="H389" s="84">
        <v>0</v>
      </c>
      <c r="I389" s="84">
        <v>0</v>
      </c>
      <c r="J389" s="84">
        <v>0</v>
      </c>
      <c r="K389" s="84">
        <v>0</v>
      </c>
      <c r="L389" s="84">
        <v>0</v>
      </c>
      <c r="M389" s="84">
        <v>0</v>
      </c>
      <c r="N389" s="84">
        <v>0</v>
      </c>
      <c r="O389" s="84">
        <v>0</v>
      </c>
      <c r="P389" s="84">
        <v>0</v>
      </c>
      <c r="Q389" s="84">
        <v>0</v>
      </c>
      <c r="R389" s="84">
        <v>0</v>
      </c>
      <c r="S389" s="84">
        <v>0</v>
      </c>
      <c r="T389" s="84">
        <v>0</v>
      </c>
      <c r="U389" s="84">
        <v>0</v>
      </c>
      <c r="V389" s="84">
        <v>0</v>
      </c>
      <c r="W389" s="84">
        <v>0</v>
      </c>
      <c r="X389" s="84">
        <v>0</v>
      </c>
      <c r="Y389" s="84">
        <v>0</v>
      </c>
      <c r="Z389" s="84">
        <v>0</v>
      </c>
      <c r="AA389" s="84">
        <v>0</v>
      </c>
      <c r="AB389" s="84">
        <v>0</v>
      </c>
      <c r="AC389" s="210"/>
      <c r="AD389" s="185"/>
    </row>
    <row r="390" spans="2:30" s="186" customFormat="1" ht="18.649999999999999" customHeight="1" x14ac:dyDescent="0.35">
      <c r="B390" s="207">
        <v>51044</v>
      </c>
      <c r="C390" s="6" t="s">
        <v>29</v>
      </c>
      <c r="D390" s="7">
        <v>20</v>
      </c>
      <c r="E390" s="78">
        <v>25376.38</v>
      </c>
      <c r="F390" s="78">
        <v>23939.919999999998</v>
      </c>
      <c r="G390" s="78">
        <v>22899.77</v>
      </c>
      <c r="H390" s="78">
        <v>22134.65</v>
      </c>
      <c r="I390" s="78">
        <v>22176.87</v>
      </c>
      <c r="J390" s="78">
        <v>22840.19</v>
      </c>
      <c r="K390" s="78">
        <v>23339.3</v>
      </c>
      <c r="L390" s="78">
        <v>26113.599999999999</v>
      </c>
      <c r="M390" s="78">
        <v>28665.43</v>
      </c>
      <c r="N390" s="78">
        <v>29969.75</v>
      </c>
      <c r="O390" s="78">
        <v>31444.93</v>
      </c>
      <c r="P390" s="78">
        <v>32752.13</v>
      </c>
      <c r="Q390" s="78">
        <v>31251.42</v>
      </c>
      <c r="R390" s="78">
        <v>32227.99</v>
      </c>
      <c r="S390" s="78">
        <v>34317.79</v>
      </c>
      <c r="T390" s="78">
        <v>35005.589999999997</v>
      </c>
      <c r="U390" s="78">
        <v>35143.410000000003</v>
      </c>
      <c r="V390" s="78">
        <v>37503.79</v>
      </c>
      <c r="W390" s="78">
        <v>39858.870000000003</v>
      </c>
      <c r="X390" s="78">
        <v>38986.400000000001</v>
      </c>
      <c r="Y390" s="78">
        <v>37584.71</v>
      </c>
      <c r="Z390" s="78">
        <v>35570.769999999997</v>
      </c>
      <c r="AA390" s="78">
        <v>32598.73</v>
      </c>
      <c r="AB390" s="78">
        <v>29695.58</v>
      </c>
      <c r="AC390" s="209">
        <f>SUM(E390:AB390)*D390+SUM(E391:AB391)*D391+SUM(E392:AB392)*D392+SUM(E393:AB393)*D393</f>
        <v>22053583.649999999</v>
      </c>
      <c r="AD390" s="185"/>
    </row>
    <row r="391" spans="2:30" s="186" customFormat="1" ht="18.649999999999999" customHeight="1" x14ac:dyDescent="0.35">
      <c r="B391" s="267"/>
      <c r="C391" s="9" t="s">
        <v>30</v>
      </c>
      <c r="D391" s="10">
        <v>5</v>
      </c>
      <c r="E391" s="79">
        <v>25778.81</v>
      </c>
      <c r="F391" s="79">
        <v>24206.23</v>
      </c>
      <c r="G391" s="79">
        <v>22959.37</v>
      </c>
      <c r="H391" s="79">
        <v>22181.21</v>
      </c>
      <c r="I391" s="79">
        <v>22150.639999999999</v>
      </c>
      <c r="J391" s="79">
        <v>22028.52</v>
      </c>
      <c r="K391" s="79">
        <v>22271.13</v>
      </c>
      <c r="L391" s="79">
        <v>24571.24</v>
      </c>
      <c r="M391" s="79">
        <v>27061.9</v>
      </c>
      <c r="N391" s="79">
        <v>28458</v>
      </c>
      <c r="O391" s="79">
        <v>30045.64</v>
      </c>
      <c r="P391" s="79">
        <v>30874.27</v>
      </c>
      <c r="Q391" s="79">
        <v>30263.3</v>
      </c>
      <c r="R391" s="79">
        <v>29947.73</v>
      </c>
      <c r="S391" s="79">
        <v>30441.72</v>
      </c>
      <c r="T391" s="79">
        <v>31045.03</v>
      </c>
      <c r="U391" s="79">
        <v>31332.81</v>
      </c>
      <c r="V391" s="79">
        <v>34865.83</v>
      </c>
      <c r="W391" s="79">
        <v>38143.14</v>
      </c>
      <c r="X391" s="79">
        <v>37426.910000000003</v>
      </c>
      <c r="Y391" s="79">
        <v>35997.06</v>
      </c>
      <c r="Z391" s="79">
        <v>34210.31</v>
      </c>
      <c r="AA391" s="79">
        <v>32091.119999999999</v>
      </c>
      <c r="AB391" s="79">
        <v>29819.41</v>
      </c>
      <c r="AC391" s="210"/>
      <c r="AD391" s="185"/>
    </row>
    <row r="392" spans="2:30" s="186" customFormat="1" ht="18.649999999999999" customHeight="1" x14ac:dyDescent="0.35">
      <c r="B392" s="267"/>
      <c r="C392" s="9" t="s">
        <v>31</v>
      </c>
      <c r="D392" s="10">
        <v>5</v>
      </c>
      <c r="E392" s="79">
        <v>25641.03</v>
      </c>
      <c r="F392" s="79">
        <v>24193.17</v>
      </c>
      <c r="G392" s="79">
        <v>23031.66</v>
      </c>
      <c r="H392" s="79">
        <v>22320.240000000002</v>
      </c>
      <c r="I392" s="79">
        <v>21983.79</v>
      </c>
      <c r="J392" s="79">
        <v>21461.19</v>
      </c>
      <c r="K392" s="79">
        <v>20678.490000000002</v>
      </c>
      <c r="L392" s="79">
        <v>21970.49</v>
      </c>
      <c r="M392" s="79">
        <v>23226.79</v>
      </c>
      <c r="N392" s="79">
        <v>24318.51</v>
      </c>
      <c r="O392" s="79">
        <v>25485.85</v>
      </c>
      <c r="P392" s="79">
        <v>26532.83</v>
      </c>
      <c r="Q392" s="79">
        <v>27105.8</v>
      </c>
      <c r="R392" s="79">
        <v>27264.6</v>
      </c>
      <c r="S392" s="79">
        <v>27606.52</v>
      </c>
      <c r="T392" s="79">
        <v>27765.040000000001</v>
      </c>
      <c r="U392" s="79">
        <v>28515.61</v>
      </c>
      <c r="V392" s="79">
        <v>32283.06</v>
      </c>
      <c r="W392" s="79">
        <v>36191.99</v>
      </c>
      <c r="X392" s="79">
        <v>36429.5</v>
      </c>
      <c r="Y392" s="79">
        <v>35895.519999999997</v>
      </c>
      <c r="Z392" s="79">
        <v>34517.230000000003</v>
      </c>
      <c r="AA392" s="79">
        <v>31974.53</v>
      </c>
      <c r="AB392" s="79">
        <v>29401.16</v>
      </c>
      <c r="AC392" s="210"/>
      <c r="AD392" s="185"/>
    </row>
    <row r="393" spans="2:30" s="186" customFormat="1" ht="18.649999999999999" customHeight="1" thickBot="1" x14ac:dyDescent="0.4">
      <c r="B393" s="268"/>
      <c r="C393" s="11" t="s">
        <v>32</v>
      </c>
      <c r="D393" s="12">
        <v>1</v>
      </c>
      <c r="E393" s="76">
        <v>25641.03</v>
      </c>
      <c r="F393" s="76">
        <v>24193.17</v>
      </c>
      <c r="G393" s="76">
        <v>23031.66</v>
      </c>
      <c r="H393" s="76">
        <v>22320.240000000002</v>
      </c>
      <c r="I393" s="76">
        <v>21983.79</v>
      </c>
      <c r="J393" s="76">
        <v>21461.19</v>
      </c>
      <c r="K393" s="76">
        <v>20678.490000000002</v>
      </c>
      <c r="L393" s="76">
        <v>21970.49</v>
      </c>
      <c r="M393" s="76">
        <v>23226.79</v>
      </c>
      <c r="N393" s="76">
        <v>24318.51</v>
      </c>
      <c r="O393" s="76">
        <v>25485.85</v>
      </c>
      <c r="P393" s="76">
        <v>26532.83</v>
      </c>
      <c r="Q393" s="76">
        <v>27105.8</v>
      </c>
      <c r="R393" s="76">
        <v>27264.6</v>
      </c>
      <c r="S393" s="76">
        <v>27606.52</v>
      </c>
      <c r="T393" s="76">
        <v>27765.040000000001</v>
      </c>
      <c r="U393" s="76">
        <v>28515.61</v>
      </c>
      <c r="V393" s="76">
        <v>32283.06</v>
      </c>
      <c r="W393" s="76">
        <v>36191.99</v>
      </c>
      <c r="X393" s="76">
        <v>36429.5</v>
      </c>
      <c r="Y393" s="76">
        <v>35895.519999999997</v>
      </c>
      <c r="Z393" s="76">
        <v>34517.230000000003</v>
      </c>
      <c r="AA393" s="76">
        <v>31974.53</v>
      </c>
      <c r="AB393" s="76">
        <v>29401.16</v>
      </c>
      <c r="AC393" s="214"/>
      <c r="AD393" s="185"/>
    </row>
    <row r="394" spans="2:30" s="186" customFormat="1" ht="18.649999999999999" customHeight="1" x14ac:dyDescent="0.35">
      <c r="B394" s="207">
        <v>51075</v>
      </c>
      <c r="C394" s="13" t="s">
        <v>29</v>
      </c>
      <c r="D394" s="14">
        <v>20</v>
      </c>
      <c r="E394" s="81">
        <v>24925.95</v>
      </c>
      <c r="F394" s="81">
        <v>23541.82</v>
      </c>
      <c r="G394" s="81">
        <v>22521.119999999999</v>
      </c>
      <c r="H394" s="81">
        <v>21829.37</v>
      </c>
      <c r="I394" s="81">
        <v>21874.03</v>
      </c>
      <c r="J394" s="81">
        <v>22535.67</v>
      </c>
      <c r="K394" s="81">
        <v>23056.57</v>
      </c>
      <c r="L394" s="81">
        <v>25991.09</v>
      </c>
      <c r="M394" s="81">
        <v>28567.49</v>
      </c>
      <c r="N394" s="81">
        <v>29798.63</v>
      </c>
      <c r="O394" s="81">
        <v>31182.03</v>
      </c>
      <c r="P394" s="81">
        <v>32231.47</v>
      </c>
      <c r="Q394" s="81">
        <v>30823.31</v>
      </c>
      <c r="R394" s="81">
        <v>31639.91</v>
      </c>
      <c r="S394" s="81">
        <v>33463.4</v>
      </c>
      <c r="T394" s="81">
        <v>34162.81</v>
      </c>
      <c r="U394" s="81">
        <v>34388.639999999999</v>
      </c>
      <c r="V394" s="81">
        <v>37040.21</v>
      </c>
      <c r="W394" s="81">
        <v>38842.800000000003</v>
      </c>
      <c r="X394" s="81">
        <v>37967.870000000003</v>
      </c>
      <c r="Y394" s="81">
        <v>36686.550000000003</v>
      </c>
      <c r="Z394" s="81">
        <v>34783.279999999999</v>
      </c>
      <c r="AA394" s="81">
        <v>31980.880000000001</v>
      </c>
      <c r="AB394" s="81">
        <v>29208.92</v>
      </c>
      <c r="AC394" s="210">
        <f>SUM(E394:AB394)*D394+SUM(E395:AB395)*D395+SUM(E396:AB396)*D396+SUM(E397:AB397)*D397</f>
        <v>20944804.560000002</v>
      </c>
      <c r="AD394" s="185"/>
    </row>
    <row r="395" spans="2:30" s="186" customFormat="1" ht="18.649999999999999" customHeight="1" x14ac:dyDescent="0.35">
      <c r="B395" s="267"/>
      <c r="C395" s="9" t="s">
        <v>30</v>
      </c>
      <c r="D395" s="10">
        <v>4</v>
      </c>
      <c r="E395" s="79">
        <v>24192.959999999999</v>
      </c>
      <c r="F395" s="79">
        <v>22935.73</v>
      </c>
      <c r="G395" s="79">
        <v>22032.73</v>
      </c>
      <c r="H395" s="79">
        <v>21443</v>
      </c>
      <c r="I395" s="79">
        <v>21405.66</v>
      </c>
      <c r="J395" s="79">
        <v>21314.46</v>
      </c>
      <c r="K395" s="79">
        <v>21569.69</v>
      </c>
      <c r="L395" s="79">
        <v>24276.31</v>
      </c>
      <c r="M395" s="79">
        <v>26854.39</v>
      </c>
      <c r="N395" s="79">
        <v>28268.09</v>
      </c>
      <c r="O395" s="79">
        <v>29868.52</v>
      </c>
      <c r="P395" s="79">
        <v>30533.77</v>
      </c>
      <c r="Q395" s="79">
        <v>29954.49</v>
      </c>
      <c r="R395" s="79">
        <v>29337.99</v>
      </c>
      <c r="S395" s="79">
        <v>29221.39</v>
      </c>
      <c r="T395" s="79">
        <v>29744.15</v>
      </c>
      <c r="U395" s="79">
        <v>30141.01</v>
      </c>
      <c r="V395" s="79">
        <v>34124.35</v>
      </c>
      <c r="W395" s="79">
        <v>36896.629999999997</v>
      </c>
      <c r="X395" s="79">
        <v>36271.96</v>
      </c>
      <c r="Y395" s="79">
        <v>35002.519999999997</v>
      </c>
      <c r="Z395" s="79">
        <v>33425.18</v>
      </c>
      <c r="AA395" s="79">
        <v>31433.47</v>
      </c>
      <c r="AB395" s="79">
        <v>29171.07</v>
      </c>
      <c r="AC395" s="210"/>
      <c r="AD395" s="185"/>
    </row>
    <row r="396" spans="2:30" s="186" customFormat="1" ht="18.649999999999999" customHeight="1" x14ac:dyDescent="0.35">
      <c r="B396" s="267"/>
      <c r="C396" s="9" t="s">
        <v>31</v>
      </c>
      <c r="D396" s="10">
        <v>4</v>
      </c>
      <c r="E396" s="79">
        <v>25251.06</v>
      </c>
      <c r="F396" s="79">
        <v>23970.2</v>
      </c>
      <c r="G396" s="79">
        <v>22838.09</v>
      </c>
      <c r="H396" s="79">
        <v>22069.54</v>
      </c>
      <c r="I396" s="79">
        <v>21742.79</v>
      </c>
      <c r="J396" s="79">
        <v>21330.75</v>
      </c>
      <c r="K396" s="79">
        <v>20642.68</v>
      </c>
      <c r="L396" s="79">
        <v>21898.34</v>
      </c>
      <c r="M396" s="79">
        <v>23141.72</v>
      </c>
      <c r="N396" s="79">
        <v>24257.67</v>
      </c>
      <c r="O396" s="79">
        <v>25452.67</v>
      </c>
      <c r="P396" s="79">
        <v>26084.93</v>
      </c>
      <c r="Q396" s="79">
        <v>26636.54</v>
      </c>
      <c r="R396" s="79">
        <v>26692.6</v>
      </c>
      <c r="S396" s="79">
        <v>26729.29</v>
      </c>
      <c r="T396" s="79">
        <v>27098.71</v>
      </c>
      <c r="U396" s="79">
        <v>27644.99</v>
      </c>
      <c r="V396" s="79">
        <v>31820.5</v>
      </c>
      <c r="W396" s="79">
        <v>34778.28</v>
      </c>
      <c r="X396" s="79">
        <v>34818.870000000003</v>
      </c>
      <c r="Y396" s="79">
        <v>34063.22</v>
      </c>
      <c r="Z396" s="79">
        <v>32770.17</v>
      </c>
      <c r="AA396" s="79">
        <v>30736.880000000001</v>
      </c>
      <c r="AB396" s="79">
        <v>28571.19</v>
      </c>
      <c r="AC396" s="210"/>
      <c r="AD396" s="185"/>
    </row>
    <row r="397" spans="2:30" s="186" customFormat="1" ht="18.649999999999999" customHeight="1" thickBot="1" x14ac:dyDescent="0.4">
      <c r="B397" s="268"/>
      <c r="C397" s="15" t="s">
        <v>32</v>
      </c>
      <c r="D397" s="16">
        <v>2</v>
      </c>
      <c r="E397" s="80">
        <v>25251.06</v>
      </c>
      <c r="F397" s="80">
        <v>23970.2</v>
      </c>
      <c r="G397" s="80">
        <v>22838.09</v>
      </c>
      <c r="H397" s="80">
        <v>22069.54</v>
      </c>
      <c r="I397" s="80">
        <v>21742.79</v>
      </c>
      <c r="J397" s="80">
        <v>21330.75</v>
      </c>
      <c r="K397" s="80">
        <v>20642.68</v>
      </c>
      <c r="L397" s="80">
        <v>21898.34</v>
      </c>
      <c r="M397" s="80">
        <v>23141.72</v>
      </c>
      <c r="N397" s="80">
        <v>24257.67</v>
      </c>
      <c r="O397" s="80">
        <v>25452.67</v>
      </c>
      <c r="P397" s="80">
        <v>26084.93</v>
      </c>
      <c r="Q397" s="80">
        <v>26636.54</v>
      </c>
      <c r="R397" s="80">
        <v>26692.6</v>
      </c>
      <c r="S397" s="80">
        <v>26729.29</v>
      </c>
      <c r="T397" s="80">
        <v>27098.71</v>
      </c>
      <c r="U397" s="80">
        <v>27644.99</v>
      </c>
      <c r="V397" s="80">
        <v>31820.5</v>
      </c>
      <c r="W397" s="80">
        <v>34778.28</v>
      </c>
      <c r="X397" s="80">
        <v>34818.870000000003</v>
      </c>
      <c r="Y397" s="80">
        <v>34063.22</v>
      </c>
      <c r="Z397" s="80">
        <v>32770.17</v>
      </c>
      <c r="AA397" s="80">
        <v>30736.880000000001</v>
      </c>
      <c r="AB397" s="80">
        <v>28571.19</v>
      </c>
      <c r="AC397" s="210"/>
      <c r="AD397" s="185"/>
    </row>
    <row r="398" spans="2:30" s="186" customFormat="1" ht="18.649999999999999" customHeight="1" x14ac:dyDescent="0.35">
      <c r="B398" s="207">
        <v>51105</v>
      </c>
      <c r="C398" s="6" t="s">
        <v>29</v>
      </c>
      <c r="D398" s="7">
        <v>21</v>
      </c>
      <c r="E398" s="78">
        <v>26779.08</v>
      </c>
      <c r="F398" s="78">
        <v>25199.7</v>
      </c>
      <c r="G398" s="78">
        <v>24056.86</v>
      </c>
      <c r="H398" s="78">
        <v>23349.48</v>
      </c>
      <c r="I398" s="78">
        <v>23237.17</v>
      </c>
      <c r="J398" s="78">
        <v>23663.200000000001</v>
      </c>
      <c r="K398" s="78">
        <v>23746.47</v>
      </c>
      <c r="L398" s="78">
        <v>26578.23</v>
      </c>
      <c r="M398" s="78">
        <v>29108.09</v>
      </c>
      <c r="N398" s="78">
        <v>30566.27</v>
      </c>
      <c r="O398" s="78">
        <v>31924.400000000001</v>
      </c>
      <c r="P398" s="78">
        <v>33018.639999999999</v>
      </c>
      <c r="Q398" s="78">
        <v>32058.6</v>
      </c>
      <c r="R398" s="78">
        <v>32561.94</v>
      </c>
      <c r="S398" s="78">
        <v>34165.72</v>
      </c>
      <c r="T398" s="78">
        <v>34860.550000000003</v>
      </c>
      <c r="U398" s="78">
        <v>35141.65</v>
      </c>
      <c r="V398" s="78">
        <v>37751.300000000003</v>
      </c>
      <c r="W398" s="78">
        <v>40727.99</v>
      </c>
      <c r="X398" s="78">
        <v>39961.410000000003</v>
      </c>
      <c r="Y398" s="78">
        <v>38534.239999999998</v>
      </c>
      <c r="Z398" s="78">
        <v>36464.97</v>
      </c>
      <c r="AA398" s="78">
        <v>33837.06</v>
      </c>
      <c r="AB398" s="78">
        <v>31292.11</v>
      </c>
      <c r="AC398" s="209">
        <f>SUM(E398:AB398)*D398+SUM(E399:AB399)*D399+SUM(E400:AB400)*D400+SUM(E401:AB401)*D401</f>
        <v>22771058.379999999</v>
      </c>
      <c r="AD398" s="185"/>
    </row>
    <row r="399" spans="2:30" s="186" customFormat="1" ht="18.649999999999999" customHeight="1" x14ac:dyDescent="0.35">
      <c r="B399" s="267"/>
      <c r="C399" s="9" t="s">
        <v>30</v>
      </c>
      <c r="D399" s="10">
        <v>5</v>
      </c>
      <c r="E399" s="79">
        <v>27211.34</v>
      </c>
      <c r="F399" s="79">
        <v>25552.65</v>
      </c>
      <c r="G399" s="79">
        <v>24473.34</v>
      </c>
      <c r="H399" s="79">
        <v>23670.02</v>
      </c>
      <c r="I399" s="79">
        <v>23428.09</v>
      </c>
      <c r="J399" s="79">
        <v>23449.86</v>
      </c>
      <c r="K399" s="79">
        <v>23119.23</v>
      </c>
      <c r="L399" s="79">
        <v>25187.78</v>
      </c>
      <c r="M399" s="79">
        <v>27974.400000000001</v>
      </c>
      <c r="N399" s="79">
        <v>29595.05</v>
      </c>
      <c r="O399" s="79">
        <v>31051.119999999999</v>
      </c>
      <c r="P399" s="79">
        <v>32001.5</v>
      </c>
      <c r="Q399" s="79">
        <v>31427.21</v>
      </c>
      <c r="R399" s="79">
        <v>31276.77</v>
      </c>
      <c r="S399" s="79">
        <v>31252.73</v>
      </c>
      <c r="T399" s="79">
        <v>31869.99</v>
      </c>
      <c r="U399" s="79">
        <v>32339.08</v>
      </c>
      <c r="V399" s="79">
        <v>35614.43</v>
      </c>
      <c r="W399" s="79">
        <v>39562.44</v>
      </c>
      <c r="X399" s="79">
        <v>38970.78</v>
      </c>
      <c r="Y399" s="79">
        <v>37498.269999999997</v>
      </c>
      <c r="Z399" s="79">
        <v>35934.730000000003</v>
      </c>
      <c r="AA399" s="79">
        <v>33742.28</v>
      </c>
      <c r="AB399" s="79">
        <v>31501.77</v>
      </c>
      <c r="AC399" s="210"/>
      <c r="AD399" s="185"/>
    </row>
    <row r="400" spans="2:30" s="186" customFormat="1" ht="18.649999999999999" customHeight="1" x14ac:dyDescent="0.35">
      <c r="B400" s="267"/>
      <c r="C400" s="9" t="s">
        <v>31</v>
      </c>
      <c r="D400" s="10">
        <v>3</v>
      </c>
      <c r="E400" s="79">
        <v>27380.28</v>
      </c>
      <c r="F400" s="79">
        <v>25936.7</v>
      </c>
      <c r="G400" s="79">
        <v>24775.35</v>
      </c>
      <c r="H400" s="79">
        <v>23957.53</v>
      </c>
      <c r="I400" s="79">
        <v>23588.91</v>
      </c>
      <c r="J400" s="79">
        <v>23332.9</v>
      </c>
      <c r="K400" s="79">
        <v>22115.38</v>
      </c>
      <c r="L400" s="79">
        <v>23158</v>
      </c>
      <c r="M400" s="79">
        <v>24561.66</v>
      </c>
      <c r="N400" s="79">
        <v>25908.83</v>
      </c>
      <c r="O400" s="79">
        <v>26793.18</v>
      </c>
      <c r="P400" s="79">
        <v>27624.77</v>
      </c>
      <c r="Q400" s="79">
        <v>28170.13</v>
      </c>
      <c r="R400" s="79">
        <v>28573.13</v>
      </c>
      <c r="S400" s="79">
        <v>27738.21</v>
      </c>
      <c r="T400" s="79">
        <v>28846.1</v>
      </c>
      <c r="U400" s="79">
        <v>29591.71</v>
      </c>
      <c r="V400" s="79">
        <v>33096.97</v>
      </c>
      <c r="W400" s="79">
        <v>37074.06</v>
      </c>
      <c r="X400" s="79">
        <v>36731.24</v>
      </c>
      <c r="Y400" s="79">
        <v>35786.53</v>
      </c>
      <c r="Z400" s="79">
        <v>34522.54</v>
      </c>
      <c r="AA400" s="79">
        <v>32580.84</v>
      </c>
      <c r="AB400" s="79">
        <v>30604.32</v>
      </c>
      <c r="AC400" s="210"/>
      <c r="AD400" s="185"/>
    </row>
    <row r="401" spans="2:50" s="186" customFormat="1" ht="18.649999999999999" customHeight="1" thickBot="1" x14ac:dyDescent="0.4">
      <c r="B401" s="268"/>
      <c r="C401" s="11" t="s">
        <v>32</v>
      </c>
      <c r="D401" s="12">
        <v>2</v>
      </c>
      <c r="E401" s="76">
        <v>27380.28</v>
      </c>
      <c r="F401" s="76">
        <v>25936.7</v>
      </c>
      <c r="G401" s="76">
        <v>24775.35</v>
      </c>
      <c r="H401" s="76">
        <v>23957.53</v>
      </c>
      <c r="I401" s="76">
        <v>23588.91</v>
      </c>
      <c r="J401" s="76">
        <v>23332.9</v>
      </c>
      <c r="K401" s="76">
        <v>22115.38</v>
      </c>
      <c r="L401" s="76">
        <v>23158</v>
      </c>
      <c r="M401" s="76">
        <v>24561.66</v>
      </c>
      <c r="N401" s="76">
        <v>25908.83</v>
      </c>
      <c r="O401" s="76">
        <v>26793.18</v>
      </c>
      <c r="P401" s="76">
        <v>27624.77</v>
      </c>
      <c r="Q401" s="76">
        <v>28170.13</v>
      </c>
      <c r="R401" s="76">
        <v>28573.13</v>
      </c>
      <c r="S401" s="76">
        <v>27738.21</v>
      </c>
      <c r="T401" s="76">
        <v>28846.1</v>
      </c>
      <c r="U401" s="76">
        <v>29591.71</v>
      </c>
      <c r="V401" s="76">
        <v>33096.97</v>
      </c>
      <c r="W401" s="76">
        <v>37074.06</v>
      </c>
      <c r="X401" s="76">
        <v>36731.24</v>
      </c>
      <c r="Y401" s="76">
        <v>35786.53</v>
      </c>
      <c r="Z401" s="76">
        <v>34522.54</v>
      </c>
      <c r="AA401" s="76">
        <v>32580.84</v>
      </c>
      <c r="AB401" s="76">
        <v>30604.32</v>
      </c>
      <c r="AC401" s="214"/>
      <c r="AD401" s="185"/>
    </row>
    <row r="402" spans="2:50" s="186" customFormat="1" ht="18.649999999999999" customHeight="1" thickBot="1" x14ac:dyDescent="0.4">
      <c r="C402" s="187" t="s">
        <v>32</v>
      </c>
      <c r="D402" s="187">
        <v>1</v>
      </c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188"/>
      <c r="P402" s="188"/>
      <c r="Q402" s="188"/>
      <c r="R402" s="188"/>
      <c r="S402" s="188"/>
      <c r="T402" s="188"/>
      <c r="U402" s="188"/>
      <c r="V402" s="188"/>
      <c r="W402" s="188"/>
      <c r="X402" s="188"/>
      <c r="Y402" s="188"/>
      <c r="Z402" s="215" t="s">
        <v>33</v>
      </c>
      <c r="AA402" s="216"/>
      <c r="AB402" s="217"/>
      <c r="AC402" s="135">
        <f>SUM(AC354:AC401)</f>
        <v>270167636.66000003</v>
      </c>
      <c r="AD402" s="189"/>
      <c r="AE402" s="185"/>
    </row>
    <row r="403" spans="2:50" s="186" customFormat="1" ht="18.649999999999999" customHeight="1" x14ac:dyDescent="0.35">
      <c r="B403" s="207">
        <v>51136</v>
      </c>
      <c r="C403" s="6" t="s">
        <v>29</v>
      </c>
      <c r="D403" s="46">
        <v>21</v>
      </c>
      <c r="E403" s="196">
        <f>ROUND('[7]10.Energ_productos_Necesidad'!AJ719,2)</f>
        <v>28471.47</v>
      </c>
      <c r="F403" s="196">
        <f>ROUND('[7]10.Energ_productos_Necesidad'!AK719,2)</f>
        <v>26916.19</v>
      </c>
      <c r="G403" s="196">
        <f>ROUND('[7]10.Energ_productos_Necesidad'!AL719,2)</f>
        <v>25740.6</v>
      </c>
      <c r="H403" s="196">
        <f>ROUND('[7]10.Energ_productos_Necesidad'!AM719,2)</f>
        <v>24883.67</v>
      </c>
      <c r="I403" s="196">
        <f>ROUND('[7]10.Energ_productos_Necesidad'!AN719,2)</f>
        <v>24714.62</v>
      </c>
      <c r="J403" s="196">
        <f>ROUND('[7]10.Energ_productos_Necesidad'!AO719,2)</f>
        <v>25559.82</v>
      </c>
      <c r="K403" s="196">
        <f>ROUND('[7]10.Energ_productos_Necesidad'!AP719,2)</f>
        <v>25244.71</v>
      </c>
      <c r="L403" s="196">
        <f>ROUND('[7]10.Energ_productos_Necesidad'!AQ719,2)</f>
        <v>28084.57</v>
      </c>
      <c r="M403" s="196">
        <f>ROUND('[7]10.Energ_productos_Necesidad'!AR719,2)</f>
        <v>30676.47</v>
      </c>
      <c r="N403" s="196">
        <f>ROUND('[7]10.Energ_productos_Necesidad'!AS719,2)</f>
        <v>32031.47</v>
      </c>
      <c r="O403" s="196">
        <f>ROUND('[7]10.Energ_productos_Necesidad'!AT719,2)</f>
        <v>33673.699999999997</v>
      </c>
      <c r="P403" s="196">
        <f>ROUND('[7]10.Energ_productos_Necesidad'!AU719,2)</f>
        <v>35131.71</v>
      </c>
      <c r="Q403" s="196">
        <f>ROUND('[7]10.Energ_productos_Necesidad'!AV719,2)</f>
        <v>34114.86</v>
      </c>
      <c r="R403" s="196">
        <f>ROUND('[7]10.Energ_productos_Necesidad'!AW719,2)</f>
        <v>35274.92</v>
      </c>
      <c r="S403" s="196">
        <f>ROUND('[7]10.Energ_productos_Necesidad'!AX719,2)</f>
        <v>37192.080000000002</v>
      </c>
      <c r="T403" s="196">
        <f>ROUND('[7]10.Energ_productos_Necesidad'!AY719,2)</f>
        <v>37618.050000000003</v>
      </c>
      <c r="U403" s="196">
        <f>ROUND('[7]10.Energ_productos_Necesidad'!AZ719,2)</f>
        <v>37514.46</v>
      </c>
      <c r="V403" s="196">
        <f>ROUND('[7]10.Energ_productos_Necesidad'!BA719,2)</f>
        <v>38652.28</v>
      </c>
      <c r="W403" s="196">
        <f>ROUND('[7]10.Energ_productos_Necesidad'!BB719,2)</f>
        <v>41494.19</v>
      </c>
      <c r="X403" s="196">
        <f>ROUND('[7]10.Energ_productos_Necesidad'!BC719,2)</f>
        <v>41613.15</v>
      </c>
      <c r="Y403" s="196">
        <f>ROUND('[7]10.Energ_productos_Necesidad'!BD719,2)</f>
        <v>40575.01</v>
      </c>
      <c r="Z403" s="196">
        <f>ROUND('[7]10.Energ_productos_Necesidad'!BE719,2)</f>
        <v>38845.4</v>
      </c>
      <c r="AA403" s="196">
        <f>ROUND('[7]10.Energ_productos_Necesidad'!BF719,2)</f>
        <v>36151.61</v>
      </c>
      <c r="AB403" s="196">
        <f>ROUND('[7]10.Energ_productos_Necesidad'!BG719,2)</f>
        <v>33276.07</v>
      </c>
      <c r="AC403" s="209">
        <f>SUM(E403:AB403)*D403+SUM(E404:AB404)*D404+SUM(E405:AB405)*D405+SUM(E406:AB406)*D406</f>
        <v>23829653.98</v>
      </c>
      <c r="AD403" s="185"/>
      <c r="AE403" s="185"/>
      <c r="AF403" s="185"/>
      <c r="AG403" s="185"/>
      <c r="AH403" s="185"/>
      <c r="AI403" s="185"/>
      <c r="AJ403" s="185"/>
      <c r="AK403" s="185"/>
      <c r="AL403" s="185"/>
      <c r="AM403" s="185"/>
      <c r="AN403" s="185"/>
      <c r="AO403" s="185"/>
      <c r="AP403" s="185"/>
      <c r="AQ403" s="185"/>
      <c r="AR403" s="185"/>
      <c r="AS403" s="185"/>
      <c r="AT403" s="185"/>
      <c r="AU403" s="185"/>
      <c r="AV403" s="185"/>
      <c r="AW403" s="185"/>
      <c r="AX403" s="185"/>
    </row>
    <row r="404" spans="2:50" s="186" customFormat="1" ht="18.649999999999999" customHeight="1" x14ac:dyDescent="0.35">
      <c r="B404" s="267"/>
      <c r="C404" s="9" t="s">
        <v>30</v>
      </c>
      <c r="D404" s="10">
        <v>4</v>
      </c>
      <c r="E404" s="197">
        <f>ROUND('[7]10.Energ_productos_Necesidad'!AJ720,2)</f>
        <v>28179.29</v>
      </c>
      <c r="F404" s="197">
        <f>ROUND('[7]10.Energ_productos_Necesidad'!AK720,2)</f>
        <v>26738.87</v>
      </c>
      <c r="G404" s="197">
        <f>ROUND('[7]10.Energ_productos_Necesidad'!AL720,2)</f>
        <v>25589.58</v>
      </c>
      <c r="H404" s="197">
        <f>ROUND('[7]10.Energ_productos_Necesidad'!AM720,2)</f>
        <v>24717.79</v>
      </c>
      <c r="I404" s="197">
        <f>ROUND('[7]10.Energ_productos_Necesidad'!AN720,2)</f>
        <v>24442</v>
      </c>
      <c r="J404" s="197">
        <f>ROUND('[7]10.Energ_productos_Necesidad'!AO720,2)</f>
        <v>24621.16</v>
      </c>
      <c r="K404" s="197">
        <f>ROUND('[7]10.Energ_productos_Necesidad'!AP720,2)</f>
        <v>23880.52</v>
      </c>
      <c r="L404" s="197">
        <f>ROUND('[7]10.Energ_productos_Necesidad'!AQ720,2)</f>
        <v>26158.03</v>
      </c>
      <c r="M404" s="197">
        <f>ROUND('[7]10.Energ_productos_Necesidad'!AR720,2)</f>
        <v>28591.69</v>
      </c>
      <c r="N404" s="197">
        <f>ROUND('[7]10.Energ_productos_Necesidad'!AS720,2)</f>
        <v>30325.84</v>
      </c>
      <c r="O404" s="197">
        <f>ROUND('[7]10.Energ_productos_Necesidad'!AT720,2)</f>
        <v>31737.15</v>
      </c>
      <c r="P404" s="197">
        <f>ROUND('[7]10.Energ_productos_Necesidad'!AU720,2)</f>
        <v>32524.48</v>
      </c>
      <c r="Q404" s="197">
        <f>ROUND('[7]10.Energ_productos_Necesidad'!AV720,2)</f>
        <v>32241.98</v>
      </c>
      <c r="R404" s="197">
        <f>ROUND('[7]10.Energ_productos_Necesidad'!AW720,2)</f>
        <v>31543.33</v>
      </c>
      <c r="S404" s="197">
        <f>ROUND('[7]10.Energ_productos_Necesidad'!AX720,2)</f>
        <v>31876.240000000002</v>
      </c>
      <c r="T404" s="197">
        <f>ROUND('[7]10.Energ_productos_Necesidad'!AY720,2)</f>
        <v>32228.639999999999</v>
      </c>
      <c r="U404" s="197">
        <f>ROUND('[7]10.Energ_productos_Necesidad'!AZ720,2)</f>
        <v>32454.01</v>
      </c>
      <c r="V404" s="197">
        <f>ROUND('[7]10.Energ_productos_Necesidad'!BA720,2)</f>
        <v>35219.040000000001</v>
      </c>
      <c r="W404" s="197">
        <f>ROUND('[7]10.Energ_productos_Necesidad'!BB720,2)</f>
        <v>39220.559999999998</v>
      </c>
      <c r="X404" s="197">
        <f>ROUND('[7]10.Energ_productos_Necesidad'!BC720,2)</f>
        <v>39443.18</v>
      </c>
      <c r="Y404" s="197">
        <f>ROUND('[7]10.Energ_productos_Necesidad'!BD720,2)</f>
        <v>38292.39</v>
      </c>
      <c r="Z404" s="197">
        <f>ROUND('[7]10.Energ_productos_Necesidad'!BE720,2)</f>
        <v>36783.120000000003</v>
      </c>
      <c r="AA404" s="197">
        <f>ROUND('[7]10.Energ_productos_Necesidad'!BF720,2)</f>
        <v>34822.81</v>
      </c>
      <c r="AB404" s="197">
        <f>ROUND('[7]10.Energ_productos_Necesidad'!BG720,2)</f>
        <v>32633.119999999999</v>
      </c>
      <c r="AC404" s="210"/>
      <c r="AD404" s="185"/>
      <c r="AE404" s="185"/>
      <c r="AF404" s="185"/>
      <c r="AG404" s="185"/>
      <c r="AH404" s="185"/>
      <c r="AI404" s="185"/>
      <c r="AJ404" s="185"/>
      <c r="AK404" s="185"/>
      <c r="AL404" s="185"/>
      <c r="AM404" s="185"/>
      <c r="AN404" s="185"/>
      <c r="AO404" s="185"/>
      <c r="AP404" s="185"/>
      <c r="AQ404" s="185"/>
      <c r="AR404" s="185"/>
      <c r="AS404" s="185"/>
      <c r="AT404" s="185"/>
      <c r="AU404" s="185"/>
      <c r="AV404" s="185"/>
      <c r="AW404" s="185"/>
      <c r="AX404" s="185"/>
    </row>
    <row r="405" spans="2:50" s="186" customFormat="1" ht="18.649999999999999" customHeight="1" x14ac:dyDescent="0.35">
      <c r="B405" s="267"/>
      <c r="C405" s="9" t="s">
        <v>31</v>
      </c>
      <c r="D405" s="10">
        <v>4</v>
      </c>
      <c r="E405" s="197">
        <f>ROUND('[7]10.Energ_productos_Necesidad'!AJ721,2)</f>
        <v>28396.06</v>
      </c>
      <c r="F405" s="197">
        <f>ROUND('[7]10.Energ_productos_Necesidad'!AK721,2)</f>
        <v>26909.02</v>
      </c>
      <c r="G405" s="197">
        <f>ROUND('[7]10.Energ_productos_Necesidad'!AL721,2)</f>
        <v>25701.16</v>
      </c>
      <c r="H405" s="197">
        <f>ROUND('[7]10.Energ_productos_Necesidad'!AM721,2)</f>
        <v>24812.78</v>
      </c>
      <c r="I405" s="197">
        <f>ROUND('[7]10.Energ_productos_Necesidad'!AN721,2)</f>
        <v>24381.52</v>
      </c>
      <c r="J405" s="197">
        <f>ROUND('[7]10.Energ_productos_Necesidad'!AO721,2)</f>
        <v>24216.99</v>
      </c>
      <c r="K405" s="197">
        <f>ROUND('[7]10.Energ_productos_Necesidad'!AP721,2)</f>
        <v>22759.89</v>
      </c>
      <c r="L405" s="197">
        <f>ROUND('[7]10.Energ_productos_Necesidad'!AQ721,2)</f>
        <v>23627.99</v>
      </c>
      <c r="M405" s="197">
        <f>ROUND('[7]10.Energ_productos_Necesidad'!AR721,2)</f>
        <v>24725.31</v>
      </c>
      <c r="N405" s="197">
        <f>ROUND('[7]10.Energ_productos_Necesidad'!AS721,2)</f>
        <v>25703.77</v>
      </c>
      <c r="O405" s="197">
        <f>ROUND('[7]10.Energ_productos_Necesidad'!AT721,2)</f>
        <v>26788.84</v>
      </c>
      <c r="P405" s="197">
        <f>ROUND('[7]10.Energ_productos_Necesidad'!AU721,2)</f>
        <v>27766.69</v>
      </c>
      <c r="Q405" s="197">
        <f>ROUND('[7]10.Energ_productos_Necesidad'!AV721,2)</f>
        <v>28502.63</v>
      </c>
      <c r="R405" s="197">
        <f>ROUND('[7]10.Energ_productos_Necesidad'!AW721,2)</f>
        <v>28679.439999999999</v>
      </c>
      <c r="S405" s="197">
        <f>ROUND('[7]10.Energ_productos_Necesidad'!AX721,2)</f>
        <v>28837.08</v>
      </c>
      <c r="T405" s="197">
        <f>ROUND('[7]10.Energ_productos_Necesidad'!AY721,2)</f>
        <v>29176.6</v>
      </c>
      <c r="U405" s="197">
        <f>ROUND('[7]10.Energ_productos_Necesidad'!AZ721,2)</f>
        <v>29743.62</v>
      </c>
      <c r="V405" s="197">
        <f>ROUND('[7]10.Energ_productos_Necesidad'!BA721,2)</f>
        <v>32628.61</v>
      </c>
      <c r="W405" s="197">
        <f>ROUND('[7]10.Energ_productos_Necesidad'!BB721,2)</f>
        <v>36987.620000000003</v>
      </c>
      <c r="X405" s="197">
        <f>ROUND('[7]10.Energ_productos_Necesidad'!BC721,2)</f>
        <v>37987.75</v>
      </c>
      <c r="Y405" s="197">
        <f>ROUND('[7]10.Energ_productos_Necesidad'!BD721,2)</f>
        <v>37606.269999999997</v>
      </c>
      <c r="Z405" s="197">
        <f>ROUND('[7]10.Energ_productos_Necesidad'!BE721,2)</f>
        <v>36514.449999999997</v>
      </c>
      <c r="AA405" s="197">
        <f>ROUND('[7]10.Energ_productos_Necesidad'!BF721,2)</f>
        <v>34250.67</v>
      </c>
      <c r="AB405" s="197">
        <f>ROUND('[7]10.Energ_productos_Necesidad'!BG721,2)</f>
        <v>31648.91</v>
      </c>
      <c r="AC405" s="210"/>
      <c r="AD405" s="185"/>
      <c r="AE405" s="185"/>
      <c r="AF405" s="185"/>
      <c r="AG405" s="185"/>
      <c r="AH405" s="185"/>
      <c r="AI405" s="185"/>
      <c r="AJ405" s="185"/>
      <c r="AK405" s="185"/>
      <c r="AL405" s="185"/>
      <c r="AM405" s="185"/>
      <c r="AN405" s="185"/>
      <c r="AO405" s="185"/>
      <c r="AP405" s="185"/>
      <c r="AQ405" s="185"/>
      <c r="AR405" s="185"/>
      <c r="AS405" s="185"/>
      <c r="AT405" s="185"/>
      <c r="AU405" s="185"/>
      <c r="AV405" s="185"/>
      <c r="AW405" s="185"/>
      <c r="AX405" s="185"/>
    </row>
    <row r="406" spans="2:50" s="186" customFormat="1" ht="18.649999999999999" customHeight="1" thickBot="1" x14ac:dyDescent="0.4">
      <c r="B406" s="268"/>
      <c r="C406" s="15" t="s">
        <v>32</v>
      </c>
      <c r="D406" s="16">
        <v>2</v>
      </c>
      <c r="E406" s="198">
        <f>ROUND('[7]10.Energ_productos_Necesidad'!AJ722,2)</f>
        <v>28396.06</v>
      </c>
      <c r="F406" s="198">
        <f>ROUND('[7]10.Energ_productos_Necesidad'!AK722,2)</f>
        <v>26909.02</v>
      </c>
      <c r="G406" s="198">
        <f>ROUND('[7]10.Energ_productos_Necesidad'!AL722,2)</f>
        <v>25701.16</v>
      </c>
      <c r="H406" s="198">
        <f>ROUND('[7]10.Energ_productos_Necesidad'!AM722,2)</f>
        <v>24812.78</v>
      </c>
      <c r="I406" s="198">
        <f>ROUND('[7]10.Energ_productos_Necesidad'!AN722,2)</f>
        <v>24381.52</v>
      </c>
      <c r="J406" s="198">
        <f>ROUND('[7]10.Energ_productos_Necesidad'!AO722,2)</f>
        <v>24216.99</v>
      </c>
      <c r="K406" s="198">
        <f>ROUND('[7]10.Energ_productos_Necesidad'!AP722,2)</f>
        <v>22759.89</v>
      </c>
      <c r="L406" s="198">
        <f>ROUND('[7]10.Energ_productos_Necesidad'!AQ722,2)</f>
        <v>23627.99</v>
      </c>
      <c r="M406" s="198">
        <f>ROUND('[7]10.Energ_productos_Necesidad'!AR722,2)</f>
        <v>24725.31</v>
      </c>
      <c r="N406" s="198">
        <f>ROUND('[7]10.Energ_productos_Necesidad'!AS722,2)</f>
        <v>25703.77</v>
      </c>
      <c r="O406" s="198">
        <f>ROUND('[7]10.Energ_productos_Necesidad'!AT722,2)</f>
        <v>26788.84</v>
      </c>
      <c r="P406" s="198">
        <f>ROUND('[7]10.Energ_productos_Necesidad'!AU722,2)</f>
        <v>27766.69</v>
      </c>
      <c r="Q406" s="198">
        <f>ROUND('[7]10.Energ_productos_Necesidad'!AV722,2)</f>
        <v>28502.63</v>
      </c>
      <c r="R406" s="198">
        <f>ROUND('[7]10.Energ_productos_Necesidad'!AW722,2)</f>
        <v>28679.439999999999</v>
      </c>
      <c r="S406" s="198">
        <f>ROUND('[7]10.Energ_productos_Necesidad'!AX722,2)</f>
        <v>28837.08</v>
      </c>
      <c r="T406" s="198">
        <f>ROUND('[7]10.Energ_productos_Necesidad'!AY722,2)</f>
        <v>29176.6</v>
      </c>
      <c r="U406" s="198">
        <f>ROUND('[7]10.Energ_productos_Necesidad'!AZ722,2)</f>
        <v>29743.62</v>
      </c>
      <c r="V406" s="198">
        <f>ROUND('[7]10.Energ_productos_Necesidad'!BA722,2)</f>
        <v>32628.61</v>
      </c>
      <c r="W406" s="198">
        <f>ROUND('[7]10.Energ_productos_Necesidad'!BB722,2)</f>
        <v>36987.620000000003</v>
      </c>
      <c r="X406" s="198">
        <f>ROUND('[7]10.Energ_productos_Necesidad'!BC722,2)</f>
        <v>37987.75</v>
      </c>
      <c r="Y406" s="198">
        <f>ROUND('[7]10.Energ_productos_Necesidad'!BD722,2)</f>
        <v>37606.269999999997</v>
      </c>
      <c r="Z406" s="198">
        <f>ROUND('[7]10.Energ_productos_Necesidad'!BE722,2)</f>
        <v>36514.449999999997</v>
      </c>
      <c r="AA406" s="198">
        <f>ROUND('[7]10.Energ_productos_Necesidad'!BF722,2)</f>
        <v>34250.67</v>
      </c>
      <c r="AB406" s="198">
        <f>ROUND('[7]10.Energ_productos_Necesidad'!BG722,2)</f>
        <v>31648.91</v>
      </c>
      <c r="AC406" s="210"/>
      <c r="AD406" s="53">
        <f>+AC403</f>
        <v>23829653.98</v>
      </c>
      <c r="AE406" s="185"/>
      <c r="AF406" s="185"/>
      <c r="AG406" s="185"/>
      <c r="AH406" s="185"/>
      <c r="AI406" s="185"/>
      <c r="AJ406" s="185"/>
      <c r="AK406" s="185"/>
      <c r="AL406" s="185"/>
      <c r="AM406" s="185"/>
      <c r="AN406" s="185"/>
      <c r="AO406" s="185"/>
      <c r="AP406" s="185"/>
      <c r="AQ406" s="185"/>
      <c r="AR406" s="185"/>
      <c r="AS406" s="185"/>
      <c r="AT406" s="185"/>
      <c r="AU406" s="185"/>
      <c r="AV406" s="185"/>
      <c r="AW406" s="185"/>
      <c r="AX406" s="185"/>
    </row>
    <row r="407" spans="2:50" s="186" customFormat="1" ht="18.649999999999999" customHeight="1" x14ac:dyDescent="0.35">
      <c r="B407" s="207">
        <v>51167</v>
      </c>
      <c r="C407" s="6" t="s">
        <v>29</v>
      </c>
      <c r="D407" s="7">
        <v>21</v>
      </c>
      <c r="E407" s="196">
        <f>ROUND('[7]10.Energ_productos_Necesidad'!AJ723,2)</f>
        <v>29041</v>
      </c>
      <c r="F407" s="196">
        <f>ROUND('[7]10.Energ_productos_Necesidad'!AK723,2)</f>
        <v>27542.51</v>
      </c>
      <c r="G407" s="196">
        <f>ROUND('[7]10.Energ_productos_Necesidad'!AL723,2)</f>
        <v>26320.62</v>
      </c>
      <c r="H407" s="196">
        <f>ROUND('[7]10.Energ_productos_Necesidad'!AM723,2)</f>
        <v>25432.46</v>
      </c>
      <c r="I407" s="196">
        <f>ROUND('[7]10.Energ_productos_Necesidad'!AN723,2)</f>
        <v>25382.34</v>
      </c>
      <c r="J407" s="196">
        <f>ROUND('[7]10.Energ_productos_Necesidad'!AO723,2)</f>
        <v>26977.58</v>
      </c>
      <c r="K407" s="196">
        <f>ROUND('[7]10.Energ_productos_Necesidad'!AP723,2)</f>
        <v>26644.57</v>
      </c>
      <c r="L407" s="196">
        <f>ROUND('[7]10.Energ_productos_Necesidad'!AQ723,2)</f>
        <v>29239.46</v>
      </c>
      <c r="M407" s="196">
        <f>ROUND('[7]10.Energ_productos_Necesidad'!AR723,2)</f>
        <v>31482.82</v>
      </c>
      <c r="N407" s="196">
        <f>ROUND('[7]10.Energ_productos_Necesidad'!AS723,2)</f>
        <v>32488.12</v>
      </c>
      <c r="O407" s="196">
        <f>ROUND('[7]10.Energ_productos_Necesidad'!AT723,2)</f>
        <v>33991.620000000003</v>
      </c>
      <c r="P407" s="196">
        <f>ROUND('[7]10.Energ_productos_Necesidad'!AU723,2)</f>
        <v>35295.85</v>
      </c>
      <c r="Q407" s="196">
        <f>ROUND('[7]10.Energ_productos_Necesidad'!AV723,2)</f>
        <v>34026</v>
      </c>
      <c r="R407" s="196">
        <f>ROUND('[7]10.Energ_productos_Necesidad'!AW723,2)</f>
        <v>35570.22</v>
      </c>
      <c r="S407" s="196">
        <f>ROUND('[7]10.Energ_productos_Necesidad'!AX723,2)</f>
        <v>37903.47</v>
      </c>
      <c r="T407" s="196">
        <f>ROUND('[7]10.Energ_productos_Necesidad'!AY723,2)</f>
        <v>38496.18</v>
      </c>
      <c r="U407" s="196">
        <f>ROUND('[7]10.Energ_productos_Necesidad'!AZ723,2)</f>
        <v>38434.699999999997</v>
      </c>
      <c r="V407" s="196">
        <f>ROUND('[7]10.Energ_productos_Necesidad'!BA723,2)</f>
        <v>39309.050000000003</v>
      </c>
      <c r="W407" s="196">
        <f>ROUND('[7]10.Energ_productos_Necesidad'!BB723,2)</f>
        <v>41864.400000000001</v>
      </c>
      <c r="X407" s="196">
        <f>ROUND('[7]10.Energ_productos_Necesidad'!BC723,2)</f>
        <v>42554.6</v>
      </c>
      <c r="Y407" s="196">
        <f>ROUND('[7]10.Energ_productos_Necesidad'!BD723,2)</f>
        <v>41713.370000000003</v>
      </c>
      <c r="Z407" s="196">
        <f>ROUND('[7]10.Energ_productos_Necesidad'!BE723,2)</f>
        <v>39920.43</v>
      </c>
      <c r="AA407" s="196">
        <f>ROUND('[7]10.Energ_productos_Necesidad'!BF723,2)</f>
        <v>36817.839999999997</v>
      </c>
      <c r="AB407" s="196">
        <f>ROUND('[7]10.Energ_productos_Necesidad'!BG723,2)</f>
        <v>33751.68</v>
      </c>
      <c r="AC407" s="209">
        <f>SUM(E407:AB407)*D407+SUM(E408:AB408)*D408+SUM(E409:AB409)*D409+SUM(E410:AB410)*D410</f>
        <v>22954839.73</v>
      </c>
      <c r="AD407" s="148">
        <f>+AC407</f>
        <v>22954839.73</v>
      </c>
    </row>
    <row r="408" spans="2:50" s="186" customFormat="1" ht="18.649999999999999" customHeight="1" x14ac:dyDescent="0.35">
      <c r="B408" s="267"/>
      <c r="C408" s="9" t="s">
        <v>30</v>
      </c>
      <c r="D408" s="10">
        <v>4</v>
      </c>
      <c r="E408" s="197">
        <f>ROUND('[7]10.Energ_productos_Necesidad'!AJ724,2)</f>
        <v>29471</v>
      </c>
      <c r="F408" s="197">
        <f>ROUND('[7]10.Energ_productos_Necesidad'!AK724,2)</f>
        <v>27772.42</v>
      </c>
      <c r="G408" s="197">
        <f>ROUND('[7]10.Energ_productos_Necesidad'!AL724,2)</f>
        <v>26672.46</v>
      </c>
      <c r="H408" s="197">
        <f>ROUND('[7]10.Energ_productos_Necesidad'!AM724,2)</f>
        <v>25602.83</v>
      </c>
      <c r="I408" s="197">
        <f>ROUND('[7]10.Energ_productos_Necesidad'!AN724,2)</f>
        <v>25255.46</v>
      </c>
      <c r="J408" s="197">
        <f>ROUND('[7]10.Energ_productos_Necesidad'!AO724,2)</f>
        <v>25538.74</v>
      </c>
      <c r="K408" s="197">
        <f>ROUND('[7]10.Energ_productos_Necesidad'!AP724,2)</f>
        <v>25022.63</v>
      </c>
      <c r="L408" s="197">
        <f>ROUND('[7]10.Energ_productos_Necesidad'!AQ724,2)</f>
        <v>27313.39</v>
      </c>
      <c r="M408" s="197">
        <f>ROUND('[7]10.Energ_productos_Necesidad'!AR724,2)</f>
        <v>29556.94</v>
      </c>
      <c r="N408" s="197">
        <f>ROUND('[7]10.Energ_productos_Necesidad'!AS724,2)</f>
        <v>30864.84</v>
      </c>
      <c r="O408" s="197">
        <f>ROUND('[7]10.Energ_productos_Necesidad'!AT724,2)</f>
        <v>32255.9</v>
      </c>
      <c r="P408" s="197">
        <f>ROUND('[7]10.Energ_productos_Necesidad'!AU724,2)</f>
        <v>32968.51</v>
      </c>
      <c r="Q408" s="197">
        <f>ROUND('[7]10.Energ_productos_Necesidad'!AV724,2)</f>
        <v>32373.77</v>
      </c>
      <c r="R408" s="197">
        <f>ROUND('[7]10.Energ_productos_Necesidad'!AW724,2)</f>
        <v>32094.07</v>
      </c>
      <c r="S408" s="197">
        <f>ROUND('[7]10.Energ_productos_Necesidad'!AX724,2)</f>
        <v>32432.36</v>
      </c>
      <c r="T408" s="197">
        <f>ROUND('[7]10.Energ_productos_Necesidad'!AY724,2)</f>
        <v>32810.21</v>
      </c>
      <c r="U408" s="197">
        <f>ROUND('[7]10.Energ_productos_Necesidad'!AZ724,2)</f>
        <v>33124.83</v>
      </c>
      <c r="V408" s="197">
        <f>ROUND('[7]10.Energ_productos_Necesidad'!BA724,2)</f>
        <v>35582.36</v>
      </c>
      <c r="W408" s="197">
        <f>ROUND('[7]10.Energ_productos_Necesidad'!BB724,2)</f>
        <v>39482.639999999999</v>
      </c>
      <c r="X408" s="197">
        <f>ROUND('[7]10.Energ_productos_Necesidad'!BC724,2)</f>
        <v>40085.17</v>
      </c>
      <c r="Y408" s="197">
        <f>ROUND('[7]10.Energ_productos_Necesidad'!BD724,2)</f>
        <v>39178.07</v>
      </c>
      <c r="Z408" s="197">
        <f>ROUND('[7]10.Energ_productos_Necesidad'!BE724,2)</f>
        <v>37725.32</v>
      </c>
      <c r="AA408" s="197">
        <f>ROUND('[7]10.Energ_productos_Necesidad'!BF724,2)</f>
        <v>35802.89</v>
      </c>
      <c r="AB408" s="197">
        <f>ROUND('[7]10.Energ_productos_Necesidad'!BG724,2)</f>
        <v>33509.33</v>
      </c>
      <c r="AC408" s="210"/>
      <c r="AD408" s="148">
        <f>+AC411</f>
        <v>23919617.969999999</v>
      </c>
    </row>
    <row r="409" spans="2:50" s="186" customFormat="1" ht="18.649999999999999" customHeight="1" x14ac:dyDescent="0.35">
      <c r="B409" s="267"/>
      <c r="C409" s="9" t="s">
        <v>31</v>
      </c>
      <c r="D409" s="10">
        <v>4</v>
      </c>
      <c r="E409" s="197">
        <f>ROUND('[7]10.Energ_productos_Necesidad'!AJ725,2)</f>
        <v>29372.93</v>
      </c>
      <c r="F409" s="197">
        <f>ROUND('[7]10.Energ_productos_Necesidad'!AK725,2)</f>
        <v>27870.78</v>
      </c>
      <c r="G409" s="197">
        <f>ROUND('[7]10.Energ_productos_Necesidad'!AL725,2)</f>
        <v>26656.77</v>
      </c>
      <c r="H409" s="197">
        <f>ROUND('[7]10.Energ_productos_Necesidad'!AM725,2)</f>
        <v>25757.07</v>
      </c>
      <c r="I409" s="197">
        <f>ROUND('[7]10.Energ_productos_Necesidad'!AN725,2)</f>
        <v>25276.41</v>
      </c>
      <c r="J409" s="197">
        <f>ROUND('[7]10.Energ_productos_Necesidad'!AO725,2)</f>
        <v>25224.43</v>
      </c>
      <c r="K409" s="197">
        <f>ROUND('[7]10.Energ_productos_Necesidad'!AP725,2)</f>
        <v>23764.73</v>
      </c>
      <c r="L409" s="197">
        <f>ROUND('[7]10.Energ_productos_Necesidad'!AQ725,2)</f>
        <v>24703.59</v>
      </c>
      <c r="M409" s="197">
        <f>ROUND('[7]10.Energ_productos_Necesidad'!AR725,2)</f>
        <v>25663.82</v>
      </c>
      <c r="N409" s="197">
        <f>ROUND('[7]10.Energ_productos_Necesidad'!AS725,2)</f>
        <v>26384.21</v>
      </c>
      <c r="O409" s="197">
        <f>ROUND('[7]10.Energ_productos_Necesidad'!AT725,2)</f>
        <v>27337.47</v>
      </c>
      <c r="P409" s="197">
        <f>ROUND('[7]10.Energ_productos_Necesidad'!AU725,2)</f>
        <v>28386.6</v>
      </c>
      <c r="Q409" s="197">
        <f>ROUND('[7]10.Energ_productos_Necesidad'!AV725,2)</f>
        <v>29136.58</v>
      </c>
      <c r="R409" s="197">
        <f>ROUND('[7]10.Energ_productos_Necesidad'!AW725,2)</f>
        <v>29509.74</v>
      </c>
      <c r="S409" s="197">
        <f>ROUND('[7]10.Energ_productos_Necesidad'!AX725,2)</f>
        <v>30013.22</v>
      </c>
      <c r="T409" s="197">
        <f>ROUND('[7]10.Energ_productos_Necesidad'!AY725,2)</f>
        <v>30523.01</v>
      </c>
      <c r="U409" s="197">
        <f>ROUND('[7]10.Energ_productos_Necesidad'!AZ725,2)</f>
        <v>30948.03</v>
      </c>
      <c r="V409" s="197">
        <f>ROUND('[7]10.Energ_productos_Necesidad'!BA725,2)</f>
        <v>33189.449999999997</v>
      </c>
      <c r="W409" s="197">
        <f>ROUND('[7]10.Energ_productos_Necesidad'!BB725,2)</f>
        <v>37688.75</v>
      </c>
      <c r="X409" s="197">
        <f>ROUND('[7]10.Energ_productos_Necesidad'!BC725,2)</f>
        <v>39313.97</v>
      </c>
      <c r="Y409" s="197">
        <f>ROUND('[7]10.Energ_productos_Necesidad'!BD725,2)</f>
        <v>39377.440000000002</v>
      </c>
      <c r="Z409" s="197">
        <f>ROUND('[7]10.Energ_productos_Necesidad'!BE725,2)</f>
        <v>38523.42</v>
      </c>
      <c r="AA409" s="197">
        <f>ROUND('[7]10.Energ_productos_Necesidad'!BF725,2)</f>
        <v>35392.79</v>
      </c>
      <c r="AB409" s="197">
        <f>ROUND('[7]10.Energ_productos_Necesidad'!BG725,2)</f>
        <v>32643.91</v>
      </c>
      <c r="AC409" s="210"/>
      <c r="AD409" s="148">
        <f>+AC415</f>
        <v>22539141.190000001</v>
      </c>
    </row>
    <row r="410" spans="2:50" s="186" customFormat="1" ht="18.649999999999999" customHeight="1" thickBot="1" x14ac:dyDescent="0.4">
      <c r="B410" s="268"/>
      <c r="C410" s="11" t="s">
        <v>32</v>
      </c>
      <c r="D410" s="12">
        <v>0</v>
      </c>
      <c r="E410" s="199">
        <f>ROUND('[7]10.Energ_productos_Necesidad'!AJ726,2)</f>
        <v>0</v>
      </c>
      <c r="F410" s="199">
        <f>ROUND('[7]10.Energ_productos_Necesidad'!AK726,2)</f>
        <v>0</v>
      </c>
      <c r="G410" s="199">
        <f>ROUND('[7]10.Energ_productos_Necesidad'!AL726,2)</f>
        <v>0</v>
      </c>
      <c r="H410" s="199">
        <f>ROUND('[7]10.Energ_productos_Necesidad'!AM726,2)</f>
        <v>0</v>
      </c>
      <c r="I410" s="199">
        <f>ROUND('[7]10.Energ_productos_Necesidad'!AN726,2)</f>
        <v>0</v>
      </c>
      <c r="J410" s="199">
        <f>ROUND('[7]10.Energ_productos_Necesidad'!AO726,2)</f>
        <v>0</v>
      </c>
      <c r="K410" s="199">
        <f>ROUND('[7]10.Energ_productos_Necesidad'!AP726,2)</f>
        <v>0</v>
      </c>
      <c r="L410" s="199">
        <f>ROUND('[7]10.Energ_productos_Necesidad'!AQ726,2)</f>
        <v>0</v>
      </c>
      <c r="M410" s="199">
        <f>ROUND('[7]10.Energ_productos_Necesidad'!AR726,2)</f>
        <v>0</v>
      </c>
      <c r="N410" s="199">
        <f>ROUND('[7]10.Energ_productos_Necesidad'!AS726,2)</f>
        <v>0</v>
      </c>
      <c r="O410" s="199">
        <f>ROUND('[7]10.Energ_productos_Necesidad'!AT726,2)</f>
        <v>0</v>
      </c>
      <c r="P410" s="199">
        <f>ROUND('[7]10.Energ_productos_Necesidad'!AU726,2)</f>
        <v>0</v>
      </c>
      <c r="Q410" s="199">
        <f>ROUND('[7]10.Energ_productos_Necesidad'!AV726,2)</f>
        <v>0</v>
      </c>
      <c r="R410" s="199">
        <f>ROUND('[7]10.Energ_productos_Necesidad'!AW726,2)</f>
        <v>0</v>
      </c>
      <c r="S410" s="199">
        <f>ROUND('[7]10.Energ_productos_Necesidad'!AX726,2)</f>
        <v>0</v>
      </c>
      <c r="T410" s="199">
        <f>ROUND('[7]10.Energ_productos_Necesidad'!AY726,2)</f>
        <v>0</v>
      </c>
      <c r="U410" s="199">
        <f>ROUND('[7]10.Energ_productos_Necesidad'!AZ726,2)</f>
        <v>0</v>
      </c>
      <c r="V410" s="199">
        <f>ROUND('[7]10.Energ_productos_Necesidad'!BA726,2)</f>
        <v>0</v>
      </c>
      <c r="W410" s="199">
        <f>ROUND('[7]10.Energ_productos_Necesidad'!BB726,2)</f>
        <v>0</v>
      </c>
      <c r="X410" s="199">
        <f>ROUND('[7]10.Energ_productos_Necesidad'!BC726,2)</f>
        <v>0</v>
      </c>
      <c r="Y410" s="199">
        <f>ROUND('[7]10.Energ_productos_Necesidad'!BD726,2)</f>
        <v>0</v>
      </c>
      <c r="Z410" s="199">
        <f>ROUND('[7]10.Energ_productos_Necesidad'!BE726,2)</f>
        <v>0</v>
      </c>
      <c r="AA410" s="199">
        <f>ROUND('[7]10.Energ_productos_Necesidad'!BF726,2)</f>
        <v>0</v>
      </c>
      <c r="AB410" s="199">
        <f>ROUND('[7]10.Energ_productos_Necesidad'!BG726,2)</f>
        <v>0</v>
      </c>
      <c r="AC410" s="214"/>
      <c r="AD410" s="148">
        <f>+AC419</f>
        <v>23165123.899999999</v>
      </c>
    </row>
    <row r="411" spans="2:50" s="186" customFormat="1" ht="18.649999999999999" customHeight="1" x14ac:dyDescent="0.35">
      <c r="B411" s="207">
        <v>51196</v>
      </c>
      <c r="C411" s="13" t="s">
        <v>29</v>
      </c>
      <c r="D411" s="14">
        <v>19</v>
      </c>
      <c r="E411" s="200">
        <f>ROUND('[7]10.Energ_productos_Necesidad'!AJ727,2)</f>
        <v>28073.85</v>
      </c>
      <c r="F411" s="200">
        <f>ROUND('[7]10.Energ_productos_Necesidad'!AK727,2)</f>
        <v>26592.13</v>
      </c>
      <c r="G411" s="200">
        <f>ROUND('[7]10.Energ_productos_Necesidad'!AL727,2)</f>
        <v>25471.17</v>
      </c>
      <c r="H411" s="200">
        <f>ROUND('[7]10.Energ_productos_Necesidad'!AM727,2)</f>
        <v>24737.43</v>
      </c>
      <c r="I411" s="200">
        <f>ROUND('[7]10.Energ_productos_Necesidad'!AN727,2)</f>
        <v>24835.06</v>
      </c>
      <c r="J411" s="200">
        <f>ROUND('[7]10.Energ_productos_Necesidad'!AO727,2)</f>
        <v>26186.57</v>
      </c>
      <c r="K411" s="200">
        <f>ROUND('[7]10.Energ_productos_Necesidad'!AP727,2)</f>
        <v>26134.84</v>
      </c>
      <c r="L411" s="200">
        <f>ROUND('[7]10.Energ_productos_Necesidad'!AQ727,2)</f>
        <v>29029.75</v>
      </c>
      <c r="M411" s="200">
        <f>ROUND('[7]10.Energ_productos_Necesidad'!AR727,2)</f>
        <v>31319.59</v>
      </c>
      <c r="N411" s="200">
        <f>ROUND('[7]10.Energ_productos_Necesidad'!AS727,2)</f>
        <v>32411.01</v>
      </c>
      <c r="O411" s="200">
        <f>ROUND('[7]10.Energ_productos_Necesidad'!AT727,2)</f>
        <v>33899.519999999997</v>
      </c>
      <c r="P411" s="200">
        <f>ROUND('[7]10.Energ_productos_Necesidad'!AU727,2)</f>
        <v>34935.9</v>
      </c>
      <c r="Q411" s="200">
        <f>ROUND('[7]10.Energ_productos_Necesidad'!AV727,2)</f>
        <v>33182.32</v>
      </c>
      <c r="R411" s="200">
        <f>ROUND('[7]10.Energ_productos_Necesidad'!AW727,2)</f>
        <v>34504.44</v>
      </c>
      <c r="S411" s="200">
        <f>ROUND('[7]10.Energ_productos_Necesidad'!AX727,2)</f>
        <v>36726.78</v>
      </c>
      <c r="T411" s="200">
        <f>ROUND('[7]10.Energ_productos_Necesidad'!AY727,2)</f>
        <v>37419.800000000003</v>
      </c>
      <c r="U411" s="200">
        <f>ROUND('[7]10.Energ_productos_Necesidad'!AZ727,2)</f>
        <v>37594.43</v>
      </c>
      <c r="V411" s="200">
        <f>ROUND('[7]10.Energ_productos_Necesidad'!BA727,2)</f>
        <v>38702.800000000003</v>
      </c>
      <c r="W411" s="200">
        <f>ROUND('[7]10.Energ_productos_Necesidad'!BB727,2)</f>
        <v>41295.35</v>
      </c>
      <c r="X411" s="200">
        <f>ROUND('[7]10.Energ_productos_Necesidad'!BC727,2)</f>
        <v>41629.410000000003</v>
      </c>
      <c r="Y411" s="200">
        <f>ROUND('[7]10.Energ_productos_Necesidad'!BD727,2)</f>
        <v>40450.14</v>
      </c>
      <c r="Z411" s="200">
        <f>ROUND('[7]10.Energ_productos_Necesidad'!BE727,2)</f>
        <v>38485.96</v>
      </c>
      <c r="AA411" s="200">
        <f>ROUND('[7]10.Energ_productos_Necesidad'!BF727,2)</f>
        <v>35508.6</v>
      </c>
      <c r="AB411" s="200">
        <f>ROUND('[7]10.Energ_productos_Necesidad'!BG727,2)</f>
        <v>32486.23</v>
      </c>
      <c r="AC411" s="210">
        <f>SUM(E411:AB411)*D411+SUM(E412:AB412)*D412+SUM(E413:AB413)*D413+SUM(E414:AB414)*D414</f>
        <v>23919617.969999999</v>
      </c>
      <c r="AD411" s="148">
        <f>+AC423</f>
        <v>22293954.970000006</v>
      </c>
    </row>
    <row r="412" spans="2:50" s="186" customFormat="1" ht="18.649999999999999" customHeight="1" x14ac:dyDescent="0.35">
      <c r="B412" s="267"/>
      <c r="C412" s="9" t="s">
        <v>30</v>
      </c>
      <c r="D412" s="10">
        <v>5</v>
      </c>
      <c r="E412" s="197">
        <f>ROUND('[7]10.Energ_productos_Necesidad'!AJ728,2)</f>
        <v>28203.78</v>
      </c>
      <c r="F412" s="197">
        <f>ROUND('[7]10.Energ_productos_Necesidad'!AK728,2)</f>
        <v>26718.73</v>
      </c>
      <c r="G412" s="197">
        <f>ROUND('[7]10.Energ_productos_Necesidad'!AL728,2)</f>
        <v>25541.93</v>
      </c>
      <c r="H412" s="197">
        <f>ROUND('[7]10.Energ_productos_Necesidad'!AM728,2)</f>
        <v>24767.84</v>
      </c>
      <c r="I412" s="197">
        <f>ROUND('[7]10.Energ_productos_Necesidad'!AN728,2)</f>
        <v>24556.22</v>
      </c>
      <c r="J412" s="197">
        <f>ROUND('[7]10.Energ_productos_Necesidad'!AO728,2)</f>
        <v>24816.36</v>
      </c>
      <c r="K412" s="197">
        <f>ROUND('[7]10.Energ_productos_Necesidad'!AP728,2)</f>
        <v>24649.1</v>
      </c>
      <c r="L412" s="197">
        <f>ROUND('[7]10.Energ_productos_Necesidad'!AQ728,2)</f>
        <v>27275.61</v>
      </c>
      <c r="M412" s="197">
        <f>ROUND('[7]10.Energ_productos_Necesidad'!AR728,2)</f>
        <v>29824.95</v>
      </c>
      <c r="N412" s="197">
        <f>ROUND('[7]10.Energ_productos_Necesidad'!AS728,2)</f>
        <v>31264.85</v>
      </c>
      <c r="O412" s="197">
        <f>ROUND('[7]10.Energ_productos_Necesidad'!AT728,2)</f>
        <v>32665.63</v>
      </c>
      <c r="P412" s="197">
        <f>ROUND('[7]10.Energ_productos_Necesidad'!AU728,2)</f>
        <v>33555.61</v>
      </c>
      <c r="Q412" s="197">
        <f>ROUND('[7]10.Energ_productos_Necesidad'!AV728,2)</f>
        <v>32889.42</v>
      </c>
      <c r="R412" s="197">
        <f>ROUND('[7]10.Energ_productos_Necesidad'!AW728,2)</f>
        <v>32491.86</v>
      </c>
      <c r="S412" s="197">
        <f>ROUND('[7]10.Energ_productos_Necesidad'!AX728,2)</f>
        <v>32945.83</v>
      </c>
      <c r="T412" s="197">
        <f>ROUND('[7]10.Energ_productos_Necesidad'!AY728,2)</f>
        <v>33245.300000000003</v>
      </c>
      <c r="U412" s="197">
        <f>ROUND('[7]10.Energ_productos_Necesidad'!AZ728,2)</f>
        <v>33561.14</v>
      </c>
      <c r="V412" s="197">
        <f>ROUND('[7]10.Energ_productos_Necesidad'!BA728,2)</f>
        <v>35856.379999999997</v>
      </c>
      <c r="W412" s="197">
        <f>ROUND('[7]10.Energ_productos_Necesidad'!BB728,2)</f>
        <v>39772.54</v>
      </c>
      <c r="X412" s="197">
        <f>ROUND('[7]10.Energ_productos_Necesidad'!BC728,2)</f>
        <v>40342.199999999997</v>
      </c>
      <c r="Y412" s="197">
        <f>ROUND('[7]10.Energ_productos_Necesidad'!BD728,2)</f>
        <v>39277.08</v>
      </c>
      <c r="Z412" s="197">
        <f>ROUND('[7]10.Energ_productos_Necesidad'!BE728,2)</f>
        <v>37796.97</v>
      </c>
      <c r="AA412" s="197">
        <f>ROUND('[7]10.Energ_productos_Necesidad'!BF728,2)</f>
        <v>35717.660000000003</v>
      </c>
      <c r="AB412" s="197">
        <f>ROUND('[7]10.Energ_productos_Necesidad'!BG728,2)</f>
        <v>33436.65</v>
      </c>
      <c r="AC412" s="210"/>
      <c r="AD412" s="148">
        <f>+AC427</f>
        <v>22735065.329999994</v>
      </c>
    </row>
    <row r="413" spans="2:50" s="186" customFormat="1" ht="18.649999999999999" customHeight="1" x14ac:dyDescent="0.35">
      <c r="B413" s="267"/>
      <c r="C413" s="9" t="s">
        <v>31</v>
      </c>
      <c r="D413" s="10">
        <v>4</v>
      </c>
      <c r="E413" s="197">
        <f>ROUND('[7]10.Energ_productos_Necesidad'!AJ729,2)</f>
        <v>29021.54</v>
      </c>
      <c r="F413" s="197">
        <f>ROUND('[7]10.Energ_productos_Necesidad'!AK729,2)</f>
        <v>27444.13</v>
      </c>
      <c r="G413" s="197">
        <f>ROUND('[7]10.Energ_productos_Necesidad'!AL729,2)</f>
        <v>26208.2</v>
      </c>
      <c r="H413" s="197">
        <f>ROUND('[7]10.Energ_productos_Necesidad'!AM729,2)</f>
        <v>25317.17</v>
      </c>
      <c r="I413" s="197">
        <f>ROUND('[7]10.Energ_productos_Necesidad'!AN729,2)</f>
        <v>24853.69</v>
      </c>
      <c r="J413" s="197">
        <f>ROUND('[7]10.Energ_productos_Necesidad'!AO729,2)</f>
        <v>24621.27</v>
      </c>
      <c r="K413" s="197">
        <f>ROUND('[7]10.Energ_productos_Necesidad'!AP729,2)</f>
        <v>23583.22</v>
      </c>
      <c r="L413" s="197">
        <f>ROUND('[7]10.Energ_productos_Necesidad'!AQ729,2)</f>
        <v>24832.67</v>
      </c>
      <c r="M413" s="197">
        <f>ROUND('[7]10.Energ_productos_Necesidad'!AR729,2)</f>
        <v>26109.81</v>
      </c>
      <c r="N413" s="197">
        <f>ROUND('[7]10.Energ_productos_Necesidad'!AS729,2)</f>
        <v>27063.3</v>
      </c>
      <c r="O413" s="197">
        <f>ROUND('[7]10.Energ_productos_Necesidad'!AT729,2)</f>
        <v>28038.880000000001</v>
      </c>
      <c r="P413" s="197">
        <f>ROUND('[7]10.Energ_productos_Necesidad'!AU729,2)</f>
        <v>29011.439999999999</v>
      </c>
      <c r="Q413" s="197">
        <f>ROUND('[7]10.Energ_productos_Necesidad'!AV729,2)</f>
        <v>29687.360000000001</v>
      </c>
      <c r="R413" s="197">
        <f>ROUND('[7]10.Energ_productos_Necesidad'!AW729,2)</f>
        <v>29893.3</v>
      </c>
      <c r="S413" s="197">
        <f>ROUND('[7]10.Energ_productos_Necesidad'!AX729,2)</f>
        <v>30185.08</v>
      </c>
      <c r="T413" s="197">
        <f>ROUND('[7]10.Energ_productos_Necesidad'!AY729,2)</f>
        <v>30796.799999999999</v>
      </c>
      <c r="U413" s="197">
        <f>ROUND('[7]10.Energ_productos_Necesidad'!AZ729,2)</f>
        <v>31217.32</v>
      </c>
      <c r="V413" s="197">
        <f>ROUND('[7]10.Energ_productos_Necesidad'!BA729,2)</f>
        <v>33818.839999999997</v>
      </c>
      <c r="W413" s="197">
        <f>ROUND('[7]10.Energ_productos_Necesidad'!BB729,2)</f>
        <v>37945.269999999997</v>
      </c>
      <c r="X413" s="197">
        <f>ROUND('[7]10.Energ_productos_Necesidad'!BC729,2)</f>
        <v>39262.44</v>
      </c>
      <c r="Y413" s="197">
        <f>ROUND('[7]10.Energ_productos_Necesidad'!BD729,2)</f>
        <v>39182.559999999998</v>
      </c>
      <c r="Z413" s="197">
        <f>ROUND('[7]10.Energ_productos_Necesidad'!BE729,2)</f>
        <v>38100.74</v>
      </c>
      <c r="AA413" s="197">
        <f>ROUND('[7]10.Energ_productos_Necesidad'!BF729,2)</f>
        <v>35676.19</v>
      </c>
      <c r="AB413" s="197">
        <f>ROUND('[7]10.Energ_productos_Necesidad'!BG729,2)</f>
        <v>32857.53</v>
      </c>
      <c r="AC413" s="210"/>
      <c r="AD413" s="148">
        <f>+AC431</f>
        <v>22807847.879999995</v>
      </c>
    </row>
    <row r="414" spans="2:50" s="186" customFormat="1" ht="18.649999999999999" customHeight="1" thickBot="1" x14ac:dyDescent="0.4">
      <c r="B414" s="268"/>
      <c r="C414" s="15" t="s">
        <v>32</v>
      </c>
      <c r="D414" s="16">
        <v>3</v>
      </c>
      <c r="E414" s="198">
        <f>ROUND('[7]10.Energ_productos_Necesidad'!AJ730,2)</f>
        <v>29021.54</v>
      </c>
      <c r="F414" s="198">
        <f>ROUND('[7]10.Energ_productos_Necesidad'!AK730,2)</f>
        <v>27444.13</v>
      </c>
      <c r="G414" s="198">
        <f>ROUND('[7]10.Energ_productos_Necesidad'!AL730,2)</f>
        <v>26208.2</v>
      </c>
      <c r="H414" s="198">
        <f>ROUND('[7]10.Energ_productos_Necesidad'!AM730,2)</f>
        <v>25317.17</v>
      </c>
      <c r="I414" s="198">
        <f>ROUND('[7]10.Energ_productos_Necesidad'!AN730,2)</f>
        <v>24853.69</v>
      </c>
      <c r="J414" s="198">
        <f>ROUND('[7]10.Energ_productos_Necesidad'!AO730,2)</f>
        <v>24621.27</v>
      </c>
      <c r="K414" s="198">
        <f>ROUND('[7]10.Energ_productos_Necesidad'!AP730,2)</f>
        <v>23583.22</v>
      </c>
      <c r="L414" s="198">
        <f>ROUND('[7]10.Energ_productos_Necesidad'!AQ730,2)</f>
        <v>24832.67</v>
      </c>
      <c r="M414" s="198">
        <f>ROUND('[7]10.Energ_productos_Necesidad'!AR730,2)</f>
        <v>26109.81</v>
      </c>
      <c r="N414" s="198">
        <f>ROUND('[7]10.Energ_productos_Necesidad'!AS730,2)</f>
        <v>27063.3</v>
      </c>
      <c r="O414" s="198">
        <f>ROUND('[7]10.Energ_productos_Necesidad'!AT730,2)</f>
        <v>28038.880000000001</v>
      </c>
      <c r="P414" s="198">
        <f>ROUND('[7]10.Energ_productos_Necesidad'!AU730,2)</f>
        <v>29011.439999999999</v>
      </c>
      <c r="Q414" s="198">
        <f>ROUND('[7]10.Energ_productos_Necesidad'!AV730,2)</f>
        <v>29687.360000000001</v>
      </c>
      <c r="R414" s="198">
        <f>ROUND('[7]10.Energ_productos_Necesidad'!AW730,2)</f>
        <v>29893.3</v>
      </c>
      <c r="S414" s="198">
        <f>ROUND('[7]10.Energ_productos_Necesidad'!AX730,2)</f>
        <v>30185.08</v>
      </c>
      <c r="T414" s="198">
        <f>ROUND('[7]10.Energ_productos_Necesidad'!AY730,2)</f>
        <v>30796.799999999999</v>
      </c>
      <c r="U414" s="198">
        <f>ROUND('[7]10.Energ_productos_Necesidad'!AZ730,2)</f>
        <v>31217.32</v>
      </c>
      <c r="V414" s="198">
        <f>ROUND('[7]10.Energ_productos_Necesidad'!BA730,2)</f>
        <v>33818.839999999997</v>
      </c>
      <c r="W414" s="198">
        <f>ROUND('[7]10.Energ_productos_Necesidad'!BB730,2)</f>
        <v>37945.269999999997</v>
      </c>
      <c r="X414" s="198">
        <f>ROUND('[7]10.Energ_productos_Necesidad'!BC730,2)</f>
        <v>39262.44</v>
      </c>
      <c r="Y414" s="198">
        <f>ROUND('[7]10.Energ_productos_Necesidad'!BD730,2)</f>
        <v>39182.559999999998</v>
      </c>
      <c r="Z414" s="198">
        <f>ROUND('[7]10.Energ_productos_Necesidad'!BE730,2)</f>
        <v>38100.74</v>
      </c>
      <c r="AA414" s="198">
        <f>ROUND('[7]10.Energ_productos_Necesidad'!BF730,2)</f>
        <v>35676.19</v>
      </c>
      <c r="AB414" s="198">
        <f>ROUND('[7]10.Energ_productos_Necesidad'!BG730,2)</f>
        <v>32857.53</v>
      </c>
      <c r="AC414" s="210"/>
      <c r="AD414" s="148">
        <f>+AC435</f>
        <v>21963926.950000003</v>
      </c>
    </row>
    <row r="415" spans="2:50" s="186" customFormat="1" ht="18.649999999999999" customHeight="1" x14ac:dyDescent="0.35">
      <c r="B415" s="207">
        <v>51227</v>
      </c>
      <c r="C415" s="6" t="s">
        <v>29</v>
      </c>
      <c r="D415" s="7">
        <v>21</v>
      </c>
      <c r="E415" s="196">
        <f>ROUND('[7]10.Energ_productos_Necesidad'!AJ731,2)</f>
        <v>27235.5</v>
      </c>
      <c r="F415" s="196">
        <f>ROUND('[7]10.Energ_productos_Necesidad'!AK731,2)</f>
        <v>25794.5</v>
      </c>
      <c r="G415" s="196">
        <f>ROUND('[7]10.Energ_productos_Necesidad'!AL731,2)</f>
        <v>24723.37</v>
      </c>
      <c r="H415" s="196">
        <f>ROUND('[7]10.Energ_productos_Necesidad'!AM731,2)</f>
        <v>24004.16</v>
      </c>
      <c r="I415" s="196">
        <f>ROUND('[7]10.Energ_productos_Necesidad'!AN731,2)</f>
        <v>24103.8</v>
      </c>
      <c r="J415" s="196">
        <f>ROUND('[7]10.Energ_productos_Necesidad'!AO731,2)</f>
        <v>24885.53</v>
      </c>
      <c r="K415" s="196">
        <f>ROUND('[7]10.Energ_productos_Necesidad'!AP731,2)</f>
        <v>25078.240000000002</v>
      </c>
      <c r="L415" s="196">
        <f>ROUND('[7]10.Energ_productos_Necesidad'!AQ731,2)</f>
        <v>28012.73</v>
      </c>
      <c r="M415" s="196">
        <f>ROUND('[7]10.Energ_productos_Necesidad'!AR731,2)</f>
        <v>30564.07</v>
      </c>
      <c r="N415" s="196">
        <f>ROUND('[7]10.Energ_productos_Necesidad'!AS731,2)</f>
        <v>31669.99</v>
      </c>
      <c r="O415" s="196">
        <f>ROUND('[7]10.Energ_productos_Necesidad'!AT731,2)</f>
        <v>33059.06</v>
      </c>
      <c r="P415" s="196">
        <f>ROUND('[7]10.Energ_productos_Necesidad'!AU731,2)</f>
        <v>34315.85</v>
      </c>
      <c r="Q415" s="196">
        <f>ROUND('[7]10.Energ_productos_Necesidad'!AV731,2)</f>
        <v>32835.82</v>
      </c>
      <c r="R415" s="196">
        <f>ROUND('[7]10.Energ_productos_Necesidad'!AW731,2)</f>
        <v>34005.17</v>
      </c>
      <c r="S415" s="196">
        <f>ROUND('[7]10.Energ_productos_Necesidad'!AX731,2)</f>
        <v>36177.379999999997</v>
      </c>
      <c r="T415" s="196">
        <f>ROUND('[7]10.Energ_productos_Necesidad'!AY731,2)</f>
        <v>36636.81</v>
      </c>
      <c r="U415" s="196">
        <f>ROUND('[7]10.Energ_productos_Necesidad'!AZ731,2)</f>
        <v>36570.559999999998</v>
      </c>
      <c r="V415" s="196">
        <f>ROUND('[7]10.Energ_productos_Necesidad'!BA731,2)</f>
        <v>38086.61</v>
      </c>
      <c r="W415" s="196">
        <f>ROUND('[7]10.Energ_productos_Necesidad'!BB731,2)</f>
        <v>40573.519999999997</v>
      </c>
      <c r="X415" s="196">
        <f>ROUND('[7]10.Energ_productos_Necesidad'!BC731,2)</f>
        <v>40655.120000000003</v>
      </c>
      <c r="Y415" s="196">
        <f>ROUND('[7]10.Energ_productos_Necesidad'!BD731,2)</f>
        <v>39473.129999999997</v>
      </c>
      <c r="Z415" s="196">
        <f>ROUND('[7]10.Energ_productos_Necesidad'!BE731,2)</f>
        <v>37623.78</v>
      </c>
      <c r="AA415" s="196">
        <f>ROUND('[7]10.Energ_productos_Necesidad'!BF731,2)</f>
        <v>34839.269999999997</v>
      </c>
      <c r="AB415" s="196">
        <f>ROUND('[7]10.Energ_productos_Necesidad'!BG731,2)</f>
        <v>31769.41</v>
      </c>
      <c r="AC415" s="209">
        <f>SUM(E415:AB415)*D415+SUM(E416:AB416)*D416+SUM(E417:AB417)*D417+SUM(E418:AB418)*D418</f>
        <v>22539141.190000001</v>
      </c>
      <c r="AD415" s="148">
        <f>+AC439</f>
        <v>22220390.02</v>
      </c>
    </row>
    <row r="416" spans="2:50" s="186" customFormat="1" ht="18.649999999999999" customHeight="1" x14ac:dyDescent="0.35">
      <c r="B416" s="267"/>
      <c r="C416" s="9" t="s">
        <v>30</v>
      </c>
      <c r="D416" s="10">
        <v>4</v>
      </c>
      <c r="E416" s="197">
        <f>ROUND('[7]10.Energ_productos_Necesidad'!AJ732,2)</f>
        <v>26948.69</v>
      </c>
      <c r="F416" s="197">
        <f>ROUND('[7]10.Energ_productos_Necesidad'!AK732,2)</f>
        <v>25443.82</v>
      </c>
      <c r="G416" s="197">
        <f>ROUND('[7]10.Energ_productos_Necesidad'!AL732,2)</f>
        <v>24312.720000000001</v>
      </c>
      <c r="H416" s="197">
        <f>ROUND('[7]10.Energ_productos_Necesidad'!AM732,2)</f>
        <v>23542.77</v>
      </c>
      <c r="I416" s="197">
        <f>ROUND('[7]10.Energ_productos_Necesidad'!AN732,2)</f>
        <v>23332.47</v>
      </c>
      <c r="J416" s="197">
        <f>ROUND('[7]10.Energ_productos_Necesidad'!AO732,2)</f>
        <v>23308.23</v>
      </c>
      <c r="K416" s="197">
        <f>ROUND('[7]10.Energ_productos_Necesidad'!AP732,2)</f>
        <v>23143.48</v>
      </c>
      <c r="L416" s="197">
        <f>ROUND('[7]10.Energ_productos_Necesidad'!AQ732,2)</f>
        <v>25530.89</v>
      </c>
      <c r="M416" s="197">
        <f>ROUND('[7]10.Energ_productos_Necesidad'!AR732,2)</f>
        <v>27909.99</v>
      </c>
      <c r="N416" s="197">
        <f>ROUND('[7]10.Energ_productos_Necesidad'!AS732,2)</f>
        <v>29119.18</v>
      </c>
      <c r="O416" s="197">
        <f>ROUND('[7]10.Energ_productos_Necesidad'!AT732,2)</f>
        <v>30447.03</v>
      </c>
      <c r="P416" s="197">
        <f>ROUND('[7]10.Energ_productos_Necesidad'!AU732,2)</f>
        <v>31295.18</v>
      </c>
      <c r="Q416" s="197">
        <f>ROUND('[7]10.Energ_productos_Necesidad'!AV732,2)</f>
        <v>30829.53</v>
      </c>
      <c r="R416" s="197">
        <f>ROUND('[7]10.Energ_productos_Necesidad'!AW732,2)</f>
        <v>30544.99</v>
      </c>
      <c r="S416" s="197">
        <f>ROUND('[7]10.Energ_productos_Necesidad'!AX732,2)</f>
        <v>30856.5</v>
      </c>
      <c r="T416" s="197">
        <f>ROUND('[7]10.Energ_productos_Necesidad'!AY732,2)</f>
        <v>31158.9</v>
      </c>
      <c r="U416" s="197">
        <f>ROUND('[7]10.Energ_productos_Necesidad'!AZ732,2)</f>
        <v>31536.05</v>
      </c>
      <c r="V416" s="197">
        <f>ROUND('[7]10.Energ_productos_Necesidad'!BA732,2)</f>
        <v>34280.050000000003</v>
      </c>
      <c r="W416" s="197">
        <f>ROUND('[7]10.Energ_productos_Necesidad'!BB732,2)</f>
        <v>38193.379999999997</v>
      </c>
      <c r="X416" s="197">
        <f>ROUND('[7]10.Energ_productos_Necesidad'!BC732,2)</f>
        <v>38178.47</v>
      </c>
      <c r="Y416" s="197">
        <f>ROUND('[7]10.Energ_productos_Necesidad'!BD732,2)</f>
        <v>37156.1</v>
      </c>
      <c r="Z416" s="197">
        <f>ROUND('[7]10.Energ_productos_Necesidad'!BE732,2)</f>
        <v>35634.43</v>
      </c>
      <c r="AA416" s="197">
        <f>ROUND('[7]10.Energ_productos_Necesidad'!BF732,2)</f>
        <v>33714.19</v>
      </c>
      <c r="AB416" s="197">
        <f>ROUND('[7]10.Energ_productos_Necesidad'!BG732,2)</f>
        <v>31492.75</v>
      </c>
      <c r="AC416" s="210"/>
      <c r="AD416" s="148">
        <f>+AC443</f>
        <v>21134931.079999994</v>
      </c>
    </row>
    <row r="417" spans="2:30" s="186" customFormat="1" ht="18.649999999999999" customHeight="1" x14ac:dyDescent="0.35">
      <c r="B417" s="267"/>
      <c r="C417" s="9" t="s">
        <v>31</v>
      </c>
      <c r="D417" s="10">
        <v>5</v>
      </c>
      <c r="E417" s="197">
        <f>ROUND('[7]10.Energ_productos_Necesidad'!AJ733,2)</f>
        <v>27468.080000000002</v>
      </c>
      <c r="F417" s="197">
        <f>ROUND('[7]10.Energ_productos_Necesidad'!AK733,2)</f>
        <v>26031.68</v>
      </c>
      <c r="G417" s="197">
        <f>ROUND('[7]10.Energ_productos_Necesidad'!AL733,2)</f>
        <v>24838.6</v>
      </c>
      <c r="H417" s="197">
        <f>ROUND('[7]10.Energ_productos_Necesidad'!AM733,2)</f>
        <v>24024.45</v>
      </c>
      <c r="I417" s="197">
        <f>ROUND('[7]10.Energ_productos_Necesidad'!AN733,2)</f>
        <v>23677.05</v>
      </c>
      <c r="J417" s="197">
        <f>ROUND('[7]10.Energ_productos_Necesidad'!AO733,2)</f>
        <v>23201.35</v>
      </c>
      <c r="K417" s="197">
        <f>ROUND('[7]10.Energ_productos_Necesidad'!AP733,2)</f>
        <v>22606.61</v>
      </c>
      <c r="L417" s="197">
        <f>ROUND('[7]10.Energ_productos_Necesidad'!AQ733,2)</f>
        <v>23834.97</v>
      </c>
      <c r="M417" s="197">
        <f>ROUND('[7]10.Energ_productos_Necesidad'!AR733,2)</f>
        <v>24696.25</v>
      </c>
      <c r="N417" s="197">
        <f>ROUND('[7]10.Energ_productos_Necesidad'!AS733,2)</f>
        <v>25628.09</v>
      </c>
      <c r="O417" s="197">
        <f>ROUND('[7]10.Energ_productos_Necesidad'!AT733,2)</f>
        <v>26618.76</v>
      </c>
      <c r="P417" s="197">
        <f>ROUND('[7]10.Energ_productos_Necesidad'!AU733,2)</f>
        <v>27449.58</v>
      </c>
      <c r="Q417" s="197">
        <f>ROUND('[7]10.Energ_productos_Necesidad'!AV733,2)</f>
        <v>27964.74</v>
      </c>
      <c r="R417" s="197">
        <f>ROUND('[7]10.Energ_productos_Necesidad'!AW733,2)</f>
        <v>28182.37</v>
      </c>
      <c r="S417" s="197">
        <f>ROUND('[7]10.Energ_productos_Necesidad'!AX733,2)</f>
        <v>28520.45</v>
      </c>
      <c r="T417" s="197">
        <f>ROUND('[7]10.Energ_productos_Necesidad'!AY733,2)</f>
        <v>29024.76</v>
      </c>
      <c r="U417" s="197">
        <f>ROUND('[7]10.Energ_productos_Necesidad'!AZ733,2)</f>
        <v>29680.46</v>
      </c>
      <c r="V417" s="197">
        <f>ROUND('[7]10.Energ_productos_Necesidad'!BA733,2)</f>
        <v>32541.919999999998</v>
      </c>
      <c r="W417" s="197">
        <f>ROUND('[7]10.Energ_productos_Necesidad'!BB733,2)</f>
        <v>36213.550000000003</v>
      </c>
      <c r="X417" s="197">
        <f>ROUND('[7]10.Energ_productos_Necesidad'!BC733,2)</f>
        <v>37229.300000000003</v>
      </c>
      <c r="Y417" s="197">
        <f>ROUND('[7]10.Energ_productos_Necesidad'!BD733,2)</f>
        <v>37147.339999999997</v>
      </c>
      <c r="Z417" s="197">
        <f>ROUND('[7]10.Energ_productos_Necesidad'!BE733,2)</f>
        <v>36299.14</v>
      </c>
      <c r="AA417" s="197">
        <f>ROUND('[7]10.Energ_productos_Necesidad'!BF733,2)</f>
        <v>34029.08</v>
      </c>
      <c r="AB417" s="197">
        <f>ROUND('[7]10.Energ_productos_Necesidad'!BG733,2)</f>
        <v>31279.63</v>
      </c>
      <c r="AC417" s="210"/>
      <c r="AD417" s="148">
        <f>+AC447</f>
        <v>22886806.18</v>
      </c>
    </row>
    <row r="418" spans="2:30" s="186" customFormat="1" ht="18.649999999999999" customHeight="1" thickBot="1" x14ac:dyDescent="0.4">
      <c r="B418" s="268"/>
      <c r="C418" s="11" t="s">
        <v>32</v>
      </c>
      <c r="D418" s="12">
        <v>0</v>
      </c>
      <c r="E418" s="197">
        <f>ROUND('[7]10.Energ_productos_Necesidad'!AJ734,2)</f>
        <v>0</v>
      </c>
      <c r="F418" s="197">
        <f>ROUND('[7]10.Energ_productos_Necesidad'!AK734,2)</f>
        <v>0</v>
      </c>
      <c r="G418" s="197">
        <f>ROUND('[7]10.Energ_productos_Necesidad'!AL734,2)</f>
        <v>0</v>
      </c>
      <c r="H418" s="197">
        <f>ROUND('[7]10.Energ_productos_Necesidad'!AM734,2)</f>
        <v>0</v>
      </c>
      <c r="I418" s="197">
        <f>ROUND('[7]10.Energ_productos_Necesidad'!AN734,2)</f>
        <v>0</v>
      </c>
      <c r="J418" s="197">
        <f>ROUND('[7]10.Energ_productos_Necesidad'!AO734,2)</f>
        <v>0</v>
      </c>
      <c r="K418" s="197">
        <f>ROUND('[7]10.Energ_productos_Necesidad'!AP734,2)</f>
        <v>0</v>
      </c>
      <c r="L418" s="197">
        <f>ROUND('[7]10.Energ_productos_Necesidad'!AQ734,2)</f>
        <v>0</v>
      </c>
      <c r="M418" s="197">
        <f>ROUND('[7]10.Energ_productos_Necesidad'!AR734,2)</f>
        <v>0</v>
      </c>
      <c r="N418" s="197">
        <f>ROUND('[7]10.Energ_productos_Necesidad'!AS734,2)</f>
        <v>0</v>
      </c>
      <c r="O418" s="197">
        <f>ROUND('[7]10.Energ_productos_Necesidad'!AT734,2)</f>
        <v>0</v>
      </c>
      <c r="P418" s="197">
        <f>ROUND('[7]10.Energ_productos_Necesidad'!AU734,2)</f>
        <v>0</v>
      </c>
      <c r="Q418" s="197">
        <f>ROUND('[7]10.Energ_productos_Necesidad'!AV734,2)</f>
        <v>0</v>
      </c>
      <c r="R418" s="197">
        <f>ROUND('[7]10.Energ_productos_Necesidad'!AW734,2)</f>
        <v>0</v>
      </c>
      <c r="S418" s="197">
        <f>ROUND('[7]10.Energ_productos_Necesidad'!AX734,2)</f>
        <v>0</v>
      </c>
      <c r="T418" s="197">
        <f>ROUND('[7]10.Energ_productos_Necesidad'!AY734,2)</f>
        <v>0</v>
      </c>
      <c r="U418" s="197">
        <f>ROUND('[7]10.Energ_productos_Necesidad'!AZ734,2)</f>
        <v>0</v>
      </c>
      <c r="V418" s="197">
        <f>ROUND('[7]10.Energ_productos_Necesidad'!BA734,2)</f>
        <v>0</v>
      </c>
      <c r="W418" s="197">
        <f>ROUND('[7]10.Energ_productos_Necesidad'!BB734,2)</f>
        <v>0</v>
      </c>
      <c r="X418" s="197">
        <f>ROUND('[7]10.Energ_productos_Necesidad'!BC734,2)</f>
        <v>0</v>
      </c>
      <c r="Y418" s="197">
        <f>ROUND('[7]10.Energ_productos_Necesidad'!BD734,2)</f>
        <v>0</v>
      </c>
      <c r="Z418" s="197">
        <f>ROUND('[7]10.Energ_productos_Necesidad'!BE734,2)</f>
        <v>0</v>
      </c>
      <c r="AA418" s="197">
        <f>ROUND('[7]10.Energ_productos_Necesidad'!BF734,2)</f>
        <v>0</v>
      </c>
      <c r="AB418" s="197">
        <f>ROUND('[7]10.Energ_productos_Necesidad'!BG734,2)</f>
        <v>0</v>
      </c>
      <c r="AC418" s="214"/>
      <c r="AD418" s="185"/>
    </row>
    <row r="419" spans="2:30" s="186" customFormat="1" ht="18.649999999999999" customHeight="1" x14ac:dyDescent="0.35">
      <c r="B419" s="207">
        <v>51257</v>
      </c>
      <c r="C419" s="13" t="s">
        <v>29</v>
      </c>
      <c r="D419" s="14">
        <v>21</v>
      </c>
      <c r="E419" s="200">
        <f>ROUND('[7]10.Energ_productos_Necesidad'!AJ735,2)</f>
        <v>26686.13</v>
      </c>
      <c r="F419" s="200">
        <f>ROUND('[7]10.Energ_productos_Necesidad'!AK735,2)</f>
        <v>25336.86</v>
      </c>
      <c r="G419" s="200">
        <f>ROUND('[7]10.Energ_productos_Necesidad'!AL735,2)</f>
        <v>24301.73</v>
      </c>
      <c r="H419" s="200">
        <f>ROUND('[7]10.Energ_productos_Necesidad'!AM735,2)</f>
        <v>23593.61</v>
      </c>
      <c r="I419" s="200">
        <f>ROUND('[7]10.Energ_productos_Necesidad'!AN735,2)</f>
        <v>23712.45</v>
      </c>
      <c r="J419" s="200">
        <f>ROUND('[7]10.Energ_productos_Necesidad'!AO735,2)</f>
        <v>24398</v>
      </c>
      <c r="K419" s="200">
        <f>ROUND('[7]10.Energ_productos_Necesidad'!AP735,2)</f>
        <v>24846.87</v>
      </c>
      <c r="L419" s="200">
        <f>ROUND('[7]10.Energ_productos_Necesidad'!AQ735,2)</f>
        <v>27839.35</v>
      </c>
      <c r="M419" s="200">
        <f>ROUND('[7]10.Energ_productos_Necesidad'!AR735,2)</f>
        <v>30520.78</v>
      </c>
      <c r="N419" s="200">
        <f>ROUND('[7]10.Energ_productos_Necesidad'!AS735,2)</f>
        <v>31702.32</v>
      </c>
      <c r="O419" s="200">
        <f>ROUND('[7]10.Energ_productos_Necesidad'!AT735,2)</f>
        <v>33311.75</v>
      </c>
      <c r="P419" s="200">
        <f>ROUND('[7]10.Energ_productos_Necesidad'!AU735,2)</f>
        <v>34397.19</v>
      </c>
      <c r="Q419" s="200">
        <f>ROUND('[7]10.Energ_productos_Necesidad'!AV735,2)</f>
        <v>32871.1</v>
      </c>
      <c r="R419" s="200">
        <f>ROUND('[7]10.Energ_productos_Necesidad'!AW735,2)</f>
        <v>33975.46</v>
      </c>
      <c r="S419" s="200">
        <f>ROUND('[7]10.Energ_productos_Necesidad'!AX735,2)</f>
        <v>36015.949999999997</v>
      </c>
      <c r="T419" s="200">
        <f>ROUND('[7]10.Energ_productos_Necesidad'!AY735,2)</f>
        <v>36405.21</v>
      </c>
      <c r="U419" s="200">
        <f>ROUND('[7]10.Energ_productos_Necesidad'!AZ735,2)</f>
        <v>36336.35</v>
      </c>
      <c r="V419" s="200">
        <f>ROUND('[7]10.Energ_productos_Necesidad'!BA735,2)</f>
        <v>37476.019999999997</v>
      </c>
      <c r="W419" s="200">
        <f>ROUND('[7]10.Energ_productos_Necesidad'!BB735,2)</f>
        <v>39891.94</v>
      </c>
      <c r="X419" s="200">
        <f>ROUND('[7]10.Energ_productos_Necesidad'!BC735,2)</f>
        <v>40008.22</v>
      </c>
      <c r="Y419" s="200">
        <f>ROUND('[7]10.Energ_productos_Necesidad'!BD735,2)</f>
        <v>38809.67</v>
      </c>
      <c r="Z419" s="200">
        <f>ROUND('[7]10.Energ_productos_Necesidad'!BE735,2)</f>
        <v>36799.949999999997</v>
      </c>
      <c r="AA419" s="200">
        <f>ROUND('[7]10.Energ_productos_Necesidad'!BF735,2)</f>
        <v>33968.730000000003</v>
      </c>
      <c r="AB419" s="200">
        <f>ROUND('[7]10.Energ_productos_Necesidad'!BG735,2)</f>
        <v>31073.74</v>
      </c>
      <c r="AC419" s="210">
        <f>SUM(E419:AB419)*D419+SUM(E420:AB420)*D420+SUM(E421:AB421)*D421+SUM(E422:AB422)*D422</f>
        <v>23165123.899999999</v>
      </c>
      <c r="AD419" s="185"/>
    </row>
    <row r="420" spans="2:30" s="186" customFormat="1" ht="18.649999999999999" customHeight="1" x14ac:dyDescent="0.35">
      <c r="B420" s="267"/>
      <c r="C420" s="9" t="s">
        <v>30</v>
      </c>
      <c r="D420" s="10">
        <v>4</v>
      </c>
      <c r="E420" s="197">
        <f>ROUND('[7]10.Energ_productos_Necesidad'!AJ736,2)</f>
        <v>27224.65</v>
      </c>
      <c r="F420" s="197">
        <f>ROUND('[7]10.Energ_productos_Necesidad'!AK736,2)</f>
        <v>25510.55</v>
      </c>
      <c r="G420" s="197">
        <f>ROUND('[7]10.Energ_productos_Necesidad'!AL736,2)</f>
        <v>24358.1</v>
      </c>
      <c r="H420" s="197">
        <f>ROUND('[7]10.Energ_productos_Necesidad'!AM736,2)</f>
        <v>23612.21</v>
      </c>
      <c r="I420" s="197">
        <f>ROUND('[7]10.Energ_productos_Necesidad'!AN736,2)</f>
        <v>23454.49</v>
      </c>
      <c r="J420" s="197">
        <f>ROUND('[7]10.Energ_productos_Necesidad'!AO736,2)</f>
        <v>23133.82</v>
      </c>
      <c r="K420" s="197">
        <f>ROUND('[7]10.Energ_productos_Necesidad'!AP736,2)</f>
        <v>23240.62</v>
      </c>
      <c r="L420" s="197">
        <f>ROUND('[7]10.Energ_productos_Necesidad'!AQ736,2)</f>
        <v>26009.59</v>
      </c>
      <c r="M420" s="197">
        <f>ROUND('[7]10.Energ_productos_Necesidad'!AR736,2)</f>
        <v>28704.28</v>
      </c>
      <c r="N420" s="197">
        <f>ROUND('[7]10.Energ_productos_Necesidad'!AS736,2)</f>
        <v>30188.11</v>
      </c>
      <c r="O420" s="197">
        <f>ROUND('[7]10.Energ_productos_Necesidad'!AT736,2)</f>
        <v>31349.98</v>
      </c>
      <c r="P420" s="197">
        <f>ROUND('[7]10.Energ_productos_Necesidad'!AU736,2)</f>
        <v>32192.81</v>
      </c>
      <c r="Q420" s="197">
        <f>ROUND('[7]10.Energ_productos_Necesidad'!AV736,2)</f>
        <v>31460.87</v>
      </c>
      <c r="R420" s="197">
        <f>ROUND('[7]10.Energ_productos_Necesidad'!AW736,2)</f>
        <v>31082.86</v>
      </c>
      <c r="S420" s="197">
        <f>ROUND('[7]10.Energ_productos_Necesidad'!AX736,2)</f>
        <v>31502.560000000001</v>
      </c>
      <c r="T420" s="197">
        <f>ROUND('[7]10.Energ_productos_Necesidad'!AY736,2)</f>
        <v>31793.66</v>
      </c>
      <c r="U420" s="197">
        <f>ROUND('[7]10.Energ_productos_Necesidad'!AZ736,2)</f>
        <v>32100.83</v>
      </c>
      <c r="V420" s="197">
        <f>ROUND('[7]10.Energ_productos_Necesidad'!BA736,2)</f>
        <v>34767.42</v>
      </c>
      <c r="W420" s="197">
        <f>ROUND('[7]10.Energ_productos_Necesidad'!BB736,2)</f>
        <v>38548.620000000003</v>
      </c>
      <c r="X420" s="197">
        <f>ROUND('[7]10.Energ_productos_Necesidad'!BC736,2)</f>
        <v>38904.089999999997</v>
      </c>
      <c r="Y420" s="197">
        <f>ROUND('[7]10.Energ_productos_Necesidad'!BD736,2)</f>
        <v>37769.769999999997</v>
      </c>
      <c r="Z420" s="197">
        <f>ROUND('[7]10.Energ_productos_Necesidad'!BE736,2)</f>
        <v>36099.550000000003</v>
      </c>
      <c r="AA420" s="197">
        <f>ROUND('[7]10.Energ_productos_Necesidad'!BF736,2)</f>
        <v>34197.949999999997</v>
      </c>
      <c r="AB420" s="197">
        <f>ROUND('[7]10.Energ_productos_Necesidad'!BG736,2)</f>
        <v>31975.78</v>
      </c>
      <c r="AC420" s="210"/>
      <c r="AD420" s="185"/>
    </row>
    <row r="421" spans="2:30" s="186" customFormat="1" ht="18.649999999999999" customHeight="1" x14ac:dyDescent="0.35">
      <c r="B421" s="267"/>
      <c r="C421" s="9" t="s">
        <v>31</v>
      </c>
      <c r="D421" s="10">
        <v>4</v>
      </c>
      <c r="E421" s="197">
        <f>ROUND('[7]10.Energ_productos_Necesidad'!AJ737,2)</f>
        <v>27548.799999999999</v>
      </c>
      <c r="F421" s="197">
        <f>ROUND('[7]10.Energ_productos_Necesidad'!AK737,2)</f>
        <v>26165.81</v>
      </c>
      <c r="G421" s="197">
        <f>ROUND('[7]10.Energ_productos_Necesidad'!AL737,2)</f>
        <v>25060.07</v>
      </c>
      <c r="H421" s="197">
        <f>ROUND('[7]10.Energ_productos_Necesidad'!AM737,2)</f>
        <v>24258.98</v>
      </c>
      <c r="I421" s="197">
        <f>ROUND('[7]10.Energ_productos_Necesidad'!AN737,2)</f>
        <v>23912.46</v>
      </c>
      <c r="J421" s="197">
        <f>ROUND('[7]10.Energ_productos_Necesidad'!AO737,2)</f>
        <v>23104.83</v>
      </c>
      <c r="K421" s="197">
        <f>ROUND('[7]10.Energ_productos_Necesidad'!AP737,2)</f>
        <v>22606.34</v>
      </c>
      <c r="L421" s="197">
        <f>ROUND('[7]10.Energ_productos_Necesidad'!AQ737,2)</f>
        <v>23976.78</v>
      </c>
      <c r="M421" s="197">
        <f>ROUND('[7]10.Energ_productos_Necesidad'!AR737,2)</f>
        <v>25479.83</v>
      </c>
      <c r="N421" s="197">
        <f>ROUND('[7]10.Energ_productos_Necesidad'!AS737,2)</f>
        <v>26740.58</v>
      </c>
      <c r="O421" s="197">
        <f>ROUND('[7]10.Energ_productos_Necesidad'!AT737,2)</f>
        <v>27634.14</v>
      </c>
      <c r="P421" s="197">
        <f>ROUND('[7]10.Energ_productos_Necesidad'!AU737,2)</f>
        <v>28348.67</v>
      </c>
      <c r="Q421" s="197">
        <f>ROUND('[7]10.Energ_productos_Necesidad'!AV737,2)</f>
        <v>28814.03</v>
      </c>
      <c r="R421" s="197">
        <f>ROUND('[7]10.Energ_productos_Necesidad'!AW737,2)</f>
        <v>28996.33</v>
      </c>
      <c r="S421" s="197">
        <f>ROUND('[7]10.Energ_productos_Necesidad'!AX737,2)</f>
        <v>29270.66</v>
      </c>
      <c r="T421" s="197">
        <f>ROUND('[7]10.Energ_productos_Necesidad'!AY737,2)</f>
        <v>29852.84</v>
      </c>
      <c r="U421" s="197">
        <f>ROUND('[7]10.Energ_productos_Necesidad'!AZ737,2)</f>
        <v>30235.58</v>
      </c>
      <c r="V421" s="197">
        <f>ROUND('[7]10.Energ_productos_Necesidad'!BA737,2)</f>
        <v>33118.17</v>
      </c>
      <c r="W421" s="197">
        <f>ROUND('[7]10.Energ_productos_Necesidad'!BB737,2)</f>
        <v>37001.120000000003</v>
      </c>
      <c r="X421" s="197">
        <f>ROUND('[7]10.Energ_productos_Necesidad'!BC737,2)</f>
        <v>37929.269999999997</v>
      </c>
      <c r="Y421" s="197">
        <f>ROUND('[7]10.Energ_productos_Necesidad'!BD737,2)</f>
        <v>37763.78</v>
      </c>
      <c r="Z421" s="197">
        <f>ROUND('[7]10.Energ_productos_Necesidad'!BE737,2)</f>
        <v>36606.11</v>
      </c>
      <c r="AA421" s="197">
        <f>ROUND('[7]10.Energ_productos_Necesidad'!BF737,2)</f>
        <v>34210.239999999998</v>
      </c>
      <c r="AB421" s="197">
        <f>ROUND('[7]10.Energ_productos_Necesidad'!BG737,2)</f>
        <v>31118.62</v>
      </c>
      <c r="AC421" s="210"/>
      <c r="AD421" s="185"/>
    </row>
    <row r="422" spans="2:30" s="186" customFormat="1" ht="18.649999999999999" customHeight="1" thickBot="1" x14ac:dyDescent="0.4">
      <c r="B422" s="268"/>
      <c r="C422" s="15" t="s">
        <v>32</v>
      </c>
      <c r="D422" s="16">
        <v>2</v>
      </c>
      <c r="E422" s="198">
        <f>ROUND('[7]10.Energ_productos_Necesidad'!AJ738,2)</f>
        <v>27548.799999999999</v>
      </c>
      <c r="F422" s="198">
        <f>ROUND('[7]10.Energ_productos_Necesidad'!AK738,2)</f>
        <v>26165.81</v>
      </c>
      <c r="G422" s="198">
        <f>ROUND('[7]10.Energ_productos_Necesidad'!AL738,2)</f>
        <v>25060.07</v>
      </c>
      <c r="H422" s="198">
        <f>ROUND('[7]10.Energ_productos_Necesidad'!AM738,2)</f>
        <v>24258.98</v>
      </c>
      <c r="I422" s="198">
        <f>ROUND('[7]10.Energ_productos_Necesidad'!AN738,2)</f>
        <v>23912.46</v>
      </c>
      <c r="J422" s="198">
        <f>ROUND('[7]10.Energ_productos_Necesidad'!AO738,2)</f>
        <v>23104.83</v>
      </c>
      <c r="K422" s="198">
        <f>ROUND('[7]10.Energ_productos_Necesidad'!AP738,2)</f>
        <v>22606.34</v>
      </c>
      <c r="L422" s="198">
        <f>ROUND('[7]10.Energ_productos_Necesidad'!AQ738,2)</f>
        <v>23976.78</v>
      </c>
      <c r="M422" s="198">
        <f>ROUND('[7]10.Energ_productos_Necesidad'!AR738,2)</f>
        <v>25479.83</v>
      </c>
      <c r="N422" s="198">
        <f>ROUND('[7]10.Energ_productos_Necesidad'!AS738,2)</f>
        <v>26740.58</v>
      </c>
      <c r="O422" s="198">
        <f>ROUND('[7]10.Energ_productos_Necesidad'!AT738,2)</f>
        <v>27634.14</v>
      </c>
      <c r="P422" s="198">
        <f>ROUND('[7]10.Energ_productos_Necesidad'!AU738,2)</f>
        <v>28348.67</v>
      </c>
      <c r="Q422" s="198">
        <f>ROUND('[7]10.Energ_productos_Necesidad'!AV738,2)</f>
        <v>28814.03</v>
      </c>
      <c r="R422" s="198">
        <f>ROUND('[7]10.Energ_productos_Necesidad'!AW738,2)</f>
        <v>28996.33</v>
      </c>
      <c r="S422" s="198">
        <f>ROUND('[7]10.Energ_productos_Necesidad'!AX738,2)</f>
        <v>29270.66</v>
      </c>
      <c r="T422" s="198">
        <f>ROUND('[7]10.Energ_productos_Necesidad'!AY738,2)</f>
        <v>29852.84</v>
      </c>
      <c r="U422" s="198">
        <f>ROUND('[7]10.Energ_productos_Necesidad'!AZ738,2)</f>
        <v>30235.58</v>
      </c>
      <c r="V422" s="198">
        <f>ROUND('[7]10.Energ_productos_Necesidad'!BA738,2)</f>
        <v>33118.17</v>
      </c>
      <c r="W422" s="198">
        <f>ROUND('[7]10.Energ_productos_Necesidad'!BB738,2)</f>
        <v>37001.120000000003</v>
      </c>
      <c r="X422" s="198">
        <f>ROUND('[7]10.Energ_productos_Necesidad'!BC738,2)</f>
        <v>37929.269999999997</v>
      </c>
      <c r="Y422" s="198">
        <f>ROUND('[7]10.Energ_productos_Necesidad'!BD738,2)</f>
        <v>37763.78</v>
      </c>
      <c r="Z422" s="198">
        <f>ROUND('[7]10.Energ_productos_Necesidad'!BE738,2)</f>
        <v>36606.11</v>
      </c>
      <c r="AA422" s="198">
        <f>ROUND('[7]10.Energ_productos_Necesidad'!BF738,2)</f>
        <v>34210.239999999998</v>
      </c>
      <c r="AB422" s="198">
        <f>ROUND('[7]10.Energ_productos_Necesidad'!BG738,2)</f>
        <v>31118.62</v>
      </c>
      <c r="AC422" s="210"/>
      <c r="AD422" s="185"/>
    </row>
    <row r="423" spans="2:30" s="186" customFormat="1" ht="18.649999999999999" customHeight="1" x14ac:dyDescent="0.35">
      <c r="B423" s="207">
        <v>51288</v>
      </c>
      <c r="C423" s="6" t="s">
        <v>29</v>
      </c>
      <c r="D423" s="7">
        <v>19</v>
      </c>
      <c r="E423" s="196">
        <f>ROUND('[7]10.Energ_productos_Necesidad'!AJ739,2)</f>
        <v>26938.080000000002</v>
      </c>
      <c r="F423" s="196">
        <f>ROUND('[7]10.Energ_productos_Necesidad'!AK739,2)</f>
        <v>25492.97</v>
      </c>
      <c r="G423" s="196">
        <f>ROUND('[7]10.Energ_productos_Necesidad'!AL739,2)</f>
        <v>24481.64</v>
      </c>
      <c r="H423" s="196">
        <f>ROUND('[7]10.Energ_productos_Necesidad'!AM739,2)</f>
        <v>23679.15</v>
      </c>
      <c r="I423" s="196">
        <f>ROUND('[7]10.Energ_productos_Necesidad'!AN739,2)</f>
        <v>23749.200000000001</v>
      </c>
      <c r="J423" s="196">
        <f>ROUND('[7]10.Energ_productos_Necesidad'!AO739,2)</f>
        <v>24074.400000000001</v>
      </c>
      <c r="K423" s="196">
        <f>ROUND('[7]10.Energ_productos_Necesidad'!AP739,2)</f>
        <v>24464.69</v>
      </c>
      <c r="L423" s="196">
        <f>ROUND('[7]10.Energ_productos_Necesidad'!AQ739,2)</f>
        <v>27554.71</v>
      </c>
      <c r="M423" s="196">
        <f>ROUND('[7]10.Energ_productos_Necesidad'!AR739,2)</f>
        <v>30214.93</v>
      </c>
      <c r="N423" s="196">
        <f>ROUND('[7]10.Energ_productos_Necesidad'!AS739,2)</f>
        <v>31504.57</v>
      </c>
      <c r="O423" s="196">
        <f>ROUND('[7]10.Energ_productos_Necesidad'!AT739,2)</f>
        <v>33182.29</v>
      </c>
      <c r="P423" s="196">
        <f>ROUND('[7]10.Energ_productos_Necesidad'!AU739,2)</f>
        <v>34363.68</v>
      </c>
      <c r="Q423" s="196">
        <f>ROUND('[7]10.Energ_productos_Necesidad'!AV739,2)</f>
        <v>33064.57</v>
      </c>
      <c r="R423" s="196">
        <f>ROUND('[7]10.Energ_productos_Necesidad'!AW739,2)</f>
        <v>33990.15</v>
      </c>
      <c r="S423" s="196">
        <f>ROUND('[7]10.Energ_productos_Necesidad'!AX739,2)</f>
        <v>35946.28</v>
      </c>
      <c r="T423" s="196">
        <f>ROUND('[7]10.Energ_productos_Necesidad'!AY739,2)</f>
        <v>36339.980000000003</v>
      </c>
      <c r="U423" s="196">
        <f>ROUND('[7]10.Energ_productos_Necesidad'!AZ739,2)</f>
        <v>36433.69</v>
      </c>
      <c r="V423" s="196">
        <f>ROUND('[7]10.Energ_productos_Necesidad'!BA739,2)</f>
        <v>37665.86</v>
      </c>
      <c r="W423" s="196">
        <f>ROUND('[7]10.Energ_productos_Necesidad'!BB739,2)</f>
        <v>40046.39</v>
      </c>
      <c r="X423" s="196">
        <f>ROUND('[7]10.Energ_productos_Necesidad'!BC739,2)</f>
        <v>40495.06</v>
      </c>
      <c r="Y423" s="196">
        <f>ROUND('[7]10.Energ_productos_Necesidad'!BD739,2)</f>
        <v>39199.620000000003</v>
      </c>
      <c r="Z423" s="196">
        <f>ROUND('[7]10.Energ_productos_Necesidad'!BE739,2)</f>
        <v>37224.5</v>
      </c>
      <c r="AA423" s="196">
        <f>ROUND('[7]10.Energ_productos_Necesidad'!BF739,2)</f>
        <v>34279.93</v>
      </c>
      <c r="AB423" s="196">
        <f>ROUND('[7]10.Energ_productos_Necesidad'!BG739,2)</f>
        <v>31311.15</v>
      </c>
      <c r="AC423" s="209">
        <f>SUM(E423:AB423)*D423+SUM(E424:AB424)*D424+SUM(E425:AB425)*D425+SUM(E426:AB426)*D426</f>
        <v>22293954.970000006</v>
      </c>
      <c r="AD423" s="185"/>
    </row>
    <row r="424" spans="2:30" s="186" customFormat="1" ht="18.649999999999999" customHeight="1" x14ac:dyDescent="0.35">
      <c r="B424" s="267"/>
      <c r="C424" s="9" t="s">
        <v>30</v>
      </c>
      <c r="D424" s="10">
        <v>5</v>
      </c>
      <c r="E424" s="197">
        <f>ROUND('[7]10.Energ_productos_Necesidad'!AJ740,2)</f>
        <v>26937.439999999999</v>
      </c>
      <c r="F424" s="197">
        <f>ROUND('[7]10.Energ_productos_Necesidad'!AK740,2)</f>
        <v>25534.11</v>
      </c>
      <c r="G424" s="197">
        <f>ROUND('[7]10.Energ_productos_Necesidad'!AL740,2)</f>
        <v>24485.08</v>
      </c>
      <c r="H424" s="197">
        <f>ROUND('[7]10.Energ_productos_Necesidad'!AM740,2)</f>
        <v>23763.97</v>
      </c>
      <c r="I424" s="197">
        <f>ROUND('[7]10.Energ_productos_Necesidad'!AN740,2)</f>
        <v>23625.29</v>
      </c>
      <c r="J424" s="197">
        <f>ROUND('[7]10.Energ_productos_Necesidad'!AO740,2)</f>
        <v>23269.53</v>
      </c>
      <c r="K424" s="197">
        <f>ROUND('[7]10.Energ_productos_Necesidad'!AP740,2)</f>
        <v>23386.98</v>
      </c>
      <c r="L424" s="197">
        <f>ROUND('[7]10.Energ_productos_Necesidad'!AQ740,2)</f>
        <v>26121.19</v>
      </c>
      <c r="M424" s="197">
        <f>ROUND('[7]10.Energ_productos_Necesidad'!AR740,2)</f>
        <v>28768.41</v>
      </c>
      <c r="N424" s="197">
        <f>ROUND('[7]10.Energ_productos_Necesidad'!AS740,2)</f>
        <v>30295.52</v>
      </c>
      <c r="O424" s="197">
        <f>ROUND('[7]10.Energ_productos_Necesidad'!AT740,2)</f>
        <v>31673.64</v>
      </c>
      <c r="P424" s="197">
        <f>ROUND('[7]10.Energ_productos_Necesidad'!AU740,2)</f>
        <v>32576.23</v>
      </c>
      <c r="Q424" s="197">
        <f>ROUND('[7]10.Energ_productos_Necesidad'!AV740,2)</f>
        <v>31939.72</v>
      </c>
      <c r="R424" s="197">
        <f>ROUND('[7]10.Energ_productos_Necesidad'!AW740,2)</f>
        <v>31320.33</v>
      </c>
      <c r="S424" s="197">
        <f>ROUND('[7]10.Energ_productos_Necesidad'!AX740,2)</f>
        <v>31580.16</v>
      </c>
      <c r="T424" s="197">
        <f>ROUND('[7]10.Energ_productos_Necesidad'!AY740,2)</f>
        <v>31800.09</v>
      </c>
      <c r="U424" s="197">
        <f>ROUND('[7]10.Energ_productos_Necesidad'!AZ740,2)</f>
        <v>31885.82</v>
      </c>
      <c r="V424" s="197">
        <f>ROUND('[7]10.Energ_productos_Necesidad'!BA740,2)</f>
        <v>34451.74</v>
      </c>
      <c r="W424" s="197">
        <f>ROUND('[7]10.Energ_productos_Necesidad'!BB740,2)</f>
        <v>37540.870000000003</v>
      </c>
      <c r="X424" s="197">
        <f>ROUND('[7]10.Energ_productos_Necesidad'!BC740,2)</f>
        <v>38247.599999999999</v>
      </c>
      <c r="Y424" s="197">
        <f>ROUND('[7]10.Energ_productos_Necesidad'!BD740,2)</f>
        <v>37172.720000000001</v>
      </c>
      <c r="Z424" s="197">
        <f>ROUND('[7]10.Energ_productos_Necesidad'!BE740,2)</f>
        <v>35330.019999999997</v>
      </c>
      <c r="AA424" s="197">
        <f>ROUND('[7]10.Energ_productos_Necesidad'!BF740,2)</f>
        <v>33215.11</v>
      </c>
      <c r="AB424" s="197">
        <f>ROUND('[7]10.Energ_productos_Necesidad'!BG740,2)</f>
        <v>31011.99</v>
      </c>
      <c r="AC424" s="210"/>
      <c r="AD424" s="185"/>
    </row>
    <row r="425" spans="2:30" s="186" customFormat="1" ht="18.649999999999999" customHeight="1" x14ac:dyDescent="0.35">
      <c r="B425" s="267"/>
      <c r="C425" s="9" t="s">
        <v>31</v>
      </c>
      <c r="D425" s="10">
        <v>4</v>
      </c>
      <c r="E425" s="197">
        <f>ROUND('[7]10.Energ_productos_Necesidad'!AJ741,2)</f>
        <v>27427.94</v>
      </c>
      <c r="F425" s="197">
        <f>ROUND('[7]10.Energ_productos_Necesidad'!AK741,2)</f>
        <v>25952.51</v>
      </c>
      <c r="G425" s="197">
        <f>ROUND('[7]10.Energ_productos_Necesidad'!AL741,2)</f>
        <v>24788.84</v>
      </c>
      <c r="H425" s="197">
        <f>ROUND('[7]10.Energ_productos_Necesidad'!AM741,2)</f>
        <v>24034.04</v>
      </c>
      <c r="I425" s="197">
        <f>ROUND('[7]10.Energ_productos_Necesidad'!AN741,2)</f>
        <v>23730.94</v>
      </c>
      <c r="J425" s="197">
        <f>ROUND('[7]10.Energ_productos_Necesidad'!AO741,2)</f>
        <v>22896.09</v>
      </c>
      <c r="K425" s="197">
        <f>ROUND('[7]10.Energ_productos_Necesidad'!AP741,2)</f>
        <v>22227.32</v>
      </c>
      <c r="L425" s="197">
        <f>ROUND('[7]10.Energ_productos_Necesidad'!AQ741,2)</f>
        <v>23401.599999999999</v>
      </c>
      <c r="M425" s="197">
        <f>ROUND('[7]10.Energ_productos_Necesidad'!AR741,2)</f>
        <v>24649.200000000001</v>
      </c>
      <c r="N425" s="197">
        <f>ROUND('[7]10.Energ_productos_Necesidad'!AS741,2)</f>
        <v>25817.07</v>
      </c>
      <c r="O425" s="197">
        <f>ROUND('[7]10.Energ_productos_Necesidad'!AT741,2)</f>
        <v>26665.81</v>
      </c>
      <c r="P425" s="197">
        <f>ROUND('[7]10.Energ_productos_Necesidad'!AU741,2)</f>
        <v>27434.15</v>
      </c>
      <c r="Q425" s="197">
        <f>ROUND('[7]10.Energ_productos_Necesidad'!AV741,2)</f>
        <v>28111.33</v>
      </c>
      <c r="R425" s="197">
        <f>ROUND('[7]10.Energ_productos_Necesidad'!AW741,2)</f>
        <v>28143.03</v>
      </c>
      <c r="S425" s="197">
        <f>ROUND('[7]10.Energ_productos_Necesidad'!AX741,2)</f>
        <v>28425.759999999998</v>
      </c>
      <c r="T425" s="197">
        <f>ROUND('[7]10.Energ_productos_Necesidad'!AY741,2)</f>
        <v>28888.19</v>
      </c>
      <c r="U425" s="197">
        <f>ROUND('[7]10.Energ_productos_Necesidad'!AZ741,2)</f>
        <v>29389.41</v>
      </c>
      <c r="V425" s="197">
        <f>ROUND('[7]10.Energ_productos_Necesidad'!BA741,2)</f>
        <v>32094.94</v>
      </c>
      <c r="W425" s="197">
        <f>ROUND('[7]10.Energ_productos_Necesidad'!BB741,2)</f>
        <v>35902.089999999997</v>
      </c>
      <c r="X425" s="197">
        <f>ROUND('[7]10.Energ_productos_Necesidad'!BC741,2)</f>
        <v>37558.97</v>
      </c>
      <c r="Y425" s="197">
        <f>ROUND('[7]10.Energ_productos_Necesidad'!BD741,2)</f>
        <v>37111.53</v>
      </c>
      <c r="Z425" s="197">
        <f>ROUND('[7]10.Energ_productos_Necesidad'!BE741,2)</f>
        <v>35985.82</v>
      </c>
      <c r="AA425" s="197">
        <f>ROUND('[7]10.Energ_productos_Necesidad'!BF741,2)</f>
        <v>33885.93</v>
      </c>
      <c r="AB425" s="197">
        <f>ROUND('[7]10.Energ_productos_Necesidad'!BG741,2)</f>
        <v>31483.3</v>
      </c>
      <c r="AC425" s="210"/>
      <c r="AD425" s="185"/>
    </row>
    <row r="426" spans="2:30" s="186" customFormat="1" ht="18.649999999999999" customHeight="1" thickBot="1" x14ac:dyDescent="0.4">
      <c r="B426" s="268"/>
      <c r="C426" s="11" t="s">
        <v>32</v>
      </c>
      <c r="D426" s="12">
        <v>2</v>
      </c>
      <c r="E426" s="201">
        <f>ROUND('[7]10.Energ_productos_Necesidad'!AJ742,2)</f>
        <v>27427.94</v>
      </c>
      <c r="F426" s="201">
        <f>ROUND('[7]10.Energ_productos_Necesidad'!AK742,2)</f>
        <v>25952.51</v>
      </c>
      <c r="G426" s="201">
        <f>ROUND('[7]10.Energ_productos_Necesidad'!AL742,2)</f>
        <v>24788.84</v>
      </c>
      <c r="H426" s="201">
        <f>ROUND('[7]10.Energ_productos_Necesidad'!AM742,2)</f>
        <v>24034.04</v>
      </c>
      <c r="I426" s="201">
        <f>ROUND('[7]10.Energ_productos_Necesidad'!AN742,2)</f>
        <v>23730.94</v>
      </c>
      <c r="J426" s="201">
        <f>ROUND('[7]10.Energ_productos_Necesidad'!AO742,2)</f>
        <v>22896.09</v>
      </c>
      <c r="K426" s="201">
        <f>ROUND('[7]10.Energ_productos_Necesidad'!AP742,2)</f>
        <v>22227.32</v>
      </c>
      <c r="L426" s="201">
        <f>ROUND('[7]10.Energ_productos_Necesidad'!AQ742,2)</f>
        <v>23401.599999999999</v>
      </c>
      <c r="M426" s="201">
        <f>ROUND('[7]10.Energ_productos_Necesidad'!AR742,2)</f>
        <v>24649.200000000001</v>
      </c>
      <c r="N426" s="201">
        <f>ROUND('[7]10.Energ_productos_Necesidad'!AS742,2)</f>
        <v>25817.07</v>
      </c>
      <c r="O426" s="201">
        <f>ROUND('[7]10.Energ_productos_Necesidad'!AT742,2)</f>
        <v>26665.81</v>
      </c>
      <c r="P426" s="201">
        <f>ROUND('[7]10.Energ_productos_Necesidad'!AU742,2)</f>
        <v>27434.15</v>
      </c>
      <c r="Q426" s="201">
        <f>ROUND('[7]10.Energ_productos_Necesidad'!AV742,2)</f>
        <v>28111.33</v>
      </c>
      <c r="R426" s="201">
        <f>ROUND('[7]10.Energ_productos_Necesidad'!AW742,2)</f>
        <v>28143.03</v>
      </c>
      <c r="S426" s="201">
        <f>ROUND('[7]10.Energ_productos_Necesidad'!AX742,2)</f>
        <v>28425.759999999998</v>
      </c>
      <c r="T426" s="201">
        <f>ROUND('[7]10.Energ_productos_Necesidad'!AY742,2)</f>
        <v>28888.19</v>
      </c>
      <c r="U426" s="201">
        <f>ROUND('[7]10.Energ_productos_Necesidad'!AZ742,2)</f>
        <v>29389.41</v>
      </c>
      <c r="V426" s="201">
        <f>ROUND('[7]10.Energ_productos_Necesidad'!BA742,2)</f>
        <v>32094.94</v>
      </c>
      <c r="W426" s="201">
        <f>ROUND('[7]10.Energ_productos_Necesidad'!BB742,2)</f>
        <v>35902.089999999997</v>
      </c>
      <c r="X426" s="201">
        <f>ROUND('[7]10.Energ_productos_Necesidad'!BC742,2)</f>
        <v>37558.97</v>
      </c>
      <c r="Y426" s="201">
        <f>ROUND('[7]10.Energ_productos_Necesidad'!BD742,2)</f>
        <v>37111.53</v>
      </c>
      <c r="Z426" s="201">
        <f>ROUND('[7]10.Energ_productos_Necesidad'!BE742,2)</f>
        <v>35985.82</v>
      </c>
      <c r="AA426" s="201">
        <f>ROUND('[7]10.Energ_productos_Necesidad'!BF742,2)</f>
        <v>33885.93</v>
      </c>
      <c r="AB426" s="201">
        <f>ROUND('[7]10.Energ_productos_Necesidad'!BG742,2)</f>
        <v>31483.3</v>
      </c>
      <c r="AC426" s="214"/>
      <c r="AD426" s="185"/>
    </row>
    <row r="427" spans="2:30" s="186" customFormat="1" ht="18.649999999999999" customHeight="1" x14ac:dyDescent="0.35">
      <c r="B427" s="207">
        <v>51318</v>
      </c>
      <c r="C427" s="13" t="s">
        <v>29</v>
      </c>
      <c r="D427" s="7">
        <v>20</v>
      </c>
      <c r="E427" s="200">
        <f>ROUND('[7]10.Energ_productos_Necesidad'!AJ743,2)</f>
        <v>26802.04</v>
      </c>
      <c r="F427" s="200">
        <f>ROUND('[7]10.Energ_productos_Necesidad'!AK743,2)</f>
        <v>25326.15</v>
      </c>
      <c r="G427" s="200">
        <f>ROUND('[7]10.Energ_productos_Necesidad'!AL743,2)</f>
        <v>24212.43</v>
      </c>
      <c r="H427" s="200">
        <f>ROUND('[7]10.Energ_productos_Necesidad'!AM743,2)</f>
        <v>23472.86</v>
      </c>
      <c r="I427" s="200">
        <f>ROUND('[7]10.Energ_productos_Necesidad'!AN743,2)</f>
        <v>23414.03</v>
      </c>
      <c r="J427" s="200">
        <f>ROUND('[7]10.Energ_productos_Necesidad'!AO743,2)</f>
        <v>24003.11</v>
      </c>
      <c r="K427" s="200">
        <f>ROUND('[7]10.Energ_productos_Necesidad'!AP743,2)</f>
        <v>24202.86</v>
      </c>
      <c r="L427" s="200">
        <f>ROUND('[7]10.Energ_productos_Necesidad'!AQ743,2)</f>
        <v>27112.2</v>
      </c>
      <c r="M427" s="200">
        <f>ROUND('[7]10.Energ_productos_Necesidad'!AR743,2)</f>
        <v>29686.3</v>
      </c>
      <c r="N427" s="200">
        <f>ROUND('[7]10.Energ_productos_Necesidad'!AS743,2)</f>
        <v>31029.69</v>
      </c>
      <c r="O427" s="200">
        <f>ROUND('[7]10.Energ_productos_Necesidad'!AT743,2)</f>
        <v>32772.82</v>
      </c>
      <c r="P427" s="200">
        <f>ROUND('[7]10.Energ_productos_Necesidad'!AU743,2)</f>
        <v>34169.81</v>
      </c>
      <c r="Q427" s="200">
        <f>ROUND('[7]10.Energ_productos_Necesidad'!AV743,2)</f>
        <v>32900.019999999997</v>
      </c>
      <c r="R427" s="200">
        <f>ROUND('[7]10.Energ_productos_Necesidad'!AW743,2)</f>
        <v>34258.699999999997</v>
      </c>
      <c r="S427" s="200">
        <f>ROUND('[7]10.Energ_productos_Necesidad'!AX743,2)</f>
        <v>36546.17</v>
      </c>
      <c r="T427" s="200">
        <f>ROUND('[7]10.Energ_productos_Necesidad'!AY743,2)</f>
        <v>36957.599999999999</v>
      </c>
      <c r="U427" s="200">
        <f>ROUND('[7]10.Energ_productos_Necesidad'!AZ743,2)</f>
        <v>36867.440000000002</v>
      </c>
      <c r="V427" s="200">
        <f>ROUND('[7]10.Energ_productos_Necesidad'!BA743,2)</f>
        <v>37674.47</v>
      </c>
      <c r="W427" s="200">
        <f>ROUND('[7]10.Energ_productos_Necesidad'!BB743,2)</f>
        <v>39543.82</v>
      </c>
      <c r="X427" s="200">
        <f>ROUND('[7]10.Energ_productos_Necesidad'!BC743,2)</f>
        <v>40445.33</v>
      </c>
      <c r="Y427" s="200">
        <f>ROUND('[7]10.Energ_productos_Necesidad'!BD743,2)</f>
        <v>39400.83</v>
      </c>
      <c r="Z427" s="200">
        <f>ROUND('[7]10.Energ_productos_Necesidad'!BE743,2)</f>
        <v>37489.599999999999</v>
      </c>
      <c r="AA427" s="200">
        <f>ROUND('[7]10.Energ_productos_Necesidad'!BF743,2)</f>
        <v>34486.32</v>
      </c>
      <c r="AB427" s="200">
        <f>ROUND('[7]10.Energ_productos_Necesidad'!BG743,2)</f>
        <v>31559.64</v>
      </c>
      <c r="AC427" s="210">
        <f>SUM(E427:AB427)*D427+SUM(E428:AB428)*D428+SUM(E429:AB429)*D429+SUM(E430:AB430)*D430</f>
        <v>22735065.329999994</v>
      </c>
      <c r="AD427" s="185"/>
    </row>
    <row r="428" spans="2:30" s="186" customFormat="1" ht="18.649999999999999" customHeight="1" x14ac:dyDescent="0.35">
      <c r="B428" s="267"/>
      <c r="C428" s="9" t="s">
        <v>30</v>
      </c>
      <c r="D428" s="10">
        <v>4</v>
      </c>
      <c r="E428" s="197">
        <f>ROUND('[7]10.Energ_productos_Necesidad'!AJ744,2)</f>
        <v>27298.02</v>
      </c>
      <c r="F428" s="197">
        <f>ROUND('[7]10.Energ_productos_Necesidad'!AK744,2)</f>
        <v>25639.119999999999</v>
      </c>
      <c r="G428" s="197">
        <f>ROUND('[7]10.Energ_productos_Necesidad'!AL744,2)</f>
        <v>24427.3</v>
      </c>
      <c r="H428" s="197">
        <f>ROUND('[7]10.Energ_productos_Necesidad'!AM744,2)</f>
        <v>23709.87</v>
      </c>
      <c r="I428" s="197">
        <f>ROUND('[7]10.Energ_productos_Necesidad'!AN744,2)</f>
        <v>23338.22</v>
      </c>
      <c r="J428" s="197">
        <f>ROUND('[7]10.Energ_productos_Necesidad'!AO744,2)</f>
        <v>23070.68</v>
      </c>
      <c r="K428" s="197">
        <f>ROUND('[7]10.Energ_productos_Necesidad'!AP744,2)</f>
        <v>23050.55</v>
      </c>
      <c r="L428" s="197">
        <f>ROUND('[7]10.Energ_productos_Necesidad'!AQ744,2)</f>
        <v>25458.17</v>
      </c>
      <c r="M428" s="197">
        <f>ROUND('[7]10.Energ_productos_Necesidad'!AR744,2)</f>
        <v>28083.81</v>
      </c>
      <c r="N428" s="197">
        <f>ROUND('[7]10.Energ_productos_Necesidad'!AS744,2)</f>
        <v>29657.82</v>
      </c>
      <c r="O428" s="197">
        <f>ROUND('[7]10.Energ_productos_Necesidad'!AT744,2)</f>
        <v>31254.06</v>
      </c>
      <c r="P428" s="197">
        <f>ROUND('[7]10.Energ_productos_Necesidad'!AU744,2)</f>
        <v>32080.75</v>
      </c>
      <c r="Q428" s="197">
        <f>ROUND('[7]10.Energ_productos_Necesidad'!AV744,2)</f>
        <v>31542.38</v>
      </c>
      <c r="R428" s="197">
        <f>ROUND('[7]10.Energ_productos_Necesidad'!AW744,2)</f>
        <v>31155.8</v>
      </c>
      <c r="S428" s="197">
        <f>ROUND('[7]10.Energ_productos_Necesidad'!AX744,2)</f>
        <v>31303.59</v>
      </c>
      <c r="T428" s="197">
        <f>ROUND('[7]10.Energ_productos_Necesidad'!AY744,2)</f>
        <v>31259.08</v>
      </c>
      <c r="U428" s="197">
        <f>ROUND('[7]10.Energ_productos_Necesidad'!AZ744,2)</f>
        <v>31398.3</v>
      </c>
      <c r="V428" s="197">
        <f>ROUND('[7]10.Energ_productos_Necesidad'!BA744,2)</f>
        <v>34055.589999999997</v>
      </c>
      <c r="W428" s="197">
        <f>ROUND('[7]10.Energ_productos_Necesidad'!BB744,2)</f>
        <v>36344.94</v>
      </c>
      <c r="X428" s="197">
        <f>ROUND('[7]10.Energ_productos_Necesidad'!BC744,2)</f>
        <v>37053</v>
      </c>
      <c r="Y428" s="197">
        <f>ROUND('[7]10.Energ_productos_Necesidad'!BD744,2)</f>
        <v>35852.74</v>
      </c>
      <c r="Z428" s="197">
        <f>ROUND('[7]10.Energ_productos_Necesidad'!BE744,2)</f>
        <v>34389.29</v>
      </c>
      <c r="AA428" s="197">
        <f>ROUND('[7]10.Energ_productos_Necesidad'!BF744,2)</f>
        <v>32540.76</v>
      </c>
      <c r="AB428" s="197">
        <f>ROUND('[7]10.Energ_productos_Necesidad'!BG744,2)</f>
        <v>30403.96</v>
      </c>
      <c r="AC428" s="210"/>
      <c r="AD428" s="185"/>
    </row>
    <row r="429" spans="2:30" s="186" customFormat="1" ht="18.649999999999999" customHeight="1" x14ac:dyDescent="0.35">
      <c r="B429" s="267"/>
      <c r="C429" s="9" t="s">
        <v>31</v>
      </c>
      <c r="D429" s="10">
        <v>5</v>
      </c>
      <c r="E429" s="197">
        <f>ROUND('[7]10.Energ_productos_Necesidad'!AJ745,2)</f>
        <v>25430.43</v>
      </c>
      <c r="F429" s="197">
        <f>ROUND('[7]10.Energ_productos_Necesidad'!AK745,2)</f>
        <v>24149.08</v>
      </c>
      <c r="G429" s="197">
        <f>ROUND('[7]10.Energ_productos_Necesidad'!AL745,2)</f>
        <v>23021.31</v>
      </c>
      <c r="H429" s="197">
        <f>ROUND('[7]10.Energ_productos_Necesidad'!AM745,2)</f>
        <v>22349.51</v>
      </c>
      <c r="I429" s="197">
        <f>ROUND('[7]10.Energ_productos_Necesidad'!AN745,2)</f>
        <v>22068.58</v>
      </c>
      <c r="J429" s="197">
        <f>ROUND('[7]10.Energ_productos_Necesidad'!AO745,2)</f>
        <v>21457.99</v>
      </c>
      <c r="K429" s="197">
        <f>ROUND('[7]10.Energ_productos_Necesidad'!AP745,2)</f>
        <v>20831.57</v>
      </c>
      <c r="L429" s="197">
        <f>ROUND('[7]10.Energ_productos_Necesidad'!AQ745,2)</f>
        <v>21944.07</v>
      </c>
      <c r="M429" s="197">
        <f>ROUND('[7]10.Energ_productos_Necesidad'!AR745,2)</f>
        <v>23102.84</v>
      </c>
      <c r="N429" s="197">
        <f>ROUND('[7]10.Energ_productos_Necesidad'!AS745,2)</f>
        <v>24214.83</v>
      </c>
      <c r="O429" s="197">
        <f>ROUND('[7]10.Energ_productos_Necesidad'!AT745,2)</f>
        <v>25260.33</v>
      </c>
      <c r="P429" s="197">
        <f>ROUND('[7]10.Energ_productos_Necesidad'!AU745,2)</f>
        <v>26242.77</v>
      </c>
      <c r="Q429" s="197">
        <f>ROUND('[7]10.Energ_productos_Necesidad'!AV745,2)</f>
        <v>27027.89</v>
      </c>
      <c r="R429" s="197">
        <f>ROUND('[7]10.Energ_productos_Necesidad'!AW745,2)</f>
        <v>27333.51</v>
      </c>
      <c r="S429" s="197">
        <f>ROUND('[7]10.Energ_productos_Necesidad'!AX745,2)</f>
        <v>27676.52</v>
      </c>
      <c r="T429" s="197">
        <f>ROUND('[7]10.Energ_productos_Necesidad'!AY745,2)</f>
        <v>28296.16</v>
      </c>
      <c r="U429" s="197">
        <f>ROUND('[7]10.Energ_productos_Necesidad'!AZ745,2)</f>
        <v>28692.21</v>
      </c>
      <c r="V429" s="197">
        <f>ROUND('[7]10.Energ_productos_Necesidad'!BA745,2)</f>
        <v>31290.95</v>
      </c>
      <c r="W429" s="197">
        <f>ROUND('[7]10.Energ_productos_Necesidad'!BB745,2)</f>
        <v>35059.24</v>
      </c>
      <c r="X429" s="197">
        <f>ROUND('[7]10.Energ_productos_Necesidad'!BC745,2)</f>
        <v>36998.26</v>
      </c>
      <c r="Y429" s="197">
        <f>ROUND('[7]10.Energ_productos_Necesidad'!BD745,2)</f>
        <v>36456.870000000003</v>
      </c>
      <c r="Z429" s="197">
        <f>ROUND('[7]10.Energ_productos_Necesidad'!BE745,2)</f>
        <v>34990.51</v>
      </c>
      <c r="AA429" s="197">
        <f>ROUND('[7]10.Energ_productos_Necesidad'!BF745,2)</f>
        <v>32316.84</v>
      </c>
      <c r="AB429" s="197">
        <f>ROUND('[7]10.Energ_productos_Necesidad'!BG745,2)</f>
        <v>29631.919999999998</v>
      </c>
      <c r="AC429" s="210"/>
      <c r="AD429" s="185"/>
    </row>
    <row r="430" spans="2:30" s="186" customFormat="1" ht="18.649999999999999" customHeight="1" thickBot="1" x14ac:dyDescent="0.4">
      <c r="B430" s="268"/>
      <c r="C430" s="15" t="s">
        <v>32</v>
      </c>
      <c r="D430" s="12">
        <v>2</v>
      </c>
      <c r="E430" s="197">
        <f>ROUND('[7]10.Energ_productos_Necesidad'!AJ746,2)</f>
        <v>25430.43</v>
      </c>
      <c r="F430" s="197">
        <f>ROUND('[7]10.Energ_productos_Necesidad'!AK746,2)</f>
        <v>24149.08</v>
      </c>
      <c r="G430" s="197">
        <f>ROUND('[7]10.Energ_productos_Necesidad'!AL746,2)</f>
        <v>23021.31</v>
      </c>
      <c r="H430" s="197">
        <f>ROUND('[7]10.Energ_productos_Necesidad'!AM746,2)</f>
        <v>22349.51</v>
      </c>
      <c r="I430" s="197">
        <f>ROUND('[7]10.Energ_productos_Necesidad'!AN746,2)</f>
        <v>22068.58</v>
      </c>
      <c r="J430" s="197">
        <f>ROUND('[7]10.Energ_productos_Necesidad'!AO746,2)</f>
        <v>21457.99</v>
      </c>
      <c r="K430" s="197">
        <f>ROUND('[7]10.Energ_productos_Necesidad'!AP746,2)</f>
        <v>20831.57</v>
      </c>
      <c r="L430" s="197">
        <f>ROUND('[7]10.Energ_productos_Necesidad'!AQ746,2)</f>
        <v>21944.07</v>
      </c>
      <c r="M430" s="197">
        <f>ROUND('[7]10.Energ_productos_Necesidad'!AR746,2)</f>
        <v>23102.84</v>
      </c>
      <c r="N430" s="197">
        <f>ROUND('[7]10.Energ_productos_Necesidad'!AS746,2)</f>
        <v>24214.83</v>
      </c>
      <c r="O430" s="197">
        <f>ROUND('[7]10.Energ_productos_Necesidad'!AT746,2)</f>
        <v>25260.33</v>
      </c>
      <c r="P430" s="197">
        <f>ROUND('[7]10.Energ_productos_Necesidad'!AU746,2)</f>
        <v>26242.77</v>
      </c>
      <c r="Q430" s="197">
        <f>ROUND('[7]10.Energ_productos_Necesidad'!AV746,2)</f>
        <v>27027.89</v>
      </c>
      <c r="R430" s="197">
        <f>ROUND('[7]10.Energ_productos_Necesidad'!AW746,2)</f>
        <v>27333.51</v>
      </c>
      <c r="S430" s="197">
        <f>ROUND('[7]10.Energ_productos_Necesidad'!AX746,2)</f>
        <v>27676.52</v>
      </c>
      <c r="T430" s="197">
        <f>ROUND('[7]10.Energ_productos_Necesidad'!AY746,2)</f>
        <v>28296.16</v>
      </c>
      <c r="U430" s="197">
        <f>ROUND('[7]10.Energ_productos_Necesidad'!AZ746,2)</f>
        <v>28692.21</v>
      </c>
      <c r="V430" s="197">
        <f>ROUND('[7]10.Energ_productos_Necesidad'!BA746,2)</f>
        <v>31290.95</v>
      </c>
      <c r="W430" s="197">
        <f>ROUND('[7]10.Energ_productos_Necesidad'!BB746,2)</f>
        <v>35059.24</v>
      </c>
      <c r="X430" s="197">
        <f>ROUND('[7]10.Energ_productos_Necesidad'!BC746,2)</f>
        <v>36998.26</v>
      </c>
      <c r="Y430" s="197">
        <f>ROUND('[7]10.Energ_productos_Necesidad'!BD746,2)</f>
        <v>36456.870000000003</v>
      </c>
      <c r="Z430" s="197">
        <f>ROUND('[7]10.Energ_productos_Necesidad'!BE746,2)</f>
        <v>34990.51</v>
      </c>
      <c r="AA430" s="197">
        <f>ROUND('[7]10.Energ_productos_Necesidad'!BF746,2)</f>
        <v>32316.84</v>
      </c>
      <c r="AB430" s="197">
        <f>ROUND('[7]10.Energ_productos_Necesidad'!BG746,2)</f>
        <v>29631.919999999998</v>
      </c>
      <c r="AC430" s="210"/>
      <c r="AD430" s="185"/>
    </row>
    <row r="431" spans="2:30" s="186" customFormat="1" ht="18.649999999999999" customHeight="1" x14ac:dyDescent="0.35">
      <c r="B431" s="207">
        <v>51349</v>
      </c>
      <c r="C431" s="6" t="s">
        <v>29</v>
      </c>
      <c r="D431" s="7">
        <v>21</v>
      </c>
      <c r="E431" s="196">
        <f>ROUND('[7]10.Energ_productos_Necesidad'!AJ747,2)</f>
        <v>26665.27</v>
      </c>
      <c r="F431" s="196">
        <f>ROUND('[7]10.Energ_productos_Necesidad'!AK747,2)</f>
        <v>25089.63</v>
      </c>
      <c r="G431" s="196">
        <f>ROUND('[7]10.Energ_productos_Necesidad'!AL747,2)</f>
        <v>23970.34</v>
      </c>
      <c r="H431" s="196">
        <f>ROUND('[7]10.Energ_productos_Necesidad'!AM747,2)</f>
        <v>23201.54</v>
      </c>
      <c r="I431" s="196">
        <f>ROUND('[7]10.Energ_productos_Necesidad'!AN747,2)</f>
        <v>23146.85</v>
      </c>
      <c r="J431" s="196">
        <f>ROUND('[7]10.Energ_productos_Necesidad'!AO747,2)</f>
        <v>23930.16</v>
      </c>
      <c r="K431" s="196">
        <f>ROUND('[7]10.Energ_productos_Necesidad'!AP747,2)</f>
        <v>24112.49</v>
      </c>
      <c r="L431" s="196">
        <f>ROUND('[7]10.Energ_productos_Necesidad'!AQ747,2)</f>
        <v>26761.91</v>
      </c>
      <c r="M431" s="196">
        <f>ROUND('[7]10.Energ_productos_Necesidad'!AR747,2)</f>
        <v>29356.9</v>
      </c>
      <c r="N431" s="196">
        <f>ROUND('[7]10.Energ_productos_Necesidad'!AS747,2)</f>
        <v>30647.46</v>
      </c>
      <c r="O431" s="196">
        <f>ROUND('[7]10.Energ_productos_Necesidad'!AT747,2)</f>
        <v>32470.94</v>
      </c>
      <c r="P431" s="196">
        <f>ROUND('[7]10.Energ_productos_Necesidad'!AU747,2)</f>
        <v>34097.35</v>
      </c>
      <c r="Q431" s="196">
        <f>ROUND('[7]10.Energ_productos_Necesidad'!AV747,2)</f>
        <v>32648.2</v>
      </c>
      <c r="R431" s="196">
        <f>ROUND('[7]10.Energ_productos_Necesidad'!AW747,2)</f>
        <v>33910.49</v>
      </c>
      <c r="S431" s="196">
        <f>ROUND('[7]10.Energ_productos_Necesidad'!AX747,2)</f>
        <v>36270.89</v>
      </c>
      <c r="T431" s="196">
        <f>ROUND('[7]10.Energ_productos_Necesidad'!AY747,2)</f>
        <v>36703.69</v>
      </c>
      <c r="U431" s="196">
        <f>ROUND('[7]10.Energ_productos_Necesidad'!AZ747,2)</f>
        <v>36478.449999999997</v>
      </c>
      <c r="V431" s="196">
        <f>ROUND('[7]10.Energ_productos_Necesidad'!BA747,2)</f>
        <v>37534.910000000003</v>
      </c>
      <c r="W431" s="196">
        <f>ROUND('[7]10.Energ_productos_Necesidad'!BB747,2)</f>
        <v>39953.46</v>
      </c>
      <c r="X431" s="196">
        <f>ROUND('[7]10.Energ_productos_Necesidad'!BC747,2)</f>
        <v>40547.69</v>
      </c>
      <c r="Y431" s="196">
        <f>ROUND('[7]10.Energ_productos_Necesidad'!BD747,2)</f>
        <v>39450.17</v>
      </c>
      <c r="Z431" s="196">
        <f>ROUND('[7]10.Energ_productos_Necesidad'!BE747,2)</f>
        <v>37480.1</v>
      </c>
      <c r="AA431" s="196">
        <f>ROUND('[7]10.Energ_productos_Necesidad'!BF747,2)</f>
        <v>34439.49</v>
      </c>
      <c r="AB431" s="196">
        <f>ROUND('[7]10.Energ_productos_Necesidad'!BG747,2)</f>
        <v>31552.38</v>
      </c>
      <c r="AC431" s="209">
        <f>SUM(E431:AB431)*D431+SUM(E432:AB432)*D432+SUM(E433:AB433)*D433+SUM(E434:AB434)*D434</f>
        <v>22807847.879999995</v>
      </c>
      <c r="AD431" s="185"/>
    </row>
    <row r="432" spans="2:30" s="186" customFormat="1" ht="18.649999999999999" customHeight="1" x14ac:dyDescent="0.35">
      <c r="B432" s="267"/>
      <c r="C432" s="9" t="s">
        <v>30</v>
      </c>
      <c r="D432" s="10">
        <v>4</v>
      </c>
      <c r="E432" s="197">
        <f>ROUND('[7]10.Energ_productos_Necesidad'!AJ748,2)</f>
        <v>27014.41</v>
      </c>
      <c r="F432" s="197">
        <f>ROUND('[7]10.Energ_productos_Necesidad'!AK748,2)</f>
        <v>25535.37</v>
      </c>
      <c r="G432" s="197">
        <f>ROUND('[7]10.Energ_productos_Necesidad'!AL748,2)</f>
        <v>24436.07</v>
      </c>
      <c r="H432" s="197">
        <f>ROUND('[7]10.Energ_productos_Necesidad'!AM748,2)</f>
        <v>23582.92</v>
      </c>
      <c r="I432" s="197">
        <f>ROUND('[7]10.Energ_productos_Necesidad'!AN748,2)</f>
        <v>23039.11</v>
      </c>
      <c r="J432" s="197">
        <f>ROUND('[7]10.Energ_productos_Necesidad'!AO748,2)</f>
        <v>22782.82</v>
      </c>
      <c r="K432" s="197">
        <f>ROUND('[7]10.Energ_productos_Necesidad'!AP748,2)</f>
        <v>22705.14</v>
      </c>
      <c r="L432" s="197">
        <f>ROUND('[7]10.Energ_productos_Necesidad'!AQ748,2)</f>
        <v>25073.48</v>
      </c>
      <c r="M432" s="197">
        <f>ROUND('[7]10.Energ_productos_Necesidad'!AR748,2)</f>
        <v>27404.85</v>
      </c>
      <c r="N432" s="197">
        <f>ROUND('[7]10.Energ_productos_Necesidad'!AS748,2)</f>
        <v>28957.45</v>
      </c>
      <c r="O432" s="197">
        <f>ROUND('[7]10.Energ_productos_Necesidad'!AT748,2)</f>
        <v>30319.84</v>
      </c>
      <c r="P432" s="197">
        <f>ROUND('[7]10.Energ_productos_Necesidad'!AU748,2)</f>
        <v>30759.02</v>
      </c>
      <c r="Q432" s="197">
        <f>ROUND('[7]10.Energ_productos_Necesidad'!AV748,2)</f>
        <v>30214.26</v>
      </c>
      <c r="R432" s="197">
        <f>ROUND('[7]10.Energ_productos_Necesidad'!AW748,2)</f>
        <v>29874.29</v>
      </c>
      <c r="S432" s="197">
        <f>ROUND('[7]10.Energ_productos_Necesidad'!AX748,2)</f>
        <v>30423.43</v>
      </c>
      <c r="T432" s="197">
        <f>ROUND('[7]10.Energ_productos_Necesidad'!AY748,2)</f>
        <v>30796.11</v>
      </c>
      <c r="U432" s="197">
        <f>ROUND('[7]10.Energ_productos_Necesidad'!AZ748,2)</f>
        <v>31016.23</v>
      </c>
      <c r="V432" s="197">
        <f>ROUND('[7]10.Energ_productos_Necesidad'!BA748,2)</f>
        <v>33744.15</v>
      </c>
      <c r="W432" s="197">
        <f>ROUND('[7]10.Energ_productos_Necesidad'!BB748,2)</f>
        <v>37399.17</v>
      </c>
      <c r="X432" s="197">
        <f>ROUND('[7]10.Energ_productos_Necesidad'!BC748,2)</f>
        <v>37636.19</v>
      </c>
      <c r="Y432" s="197">
        <f>ROUND('[7]10.Energ_productos_Necesidad'!BD748,2)</f>
        <v>36281.040000000001</v>
      </c>
      <c r="Z432" s="197">
        <f>ROUND('[7]10.Energ_productos_Necesidad'!BE748,2)</f>
        <v>34681.43</v>
      </c>
      <c r="AA432" s="197">
        <f>ROUND('[7]10.Energ_productos_Necesidad'!BF748,2)</f>
        <v>32625.26</v>
      </c>
      <c r="AB432" s="197">
        <f>ROUND('[7]10.Energ_productos_Necesidad'!BG748,2)</f>
        <v>30345.41</v>
      </c>
      <c r="AC432" s="210"/>
      <c r="AD432" s="185"/>
    </row>
    <row r="433" spans="2:30" s="186" customFormat="1" ht="18.649999999999999" customHeight="1" x14ac:dyDescent="0.35">
      <c r="B433" s="267"/>
      <c r="C433" s="9" t="s">
        <v>31</v>
      </c>
      <c r="D433" s="10">
        <v>4</v>
      </c>
      <c r="E433" s="197">
        <f>ROUND('[7]10.Energ_productos_Necesidad'!AJ749,2)</f>
        <v>26335.82</v>
      </c>
      <c r="F433" s="197">
        <f>ROUND('[7]10.Energ_productos_Necesidad'!AK749,2)</f>
        <v>24969.54</v>
      </c>
      <c r="G433" s="197">
        <f>ROUND('[7]10.Energ_productos_Necesidad'!AL749,2)</f>
        <v>23764.880000000001</v>
      </c>
      <c r="H433" s="197">
        <f>ROUND('[7]10.Energ_productos_Necesidad'!AM749,2)</f>
        <v>23067.91</v>
      </c>
      <c r="I433" s="197">
        <f>ROUND('[7]10.Energ_productos_Necesidad'!AN749,2)</f>
        <v>22686.5</v>
      </c>
      <c r="J433" s="197">
        <f>ROUND('[7]10.Energ_productos_Necesidad'!AO749,2)</f>
        <v>22309.65</v>
      </c>
      <c r="K433" s="197">
        <f>ROUND('[7]10.Energ_productos_Necesidad'!AP749,2)</f>
        <v>21570.05</v>
      </c>
      <c r="L433" s="197">
        <f>ROUND('[7]10.Energ_productos_Necesidad'!AQ749,2)</f>
        <v>22680.33</v>
      </c>
      <c r="M433" s="197">
        <f>ROUND('[7]10.Energ_productos_Necesidad'!AR749,2)</f>
        <v>23724.1</v>
      </c>
      <c r="N433" s="197">
        <f>ROUND('[7]10.Energ_productos_Necesidad'!AS749,2)</f>
        <v>24782.95</v>
      </c>
      <c r="O433" s="197">
        <f>ROUND('[7]10.Energ_productos_Necesidad'!AT749,2)</f>
        <v>25775.75</v>
      </c>
      <c r="P433" s="197">
        <f>ROUND('[7]10.Energ_productos_Necesidad'!AU749,2)</f>
        <v>26683.69</v>
      </c>
      <c r="Q433" s="197">
        <f>ROUND('[7]10.Energ_productos_Necesidad'!AV749,2)</f>
        <v>27282.04</v>
      </c>
      <c r="R433" s="197">
        <f>ROUND('[7]10.Energ_productos_Necesidad'!AW749,2)</f>
        <v>27489.87</v>
      </c>
      <c r="S433" s="197">
        <f>ROUND('[7]10.Energ_productos_Necesidad'!AX749,2)</f>
        <v>27824.16</v>
      </c>
      <c r="T433" s="197">
        <f>ROUND('[7]10.Energ_productos_Necesidad'!AY749,2)</f>
        <v>28255.64</v>
      </c>
      <c r="U433" s="197">
        <f>ROUND('[7]10.Energ_productos_Necesidad'!AZ749,2)</f>
        <v>28711.63</v>
      </c>
      <c r="V433" s="197">
        <f>ROUND('[7]10.Energ_productos_Necesidad'!BA749,2)</f>
        <v>31653.37</v>
      </c>
      <c r="W433" s="197">
        <f>ROUND('[7]10.Energ_productos_Necesidad'!BB749,2)</f>
        <v>35744.480000000003</v>
      </c>
      <c r="X433" s="197">
        <f>ROUND('[7]10.Energ_productos_Necesidad'!BC749,2)</f>
        <v>37229.53</v>
      </c>
      <c r="Y433" s="197">
        <f>ROUND('[7]10.Energ_productos_Necesidad'!BD749,2)</f>
        <v>36957.68</v>
      </c>
      <c r="Z433" s="197">
        <f>ROUND('[7]10.Energ_productos_Necesidad'!BE749,2)</f>
        <v>35699.31</v>
      </c>
      <c r="AA433" s="197">
        <f>ROUND('[7]10.Energ_productos_Necesidad'!BF749,2)</f>
        <v>33136.400000000001</v>
      </c>
      <c r="AB433" s="197">
        <f>ROUND('[7]10.Energ_productos_Necesidad'!BG749,2)</f>
        <v>30401.74</v>
      </c>
      <c r="AC433" s="210"/>
      <c r="AD433" s="185"/>
    </row>
    <row r="434" spans="2:30" s="186" customFormat="1" ht="18.649999999999999" customHeight="1" thickBot="1" x14ac:dyDescent="0.4">
      <c r="B434" s="268"/>
      <c r="C434" s="11" t="s">
        <v>32</v>
      </c>
      <c r="D434" s="12">
        <v>2</v>
      </c>
      <c r="E434" s="201">
        <f>ROUND('[7]10.Energ_productos_Necesidad'!AJ750,2)</f>
        <v>26335.82</v>
      </c>
      <c r="F434" s="201">
        <f>ROUND('[7]10.Energ_productos_Necesidad'!AK750,2)</f>
        <v>24969.54</v>
      </c>
      <c r="G434" s="201">
        <f>ROUND('[7]10.Energ_productos_Necesidad'!AL750,2)</f>
        <v>23764.880000000001</v>
      </c>
      <c r="H434" s="201">
        <f>ROUND('[7]10.Energ_productos_Necesidad'!AM750,2)</f>
        <v>23067.91</v>
      </c>
      <c r="I434" s="201">
        <f>ROUND('[7]10.Energ_productos_Necesidad'!AN750,2)</f>
        <v>22686.5</v>
      </c>
      <c r="J434" s="201">
        <f>ROUND('[7]10.Energ_productos_Necesidad'!AO750,2)</f>
        <v>22309.65</v>
      </c>
      <c r="K434" s="201">
        <f>ROUND('[7]10.Energ_productos_Necesidad'!AP750,2)</f>
        <v>21570.05</v>
      </c>
      <c r="L434" s="201">
        <f>ROUND('[7]10.Energ_productos_Necesidad'!AQ750,2)</f>
        <v>22680.33</v>
      </c>
      <c r="M434" s="201">
        <f>ROUND('[7]10.Energ_productos_Necesidad'!AR750,2)</f>
        <v>23724.1</v>
      </c>
      <c r="N434" s="201">
        <f>ROUND('[7]10.Energ_productos_Necesidad'!AS750,2)</f>
        <v>24782.95</v>
      </c>
      <c r="O434" s="201">
        <f>ROUND('[7]10.Energ_productos_Necesidad'!AT750,2)</f>
        <v>25775.75</v>
      </c>
      <c r="P434" s="201">
        <f>ROUND('[7]10.Energ_productos_Necesidad'!AU750,2)</f>
        <v>26683.69</v>
      </c>
      <c r="Q434" s="201">
        <f>ROUND('[7]10.Energ_productos_Necesidad'!AV750,2)</f>
        <v>27282.04</v>
      </c>
      <c r="R434" s="201">
        <f>ROUND('[7]10.Energ_productos_Necesidad'!AW750,2)</f>
        <v>27489.87</v>
      </c>
      <c r="S434" s="201">
        <f>ROUND('[7]10.Energ_productos_Necesidad'!AX750,2)</f>
        <v>27824.16</v>
      </c>
      <c r="T434" s="201">
        <f>ROUND('[7]10.Energ_productos_Necesidad'!AY750,2)</f>
        <v>28255.64</v>
      </c>
      <c r="U434" s="201">
        <f>ROUND('[7]10.Energ_productos_Necesidad'!AZ750,2)</f>
        <v>28711.63</v>
      </c>
      <c r="V434" s="201">
        <f>ROUND('[7]10.Energ_productos_Necesidad'!BA750,2)</f>
        <v>31653.37</v>
      </c>
      <c r="W434" s="201">
        <f>ROUND('[7]10.Energ_productos_Necesidad'!BB750,2)</f>
        <v>35744.480000000003</v>
      </c>
      <c r="X434" s="201">
        <f>ROUND('[7]10.Energ_productos_Necesidad'!BC750,2)</f>
        <v>37229.53</v>
      </c>
      <c r="Y434" s="201">
        <f>ROUND('[7]10.Energ_productos_Necesidad'!BD750,2)</f>
        <v>36957.68</v>
      </c>
      <c r="Z434" s="201">
        <f>ROUND('[7]10.Energ_productos_Necesidad'!BE750,2)</f>
        <v>35699.31</v>
      </c>
      <c r="AA434" s="201">
        <f>ROUND('[7]10.Energ_productos_Necesidad'!BF750,2)</f>
        <v>33136.400000000001</v>
      </c>
      <c r="AB434" s="201">
        <f>ROUND('[7]10.Energ_productos_Necesidad'!BG750,2)</f>
        <v>30401.74</v>
      </c>
      <c r="AC434" s="214"/>
      <c r="AD434" s="185"/>
    </row>
    <row r="435" spans="2:30" s="186" customFormat="1" ht="18.649999999999999" customHeight="1" x14ac:dyDescent="0.35">
      <c r="B435" s="207">
        <v>51380</v>
      </c>
      <c r="C435" s="13" t="s">
        <v>29</v>
      </c>
      <c r="D435" s="14">
        <v>20</v>
      </c>
      <c r="E435" s="200">
        <f>ROUND('[7]10.Energ_productos_Necesidad'!AJ751,2)</f>
        <v>26581.68</v>
      </c>
      <c r="F435" s="200">
        <f>ROUND('[7]10.Energ_productos_Necesidad'!AK751,2)</f>
        <v>25075.599999999999</v>
      </c>
      <c r="G435" s="200">
        <f>ROUND('[7]10.Energ_productos_Necesidad'!AL751,2)</f>
        <v>23957.19</v>
      </c>
      <c r="H435" s="200">
        <f>ROUND('[7]10.Energ_productos_Necesidad'!AM751,2)</f>
        <v>23132.33</v>
      </c>
      <c r="I435" s="200">
        <f>ROUND('[7]10.Energ_productos_Necesidad'!AN751,2)</f>
        <v>23062.45</v>
      </c>
      <c r="J435" s="200">
        <f>ROUND('[7]10.Energ_productos_Necesidad'!AO751,2)</f>
        <v>23818.48</v>
      </c>
      <c r="K435" s="200">
        <f>ROUND('[7]10.Energ_productos_Necesidad'!AP751,2)</f>
        <v>24033.29</v>
      </c>
      <c r="L435" s="200">
        <f>ROUND('[7]10.Energ_productos_Necesidad'!AQ751,2)</f>
        <v>26813.4</v>
      </c>
      <c r="M435" s="200">
        <f>ROUND('[7]10.Energ_productos_Necesidad'!AR751,2)</f>
        <v>29551.45</v>
      </c>
      <c r="N435" s="200">
        <f>ROUND('[7]10.Energ_productos_Necesidad'!AS751,2)</f>
        <v>30906.67</v>
      </c>
      <c r="O435" s="200">
        <f>ROUND('[7]10.Energ_productos_Necesidad'!AT751,2)</f>
        <v>32477.75</v>
      </c>
      <c r="P435" s="200">
        <f>ROUND('[7]10.Energ_productos_Necesidad'!AU751,2)</f>
        <v>33948.47</v>
      </c>
      <c r="Q435" s="200">
        <f>ROUND('[7]10.Energ_productos_Necesidad'!AV751,2)</f>
        <v>32680.2</v>
      </c>
      <c r="R435" s="200">
        <f>ROUND('[7]10.Energ_productos_Necesidad'!AW751,2)</f>
        <v>33787.49</v>
      </c>
      <c r="S435" s="200">
        <f>ROUND('[7]10.Energ_productos_Necesidad'!AX751,2)</f>
        <v>35986.28</v>
      </c>
      <c r="T435" s="200">
        <f>ROUND('[7]10.Energ_productos_Necesidad'!AY751,2)</f>
        <v>36426.639999999999</v>
      </c>
      <c r="U435" s="200">
        <f>ROUND('[7]10.Energ_productos_Necesidad'!AZ751,2)</f>
        <v>36255.910000000003</v>
      </c>
      <c r="V435" s="200">
        <f>ROUND('[7]10.Energ_productos_Necesidad'!BA751,2)</f>
        <v>37687.96</v>
      </c>
      <c r="W435" s="200">
        <f>ROUND('[7]10.Energ_productos_Necesidad'!BB751,2)</f>
        <v>40247.54</v>
      </c>
      <c r="X435" s="200">
        <f>ROUND('[7]10.Energ_productos_Necesidad'!BC751,2)</f>
        <v>39874.699999999997</v>
      </c>
      <c r="Y435" s="200">
        <f>ROUND('[7]10.Energ_productos_Necesidad'!BD751,2)</f>
        <v>38654.42</v>
      </c>
      <c r="Z435" s="200">
        <f>ROUND('[7]10.Energ_productos_Necesidad'!BE751,2)</f>
        <v>36609.5</v>
      </c>
      <c r="AA435" s="200">
        <f>ROUND('[7]10.Energ_productos_Necesidad'!BF751,2)</f>
        <v>33527.29</v>
      </c>
      <c r="AB435" s="200">
        <f>ROUND('[7]10.Energ_productos_Necesidad'!BG751,2)</f>
        <v>30709.18</v>
      </c>
      <c r="AC435" s="210">
        <f>SUM(E435:AB435)*D435+SUM(E436:AB436)*D436+SUM(E437:AB437)*D437+SUM(E438:AB438)*D438</f>
        <v>21963926.950000003</v>
      </c>
      <c r="AD435" s="185"/>
    </row>
    <row r="436" spans="2:30" s="186" customFormat="1" ht="18.649999999999999" customHeight="1" x14ac:dyDescent="0.35">
      <c r="B436" s="267"/>
      <c r="C436" s="9" t="s">
        <v>30</v>
      </c>
      <c r="D436" s="10">
        <v>5</v>
      </c>
      <c r="E436" s="197">
        <f>ROUND('[7]10.Energ_productos_Necesidad'!AJ752,2)</f>
        <v>25712.68</v>
      </c>
      <c r="F436" s="197">
        <f>ROUND('[7]10.Energ_productos_Necesidad'!AK752,2)</f>
        <v>24315.17</v>
      </c>
      <c r="G436" s="197">
        <f>ROUND('[7]10.Energ_productos_Necesidad'!AL752,2)</f>
        <v>23258.39</v>
      </c>
      <c r="H436" s="197">
        <f>ROUND('[7]10.Energ_productos_Necesidad'!AM752,2)</f>
        <v>22480.91</v>
      </c>
      <c r="I436" s="197">
        <f>ROUND('[7]10.Energ_productos_Necesidad'!AN752,2)</f>
        <v>22250.07</v>
      </c>
      <c r="J436" s="197">
        <f>ROUND('[7]10.Energ_productos_Necesidad'!AO752,2)</f>
        <v>22087.75</v>
      </c>
      <c r="K436" s="197">
        <f>ROUND('[7]10.Energ_productos_Necesidad'!AP752,2)</f>
        <v>22237.67</v>
      </c>
      <c r="L436" s="197">
        <f>ROUND('[7]10.Energ_productos_Necesidad'!AQ752,2)</f>
        <v>24824.33</v>
      </c>
      <c r="M436" s="197">
        <f>ROUND('[7]10.Energ_productos_Necesidad'!AR752,2)</f>
        <v>27441.82</v>
      </c>
      <c r="N436" s="197">
        <f>ROUND('[7]10.Energ_productos_Necesidad'!AS752,2)</f>
        <v>28695.88</v>
      </c>
      <c r="O436" s="197">
        <f>ROUND('[7]10.Energ_productos_Necesidad'!AT752,2)</f>
        <v>30420.32</v>
      </c>
      <c r="P436" s="197">
        <f>ROUND('[7]10.Energ_productos_Necesidad'!AU752,2)</f>
        <v>31211.47</v>
      </c>
      <c r="Q436" s="197">
        <f>ROUND('[7]10.Energ_productos_Necesidad'!AV752,2)</f>
        <v>30871.13</v>
      </c>
      <c r="R436" s="197">
        <f>ROUND('[7]10.Energ_productos_Necesidad'!AW752,2)</f>
        <v>30535.68</v>
      </c>
      <c r="S436" s="197">
        <f>ROUND('[7]10.Energ_productos_Necesidad'!AX752,2)</f>
        <v>30905.91</v>
      </c>
      <c r="T436" s="197">
        <f>ROUND('[7]10.Energ_productos_Necesidad'!AY752,2)</f>
        <v>31014.95</v>
      </c>
      <c r="U436" s="197">
        <f>ROUND('[7]10.Energ_productos_Necesidad'!AZ752,2)</f>
        <v>31056.66</v>
      </c>
      <c r="V436" s="197">
        <f>ROUND('[7]10.Energ_productos_Necesidad'!BA752,2)</f>
        <v>34326.269999999997</v>
      </c>
      <c r="W436" s="197">
        <f>ROUND('[7]10.Energ_productos_Necesidad'!BB752,2)</f>
        <v>38166.959999999999</v>
      </c>
      <c r="X436" s="197">
        <f>ROUND('[7]10.Energ_productos_Necesidad'!BC752,2)</f>
        <v>37868.769999999997</v>
      </c>
      <c r="Y436" s="197">
        <f>ROUND('[7]10.Energ_productos_Necesidad'!BD752,2)</f>
        <v>36569.42</v>
      </c>
      <c r="Z436" s="197">
        <f>ROUND('[7]10.Energ_productos_Necesidad'!BE752,2)</f>
        <v>34945.870000000003</v>
      </c>
      <c r="AA436" s="197">
        <f>ROUND('[7]10.Energ_productos_Necesidad'!BF752,2)</f>
        <v>33097.22</v>
      </c>
      <c r="AB436" s="197">
        <f>ROUND('[7]10.Energ_productos_Necesidad'!BG752,2)</f>
        <v>30830.41</v>
      </c>
      <c r="AC436" s="210"/>
      <c r="AD436" s="185"/>
    </row>
    <row r="437" spans="2:30" s="186" customFormat="1" ht="18.649999999999999" customHeight="1" x14ac:dyDescent="0.35">
      <c r="B437" s="267"/>
      <c r="C437" s="9" t="s">
        <v>31</v>
      </c>
      <c r="D437" s="10">
        <v>5</v>
      </c>
      <c r="E437" s="197">
        <f>ROUND('[7]10.Energ_productos_Necesidad'!AJ753,2)</f>
        <v>26453.57</v>
      </c>
      <c r="F437" s="197">
        <f>ROUND('[7]10.Energ_productos_Necesidad'!AK753,2)</f>
        <v>25011.49</v>
      </c>
      <c r="G437" s="197">
        <f>ROUND('[7]10.Energ_productos_Necesidad'!AL753,2)</f>
        <v>23752.5</v>
      </c>
      <c r="H437" s="197">
        <f>ROUND('[7]10.Energ_productos_Necesidad'!AM753,2)</f>
        <v>22918.09</v>
      </c>
      <c r="I437" s="197">
        <f>ROUND('[7]10.Energ_productos_Necesidad'!AN753,2)</f>
        <v>22554.19</v>
      </c>
      <c r="J437" s="197">
        <f>ROUND('[7]10.Energ_productos_Necesidad'!AO753,2)</f>
        <v>21868.46</v>
      </c>
      <c r="K437" s="197">
        <f>ROUND('[7]10.Energ_productos_Necesidad'!AP753,2)</f>
        <v>21102.94</v>
      </c>
      <c r="L437" s="197">
        <f>ROUND('[7]10.Energ_productos_Necesidad'!AQ753,2)</f>
        <v>22415.29</v>
      </c>
      <c r="M437" s="197">
        <f>ROUND('[7]10.Energ_productos_Necesidad'!AR753,2)</f>
        <v>23535.49</v>
      </c>
      <c r="N437" s="197">
        <f>ROUND('[7]10.Energ_productos_Necesidad'!AS753,2)</f>
        <v>24824.46</v>
      </c>
      <c r="O437" s="197">
        <f>ROUND('[7]10.Energ_productos_Necesidad'!AT753,2)</f>
        <v>25873.19</v>
      </c>
      <c r="P437" s="197">
        <f>ROUND('[7]10.Energ_productos_Necesidad'!AU753,2)</f>
        <v>26584.92</v>
      </c>
      <c r="Q437" s="197">
        <f>ROUND('[7]10.Energ_productos_Necesidad'!AV753,2)</f>
        <v>27292.79</v>
      </c>
      <c r="R437" s="197">
        <f>ROUND('[7]10.Energ_productos_Necesidad'!AW753,2)</f>
        <v>27474.83</v>
      </c>
      <c r="S437" s="197">
        <f>ROUND('[7]10.Energ_productos_Necesidad'!AX753,2)</f>
        <v>27613.78</v>
      </c>
      <c r="T437" s="197">
        <f>ROUND('[7]10.Energ_productos_Necesidad'!AY753,2)</f>
        <v>28202.53</v>
      </c>
      <c r="U437" s="197">
        <f>ROUND('[7]10.Energ_productos_Necesidad'!AZ753,2)</f>
        <v>28595.07</v>
      </c>
      <c r="V437" s="197">
        <f>ROUND('[7]10.Energ_productos_Necesidad'!BA753,2)</f>
        <v>31953.31</v>
      </c>
      <c r="W437" s="197">
        <f>ROUND('[7]10.Energ_productos_Necesidad'!BB753,2)</f>
        <v>36129.949999999997</v>
      </c>
      <c r="X437" s="197">
        <f>ROUND('[7]10.Energ_productos_Necesidad'!BC753,2)</f>
        <v>36702.449999999997</v>
      </c>
      <c r="Y437" s="197">
        <f>ROUND('[7]10.Energ_productos_Necesidad'!BD753,2)</f>
        <v>36270.22</v>
      </c>
      <c r="Z437" s="197">
        <f>ROUND('[7]10.Energ_productos_Necesidad'!BE753,2)</f>
        <v>34955.97</v>
      </c>
      <c r="AA437" s="197">
        <f>ROUND('[7]10.Energ_productos_Necesidad'!BF753,2)</f>
        <v>32499.119999999999</v>
      </c>
      <c r="AB437" s="197">
        <f>ROUND('[7]10.Energ_productos_Necesidad'!BG753,2)</f>
        <v>29851.59</v>
      </c>
      <c r="AC437" s="210"/>
      <c r="AD437" s="185"/>
    </row>
    <row r="438" spans="2:30" s="186" customFormat="1" ht="18.649999999999999" customHeight="1" thickBot="1" x14ac:dyDescent="0.4">
      <c r="B438" s="268"/>
      <c r="C438" s="15" t="s">
        <v>32</v>
      </c>
      <c r="D438" s="16">
        <v>0</v>
      </c>
      <c r="E438" s="199">
        <f>ROUND('[7]10.Energ_productos_Necesidad'!AJ754,2)</f>
        <v>0</v>
      </c>
      <c r="F438" s="199">
        <f>ROUND('[7]10.Energ_productos_Necesidad'!AK754,2)</f>
        <v>0</v>
      </c>
      <c r="G438" s="199">
        <f>ROUND('[7]10.Energ_productos_Necesidad'!AL754,2)</f>
        <v>0</v>
      </c>
      <c r="H438" s="199">
        <f>ROUND('[7]10.Energ_productos_Necesidad'!AM754,2)</f>
        <v>0</v>
      </c>
      <c r="I438" s="199">
        <f>ROUND('[7]10.Energ_productos_Necesidad'!AN754,2)</f>
        <v>0</v>
      </c>
      <c r="J438" s="199">
        <f>ROUND('[7]10.Energ_productos_Necesidad'!AO754,2)</f>
        <v>0</v>
      </c>
      <c r="K438" s="199">
        <f>ROUND('[7]10.Energ_productos_Necesidad'!AP754,2)</f>
        <v>0</v>
      </c>
      <c r="L438" s="199">
        <f>ROUND('[7]10.Energ_productos_Necesidad'!AQ754,2)</f>
        <v>0</v>
      </c>
      <c r="M438" s="199">
        <f>ROUND('[7]10.Energ_productos_Necesidad'!AR754,2)</f>
        <v>0</v>
      </c>
      <c r="N438" s="199">
        <f>ROUND('[7]10.Energ_productos_Necesidad'!AS754,2)</f>
        <v>0</v>
      </c>
      <c r="O438" s="199">
        <f>ROUND('[7]10.Energ_productos_Necesidad'!AT754,2)</f>
        <v>0</v>
      </c>
      <c r="P438" s="199">
        <f>ROUND('[7]10.Energ_productos_Necesidad'!AU754,2)</f>
        <v>0</v>
      </c>
      <c r="Q438" s="199">
        <f>ROUND('[7]10.Energ_productos_Necesidad'!AV754,2)</f>
        <v>0</v>
      </c>
      <c r="R438" s="199">
        <f>ROUND('[7]10.Energ_productos_Necesidad'!AW754,2)</f>
        <v>0</v>
      </c>
      <c r="S438" s="199">
        <f>ROUND('[7]10.Energ_productos_Necesidad'!AX754,2)</f>
        <v>0</v>
      </c>
      <c r="T438" s="199">
        <f>ROUND('[7]10.Energ_productos_Necesidad'!AY754,2)</f>
        <v>0</v>
      </c>
      <c r="U438" s="199">
        <f>ROUND('[7]10.Energ_productos_Necesidad'!AZ754,2)</f>
        <v>0</v>
      </c>
      <c r="V438" s="199">
        <f>ROUND('[7]10.Energ_productos_Necesidad'!BA754,2)</f>
        <v>0</v>
      </c>
      <c r="W438" s="199">
        <f>ROUND('[7]10.Energ_productos_Necesidad'!BB754,2)</f>
        <v>0</v>
      </c>
      <c r="X438" s="199">
        <f>ROUND('[7]10.Energ_productos_Necesidad'!BC754,2)</f>
        <v>0</v>
      </c>
      <c r="Y438" s="199">
        <f>ROUND('[7]10.Energ_productos_Necesidad'!BD754,2)</f>
        <v>0</v>
      </c>
      <c r="Z438" s="199">
        <f>ROUND('[7]10.Energ_productos_Necesidad'!BE754,2)</f>
        <v>0</v>
      </c>
      <c r="AA438" s="199">
        <f>ROUND('[7]10.Energ_productos_Necesidad'!BF754,2)</f>
        <v>0</v>
      </c>
      <c r="AB438" s="199">
        <f>ROUND('[7]10.Energ_productos_Necesidad'!BG754,2)</f>
        <v>0</v>
      </c>
      <c r="AC438" s="210"/>
      <c r="AD438" s="185"/>
    </row>
    <row r="439" spans="2:30" s="186" customFormat="1" ht="18.649999999999999" customHeight="1" x14ac:dyDescent="0.35">
      <c r="B439" s="207">
        <v>51410</v>
      </c>
      <c r="C439" s="6" t="s">
        <v>29</v>
      </c>
      <c r="D439" s="7">
        <v>22</v>
      </c>
      <c r="E439" s="196">
        <f>ROUND('[7]10.Energ_productos_Necesidad'!AJ755,2)</f>
        <v>25434.74</v>
      </c>
      <c r="F439" s="196">
        <f>ROUND('[7]10.Energ_productos_Necesidad'!AK755,2)</f>
        <v>23993.46</v>
      </c>
      <c r="G439" s="196">
        <f>ROUND('[7]10.Energ_productos_Necesidad'!AL755,2)</f>
        <v>22949.55</v>
      </c>
      <c r="H439" s="196">
        <f>ROUND('[7]10.Energ_productos_Necesidad'!AM755,2)</f>
        <v>22181.49</v>
      </c>
      <c r="I439" s="196">
        <f>ROUND('[7]10.Energ_productos_Necesidad'!AN755,2)</f>
        <v>22223.279999999999</v>
      </c>
      <c r="J439" s="196">
        <f>ROUND('[7]10.Energ_productos_Necesidad'!AO755,2)</f>
        <v>22888.1</v>
      </c>
      <c r="K439" s="196">
        <f>ROUND('[7]10.Energ_productos_Necesidad'!AP755,2)</f>
        <v>23393.72</v>
      </c>
      <c r="L439" s="196">
        <f>ROUND('[7]10.Energ_productos_Necesidad'!AQ755,2)</f>
        <v>26168.83</v>
      </c>
      <c r="M439" s="196">
        <f>ROUND('[7]10.Energ_productos_Necesidad'!AR755,2)</f>
        <v>28741.86</v>
      </c>
      <c r="N439" s="196">
        <f>ROUND('[7]10.Energ_productos_Necesidad'!AS755,2)</f>
        <v>30058.26</v>
      </c>
      <c r="O439" s="196">
        <f>ROUND('[7]10.Energ_productos_Necesidad'!AT755,2)</f>
        <v>31543.23</v>
      </c>
      <c r="P439" s="196">
        <f>ROUND('[7]10.Energ_productos_Necesidad'!AU755,2)</f>
        <v>32856.81</v>
      </c>
      <c r="Q439" s="196">
        <f>ROUND('[7]10.Energ_productos_Necesidad'!AV755,2)</f>
        <v>31351.439999999999</v>
      </c>
      <c r="R439" s="196">
        <f>ROUND('[7]10.Energ_productos_Necesidad'!AW755,2)</f>
        <v>32329.87</v>
      </c>
      <c r="S439" s="196">
        <f>ROUND('[7]10.Energ_productos_Necesidad'!AX755,2)</f>
        <v>34424.78</v>
      </c>
      <c r="T439" s="196">
        <f>ROUND('[7]10.Energ_productos_Necesidad'!AY755,2)</f>
        <v>35110.19</v>
      </c>
      <c r="U439" s="196">
        <f>ROUND('[7]10.Energ_productos_Necesidad'!AZ755,2)</f>
        <v>35233.660000000003</v>
      </c>
      <c r="V439" s="196">
        <f>ROUND('[7]10.Energ_productos_Necesidad'!BA755,2)</f>
        <v>37610.959999999999</v>
      </c>
      <c r="W439" s="196">
        <f>ROUND('[7]10.Energ_productos_Necesidad'!BB755,2)</f>
        <v>39971.21</v>
      </c>
      <c r="X439" s="196">
        <f>ROUND('[7]10.Energ_productos_Necesidad'!BC755,2)</f>
        <v>39096.120000000003</v>
      </c>
      <c r="Y439" s="196">
        <f>ROUND('[7]10.Energ_productos_Necesidad'!BD755,2)</f>
        <v>37690.68</v>
      </c>
      <c r="Z439" s="196">
        <f>ROUND('[7]10.Energ_productos_Necesidad'!BE755,2)</f>
        <v>35670.559999999998</v>
      </c>
      <c r="AA439" s="196">
        <f>ROUND('[7]10.Energ_productos_Necesidad'!BF755,2)</f>
        <v>32689.040000000001</v>
      </c>
      <c r="AB439" s="196">
        <f>ROUND('[7]10.Energ_productos_Necesidad'!BG755,2)</f>
        <v>29776.47</v>
      </c>
      <c r="AC439" s="209">
        <f>SUM(E439:AB439)*D439+SUM(E440:AB440)*D440+SUM(E441:AB441)*D441+SUM(E442:AB442)*D442</f>
        <v>22220390.02</v>
      </c>
      <c r="AD439" s="185"/>
    </row>
    <row r="440" spans="2:30" s="186" customFormat="1" ht="18.649999999999999" customHeight="1" x14ac:dyDescent="0.35">
      <c r="B440" s="267"/>
      <c r="C440" s="9" t="s">
        <v>30</v>
      </c>
      <c r="D440" s="10">
        <v>4</v>
      </c>
      <c r="E440" s="197">
        <f>ROUND('[7]10.Energ_productos_Necesidad'!AJ756,2)</f>
        <v>25837.94</v>
      </c>
      <c r="F440" s="197">
        <f>ROUND('[7]10.Energ_productos_Necesidad'!AK756,2)</f>
        <v>24260.11</v>
      </c>
      <c r="G440" s="197">
        <f>ROUND('[7]10.Energ_productos_Necesidad'!AL756,2)</f>
        <v>23008.71</v>
      </c>
      <c r="H440" s="197">
        <f>ROUND('[7]10.Energ_productos_Necesidad'!AM756,2)</f>
        <v>22227.79</v>
      </c>
      <c r="I440" s="197">
        <f>ROUND('[7]10.Energ_productos_Necesidad'!AN756,2)</f>
        <v>22196.84</v>
      </c>
      <c r="J440" s="197">
        <f>ROUND('[7]10.Energ_productos_Necesidad'!AO756,2)</f>
        <v>22073.71</v>
      </c>
      <c r="K440" s="197">
        <f>ROUND('[7]10.Energ_productos_Necesidad'!AP756,2)</f>
        <v>22320.11</v>
      </c>
      <c r="L440" s="197">
        <f>ROUND('[7]10.Energ_productos_Necesidad'!AQ756,2)</f>
        <v>24612.44</v>
      </c>
      <c r="M440" s="197">
        <f>ROUND('[7]10.Energ_productos_Necesidad'!AR756,2)</f>
        <v>27119.89</v>
      </c>
      <c r="N440" s="197">
        <f>ROUND('[7]10.Energ_productos_Necesidad'!AS756,2)</f>
        <v>28525.65</v>
      </c>
      <c r="O440" s="197">
        <f>ROUND('[7]10.Energ_productos_Necesidad'!AT756,2)</f>
        <v>30121.87</v>
      </c>
      <c r="P440" s="197">
        <f>ROUND('[7]10.Energ_productos_Necesidad'!AU756,2)</f>
        <v>30953.95</v>
      </c>
      <c r="Q440" s="197">
        <f>ROUND('[7]10.Energ_productos_Necesidad'!AV756,2)</f>
        <v>30341.42</v>
      </c>
      <c r="R440" s="197">
        <f>ROUND('[7]10.Energ_productos_Necesidad'!AW756,2)</f>
        <v>30024.38</v>
      </c>
      <c r="S440" s="197">
        <f>ROUND('[7]10.Energ_productos_Necesidad'!AX756,2)</f>
        <v>30519.38</v>
      </c>
      <c r="T440" s="197">
        <f>ROUND('[7]10.Energ_productos_Necesidad'!AY756,2)</f>
        <v>31122.39</v>
      </c>
      <c r="U440" s="197">
        <f>ROUND('[7]10.Energ_productos_Necesidad'!AZ756,2)</f>
        <v>31401.95</v>
      </c>
      <c r="V440" s="197">
        <f>ROUND('[7]10.Energ_productos_Necesidad'!BA756,2)</f>
        <v>34965.339999999997</v>
      </c>
      <c r="W440" s="197">
        <f>ROUND('[7]10.Energ_productos_Necesidad'!BB756,2)</f>
        <v>38251.14</v>
      </c>
      <c r="X440" s="197">
        <f>ROUND('[7]10.Energ_productos_Necesidad'!BC756,2)</f>
        <v>37532.660000000003</v>
      </c>
      <c r="Y440" s="197">
        <f>ROUND('[7]10.Energ_productos_Necesidad'!BD756,2)</f>
        <v>36098.400000000001</v>
      </c>
      <c r="Z440" s="197">
        <f>ROUND('[7]10.Energ_productos_Necesidad'!BE756,2)</f>
        <v>34306.25</v>
      </c>
      <c r="AA440" s="197">
        <f>ROUND('[7]10.Energ_productos_Necesidad'!BF756,2)</f>
        <v>32180.65</v>
      </c>
      <c r="AB440" s="197">
        <f>ROUND('[7]10.Energ_productos_Necesidad'!BG756,2)</f>
        <v>29901.48</v>
      </c>
      <c r="AC440" s="210"/>
      <c r="AD440" s="185"/>
    </row>
    <row r="441" spans="2:30" s="186" customFormat="1" ht="18.649999999999999" customHeight="1" x14ac:dyDescent="0.35">
      <c r="B441" s="267"/>
      <c r="C441" s="9" t="s">
        <v>31</v>
      </c>
      <c r="D441" s="10">
        <v>4</v>
      </c>
      <c r="E441" s="197">
        <f>ROUND('[7]10.Energ_productos_Necesidad'!AJ757,2)</f>
        <v>25700.37</v>
      </c>
      <c r="F441" s="197">
        <f>ROUND('[7]10.Energ_productos_Necesidad'!AK757,2)</f>
        <v>24247.5</v>
      </c>
      <c r="G441" s="197">
        <f>ROUND('[7]10.Energ_productos_Necesidad'!AL757,2)</f>
        <v>23081.9</v>
      </c>
      <c r="H441" s="197">
        <f>ROUND('[7]10.Energ_productos_Necesidad'!AM757,2)</f>
        <v>22368.07</v>
      </c>
      <c r="I441" s="197">
        <f>ROUND('[7]10.Energ_productos_Necesidad'!AN757,2)</f>
        <v>22030.17</v>
      </c>
      <c r="J441" s="197">
        <f>ROUND('[7]10.Energ_productos_Necesidad'!AO757,2)</f>
        <v>21505.64</v>
      </c>
      <c r="K441" s="197">
        <f>ROUND('[7]10.Energ_productos_Necesidad'!AP757,2)</f>
        <v>20719.93</v>
      </c>
      <c r="L441" s="197">
        <f>ROUND('[7]10.Energ_productos_Necesidad'!AQ757,2)</f>
        <v>21995.07</v>
      </c>
      <c r="M441" s="197">
        <f>ROUND('[7]10.Energ_productos_Necesidad'!AR757,2)</f>
        <v>23259.55</v>
      </c>
      <c r="N441" s="197">
        <f>ROUND('[7]10.Energ_productos_Necesidad'!AS757,2)</f>
        <v>24356.67</v>
      </c>
      <c r="O441" s="197">
        <f>ROUND('[7]10.Energ_productos_Necesidad'!AT757,2)</f>
        <v>25529.37</v>
      </c>
      <c r="P441" s="197">
        <f>ROUND('[7]10.Energ_productos_Necesidad'!AU757,2)</f>
        <v>26580.35</v>
      </c>
      <c r="Q441" s="197">
        <f>ROUND('[7]10.Energ_productos_Necesidad'!AV757,2)</f>
        <v>27155.74</v>
      </c>
      <c r="R441" s="197">
        <f>ROUND('[7]10.Energ_productos_Necesidad'!AW757,2)</f>
        <v>27315.37</v>
      </c>
      <c r="S441" s="197">
        <f>ROUND('[7]10.Energ_productos_Necesidad'!AX757,2)</f>
        <v>27658.7</v>
      </c>
      <c r="T441" s="197">
        <f>ROUND('[7]10.Energ_productos_Necesidad'!AY757,2)</f>
        <v>27816.65</v>
      </c>
      <c r="U441" s="197">
        <f>ROUND('[7]10.Energ_productos_Necesidad'!AZ757,2)</f>
        <v>28565.89</v>
      </c>
      <c r="V441" s="197">
        <f>ROUND('[7]10.Energ_productos_Necesidad'!BA757,2)</f>
        <v>32372.83</v>
      </c>
      <c r="W441" s="197">
        <f>ROUND('[7]10.Energ_productos_Necesidad'!BB757,2)</f>
        <v>36293.910000000003</v>
      </c>
      <c r="X441" s="197">
        <f>ROUND('[7]10.Energ_productos_Necesidad'!BC757,2)</f>
        <v>36532.57</v>
      </c>
      <c r="Y441" s="197">
        <f>ROUND('[7]10.Energ_productos_Necesidad'!BD757,2)</f>
        <v>35997.64</v>
      </c>
      <c r="Z441" s="197">
        <f>ROUND('[7]10.Energ_productos_Necesidad'!BE757,2)</f>
        <v>34615.339999999997</v>
      </c>
      <c r="AA441" s="197">
        <f>ROUND('[7]10.Energ_productos_Necesidad'!BF757,2)</f>
        <v>32064.31</v>
      </c>
      <c r="AB441" s="197">
        <f>ROUND('[7]10.Energ_productos_Necesidad'!BG757,2)</f>
        <v>29482.34</v>
      </c>
      <c r="AC441" s="210"/>
      <c r="AD441" s="185"/>
    </row>
    <row r="442" spans="2:30" s="186" customFormat="1" ht="18.649999999999999" customHeight="1" thickBot="1" x14ac:dyDescent="0.4">
      <c r="B442" s="268"/>
      <c r="C442" s="11" t="s">
        <v>32</v>
      </c>
      <c r="D442" s="12">
        <v>1</v>
      </c>
      <c r="E442" s="201">
        <f>ROUND('[7]10.Energ_productos_Necesidad'!AJ758,2)</f>
        <v>25700.37</v>
      </c>
      <c r="F442" s="201">
        <f>ROUND('[7]10.Energ_productos_Necesidad'!AK758,2)</f>
        <v>24247.5</v>
      </c>
      <c r="G442" s="201">
        <f>ROUND('[7]10.Energ_productos_Necesidad'!AL758,2)</f>
        <v>23081.9</v>
      </c>
      <c r="H442" s="201">
        <f>ROUND('[7]10.Energ_productos_Necesidad'!AM758,2)</f>
        <v>22368.07</v>
      </c>
      <c r="I442" s="201">
        <f>ROUND('[7]10.Energ_productos_Necesidad'!AN758,2)</f>
        <v>22030.17</v>
      </c>
      <c r="J442" s="201">
        <f>ROUND('[7]10.Energ_productos_Necesidad'!AO758,2)</f>
        <v>21505.64</v>
      </c>
      <c r="K442" s="201">
        <f>ROUND('[7]10.Energ_productos_Necesidad'!AP758,2)</f>
        <v>20719.93</v>
      </c>
      <c r="L442" s="201">
        <f>ROUND('[7]10.Energ_productos_Necesidad'!AQ758,2)</f>
        <v>21995.07</v>
      </c>
      <c r="M442" s="201">
        <f>ROUND('[7]10.Energ_productos_Necesidad'!AR758,2)</f>
        <v>23259.55</v>
      </c>
      <c r="N442" s="201">
        <f>ROUND('[7]10.Energ_productos_Necesidad'!AS758,2)</f>
        <v>24356.67</v>
      </c>
      <c r="O442" s="201">
        <f>ROUND('[7]10.Energ_productos_Necesidad'!AT758,2)</f>
        <v>25529.37</v>
      </c>
      <c r="P442" s="201">
        <f>ROUND('[7]10.Energ_productos_Necesidad'!AU758,2)</f>
        <v>26580.35</v>
      </c>
      <c r="Q442" s="201">
        <f>ROUND('[7]10.Energ_productos_Necesidad'!AV758,2)</f>
        <v>27155.74</v>
      </c>
      <c r="R442" s="201">
        <f>ROUND('[7]10.Energ_productos_Necesidad'!AW758,2)</f>
        <v>27315.37</v>
      </c>
      <c r="S442" s="201">
        <f>ROUND('[7]10.Energ_productos_Necesidad'!AX758,2)</f>
        <v>27658.7</v>
      </c>
      <c r="T442" s="201">
        <f>ROUND('[7]10.Energ_productos_Necesidad'!AY758,2)</f>
        <v>27816.65</v>
      </c>
      <c r="U442" s="201">
        <f>ROUND('[7]10.Energ_productos_Necesidad'!AZ758,2)</f>
        <v>28565.89</v>
      </c>
      <c r="V442" s="201">
        <f>ROUND('[7]10.Energ_productos_Necesidad'!BA758,2)</f>
        <v>32372.83</v>
      </c>
      <c r="W442" s="201">
        <f>ROUND('[7]10.Energ_productos_Necesidad'!BB758,2)</f>
        <v>36293.910000000003</v>
      </c>
      <c r="X442" s="201">
        <f>ROUND('[7]10.Energ_productos_Necesidad'!BC758,2)</f>
        <v>36532.57</v>
      </c>
      <c r="Y442" s="201">
        <f>ROUND('[7]10.Energ_productos_Necesidad'!BD758,2)</f>
        <v>35997.64</v>
      </c>
      <c r="Z442" s="201">
        <f>ROUND('[7]10.Energ_productos_Necesidad'!BE758,2)</f>
        <v>34615.339999999997</v>
      </c>
      <c r="AA442" s="201">
        <f>ROUND('[7]10.Energ_productos_Necesidad'!BF758,2)</f>
        <v>32064.31</v>
      </c>
      <c r="AB442" s="201">
        <f>ROUND('[7]10.Energ_productos_Necesidad'!BG758,2)</f>
        <v>29482.34</v>
      </c>
      <c r="AC442" s="214"/>
      <c r="AD442" s="185"/>
    </row>
    <row r="443" spans="2:30" s="186" customFormat="1" ht="18.649999999999999" customHeight="1" x14ac:dyDescent="0.35">
      <c r="B443" s="207">
        <v>51441</v>
      </c>
      <c r="C443" s="13" t="s">
        <v>29</v>
      </c>
      <c r="D443" s="14">
        <v>20</v>
      </c>
      <c r="E443" s="200">
        <f>ROUND('[7]10.Energ_productos_Necesidad'!AJ759,2)</f>
        <v>25147.96</v>
      </c>
      <c r="F443" s="200">
        <f>ROUND('[7]10.Energ_productos_Necesidad'!AK759,2)</f>
        <v>23750.19</v>
      </c>
      <c r="G443" s="200">
        <f>ROUND('[7]10.Energ_productos_Necesidad'!AL759,2)</f>
        <v>22719.47</v>
      </c>
      <c r="H443" s="200">
        <f>ROUND('[7]10.Energ_productos_Necesidad'!AM759,2)</f>
        <v>22020.77</v>
      </c>
      <c r="I443" s="200">
        <f>ROUND('[7]10.Energ_productos_Necesidad'!AN759,2)</f>
        <v>22065.68</v>
      </c>
      <c r="J443" s="200">
        <f>ROUND('[7]10.Energ_productos_Necesidad'!AO759,2)</f>
        <v>22733.57</v>
      </c>
      <c r="K443" s="200">
        <f>ROUND('[7]10.Energ_productos_Necesidad'!AP759,2)</f>
        <v>23262.959999999999</v>
      </c>
      <c r="L443" s="200">
        <f>ROUND('[7]10.Energ_productos_Necesidad'!AQ759,2)</f>
        <v>26213.040000000001</v>
      </c>
      <c r="M443" s="200">
        <f>ROUND('[7]10.Energ_productos_Necesidad'!AR759,2)</f>
        <v>28828.11</v>
      </c>
      <c r="N443" s="200">
        <f>ROUND('[7]10.Energ_productos_Necesidad'!AS759,2)</f>
        <v>30079.35</v>
      </c>
      <c r="O443" s="200">
        <f>ROUND('[7]10.Energ_productos_Necesidad'!AT759,2)</f>
        <v>31481.85</v>
      </c>
      <c r="P443" s="200">
        <f>ROUND('[7]10.Energ_productos_Necesidad'!AU759,2)</f>
        <v>32543.62</v>
      </c>
      <c r="Q443" s="200">
        <f>ROUND('[7]10.Energ_productos_Necesidad'!AV759,2)</f>
        <v>31121.81</v>
      </c>
      <c r="R443" s="200">
        <f>ROUND('[7]10.Energ_productos_Necesidad'!AW759,2)</f>
        <v>31945.11</v>
      </c>
      <c r="S443" s="200">
        <f>ROUND('[7]10.Energ_productos_Necesidad'!AX759,2)</f>
        <v>33784.04</v>
      </c>
      <c r="T443" s="200">
        <f>ROUND('[7]10.Energ_productos_Necesidad'!AY759,2)</f>
        <v>34483.82</v>
      </c>
      <c r="U443" s="200">
        <f>ROUND('[7]10.Energ_productos_Necesidad'!AZ759,2)</f>
        <v>34695.26</v>
      </c>
      <c r="V443" s="200">
        <f>ROUND('[7]10.Energ_productos_Necesidad'!BA759,2)</f>
        <v>37382.120000000003</v>
      </c>
      <c r="W443" s="200">
        <f>ROUND('[7]10.Energ_productos_Necesidad'!BB759,2)</f>
        <v>39201.17</v>
      </c>
      <c r="X443" s="200">
        <f>ROUND('[7]10.Energ_productos_Necesidad'!BC759,2)</f>
        <v>38317.870000000003</v>
      </c>
      <c r="Y443" s="200">
        <f>ROUND('[7]10.Energ_productos_Necesidad'!BD759,2)</f>
        <v>37024.21</v>
      </c>
      <c r="Z443" s="200">
        <f>ROUND('[7]10.Energ_productos_Necesidad'!BE759,2)</f>
        <v>35102.46</v>
      </c>
      <c r="AA443" s="200">
        <f>ROUND('[7]10.Energ_productos_Necesidad'!BF759,2)</f>
        <v>32272.71</v>
      </c>
      <c r="AB443" s="200">
        <f>ROUND('[7]10.Energ_productos_Necesidad'!BG759,2)</f>
        <v>29473.45</v>
      </c>
      <c r="AC443" s="210">
        <f>SUM(E443:AB443)*D443+SUM(E444:AB444)*D444+SUM(E445:AB445)*D445+SUM(E446:AB446)*D446</f>
        <v>21134931.079999994</v>
      </c>
      <c r="AD443" s="185"/>
    </row>
    <row r="444" spans="2:30" s="186" customFormat="1" ht="18.649999999999999" customHeight="1" x14ac:dyDescent="0.35">
      <c r="B444" s="267"/>
      <c r="C444" s="9" t="s">
        <v>30</v>
      </c>
      <c r="D444" s="10">
        <v>4</v>
      </c>
      <c r="E444" s="197">
        <f>ROUND('[7]10.Energ_productos_Necesidad'!AJ760,2)</f>
        <v>24407.7</v>
      </c>
      <c r="F444" s="197">
        <f>ROUND('[7]10.Energ_productos_Necesidad'!AK760,2)</f>
        <v>23137.95</v>
      </c>
      <c r="G444" s="197">
        <f>ROUND('[7]10.Energ_productos_Necesidad'!AL760,2)</f>
        <v>22226.13</v>
      </c>
      <c r="H444" s="197">
        <f>ROUND('[7]10.Energ_productos_Necesidad'!AM760,2)</f>
        <v>21630.6</v>
      </c>
      <c r="I444" s="197">
        <f>ROUND('[7]10.Energ_productos_Necesidad'!AN760,2)</f>
        <v>21592.83</v>
      </c>
      <c r="J444" s="197">
        <f>ROUND('[7]10.Energ_productos_Necesidad'!AO760,2)</f>
        <v>21500</v>
      </c>
      <c r="K444" s="197">
        <f>ROUND('[7]10.Energ_productos_Necesidad'!AP760,2)</f>
        <v>21760.16</v>
      </c>
      <c r="L444" s="197">
        <f>ROUND('[7]10.Energ_productos_Necesidad'!AQ760,2)</f>
        <v>24474.9</v>
      </c>
      <c r="M444" s="197">
        <f>ROUND('[7]10.Energ_productos_Necesidad'!AR760,2)</f>
        <v>27088.29</v>
      </c>
      <c r="N444" s="197">
        <f>ROUND('[7]10.Energ_productos_Necesidad'!AS760,2)</f>
        <v>28521.58</v>
      </c>
      <c r="O444" s="197">
        <f>ROUND('[7]10.Energ_productos_Necesidad'!AT760,2)</f>
        <v>30141.91</v>
      </c>
      <c r="P444" s="197">
        <f>ROUND('[7]10.Energ_productos_Necesidad'!AU760,2)</f>
        <v>30815.1</v>
      </c>
      <c r="Q444" s="197">
        <f>ROUND('[7]10.Energ_productos_Necesidad'!AV760,2)</f>
        <v>30230.59</v>
      </c>
      <c r="R444" s="197">
        <f>ROUND('[7]10.Energ_productos_Necesidad'!AW760,2)</f>
        <v>29606.74</v>
      </c>
      <c r="S444" s="197">
        <f>ROUND('[7]10.Energ_productos_Necesidad'!AX760,2)</f>
        <v>29486.81</v>
      </c>
      <c r="T444" s="197">
        <f>ROUND('[7]10.Energ_productos_Necesidad'!AY760,2)</f>
        <v>30010.37</v>
      </c>
      <c r="U444" s="197">
        <f>ROUND('[7]10.Energ_productos_Necesidad'!AZ760,2)</f>
        <v>30400.06</v>
      </c>
      <c r="V444" s="197">
        <f>ROUND('[7]10.Energ_productos_Necesidad'!BA760,2)</f>
        <v>34437.339999999997</v>
      </c>
      <c r="W444" s="197">
        <f>ROUND('[7]10.Energ_productos_Necesidad'!BB760,2)</f>
        <v>37235.93</v>
      </c>
      <c r="X444" s="197">
        <f>ROUND('[7]10.Energ_productos_Necesidad'!BC760,2)</f>
        <v>36605.58</v>
      </c>
      <c r="Y444" s="197">
        <f>ROUND('[7]10.Energ_productos_Necesidad'!BD760,2)</f>
        <v>35324.120000000003</v>
      </c>
      <c r="Z444" s="197">
        <f>ROUND('[7]10.Energ_productos_Necesidad'!BE760,2)</f>
        <v>33731.699999999997</v>
      </c>
      <c r="AA444" s="197">
        <f>ROUND('[7]10.Energ_productos_Necesidad'!BF760,2)</f>
        <v>31720.84</v>
      </c>
      <c r="AB444" s="197">
        <f>ROUND('[7]10.Energ_productos_Necesidad'!BG760,2)</f>
        <v>29436.11</v>
      </c>
      <c r="AC444" s="210"/>
      <c r="AD444" s="185"/>
    </row>
    <row r="445" spans="2:30" s="186" customFormat="1" ht="18.649999999999999" customHeight="1" x14ac:dyDescent="0.35">
      <c r="B445" s="267"/>
      <c r="C445" s="9" t="s">
        <v>31</v>
      </c>
      <c r="D445" s="10">
        <v>4</v>
      </c>
      <c r="E445" s="197">
        <f>ROUND('[7]10.Energ_productos_Necesidad'!AJ761,2)</f>
        <v>25477.07</v>
      </c>
      <c r="F445" s="197">
        <f>ROUND('[7]10.Energ_productos_Necesidad'!AK761,2)</f>
        <v>24183.66</v>
      </c>
      <c r="G445" s="197">
        <f>ROUND('[7]10.Energ_productos_Necesidad'!AL761,2)</f>
        <v>23040.400000000001</v>
      </c>
      <c r="H445" s="197">
        <f>ROUND('[7]10.Energ_productos_Necesidad'!AM761,2)</f>
        <v>22264.2</v>
      </c>
      <c r="I445" s="197">
        <f>ROUND('[7]10.Energ_productos_Necesidad'!AN761,2)</f>
        <v>21934.14</v>
      </c>
      <c r="J445" s="197">
        <f>ROUND('[7]10.Energ_productos_Necesidad'!AO761,2)</f>
        <v>21518.13</v>
      </c>
      <c r="K445" s="197">
        <f>ROUND('[7]10.Energ_productos_Necesidad'!AP761,2)</f>
        <v>20823.330000000002</v>
      </c>
      <c r="L445" s="197">
        <f>ROUND('[7]10.Energ_productos_Necesidad'!AQ761,2)</f>
        <v>22067.5</v>
      </c>
      <c r="M445" s="197">
        <f>ROUND('[7]10.Energ_productos_Necesidad'!AR761,2)</f>
        <v>23328.68</v>
      </c>
      <c r="N445" s="197">
        <f>ROUND('[7]10.Energ_productos_Necesidad'!AS761,2)</f>
        <v>24458.52</v>
      </c>
      <c r="O445" s="197">
        <f>ROUND('[7]10.Energ_productos_Necesidad'!AT761,2)</f>
        <v>25667.15</v>
      </c>
      <c r="P445" s="197">
        <f>ROUND('[7]10.Energ_productos_Necesidad'!AU761,2)</f>
        <v>26305.89</v>
      </c>
      <c r="Q445" s="197">
        <f>ROUND('[7]10.Energ_productos_Necesidad'!AV761,2)</f>
        <v>26862.65</v>
      </c>
      <c r="R445" s="197">
        <f>ROUND('[7]10.Energ_productos_Necesidad'!AW761,2)</f>
        <v>26918.66</v>
      </c>
      <c r="S445" s="197">
        <f>ROUND('[7]10.Energ_productos_Necesidad'!AX761,2)</f>
        <v>26954.82</v>
      </c>
      <c r="T445" s="197">
        <f>ROUND('[7]10.Energ_productos_Necesidad'!AY761,2)</f>
        <v>27325.75</v>
      </c>
      <c r="U445" s="197">
        <f>ROUND('[7]10.Energ_productos_Necesidad'!AZ761,2)</f>
        <v>27871.97</v>
      </c>
      <c r="V445" s="197">
        <f>ROUND('[7]10.Energ_productos_Necesidad'!BA761,2)</f>
        <v>32110.34</v>
      </c>
      <c r="W445" s="197">
        <f>ROUND('[7]10.Energ_productos_Necesidad'!BB761,2)</f>
        <v>35096.49</v>
      </c>
      <c r="X445" s="197">
        <f>ROUND('[7]10.Energ_productos_Necesidad'!BC761,2)</f>
        <v>35137.69</v>
      </c>
      <c r="Y445" s="197">
        <f>ROUND('[7]10.Energ_productos_Necesidad'!BD761,2)</f>
        <v>34374.97</v>
      </c>
      <c r="Z445" s="197">
        <f>ROUND('[7]10.Energ_productos_Necesidad'!BE761,2)</f>
        <v>33069.51</v>
      </c>
      <c r="AA445" s="197">
        <f>ROUND('[7]10.Energ_productos_Necesidad'!BF761,2)</f>
        <v>31016.47</v>
      </c>
      <c r="AB445" s="197">
        <f>ROUND('[7]10.Energ_productos_Necesidad'!BG761,2)</f>
        <v>28829.63</v>
      </c>
      <c r="AC445" s="210"/>
      <c r="AD445" s="185"/>
    </row>
    <row r="446" spans="2:30" s="186" customFormat="1" ht="18.649999999999999" customHeight="1" thickBot="1" x14ac:dyDescent="0.4">
      <c r="B446" s="268"/>
      <c r="C446" s="15" t="s">
        <v>32</v>
      </c>
      <c r="D446" s="16">
        <v>2</v>
      </c>
      <c r="E446" s="198">
        <f>ROUND('[7]10.Energ_productos_Necesidad'!AJ762,2)</f>
        <v>25477.07</v>
      </c>
      <c r="F446" s="198">
        <f>ROUND('[7]10.Energ_productos_Necesidad'!AK762,2)</f>
        <v>24183.66</v>
      </c>
      <c r="G446" s="198">
        <f>ROUND('[7]10.Energ_productos_Necesidad'!AL762,2)</f>
        <v>23040.400000000001</v>
      </c>
      <c r="H446" s="198">
        <f>ROUND('[7]10.Energ_productos_Necesidad'!AM762,2)</f>
        <v>22264.2</v>
      </c>
      <c r="I446" s="198">
        <f>ROUND('[7]10.Energ_productos_Necesidad'!AN762,2)</f>
        <v>21934.14</v>
      </c>
      <c r="J446" s="198">
        <f>ROUND('[7]10.Energ_productos_Necesidad'!AO762,2)</f>
        <v>21518.13</v>
      </c>
      <c r="K446" s="198">
        <f>ROUND('[7]10.Energ_productos_Necesidad'!AP762,2)</f>
        <v>20823.330000000002</v>
      </c>
      <c r="L446" s="198">
        <f>ROUND('[7]10.Energ_productos_Necesidad'!AQ762,2)</f>
        <v>22067.5</v>
      </c>
      <c r="M446" s="198">
        <f>ROUND('[7]10.Energ_productos_Necesidad'!AR762,2)</f>
        <v>23328.68</v>
      </c>
      <c r="N446" s="198">
        <f>ROUND('[7]10.Energ_productos_Necesidad'!AS762,2)</f>
        <v>24458.52</v>
      </c>
      <c r="O446" s="198">
        <f>ROUND('[7]10.Energ_productos_Necesidad'!AT762,2)</f>
        <v>25667.15</v>
      </c>
      <c r="P446" s="198">
        <f>ROUND('[7]10.Energ_productos_Necesidad'!AU762,2)</f>
        <v>26305.89</v>
      </c>
      <c r="Q446" s="198">
        <f>ROUND('[7]10.Energ_productos_Necesidad'!AV762,2)</f>
        <v>26862.65</v>
      </c>
      <c r="R446" s="198">
        <f>ROUND('[7]10.Energ_productos_Necesidad'!AW762,2)</f>
        <v>26918.66</v>
      </c>
      <c r="S446" s="198">
        <f>ROUND('[7]10.Energ_productos_Necesidad'!AX762,2)</f>
        <v>26954.82</v>
      </c>
      <c r="T446" s="198">
        <f>ROUND('[7]10.Energ_productos_Necesidad'!AY762,2)</f>
        <v>27325.75</v>
      </c>
      <c r="U446" s="198">
        <f>ROUND('[7]10.Energ_productos_Necesidad'!AZ762,2)</f>
        <v>27871.97</v>
      </c>
      <c r="V446" s="198">
        <f>ROUND('[7]10.Energ_productos_Necesidad'!BA762,2)</f>
        <v>32110.34</v>
      </c>
      <c r="W446" s="198">
        <f>ROUND('[7]10.Energ_productos_Necesidad'!BB762,2)</f>
        <v>35096.49</v>
      </c>
      <c r="X446" s="198">
        <f>ROUND('[7]10.Energ_productos_Necesidad'!BC762,2)</f>
        <v>35137.69</v>
      </c>
      <c r="Y446" s="198">
        <f>ROUND('[7]10.Energ_productos_Necesidad'!BD762,2)</f>
        <v>34374.97</v>
      </c>
      <c r="Z446" s="198">
        <f>ROUND('[7]10.Energ_productos_Necesidad'!BE762,2)</f>
        <v>33069.51</v>
      </c>
      <c r="AA446" s="198">
        <f>ROUND('[7]10.Energ_productos_Necesidad'!BF762,2)</f>
        <v>31016.47</v>
      </c>
      <c r="AB446" s="198">
        <f>ROUND('[7]10.Energ_productos_Necesidad'!BG762,2)</f>
        <v>28829.63</v>
      </c>
      <c r="AC446" s="210"/>
      <c r="AD446" s="185"/>
    </row>
    <row r="447" spans="2:30" s="186" customFormat="1" ht="18.649999999999999" customHeight="1" x14ac:dyDescent="0.35">
      <c r="B447" s="207">
        <v>51471</v>
      </c>
      <c r="C447" s="6" t="s">
        <v>29</v>
      </c>
      <c r="D447" s="7">
        <v>20</v>
      </c>
      <c r="E447" s="196">
        <f>ROUND('[7]10.Energ_productos_Necesidad'!AJ763,2)</f>
        <v>27051.4</v>
      </c>
      <c r="F447" s="196">
        <f>ROUND('[7]10.Energ_productos_Necesidad'!AK763,2)</f>
        <v>25455.9</v>
      </c>
      <c r="G447" s="196">
        <f>ROUND('[7]10.Energ_productos_Necesidad'!AL763,2)</f>
        <v>24300.68</v>
      </c>
      <c r="H447" s="196">
        <f>ROUND('[7]10.Energ_productos_Necesidad'!AM763,2)</f>
        <v>23585.71</v>
      </c>
      <c r="I447" s="196">
        <f>ROUND('[7]10.Energ_productos_Necesidad'!AN763,2)</f>
        <v>23471.22</v>
      </c>
      <c r="J447" s="196">
        <f>ROUND('[7]10.Energ_productos_Necesidad'!AO763,2)</f>
        <v>23900.48</v>
      </c>
      <c r="K447" s="196">
        <f>ROUND('[7]10.Energ_productos_Necesidad'!AP763,2)</f>
        <v>23988.04</v>
      </c>
      <c r="L447" s="196">
        <f>ROUND('[7]10.Energ_productos_Necesidad'!AQ763,2)</f>
        <v>26838.5</v>
      </c>
      <c r="M447" s="196">
        <f>ROUND('[7]10.Energ_productos_Necesidad'!AR763,2)</f>
        <v>29406.23</v>
      </c>
      <c r="N447" s="196">
        <f>ROUND('[7]10.Energ_productos_Necesidad'!AS763,2)</f>
        <v>30886.45</v>
      </c>
      <c r="O447" s="196">
        <f>ROUND('[7]10.Energ_productos_Necesidad'!AT763,2)</f>
        <v>32262.21</v>
      </c>
      <c r="P447" s="196">
        <f>ROUND('[7]10.Energ_productos_Necesidad'!AU763,2)</f>
        <v>33369.629999999997</v>
      </c>
      <c r="Q447" s="196">
        <f>ROUND('[7]10.Energ_productos_Necesidad'!AV763,2)</f>
        <v>32402.31</v>
      </c>
      <c r="R447" s="196">
        <f>ROUND('[7]10.Energ_productos_Necesidad'!AW763,2)</f>
        <v>32907.93</v>
      </c>
      <c r="S447" s="196">
        <f>ROUND('[7]10.Energ_productos_Necesidad'!AX763,2)</f>
        <v>34523.410000000003</v>
      </c>
      <c r="T447" s="196">
        <f>ROUND('[7]10.Energ_productos_Necesidad'!AY763,2)</f>
        <v>35221.53</v>
      </c>
      <c r="U447" s="196">
        <f>ROUND('[7]10.Energ_productos_Necesidad'!AZ763,2)</f>
        <v>35493.24</v>
      </c>
      <c r="V447" s="196">
        <f>ROUND('[7]10.Energ_productos_Necesidad'!BA763,2)</f>
        <v>38122.97</v>
      </c>
      <c r="W447" s="196">
        <f>ROUND('[7]10.Energ_productos_Necesidad'!BB763,2)</f>
        <v>41123.339999999997</v>
      </c>
      <c r="X447" s="196">
        <f>ROUND('[7]10.Energ_productos_Necesidad'!BC763,2)</f>
        <v>40349.71</v>
      </c>
      <c r="Y447" s="196">
        <f>ROUND('[7]10.Energ_productos_Necesidad'!BD763,2)</f>
        <v>38909.56</v>
      </c>
      <c r="Z447" s="196">
        <f>ROUND('[7]10.Energ_productos_Necesidad'!BE763,2)</f>
        <v>36819.769999999997</v>
      </c>
      <c r="AA447" s="196">
        <f>ROUND('[7]10.Energ_productos_Necesidad'!BF763,2)</f>
        <v>34166.94</v>
      </c>
      <c r="AB447" s="196">
        <f>ROUND('[7]10.Energ_productos_Necesidad'!BG763,2)</f>
        <v>31598.39</v>
      </c>
      <c r="AC447" s="209">
        <f>SUM(E447:AB447)*D447+SUM(E448:AB448)*D448+SUM(E449:AB449)*D449+SUM(E450:AB450)*D450</f>
        <v>22886806.18</v>
      </c>
      <c r="AD447" s="185"/>
    </row>
    <row r="448" spans="2:30" s="186" customFormat="1" ht="18.649999999999999" customHeight="1" x14ac:dyDescent="0.35">
      <c r="B448" s="267"/>
      <c r="C448" s="9" t="s">
        <v>30</v>
      </c>
      <c r="D448" s="10">
        <v>4</v>
      </c>
      <c r="E448" s="197">
        <f>ROUND('[7]10.Energ_productos_Necesidad'!AJ764,2)</f>
        <v>27486.3</v>
      </c>
      <c r="F448" s="197">
        <f>ROUND('[7]10.Energ_productos_Necesidad'!AK764,2)</f>
        <v>25810.42</v>
      </c>
      <c r="G448" s="197">
        <f>ROUND('[7]10.Energ_productos_Necesidad'!AL764,2)</f>
        <v>24720.42</v>
      </c>
      <c r="H448" s="197">
        <f>ROUND('[7]10.Energ_productos_Necesidad'!AM764,2)</f>
        <v>23908.67</v>
      </c>
      <c r="I448" s="197">
        <f>ROUND('[7]10.Energ_productos_Necesidad'!AN764,2)</f>
        <v>23663.35</v>
      </c>
      <c r="J448" s="197">
        <f>ROUND('[7]10.Energ_productos_Necesidad'!AO764,2)</f>
        <v>23684.25</v>
      </c>
      <c r="K448" s="197">
        <f>ROUND('[7]10.Energ_productos_Necesidad'!AP764,2)</f>
        <v>23353.45</v>
      </c>
      <c r="L448" s="197">
        <f>ROUND('[7]10.Energ_productos_Necesidad'!AQ764,2)</f>
        <v>25426.7</v>
      </c>
      <c r="M448" s="197">
        <f>ROUND('[7]10.Energ_productos_Necesidad'!AR764,2)</f>
        <v>28252.84</v>
      </c>
      <c r="N448" s="197">
        <f>ROUND('[7]10.Energ_productos_Necesidad'!AS764,2)</f>
        <v>29895.26</v>
      </c>
      <c r="O448" s="197">
        <f>ROUND('[7]10.Energ_productos_Necesidad'!AT764,2)</f>
        <v>31369.86</v>
      </c>
      <c r="P448" s="197">
        <f>ROUND('[7]10.Energ_productos_Necesidad'!AU764,2)</f>
        <v>32331.42</v>
      </c>
      <c r="Q448" s="197">
        <f>ROUND('[7]10.Energ_productos_Necesidad'!AV764,2)</f>
        <v>31751.759999999998</v>
      </c>
      <c r="R448" s="197">
        <f>ROUND('[7]10.Energ_productos_Necesidad'!AW764,2)</f>
        <v>31599.78</v>
      </c>
      <c r="S448" s="197">
        <f>ROUND('[7]10.Energ_productos_Necesidad'!AX764,2)</f>
        <v>31573.200000000001</v>
      </c>
      <c r="T448" s="197">
        <f>ROUND('[7]10.Energ_productos_Necesidad'!AY764,2)</f>
        <v>32195.13</v>
      </c>
      <c r="U448" s="197">
        <f>ROUND('[7]10.Energ_productos_Necesidad'!AZ764,2)</f>
        <v>32660.74</v>
      </c>
      <c r="V448" s="197">
        <f>ROUND('[7]10.Energ_productos_Necesidad'!BA764,2)</f>
        <v>35969.85</v>
      </c>
      <c r="W448" s="197">
        <f>ROUND('[7]10.Energ_productos_Necesidad'!BB764,2)</f>
        <v>39950.199999999997</v>
      </c>
      <c r="X448" s="197">
        <f>ROUND('[7]10.Energ_productos_Necesidad'!BC764,2)</f>
        <v>39351.360000000001</v>
      </c>
      <c r="Y448" s="197">
        <f>ROUND('[7]10.Energ_productos_Necesidad'!BD764,2)</f>
        <v>37864.06</v>
      </c>
      <c r="Z448" s="197">
        <f>ROUND('[7]10.Energ_productos_Necesidad'!BE764,2)</f>
        <v>36286.660000000003</v>
      </c>
      <c r="AA448" s="197">
        <f>ROUND('[7]10.Energ_productos_Necesidad'!BF764,2)</f>
        <v>34072.85</v>
      </c>
      <c r="AB448" s="197">
        <f>ROUND('[7]10.Energ_productos_Necesidad'!BG764,2)</f>
        <v>31810.78</v>
      </c>
      <c r="AC448" s="210"/>
      <c r="AD448" s="185"/>
    </row>
    <row r="449" spans="2:50" s="186" customFormat="1" ht="18.649999999999999" customHeight="1" x14ac:dyDescent="0.35">
      <c r="B449" s="267"/>
      <c r="C449" s="9" t="s">
        <v>31</v>
      </c>
      <c r="D449" s="10">
        <v>5</v>
      </c>
      <c r="E449" s="197">
        <f>ROUND('[7]10.Energ_productos_Necesidad'!AJ765,2)</f>
        <v>27657.73</v>
      </c>
      <c r="F449" s="197">
        <f>ROUND('[7]10.Energ_productos_Necesidad'!AK765,2)</f>
        <v>26199.4</v>
      </c>
      <c r="G449" s="197">
        <f>ROUND('[7]10.Energ_productos_Necesidad'!AL765,2)</f>
        <v>25026.11</v>
      </c>
      <c r="H449" s="197">
        <f>ROUND('[7]10.Energ_productos_Necesidad'!AM765,2)</f>
        <v>24199.82</v>
      </c>
      <c r="I449" s="197">
        <f>ROUND('[7]10.Energ_productos_Necesidad'!AN765,2)</f>
        <v>23827.29</v>
      </c>
      <c r="J449" s="197">
        <f>ROUND('[7]10.Energ_productos_Necesidad'!AO765,2)</f>
        <v>23568.74</v>
      </c>
      <c r="K449" s="197">
        <f>ROUND('[7]10.Energ_productos_Necesidad'!AP765,2)</f>
        <v>22339.09</v>
      </c>
      <c r="L449" s="197">
        <f>ROUND('[7]10.Energ_productos_Necesidad'!AQ765,2)</f>
        <v>23367.65</v>
      </c>
      <c r="M449" s="197">
        <f>ROUND('[7]10.Energ_productos_Necesidad'!AR765,2)</f>
        <v>24791.53</v>
      </c>
      <c r="N449" s="197">
        <f>ROUND('[7]10.Energ_productos_Necesidad'!AS765,2)</f>
        <v>26154.86</v>
      </c>
      <c r="O449" s="197">
        <f>ROUND('[7]10.Energ_productos_Necesidad'!AT765,2)</f>
        <v>27048.41</v>
      </c>
      <c r="P449" s="197">
        <f>ROUND('[7]10.Energ_productos_Necesidad'!AU765,2)</f>
        <v>27888.79</v>
      </c>
      <c r="Q449" s="197">
        <f>ROUND('[7]10.Energ_productos_Necesidad'!AV765,2)</f>
        <v>28440.6</v>
      </c>
      <c r="R449" s="197">
        <f>ROUND('[7]10.Energ_productos_Necesidad'!AW765,2)</f>
        <v>28849.14</v>
      </c>
      <c r="S449" s="197">
        <f>ROUND('[7]10.Energ_productos_Necesidad'!AX765,2)</f>
        <v>28002.19</v>
      </c>
      <c r="T449" s="197">
        <f>ROUND('[7]10.Energ_productos_Necesidad'!AY765,2)</f>
        <v>29123.02</v>
      </c>
      <c r="U449" s="197">
        <f>ROUND('[7]10.Energ_productos_Necesidad'!AZ765,2)</f>
        <v>29873.63</v>
      </c>
      <c r="V449" s="197">
        <f>ROUND('[7]10.Energ_productos_Necesidad'!BA765,2)</f>
        <v>33425.980000000003</v>
      </c>
      <c r="W449" s="197">
        <f>ROUND('[7]10.Energ_productos_Necesidad'!BB765,2)</f>
        <v>37436.199999999997</v>
      </c>
      <c r="X449" s="197">
        <f>ROUND('[7]10.Energ_productos_Necesidad'!BC765,2)</f>
        <v>37087.800000000003</v>
      </c>
      <c r="Y449" s="197">
        <f>ROUND('[7]10.Energ_productos_Necesidad'!BD765,2)</f>
        <v>36133.839999999997</v>
      </c>
      <c r="Z449" s="197">
        <f>ROUND('[7]10.Energ_productos_Necesidad'!BE765,2)</f>
        <v>34859.269999999997</v>
      </c>
      <c r="AA449" s="197">
        <f>ROUND('[7]10.Energ_productos_Necesidad'!BF765,2)</f>
        <v>32899.53</v>
      </c>
      <c r="AB449" s="197">
        <f>ROUND('[7]10.Energ_productos_Necesidad'!BG765,2)</f>
        <v>30904.799999999999</v>
      </c>
      <c r="AC449" s="210"/>
      <c r="AD449" s="185"/>
    </row>
    <row r="450" spans="2:50" s="186" customFormat="1" ht="18.649999999999999" customHeight="1" thickBot="1" x14ac:dyDescent="0.4">
      <c r="B450" s="268"/>
      <c r="C450" s="11" t="s">
        <v>32</v>
      </c>
      <c r="D450" s="12">
        <v>2</v>
      </c>
      <c r="E450" s="201">
        <f>ROUND('[7]10.Energ_productos_Necesidad'!AJ766,2)</f>
        <v>27657.73</v>
      </c>
      <c r="F450" s="201">
        <f>ROUND('[7]10.Energ_productos_Necesidad'!AK766,2)</f>
        <v>26199.4</v>
      </c>
      <c r="G450" s="201">
        <f>ROUND('[7]10.Energ_productos_Necesidad'!AL766,2)</f>
        <v>25026.11</v>
      </c>
      <c r="H450" s="201">
        <f>ROUND('[7]10.Energ_productos_Necesidad'!AM766,2)</f>
        <v>24199.82</v>
      </c>
      <c r="I450" s="201">
        <f>ROUND('[7]10.Energ_productos_Necesidad'!AN766,2)</f>
        <v>23827.29</v>
      </c>
      <c r="J450" s="201">
        <f>ROUND('[7]10.Energ_productos_Necesidad'!AO766,2)</f>
        <v>23568.74</v>
      </c>
      <c r="K450" s="201">
        <f>ROUND('[7]10.Energ_productos_Necesidad'!AP766,2)</f>
        <v>22339.09</v>
      </c>
      <c r="L450" s="201">
        <f>ROUND('[7]10.Energ_productos_Necesidad'!AQ766,2)</f>
        <v>23367.65</v>
      </c>
      <c r="M450" s="201">
        <f>ROUND('[7]10.Energ_productos_Necesidad'!AR766,2)</f>
        <v>24791.53</v>
      </c>
      <c r="N450" s="201">
        <f>ROUND('[7]10.Energ_productos_Necesidad'!AS766,2)</f>
        <v>26154.86</v>
      </c>
      <c r="O450" s="201">
        <f>ROUND('[7]10.Energ_productos_Necesidad'!AT766,2)</f>
        <v>27048.41</v>
      </c>
      <c r="P450" s="201">
        <f>ROUND('[7]10.Energ_productos_Necesidad'!AU766,2)</f>
        <v>27888.79</v>
      </c>
      <c r="Q450" s="201">
        <f>ROUND('[7]10.Energ_productos_Necesidad'!AV766,2)</f>
        <v>28440.6</v>
      </c>
      <c r="R450" s="201">
        <f>ROUND('[7]10.Energ_productos_Necesidad'!AW766,2)</f>
        <v>28849.14</v>
      </c>
      <c r="S450" s="201">
        <f>ROUND('[7]10.Energ_productos_Necesidad'!AX766,2)</f>
        <v>28002.19</v>
      </c>
      <c r="T450" s="201">
        <f>ROUND('[7]10.Energ_productos_Necesidad'!AY766,2)</f>
        <v>29123.02</v>
      </c>
      <c r="U450" s="201">
        <f>ROUND('[7]10.Energ_productos_Necesidad'!AZ766,2)</f>
        <v>29873.63</v>
      </c>
      <c r="V450" s="201">
        <f>ROUND('[7]10.Energ_productos_Necesidad'!BA766,2)</f>
        <v>33425.980000000003</v>
      </c>
      <c r="W450" s="201">
        <f>ROUND('[7]10.Energ_productos_Necesidad'!BB766,2)</f>
        <v>37436.199999999997</v>
      </c>
      <c r="X450" s="201">
        <f>ROUND('[7]10.Energ_productos_Necesidad'!BC766,2)</f>
        <v>37087.800000000003</v>
      </c>
      <c r="Y450" s="201">
        <f>ROUND('[7]10.Energ_productos_Necesidad'!BD766,2)</f>
        <v>36133.839999999997</v>
      </c>
      <c r="Z450" s="201">
        <f>ROUND('[7]10.Energ_productos_Necesidad'!BE766,2)</f>
        <v>34859.269999999997</v>
      </c>
      <c r="AA450" s="201">
        <f>ROUND('[7]10.Energ_productos_Necesidad'!BF766,2)</f>
        <v>32899.53</v>
      </c>
      <c r="AB450" s="201">
        <f>ROUND('[7]10.Energ_productos_Necesidad'!BG766,2)</f>
        <v>30904.799999999999</v>
      </c>
      <c r="AC450" s="214"/>
      <c r="AD450" s="185"/>
    </row>
    <row r="451" spans="2:50" s="186" customFormat="1" ht="18.649999999999999" customHeight="1" thickBot="1" x14ac:dyDescent="0.4">
      <c r="E451" s="190"/>
      <c r="F451" s="189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89"/>
      <c r="V451" s="189"/>
      <c r="W451" s="189"/>
      <c r="X451" s="189"/>
      <c r="Y451" s="189"/>
      <c r="Z451" s="218" t="s">
        <v>33</v>
      </c>
      <c r="AA451" s="219"/>
      <c r="AB451" s="220"/>
      <c r="AC451" s="135">
        <f>SUM(AC403:AC450)</f>
        <v>272451299.17999995</v>
      </c>
      <c r="AD451" s="189"/>
      <c r="AE451" s="185"/>
    </row>
    <row r="452" spans="2:50" s="186" customFormat="1" ht="18.649999999999999" customHeight="1" x14ac:dyDescent="0.35">
      <c r="B452" s="207">
        <v>51502</v>
      </c>
      <c r="C452" s="6" t="s">
        <v>29</v>
      </c>
      <c r="D452" s="46">
        <v>21</v>
      </c>
      <c r="E452" s="78">
        <v>28069.34</v>
      </c>
      <c r="F452" s="78">
        <v>26595.63</v>
      </c>
      <c r="G452" s="78">
        <v>25487.03</v>
      </c>
      <c r="H452" s="78">
        <v>24682.36</v>
      </c>
      <c r="I452" s="78">
        <v>24541.96</v>
      </c>
      <c r="J452" s="78">
        <v>25389.62</v>
      </c>
      <c r="K452" s="78">
        <v>25153.31</v>
      </c>
      <c r="L452" s="78">
        <v>28235.13</v>
      </c>
      <c r="M452" s="78">
        <v>31421.53</v>
      </c>
      <c r="N452" s="78">
        <v>33077.4</v>
      </c>
      <c r="O452" s="78">
        <v>34870.03</v>
      </c>
      <c r="P452" s="78">
        <v>36337.42</v>
      </c>
      <c r="Q452" s="78">
        <v>35323.19</v>
      </c>
      <c r="R452" s="78">
        <v>36315.11</v>
      </c>
      <c r="S452" s="78">
        <v>38032.339999999997</v>
      </c>
      <c r="T452" s="78">
        <v>38238.269999999997</v>
      </c>
      <c r="U452" s="78">
        <v>37594.239999999998</v>
      </c>
      <c r="V452" s="78">
        <v>36887.06</v>
      </c>
      <c r="W452" s="78">
        <v>39459.81</v>
      </c>
      <c r="X452" s="78">
        <v>39600.519999999997</v>
      </c>
      <c r="Y452" s="78">
        <v>38560.300000000003</v>
      </c>
      <c r="Z452" s="78">
        <v>36869.47</v>
      </c>
      <c r="AA452" s="78">
        <v>34255.599999999999</v>
      </c>
      <c r="AB452" s="78">
        <v>31465.02</v>
      </c>
      <c r="AC452" s="209">
        <f>SUM(E452:AB452)*D452+SUM(E453:AB453)*D453+SUM(E454:AB454)*D454+SUM(E455:AB455)*D455</f>
        <v>23640849.510000002</v>
      </c>
      <c r="AD452" s="185"/>
      <c r="AE452" s="185"/>
      <c r="AF452" s="185"/>
      <c r="AG452" s="185"/>
      <c r="AH452" s="185"/>
      <c r="AI452" s="185"/>
      <c r="AJ452" s="185"/>
      <c r="AK452" s="185"/>
      <c r="AL452" s="185"/>
      <c r="AM452" s="185"/>
      <c r="AN452" s="185"/>
      <c r="AO452" s="185"/>
      <c r="AP452" s="185"/>
      <c r="AQ452" s="185"/>
      <c r="AR452" s="185"/>
      <c r="AS452" s="185"/>
      <c r="AT452" s="185"/>
      <c r="AU452" s="185"/>
      <c r="AV452" s="185"/>
      <c r="AW452" s="185"/>
      <c r="AX452" s="185"/>
    </row>
    <row r="453" spans="2:50" s="186" customFormat="1" ht="18.649999999999999" customHeight="1" x14ac:dyDescent="0.35">
      <c r="B453" s="208"/>
      <c r="C453" s="9" t="s">
        <v>30</v>
      </c>
      <c r="D453" s="10">
        <v>4</v>
      </c>
      <c r="E453" s="79">
        <v>27860.17</v>
      </c>
      <c r="F453" s="79">
        <v>26484.22</v>
      </c>
      <c r="G453" s="79">
        <v>25403.5</v>
      </c>
      <c r="H453" s="79">
        <v>24578.13</v>
      </c>
      <c r="I453" s="79">
        <v>24328.31</v>
      </c>
      <c r="J453" s="79">
        <v>24529.23</v>
      </c>
      <c r="K453" s="79">
        <v>23876.75</v>
      </c>
      <c r="L453" s="79">
        <v>26397.82</v>
      </c>
      <c r="M453" s="79">
        <v>29411.1</v>
      </c>
      <c r="N453" s="79">
        <v>31406.82</v>
      </c>
      <c r="O453" s="79">
        <v>32976.94</v>
      </c>
      <c r="P453" s="79">
        <v>33826.6</v>
      </c>
      <c r="Q453" s="79">
        <v>33524.67</v>
      </c>
      <c r="R453" s="79">
        <v>32799.94</v>
      </c>
      <c r="S453" s="79">
        <v>32958.04</v>
      </c>
      <c r="T453" s="79">
        <v>33074.81</v>
      </c>
      <c r="U453" s="79">
        <v>32740.07</v>
      </c>
      <c r="V453" s="79">
        <v>33565.33</v>
      </c>
      <c r="W453" s="79">
        <v>37285.9</v>
      </c>
      <c r="X453" s="79">
        <v>37552.9</v>
      </c>
      <c r="Y453" s="79">
        <v>36436.639999999999</v>
      </c>
      <c r="Z453" s="79">
        <v>34960.18</v>
      </c>
      <c r="AA453" s="79">
        <v>33041.46</v>
      </c>
      <c r="AB453" s="79">
        <v>30913.67</v>
      </c>
      <c r="AC453" s="210"/>
      <c r="AD453" s="185"/>
      <c r="AE453" s="185"/>
      <c r="AF453" s="185"/>
      <c r="AG453" s="185"/>
      <c r="AH453" s="185"/>
      <c r="AI453" s="185"/>
      <c r="AJ453" s="185"/>
      <c r="AK453" s="185"/>
      <c r="AL453" s="185"/>
      <c r="AM453" s="185"/>
      <c r="AN453" s="185"/>
      <c r="AO453" s="185"/>
      <c r="AP453" s="185"/>
      <c r="AQ453" s="185"/>
      <c r="AR453" s="185"/>
      <c r="AS453" s="185"/>
      <c r="AT453" s="185"/>
      <c r="AU453" s="185"/>
      <c r="AV453" s="185"/>
      <c r="AW453" s="185"/>
      <c r="AX453" s="185"/>
    </row>
    <row r="454" spans="2:50" s="186" customFormat="1" ht="18.649999999999999" customHeight="1" x14ac:dyDescent="0.35">
      <c r="B454" s="208"/>
      <c r="C454" s="9" t="s">
        <v>31</v>
      </c>
      <c r="D454" s="10">
        <v>4</v>
      </c>
      <c r="E454" s="79">
        <v>28050.04</v>
      </c>
      <c r="F454" s="79">
        <v>26633.21</v>
      </c>
      <c r="G454" s="79">
        <v>25490.74</v>
      </c>
      <c r="H454" s="79">
        <v>24652.55</v>
      </c>
      <c r="I454" s="79">
        <v>24240.01</v>
      </c>
      <c r="J454" s="79">
        <v>24108.720000000001</v>
      </c>
      <c r="K454" s="79">
        <v>22767.35</v>
      </c>
      <c r="L454" s="79">
        <v>23902.42</v>
      </c>
      <c r="M454" s="79">
        <v>25586.92</v>
      </c>
      <c r="N454" s="79">
        <v>26883.919999999998</v>
      </c>
      <c r="O454" s="79">
        <v>28124.79</v>
      </c>
      <c r="P454" s="79">
        <v>29128.6</v>
      </c>
      <c r="Q454" s="79">
        <v>29812.76</v>
      </c>
      <c r="R454" s="79">
        <v>29895.08</v>
      </c>
      <c r="S454" s="79">
        <v>29910.58</v>
      </c>
      <c r="T454" s="79">
        <v>30015.91</v>
      </c>
      <c r="U454" s="79">
        <v>30031.52</v>
      </c>
      <c r="V454" s="79">
        <v>31060.21</v>
      </c>
      <c r="W454" s="79">
        <v>35115.06</v>
      </c>
      <c r="X454" s="79">
        <v>36120.879999999997</v>
      </c>
      <c r="Y454" s="79">
        <v>35738.699999999997</v>
      </c>
      <c r="Z454" s="79">
        <v>34563.08</v>
      </c>
      <c r="AA454" s="79">
        <v>32457.71</v>
      </c>
      <c r="AB454" s="79">
        <v>29946.11</v>
      </c>
      <c r="AC454" s="210"/>
      <c r="AD454" s="185"/>
      <c r="AE454" s="185"/>
      <c r="AF454" s="185"/>
      <c r="AG454" s="185"/>
      <c r="AH454" s="185"/>
      <c r="AI454" s="185"/>
      <c r="AJ454" s="185"/>
      <c r="AK454" s="185"/>
      <c r="AL454" s="185"/>
      <c r="AM454" s="185"/>
      <c r="AN454" s="185"/>
      <c r="AO454" s="185"/>
      <c r="AP454" s="185"/>
      <c r="AQ454" s="185"/>
      <c r="AR454" s="185"/>
      <c r="AS454" s="185"/>
      <c r="AT454" s="185"/>
      <c r="AU454" s="185"/>
      <c r="AV454" s="185"/>
      <c r="AW454" s="185"/>
      <c r="AX454" s="185"/>
    </row>
    <row r="455" spans="2:50" s="186" customFormat="1" ht="18.649999999999999" customHeight="1" thickBot="1" x14ac:dyDescent="0.4">
      <c r="B455" s="208"/>
      <c r="C455" s="15" t="s">
        <v>32</v>
      </c>
      <c r="D455" s="16">
        <v>2</v>
      </c>
      <c r="E455" s="80">
        <v>28050.04</v>
      </c>
      <c r="F455" s="80">
        <v>26633.21</v>
      </c>
      <c r="G455" s="80">
        <v>25490.74</v>
      </c>
      <c r="H455" s="80">
        <v>24652.55</v>
      </c>
      <c r="I455" s="80">
        <v>24240.01</v>
      </c>
      <c r="J455" s="80">
        <v>24108.720000000001</v>
      </c>
      <c r="K455" s="80">
        <v>22767.35</v>
      </c>
      <c r="L455" s="80">
        <v>23902.42</v>
      </c>
      <c r="M455" s="80">
        <v>25586.92</v>
      </c>
      <c r="N455" s="80">
        <v>26883.919999999998</v>
      </c>
      <c r="O455" s="80">
        <v>28124.79</v>
      </c>
      <c r="P455" s="80">
        <v>29128.6</v>
      </c>
      <c r="Q455" s="80">
        <v>29812.76</v>
      </c>
      <c r="R455" s="80">
        <v>29895.08</v>
      </c>
      <c r="S455" s="80">
        <v>29910.58</v>
      </c>
      <c r="T455" s="80">
        <v>30015.91</v>
      </c>
      <c r="U455" s="80">
        <v>30031.52</v>
      </c>
      <c r="V455" s="80">
        <v>31060.21</v>
      </c>
      <c r="W455" s="80">
        <v>35115.06</v>
      </c>
      <c r="X455" s="80">
        <v>36120.879999999997</v>
      </c>
      <c r="Y455" s="80">
        <v>35738.699999999997</v>
      </c>
      <c r="Z455" s="80">
        <v>34563.08</v>
      </c>
      <c r="AA455" s="80">
        <v>32457.71</v>
      </c>
      <c r="AB455" s="80">
        <v>29946.11</v>
      </c>
      <c r="AC455" s="210"/>
      <c r="AD455" s="53">
        <f>+AC452</f>
        <v>23640849.510000002</v>
      </c>
      <c r="AE455" s="185"/>
      <c r="AF455" s="185"/>
      <c r="AG455" s="185"/>
      <c r="AH455" s="185"/>
      <c r="AI455" s="185"/>
      <c r="AJ455" s="185"/>
      <c r="AK455" s="185"/>
      <c r="AL455" s="185"/>
      <c r="AM455" s="185"/>
      <c r="AN455" s="185"/>
      <c r="AO455" s="185"/>
      <c r="AP455" s="185"/>
      <c r="AQ455" s="185"/>
      <c r="AR455" s="185"/>
      <c r="AS455" s="185"/>
      <c r="AT455" s="185"/>
      <c r="AU455" s="185"/>
      <c r="AV455" s="185"/>
      <c r="AW455" s="185"/>
      <c r="AX455" s="185"/>
    </row>
    <row r="456" spans="2:50" s="186" customFormat="1" ht="18.649999999999999" customHeight="1" x14ac:dyDescent="0.35">
      <c r="B456" s="211">
        <v>51533</v>
      </c>
      <c r="C456" s="6" t="s">
        <v>29</v>
      </c>
      <c r="D456" s="7">
        <v>20</v>
      </c>
      <c r="E456" s="78">
        <v>29746.01</v>
      </c>
      <c r="F456" s="78">
        <v>28247.1</v>
      </c>
      <c r="G456" s="78">
        <v>27050.52</v>
      </c>
      <c r="H456" s="78">
        <v>26183.11</v>
      </c>
      <c r="I456" s="78">
        <v>26152.89</v>
      </c>
      <c r="J456" s="78">
        <v>27772.22</v>
      </c>
      <c r="K456" s="78">
        <v>27497.25</v>
      </c>
      <c r="L456" s="78">
        <v>30334.560000000001</v>
      </c>
      <c r="M456" s="78">
        <v>33363.4</v>
      </c>
      <c r="N456" s="78">
        <v>34833.040000000001</v>
      </c>
      <c r="O456" s="78">
        <v>36608.129999999997</v>
      </c>
      <c r="P456" s="78">
        <v>38011.85</v>
      </c>
      <c r="Q456" s="78">
        <v>36716.910000000003</v>
      </c>
      <c r="R456" s="78">
        <v>38061.39</v>
      </c>
      <c r="S456" s="78">
        <v>40221.480000000003</v>
      </c>
      <c r="T456" s="78">
        <v>40556.120000000003</v>
      </c>
      <c r="U456" s="78">
        <v>39940.31</v>
      </c>
      <c r="V456" s="78">
        <v>38987.269999999997</v>
      </c>
      <c r="W456" s="78">
        <v>41298.31</v>
      </c>
      <c r="X456" s="78">
        <v>41882.25</v>
      </c>
      <c r="Y456" s="78">
        <v>40979.339999999997</v>
      </c>
      <c r="Z456" s="78">
        <v>39172.129999999997</v>
      </c>
      <c r="AA456" s="78">
        <v>36086.89</v>
      </c>
      <c r="AB456" s="78">
        <v>33027.839999999997</v>
      </c>
      <c r="AC456" s="209">
        <f>SUM(E456:AB456)*D456+SUM(E457:AB457)*D457+SUM(E458:AB458)*D458+SUM(E459:AB459)*D459</f>
        <v>22774563.879999999</v>
      </c>
      <c r="AD456" s="148">
        <f>+AC456</f>
        <v>22774563.879999999</v>
      </c>
    </row>
    <row r="457" spans="2:50" s="186" customFormat="1" ht="18.649999999999999" customHeight="1" x14ac:dyDescent="0.35">
      <c r="B457" s="212" t="s">
        <v>34</v>
      </c>
      <c r="C457" s="9" t="s">
        <v>30</v>
      </c>
      <c r="D457" s="10">
        <v>4</v>
      </c>
      <c r="E457" s="79">
        <v>30167.119999999999</v>
      </c>
      <c r="F457" s="79">
        <v>28493.37</v>
      </c>
      <c r="G457" s="79">
        <v>27401.86</v>
      </c>
      <c r="H457" s="79">
        <v>26364.3</v>
      </c>
      <c r="I457" s="79">
        <v>26037.439999999999</v>
      </c>
      <c r="J457" s="79">
        <v>26349.15</v>
      </c>
      <c r="K457" s="79">
        <v>25867.94</v>
      </c>
      <c r="L457" s="79">
        <v>28415.3</v>
      </c>
      <c r="M457" s="79">
        <v>31430.51</v>
      </c>
      <c r="N457" s="79">
        <v>33221.24</v>
      </c>
      <c r="O457" s="79">
        <v>34867.17</v>
      </c>
      <c r="P457" s="79">
        <v>35694.54</v>
      </c>
      <c r="Q457" s="79">
        <v>35113.919999999998</v>
      </c>
      <c r="R457" s="79">
        <v>34649.53</v>
      </c>
      <c r="S457" s="79">
        <v>34812.199999999997</v>
      </c>
      <c r="T457" s="79">
        <v>34913.85</v>
      </c>
      <c r="U457" s="79">
        <v>34663.5</v>
      </c>
      <c r="V457" s="79">
        <v>35263.699999999997</v>
      </c>
      <c r="W457" s="79">
        <v>38924.67</v>
      </c>
      <c r="X457" s="79">
        <v>39488.620000000003</v>
      </c>
      <c r="Y457" s="79">
        <v>38565.46</v>
      </c>
      <c r="Z457" s="79">
        <v>37096.26</v>
      </c>
      <c r="AA457" s="79">
        <v>35156.74</v>
      </c>
      <c r="AB457" s="79">
        <v>32847.26</v>
      </c>
      <c r="AC457" s="210"/>
      <c r="AD457" s="148">
        <f>+AC460</f>
        <v>23736022.339999996</v>
      </c>
    </row>
    <row r="458" spans="2:50" s="186" customFormat="1" ht="18.649999999999999" customHeight="1" x14ac:dyDescent="0.35">
      <c r="B458" s="212" t="s">
        <v>34</v>
      </c>
      <c r="C458" s="9" t="s">
        <v>31</v>
      </c>
      <c r="D458" s="10">
        <v>4</v>
      </c>
      <c r="E458" s="79">
        <v>30080.93</v>
      </c>
      <c r="F458" s="79">
        <v>28589.61</v>
      </c>
      <c r="G458" s="79">
        <v>27385.41</v>
      </c>
      <c r="H458" s="79">
        <v>26491.3</v>
      </c>
      <c r="I458" s="79">
        <v>26031.040000000001</v>
      </c>
      <c r="J458" s="79">
        <v>26001.17</v>
      </c>
      <c r="K458" s="79">
        <v>24595.31</v>
      </c>
      <c r="L458" s="79">
        <v>25774.28</v>
      </c>
      <c r="M458" s="79">
        <v>27444.63</v>
      </c>
      <c r="N458" s="79">
        <v>28627.95</v>
      </c>
      <c r="O458" s="79">
        <v>29832.69</v>
      </c>
      <c r="P458" s="79">
        <v>30951.73</v>
      </c>
      <c r="Q458" s="79">
        <v>31694.83</v>
      </c>
      <c r="R458" s="79">
        <v>31887.48</v>
      </c>
      <c r="S458" s="79">
        <v>32212.18</v>
      </c>
      <c r="T458" s="79">
        <v>32467.439999999999</v>
      </c>
      <c r="U458" s="79">
        <v>32360.46</v>
      </c>
      <c r="V458" s="79">
        <v>32861.51</v>
      </c>
      <c r="W458" s="79">
        <v>37139.019999999997</v>
      </c>
      <c r="X458" s="79">
        <v>38679.300000000003</v>
      </c>
      <c r="Y458" s="79">
        <v>38664.949999999997</v>
      </c>
      <c r="Z458" s="79">
        <v>37746.85</v>
      </c>
      <c r="AA458" s="79">
        <v>34682.980000000003</v>
      </c>
      <c r="AB458" s="79">
        <v>31980.67</v>
      </c>
      <c r="AC458" s="210"/>
      <c r="AD458" s="148">
        <f>+AC464</f>
        <v>22425416.219999999</v>
      </c>
    </row>
    <row r="459" spans="2:50" s="186" customFormat="1" ht="18.649999999999999" customHeight="1" thickBot="1" x14ac:dyDescent="0.4">
      <c r="B459" s="213" t="s">
        <v>34</v>
      </c>
      <c r="C459" s="11" t="s">
        <v>32</v>
      </c>
      <c r="D459" s="12">
        <v>0</v>
      </c>
      <c r="E459" s="194">
        <v>0</v>
      </c>
      <c r="F459" s="194">
        <v>0</v>
      </c>
      <c r="G459" s="194">
        <v>0</v>
      </c>
      <c r="H459" s="194">
        <v>0</v>
      </c>
      <c r="I459" s="194">
        <v>0</v>
      </c>
      <c r="J459" s="194">
        <v>0</v>
      </c>
      <c r="K459" s="194">
        <v>0</v>
      </c>
      <c r="L459" s="194">
        <v>0</v>
      </c>
      <c r="M459" s="194">
        <v>0</v>
      </c>
      <c r="N459" s="194">
        <v>0</v>
      </c>
      <c r="O459" s="194">
        <v>0</v>
      </c>
      <c r="P459" s="194">
        <v>0</v>
      </c>
      <c r="Q459" s="194">
        <v>0</v>
      </c>
      <c r="R459" s="194">
        <v>0</v>
      </c>
      <c r="S459" s="194">
        <v>0</v>
      </c>
      <c r="T459" s="194">
        <v>0</v>
      </c>
      <c r="U459" s="194">
        <v>0</v>
      </c>
      <c r="V459" s="194">
        <v>0</v>
      </c>
      <c r="W459" s="194">
        <v>0</v>
      </c>
      <c r="X459" s="194">
        <v>0</v>
      </c>
      <c r="Y459" s="194">
        <v>0</v>
      </c>
      <c r="Z459" s="194">
        <v>0</v>
      </c>
      <c r="AA459" s="194">
        <v>0</v>
      </c>
      <c r="AB459" s="194">
        <v>0</v>
      </c>
      <c r="AC459" s="214"/>
      <c r="AD459" s="148">
        <f>+AC468</f>
        <v>22985180.780000001</v>
      </c>
    </row>
    <row r="460" spans="2:50" s="186" customFormat="1" ht="18.649999999999999" customHeight="1" x14ac:dyDescent="0.35">
      <c r="B460" s="207">
        <v>51561</v>
      </c>
      <c r="C460" s="13" t="s">
        <v>29</v>
      </c>
      <c r="D460" s="14">
        <v>20</v>
      </c>
      <c r="E460" s="81">
        <v>27639.88</v>
      </c>
      <c r="F460" s="81">
        <v>26233.71</v>
      </c>
      <c r="G460" s="81">
        <v>25184.79</v>
      </c>
      <c r="H460" s="81">
        <v>24496.31</v>
      </c>
      <c r="I460" s="81">
        <v>24612.35</v>
      </c>
      <c r="J460" s="81">
        <v>25968.68</v>
      </c>
      <c r="K460" s="81">
        <v>25970.82</v>
      </c>
      <c r="L460" s="81">
        <v>28956.21</v>
      </c>
      <c r="M460" s="81">
        <v>31817.06</v>
      </c>
      <c r="N460" s="81">
        <v>33300.35</v>
      </c>
      <c r="O460" s="81">
        <v>34998.559999999998</v>
      </c>
      <c r="P460" s="81">
        <v>36112.06</v>
      </c>
      <c r="Q460" s="81">
        <v>34446.44</v>
      </c>
      <c r="R460" s="81">
        <v>35605.81</v>
      </c>
      <c r="S460" s="81">
        <v>37601.1</v>
      </c>
      <c r="T460" s="81">
        <v>38022.58</v>
      </c>
      <c r="U460" s="81">
        <v>37599.69</v>
      </c>
      <c r="V460" s="81">
        <v>36957.81</v>
      </c>
      <c r="W460" s="81">
        <v>39217.699999999997</v>
      </c>
      <c r="X460" s="81">
        <v>39568.629999999997</v>
      </c>
      <c r="Y460" s="81">
        <v>38409.839999999997</v>
      </c>
      <c r="Z460" s="81">
        <v>36493.67</v>
      </c>
      <c r="AA460" s="81">
        <v>33614.199999999997</v>
      </c>
      <c r="AB460" s="81">
        <v>30690.97</v>
      </c>
      <c r="AC460" s="210">
        <f>SUM(E460:AB460)*D460+SUM(E461:AB461)*D461+SUM(E462:AB462)*D462+SUM(E463:AB463)*D463</f>
        <v>23736022.339999996</v>
      </c>
      <c r="AD460" s="148">
        <f>+AC472</f>
        <v>22137969.720000003</v>
      </c>
    </row>
    <row r="461" spans="2:50" s="186" customFormat="1" ht="18.649999999999999" customHeight="1" x14ac:dyDescent="0.35">
      <c r="B461" s="208"/>
      <c r="C461" s="9" t="s">
        <v>30</v>
      </c>
      <c r="D461" s="10">
        <v>5</v>
      </c>
      <c r="E461" s="79">
        <v>27806.31</v>
      </c>
      <c r="F461" s="79">
        <v>26395.61</v>
      </c>
      <c r="G461" s="79">
        <v>25282.79</v>
      </c>
      <c r="H461" s="79">
        <v>24546.18</v>
      </c>
      <c r="I461" s="79">
        <v>24360.07</v>
      </c>
      <c r="J461" s="79">
        <v>24646.44</v>
      </c>
      <c r="K461" s="79">
        <v>24524.18</v>
      </c>
      <c r="L461" s="79">
        <v>27270.400000000001</v>
      </c>
      <c r="M461" s="79">
        <v>30367.38</v>
      </c>
      <c r="N461" s="79">
        <v>32169.35</v>
      </c>
      <c r="O461" s="79">
        <v>33785.83</v>
      </c>
      <c r="P461" s="79">
        <v>34747.370000000003</v>
      </c>
      <c r="Q461" s="79">
        <v>34138.06</v>
      </c>
      <c r="R461" s="79">
        <v>33673.49</v>
      </c>
      <c r="S461" s="79">
        <v>33945.78</v>
      </c>
      <c r="T461" s="79">
        <v>33991.160000000003</v>
      </c>
      <c r="U461" s="79">
        <v>33683.449999999997</v>
      </c>
      <c r="V461" s="79">
        <v>34176.14</v>
      </c>
      <c r="W461" s="79">
        <v>37740.019999999997</v>
      </c>
      <c r="X461" s="79">
        <v>38348.49</v>
      </c>
      <c r="Y461" s="79">
        <v>37282.639999999999</v>
      </c>
      <c r="Z461" s="79">
        <v>35830.46</v>
      </c>
      <c r="AA461" s="79">
        <v>33810.22</v>
      </c>
      <c r="AB461" s="79">
        <v>31594.959999999999</v>
      </c>
      <c r="AC461" s="210"/>
      <c r="AD461" s="148">
        <f>+AC476</f>
        <v>22683649.359999999</v>
      </c>
    </row>
    <row r="462" spans="2:50" s="186" customFormat="1" ht="18.649999999999999" customHeight="1" x14ac:dyDescent="0.35">
      <c r="B462" s="208"/>
      <c r="C462" s="9" t="s">
        <v>31</v>
      </c>
      <c r="D462" s="10">
        <v>5</v>
      </c>
      <c r="E462" s="79">
        <v>28572.98</v>
      </c>
      <c r="F462" s="79">
        <v>27061.65</v>
      </c>
      <c r="G462" s="79">
        <v>25887.33</v>
      </c>
      <c r="H462" s="79">
        <v>25045.759999999998</v>
      </c>
      <c r="I462" s="79">
        <v>24622.720000000001</v>
      </c>
      <c r="J462" s="79">
        <v>24432.65</v>
      </c>
      <c r="K462" s="79">
        <v>23479.7</v>
      </c>
      <c r="L462" s="79">
        <v>24849.13</v>
      </c>
      <c r="M462" s="79">
        <v>26654.799999999999</v>
      </c>
      <c r="N462" s="79">
        <v>27961.86</v>
      </c>
      <c r="O462" s="79">
        <v>29130.16</v>
      </c>
      <c r="P462" s="79">
        <v>30136.78</v>
      </c>
      <c r="Q462" s="79">
        <v>30775.86</v>
      </c>
      <c r="R462" s="79">
        <v>30890.48</v>
      </c>
      <c r="S462" s="79">
        <v>31011.759999999998</v>
      </c>
      <c r="T462" s="79">
        <v>31358.57</v>
      </c>
      <c r="U462" s="79">
        <v>31238.54</v>
      </c>
      <c r="V462" s="79">
        <v>32100.78</v>
      </c>
      <c r="W462" s="79">
        <v>35888.61</v>
      </c>
      <c r="X462" s="79">
        <v>37198.269999999997</v>
      </c>
      <c r="Y462" s="79">
        <v>37060.400000000001</v>
      </c>
      <c r="Z462" s="79">
        <v>35973.129999999997</v>
      </c>
      <c r="AA462" s="79">
        <v>33612.9</v>
      </c>
      <c r="AB462" s="79">
        <v>30897.52</v>
      </c>
      <c r="AC462" s="210"/>
      <c r="AD462" s="148">
        <f>+AC480</f>
        <v>22741080.819999997</v>
      </c>
    </row>
    <row r="463" spans="2:50" s="186" customFormat="1" ht="18.649999999999999" customHeight="1" thickBot="1" x14ac:dyDescent="0.4">
      <c r="B463" s="208"/>
      <c r="C463" s="15" t="s">
        <v>32</v>
      </c>
      <c r="D463" s="16">
        <v>1</v>
      </c>
      <c r="E463" s="80">
        <v>28572.98</v>
      </c>
      <c r="F463" s="80">
        <v>27061.65</v>
      </c>
      <c r="G463" s="80">
        <v>25887.33</v>
      </c>
      <c r="H463" s="80">
        <v>25045.759999999998</v>
      </c>
      <c r="I463" s="80">
        <v>24622.720000000001</v>
      </c>
      <c r="J463" s="80">
        <v>24432.65</v>
      </c>
      <c r="K463" s="80">
        <v>23479.7</v>
      </c>
      <c r="L463" s="80">
        <v>24849.13</v>
      </c>
      <c r="M463" s="80">
        <v>26654.799999999999</v>
      </c>
      <c r="N463" s="80">
        <v>27961.86</v>
      </c>
      <c r="O463" s="80">
        <v>29130.16</v>
      </c>
      <c r="P463" s="80">
        <v>30136.78</v>
      </c>
      <c r="Q463" s="80">
        <v>30775.86</v>
      </c>
      <c r="R463" s="80">
        <v>30890.48</v>
      </c>
      <c r="S463" s="80">
        <v>31011.759999999998</v>
      </c>
      <c r="T463" s="80">
        <v>31358.57</v>
      </c>
      <c r="U463" s="80">
        <v>31238.54</v>
      </c>
      <c r="V463" s="80">
        <v>32100.78</v>
      </c>
      <c r="W463" s="80">
        <v>35888.61</v>
      </c>
      <c r="X463" s="80">
        <v>37198.269999999997</v>
      </c>
      <c r="Y463" s="80">
        <v>37060.400000000001</v>
      </c>
      <c r="Z463" s="80">
        <v>35973.129999999997</v>
      </c>
      <c r="AA463" s="80">
        <v>33612.9</v>
      </c>
      <c r="AB463" s="80">
        <v>30897.52</v>
      </c>
      <c r="AC463" s="210"/>
      <c r="AD463" s="148">
        <f>+AC484</f>
        <v>21926953.169999994</v>
      </c>
    </row>
    <row r="464" spans="2:50" s="186" customFormat="1" ht="18.649999999999999" customHeight="1" x14ac:dyDescent="0.35">
      <c r="B464" s="211">
        <v>51592</v>
      </c>
      <c r="C464" s="6" t="s">
        <v>29</v>
      </c>
      <c r="D464" s="7">
        <v>20</v>
      </c>
      <c r="E464" s="78">
        <v>27130.33</v>
      </c>
      <c r="F464" s="78">
        <v>25739.919999999998</v>
      </c>
      <c r="G464" s="78">
        <v>24722.880000000001</v>
      </c>
      <c r="H464" s="78">
        <v>24030.17</v>
      </c>
      <c r="I464" s="78">
        <v>24136.28</v>
      </c>
      <c r="J464" s="78">
        <v>24934.5</v>
      </c>
      <c r="K464" s="78">
        <v>25219</v>
      </c>
      <c r="L464" s="78">
        <v>28265.27</v>
      </c>
      <c r="M464" s="78">
        <v>31314.45</v>
      </c>
      <c r="N464" s="78">
        <v>32723.23</v>
      </c>
      <c r="O464" s="78">
        <v>34292.080000000002</v>
      </c>
      <c r="P464" s="78">
        <v>35619.519999999997</v>
      </c>
      <c r="Q464" s="78">
        <v>34196.26</v>
      </c>
      <c r="R464" s="78">
        <v>35222.32</v>
      </c>
      <c r="S464" s="78">
        <v>37220.57</v>
      </c>
      <c r="T464" s="78">
        <v>37463.26</v>
      </c>
      <c r="U464" s="78">
        <v>36885.01</v>
      </c>
      <c r="V464" s="78">
        <v>36613</v>
      </c>
      <c r="W464" s="78">
        <v>38874.78</v>
      </c>
      <c r="X464" s="78">
        <v>38992.83</v>
      </c>
      <c r="Y464" s="78">
        <v>37826.07</v>
      </c>
      <c r="Z464" s="78">
        <v>36008.97</v>
      </c>
      <c r="AA464" s="78">
        <v>33280.019999999997</v>
      </c>
      <c r="AB464" s="78">
        <v>30300.35</v>
      </c>
      <c r="AC464" s="209">
        <f>SUM(E464:AB464)*D464+SUM(E465:AB465)*D465+SUM(E466:AB466)*D466+SUM(E467:AB467)*D467</f>
        <v>22425416.219999999</v>
      </c>
      <c r="AD464" s="148">
        <f>+AC488</f>
        <v>22196881.360000003</v>
      </c>
    </row>
    <row r="465" spans="2:30" s="186" customFormat="1" ht="18.649999999999999" customHeight="1" x14ac:dyDescent="0.35">
      <c r="B465" s="212" t="s">
        <v>34</v>
      </c>
      <c r="C465" s="9" t="s">
        <v>30</v>
      </c>
      <c r="D465" s="10">
        <v>4</v>
      </c>
      <c r="E465" s="79">
        <v>26848.42</v>
      </c>
      <c r="F465" s="79">
        <v>25407.66</v>
      </c>
      <c r="G465" s="79">
        <v>24337.49</v>
      </c>
      <c r="H465" s="79">
        <v>23606.65</v>
      </c>
      <c r="I465" s="79">
        <v>23422.06</v>
      </c>
      <c r="J465" s="79">
        <v>23414.720000000001</v>
      </c>
      <c r="K465" s="79">
        <v>23357.39</v>
      </c>
      <c r="L465" s="79">
        <v>25911.119999999999</v>
      </c>
      <c r="M465" s="79">
        <v>28785.4</v>
      </c>
      <c r="N465" s="79">
        <v>30324.68</v>
      </c>
      <c r="O465" s="79">
        <v>31832.01</v>
      </c>
      <c r="P465" s="79">
        <v>32769.339999999997</v>
      </c>
      <c r="Q465" s="79">
        <v>32333.279999999999</v>
      </c>
      <c r="R465" s="79">
        <v>31977.68</v>
      </c>
      <c r="S465" s="79">
        <v>32159.62</v>
      </c>
      <c r="T465" s="79">
        <v>32222.080000000002</v>
      </c>
      <c r="U465" s="79">
        <v>32036.560000000001</v>
      </c>
      <c r="V465" s="79">
        <v>32941.11</v>
      </c>
      <c r="W465" s="79">
        <v>36585.620000000003</v>
      </c>
      <c r="X465" s="79">
        <v>36664.74</v>
      </c>
      <c r="Y465" s="79">
        <v>35648.15</v>
      </c>
      <c r="Z465" s="79">
        <v>34151.980000000003</v>
      </c>
      <c r="AA465" s="79">
        <v>32261.51</v>
      </c>
      <c r="AB465" s="79">
        <v>30101.18</v>
      </c>
      <c r="AC465" s="210"/>
      <c r="AD465" s="148">
        <f>+AC492</f>
        <v>21151656.289999995</v>
      </c>
    </row>
    <row r="466" spans="2:30" s="186" customFormat="1" ht="18.649999999999999" customHeight="1" x14ac:dyDescent="0.35">
      <c r="B466" s="212" t="s">
        <v>34</v>
      </c>
      <c r="C466" s="9" t="s">
        <v>31</v>
      </c>
      <c r="D466" s="10">
        <v>4</v>
      </c>
      <c r="E466" s="79">
        <v>27388.25</v>
      </c>
      <c r="F466" s="79">
        <v>26002.05</v>
      </c>
      <c r="G466" s="79">
        <v>24855.77</v>
      </c>
      <c r="H466" s="79">
        <v>24071.58</v>
      </c>
      <c r="I466" s="79">
        <v>23741.11</v>
      </c>
      <c r="J466" s="79">
        <v>23305.439999999999</v>
      </c>
      <c r="K466" s="79">
        <v>22800.080000000002</v>
      </c>
      <c r="L466" s="79">
        <v>24188.95</v>
      </c>
      <c r="M466" s="79">
        <v>25572.04</v>
      </c>
      <c r="N466" s="79">
        <v>26806.39</v>
      </c>
      <c r="O466" s="79">
        <v>27954.400000000001</v>
      </c>
      <c r="P466" s="79">
        <v>28865.21</v>
      </c>
      <c r="Q466" s="79">
        <v>29374.53</v>
      </c>
      <c r="R466" s="79">
        <v>29514.85</v>
      </c>
      <c r="S466" s="79">
        <v>29699.64</v>
      </c>
      <c r="T466" s="79">
        <v>29971.94</v>
      </c>
      <c r="U466" s="79">
        <v>30081.95</v>
      </c>
      <c r="V466" s="79">
        <v>31163.23</v>
      </c>
      <c r="W466" s="79">
        <v>34619.67</v>
      </c>
      <c r="X466" s="79">
        <v>35666.33</v>
      </c>
      <c r="Y466" s="79">
        <v>35549.040000000001</v>
      </c>
      <c r="Z466" s="79">
        <v>34675.980000000003</v>
      </c>
      <c r="AA466" s="79">
        <v>32451.05</v>
      </c>
      <c r="AB466" s="79">
        <v>29812.69</v>
      </c>
      <c r="AC466" s="210"/>
      <c r="AD466" s="148">
        <f>+AC496</f>
        <v>22876311.260000002</v>
      </c>
    </row>
    <row r="467" spans="2:30" s="186" customFormat="1" ht="18.649999999999999" customHeight="1" thickBot="1" x14ac:dyDescent="0.4">
      <c r="B467" s="213" t="s">
        <v>34</v>
      </c>
      <c r="C467" s="11" t="s">
        <v>32</v>
      </c>
      <c r="D467" s="12">
        <v>2</v>
      </c>
      <c r="E467" s="194">
        <v>27388.25</v>
      </c>
      <c r="F467" s="194">
        <v>26002.05</v>
      </c>
      <c r="G467" s="194">
        <v>24855.77</v>
      </c>
      <c r="H467" s="194">
        <v>24071.58</v>
      </c>
      <c r="I467" s="194">
        <v>23741.11</v>
      </c>
      <c r="J467" s="194">
        <v>23305.439999999999</v>
      </c>
      <c r="K467" s="194">
        <v>22800.080000000002</v>
      </c>
      <c r="L467" s="194">
        <v>24188.95</v>
      </c>
      <c r="M467" s="194">
        <v>25572.04</v>
      </c>
      <c r="N467" s="194">
        <v>26806.39</v>
      </c>
      <c r="O467" s="194">
        <v>27954.400000000001</v>
      </c>
      <c r="P467" s="194">
        <v>28865.21</v>
      </c>
      <c r="Q467" s="194">
        <v>29374.53</v>
      </c>
      <c r="R467" s="194">
        <v>29514.85</v>
      </c>
      <c r="S467" s="194">
        <v>29699.64</v>
      </c>
      <c r="T467" s="194">
        <v>29971.94</v>
      </c>
      <c r="U467" s="194">
        <v>30081.95</v>
      </c>
      <c r="V467" s="194">
        <v>31163.23</v>
      </c>
      <c r="W467" s="194">
        <v>34619.67</v>
      </c>
      <c r="X467" s="194">
        <v>35666.33</v>
      </c>
      <c r="Y467" s="194">
        <v>35549.040000000001</v>
      </c>
      <c r="Z467" s="194">
        <v>34675.980000000003</v>
      </c>
      <c r="AA467" s="194">
        <v>32451.05</v>
      </c>
      <c r="AB467" s="194">
        <v>29812.69</v>
      </c>
      <c r="AC467" s="214"/>
      <c r="AD467" s="185"/>
    </row>
    <row r="468" spans="2:30" s="186" customFormat="1" ht="18.649999999999999" customHeight="1" x14ac:dyDescent="0.35">
      <c r="B468" s="207">
        <v>51622</v>
      </c>
      <c r="C468" s="13" t="s">
        <v>29</v>
      </c>
      <c r="D468" s="14">
        <v>22</v>
      </c>
      <c r="E468" s="81">
        <v>26406.639999999999</v>
      </c>
      <c r="F468" s="81">
        <v>25115.4</v>
      </c>
      <c r="G468" s="81">
        <v>24138.09</v>
      </c>
      <c r="H468" s="81">
        <v>23469.17</v>
      </c>
      <c r="I468" s="81">
        <v>23588.06</v>
      </c>
      <c r="J468" s="81">
        <v>24263.19</v>
      </c>
      <c r="K468" s="81">
        <v>24831.43</v>
      </c>
      <c r="L468" s="81">
        <v>27909.599999999999</v>
      </c>
      <c r="M468" s="81">
        <v>30988.01</v>
      </c>
      <c r="N468" s="81">
        <v>32429.61</v>
      </c>
      <c r="O468" s="81">
        <v>34148.629999999997</v>
      </c>
      <c r="P468" s="81">
        <v>35271.379999999997</v>
      </c>
      <c r="Q468" s="81">
        <v>33809.910000000003</v>
      </c>
      <c r="R468" s="81">
        <v>34755.800000000003</v>
      </c>
      <c r="S468" s="81">
        <v>36595.050000000003</v>
      </c>
      <c r="T468" s="81">
        <v>36779.160000000003</v>
      </c>
      <c r="U468" s="81">
        <v>36242.82</v>
      </c>
      <c r="V468" s="81">
        <v>35739.68</v>
      </c>
      <c r="W468" s="81">
        <v>37963.040000000001</v>
      </c>
      <c r="X468" s="81">
        <v>38113.49</v>
      </c>
      <c r="Y468" s="81">
        <v>36937.97</v>
      </c>
      <c r="Z468" s="81">
        <v>34985.56</v>
      </c>
      <c r="AA468" s="81">
        <v>32235.4</v>
      </c>
      <c r="AB468" s="81">
        <v>29425.93</v>
      </c>
      <c r="AC468" s="210">
        <f>SUM(E468:AB468)*D468+SUM(E469:AB469)*D469+SUM(E470:AB470)*D470+SUM(E471:AB471)*D471</f>
        <v>22985180.780000001</v>
      </c>
      <c r="AD468" s="185"/>
    </row>
    <row r="469" spans="2:30" s="186" customFormat="1" ht="18.649999999999999" customHeight="1" x14ac:dyDescent="0.35">
      <c r="B469" s="208"/>
      <c r="C469" s="9" t="s">
        <v>30</v>
      </c>
      <c r="D469" s="10">
        <v>4</v>
      </c>
      <c r="E469" s="79">
        <v>26878.62</v>
      </c>
      <c r="F469" s="79">
        <v>25269.040000000001</v>
      </c>
      <c r="G469" s="79">
        <v>24180.29</v>
      </c>
      <c r="H469" s="79">
        <v>23479.01</v>
      </c>
      <c r="I469" s="79">
        <v>23350.91</v>
      </c>
      <c r="J469" s="79">
        <v>23088.49</v>
      </c>
      <c r="K469" s="79">
        <v>23318.49</v>
      </c>
      <c r="L469" s="79">
        <v>26162.62</v>
      </c>
      <c r="M469" s="79">
        <v>29241.27</v>
      </c>
      <c r="N469" s="79">
        <v>30968.83</v>
      </c>
      <c r="O469" s="79">
        <v>32286.71</v>
      </c>
      <c r="P469" s="79">
        <v>33170.449999999997</v>
      </c>
      <c r="Q469" s="79">
        <v>32478.15</v>
      </c>
      <c r="R469" s="79">
        <v>32019.200000000001</v>
      </c>
      <c r="S469" s="79">
        <v>32258.98</v>
      </c>
      <c r="T469" s="79">
        <v>32319.08</v>
      </c>
      <c r="U469" s="79">
        <v>32131.69</v>
      </c>
      <c r="V469" s="79">
        <v>33074.370000000003</v>
      </c>
      <c r="W469" s="79">
        <v>36596.35</v>
      </c>
      <c r="X469" s="79">
        <v>37011.69</v>
      </c>
      <c r="Y469" s="79">
        <v>35916.5</v>
      </c>
      <c r="Z469" s="79">
        <v>34298.050000000003</v>
      </c>
      <c r="AA469" s="79">
        <v>32422.57</v>
      </c>
      <c r="AB469" s="79">
        <v>30247.35</v>
      </c>
      <c r="AC469" s="210"/>
      <c r="AD469" s="185"/>
    </row>
    <row r="470" spans="2:30" s="186" customFormat="1" ht="18.649999999999999" customHeight="1" x14ac:dyDescent="0.35">
      <c r="B470" s="208"/>
      <c r="C470" s="9" t="s">
        <v>31</v>
      </c>
      <c r="D470" s="10">
        <v>4</v>
      </c>
      <c r="E470" s="79">
        <v>27205.21</v>
      </c>
      <c r="F470" s="79">
        <v>25882.51</v>
      </c>
      <c r="G470" s="79">
        <v>24828.720000000001</v>
      </c>
      <c r="H470" s="79">
        <v>24072.91</v>
      </c>
      <c r="I470" s="79">
        <v>23750.82</v>
      </c>
      <c r="J470" s="79">
        <v>23010.79</v>
      </c>
      <c r="K470" s="79">
        <v>22651.67</v>
      </c>
      <c r="L470" s="79">
        <v>24134.68</v>
      </c>
      <c r="M470" s="79">
        <v>26036.98</v>
      </c>
      <c r="N470" s="79">
        <v>27541.08</v>
      </c>
      <c r="O470" s="79">
        <v>28571.5</v>
      </c>
      <c r="P470" s="79">
        <v>29339.24</v>
      </c>
      <c r="Q470" s="79">
        <v>29776.87</v>
      </c>
      <c r="R470" s="79">
        <v>29869.67</v>
      </c>
      <c r="S470" s="79">
        <v>29997.17</v>
      </c>
      <c r="T470" s="79">
        <v>30335.66</v>
      </c>
      <c r="U470" s="79">
        <v>30246.99</v>
      </c>
      <c r="V470" s="79">
        <v>31446.07</v>
      </c>
      <c r="W470" s="79">
        <v>35095.9</v>
      </c>
      <c r="X470" s="79">
        <v>36060.080000000002</v>
      </c>
      <c r="Y470" s="79">
        <v>35863.97</v>
      </c>
      <c r="Z470" s="79">
        <v>34712.76</v>
      </c>
      <c r="AA470" s="79">
        <v>32389.26</v>
      </c>
      <c r="AB470" s="79">
        <v>29451.39</v>
      </c>
      <c r="AC470" s="210"/>
      <c r="AD470" s="185"/>
    </row>
    <row r="471" spans="2:30" s="186" customFormat="1" ht="18.649999999999999" customHeight="1" thickBot="1" x14ac:dyDescent="0.4">
      <c r="B471" s="208"/>
      <c r="C471" s="15" t="s">
        <v>32</v>
      </c>
      <c r="D471" s="16">
        <v>1</v>
      </c>
      <c r="E471" s="80">
        <v>27205.21</v>
      </c>
      <c r="F471" s="80">
        <v>25882.51</v>
      </c>
      <c r="G471" s="80">
        <v>24828.720000000001</v>
      </c>
      <c r="H471" s="80">
        <v>24072.91</v>
      </c>
      <c r="I471" s="80">
        <v>23750.82</v>
      </c>
      <c r="J471" s="80">
        <v>23010.79</v>
      </c>
      <c r="K471" s="80">
        <v>22651.67</v>
      </c>
      <c r="L471" s="80">
        <v>24134.68</v>
      </c>
      <c r="M471" s="80">
        <v>26036.98</v>
      </c>
      <c r="N471" s="80">
        <v>27541.08</v>
      </c>
      <c r="O471" s="80">
        <v>28571.5</v>
      </c>
      <c r="P471" s="80">
        <v>29339.24</v>
      </c>
      <c r="Q471" s="80">
        <v>29776.87</v>
      </c>
      <c r="R471" s="80">
        <v>29869.67</v>
      </c>
      <c r="S471" s="80">
        <v>29997.17</v>
      </c>
      <c r="T471" s="80">
        <v>30335.66</v>
      </c>
      <c r="U471" s="80">
        <v>30246.99</v>
      </c>
      <c r="V471" s="80">
        <v>31446.07</v>
      </c>
      <c r="W471" s="80">
        <v>35095.9</v>
      </c>
      <c r="X471" s="80">
        <v>36060.080000000002</v>
      </c>
      <c r="Y471" s="80">
        <v>35863.97</v>
      </c>
      <c r="Z471" s="80">
        <v>34712.76</v>
      </c>
      <c r="AA471" s="80">
        <v>32389.26</v>
      </c>
      <c r="AB471" s="80">
        <v>29451.39</v>
      </c>
      <c r="AC471" s="210"/>
      <c r="AD471" s="185"/>
    </row>
    <row r="472" spans="2:30" s="186" customFormat="1" ht="18.649999999999999" customHeight="1" x14ac:dyDescent="0.35">
      <c r="B472" s="211">
        <v>51653</v>
      </c>
      <c r="C472" s="6" t="s">
        <v>29</v>
      </c>
      <c r="D472" s="7">
        <v>18</v>
      </c>
      <c r="E472" s="78">
        <v>26792.26</v>
      </c>
      <c r="F472" s="78">
        <v>25407.19</v>
      </c>
      <c r="G472" s="78">
        <v>24444.68</v>
      </c>
      <c r="H472" s="78">
        <v>23691.58</v>
      </c>
      <c r="I472" s="78">
        <v>23766.98</v>
      </c>
      <c r="J472" s="78">
        <v>24105.07</v>
      </c>
      <c r="K472" s="78">
        <v>24642.58</v>
      </c>
      <c r="L472" s="78">
        <v>27929.18</v>
      </c>
      <c r="M472" s="78">
        <v>31046.6</v>
      </c>
      <c r="N472" s="78">
        <v>32589.81</v>
      </c>
      <c r="O472" s="78">
        <v>34375.1</v>
      </c>
      <c r="P472" s="78">
        <v>35548.550000000003</v>
      </c>
      <c r="Q472" s="78">
        <v>34259.660000000003</v>
      </c>
      <c r="R472" s="78">
        <v>35026.57</v>
      </c>
      <c r="S472" s="78">
        <v>36783.43</v>
      </c>
      <c r="T472" s="78">
        <v>36991.79</v>
      </c>
      <c r="U472" s="78">
        <v>36616.99</v>
      </c>
      <c r="V472" s="78">
        <v>36155.24</v>
      </c>
      <c r="W472" s="78">
        <v>38265.519999999997</v>
      </c>
      <c r="X472" s="78">
        <v>38750.36</v>
      </c>
      <c r="Y472" s="78">
        <v>37484.29</v>
      </c>
      <c r="Z472" s="78">
        <v>35562.97</v>
      </c>
      <c r="AA472" s="78">
        <v>32704.07</v>
      </c>
      <c r="AB472" s="78">
        <v>29821.05</v>
      </c>
      <c r="AC472" s="209">
        <f>SUM(E472:AB472)*D472+SUM(E473:AB473)*D473+SUM(E474:AB474)*D474+SUM(E475:AB475)*D475</f>
        <v>22137969.720000003</v>
      </c>
      <c r="AD472" s="185"/>
    </row>
    <row r="473" spans="2:30" s="186" customFormat="1" ht="18.649999999999999" customHeight="1" x14ac:dyDescent="0.35">
      <c r="B473" s="212" t="s">
        <v>34</v>
      </c>
      <c r="C473" s="9" t="s">
        <v>30</v>
      </c>
      <c r="D473" s="10">
        <v>5</v>
      </c>
      <c r="E473" s="79">
        <v>26860.07</v>
      </c>
      <c r="F473" s="79">
        <v>25501.94</v>
      </c>
      <c r="G473" s="79">
        <v>24492.69</v>
      </c>
      <c r="H473" s="79">
        <v>23800.01</v>
      </c>
      <c r="I473" s="79">
        <v>23678.52</v>
      </c>
      <c r="J473" s="79">
        <v>23369.03</v>
      </c>
      <c r="K473" s="79">
        <v>23605.89</v>
      </c>
      <c r="L473" s="79">
        <v>26504.36</v>
      </c>
      <c r="M473" s="79">
        <v>29592.71</v>
      </c>
      <c r="N473" s="79">
        <v>31356.33</v>
      </c>
      <c r="O473" s="79">
        <v>32867.58</v>
      </c>
      <c r="P473" s="79">
        <v>33782.879999999997</v>
      </c>
      <c r="Q473" s="79">
        <v>33152.959999999999</v>
      </c>
      <c r="R473" s="79">
        <v>32472.27</v>
      </c>
      <c r="S473" s="79">
        <v>32575.49</v>
      </c>
      <c r="T473" s="79">
        <v>32596.799999999999</v>
      </c>
      <c r="U473" s="79">
        <v>32209.72</v>
      </c>
      <c r="V473" s="79">
        <v>33046.57</v>
      </c>
      <c r="W473" s="79">
        <v>35902.51</v>
      </c>
      <c r="X473" s="79">
        <v>36655.660000000003</v>
      </c>
      <c r="Y473" s="79">
        <v>35603.18</v>
      </c>
      <c r="Z473" s="79">
        <v>33826.76</v>
      </c>
      <c r="AA473" s="79">
        <v>31762.799999999999</v>
      </c>
      <c r="AB473" s="79">
        <v>29629.78</v>
      </c>
      <c r="AC473" s="210"/>
      <c r="AD473" s="185"/>
    </row>
    <row r="474" spans="2:30" s="186" customFormat="1" ht="18.649999999999999" customHeight="1" x14ac:dyDescent="0.35">
      <c r="B474" s="212" t="s">
        <v>34</v>
      </c>
      <c r="C474" s="9" t="s">
        <v>31</v>
      </c>
      <c r="D474" s="10">
        <v>5</v>
      </c>
      <c r="E474" s="79">
        <v>27277.74</v>
      </c>
      <c r="F474" s="79">
        <v>25856.22</v>
      </c>
      <c r="G474" s="79">
        <v>24752.06</v>
      </c>
      <c r="H474" s="79">
        <v>24026.33</v>
      </c>
      <c r="I474" s="79">
        <v>23743.27</v>
      </c>
      <c r="J474" s="79">
        <v>22972.59</v>
      </c>
      <c r="K474" s="79">
        <v>22450.42</v>
      </c>
      <c r="L474" s="79">
        <v>23808.7</v>
      </c>
      <c r="M474" s="79">
        <v>25488.41</v>
      </c>
      <c r="N474" s="79">
        <v>26893.08</v>
      </c>
      <c r="O474" s="79">
        <v>27887.16</v>
      </c>
      <c r="P474" s="79">
        <v>28677.599999999999</v>
      </c>
      <c r="Q474" s="79">
        <v>29295.73</v>
      </c>
      <c r="R474" s="79">
        <v>29240</v>
      </c>
      <c r="S474" s="79">
        <v>29343.29</v>
      </c>
      <c r="T474" s="79">
        <v>29587.32</v>
      </c>
      <c r="U474" s="79">
        <v>29635.9</v>
      </c>
      <c r="V474" s="79">
        <v>30684.86</v>
      </c>
      <c r="W474" s="79">
        <v>34212.449999999997</v>
      </c>
      <c r="X474" s="79">
        <v>35863.57</v>
      </c>
      <c r="Y474" s="79">
        <v>35410.28</v>
      </c>
      <c r="Z474" s="79">
        <v>34276.51</v>
      </c>
      <c r="AA474" s="79">
        <v>32201.43</v>
      </c>
      <c r="AB474" s="79">
        <v>29847.91</v>
      </c>
      <c r="AC474" s="210"/>
      <c r="AD474" s="185"/>
    </row>
    <row r="475" spans="2:30" s="186" customFormat="1" ht="18.649999999999999" customHeight="1" thickBot="1" x14ac:dyDescent="0.4">
      <c r="B475" s="213" t="s">
        <v>34</v>
      </c>
      <c r="C475" s="11" t="s">
        <v>32</v>
      </c>
      <c r="D475" s="12">
        <v>2</v>
      </c>
      <c r="E475" s="76">
        <v>27277.74</v>
      </c>
      <c r="F475" s="76">
        <v>25856.22</v>
      </c>
      <c r="G475" s="76">
        <v>24752.06</v>
      </c>
      <c r="H475" s="76">
        <v>24026.33</v>
      </c>
      <c r="I475" s="76">
        <v>23743.27</v>
      </c>
      <c r="J475" s="76">
        <v>22972.59</v>
      </c>
      <c r="K475" s="76">
        <v>22450.42</v>
      </c>
      <c r="L475" s="76">
        <v>23808.7</v>
      </c>
      <c r="M475" s="76">
        <v>25488.41</v>
      </c>
      <c r="N475" s="76">
        <v>26893.08</v>
      </c>
      <c r="O475" s="76">
        <v>27887.16</v>
      </c>
      <c r="P475" s="76">
        <v>28677.599999999999</v>
      </c>
      <c r="Q475" s="76">
        <v>29295.73</v>
      </c>
      <c r="R475" s="76">
        <v>29240</v>
      </c>
      <c r="S475" s="76">
        <v>29343.29</v>
      </c>
      <c r="T475" s="76">
        <v>29587.32</v>
      </c>
      <c r="U475" s="76">
        <v>29635.9</v>
      </c>
      <c r="V475" s="76">
        <v>30684.86</v>
      </c>
      <c r="W475" s="76">
        <v>34212.449999999997</v>
      </c>
      <c r="X475" s="76">
        <v>35863.57</v>
      </c>
      <c r="Y475" s="76">
        <v>35410.28</v>
      </c>
      <c r="Z475" s="76">
        <v>34276.51</v>
      </c>
      <c r="AA475" s="76">
        <v>32201.43</v>
      </c>
      <c r="AB475" s="76">
        <v>29847.91</v>
      </c>
      <c r="AC475" s="214"/>
      <c r="AD475" s="185"/>
    </row>
    <row r="476" spans="2:30" s="186" customFormat="1" ht="18.649999999999999" customHeight="1" x14ac:dyDescent="0.35">
      <c r="B476" s="207">
        <v>51683</v>
      </c>
      <c r="C476" s="13" t="s">
        <v>29</v>
      </c>
      <c r="D476" s="7">
        <v>22</v>
      </c>
      <c r="E476" s="81">
        <v>26453.32</v>
      </c>
      <c r="F476" s="81">
        <v>25060.73</v>
      </c>
      <c r="G476" s="81">
        <v>24021.360000000001</v>
      </c>
      <c r="H476" s="81">
        <v>23327.31</v>
      </c>
      <c r="I476" s="81">
        <v>23301.71</v>
      </c>
      <c r="J476" s="81">
        <v>23921.24</v>
      </c>
      <c r="K476" s="81">
        <v>24242.38</v>
      </c>
      <c r="L476" s="81">
        <v>27409.68</v>
      </c>
      <c r="M476" s="81">
        <v>30432.57</v>
      </c>
      <c r="N476" s="81">
        <v>31987.38</v>
      </c>
      <c r="O476" s="81">
        <v>33794.39</v>
      </c>
      <c r="P476" s="81">
        <v>35149.660000000003</v>
      </c>
      <c r="Q476" s="81">
        <v>33871.519999999997</v>
      </c>
      <c r="R476" s="81">
        <v>35034.83</v>
      </c>
      <c r="S476" s="81">
        <v>37069.72</v>
      </c>
      <c r="T476" s="81">
        <v>37293.440000000002</v>
      </c>
      <c r="U476" s="81">
        <v>36777.760000000002</v>
      </c>
      <c r="V476" s="81">
        <v>35889.120000000003</v>
      </c>
      <c r="W476" s="81">
        <v>37480.730000000003</v>
      </c>
      <c r="X476" s="81">
        <v>38354.36</v>
      </c>
      <c r="Y476" s="81">
        <v>37315.22</v>
      </c>
      <c r="Z476" s="81">
        <v>35460.06</v>
      </c>
      <c r="AA476" s="81">
        <v>32560.080000000002</v>
      </c>
      <c r="AB476" s="81">
        <v>29753.88</v>
      </c>
      <c r="AC476" s="210">
        <f>SUM(E476:AB476)*D476+SUM(E477:AB477)*D477+SUM(E478:AB478)*D478+SUM(E479:AB479)*D479</f>
        <v>22683649.359999999</v>
      </c>
      <c r="AD476" s="185"/>
    </row>
    <row r="477" spans="2:30" s="186" customFormat="1" ht="18.649999999999999" customHeight="1" x14ac:dyDescent="0.35">
      <c r="B477" s="208"/>
      <c r="C477" s="9" t="s">
        <v>30</v>
      </c>
      <c r="D477" s="10">
        <v>3</v>
      </c>
      <c r="E477" s="79">
        <v>26961.27</v>
      </c>
      <c r="F477" s="79">
        <v>25392.73</v>
      </c>
      <c r="G477" s="79">
        <v>24264.17</v>
      </c>
      <c r="H477" s="79">
        <v>23580.27</v>
      </c>
      <c r="I477" s="79">
        <v>23256.49</v>
      </c>
      <c r="J477" s="79">
        <v>23012.49</v>
      </c>
      <c r="K477" s="79">
        <v>23119.38</v>
      </c>
      <c r="L477" s="79">
        <v>25821.8</v>
      </c>
      <c r="M477" s="79">
        <v>28895.8</v>
      </c>
      <c r="N477" s="79">
        <v>30671.119999999999</v>
      </c>
      <c r="O477" s="79">
        <v>32341.17</v>
      </c>
      <c r="P477" s="79">
        <v>33175.870000000003</v>
      </c>
      <c r="Q477" s="79">
        <v>32634.44</v>
      </c>
      <c r="R477" s="79">
        <v>32152.46</v>
      </c>
      <c r="S477" s="79">
        <v>32150.1</v>
      </c>
      <c r="T477" s="79">
        <v>31956.01</v>
      </c>
      <c r="U477" s="79">
        <v>31643.38</v>
      </c>
      <c r="V477" s="79">
        <v>32455.279999999999</v>
      </c>
      <c r="W477" s="79">
        <v>34490.71</v>
      </c>
      <c r="X477" s="79">
        <v>35267.57</v>
      </c>
      <c r="Y477" s="79">
        <v>34111.980000000003</v>
      </c>
      <c r="Z477" s="79">
        <v>32683.55</v>
      </c>
      <c r="AA477" s="79">
        <v>30871.439999999999</v>
      </c>
      <c r="AB477" s="79">
        <v>28795.52</v>
      </c>
      <c r="AC477" s="210"/>
      <c r="AD477" s="185"/>
    </row>
    <row r="478" spans="2:30" s="186" customFormat="1" ht="18.649999999999999" customHeight="1" x14ac:dyDescent="0.35">
      <c r="B478" s="208"/>
      <c r="C478" s="9" t="s">
        <v>31</v>
      </c>
      <c r="D478" s="10">
        <v>4</v>
      </c>
      <c r="E478" s="79">
        <v>25307.88</v>
      </c>
      <c r="F478" s="79">
        <v>24087.72</v>
      </c>
      <c r="G478" s="79">
        <v>23023.66</v>
      </c>
      <c r="H478" s="79">
        <v>22373.81</v>
      </c>
      <c r="I478" s="79">
        <v>22111.05</v>
      </c>
      <c r="J478" s="79">
        <v>21551.07</v>
      </c>
      <c r="K478" s="79">
        <v>21057.97</v>
      </c>
      <c r="L478" s="79">
        <v>22492.53</v>
      </c>
      <c r="M478" s="79">
        <v>24152.799999999999</v>
      </c>
      <c r="N478" s="79">
        <v>25490.48</v>
      </c>
      <c r="O478" s="79">
        <v>26631.42</v>
      </c>
      <c r="P478" s="79">
        <v>27603.82</v>
      </c>
      <c r="Q478" s="79">
        <v>28306.9</v>
      </c>
      <c r="R478" s="79">
        <v>28485.31</v>
      </c>
      <c r="S478" s="79">
        <v>28651.06</v>
      </c>
      <c r="T478" s="79">
        <v>29039.200000000001</v>
      </c>
      <c r="U478" s="79">
        <v>28986.76</v>
      </c>
      <c r="V478" s="79">
        <v>29831.48</v>
      </c>
      <c r="W478" s="79">
        <v>33214.82</v>
      </c>
      <c r="X478" s="79">
        <v>35112.78</v>
      </c>
      <c r="Y478" s="79">
        <v>34581.86</v>
      </c>
      <c r="Z478" s="79">
        <v>33160.879999999997</v>
      </c>
      <c r="AA478" s="79">
        <v>30608.400000000001</v>
      </c>
      <c r="AB478" s="79">
        <v>28029.75</v>
      </c>
      <c r="AC478" s="210"/>
      <c r="AD478" s="185"/>
    </row>
    <row r="479" spans="2:30" s="186" customFormat="1" ht="18.649999999999999" customHeight="1" thickBot="1" x14ac:dyDescent="0.4">
      <c r="B479" s="208"/>
      <c r="C479" s="15" t="s">
        <v>32</v>
      </c>
      <c r="D479" s="12">
        <v>2</v>
      </c>
      <c r="E479" s="79">
        <v>25307.88</v>
      </c>
      <c r="F479" s="79">
        <v>24087.72</v>
      </c>
      <c r="G479" s="79">
        <v>23023.66</v>
      </c>
      <c r="H479" s="79">
        <v>22373.81</v>
      </c>
      <c r="I479" s="79">
        <v>22111.05</v>
      </c>
      <c r="J479" s="79">
        <v>21551.07</v>
      </c>
      <c r="K479" s="79">
        <v>21057.97</v>
      </c>
      <c r="L479" s="79">
        <v>22492.53</v>
      </c>
      <c r="M479" s="79">
        <v>24152.799999999999</v>
      </c>
      <c r="N479" s="79">
        <v>25490.48</v>
      </c>
      <c r="O479" s="79">
        <v>26631.42</v>
      </c>
      <c r="P479" s="79">
        <v>27603.82</v>
      </c>
      <c r="Q479" s="79">
        <v>28306.9</v>
      </c>
      <c r="R479" s="79">
        <v>28485.31</v>
      </c>
      <c r="S479" s="79">
        <v>28651.06</v>
      </c>
      <c r="T479" s="79">
        <v>29039.200000000001</v>
      </c>
      <c r="U479" s="79">
        <v>28986.76</v>
      </c>
      <c r="V479" s="79">
        <v>29831.48</v>
      </c>
      <c r="W479" s="79">
        <v>33214.82</v>
      </c>
      <c r="X479" s="79">
        <v>35112.78</v>
      </c>
      <c r="Y479" s="79">
        <v>34581.86</v>
      </c>
      <c r="Z479" s="79">
        <v>33160.879999999997</v>
      </c>
      <c r="AA479" s="79">
        <v>30608.400000000001</v>
      </c>
      <c r="AB479" s="79">
        <v>28029.75</v>
      </c>
      <c r="AC479" s="210"/>
      <c r="AD479" s="185"/>
    </row>
    <row r="480" spans="2:30" s="186" customFormat="1" ht="18.649999999999999" customHeight="1" x14ac:dyDescent="0.35">
      <c r="B480" s="211">
        <v>51714</v>
      </c>
      <c r="C480" s="6" t="s">
        <v>29</v>
      </c>
      <c r="D480" s="7">
        <v>20</v>
      </c>
      <c r="E480" s="78">
        <v>26589.21</v>
      </c>
      <c r="F480" s="78">
        <v>25091.57</v>
      </c>
      <c r="G480" s="78">
        <v>24031.14</v>
      </c>
      <c r="H480" s="78">
        <v>23307.81</v>
      </c>
      <c r="I480" s="78">
        <v>23283.03</v>
      </c>
      <c r="J480" s="78">
        <v>24087.43</v>
      </c>
      <c r="K480" s="78">
        <v>24380.07</v>
      </c>
      <c r="L480" s="78">
        <v>27293.33</v>
      </c>
      <c r="M480" s="78">
        <v>30342.84</v>
      </c>
      <c r="N480" s="78">
        <v>31870.52</v>
      </c>
      <c r="O480" s="78">
        <v>33769.94</v>
      </c>
      <c r="P480" s="78">
        <v>35342.99</v>
      </c>
      <c r="Q480" s="78">
        <v>33893.89</v>
      </c>
      <c r="R480" s="78">
        <v>35025.300000000003</v>
      </c>
      <c r="S480" s="78">
        <v>37173.599999999999</v>
      </c>
      <c r="T480" s="78">
        <v>37416.870000000003</v>
      </c>
      <c r="U480" s="78">
        <v>36763.129999999997</v>
      </c>
      <c r="V480" s="78">
        <v>36094.85</v>
      </c>
      <c r="W480" s="78">
        <v>38255.49</v>
      </c>
      <c r="X480" s="78">
        <v>38852.089999999997</v>
      </c>
      <c r="Y480" s="78">
        <v>37760.300000000003</v>
      </c>
      <c r="Z480" s="78">
        <v>35829.21</v>
      </c>
      <c r="AA480" s="78">
        <v>32854.69</v>
      </c>
      <c r="AB480" s="78">
        <v>30044.97</v>
      </c>
      <c r="AC480" s="209">
        <f>SUM(E480:AB480)*D480+SUM(E481:AB481)*D481+SUM(E482:AB482)*D482+SUM(E483:AB483)*D483</f>
        <v>22741080.819999997</v>
      </c>
      <c r="AD480" s="185"/>
    </row>
    <row r="481" spans="2:30" s="186" customFormat="1" ht="18.649999999999999" customHeight="1" x14ac:dyDescent="0.35">
      <c r="B481" s="212" t="s">
        <v>34</v>
      </c>
      <c r="C481" s="9" t="s">
        <v>30</v>
      </c>
      <c r="D481" s="10">
        <v>5</v>
      </c>
      <c r="E481" s="79">
        <v>26964.03</v>
      </c>
      <c r="F481" s="79">
        <v>25536.99</v>
      </c>
      <c r="G481" s="79">
        <v>24478.89</v>
      </c>
      <c r="H481" s="79">
        <v>23675.81</v>
      </c>
      <c r="I481" s="79">
        <v>23194.27</v>
      </c>
      <c r="J481" s="79">
        <v>22987.5</v>
      </c>
      <c r="K481" s="79">
        <v>23024.58</v>
      </c>
      <c r="L481" s="79">
        <v>25656.39</v>
      </c>
      <c r="M481" s="79">
        <v>28446.98</v>
      </c>
      <c r="N481" s="79">
        <v>30222.03</v>
      </c>
      <c r="O481" s="79">
        <v>31679.47</v>
      </c>
      <c r="P481" s="79">
        <v>32172.720000000001</v>
      </c>
      <c r="Q481" s="79">
        <v>31608.16</v>
      </c>
      <c r="R481" s="79">
        <v>31165.49</v>
      </c>
      <c r="S481" s="79">
        <v>31517.15</v>
      </c>
      <c r="T481" s="79">
        <v>31657.26</v>
      </c>
      <c r="U481" s="79">
        <v>31444.15</v>
      </c>
      <c r="V481" s="79">
        <v>32396.59</v>
      </c>
      <c r="W481" s="79">
        <v>35760.199999999997</v>
      </c>
      <c r="X481" s="79">
        <v>36044.410000000003</v>
      </c>
      <c r="Y481" s="79">
        <v>34730.46</v>
      </c>
      <c r="Z481" s="79">
        <v>33154.769999999997</v>
      </c>
      <c r="AA481" s="79">
        <v>31120.61</v>
      </c>
      <c r="AB481" s="79">
        <v>28901.15</v>
      </c>
      <c r="AC481" s="210"/>
      <c r="AD481" s="185"/>
    </row>
    <row r="482" spans="2:30" s="186" customFormat="1" ht="18.649999999999999" customHeight="1" x14ac:dyDescent="0.35">
      <c r="B482" s="212" t="s">
        <v>34</v>
      </c>
      <c r="C482" s="9" t="s">
        <v>31</v>
      </c>
      <c r="D482" s="10">
        <v>4</v>
      </c>
      <c r="E482" s="79">
        <v>26294.47</v>
      </c>
      <c r="F482" s="79">
        <v>24976.69</v>
      </c>
      <c r="G482" s="79">
        <v>23834.560000000001</v>
      </c>
      <c r="H482" s="79">
        <v>23172.55</v>
      </c>
      <c r="I482" s="79">
        <v>22827.41</v>
      </c>
      <c r="J482" s="79">
        <v>22467.89</v>
      </c>
      <c r="K482" s="79">
        <v>21842.74</v>
      </c>
      <c r="L482" s="79">
        <v>23208.720000000001</v>
      </c>
      <c r="M482" s="79">
        <v>24747.79</v>
      </c>
      <c r="N482" s="79">
        <v>26055.97</v>
      </c>
      <c r="O482" s="79">
        <v>27165.599999999999</v>
      </c>
      <c r="P482" s="79">
        <v>28090.54</v>
      </c>
      <c r="Q482" s="79">
        <v>28642.04</v>
      </c>
      <c r="R482" s="79">
        <v>28757.57</v>
      </c>
      <c r="S482" s="79">
        <v>28935.279999999999</v>
      </c>
      <c r="T482" s="79">
        <v>29149.27</v>
      </c>
      <c r="U482" s="79">
        <v>29145.599999999999</v>
      </c>
      <c r="V482" s="79">
        <v>30350.15</v>
      </c>
      <c r="W482" s="79">
        <v>34154.18</v>
      </c>
      <c r="X482" s="79">
        <v>35628.730000000003</v>
      </c>
      <c r="Y482" s="79">
        <v>35336.89</v>
      </c>
      <c r="Z482" s="79">
        <v>34074.199999999997</v>
      </c>
      <c r="AA482" s="79">
        <v>31580.34</v>
      </c>
      <c r="AB482" s="79">
        <v>28943.34</v>
      </c>
      <c r="AC482" s="210"/>
      <c r="AD482" s="185"/>
    </row>
    <row r="483" spans="2:30" s="186" customFormat="1" ht="18.649999999999999" customHeight="1" thickBot="1" x14ac:dyDescent="0.4">
      <c r="B483" s="213" t="s">
        <v>34</v>
      </c>
      <c r="C483" s="11" t="s">
        <v>32</v>
      </c>
      <c r="D483" s="12">
        <v>2</v>
      </c>
      <c r="E483" s="76">
        <v>26294.47</v>
      </c>
      <c r="F483" s="76">
        <v>24976.69</v>
      </c>
      <c r="G483" s="76">
        <v>23834.560000000001</v>
      </c>
      <c r="H483" s="76">
        <v>23172.55</v>
      </c>
      <c r="I483" s="76">
        <v>22827.41</v>
      </c>
      <c r="J483" s="76">
        <v>22467.89</v>
      </c>
      <c r="K483" s="76">
        <v>21842.74</v>
      </c>
      <c r="L483" s="76">
        <v>23208.720000000001</v>
      </c>
      <c r="M483" s="76">
        <v>24747.79</v>
      </c>
      <c r="N483" s="76">
        <v>26055.97</v>
      </c>
      <c r="O483" s="76">
        <v>27165.599999999999</v>
      </c>
      <c r="P483" s="76">
        <v>28090.54</v>
      </c>
      <c r="Q483" s="76">
        <v>28642.04</v>
      </c>
      <c r="R483" s="76">
        <v>28757.57</v>
      </c>
      <c r="S483" s="76">
        <v>28935.279999999999</v>
      </c>
      <c r="T483" s="76">
        <v>29149.27</v>
      </c>
      <c r="U483" s="76">
        <v>29145.599999999999</v>
      </c>
      <c r="V483" s="76">
        <v>30350.15</v>
      </c>
      <c r="W483" s="76">
        <v>34154.18</v>
      </c>
      <c r="X483" s="76">
        <v>35628.730000000003</v>
      </c>
      <c r="Y483" s="76">
        <v>35336.89</v>
      </c>
      <c r="Z483" s="76">
        <v>34074.199999999997</v>
      </c>
      <c r="AA483" s="76">
        <v>31580.34</v>
      </c>
      <c r="AB483" s="76">
        <v>28943.34</v>
      </c>
      <c r="AC483" s="214"/>
      <c r="AD483" s="185"/>
    </row>
    <row r="484" spans="2:30" s="186" customFormat="1" ht="18.649999999999999" customHeight="1" x14ac:dyDescent="0.35">
      <c r="B484" s="207">
        <v>51745</v>
      </c>
      <c r="C484" s="13" t="s">
        <v>29</v>
      </c>
      <c r="D484" s="14">
        <v>21</v>
      </c>
      <c r="E484" s="81">
        <v>26444.9</v>
      </c>
      <c r="F484" s="81">
        <v>25016.42</v>
      </c>
      <c r="G484" s="81">
        <v>23964.1</v>
      </c>
      <c r="H484" s="81">
        <v>23193.37</v>
      </c>
      <c r="I484" s="81">
        <v>23166.14</v>
      </c>
      <c r="J484" s="81">
        <v>23941.37</v>
      </c>
      <c r="K484" s="81">
        <v>24290.89</v>
      </c>
      <c r="L484" s="81">
        <v>27246.07</v>
      </c>
      <c r="M484" s="81">
        <v>30338.11</v>
      </c>
      <c r="N484" s="81">
        <v>31881.98</v>
      </c>
      <c r="O484" s="81">
        <v>33541.53</v>
      </c>
      <c r="P484" s="81">
        <v>34959.730000000003</v>
      </c>
      <c r="Q484" s="81">
        <v>33670.71</v>
      </c>
      <c r="R484" s="81">
        <v>34675.129999999997</v>
      </c>
      <c r="S484" s="81">
        <v>36681.82</v>
      </c>
      <c r="T484" s="81">
        <v>36937.69</v>
      </c>
      <c r="U484" s="81">
        <v>36356.1</v>
      </c>
      <c r="V484" s="81">
        <v>36117.89</v>
      </c>
      <c r="W484" s="81">
        <v>38534.080000000002</v>
      </c>
      <c r="X484" s="81">
        <v>38170.15</v>
      </c>
      <c r="Y484" s="81">
        <v>36951.440000000002</v>
      </c>
      <c r="Z484" s="81">
        <v>34958.449999999997</v>
      </c>
      <c r="AA484" s="81">
        <v>31968.22</v>
      </c>
      <c r="AB484" s="81">
        <v>29217.4</v>
      </c>
      <c r="AC484" s="210">
        <f>SUM(E484:AB484)*D484+SUM(E485:AB485)*D485+SUM(E486:AB486)*D486+SUM(E487:AB487)*D487</f>
        <v>21926953.169999994</v>
      </c>
      <c r="AD484" s="185"/>
    </row>
    <row r="485" spans="2:30" s="186" customFormat="1" ht="18.649999999999999" customHeight="1" x14ac:dyDescent="0.35">
      <c r="B485" s="208"/>
      <c r="C485" s="9" t="s">
        <v>30</v>
      </c>
      <c r="D485" s="10">
        <v>4</v>
      </c>
      <c r="E485" s="79">
        <v>25736.240000000002</v>
      </c>
      <c r="F485" s="79">
        <v>24395.52</v>
      </c>
      <c r="G485" s="79">
        <v>23388.36</v>
      </c>
      <c r="H485" s="79">
        <v>22646.04</v>
      </c>
      <c r="I485" s="79">
        <v>22448.68</v>
      </c>
      <c r="J485" s="79">
        <v>22314.880000000001</v>
      </c>
      <c r="K485" s="79">
        <v>22579.77</v>
      </c>
      <c r="L485" s="79">
        <v>25328.05</v>
      </c>
      <c r="M485" s="79">
        <v>28307.8</v>
      </c>
      <c r="N485" s="79">
        <v>29775.56</v>
      </c>
      <c r="O485" s="79">
        <v>31560.66</v>
      </c>
      <c r="P485" s="79">
        <v>32355.32</v>
      </c>
      <c r="Q485" s="79">
        <v>31987.21</v>
      </c>
      <c r="R485" s="79">
        <v>31587.34</v>
      </c>
      <c r="S485" s="79">
        <v>31810.49</v>
      </c>
      <c r="T485" s="79">
        <v>31741.07</v>
      </c>
      <c r="U485" s="79">
        <v>31355.35</v>
      </c>
      <c r="V485" s="79">
        <v>32845.949999999997</v>
      </c>
      <c r="W485" s="79">
        <v>36496.959999999999</v>
      </c>
      <c r="X485" s="79">
        <v>36226.78</v>
      </c>
      <c r="Y485" s="79">
        <v>34947.919999999998</v>
      </c>
      <c r="Z485" s="79">
        <v>33339.83</v>
      </c>
      <c r="AA485" s="79">
        <v>31497.38</v>
      </c>
      <c r="AB485" s="79">
        <v>29295.86</v>
      </c>
      <c r="AC485" s="210"/>
      <c r="AD485" s="185"/>
    </row>
    <row r="486" spans="2:30" s="186" customFormat="1" ht="18.649999999999999" customHeight="1" x14ac:dyDescent="0.35">
      <c r="B486" s="208"/>
      <c r="C486" s="9" t="s">
        <v>31</v>
      </c>
      <c r="D486" s="10">
        <v>5</v>
      </c>
      <c r="E486" s="79">
        <v>26360.55</v>
      </c>
      <c r="F486" s="79">
        <v>24977.02</v>
      </c>
      <c r="G486" s="79">
        <v>23789.119999999999</v>
      </c>
      <c r="H486" s="79">
        <v>23002.79</v>
      </c>
      <c r="I486" s="79">
        <v>22669.95</v>
      </c>
      <c r="J486" s="79">
        <v>22033.360000000001</v>
      </c>
      <c r="K486" s="79">
        <v>21436.86</v>
      </c>
      <c r="L486" s="79">
        <v>22918.49</v>
      </c>
      <c r="M486" s="79">
        <v>24437.43</v>
      </c>
      <c r="N486" s="79">
        <v>25910.799999999999</v>
      </c>
      <c r="O486" s="79">
        <v>27038.36</v>
      </c>
      <c r="P486" s="79">
        <v>27779.040000000001</v>
      </c>
      <c r="Q486" s="79">
        <v>28413.81</v>
      </c>
      <c r="R486" s="79">
        <v>28503.17</v>
      </c>
      <c r="S486" s="79">
        <v>28520.67</v>
      </c>
      <c r="T486" s="79">
        <v>28884.25</v>
      </c>
      <c r="U486" s="79">
        <v>28852.89</v>
      </c>
      <c r="V486" s="79">
        <v>30518.41</v>
      </c>
      <c r="W486" s="79">
        <v>34509.68</v>
      </c>
      <c r="X486" s="79">
        <v>35083.75</v>
      </c>
      <c r="Y486" s="79">
        <v>34630.57</v>
      </c>
      <c r="Z486" s="79">
        <v>33322.89</v>
      </c>
      <c r="AA486" s="79">
        <v>30920.3</v>
      </c>
      <c r="AB486" s="79">
        <v>28361.759999999998</v>
      </c>
      <c r="AC486" s="210"/>
      <c r="AD486" s="185"/>
    </row>
    <row r="487" spans="2:30" s="186" customFormat="1" ht="18.649999999999999" customHeight="1" thickBot="1" x14ac:dyDescent="0.4">
      <c r="B487" s="208"/>
      <c r="C487" s="15" t="s">
        <v>32</v>
      </c>
      <c r="D487" s="16">
        <v>0</v>
      </c>
      <c r="E487" s="194">
        <v>0</v>
      </c>
      <c r="F487" s="194">
        <v>0</v>
      </c>
      <c r="G487" s="194">
        <v>0</v>
      </c>
      <c r="H487" s="194">
        <v>0</v>
      </c>
      <c r="I487" s="194">
        <v>0</v>
      </c>
      <c r="J487" s="194">
        <v>0</v>
      </c>
      <c r="K487" s="194">
        <v>0</v>
      </c>
      <c r="L487" s="194">
        <v>0</v>
      </c>
      <c r="M487" s="194">
        <v>0</v>
      </c>
      <c r="N487" s="194">
        <v>0</v>
      </c>
      <c r="O487" s="194">
        <v>0</v>
      </c>
      <c r="P487" s="194">
        <v>0</v>
      </c>
      <c r="Q487" s="194">
        <v>0</v>
      </c>
      <c r="R487" s="194">
        <v>0</v>
      </c>
      <c r="S487" s="194">
        <v>0</v>
      </c>
      <c r="T487" s="194">
        <v>0</v>
      </c>
      <c r="U487" s="194">
        <v>0</v>
      </c>
      <c r="V487" s="194">
        <v>0</v>
      </c>
      <c r="W487" s="194">
        <v>0</v>
      </c>
      <c r="X487" s="194">
        <v>0</v>
      </c>
      <c r="Y487" s="194">
        <v>0</v>
      </c>
      <c r="Z487" s="194">
        <v>0</v>
      </c>
      <c r="AA487" s="194">
        <v>0</v>
      </c>
      <c r="AB487" s="194">
        <v>0</v>
      </c>
      <c r="AC487" s="210"/>
      <c r="AD487" s="185"/>
    </row>
    <row r="488" spans="2:30" s="186" customFormat="1" ht="18.649999999999999" customHeight="1" x14ac:dyDescent="0.35">
      <c r="B488" s="211">
        <v>51775</v>
      </c>
      <c r="C488" s="6" t="s">
        <v>29</v>
      </c>
      <c r="D488" s="7">
        <v>22</v>
      </c>
      <c r="E488" s="78">
        <v>25406.87</v>
      </c>
      <c r="F488" s="78">
        <v>24027.97</v>
      </c>
      <c r="G488" s="78">
        <v>23042.7</v>
      </c>
      <c r="H488" s="78">
        <v>22326.3</v>
      </c>
      <c r="I488" s="78">
        <v>22401.09</v>
      </c>
      <c r="J488" s="78">
        <v>23093.68</v>
      </c>
      <c r="K488" s="78">
        <v>23720.720000000001</v>
      </c>
      <c r="L488" s="78">
        <v>26595.119999999999</v>
      </c>
      <c r="M488" s="78">
        <v>29562.23</v>
      </c>
      <c r="N488" s="78">
        <v>31116.23</v>
      </c>
      <c r="O488" s="78">
        <v>32734.59</v>
      </c>
      <c r="P488" s="78">
        <v>34016.019999999997</v>
      </c>
      <c r="Q488" s="78">
        <v>32518.05</v>
      </c>
      <c r="R488" s="78">
        <v>33406.15</v>
      </c>
      <c r="S488" s="78">
        <v>35320.879999999997</v>
      </c>
      <c r="T488" s="78">
        <v>35753.65</v>
      </c>
      <c r="U488" s="78">
        <v>35348.51</v>
      </c>
      <c r="V488" s="78">
        <v>36065.360000000001</v>
      </c>
      <c r="W488" s="78">
        <v>38303.26</v>
      </c>
      <c r="X488" s="78">
        <v>37449.660000000003</v>
      </c>
      <c r="Y488" s="78">
        <v>36058.81</v>
      </c>
      <c r="Z488" s="78">
        <v>34085.35</v>
      </c>
      <c r="AA488" s="78">
        <v>31176.81</v>
      </c>
      <c r="AB488" s="78">
        <v>28367.87</v>
      </c>
      <c r="AC488" s="209">
        <f>SUM(E488:AB488)*D488+SUM(E489:AB489)*D489+SUM(E490:AB490)*D490+SUM(E491:AB491)*D491</f>
        <v>22196881.360000003</v>
      </c>
      <c r="AD488" s="185"/>
    </row>
    <row r="489" spans="2:30" s="186" customFormat="1" ht="18.649999999999999" customHeight="1" x14ac:dyDescent="0.35">
      <c r="B489" s="212" t="s">
        <v>34</v>
      </c>
      <c r="C489" s="9" t="s">
        <v>30</v>
      </c>
      <c r="D489" s="10">
        <v>4</v>
      </c>
      <c r="E489" s="79">
        <v>25884.71</v>
      </c>
      <c r="F489" s="79">
        <v>24386.959999999999</v>
      </c>
      <c r="G489" s="79">
        <v>23199.62</v>
      </c>
      <c r="H489" s="79">
        <v>22460.48</v>
      </c>
      <c r="I489" s="79">
        <v>22445.77</v>
      </c>
      <c r="J489" s="79">
        <v>22347.1</v>
      </c>
      <c r="K489" s="79">
        <v>22705.38</v>
      </c>
      <c r="L489" s="79">
        <v>25117.1</v>
      </c>
      <c r="M489" s="79">
        <v>28016.07</v>
      </c>
      <c r="N489" s="79">
        <v>29669.77</v>
      </c>
      <c r="O489" s="79">
        <v>31374.23</v>
      </c>
      <c r="P489" s="79">
        <v>32222.240000000002</v>
      </c>
      <c r="Q489" s="79">
        <v>31604.15</v>
      </c>
      <c r="R489" s="79">
        <v>31205.759999999998</v>
      </c>
      <c r="S489" s="79">
        <v>31540.79</v>
      </c>
      <c r="T489" s="79">
        <v>31879.25</v>
      </c>
      <c r="U489" s="79">
        <v>31630.92</v>
      </c>
      <c r="V489" s="79">
        <v>33516.36</v>
      </c>
      <c r="W489" s="79">
        <v>36683.39</v>
      </c>
      <c r="X489" s="79">
        <v>36005.86</v>
      </c>
      <c r="Y489" s="79">
        <v>34616.379999999997</v>
      </c>
      <c r="Z489" s="79">
        <v>32868.9</v>
      </c>
      <c r="AA489" s="79">
        <v>30775.25</v>
      </c>
      <c r="AB489" s="79">
        <v>28564.31</v>
      </c>
      <c r="AC489" s="210"/>
      <c r="AD489" s="185"/>
    </row>
    <row r="490" spans="2:30" s="186" customFormat="1" ht="18.649999999999999" customHeight="1" x14ac:dyDescent="0.35">
      <c r="B490" s="212" t="s">
        <v>34</v>
      </c>
      <c r="C490" s="9" t="s">
        <v>31</v>
      </c>
      <c r="D490" s="10">
        <v>4</v>
      </c>
      <c r="E490" s="79">
        <v>25746.65</v>
      </c>
      <c r="F490" s="79">
        <v>24354.42</v>
      </c>
      <c r="G490" s="79">
        <v>23248.81</v>
      </c>
      <c r="H490" s="79">
        <v>22564.62</v>
      </c>
      <c r="I490" s="79">
        <v>22257.29</v>
      </c>
      <c r="J490" s="79">
        <v>21763.18</v>
      </c>
      <c r="K490" s="79">
        <v>21160.59</v>
      </c>
      <c r="L490" s="79">
        <v>22546.6</v>
      </c>
      <c r="M490" s="79">
        <v>24237.35</v>
      </c>
      <c r="N490" s="79">
        <v>25588.52</v>
      </c>
      <c r="O490" s="79">
        <v>26884.17</v>
      </c>
      <c r="P490" s="79">
        <v>27920.22</v>
      </c>
      <c r="Q490" s="79">
        <v>28436.89</v>
      </c>
      <c r="R490" s="79">
        <v>28492.28</v>
      </c>
      <c r="S490" s="79">
        <v>28673.55</v>
      </c>
      <c r="T490" s="79">
        <v>28641.23</v>
      </c>
      <c r="U490" s="79">
        <v>28860.240000000002</v>
      </c>
      <c r="V490" s="79">
        <v>31012.95</v>
      </c>
      <c r="W490" s="79">
        <v>34776.29</v>
      </c>
      <c r="X490" s="79">
        <v>35006.25</v>
      </c>
      <c r="Y490" s="79">
        <v>34462.19</v>
      </c>
      <c r="Z490" s="79">
        <v>33095.279999999999</v>
      </c>
      <c r="AA490" s="79">
        <v>30614.09</v>
      </c>
      <c r="AB490" s="79">
        <v>28105.34</v>
      </c>
      <c r="AC490" s="210"/>
      <c r="AD490" s="185"/>
    </row>
    <row r="491" spans="2:30" s="186" customFormat="1" ht="18.649999999999999" customHeight="1" thickBot="1" x14ac:dyDescent="0.4">
      <c r="B491" s="213" t="s">
        <v>34</v>
      </c>
      <c r="C491" s="11" t="s">
        <v>32</v>
      </c>
      <c r="D491" s="12">
        <v>1</v>
      </c>
      <c r="E491" s="76">
        <v>25746.65</v>
      </c>
      <c r="F491" s="76">
        <v>24354.42</v>
      </c>
      <c r="G491" s="76">
        <v>23248.81</v>
      </c>
      <c r="H491" s="76">
        <v>22564.62</v>
      </c>
      <c r="I491" s="76">
        <v>22257.29</v>
      </c>
      <c r="J491" s="76">
        <v>21763.18</v>
      </c>
      <c r="K491" s="76">
        <v>21160.59</v>
      </c>
      <c r="L491" s="76">
        <v>22546.6</v>
      </c>
      <c r="M491" s="76">
        <v>24237.35</v>
      </c>
      <c r="N491" s="76">
        <v>25588.52</v>
      </c>
      <c r="O491" s="76">
        <v>26884.17</v>
      </c>
      <c r="P491" s="76">
        <v>27920.22</v>
      </c>
      <c r="Q491" s="76">
        <v>28436.89</v>
      </c>
      <c r="R491" s="76">
        <v>28492.28</v>
      </c>
      <c r="S491" s="76">
        <v>28673.55</v>
      </c>
      <c r="T491" s="76">
        <v>28641.23</v>
      </c>
      <c r="U491" s="76">
        <v>28860.240000000002</v>
      </c>
      <c r="V491" s="76">
        <v>31012.95</v>
      </c>
      <c r="W491" s="76">
        <v>34776.29</v>
      </c>
      <c r="X491" s="76">
        <v>35006.25</v>
      </c>
      <c r="Y491" s="76">
        <v>34462.19</v>
      </c>
      <c r="Z491" s="76">
        <v>33095.279999999999</v>
      </c>
      <c r="AA491" s="76">
        <v>30614.09</v>
      </c>
      <c r="AB491" s="76">
        <v>28105.34</v>
      </c>
      <c r="AC491" s="214"/>
      <c r="AD491" s="185"/>
    </row>
    <row r="492" spans="2:30" s="186" customFormat="1" ht="18.649999999999999" customHeight="1" x14ac:dyDescent="0.35">
      <c r="B492" s="207">
        <v>51806</v>
      </c>
      <c r="C492" s="13" t="s">
        <v>29</v>
      </c>
      <c r="D492" s="14">
        <v>19</v>
      </c>
      <c r="E492" s="81">
        <v>25266.1</v>
      </c>
      <c r="F492" s="81">
        <v>23927.31</v>
      </c>
      <c r="G492" s="81">
        <v>22952.43</v>
      </c>
      <c r="H492" s="81">
        <v>22292.07</v>
      </c>
      <c r="I492" s="81">
        <v>22357.19</v>
      </c>
      <c r="J492" s="81">
        <v>23044.45</v>
      </c>
      <c r="K492" s="81">
        <v>23672.01</v>
      </c>
      <c r="L492" s="81">
        <v>26665.71</v>
      </c>
      <c r="M492" s="81">
        <v>29660.17</v>
      </c>
      <c r="N492" s="81">
        <v>31145.62</v>
      </c>
      <c r="O492" s="81">
        <v>32695.88</v>
      </c>
      <c r="P492" s="81">
        <v>33788.51</v>
      </c>
      <c r="Q492" s="81">
        <v>32374.14</v>
      </c>
      <c r="R492" s="81">
        <v>33118.720000000001</v>
      </c>
      <c r="S492" s="81">
        <v>34805.660000000003</v>
      </c>
      <c r="T492" s="81">
        <v>35239.74</v>
      </c>
      <c r="U492" s="81">
        <v>34888.76</v>
      </c>
      <c r="V492" s="81">
        <v>36057.86</v>
      </c>
      <c r="W492" s="81">
        <v>37823.08</v>
      </c>
      <c r="X492" s="81">
        <v>36947.07</v>
      </c>
      <c r="Y492" s="81">
        <v>35637.35</v>
      </c>
      <c r="Z492" s="81">
        <v>33739.65</v>
      </c>
      <c r="AA492" s="81">
        <v>30963.61</v>
      </c>
      <c r="AB492" s="81">
        <v>28223.31</v>
      </c>
      <c r="AC492" s="210">
        <f>SUM(E492:AB492)*D492+SUM(E493:AB493)*D493+SUM(E494:AB494)*D494+SUM(E495:AB495)*D495</f>
        <v>21151656.289999995</v>
      </c>
      <c r="AD492" s="185"/>
    </row>
    <row r="493" spans="2:30" s="186" customFormat="1" ht="18.649999999999999" customHeight="1" x14ac:dyDescent="0.35">
      <c r="B493" s="208"/>
      <c r="C493" s="9" t="s">
        <v>30</v>
      </c>
      <c r="D493" s="10">
        <v>5</v>
      </c>
      <c r="E493" s="79">
        <v>24644.57</v>
      </c>
      <c r="F493" s="79">
        <v>23399.360000000001</v>
      </c>
      <c r="G493" s="79">
        <v>22525.49</v>
      </c>
      <c r="H493" s="79">
        <v>21954.01</v>
      </c>
      <c r="I493" s="79">
        <v>21940.39</v>
      </c>
      <c r="J493" s="79">
        <v>21884.3</v>
      </c>
      <c r="K493" s="79">
        <v>22222.94</v>
      </c>
      <c r="L493" s="79">
        <v>24958.44</v>
      </c>
      <c r="M493" s="79">
        <v>27940.18</v>
      </c>
      <c r="N493" s="79">
        <v>29590.29</v>
      </c>
      <c r="O493" s="79">
        <v>31308.76</v>
      </c>
      <c r="P493" s="79">
        <v>32032.81</v>
      </c>
      <c r="Q493" s="79">
        <v>31443.82</v>
      </c>
      <c r="R493" s="79">
        <v>30777.27</v>
      </c>
      <c r="S493" s="79">
        <v>30566.12</v>
      </c>
      <c r="T493" s="79">
        <v>30817.24</v>
      </c>
      <c r="U493" s="79">
        <v>30660.99</v>
      </c>
      <c r="V493" s="79">
        <v>33110.29</v>
      </c>
      <c r="W493" s="79">
        <v>35840.78</v>
      </c>
      <c r="X493" s="79">
        <v>35235.1</v>
      </c>
      <c r="Y493" s="79">
        <v>33968.35</v>
      </c>
      <c r="Z493" s="79">
        <v>32396.78</v>
      </c>
      <c r="AA493" s="79">
        <v>30411.1</v>
      </c>
      <c r="AB493" s="79">
        <v>28177.03</v>
      </c>
      <c r="AC493" s="210"/>
      <c r="AD493" s="185"/>
    </row>
    <row r="494" spans="2:30" s="186" customFormat="1" ht="18.649999999999999" customHeight="1" x14ac:dyDescent="0.35">
      <c r="B494" s="208"/>
      <c r="C494" s="9" t="s">
        <v>31</v>
      </c>
      <c r="D494" s="10">
        <v>4</v>
      </c>
      <c r="E494" s="79">
        <v>25571.54</v>
      </c>
      <c r="F494" s="79">
        <v>24320.98</v>
      </c>
      <c r="G494" s="79">
        <v>23238.1</v>
      </c>
      <c r="H494" s="79">
        <v>22508.26</v>
      </c>
      <c r="I494" s="79">
        <v>22212.43</v>
      </c>
      <c r="J494" s="79">
        <v>21824.880000000001</v>
      </c>
      <c r="K494" s="79">
        <v>21266.799999999999</v>
      </c>
      <c r="L494" s="79">
        <v>22564.89</v>
      </c>
      <c r="M494" s="79">
        <v>24229.08</v>
      </c>
      <c r="N494" s="79">
        <v>25596.73</v>
      </c>
      <c r="O494" s="79">
        <v>26912.65</v>
      </c>
      <c r="P494" s="79">
        <v>27607.77</v>
      </c>
      <c r="Q494" s="79">
        <v>28123.55</v>
      </c>
      <c r="R494" s="79">
        <v>28096.37</v>
      </c>
      <c r="S494" s="79">
        <v>28013.599999999999</v>
      </c>
      <c r="T494" s="79">
        <v>28144.52</v>
      </c>
      <c r="U494" s="79">
        <v>28178.05</v>
      </c>
      <c r="V494" s="79">
        <v>30835.73</v>
      </c>
      <c r="W494" s="79">
        <v>33774.879999999997</v>
      </c>
      <c r="X494" s="79">
        <v>33824.300000000003</v>
      </c>
      <c r="Y494" s="79">
        <v>33078.44</v>
      </c>
      <c r="Z494" s="79">
        <v>31778.2</v>
      </c>
      <c r="AA494" s="79">
        <v>29741.49</v>
      </c>
      <c r="AB494" s="79">
        <v>27587.200000000001</v>
      </c>
      <c r="AC494" s="210"/>
      <c r="AD494" s="185"/>
    </row>
    <row r="495" spans="2:30" s="186" customFormat="1" ht="18.649999999999999" customHeight="1" thickBot="1" x14ac:dyDescent="0.4">
      <c r="B495" s="208"/>
      <c r="C495" s="15" t="s">
        <v>32</v>
      </c>
      <c r="D495" s="16">
        <v>2</v>
      </c>
      <c r="E495" s="80">
        <v>25571.54</v>
      </c>
      <c r="F495" s="80">
        <v>24320.98</v>
      </c>
      <c r="G495" s="80">
        <v>23238.1</v>
      </c>
      <c r="H495" s="80">
        <v>22508.26</v>
      </c>
      <c r="I495" s="80">
        <v>22212.43</v>
      </c>
      <c r="J495" s="80">
        <v>21824.880000000001</v>
      </c>
      <c r="K495" s="80">
        <v>21266.799999999999</v>
      </c>
      <c r="L495" s="80">
        <v>22564.89</v>
      </c>
      <c r="M495" s="80">
        <v>24229.08</v>
      </c>
      <c r="N495" s="80">
        <v>25596.73</v>
      </c>
      <c r="O495" s="80">
        <v>26912.65</v>
      </c>
      <c r="P495" s="80">
        <v>27607.77</v>
      </c>
      <c r="Q495" s="80">
        <v>28123.55</v>
      </c>
      <c r="R495" s="80">
        <v>28096.37</v>
      </c>
      <c r="S495" s="80">
        <v>28013.599999999999</v>
      </c>
      <c r="T495" s="80">
        <v>28144.52</v>
      </c>
      <c r="U495" s="80">
        <v>28178.05</v>
      </c>
      <c r="V495" s="80">
        <v>30835.73</v>
      </c>
      <c r="W495" s="80">
        <v>33774.879999999997</v>
      </c>
      <c r="X495" s="80">
        <v>33824.300000000003</v>
      </c>
      <c r="Y495" s="80">
        <v>33078.44</v>
      </c>
      <c r="Z495" s="80">
        <v>31778.2</v>
      </c>
      <c r="AA495" s="80">
        <v>29741.49</v>
      </c>
      <c r="AB495" s="80">
        <v>27587.200000000001</v>
      </c>
      <c r="AC495" s="210"/>
      <c r="AD495" s="185"/>
    </row>
    <row r="496" spans="2:30" s="186" customFormat="1" ht="18.649999999999999" customHeight="1" x14ac:dyDescent="0.35">
      <c r="B496" s="211">
        <v>51836</v>
      </c>
      <c r="C496" s="6" t="s">
        <v>29</v>
      </c>
      <c r="D496" s="7">
        <v>21</v>
      </c>
      <c r="E496" s="78">
        <v>26883.33</v>
      </c>
      <c r="F496" s="78">
        <v>25361.42</v>
      </c>
      <c r="G496" s="78">
        <v>24274.49</v>
      </c>
      <c r="H496" s="78">
        <v>23600.97</v>
      </c>
      <c r="I496" s="78">
        <v>23514.35</v>
      </c>
      <c r="J496" s="78">
        <v>23948.48</v>
      </c>
      <c r="K496" s="78">
        <v>24121.49</v>
      </c>
      <c r="L496" s="78">
        <v>27208.06</v>
      </c>
      <c r="M496" s="78">
        <v>30257.29</v>
      </c>
      <c r="N496" s="78">
        <v>32003.26</v>
      </c>
      <c r="O496" s="78">
        <v>33539.980000000003</v>
      </c>
      <c r="P496" s="78">
        <v>34651.93</v>
      </c>
      <c r="Q496" s="78">
        <v>33678.43</v>
      </c>
      <c r="R496" s="78">
        <v>34119.03</v>
      </c>
      <c r="S496" s="78">
        <v>35591.410000000003</v>
      </c>
      <c r="T496" s="78">
        <v>36044.480000000003</v>
      </c>
      <c r="U496" s="78">
        <v>35741.379999999997</v>
      </c>
      <c r="V496" s="78">
        <v>36482.5</v>
      </c>
      <c r="W496" s="78">
        <v>39293.89</v>
      </c>
      <c r="X496" s="78">
        <v>38537.839999999997</v>
      </c>
      <c r="Y496" s="78">
        <v>37127.279999999999</v>
      </c>
      <c r="Z496" s="78">
        <v>35116.39</v>
      </c>
      <c r="AA496" s="78">
        <v>32535.79</v>
      </c>
      <c r="AB496" s="78">
        <v>30024.73</v>
      </c>
      <c r="AC496" s="209">
        <f>SUM(E496:AB496)*D496+SUM(E497:AB497)*D497+SUM(E498:AB498)*D498+SUM(E499:AB499)*D499</f>
        <v>22876311.260000002</v>
      </c>
      <c r="AD496" s="185"/>
    </row>
    <row r="497" spans="2:31" s="186" customFormat="1" ht="18.649999999999999" customHeight="1" x14ac:dyDescent="0.35">
      <c r="B497" s="212" t="s">
        <v>34</v>
      </c>
      <c r="C497" s="9" t="s">
        <v>30</v>
      </c>
      <c r="D497" s="10">
        <v>4</v>
      </c>
      <c r="E497" s="79">
        <v>27331.45</v>
      </c>
      <c r="F497" s="79">
        <v>25739.48</v>
      </c>
      <c r="G497" s="79">
        <v>24690.77</v>
      </c>
      <c r="H497" s="79">
        <v>23921.86</v>
      </c>
      <c r="I497" s="79">
        <v>23709.32</v>
      </c>
      <c r="J497" s="79">
        <v>23752.05</v>
      </c>
      <c r="K497" s="79">
        <v>23508.29</v>
      </c>
      <c r="L497" s="79">
        <v>25823.360000000001</v>
      </c>
      <c r="M497" s="79">
        <v>29052.39</v>
      </c>
      <c r="N497" s="79">
        <v>30946.04</v>
      </c>
      <c r="O497" s="79">
        <v>32540.91</v>
      </c>
      <c r="P497" s="79">
        <v>33514.32</v>
      </c>
      <c r="Q497" s="79">
        <v>32960.11</v>
      </c>
      <c r="R497" s="79">
        <v>32716.67</v>
      </c>
      <c r="S497" s="79">
        <v>32576.58</v>
      </c>
      <c r="T497" s="79">
        <v>32933.9</v>
      </c>
      <c r="U497" s="79">
        <v>32829.410000000003</v>
      </c>
      <c r="V497" s="79">
        <v>34274.99</v>
      </c>
      <c r="W497" s="79">
        <v>38071.72</v>
      </c>
      <c r="X497" s="79">
        <v>37531.68</v>
      </c>
      <c r="Y497" s="79">
        <v>36118.639999999999</v>
      </c>
      <c r="Z497" s="79">
        <v>34577.01</v>
      </c>
      <c r="AA497" s="79">
        <v>32439.57</v>
      </c>
      <c r="AB497" s="79">
        <v>30237.54</v>
      </c>
      <c r="AC497" s="210"/>
      <c r="AD497" s="185"/>
    </row>
    <row r="498" spans="2:31" s="186" customFormat="1" ht="18.649999999999999" customHeight="1" x14ac:dyDescent="0.35">
      <c r="B498" s="212" t="s">
        <v>34</v>
      </c>
      <c r="C498" s="9" t="s">
        <v>31</v>
      </c>
      <c r="D498" s="10">
        <v>4</v>
      </c>
      <c r="E498" s="79">
        <v>27508.97</v>
      </c>
      <c r="F498" s="79">
        <v>26118.15</v>
      </c>
      <c r="G498" s="79">
        <v>24997.98</v>
      </c>
      <c r="H498" s="79">
        <v>24209.119999999999</v>
      </c>
      <c r="I498" s="79">
        <v>23853.24</v>
      </c>
      <c r="J498" s="79">
        <v>23604.58</v>
      </c>
      <c r="K498" s="79">
        <v>22517.74</v>
      </c>
      <c r="L498" s="79">
        <v>23777.55</v>
      </c>
      <c r="M498" s="79">
        <v>25646.3</v>
      </c>
      <c r="N498" s="79">
        <v>27250.6</v>
      </c>
      <c r="O498" s="79">
        <v>28305.97</v>
      </c>
      <c r="P498" s="79">
        <v>29170.18</v>
      </c>
      <c r="Q498" s="79">
        <v>29684.12</v>
      </c>
      <c r="R498" s="79">
        <v>29970.3</v>
      </c>
      <c r="S498" s="79">
        <v>29103.31</v>
      </c>
      <c r="T498" s="79">
        <v>29918.54</v>
      </c>
      <c r="U498" s="79">
        <v>30100.57</v>
      </c>
      <c r="V498" s="79">
        <v>31833.18</v>
      </c>
      <c r="W498" s="79">
        <v>35694.449999999997</v>
      </c>
      <c r="X498" s="79">
        <v>35410.46</v>
      </c>
      <c r="Y498" s="79">
        <v>34486.339999999997</v>
      </c>
      <c r="Z498" s="79">
        <v>33220.26</v>
      </c>
      <c r="AA498" s="79">
        <v>31304.95</v>
      </c>
      <c r="AB498" s="79">
        <v>29362.61</v>
      </c>
      <c r="AC498" s="210"/>
      <c r="AD498" s="185"/>
    </row>
    <row r="499" spans="2:31" s="186" customFormat="1" ht="18.649999999999999" customHeight="1" thickBot="1" x14ac:dyDescent="0.4">
      <c r="B499" s="213" t="s">
        <v>34</v>
      </c>
      <c r="C499" s="11" t="s">
        <v>32</v>
      </c>
      <c r="D499" s="12">
        <v>2</v>
      </c>
      <c r="E499" s="76">
        <v>27508.97</v>
      </c>
      <c r="F499" s="76">
        <v>26118.15</v>
      </c>
      <c r="G499" s="76">
        <v>24997.98</v>
      </c>
      <c r="H499" s="76">
        <v>24209.119999999999</v>
      </c>
      <c r="I499" s="76">
        <v>23853.24</v>
      </c>
      <c r="J499" s="76">
        <v>23604.58</v>
      </c>
      <c r="K499" s="76">
        <v>22517.74</v>
      </c>
      <c r="L499" s="76">
        <v>23777.55</v>
      </c>
      <c r="M499" s="76">
        <v>25646.3</v>
      </c>
      <c r="N499" s="76">
        <v>27250.6</v>
      </c>
      <c r="O499" s="76">
        <v>28305.97</v>
      </c>
      <c r="P499" s="76">
        <v>29170.18</v>
      </c>
      <c r="Q499" s="76">
        <v>29684.12</v>
      </c>
      <c r="R499" s="76">
        <v>29970.3</v>
      </c>
      <c r="S499" s="76">
        <v>29103.31</v>
      </c>
      <c r="T499" s="76">
        <v>29918.54</v>
      </c>
      <c r="U499" s="76">
        <v>30100.57</v>
      </c>
      <c r="V499" s="76">
        <v>31833.18</v>
      </c>
      <c r="W499" s="76">
        <v>35694.449999999997</v>
      </c>
      <c r="X499" s="76">
        <v>35410.46</v>
      </c>
      <c r="Y499" s="76">
        <v>34486.339999999997</v>
      </c>
      <c r="Z499" s="76">
        <v>33220.26</v>
      </c>
      <c r="AA499" s="76">
        <v>31304.95</v>
      </c>
      <c r="AB499" s="76">
        <v>29362.61</v>
      </c>
      <c r="AC499" s="214"/>
      <c r="AD499" s="185"/>
    </row>
    <row r="500" spans="2:31" s="186" customFormat="1" ht="18.649999999999999" customHeight="1" thickBot="1" x14ac:dyDescent="0.4">
      <c r="E500" s="190"/>
      <c r="F500" s="189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89"/>
      <c r="V500" s="189"/>
      <c r="W500" s="189"/>
      <c r="X500" s="189"/>
      <c r="Y500" s="189"/>
      <c r="Z500" s="218" t="s">
        <v>33</v>
      </c>
      <c r="AA500" s="219"/>
      <c r="AB500" s="220"/>
      <c r="AC500" s="135">
        <f>SUM(AC452:AC499)</f>
        <v>271276534.70999998</v>
      </c>
      <c r="AD500" s="189"/>
      <c r="AE500" s="185"/>
    </row>
    <row r="501" spans="2:31" ht="20.25" customHeight="1" thickBot="1" x14ac:dyDescent="0.4">
      <c r="Z501" s="218" t="s">
        <v>49</v>
      </c>
      <c r="AA501" s="219"/>
      <c r="AB501" s="220"/>
      <c r="AC501" s="135">
        <f>+AC353+AC304+AC255+AC206+AC157+AC108+AC59+AC402+AC451+AC500</f>
        <v>2725669072.5699997</v>
      </c>
    </row>
    <row r="503" spans="2:31" x14ac:dyDescent="0.35">
      <c r="AC503" s="133">
        <f>+AC501/1000</f>
        <v>2725669.0725699998</v>
      </c>
    </row>
  </sheetData>
  <mergeCells count="256">
    <mergeCell ref="B492:B495"/>
    <mergeCell ref="AC492:AC495"/>
    <mergeCell ref="B496:B499"/>
    <mergeCell ref="AC496:AC499"/>
    <mergeCell ref="Z500:AB500"/>
    <mergeCell ref="Z501:AB501"/>
    <mergeCell ref="B480:B483"/>
    <mergeCell ref="AC480:AC483"/>
    <mergeCell ref="B484:B487"/>
    <mergeCell ref="AC484:AC487"/>
    <mergeCell ref="B488:B491"/>
    <mergeCell ref="AC488:AC491"/>
    <mergeCell ref="B468:B471"/>
    <mergeCell ref="AC468:AC471"/>
    <mergeCell ref="B472:B475"/>
    <mergeCell ref="AC472:AC475"/>
    <mergeCell ref="B476:B479"/>
    <mergeCell ref="AC476:AC479"/>
    <mergeCell ref="B456:B459"/>
    <mergeCell ref="AC456:AC459"/>
    <mergeCell ref="B460:B463"/>
    <mergeCell ref="AC460:AC463"/>
    <mergeCell ref="B464:B467"/>
    <mergeCell ref="AC464:AC467"/>
    <mergeCell ref="B443:B446"/>
    <mergeCell ref="AC443:AC446"/>
    <mergeCell ref="B447:B450"/>
    <mergeCell ref="AC447:AC450"/>
    <mergeCell ref="Z451:AB451"/>
    <mergeCell ref="B452:B455"/>
    <mergeCell ref="AC452:AC455"/>
    <mergeCell ref="B431:B434"/>
    <mergeCell ref="AC431:AC434"/>
    <mergeCell ref="B435:B438"/>
    <mergeCell ref="AC435:AC438"/>
    <mergeCell ref="B439:B442"/>
    <mergeCell ref="AC439:AC442"/>
    <mergeCell ref="B419:B422"/>
    <mergeCell ref="AC419:AC422"/>
    <mergeCell ref="B423:B426"/>
    <mergeCell ref="AC423:AC426"/>
    <mergeCell ref="B427:B430"/>
    <mergeCell ref="AC427:AC430"/>
    <mergeCell ref="B407:B410"/>
    <mergeCell ref="AC407:AC410"/>
    <mergeCell ref="B411:B414"/>
    <mergeCell ref="AC411:AC414"/>
    <mergeCell ref="B415:B418"/>
    <mergeCell ref="AC415:AC418"/>
    <mergeCell ref="B394:B397"/>
    <mergeCell ref="AC394:AC397"/>
    <mergeCell ref="B398:B401"/>
    <mergeCell ref="AC398:AC401"/>
    <mergeCell ref="Z402:AB402"/>
    <mergeCell ref="B403:B406"/>
    <mergeCell ref="AC403:AC406"/>
    <mergeCell ref="B382:B385"/>
    <mergeCell ref="AC382:AC385"/>
    <mergeCell ref="B386:B389"/>
    <mergeCell ref="AC386:AC389"/>
    <mergeCell ref="B390:B393"/>
    <mergeCell ref="AC390:AC393"/>
    <mergeCell ref="B370:B373"/>
    <mergeCell ref="AC370:AC373"/>
    <mergeCell ref="B374:B377"/>
    <mergeCell ref="AC374:AC377"/>
    <mergeCell ref="B378:B381"/>
    <mergeCell ref="AC378:AC381"/>
    <mergeCell ref="B358:B361"/>
    <mergeCell ref="AC358:AC361"/>
    <mergeCell ref="B362:B365"/>
    <mergeCell ref="AC362:AC365"/>
    <mergeCell ref="B366:B369"/>
    <mergeCell ref="AC366:AC369"/>
    <mergeCell ref="B345:B348"/>
    <mergeCell ref="AC345:AC348"/>
    <mergeCell ref="B349:B352"/>
    <mergeCell ref="AC349:AC352"/>
    <mergeCell ref="Z353:AB353"/>
    <mergeCell ref="B354:B357"/>
    <mergeCell ref="AC354:AC357"/>
    <mergeCell ref="B333:B336"/>
    <mergeCell ref="AC333:AC336"/>
    <mergeCell ref="B337:B340"/>
    <mergeCell ref="AC337:AC340"/>
    <mergeCell ref="B341:B344"/>
    <mergeCell ref="AC341:AC344"/>
    <mergeCell ref="B321:B324"/>
    <mergeCell ref="AC321:AC324"/>
    <mergeCell ref="B325:B328"/>
    <mergeCell ref="AC325:AC328"/>
    <mergeCell ref="B329:B332"/>
    <mergeCell ref="AC329:AC332"/>
    <mergeCell ref="B309:B312"/>
    <mergeCell ref="AC309:AC312"/>
    <mergeCell ref="B313:B316"/>
    <mergeCell ref="AC313:AC316"/>
    <mergeCell ref="B317:B320"/>
    <mergeCell ref="AC317:AC320"/>
    <mergeCell ref="B296:B299"/>
    <mergeCell ref="AC296:AC299"/>
    <mergeCell ref="B300:B303"/>
    <mergeCell ref="AC300:AC303"/>
    <mergeCell ref="Z304:AB304"/>
    <mergeCell ref="B305:B308"/>
    <mergeCell ref="AC305:AC308"/>
    <mergeCell ref="B284:B287"/>
    <mergeCell ref="AC284:AC287"/>
    <mergeCell ref="B288:B291"/>
    <mergeCell ref="AC288:AC291"/>
    <mergeCell ref="B292:B295"/>
    <mergeCell ref="AC292:AC295"/>
    <mergeCell ref="B272:B275"/>
    <mergeCell ref="AC272:AC275"/>
    <mergeCell ref="B276:B279"/>
    <mergeCell ref="AC276:AC279"/>
    <mergeCell ref="B280:B283"/>
    <mergeCell ref="AC280:AC283"/>
    <mergeCell ref="B260:B263"/>
    <mergeCell ref="AC260:AC263"/>
    <mergeCell ref="B264:B267"/>
    <mergeCell ref="AC264:AC267"/>
    <mergeCell ref="B268:B271"/>
    <mergeCell ref="AC268:AC271"/>
    <mergeCell ref="B247:B250"/>
    <mergeCell ref="AC247:AC250"/>
    <mergeCell ref="B251:B254"/>
    <mergeCell ref="AC251:AC254"/>
    <mergeCell ref="Z255:AB255"/>
    <mergeCell ref="B256:B259"/>
    <mergeCell ref="AC256:AC259"/>
    <mergeCell ref="B235:B238"/>
    <mergeCell ref="AC235:AC238"/>
    <mergeCell ref="B239:B242"/>
    <mergeCell ref="AC239:AC242"/>
    <mergeCell ref="B243:B246"/>
    <mergeCell ref="AC243:AC246"/>
    <mergeCell ref="B223:B226"/>
    <mergeCell ref="AC223:AC226"/>
    <mergeCell ref="B227:B230"/>
    <mergeCell ref="AC227:AC230"/>
    <mergeCell ref="B231:B234"/>
    <mergeCell ref="AC231:AC234"/>
    <mergeCell ref="B211:B214"/>
    <mergeCell ref="AC211:AC214"/>
    <mergeCell ref="B215:B218"/>
    <mergeCell ref="AC215:AC218"/>
    <mergeCell ref="B219:B222"/>
    <mergeCell ref="AC219:AC222"/>
    <mergeCell ref="B198:B201"/>
    <mergeCell ref="AC198:AC201"/>
    <mergeCell ref="B202:B205"/>
    <mergeCell ref="AC202:AC205"/>
    <mergeCell ref="Z206:AB206"/>
    <mergeCell ref="B207:B210"/>
    <mergeCell ref="AC207:AC210"/>
    <mergeCell ref="B186:B189"/>
    <mergeCell ref="AC186:AC189"/>
    <mergeCell ref="B190:B193"/>
    <mergeCell ref="AC190:AC193"/>
    <mergeCell ref="B194:B197"/>
    <mergeCell ref="AC194:AC197"/>
    <mergeCell ref="B174:B177"/>
    <mergeCell ref="AC174:AC177"/>
    <mergeCell ref="B178:B181"/>
    <mergeCell ref="AC178:AC181"/>
    <mergeCell ref="B182:B185"/>
    <mergeCell ref="AC182:AC185"/>
    <mergeCell ref="B162:B165"/>
    <mergeCell ref="AC162:AC165"/>
    <mergeCell ref="B166:B169"/>
    <mergeCell ref="AC166:AC169"/>
    <mergeCell ref="B170:B173"/>
    <mergeCell ref="AC170:AC173"/>
    <mergeCell ref="B149:B152"/>
    <mergeCell ref="AC149:AC152"/>
    <mergeCell ref="B153:B156"/>
    <mergeCell ref="AC153:AC156"/>
    <mergeCell ref="Z157:AB157"/>
    <mergeCell ref="B158:B161"/>
    <mergeCell ref="AC158:AC161"/>
    <mergeCell ref="B137:B140"/>
    <mergeCell ref="AC137:AC140"/>
    <mergeCell ref="B141:B144"/>
    <mergeCell ref="AC141:AC144"/>
    <mergeCell ref="B145:B148"/>
    <mergeCell ref="AC145:AC148"/>
    <mergeCell ref="B125:B128"/>
    <mergeCell ref="AC125:AC128"/>
    <mergeCell ref="B129:B132"/>
    <mergeCell ref="AC129:AC132"/>
    <mergeCell ref="B133:B136"/>
    <mergeCell ref="AC133:AC136"/>
    <mergeCell ref="B113:B116"/>
    <mergeCell ref="AC113:AC116"/>
    <mergeCell ref="B117:B120"/>
    <mergeCell ref="AC117:AC120"/>
    <mergeCell ref="B121:B124"/>
    <mergeCell ref="AC121:AC124"/>
    <mergeCell ref="B100:B103"/>
    <mergeCell ref="AC100:AC103"/>
    <mergeCell ref="B104:B107"/>
    <mergeCell ref="AC104:AC107"/>
    <mergeCell ref="Z108:AB108"/>
    <mergeCell ref="B109:B112"/>
    <mergeCell ref="AC109:AC112"/>
    <mergeCell ref="B88:B91"/>
    <mergeCell ref="AC88:AC91"/>
    <mergeCell ref="B92:B95"/>
    <mergeCell ref="AC92:AC95"/>
    <mergeCell ref="B96:B99"/>
    <mergeCell ref="AC96:AC99"/>
    <mergeCell ref="B76:B79"/>
    <mergeCell ref="AC76:AC79"/>
    <mergeCell ref="B80:B83"/>
    <mergeCell ref="AC80:AC83"/>
    <mergeCell ref="B84:B87"/>
    <mergeCell ref="AC84:AC87"/>
    <mergeCell ref="B64:B67"/>
    <mergeCell ref="AC64:AC67"/>
    <mergeCell ref="B68:B71"/>
    <mergeCell ref="AC68:AC71"/>
    <mergeCell ref="B72:B75"/>
    <mergeCell ref="AC72:AC75"/>
    <mergeCell ref="B51:B54"/>
    <mergeCell ref="AC51:AC54"/>
    <mergeCell ref="B55:B58"/>
    <mergeCell ref="AC55:AC58"/>
    <mergeCell ref="Z59:AB59"/>
    <mergeCell ref="B60:B63"/>
    <mergeCell ref="AC60:AC63"/>
    <mergeCell ref="B39:B42"/>
    <mergeCell ref="AC39:AC42"/>
    <mergeCell ref="B43:B46"/>
    <mergeCell ref="AC43:AC46"/>
    <mergeCell ref="B47:B50"/>
    <mergeCell ref="AC47:AC5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4:AC4"/>
    <mergeCell ref="B5:AC5"/>
    <mergeCell ref="B6:AC6"/>
    <mergeCell ref="B7:AC7"/>
    <mergeCell ref="B8:AC8"/>
    <mergeCell ref="B11:B14"/>
    <mergeCell ref="AC11:AC14"/>
    <mergeCell ref="B27:B30"/>
    <mergeCell ref="AC27:AC30"/>
  </mergeCells>
  <phoneticPr fontId="23" type="noConversion"/>
  <conditionalFormatting sqref="E11:AB58">
    <cfRule type="cellIs" dxfId="9" priority="10" operator="lessThan">
      <formula>0</formula>
    </cfRule>
  </conditionalFormatting>
  <conditionalFormatting sqref="E60:AB107">
    <cfRule type="cellIs" dxfId="8" priority="9" operator="lessThan">
      <formula>0</formula>
    </cfRule>
  </conditionalFormatting>
  <conditionalFormatting sqref="E109:AB156">
    <cfRule type="cellIs" dxfId="7" priority="8" operator="lessThan">
      <formula>0</formula>
    </cfRule>
  </conditionalFormatting>
  <conditionalFormatting sqref="E158:AB205">
    <cfRule type="cellIs" dxfId="6" priority="7" operator="lessThan">
      <formula>0</formula>
    </cfRule>
  </conditionalFormatting>
  <conditionalFormatting sqref="E207:AB254">
    <cfRule type="cellIs" dxfId="5" priority="6" operator="lessThan">
      <formula>0</formula>
    </cfRule>
  </conditionalFormatting>
  <conditionalFormatting sqref="E256:AB303">
    <cfRule type="cellIs" dxfId="4" priority="5" operator="lessThan">
      <formula>0</formula>
    </cfRule>
  </conditionalFormatting>
  <conditionalFormatting sqref="E305:AB352">
    <cfRule type="cellIs" dxfId="3" priority="4" operator="lessThan">
      <formula>0</formula>
    </cfRule>
  </conditionalFormatting>
  <conditionalFormatting sqref="E354:AB401">
    <cfRule type="cellIs" dxfId="2" priority="3" operator="lessThan">
      <formula>0</formula>
    </cfRule>
  </conditionalFormatting>
  <conditionalFormatting sqref="E403:AB450">
    <cfRule type="cellIs" dxfId="1" priority="2" operator="lessThan">
      <formula>0</formula>
    </cfRule>
  </conditionalFormatting>
  <conditionalFormatting sqref="E452:AB49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27A1-5BA0-4984-91C0-22F47FC03AD5}">
  <sheetPr>
    <tabColor rgb="FFFFC000"/>
  </sheetPr>
  <dimension ref="B2:BJ503"/>
  <sheetViews>
    <sheetView showGridLines="0" zoomScale="80" zoomScaleNormal="80" workbookViewId="0">
      <pane xSplit="4" ySplit="10" topLeftCell="E487" activePane="bottomRight" state="frozen"/>
      <selection activeCell="V654" sqref="V654"/>
      <selection pane="topRight" activeCell="V654" sqref="V654"/>
      <selection pane="bottomLeft" activeCell="V654" sqref="V654"/>
      <selection pane="bottomRight" activeCell="M496" sqref="M496"/>
    </sheetView>
  </sheetViews>
  <sheetFormatPr baseColWidth="10" defaultRowHeight="12.5" x14ac:dyDescent="0.35"/>
  <cols>
    <col min="1" max="1" width="2.54296875" style="8" customWidth="1"/>
    <col min="2" max="2" width="11.1796875" style="8" customWidth="1"/>
    <col min="3" max="3" width="10.7265625" style="8" customWidth="1"/>
    <col min="4" max="4" width="8.1796875" style="8" customWidth="1"/>
    <col min="5" max="5" width="9.7265625" style="77" customWidth="1"/>
    <col min="6" max="28" width="11" style="17" customWidth="1"/>
    <col min="29" max="29" width="17.26953125" style="133" customWidth="1"/>
    <col min="30" max="30" width="13.26953125" style="8" bestFit="1" customWidth="1"/>
    <col min="31" max="31" width="10.90625" style="8"/>
    <col min="32" max="32" width="10.90625" style="8" hidden="1" customWidth="1"/>
    <col min="33" max="54" width="8.1796875" style="8" hidden="1" customWidth="1"/>
    <col min="55" max="55" width="8.6328125" style="8" hidden="1" customWidth="1"/>
    <col min="56" max="56" width="8.1796875" style="8" hidden="1" customWidth="1"/>
    <col min="57" max="57" width="9.6328125" style="8" hidden="1" customWidth="1"/>
    <col min="58" max="58" width="14.6328125" style="8" hidden="1" customWidth="1"/>
    <col min="59" max="59" width="14.7265625" style="8" customWidth="1"/>
    <col min="60" max="62" width="10.90625" style="8" hidden="1" customWidth="1"/>
    <col min="63" max="63" width="11.6328125" style="8" bestFit="1" customWidth="1"/>
    <col min="64" max="255" width="10.90625" style="8"/>
    <col min="256" max="256" width="7" style="8" customWidth="1"/>
    <col min="257" max="257" width="10.7265625" style="8" customWidth="1"/>
    <col min="258" max="258" width="9.26953125" style="8" customWidth="1"/>
    <col min="259" max="282" width="7.26953125" style="8" customWidth="1"/>
    <col min="283" max="283" width="14.26953125" style="8" bestFit="1" customWidth="1"/>
    <col min="284" max="511" width="10.90625" style="8"/>
    <col min="512" max="512" width="7" style="8" customWidth="1"/>
    <col min="513" max="513" width="10.7265625" style="8" customWidth="1"/>
    <col min="514" max="514" width="9.26953125" style="8" customWidth="1"/>
    <col min="515" max="538" width="7.26953125" style="8" customWidth="1"/>
    <col min="539" max="539" width="14.26953125" style="8" bestFit="1" customWidth="1"/>
    <col min="540" max="767" width="10.90625" style="8"/>
    <col min="768" max="768" width="7" style="8" customWidth="1"/>
    <col min="769" max="769" width="10.7265625" style="8" customWidth="1"/>
    <col min="770" max="770" width="9.26953125" style="8" customWidth="1"/>
    <col min="771" max="794" width="7.26953125" style="8" customWidth="1"/>
    <col min="795" max="795" width="14.26953125" style="8" bestFit="1" customWidth="1"/>
    <col min="796" max="1023" width="10.90625" style="8"/>
    <col min="1024" max="1024" width="7" style="8" customWidth="1"/>
    <col min="1025" max="1025" width="10.7265625" style="8" customWidth="1"/>
    <col min="1026" max="1026" width="9.26953125" style="8" customWidth="1"/>
    <col min="1027" max="1050" width="7.26953125" style="8" customWidth="1"/>
    <col min="1051" max="1051" width="14.26953125" style="8" bestFit="1" customWidth="1"/>
    <col min="1052" max="1279" width="10.90625" style="8"/>
    <col min="1280" max="1280" width="7" style="8" customWidth="1"/>
    <col min="1281" max="1281" width="10.7265625" style="8" customWidth="1"/>
    <col min="1282" max="1282" width="9.26953125" style="8" customWidth="1"/>
    <col min="1283" max="1306" width="7.26953125" style="8" customWidth="1"/>
    <col min="1307" max="1307" width="14.26953125" style="8" bestFit="1" customWidth="1"/>
    <col min="1308" max="1535" width="10.90625" style="8"/>
    <col min="1536" max="1536" width="7" style="8" customWidth="1"/>
    <col min="1537" max="1537" width="10.7265625" style="8" customWidth="1"/>
    <col min="1538" max="1538" width="9.26953125" style="8" customWidth="1"/>
    <col min="1539" max="1562" width="7.26953125" style="8" customWidth="1"/>
    <col min="1563" max="1563" width="14.26953125" style="8" bestFit="1" customWidth="1"/>
    <col min="1564" max="1791" width="10.90625" style="8"/>
    <col min="1792" max="1792" width="7" style="8" customWidth="1"/>
    <col min="1793" max="1793" width="10.7265625" style="8" customWidth="1"/>
    <col min="1794" max="1794" width="9.26953125" style="8" customWidth="1"/>
    <col min="1795" max="1818" width="7.26953125" style="8" customWidth="1"/>
    <col min="1819" max="1819" width="14.26953125" style="8" bestFit="1" customWidth="1"/>
    <col min="1820" max="2047" width="10.90625" style="8"/>
    <col min="2048" max="2048" width="7" style="8" customWidth="1"/>
    <col min="2049" max="2049" width="10.7265625" style="8" customWidth="1"/>
    <col min="2050" max="2050" width="9.26953125" style="8" customWidth="1"/>
    <col min="2051" max="2074" width="7.26953125" style="8" customWidth="1"/>
    <col min="2075" max="2075" width="14.26953125" style="8" bestFit="1" customWidth="1"/>
    <col min="2076" max="2303" width="10.90625" style="8"/>
    <col min="2304" max="2304" width="7" style="8" customWidth="1"/>
    <col min="2305" max="2305" width="10.7265625" style="8" customWidth="1"/>
    <col min="2306" max="2306" width="9.26953125" style="8" customWidth="1"/>
    <col min="2307" max="2330" width="7.26953125" style="8" customWidth="1"/>
    <col min="2331" max="2331" width="14.26953125" style="8" bestFit="1" customWidth="1"/>
    <col min="2332" max="2559" width="10.90625" style="8"/>
    <col min="2560" max="2560" width="7" style="8" customWidth="1"/>
    <col min="2561" max="2561" width="10.7265625" style="8" customWidth="1"/>
    <col min="2562" max="2562" width="9.26953125" style="8" customWidth="1"/>
    <col min="2563" max="2586" width="7.26953125" style="8" customWidth="1"/>
    <col min="2587" max="2587" width="14.26953125" style="8" bestFit="1" customWidth="1"/>
    <col min="2588" max="2815" width="10.90625" style="8"/>
    <col min="2816" max="2816" width="7" style="8" customWidth="1"/>
    <col min="2817" max="2817" width="10.7265625" style="8" customWidth="1"/>
    <col min="2818" max="2818" width="9.26953125" style="8" customWidth="1"/>
    <col min="2819" max="2842" width="7.26953125" style="8" customWidth="1"/>
    <col min="2843" max="2843" width="14.26953125" style="8" bestFit="1" customWidth="1"/>
    <col min="2844" max="3071" width="10.90625" style="8"/>
    <col min="3072" max="3072" width="7" style="8" customWidth="1"/>
    <col min="3073" max="3073" width="10.7265625" style="8" customWidth="1"/>
    <col min="3074" max="3074" width="9.26953125" style="8" customWidth="1"/>
    <col min="3075" max="3098" width="7.26953125" style="8" customWidth="1"/>
    <col min="3099" max="3099" width="14.26953125" style="8" bestFit="1" customWidth="1"/>
    <col min="3100" max="3327" width="10.90625" style="8"/>
    <col min="3328" max="3328" width="7" style="8" customWidth="1"/>
    <col min="3329" max="3329" width="10.7265625" style="8" customWidth="1"/>
    <col min="3330" max="3330" width="9.26953125" style="8" customWidth="1"/>
    <col min="3331" max="3354" width="7.26953125" style="8" customWidth="1"/>
    <col min="3355" max="3355" width="14.26953125" style="8" bestFit="1" customWidth="1"/>
    <col min="3356" max="3583" width="10.90625" style="8"/>
    <col min="3584" max="3584" width="7" style="8" customWidth="1"/>
    <col min="3585" max="3585" width="10.7265625" style="8" customWidth="1"/>
    <col min="3586" max="3586" width="9.26953125" style="8" customWidth="1"/>
    <col min="3587" max="3610" width="7.26953125" style="8" customWidth="1"/>
    <col min="3611" max="3611" width="14.26953125" style="8" bestFit="1" customWidth="1"/>
    <col min="3612" max="3839" width="10.90625" style="8"/>
    <col min="3840" max="3840" width="7" style="8" customWidth="1"/>
    <col min="3841" max="3841" width="10.7265625" style="8" customWidth="1"/>
    <col min="3842" max="3842" width="9.26953125" style="8" customWidth="1"/>
    <col min="3843" max="3866" width="7.26953125" style="8" customWidth="1"/>
    <col min="3867" max="3867" width="14.26953125" style="8" bestFit="1" customWidth="1"/>
    <col min="3868" max="4095" width="10.90625" style="8"/>
    <col min="4096" max="4096" width="7" style="8" customWidth="1"/>
    <col min="4097" max="4097" width="10.7265625" style="8" customWidth="1"/>
    <col min="4098" max="4098" width="9.26953125" style="8" customWidth="1"/>
    <col min="4099" max="4122" width="7.26953125" style="8" customWidth="1"/>
    <col min="4123" max="4123" width="14.26953125" style="8" bestFit="1" customWidth="1"/>
    <col min="4124" max="4351" width="10.90625" style="8"/>
    <col min="4352" max="4352" width="7" style="8" customWidth="1"/>
    <col min="4353" max="4353" width="10.7265625" style="8" customWidth="1"/>
    <col min="4354" max="4354" width="9.26953125" style="8" customWidth="1"/>
    <col min="4355" max="4378" width="7.26953125" style="8" customWidth="1"/>
    <col min="4379" max="4379" width="14.26953125" style="8" bestFit="1" customWidth="1"/>
    <col min="4380" max="4607" width="10.90625" style="8"/>
    <col min="4608" max="4608" width="7" style="8" customWidth="1"/>
    <col min="4609" max="4609" width="10.7265625" style="8" customWidth="1"/>
    <col min="4610" max="4610" width="9.26953125" style="8" customWidth="1"/>
    <col min="4611" max="4634" width="7.26953125" style="8" customWidth="1"/>
    <col min="4635" max="4635" width="14.26953125" style="8" bestFit="1" customWidth="1"/>
    <col min="4636" max="4863" width="10.90625" style="8"/>
    <col min="4864" max="4864" width="7" style="8" customWidth="1"/>
    <col min="4865" max="4865" width="10.7265625" style="8" customWidth="1"/>
    <col min="4866" max="4866" width="9.26953125" style="8" customWidth="1"/>
    <col min="4867" max="4890" width="7.26953125" style="8" customWidth="1"/>
    <col min="4891" max="4891" width="14.26953125" style="8" bestFit="1" customWidth="1"/>
    <col min="4892" max="5119" width="10.90625" style="8"/>
    <col min="5120" max="5120" width="7" style="8" customWidth="1"/>
    <col min="5121" max="5121" width="10.7265625" style="8" customWidth="1"/>
    <col min="5122" max="5122" width="9.26953125" style="8" customWidth="1"/>
    <col min="5123" max="5146" width="7.26953125" style="8" customWidth="1"/>
    <col min="5147" max="5147" width="14.26953125" style="8" bestFit="1" customWidth="1"/>
    <col min="5148" max="5375" width="10.90625" style="8"/>
    <col min="5376" max="5376" width="7" style="8" customWidth="1"/>
    <col min="5377" max="5377" width="10.7265625" style="8" customWidth="1"/>
    <col min="5378" max="5378" width="9.26953125" style="8" customWidth="1"/>
    <col min="5379" max="5402" width="7.26953125" style="8" customWidth="1"/>
    <col min="5403" max="5403" width="14.26953125" style="8" bestFit="1" customWidth="1"/>
    <col min="5404" max="5631" width="10.90625" style="8"/>
    <col min="5632" max="5632" width="7" style="8" customWidth="1"/>
    <col min="5633" max="5633" width="10.7265625" style="8" customWidth="1"/>
    <col min="5634" max="5634" width="9.26953125" style="8" customWidth="1"/>
    <col min="5635" max="5658" width="7.26953125" style="8" customWidth="1"/>
    <col min="5659" max="5659" width="14.26953125" style="8" bestFit="1" customWidth="1"/>
    <col min="5660" max="5887" width="10.90625" style="8"/>
    <col min="5888" max="5888" width="7" style="8" customWidth="1"/>
    <col min="5889" max="5889" width="10.7265625" style="8" customWidth="1"/>
    <col min="5890" max="5890" width="9.26953125" style="8" customWidth="1"/>
    <col min="5891" max="5914" width="7.26953125" style="8" customWidth="1"/>
    <col min="5915" max="5915" width="14.26953125" style="8" bestFit="1" customWidth="1"/>
    <col min="5916" max="6143" width="10.90625" style="8"/>
    <col min="6144" max="6144" width="7" style="8" customWidth="1"/>
    <col min="6145" max="6145" width="10.7265625" style="8" customWidth="1"/>
    <col min="6146" max="6146" width="9.26953125" style="8" customWidth="1"/>
    <col min="6147" max="6170" width="7.26953125" style="8" customWidth="1"/>
    <col min="6171" max="6171" width="14.26953125" style="8" bestFit="1" customWidth="1"/>
    <col min="6172" max="6399" width="10.90625" style="8"/>
    <col min="6400" max="6400" width="7" style="8" customWidth="1"/>
    <col min="6401" max="6401" width="10.7265625" style="8" customWidth="1"/>
    <col min="6402" max="6402" width="9.26953125" style="8" customWidth="1"/>
    <col min="6403" max="6426" width="7.26953125" style="8" customWidth="1"/>
    <col min="6427" max="6427" width="14.26953125" style="8" bestFit="1" customWidth="1"/>
    <col min="6428" max="6655" width="10.90625" style="8"/>
    <col min="6656" max="6656" width="7" style="8" customWidth="1"/>
    <col min="6657" max="6657" width="10.7265625" style="8" customWidth="1"/>
    <col min="6658" max="6658" width="9.26953125" style="8" customWidth="1"/>
    <col min="6659" max="6682" width="7.26953125" style="8" customWidth="1"/>
    <col min="6683" max="6683" width="14.26953125" style="8" bestFit="1" customWidth="1"/>
    <col min="6684" max="6911" width="10.90625" style="8"/>
    <col min="6912" max="6912" width="7" style="8" customWidth="1"/>
    <col min="6913" max="6913" width="10.7265625" style="8" customWidth="1"/>
    <col min="6914" max="6914" width="9.26953125" style="8" customWidth="1"/>
    <col min="6915" max="6938" width="7.26953125" style="8" customWidth="1"/>
    <col min="6939" max="6939" width="14.26953125" style="8" bestFit="1" customWidth="1"/>
    <col min="6940" max="7167" width="10.90625" style="8"/>
    <col min="7168" max="7168" width="7" style="8" customWidth="1"/>
    <col min="7169" max="7169" width="10.7265625" style="8" customWidth="1"/>
    <col min="7170" max="7170" width="9.26953125" style="8" customWidth="1"/>
    <col min="7171" max="7194" width="7.26953125" style="8" customWidth="1"/>
    <col min="7195" max="7195" width="14.26953125" style="8" bestFit="1" customWidth="1"/>
    <col min="7196" max="7423" width="10.90625" style="8"/>
    <col min="7424" max="7424" width="7" style="8" customWidth="1"/>
    <col min="7425" max="7425" width="10.7265625" style="8" customWidth="1"/>
    <col min="7426" max="7426" width="9.26953125" style="8" customWidth="1"/>
    <col min="7427" max="7450" width="7.26953125" style="8" customWidth="1"/>
    <col min="7451" max="7451" width="14.26953125" style="8" bestFit="1" customWidth="1"/>
    <col min="7452" max="7679" width="10.90625" style="8"/>
    <col min="7680" max="7680" width="7" style="8" customWidth="1"/>
    <col min="7681" max="7681" width="10.7265625" style="8" customWidth="1"/>
    <col min="7682" max="7682" width="9.26953125" style="8" customWidth="1"/>
    <col min="7683" max="7706" width="7.26953125" style="8" customWidth="1"/>
    <col min="7707" max="7707" width="14.26953125" style="8" bestFit="1" customWidth="1"/>
    <col min="7708" max="7935" width="10.90625" style="8"/>
    <col min="7936" max="7936" width="7" style="8" customWidth="1"/>
    <col min="7937" max="7937" width="10.7265625" style="8" customWidth="1"/>
    <col min="7938" max="7938" width="9.26953125" style="8" customWidth="1"/>
    <col min="7939" max="7962" width="7.26953125" style="8" customWidth="1"/>
    <col min="7963" max="7963" width="14.26953125" style="8" bestFit="1" customWidth="1"/>
    <col min="7964" max="8191" width="10.90625" style="8"/>
    <col min="8192" max="8192" width="7" style="8" customWidth="1"/>
    <col min="8193" max="8193" width="10.7265625" style="8" customWidth="1"/>
    <col min="8194" max="8194" width="9.26953125" style="8" customWidth="1"/>
    <col min="8195" max="8218" width="7.26953125" style="8" customWidth="1"/>
    <col min="8219" max="8219" width="14.26953125" style="8" bestFit="1" customWidth="1"/>
    <col min="8220" max="8447" width="10.90625" style="8"/>
    <col min="8448" max="8448" width="7" style="8" customWidth="1"/>
    <col min="8449" max="8449" width="10.7265625" style="8" customWidth="1"/>
    <col min="8450" max="8450" width="9.26953125" style="8" customWidth="1"/>
    <col min="8451" max="8474" width="7.26953125" style="8" customWidth="1"/>
    <col min="8475" max="8475" width="14.26953125" style="8" bestFit="1" customWidth="1"/>
    <col min="8476" max="8703" width="10.90625" style="8"/>
    <col min="8704" max="8704" width="7" style="8" customWidth="1"/>
    <col min="8705" max="8705" width="10.7265625" style="8" customWidth="1"/>
    <col min="8706" max="8706" width="9.26953125" style="8" customWidth="1"/>
    <col min="8707" max="8730" width="7.26953125" style="8" customWidth="1"/>
    <col min="8731" max="8731" width="14.26953125" style="8" bestFit="1" customWidth="1"/>
    <col min="8732" max="8959" width="10.90625" style="8"/>
    <col min="8960" max="8960" width="7" style="8" customWidth="1"/>
    <col min="8961" max="8961" width="10.7265625" style="8" customWidth="1"/>
    <col min="8962" max="8962" width="9.26953125" style="8" customWidth="1"/>
    <col min="8963" max="8986" width="7.26953125" style="8" customWidth="1"/>
    <col min="8987" max="8987" width="14.26953125" style="8" bestFit="1" customWidth="1"/>
    <col min="8988" max="9215" width="10.90625" style="8"/>
    <col min="9216" max="9216" width="7" style="8" customWidth="1"/>
    <col min="9217" max="9217" width="10.7265625" style="8" customWidth="1"/>
    <col min="9218" max="9218" width="9.26953125" style="8" customWidth="1"/>
    <col min="9219" max="9242" width="7.26953125" style="8" customWidth="1"/>
    <col min="9243" max="9243" width="14.26953125" style="8" bestFit="1" customWidth="1"/>
    <col min="9244" max="9471" width="10.90625" style="8"/>
    <col min="9472" max="9472" width="7" style="8" customWidth="1"/>
    <col min="9473" max="9473" width="10.7265625" style="8" customWidth="1"/>
    <col min="9474" max="9474" width="9.26953125" style="8" customWidth="1"/>
    <col min="9475" max="9498" width="7.26953125" style="8" customWidth="1"/>
    <col min="9499" max="9499" width="14.26953125" style="8" bestFit="1" customWidth="1"/>
    <col min="9500" max="9727" width="10.90625" style="8"/>
    <col min="9728" max="9728" width="7" style="8" customWidth="1"/>
    <col min="9729" max="9729" width="10.7265625" style="8" customWidth="1"/>
    <col min="9730" max="9730" width="9.26953125" style="8" customWidth="1"/>
    <col min="9731" max="9754" width="7.26953125" style="8" customWidth="1"/>
    <col min="9755" max="9755" width="14.26953125" style="8" bestFit="1" customWidth="1"/>
    <col min="9756" max="9983" width="10.90625" style="8"/>
    <col min="9984" max="9984" width="7" style="8" customWidth="1"/>
    <col min="9985" max="9985" width="10.7265625" style="8" customWidth="1"/>
    <col min="9986" max="9986" width="9.26953125" style="8" customWidth="1"/>
    <col min="9987" max="10010" width="7.26953125" style="8" customWidth="1"/>
    <col min="10011" max="10011" width="14.26953125" style="8" bestFit="1" customWidth="1"/>
    <col min="10012" max="10239" width="10.90625" style="8"/>
    <col min="10240" max="10240" width="7" style="8" customWidth="1"/>
    <col min="10241" max="10241" width="10.7265625" style="8" customWidth="1"/>
    <col min="10242" max="10242" width="9.26953125" style="8" customWidth="1"/>
    <col min="10243" max="10266" width="7.26953125" style="8" customWidth="1"/>
    <col min="10267" max="10267" width="14.26953125" style="8" bestFit="1" customWidth="1"/>
    <col min="10268" max="10495" width="10.90625" style="8"/>
    <col min="10496" max="10496" width="7" style="8" customWidth="1"/>
    <col min="10497" max="10497" width="10.7265625" style="8" customWidth="1"/>
    <col min="10498" max="10498" width="9.26953125" style="8" customWidth="1"/>
    <col min="10499" max="10522" width="7.26953125" style="8" customWidth="1"/>
    <col min="10523" max="10523" width="14.26953125" style="8" bestFit="1" customWidth="1"/>
    <col min="10524" max="10751" width="10.90625" style="8"/>
    <col min="10752" max="10752" width="7" style="8" customWidth="1"/>
    <col min="10753" max="10753" width="10.7265625" style="8" customWidth="1"/>
    <col min="10754" max="10754" width="9.26953125" style="8" customWidth="1"/>
    <col min="10755" max="10778" width="7.26953125" style="8" customWidth="1"/>
    <col min="10779" max="10779" width="14.26953125" style="8" bestFit="1" customWidth="1"/>
    <col min="10780" max="11007" width="10.90625" style="8"/>
    <col min="11008" max="11008" width="7" style="8" customWidth="1"/>
    <col min="11009" max="11009" width="10.7265625" style="8" customWidth="1"/>
    <col min="11010" max="11010" width="9.26953125" style="8" customWidth="1"/>
    <col min="11011" max="11034" width="7.26953125" style="8" customWidth="1"/>
    <col min="11035" max="11035" width="14.26953125" style="8" bestFit="1" customWidth="1"/>
    <col min="11036" max="11263" width="10.90625" style="8"/>
    <col min="11264" max="11264" width="7" style="8" customWidth="1"/>
    <col min="11265" max="11265" width="10.7265625" style="8" customWidth="1"/>
    <col min="11266" max="11266" width="9.26953125" style="8" customWidth="1"/>
    <col min="11267" max="11290" width="7.26953125" style="8" customWidth="1"/>
    <col min="11291" max="11291" width="14.26953125" style="8" bestFit="1" customWidth="1"/>
    <col min="11292" max="11519" width="10.90625" style="8"/>
    <col min="11520" max="11520" width="7" style="8" customWidth="1"/>
    <col min="11521" max="11521" width="10.7265625" style="8" customWidth="1"/>
    <col min="11522" max="11522" width="9.26953125" style="8" customWidth="1"/>
    <col min="11523" max="11546" width="7.26953125" style="8" customWidth="1"/>
    <col min="11547" max="11547" width="14.26953125" style="8" bestFit="1" customWidth="1"/>
    <col min="11548" max="11775" width="10.90625" style="8"/>
    <col min="11776" max="11776" width="7" style="8" customWidth="1"/>
    <col min="11777" max="11777" width="10.7265625" style="8" customWidth="1"/>
    <col min="11778" max="11778" width="9.26953125" style="8" customWidth="1"/>
    <col min="11779" max="11802" width="7.26953125" style="8" customWidth="1"/>
    <col min="11803" max="11803" width="14.26953125" style="8" bestFit="1" customWidth="1"/>
    <col min="11804" max="12031" width="10.90625" style="8"/>
    <col min="12032" max="12032" width="7" style="8" customWidth="1"/>
    <col min="12033" max="12033" width="10.7265625" style="8" customWidth="1"/>
    <col min="12034" max="12034" width="9.26953125" style="8" customWidth="1"/>
    <col min="12035" max="12058" width="7.26953125" style="8" customWidth="1"/>
    <col min="12059" max="12059" width="14.26953125" style="8" bestFit="1" customWidth="1"/>
    <col min="12060" max="12287" width="10.90625" style="8"/>
    <col min="12288" max="12288" width="7" style="8" customWidth="1"/>
    <col min="12289" max="12289" width="10.7265625" style="8" customWidth="1"/>
    <col min="12290" max="12290" width="9.26953125" style="8" customWidth="1"/>
    <col min="12291" max="12314" width="7.26953125" style="8" customWidth="1"/>
    <col min="12315" max="12315" width="14.26953125" style="8" bestFit="1" customWidth="1"/>
    <col min="12316" max="12543" width="10.90625" style="8"/>
    <col min="12544" max="12544" width="7" style="8" customWidth="1"/>
    <col min="12545" max="12545" width="10.7265625" style="8" customWidth="1"/>
    <col min="12546" max="12546" width="9.26953125" style="8" customWidth="1"/>
    <col min="12547" max="12570" width="7.26953125" style="8" customWidth="1"/>
    <col min="12571" max="12571" width="14.26953125" style="8" bestFit="1" customWidth="1"/>
    <col min="12572" max="12799" width="10.90625" style="8"/>
    <col min="12800" max="12800" width="7" style="8" customWidth="1"/>
    <col min="12801" max="12801" width="10.7265625" style="8" customWidth="1"/>
    <col min="12802" max="12802" width="9.26953125" style="8" customWidth="1"/>
    <col min="12803" max="12826" width="7.26953125" style="8" customWidth="1"/>
    <col min="12827" max="12827" width="14.26953125" style="8" bestFit="1" customWidth="1"/>
    <col min="12828" max="13055" width="10.90625" style="8"/>
    <col min="13056" max="13056" width="7" style="8" customWidth="1"/>
    <col min="13057" max="13057" width="10.7265625" style="8" customWidth="1"/>
    <col min="13058" max="13058" width="9.26953125" style="8" customWidth="1"/>
    <col min="13059" max="13082" width="7.26953125" style="8" customWidth="1"/>
    <col min="13083" max="13083" width="14.26953125" style="8" bestFit="1" customWidth="1"/>
    <col min="13084" max="13311" width="10.90625" style="8"/>
    <col min="13312" max="13312" width="7" style="8" customWidth="1"/>
    <col min="13313" max="13313" width="10.7265625" style="8" customWidth="1"/>
    <col min="13314" max="13314" width="9.26953125" style="8" customWidth="1"/>
    <col min="13315" max="13338" width="7.26953125" style="8" customWidth="1"/>
    <col min="13339" max="13339" width="14.26953125" style="8" bestFit="1" customWidth="1"/>
    <col min="13340" max="13567" width="10.90625" style="8"/>
    <col min="13568" max="13568" width="7" style="8" customWidth="1"/>
    <col min="13569" max="13569" width="10.7265625" style="8" customWidth="1"/>
    <col min="13570" max="13570" width="9.26953125" style="8" customWidth="1"/>
    <col min="13571" max="13594" width="7.26953125" style="8" customWidth="1"/>
    <col min="13595" max="13595" width="14.26953125" style="8" bestFit="1" customWidth="1"/>
    <col min="13596" max="13823" width="10.90625" style="8"/>
    <col min="13824" max="13824" width="7" style="8" customWidth="1"/>
    <col min="13825" max="13825" width="10.7265625" style="8" customWidth="1"/>
    <col min="13826" max="13826" width="9.26953125" style="8" customWidth="1"/>
    <col min="13827" max="13850" width="7.26953125" style="8" customWidth="1"/>
    <col min="13851" max="13851" width="14.26953125" style="8" bestFit="1" customWidth="1"/>
    <col min="13852" max="14079" width="10.90625" style="8"/>
    <col min="14080" max="14080" width="7" style="8" customWidth="1"/>
    <col min="14081" max="14081" width="10.7265625" style="8" customWidth="1"/>
    <col min="14082" max="14082" width="9.26953125" style="8" customWidth="1"/>
    <col min="14083" max="14106" width="7.26953125" style="8" customWidth="1"/>
    <col min="14107" max="14107" width="14.26953125" style="8" bestFit="1" customWidth="1"/>
    <col min="14108" max="14335" width="10.90625" style="8"/>
    <col min="14336" max="14336" width="7" style="8" customWidth="1"/>
    <col min="14337" max="14337" width="10.7265625" style="8" customWidth="1"/>
    <col min="14338" max="14338" width="9.26953125" style="8" customWidth="1"/>
    <col min="14339" max="14362" width="7.26953125" style="8" customWidth="1"/>
    <col min="14363" max="14363" width="14.26953125" style="8" bestFit="1" customWidth="1"/>
    <col min="14364" max="14591" width="10.90625" style="8"/>
    <col min="14592" max="14592" width="7" style="8" customWidth="1"/>
    <col min="14593" max="14593" width="10.7265625" style="8" customWidth="1"/>
    <col min="14594" max="14594" width="9.26953125" style="8" customWidth="1"/>
    <col min="14595" max="14618" width="7.26953125" style="8" customWidth="1"/>
    <col min="14619" max="14619" width="14.26953125" style="8" bestFit="1" customWidth="1"/>
    <col min="14620" max="14847" width="10.90625" style="8"/>
    <col min="14848" max="14848" width="7" style="8" customWidth="1"/>
    <col min="14849" max="14849" width="10.7265625" style="8" customWidth="1"/>
    <col min="14850" max="14850" width="9.26953125" style="8" customWidth="1"/>
    <col min="14851" max="14874" width="7.26953125" style="8" customWidth="1"/>
    <col min="14875" max="14875" width="14.26953125" style="8" bestFit="1" customWidth="1"/>
    <col min="14876" max="15103" width="10.90625" style="8"/>
    <col min="15104" max="15104" width="7" style="8" customWidth="1"/>
    <col min="15105" max="15105" width="10.7265625" style="8" customWidth="1"/>
    <col min="15106" max="15106" width="9.26953125" style="8" customWidth="1"/>
    <col min="15107" max="15130" width="7.26953125" style="8" customWidth="1"/>
    <col min="15131" max="15131" width="14.26953125" style="8" bestFit="1" customWidth="1"/>
    <col min="15132" max="15359" width="10.90625" style="8"/>
    <col min="15360" max="15360" width="7" style="8" customWidth="1"/>
    <col min="15361" max="15361" width="10.7265625" style="8" customWidth="1"/>
    <col min="15362" max="15362" width="9.26953125" style="8" customWidth="1"/>
    <col min="15363" max="15386" width="7.26953125" style="8" customWidth="1"/>
    <col min="15387" max="15387" width="14.26953125" style="8" bestFit="1" customWidth="1"/>
    <col min="15388" max="15615" width="10.90625" style="8"/>
    <col min="15616" max="15616" width="7" style="8" customWidth="1"/>
    <col min="15617" max="15617" width="10.7265625" style="8" customWidth="1"/>
    <col min="15618" max="15618" width="9.26953125" style="8" customWidth="1"/>
    <col min="15619" max="15642" width="7.26953125" style="8" customWidth="1"/>
    <col min="15643" max="15643" width="14.26953125" style="8" bestFit="1" customWidth="1"/>
    <col min="15644" max="15871" width="10.90625" style="8"/>
    <col min="15872" max="15872" width="7" style="8" customWidth="1"/>
    <col min="15873" max="15873" width="10.7265625" style="8" customWidth="1"/>
    <col min="15874" max="15874" width="9.26953125" style="8" customWidth="1"/>
    <col min="15875" max="15898" width="7.26953125" style="8" customWidth="1"/>
    <col min="15899" max="15899" width="14.26953125" style="8" bestFit="1" customWidth="1"/>
    <col min="15900" max="16127" width="10.90625" style="8"/>
    <col min="16128" max="16128" width="7" style="8" customWidth="1"/>
    <col min="16129" max="16129" width="10.7265625" style="8" customWidth="1"/>
    <col min="16130" max="16130" width="9.26953125" style="8" customWidth="1"/>
    <col min="16131" max="16154" width="7.26953125" style="8" customWidth="1"/>
    <col min="16155" max="16155" width="14.26953125" style="8" bestFit="1" customWidth="1"/>
    <col min="16156" max="16384" width="10.90625" style="8"/>
  </cols>
  <sheetData>
    <row r="2" spans="2:62" ht="2.25" customHeight="1" x14ac:dyDescent="0.35"/>
    <row r="3" spans="2:62" ht="4.5" customHeight="1" x14ac:dyDescent="0.35"/>
    <row r="4" spans="2:62" ht="46.5" customHeight="1" x14ac:dyDescent="0.35">
      <c r="B4" s="202" t="s">
        <v>132</v>
      </c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</row>
    <row r="5" spans="2:62" ht="28.5" customHeight="1" x14ac:dyDescent="0.35">
      <c r="B5" s="204" t="s">
        <v>0</v>
      </c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</row>
    <row r="6" spans="2:62" ht="18.649999999999999" customHeight="1" x14ac:dyDescent="0.35">
      <c r="B6" s="205" t="s">
        <v>129</v>
      </c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</row>
    <row r="7" spans="2:62" ht="18.649999999999999" customHeight="1" x14ac:dyDescent="0.35">
      <c r="B7" s="206" t="s">
        <v>1</v>
      </c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</row>
    <row r="8" spans="2:62" ht="18.649999999999999" customHeight="1" x14ac:dyDescent="0.35"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BE8" s="8">
        <v>1000</v>
      </c>
    </row>
    <row r="9" spans="2:62" ht="18.649999999999999" customHeight="1" thickBot="1" x14ac:dyDescent="0.4">
      <c r="BD9" s="18"/>
      <c r="BE9" s="18"/>
      <c r="BF9" s="18"/>
    </row>
    <row r="10" spans="2:62" ht="34.5" customHeight="1" thickBot="1" x14ac:dyDescent="0.4">
      <c r="B10" s="1" t="s">
        <v>2</v>
      </c>
      <c r="C10" s="2" t="s">
        <v>3</v>
      </c>
      <c r="D10" s="1" t="s">
        <v>4</v>
      </c>
      <c r="E10" s="83" t="s">
        <v>5</v>
      </c>
      <c r="F10" s="3" t="s">
        <v>6</v>
      </c>
      <c r="G10" s="3" t="s">
        <v>7</v>
      </c>
      <c r="H10" s="3" t="s">
        <v>8</v>
      </c>
      <c r="I10" s="3" t="s">
        <v>9</v>
      </c>
      <c r="J10" s="3" t="s">
        <v>10</v>
      </c>
      <c r="K10" s="3" t="s">
        <v>11</v>
      </c>
      <c r="L10" s="3" t="s">
        <v>12</v>
      </c>
      <c r="M10" s="3" t="s">
        <v>13</v>
      </c>
      <c r="N10" s="3" t="s">
        <v>14</v>
      </c>
      <c r="O10" s="3" t="s">
        <v>15</v>
      </c>
      <c r="P10" s="4" t="s">
        <v>16</v>
      </c>
      <c r="Q10" s="5" t="s">
        <v>17</v>
      </c>
      <c r="R10" s="3" t="s">
        <v>18</v>
      </c>
      <c r="S10" s="3" t="s">
        <v>19</v>
      </c>
      <c r="T10" s="3" t="s">
        <v>20</v>
      </c>
      <c r="U10" s="3" t="s">
        <v>21</v>
      </c>
      <c r="V10" s="3" t="s">
        <v>22</v>
      </c>
      <c r="W10" s="3" t="s">
        <v>23</v>
      </c>
      <c r="X10" s="3" t="s">
        <v>24</v>
      </c>
      <c r="Y10" s="3" t="s">
        <v>25</v>
      </c>
      <c r="Z10" s="3" t="s">
        <v>26</v>
      </c>
      <c r="AA10" s="3" t="s">
        <v>27</v>
      </c>
      <c r="AB10" s="4" t="s">
        <v>28</v>
      </c>
      <c r="AC10" s="134" t="s">
        <v>48</v>
      </c>
      <c r="AF10" s="51" t="s">
        <v>51</v>
      </c>
      <c r="AG10" s="51" t="s">
        <v>5</v>
      </c>
      <c r="AH10" s="51" t="s">
        <v>6</v>
      </c>
      <c r="AI10" s="51" t="s">
        <v>7</v>
      </c>
      <c r="AJ10" s="51" t="s">
        <v>8</v>
      </c>
      <c r="AK10" s="51" t="s">
        <v>9</v>
      </c>
      <c r="AL10" s="51" t="s">
        <v>10</v>
      </c>
      <c r="AM10" s="51" t="s">
        <v>11</v>
      </c>
      <c r="AN10" s="51" t="s">
        <v>12</v>
      </c>
      <c r="AO10" s="51" t="s">
        <v>13</v>
      </c>
      <c r="AP10" s="51" t="s">
        <v>14</v>
      </c>
      <c r="AQ10" s="51" t="s">
        <v>15</v>
      </c>
      <c r="AR10" s="51" t="s">
        <v>16</v>
      </c>
      <c r="AS10" s="51" t="s">
        <v>17</v>
      </c>
      <c r="AT10" s="51" t="s">
        <v>18</v>
      </c>
      <c r="AU10" s="51" t="s">
        <v>19</v>
      </c>
      <c r="AV10" s="51" t="s">
        <v>20</v>
      </c>
      <c r="AW10" s="51" t="s">
        <v>21</v>
      </c>
      <c r="AX10" s="51" t="s">
        <v>22</v>
      </c>
      <c r="AY10" s="51" t="s">
        <v>23</v>
      </c>
      <c r="AZ10" s="51" t="s">
        <v>24</v>
      </c>
      <c r="BA10" s="51" t="s">
        <v>25</v>
      </c>
      <c r="BB10" s="51" t="s">
        <v>26</v>
      </c>
      <c r="BC10" s="51" t="s">
        <v>27</v>
      </c>
      <c r="BD10" s="51" t="s">
        <v>28</v>
      </c>
      <c r="BE10" s="52" t="s">
        <v>52</v>
      </c>
      <c r="BF10" s="52" t="s">
        <v>53</v>
      </c>
      <c r="BH10" s="49" t="s">
        <v>56</v>
      </c>
      <c r="BI10" s="50" t="e">
        <f>(+#REF!)/1000</f>
        <v>#REF!</v>
      </c>
      <c r="BJ10" s="49" t="s">
        <v>55</v>
      </c>
    </row>
    <row r="11" spans="2:62" ht="18.649999999999999" customHeight="1" x14ac:dyDescent="0.35">
      <c r="B11" s="207">
        <v>47849</v>
      </c>
      <c r="C11" s="6" t="s">
        <v>29</v>
      </c>
      <c r="D11" s="46">
        <f>+'[6]2031'!D15</f>
        <v>21</v>
      </c>
      <c r="E11" s="196">
        <f>ROUND('[6]2031'!E15,2)</f>
        <v>35616.33</v>
      </c>
      <c r="F11" s="196">
        <f>ROUND('[6]2031'!F15,2)</f>
        <v>33797.46</v>
      </c>
      <c r="G11" s="196">
        <f>ROUND('[6]2031'!G15,2)</f>
        <v>32429.22</v>
      </c>
      <c r="H11" s="196">
        <f>ROUND('[6]2031'!H15,2)</f>
        <v>31436.1</v>
      </c>
      <c r="I11" s="196">
        <f>ROUND('[6]2031'!I15,2)</f>
        <v>31262.82</v>
      </c>
      <c r="J11" s="196">
        <f>ROUND('[6]2031'!J15,2)</f>
        <v>32309</v>
      </c>
      <c r="K11" s="196">
        <f>ROUND('[6]2031'!K15,2)</f>
        <v>32017.34</v>
      </c>
      <c r="L11" s="196">
        <f>ROUND('[6]2031'!L15,2)</f>
        <v>35717.050000000003</v>
      </c>
      <c r="M11" s="196">
        <f>ROUND('[6]2031'!M15,2)</f>
        <v>39649.730000000003</v>
      </c>
      <c r="N11" s="196">
        <f>ROUND('[6]2031'!N15,2)</f>
        <v>41693.42</v>
      </c>
      <c r="O11" s="196">
        <f>ROUND('[6]2031'!O15,2)</f>
        <v>43905.89</v>
      </c>
      <c r="P11" s="196">
        <f>ROUND('[6]2031'!P15,2)</f>
        <v>45716.959999999999</v>
      </c>
      <c r="Q11" s="196">
        <f>ROUND('[6]2031'!Q15,2)</f>
        <v>44465.19</v>
      </c>
      <c r="R11" s="196">
        <f>ROUND('[6]2031'!R15,2)</f>
        <v>45689.43</v>
      </c>
      <c r="S11" s="196">
        <f>ROUND('[6]2031'!S15,2)</f>
        <v>47808.84</v>
      </c>
      <c r="T11" s="196">
        <f>ROUND('[6]2031'!T15,2)</f>
        <v>48063.01</v>
      </c>
      <c r="U11" s="196">
        <f>ROUND('[6]2031'!U15,2)</f>
        <v>47268.14</v>
      </c>
      <c r="V11" s="196">
        <f>ROUND('[6]2031'!V15,2)</f>
        <v>45526.3</v>
      </c>
      <c r="W11" s="196">
        <f>ROUND('[6]2031'!W15,2)</f>
        <v>48701.62</v>
      </c>
      <c r="X11" s="196">
        <f>ROUND('[6]2031'!X15,2)</f>
        <v>48875.28</v>
      </c>
      <c r="Y11" s="196">
        <f>ROUND('[6]2031'!Y15,2)</f>
        <v>47591.44</v>
      </c>
      <c r="Z11" s="196">
        <f>ROUND('[6]2031'!Z15,2)</f>
        <v>45504.6</v>
      </c>
      <c r="AA11" s="196">
        <f>ROUND('[6]2031'!AA15,2)</f>
        <v>42278.54</v>
      </c>
      <c r="AB11" s="196">
        <f>ROUND('[6]2031'!AB15,2)</f>
        <v>38834.379999999997</v>
      </c>
      <c r="AC11" s="209">
        <f>SUM(E11:AB11)*D11+SUM(E12:AB12)*D12+SUM(E13:AB13)*D13+SUM(E14:AB14)*D14</f>
        <v>29658249.830000002</v>
      </c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</row>
    <row r="12" spans="2:62" ht="18.649999999999999" customHeight="1" x14ac:dyDescent="0.35">
      <c r="B12" s="208"/>
      <c r="C12" s="9" t="s">
        <v>30</v>
      </c>
      <c r="D12" s="10">
        <f>+'[6]2031'!D16</f>
        <v>4</v>
      </c>
      <c r="E12" s="197">
        <f>ROUND('[6]2031'!E16,2)</f>
        <v>35358.17</v>
      </c>
      <c r="F12" s="197">
        <f>ROUND('[6]2031'!F16,2)</f>
        <v>33659.97</v>
      </c>
      <c r="G12" s="197">
        <f>ROUND('[6]2031'!G16,2)</f>
        <v>32326.13</v>
      </c>
      <c r="H12" s="197">
        <f>ROUND('[6]2031'!H16,2)</f>
        <v>31307.45</v>
      </c>
      <c r="I12" s="197">
        <f>ROUND('[6]2031'!I16,2)</f>
        <v>30999.119999999999</v>
      </c>
      <c r="J12" s="197">
        <f>ROUND('[6]2031'!J16,2)</f>
        <v>31247.1</v>
      </c>
      <c r="K12" s="197">
        <f>ROUND('[6]2031'!K16,2)</f>
        <v>30441.81</v>
      </c>
      <c r="L12" s="197">
        <f>ROUND('[6]2031'!L16,2)</f>
        <v>33449.42</v>
      </c>
      <c r="M12" s="197">
        <f>ROUND('[6]2031'!M16,2)</f>
        <v>37168.449999999997</v>
      </c>
      <c r="N12" s="197">
        <f>ROUND('[6]2031'!N16,2)</f>
        <v>39631.57</v>
      </c>
      <c r="O12" s="197">
        <f>ROUND('[6]2031'!O16,2)</f>
        <v>41569.43</v>
      </c>
      <c r="P12" s="197">
        <f>ROUND('[6]2031'!P16,2)</f>
        <v>42618.080000000002</v>
      </c>
      <c r="Q12" s="197">
        <f>ROUND('[6]2031'!Q16,2)</f>
        <v>42245.45</v>
      </c>
      <c r="R12" s="197">
        <f>ROUND('[6]2031'!R16,2)</f>
        <v>41350.97</v>
      </c>
      <c r="S12" s="197">
        <f>ROUND('[6]2031'!S16,2)</f>
        <v>41546.11</v>
      </c>
      <c r="T12" s="197">
        <f>ROUND('[6]2031'!T16,2)</f>
        <v>41690.22</v>
      </c>
      <c r="U12" s="197">
        <f>ROUND('[6]2031'!U16,2)</f>
        <v>41277.08</v>
      </c>
      <c r="V12" s="197">
        <f>ROUND('[6]2031'!V16,2)</f>
        <v>41426.61</v>
      </c>
      <c r="W12" s="197">
        <f>ROUND('[6]2031'!W16,2)</f>
        <v>46018.55</v>
      </c>
      <c r="X12" s="197">
        <f>ROUND('[6]2031'!X16,2)</f>
        <v>46348.09</v>
      </c>
      <c r="Y12" s="197">
        <f>ROUND('[6]2031'!Y16,2)</f>
        <v>44970.400000000001</v>
      </c>
      <c r="Z12" s="197">
        <f>ROUND('[6]2031'!Z16,2)</f>
        <v>43148.13</v>
      </c>
      <c r="AA12" s="197">
        <f>ROUND('[6]2031'!AA16,2)</f>
        <v>40780.03</v>
      </c>
      <c r="AB12" s="197">
        <f>ROUND('[6]2031'!AB16,2)</f>
        <v>38153.910000000003</v>
      </c>
      <c r="AC12" s="210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</row>
    <row r="13" spans="2:62" ht="18.649999999999999" customHeight="1" x14ac:dyDescent="0.35">
      <c r="B13" s="208"/>
      <c r="C13" s="9" t="s">
        <v>31</v>
      </c>
      <c r="D13" s="10">
        <f>+'[6]2031'!D17</f>
        <v>4</v>
      </c>
      <c r="E13" s="197">
        <f>ROUND('[6]2031'!E17,2)</f>
        <v>35592.51</v>
      </c>
      <c r="F13" s="197">
        <f>ROUND('[6]2031'!F17,2)</f>
        <v>33843.85</v>
      </c>
      <c r="G13" s="197">
        <f>ROUND('[6]2031'!G17,2)</f>
        <v>32433.8</v>
      </c>
      <c r="H13" s="197">
        <f>ROUND('[6]2031'!H17,2)</f>
        <v>31399.3</v>
      </c>
      <c r="I13" s="197">
        <f>ROUND('[6]2031'!I17,2)</f>
        <v>30890.15</v>
      </c>
      <c r="J13" s="197">
        <f>ROUND('[6]2031'!J17,2)</f>
        <v>30728.11</v>
      </c>
      <c r="K13" s="197">
        <f>ROUND('[6]2031'!K17,2)</f>
        <v>29072.58</v>
      </c>
      <c r="L13" s="197">
        <f>ROUND('[6]2031'!L17,2)</f>
        <v>30369.58</v>
      </c>
      <c r="M13" s="197">
        <f>ROUND('[6]2031'!M17,2)</f>
        <v>32448.6</v>
      </c>
      <c r="N13" s="197">
        <f>ROUND('[6]2031'!N17,2)</f>
        <v>34049.379999999997</v>
      </c>
      <c r="O13" s="197">
        <f>ROUND('[6]2031'!O17,2)</f>
        <v>35580.870000000003</v>
      </c>
      <c r="P13" s="197">
        <f>ROUND('[6]2031'!P17,2)</f>
        <v>36819.78</v>
      </c>
      <c r="Q13" s="197">
        <f>ROUND('[6]2031'!Q17,2)</f>
        <v>37664.17</v>
      </c>
      <c r="R13" s="197">
        <f>ROUND('[6]2031'!R17,2)</f>
        <v>37765.769999999997</v>
      </c>
      <c r="S13" s="197">
        <f>ROUND('[6]2031'!S17,2)</f>
        <v>37784.910000000003</v>
      </c>
      <c r="T13" s="197">
        <f>ROUND('[6]2031'!T17,2)</f>
        <v>37914.9</v>
      </c>
      <c r="U13" s="197">
        <f>ROUND('[6]2031'!U17,2)</f>
        <v>37934.17</v>
      </c>
      <c r="V13" s="197">
        <f>ROUND('[6]2031'!V17,2)</f>
        <v>38334.769999999997</v>
      </c>
      <c r="W13" s="197">
        <f>ROUND('[6]2031'!W17,2)</f>
        <v>43339.3</v>
      </c>
      <c r="X13" s="197">
        <f>ROUND('[6]2031'!X17,2)</f>
        <v>44580.68</v>
      </c>
      <c r="Y13" s="197">
        <f>ROUND('[6]2031'!Y17,2)</f>
        <v>44108.99</v>
      </c>
      <c r="Z13" s="197">
        <f>ROUND('[6]2031'!Z17,2)</f>
        <v>42658.03</v>
      </c>
      <c r="AA13" s="197">
        <f>ROUND('[6]2031'!AA17,2)</f>
        <v>40059.56</v>
      </c>
      <c r="AB13" s="197">
        <f>ROUND('[6]2031'!AB17,2)</f>
        <v>36959.730000000003</v>
      </c>
      <c r="AC13" s="210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</row>
    <row r="14" spans="2:62" ht="18.649999999999999" customHeight="1" thickBot="1" x14ac:dyDescent="0.4">
      <c r="B14" s="208"/>
      <c r="C14" s="15" t="s">
        <v>32</v>
      </c>
      <c r="D14" s="16">
        <f>+'[6]2031'!D18</f>
        <v>2</v>
      </c>
      <c r="E14" s="198">
        <f>ROUND('[6]2031'!E18,2)</f>
        <v>35592.51</v>
      </c>
      <c r="F14" s="198">
        <f>ROUND('[6]2031'!F18,2)</f>
        <v>33843.85</v>
      </c>
      <c r="G14" s="198">
        <f>ROUND('[6]2031'!G18,2)</f>
        <v>32433.8</v>
      </c>
      <c r="H14" s="198">
        <f>ROUND('[6]2031'!H18,2)</f>
        <v>31399.3</v>
      </c>
      <c r="I14" s="198">
        <f>ROUND('[6]2031'!I18,2)</f>
        <v>30890.15</v>
      </c>
      <c r="J14" s="198">
        <f>ROUND('[6]2031'!J18,2)</f>
        <v>30728.11</v>
      </c>
      <c r="K14" s="198">
        <f>ROUND('[6]2031'!K18,2)</f>
        <v>29072.58</v>
      </c>
      <c r="L14" s="198">
        <f>ROUND('[6]2031'!L18,2)</f>
        <v>30369.58</v>
      </c>
      <c r="M14" s="198">
        <f>ROUND('[6]2031'!M18,2)</f>
        <v>32448.6</v>
      </c>
      <c r="N14" s="198">
        <f>ROUND('[6]2031'!N18,2)</f>
        <v>34049.379999999997</v>
      </c>
      <c r="O14" s="198">
        <f>ROUND('[6]2031'!O18,2)</f>
        <v>35580.870000000003</v>
      </c>
      <c r="P14" s="198">
        <f>ROUND('[6]2031'!P18,2)</f>
        <v>36819.78</v>
      </c>
      <c r="Q14" s="198">
        <f>ROUND('[6]2031'!Q18,2)</f>
        <v>37664.17</v>
      </c>
      <c r="R14" s="198">
        <f>ROUND('[6]2031'!R18,2)</f>
        <v>37765.769999999997</v>
      </c>
      <c r="S14" s="198">
        <f>ROUND('[6]2031'!S18,2)</f>
        <v>37784.910000000003</v>
      </c>
      <c r="T14" s="198">
        <f>ROUND('[6]2031'!T18,2)</f>
        <v>37914.9</v>
      </c>
      <c r="U14" s="198">
        <f>ROUND('[6]2031'!U18,2)</f>
        <v>37934.17</v>
      </c>
      <c r="V14" s="198">
        <f>ROUND('[6]2031'!V18,2)</f>
        <v>38334.769999999997</v>
      </c>
      <c r="W14" s="198">
        <f>ROUND('[6]2031'!W18,2)</f>
        <v>43339.3</v>
      </c>
      <c r="X14" s="198">
        <f>ROUND('[6]2031'!X18,2)</f>
        <v>44580.68</v>
      </c>
      <c r="Y14" s="198">
        <f>ROUND('[6]2031'!Y18,2)</f>
        <v>44108.99</v>
      </c>
      <c r="Z14" s="198">
        <f>ROUND('[6]2031'!Z18,2)</f>
        <v>42658.03</v>
      </c>
      <c r="AA14" s="198">
        <f>ROUND('[6]2031'!AA18,2)</f>
        <v>40059.56</v>
      </c>
      <c r="AB14" s="198">
        <f>ROUND('[6]2031'!AB18,2)</f>
        <v>36959.730000000003</v>
      </c>
      <c r="AC14" s="210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</row>
    <row r="15" spans="2:62" ht="18.649999999999999" customHeight="1" x14ac:dyDescent="0.35">
      <c r="B15" s="211">
        <v>47880</v>
      </c>
      <c r="C15" s="6" t="s">
        <v>29</v>
      </c>
      <c r="D15" s="7">
        <f>+'[6]2031'!D19</f>
        <v>20</v>
      </c>
      <c r="E15" s="196">
        <f>ROUND('[6]2031'!E19,2)</f>
        <v>37418.49</v>
      </c>
      <c r="F15" s="196">
        <f>ROUND('[6]2031'!F19,2)</f>
        <v>35581.64</v>
      </c>
      <c r="G15" s="196">
        <f>ROUND('[6]2031'!G19,2)</f>
        <v>34115.279999999999</v>
      </c>
      <c r="H15" s="196">
        <f>ROUND('[6]2031'!H19,2)</f>
        <v>33052.300000000003</v>
      </c>
      <c r="I15" s="196">
        <f>ROUND('[6]2031'!I19,2)</f>
        <v>33015.279999999999</v>
      </c>
      <c r="J15" s="196">
        <f>ROUND('[6]2031'!J19,2)</f>
        <v>34999.699999999997</v>
      </c>
      <c r="K15" s="196">
        <f>ROUND('[6]2031'!K19,2)</f>
        <v>34662.74</v>
      </c>
      <c r="L15" s="196">
        <f>ROUND('[6]2031'!L19,2)</f>
        <v>38036.559999999998</v>
      </c>
      <c r="M15" s="196">
        <f>ROUND('[6]2031'!M19,2)</f>
        <v>41748.28</v>
      </c>
      <c r="N15" s="196">
        <f>ROUND('[6]2031'!N19,2)</f>
        <v>43549.25</v>
      </c>
      <c r="O15" s="196">
        <f>ROUND('[6]2031'!O19,2)</f>
        <v>45724.55</v>
      </c>
      <c r="P15" s="196">
        <f>ROUND('[6]2031'!P19,2)</f>
        <v>47444.75</v>
      </c>
      <c r="Q15" s="196">
        <f>ROUND('[6]2031'!Q19,2)</f>
        <v>45857.85</v>
      </c>
      <c r="R15" s="196">
        <f>ROUND('[6]2031'!R19,2)</f>
        <v>47505.47</v>
      </c>
      <c r="S15" s="196">
        <f>ROUND('[6]2031'!S19,2)</f>
        <v>50152.56</v>
      </c>
      <c r="T15" s="196">
        <f>ROUND('[6]2031'!T19,2)</f>
        <v>50562.64</v>
      </c>
      <c r="U15" s="196">
        <f>ROUND('[6]2031'!U19,2)</f>
        <v>49808</v>
      </c>
      <c r="V15" s="196">
        <f>ROUND('[6]2031'!V19,2)</f>
        <v>47777.23</v>
      </c>
      <c r="W15" s="196">
        <f>ROUND('[6]2031'!W19,2)</f>
        <v>50609.31</v>
      </c>
      <c r="X15" s="196">
        <f>ROUND('[6]2031'!X19,2)</f>
        <v>51324.9</v>
      </c>
      <c r="Y15" s="196">
        <f>ROUND('[6]2031'!Y19,2)</f>
        <v>50218.42</v>
      </c>
      <c r="Z15" s="196">
        <f>ROUND('[6]2031'!Z19,2)</f>
        <v>48003.77</v>
      </c>
      <c r="AA15" s="196">
        <f>ROUND('[6]2031'!AA19,2)</f>
        <v>44222.94</v>
      </c>
      <c r="AB15" s="196">
        <f>ROUND('[6]2031'!AB19,2)</f>
        <v>40474.199999999997</v>
      </c>
      <c r="AC15" s="209">
        <f>SUM(E15:AB15)*D15+SUM(E16:AB16)*D16+SUM(E17:AB17)*D17+SUM(E18:AB18)*D18</f>
        <v>28340194.359999992</v>
      </c>
      <c r="AD15" s="18"/>
    </row>
    <row r="16" spans="2:62" ht="18.649999999999999" customHeight="1" x14ac:dyDescent="0.35">
      <c r="B16" s="212" t="s">
        <v>34</v>
      </c>
      <c r="C16" s="9" t="s">
        <v>30</v>
      </c>
      <c r="D16" s="10">
        <f>+'[6]2031'!D20</f>
        <v>4</v>
      </c>
      <c r="E16" s="197">
        <f>ROUND('[6]2031'!E20,2)</f>
        <v>37934.54</v>
      </c>
      <c r="F16" s="197">
        <f>ROUND('[6]2031'!F20,2)</f>
        <v>35883.440000000002</v>
      </c>
      <c r="G16" s="197">
        <f>ROUND('[6]2031'!G20,2)</f>
        <v>34545.83</v>
      </c>
      <c r="H16" s="197">
        <f>ROUND('[6]2031'!H20,2)</f>
        <v>33274.35</v>
      </c>
      <c r="I16" s="197">
        <f>ROUND('[6]2031'!I20,2)</f>
        <v>32873.800000000003</v>
      </c>
      <c r="J16" s="197">
        <f>ROUND('[6]2031'!J20,2)</f>
        <v>33255.79</v>
      </c>
      <c r="K16" s="197">
        <f>ROUND('[6]2031'!K20,2)</f>
        <v>32666.080000000002</v>
      </c>
      <c r="L16" s="197">
        <f>ROUND('[6]2031'!L20,2)</f>
        <v>35684.6</v>
      </c>
      <c r="M16" s="197">
        <f>ROUND('[6]2031'!M20,2)</f>
        <v>39379.61</v>
      </c>
      <c r="N16" s="197">
        <f>ROUND('[6]2031'!N20,2)</f>
        <v>41574.06</v>
      </c>
      <c r="O16" s="197">
        <f>ROUND('[6]2031'!O20,2)</f>
        <v>43591.08</v>
      </c>
      <c r="P16" s="197">
        <f>ROUND('[6]2031'!P20,2)</f>
        <v>44604.99</v>
      </c>
      <c r="Q16" s="197">
        <f>ROUND('[6]2031'!Q20,2)</f>
        <v>43893.47</v>
      </c>
      <c r="R16" s="197">
        <f>ROUND('[6]2031'!R20,2)</f>
        <v>43324.38</v>
      </c>
      <c r="S16" s="197">
        <f>ROUND('[6]2031'!S20,2)</f>
        <v>43523.72</v>
      </c>
      <c r="T16" s="197">
        <f>ROUND('[6]2031'!T20,2)</f>
        <v>43648.29</v>
      </c>
      <c r="U16" s="197">
        <f>ROUND('[6]2031'!U20,2)</f>
        <v>43341.49</v>
      </c>
      <c r="V16" s="197">
        <f>ROUND('[6]2031'!V20,2)</f>
        <v>43214.15</v>
      </c>
      <c r="W16" s="197">
        <f>ROUND('[6]2031'!W20,2)</f>
        <v>47700.51</v>
      </c>
      <c r="X16" s="197">
        <f>ROUND('[6]2031'!X20,2)</f>
        <v>48391.61</v>
      </c>
      <c r="Y16" s="197">
        <f>ROUND('[6]2031'!Y20,2)</f>
        <v>47260.32</v>
      </c>
      <c r="Z16" s="197">
        <f>ROUND('[6]2031'!Z20,2)</f>
        <v>45459.87</v>
      </c>
      <c r="AA16" s="197">
        <f>ROUND('[6]2031'!AA20,2)</f>
        <v>43083.08</v>
      </c>
      <c r="AB16" s="197">
        <f>ROUND('[6]2031'!AB20,2)</f>
        <v>40252.910000000003</v>
      </c>
      <c r="AC16" s="210"/>
      <c r="AD16" s="18"/>
    </row>
    <row r="17" spans="2:30" ht="18.649999999999999" customHeight="1" x14ac:dyDescent="0.35">
      <c r="B17" s="212" t="s">
        <v>34</v>
      </c>
      <c r="C17" s="9" t="s">
        <v>31</v>
      </c>
      <c r="D17" s="10">
        <f>+'[6]2031'!D21</f>
        <v>4</v>
      </c>
      <c r="E17" s="197">
        <f>ROUND('[6]2031'!E21,2)</f>
        <v>37828.92</v>
      </c>
      <c r="F17" s="197">
        <f>ROUND('[6]2031'!F21,2)</f>
        <v>36001.370000000003</v>
      </c>
      <c r="G17" s="197">
        <f>ROUND('[6]2031'!G21,2)</f>
        <v>34525.68</v>
      </c>
      <c r="H17" s="197">
        <f>ROUND('[6]2031'!H21,2)</f>
        <v>33429.99</v>
      </c>
      <c r="I17" s="197">
        <f>ROUND('[6]2031'!I21,2)</f>
        <v>32865.949999999997</v>
      </c>
      <c r="J17" s="197">
        <f>ROUND('[6]2031'!J21,2)</f>
        <v>32829.339999999997</v>
      </c>
      <c r="K17" s="197">
        <f>ROUND('[6]2031'!K21,2)</f>
        <v>31106.52</v>
      </c>
      <c r="L17" s="197">
        <f>ROUND('[6]2031'!L21,2)</f>
        <v>32448.14</v>
      </c>
      <c r="M17" s="197">
        <f>ROUND('[6]2031'!M21,2)</f>
        <v>34495.08</v>
      </c>
      <c r="N17" s="197">
        <f>ROUND('[6]2031'!N21,2)</f>
        <v>35945.18</v>
      </c>
      <c r="O17" s="197">
        <f>ROUND('[6]2031'!O21,2)</f>
        <v>37421.54</v>
      </c>
      <c r="P17" s="197">
        <f>ROUND('[6]2031'!P21,2)</f>
        <v>38792.879999999997</v>
      </c>
      <c r="Q17" s="197">
        <f>ROUND('[6]2031'!Q21,2)</f>
        <v>39703.51</v>
      </c>
      <c r="R17" s="197">
        <f>ROUND('[6]2031'!R21,2)</f>
        <v>39939.599999999999</v>
      </c>
      <c r="S17" s="197">
        <f>ROUND('[6]2031'!S21,2)</f>
        <v>40337.51</v>
      </c>
      <c r="T17" s="197">
        <f>ROUND('[6]2031'!T21,2)</f>
        <v>40650.32</v>
      </c>
      <c r="U17" s="197">
        <f>ROUND('[6]2031'!U21,2)</f>
        <v>40519.22</v>
      </c>
      <c r="V17" s="197">
        <f>ROUND('[6]2031'!V21,2)</f>
        <v>40270.370000000003</v>
      </c>
      <c r="W17" s="197">
        <f>ROUND('[6]2031'!W21,2)</f>
        <v>45512.28</v>
      </c>
      <c r="X17" s="197">
        <f>ROUND('[6]2031'!X21,2)</f>
        <v>47399.83</v>
      </c>
      <c r="Y17" s="197">
        <f>ROUND('[6]2031'!Y21,2)</f>
        <v>47382.239999999998</v>
      </c>
      <c r="Z17" s="197">
        <f>ROUND('[6]2031'!Z21,2)</f>
        <v>46257.15</v>
      </c>
      <c r="AA17" s="197">
        <f>ROUND('[6]2031'!AA21,2)</f>
        <v>42502.51</v>
      </c>
      <c r="AB17" s="197">
        <f>ROUND('[6]2031'!AB21,2)</f>
        <v>39190.94</v>
      </c>
      <c r="AC17" s="210"/>
      <c r="AD17" s="18"/>
    </row>
    <row r="18" spans="2:30" ht="18.649999999999999" customHeight="1" thickBot="1" x14ac:dyDescent="0.4">
      <c r="B18" s="213" t="s">
        <v>34</v>
      </c>
      <c r="C18" s="11" t="s">
        <v>32</v>
      </c>
      <c r="D18" s="12">
        <f>+'[6]2031'!D22</f>
        <v>0</v>
      </c>
      <c r="E18" s="199">
        <f>ROUND('[6]2031'!E22,2)</f>
        <v>0</v>
      </c>
      <c r="F18" s="199">
        <f>ROUND('[6]2031'!F22,2)</f>
        <v>0</v>
      </c>
      <c r="G18" s="199">
        <f>ROUND('[6]2031'!G22,2)</f>
        <v>0</v>
      </c>
      <c r="H18" s="199">
        <f>ROUND('[6]2031'!H22,2)</f>
        <v>0</v>
      </c>
      <c r="I18" s="199">
        <f>ROUND('[6]2031'!I22,2)</f>
        <v>0</v>
      </c>
      <c r="J18" s="199">
        <f>ROUND('[6]2031'!J22,2)</f>
        <v>0</v>
      </c>
      <c r="K18" s="199">
        <f>ROUND('[6]2031'!K22,2)</f>
        <v>0</v>
      </c>
      <c r="L18" s="199">
        <f>ROUND('[6]2031'!L22,2)</f>
        <v>0</v>
      </c>
      <c r="M18" s="199">
        <f>ROUND('[6]2031'!M22,2)</f>
        <v>0</v>
      </c>
      <c r="N18" s="199">
        <f>ROUND('[6]2031'!N22,2)</f>
        <v>0</v>
      </c>
      <c r="O18" s="199">
        <f>ROUND('[6]2031'!O22,2)</f>
        <v>0</v>
      </c>
      <c r="P18" s="199">
        <f>ROUND('[6]2031'!P22,2)</f>
        <v>0</v>
      </c>
      <c r="Q18" s="199">
        <f>ROUND('[6]2031'!Q22,2)</f>
        <v>0</v>
      </c>
      <c r="R18" s="199">
        <f>ROUND('[6]2031'!R22,2)</f>
        <v>0</v>
      </c>
      <c r="S18" s="199">
        <f>ROUND('[6]2031'!S22,2)</f>
        <v>0</v>
      </c>
      <c r="T18" s="199">
        <f>ROUND('[6]2031'!T22,2)</f>
        <v>0</v>
      </c>
      <c r="U18" s="199">
        <f>ROUND('[6]2031'!U22,2)</f>
        <v>0</v>
      </c>
      <c r="V18" s="199">
        <f>ROUND('[6]2031'!V22,2)</f>
        <v>0</v>
      </c>
      <c r="W18" s="199">
        <f>ROUND('[6]2031'!W22,2)</f>
        <v>0</v>
      </c>
      <c r="X18" s="199">
        <f>ROUND('[6]2031'!X22,2)</f>
        <v>0</v>
      </c>
      <c r="Y18" s="199">
        <f>ROUND('[6]2031'!Y22,2)</f>
        <v>0</v>
      </c>
      <c r="Z18" s="199">
        <f>ROUND('[6]2031'!Z22,2)</f>
        <v>0</v>
      </c>
      <c r="AA18" s="199">
        <f>ROUND('[6]2031'!AA22,2)</f>
        <v>0</v>
      </c>
      <c r="AB18" s="199">
        <f>ROUND('[6]2031'!AB22,2)</f>
        <v>0</v>
      </c>
      <c r="AC18" s="214"/>
      <c r="AD18" s="18"/>
    </row>
    <row r="19" spans="2:30" ht="18.649999999999999" customHeight="1" x14ac:dyDescent="0.35">
      <c r="B19" s="207">
        <v>47908</v>
      </c>
      <c r="C19" s="13" t="s">
        <v>29</v>
      </c>
      <c r="D19" s="14">
        <f>+'[6]2031'!D23</f>
        <v>20</v>
      </c>
      <c r="E19" s="200">
        <f>ROUND('[6]2031'!E23,2)</f>
        <v>35176.97</v>
      </c>
      <c r="F19" s="200">
        <f>ROUND('[6]2031'!F23,2)</f>
        <v>33436.980000000003</v>
      </c>
      <c r="G19" s="200">
        <f>ROUND('[6]2031'!G23,2)</f>
        <v>32139.05</v>
      </c>
      <c r="H19" s="200">
        <f>ROUND('[6]2031'!H23,2)</f>
        <v>31287.13</v>
      </c>
      <c r="I19" s="200">
        <f>ROUND('[6]2031'!I23,2)</f>
        <v>31430.71</v>
      </c>
      <c r="J19" s="200">
        <f>ROUND('[6]2031'!J23,2)</f>
        <v>33109.03</v>
      </c>
      <c r="K19" s="200">
        <f>ROUND('[6]2031'!K23,2)</f>
        <v>33111.68</v>
      </c>
      <c r="L19" s="200">
        <f>ROUND('[6]2031'!L23,2)</f>
        <v>36701.620000000003</v>
      </c>
      <c r="M19" s="200">
        <f>ROUND('[6]2031'!M23,2)</f>
        <v>40241.629999999997</v>
      </c>
      <c r="N19" s="200">
        <f>ROUND('[6]2031'!N23,2)</f>
        <v>42077.05</v>
      </c>
      <c r="O19" s="200">
        <f>ROUND('[6]2031'!O23,2)</f>
        <v>44178.42</v>
      </c>
      <c r="P19" s="200">
        <f>ROUND('[6]2031'!P23,2)</f>
        <v>45556.25</v>
      </c>
      <c r="Q19" s="200">
        <f>ROUND('[6]2031'!Q23,2)</f>
        <v>43495.22</v>
      </c>
      <c r="R19" s="200">
        <f>ROUND('[6]2031'!R23,2)</f>
        <v>44929.82</v>
      </c>
      <c r="S19" s="200">
        <f>ROUND('[6]2031'!S23,2)</f>
        <v>47398.79</v>
      </c>
      <c r="T19" s="200">
        <f>ROUND('[6]2031'!T23,2)</f>
        <v>47920.32</v>
      </c>
      <c r="U19" s="200">
        <f>ROUND('[6]2031'!U23,2)</f>
        <v>47397.05</v>
      </c>
      <c r="V19" s="200">
        <f>ROUND('[6]2031'!V23,2)</f>
        <v>45731.519999999997</v>
      </c>
      <c r="W19" s="200">
        <f>ROUND('[6]2031'!W23,2)</f>
        <v>48527.9</v>
      </c>
      <c r="X19" s="200">
        <f>ROUND('[6]2031'!X23,2)</f>
        <v>48962.14</v>
      </c>
      <c r="Y19" s="200">
        <f>ROUND('[6]2031'!Y23,2)</f>
        <v>47528.25</v>
      </c>
      <c r="Z19" s="200">
        <f>ROUND('[6]2031'!Z23,2)</f>
        <v>45157.18</v>
      </c>
      <c r="AA19" s="200">
        <f>ROUND('[6]2031'!AA23,2)</f>
        <v>41594.14</v>
      </c>
      <c r="AB19" s="200">
        <f>ROUND('[6]2031'!AB23,2)</f>
        <v>37976.94</v>
      </c>
      <c r="AC19" s="210">
        <f>SUM(E19:AB19)*D19+SUM(E20:AB20)*D20+SUM(E21:AB21)*D21+SUM(E22:AB22)*D22</f>
        <v>29852667</v>
      </c>
      <c r="AD19" s="18"/>
    </row>
    <row r="20" spans="2:30" ht="18.649999999999999" customHeight="1" x14ac:dyDescent="0.35">
      <c r="B20" s="208"/>
      <c r="C20" s="9" t="s">
        <v>30</v>
      </c>
      <c r="D20" s="10">
        <f>+'[6]2031'!D24</f>
        <v>5</v>
      </c>
      <c r="E20" s="197">
        <f>ROUND('[6]2031'!E24,2)</f>
        <v>35382.910000000003</v>
      </c>
      <c r="F20" s="197">
        <f>ROUND('[6]2031'!F24,2)</f>
        <v>33637.31</v>
      </c>
      <c r="G20" s="197">
        <f>ROUND('[6]2031'!G24,2)</f>
        <v>32260.31</v>
      </c>
      <c r="H20" s="197">
        <f>ROUND('[6]2031'!H24,2)</f>
        <v>31348.83</v>
      </c>
      <c r="I20" s="197">
        <f>ROUND('[6]2031'!I24,2)</f>
        <v>31118.54</v>
      </c>
      <c r="J20" s="197">
        <f>ROUND('[6]2031'!J24,2)</f>
        <v>31472.9</v>
      </c>
      <c r="K20" s="197">
        <f>ROUND('[6]2031'!K24,2)</f>
        <v>31321.61</v>
      </c>
      <c r="L20" s="197">
        <f>ROUND('[6]2031'!L24,2)</f>
        <v>34615.61</v>
      </c>
      <c r="M20" s="197">
        <f>ROUND('[6]2031'!M24,2)</f>
        <v>38447.79</v>
      </c>
      <c r="N20" s="197">
        <f>ROUND('[6]2031'!N24,2)</f>
        <v>40677.56</v>
      </c>
      <c r="O20" s="197">
        <f>ROUND('[6]2031'!O24,2)</f>
        <v>42677.78</v>
      </c>
      <c r="P20" s="197">
        <f>ROUND('[6]2031'!P24,2)</f>
        <v>43867.59</v>
      </c>
      <c r="Q20" s="197">
        <f>ROUND('[6]2031'!Q24,2)</f>
        <v>43113.63</v>
      </c>
      <c r="R20" s="197">
        <f>ROUND('[6]2031'!R24,2)</f>
        <v>42538.78</v>
      </c>
      <c r="S20" s="197">
        <f>ROUND('[6]2031'!S24,2)</f>
        <v>42875.7</v>
      </c>
      <c r="T20" s="197">
        <f>ROUND('[6]2031'!T24,2)</f>
        <v>42931.86</v>
      </c>
      <c r="U20" s="197">
        <f>ROUND('[6]2031'!U24,2)</f>
        <v>42551.09</v>
      </c>
      <c r="V20" s="197">
        <f>ROUND('[6]2031'!V24,2)</f>
        <v>42289.48</v>
      </c>
      <c r="W20" s="197">
        <f>ROUND('[6]2031'!W24,2)</f>
        <v>46699.42</v>
      </c>
      <c r="X20" s="197">
        <f>ROUND('[6]2031'!X24,2)</f>
        <v>47452.33</v>
      </c>
      <c r="Y20" s="197">
        <f>ROUND('[6]2031'!Y24,2)</f>
        <v>46133.45</v>
      </c>
      <c r="Z20" s="197">
        <f>ROUND('[6]2031'!Z24,2)</f>
        <v>44336.53</v>
      </c>
      <c r="AA20" s="197">
        <f>ROUND('[6]2031'!AA24,2)</f>
        <v>41836.69</v>
      </c>
      <c r="AB20" s="197">
        <f>ROUND('[6]2031'!AB24,2)</f>
        <v>39095.54</v>
      </c>
      <c r="AC20" s="210"/>
      <c r="AD20" s="18"/>
    </row>
    <row r="21" spans="2:30" ht="18.649999999999999" customHeight="1" x14ac:dyDescent="0.35">
      <c r="B21" s="208"/>
      <c r="C21" s="9" t="s">
        <v>31</v>
      </c>
      <c r="D21" s="10">
        <f>+'[6]2031'!D25</f>
        <v>5</v>
      </c>
      <c r="E21" s="197">
        <f>ROUND('[6]2031'!E25,2)</f>
        <v>36331.58</v>
      </c>
      <c r="F21" s="197">
        <f>ROUND('[6]2031'!F25,2)</f>
        <v>34461.47</v>
      </c>
      <c r="G21" s="197">
        <f>ROUND('[6]2031'!G25,2)</f>
        <v>33008.370000000003</v>
      </c>
      <c r="H21" s="197">
        <f>ROUND('[6]2031'!H25,2)</f>
        <v>31967.01</v>
      </c>
      <c r="I21" s="197">
        <f>ROUND('[6]2031'!I25,2)</f>
        <v>31443.54</v>
      </c>
      <c r="J21" s="197">
        <f>ROUND('[6]2031'!J25,2)</f>
        <v>31208.35</v>
      </c>
      <c r="K21" s="197">
        <f>ROUND('[6]2031'!K25,2)</f>
        <v>30029.17</v>
      </c>
      <c r="L21" s="197">
        <f>ROUND('[6]2031'!L25,2)</f>
        <v>31619.52</v>
      </c>
      <c r="M21" s="197">
        <f>ROUND('[6]2031'!M25,2)</f>
        <v>33853.86</v>
      </c>
      <c r="N21" s="197">
        <f>ROUND('[6]2031'!N25,2)</f>
        <v>35471.22</v>
      </c>
      <c r="O21" s="197">
        <f>ROUND('[6]2031'!O25,2)</f>
        <v>36916.86</v>
      </c>
      <c r="P21" s="197">
        <f>ROUND('[6]2031'!P25,2)</f>
        <v>38162.449999999997</v>
      </c>
      <c r="Q21" s="197">
        <f>ROUND('[6]2031'!Q25,2)</f>
        <v>38953.25</v>
      </c>
      <c r="R21" s="197">
        <f>ROUND('[6]2031'!R25,2)</f>
        <v>39095.08</v>
      </c>
      <c r="S21" s="197">
        <f>ROUND('[6]2031'!S25,2)</f>
        <v>39245.15</v>
      </c>
      <c r="T21" s="197">
        <f>ROUND('[6]2031'!T25,2)</f>
        <v>39674.29</v>
      </c>
      <c r="U21" s="197">
        <f>ROUND('[6]2031'!U25,2)</f>
        <v>39525.769999999997</v>
      </c>
      <c r="V21" s="197">
        <f>ROUND('[6]2031'!V25,2)</f>
        <v>39721.440000000002</v>
      </c>
      <c r="W21" s="197">
        <f>ROUND('[6]2031'!W25,2)</f>
        <v>44408.49</v>
      </c>
      <c r="X21" s="197">
        <f>ROUND('[6]2031'!X25,2)</f>
        <v>46029.06</v>
      </c>
      <c r="Y21" s="197">
        <f>ROUND('[6]2031'!Y25,2)</f>
        <v>45858.46</v>
      </c>
      <c r="Z21" s="197">
        <f>ROUND('[6]2031'!Z25,2)</f>
        <v>44513.07</v>
      </c>
      <c r="AA21" s="197">
        <f>ROUND('[6]2031'!AA25,2)</f>
        <v>41592.519999999997</v>
      </c>
      <c r="AB21" s="197">
        <f>ROUND('[6]2031'!AB25,2)</f>
        <v>38232.519999999997</v>
      </c>
      <c r="AC21" s="210"/>
      <c r="AD21" s="18"/>
    </row>
    <row r="22" spans="2:30" ht="18.649999999999999" customHeight="1" thickBot="1" x14ac:dyDescent="0.4">
      <c r="B22" s="208"/>
      <c r="C22" s="15" t="s">
        <v>32</v>
      </c>
      <c r="D22" s="16">
        <f>+'[6]2031'!D26</f>
        <v>1</v>
      </c>
      <c r="E22" s="198">
        <f>ROUND('[6]2031'!E26,2)</f>
        <v>36331.58</v>
      </c>
      <c r="F22" s="198">
        <f>ROUND('[6]2031'!F26,2)</f>
        <v>34461.47</v>
      </c>
      <c r="G22" s="198">
        <f>ROUND('[6]2031'!G26,2)</f>
        <v>33008.370000000003</v>
      </c>
      <c r="H22" s="198">
        <f>ROUND('[6]2031'!H26,2)</f>
        <v>31967.01</v>
      </c>
      <c r="I22" s="198">
        <f>ROUND('[6]2031'!I26,2)</f>
        <v>31443.54</v>
      </c>
      <c r="J22" s="198">
        <f>ROUND('[6]2031'!J26,2)</f>
        <v>31208.35</v>
      </c>
      <c r="K22" s="198">
        <f>ROUND('[6]2031'!K26,2)</f>
        <v>30029.17</v>
      </c>
      <c r="L22" s="198">
        <f>ROUND('[6]2031'!L26,2)</f>
        <v>31619.52</v>
      </c>
      <c r="M22" s="198">
        <f>ROUND('[6]2031'!M26,2)</f>
        <v>33853.86</v>
      </c>
      <c r="N22" s="198">
        <f>ROUND('[6]2031'!N26,2)</f>
        <v>35471.22</v>
      </c>
      <c r="O22" s="198">
        <f>ROUND('[6]2031'!O26,2)</f>
        <v>36916.86</v>
      </c>
      <c r="P22" s="198">
        <f>ROUND('[6]2031'!P26,2)</f>
        <v>38162.449999999997</v>
      </c>
      <c r="Q22" s="198">
        <f>ROUND('[6]2031'!Q26,2)</f>
        <v>38953.25</v>
      </c>
      <c r="R22" s="198">
        <f>ROUND('[6]2031'!R26,2)</f>
        <v>39095.08</v>
      </c>
      <c r="S22" s="198">
        <f>ROUND('[6]2031'!S26,2)</f>
        <v>39245.15</v>
      </c>
      <c r="T22" s="198">
        <f>ROUND('[6]2031'!T26,2)</f>
        <v>39674.29</v>
      </c>
      <c r="U22" s="198">
        <f>ROUND('[6]2031'!U26,2)</f>
        <v>39525.769999999997</v>
      </c>
      <c r="V22" s="198">
        <f>ROUND('[6]2031'!V26,2)</f>
        <v>39721.440000000002</v>
      </c>
      <c r="W22" s="198">
        <f>ROUND('[6]2031'!W26,2)</f>
        <v>44408.49</v>
      </c>
      <c r="X22" s="198">
        <f>ROUND('[6]2031'!X26,2)</f>
        <v>46029.06</v>
      </c>
      <c r="Y22" s="198">
        <f>ROUND('[6]2031'!Y26,2)</f>
        <v>45858.46</v>
      </c>
      <c r="Z22" s="198">
        <f>ROUND('[6]2031'!Z26,2)</f>
        <v>44513.07</v>
      </c>
      <c r="AA22" s="198">
        <f>ROUND('[6]2031'!AA26,2)</f>
        <v>41592.519999999997</v>
      </c>
      <c r="AB22" s="198">
        <f>ROUND('[6]2031'!AB26,2)</f>
        <v>38232.519999999997</v>
      </c>
      <c r="AC22" s="210"/>
      <c r="AD22" s="18"/>
    </row>
    <row r="23" spans="2:30" ht="18.649999999999999" customHeight="1" x14ac:dyDescent="0.35">
      <c r="B23" s="211">
        <v>47939</v>
      </c>
      <c r="C23" s="6" t="s">
        <v>29</v>
      </c>
      <c r="D23" s="7">
        <f>+'[6]2031'!D27</f>
        <v>20</v>
      </c>
      <c r="E23" s="196">
        <f>ROUND('[6]2031'!E27,2)</f>
        <v>34172.980000000003</v>
      </c>
      <c r="F23" s="196">
        <f>ROUND('[6]2031'!F27,2)</f>
        <v>32471.08</v>
      </c>
      <c r="G23" s="196">
        <f>ROUND('[6]2031'!G27,2)</f>
        <v>31226.21</v>
      </c>
      <c r="H23" s="196">
        <f>ROUND('[6]2031'!H27,2)</f>
        <v>30378.31</v>
      </c>
      <c r="I23" s="196">
        <f>ROUND('[6]2031'!I27,2)</f>
        <v>30508.2</v>
      </c>
      <c r="J23" s="196">
        <f>ROUND('[6]2031'!J27,2)</f>
        <v>31485.23</v>
      </c>
      <c r="K23" s="196">
        <f>ROUND('[6]2031'!K27,2)</f>
        <v>31833.47</v>
      </c>
      <c r="L23" s="196">
        <f>ROUND('[6]2031'!L27,2)</f>
        <v>35459.120000000003</v>
      </c>
      <c r="M23" s="196">
        <f>ROUND('[6]2031'!M27,2)</f>
        <v>39191.370000000003</v>
      </c>
      <c r="N23" s="196">
        <f>ROUND('[6]2031'!N27,2)</f>
        <v>40915.75</v>
      </c>
      <c r="O23" s="196">
        <f>ROUND('[6]2031'!O27,2)</f>
        <v>42836.06</v>
      </c>
      <c r="P23" s="196">
        <f>ROUND('[6]2031'!P27,2)</f>
        <v>44460.87</v>
      </c>
      <c r="Q23" s="196">
        <f>ROUND('[6]2031'!Q27,2)</f>
        <v>42718.78</v>
      </c>
      <c r="R23" s="196">
        <f>ROUND('[6]2031'!R27,2)</f>
        <v>43974.68</v>
      </c>
      <c r="S23" s="196">
        <f>ROUND('[6]2031'!S27,2)</f>
        <v>46420.58</v>
      </c>
      <c r="T23" s="196">
        <f>ROUND('[6]2031'!T27,2)</f>
        <v>46717.64</v>
      </c>
      <c r="U23" s="196">
        <f>ROUND('[6]2031'!U27,2)</f>
        <v>46009.86</v>
      </c>
      <c r="V23" s="196">
        <f>ROUND('[6]2031'!V27,2)</f>
        <v>44815.05</v>
      </c>
      <c r="W23" s="196">
        <f>ROUND('[6]2031'!W27,2)</f>
        <v>47583.53</v>
      </c>
      <c r="X23" s="196">
        <f>ROUND('[6]2031'!X27,2)</f>
        <v>47728.02</v>
      </c>
      <c r="Y23" s="196">
        <f>ROUND('[6]2031'!Y27,2)</f>
        <v>46299.88</v>
      </c>
      <c r="Z23" s="196">
        <f>ROUND('[6]2031'!Z27,2)</f>
        <v>44075.72</v>
      </c>
      <c r="AA23" s="196">
        <f>ROUND('[6]2031'!AA27,2)</f>
        <v>40735.43</v>
      </c>
      <c r="AB23" s="196">
        <f>ROUND('[6]2031'!AB27,2)</f>
        <v>37088.25</v>
      </c>
      <c r="AC23" s="209">
        <f>SUM(E23:AB23)*D23+SUM(E24:AB24)*D24+SUM(E25:AB25)*D25+SUM(E26:AB26)*D26</f>
        <v>27910350.560000002</v>
      </c>
      <c r="AD23" s="18"/>
    </row>
    <row r="24" spans="2:30" ht="18.649999999999999" customHeight="1" x14ac:dyDescent="0.35">
      <c r="B24" s="212" t="s">
        <v>34</v>
      </c>
      <c r="C24" s="9" t="s">
        <v>30</v>
      </c>
      <c r="D24" s="10">
        <f>+'[6]2031'!D28</f>
        <v>4</v>
      </c>
      <c r="E24" s="197">
        <f>ROUND('[6]2031'!E28,2)</f>
        <v>33827.910000000003</v>
      </c>
      <c r="F24" s="197">
        <f>ROUND('[6]2031'!F28,2)</f>
        <v>32064.39</v>
      </c>
      <c r="G24" s="197">
        <f>ROUND('[6]2031'!G28,2)</f>
        <v>30754.48</v>
      </c>
      <c r="H24" s="197">
        <f>ROUND('[6]2031'!H28,2)</f>
        <v>29859.919999999998</v>
      </c>
      <c r="I24" s="197">
        <f>ROUND('[6]2031'!I28,2)</f>
        <v>29633.98</v>
      </c>
      <c r="J24" s="197">
        <f>ROUND('[6]2031'!J28,2)</f>
        <v>29624.99</v>
      </c>
      <c r="K24" s="197">
        <f>ROUND('[6]2031'!K28,2)</f>
        <v>29554.82</v>
      </c>
      <c r="L24" s="197">
        <f>ROUND('[6]2031'!L28,2)</f>
        <v>32577.59</v>
      </c>
      <c r="M24" s="197">
        <f>ROUND('[6]2031'!M28,2)</f>
        <v>36095.769999999997</v>
      </c>
      <c r="N24" s="197">
        <f>ROUND('[6]2031'!N28,2)</f>
        <v>37979.879999999997</v>
      </c>
      <c r="O24" s="197">
        <f>ROUND('[6]2031'!O28,2)</f>
        <v>39824.870000000003</v>
      </c>
      <c r="P24" s="197">
        <f>ROUND('[6]2031'!P28,2)</f>
        <v>40972.19</v>
      </c>
      <c r="Q24" s="197">
        <f>ROUND('[6]2031'!Q28,2)</f>
        <v>40438.44</v>
      </c>
      <c r="R24" s="197">
        <f>ROUND('[6]2031'!R28,2)</f>
        <v>40003.19</v>
      </c>
      <c r="S24" s="197">
        <f>ROUND('[6]2031'!S28,2)</f>
        <v>40225.879999999997</v>
      </c>
      <c r="T24" s="197">
        <f>ROUND('[6]2031'!T28,2)</f>
        <v>40302.33</v>
      </c>
      <c r="U24" s="197">
        <f>ROUND('[6]2031'!U28,2)</f>
        <v>40075.26</v>
      </c>
      <c r="V24" s="197">
        <f>ROUND('[6]2031'!V28,2)</f>
        <v>40320.6</v>
      </c>
      <c r="W24" s="197">
        <f>ROUND('[6]2031'!W28,2)</f>
        <v>44781.55</v>
      </c>
      <c r="X24" s="197">
        <f>ROUND('[6]2031'!X28,2)</f>
        <v>44878.39</v>
      </c>
      <c r="Y24" s="197">
        <f>ROUND('[6]2031'!Y28,2)</f>
        <v>43634.06</v>
      </c>
      <c r="Z24" s="197">
        <f>ROUND('[6]2031'!Z28,2)</f>
        <v>41802.730000000003</v>
      </c>
      <c r="AA24" s="197">
        <f>ROUND('[6]2031'!AA28,2)</f>
        <v>39488.74</v>
      </c>
      <c r="AB24" s="197">
        <f>ROUND('[6]2031'!AB28,2)</f>
        <v>36844.46</v>
      </c>
      <c r="AC24" s="210"/>
      <c r="AD24" s="18"/>
    </row>
    <row r="25" spans="2:30" ht="18.649999999999999" customHeight="1" x14ac:dyDescent="0.35">
      <c r="B25" s="212" t="s">
        <v>34</v>
      </c>
      <c r="C25" s="9" t="s">
        <v>31</v>
      </c>
      <c r="D25" s="10">
        <f>+'[6]2031'!D29</f>
        <v>4</v>
      </c>
      <c r="E25" s="197">
        <f>ROUND('[6]2031'!E29,2)</f>
        <v>34488.68</v>
      </c>
      <c r="F25" s="197">
        <f>ROUND('[6]2031'!F29,2)</f>
        <v>32791.94</v>
      </c>
      <c r="G25" s="197">
        <f>ROUND('[6]2031'!G29,2)</f>
        <v>31388.86</v>
      </c>
      <c r="H25" s="197">
        <f>ROUND('[6]2031'!H29,2)</f>
        <v>30429</v>
      </c>
      <c r="I25" s="197">
        <f>ROUND('[6]2031'!I29,2)</f>
        <v>30024.5</v>
      </c>
      <c r="J25" s="197">
        <f>ROUND('[6]2031'!J29,2)</f>
        <v>29491.23</v>
      </c>
      <c r="K25" s="197">
        <f>ROUND('[6]2031'!K29,2)</f>
        <v>28872.66</v>
      </c>
      <c r="L25" s="197">
        <f>ROUND('[6]2031'!L29,2)</f>
        <v>30469.62</v>
      </c>
      <c r="M25" s="197">
        <f>ROUND('[6]2031'!M29,2)</f>
        <v>32162.55</v>
      </c>
      <c r="N25" s="197">
        <f>ROUND('[6]2031'!N29,2)</f>
        <v>33673.410000000003</v>
      </c>
      <c r="O25" s="197">
        <f>ROUND('[6]2031'!O29,2)</f>
        <v>35078.61</v>
      </c>
      <c r="P25" s="197">
        <f>ROUND('[6]2031'!P29,2)</f>
        <v>36193.46</v>
      </c>
      <c r="Q25" s="197">
        <f>ROUND('[6]2031'!Q29,2)</f>
        <v>36816.879999999997</v>
      </c>
      <c r="R25" s="197">
        <f>ROUND('[6]2031'!R29,2)</f>
        <v>36988.620000000003</v>
      </c>
      <c r="S25" s="197">
        <f>ROUND('[6]2031'!S29,2)</f>
        <v>37214.81</v>
      </c>
      <c r="T25" s="197">
        <f>ROUND('[6]2031'!T29,2)</f>
        <v>37548.11</v>
      </c>
      <c r="U25" s="197">
        <f>ROUND('[6]2031'!U29,2)</f>
        <v>37682.769999999997</v>
      </c>
      <c r="V25" s="197">
        <f>ROUND('[6]2031'!V29,2)</f>
        <v>38144.43</v>
      </c>
      <c r="W25" s="197">
        <f>ROUND('[6]2031'!W29,2)</f>
        <v>42375.18</v>
      </c>
      <c r="X25" s="197">
        <f>ROUND('[6]2031'!X29,2)</f>
        <v>43656.32</v>
      </c>
      <c r="Y25" s="197">
        <f>ROUND('[6]2031'!Y29,2)</f>
        <v>43512.75</v>
      </c>
      <c r="Z25" s="197">
        <f>ROUND('[6]2031'!Z29,2)</f>
        <v>42444.1</v>
      </c>
      <c r="AA25" s="197">
        <f>ROUND('[6]2031'!AA29,2)</f>
        <v>39720.75</v>
      </c>
      <c r="AB25" s="197">
        <f>ROUND('[6]2031'!AB29,2)</f>
        <v>36491.339999999997</v>
      </c>
      <c r="AC25" s="210"/>
      <c r="AD25" s="18"/>
    </row>
    <row r="26" spans="2:30" ht="18.649999999999999" customHeight="1" thickBot="1" x14ac:dyDescent="0.4">
      <c r="B26" s="213" t="s">
        <v>34</v>
      </c>
      <c r="C26" s="11" t="s">
        <v>32</v>
      </c>
      <c r="D26" s="12">
        <f>+'[6]2031'!D30</f>
        <v>2</v>
      </c>
      <c r="E26" s="201">
        <f>ROUND('[6]2031'!E30,2)</f>
        <v>34488.68</v>
      </c>
      <c r="F26" s="201">
        <f>ROUND('[6]2031'!F30,2)</f>
        <v>32791.94</v>
      </c>
      <c r="G26" s="201">
        <f>ROUND('[6]2031'!G30,2)</f>
        <v>31388.86</v>
      </c>
      <c r="H26" s="201">
        <f>ROUND('[6]2031'!H30,2)</f>
        <v>30429</v>
      </c>
      <c r="I26" s="201">
        <f>ROUND('[6]2031'!I30,2)</f>
        <v>30024.5</v>
      </c>
      <c r="J26" s="201">
        <f>ROUND('[6]2031'!J30,2)</f>
        <v>29491.23</v>
      </c>
      <c r="K26" s="201">
        <f>ROUND('[6]2031'!K30,2)</f>
        <v>28872.66</v>
      </c>
      <c r="L26" s="201">
        <f>ROUND('[6]2031'!L30,2)</f>
        <v>30469.62</v>
      </c>
      <c r="M26" s="201">
        <f>ROUND('[6]2031'!M30,2)</f>
        <v>32162.55</v>
      </c>
      <c r="N26" s="201">
        <f>ROUND('[6]2031'!N30,2)</f>
        <v>33673.410000000003</v>
      </c>
      <c r="O26" s="201">
        <f>ROUND('[6]2031'!O30,2)</f>
        <v>35078.61</v>
      </c>
      <c r="P26" s="201">
        <f>ROUND('[6]2031'!P30,2)</f>
        <v>36193.46</v>
      </c>
      <c r="Q26" s="201">
        <f>ROUND('[6]2031'!Q30,2)</f>
        <v>36816.879999999997</v>
      </c>
      <c r="R26" s="201">
        <f>ROUND('[6]2031'!R30,2)</f>
        <v>36988.620000000003</v>
      </c>
      <c r="S26" s="201">
        <f>ROUND('[6]2031'!S30,2)</f>
        <v>37214.81</v>
      </c>
      <c r="T26" s="201">
        <f>ROUND('[6]2031'!T30,2)</f>
        <v>37548.11</v>
      </c>
      <c r="U26" s="201">
        <f>ROUND('[6]2031'!U30,2)</f>
        <v>37682.769999999997</v>
      </c>
      <c r="V26" s="201">
        <f>ROUND('[6]2031'!V30,2)</f>
        <v>38144.43</v>
      </c>
      <c r="W26" s="201">
        <f>ROUND('[6]2031'!W30,2)</f>
        <v>42375.18</v>
      </c>
      <c r="X26" s="201">
        <f>ROUND('[6]2031'!X30,2)</f>
        <v>43656.32</v>
      </c>
      <c r="Y26" s="201">
        <f>ROUND('[6]2031'!Y30,2)</f>
        <v>43512.75</v>
      </c>
      <c r="Z26" s="201">
        <f>ROUND('[6]2031'!Z30,2)</f>
        <v>42444.1</v>
      </c>
      <c r="AA26" s="201">
        <f>ROUND('[6]2031'!AA30,2)</f>
        <v>39720.75</v>
      </c>
      <c r="AB26" s="201">
        <f>ROUND('[6]2031'!AB30,2)</f>
        <v>36491.339999999997</v>
      </c>
      <c r="AC26" s="214"/>
      <c r="AD26" s="18"/>
    </row>
    <row r="27" spans="2:30" ht="18.649999999999999" customHeight="1" x14ac:dyDescent="0.35">
      <c r="B27" s="207">
        <v>47969</v>
      </c>
      <c r="C27" s="13" t="s">
        <v>29</v>
      </c>
      <c r="D27" s="14">
        <f>+'[6]2031'!D31</f>
        <v>20</v>
      </c>
      <c r="E27" s="200">
        <f>ROUND('[6]2031'!E31,2)</f>
        <v>33644.22</v>
      </c>
      <c r="F27" s="200">
        <f>ROUND('[6]2031'!F31,2)</f>
        <v>32046.76</v>
      </c>
      <c r="G27" s="200">
        <f>ROUND('[6]2031'!G31,2)</f>
        <v>30837.67</v>
      </c>
      <c r="H27" s="200">
        <f>ROUND('[6]2031'!H31,2)</f>
        <v>30010.13</v>
      </c>
      <c r="I27" s="200">
        <f>ROUND('[6]2031'!I31,2)</f>
        <v>30157.21</v>
      </c>
      <c r="J27" s="200">
        <f>ROUND('[6]2031'!J31,2)</f>
        <v>30992.45</v>
      </c>
      <c r="K27" s="200">
        <f>ROUND('[6]2031'!K31,2)</f>
        <v>31695.45</v>
      </c>
      <c r="L27" s="200">
        <f>ROUND('[6]2031'!L31,2)</f>
        <v>35399.440000000002</v>
      </c>
      <c r="M27" s="200">
        <f>ROUND('[6]2031'!M31,2)</f>
        <v>39207.910000000003</v>
      </c>
      <c r="N27" s="200">
        <f>ROUND('[6]2031'!N31,2)</f>
        <v>40991.370000000003</v>
      </c>
      <c r="O27" s="200">
        <f>ROUND('[6]2031'!O31,2)</f>
        <v>43118.07</v>
      </c>
      <c r="P27" s="200">
        <f>ROUND('[6]2031'!P31,2)</f>
        <v>44507.08</v>
      </c>
      <c r="Q27" s="200">
        <f>ROUND('[6]2031'!Q31,2)</f>
        <v>42699.02</v>
      </c>
      <c r="R27" s="200">
        <f>ROUND('[6]2031'!R31,2)</f>
        <v>43869.22</v>
      </c>
      <c r="S27" s="200">
        <f>ROUND('[6]2031'!S31,2)</f>
        <v>46144.65</v>
      </c>
      <c r="T27" s="200">
        <f>ROUND('[6]2031'!T31,2)</f>
        <v>46372.43</v>
      </c>
      <c r="U27" s="200">
        <f>ROUND('[6]2031'!U31,2)</f>
        <v>45708.89</v>
      </c>
      <c r="V27" s="200">
        <f>ROUND('[6]2031'!V31,2)</f>
        <v>44215.33</v>
      </c>
      <c r="W27" s="200">
        <f>ROUND('[6]2031'!W31,2)</f>
        <v>46965.96</v>
      </c>
      <c r="X27" s="200">
        <f>ROUND('[6]2031'!X31,2)</f>
        <v>47152.1</v>
      </c>
      <c r="Y27" s="200">
        <f>ROUND('[6]2031'!Y31,2)</f>
        <v>45697.8</v>
      </c>
      <c r="Z27" s="200">
        <f>ROUND('[6]2031'!Z31,2)</f>
        <v>43282.38</v>
      </c>
      <c r="AA27" s="200">
        <f>ROUND('[6]2031'!AA31,2)</f>
        <v>39880.019999999997</v>
      </c>
      <c r="AB27" s="200">
        <f>ROUND('[6]2031'!AB31,2)</f>
        <v>36404.28</v>
      </c>
      <c r="AC27" s="210">
        <f>SUM(E27:AB27)*D27+SUM(E28:AB28)*D28+SUM(E29:AB29)*D29+SUM(E30:AB30)*D30</f>
        <v>28796729.479999997</v>
      </c>
      <c r="AD27" s="18"/>
    </row>
    <row r="28" spans="2:30" ht="18.649999999999999" customHeight="1" x14ac:dyDescent="0.35">
      <c r="B28" s="208"/>
      <c r="C28" s="9" t="s">
        <v>30</v>
      </c>
      <c r="D28" s="10">
        <f>+'[6]2031'!D32</f>
        <v>5</v>
      </c>
      <c r="E28" s="197">
        <f>ROUND('[6]2031'!E32,2)</f>
        <v>34228.120000000003</v>
      </c>
      <c r="F28" s="197">
        <f>ROUND('[6]2031'!F32,2)</f>
        <v>32236.84</v>
      </c>
      <c r="G28" s="197">
        <f>ROUND('[6]2031'!G32,2)</f>
        <v>30889.89</v>
      </c>
      <c r="H28" s="197">
        <f>ROUND('[6]2031'!H32,2)</f>
        <v>30022.3</v>
      </c>
      <c r="I28" s="197">
        <f>ROUND('[6]2031'!I32,2)</f>
        <v>29863.82</v>
      </c>
      <c r="J28" s="197">
        <f>ROUND('[6]2031'!J32,2)</f>
        <v>29539.17</v>
      </c>
      <c r="K28" s="197">
        <f>ROUND('[6]2031'!K32,2)</f>
        <v>29823.71</v>
      </c>
      <c r="L28" s="197">
        <f>ROUND('[6]2031'!L32,2)</f>
        <v>33238.17</v>
      </c>
      <c r="M28" s="197">
        <f>ROUND('[6]2031'!M32,2)</f>
        <v>37046.92</v>
      </c>
      <c r="N28" s="197">
        <f>ROUND('[6]2031'!N32,2)</f>
        <v>39184.17</v>
      </c>
      <c r="O28" s="197">
        <f>ROUND('[6]2031'!O32,2)</f>
        <v>40814.6</v>
      </c>
      <c r="P28" s="197">
        <f>ROUND('[6]2031'!P32,2)</f>
        <v>41907.910000000003</v>
      </c>
      <c r="Q28" s="197">
        <f>ROUND('[6]2031'!Q32,2)</f>
        <v>41051.43</v>
      </c>
      <c r="R28" s="197">
        <f>ROUND('[6]2031'!R32,2)</f>
        <v>40483.65</v>
      </c>
      <c r="S28" s="197">
        <f>ROUND('[6]2031'!S32,2)</f>
        <v>40780.29</v>
      </c>
      <c r="T28" s="197">
        <f>ROUND('[6]2031'!T32,2)</f>
        <v>40854.629999999997</v>
      </c>
      <c r="U28" s="197">
        <f>ROUND('[6]2031'!U32,2)</f>
        <v>40622.800000000003</v>
      </c>
      <c r="V28" s="197">
        <f>ROUND('[6]2031'!V32,2)</f>
        <v>40917.949999999997</v>
      </c>
      <c r="W28" s="197">
        <f>ROUND('[6]2031'!W32,2)</f>
        <v>45275.16</v>
      </c>
      <c r="X28" s="197">
        <f>ROUND('[6]2031'!X32,2)</f>
        <v>45789</v>
      </c>
      <c r="Y28" s="197">
        <f>ROUND('[6]2031'!Y32,2)</f>
        <v>44434.09</v>
      </c>
      <c r="Z28" s="197">
        <f>ROUND('[6]2031'!Z32,2)</f>
        <v>42431.83</v>
      </c>
      <c r="AA28" s="197">
        <f>ROUND('[6]2031'!AA32,2)</f>
        <v>40111.57</v>
      </c>
      <c r="AB28" s="197">
        <f>ROUND('[6]2031'!AB32,2)</f>
        <v>37420.5</v>
      </c>
      <c r="AC28" s="210"/>
      <c r="AD28" s="18"/>
    </row>
    <row r="29" spans="2:30" ht="18.649999999999999" customHeight="1" x14ac:dyDescent="0.35">
      <c r="B29" s="208"/>
      <c r="C29" s="9" t="s">
        <v>31</v>
      </c>
      <c r="D29" s="10">
        <f>+'[6]2031'!D33</f>
        <v>4</v>
      </c>
      <c r="E29" s="197">
        <f>ROUND('[6]2031'!E33,2)</f>
        <v>34632.17</v>
      </c>
      <c r="F29" s="197">
        <f>ROUND('[6]2031'!F33,2)</f>
        <v>32995.78</v>
      </c>
      <c r="G29" s="197">
        <f>ROUND('[6]2031'!G33,2)</f>
        <v>31692.09</v>
      </c>
      <c r="H29" s="197">
        <f>ROUND('[6]2031'!H33,2)</f>
        <v>30757.040000000001</v>
      </c>
      <c r="I29" s="197">
        <f>ROUND('[6]2031'!I33,2)</f>
        <v>30358.57</v>
      </c>
      <c r="J29" s="197">
        <f>ROUND('[6]2031'!J33,2)</f>
        <v>29443.040000000001</v>
      </c>
      <c r="K29" s="197">
        <f>ROUND('[6]2031'!K33,2)</f>
        <v>28998.76</v>
      </c>
      <c r="L29" s="197">
        <f>ROUND('[6]2031'!L33,2)</f>
        <v>30729.3</v>
      </c>
      <c r="M29" s="197">
        <f>ROUND('[6]2031'!M33,2)</f>
        <v>33082.74</v>
      </c>
      <c r="N29" s="197">
        <f>ROUND('[6]2031'!N33,2)</f>
        <v>34943.54</v>
      </c>
      <c r="O29" s="197">
        <f>ROUND('[6]2031'!O33,2)</f>
        <v>36218.31</v>
      </c>
      <c r="P29" s="197">
        <f>ROUND('[6]2031'!P33,2)</f>
        <v>37168.129999999997</v>
      </c>
      <c r="Q29" s="197">
        <f>ROUND('[6]2031'!Q33,2)</f>
        <v>37709.54</v>
      </c>
      <c r="R29" s="197">
        <f>ROUND('[6]2031'!R33,2)</f>
        <v>37824.35</v>
      </c>
      <c r="S29" s="197">
        <f>ROUND('[6]2031'!S33,2)</f>
        <v>37982.089999999997</v>
      </c>
      <c r="T29" s="197">
        <f>ROUND('[6]2031'!T33,2)</f>
        <v>38400.85</v>
      </c>
      <c r="U29" s="197">
        <f>ROUND('[6]2031'!U33,2)</f>
        <v>38291.160000000003</v>
      </c>
      <c r="V29" s="197">
        <f>ROUND('[6]2031'!V33,2)</f>
        <v>38903.5</v>
      </c>
      <c r="W29" s="197">
        <f>ROUND('[6]2031'!W33,2)</f>
        <v>43418.879999999997</v>
      </c>
      <c r="X29" s="197">
        <f>ROUND('[6]2031'!X33,2)</f>
        <v>44611.72</v>
      </c>
      <c r="Y29" s="197">
        <f>ROUND('[6]2031'!Y33,2)</f>
        <v>44369.1</v>
      </c>
      <c r="Z29" s="197">
        <f>ROUND('[6]2031'!Z33,2)</f>
        <v>42944.88</v>
      </c>
      <c r="AA29" s="197">
        <f>ROUND('[6]2031'!AA33,2)</f>
        <v>40070.36</v>
      </c>
      <c r="AB29" s="197">
        <f>ROUND('[6]2031'!AB33,2)</f>
        <v>36435.78</v>
      </c>
      <c r="AC29" s="210"/>
      <c r="AD29" s="18"/>
    </row>
    <row r="30" spans="2:30" ht="18.649999999999999" customHeight="1" thickBot="1" x14ac:dyDescent="0.4">
      <c r="B30" s="208"/>
      <c r="C30" s="15" t="s">
        <v>32</v>
      </c>
      <c r="D30" s="16">
        <f>+'[6]2031'!D34</f>
        <v>2</v>
      </c>
      <c r="E30" s="198">
        <f>ROUND('[6]2031'!E34,2)</f>
        <v>34632.17</v>
      </c>
      <c r="F30" s="198">
        <f>ROUND('[6]2031'!F34,2)</f>
        <v>32995.78</v>
      </c>
      <c r="G30" s="198">
        <f>ROUND('[6]2031'!G34,2)</f>
        <v>31692.09</v>
      </c>
      <c r="H30" s="198">
        <f>ROUND('[6]2031'!H34,2)</f>
        <v>30757.040000000001</v>
      </c>
      <c r="I30" s="198">
        <f>ROUND('[6]2031'!I34,2)</f>
        <v>30358.57</v>
      </c>
      <c r="J30" s="198">
        <f>ROUND('[6]2031'!J34,2)</f>
        <v>29443.040000000001</v>
      </c>
      <c r="K30" s="198">
        <f>ROUND('[6]2031'!K34,2)</f>
        <v>28998.76</v>
      </c>
      <c r="L30" s="198">
        <f>ROUND('[6]2031'!L34,2)</f>
        <v>30729.3</v>
      </c>
      <c r="M30" s="198">
        <f>ROUND('[6]2031'!M34,2)</f>
        <v>33082.74</v>
      </c>
      <c r="N30" s="198">
        <f>ROUND('[6]2031'!N34,2)</f>
        <v>34943.54</v>
      </c>
      <c r="O30" s="198">
        <f>ROUND('[6]2031'!O34,2)</f>
        <v>36218.31</v>
      </c>
      <c r="P30" s="198">
        <f>ROUND('[6]2031'!P34,2)</f>
        <v>37168.129999999997</v>
      </c>
      <c r="Q30" s="198">
        <f>ROUND('[6]2031'!Q34,2)</f>
        <v>37709.54</v>
      </c>
      <c r="R30" s="198">
        <f>ROUND('[6]2031'!R34,2)</f>
        <v>37824.35</v>
      </c>
      <c r="S30" s="198">
        <f>ROUND('[6]2031'!S34,2)</f>
        <v>37982.089999999997</v>
      </c>
      <c r="T30" s="198">
        <f>ROUND('[6]2031'!T34,2)</f>
        <v>38400.85</v>
      </c>
      <c r="U30" s="198">
        <f>ROUND('[6]2031'!U34,2)</f>
        <v>38291.160000000003</v>
      </c>
      <c r="V30" s="198">
        <f>ROUND('[6]2031'!V34,2)</f>
        <v>38903.5</v>
      </c>
      <c r="W30" s="198">
        <f>ROUND('[6]2031'!W34,2)</f>
        <v>43418.879999999997</v>
      </c>
      <c r="X30" s="198">
        <f>ROUND('[6]2031'!X34,2)</f>
        <v>44611.72</v>
      </c>
      <c r="Y30" s="198">
        <f>ROUND('[6]2031'!Y34,2)</f>
        <v>44369.1</v>
      </c>
      <c r="Z30" s="198">
        <f>ROUND('[6]2031'!Z34,2)</f>
        <v>42944.88</v>
      </c>
      <c r="AA30" s="198">
        <f>ROUND('[6]2031'!AA34,2)</f>
        <v>40070.36</v>
      </c>
      <c r="AB30" s="198">
        <f>ROUND('[6]2031'!AB34,2)</f>
        <v>36435.78</v>
      </c>
      <c r="AC30" s="210"/>
      <c r="AD30" s="18"/>
    </row>
    <row r="31" spans="2:30" ht="18.649999999999999" customHeight="1" x14ac:dyDescent="0.35">
      <c r="B31" s="211">
        <v>48000</v>
      </c>
      <c r="C31" s="6" t="s">
        <v>29</v>
      </c>
      <c r="D31" s="7">
        <f>+'[6]2031'!D35</f>
        <v>18</v>
      </c>
      <c r="E31" s="196">
        <f>ROUND('[6]2031'!E35,2)</f>
        <v>33808.300000000003</v>
      </c>
      <c r="F31" s="196">
        <f>ROUND('[6]2031'!F35,2)</f>
        <v>32110.47</v>
      </c>
      <c r="G31" s="196">
        <f>ROUND('[6]2031'!G35,2)</f>
        <v>30930.63</v>
      </c>
      <c r="H31" s="196">
        <f>ROUND('[6]2031'!H35,2)</f>
        <v>30007.47</v>
      </c>
      <c r="I31" s="196">
        <f>ROUND('[6]2031'!I35,2)</f>
        <v>30099.9</v>
      </c>
      <c r="J31" s="196">
        <f>ROUND('[6]2031'!J35,2)</f>
        <v>30514.33</v>
      </c>
      <c r="K31" s="196">
        <f>ROUND('[6]2031'!K35,2)</f>
        <v>31173.21</v>
      </c>
      <c r="L31" s="196">
        <f>ROUND('[6]2031'!L35,2)</f>
        <v>35098.74</v>
      </c>
      <c r="M31" s="196">
        <f>ROUND('[6]2031'!M35,2)</f>
        <v>38920.07</v>
      </c>
      <c r="N31" s="196">
        <f>ROUND('[6]2031'!N35,2)</f>
        <v>40811.74</v>
      </c>
      <c r="O31" s="196">
        <f>ROUND('[6]2031'!O35,2)</f>
        <v>43000.15</v>
      </c>
      <c r="P31" s="196">
        <f>ROUND('[6]2031'!P35,2)</f>
        <v>44438.58</v>
      </c>
      <c r="Q31" s="196">
        <f>ROUND('[6]2031'!Q35,2)</f>
        <v>42858.65</v>
      </c>
      <c r="R31" s="196">
        <f>ROUND('[6]2031'!R35,2)</f>
        <v>43798.720000000001</v>
      </c>
      <c r="S31" s="196">
        <f>ROUND('[6]2031'!S35,2)</f>
        <v>45952.28</v>
      </c>
      <c r="T31" s="196">
        <f>ROUND('[6]2031'!T35,2)</f>
        <v>46207.69</v>
      </c>
      <c r="U31" s="196">
        <f>ROUND('[6]2031'!U35,2)</f>
        <v>45748.27</v>
      </c>
      <c r="V31" s="196">
        <f>ROUND('[6]2031'!V35,2)</f>
        <v>44319.14</v>
      </c>
      <c r="W31" s="196">
        <f>ROUND('[6]2031'!W35,2)</f>
        <v>46905.93</v>
      </c>
      <c r="X31" s="196">
        <f>ROUND('[6]2031'!X35,2)</f>
        <v>47500.25</v>
      </c>
      <c r="Y31" s="196">
        <f>ROUND('[6]2031'!Y35,2)</f>
        <v>45948.3</v>
      </c>
      <c r="Z31" s="196">
        <f>ROUND('[6]2031'!Z35,2)</f>
        <v>43593.14</v>
      </c>
      <c r="AA31" s="196">
        <f>ROUND('[6]2031'!AA35,2)</f>
        <v>40088.699999999997</v>
      </c>
      <c r="AB31" s="196">
        <f>ROUND('[6]2031'!AB35,2)</f>
        <v>36554.69</v>
      </c>
      <c r="AC31" s="209">
        <f>SUM(E31:AB31)*D31+SUM(E32:AB32)*D32+SUM(E33:AB33)*D33+SUM(E34:AB34)*D34</f>
        <v>27547845.700000003</v>
      </c>
      <c r="AD31" s="18"/>
    </row>
    <row r="32" spans="2:30" ht="18.649999999999999" customHeight="1" x14ac:dyDescent="0.35">
      <c r="B32" s="212" t="s">
        <v>34</v>
      </c>
      <c r="C32" s="9" t="s">
        <v>30</v>
      </c>
      <c r="D32" s="10">
        <f>+'[6]2031'!D36</f>
        <v>4</v>
      </c>
      <c r="E32" s="197">
        <f>ROUND('[6]2031'!E36,2)</f>
        <v>33891.410000000003</v>
      </c>
      <c r="F32" s="197">
        <f>ROUND('[6]2031'!F36,2)</f>
        <v>32226.62</v>
      </c>
      <c r="G32" s="197">
        <f>ROUND('[6]2031'!G36,2)</f>
        <v>30989.47</v>
      </c>
      <c r="H32" s="197">
        <f>ROUND('[6]2031'!H36,2)</f>
        <v>30140.39</v>
      </c>
      <c r="I32" s="197">
        <f>ROUND('[6]2031'!I36,2)</f>
        <v>29991.47</v>
      </c>
      <c r="J32" s="197">
        <f>ROUND('[6]2031'!J36,2)</f>
        <v>29612.1</v>
      </c>
      <c r="K32" s="197">
        <f>ROUND('[6]2031'!K36,2)</f>
        <v>29902.44</v>
      </c>
      <c r="L32" s="197">
        <f>ROUND('[6]2031'!L36,2)</f>
        <v>33352.19</v>
      </c>
      <c r="M32" s="197">
        <f>ROUND('[6]2031'!M36,2)</f>
        <v>37137.9</v>
      </c>
      <c r="N32" s="197">
        <f>ROUND('[6]2031'!N36,2)</f>
        <v>39299.730000000003</v>
      </c>
      <c r="O32" s="197">
        <f>ROUND('[6]2031'!O36,2)</f>
        <v>41152.230000000003</v>
      </c>
      <c r="P32" s="197">
        <f>ROUND('[6]2031'!P36,2)</f>
        <v>42274.2</v>
      </c>
      <c r="Q32" s="197">
        <f>ROUND('[6]2031'!Q36,2)</f>
        <v>41502.050000000003</v>
      </c>
      <c r="R32" s="197">
        <f>ROUND('[6]2031'!R36,2)</f>
        <v>40667.660000000003</v>
      </c>
      <c r="S32" s="197">
        <f>ROUND('[6]2031'!S36,2)</f>
        <v>40794.19</v>
      </c>
      <c r="T32" s="197">
        <f>ROUND('[6]2031'!T36,2)</f>
        <v>40820.31</v>
      </c>
      <c r="U32" s="197">
        <f>ROUND('[6]2031'!U36,2)</f>
        <v>40345.83</v>
      </c>
      <c r="V32" s="197">
        <f>ROUND('[6]2031'!V36,2)</f>
        <v>40508.54</v>
      </c>
      <c r="W32" s="197">
        <f>ROUND('[6]2031'!W36,2)</f>
        <v>44009.35</v>
      </c>
      <c r="X32" s="197">
        <f>ROUND('[6]2031'!X36,2)</f>
        <v>44932.56</v>
      </c>
      <c r="Y32" s="197">
        <f>ROUND('[6]2031'!Y36,2)</f>
        <v>43642.43</v>
      </c>
      <c r="Z32" s="197">
        <f>ROUND('[6]2031'!Z36,2)</f>
        <v>41464.89</v>
      </c>
      <c r="AA32" s="197">
        <f>ROUND('[6]2031'!AA36,2)</f>
        <v>38934.89</v>
      </c>
      <c r="AB32" s="197">
        <f>ROUND('[6]2031'!AB36,2)</f>
        <v>36320.22</v>
      </c>
      <c r="AC32" s="210"/>
      <c r="AD32" s="18"/>
    </row>
    <row r="33" spans="2:30" ht="18.649999999999999" customHeight="1" x14ac:dyDescent="0.35">
      <c r="B33" s="212" t="s">
        <v>34</v>
      </c>
      <c r="C33" s="9" t="s">
        <v>31</v>
      </c>
      <c r="D33" s="10">
        <f>+'[6]2031'!D37</f>
        <v>5</v>
      </c>
      <c r="E33" s="197">
        <f>ROUND('[6]2031'!E37,2)</f>
        <v>34403.4</v>
      </c>
      <c r="F33" s="197">
        <f>ROUND('[6]2031'!F37,2)</f>
        <v>32660.89</v>
      </c>
      <c r="G33" s="197">
        <f>ROUND('[6]2031'!G37,2)</f>
        <v>31307.42</v>
      </c>
      <c r="H33" s="197">
        <f>ROUND('[6]2031'!H37,2)</f>
        <v>30417.81</v>
      </c>
      <c r="I33" s="197">
        <f>ROUND('[6]2031'!I37,2)</f>
        <v>30070.84</v>
      </c>
      <c r="J33" s="197">
        <f>ROUND('[6]2031'!J37,2)</f>
        <v>29126.13</v>
      </c>
      <c r="K33" s="197">
        <f>ROUND('[6]2031'!K37,2)</f>
        <v>28486.06</v>
      </c>
      <c r="L33" s="197">
        <f>ROUND('[6]2031'!L37,2)</f>
        <v>30047.84</v>
      </c>
      <c r="M33" s="197">
        <f>ROUND('[6]2031'!M37,2)</f>
        <v>32106.84</v>
      </c>
      <c r="N33" s="197">
        <f>ROUND('[6]2031'!N37,2)</f>
        <v>33828.68</v>
      </c>
      <c r="O33" s="197">
        <f>ROUND('[6]2031'!O37,2)</f>
        <v>35047.230000000003</v>
      </c>
      <c r="P33" s="197">
        <f>ROUND('[6]2031'!P37,2)</f>
        <v>36016.15</v>
      </c>
      <c r="Q33" s="197">
        <f>ROUND('[6]2031'!Q37,2)</f>
        <v>36773.86</v>
      </c>
      <c r="R33" s="197">
        <f>ROUND('[6]2031'!R37,2)</f>
        <v>36705.54</v>
      </c>
      <c r="S33" s="197">
        <f>ROUND('[6]2031'!S37,2)</f>
        <v>36832.15</v>
      </c>
      <c r="T33" s="197">
        <f>ROUND('[6]2031'!T37,2)</f>
        <v>37131.279999999999</v>
      </c>
      <c r="U33" s="197">
        <f>ROUND('[6]2031'!U37,2)</f>
        <v>37190.83</v>
      </c>
      <c r="V33" s="197">
        <f>ROUND('[6]2031'!V37,2)</f>
        <v>37613.550000000003</v>
      </c>
      <c r="W33" s="197">
        <f>ROUND('[6]2031'!W37,2)</f>
        <v>41937.68</v>
      </c>
      <c r="X33" s="197">
        <f>ROUND('[6]2031'!X37,2)</f>
        <v>43961.62</v>
      </c>
      <c r="Y33" s="197">
        <f>ROUND('[6]2031'!Y37,2)</f>
        <v>43405.97</v>
      </c>
      <c r="Z33" s="197">
        <f>ROUND('[6]2031'!Z37,2)</f>
        <v>42016.2</v>
      </c>
      <c r="AA33" s="197">
        <f>ROUND('[6]2031'!AA37,2)</f>
        <v>39472.559999999998</v>
      </c>
      <c r="AB33" s="197">
        <f>ROUND('[6]2031'!AB37,2)</f>
        <v>36587.61</v>
      </c>
      <c r="AC33" s="210"/>
      <c r="AD33" s="18"/>
    </row>
    <row r="34" spans="2:30" ht="18.649999999999999" customHeight="1" thickBot="1" x14ac:dyDescent="0.4">
      <c r="B34" s="213" t="s">
        <v>34</v>
      </c>
      <c r="C34" s="11" t="s">
        <v>32</v>
      </c>
      <c r="D34" s="12">
        <f>+'[6]2031'!D38</f>
        <v>3</v>
      </c>
      <c r="E34" s="201">
        <f>ROUND('[6]2031'!E38,2)</f>
        <v>34403.4</v>
      </c>
      <c r="F34" s="201">
        <f>ROUND('[6]2031'!F38,2)</f>
        <v>32660.89</v>
      </c>
      <c r="G34" s="201">
        <f>ROUND('[6]2031'!G38,2)</f>
        <v>31307.42</v>
      </c>
      <c r="H34" s="201">
        <f>ROUND('[6]2031'!H38,2)</f>
        <v>30417.81</v>
      </c>
      <c r="I34" s="201">
        <f>ROUND('[6]2031'!I38,2)</f>
        <v>30070.84</v>
      </c>
      <c r="J34" s="201">
        <f>ROUND('[6]2031'!J38,2)</f>
        <v>29126.13</v>
      </c>
      <c r="K34" s="201">
        <f>ROUND('[6]2031'!K38,2)</f>
        <v>28486.06</v>
      </c>
      <c r="L34" s="201">
        <f>ROUND('[6]2031'!L38,2)</f>
        <v>30047.84</v>
      </c>
      <c r="M34" s="201">
        <f>ROUND('[6]2031'!M38,2)</f>
        <v>32106.84</v>
      </c>
      <c r="N34" s="201">
        <f>ROUND('[6]2031'!N38,2)</f>
        <v>33828.68</v>
      </c>
      <c r="O34" s="201">
        <f>ROUND('[6]2031'!O38,2)</f>
        <v>35047.230000000003</v>
      </c>
      <c r="P34" s="201">
        <f>ROUND('[6]2031'!P38,2)</f>
        <v>36016.15</v>
      </c>
      <c r="Q34" s="201">
        <f>ROUND('[6]2031'!Q38,2)</f>
        <v>36773.86</v>
      </c>
      <c r="R34" s="201">
        <f>ROUND('[6]2031'!R38,2)</f>
        <v>36705.54</v>
      </c>
      <c r="S34" s="201">
        <f>ROUND('[6]2031'!S38,2)</f>
        <v>36832.15</v>
      </c>
      <c r="T34" s="201">
        <f>ROUND('[6]2031'!T38,2)</f>
        <v>37131.279999999999</v>
      </c>
      <c r="U34" s="201">
        <f>ROUND('[6]2031'!U38,2)</f>
        <v>37190.83</v>
      </c>
      <c r="V34" s="201">
        <f>ROUND('[6]2031'!V38,2)</f>
        <v>37613.550000000003</v>
      </c>
      <c r="W34" s="201">
        <f>ROUND('[6]2031'!W38,2)</f>
        <v>41937.68</v>
      </c>
      <c r="X34" s="201">
        <f>ROUND('[6]2031'!X38,2)</f>
        <v>43961.62</v>
      </c>
      <c r="Y34" s="201">
        <f>ROUND('[6]2031'!Y38,2)</f>
        <v>43405.97</v>
      </c>
      <c r="Z34" s="201">
        <f>ROUND('[6]2031'!Z38,2)</f>
        <v>42016.2</v>
      </c>
      <c r="AA34" s="201">
        <f>ROUND('[6]2031'!AA38,2)</f>
        <v>39472.559999999998</v>
      </c>
      <c r="AB34" s="201">
        <f>ROUND('[6]2031'!AB38,2)</f>
        <v>36587.61</v>
      </c>
      <c r="AC34" s="214"/>
      <c r="AD34" s="18"/>
    </row>
    <row r="35" spans="2:30" ht="18.649999999999999" customHeight="1" x14ac:dyDescent="0.35">
      <c r="B35" s="207">
        <v>48030</v>
      </c>
      <c r="C35" s="13" t="s">
        <v>29</v>
      </c>
      <c r="D35" s="14">
        <f>+'[6]2031'!D39</f>
        <v>23</v>
      </c>
      <c r="E35" s="200">
        <f>ROUND('[6]2031'!E39,2)</f>
        <v>33314.559999999998</v>
      </c>
      <c r="F35" s="200">
        <f>ROUND('[6]2031'!F39,2)</f>
        <v>31611.52</v>
      </c>
      <c r="G35" s="200">
        <f>ROUND('[6]2031'!G39,2)</f>
        <v>30340.45</v>
      </c>
      <c r="H35" s="200">
        <f>ROUND('[6]2031'!H39,2)</f>
        <v>29491.66</v>
      </c>
      <c r="I35" s="200">
        <f>ROUND('[6]2031'!I39,2)</f>
        <v>29460.37</v>
      </c>
      <c r="J35" s="200">
        <f>ROUND('[6]2031'!J39,2)</f>
        <v>30218.01</v>
      </c>
      <c r="K35" s="200">
        <f>ROUND('[6]2031'!K39,2)</f>
        <v>30610.74</v>
      </c>
      <c r="L35" s="200">
        <f>ROUND('[6]2031'!L39,2)</f>
        <v>34381.160000000003</v>
      </c>
      <c r="M35" s="200">
        <f>ROUND('[6]2031'!M39,2)</f>
        <v>38077.94</v>
      </c>
      <c r="N35" s="200">
        <f>ROUND('[6]2031'!N39,2)</f>
        <v>39979.360000000001</v>
      </c>
      <c r="O35" s="200">
        <f>ROUND('[6]2031'!O39,2)</f>
        <v>42189.21</v>
      </c>
      <c r="P35" s="200">
        <f>ROUND('[6]2031'!P39,2)</f>
        <v>43846.6</v>
      </c>
      <c r="Q35" s="200">
        <f>ROUND('[6]2031'!Q39,2)</f>
        <v>42283.519999999997</v>
      </c>
      <c r="R35" s="200">
        <f>ROUND('[6]2031'!R39,2)</f>
        <v>43706.18</v>
      </c>
      <c r="S35" s="200">
        <f>ROUND('[6]2031'!S39,2)</f>
        <v>46194.7</v>
      </c>
      <c r="T35" s="200">
        <f>ROUND('[6]2031'!T39,2)</f>
        <v>46468.29</v>
      </c>
      <c r="U35" s="200">
        <f>ROUND('[6]2031'!U39,2)</f>
        <v>45837.65</v>
      </c>
      <c r="V35" s="200">
        <f>ROUND('[6]2031'!V39,2)</f>
        <v>43889.84</v>
      </c>
      <c r="W35" s="200">
        <f>ROUND('[6]2031'!W39,2)</f>
        <v>45836.26</v>
      </c>
      <c r="X35" s="200">
        <f>ROUND('[6]2031'!X39,2)</f>
        <v>46904.65</v>
      </c>
      <c r="Y35" s="200">
        <f>ROUND('[6]2031'!Y39,2)</f>
        <v>45633.85</v>
      </c>
      <c r="Z35" s="200">
        <f>ROUND('[6]2031'!Z39,2)</f>
        <v>43365.120000000003</v>
      </c>
      <c r="AA35" s="200">
        <f>ROUND('[6]2031'!AA39,2)</f>
        <v>39818.65</v>
      </c>
      <c r="AB35" s="200">
        <f>ROUND('[6]2031'!AB39,2)</f>
        <v>36386.870000000003</v>
      </c>
      <c r="AC35" s="210">
        <f>SUM(E35:AB35)*D35+SUM(E36:AB36)*D36+SUM(E37:AB37)*D37+SUM(E38:AB38)*D38</f>
        <v>28409690.879999999</v>
      </c>
      <c r="AD35" s="18"/>
    </row>
    <row r="36" spans="2:30" ht="18.649999999999999" customHeight="1" x14ac:dyDescent="0.35">
      <c r="B36" s="208"/>
      <c r="C36" s="9" t="s">
        <v>30</v>
      </c>
      <c r="D36" s="10">
        <f>+'[6]2031'!D40</f>
        <v>4</v>
      </c>
      <c r="E36" s="197">
        <f>ROUND('[6]2031'!E40,2)</f>
        <v>33935.74</v>
      </c>
      <c r="F36" s="197">
        <f>ROUND('[6]2031'!F40,2)</f>
        <v>32017.53</v>
      </c>
      <c r="G36" s="197">
        <f>ROUND('[6]2031'!G40,2)</f>
        <v>30637.38</v>
      </c>
      <c r="H36" s="197">
        <f>ROUND('[6]2031'!H40,2)</f>
        <v>29801.02</v>
      </c>
      <c r="I36" s="197">
        <f>ROUND('[6]2031'!I40,2)</f>
        <v>29405.06</v>
      </c>
      <c r="J36" s="197">
        <f>ROUND('[6]2031'!J40,2)</f>
        <v>29106.66</v>
      </c>
      <c r="K36" s="197">
        <f>ROUND('[6]2031'!K40,2)</f>
        <v>29237.39</v>
      </c>
      <c r="L36" s="197">
        <f>ROUND('[6]2031'!L40,2)</f>
        <v>32439.3</v>
      </c>
      <c r="M36" s="197">
        <f>ROUND('[6]2031'!M40,2)</f>
        <v>36198.58</v>
      </c>
      <c r="N36" s="197">
        <f>ROUND('[6]2031'!N40,2)</f>
        <v>38369.67</v>
      </c>
      <c r="O36" s="197">
        <f>ROUND('[6]2031'!O40,2)</f>
        <v>40412.03</v>
      </c>
      <c r="P36" s="197">
        <f>ROUND('[6]2031'!P40,2)</f>
        <v>41432.800000000003</v>
      </c>
      <c r="Q36" s="197">
        <f>ROUND('[6]2031'!Q40,2)</f>
        <v>40770.67</v>
      </c>
      <c r="R36" s="197">
        <f>ROUND('[6]2031'!R40,2)</f>
        <v>40181.24</v>
      </c>
      <c r="S36" s="197">
        <f>ROUND('[6]2031'!S40,2)</f>
        <v>40178.35</v>
      </c>
      <c r="T36" s="197">
        <f>ROUND('[6]2031'!T40,2)</f>
        <v>39940.99</v>
      </c>
      <c r="U36" s="197">
        <f>ROUND('[6]2031'!U40,2)</f>
        <v>39558.67</v>
      </c>
      <c r="V36" s="197">
        <f>ROUND('[6]2031'!V40,2)</f>
        <v>39690.49</v>
      </c>
      <c r="W36" s="197">
        <f>ROUND('[6]2031'!W40,2)</f>
        <v>42179.68</v>
      </c>
      <c r="X36" s="197">
        <f>ROUND('[6]2031'!X40,2)</f>
        <v>43129.72</v>
      </c>
      <c r="Y36" s="197">
        <f>ROUND('[6]2031'!Y40,2)</f>
        <v>41716.51</v>
      </c>
      <c r="Z36" s="197">
        <f>ROUND('[6]2031'!Z40,2)</f>
        <v>39969.65</v>
      </c>
      <c r="AA36" s="197">
        <f>ROUND('[6]2031'!AA40,2)</f>
        <v>37753.56</v>
      </c>
      <c r="AB36" s="197">
        <f>ROUND('[6]2031'!AB40,2)</f>
        <v>35214.86</v>
      </c>
      <c r="AC36" s="210"/>
      <c r="AD36" s="18"/>
    </row>
    <row r="37" spans="2:30" ht="18.649999999999999" customHeight="1" x14ac:dyDescent="0.35">
      <c r="B37" s="208"/>
      <c r="C37" s="9" t="s">
        <v>31</v>
      </c>
      <c r="D37" s="10">
        <f>+'[6]2031'!D41</f>
        <v>3</v>
      </c>
      <c r="E37" s="197">
        <f>ROUND('[6]2031'!E41,2)</f>
        <v>31913.77</v>
      </c>
      <c r="F37" s="197">
        <f>ROUND('[6]2031'!F41,2)</f>
        <v>30421.59</v>
      </c>
      <c r="G37" s="197">
        <f>ROUND('[6]2031'!G41,2)</f>
        <v>29120.32</v>
      </c>
      <c r="H37" s="197">
        <f>ROUND('[6]2031'!H41,2)</f>
        <v>28325.61</v>
      </c>
      <c r="I37" s="197">
        <f>ROUND('[6]2031'!I41,2)</f>
        <v>28004.27</v>
      </c>
      <c r="J37" s="197">
        <f>ROUND('[6]2031'!J41,2)</f>
        <v>27319.45</v>
      </c>
      <c r="K37" s="197">
        <f>ROUND('[6]2031'!K41,2)</f>
        <v>26716.43</v>
      </c>
      <c r="L37" s="197">
        <f>ROUND('[6]2031'!L41,2)</f>
        <v>28367.84</v>
      </c>
      <c r="M37" s="197">
        <f>ROUND('[6]2031'!M41,2)</f>
        <v>30398.23</v>
      </c>
      <c r="N37" s="197">
        <f>ROUND('[6]2031'!N41,2)</f>
        <v>32034.12</v>
      </c>
      <c r="O37" s="197">
        <f>ROUND('[6]2031'!O41,2)</f>
        <v>33429.410000000003</v>
      </c>
      <c r="P37" s="197">
        <f>ROUND('[6]2031'!P41,2)</f>
        <v>34618.58</v>
      </c>
      <c r="Q37" s="197">
        <f>ROUND('[6]2031'!Q41,2)</f>
        <v>35478.400000000001</v>
      </c>
      <c r="R37" s="197">
        <f>ROUND('[6]2031'!R41,2)</f>
        <v>35696.57</v>
      </c>
      <c r="S37" s="197">
        <f>ROUND('[6]2031'!S41,2)</f>
        <v>35899.279999999999</v>
      </c>
      <c r="T37" s="197">
        <f>ROUND('[6]2031'!T41,2)</f>
        <v>36373.949999999997</v>
      </c>
      <c r="U37" s="197">
        <f>ROUND('[6]2031'!U41,2)</f>
        <v>36309.82</v>
      </c>
      <c r="V37" s="197">
        <f>ROUND('[6]2031'!V41,2)</f>
        <v>36481.769999999997</v>
      </c>
      <c r="W37" s="197">
        <f>ROUND('[6]2031'!W41,2)</f>
        <v>40619.360000000001</v>
      </c>
      <c r="X37" s="197">
        <f>ROUND('[6]2031'!X41,2)</f>
        <v>42940.42</v>
      </c>
      <c r="Y37" s="197">
        <f>ROUND('[6]2031'!Y41,2)</f>
        <v>42291.15</v>
      </c>
      <c r="Z37" s="197">
        <f>ROUND('[6]2031'!Z41,2)</f>
        <v>40553.39</v>
      </c>
      <c r="AA37" s="197">
        <f>ROUND('[6]2031'!AA41,2)</f>
        <v>37431.89</v>
      </c>
      <c r="AB37" s="197">
        <f>ROUND('[6]2031'!AB41,2)</f>
        <v>34278.379999999997</v>
      </c>
      <c r="AC37" s="210"/>
      <c r="AD37" s="18"/>
    </row>
    <row r="38" spans="2:30" ht="18.649999999999999" customHeight="1" thickBot="1" x14ac:dyDescent="0.4">
      <c r="B38" s="208"/>
      <c r="C38" s="15" t="s">
        <v>32</v>
      </c>
      <c r="D38" s="16">
        <f>+'[6]2031'!D42</f>
        <v>1</v>
      </c>
      <c r="E38" s="198">
        <f>ROUND('[6]2031'!E42,2)</f>
        <v>31913.77</v>
      </c>
      <c r="F38" s="198">
        <f>ROUND('[6]2031'!F42,2)</f>
        <v>30421.59</v>
      </c>
      <c r="G38" s="198">
        <f>ROUND('[6]2031'!G42,2)</f>
        <v>29120.32</v>
      </c>
      <c r="H38" s="198">
        <f>ROUND('[6]2031'!H42,2)</f>
        <v>28325.61</v>
      </c>
      <c r="I38" s="198">
        <f>ROUND('[6]2031'!I42,2)</f>
        <v>28004.27</v>
      </c>
      <c r="J38" s="198">
        <f>ROUND('[6]2031'!J42,2)</f>
        <v>27319.45</v>
      </c>
      <c r="K38" s="198">
        <f>ROUND('[6]2031'!K42,2)</f>
        <v>26716.43</v>
      </c>
      <c r="L38" s="198">
        <f>ROUND('[6]2031'!L42,2)</f>
        <v>28367.84</v>
      </c>
      <c r="M38" s="198">
        <f>ROUND('[6]2031'!M42,2)</f>
        <v>30398.23</v>
      </c>
      <c r="N38" s="198">
        <f>ROUND('[6]2031'!N42,2)</f>
        <v>32034.12</v>
      </c>
      <c r="O38" s="198">
        <f>ROUND('[6]2031'!O42,2)</f>
        <v>33429.410000000003</v>
      </c>
      <c r="P38" s="198">
        <f>ROUND('[6]2031'!P42,2)</f>
        <v>34618.58</v>
      </c>
      <c r="Q38" s="198">
        <f>ROUND('[6]2031'!Q42,2)</f>
        <v>35478.400000000001</v>
      </c>
      <c r="R38" s="198">
        <f>ROUND('[6]2031'!R42,2)</f>
        <v>35696.57</v>
      </c>
      <c r="S38" s="198">
        <f>ROUND('[6]2031'!S42,2)</f>
        <v>35899.279999999999</v>
      </c>
      <c r="T38" s="198">
        <f>ROUND('[6]2031'!T42,2)</f>
        <v>36373.949999999997</v>
      </c>
      <c r="U38" s="198">
        <f>ROUND('[6]2031'!U42,2)</f>
        <v>36309.82</v>
      </c>
      <c r="V38" s="198">
        <f>ROUND('[6]2031'!V42,2)</f>
        <v>36481.769999999997</v>
      </c>
      <c r="W38" s="198">
        <f>ROUND('[6]2031'!W42,2)</f>
        <v>40619.360000000001</v>
      </c>
      <c r="X38" s="198">
        <f>ROUND('[6]2031'!X42,2)</f>
        <v>42940.42</v>
      </c>
      <c r="Y38" s="198">
        <f>ROUND('[6]2031'!Y42,2)</f>
        <v>42291.15</v>
      </c>
      <c r="Z38" s="198">
        <f>ROUND('[6]2031'!Z42,2)</f>
        <v>40553.39</v>
      </c>
      <c r="AA38" s="198">
        <f>ROUND('[6]2031'!AA42,2)</f>
        <v>37431.89</v>
      </c>
      <c r="AB38" s="198">
        <f>ROUND('[6]2031'!AB42,2)</f>
        <v>34278.379999999997</v>
      </c>
      <c r="AC38" s="210"/>
      <c r="AD38" s="18"/>
    </row>
    <row r="39" spans="2:30" ht="18.649999999999999" customHeight="1" x14ac:dyDescent="0.35">
      <c r="B39" s="211">
        <v>48061</v>
      </c>
      <c r="C39" s="6" t="s">
        <v>29</v>
      </c>
      <c r="D39" s="7">
        <f>+'[6]2031'!D43</f>
        <v>19</v>
      </c>
      <c r="E39" s="196">
        <f>ROUND('[6]2031'!E43,2)</f>
        <v>33878.239999999998</v>
      </c>
      <c r="F39" s="196">
        <f>ROUND('[6]2031'!F43,2)</f>
        <v>32024.98</v>
      </c>
      <c r="G39" s="196">
        <f>ROUND('[6]2031'!G43,2)</f>
        <v>30712.75</v>
      </c>
      <c r="H39" s="196">
        <f>ROUND('[6]2031'!H43,2)</f>
        <v>29817.67</v>
      </c>
      <c r="I39" s="196">
        <f>ROUND('[6]2031'!I43,2)</f>
        <v>29787.01</v>
      </c>
      <c r="J39" s="196">
        <f>ROUND('[6]2031'!J43,2)</f>
        <v>30782.41</v>
      </c>
      <c r="K39" s="196">
        <f>ROUND('[6]2031'!K43,2)</f>
        <v>31144.53</v>
      </c>
      <c r="L39" s="196">
        <f>ROUND('[6]2031'!L43,2)</f>
        <v>34645.360000000001</v>
      </c>
      <c r="M39" s="196">
        <f>ROUND('[6]2031'!M43,2)</f>
        <v>38418.97</v>
      </c>
      <c r="N39" s="196">
        <f>ROUND('[6]2031'!N43,2)</f>
        <v>40309.39</v>
      </c>
      <c r="O39" s="196">
        <f>ROUND('[6]2031'!O43,2)</f>
        <v>42659.83</v>
      </c>
      <c r="P39" s="196">
        <f>ROUND('[6]2031'!P43,2)</f>
        <v>44606.39</v>
      </c>
      <c r="Q39" s="196">
        <f>ROUND('[6]2031'!Q43,2)</f>
        <v>42813.2</v>
      </c>
      <c r="R39" s="196">
        <f>ROUND('[6]2031'!R43,2)</f>
        <v>44213.27</v>
      </c>
      <c r="S39" s="196">
        <f>ROUND('[6]2031'!S43,2)</f>
        <v>46871.68</v>
      </c>
      <c r="T39" s="196">
        <f>ROUND('[6]2031'!T43,2)</f>
        <v>47172.72</v>
      </c>
      <c r="U39" s="196">
        <f>ROUND('[6]2031'!U43,2)</f>
        <v>46363.74</v>
      </c>
      <c r="V39" s="196">
        <f>ROUND('[6]2031'!V43,2)</f>
        <v>44665.47</v>
      </c>
      <c r="W39" s="196">
        <f>ROUND('[6]2031'!W43,2)</f>
        <v>47339.16</v>
      </c>
      <c r="X39" s="196">
        <f>ROUND('[6]2031'!X43,2)</f>
        <v>48077.42</v>
      </c>
      <c r="Y39" s="196">
        <f>ROUND('[6]2031'!Y43,2)</f>
        <v>46726.38</v>
      </c>
      <c r="Z39" s="196">
        <f>ROUND('[6]2031'!Z43,2)</f>
        <v>44336.76</v>
      </c>
      <c r="AA39" s="196">
        <f>ROUND('[6]2031'!AA43,2)</f>
        <v>40655.949999999997</v>
      </c>
      <c r="AB39" s="196">
        <f>ROUND('[6]2031'!AB43,2)</f>
        <v>37179.07</v>
      </c>
      <c r="AC39" s="209">
        <f>SUM(E39:AB39)*D39+SUM(E40:AB40)*D40+SUM(E41:AB41)*D41+SUM(E42:AB42)*D42</f>
        <v>28511339.190000005</v>
      </c>
      <c r="AD39" s="18"/>
    </row>
    <row r="40" spans="2:30" ht="18.649999999999999" customHeight="1" x14ac:dyDescent="0.35">
      <c r="B40" s="212" t="s">
        <v>34</v>
      </c>
      <c r="C40" s="9" t="s">
        <v>30</v>
      </c>
      <c r="D40" s="10">
        <f>+'[6]2031'!D44</f>
        <v>5</v>
      </c>
      <c r="E40" s="197">
        <f>ROUND('[6]2031'!E44,2)</f>
        <v>34342.06</v>
      </c>
      <c r="F40" s="197">
        <f>ROUND('[6]2031'!F44,2)</f>
        <v>32576.17</v>
      </c>
      <c r="G40" s="197">
        <f>ROUND('[6]2031'!G44,2)</f>
        <v>31266.83</v>
      </c>
      <c r="H40" s="197">
        <f>ROUND('[6]2031'!H44,2)</f>
        <v>30273.05</v>
      </c>
      <c r="I40" s="197">
        <f>ROUND('[6]2031'!I44,2)</f>
        <v>29677.17</v>
      </c>
      <c r="J40" s="197">
        <f>ROUND('[6]2031'!J44,2)</f>
        <v>29421.31</v>
      </c>
      <c r="K40" s="197">
        <f>ROUND('[6]2031'!K44,2)</f>
        <v>29467.19</v>
      </c>
      <c r="L40" s="197">
        <f>ROUND('[6]2031'!L44,2)</f>
        <v>32619.73</v>
      </c>
      <c r="M40" s="197">
        <f>ROUND('[6]2031'!M44,2)</f>
        <v>36072.949999999997</v>
      </c>
      <c r="N40" s="197">
        <f>ROUND('[6]2031'!N44,2)</f>
        <v>38269.480000000003</v>
      </c>
      <c r="O40" s="197">
        <f>ROUND('[6]2031'!O44,2)</f>
        <v>40072.980000000003</v>
      </c>
      <c r="P40" s="197">
        <f>ROUND('[6]2031'!P44,2)</f>
        <v>40683.35</v>
      </c>
      <c r="Q40" s="197">
        <f>ROUND('[6]2031'!Q44,2)</f>
        <v>39984.730000000003</v>
      </c>
      <c r="R40" s="197">
        <f>ROUND('[6]2031'!R44,2)</f>
        <v>39436.959999999999</v>
      </c>
      <c r="S40" s="197">
        <f>ROUND('[6]2031'!S44,2)</f>
        <v>39872.11</v>
      </c>
      <c r="T40" s="197">
        <f>ROUND('[6]2031'!T44,2)</f>
        <v>40045.5</v>
      </c>
      <c r="U40" s="197">
        <f>ROUND('[6]2031'!U44,2)</f>
        <v>39781.78</v>
      </c>
      <c r="V40" s="197">
        <f>ROUND('[6]2031'!V44,2)</f>
        <v>40089.08</v>
      </c>
      <c r="W40" s="197">
        <f>ROUND('[6]2031'!W44,2)</f>
        <v>44251.360000000001</v>
      </c>
      <c r="X40" s="197">
        <f>ROUND('[6]2031'!X44,2)</f>
        <v>44603.07</v>
      </c>
      <c r="Y40" s="197">
        <f>ROUND('[6]2031'!Y44,2)</f>
        <v>42977.11</v>
      </c>
      <c r="Z40" s="197">
        <f>ROUND('[6]2031'!Z44,2)</f>
        <v>41027.279999999999</v>
      </c>
      <c r="AA40" s="197">
        <f>ROUND('[6]2031'!AA44,2)</f>
        <v>38510.11</v>
      </c>
      <c r="AB40" s="197">
        <f>ROUND('[6]2031'!AB44,2)</f>
        <v>35763.65</v>
      </c>
      <c r="AC40" s="210"/>
      <c r="AD40" s="18"/>
    </row>
    <row r="41" spans="2:30" ht="18.649999999999999" customHeight="1" x14ac:dyDescent="0.35">
      <c r="B41" s="212" t="s">
        <v>34</v>
      </c>
      <c r="C41" s="9" t="s">
        <v>31</v>
      </c>
      <c r="D41" s="10">
        <f>+'[6]2031'!D45</f>
        <v>5</v>
      </c>
      <c r="E41" s="197">
        <f>ROUND('[6]2031'!E45,2)</f>
        <v>33513.5</v>
      </c>
      <c r="F41" s="197">
        <f>ROUND('[6]2031'!F45,2)</f>
        <v>31882.82</v>
      </c>
      <c r="G41" s="197">
        <f>ROUND('[6]2031'!G45,2)</f>
        <v>30469.5</v>
      </c>
      <c r="H41" s="197">
        <f>ROUND('[6]2031'!H45,2)</f>
        <v>29650.29</v>
      </c>
      <c r="I41" s="197">
        <f>ROUND('[6]2031'!I45,2)</f>
        <v>29223.200000000001</v>
      </c>
      <c r="J41" s="197">
        <f>ROUND('[6]2031'!J45,2)</f>
        <v>28778.31</v>
      </c>
      <c r="K41" s="197">
        <f>ROUND('[6]2031'!K45,2)</f>
        <v>28004.720000000001</v>
      </c>
      <c r="L41" s="197">
        <f>ROUND('[6]2031'!L45,2)</f>
        <v>29590.880000000001</v>
      </c>
      <c r="M41" s="197">
        <f>ROUND('[6]2031'!M45,2)</f>
        <v>31495.39</v>
      </c>
      <c r="N41" s="197">
        <f>ROUND('[6]2031'!N45,2)</f>
        <v>33114.199999999997</v>
      </c>
      <c r="O41" s="197">
        <f>ROUND('[6]2031'!O45,2)</f>
        <v>34487.300000000003</v>
      </c>
      <c r="P41" s="197">
        <f>ROUND('[6]2031'!P45,2)</f>
        <v>35631.870000000003</v>
      </c>
      <c r="Q41" s="197">
        <f>ROUND('[6]2031'!Q45,2)</f>
        <v>36314.33</v>
      </c>
      <c r="R41" s="197">
        <f>ROUND('[6]2031'!R45,2)</f>
        <v>36457.279999999999</v>
      </c>
      <c r="S41" s="197">
        <f>ROUND('[6]2031'!S45,2)</f>
        <v>36677.19</v>
      </c>
      <c r="T41" s="197">
        <f>ROUND('[6]2031'!T45,2)</f>
        <v>36942</v>
      </c>
      <c r="U41" s="197">
        <f>ROUND('[6]2031'!U45,2)</f>
        <v>36937.449999999997</v>
      </c>
      <c r="V41" s="197">
        <f>ROUND('[6]2031'!V45,2)</f>
        <v>37556.720000000001</v>
      </c>
      <c r="W41" s="197">
        <f>ROUND('[6]2031'!W45,2)</f>
        <v>42264.01</v>
      </c>
      <c r="X41" s="197">
        <f>ROUND('[6]2031'!X45,2)</f>
        <v>44088.67</v>
      </c>
      <c r="Y41" s="197">
        <f>ROUND('[6]2031'!Y45,2)</f>
        <v>43727.54</v>
      </c>
      <c r="Z41" s="197">
        <f>ROUND('[6]2031'!Z45,2)</f>
        <v>42165.03</v>
      </c>
      <c r="AA41" s="197">
        <f>ROUND('[6]2031'!AA45,2)</f>
        <v>39079.01</v>
      </c>
      <c r="AB41" s="197">
        <f>ROUND('[6]2031'!AB45,2)</f>
        <v>35815.86</v>
      </c>
      <c r="AC41" s="210"/>
      <c r="AD41" s="18"/>
    </row>
    <row r="42" spans="2:30" ht="18.649999999999999" customHeight="1" thickBot="1" x14ac:dyDescent="0.4">
      <c r="B42" s="213" t="s">
        <v>34</v>
      </c>
      <c r="C42" s="11" t="s">
        <v>32</v>
      </c>
      <c r="D42" s="12">
        <f>+'[6]2031'!D46</f>
        <v>2</v>
      </c>
      <c r="E42" s="201">
        <f>ROUND('[6]2031'!E46,2)</f>
        <v>33513.5</v>
      </c>
      <c r="F42" s="201">
        <f>ROUND('[6]2031'!F46,2)</f>
        <v>31882.82</v>
      </c>
      <c r="G42" s="201">
        <f>ROUND('[6]2031'!G46,2)</f>
        <v>30469.5</v>
      </c>
      <c r="H42" s="201">
        <f>ROUND('[6]2031'!H46,2)</f>
        <v>29650.29</v>
      </c>
      <c r="I42" s="201">
        <f>ROUND('[6]2031'!I46,2)</f>
        <v>29223.200000000001</v>
      </c>
      <c r="J42" s="201">
        <f>ROUND('[6]2031'!J46,2)</f>
        <v>28778.31</v>
      </c>
      <c r="K42" s="201">
        <f>ROUND('[6]2031'!K46,2)</f>
        <v>28004.720000000001</v>
      </c>
      <c r="L42" s="201">
        <f>ROUND('[6]2031'!L46,2)</f>
        <v>29590.880000000001</v>
      </c>
      <c r="M42" s="201">
        <f>ROUND('[6]2031'!M46,2)</f>
        <v>31495.39</v>
      </c>
      <c r="N42" s="201">
        <f>ROUND('[6]2031'!N46,2)</f>
        <v>33114.199999999997</v>
      </c>
      <c r="O42" s="201">
        <f>ROUND('[6]2031'!O46,2)</f>
        <v>34487.300000000003</v>
      </c>
      <c r="P42" s="201">
        <f>ROUND('[6]2031'!P46,2)</f>
        <v>35631.870000000003</v>
      </c>
      <c r="Q42" s="201">
        <f>ROUND('[6]2031'!Q46,2)</f>
        <v>36314.33</v>
      </c>
      <c r="R42" s="201">
        <f>ROUND('[6]2031'!R46,2)</f>
        <v>36457.279999999999</v>
      </c>
      <c r="S42" s="201">
        <f>ROUND('[6]2031'!S46,2)</f>
        <v>36677.19</v>
      </c>
      <c r="T42" s="201">
        <f>ROUND('[6]2031'!T46,2)</f>
        <v>36942</v>
      </c>
      <c r="U42" s="201">
        <f>ROUND('[6]2031'!U46,2)</f>
        <v>36937.449999999997</v>
      </c>
      <c r="V42" s="201">
        <f>ROUND('[6]2031'!V46,2)</f>
        <v>37556.720000000001</v>
      </c>
      <c r="W42" s="201">
        <f>ROUND('[6]2031'!W46,2)</f>
        <v>42264.01</v>
      </c>
      <c r="X42" s="201">
        <f>ROUND('[6]2031'!X46,2)</f>
        <v>44088.67</v>
      </c>
      <c r="Y42" s="201">
        <f>ROUND('[6]2031'!Y46,2)</f>
        <v>43727.54</v>
      </c>
      <c r="Z42" s="201">
        <f>ROUND('[6]2031'!Z46,2)</f>
        <v>42165.03</v>
      </c>
      <c r="AA42" s="201">
        <f>ROUND('[6]2031'!AA46,2)</f>
        <v>39079.01</v>
      </c>
      <c r="AB42" s="201">
        <f>ROUND('[6]2031'!AB46,2)</f>
        <v>35815.86</v>
      </c>
      <c r="AC42" s="214"/>
      <c r="AD42" s="18"/>
    </row>
    <row r="43" spans="2:30" ht="18.649999999999999" customHeight="1" x14ac:dyDescent="0.35">
      <c r="B43" s="207">
        <v>48092</v>
      </c>
      <c r="C43" s="13" t="s">
        <v>29</v>
      </c>
      <c r="D43" s="14">
        <f>+'[6]2031'!D47</f>
        <v>22</v>
      </c>
      <c r="E43" s="200">
        <f>ROUND('[6]2031'!E47,2)</f>
        <v>33196.04</v>
      </c>
      <c r="F43" s="200">
        <f>ROUND('[6]2031'!F47,2)</f>
        <v>31454.79</v>
      </c>
      <c r="G43" s="200">
        <f>ROUND('[6]2031'!G47,2)</f>
        <v>30172.06</v>
      </c>
      <c r="H43" s="200">
        <f>ROUND('[6]2031'!H47,2)</f>
        <v>29232.57</v>
      </c>
      <c r="I43" s="200">
        <f>ROUND('[6]2031'!I47,2)</f>
        <v>29199.38</v>
      </c>
      <c r="J43" s="200">
        <f>ROUND('[6]2031'!J47,2)</f>
        <v>30144.35</v>
      </c>
      <c r="K43" s="200">
        <f>ROUND('[6]2031'!K47,2)</f>
        <v>30570.400000000001</v>
      </c>
      <c r="L43" s="200">
        <f>ROUND('[6]2031'!L47,2)</f>
        <v>34070</v>
      </c>
      <c r="M43" s="200">
        <f>ROUND('[6]2031'!M47,2)</f>
        <v>37839.07</v>
      </c>
      <c r="N43" s="200">
        <f>ROUND('[6]2031'!N47,2)</f>
        <v>39720.97</v>
      </c>
      <c r="O43" s="200">
        <f>ROUND('[6]2031'!O47,2)</f>
        <v>41743.89</v>
      </c>
      <c r="P43" s="200">
        <f>ROUND('[6]2031'!P47,2)</f>
        <v>43472.61</v>
      </c>
      <c r="Q43" s="200">
        <f>ROUND('[6]2031'!Q47,2)</f>
        <v>41901.35</v>
      </c>
      <c r="R43" s="200">
        <f>ROUND('[6]2031'!R47,2)</f>
        <v>43125.7</v>
      </c>
      <c r="S43" s="200">
        <f>ROUND('[6]2031'!S47,2)</f>
        <v>45571.76</v>
      </c>
      <c r="T43" s="200">
        <f>ROUND('[6]2031'!T47,2)</f>
        <v>45883.65</v>
      </c>
      <c r="U43" s="200">
        <f>ROUND('[6]2031'!U47,2)</f>
        <v>45174.720000000001</v>
      </c>
      <c r="V43" s="200">
        <f>ROUND('[6]2031'!V47,2)</f>
        <v>44026.080000000002</v>
      </c>
      <c r="W43" s="200">
        <f>ROUND('[6]2031'!W47,2)</f>
        <v>46971.3</v>
      </c>
      <c r="X43" s="200">
        <f>ROUND('[6]2031'!X47,2)</f>
        <v>46527.69</v>
      </c>
      <c r="Y43" s="200">
        <f>ROUND('[6]2031'!Y47,2)</f>
        <v>45042.13</v>
      </c>
      <c r="Z43" s="200">
        <f>ROUND('[6]2031'!Z47,2)</f>
        <v>42612.77</v>
      </c>
      <c r="AA43" s="200">
        <f>ROUND('[6]2031'!AA47,2)</f>
        <v>38967.81</v>
      </c>
      <c r="AB43" s="200">
        <f>ROUND('[6]2031'!AB47,2)</f>
        <v>35614.68</v>
      </c>
      <c r="AC43" s="210">
        <f>SUM(E43:AB43)*D43+SUM(E44:AB44)*D44+SUM(E45:AB45)*D45+SUM(E46:AB46)*D46</f>
        <v>27296148.299999997</v>
      </c>
      <c r="AD43" s="18"/>
    </row>
    <row r="44" spans="2:30" ht="18.649999999999999" customHeight="1" x14ac:dyDescent="0.35">
      <c r="B44" s="208"/>
      <c r="C44" s="9" t="s">
        <v>30</v>
      </c>
      <c r="D44" s="10">
        <f>+'[6]2031'!D48</f>
        <v>4</v>
      </c>
      <c r="E44" s="197">
        <f>ROUND('[6]2031'!E48,2)</f>
        <v>32332.21</v>
      </c>
      <c r="F44" s="197">
        <f>ROUND('[6]2031'!F48,2)</f>
        <v>30697.94</v>
      </c>
      <c r="G44" s="197">
        <f>ROUND('[6]2031'!G48,2)</f>
        <v>29470.26</v>
      </c>
      <c r="H44" s="197">
        <f>ROUND('[6]2031'!H48,2)</f>
        <v>28565.4</v>
      </c>
      <c r="I44" s="197">
        <f>ROUND('[6]2031'!I48,2)</f>
        <v>28324.82</v>
      </c>
      <c r="J44" s="197">
        <f>ROUND('[6]2031'!J48,2)</f>
        <v>28161.73</v>
      </c>
      <c r="K44" s="197">
        <f>ROUND('[6]2031'!K48,2)</f>
        <v>28484.62</v>
      </c>
      <c r="L44" s="197">
        <f>ROUND('[6]2031'!L48,2)</f>
        <v>31732.02</v>
      </c>
      <c r="M44" s="197">
        <f>ROUND('[6]2031'!M48,2)</f>
        <v>35364.21</v>
      </c>
      <c r="N44" s="197">
        <f>ROUND('[6]2031'!N48,2)</f>
        <v>37153.339999999997</v>
      </c>
      <c r="O44" s="197">
        <f>ROUND('[6]2031'!O48,2)</f>
        <v>39329.29</v>
      </c>
      <c r="P44" s="197">
        <f>ROUND('[6]2031'!P48,2)</f>
        <v>40297.949999999997</v>
      </c>
      <c r="Q44" s="197">
        <f>ROUND('[6]2031'!Q48,2)</f>
        <v>39849.25</v>
      </c>
      <c r="R44" s="197">
        <f>ROUND('[6]2031'!R48,2)</f>
        <v>39361.82</v>
      </c>
      <c r="S44" s="197">
        <f>ROUND('[6]2031'!S48,2)</f>
        <v>39633.83</v>
      </c>
      <c r="T44" s="197">
        <f>ROUND('[6]2031'!T48,2)</f>
        <v>39549.21</v>
      </c>
      <c r="U44" s="197">
        <f>ROUND('[6]2031'!U48,2)</f>
        <v>39079.040000000001</v>
      </c>
      <c r="V44" s="197">
        <f>ROUND('[6]2031'!V48,2)</f>
        <v>40037.730000000003</v>
      </c>
      <c r="W44" s="197">
        <f>ROUND('[6]2031'!W48,2)</f>
        <v>44488.14</v>
      </c>
      <c r="X44" s="197">
        <f>ROUND('[6]2031'!X48,2)</f>
        <v>44158.8</v>
      </c>
      <c r="Y44" s="197">
        <f>ROUND('[6]2031'!Y48,2)</f>
        <v>42599.93</v>
      </c>
      <c r="Z44" s="197">
        <f>ROUND('[6]2031'!Z48,2)</f>
        <v>40639.74</v>
      </c>
      <c r="AA44" s="197">
        <f>ROUND('[6]2031'!AA48,2)</f>
        <v>38393.870000000003</v>
      </c>
      <c r="AB44" s="197">
        <f>ROUND('[6]2031'!AB48,2)</f>
        <v>35710.33</v>
      </c>
      <c r="AC44" s="210"/>
      <c r="AD44" s="18"/>
    </row>
    <row r="45" spans="2:30" ht="18.649999999999999" customHeight="1" x14ac:dyDescent="0.35">
      <c r="B45" s="208"/>
      <c r="C45" s="9" t="s">
        <v>31</v>
      </c>
      <c r="D45" s="10">
        <f>+'[6]2031'!D49</f>
        <v>4</v>
      </c>
      <c r="E45" s="197">
        <f>ROUND('[6]2031'!E49,2)</f>
        <v>33093.22</v>
      </c>
      <c r="F45" s="197">
        <f>ROUND('[6]2031'!F49,2)</f>
        <v>31406.75</v>
      </c>
      <c r="G45" s="197">
        <f>ROUND('[6]2031'!G49,2)</f>
        <v>29958.77</v>
      </c>
      <c r="H45" s="197">
        <f>ROUND('[6]2031'!H49,2)</f>
        <v>29000.27</v>
      </c>
      <c r="I45" s="197">
        <f>ROUND('[6]2031'!I49,2)</f>
        <v>28594.54</v>
      </c>
      <c r="J45" s="197">
        <f>ROUND('[6]2031'!J49,2)</f>
        <v>27818.57</v>
      </c>
      <c r="K45" s="197">
        <f>ROUND('[6]2031'!K49,2)</f>
        <v>27091.47</v>
      </c>
      <c r="L45" s="197">
        <f>ROUND('[6]2031'!L49,2)</f>
        <v>28794.89</v>
      </c>
      <c r="M45" s="197">
        <f>ROUND('[6]2031'!M49,2)</f>
        <v>30646.41</v>
      </c>
      <c r="N45" s="197">
        <f>ROUND('[6]2031'!N49,2)</f>
        <v>32442.37</v>
      </c>
      <c r="O45" s="197">
        <f>ROUND('[6]2031'!O49,2)</f>
        <v>33816.82</v>
      </c>
      <c r="P45" s="197">
        <f>ROUND('[6]2031'!P49,2)</f>
        <v>34719.67</v>
      </c>
      <c r="Q45" s="197">
        <f>ROUND('[6]2031'!Q49,2)</f>
        <v>35493.43</v>
      </c>
      <c r="R45" s="197">
        <f>ROUND('[6]2031'!R49,2)</f>
        <v>35602.36</v>
      </c>
      <c r="S45" s="197">
        <f>ROUND('[6]2031'!S49,2)</f>
        <v>35623.68</v>
      </c>
      <c r="T45" s="197">
        <f>ROUND('[6]2031'!T49,2)</f>
        <v>36066.870000000003</v>
      </c>
      <c r="U45" s="197">
        <f>ROUND('[6]2031'!U49,2)</f>
        <v>36028.65</v>
      </c>
      <c r="V45" s="197">
        <f>ROUND('[6]2031'!V49,2)</f>
        <v>37200.550000000003</v>
      </c>
      <c r="W45" s="197">
        <f>ROUND('[6]2031'!W49,2)</f>
        <v>42065.74</v>
      </c>
      <c r="X45" s="197">
        <f>ROUND('[6]2031'!X49,2)</f>
        <v>42765.5</v>
      </c>
      <c r="Y45" s="197">
        <f>ROUND('[6]2031'!Y49,2)</f>
        <v>42213.1</v>
      </c>
      <c r="Z45" s="197">
        <f>ROUND('[6]2031'!Z49,2)</f>
        <v>40619.089999999997</v>
      </c>
      <c r="AA45" s="197">
        <f>ROUND('[6]2031'!AA49,2)</f>
        <v>37690.44</v>
      </c>
      <c r="AB45" s="197">
        <f>ROUND('[6]2031'!AB49,2)</f>
        <v>34571.699999999997</v>
      </c>
      <c r="AC45" s="210"/>
      <c r="AD45" s="18"/>
    </row>
    <row r="46" spans="2:30" ht="18.649999999999999" customHeight="1" thickBot="1" x14ac:dyDescent="0.4">
      <c r="B46" s="208"/>
      <c r="C46" s="15" t="s">
        <v>32</v>
      </c>
      <c r="D46" s="16">
        <f>+'[6]2031'!D50</f>
        <v>0</v>
      </c>
      <c r="E46" s="199">
        <f>ROUND('[6]2031'!E50,2)</f>
        <v>0</v>
      </c>
      <c r="F46" s="199">
        <f>ROUND('[6]2031'!F50,2)</f>
        <v>0</v>
      </c>
      <c r="G46" s="199">
        <f>ROUND('[6]2031'!G50,2)</f>
        <v>0</v>
      </c>
      <c r="H46" s="199">
        <f>ROUND('[6]2031'!H50,2)</f>
        <v>0</v>
      </c>
      <c r="I46" s="199">
        <f>ROUND('[6]2031'!I50,2)</f>
        <v>0</v>
      </c>
      <c r="J46" s="199">
        <f>ROUND('[6]2031'!J50,2)</f>
        <v>0</v>
      </c>
      <c r="K46" s="199">
        <f>ROUND('[6]2031'!K50,2)</f>
        <v>0</v>
      </c>
      <c r="L46" s="199">
        <f>ROUND('[6]2031'!L50,2)</f>
        <v>0</v>
      </c>
      <c r="M46" s="199">
        <f>ROUND('[6]2031'!M50,2)</f>
        <v>0</v>
      </c>
      <c r="N46" s="199">
        <f>ROUND('[6]2031'!N50,2)</f>
        <v>0</v>
      </c>
      <c r="O46" s="199">
        <f>ROUND('[6]2031'!O50,2)</f>
        <v>0</v>
      </c>
      <c r="P46" s="199">
        <f>ROUND('[6]2031'!P50,2)</f>
        <v>0</v>
      </c>
      <c r="Q46" s="199">
        <f>ROUND('[6]2031'!Q50,2)</f>
        <v>0</v>
      </c>
      <c r="R46" s="199">
        <f>ROUND('[6]2031'!R50,2)</f>
        <v>0</v>
      </c>
      <c r="S46" s="199">
        <f>ROUND('[6]2031'!S50,2)</f>
        <v>0</v>
      </c>
      <c r="T46" s="199">
        <f>ROUND('[6]2031'!T50,2)</f>
        <v>0</v>
      </c>
      <c r="U46" s="199">
        <f>ROUND('[6]2031'!U50,2)</f>
        <v>0</v>
      </c>
      <c r="V46" s="199">
        <f>ROUND('[6]2031'!V50,2)</f>
        <v>0</v>
      </c>
      <c r="W46" s="199">
        <f>ROUND('[6]2031'!W50,2)</f>
        <v>0</v>
      </c>
      <c r="X46" s="199">
        <f>ROUND('[6]2031'!X50,2)</f>
        <v>0</v>
      </c>
      <c r="Y46" s="199">
        <f>ROUND('[6]2031'!Y50,2)</f>
        <v>0</v>
      </c>
      <c r="Z46" s="199">
        <f>ROUND('[6]2031'!Z50,2)</f>
        <v>0</v>
      </c>
      <c r="AA46" s="199">
        <f>ROUND('[6]2031'!AA50,2)</f>
        <v>0</v>
      </c>
      <c r="AB46" s="199">
        <f>ROUND('[6]2031'!AB50,2)</f>
        <v>0</v>
      </c>
      <c r="AC46" s="210"/>
      <c r="AD46" s="18"/>
    </row>
    <row r="47" spans="2:30" ht="18.649999999999999" customHeight="1" x14ac:dyDescent="0.35">
      <c r="B47" s="211">
        <v>48122</v>
      </c>
      <c r="C47" s="6" t="s">
        <v>29</v>
      </c>
      <c r="D47" s="7">
        <f>+'[6]2031'!D51</f>
        <v>22</v>
      </c>
      <c r="E47" s="196">
        <f>ROUND('[6]2031'!E51,2)</f>
        <v>32161.58</v>
      </c>
      <c r="F47" s="196">
        <f>ROUND('[6]2031'!F51,2)</f>
        <v>30468.61</v>
      </c>
      <c r="G47" s="196">
        <f>ROUND('[6]2031'!G51,2)</f>
        <v>29258.94</v>
      </c>
      <c r="H47" s="196">
        <f>ROUND('[6]2031'!H51,2)</f>
        <v>28379.360000000001</v>
      </c>
      <c r="I47" s="196">
        <f>ROUND('[6]2031'!I51,2)</f>
        <v>28471.19</v>
      </c>
      <c r="J47" s="196">
        <f>ROUND('[6]2031'!J51,2)</f>
        <v>29321.53</v>
      </c>
      <c r="K47" s="196">
        <f>ROUND('[6]2031'!K51,2)</f>
        <v>30091.39</v>
      </c>
      <c r="L47" s="196">
        <f>ROUND('[6]2031'!L51,2)</f>
        <v>33517.120000000003</v>
      </c>
      <c r="M47" s="196">
        <f>ROUND('[6]2031'!M51,2)</f>
        <v>37160.04</v>
      </c>
      <c r="N47" s="196">
        <f>ROUND('[6]2031'!N51,2)</f>
        <v>39067.99</v>
      </c>
      <c r="O47" s="196">
        <f>ROUND('[6]2031'!O51,2)</f>
        <v>41054.959999999999</v>
      </c>
      <c r="P47" s="196">
        <f>ROUND('[6]2031'!P51,2)</f>
        <v>42628.26</v>
      </c>
      <c r="Q47" s="196">
        <f>ROUND('[6]2031'!Q51,2)</f>
        <v>40789.1</v>
      </c>
      <c r="R47" s="196">
        <f>ROUND('[6]2031'!R51,2)</f>
        <v>41879.49</v>
      </c>
      <c r="S47" s="196">
        <f>ROUND('[6]2031'!S51,2)</f>
        <v>44230.33</v>
      </c>
      <c r="T47" s="196">
        <f>ROUND('[6]2031'!T51,2)</f>
        <v>44761.67</v>
      </c>
      <c r="U47" s="196">
        <f>ROUND('[6]2031'!U51,2)</f>
        <v>44264.26</v>
      </c>
      <c r="V47" s="196">
        <f>ROUND('[6]2031'!V51,2)</f>
        <v>44279.88</v>
      </c>
      <c r="W47" s="196">
        <f>ROUND('[6]2031'!W51,2)</f>
        <v>47027.51</v>
      </c>
      <c r="X47" s="196">
        <f>ROUND('[6]2031'!X51,2)</f>
        <v>45979.49</v>
      </c>
      <c r="Y47" s="196">
        <f>ROUND('[6]2031'!Y51,2)</f>
        <v>44271.85</v>
      </c>
      <c r="Z47" s="196">
        <f>ROUND('[6]2031'!Z51,2)</f>
        <v>41848.9</v>
      </c>
      <c r="AA47" s="196">
        <f>ROUND('[6]2031'!AA51,2)</f>
        <v>38277.879999999997</v>
      </c>
      <c r="AB47" s="196">
        <f>ROUND('[6]2031'!AB51,2)</f>
        <v>34829.15</v>
      </c>
      <c r="AC47" s="209">
        <f>SUM(E47:AB47)*D47+SUM(E48:AB48)*D48+SUM(E49:AB49)*D49+SUM(E50:AB50)*D50</f>
        <v>27730631.009999998</v>
      </c>
      <c r="AD47" s="18"/>
    </row>
    <row r="48" spans="2:30" ht="18.649999999999999" customHeight="1" x14ac:dyDescent="0.35">
      <c r="B48" s="212" t="s">
        <v>34</v>
      </c>
      <c r="C48" s="9" t="s">
        <v>30</v>
      </c>
      <c r="D48" s="10">
        <f>+'[6]2031'!D52</f>
        <v>4</v>
      </c>
      <c r="E48" s="197">
        <f>ROUND('[6]2031'!E52,2)</f>
        <v>32748.27</v>
      </c>
      <c r="F48" s="197">
        <f>ROUND('[6]2031'!F52,2)</f>
        <v>30909.37</v>
      </c>
      <c r="G48" s="197">
        <f>ROUND('[6]2031'!G52,2)</f>
        <v>29451.599999999999</v>
      </c>
      <c r="H48" s="197">
        <f>ROUND('[6]2031'!H52,2)</f>
        <v>28544.11</v>
      </c>
      <c r="I48" s="197">
        <f>ROUND('[6]2031'!I52,2)</f>
        <v>28526.04</v>
      </c>
      <c r="J48" s="197">
        <f>ROUND('[6]2031'!J52,2)</f>
        <v>28404.9</v>
      </c>
      <c r="K48" s="197">
        <f>ROUND('[6]2031'!K52,2)</f>
        <v>28844.78</v>
      </c>
      <c r="L48" s="197">
        <f>ROUND('[6]2031'!L52,2)</f>
        <v>31702.46</v>
      </c>
      <c r="M48" s="197">
        <f>ROUND('[6]2031'!M52,2)</f>
        <v>35261.71</v>
      </c>
      <c r="N48" s="197">
        <f>ROUND('[6]2031'!N52,2)</f>
        <v>37292.080000000002</v>
      </c>
      <c r="O48" s="197">
        <f>ROUND('[6]2031'!O52,2)</f>
        <v>39384.76</v>
      </c>
      <c r="P48" s="197">
        <f>ROUND('[6]2031'!P52,2)</f>
        <v>40425.919999999998</v>
      </c>
      <c r="Q48" s="197">
        <f>ROUND('[6]2031'!Q52,2)</f>
        <v>39667.050000000003</v>
      </c>
      <c r="R48" s="197">
        <f>ROUND('[6]2031'!R52,2)</f>
        <v>39177.919999999998</v>
      </c>
      <c r="S48" s="197">
        <f>ROUND('[6]2031'!S52,2)</f>
        <v>39589.25</v>
      </c>
      <c r="T48" s="197">
        <f>ROUND('[6]2031'!T52,2)</f>
        <v>40004.800000000003</v>
      </c>
      <c r="U48" s="197">
        <f>ROUND('[6]2031'!U52,2)</f>
        <v>39699.910000000003</v>
      </c>
      <c r="V48" s="197">
        <f>ROUND('[6]2031'!V52,2)</f>
        <v>41150.300000000003</v>
      </c>
      <c r="W48" s="197">
        <f>ROUND('[6]2031'!W52,2)</f>
        <v>45038.68</v>
      </c>
      <c r="X48" s="197">
        <f>ROUND('[6]2031'!X52,2)</f>
        <v>44206.83</v>
      </c>
      <c r="Y48" s="197">
        <f>ROUND('[6]2031'!Y52,2)</f>
        <v>42500.88</v>
      </c>
      <c r="Z48" s="197">
        <f>ROUND('[6]2031'!Z52,2)</f>
        <v>40355.379999999997</v>
      </c>
      <c r="AA48" s="197">
        <f>ROUND('[6]2031'!AA52,2)</f>
        <v>37784.86</v>
      </c>
      <c r="AB48" s="197">
        <f>ROUND('[6]2031'!AB52,2)</f>
        <v>35070.339999999997</v>
      </c>
      <c r="AC48" s="210"/>
      <c r="AD48" s="18"/>
    </row>
    <row r="49" spans="2:50" ht="18.649999999999999" customHeight="1" x14ac:dyDescent="0.35">
      <c r="B49" s="212" t="s">
        <v>34</v>
      </c>
      <c r="C49" s="9" t="s">
        <v>31</v>
      </c>
      <c r="D49" s="10">
        <f>+'[6]2031'!D53</f>
        <v>4</v>
      </c>
      <c r="E49" s="197">
        <f>ROUND('[6]2031'!E53,2)</f>
        <v>32578.76</v>
      </c>
      <c r="F49" s="197">
        <f>ROUND('[6]2031'!F53,2)</f>
        <v>30869.43</v>
      </c>
      <c r="G49" s="197">
        <f>ROUND('[6]2031'!G53,2)</f>
        <v>29511.99</v>
      </c>
      <c r="H49" s="197">
        <f>ROUND('[6]2031'!H53,2)</f>
        <v>28671.96</v>
      </c>
      <c r="I49" s="197">
        <f>ROUND('[6]2031'!I53,2)</f>
        <v>28294.639999999999</v>
      </c>
      <c r="J49" s="197">
        <f>ROUND('[6]2031'!J53,2)</f>
        <v>27687.98</v>
      </c>
      <c r="K49" s="197">
        <f>ROUND('[6]2031'!K53,2)</f>
        <v>26948.14</v>
      </c>
      <c r="L49" s="197">
        <f>ROUND('[6]2031'!L53,2)</f>
        <v>28546.48</v>
      </c>
      <c r="M49" s="197">
        <f>ROUND('[6]2031'!M53,2)</f>
        <v>30622.33</v>
      </c>
      <c r="N49" s="197">
        <f>ROUND('[6]2031'!N53,2)</f>
        <v>32281.25</v>
      </c>
      <c r="O49" s="197">
        <f>ROUND('[6]2031'!O53,2)</f>
        <v>33872.01</v>
      </c>
      <c r="P49" s="197">
        <f>ROUND('[6]2031'!P53,2)</f>
        <v>35144.04</v>
      </c>
      <c r="Q49" s="197">
        <f>ROUND('[6]2031'!Q53,2)</f>
        <v>35778.379999999997</v>
      </c>
      <c r="R49" s="197">
        <f>ROUND('[6]2031'!R53,2)</f>
        <v>35846.400000000001</v>
      </c>
      <c r="S49" s="197">
        <f>ROUND('[6]2031'!S53,2)</f>
        <v>36068.949999999997</v>
      </c>
      <c r="T49" s="197">
        <f>ROUND('[6]2031'!T53,2)</f>
        <v>36029.26</v>
      </c>
      <c r="U49" s="197">
        <f>ROUND('[6]2031'!U53,2)</f>
        <v>36298.160000000003</v>
      </c>
      <c r="V49" s="197">
        <f>ROUND('[6]2031'!V53,2)</f>
        <v>38076.71</v>
      </c>
      <c r="W49" s="197">
        <f>ROUND('[6]2031'!W53,2)</f>
        <v>42697.2</v>
      </c>
      <c r="X49" s="197">
        <f>ROUND('[6]2031'!X53,2)</f>
        <v>42979.55</v>
      </c>
      <c r="Y49" s="197">
        <f>ROUND('[6]2031'!Y53,2)</f>
        <v>42311.57</v>
      </c>
      <c r="Z49" s="197">
        <f>ROUND('[6]2031'!Z53,2)</f>
        <v>40633.32</v>
      </c>
      <c r="AA49" s="197">
        <f>ROUND('[6]2031'!AA53,2)</f>
        <v>37586.99</v>
      </c>
      <c r="AB49" s="197">
        <f>ROUND('[6]2031'!AB53,2)</f>
        <v>34506.83</v>
      </c>
      <c r="AC49" s="210"/>
      <c r="AD49" s="18"/>
    </row>
    <row r="50" spans="2:50" ht="18.649999999999999" customHeight="1" thickBot="1" x14ac:dyDescent="0.4">
      <c r="B50" s="213" t="s">
        <v>34</v>
      </c>
      <c r="C50" s="11" t="s">
        <v>32</v>
      </c>
      <c r="D50" s="12">
        <f>+'[6]2031'!D54</f>
        <v>1</v>
      </c>
      <c r="E50" s="201">
        <f>ROUND('[6]2031'!E54,2)</f>
        <v>32578.76</v>
      </c>
      <c r="F50" s="201">
        <f>ROUND('[6]2031'!F54,2)</f>
        <v>30869.43</v>
      </c>
      <c r="G50" s="201">
        <f>ROUND('[6]2031'!G54,2)</f>
        <v>29511.99</v>
      </c>
      <c r="H50" s="201">
        <f>ROUND('[6]2031'!H54,2)</f>
        <v>28671.96</v>
      </c>
      <c r="I50" s="201">
        <f>ROUND('[6]2031'!I54,2)</f>
        <v>28294.639999999999</v>
      </c>
      <c r="J50" s="201">
        <f>ROUND('[6]2031'!J54,2)</f>
        <v>27687.98</v>
      </c>
      <c r="K50" s="201">
        <f>ROUND('[6]2031'!K54,2)</f>
        <v>26948.14</v>
      </c>
      <c r="L50" s="201">
        <f>ROUND('[6]2031'!L54,2)</f>
        <v>28546.48</v>
      </c>
      <c r="M50" s="201">
        <f>ROUND('[6]2031'!M54,2)</f>
        <v>30622.33</v>
      </c>
      <c r="N50" s="201">
        <f>ROUND('[6]2031'!N54,2)</f>
        <v>32281.25</v>
      </c>
      <c r="O50" s="201">
        <f>ROUND('[6]2031'!O54,2)</f>
        <v>33872.01</v>
      </c>
      <c r="P50" s="201">
        <f>ROUND('[6]2031'!P54,2)</f>
        <v>35144.04</v>
      </c>
      <c r="Q50" s="201">
        <f>ROUND('[6]2031'!Q54,2)</f>
        <v>35778.379999999997</v>
      </c>
      <c r="R50" s="201">
        <f>ROUND('[6]2031'!R54,2)</f>
        <v>35846.400000000001</v>
      </c>
      <c r="S50" s="201">
        <f>ROUND('[6]2031'!S54,2)</f>
        <v>36068.949999999997</v>
      </c>
      <c r="T50" s="201">
        <f>ROUND('[6]2031'!T54,2)</f>
        <v>36029.26</v>
      </c>
      <c r="U50" s="201">
        <f>ROUND('[6]2031'!U54,2)</f>
        <v>36298.160000000003</v>
      </c>
      <c r="V50" s="201">
        <f>ROUND('[6]2031'!V54,2)</f>
        <v>38076.71</v>
      </c>
      <c r="W50" s="201">
        <f>ROUND('[6]2031'!W54,2)</f>
        <v>42697.2</v>
      </c>
      <c r="X50" s="201">
        <f>ROUND('[6]2031'!X54,2)</f>
        <v>42979.55</v>
      </c>
      <c r="Y50" s="201">
        <f>ROUND('[6]2031'!Y54,2)</f>
        <v>42311.57</v>
      </c>
      <c r="Z50" s="201">
        <f>ROUND('[6]2031'!Z54,2)</f>
        <v>40633.32</v>
      </c>
      <c r="AA50" s="201">
        <f>ROUND('[6]2031'!AA54,2)</f>
        <v>37586.99</v>
      </c>
      <c r="AB50" s="201">
        <f>ROUND('[6]2031'!AB54,2)</f>
        <v>34506.83</v>
      </c>
      <c r="AC50" s="214"/>
      <c r="AD50" s="18"/>
    </row>
    <row r="51" spans="2:50" ht="18.649999999999999" customHeight="1" x14ac:dyDescent="0.35">
      <c r="B51" s="207">
        <v>48153</v>
      </c>
      <c r="C51" s="13" t="s">
        <v>29</v>
      </c>
      <c r="D51" s="14">
        <f>+'[6]2031'!D55</f>
        <v>18</v>
      </c>
      <c r="E51" s="200">
        <f>ROUND('[6]2031'!E55,2)</f>
        <v>31789.86</v>
      </c>
      <c r="F51" s="200">
        <f>ROUND('[6]2031'!F55,2)</f>
        <v>30156.37</v>
      </c>
      <c r="G51" s="200">
        <f>ROUND('[6]2031'!G55,2)</f>
        <v>28966.880000000001</v>
      </c>
      <c r="H51" s="200">
        <f>ROUND('[6]2031'!H55,2)</f>
        <v>28161.16</v>
      </c>
      <c r="I51" s="200">
        <f>ROUND('[6]2031'!I55,2)</f>
        <v>28240.6</v>
      </c>
      <c r="J51" s="200">
        <f>ROUND('[6]2031'!J55,2)</f>
        <v>29079.16</v>
      </c>
      <c r="K51" s="200">
        <f>ROUND('[6]2031'!K55,2)</f>
        <v>29844.87</v>
      </c>
      <c r="L51" s="200">
        <f>ROUND('[6]2031'!L55,2)</f>
        <v>33394.86</v>
      </c>
      <c r="M51" s="200">
        <f>ROUND('[6]2031'!M55,2)</f>
        <v>37048.51</v>
      </c>
      <c r="N51" s="200">
        <f>ROUND('[6]2031'!N55,2)</f>
        <v>38860.949999999997</v>
      </c>
      <c r="O51" s="200">
        <f>ROUND('[6]2031'!O55,2)</f>
        <v>40752.47</v>
      </c>
      <c r="P51" s="200">
        <f>ROUND('[6]2031'!P55,2)</f>
        <v>42085.64</v>
      </c>
      <c r="Q51" s="200">
        <f>ROUND('[6]2031'!Q55,2)</f>
        <v>40359.919999999998</v>
      </c>
      <c r="R51" s="200">
        <f>ROUND('[6]2031'!R55,2)</f>
        <v>41268.410000000003</v>
      </c>
      <c r="S51" s="200">
        <f>ROUND('[6]2031'!S55,2)</f>
        <v>43326.7</v>
      </c>
      <c r="T51" s="200">
        <f>ROUND('[6]2031'!T55,2)</f>
        <v>43856.33</v>
      </c>
      <c r="U51" s="200">
        <f>ROUND('[6]2031'!U55,2)</f>
        <v>43428.09</v>
      </c>
      <c r="V51" s="200">
        <f>ROUND('[6]2031'!V55,2)</f>
        <v>43995.44</v>
      </c>
      <c r="W51" s="200">
        <f>ROUND('[6]2031'!W55,2)</f>
        <v>46149.24</v>
      </c>
      <c r="X51" s="200">
        <f>ROUND('[6]2031'!X55,2)</f>
        <v>45080.39</v>
      </c>
      <c r="Y51" s="200">
        <f>ROUND('[6]2031'!Y55,2)</f>
        <v>43482.36</v>
      </c>
      <c r="Z51" s="200">
        <f>ROUND('[6]2031'!Z55,2)</f>
        <v>41166.9</v>
      </c>
      <c r="AA51" s="200">
        <f>ROUND('[6]2031'!AA55,2)</f>
        <v>37779.760000000002</v>
      </c>
      <c r="AB51" s="200">
        <f>ROUND('[6]2031'!AB55,2)</f>
        <v>34436.230000000003</v>
      </c>
      <c r="AC51" s="210">
        <f>SUM(E51:AB51)*D51+SUM(E52:AB52)*D52+SUM(E53:AB53)*D53+SUM(E54:AB54)*D54</f>
        <v>26172098.539999999</v>
      </c>
      <c r="AD51" s="18"/>
    </row>
    <row r="52" spans="2:50" ht="18.649999999999999" customHeight="1" x14ac:dyDescent="0.35">
      <c r="B52" s="208"/>
      <c r="C52" s="9" t="s">
        <v>30</v>
      </c>
      <c r="D52" s="10">
        <f>+'[6]2031'!D56</f>
        <v>5</v>
      </c>
      <c r="E52" s="197">
        <f>ROUND('[6]2031'!E56,2)</f>
        <v>31031.51</v>
      </c>
      <c r="F52" s="197">
        <f>ROUND('[6]2031'!F56,2)</f>
        <v>29512.19</v>
      </c>
      <c r="G52" s="197">
        <f>ROUND('[6]2031'!G56,2)</f>
        <v>28445.96</v>
      </c>
      <c r="H52" s="197">
        <f>ROUND('[6]2031'!H56,2)</f>
        <v>27748.68</v>
      </c>
      <c r="I52" s="197">
        <f>ROUND('[6]2031'!I56,2)</f>
        <v>27732.06</v>
      </c>
      <c r="J52" s="197">
        <f>ROUND('[6]2031'!J56,2)</f>
        <v>27663.62</v>
      </c>
      <c r="K52" s="197">
        <f>ROUND('[6]2031'!K56,2)</f>
        <v>28076.81</v>
      </c>
      <c r="L52" s="197">
        <f>ROUND('[6]2031'!L56,2)</f>
        <v>31311.77</v>
      </c>
      <c r="M52" s="197">
        <f>ROUND('[6]2031'!M56,2)</f>
        <v>34949.879999999997</v>
      </c>
      <c r="N52" s="197">
        <f>ROUND('[6]2031'!N56,2)</f>
        <v>36963.24</v>
      </c>
      <c r="O52" s="197">
        <f>ROUND('[6]2031'!O56,2)</f>
        <v>39060.01</v>
      </c>
      <c r="P52" s="197">
        <f>ROUND('[6]2031'!P56,2)</f>
        <v>39943.440000000002</v>
      </c>
      <c r="Q52" s="197">
        <f>ROUND('[6]2031'!Q56,2)</f>
        <v>39224.800000000003</v>
      </c>
      <c r="R52" s="197">
        <f>ROUND('[6]2031'!R56,2)</f>
        <v>38411.519999999997</v>
      </c>
      <c r="S52" s="197">
        <f>ROUND('[6]2031'!S56,2)</f>
        <v>38153.879999999997</v>
      </c>
      <c r="T52" s="197">
        <f>ROUND('[6]2031'!T56,2)</f>
        <v>38460.29</v>
      </c>
      <c r="U52" s="197">
        <f>ROUND('[6]2031'!U56,2)</f>
        <v>38269.64</v>
      </c>
      <c r="V52" s="197">
        <f>ROUND('[6]2031'!V56,2)</f>
        <v>40399</v>
      </c>
      <c r="W52" s="197">
        <f>ROUND('[6]2031'!W56,2)</f>
        <v>43730.57</v>
      </c>
      <c r="X52" s="197">
        <f>ROUND('[6]2031'!X56,2)</f>
        <v>42991.55</v>
      </c>
      <c r="Y52" s="197">
        <f>ROUND('[6]2031'!Y56,2)</f>
        <v>41445.949999999997</v>
      </c>
      <c r="Z52" s="197">
        <f>ROUND('[6]2031'!Z56,2)</f>
        <v>39528.42</v>
      </c>
      <c r="AA52" s="197">
        <f>ROUND('[6]2031'!AA56,2)</f>
        <v>37105.620000000003</v>
      </c>
      <c r="AB52" s="197">
        <f>ROUND('[6]2031'!AB56,2)</f>
        <v>34379.760000000002</v>
      </c>
      <c r="AC52" s="210"/>
      <c r="AD52" s="18"/>
    </row>
    <row r="53" spans="2:50" ht="18.649999999999999" customHeight="1" x14ac:dyDescent="0.35">
      <c r="B53" s="208"/>
      <c r="C53" s="9" t="s">
        <v>31</v>
      </c>
      <c r="D53" s="10">
        <f>+'[6]2031'!D57</f>
        <v>5</v>
      </c>
      <c r="E53" s="197">
        <f>ROUND('[6]2031'!E57,2)</f>
        <v>32162.54</v>
      </c>
      <c r="F53" s="197">
        <f>ROUND('[6]2031'!F57,2)</f>
        <v>30636.69</v>
      </c>
      <c r="G53" s="197">
        <f>ROUND('[6]2031'!G57,2)</f>
        <v>29315.439999999999</v>
      </c>
      <c r="H53" s="197">
        <f>ROUND('[6]2031'!H57,2)</f>
        <v>28424.93</v>
      </c>
      <c r="I53" s="197">
        <f>ROUND('[6]2031'!I57,2)</f>
        <v>28063.98</v>
      </c>
      <c r="J53" s="197">
        <f>ROUND('[6]2031'!J57,2)</f>
        <v>27591.119999999999</v>
      </c>
      <c r="K53" s="197">
        <f>ROUND('[6]2031'!K57,2)</f>
        <v>26910.19</v>
      </c>
      <c r="L53" s="197">
        <f>ROUND('[6]2031'!L57,2)</f>
        <v>28391.3</v>
      </c>
      <c r="M53" s="197">
        <f>ROUND('[6]2031'!M57,2)</f>
        <v>30421.84</v>
      </c>
      <c r="N53" s="197">
        <f>ROUND('[6]2031'!N57,2)</f>
        <v>32090.560000000001</v>
      </c>
      <c r="O53" s="197">
        <f>ROUND('[6]2031'!O57,2)</f>
        <v>33696.160000000003</v>
      </c>
      <c r="P53" s="197">
        <f>ROUND('[6]2031'!P57,2)</f>
        <v>34544.31</v>
      </c>
      <c r="Q53" s="197">
        <f>ROUND('[6]2031'!Q57,2)</f>
        <v>35173.620000000003</v>
      </c>
      <c r="R53" s="197">
        <f>ROUND('[6]2031'!R57,2)</f>
        <v>35140.46</v>
      </c>
      <c r="S53" s="197">
        <f>ROUND('[6]2031'!S57,2)</f>
        <v>35039.47</v>
      </c>
      <c r="T53" s="197">
        <f>ROUND('[6]2031'!T57,2)</f>
        <v>35199.21</v>
      </c>
      <c r="U53" s="197">
        <f>ROUND('[6]2031'!U57,2)</f>
        <v>35240.120000000003</v>
      </c>
      <c r="V53" s="197">
        <f>ROUND('[6]2031'!V57,2)</f>
        <v>37623.730000000003</v>
      </c>
      <c r="W53" s="197">
        <f>ROUND('[6]2031'!W57,2)</f>
        <v>41209.89</v>
      </c>
      <c r="X53" s="197">
        <f>ROUND('[6]2031'!X57,2)</f>
        <v>41270.19</v>
      </c>
      <c r="Y53" s="197">
        <f>ROUND('[6]2031'!Y57,2)</f>
        <v>40360.129999999997</v>
      </c>
      <c r="Z53" s="197">
        <f>ROUND('[6]2031'!Z57,2)</f>
        <v>38773.68</v>
      </c>
      <c r="AA53" s="197">
        <f>ROUND('[6]2031'!AA57,2)</f>
        <v>36288.620000000003</v>
      </c>
      <c r="AB53" s="197">
        <f>ROUND('[6]2031'!AB57,2)</f>
        <v>33660.089999999997</v>
      </c>
      <c r="AC53" s="210"/>
      <c r="AD53" s="18"/>
    </row>
    <row r="54" spans="2:50" ht="18.649999999999999" customHeight="1" thickBot="1" x14ac:dyDescent="0.4">
      <c r="B54" s="208"/>
      <c r="C54" s="15" t="s">
        <v>32</v>
      </c>
      <c r="D54" s="16">
        <f>+'[6]2031'!D58</f>
        <v>2</v>
      </c>
      <c r="E54" s="198">
        <f>ROUND('[6]2031'!E58,2)</f>
        <v>32162.54</v>
      </c>
      <c r="F54" s="198">
        <f>ROUND('[6]2031'!F58,2)</f>
        <v>30636.69</v>
      </c>
      <c r="G54" s="198">
        <f>ROUND('[6]2031'!G58,2)</f>
        <v>29315.439999999999</v>
      </c>
      <c r="H54" s="198">
        <f>ROUND('[6]2031'!H58,2)</f>
        <v>28424.93</v>
      </c>
      <c r="I54" s="198">
        <f>ROUND('[6]2031'!I58,2)</f>
        <v>28063.98</v>
      </c>
      <c r="J54" s="198">
        <f>ROUND('[6]2031'!J58,2)</f>
        <v>27591.119999999999</v>
      </c>
      <c r="K54" s="198">
        <f>ROUND('[6]2031'!K58,2)</f>
        <v>26910.19</v>
      </c>
      <c r="L54" s="198">
        <f>ROUND('[6]2031'!L58,2)</f>
        <v>28391.3</v>
      </c>
      <c r="M54" s="198">
        <f>ROUND('[6]2031'!M58,2)</f>
        <v>30421.84</v>
      </c>
      <c r="N54" s="198">
        <f>ROUND('[6]2031'!N58,2)</f>
        <v>32090.560000000001</v>
      </c>
      <c r="O54" s="198">
        <f>ROUND('[6]2031'!O58,2)</f>
        <v>33696.160000000003</v>
      </c>
      <c r="P54" s="198">
        <f>ROUND('[6]2031'!P58,2)</f>
        <v>34544.31</v>
      </c>
      <c r="Q54" s="198">
        <f>ROUND('[6]2031'!Q58,2)</f>
        <v>35173.620000000003</v>
      </c>
      <c r="R54" s="198">
        <f>ROUND('[6]2031'!R58,2)</f>
        <v>35140.46</v>
      </c>
      <c r="S54" s="198">
        <f>ROUND('[6]2031'!S58,2)</f>
        <v>35039.47</v>
      </c>
      <c r="T54" s="198">
        <f>ROUND('[6]2031'!T58,2)</f>
        <v>35199.21</v>
      </c>
      <c r="U54" s="198">
        <f>ROUND('[6]2031'!U58,2)</f>
        <v>35240.120000000003</v>
      </c>
      <c r="V54" s="198">
        <f>ROUND('[6]2031'!V58,2)</f>
        <v>37623.730000000003</v>
      </c>
      <c r="W54" s="198">
        <f>ROUND('[6]2031'!W58,2)</f>
        <v>41209.89</v>
      </c>
      <c r="X54" s="198">
        <f>ROUND('[6]2031'!X58,2)</f>
        <v>41270.19</v>
      </c>
      <c r="Y54" s="198">
        <f>ROUND('[6]2031'!Y58,2)</f>
        <v>40360.129999999997</v>
      </c>
      <c r="Z54" s="198">
        <f>ROUND('[6]2031'!Z58,2)</f>
        <v>38773.68</v>
      </c>
      <c r="AA54" s="198">
        <f>ROUND('[6]2031'!AA58,2)</f>
        <v>36288.620000000003</v>
      </c>
      <c r="AB54" s="198">
        <f>ROUND('[6]2031'!AB58,2)</f>
        <v>33660.089999999997</v>
      </c>
      <c r="AC54" s="210"/>
      <c r="AD54" s="18"/>
    </row>
    <row r="55" spans="2:50" ht="18.649999999999999" customHeight="1" x14ac:dyDescent="0.35">
      <c r="B55" s="211">
        <v>48183</v>
      </c>
      <c r="C55" s="6" t="s">
        <v>29</v>
      </c>
      <c r="D55" s="7">
        <f>+'[6]2031'!D59</f>
        <v>21</v>
      </c>
      <c r="E55" s="196">
        <f>ROUND('[6]2031'!E59,2)</f>
        <v>34227.35</v>
      </c>
      <c r="F55" s="196">
        <f>ROUND('[6]2031'!F59,2)</f>
        <v>32344.880000000001</v>
      </c>
      <c r="G55" s="196">
        <f>ROUND('[6]2031'!G59,2)</f>
        <v>31000.45</v>
      </c>
      <c r="H55" s="196">
        <f>ROUND('[6]2031'!H59,2)</f>
        <v>30167.360000000001</v>
      </c>
      <c r="I55" s="196">
        <f>ROUND('[6]2031'!I59,2)</f>
        <v>30060.22</v>
      </c>
      <c r="J55" s="196">
        <f>ROUND('[6]2031'!J59,2)</f>
        <v>30597.200000000001</v>
      </c>
      <c r="K55" s="196">
        <f>ROUND('[6]2031'!K59,2)</f>
        <v>30811.200000000001</v>
      </c>
      <c r="L55" s="196">
        <f>ROUND('[6]2031'!L59,2)</f>
        <v>34524.870000000003</v>
      </c>
      <c r="M55" s="196">
        <f>ROUND('[6]2031'!M59,2)</f>
        <v>38296.5</v>
      </c>
      <c r="N55" s="196">
        <f>ROUND('[6]2031'!N59,2)</f>
        <v>40456.120000000003</v>
      </c>
      <c r="O55" s="196">
        <f>ROUND('[6]2031'!O59,2)</f>
        <v>42356.9</v>
      </c>
      <c r="P55" s="196">
        <f>ROUND('[6]2031'!P59,2)</f>
        <v>43732.28</v>
      </c>
      <c r="Q55" s="196">
        <f>ROUND('[6]2031'!Q59,2)</f>
        <v>42528.160000000003</v>
      </c>
      <c r="R55" s="196">
        <f>ROUND('[6]2031'!R59,2)</f>
        <v>43073.14</v>
      </c>
      <c r="S55" s="196">
        <f>ROUND('[6]2031'!S59,2)</f>
        <v>44894.34</v>
      </c>
      <c r="T55" s="196">
        <f>ROUND('[6]2031'!T59,2)</f>
        <v>45454.74</v>
      </c>
      <c r="U55" s="196">
        <f>ROUND('[6]2031'!U59,2)</f>
        <v>45079.839999999997</v>
      </c>
      <c r="V55" s="196">
        <f>ROUND('[6]2031'!V59,2)</f>
        <v>45125.61</v>
      </c>
      <c r="W55" s="196">
        <f>ROUND('[6]2031'!W59,2)</f>
        <v>48603.05</v>
      </c>
      <c r="X55" s="196">
        <f>ROUND('[6]2031'!X59,2)</f>
        <v>47667.88</v>
      </c>
      <c r="Y55" s="196">
        <f>ROUND('[6]2031'!Y59,2)</f>
        <v>45923.15</v>
      </c>
      <c r="Z55" s="196">
        <f>ROUND('[6]2031'!Z59,2)</f>
        <v>43435.85</v>
      </c>
      <c r="AA55" s="196">
        <f>ROUND('[6]2031'!AA59,2)</f>
        <v>40243.879999999997</v>
      </c>
      <c r="AB55" s="196">
        <f>ROUND('[6]2031'!AB59,2)</f>
        <v>37137.919999999998</v>
      </c>
      <c r="AC55" s="209">
        <f>SUM(E55:AB55)*D55+SUM(E56:AB56)*D56+SUM(E57:AB57)*D57+SUM(E58:AB58)*D58</f>
        <v>28777538.370000001</v>
      </c>
      <c r="AD55" s="18"/>
    </row>
    <row r="56" spans="2:50" ht="18.649999999999999" customHeight="1" x14ac:dyDescent="0.35">
      <c r="B56" s="212" t="s">
        <v>34</v>
      </c>
      <c r="C56" s="9" t="s">
        <v>30</v>
      </c>
      <c r="D56" s="10">
        <f>+'[6]2031'!D60</f>
        <v>4</v>
      </c>
      <c r="E56" s="197">
        <f>ROUND('[6]2031'!E60,2)</f>
        <v>34781.629999999997</v>
      </c>
      <c r="F56" s="197">
        <f>ROUND('[6]2031'!F60,2)</f>
        <v>32812.51</v>
      </c>
      <c r="G56" s="197">
        <f>ROUND('[6]2031'!G60,2)</f>
        <v>31515.34</v>
      </c>
      <c r="H56" s="197">
        <f>ROUND('[6]2031'!H60,2)</f>
        <v>30564.27</v>
      </c>
      <c r="I56" s="197">
        <f>ROUND('[6]2031'!I60,2)</f>
        <v>30301.38</v>
      </c>
      <c r="J56" s="197">
        <f>ROUND('[6]2031'!J60,2)</f>
        <v>30354.23</v>
      </c>
      <c r="K56" s="197">
        <f>ROUND('[6]2031'!K60,2)</f>
        <v>30052.720000000001</v>
      </c>
      <c r="L56" s="197">
        <f>ROUND('[6]2031'!L60,2)</f>
        <v>32812.120000000003</v>
      </c>
      <c r="M56" s="197">
        <f>ROUND('[6]2031'!M60,2)</f>
        <v>36806.160000000003</v>
      </c>
      <c r="N56" s="197">
        <f>ROUND('[6]2031'!N60,2)</f>
        <v>39148.43</v>
      </c>
      <c r="O56" s="197">
        <f>ROUND('[6]2031'!O60,2)</f>
        <v>41121.14</v>
      </c>
      <c r="P56" s="197">
        <f>ROUND('[6]2031'!P60,2)</f>
        <v>42325.16</v>
      </c>
      <c r="Q56" s="197">
        <f>ROUND('[6]2031'!Q60,2)</f>
        <v>41639.65</v>
      </c>
      <c r="R56" s="197">
        <f>ROUND('[6]2031'!R60,2)</f>
        <v>41338.54</v>
      </c>
      <c r="S56" s="197">
        <f>ROUND('[6]2031'!S60,2)</f>
        <v>41165.25</v>
      </c>
      <c r="T56" s="197">
        <f>ROUND('[6]2031'!T60,2)</f>
        <v>41607.230000000003</v>
      </c>
      <c r="U56" s="197">
        <f>ROUND('[6]2031'!U60,2)</f>
        <v>41477.980000000003</v>
      </c>
      <c r="V56" s="197">
        <f>ROUND('[6]2031'!V60,2)</f>
        <v>42395.12</v>
      </c>
      <c r="W56" s="197">
        <f>ROUND('[6]2031'!W60,2)</f>
        <v>47091.33</v>
      </c>
      <c r="X56" s="197">
        <f>ROUND('[6]2031'!X60,2)</f>
        <v>46423.35</v>
      </c>
      <c r="Y56" s="197">
        <f>ROUND('[6]2031'!Y60,2)</f>
        <v>44675.54</v>
      </c>
      <c r="Z56" s="197">
        <f>ROUND('[6]2031'!Z60,2)</f>
        <v>42768.69</v>
      </c>
      <c r="AA56" s="197">
        <f>ROUND('[6]2031'!AA60,2)</f>
        <v>40124.86</v>
      </c>
      <c r="AB56" s="197">
        <f>ROUND('[6]2031'!AB60,2)</f>
        <v>37401.15</v>
      </c>
      <c r="AC56" s="210"/>
      <c r="AD56" s="18"/>
    </row>
    <row r="57" spans="2:50" ht="18.649999999999999" customHeight="1" x14ac:dyDescent="0.35">
      <c r="B57" s="212" t="s">
        <v>34</v>
      </c>
      <c r="C57" s="9" t="s">
        <v>31</v>
      </c>
      <c r="D57" s="10">
        <f>+'[6]2031'!D61</f>
        <v>4</v>
      </c>
      <c r="E57" s="197">
        <f>ROUND('[6]2031'!E61,2)</f>
        <v>35001.199999999997</v>
      </c>
      <c r="F57" s="197">
        <f>ROUND('[6]2031'!F61,2)</f>
        <v>33280.89</v>
      </c>
      <c r="G57" s="197">
        <f>ROUND('[6]2031'!G61,2)</f>
        <v>31895.33</v>
      </c>
      <c r="H57" s="197">
        <f>ROUND('[6]2031'!H61,2)</f>
        <v>30919.58</v>
      </c>
      <c r="I57" s="197">
        <f>ROUND('[6]2031'!I61,2)</f>
        <v>30479.4</v>
      </c>
      <c r="J57" s="197">
        <f>ROUND('[6]2031'!J61,2)</f>
        <v>30171.82</v>
      </c>
      <c r="K57" s="197">
        <f>ROUND('[6]2031'!K61,2)</f>
        <v>28827.5</v>
      </c>
      <c r="L57" s="197">
        <f>ROUND('[6]2031'!L61,2)</f>
        <v>30281.65</v>
      </c>
      <c r="M57" s="197">
        <f>ROUND('[6]2031'!M61,2)</f>
        <v>32593.119999999999</v>
      </c>
      <c r="N57" s="197">
        <f>ROUND('[6]2031'!N61,2)</f>
        <v>34577.49</v>
      </c>
      <c r="O57" s="197">
        <f>ROUND('[6]2031'!O61,2)</f>
        <v>35882.89</v>
      </c>
      <c r="P57" s="197">
        <f>ROUND('[6]2031'!P61,2)</f>
        <v>36951.85</v>
      </c>
      <c r="Q57" s="197">
        <f>ROUND('[6]2031'!Q61,2)</f>
        <v>37587.54</v>
      </c>
      <c r="R57" s="197">
        <f>ROUND('[6]2031'!R61,2)</f>
        <v>37941.519999999997</v>
      </c>
      <c r="S57" s="197">
        <f>ROUND('[6]2031'!S61,2)</f>
        <v>36869.14</v>
      </c>
      <c r="T57" s="197">
        <f>ROUND('[6]2031'!T61,2)</f>
        <v>37877.5</v>
      </c>
      <c r="U57" s="197">
        <f>ROUND('[6]2031'!U61,2)</f>
        <v>38102.65</v>
      </c>
      <c r="V57" s="197">
        <f>ROUND('[6]2031'!V61,2)</f>
        <v>39374.81</v>
      </c>
      <c r="W57" s="197">
        <f>ROUND('[6]2031'!W61,2)</f>
        <v>44150.86</v>
      </c>
      <c r="X57" s="197">
        <f>ROUND('[6]2031'!X61,2)</f>
        <v>43799.59</v>
      </c>
      <c r="Y57" s="197">
        <f>ROUND('[6]2031'!Y61,2)</f>
        <v>42656.54</v>
      </c>
      <c r="Z57" s="197">
        <f>ROUND('[6]2031'!Z61,2)</f>
        <v>41090.51</v>
      </c>
      <c r="AA57" s="197">
        <f>ROUND('[6]2031'!AA61,2)</f>
        <v>38721.440000000002</v>
      </c>
      <c r="AB57" s="197">
        <f>ROUND('[6]2031'!AB61,2)</f>
        <v>36318.94</v>
      </c>
      <c r="AC57" s="210"/>
      <c r="AD57" s="18"/>
    </row>
    <row r="58" spans="2:50" ht="18.649999999999999" customHeight="1" thickBot="1" x14ac:dyDescent="0.4">
      <c r="B58" s="213" t="s">
        <v>34</v>
      </c>
      <c r="C58" s="11" t="s">
        <v>32</v>
      </c>
      <c r="D58" s="12">
        <f>+'[6]2031'!D62</f>
        <v>2</v>
      </c>
      <c r="E58" s="201">
        <f>ROUND('[6]2031'!E62,2)</f>
        <v>35001.199999999997</v>
      </c>
      <c r="F58" s="201">
        <f>ROUND('[6]2031'!F62,2)</f>
        <v>33280.89</v>
      </c>
      <c r="G58" s="201">
        <f>ROUND('[6]2031'!G62,2)</f>
        <v>31895.33</v>
      </c>
      <c r="H58" s="201">
        <f>ROUND('[6]2031'!H62,2)</f>
        <v>30919.58</v>
      </c>
      <c r="I58" s="201">
        <f>ROUND('[6]2031'!I62,2)</f>
        <v>30479.4</v>
      </c>
      <c r="J58" s="201">
        <f>ROUND('[6]2031'!J62,2)</f>
        <v>30171.82</v>
      </c>
      <c r="K58" s="201">
        <f>ROUND('[6]2031'!K62,2)</f>
        <v>28827.5</v>
      </c>
      <c r="L58" s="201">
        <f>ROUND('[6]2031'!L62,2)</f>
        <v>30281.65</v>
      </c>
      <c r="M58" s="201">
        <f>ROUND('[6]2031'!M62,2)</f>
        <v>32593.119999999999</v>
      </c>
      <c r="N58" s="201">
        <f>ROUND('[6]2031'!N62,2)</f>
        <v>34577.49</v>
      </c>
      <c r="O58" s="201">
        <f>ROUND('[6]2031'!O62,2)</f>
        <v>35882.89</v>
      </c>
      <c r="P58" s="201">
        <f>ROUND('[6]2031'!P62,2)</f>
        <v>36951.85</v>
      </c>
      <c r="Q58" s="201">
        <f>ROUND('[6]2031'!Q62,2)</f>
        <v>37587.54</v>
      </c>
      <c r="R58" s="201">
        <f>ROUND('[6]2031'!R62,2)</f>
        <v>37941.519999999997</v>
      </c>
      <c r="S58" s="201">
        <f>ROUND('[6]2031'!S62,2)</f>
        <v>36869.14</v>
      </c>
      <c r="T58" s="201">
        <f>ROUND('[6]2031'!T62,2)</f>
        <v>37877.5</v>
      </c>
      <c r="U58" s="201">
        <f>ROUND('[6]2031'!U62,2)</f>
        <v>38102.65</v>
      </c>
      <c r="V58" s="201">
        <f>ROUND('[6]2031'!V62,2)</f>
        <v>39374.81</v>
      </c>
      <c r="W58" s="201">
        <f>ROUND('[6]2031'!W62,2)</f>
        <v>44150.86</v>
      </c>
      <c r="X58" s="201">
        <f>ROUND('[6]2031'!X62,2)</f>
        <v>43799.59</v>
      </c>
      <c r="Y58" s="201">
        <f>ROUND('[6]2031'!Y62,2)</f>
        <v>42656.54</v>
      </c>
      <c r="Z58" s="201">
        <f>ROUND('[6]2031'!Z62,2)</f>
        <v>41090.51</v>
      </c>
      <c r="AA58" s="201">
        <f>ROUND('[6]2031'!AA62,2)</f>
        <v>38721.440000000002</v>
      </c>
      <c r="AB58" s="201">
        <f>ROUND('[6]2031'!AB62,2)</f>
        <v>36318.94</v>
      </c>
      <c r="AC58" s="214"/>
      <c r="AD58" s="18"/>
    </row>
    <row r="59" spans="2:50" ht="18.649999999999999" customHeight="1" thickBot="1" x14ac:dyDescent="0.4"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215" t="s">
        <v>33</v>
      </c>
      <c r="AA59" s="216"/>
      <c r="AB59" s="217"/>
      <c r="AC59" s="135">
        <f>SUM(AC11:AC58)</f>
        <v>339003483.22000003</v>
      </c>
      <c r="AD59" s="17"/>
      <c r="AE59" s="18"/>
    </row>
    <row r="60" spans="2:50" ht="18.649999999999999" customHeight="1" x14ac:dyDescent="0.35">
      <c r="B60" s="207">
        <v>48214</v>
      </c>
      <c r="C60" s="6" t="s">
        <v>29</v>
      </c>
      <c r="D60" s="46">
        <f>+'[6]2032'!D15</f>
        <v>20</v>
      </c>
      <c r="E60" s="78">
        <f>ROUND('[6]2032'!E15,2)</f>
        <v>35355.43</v>
      </c>
      <c r="F60" s="78">
        <f>ROUND('[6]2032'!F15,2)</f>
        <v>33549.89</v>
      </c>
      <c r="G60" s="78">
        <f>ROUND('[6]2032'!G15,2)</f>
        <v>32191.67</v>
      </c>
      <c r="H60" s="78">
        <f>ROUND('[6]2032'!H15,2)</f>
        <v>31205.82</v>
      </c>
      <c r="I60" s="78">
        <f>ROUND('[6]2032'!I15,2)</f>
        <v>31033.81</v>
      </c>
      <c r="J60" s="78">
        <f>ROUND('[6]2032'!J15,2)</f>
        <v>32072.33</v>
      </c>
      <c r="K60" s="78">
        <f>ROUND('[6]2032'!K15,2)</f>
        <v>31782.81</v>
      </c>
      <c r="L60" s="78">
        <f>ROUND('[6]2032'!L15,2)</f>
        <v>35455.42</v>
      </c>
      <c r="M60" s="78">
        <f>ROUND('[6]2032'!M15,2)</f>
        <v>39359.29</v>
      </c>
      <c r="N60" s="78">
        <f>ROUND('[6]2032'!N15,2)</f>
        <v>41388.01</v>
      </c>
      <c r="O60" s="78">
        <f>ROUND('[6]2032'!O15,2)</f>
        <v>43584.27</v>
      </c>
      <c r="P60" s="78">
        <f>ROUND('[6]2032'!P15,2)</f>
        <v>45382.080000000002</v>
      </c>
      <c r="Q60" s="78">
        <f>ROUND('[6]2032'!Q15,2)</f>
        <v>44139.47</v>
      </c>
      <c r="R60" s="78">
        <f>ROUND('[6]2032'!R15,2)</f>
        <v>45354.74</v>
      </c>
      <c r="S60" s="78">
        <f>ROUND('[6]2032'!S15,2)</f>
        <v>47458.64</v>
      </c>
      <c r="T60" s="78">
        <f>ROUND('[6]2032'!T15,2)</f>
        <v>47710.94</v>
      </c>
      <c r="U60" s="78">
        <f>ROUND('[6]2032'!U15,2)</f>
        <v>46921.89</v>
      </c>
      <c r="V60" s="78">
        <f>ROUND('[6]2032'!V15,2)</f>
        <v>45192.81</v>
      </c>
      <c r="W60" s="78">
        <f>ROUND('[6]2032'!W15,2)</f>
        <v>48344.87</v>
      </c>
      <c r="X60" s="78">
        <f>ROUND('[6]2032'!X15,2)</f>
        <v>48517.26</v>
      </c>
      <c r="Y60" s="78">
        <f>ROUND('[6]2032'!Y15,2)</f>
        <v>47242.82</v>
      </c>
      <c r="Z60" s="78">
        <f>ROUND('[6]2032'!Z15,2)</f>
        <v>45171.27</v>
      </c>
      <c r="AA60" s="78">
        <f>ROUND('[6]2032'!AA15,2)</f>
        <v>41968.84</v>
      </c>
      <c r="AB60" s="78">
        <f>ROUND('[6]2032'!AB15,2)</f>
        <v>38549.910000000003</v>
      </c>
      <c r="AC60" s="209">
        <f>SUM(E60:AB60)*D60+SUM(E61:AB61)*D61+SUM(E62:AB62)*D62+SUM(E63:AB63)*D63</f>
        <v>29383992.550000001</v>
      </c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</row>
    <row r="61" spans="2:50" ht="18.649999999999999" customHeight="1" x14ac:dyDescent="0.35">
      <c r="B61" s="208"/>
      <c r="C61" s="9" t="s">
        <v>30</v>
      </c>
      <c r="D61" s="10">
        <f>+'[6]2032'!D16</f>
        <v>5</v>
      </c>
      <c r="E61" s="79">
        <f>ROUND('[6]2032'!E16,2)</f>
        <v>35099.17</v>
      </c>
      <c r="F61" s="79">
        <f>ROUND('[6]2032'!F16,2)</f>
        <v>33413.410000000003</v>
      </c>
      <c r="G61" s="79">
        <f>ROUND('[6]2032'!G16,2)</f>
        <v>32089.34</v>
      </c>
      <c r="H61" s="79">
        <f>ROUND('[6]2032'!H16,2)</f>
        <v>31078.12</v>
      </c>
      <c r="I61" s="79">
        <f>ROUND('[6]2032'!I16,2)</f>
        <v>30772.05</v>
      </c>
      <c r="J61" s="79">
        <f>ROUND('[6]2032'!J16,2)</f>
        <v>31018.21</v>
      </c>
      <c r="K61" s="79">
        <f>ROUND('[6]2032'!K16,2)</f>
        <v>30218.82</v>
      </c>
      <c r="L61" s="79">
        <f>ROUND('[6]2032'!L16,2)</f>
        <v>33204.400000000001</v>
      </c>
      <c r="M61" s="79">
        <f>ROUND('[6]2032'!M16,2)</f>
        <v>36896.18</v>
      </c>
      <c r="N61" s="79">
        <f>ROUND('[6]2032'!N16,2)</f>
        <v>39341.26</v>
      </c>
      <c r="O61" s="79">
        <f>ROUND('[6]2032'!O16,2)</f>
        <v>41264.93</v>
      </c>
      <c r="P61" s="79">
        <f>ROUND('[6]2032'!P16,2)</f>
        <v>42305.9</v>
      </c>
      <c r="Q61" s="79">
        <f>ROUND('[6]2032'!Q16,2)</f>
        <v>41935.99</v>
      </c>
      <c r="R61" s="79">
        <f>ROUND('[6]2032'!R16,2)</f>
        <v>41048.07</v>
      </c>
      <c r="S61" s="79">
        <f>ROUND('[6]2032'!S16,2)</f>
        <v>41241.769999999997</v>
      </c>
      <c r="T61" s="79">
        <f>ROUND('[6]2032'!T16,2)</f>
        <v>41384.839999999997</v>
      </c>
      <c r="U61" s="79">
        <f>ROUND('[6]2032'!U16,2)</f>
        <v>40974.720000000001</v>
      </c>
      <c r="V61" s="79">
        <f>ROUND('[6]2032'!V16,2)</f>
        <v>41123.15</v>
      </c>
      <c r="W61" s="79">
        <f>ROUND('[6]2032'!W16,2)</f>
        <v>45681.46</v>
      </c>
      <c r="X61" s="79">
        <f>ROUND('[6]2032'!X16,2)</f>
        <v>46008.59</v>
      </c>
      <c r="Y61" s="79">
        <f>ROUND('[6]2032'!Y16,2)</f>
        <v>44640.98</v>
      </c>
      <c r="Z61" s="79">
        <f>ROUND('[6]2032'!Z16,2)</f>
        <v>42832.06</v>
      </c>
      <c r="AA61" s="79">
        <f>ROUND('[6]2032'!AA16,2)</f>
        <v>40481.31</v>
      </c>
      <c r="AB61" s="79">
        <f>ROUND('[6]2032'!AB16,2)</f>
        <v>37874.42</v>
      </c>
      <c r="AC61" s="210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</row>
    <row r="62" spans="2:50" ht="18.649999999999999" customHeight="1" x14ac:dyDescent="0.35">
      <c r="B62" s="208"/>
      <c r="C62" s="9" t="s">
        <v>31</v>
      </c>
      <c r="D62" s="10">
        <f>+'[6]2032'!D17</f>
        <v>4</v>
      </c>
      <c r="E62" s="79">
        <f>ROUND('[6]2032'!E17,2)</f>
        <v>35331.79</v>
      </c>
      <c r="F62" s="79">
        <f>ROUND('[6]2032'!F17,2)</f>
        <v>33595.94</v>
      </c>
      <c r="G62" s="79">
        <f>ROUND('[6]2032'!G17,2)</f>
        <v>32196.22</v>
      </c>
      <c r="H62" s="79">
        <f>ROUND('[6]2032'!H17,2)</f>
        <v>31169.29</v>
      </c>
      <c r="I62" s="79">
        <f>ROUND('[6]2032'!I17,2)</f>
        <v>30663.87</v>
      </c>
      <c r="J62" s="79">
        <f>ROUND('[6]2032'!J17,2)</f>
        <v>30503.02</v>
      </c>
      <c r="K62" s="79">
        <f>ROUND('[6]2032'!K17,2)</f>
        <v>28859.62</v>
      </c>
      <c r="L62" s="79">
        <f>ROUND('[6]2032'!L17,2)</f>
        <v>30147.119999999999</v>
      </c>
      <c r="M62" s="79">
        <f>ROUND('[6]2032'!M17,2)</f>
        <v>32210.91</v>
      </c>
      <c r="N62" s="79">
        <f>ROUND('[6]2032'!N17,2)</f>
        <v>33799.96</v>
      </c>
      <c r="O62" s="79">
        <f>ROUND('[6]2032'!O17,2)</f>
        <v>35320.230000000003</v>
      </c>
      <c r="P62" s="79">
        <f>ROUND('[6]2032'!P17,2)</f>
        <v>36550.07</v>
      </c>
      <c r="Q62" s="79">
        <f>ROUND('[6]2032'!Q17,2)</f>
        <v>37388.269999999997</v>
      </c>
      <c r="R62" s="79">
        <f>ROUND('[6]2032'!R17,2)</f>
        <v>37489.129999999997</v>
      </c>
      <c r="S62" s="79">
        <f>ROUND('[6]2032'!S17,2)</f>
        <v>37508.129999999997</v>
      </c>
      <c r="T62" s="79">
        <f>ROUND('[6]2032'!T17,2)</f>
        <v>37637.17</v>
      </c>
      <c r="U62" s="79">
        <f>ROUND('[6]2032'!U17,2)</f>
        <v>37656.300000000003</v>
      </c>
      <c r="V62" s="79">
        <f>ROUND('[6]2032'!V17,2)</f>
        <v>38053.96</v>
      </c>
      <c r="W62" s="79">
        <f>ROUND('[6]2032'!W17,2)</f>
        <v>43021.83</v>
      </c>
      <c r="X62" s="79">
        <f>ROUND('[6]2032'!X17,2)</f>
        <v>44254.12</v>
      </c>
      <c r="Y62" s="79">
        <f>ROUND('[6]2032'!Y17,2)</f>
        <v>43785.89</v>
      </c>
      <c r="Z62" s="79">
        <f>ROUND('[6]2032'!Z17,2)</f>
        <v>42345.55</v>
      </c>
      <c r="AA62" s="79">
        <f>ROUND('[6]2032'!AA17,2)</f>
        <v>39766.120000000003</v>
      </c>
      <c r="AB62" s="79">
        <f>ROUND('[6]2032'!AB17,2)</f>
        <v>36688.99</v>
      </c>
      <c r="AC62" s="210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</row>
    <row r="63" spans="2:50" ht="18.649999999999999" customHeight="1" thickBot="1" x14ac:dyDescent="0.4">
      <c r="B63" s="208"/>
      <c r="C63" s="15" t="s">
        <v>32</v>
      </c>
      <c r="D63" s="16">
        <f>+'[6]2032'!D18</f>
        <v>2</v>
      </c>
      <c r="E63" s="80">
        <f>ROUND('[6]2032'!E18,2)</f>
        <v>35331.79</v>
      </c>
      <c r="F63" s="80">
        <f>ROUND('[6]2032'!F18,2)</f>
        <v>33595.94</v>
      </c>
      <c r="G63" s="80">
        <f>ROUND('[6]2032'!G18,2)</f>
        <v>32196.22</v>
      </c>
      <c r="H63" s="80">
        <f>ROUND('[6]2032'!H18,2)</f>
        <v>31169.29</v>
      </c>
      <c r="I63" s="80">
        <f>ROUND('[6]2032'!I18,2)</f>
        <v>30663.87</v>
      </c>
      <c r="J63" s="80">
        <f>ROUND('[6]2032'!J18,2)</f>
        <v>30503.02</v>
      </c>
      <c r="K63" s="80">
        <f>ROUND('[6]2032'!K18,2)</f>
        <v>28859.62</v>
      </c>
      <c r="L63" s="80">
        <f>ROUND('[6]2032'!L18,2)</f>
        <v>30147.119999999999</v>
      </c>
      <c r="M63" s="80">
        <f>ROUND('[6]2032'!M18,2)</f>
        <v>32210.91</v>
      </c>
      <c r="N63" s="80">
        <f>ROUND('[6]2032'!N18,2)</f>
        <v>33799.96</v>
      </c>
      <c r="O63" s="80">
        <f>ROUND('[6]2032'!O18,2)</f>
        <v>35320.230000000003</v>
      </c>
      <c r="P63" s="80">
        <f>ROUND('[6]2032'!P18,2)</f>
        <v>36550.07</v>
      </c>
      <c r="Q63" s="80">
        <f>ROUND('[6]2032'!Q18,2)</f>
        <v>37388.269999999997</v>
      </c>
      <c r="R63" s="80">
        <f>ROUND('[6]2032'!R18,2)</f>
        <v>37489.129999999997</v>
      </c>
      <c r="S63" s="80">
        <f>ROUND('[6]2032'!S18,2)</f>
        <v>37508.129999999997</v>
      </c>
      <c r="T63" s="80">
        <f>ROUND('[6]2032'!T18,2)</f>
        <v>37637.17</v>
      </c>
      <c r="U63" s="80">
        <f>ROUND('[6]2032'!U18,2)</f>
        <v>37656.300000000003</v>
      </c>
      <c r="V63" s="80">
        <f>ROUND('[6]2032'!V18,2)</f>
        <v>38053.96</v>
      </c>
      <c r="W63" s="80">
        <f>ROUND('[6]2032'!W18,2)</f>
        <v>43021.83</v>
      </c>
      <c r="X63" s="80">
        <f>ROUND('[6]2032'!X18,2)</f>
        <v>44254.12</v>
      </c>
      <c r="Y63" s="80">
        <f>ROUND('[6]2032'!Y18,2)</f>
        <v>43785.89</v>
      </c>
      <c r="Z63" s="80">
        <f>ROUND('[6]2032'!Z18,2)</f>
        <v>42345.55</v>
      </c>
      <c r="AA63" s="80">
        <f>ROUND('[6]2032'!AA18,2)</f>
        <v>39766.120000000003</v>
      </c>
      <c r="AB63" s="80">
        <f>ROUND('[6]2032'!AB18,2)</f>
        <v>36688.99</v>
      </c>
      <c r="AC63" s="210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</row>
    <row r="64" spans="2:50" ht="18.649999999999999" customHeight="1" x14ac:dyDescent="0.35">
      <c r="B64" s="211">
        <v>48245</v>
      </c>
      <c r="C64" s="6" t="s">
        <v>29</v>
      </c>
      <c r="D64" s="7">
        <f>+'[6]2032'!D19</f>
        <v>20</v>
      </c>
      <c r="E64" s="78">
        <f>ROUND('[6]2032'!E19,2)</f>
        <v>35923.29</v>
      </c>
      <c r="F64" s="78">
        <f>ROUND('[6]2032'!F19,2)</f>
        <v>34159.839999999997</v>
      </c>
      <c r="G64" s="78">
        <f>ROUND('[6]2032'!G19,2)</f>
        <v>32752.080000000002</v>
      </c>
      <c r="H64" s="78">
        <f>ROUND('[6]2032'!H19,2)</f>
        <v>31731.57</v>
      </c>
      <c r="I64" s="78">
        <f>ROUND('[6]2032'!I19,2)</f>
        <v>31696.03</v>
      </c>
      <c r="J64" s="78">
        <f>ROUND('[6]2032'!J19,2)</f>
        <v>33601.15</v>
      </c>
      <c r="K64" s="78">
        <f>ROUND('[6]2032'!K19,2)</f>
        <v>33277.660000000003</v>
      </c>
      <c r="L64" s="78">
        <f>ROUND('[6]2032'!L19,2)</f>
        <v>36516.67</v>
      </c>
      <c r="M64" s="78">
        <f>ROUND('[6]2032'!M19,2)</f>
        <v>40080.07</v>
      </c>
      <c r="N64" s="78">
        <f>ROUND('[6]2032'!N19,2)</f>
        <v>41809.08</v>
      </c>
      <c r="O64" s="78">
        <f>ROUND('[6]2032'!O19,2)</f>
        <v>43897.45</v>
      </c>
      <c r="P64" s="78">
        <f>ROUND('[6]2032'!P19,2)</f>
        <v>45548.92</v>
      </c>
      <c r="Q64" s="78">
        <f>ROUND('[6]2032'!Q19,2)</f>
        <v>44025.43</v>
      </c>
      <c r="R64" s="78">
        <f>ROUND('[6]2032'!R19,2)</f>
        <v>45607.21</v>
      </c>
      <c r="S64" s="78">
        <f>ROUND('[6]2032'!S19,2)</f>
        <v>48148.53</v>
      </c>
      <c r="T64" s="78">
        <f>ROUND('[6]2032'!T19,2)</f>
        <v>48542.22</v>
      </c>
      <c r="U64" s="78">
        <f>ROUND('[6]2032'!U19,2)</f>
        <v>47817.74</v>
      </c>
      <c r="V64" s="78">
        <f>ROUND('[6]2032'!V19,2)</f>
        <v>45868.11</v>
      </c>
      <c r="W64" s="78">
        <f>ROUND('[6]2032'!W19,2)</f>
        <v>48587.02</v>
      </c>
      <c r="X64" s="78">
        <f>ROUND('[6]2032'!X19,2)</f>
        <v>49274.02</v>
      </c>
      <c r="Y64" s="78">
        <f>ROUND('[6]2032'!Y19,2)</f>
        <v>48211.75</v>
      </c>
      <c r="Z64" s="78">
        <f>ROUND('[6]2032'!Z19,2)</f>
        <v>46085.599999999999</v>
      </c>
      <c r="AA64" s="78">
        <f>ROUND('[6]2032'!AA19,2)</f>
        <v>42455.839999999997</v>
      </c>
      <c r="AB64" s="78">
        <f>ROUND('[6]2032'!AB19,2)</f>
        <v>38856.9</v>
      </c>
      <c r="AC64" s="209">
        <f>SUM(E64:AB64)*D64+SUM(E65:AB65)*D65+SUM(E66:AB66)*D66+SUM(E67:AB67)*D67</f>
        <v>28098055.419999998</v>
      </c>
      <c r="AD64" s="18"/>
    </row>
    <row r="65" spans="2:30" ht="18.649999999999999" customHeight="1" x14ac:dyDescent="0.35">
      <c r="B65" s="212" t="s">
        <v>34</v>
      </c>
      <c r="C65" s="9" t="s">
        <v>30</v>
      </c>
      <c r="D65" s="10">
        <f>+'[6]2032'!D20</f>
        <v>4</v>
      </c>
      <c r="E65" s="79">
        <f>ROUND('[6]2032'!E20,2)</f>
        <v>36418.720000000001</v>
      </c>
      <c r="F65" s="79">
        <f>ROUND('[6]2032'!F20,2)</f>
        <v>34449.58</v>
      </c>
      <c r="G65" s="79">
        <f>ROUND('[6]2032'!G20,2)</f>
        <v>33165.42</v>
      </c>
      <c r="H65" s="79">
        <f>ROUND('[6]2032'!H20,2)</f>
        <v>31944.75</v>
      </c>
      <c r="I65" s="79">
        <f>ROUND('[6]2032'!I20,2)</f>
        <v>31560.21</v>
      </c>
      <c r="J65" s="79">
        <f>ROUND('[6]2032'!J20,2)</f>
        <v>31926.93</v>
      </c>
      <c r="K65" s="79">
        <f>ROUND('[6]2032'!K20,2)</f>
        <v>31360.78</v>
      </c>
      <c r="L65" s="79">
        <f>ROUND('[6]2032'!L20,2)</f>
        <v>34258.69</v>
      </c>
      <c r="M65" s="79">
        <f>ROUND('[6]2032'!M20,2)</f>
        <v>37806.050000000003</v>
      </c>
      <c r="N65" s="79">
        <f>ROUND('[6]2032'!N20,2)</f>
        <v>39912.82</v>
      </c>
      <c r="O65" s="79">
        <f>ROUND('[6]2032'!O20,2)</f>
        <v>41849.24</v>
      </c>
      <c r="P65" s="79">
        <f>ROUND('[6]2032'!P20,2)</f>
        <v>42822.63</v>
      </c>
      <c r="Q65" s="79">
        <f>ROUND('[6]2032'!Q20,2)</f>
        <v>42139.54</v>
      </c>
      <c r="R65" s="79">
        <f>ROUND('[6]2032'!R20,2)</f>
        <v>41593.19</v>
      </c>
      <c r="S65" s="79">
        <f>ROUND('[6]2032'!S20,2)</f>
        <v>41784.57</v>
      </c>
      <c r="T65" s="79">
        <f>ROUND('[6]2032'!T20,2)</f>
        <v>41904.160000000003</v>
      </c>
      <c r="U65" s="79">
        <f>ROUND('[6]2032'!U20,2)</f>
        <v>41609.620000000003</v>
      </c>
      <c r="V65" s="79">
        <f>ROUND('[6]2032'!V20,2)</f>
        <v>41487.370000000003</v>
      </c>
      <c r="W65" s="79">
        <f>ROUND('[6]2032'!W20,2)</f>
        <v>45794.46</v>
      </c>
      <c r="X65" s="79">
        <f>ROUND('[6]2032'!X20,2)</f>
        <v>46457.94</v>
      </c>
      <c r="Y65" s="79">
        <f>ROUND('[6]2032'!Y20,2)</f>
        <v>45371.86</v>
      </c>
      <c r="Z65" s="79">
        <f>ROUND('[6]2032'!Z20,2)</f>
        <v>43643.35</v>
      </c>
      <c r="AA65" s="79">
        <f>ROUND('[6]2032'!AA20,2)</f>
        <v>41361.54</v>
      </c>
      <c r="AB65" s="79">
        <f>ROUND('[6]2032'!AB20,2)</f>
        <v>38644.46</v>
      </c>
      <c r="AC65" s="210"/>
      <c r="AD65" s="18"/>
    </row>
    <row r="66" spans="2:30" ht="18.649999999999999" customHeight="1" x14ac:dyDescent="0.35">
      <c r="B66" s="212" t="s">
        <v>34</v>
      </c>
      <c r="C66" s="9" t="s">
        <v>31</v>
      </c>
      <c r="D66" s="10">
        <f>+'[6]2032'!D21</f>
        <v>5</v>
      </c>
      <c r="E66" s="79">
        <f>ROUND('[6]2032'!E21,2)</f>
        <v>36317.32</v>
      </c>
      <c r="F66" s="79">
        <f>ROUND('[6]2032'!F21,2)</f>
        <v>34562.800000000003</v>
      </c>
      <c r="G66" s="79">
        <f>ROUND('[6]2032'!G21,2)</f>
        <v>33146.080000000002</v>
      </c>
      <c r="H66" s="79">
        <f>ROUND('[6]2032'!H21,2)</f>
        <v>32094.17</v>
      </c>
      <c r="I66" s="79">
        <f>ROUND('[6]2032'!I21,2)</f>
        <v>31552.67</v>
      </c>
      <c r="J66" s="79">
        <f>ROUND('[6]2032'!J21,2)</f>
        <v>31517.52</v>
      </c>
      <c r="K66" s="79">
        <f>ROUND('[6]2032'!K21,2)</f>
        <v>29863.54</v>
      </c>
      <c r="L66" s="79">
        <f>ROUND('[6]2032'!L21,2)</f>
        <v>31151.55</v>
      </c>
      <c r="M66" s="79">
        <f>ROUND('[6]2032'!M21,2)</f>
        <v>33116.699999999997</v>
      </c>
      <c r="N66" s="79">
        <f>ROUND('[6]2032'!N21,2)</f>
        <v>34508.86</v>
      </c>
      <c r="O66" s="79">
        <f>ROUND('[6]2032'!O21,2)</f>
        <v>35926.22</v>
      </c>
      <c r="P66" s="79">
        <f>ROUND('[6]2032'!P21,2)</f>
        <v>37242.76</v>
      </c>
      <c r="Q66" s="79">
        <f>ROUND('[6]2032'!Q21,2)</f>
        <v>38117.01</v>
      </c>
      <c r="R66" s="79">
        <f>ROUND('[6]2032'!R21,2)</f>
        <v>38343.67</v>
      </c>
      <c r="S66" s="79">
        <f>ROUND('[6]2032'!S21,2)</f>
        <v>38725.67</v>
      </c>
      <c r="T66" s="79">
        <f>ROUND('[6]2032'!T21,2)</f>
        <v>39025.980000000003</v>
      </c>
      <c r="U66" s="79">
        <f>ROUND('[6]2032'!U21,2)</f>
        <v>38900.120000000003</v>
      </c>
      <c r="V66" s="79">
        <f>ROUND('[6]2032'!V21,2)</f>
        <v>38661.21</v>
      </c>
      <c r="W66" s="79">
        <f>ROUND('[6]2032'!W21,2)</f>
        <v>43693.67</v>
      </c>
      <c r="X66" s="79">
        <f>ROUND('[6]2032'!X21,2)</f>
        <v>45505.79</v>
      </c>
      <c r="Y66" s="79">
        <f>ROUND('[6]2032'!Y21,2)</f>
        <v>45488.9</v>
      </c>
      <c r="Z66" s="79">
        <f>ROUND('[6]2032'!Z21,2)</f>
        <v>44408.77</v>
      </c>
      <c r="AA66" s="79">
        <f>ROUND('[6]2032'!AA21,2)</f>
        <v>40804.160000000003</v>
      </c>
      <c r="AB66" s="79">
        <f>ROUND('[6]2032'!AB21,2)</f>
        <v>37624.92</v>
      </c>
      <c r="AC66" s="210"/>
      <c r="AD66" s="18"/>
    </row>
    <row r="67" spans="2:30" ht="18.649999999999999" customHeight="1" thickBot="1" x14ac:dyDescent="0.4">
      <c r="B67" s="213" t="s">
        <v>34</v>
      </c>
      <c r="C67" s="11" t="s">
        <v>32</v>
      </c>
      <c r="D67" s="12">
        <f>+'[6]2032'!D22</f>
        <v>0</v>
      </c>
      <c r="E67" s="84">
        <f>ROUND('[6]2032'!E22,2)</f>
        <v>0</v>
      </c>
      <c r="F67" s="84">
        <f>ROUND('[6]2032'!F22,2)</f>
        <v>0</v>
      </c>
      <c r="G67" s="84">
        <f>ROUND('[6]2032'!G22,2)</f>
        <v>0</v>
      </c>
      <c r="H67" s="84">
        <f>ROUND('[6]2032'!H22,2)</f>
        <v>0</v>
      </c>
      <c r="I67" s="84">
        <f>ROUND('[6]2032'!I22,2)</f>
        <v>0</v>
      </c>
      <c r="J67" s="84">
        <f>ROUND('[6]2032'!J22,2)</f>
        <v>0</v>
      </c>
      <c r="K67" s="84">
        <f>ROUND('[6]2032'!K22,2)</f>
        <v>0</v>
      </c>
      <c r="L67" s="84">
        <f>ROUND('[6]2032'!L22,2)</f>
        <v>0</v>
      </c>
      <c r="M67" s="84">
        <f>ROUND('[6]2032'!M22,2)</f>
        <v>0</v>
      </c>
      <c r="N67" s="84">
        <f>ROUND('[6]2032'!N22,2)</f>
        <v>0</v>
      </c>
      <c r="O67" s="84">
        <f>ROUND('[6]2032'!O22,2)</f>
        <v>0</v>
      </c>
      <c r="P67" s="84">
        <f>ROUND('[6]2032'!P22,2)</f>
        <v>0</v>
      </c>
      <c r="Q67" s="84">
        <f>ROUND('[6]2032'!Q22,2)</f>
        <v>0</v>
      </c>
      <c r="R67" s="84">
        <f>ROUND('[6]2032'!R22,2)</f>
        <v>0</v>
      </c>
      <c r="S67" s="84">
        <f>ROUND('[6]2032'!S22,2)</f>
        <v>0</v>
      </c>
      <c r="T67" s="84">
        <f>ROUND('[6]2032'!T22,2)</f>
        <v>0</v>
      </c>
      <c r="U67" s="84">
        <f>ROUND('[6]2032'!U22,2)</f>
        <v>0</v>
      </c>
      <c r="V67" s="84">
        <f>ROUND('[6]2032'!V22,2)</f>
        <v>0</v>
      </c>
      <c r="W67" s="84">
        <f>ROUND('[6]2032'!W22,2)</f>
        <v>0</v>
      </c>
      <c r="X67" s="84">
        <f>ROUND('[6]2032'!X22,2)</f>
        <v>0</v>
      </c>
      <c r="Y67" s="84">
        <f>ROUND('[6]2032'!Y22,2)</f>
        <v>0</v>
      </c>
      <c r="Z67" s="84">
        <f>ROUND('[6]2032'!Z22,2)</f>
        <v>0</v>
      </c>
      <c r="AA67" s="84">
        <f>ROUND('[6]2032'!AA22,2)</f>
        <v>0</v>
      </c>
      <c r="AB67" s="84">
        <f>ROUND('[6]2032'!AB22,2)</f>
        <v>0</v>
      </c>
      <c r="AC67" s="214"/>
      <c r="AD67" s="18"/>
    </row>
    <row r="68" spans="2:30" ht="18.649999999999999" customHeight="1" x14ac:dyDescent="0.35">
      <c r="B68" s="207">
        <v>48274</v>
      </c>
      <c r="C68" s="13" t="s">
        <v>29</v>
      </c>
      <c r="D68" s="14">
        <f>+'[6]2032'!D23</f>
        <v>20</v>
      </c>
      <c r="E68" s="81">
        <f>ROUND('[6]2032'!E23,2)</f>
        <v>34886.11</v>
      </c>
      <c r="F68" s="81">
        <f>ROUND('[6]2032'!F23,2)</f>
        <v>33160.51</v>
      </c>
      <c r="G68" s="81">
        <f>ROUND('[6]2032'!G23,2)</f>
        <v>31873.31</v>
      </c>
      <c r="H68" s="81">
        <f>ROUND('[6]2032'!H23,2)</f>
        <v>31028.43</v>
      </c>
      <c r="I68" s="81">
        <f>ROUND('[6]2032'!I23,2)</f>
        <v>31170.82</v>
      </c>
      <c r="J68" s="81">
        <f>ROUND('[6]2032'!J23,2)</f>
        <v>32835.26</v>
      </c>
      <c r="K68" s="81">
        <f>ROUND('[6]2032'!K23,2)</f>
        <v>32837.9</v>
      </c>
      <c r="L68" s="81">
        <f>ROUND('[6]2032'!L23,2)</f>
        <v>36398.15</v>
      </c>
      <c r="M68" s="81">
        <f>ROUND('[6]2032'!M23,2)</f>
        <v>39908.89</v>
      </c>
      <c r="N68" s="81">
        <f>ROUND('[6]2032'!N23,2)</f>
        <v>41729.14</v>
      </c>
      <c r="O68" s="81">
        <f>ROUND('[6]2032'!O23,2)</f>
        <v>43813.13</v>
      </c>
      <c r="P68" s="81">
        <f>ROUND('[6]2032'!P23,2)</f>
        <v>45179.57</v>
      </c>
      <c r="Q68" s="81">
        <f>ROUND('[6]2032'!Q23,2)</f>
        <v>43135.58</v>
      </c>
      <c r="R68" s="81">
        <f>ROUND('[6]2032'!R23,2)</f>
        <v>44558.32</v>
      </c>
      <c r="S68" s="81">
        <f>ROUND('[6]2032'!S23,2)</f>
        <v>47006.87</v>
      </c>
      <c r="T68" s="81">
        <f>ROUND('[6]2032'!T23,2)</f>
        <v>47524.09</v>
      </c>
      <c r="U68" s="81">
        <f>ROUND('[6]2032'!U23,2)</f>
        <v>47005.14</v>
      </c>
      <c r="V68" s="81">
        <f>ROUND('[6]2032'!V23,2)</f>
        <v>45353.39</v>
      </c>
      <c r="W68" s="81">
        <f>ROUND('[6]2032'!W23,2)</f>
        <v>48126.64</v>
      </c>
      <c r="X68" s="81">
        <f>ROUND('[6]2032'!X23,2)</f>
        <v>48557.29</v>
      </c>
      <c r="Y68" s="81">
        <f>ROUND('[6]2032'!Y23,2)</f>
        <v>47135.26</v>
      </c>
      <c r="Z68" s="81">
        <f>ROUND('[6]2032'!Z23,2)</f>
        <v>44783.8</v>
      </c>
      <c r="AA68" s="81">
        <f>ROUND('[6]2032'!AA23,2)</f>
        <v>41250.22</v>
      </c>
      <c r="AB68" s="81">
        <f>ROUND('[6]2032'!AB23,2)</f>
        <v>37662.93</v>
      </c>
      <c r="AC68" s="210">
        <f>SUM(E68:AB68)*D68+SUM(E69:AB69)*D69+SUM(E70:AB70)*D70+SUM(E71:AB71)*D71</f>
        <v>29558860.810000002</v>
      </c>
      <c r="AD68" s="18"/>
    </row>
    <row r="69" spans="2:30" ht="18.649999999999999" customHeight="1" x14ac:dyDescent="0.35">
      <c r="B69" s="208"/>
      <c r="C69" s="9" t="s">
        <v>30</v>
      </c>
      <c r="D69" s="10">
        <f>+'[6]2032'!D24</f>
        <v>4</v>
      </c>
      <c r="E69" s="79">
        <f>ROUND('[6]2032'!E24,2)</f>
        <v>35090.339999999997</v>
      </c>
      <c r="F69" s="79">
        <f>ROUND('[6]2032'!F24,2)</f>
        <v>33359.18</v>
      </c>
      <c r="G69" s="79">
        <f>ROUND('[6]2032'!G24,2)</f>
        <v>31993.56</v>
      </c>
      <c r="H69" s="79">
        <f>ROUND('[6]2032'!H24,2)</f>
        <v>31089.62</v>
      </c>
      <c r="I69" s="79">
        <f>ROUND('[6]2032'!I24,2)</f>
        <v>30861.24</v>
      </c>
      <c r="J69" s="79">
        <f>ROUND('[6]2032'!J24,2)</f>
        <v>31212.67</v>
      </c>
      <c r="K69" s="79">
        <f>ROUND('[6]2032'!K24,2)</f>
        <v>31062.63</v>
      </c>
      <c r="L69" s="79">
        <f>ROUND('[6]2032'!L24,2)</f>
        <v>34329.39</v>
      </c>
      <c r="M69" s="79">
        <f>ROUND('[6]2032'!M24,2)</f>
        <v>38129.89</v>
      </c>
      <c r="N69" s="79">
        <f>ROUND('[6]2032'!N24,2)</f>
        <v>40341.21</v>
      </c>
      <c r="O69" s="79">
        <f>ROUND('[6]2032'!O24,2)</f>
        <v>42324.9</v>
      </c>
      <c r="P69" s="79">
        <f>ROUND('[6]2032'!P24,2)</f>
        <v>43504.87</v>
      </c>
      <c r="Q69" s="79">
        <f>ROUND('[6]2032'!Q24,2)</f>
        <v>42757.14</v>
      </c>
      <c r="R69" s="79">
        <f>ROUND('[6]2032'!R24,2)</f>
        <v>42187.040000000001</v>
      </c>
      <c r="S69" s="79">
        <f>ROUND('[6]2032'!S24,2)</f>
        <v>42521.18</v>
      </c>
      <c r="T69" s="79">
        <f>ROUND('[6]2032'!T24,2)</f>
        <v>42576.87</v>
      </c>
      <c r="U69" s="79">
        <f>ROUND('[6]2032'!U24,2)</f>
        <v>42199.26</v>
      </c>
      <c r="V69" s="79">
        <f>ROUND('[6]2032'!V24,2)</f>
        <v>41939.81</v>
      </c>
      <c r="W69" s="79">
        <f>ROUND('[6]2032'!W24,2)</f>
        <v>46313.29</v>
      </c>
      <c r="X69" s="79">
        <f>ROUND('[6]2032'!X24,2)</f>
        <v>47059.97</v>
      </c>
      <c r="Y69" s="79">
        <f>ROUND('[6]2032'!Y24,2)</f>
        <v>45752</v>
      </c>
      <c r="Z69" s="79">
        <f>ROUND('[6]2032'!Z24,2)</f>
        <v>43969.93</v>
      </c>
      <c r="AA69" s="79">
        <f>ROUND('[6]2032'!AA24,2)</f>
        <v>41490.769999999997</v>
      </c>
      <c r="AB69" s="79">
        <f>ROUND('[6]2032'!AB24,2)</f>
        <v>38772.28</v>
      </c>
      <c r="AC69" s="210"/>
      <c r="AD69" s="18"/>
    </row>
    <row r="70" spans="2:30" ht="18.649999999999999" customHeight="1" x14ac:dyDescent="0.35">
      <c r="B70" s="208"/>
      <c r="C70" s="9" t="s">
        <v>31</v>
      </c>
      <c r="D70" s="10">
        <f>+'[6]2032'!D25</f>
        <v>4</v>
      </c>
      <c r="E70" s="79">
        <f>ROUND('[6]2032'!E25,2)</f>
        <v>36031.17</v>
      </c>
      <c r="F70" s="79">
        <f>ROUND('[6]2032'!F25,2)</f>
        <v>34176.53</v>
      </c>
      <c r="G70" s="79">
        <f>ROUND('[6]2032'!G25,2)</f>
        <v>32735.439999999999</v>
      </c>
      <c r="H70" s="79">
        <f>ROUND('[6]2032'!H25,2)</f>
        <v>31702.69</v>
      </c>
      <c r="I70" s="79">
        <f>ROUND('[6]2032'!I25,2)</f>
        <v>31183.55</v>
      </c>
      <c r="J70" s="79">
        <f>ROUND('[6]2032'!J25,2)</f>
        <v>30950.3</v>
      </c>
      <c r="K70" s="79">
        <f>ROUND('[6]2032'!K25,2)</f>
        <v>29780.880000000001</v>
      </c>
      <c r="L70" s="79">
        <f>ROUND('[6]2032'!L25,2)</f>
        <v>31358.080000000002</v>
      </c>
      <c r="M70" s="79">
        <f>ROUND('[6]2032'!M25,2)</f>
        <v>33573.94</v>
      </c>
      <c r="N70" s="79">
        <f>ROUND('[6]2032'!N25,2)</f>
        <v>35177.919999999998</v>
      </c>
      <c r="O70" s="79">
        <f>ROUND('[6]2032'!O25,2)</f>
        <v>36611.620000000003</v>
      </c>
      <c r="P70" s="79">
        <f>ROUND('[6]2032'!P25,2)</f>
        <v>37846.9</v>
      </c>
      <c r="Q70" s="79">
        <f>ROUND('[6]2032'!Q25,2)</f>
        <v>38631.17</v>
      </c>
      <c r="R70" s="79">
        <f>ROUND('[6]2032'!R25,2)</f>
        <v>38771.82</v>
      </c>
      <c r="S70" s="79">
        <f>ROUND('[6]2032'!S25,2)</f>
        <v>38920.65</v>
      </c>
      <c r="T70" s="79">
        <f>ROUND('[6]2032'!T25,2)</f>
        <v>39346.25</v>
      </c>
      <c r="U70" s="79">
        <f>ROUND('[6]2032'!U25,2)</f>
        <v>39198.959999999999</v>
      </c>
      <c r="V70" s="79">
        <f>ROUND('[6]2032'!V25,2)</f>
        <v>39393</v>
      </c>
      <c r="W70" s="79">
        <f>ROUND('[6]2032'!W25,2)</f>
        <v>44041.3</v>
      </c>
      <c r="X70" s="79">
        <f>ROUND('[6]2032'!X25,2)</f>
        <v>45648.47</v>
      </c>
      <c r="Y70" s="79">
        <f>ROUND('[6]2032'!Y25,2)</f>
        <v>45479.28</v>
      </c>
      <c r="Z70" s="79">
        <f>ROUND('[6]2032'!Z25,2)</f>
        <v>44145.01</v>
      </c>
      <c r="AA70" s="79">
        <f>ROUND('[6]2032'!AA25,2)</f>
        <v>41248.620000000003</v>
      </c>
      <c r="AB70" s="79">
        <f>ROUND('[6]2032'!AB25,2)</f>
        <v>37916.400000000001</v>
      </c>
      <c r="AC70" s="210"/>
      <c r="AD70" s="18"/>
    </row>
    <row r="71" spans="2:30" ht="18.649999999999999" customHeight="1" thickBot="1" x14ac:dyDescent="0.4">
      <c r="B71" s="208"/>
      <c r="C71" s="15" t="s">
        <v>32</v>
      </c>
      <c r="D71" s="16">
        <f>+'[6]2032'!D26</f>
        <v>3</v>
      </c>
      <c r="E71" s="80">
        <f>ROUND('[6]2032'!E26,2)</f>
        <v>36031.17</v>
      </c>
      <c r="F71" s="80">
        <f>ROUND('[6]2032'!F26,2)</f>
        <v>34176.53</v>
      </c>
      <c r="G71" s="80">
        <f>ROUND('[6]2032'!G26,2)</f>
        <v>32735.439999999999</v>
      </c>
      <c r="H71" s="80">
        <f>ROUND('[6]2032'!H26,2)</f>
        <v>31702.69</v>
      </c>
      <c r="I71" s="80">
        <f>ROUND('[6]2032'!I26,2)</f>
        <v>31183.55</v>
      </c>
      <c r="J71" s="80">
        <f>ROUND('[6]2032'!J26,2)</f>
        <v>30950.3</v>
      </c>
      <c r="K71" s="80">
        <f>ROUND('[6]2032'!K26,2)</f>
        <v>29780.880000000001</v>
      </c>
      <c r="L71" s="80">
        <f>ROUND('[6]2032'!L26,2)</f>
        <v>31358.080000000002</v>
      </c>
      <c r="M71" s="80">
        <f>ROUND('[6]2032'!M26,2)</f>
        <v>33573.94</v>
      </c>
      <c r="N71" s="80">
        <f>ROUND('[6]2032'!N26,2)</f>
        <v>35177.919999999998</v>
      </c>
      <c r="O71" s="80">
        <f>ROUND('[6]2032'!O26,2)</f>
        <v>36611.620000000003</v>
      </c>
      <c r="P71" s="80">
        <f>ROUND('[6]2032'!P26,2)</f>
        <v>37846.9</v>
      </c>
      <c r="Q71" s="80">
        <f>ROUND('[6]2032'!Q26,2)</f>
        <v>38631.17</v>
      </c>
      <c r="R71" s="80">
        <f>ROUND('[6]2032'!R26,2)</f>
        <v>38771.82</v>
      </c>
      <c r="S71" s="80">
        <f>ROUND('[6]2032'!S26,2)</f>
        <v>38920.65</v>
      </c>
      <c r="T71" s="80">
        <f>ROUND('[6]2032'!T26,2)</f>
        <v>39346.25</v>
      </c>
      <c r="U71" s="80">
        <f>ROUND('[6]2032'!U26,2)</f>
        <v>39198.959999999999</v>
      </c>
      <c r="V71" s="80">
        <f>ROUND('[6]2032'!V26,2)</f>
        <v>39393</v>
      </c>
      <c r="W71" s="80">
        <f>ROUND('[6]2032'!W26,2)</f>
        <v>44041.3</v>
      </c>
      <c r="X71" s="80">
        <f>ROUND('[6]2032'!X26,2)</f>
        <v>45648.47</v>
      </c>
      <c r="Y71" s="80">
        <f>ROUND('[6]2032'!Y26,2)</f>
        <v>45479.28</v>
      </c>
      <c r="Z71" s="80">
        <f>ROUND('[6]2032'!Z26,2)</f>
        <v>44145.01</v>
      </c>
      <c r="AA71" s="80">
        <f>ROUND('[6]2032'!AA26,2)</f>
        <v>41248.620000000003</v>
      </c>
      <c r="AB71" s="80">
        <f>ROUND('[6]2032'!AB26,2)</f>
        <v>37916.400000000001</v>
      </c>
      <c r="AC71" s="210"/>
      <c r="AD71" s="18"/>
    </row>
    <row r="72" spans="2:30" ht="18.649999999999999" customHeight="1" x14ac:dyDescent="0.35">
      <c r="B72" s="211">
        <v>48305</v>
      </c>
      <c r="C72" s="6" t="s">
        <v>29</v>
      </c>
      <c r="D72" s="7">
        <f>+'[6]2032'!D27</f>
        <v>22</v>
      </c>
      <c r="E72" s="78">
        <f>ROUND('[6]2032'!E27,2)</f>
        <v>33630.160000000003</v>
      </c>
      <c r="F72" s="78">
        <f>ROUND('[6]2032'!F27,2)</f>
        <v>31955.3</v>
      </c>
      <c r="G72" s="78">
        <f>ROUND('[6]2032'!G27,2)</f>
        <v>30730.2</v>
      </c>
      <c r="H72" s="78">
        <f>ROUND('[6]2032'!H27,2)</f>
        <v>29895.77</v>
      </c>
      <c r="I72" s="78">
        <f>ROUND('[6]2032'!I27,2)</f>
        <v>30023.599999999999</v>
      </c>
      <c r="J72" s="78">
        <f>ROUND('[6]2032'!J27,2)</f>
        <v>30985.11</v>
      </c>
      <c r="K72" s="78">
        <f>ROUND('[6]2032'!K27,2)</f>
        <v>31327.82</v>
      </c>
      <c r="L72" s="78">
        <f>ROUND('[6]2032'!L27,2)</f>
        <v>34895.870000000003</v>
      </c>
      <c r="M72" s="78">
        <f>ROUND('[6]2032'!M27,2)</f>
        <v>38568.839999999997</v>
      </c>
      <c r="N72" s="78">
        <f>ROUND('[6]2032'!N27,2)</f>
        <v>40265.83</v>
      </c>
      <c r="O72" s="78">
        <f>ROUND('[6]2032'!O27,2)</f>
        <v>42155.63</v>
      </c>
      <c r="P72" s="78">
        <f>ROUND('[6]2032'!P27,2)</f>
        <v>43754.64</v>
      </c>
      <c r="Q72" s="78">
        <f>ROUND('[6]2032'!Q27,2)</f>
        <v>42040.21</v>
      </c>
      <c r="R72" s="78">
        <f>ROUND('[6]2032'!R27,2)</f>
        <v>43276.17</v>
      </c>
      <c r="S72" s="78">
        <f>ROUND('[6]2032'!S27,2)</f>
        <v>45683.22</v>
      </c>
      <c r="T72" s="78">
        <f>ROUND('[6]2032'!T27,2)</f>
        <v>45975.56</v>
      </c>
      <c r="U72" s="78">
        <f>ROUND('[6]2032'!U27,2)</f>
        <v>45279.02</v>
      </c>
      <c r="V72" s="78">
        <f>ROUND('[6]2032'!V27,2)</f>
        <v>44103.19</v>
      </c>
      <c r="W72" s="78">
        <f>ROUND('[6]2032'!W27,2)</f>
        <v>46827.69</v>
      </c>
      <c r="X72" s="78">
        <f>ROUND('[6]2032'!X27,2)</f>
        <v>46969.89</v>
      </c>
      <c r="Y72" s="78">
        <f>ROUND('[6]2032'!Y27,2)</f>
        <v>45564.44</v>
      </c>
      <c r="Z72" s="78">
        <f>ROUND('[6]2032'!Z27,2)</f>
        <v>43375.6</v>
      </c>
      <c r="AA72" s="78">
        <f>ROUND('[6]2032'!AA27,2)</f>
        <v>40088.370000000003</v>
      </c>
      <c r="AB72" s="78">
        <f>ROUND('[6]2032'!AB27,2)</f>
        <v>36499.129999999997</v>
      </c>
      <c r="AC72" s="209">
        <f>SUM(E72:AB72)*D72+SUM(E73:AB73)*D73+SUM(E74:AB74)*D74+SUM(E75:AB75)*D75</f>
        <v>27666679.960000005</v>
      </c>
      <c r="AD72" s="18"/>
    </row>
    <row r="73" spans="2:30" ht="18.649999999999999" customHeight="1" x14ac:dyDescent="0.35">
      <c r="B73" s="212" t="s">
        <v>34</v>
      </c>
      <c r="C73" s="9" t="s">
        <v>30</v>
      </c>
      <c r="D73" s="10">
        <f>+'[6]2032'!D28</f>
        <v>4</v>
      </c>
      <c r="E73" s="79">
        <f>ROUND('[6]2032'!E28,2)</f>
        <v>33290.57</v>
      </c>
      <c r="F73" s="79">
        <f>ROUND('[6]2032'!F28,2)</f>
        <v>31555.07</v>
      </c>
      <c r="G73" s="79">
        <f>ROUND('[6]2032'!G28,2)</f>
        <v>30265.96</v>
      </c>
      <c r="H73" s="79">
        <f>ROUND('[6]2032'!H28,2)</f>
        <v>29385.62</v>
      </c>
      <c r="I73" s="79">
        <f>ROUND('[6]2032'!I28,2)</f>
        <v>29163.26</v>
      </c>
      <c r="J73" s="79">
        <f>ROUND('[6]2032'!J28,2)</f>
        <v>29154.41</v>
      </c>
      <c r="K73" s="79">
        <f>ROUND('[6]2032'!K28,2)</f>
        <v>29085.360000000001</v>
      </c>
      <c r="L73" s="79">
        <f>ROUND('[6]2032'!L28,2)</f>
        <v>32060.11</v>
      </c>
      <c r="M73" s="79">
        <f>ROUND('[6]2032'!M28,2)</f>
        <v>35522.410000000003</v>
      </c>
      <c r="N73" s="79">
        <f>ROUND('[6]2032'!N28,2)</f>
        <v>37376.589999999997</v>
      </c>
      <c r="O73" s="79">
        <f>ROUND('[6]2032'!O28,2)</f>
        <v>39192.28</v>
      </c>
      <c r="P73" s="79">
        <f>ROUND('[6]2032'!P28,2)</f>
        <v>40321.370000000003</v>
      </c>
      <c r="Q73" s="79">
        <f>ROUND('[6]2032'!Q28,2)</f>
        <v>39796.1</v>
      </c>
      <c r="R73" s="79">
        <f>ROUND('[6]2032'!R28,2)</f>
        <v>39367.760000000002</v>
      </c>
      <c r="S73" s="79">
        <f>ROUND('[6]2032'!S28,2)</f>
        <v>39586.92</v>
      </c>
      <c r="T73" s="79">
        <f>ROUND('[6]2032'!T28,2)</f>
        <v>39662.15</v>
      </c>
      <c r="U73" s="79">
        <f>ROUND('[6]2032'!U28,2)</f>
        <v>39438.68</v>
      </c>
      <c r="V73" s="79">
        <f>ROUND('[6]2032'!V28,2)</f>
        <v>39680.129999999997</v>
      </c>
      <c r="W73" s="79">
        <f>ROUND('[6]2032'!W28,2)</f>
        <v>44070.22</v>
      </c>
      <c r="X73" s="79">
        <f>ROUND('[6]2032'!X28,2)</f>
        <v>44165.52</v>
      </c>
      <c r="Y73" s="79">
        <f>ROUND('[6]2032'!Y28,2)</f>
        <v>42940.959999999999</v>
      </c>
      <c r="Z73" s="79">
        <f>ROUND('[6]2032'!Z28,2)</f>
        <v>41138.720000000001</v>
      </c>
      <c r="AA73" s="79">
        <f>ROUND('[6]2032'!AA28,2)</f>
        <v>38861.49</v>
      </c>
      <c r="AB73" s="79">
        <f>ROUND('[6]2032'!AB28,2)</f>
        <v>36259.199999999997</v>
      </c>
      <c r="AC73" s="210"/>
      <c r="AD73" s="18"/>
    </row>
    <row r="74" spans="2:30" ht="18.649999999999999" customHeight="1" x14ac:dyDescent="0.35">
      <c r="B74" s="212" t="s">
        <v>34</v>
      </c>
      <c r="C74" s="9" t="s">
        <v>31</v>
      </c>
      <c r="D74" s="10">
        <f>+'[6]2032'!D29</f>
        <v>4</v>
      </c>
      <c r="E74" s="79">
        <f>ROUND('[6]2032'!E29,2)</f>
        <v>33940.85</v>
      </c>
      <c r="F74" s="79">
        <f>ROUND('[6]2032'!F29,2)</f>
        <v>32271.06</v>
      </c>
      <c r="G74" s="79">
        <f>ROUND('[6]2032'!G29,2)</f>
        <v>30890.27</v>
      </c>
      <c r="H74" s="79">
        <f>ROUND('[6]2032'!H29,2)</f>
        <v>29945.66</v>
      </c>
      <c r="I74" s="79">
        <f>ROUND('[6]2032'!I29,2)</f>
        <v>29547.58</v>
      </c>
      <c r="J74" s="79">
        <f>ROUND('[6]2032'!J29,2)</f>
        <v>29022.78</v>
      </c>
      <c r="K74" s="79">
        <f>ROUND('[6]2032'!K29,2)</f>
        <v>28414.03</v>
      </c>
      <c r="L74" s="79">
        <f>ROUND('[6]2032'!L29,2)</f>
        <v>29985.63</v>
      </c>
      <c r="M74" s="79">
        <f>ROUND('[6]2032'!M29,2)</f>
        <v>31651.67</v>
      </c>
      <c r="N74" s="79">
        <f>ROUND('[6]2032'!N29,2)</f>
        <v>33138.53</v>
      </c>
      <c r="O74" s="79">
        <f>ROUND('[6]2032'!O29,2)</f>
        <v>34521.410000000003</v>
      </c>
      <c r="P74" s="79">
        <f>ROUND('[6]2032'!P29,2)</f>
        <v>35618.550000000003</v>
      </c>
      <c r="Q74" s="79">
        <f>ROUND('[6]2032'!Q29,2)</f>
        <v>36232.06</v>
      </c>
      <c r="R74" s="79">
        <f>ROUND('[6]2032'!R29,2)</f>
        <v>36401.08</v>
      </c>
      <c r="S74" s="79">
        <f>ROUND('[6]2032'!S29,2)</f>
        <v>36623.68</v>
      </c>
      <c r="T74" s="79">
        <f>ROUND('[6]2032'!T29,2)</f>
        <v>36951.68</v>
      </c>
      <c r="U74" s="79">
        <f>ROUND('[6]2032'!U29,2)</f>
        <v>37084.21</v>
      </c>
      <c r="V74" s="79">
        <f>ROUND('[6]2032'!V29,2)</f>
        <v>37538.53</v>
      </c>
      <c r="W74" s="79">
        <f>ROUND('[6]2032'!W29,2)</f>
        <v>41702.080000000002</v>
      </c>
      <c r="X74" s="79">
        <f>ROUND('[6]2032'!X29,2)</f>
        <v>42962.87</v>
      </c>
      <c r="Y74" s="79">
        <f>ROUND('[6]2032'!Y29,2)</f>
        <v>42821.58</v>
      </c>
      <c r="Z74" s="79">
        <f>ROUND('[6]2032'!Z29,2)</f>
        <v>41769.910000000003</v>
      </c>
      <c r="AA74" s="79">
        <f>ROUND('[6]2032'!AA29,2)</f>
        <v>39089.81</v>
      </c>
      <c r="AB74" s="79">
        <f>ROUND('[6]2032'!AB29,2)</f>
        <v>35911.69</v>
      </c>
      <c r="AC74" s="210"/>
      <c r="AD74" s="18"/>
    </row>
    <row r="75" spans="2:30" ht="18.649999999999999" customHeight="1" thickBot="1" x14ac:dyDescent="0.4">
      <c r="B75" s="213" t="s">
        <v>34</v>
      </c>
      <c r="C75" s="11" t="s">
        <v>32</v>
      </c>
      <c r="D75" s="12">
        <f>+'[6]2032'!D30</f>
        <v>0</v>
      </c>
      <c r="E75" s="84">
        <f>ROUND('[6]2032'!E30,2)</f>
        <v>0</v>
      </c>
      <c r="F75" s="84">
        <f>ROUND('[6]2032'!F30,2)</f>
        <v>0</v>
      </c>
      <c r="G75" s="84">
        <f>ROUND('[6]2032'!G30,2)</f>
        <v>0</v>
      </c>
      <c r="H75" s="84">
        <f>ROUND('[6]2032'!H30,2)</f>
        <v>0</v>
      </c>
      <c r="I75" s="84">
        <f>ROUND('[6]2032'!I30,2)</f>
        <v>0</v>
      </c>
      <c r="J75" s="84">
        <f>ROUND('[6]2032'!J30,2)</f>
        <v>0</v>
      </c>
      <c r="K75" s="84">
        <f>ROUND('[6]2032'!K30,2)</f>
        <v>0</v>
      </c>
      <c r="L75" s="84">
        <f>ROUND('[6]2032'!L30,2)</f>
        <v>0</v>
      </c>
      <c r="M75" s="84">
        <f>ROUND('[6]2032'!M30,2)</f>
        <v>0</v>
      </c>
      <c r="N75" s="84">
        <f>ROUND('[6]2032'!N30,2)</f>
        <v>0</v>
      </c>
      <c r="O75" s="84">
        <f>ROUND('[6]2032'!O30,2)</f>
        <v>0</v>
      </c>
      <c r="P75" s="84">
        <f>ROUND('[6]2032'!P30,2)</f>
        <v>0</v>
      </c>
      <c r="Q75" s="84">
        <f>ROUND('[6]2032'!Q30,2)</f>
        <v>0</v>
      </c>
      <c r="R75" s="84">
        <f>ROUND('[6]2032'!R30,2)</f>
        <v>0</v>
      </c>
      <c r="S75" s="84">
        <f>ROUND('[6]2032'!S30,2)</f>
        <v>0</v>
      </c>
      <c r="T75" s="84">
        <f>ROUND('[6]2032'!T30,2)</f>
        <v>0</v>
      </c>
      <c r="U75" s="84">
        <f>ROUND('[6]2032'!U30,2)</f>
        <v>0</v>
      </c>
      <c r="V75" s="84">
        <f>ROUND('[6]2032'!V30,2)</f>
        <v>0</v>
      </c>
      <c r="W75" s="84">
        <f>ROUND('[6]2032'!W30,2)</f>
        <v>0</v>
      </c>
      <c r="X75" s="84">
        <f>ROUND('[6]2032'!X30,2)</f>
        <v>0</v>
      </c>
      <c r="Y75" s="84">
        <f>ROUND('[6]2032'!Y30,2)</f>
        <v>0</v>
      </c>
      <c r="Z75" s="84">
        <f>ROUND('[6]2032'!Z30,2)</f>
        <v>0</v>
      </c>
      <c r="AA75" s="84">
        <f>ROUND('[6]2032'!AA30,2)</f>
        <v>0</v>
      </c>
      <c r="AB75" s="84">
        <f>ROUND('[6]2032'!AB30,2)</f>
        <v>0</v>
      </c>
      <c r="AC75" s="214"/>
      <c r="AD75" s="18"/>
    </row>
    <row r="76" spans="2:30" ht="18.649999999999999" customHeight="1" x14ac:dyDescent="0.35">
      <c r="B76" s="207">
        <v>48335</v>
      </c>
      <c r="C76" s="13" t="s">
        <v>29</v>
      </c>
      <c r="D76" s="14">
        <f>+'[6]2032'!D31</f>
        <v>19</v>
      </c>
      <c r="E76" s="81">
        <f>ROUND('[6]2032'!E31,2)</f>
        <v>33454.959999999999</v>
      </c>
      <c r="F76" s="81">
        <f>ROUND('[6]2032'!F31,2)</f>
        <v>31866.49</v>
      </c>
      <c r="G76" s="81">
        <f>ROUND('[6]2032'!G31,2)</f>
        <v>30664.21</v>
      </c>
      <c r="H76" s="81">
        <f>ROUND('[6]2032'!H31,2)</f>
        <v>29841.32</v>
      </c>
      <c r="I76" s="81">
        <f>ROUND('[6]2032'!I31,2)</f>
        <v>29987.57</v>
      </c>
      <c r="J76" s="81">
        <f>ROUND('[6]2032'!J31,2)</f>
        <v>30818.12</v>
      </c>
      <c r="K76" s="81">
        <f>ROUND('[6]2032'!K31,2)</f>
        <v>31517.16</v>
      </c>
      <c r="L76" s="81">
        <f>ROUND('[6]2032'!L31,2)</f>
        <v>35200.32</v>
      </c>
      <c r="M76" s="81">
        <f>ROUND('[6]2032'!M31,2)</f>
        <v>38987.360000000001</v>
      </c>
      <c r="N76" s="81">
        <f>ROUND('[6]2032'!N31,2)</f>
        <v>40760.79</v>
      </c>
      <c r="O76" s="81">
        <f>ROUND('[6]2032'!O31,2)</f>
        <v>42875.519999999997</v>
      </c>
      <c r="P76" s="81">
        <f>ROUND('[6]2032'!P31,2)</f>
        <v>44256.72</v>
      </c>
      <c r="Q76" s="81">
        <f>ROUND('[6]2032'!Q31,2)</f>
        <v>42458.83</v>
      </c>
      <c r="R76" s="81">
        <f>ROUND('[6]2032'!R31,2)</f>
        <v>43622.45</v>
      </c>
      <c r="S76" s="81">
        <f>ROUND('[6]2032'!S31,2)</f>
        <v>45885.08</v>
      </c>
      <c r="T76" s="81">
        <f>ROUND('[6]2032'!T31,2)</f>
        <v>46111.58</v>
      </c>
      <c r="U76" s="81">
        <f>ROUND('[6]2032'!U31,2)</f>
        <v>45451.77</v>
      </c>
      <c r="V76" s="81">
        <f>ROUND('[6]2032'!V31,2)</f>
        <v>43966.62</v>
      </c>
      <c r="W76" s="81">
        <f>ROUND('[6]2032'!W31,2)</f>
        <v>46701.77</v>
      </c>
      <c r="X76" s="81">
        <f>ROUND('[6]2032'!X31,2)</f>
        <v>46886.86</v>
      </c>
      <c r="Y76" s="81">
        <f>ROUND('[6]2032'!Y31,2)</f>
        <v>45440.75</v>
      </c>
      <c r="Z76" s="81">
        <f>ROUND('[6]2032'!Z31,2)</f>
        <v>43038.91</v>
      </c>
      <c r="AA76" s="81">
        <f>ROUND('[6]2032'!AA31,2)</f>
        <v>39655.69</v>
      </c>
      <c r="AB76" s="81">
        <f>ROUND('[6]2032'!AB31,2)</f>
        <v>36199.5</v>
      </c>
      <c r="AC76" s="210">
        <f>SUM(E76:AB76)*D76+SUM(E77:AB77)*D77+SUM(E78:AB78)*D78+SUM(E79:AB79)*D79</f>
        <v>28519392.250000004</v>
      </c>
      <c r="AD76" s="18"/>
    </row>
    <row r="77" spans="2:30" ht="18.649999999999999" customHeight="1" x14ac:dyDescent="0.35">
      <c r="B77" s="208"/>
      <c r="C77" s="9" t="s">
        <v>30</v>
      </c>
      <c r="D77" s="10">
        <f>+'[6]2032'!D32</f>
        <v>4</v>
      </c>
      <c r="E77" s="79">
        <f>ROUND('[6]2032'!E32,2)</f>
        <v>34035.589999999997</v>
      </c>
      <c r="F77" s="79">
        <f>ROUND('[6]2032'!F32,2)</f>
        <v>32055.5</v>
      </c>
      <c r="G77" s="79">
        <f>ROUND('[6]2032'!G32,2)</f>
        <v>30716.13</v>
      </c>
      <c r="H77" s="79">
        <f>ROUND('[6]2032'!H32,2)</f>
        <v>29853.42</v>
      </c>
      <c r="I77" s="79">
        <f>ROUND('[6]2032'!I32,2)</f>
        <v>29695.83</v>
      </c>
      <c r="J77" s="79">
        <f>ROUND('[6]2032'!J32,2)</f>
        <v>29373.01</v>
      </c>
      <c r="K77" s="79">
        <f>ROUND('[6]2032'!K32,2)</f>
        <v>29655.95</v>
      </c>
      <c r="L77" s="79">
        <f>ROUND('[6]2032'!L32,2)</f>
        <v>33051.21</v>
      </c>
      <c r="M77" s="79">
        <f>ROUND('[6]2032'!M32,2)</f>
        <v>36838.53</v>
      </c>
      <c r="N77" s="79">
        <f>ROUND('[6]2032'!N32,2)</f>
        <v>38963.760000000002</v>
      </c>
      <c r="O77" s="79">
        <f>ROUND('[6]2032'!O32,2)</f>
        <v>40585.01</v>
      </c>
      <c r="P77" s="79">
        <f>ROUND('[6]2032'!P32,2)</f>
        <v>41672.18</v>
      </c>
      <c r="Q77" s="79">
        <f>ROUND('[6]2032'!Q32,2)</f>
        <v>40820.51</v>
      </c>
      <c r="R77" s="79">
        <f>ROUND('[6]2032'!R32,2)</f>
        <v>40255.919999999998</v>
      </c>
      <c r="S77" s="79">
        <f>ROUND('[6]2032'!S32,2)</f>
        <v>40550.89</v>
      </c>
      <c r="T77" s="79">
        <f>ROUND('[6]2032'!T32,2)</f>
        <v>40624.82</v>
      </c>
      <c r="U77" s="79">
        <f>ROUND('[6]2032'!U32,2)</f>
        <v>40394.300000000003</v>
      </c>
      <c r="V77" s="79">
        <f>ROUND('[6]2032'!V32,2)</f>
        <v>40687.78</v>
      </c>
      <c r="W77" s="79">
        <f>ROUND('[6]2032'!W32,2)</f>
        <v>45020.49</v>
      </c>
      <c r="X77" s="79">
        <f>ROUND('[6]2032'!X32,2)</f>
        <v>45531.43</v>
      </c>
      <c r="Y77" s="79">
        <f>ROUND('[6]2032'!Y32,2)</f>
        <v>44184.14</v>
      </c>
      <c r="Z77" s="79">
        <f>ROUND('[6]2032'!Z32,2)</f>
        <v>42193.15</v>
      </c>
      <c r="AA77" s="79">
        <f>ROUND('[6]2032'!AA32,2)</f>
        <v>39885.94</v>
      </c>
      <c r="AB77" s="79">
        <f>ROUND('[6]2032'!AB32,2)</f>
        <v>37210.01</v>
      </c>
      <c r="AC77" s="210"/>
      <c r="AD77" s="18"/>
    </row>
    <row r="78" spans="2:30" ht="18.649999999999999" customHeight="1" x14ac:dyDescent="0.35">
      <c r="B78" s="208"/>
      <c r="C78" s="9" t="s">
        <v>31</v>
      </c>
      <c r="D78" s="10">
        <f>+'[6]2032'!D33</f>
        <v>5</v>
      </c>
      <c r="E78" s="79">
        <f>ROUND('[6]2032'!E33,2)</f>
        <v>34437.360000000001</v>
      </c>
      <c r="F78" s="79">
        <f>ROUND('[6]2032'!F33,2)</f>
        <v>32810.18</v>
      </c>
      <c r="G78" s="79">
        <f>ROUND('[6]2032'!G33,2)</f>
        <v>31513.82</v>
      </c>
      <c r="H78" s="79">
        <f>ROUND('[6]2032'!H33,2)</f>
        <v>30584.03</v>
      </c>
      <c r="I78" s="79">
        <f>ROUND('[6]2032'!I33,2)</f>
        <v>30187.8</v>
      </c>
      <c r="J78" s="79">
        <f>ROUND('[6]2032'!J33,2)</f>
        <v>29277.42</v>
      </c>
      <c r="K78" s="79">
        <f>ROUND('[6]2032'!K33,2)</f>
        <v>28835.64</v>
      </c>
      <c r="L78" s="79">
        <f>ROUND('[6]2032'!L33,2)</f>
        <v>30556.45</v>
      </c>
      <c r="M78" s="79">
        <f>ROUND('[6]2032'!M33,2)</f>
        <v>32896.639999999999</v>
      </c>
      <c r="N78" s="79">
        <f>ROUND('[6]2032'!N33,2)</f>
        <v>34746.980000000003</v>
      </c>
      <c r="O78" s="79">
        <f>ROUND('[6]2032'!O33,2)</f>
        <v>36014.58</v>
      </c>
      <c r="P78" s="79">
        <f>ROUND('[6]2032'!P33,2)</f>
        <v>36959.050000000003</v>
      </c>
      <c r="Q78" s="79">
        <f>ROUND('[6]2032'!Q33,2)</f>
        <v>37497.42</v>
      </c>
      <c r="R78" s="79">
        <f>ROUND('[6]2032'!R33,2)</f>
        <v>37611.589999999997</v>
      </c>
      <c r="S78" s="79">
        <f>ROUND('[6]2032'!S33,2)</f>
        <v>37768.43</v>
      </c>
      <c r="T78" s="79">
        <f>ROUND('[6]2032'!T33,2)</f>
        <v>38184.839999999997</v>
      </c>
      <c r="U78" s="79">
        <f>ROUND('[6]2032'!U33,2)</f>
        <v>38075.760000000002</v>
      </c>
      <c r="V78" s="79">
        <f>ROUND('[6]2032'!V33,2)</f>
        <v>38684.67</v>
      </c>
      <c r="W78" s="79">
        <f>ROUND('[6]2032'!W33,2)</f>
        <v>43174.65</v>
      </c>
      <c r="X78" s="79">
        <f>ROUND('[6]2032'!X33,2)</f>
        <v>44360.78</v>
      </c>
      <c r="Y78" s="79">
        <f>ROUND('[6]2032'!Y33,2)</f>
        <v>44119.519999999997</v>
      </c>
      <c r="Z78" s="79">
        <f>ROUND('[6]2032'!Z33,2)</f>
        <v>42703.31</v>
      </c>
      <c r="AA78" s="79">
        <f>ROUND('[6]2032'!AA33,2)</f>
        <v>39844.959999999999</v>
      </c>
      <c r="AB78" s="79">
        <f>ROUND('[6]2032'!AB33,2)</f>
        <v>36230.82</v>
      </c>
      <c r="AC78" s="210"/>
      <c r="AD78" s="18"/>
    </row>
    <row r="79" spans="2:30" ht="18.649999999999999" customHeight="1" thickBot="1" x14ac:dyDescent="0.4">
      <c r="B79" s="208"/>
      <c r="C79" s="15" t="s">
        <v>32</v>
      </c>
      <c r="D79" s="16">
        <f>+'[6]2032'!D34</f>
        <v>3</v>
      </c>
      <c r="E79" s="80">
        <f>ROUND('[6]2032'!E34,2)</f>
        <v>34437.360000000001</v>
      </c>
      <c r="F79" s="80">
        <f>ROUND('[6]2032'!F34,2)</f>
        <v>32810.18</v>
      </c>
      <c r="G79" s="80">
        <f>ROUND('[6]2032'!G34,2)</f>
        <v>31513.82</v>
      </c>
      <c r="H79" s="80">
        <f>ROUND('[6]2032'!H34,2)</f>
        <v>30584.03</v>
      </c>
      <c r="I79" s="80">
        <f>ROUND('[6]2032'!I34,2)</f>
        <v>30187.8</v>
      </c>
      <c r="J79" s="80">
        <f>ROUND('[6]2032'!J34,2)</f>
        <v>29277.42</v>
      </c>
      <c r="K79" s="80">
        <f>ROUND('[6]2032'!K34,2)</f>
        <v>28835.64</v>
      </c>
      <c r="L79" s="80">
        <f>ROUND('[6]2032'!L34,2)</f>
        <v>30556.45</v>
      </c>
      <c r="M79" s="80">
        <f>ROUND('[6]2032'!M34,2)</f>
        <v>32896.639999999999</v>
      </c>
      <c r="N79" s="80">
        <f>ROUND('[6]2032'!N34,2)</f>
        <v>34746.980000000003</v>
      </c>
      <c r="O79" s="80">
        <f>ROUND('[6]2032'!O34,2)</f>
        <v>36014.58</v>
      </c>
      <c r="P79" s="80">
        <f>ROUND('[6]2032'!P34,2)</f>
        <v>36959.050000000003</v>
      </c>
      <c r="Q79" s="80">
        <f>ROUND('[6]2032'!Q34,2)</f>
        <v>37497.42</v>
      </c>
      <c r="R79" s="80">
        <f>ROUND('[6]2032'!R34,2)</f>
        <v>37611.589999999997</v>
      </c>
      <c r="S79" s="80">
        <f>ROUND('[6]2032'!S34,2)</f>
        <v>37768.43</v>
      </c>
      <c r="T79" s="80">
        <f>ROUND('[6]2032'!T34,2)</f>
        <v>38184.839999999997</v>
      </c>
      <c r="U79" s="80">
        <f>ROUND('[6]2032'!U34,2)</f>
        <v>38075.760000000002</v>
      </c>
      <c r="V79" s="80">
        <f>ROUND('[6]2032'!V34,2)</f>
        <v>38684.67</v>
      </c>
      <c r="W79" s="80">
        <f>ROUND('[6]2032'!W34,2)</f>
        <v>43174.65</v>
      </c>
      <c r="X79" s="80">
        <f>ROUND('[6]2032'!X34,2)</f>
        <v>44360.78</v>
      </c>
      <c r="Y79" s="80">
        <f>ROUND('[6]2032'!Y34,2)</f>
        <v>44119.519999999997</v>
      </c>
      <c r="Z79" s="80">
        <f>ROUND('[6]2032'!Z34,2)</f>
        <v>42703.31</v>
      </c>
      <c r="AA79" s="80">
        <f>ROUND('[6]2032'!AA34,2)</f>
        <v>39844.959999999999</v>
      </c>
      <c r="AB79" s="80">
        <f>ROUND('[6]2032'!AB34,2)</f>
        <v>36230.82</v>
      </c>
      <c r="AC79" s="210"/>
      <c r="AD79" s="18"/>
    </row>
    <row r="80" spans="2:30" ht="18.649999999999999" customHeight="1" x14ac:dyDescent="0.35">
      <c r="B80" s="211">
        <v>48366</v>
      </c>
      <c r="C80" s="6" t="s">
        <v>29</v>
      </c>
      <c r="D80" s="7">
        <f>+'[6]2032'!D35</f>
        <v>21</v>
      </c>
      <c r="E80" s="78">
        <f>ROUND('[6]2032'!E35,2)</f>
        <v>33152.83</v>
      </c>
      <c r="F80" s="78">
        <f>ROUND('[6]2032'!F35,2)</f>
        <v>31487.919999999998</v>
      </c>
      <c r="G80" s="78">
        <f>ROUND('[6]2032'!G35,2)</f>
        <v>30330.95</v>
      </c>
      <c r="H80" s="78">
        <f>ROUND('[6]2032'!H35,2)</f>
        <v>29425.69</v>
      </c>
      <c r="I80" s="78">
        <f>ROUND('[6]2032'!I35,2)</f>
        <v>29516.33</v>
      </c>
      <c r="J80" s="78">
        <f>ROUND('[6]2032'!J35,2)</f>
        <v>29922.73</v>
      </c>
      <c r="K80" s="78">
        <f>ROUND('[6]2032'!K35,2)</f>
        <v>30568.83</v>
      </c>
      <c r="L80" s="78">
        <f>ROUND('[6]2032'!L35,2)</f>
        <v>34418.25</v>
      </c>
      <c r="M80" s="78">
        <f>ROUND('[6]2032'!M35,2)</f>
        <v>38165.49</v>
      </c>
      <c r="N80" s="78">
        <f>ROUND('[6]2032'!N35,2)</f>
        <v>40020.49</v>
      </c>
      <c r="O80" s="78">
        <f>ROUND('[6]2032'!O35,2)</f>
        <v>42166.47</v>
      </c>
      <c r="P80" s="78">
        <f>ROUND('[6]2032'!P35,2)</f>
        <v>43577.01</v>
      </c>
      <c r="Q80" s="78">
        <f>ROUND('[6]2032'!Q35,2)</f>
        <v>42027.71</v>
      </c>
      <c r="R80" s="78">
        <f>ROUND('[6]2032'!R35,2)</f>
        <v>42949.56</v>
      </c>
      <c r="S80" s="78">
        <f>ROUND('[6]2032'!S35,2)</f>
        <v>45061.37</v>
      </c>
      <c r="T80" s="78">
        <f>ROUND('[6]2032'!T35,2)</f>
        <v>45311.83</v>
      </c>
      <c r="U80" s="78">
        <f>ROUND('[6]2032'!U35,2)</f>
        <v>44861.31</v>
      </c>
      <c r="V80" s="78">
        <f>ROUND('[6]2032'!V35,2)</f>
        <v>43459.89</v>
      </c>
      <c r="W80" s="78">
        <f>ROUND('[6]2032'!W35,2)</f>
        <v>45996.52</v>
      </c>
      <c r="X80" s="78">
        <f>ROUND('[6]2032'!X35,2)</f>
        <v>46579.32</v>
      </c>
      <c r="Y80" s="78">
        <f>ROUND('[6]2032'!Y35,2)</f>
        <v>45057.46</v>
      </c>
      <c r="Z80" s="78">
        <f>ROUND('[6]2032'!Z35,2)</f>
        <v>42747.97</v>
      </c>
      <c r="AA80" s="78">
        <f>ROUND('[6]2032'!AA35,2)</f>
        <v>39311.47</v>
      </c>
      <c r="AB80" s="78">
        <f>ROUND('[6]2032'!AB35,2)</f>
        <v>35845.980000000003</v>
      </c>
      <c r="AC80" s="209">
        <f>SUM(E80:AB80)*D80+SUM(E81:AB81)*D81+SUM(E82:AB82)*D82+SUM(E83:AB83)*D83</f>
        <v>27299820.879999999</v>
      </c>
      <c r="AD80" s="18"/>
    </row>
    <row r="81" spans="2:30" ht="18.649999999999999" customHeight="1" x14ac:dyDescent="0.35">
      <c r="B81" s="212" t="s">
        <v>34</v>
      </c>
      <c r="C81" s="9" t="s">
        <v>30</v>
      </c>
      <c r="D81" s="10">
        <f>+'[6]2032'!D36</f>
        <v>4</v>
      </c>
      <c r="E81" s="79">
        <f>ROUND('[6]2032'!E36,2)</f>
        <v>33234.33</v>
      </c>
      <c r="F81" s="79">
        <f>ROUND('[6]2032'!F36,2)</f>
        <v>31601.81</v>
      </c>
      <c r="G81" s="79">
        <f>ROUND('[6]2032'!G36,2)</f>
        <v>30388.66</v>
      </c>
      <c r="H81" s="79">
        <f>ROUND('[6]2032'!H36,2)</f>
        <v>29556.03</v>
      </c>
      <c r="I81" s="79">
        <f>ROUND('[6]2032'!I36,2)</f>
        <v>29410</v>
      </c>
      <c r="J81" s="79">
        <f>ROUND('[6]2032'!J36,2)</f>
        <v>29037.98</v>
      </c>
      <c r="K81" s="79">
        <f>ROUND('[6]2032'!K36,2)</f>
        <v>29322.7</v>
      </c>
      <c r="L81" s="79">
        <f>ROUND('[6]2032'!L36,2)</f>
        <v>32705.56</v>
      </c>
      <c r="M81" s="79">
        <f>ROUND('[6]2032'!M36,2)</f>
        <v>36417.870000000003</v>
      </c>
      <c r="N81" s="79">
        <f>ROUND('[6]2032'!N36,2)</f>
        <v>38537.800000000003</v>
      </c>
      <c r="O81" s="79">
        <f>ROUND('[6]2032'!O36,2)</f>
        <v>40354.379999999997</v>
      </c>
      <c r="P81" s="79">
        <f>ROUND('[6]2032'!P36,2)</f>
        <v>41454.6</v>
      </c>
      <c r="Q81" s="79">
        <f>ROUND('[6]2032'!Q36,2)</f>
        <v>40697.410000000003</v>
      </c>
      <c r="R81" s="79">
        <f>ROUND('[6]2032'!R36,2)</f>
        <v>39879.21</v>
      </c>
      <c r="S81" s="79">
        <f>ROUND('[6]2032'!S36,2)</f>
        <v>40003.279999999999</v>
      </c>
      <c r="T81" s="79">
        <f>ROUND('[6]2032'!T36,2)</f>
        <v>40028.89</v>
      </c>
      <c r="U81" s="79">
        <f>ROUND('[6]2032'!U36,2)</f>
        <v>39563.61</v>
      </c>
      <c r="V81" s="79">
        <f>ROUND('[6]2032'!V36,2)</f>
        <v>39723.17</v>
      </c>
      <c r="W81" s="79">
        <f>ROUND('[6]2032'!W36,2)</f>
        <v>43156.1</v>
      </c>
      <c r="X81" s="79">
        <f>ROUND('[6]2032'!X36,2)</f>
        <v>44061.41</v>
      </c>
      <c r="Y81" s="79">
        <f>ROUND('[6]2032'!Y36,2)</f>
        <v>42796.3</v>
      </c>
      <c r="Z81" s="79">
        <f>ROUND('[6]2032'!Z36,2)</f>
        <v>40660.980000000003</v>
      </c>
      <c r="AA81" s="79">
        <f>ROUND('[6]2032'!AA36,2)</f>
        <v>38180.019999999997</v>
      </c>
      <c r="AB81" s="79">
        <f>ROUND('[6]2032'!AB36,2)</f>
        <v>35616.050000000003</v>
      </c>
      <c r="AC81" s="210"/>
      <c r="AD81" s="18"/>
    </row>
    <row r="82" spans="2:30" ht="18.649999999999999" customHeight="1" x14ac:dyDescent="0.35">
      <c r="B82" s="212" t="s">
        <v>34</v>
      </c>
      <c r="C82" s="9" t="s">
        <v>31</v>
      </c>
      <c r="D82" s="10">
        <f>+'[6]2032'!D37</f>
        <v>4</v>
      </c>
      <c r="E82" s="79">
        <f>ROUND('[6]2032'!E37,2)</f>
        <v>33736.39</v>
      </c>
      <c r="F82" s="79">
        <f>ROUND('[6]2032'!F37,2)</f>
        <v>32027.67</v>
      </c>
      <c r="G82" s="79">
        <f>ROUND('[6]2032'!G37,2)</f>
        <v>30700.44</v>
      </c>
      <c r="H82" s="79">
        <f>ROUND('[6]2032'!H37,2)</f>
        <v>29828.080000000002</v>
      </c>
      <c r="I82" s="79">
        <f>ROUND('[6]2032'!I37,2)</f>
        <v>29487.83</v>
      </c>
      <c r="J82" s="79">
        <f>ROUND('[6]2032'!J37,2)</f>
        <v>28561.439999999999</v>
      </c>
      <c r="K82" s="79">
        <f>ROUND('[6]2032'!K37,2)</f>
        <v>27933.78</v>
      </c>
      <c r="L82" s="79">
        <f>ROUND('[6]2032'!L37,2)</f>
        <v>29465.279999999999</v>
      </c>
      <c r="M82" s="79">
        <f>ROUND('[6]2032'!M37,2)</f>
        <v>31484.36</v>
      </c>
      <c r="N82" s="79">
        <f>ROUND('[6]2032'!N37,2)</f>
        <v>33172.82</v>
      </c>
      <c r="O82" s="79">
        <f>ROUND('[6]2032'!O37,2)</f>
        <v>34367.74</v>
      </c>
      <c r="P82" s="79">
        <f>ROUND('[6]2032'!P37,2)</f>
        <v>35317.870000000003</v>
      </c>
      <c r="Q82" s="79">
        <f>ROUND('[6]2032'!Q37,2)</f>
        <v>36060.89</v>
      </c>
      <c r="R82" s="79">
        <f>ROUND('[6]2032'!R37,2)</f>
        <v>35993.9</v>
      </c>
      <c r="S82" s="79">
        <f>ROUND('[6]2032'!S37,2)</f>
        <v>36118.050000000003</v>
      </c>
      <c r="T82" s="79">
        <f>ROUND('[6]2032'!T37,2)</f>
        <v>36411.39</v>
      </c>
      <c r="U82" s="79">
        <f>ROUND('[6]2032'!U37,2)</f>
        <v>36469.78</v>
      </c>
      <c r="V82" s="79">
        <f>ROUND('[6]2032'!V37,2)</f>
        <v>36884.300000000003</v>
      </c>
      <c r="W82" s="79">
        <f>ROUND('[6]2032'!W37,2)</f>
        <v>41124.6</v>
      </c>
      <c r="X82" s="79">
        <f>ROUND('[6]2032'!X37,2)</f>
        <v>43109.3</v>
      </c>
      <c r="Y82" s="79">
        <f>ROUND('[6]2032'!Y37,2)</f>
        <v>42564.42</v>
      </c>
      <c r="Z82" s="79">
        <f>ROUND('[6]2032'!Z37,2)</f>
        <v>41201.599999999999</v>
      </c>
      <c r="AA82" s="79">
        <f>ROUND('[6]2032'!AA37,2)</f>
        <v>38707.269999999997</v>
      </c>
      <c r="AB82" s="79">
        <f>ROUND('[6]2032'!AB37,2)</f>
        <v>35878.26</v>
      </c>
      <c r="AC82" s="210"/>
      <c r="AD82" s="18"/>
    </row>
    <row r="83" spans="2:30" ht="18.649999999999999" customHeight="1" thickBot="1" x14ac:dyDescent="0.4">
      <c r="B83" s="213" t="s">
        <v>34</v>
      </c>
      <c r="C83" s="11" t="s">
        <v>32</v>
      </c>
      <c r="D83" s="12">
        <f>+'[6]2032'!D38</f>
        <v>1</v>
      </c>
      <c r="E83" s="76">
        <f>ROUND('[6]2032'!E38,2)</f>
        <v>33736.39</v>
      </c>
      <c r="F83" s="76">
        <f>ROUND('[6]2032'!F38,2)</f>
        <v>32027.67</v>
      </c>
      <c r="G83" s="76">
        <f>ROUND('[6]2032'!G38,2)</f>
        <v>30700.44</v>
      </c>
      <c r="H83" s="76">
        <f>ROUND('[6]2032'!H38,2)</f>
        <v>29828.080000000002</v>
      </c>
      <c r="I83" s="76">
        <f>ROUND('[6]2032'!I38,2)</f>
        <v>29487.83</v>
      </c>
      <c r="J83" s="76">
        <f>ROUND('[6]2032'!J38,2)</f>
        <v>28561.439999999999</v>
      </c>
      <c r="K83" s="76">
        <f>ROUND('[6]2032'!K38,2)</f>
        <v>27933.78</v>
      </c>
      <c r="L83" s="76">
        <f>ROUND('[6]2032'!L38,2)</f>
        <v>29465.279999999999</v>
      </c>
      <c r="M83" s="76">
        <f>ROUND('[6]2032'!M38,2)</f>
        <v>31484.36</v>
      </c>
      <c r="N83" s="76">
        <f>ROUND('[6]2032'!N38,2)</f>
        <v>33172.82</v>
      </c>
      <c r="O83" s="76">
        <f>ROUND('[6]2032'!O38,2)</f>
        <v>34367.74</v>
      </c>
      <c r="P83" s="76">
        <f>ROUND('[6]2032'!P38,2)</f>
        <v>35317.870000000003</v>
      </c>
      <c r="Q83" s="76">
        <f>ROUND('[6]2032'!Q38,2)</f>
        <v>36060.89</v>
      </c>
      <c r="R83" s="76">
        <f>ROUND('[6]2032'!R38,2)</f>
        <v>35993.9</v>
      </c>
      <c r="S83" s="76">
        <f>ROUND('[6]2032'!S38,2)</f>
        <v>36118.050000000003</v>
      </c>
      <c r="T83" s="76">
        <f>ROUND('[6]2032'!T38,2)</f>
        <v>36411.39</v>
      </c>
      <c r="U83" s="76">
        <f>ROUND('[6]2032'!U38,2)</f>
        <v>36469.78</v>
      </c>
      <c r="V83" s="76">
        <f>ROUND('[6]2032'!V38,2)</f>
        <v>36884.300000000003</v>
      </c>
      <c r="W83" s="76">
        <f>ROUND('[6]2032'!W38,2)</f>
        <v>41124.6</v>
      </c>
      <c r="X83" s="76">
        <f>ROUND('[6]2032'!X38,2)</f>
        <v>43109.3</v>
      </c>
      <c r="Y83" s="76">
        <f>ROUND('[6]2032'!Y38,2)</f>
        <v>42564.42</v>
      </c>
      <c r="Z83" s="76">
        <f>ROUND('[6]2032'!Z38,2)</f>
        <v>41201.599999999999</v>
      </c>
      <c r="AA83" s="76">
        <f>ROUND('[6]2032'!AA38,2)</f>
        <v>38707.269999999997</v>
      </c>
      <c r="AB83" s="76">
        <f>ROUND('[6]2032'!AB38,2)</f>
        <v>35878.26</v>
      </c>
      <c r="AC83" s="214"/>
      <c r="AD83" s="18"/>
    </row>
    <row r="84" spans="2:30" ht="18.649999999999999" customHeight="1" x14ac:dyDescent="0.35">
      <c r="B84" s="207">
        <v>48396</v>
      </c>
      <c r="C84" s="13" t="s">
        <v>29</v>
      </c>
      <c r="D84" s="14">
        <f>+'[6]2032'!D39</f>
        <v>20</v>
      </c>
      <c r="E84" s="81">
        <f>ROUND('[6]2032'!E39,2)</f>
        <v>33344.83</v>
      </c>
      <c r="F84" s="81">
        <f>ROUND('[6]2032'!F39,2)</f>
        <v>31640.240000000002</v>
      </c>
      <c r="G84" s="81">
        <f>ROUND('[6]2032'!G39,2)</f>
        <v>30368.01</v>
      </c>
      <c r="H84" s="81">
        <f>ROUND('[6]2032'!H39,2)</f>
        <v>29518.46</v>
      </c>
      <c r="I84" s="81">
        <f>ROUND('[6]2032'!I39,2)</f>
        <v>29487.13</v>
      </c>
      <c r="J84" s="81">
        <f>ROUND('[6]2032'!J39,2)</f>
        <v>30245.46</v>
      </c>
      <c r="K84" s="81">
        <f>ROUND('[6]2032'!K39,2)</f>
        <v>30638.55</v>
      </c>
      <c r="L84" s="81">
        <f>ROUND('[6]2032'!L39,2)</f>
        <v>34412.39</v>
      </c>
      <c r="M84" s="81">
        <f>ROUND('[6]2032'!M39,2)</f>
        <v>38112.53</v>
      </c>
      <c r="N84" s="81">
        <f>ROUND('[6]2032'!N39,2)</f>
        <v>40015.68</v>
      </c>
      <c r="O84" s="81">
        <f>ROUND('[6]2032'!O39,2)</f>
        <v>42227.53</v>
      </c>
      <c r="P84" s="81">
        <f>ROUND('[6]2032'!P39,2)</f>
        <v>43886.43</v>
      </c>
      <c r="Q84" s="81">
        <f>ROUND('[6]2032'!Q39,2)</f>
        <v>42321.94</v>
      </c>
      <c r="R84" s="81">
        <f>ROUND('[6]2032'!R39,2)</f>
        <v>43745.89</v>
      </c>
      <c r="S84" s="81">
        <f>ROUND('[6]2032'!S39,2)</f>
        <v>46236.67</v>
      </c>
      <c r="T84" s="81">
        <f>ROUND('[6]2032'!T39,2)</f>
        <v>46510.5</v>
      </c>
      <c r="U84" s="81">
        <f>ROUND('[6]2032'!U39,2)</f>
        <v>45879.29</v>
      </c>
      <c r="V84" s="81">
        <f>ROUND('[6]2032'!V39,2)</f>
        <v>43929.71</v>
      </c>
      <c r="W84" s="81">
        <f>ROUND('[6]2032'!W39,2)</f>
        <v>45877.9</v>
      </c>
      <c r="X84" s="81">
        <f>ROUND('[6]2032'!X39,2)</f>
        <v>46947.26</v>
      </c>
      <c r="Y84" s="81">
        <f>ROUND('[6]2032'!Y39,2)</f>
        <v>45675.3</v>
      </c>
      <c r="Z84" s="81">
        <f>ROUND('[6]2032'!Z39,2)</f>
        <v>43404.52</v>
      </c>
      <c r="AA84" s="81">
        <f>ROUND('[6]2032'!AA39,2)</f>
        <v>39854.83</v>
      </c>
      <c r="AB84" s="81">
        <f>ROUND('[6]2032'!AB39,2)</f>
        <v>36419.919999999998</v>
      </c>
      <c r="AC84" s="210">
        <f>SUM(E84:AB84)*D84+SUM(E85:AB85)*D85+SUM(E86:AB86)*D86+SUM(E87:AB87)*D87</f>
        <v>28129006.170000006</v>
      </c>
      <c r="AD84" s="18"/>
    </row>
    <row r="85" spans="2:30" ht="18.649999999999999" customHeight="1" x14ac:dyDescent="0.35">
      <c r="B85" s="208"/>
      <c r="C85" s="9" t="s">
        <v>30</v>
      </c>
      <c r="D85" s="10">
        <f>+'[6]2032'!D40</f>
        <v>5</v>
      </c>
      <c r="E85" s="79">
        <f>ROUND('[6]2032'!E40,2)</f>
        <v>33966.57</v>
      </c>
      <c r="F85" s="79">
        <f>ROUND('[6]2032'!F40,2)</f>
        <v>32046.62</v>
      </c>
      <c r="G85" s="79">
        <f>ROUND('[6]2032'!G40,2)</f>
        <v>30665.21</v>
      </c>
      <c r="H85" s="79">
        <f>ROUND('[6]2032'!H40,2)</f>
        <v>29828.09</v>
      </c>
      <c r="I85" s="79">
        <f>ROUND('[6]2032'!I40,2)</f>
        <v>29431.77</v>
      </c>
      <c r="J85" s="79">
        <f>ROUND('[6]2032'!J40,2)</f>
        <v>29133.11</v>
      </c>
      <c r="K85" s="79">
        <f>ROUND('[6]2032'!K40,2)</f>
        <v>29263.95</v>
      </c>
      <c r="L85" s="79">
        <f>ROUND('[6]2032'!L40,2)</f>
        <v>32468.77</v>
      </c>
      <c r="M85" s="79">
        <f>ROUND('[6]2032'!M40,2)</f>
        <v>36231.47</v>
      </c>
      <c r="N85" s="79">
        <f>ROUND('[6]2032'!N40,2)</f>
        <v>38404.53</v>
      </c>
      <c r="O85" s="79">
        <f>ROUND('[6]2032'!O40,2)</f>
        <v>40448.74</v>
      </c>
      <c r="P85" s="79">
        <f>ROUND('[6]2032'!P40,2)</f>
        <v>41470.44</v>
      </c>
      <c r="Q85" s="79">
        <f>ROUND('[6]2032'!Q40,2)</f>
        <v>40807.699999999997</v>
      </c>
      <c r="R85" s="79">
        <f>ROUND('[6]2032'!R40,2)</f>
        <v>40217.75</v>
      </c>
      <c r="S85" s="79">
        <f>ROUND('[6]2032'!S40,2)</f>
        <v>40214.85</v>
      </c>
      <c r="T85" s="79">
        <f>ROUND('[6]2032'!T40,2)</f>
        <v>39977.279999999999</v>
      </c>
      <c r="U85" s="79">
        <f>ROUND('[6]2032'!U40,2)</f>
        <v>39594.61</v>
      </c>
      <c r="V85" s="79">
        <f>ROUND('[6]2032'!V40,2)</f>
        <v>39726.550000000003</v>
      </c>
      <c r="W85" s="79">
        <f>ROUND('[6]2032'!W40,2)</f>
        <v>42218</v>
      </c>
      <c r="X85" s="79">
        <f>ROUND('[6]2032'!X40,2)</f>
        <v>43168.9</v>
      </c>
      <c r="Y85" s="79">
        <f>ROUND('[6]2032'!Y40,2)</f>
        <v>41754.410000000003</v>
      </c>
      <c r="Z85" s="79">
        <f>ROUND('[6]2032'!Z40,2)</f>
        <v>40005.96</v>
      </c>
      <c r="AA85" s="79">
        <f>ROUND('[6]2032'!AA40,2)</f>
        <v>37787.86</v>
      </c>
      <c r="AB85" s="79">
        <f>ROUND('[6]2032'!AB40,2)</f>
        <v>35246.85</v>
      </c>
      <c r="AC85" s="210"/>
      <c r="AD85" s="18"/>
    </row>
    <row r="86" spans="2:30" ht="18.649999999999999" customHeight="1" x14ac:dyDescent="0.35">
      <c r="B86" s="208"/>
      <c r="C86" s="9" t="s">
        <v>31</v>
      </c>
      <c r="D86" s="10">
        <f>+'[6]2032'!D41</f>
        <v>4</v>
      </c>
      <c r="E86" s="79">
        <f>ROUND('[6]2032'!E41,2)</f>
        <v>31942.76</v>
      </c>
      <c r="F86" s="79">
        <f>ROUND('[6]2032'!F41,2)</f>
        <v>30449.23</v>
      </c>
      <c r="G86" s="79">
        <f>ROUND('[6]2032'!G41,2)</f>
        <v>29146.78</v>
      </c>
      <c r="H86" s="79">
        <f>ROUND('[6]2032'!H41,2)</f>
        <v>28351.34</v>
      </c>
      <c r="I86" s="79">
        <f>ROUND('[6]2032'!I41,2)</f>
        <v>28029.71</v>
      </c>
      <c r="J86" s="79">
        <f>ROUND('[6]2032'!J41,2)</f>
        <v>27344.27</v>
      </c>
      <c r="K86" s="79">
        <f>ROUND('[6]2032'!K41,2)</f>
        <v>26740.71</v>
      </c>
      <c r="L86" s="79">
        <f>ROUND('[6]2032'!L41,2)</f>
        <v>28393.61</v>
      </c>
      <c r="M86" s="79">
        <f>ROUND('[6]2032'!M41,2)</f>
        <v>30425.85</v>
      </c>
      <c r="N86" s="79">
        <f>ROUND('[6]2032'!N41,2)</f>
        <v>32063.22</v>
      </c>
      <c r="O86" s="79">
        <f>ROUND('[6]2032'!O41,2)</f>
        <v>33459.78</v>
      </c>
      <c r="P86" s="79">
        <f>ROUND('[6]2032'!P41,2)</f>
        <v>34650.03</v>
      </c>
      <c r="Q86" s="79">
        <f>ROUND('[6]2032'!Q41,2)</f>
        <v>35510.639999999999</v>
      </c>
      <c r="R86" s="79">
        <f>ROUND('[6]2032'!R41,2)</f>
        <v>35729</v>
      </c>
      <c r="S86" s="79">
        <f>ROUND('[6]2032'!S41,2)</f>
        <v>35931.9</v>
      </c>
      <c r="T86" s="79">
        <f>ROUND('[6]2032'!T41,2)</f>
        <v>36407</v>
      </c>
      <c r="U86" s="79">
        <f>ROUND('[6]2032'!U41,2)</f>
        <v>36342.81</v>
      </c>
      <c r="V86" s="79">
        <f>ROUND('[6]2032'!V41,2)</f>
        <v>36514.92</v>
      </c>
      <c r="W86" s="79">
        <f>ROUND('[6]2032'!W41,2)</f>
        <v>40656.26</v>
      </c>
      <c r="X86" s="79">
        <f>ROUND('[6]2032'!X41,2)</f>
        <v>42979.43</v>
      </c>
      <c r="Y86" s="79">
        <f>ROUND('[6]2032'!Y41,2)</f>
        <v>42329.57</v>
      </c>
      <c r="Z86" s="79">
        <f>ROUND('[6]2032'!Z41,2)</f>
        <v>40590.230000000003</v>
      </c>
      <c r="AA86" s="79">
        <f>ROUND('[6]2032'!AA41,2)</f>
        <v>37465.9</v>
      </c>
      <c r="AB86" s="79">
        <f>ROUND('[6]2032'!AB41,2)</f>
        <v>34309.519999999997</v>
      </c>
      <c r="AC86" s="210"/>
      <c r="AD86" s="18"/>
    </row>
    <row r="87" spans="2:30" ht="18.649999999999999" customHeight="1" thickBot="1" x14ac:dyDescent="0.4">
      <c r="B87" s="208"/>
      <c r="C87" s="15" t="s">
        <v>32</v>
      </c>
      <c r="D87" s="16">
        <f>+'[6]2032'!D42</f>
        <v>2</v>
      </c>
      <c r="E87" s="80">
        <f>ROUND('[6]2032'!E42,2)</f>
        <v>31942.76</v>
      </c>
      <c r="F87" s="80">
        <f>ROUND('[6]2032'!F42,2)</f>
        <v>30449.23</v>
      </c>
      <c r="G87" s="80">
        <f>ROUND('[6]2032'!G42,2)</f>
        <v>29146.78</v>
      </c>
      <c r="H87" s="80">
        <f>ROUND('[6]2032'!H42,2)</f>
        <v>28351.34</v>
      </c>
      <c r="I87" s="80">
        <f>ROUND('[6]2032'!I42,2)</f>
        <v>28029.71</v>
      </c>
      <c r="J87" s="80">
        <f>ROUND('[6]2032'!J42,2)</f>
        <v>27344.27</v>
      </c>
      <c r="K87" s="80">
        <f>ROUND('[6]2032'!K42,2)</f>
        <v>26740.71</v>
      </c>
      <c r="L87" s="80">
        <f>ROUND('[6]2032'!L42,2)</f>
        <v>28393.61</v>
      </c>
      <c r="M87" s="80">
        <f>ROUND('[6]2032'!M42,2)</f>
        <v>30425.85</v>
      </c>
      <c r="N87" s="80">
        <f>ROUND('[6]2032'!N42,2)</f>
        <v>32063.22</v>
      </c>
      <c r="O87" s="80">
        <f>ROUND('[6]2032'!O42,2)</f>
        <v>33459.78</v>
      </c>
      <c r="P87" s="80">
        <f>ROUND('[6]2032'!P42,2)</f>
        <v>34650.03</v>
      </c>
      <c r="Q87" s="80">
        <f>ROUND('[6]2032'!Q42,2)</f>
        <v>35510.639999999999</v>
      </c>
      <c r="R87" s="80">
        <f>ROUND('[6]2032'!R42,2)</f>
        <v>35729</v>
      </c>
      <c r="S87" s="80">
        <f>ROUND('[6]2032'!S42,2)</f>
        <v>35931.9</v>
      </c>
      <c r="T87" s="80">
        <f>ROUND('[6]2032'!T42,2)</f>
        <v>36407</v>
      </c>
      <c r="U87" s="80">
        <f>ROUND('[6]2032'!U42,2)</f>
        <v>36342.81</v>
      </c>
      <c r="V87" s="80">
        <f>ROUND('[6]2032'!V42,2)</f>
        <v>36514.92</v>
      </c>
      <c r="W87" s="80">
        <f>ROUND('[6]2032'!W42,2)</f>
        <v>40656.26</v>
      </c>
      <c r="X87" s="80">
        <f>ROUND('[6]2032'!X42,2)</f>
        <v>42979.43</v>
      </c>
      <c r="Y87" s="80">
        <f>ROUND('[6]2032'!Y42,2)</f>
        <v>42329.57</v>
      </c>
      <c r="Z87" s="80">
        <f>ROUND('[6]2032'!Z42,2)</f>
        <v>40590.230000000003</v>
      </c>
      <c r="AA87" s="80">
        <f>ROUND('[6]2032'!AA42,2)</f>
        <v>37465.9</v>
      </c>
      <c r="AB87" s="80">
        <f>ROUND('[6]2032'!AB42,2)</f>
        <v>34309.519999999997</v>
      </c>
      <c r="AC87" s="210"/>
      <c r="AD87" s="18"/>
    </row>
    <row r="88" spans="2:30" ht="18.649999999999999" customHeight="1" x14ac:dyDescent="0.35">
      <c r="B88" s="211">
        <v>48427</v>
      </c>
      <c r="C88" s="6" t="s">
        <v>29</v>
      </c>
      <c r="D88" s="7">
        <f>+'[6]2032'!D43</f>
        <v>21</v>
      </c>
      <c r="E88" s="78">
        <f>ROUND('[6]2032'!E43,2)</f>
        <v>33382.79</v>
      </c>
      <c r="F88" s="78">
        <f>ROUND('[6]2032'!F43,2)</f>
        <v>31556.639999999999</v>
      </c>
      <c r="G88" s="78">
        <f>ROUND('[6]2032'!G43,2)</f>
        <v>30263.599999999999</v>
      </c>
      <c r="H88" s="78">
        <f>ROUND('[6]2032'!H43,2)</f>
        <v>29381.61</v>
      </c>
      <c r="I88" s="78">
        <f>ROUND('[6]2032'!I43,2)</f>
        <v>29351.4</v>
      </c>
      <c r="J88" s="78">
        <f>ROUND('[6]2032'!J43,2)</f>
        <v>30332.25</v>
      </c>
      <c r="K88" s="78">
        <f>ROUND('[6]2032'!K43,2)</f>
        <v>30689.07</v>
      </c>
      <c r="L88" s="78">
        <f>ROUND('[6]2032'!L43,2)</f>
        <v>34138.699999999997</v>
      </c>
      <c r="M88" s="78">
        <f>ROUND('[6]2032'!M43,2)</f>
        <v>37857.120000000003</v>
      </c>
      <c r="N88" s="78">
        <f>ROUND('[6]2032'!N43,2)</f>
        <v>39719.9</v>
      </c>
      <c r="O88" s="78">
        <f>ROUND('[6]2032'!O43,2)</f>
        <v>42035.96</v>
      </c>
      <c r="P88" s="78">
        <f>ROUND('[6]2032'!P43,2)</f>
        <v>43954.06</v>
      </c>
      <c r="Q88" s="78">
        <f>ROUND('[6]2032'!Q43,2)</f>
        <v>42187.1</v>
      </c>
      <c r="R88" s="78">
        <f>ROUND('[6]2032'!R43,2)</f>
        <v>43566.69</v>
      </c>
      <c r="S88" s="78">
        <f>ROUND('[6]2032'!S43,2)</f>
        <v>46186.22</v>
      </c>
      <c r="T88" s="78">
        <f>ROUND('[6]2032'!T43,2)</f>
        <v>46482.85</v>
      </c>
      <c r="U88" s="78">
        <f>ROUND('[6]2032'!U43,2)</f>
        <v>45685.71</v>
      </c>
      <c r="V88" s="78">
        <f>ROUND('[6]2032'!V43,2)</f>
        <v>44012.27</v>
      </c>
      <c r="W88" s="78">
        <f>ROUND('[6]2032'!W43,2)</f>
        <v>46646.86</v>
      </c>
      <c r="X88" s="78">
        <f>ROUND('[6]2032'!X43,2)</f>
        <v>47374.32</v>
      </c>
      <c r="Y88" s="78">
        <f>ROUND('[6]2032'!Y43,2)</f>
        <v>46043.05</v>
      </c>
      <c r="Z88" s="78">
        <f>ROUND('[6]2032'!Z43,2)</f>
        <v>43688.37</v>
      </c>
      <c r="AA88" s="78">
        <f>ROUND('[6]2032'!AA43,2)</f>
        <v>40061.39</v>
      </c>
      <c r="AB88" s="78">
        <f>ROUND('[6]2032'!AB43,2)</f>
        <v>36635.360000000001</v>
      </c>
      <c r="AC88" s="209">
        <f>SUM(E88:AB88)*D88+SUM(E89:AB89)*D89+SUM(E90:AB90)*D90+SUM(E91:AB91)*D91</f>
        <v>28220743.040000003</v>
      </c>
      <c r="AD88" s="18"/>
    </row>
    <row r="89" spans="2:30" ht="18.649999999999999" customHeight="1" x14ac:dyDescent="0.35">
      <c r="B89" s="212" t="s">
        <v>34</v>
      </c>
      <c r="C89" s="9" t="s">
        <v>30</v>
      </c>
      <c r="D89" s="10">
        <f>+'[6]2032'!D44</f>
        <v>3</v>
      </c>
      <c r="E89" s="79">
        <f>ROUND('[6]2032'!E44,2)</f>
        <v>33839.83</v>
      </c>
      <c r="F89" s="79">
        <f>ROUND('[6]2032'!F44,2)</f>
        <v>32099.77</v>
      </c>
      <c r="G89" s="79">
        <f>ROUND('[6]2032'!G44,2)</f>
        <v>30809.57</v>
      </c>
      <c r="H89" s="79">
        <f>ROUND('[6]2032'!H44,2)</f>
        <v>29830.33</v>
      </c>
      <c r="I89" s="79">
        <f>ROUND('[6]2032'!I44,2)</f>
        <v>29243.17</v>
      </c>
      <c r="J89" s="79">
        <f>ROUND('[6]2032'!J44,2)</f>
        <v>28991.05</v>
      </c>
      <c r="K89" s="79">
        <f>ROUND('[6]2032'!K44,2)</f>
        <v>29036.26</v>
      </c>
      <c r="L89" s="79">
        <f>ROUND('[6]2032'!L44,2)</f>
        <v>32142.7</v>
      </c>
      <c r="M89" s="79">
        <f>ROUND('[6]2032'!M44,2)</f>
        <v>35545.410000000003</v>
      </c>
      <c r="N89" s="79">
        <f>ROUND('[6]2032'!N44,2)</f>
        <v>37709.81</v>
      </c>
      <c r="O89" s="79">
        <f>ROUND('[6]2032'!O44,2)</f>
        <v>39486.949999999997</v>
      </c>
      <c r="P89" s="79">
        <f>ROUND('[6]2032'!P44,2)</f>
        <v>40088.39</v>
      </c>
      <c r="Q89" s="79">
        <f>ROUND('[6]2032'!Q44,2)</f>
        <v>39399.99</v>
      </c>
      <c r="R89" s="79">
        <f>ROUND('[6]2032'!R44,2)</f>
        <v>38860.22</v>
      </c>
      <c r="S89" s="79">
        <f>ROUND('[6]2032'!S44,2)</f>
        <v>39289.019999999997</v>
      </c>
      <c r="T89" s="79">
        <f>ROUND('[6]2032'!T44,2)</f>
        <v>39459.86</v>
      </c>
      <c r="U89" s="79">
        <f>ROUND('[6]2032'!U44,2)</f>
        <v>39200</v>
      </c>
      <c r="V89" s="79">
        <f>ROUND('[6]2032'!V44,2)</f>
        <v>39502.81</v>
      </c>
      <c r="W89" s="79">
        <f>ROUND('[6]2032'!W44,2)</f>
        <v>43604.22</v>
      </c>
      <c r="X89" s="79">
        <f>ROUND('[6]2032'!X44,2)</f>
        <v>43950.78</v>
      </c>
      <c r="Y89" s="79">
        <f>ROUND('[6]2032'!Y44,2)</f>
        <v>42348.61</v>
      </c>
      <c r="Z89" s="79">
        <f>ROUND('[6]2032'!Z44,2)</f>
        <v>40427.29</v>
      </c>
      <c r="AA89" s="79">
        <f>ROUND('[6]2032'!AA44,2)</f>
        <v>37946.93</v>
      </c>
      <c r="AB89" s="79">
        <f>ROUND('[6]2032'!AB44,2)</f>
        <v>35240.639999999999</v>
      </c>
      <c r="AC89" s="210"/>
      <c r="AD89" s="18"/>
    </row>
    <row r="90" spans="2:30" ht="18.649999999999999" customHeight="1" x14ac:dyDescent="0.35">
      <c r="B90" s="212" t="s">
        <v>34</v>
      </c>
      <c r="C90" s="9" t="s">
        <v>31</v>
      </c>
      <c r="D90" s="10">
        <f>+'[6]2032'!D45</f>
        <v>5</v>
      </c>
      <c r="E90" s="79">
        <f>ROUND('[6]2032'!E45,2)</f>
        <v>33023.39</v>
      </c>
      <c r="F90" s="79">
        <f>ROUND('[6]2032'!F45,2)</f>
        <v>31416.560000000001</v>
      </c>
      <c r="G90" s="79">
        <f>ROUND('[6]2032'!G45,2)</f>
        <v>30023.9</v>
      </c>
      <c r="H90" s="79">
        <f>ROUND('[6]2032'!H45,2)</f>
        <v>29216.68</v>
      </c>
      <c r="I90" s="79">
        <f>ROUND('[6]2032'!I45,2)</f>
        <v>28795.83</v>
      </c>
      <c r="J90" s="79">
        <f>ROUND('[6]2032'!J45,2)</f>
        <v>28357.45</v>
      </c>
      <c r="K90" s="79">
        <f>ROUND('[6]2032'!K45,2)</f>
        <v>27595.17</v>
      </c>
      <c r="L90" s="79">
        <f>ROUND('[6]2032'!L45,2)</f>
        <v>29158.14</v>
      </c>
      <c r="M90" s="79">
        <f>ROUND('[6]2032'!M45,2)</f>
        <v>31034.799999999999</v>
      </c>
      <c r="N90" s="79">
        <f>ROUND('[6]2032'!N45,2)</f>
        <v>32629.93</v>
      </c>
      <c r="O90" s="79">
        <f>ROUND('[6]2032'!O45,2)</f>
        <v>33982.949999999997</v>
      </c>
      <c r="P90" s="79">
        <f>ROUND('[6]2032'!P45,2)</f>
        <v>35110.78</v>
      </c>
      <c r="Q90" s="79">
        <f>ROUND('[6]2032'!Q45,2)</f>
        <v>35783.26</v>
      </c>
      <c r="R90" s="79">
        <f>ROUND('[6]2032'!R45,2)</f>
        <v>35924.120000000003</v>
      </c>
      <c r="S90" s="79">
        <f>ROUND('[6]2032'!S45,2)</f>
        <v>36140.81</v>
      </c>
      <c r="T90" s="79">
        <f>ROUND('[6]2032'!T45,2)</f>
        <v>36401.75</v>
      </c>
      <c r="U90" s="79">
        <f>ROUND('[6]2032'!U45,2)</f>
        <v>36397.269999999997</v>
      </c>
      <c r="V90" s="79">
        <f>ROUND('[6]2032'!V45,2)</f>
        <v>37007.480000000003</v>
      </c>
      <c r="W90" s="79">
        <f>ROUND('[6]2032'!W45,2)</f>
        <v>41645.93</v>
      </c>
      <c r="X90" s="79">
        <f>ROUND('[6]2032'!X45,2)</f>
        <v>43443.91</v>
      </c>
      <c r="Y90" s="79">
        <f>ROUND('[6]2032'!Y45,2)</f>
        <v>43088.06</v>
      </c>
      <c r="Z90" s="79">
        <f>ROUND('[6]2032'!Z45,2)</f>
        <v>41548.400000000001</v>
      </c>
      <c r="AA90" s="79">
        <f>ROUND('[6]2032'!AA45,2)</f>
        <v>38507.51</v>
      </c>
      <c r="AB90" s="79">
        <f>ROUND('[6]2032'!AB45,2)</f>
        <v>35292.080000000002</v>
      </c>
      <c r="AC90" s="210"/>
      <c r="AD90" s="18"/>
    </row>
    <row r="91" spans="2:30" ht="18.649999999999999" customHeight="1" thickBot="1" x14ac:dyDescent="0.4">
      <c r="B91" s="213" t="s">
        <v>34</v>
      </c>
      <c r="C91" s="11" t="s">
        <v>32</v>
      </c>
      <c r="D91" s="12">
        <f>+'[6]2032'!D46</f>
        <v>2</v>
      </c>
      <c r="E91" s="76">
        <f>ROUND('[6]2032'!E46,2)</f>
        <v>33023.39</v>
      </c>
      <c r="F91" s="76">
        <f>ROUND('[6]2032'!F46,2)</f>
        <v>31416.560000000001</v>
      </c>
      <c r="G91" s="76">
        <f>ROUND('[6]2032'!G46,2)</f>
        <v>30023.9</v>
      </c>
      <c r="H91" s="76">
        <f>ROUND('[6]2032'!H46,2)</f>
        <v>29216.68</v>
      </c>
      <c r="I91" s="76">
        <f>ROUND('[6]2032'!I46,2)</f>
        <v>28795.83</v>
      </c>
      <c r="J91" s="76">
        <f>ROUND('[6]2032'!J46,2)</f>
        <v>28357.45</v>
      </c>
      <c r="K91" s="76">
        <f>ROUND('[6]2032'!K46,2)</f>
        <v>27595.17</v>
      </c>
      <c r="L91" s="76">
        <f>ROUND('[6]2032'!L46,2)</f>
        <v>29158.14</v>
      </c>
      <c r="M91" s="76">
        <f>ROUND('[6]2032'!M46,2)</f>
        <v>31034.799999999999</v>
      </c>
      <c r="N91" s="76">
        <f>ROUND('[6]2032'!N46,2)</f>
        <v>32629.93</v>
      </c>
      <c r="O91" s="76">
        <f>ROUND('[6]2032'!O46,2)</f>
        <v>33982.949999999997</v>
      </c>
      <c r="P91" s="76">
        <f>ROUND('[6]2032'!P46,2)</f>
        <v>35110.78</v>
      </c>
      <c r="Q91" s="76">
        <f>ROUND('[6]2032'!Q46,2)</f>
        <v>35783.26</v>
      </c>
      <c r="R91" s="76">
        <f>ROUND('[6]2032'!R46,2)</f>
        <v>35924.120000000003</v>
      </c>
      <c r="S91" s="76">
        <f>ROUND('[6]2032'!S46,2)</f>
        <v>36140.81</v>
      </c>
      <c r="T91" s="76">
        <f>ROUND('[6]2032'!T46,2)</f>
        <v>36401.75</v>
      </c>
      <c r="U91" s="76">
        <f>ROUND('[6]2032'!U46,2)</f>
        <v>36397.269999999997</v>
      </c>
      <c r="V91" s="76">
        <f>ROUND('[6]2032'!V46,2)</f>
        <v>37007.480000000003</v>
      </c>
      <c r="W91" s="76">
        <f>ROUND('[6]2032'!W46,2)</f>
        <v>41645.93</v>
      </c>
      <c r="X91" s="76">
        <f>ROUND('[6]2032'!X46,2)</f>
        <v>43443.91</v>
      </c>
      <c r="Y91" s="76">
        <f>ROUND('[6]2032'!Y46,2)</f>
        <v>43088.06</v>
      </c>
      <c r="Z91" s="76">
        <f>ROUND('[6]2032'!Z46,2)</f>
        <v>41548.400000000001</v>
      </c>
      <c r="AA91" s="76">
        <f>ROUND('[6]2032'!AA46,2)</f>
        <v>38507.51</v>
      </c>
      <c r="AB91" s="76">
        <f>ROUND('[6]2032'!AB46,2)</f>
        <v>35292.080000000002</v>
      </c>
      <c r="AC91" s="214"/>
      <c r="AD91" s="18"/>
    </row>
    <row r="92" spans="2:30" ht="18.649999999999999" customHeight="1" x14ac:dyDescent="0.35">
      <c r="B92" s="207">
        <v>48458</v>
      </c>
      <c r="C92" s="13" t="s">
        <v>29</v>
      </c>
      <c r="D92" s="14">
        <f>+'[6]2032'!D47</f>
        <v>22</v>
      </c>
      <c r="E92" s="81">
        <f>ROUND('[6]2032'!E47,2)</f>
        <v>32877.47</v>
      </c>
      <c r="F92" s="81">
        <f>ROUND('[6]2032'!F47,2)</f>
        <v>31152.93</v>
      </c>
      <c r="G92" s="81">
        <f>ROUND('[6]2032'!G47,2)</f>
        <v>29882.52</v>
      </c>
      <c r="H92" s="81">
        <f>ROUND('[6]2032'!H47,2)</f>
        <v>28952.04</v>
      </c>
      <c r="I92" s="81">
        <f>ROUND('[6]2032'!I47,2)</f>
        <v>28919.17</v>
      </c>
      <c r="J92" s="81">
        <f>ROUND('[6]2032'!J47,2)</f>
        <v>29855.07</v>
      </c>
      <c r="K92" s="81">
        <f>ROUND('[6]2032'!K47,2)</f>
        <v>30277.03</v>
      </c>
      <c r="L92" s="81">
        <f>ROUND('[6]2032'!L47,2)</f>
        <v>33743.050000000003</v>
      </c>
      <c r="M92" s="81">
        <f>ROUND('[6]2032'!M47,2)</f>
        <v>37475.94</v>
      </c>
      <c r="N92" s="81">
        <f>ROUND('[6]2032'!N47,2)</f>
        <v>39339.79</v>
      </c>
      <c r="O92" s="81">
        <f>ROUND('[6]2032'!O47,2)</f>
        <v>41343.300000000003</v>
      </c>
      <c r="P92" s="81">
        <f>ROUND('[6]2032'!P47,2)</f>
        <v>43055.43</v>
      </c>
      <c r="Q92" s="81">
        <f>ROUND('[6]2032'!Q47,2)</f>
        <v>41499.25</v>
      </c>
      <c r="R92" s="81">
        <f>ROUND('[6]2032'!R47,2)</f>
        <v>42711.839999999997</v>
      </c>
      <c r="S92" s="81">
        <f>ROUND('[6]2032'!S47,2)</f>
        <v>45134.43</v>
      </c>
      <c r="T92" s="81">
        <f>ROUND('[6]2032'!T47,2)</f>
        <v>45443.33</v>
      </c>
      <c r="U92" s="81">
        <f>ROUND('[6]2032'!U47,2)</f>
        <v>44741.2</v>
      </c>
      <c r="V92" s="81">
        <f>ROUND('[6]2032'!V47,2)</f>
        <v>43603.58</v>
      </c>
      <c r="W92" s="81">
        <f>ROUND('[6]2032'!W47,2)</f>
        <v>46520.54</v>
      </c>
      <c r="X92" s="81">
        <f>ROUND('[6]2032'!X47,2)</f>
        <v>46081.19</v>
      </c>
      <c r="Y92" s="81">
        <f>ROUND('[6]2032'!Y47,2)</f>
        <v>44609.89</v>
      </c>
      <c r="Z92" s="81">
        <f>ROUND('[6]2032'!Z47,2)</f>
        <v>42203.839999999997</v>
      </c>
      <c r="AA92" s="81">
        <f>ROUND('[6]2032'!AA47,2)</f>
        <v>38593.86</v>
      </c>
      <c r="AB92" s="81">
        <f>ROUND('[6]2032'!AB47,2)</f>
        <v>35272.910000000003</v>
      </c>
      <c r="AC92" s="210">
        <f>SUM(E92:AB92)*D92+SUM(E93:AB93)*D93+SUM(E94:AB94)*D94+SUM(E95:AB95)*D95</f>
        <v>27034201.799999997</v>
      </c>
      <c r="AD92" s="18"/>
    </row>
    <row r="93" spans="2:30" ht="18.649999999999999" customHeight="1" x14ac:dyDescent="0.35">
      <c r="B93" s="208"/>
      <c r="C93" s="9" t="s">
        <v>30</v>
      </c>
      <c r="D93" s="10">
        <f>+'[6]2032'!D48</f>
        <v>4</v>
      </c>
      <c r="E93" s="79">
        <f>ROUND('[6]2032'!E48,2)</f>
        <v>32021.94</v>
      </c>
      <c r="F93" s="79">
        <f>ROUND('[6]2032'!F48,2)</f>
        <v>30403.34</v>
      </c>
      <c r="G93" s="79">
        <f>ROUND('[6]2032'!G48,2)</f>
        <v>29187.45</v>
      </c>
      <c r="H93" s="79">
        <f>ROUND('[6]2032'!H48,2)</f>
        <v>28291.27</v>
      </c>
      <c r="I93" s="79">
        <f>ROUND('[6]2032'!I48,2)</f>
        <v>28053.01</v>
      </c>
      <c r="J93" s="79">
        <f>ROUND('[6]2032'!J48,2)</f>
        <v>27891.48</v>
      </c>
      <c r="K93" s="79">
        <f>ROUND('[6]2032'!K48,2)</f>
        <v>28211.27</v>
      </c>
      <c r="L93" s="79">
        <f>ROUND('[6]2032'!L48,2)</f>
        <v>31427.51</v>
      </c>
      <c r="M93" s="79">
        <f>ROUND('[6]2032'!M48,2)</f>
        <v>35024.839999999997</v>
      </c>
      <c r="N93" s="79">
        <f>ROUND('[6]2032'!N48,2)</f>
        <v>36796.800000000003</v>
      </c>
      <c r="O93" s="79">
        <f>ROUND('[6]2032'!O48,2)</f>
        <v>38951.870000000003</v>
      </c>
      <c r="P93" s="79">
        <f>ROUND('[6]2032'!P48,2)</f>
        <v>39911.230000000003</v>
      </c>
      <c r="Q93" s="79">
        <f>ROUND('[6]2032'!Q48,2)</f>
        <v>39466.83</v>
      </c>
      <c r="R93" s="79">
        <f>ROUND('[6]2032'!R48,2)</f>
        <v>38984.089999999997</v>
      </c>
      <c r="S93" s="79">
        <f>ROUND('[6]2032'!S48,2)</f>
        <v>39253.480000000003</v>
      </c>
      <c r="T93" s="79">
        <f>ROUND('[6]2032'!T48,2)</f>
        <v>39169.68</v>
      </c>
      <c r="U93" s="79">
        <f>ROUND('[6]2032'!U48,2)</f>
        <v>38704.019999999997</v>
      </c>
      <c r="V93" s="79">
        <f>ROUND('[6]2032'!V48,2)</f>
        <v>39653.51</v>
      </c>
      <c r="W93" s="79">
        <f>ROUND('[6]2032'!W48,2)</f>
        <v>44061.21</v>
      </c>
      <c r="X93" s="79">
        <f>ROUND('[6]2032'!X48,2)</f>
        <v>43735.03</v>
      </c>
      <c r="Y93" s="79">
        <f>ROUND('[6]2032'!Y48,2)</f>
        <v>42191.12</v>
      </c>
      <c r="Z93" s="79">
        <f>ROUND('[6]2032'!Z48,2)</f>
        <v>40249.74</v>
      </c>
      <c r="AA93" s="79">
        <f>ROUND('[6]2032'!AA48,2)</f>
        <v>38025.43</v>
      </c>
      <c r="AB93" s="79">
        <f>ROUND('[6]2032'!AB48,2)</f>
        <v>35367.64</v>
      </c>
      <c r="AC93" s="210"/>
      <c r="AD93" s="18"/>
    </row>
    <row r="94" spans="2:30" ht="18.649999999999999" customHeight="1" x14ac:dyDescent="0.35">
      <c r="B94" s="208"/>
      <c r="C94" s="9" t="s">
        <v>31</v>
      </c>
      <c r="D94" s="10">
        <f>+'[6]2032'!D49</f>
        <v>4</v>
      </c>
      <c r="E94" s="79">
        <f>ROUND('[6]2032'!E49,2)</f>
        <v>32775.64</v>
      </c>
      <c r="F94" s="79">
        <f>ROUND('[6]2032'!F49,2)</f>
        <v>31105.360000000001</v>
      </c>
      <c r="G94" s="79">
        <f>ROUND('[6]2032'!G49,2)</f>
        <v>29671.27</v>
      </c>
      <c r="H94" s="79">
        <f>ROUND('[6]2032'!H49,2)</f>
        <v>28721.97</v>
      </c>
      <c r="I94" s="79">
        <f>ROUND('[6]2032'!I49,2)</f>
        <v>28320.13</v>
      </c>
      <c r="J94" s="79">
        <f>ROUND('[6]2032'!J49,2)</f>
        <v>27551.61</v>
      </c>
      <c r="K94" s="79">
        <f>ROUND('[6]2032'!K49,2)</f>
        <v>26831.49</v>
      </c>
      <c r="L94" s="79">
        <f>ROUND('[6]2032'!L49,2)</f>
        <v>28518.560000000001</v>
      </c>
      <c r="M94" s="79">
        <f>ROUND('[6]2032'!M49,2)</f>
        <v>30352.31</v>
      </c>
      <c r="N94" s="79">
        <f>ROUND('[6]2032'!N49,2)</f>
        <v>32131.040000000001</v>
      </c>
      <c r="O94" s="79">
        <f>ROUND('[6]2032'!O49,2)</f>
        <v>33492.29</v>
      </c>
      <c r="P94" s="79">
        <f>ROUND('[6]2032'!P49,2)</f>
        <v>34386.480000000003</v>
      </c>
      <c r="Q94" s="79">
        <f>ROUND('[6]2032'!Q49,2)</f>
        <v>35152.82</v>
      </c>
      <c r="R94" s="79">
        <f>ROUND('[6]2032'!R49,2)</f>
        <v>35260.699999999997</v>
      </c>
      <c r="S94" s="79">
        <f>ROUND('[6]2032'!S49,2)</f>
        <v>35281.82</v>
      </c>
      <c r="T94" s="79">
        <f>ROUND('[6]2032'!T49,2)</f>
        <v>35720.76</v>
      </c>
      <c r="U94" s="79">
        <f>ROUND('[6]2032'!U49,2)</f>
        <v>35682.910000000003</v>
      </c>
      <c r="V94" s="79">
        <f>ROUND('[6]2032'!V49,2)</f>
        <v>36843.56</v>
      </c>
      <c r="W94" s="79">
        <f>ROUND('[6]2032'!W49,2)</f>
        <v>41662.06</v>
      </c>
      <c r="X94" s="79">
        <f>ROUND('[6]2032'!X49,2)</f>
        <v>42355.11</v>
      </c>
      <c r="Y94" s="79">
        <f>ROUND('[6]2032'!Y49,2)</f>
        <v>41808</v>
      </c>
      <c r="Z94" s="79">
        <f>ROUND('[6]2032'!Z49,2)</f>
        <v>40229.29</v>
      </c>
      <c r="AA94" s="79">
        <f>ROUND('[6]2032'!AA49,2)</f>
        <v>37328.74</v>
      </c>
      <c r="AB94" s="79">
        <f>ROUND('[6]2032'!AB49,2)</f>
        <v>34239.94</v>
      </c>
      <c r="AC94" s="210"/>
      <c r="AD94" s="18"/>
    </row>
    <row r="95" spans="2:30" ht="18.649999999999999" customHeight="1" thickBot="1" x14ac:dyDescent="0.4">
      <c r="B95" s="208"/>
      <c r="C95" s="15" t="s">
        <v>32</v>
      </c>
      <c r="D95" s="16">
        <f>+'[6]2032'!D50</f>
        <v>0</v>
      </c>
      <c r="E95" s="84">
        <f>ROUND('[6]2032'!E50,2)</f>
        <v>0</v>
      </c>
      <c r="F95" s="84">
        <f>ROUND('[6]2032'!F50,2)</f>
        <v>0</v>
      </c>
      <c r="G95" s="84">
        <f>ROUND('[6]2032'!G50,2)</f>
        <v>0</v>
      </c>
      <c r="H95" s="84">
        <f>ROUND('[6]2032'!H50,2)</f>
        <v>0</v>
      </c>
      <c r="I95" s="84">
        <f>ROUND('[6]2032'!I50,2)</f>
        <v>0</v>
      </c>
      <c r="J95" s="84">
        <f>ROUND('[6]2032'!J50,2)</f>
        <v>0</v>
      </c>
      <c r="K95" s="84">
        <f>ROUND('[6]2032'!K50,2)</f>
        <v>0</v>
      </c>
      <c r="L95" s="84">
        <f>ROUND('[6]2032'!L50,2)</f>
        <v>0</v>
      </c>
      <c r="M95" s="84">
        <f>ROUND('[6]2032'!M50,2)</f>
        <v>0</v>
      </c>
      <c r="N95" s="84">
        <f>ROUND('[6]2032'!N50,2)</f>
        <v>0</v>
      </c>
      <c r="O95" s="84">
        <f>ROUND('[6]2032'!O50,2)</f>
        <v>0</v>
      </c>
      <c r="P95" s="84">
        <f>ROUND('[6]2032'!P50,2)</f>
        <v>0</v>
      </c>
      <c r="Q95" s="84">
        <f>ROUND('[6]2032'!Q50,2)</f>
        <v>0</v>
      </c>
      <c r="R95" s="84">
        <f>ROUND('[6]2032'!R50,2)</f>
        <v>0</v>
      </c>
      <c r="S95" s="84">
        <f>ROUND('[6]2032'!S50,2)</f>
        <v>0</v>
      </c>
      <c r="T95" s="84">
        <f>ROUND('[6]2032'!T50,2)</f>
        <v>0</v>
      </c>
      <c r="U95" s="84">
        <f>ROUND('[6]2032'!U50,2)</f>
        <v>0</v>
      </c>
      <c r="V95" s="84">
        <f>ROUND('[6]2032'!V50,2)</f>
        <v>0</v>
      </c>
      <c r="W95" s="84">
        <f>ROUND('[6]2032'!W50,2)</f>
        <v>0</v>
      </c>
      <c r="X95" s="84">
        <f>ROUND('[6]2032'!X50,2)</f>
        <v>0</v>
      </c>
      <c r="Y95" s="84">
        <f>ROUND('[6]2032'!Y50,2)</f>
        <v>0</v>
      </c>
      <c r="Z95" s="84">
        <f>ROUND('[6]2032'!Z50,2)</f>
        <v>0</v>
      </c>
      <c r="AA95" s="84">
        <f>ROUND('[6]2032'!AA50,2)</f>
        <v>0</v>
      </c>
      <c r="AB95" s="84">
        <f>ROUND('[6]2032'!AB50,2)</f>
        <v>0</v>
      </c>
      <c r="AC95" s="210"/>
      <c r="AD95" s="18"/>
    </row>
    <row r="96" spans="2:30" ht="18.649999999999999" customHeight="1" x14ac:dyDescent="0.35">
      <c r="B96" s="211">
        <v>48488</v>
      </c>
      <c r="C96" s="6" t="s">
        <v>29</v>
      </c>
      <c r="D96" s="7">
        <f>+'[6]2032'!D51</f>
        <v>20</v>
      </c>
      <c r="E96" s="78">
        <f>ROUND('[6]2032'!E51,2)</f>
        <v>31983.3</v>
      </c>
      <c r="F96" s="78">
        <f>ROUND('[6]2032'!F51,2)</f>
        <v>30299.72</v>
      </c>
      <c r="G96" s="78">
        <f>ROUND('[6]2032'!G51,2)</f>
        <v>29096.74</v>
      </c>
      <c r="H96" s="78">
        <f>ROUND('[6]2032'!H51,2)</f>
        <v>28222.05</v>
      </c>
      <c r="I96" s="78">
        <f>ROUND('[6]2032'!I51,2)</f>
        <v>28313.37</v>
      </c>
      <c r="J96" s="78">
        <f>ROUND('[6]2032'!J51,2)</f>
        <v>29158.99</v>
      </c>
      <c r="K96" s="78">
        <f>ROUND('[6]2032'!K51,2)</f>
        <v>29924.58</v>
      </c>
      <c r="L96" s="78">
        <f>ROUND('[6]2032'!L51,2)</f>
        <v>33331.32</v>
      </c>
      <c r="M96" s="78">
        <f>ROUND('[6]2032'!M51,2)</f>
        <v>36954.050000000003</v>
      </c>
      <c r="N96" s="78">
        <f>ROUND('[6]2032'!N51,2)</f>
        <v>38851.43</v>
      </c>
      <c r="O96" s="78">
        <f>ROUND('[6]2032'!O51,2)</f>
        <v>40827.379999999997</v>
      </c>
      <c r="P96" s="78">
        <f>ROUND('[6]2032'!P51,2)</f>
        <v>42391.96</v>
      </c>
      <c r="Q96" s="78">
        <f>ROUND('[6]2032'!Q51,2)</f>
        <v>40562.99</v>
      </c>
      <c r="R96" s="78">
        <f>ROUND('[6]2032'!R51,2)</f>
        <v>41647.339999999997</v>
      </c>
      <c r="S96" s="78">
        <f>ROUND('[6]2032'!S51,2)</f>
        <v>43985.14</v>
      </c>
      <c r="T96" s="78">
        <f>ROUND('[6]2032'!T51,2)</f>
        <v>44513.54</v>
      </c>
      <c r="U96" s="78">
        <f>ROUND('[6]2032'!U51,2)</f>
        <v>44018.879999999997</v>
      </c>
      <c r="V96" s="78">
        <f>ROUND('[6]2032'!V51,2)</f>
        <v>44034.43</v>
      </c>
      <c r="W96" s="78">
        <f>ROUND('[6]2032'!W51,2)</f>
        <v>46766.82</v>
      </c>
      <c r="X96" s="78">
        <f>ROUND('[6]2032'!X51,2)</f>
        <v>45724.61</v>
      </c>
      <c r="Y96" s="78">
        <f>ROUND('[6]2032'!Y51,2)</f>
        <v>44026.44</v>
      </c>
      <c r="Z96" s="78">
        <f>ROUND('[6]2032'!Z51,2)</f>
        <v>41616.92</v>
      </c>
      <c r="AA96" s="78">
        <f>ROUND('[6]2032'!AA51,2)</f>
        <v>38065.69</v>
      </c>
      <c r="AB96" s="78">
        <f>ROUND('[6]2032'!AB51,2)</f>
        <v>34636.080000000002</v>
      </c>
      <c r="AC96" s="209">
        <f>SUM(E96:AB96)*D96+SUM(E97:AB97)*D97+SUM(E98:AB98)*D98+SUM(E99:AB99)*D99</f>
        <v>27449166.650000002</v>
      </c>
      <c r="AD96" s="18"/>
    </row>
    <row r="97" spans="2:50" ht="18.649999999999999" customHeight="1" x14ac:dyDescent="0.35">
      <c r="B97" s="212" t="s">
        <v>34</v>
      </c>
      <c r="C97" s="9" t="s">
        <v>30</v>
      </c>
      <c r="D97" s="10">
        <f>+'[6]2032'!D52</f>
        <v>5</v>
      </c>
      <c r="E97" s="79">
        <f>ROUND('[6]2032'!E52,2)</f>
        <v>32566.73</v>
      </c>
      <c r="F97" s="79">
        <f>ROUND('[6]2032'!F52,2)</f>
        <v>30738.03</v>
      </c>
      <c r="G97" s="79">
        <f>ROUND('[6]2032'!G52,2)</f>
        <v>29288.34</v>
      </c>
      <c r="H97" s="79">
        <f>ROUND('[6]2032'!H52,2)</f>
        <v>28385.88</v>
      </c>
      <c r="I97" s="79">
        <f>ROUND('[6]2032'!I52,2)</f>
        <v>28367.91</v>
      </c>
      <c r="J97" s="79">
        <f>ROUND('[6]2032'!J52,2)</f>
        <v>28247.439999999999</v>
      </c>
      <c r="K97" s="79">
        <f>ROUND('[6]2032'!K52,2)</f>
        <v>28684.880000000001</v>
      </c>
      <c r="L97" s="79">
        <f>ROUND('[6]2032'!L52,2)</f>
        <v>31526.720000000001</v>
      </c>
      <c r="M97" s="79">
        <f>ROUND('[6]2032'!M52,2)</f>
        <v>35066.239999999998</v>
      </c>
      <c r="N97" s="79">
        <f>ROUND('[6]2032'!N52,2)</f>
        <v>37085.35</v>
      </c>
      <c r="O97" s="79">
        <f>ROUND('[6]2032'!O52,2)</f>
        <v>39166.44</v>
      </c>
      <c r="P97" s="79">
        <f>ROUND('[6]2032'!P52,2)</f>
        <v>40201.82</v>
      </c>
      <c r="Q97" s="79">
        <f>ROUND('[6]2032'!Q52,2)</f>
        <v>39447.160000000003</v>
      </c>
      <c r="R97" s="79">
        <f>ROUND('[6]2032'!R52,2)</f>
        <v>38960.74</v>
      </c>
      <c r="S97" s="79">
        <f>ROUND('[6]2032'!S52,2)</f>
        <v>39369.800000000003</v>
      </c>
      <c r="T97" s="79">
        <f>ROUND('[6]2032'!T52,2)</f>
        <v>39783.040000000001</v>
      </c>
      <c r="U97" s="79">
        <f>ROUND('[6]2032'!U52,2)</f>
        <v>39479.839999999997</v>
      </c>
      <c r="V97" s="79">
        <f>ROUND('[6]2032'!V52,2)</f>
        <v>40922.19</v>
      </c>
      <c r="W97" s="79">
        <f>ROUND('[6]2032'!W52,2)</f>
        <v>44789.02</v>
      </c>
      <c r="X97" s="79">
        <f>ROUND('[6]2032'!X52,2)</f>
        <v>43961.78</v>
      </c>
      <c r="Y97" s="79">
        <f>ROUND('[6]2032'!Y52,2)</f>
        <v>42265.279999999999</v>
      </c>
      <c r="Z97" s="79">
        <f>ROUND('[6]2032'!Z52,2)</f>
        <v>40131.68</v>
      </c>
      <c r="AA97" s="79">
        <f>ROUND('[6]2032'!AA52,2)</f>
        <v>37575.410000000003</v>
      </c>
      <c r="AB97" s="79">
        <f>ROUND('[6]2032'!AB52,2)</f>
        <v>34875.93</v>
      </c>
      <c r="AC97" s="210"/>
      <c r="AD97" s="18"/>
    </row>
    <row r="98" spans="2:50" ht="18.649999999999999" customHeight="1" x14ac:dyDescent="0.35">
      <c r="B98" s="212" t="s">
        <v>34</v>
      </c>
      <c r="C98" s="9" t="s">
        <v>31</v>
      </c>
      <c r="D98" s="10">
        <f>+'[6]2032'!D53</f>
        <v>5</v>
      </c>
      <c r="E98" s="79">
        <f>ROUND('[6]2032'!E53,2)</f>
        <v>32398.17</v>
      </c>
      <c r="F98" s="79">
        <f>ROUND('[6]2032'!F53,2)</f>
        <v>30698.31</v>
      </c>
      <c r="G98" s="79">
        <f>ROUND('[6]2032'!G53,2)</f>
        <v>29348.400000000001</v>
      </c>
      <c r="H98" s="79">
        <f>ROUND('[6]2032'!H53,2)</f>
        <v>28513.03</v>
      </c>
      <c r="I98" s="79">
        <f>ROUND('[6]2032'!I53,2)</f>
        <v>28137.79</v>
      </c>
      <c r="J98" s="79">
        <f>ROUND('[6]2032'!J53,2)</f>
        <v>27534.49</v>
      </c>
      <c r="K98" s="79">
        <f>ROUND('[6]2032'!K53,2)</f>
        <v>26798.76</v>
      </c>
      <c r="L98" s="79">
        <f>ROUND('[6]2032'!L53,2)</f>
        <v>28388.240000000002</v>
      </c>
      <c r="M98" s="79">
        <f>ROUND('[6]2032'!M53,2)</f>
        <v>30452.58</v>
      </c>
      <c r="N98" s="79">
        <f>ROUND('[6]2032'!N53,2)</f>
        <v>32102.31</v>
      </c>
      <c r="O98" s="79">
        <f>ROUND('[6]2032'!O53,2)</f>
        <v>33684.25</v>
      </c>
      <c r="P98" s="79">
        <f>ROUND('[6]2032'!P53,2)</f>
        <v>34949.22</v>
      </c>
      <c r="Q98" s="79">
        <f>ROUND('[6]2032'!Q53,2)</f>
        <v>35580.050000000003</v>
      </c>
      <c r="R98" s="79">
        <f>ROUND('[6]2032'!R53,2)</f>
        <v>35647.69</v>
      </c>
      <c r="S98" s="79">
        <f>ROUND('[6]2032'!S53,2)</f>
        <v>35869.01</v>
      </c>
      <c r="T98" s="79">
        <f>ROUND('[6]2032'!T53,2)</f>
        <v>35829.54</v>
      </c>
      <c r="U98" s="79">
        <f>ROUND('[6]2032'!U53,2)</f>
        <v>36096.94</v>
      </c>
      <c r="V98" s="79">
        <f>ROUND('[6]2032'!V53,2)</f>
        <v>37865.629999999997</v>
      </c>
      <c r="W98" s="79">
        <f>ROUND('[6]2032'!W53,2)</f>
        <v>42460.52</v>
      </c>
      <c r="X98" s="79">
        <f>ROUND('[6]2032'!X53,2)</f>
        <v>42741.3</v>
      </c>
      <c r="Y98" s="79">
        <f>ROUND('[6]2032'!Y53,2)</f>
        <v>42077.02</v>
      </c>
      <c r="Z98" s="79">
        <f>ROUND('[6]2032'!Z53,2)</f>
        <v>40408.07</v>
      </c>
      <c r="AA98" s="79">
        <f>ROUND('[6]2032'!AA53,2)</f>
        <v>37378.629999999997</v>
      </c>
      <c r="AB98" s="79">
        <f>ROUND('[6]2032'!AB53,2)</f>
        <v>34315.550000000003</v>
      </c>
      <c r="AC98" s="210"/>
      <c r="AD98" s="18"/>
    </row>
    <row r="99" spans="2:50" ht="18.649999999999999" customHeight="1" thickBot="1" x14ac:dyDescent="0.4">
      <c r="B99" s="213" t="s">
        <v>34</v>
      </c>
      <c r="C99" s="11" t="s">
        <v>32</v>
      </c>
      <c r="D99" s="12">
        <f>+'[6]2032'!D54</f>
        <v>1</v>
      </c>
      <c r="E99" s="76">
        <f>ROUND('[6]2032'!E54,2)</f>
        <v>32398.17</v>
      </c>
      <c r="F99" s="76">
        <f>ROUND('[6]2032'!F54,2)</f>
        <v>30698.31</v>
      </c>
      <c r="G99" s="76">
        <f>ROUND('[6]2032'!G54,2)</f>
        <v>29348.400000000001</v>
      </c>
      <c r="H99" s="76">
        <f>ROUND('[6]2032'!H54,2)</f>
        <v>28513.03</v>
      </c>
      <c r="I99" s="76">
        <f>ROUND('[6]2032'!I54,2)</f>
        <v>28137.79</v>
      </c>
      <c r="J99" s="76">
        <f>ROUND('[6]2032'!J54,2)</f>
        <v>27534.49</v>
      </c>
      <c r="K99" s="76">
        <f>ROUND('[6]2032'!K54,2)</f>
        <v>26798.76</v>
      </c>
      <c r="L99" s="76">
        <f>ROUND('[6]2032'!L54,2)</f>
        <v>28388.240000000002</v>
      </c>
      <c r="M99" s="76">
        <f>ROUND('[6]2032'!M54,2)</f>
        <v>30452.58</v>
      </c>
      <c r="N99" s="76">
        <f>ROUND('[6]2032'!N54,2)</f>
        <v>32102.31</v>
      </c>
      <c r="O99" s="76">
        <f>ROUND('[6]2032'!O54,2)</f>
        <v>33684.25</v>
      </c>
      <c r="P99" s="76">
        <f>ROUND('[6]2032'!P54,2)</f>
        <v>34949.22</v>
      </c>
      <c r="Q99" s="76">
        <f>ROUND('[6]2032'!Q54,2)</f>
        <v>35580.050000000003</v>
      </c>
      <c r="R99" s="76">
        <f>ROUND('[6]2032'!R54,2)</f>
        <v>35647.69</v>
      </c>
      <c r="S99" s="76">
        <f>ROUND('[6]2032'!S54,2)</f>
        <v>35869.01</v>
      </c>
      <c r="T99" s="76">
        <f>ROUND('[6]2032'!T54,2)</f>
        <v>35829.54</v>
      </c>
      <c r="U99" s="76">
        <f>ROUND('[6]2032'!U54,2)</f>
        <v>36096.94</v>
      </c>
      <c r="V99" s="76">
        <f>ROUND('[6]2032'!V54,2)</f>
        <v>37865.629999999997</v>
      </c>
      <c r="W99" s="76">
        <f>ROUND('[6]2032'!W54,2)</f>
        <v>42460.52</v>
      </c>
      <c r="X99" s="76">
        <f>ROUND('[6]2032'!X54,2)</f>
        <v>42741.3</v>
      </c>
      <c r="Y99" s="76">
        <f>ROUND('[6]2032'!Y54,2)</f>
        <v>42077.02</v>
      </c>
      <c r="Z99" s="76">
        <f>ROUND('[6]2032'!Z54,2)</f>
        <v>40408.07</v>
      </c>
      <c r="AA99" s="76">
        <f>ROUND('[6]2032'!AA54,2)</f>
        <v>37378.629999999997</v>
      </c>
      <c r="AB99" s="76">
        <f>ROUND('[6]2032'!AB54,2)</f>
        <v>34315.550000000003</v>
      </c>
      <c r="AC99" s="214"/>
      <c r="AD99" s="18"/>
    </row>
    <row r="100" spans="2:50" ht="18.649999999999999" customHeight="1" x14ac:dyDescent="0.35">
      <c r="B100" s="207">
        <v>48519</v>
      </c>
      <c r="C100" s="13" t="s">
        <v>29</v>
      </c>
      <c r="D100" s="14">
        <f>+'[6]2032'!D55</f>
        <v>20</v>
      </c>
      <c r="E100" s="81">
        <f>ROUND('[6]2032'!E55,2)</f>
        <v>31323.1</v>
      </c>
      <c r="F100" s="81">
        <f>ROUND('[6]2032'!F55,2)</f>
        <v>29713.59</v>
      </c>
      <c r="G100" s="81">
        <f>ROUND('[6]2032'!G55,2)</f>
        <v>28541.56</v>
      </c>
      <c r="H100" s="81">
        <f>ROUND('[6]2032'!H55,2)</f>
        <v>27747.67</v>
      </c>
      <c r="I100" s="81">
        <f>ROUND('[6]2032'!I55,2)</f>
        <v>27825.95</v>
      </c>
      <c r="J100" s="81">
        <f>ROUND('[6]2032'!J55,2)</f>
        <v>28652.2</v>
      </c>
      <c r="K100" s="81">
        <f>ROUND('[6]2032'!K55,2)</f>
        <v>29406.66</v>
      </c>
      <c r="L100" s="81">
        <f>ROUND('[6]2032'!L55,2)</f>
        <v>32904.53</v>
      </c>
      <c r="M100" s="81">
        <f>ROUND('[6]2032'!M55,2)</f>
        <v>36504.53</v>
      </c>
      <c r="N100" s="81">
        <f>ROUND('[6]2032'!N55,2)</f>
        <v>38290.36</v>
      </c>
      <c r="O100" s="81">
        <f>ROUND('[6]2032'!O55,2)</f>
        <v>40154.11</v>
      </c>
      <c r="P100" s="81">
        <f>ROUND('[6]2032'!P55,2)</f>
        <v>41467.699999999997</v>
      </c>
      <c r="Q100" s="81">
        <f>ROUND('[6]2032'!Q55,2)</f>
        <v>39767.32</v>
      </c>
      <c r="R100" s="81">
        <f>ROUND('[6]2032'!R55,2)</f>
        <v>40662.47</v>
      </c>
      <c r="S100" s="81">
        <f>ROUND('[6]2032'!S55,2)</f>
        <v>42690.54</v>
      </c>
      <c r="T100" s="81">
        <f>ROUND('[6]2032'!T55,2)</f>
        <v>43212.39</v>
      </c>
      <c r="U100" s="81">
        <f>ROUND('[6]2032'!U55,2)</f>
        <v>42790.44</v>
      </c>
      <c r="V100" s="81">
        <f>ROUND('[6]2032'!V55,2)</f>
        <v>43349.46</v>
      </c>
      <c r="W100" s="81">
        <f>ROUND('[6]2032'!W55,2)</f>
        <v>45471.64</v>
      </c>
      <c r="X100" s="81">
        <f>ROUND('[6]2032'!X55,2)</f>
        <v>44418.48</v>
      </c>
      <c r="Y100" s="81">
        <f>ROUND('[6]2032'!Y55,2)</f>
        <v>42843.91</v>
      </c>
      <c r="Z100" s="81">
        <f>ROUND('[6]2032'!Z55,2)</f>
        <v>40562.449999999997</v>
      </c>
      <c r="AA100" s="81">
        <f>ROUND('[6]2032'!AA55,2)</f>
        <v>37225.050000000003</v>
      </c>
      <c r="AB100" s="81">
        <f>ROUND('[6]2032'!AB55,2)</f>
        <v>33930.61</v>
      </c>
      <c r="AC100" s="210">
        <f>SUM(E100:AB100)*D100+SUM(E101:AB101)*D101+SUM(E102:AB102)*D102+SUM(E103:AB103)*D103</f>
        <v>25929362.060000002</v>
      </c>
      <c r="AD100" s="18"/>
    </row>
    <row r="101" spans="2:50" ht="18.649999999999999" customHeight="1" x14ac:dyDescent="0.35">
      <c r="B101" s="208"/>
      <c r="C101" s="9" t="s">
        <v>30</v>
      </c>
      <c r="D101" s="10">
        <f>+'[6]2032'!D56</f>
        <v>4</v>
      </c>
      <c r="E101" s="79">
        <f>ROUND('[6]2032'!E56,2)</f>
        <v>30575.88</v>
      </c>
      <c r="F101" s="79">
        <f>ROUND('[6]2032'!F56,2)</f>
        <v>29078.87</v>
      </c>
      <c r="G101" s="79">
        <f>ROUND('[6]2032'!G56,2)</f>
        <v>28028.29</v>
      </c>
      <c r="H101" s="79">
        <f>ROUND('[6]2032'!H56,2)</f>
        <v>27341.25</v>
      </c>
      <c r="I101" s="79">
        <f>ROUND('[6]2032'!I56,2)</f>
        <v>27324.880000000001</v>
      </c>
      <c r="J101" s="79">
        <f>ROUND('[6]2032'!J56,2)</f>
        <v>27257.439999999999</v>
      </c>
      <c r="K101" s="79">
        <f>ROUND('[6]2032'!K56,2)</f>
        <v>27664.560000000001</v>
      </c>
      <c r="L101" s="79">
        <f>ROUND('[6]2032'!L56,2)</f>
        <v>30852.02</v>
      </c>
      <c r="M101" s="79">
        <f>ROUND('[6]2032'!M56,2)</f>
        <v>34436.720000000001</v>
      </c>
      <c r="N101" s="79">
        <f>ROUND('[6]2032'!N56,2)</f>
        <v>36420.519999999997</v>
      </c>
      <c r="O101" s="79">
        <f>ROUND('[6]2032'!O56,2)</f>
        <v>38486.5</v>
      </c>
      <c r="P101" s="79">
        <f>ROUND('[6]2032'!P56,2)</f>
        <v>39356.959999999999</v>
      </c>
      <c r="Q101" s="79">
        <f>ROUND('[6]2032'!Q56,2)</f>
        <v>38648.870000000003</v>
      </c>
      <c r="R101" s="79">
        <f>ROUND('[6]2032'!R56,2)</f>
        <v>37847.53</v>
      </c>
      <c r="S101" s="79">
        <f>ROUND('[6]2032'!S56,2)</f>
        <v>37593.68</v>
      </c>
      <c r="T101" s="79">
        <f>ROUND('[6]2032'!T56,2)</f>
        <v>37895.58</v>
      </c>
      <c r="U101" s="79">
        <f>ROUND('[6]2032'!U56,2)</f>
        <v>37707.730000000003</v>
      </c>
      <c r="V101" s="79">
        <f>ROUND('[6]2032'!V56,2)</f>
        <v>39805.83</v>
      </c>
      <c r="W101" s="79">
        <f>ROUND('[6]2032'!W56,2)</f>
        <v>43088.480000000003</v>
      </c>
      <c r="X101" s="79">
        <f>ROUND('[6]2032'!X56,2)</f>
        <v>42360.31</v>
      </c>
      <c r="Y101" s="79">
        <f>ROUND('[6]2032'!Y56,2)</f>
        <v>40837.410000000003</v>
      </c>
      <c r="Z101" s="79">
        <f>ROUND('[6]2032'!Z56,2)</f>
        <v>38948.03</v>
      </c>
      <c r="AA101" s="79">
        <f>ROUND('[6]2032'!AA56,2)</f>
        <v>36560.800000000003</v>
      </c>
      <c r="AB101" s="79">
        <f>ROUND('[6]2032'!AB56,2)</f>
        <v>33874.97</v>
      </c>
      <c r="AC101" s="210"/>
      <c r="AD101" s="18"/>
    </row>
    <row r="102" spans="2:50" ht="18.649999999999999" customHeight="1" x14ac:dyDescent="0.35">
      <c r="B102" s="208"/>
      <c r="C102" s="9" t="s">
        <v>31</v>
      </c>
      <c r="D102" s="10">
        <f>+'[6]2032'!D57</f>
        <v>4</v>
      </c>
      <c r="E102" s="79">
        <f>ROUND('[6]2032'!E57,2)</f>
        <v>31690.31</v>
      </c>
      <c r="F102" s="79">
        <f>ROUND('[6]2032'!F57,2)</f>
        <v>30186.86</v>
      </c>
      <c r="G102" s="79">
        <f>ROUND('[6]2032'!G57,2)</f>
        <v>28885</v>
      </c>
      <c r="H102" s="79">
        <f>ROUND('[6]2032'!H57,2)</f>
        <v>28007.58</v>
      </c>
      <c r="I102" s="79">
        <f>ROUND('[6]2032'!I57,2)</f>
        <v>27651.919999999998</v>
      </c>
      <c r="J102" s="79">
        <f>ROUND('[6]2032'!J57,2)</f>
        <v>27186.01</v>
      </c>
      <c r="K102" s="79">
        <f>ROUND('[6]2032'!K57,2)</f>
        <v>26515.07</v>
      </c>
      <c r="L102" s="79">
        <f>ROUND('[6]2032'!L57,2)</f>
        <v>27974.44</v>
      </c>
      <c r="M102" s="79">
        <f>ROUND('[6]2032'!M57,2)</f>
        <v>29975.16</v>
      </c>
      <c r="N102" s="79">
        <f>ROUND('[6]2032'!N57,2)</f>
        <v>31619.38</v>
      </c>
      <c r="O102" s="79">
        <f>ROUND('[6]2032'!O57,2)</f>
        <v>33201.4</v>
      </c>
      <c r="P102" s="79">
        <f>ROUND('[6]2032'!P57,2)</f>
        <v>34037.1</v>
      </c>
      <c r="Q102" s="79">
        <f>ROUND('[6]2032'!Q57,2)</f>
        <v>34657.17</v>
      </c>
      <c r="R102" s="79">
        <f>ROUND('[6]2032'!R57,2)</f>
        <v>34624.5</v>
      </c>
      <c r="S102" s="79">
        <f>ROUND('[6]2032'!S57,2)</f>
        <v>34524.99</v>
      </c>
      <c r="T102" s="79">
        <f>ROUND('[6]2032'!T57,2)</f>
        <v>34682.379999999997</v>
      </c>
      <c r="U102" s="79">
        <f>ROUND('[6]2032'!U57,2)</f>
        <v>34722.699999999997</v>
      </c>
      <c r="V102" s="79">
        <f>ROUND('[6]2032'!V57,2)</f>
        <v>37071.31</v>
      </c>
      <c r="W102" s="79">
        <f>ROUND('[6]2032'!W57,2)</f>
        <v>40604.81</v>
      </c>
      <c r="X102" s="79">
        <f>ROUND('[6]2032'!X57,2)</f>
        <v>40664.22</v>
      </c>
      <c r="Y102" s="79">
        <f>ROUND('[6]2032'!Y57,2)</f>
        <v>39767.53</v>
      </c>
      <c r="Z102" s="79">
        <f>ROUND('[6]2032'!Z57,2)</f>
        <v>38204.370000000003</v>
      </c>
      <c r="AA102" s="79">
        <f>ROUND('[6]2032'!AA57,2)</f>
        <v>35755.800000000003</v>
      </c>
      <c r="AB102" s="79">
        <f>ROUND('[6]2032'!AB57,2)</f>
        <v>33165.86</v>
      </c>
      <c r="AC102" s="210"/>
      <c r="AD102" s="18"/>
    </row>
    <row r="103" spans="2:50" ht="18.649999999999999" customHeight="1" thickBot="1" x14ac:dyDescent="0.4">
      <c r="B103" s="208"/>
      <c r="C103" s="15" t="s">
        <v>32</v>
      </c>
      <c r="D103" s="16">
        <f>+'[6]2032'!D58</f>
        <v>2</v>
      </c>
      <c r="E103" s="80">
        <f>ROUND('[6]2032'!E58,2)</f>
        <v>31690.31</v>
      </c>
      <c r="F103" s="80">
        <f>ROUND('[6]2032'!F58,2)</f>
        <v>30186.86</v>
      </c>
      <c r="G103" s="80">
        <f>ROUND('[6]2032'!G58,2)</f>
        <v>28885</v>
      </c>
      <c r="H103" s="80">
        <f>ROUND('[6]2032'!H58,2)</f>
        <v>28007.58</v>
      </c>
      <c r="I103" s="80">
        <f>ROUND('[6]2032'!I58,2)</f>
        <v>27651.919999999998</v>
      </c>
      <c r="J103" s="80">
        <f>ROUND('[6]2032'!J58,2)</f>
        <v>27186.01</v>
      </c>
      <c r="K103" s="80">
        <f>ROUND('[6]2032'!K58,2)</f>
        <v>26515.07</v>
      </c>
      <c r="L103" s="80">
        <f>ROUND('[6]2032'!L58,2)</f>
        <v>27974.44</v>
      </c>
      <c r="M103" s="80">
        <f>ROUND('[6]2032'!M58,2)</f>
        <v>29975.16</v>
      </c>
      <c r="N103" s="80">
        <f>ROUND('[6]2032'!N58,2)</f>
        <v>31619.38</v>
      </c>
      <c r="O103" s="80">
        <f>ROUND('[6]2032'!O58,2)</f>
        <v>33201.4</v>
      </c>
      <c r="P103" s="80">
        <f>ROUND('[6]2032'!P58,2)</f>
        <v>34037.1</v>
      </c>
      <c r="Q103" s="80">
        <f>ROUND('[6]2032'!Q58,2)</f>
        <v>34657.17</v>
      </c>
      <c r="R103" s="80">
        <f>ROUND('[6]2032'!R58,2)</f>
        <v>34624.5</v>
      </c>
      <c r="S103" s="80">
        <f>ROUND('[6]2032'!S58,2)</f>
        <v>34524.99</v>
      </c>
      <c r="T103" s="80">
        <f>ROUND('[6]2032'!T58,2)</f>
        <v>34682.379999999997</v>
      </c>
      <c r="U103" s="80">
        <f>ROUND('[6]2032'!U58,2)</f>
        <v>34722.699999999997</v>
      </c>
      <c r="V103" s="80">
        <f>ROUND('[6]2032'!V58,2)</f>
        <v>37071.31</v>
      </c>
      <c r="W103" s="80">
        <f>ROUND('[6]2032'!W58,2)</f>
        <v>40604.81</v>
      </c>
      <c r="X103" s="80">
        <f>ROUND('[6]2032'!X58,2)</f>
        <v>40664.22</v>
      </c>
      <c r="Y103" s="80">
        <f>ROUND('[6]2032'!Y58,2)</f>
        <v>39767.53</v>
      </c>
      <c r="Z103" s="80">
        <f>ROUND('[6]2032'!Z58,2)</f>
        <v>38204.370000000003</v>
      </c>
      <c r="AA103" s="80">
        <f>ROUND('[6]2032'!AA58,2)</f>
        <v>35755.800000000003</v>
      </c>
      <c r="AB103" s="80">
        <f>ROUND('[6]2032'!AB58,2)</f>
        <v>33165.86</v>
      </c>
      <c r="AC103" s="210"/>
      <c r="AD103" s="18"/>
    </row>
    <row r="104" spans="2:50" ht="18.649999999999999" customHeight="1" x14ac:dyDescent="0.35">
      <c r="B104" s="211">
        <v>48549</v>
      </c>
      <c r="C104" s="6" t="s">
        <v>29</v>
      </c>
      <c r="D104" s="7">
        <f>+'[6]2032'!D59</f>
        <v>22</v>
      </c>
      <c r="E104" s="78">
        <f>ROUND('[6]2032'!E59,2)</f>
        <v>33807.39</v>
      </c>
      <c r="F104" s="78">
        <f>ROUND('[6]2032'!F59,2)</f>
        <v>31948.02</v>
      </c>
      <c r="G104" s="78">
        <f>ROUND('[6]2032'!G59,2)</f>
        <v>30620.09</v>
      </c>
      <c r="H104" s="78">
        <f>ROUND('[6]2032'!H59,2)</f>
        <v>29797.22</v>
      </c>
      <c r="I104" s="78">
        <f>ROUND('[6]2032'!I59,2)</f>
        <v>29691.39</v>
      </c>
      <c r="J104" s="78">
        <f>ROUND('[6]2032'!J59,2)</f>
        <v>30221.78</v>
      </c>
      <c r="K104" s="78">
        <f>ROUND('[6]2032'!K59,2)</f>
        <v>30433.16</v>
      </c>
      <c r="L104" s="78">
        <f>ROUND('[6]2032'!L59,2)</f>
        <v>34101.269999999997</v>
      </c>
      <c r="M104" s="78">
        <f>ROUND('[6]2032'!M59,2)</f>
        <v>37826.61</v>
      </c>
      <c r="N104" s="78">
        <f>ROUND('[6]2032'!N59,2)</f>
        <v>39959.730000000003</v>
      </c>
      <c r="O104" s="78">
        <f>ROUND('[6]2032'!O59,2)</f>
        <v>41837.199999999997</v>
      </c>
      <c r="P104" s="78">
        <f>ROUND('[6]2032'!P59,2)</f>
        <v>43195.7</v>
      </c>
      <c r="Q104" s="78">
        <f>ROUND('[6]2032'!Q59,2)</f>
        <v>42006.35</v>
      </c>
      <c r="R104" s="78">
        <f>ROUND('[6]2032'!R59,2)</f>
        <v>42544.639999999999</v>
      </c>
      <c r="S104" s="78">
        <f>ROUND('[6]2032'!S59,2)</f>
        <v>44343.5</v>
      </c>
      <c r="T104" s="78">
        <f>ROUND('[6]2032'!T59,2)</f>
        <v>44897.02</v>
      </c>
      <c r="U104" s="78">
        <f>ROUND('[6]2032'!U59,2)</f>
        <v>44526.720000000001</v>
      </c>
      <c r="V104" s="78">
        <f>ROUND('[6]2032'!V59,2)</f>
        <v>44571.93</v>
      </c>
      <c r="W104" s="78">
        <f>ROUND('[6]2032'!W59,2)</f>
        <v>48006.71</v>
      </c>
      <c r="X104" s="78">
        <f>ROUND('[6]2032'!X59,2)</f>
        <v>47083.01</v>
      </c>
      <c r="Y104" s="78">
        <f>ROUND('[6]2032'!Y59,2)</f>
        <v>45359.68</v>
      </c>
      <c r="Z104" s="78">
        <f>ROUND('[6]2032'!Z59,2)</f>
        <v>42902.9</v>
      </c>
      <c r="AA104" s="78">
        <f>ROUND('[6]2032'!AA59,2)</f>
        <v>39750.1</v>
      </c>
      <c r="AB104" s="78">
        <f>ROUND('[6]2032'!AB59,2)</f>
        <v>36682.25</v>
      </c>
      <c r="AC104" s="209">
        <f>SUM(E104:AB104)*D104+SUM(E105:AB105)*D105+SUM(E106:AB106)*D106+SUM(E107:AB107)*D107</f>
        <v>28451154.280000005</v>
      </c>
      <c r="AD104" s="18"/>
    </row>
    <row r="105" spans="2:50" ht="18.649999999999999" customHeight="1" x14ac:dyDescent="0.35">
      <c r="B105" s="212" t="s">
        <v>34</v>
      </c>
      <c r="C105" s="9" t="s">
        <v>30</v>
      </c>
      <c r="D105" s="10">
        <f>+'[6]2032'!D60</f>
        <v>3</v>
      </c>
      <c r="E105" s="79">
        <f>ROUND('[6]2032'!E60,2)</f>
        <v>34354.870000000003</v>
      </c>
      <c r="F105" s="79">
        <f>ROUND('[6]2032'!F60,2)</f>
        <v>32409.91</v>
      </c>
      <c r="G105" s="79">
        <f>ROUND('[6]2032'!G60,2)</f>
        <v>31128.66</v>
      </c>
      <c r="H105" s="79">
        <f>ROUND('[6]2032'!H60,2)</f>
        <v>30189.26</v>
      </c>
      <c r="I105" s="79">
        <f>ROUND('[6]2032'!I60,2)</f>
        <v>29929.59</v>
      </c>
      <c r="J105" s="79">
        <f>ROUND('[6]2032'!J60,2)</f>
        <v>29981.8</v>
      </c>
      <c r="K105" s="79">
        <f>ROUND('[6]2032'!K60,2)</f>
        <v>29683.99</v>
      </c>
      <c r="L105" s="79">
        <f>ROUND('[6]2032'!L60,2)</f>
        <v>32409.53</v>
      </c>
      <c r="M105" s="79">
        <f>ROUND('[6]2032'!M60,2)</f>
        <v>36354.559999999998</v>
      </c>
      <c r="N105" s="79">
        <f>ROUND('[6]2032'!N60,2)</f>
        <v>38668.089999999997</v>
      </c>
      <c r="O105" s="79">
        <f>ROUND('[6]2032'!O60,2)</f>
        <v>40616.6</v>
      </c>
      <c r="P105" s="79">
        <f>ROUND('[6]2032'!P60,2)</f>
        <v>41805.839999999997</v>
      </c>
      <c r="Q105" s="79">
        <f>ROUND('[6]2032'!Q60,2)</f>
        <v>41128.74</v>
      </c>
      <c r="R105" s="79">
        <f>ROUND('[6]2032'!R60,2)</f>
        <v>40831.33</v>
      </c>
      <c r="S105" s="79">
        <f>ROUND('[6]2032'!S60,2)</f>
        <v>40660.17</v>
      </c>
      <c r="T105" s="79">
        <f>ROUND('[6]2032'!T60,2)</f>
        <v>41096.730000000003</v>
      </c>
      <c r="U105" s="79">
        <f>ROUND('[6]2032'!U60,2)</f>
        <v>40969.06</v>
      </c>
      <c r="V105" s="79">
        <f>ROUND('[6]2032'!V60,2)</f>
        <v>41874.949999999997</v>
      </c>
      <c r="W105" s="79">
        <f>ROUND('[6]2032'!W60,2)</f>
        <v>46513.54</v>
      </c>
      <c r="X105" s="79">
        <f>ROUND('[6]2032'!X60,2)</f>
        <v>45853.75</v>
      </c>
      <c r="Y105" s="79">
        <f>ROUND('[6]2032'!Y60,2)</f>
        <v>44127.39</v>
      </c>
      <c r="Z105" s="79">
        <f>ROUND('[6]2032'!Z60,2)</f>
        <v>42243.93</v>
      </c>
      <c r="AA105" s="79">
        <f>ROUND('[6]2032'!AA60,2)</f>
        <v>39632.54</v>
      </c>
      <c r="AB105" s="79">
        <f>ROUND('[6]2032'!AB60,2)</f>
        <v>36942.25</v>
      </c>
      <c r="AC105" s="210"/>
      <c r="AD105" s="18"/>
    </row>
    <row r="106" spans="2:50" ht="18.649999999999999" customHeight="1" x14ac:dyDescent="0.35">
      <c r="B106" s="212" t="s">
        <v>34</v>
      </c>
      <c r="C106" s="9" t="s">
        <v>31</v>
      </c>
      <c r="D106" s="10">
        <f>+'[6]2032'!D61</f>
        <v>4</v>
      </c>
      <c r="E106" s="79">
        <f>ROUND('[6]2032'!E61,2)</f>
        <v>34571.75</v>
      </c>
      <c r="F106" s="79">
        <f>ROUND('[6]2032'!F61,2)</f>
        <v>32872.54</v>
      </c>
      <c r="G106" s="79">
        <f>ROUND('[6]2032'!G61,2)</f>
        <v>31503.99</v>
      </c>
      <c r="H106" s="79">
        <f>ROUND('[6]2032'!H61,2)</f>
        <v>30540.21</v>
      </c>
      <c r="I106" s="79">
        <f>ROUND('[6]2032'!I61,2)</f>
        <v>30105.43</v>
      </c>
      <c r="J106" s="79">
        <f>ROUND('[6]2032'!J61,2)</f>
        <v>29801.62</v>
      </c>
      <c r="K106" s="79">
        <f>ROUND('[6]2032'!K61,2)</f>
        <v>28473.8</v>
      </c>
      <c r="L106" s="79">
        <f>ROUND('[6]2032'!L61,2)</f>
        <v>29910.1</v>
      </c>
      <c r="M106" s="79">
        <f>ROUND('[6]2032'!M61,2)</f>
        <v>32193.21</v>
      </c>
      <c r="N106" s="79">
        <f>ROUND('[6]2032'!N61,2)</f>
        <v>34153.24</v>
      </c>
      <c r="O106" s="79">
        <f>ROUND('[6]2032'!O61,2)</f>
        <v>35442.620000000003</v>
      </c>
      <c r="P106" s="79">
        <f>ROUND('[6]2032'!P61,2)</f>
        <v>36498.46</v>
      </c>
      <c r="Q106" s="79">
        <f>ROUND('[6]2032'!Q61,2)</f>
        <v>37126.35</v>
      </c>
      <c r="R106" s="79">
        <f>ROUND('[6]2032'!R61,2)</f>
        <v>37475.99</v>
      </c>
      <c r="S106" s="79">
        <f>ROUND('[6]2032'!S61,2)</f>
        <v>36416.769999999997</v>
      </c>
      <c r="T106" s="79">
        <f>ROUND('[6]2032'!T61,2)</f>
        <v>37412.75</v>
      </c>
      <c r="U106" s="79">
        <f>ROUND('[6]2032'!U61,2)</f>
        <v>37635.15</v>
      </c>
      <c r="V106" s="79">
        <f>ROUND('[6]2032'!V61,2)</f>
        <v>38891.699999999997</v>
      </c>
      <c r="W106" s="79">
        <f>ROUND('[6]2032'!W61,2)</f>
        <v>43609.14</v>
      </c>
      <c r="X106" s="79">
        <f>ROUND('[6]2032'!X61,2)</f>
        <v>43262.18</v>
      </c>
      <c r="Y106" s="79">
        <f>ROUND('[6]2032'!Y61,2)</f>
        <v>42133.15</v>
      </c>
      <c r="Z106" s="79">
        <f>ROUND('[6]2032'!Z61,2)</f>
        <v>40586.339999999997</v>
      </c>
      <c r="AA106" s="79">
        <f>ROUND('[6]2032'!AA61,2)</f>
        <v>38246.339999999997</v>
      </c>
      <c r="AB106" s="79">
        <f>ROUND('[6]2032'!AB61,2)</f>
        <v>35873.32</v>
      </c>
      <c r="AC106" s="210"/>
      <c r="AD106" s="18"/>
    </row>
    <row r="107" spans="2:50" ht="18.649999999999999" customHeight="1" thickBot="1" x14ac:dyDescent="0.4">
      <c r="B107" s="213" t="s">
        <v>34</v>
      </c>
      <c r="C107" s="11" t="s">
        <v>32</v>
      </c>
      <c r="D107" s="12">
        <f>+'[6]2032'!D62</f>
        <v>2</v>
      </c>
      <c r="E107" s="76">
        <f>ROUND('[6]2032'!E62,2)</f>
        <v>34571.75</v>
      </c>
      <c r="F107" s="76">
        <f>ROUND('[6]2032'!F62,2)</f>
        <v>32872.54</v>
      </c>
      <c r="G107" s="76">
        <f>ROUND('[6]2032'!G62,2)</f>
        <v>31503.99</v>
      </c>
      <c r="H107" s="76">
        <f>ROUND('[6]2032'!H62,2)</f>
        <v>30540.21</v>
      </c>
      <c r="I107" s="76">
        <f>ROUND('[6]2032'!I62,2)</f>
        <v>30105.43</v>
      </c>
      <c r="J107" s="76">
        <f>ROUND('[6]2032'!J62,2)</f>
        <v>29801.62</v>
      </c>
      <c r="K107" s="76">
        <f>ROUND('[6]2032'!K62,2)</f>
        <v>28473.8</v>
      </c>
      <c r="L107" s="76">
        <f>ROUND('[6]2032'!L62,2)</f>
        <v>29910.1</v>
      </c>
      <c r="M107" s="76">
        <f>ROUND('[6]2032'!M62,2)</f>
        <v>32193.21</v>
      </c>
      <c r="N107" s="76">
        <f>ROUND('[6]2032'!N62,2)</f>
        <v>34153.24</v>
      </c>
      <c r="O107" s="76">
        <f>ROUND('[6]2032'!O62,2)</f>
        <v>35442.620000000003</v>
      </c>
      <c r="P107" s="76">
        <f>ROUND('[6]2032'!P62,2)</f>
        <v>36498.46</v>
      </c>
      <c r="Q107" s="76">
        <f>ROUND('[6]2032'!Q62,2)</f>
        <v>37126.35</v>
      </c>
      <c r="R107" s="76">
        <f>ROUND('[6]2032'!R62,2)</f>
        <v>37475.99</v>
      </c>
      <c r="S107" s="76">
        <f>ROUND('[6]2032'!S62,2)</f>
        <v>36416.769999999997</v>
      </c>
      <c r="T107" s="76">
        <f>ROUND('[6]2032'!T62,2)</f>
        <v>37412.75</v>
      </c>
      <c r="U107" s="76">
        <f>ROUND('[6]2032'!U62,2)</f>
        <v>37635.15</v>
      </c>
      <c r="V107" s="76">
        <f>ROUND('[6]2032'!V62,2)</f>
        <v>38891.699999999997</v>
      </c>
      <c r="W107" s="76">
        <f>ROUND('[6]2032'!W62,2)</f>
        <v>43609.14</v>
      </c>
      <c r="X107" s="76">
        <f>ROUND('[6]2032'!X62,2)</f>
        <v>43262.18</v>
      </c>
      <c r="Y107" s="76">
        <f>ROUND('[6]2032'!Y62,2)</f>
        <v>42133.15</v>
      </c>
      <c r="Z107" s="76">
        <f>ROUND('[6]2032'!Z62,2)</f>
        <v>40586.339999999997</v>
      </c>
      <c r="AA107" s="76">
        <f>ROUND('[6]2032'!AA62,2)</f>
        <v>38246.339999999997</v>
      </c>
      <c r="AB107" s="76">
        <f>ROUND('[6]2032'!AB62,2)</f>
        <v>35873.32</v>
      </c>
      <c r="AC107" s="214"/>
      <c r="AD107" s="18"/>
    </row>
    <row r="108" spans="2:50" ht="18.649999999999999" customHeight="1" thickBot="1" x14ac:dyDescent="0.4"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215" t="s">
        <v>33</v>
      </c>
      <c r="AA108" s="216"/>
      <c r="AB108" s="217"/>
      <c r="AC108" s="135">
        <f>SUM(AC60:AC107)</f>
        <v>335740435.87</v>
      </c>
      <c r="AD108" s="17"/>
      <c r="AE108" s="18"/>
    </row>
    <row r="109" spans="2:50" ht="18.649999999999999" customHeight="1" x14ac:dyDescent="0.35">
      <c r="B109" s="207">
        <v>48580</v>
      </c>
      <c r="C109" s="6" t="s">
        <v>29</v>
      </c>
      <c r="D109" s="46">
        <f>+'[6]2033'!D15</f>
        <v>20</v>
      </c>
      <c r="E109" s="78">
        <f>ROUND('[6]2033'!E15,2)</f>
        <v>33226.25</v>
      </c>
      <c r="F109" s="78">
        <f>ROUND('[6]2033'!F15,2)</f>
        <v>31529.439999999999</v>
      </c>
      <c r="G109" s="78">
        <f>ROUND('[6]2033'!G15,2)</f>
        <v>30253.02</v>
      </c>
      <c r="H109" s="78">
        <f>ROUND('[6]2033'!H15,2)</f>
        <v>29326.54</v>
      </c>
      <c r="I109" s="78">
        <f>ROUND('[6]2033'!I15,2)</f>
        <v>29164.89</v>
      </c>
      <c r="J109" s="78">
        <f>ROUND('[6]2033'!J15,2)</f>
        <v>30140.86</v>
      </c>
      <c r="K109" s="78">
        <f>ROUND('[6]2033'!K15,2)</f>
        <v>29868.78</v>
      </c>
      <c r="L109" s="78">
        <f>ROUND('[6]2033'!L15,2)</f>
        <v>33320.21</v>
      </c>
      <c r="M109" s="78">
        <f>ROUND('[6]2033'!M15,2)</f>
        <v>36988.980000000003</v>
      </c>
      <c r="N109" s="78">
        <f>ROUND('[6]2033'!N15,2)</f>
        <v>38895.53</v>
      </c>
      <c r="O109" s="78">
        <f>ROUND('[6]2033'!O15,2)</f>
        <v>40959.53</v>
      </c>
      <c r="P109" s="78">
        <f>ROUND('[6]2033'!P15,2)</f>
        <v>42649.07</v>
      </c>
      <c r="Q109" s="78">
        <f>ROUND('[6]2033'!Q15,2)</f>
        <v>41481.29</v>
      </c>
      <c r="R109" s="78">
        <f>ROUND('[6]2033'!R15,2)</f>
        <v>42623.38</v>
      </c>
      <c r="S109" s="78">
        <f>ROUND('[6]2033'!S15,2)</f>
        <v>44600.57</v>
      </c>
      <c r="T109" s="78">
        <f>ROUND('[6]2033'!T15,2)</f>
        <v>44837.68</v>
      </c>
      <c r="U109" s="78">
        <f>ROUND('[6]2033'!U15,2)</f>
        <v>44096.15</v>
      </c>
      <c r="V109" s="78">
        <f>ROUND('[6]2033'!V15,2)</f>
        <v>42471.199999999997</v>
      </c>
      <c r="W109" s="78">
        <f>ROUND('[6]2033'!W15,2)</f>
        <v>45433.440000000002</v>
      </c>
      <c r="X109" s="78">
        <f>ROUND('[6]2033'!X15,2)</f>
        <v>45595.44</v>
      </c>
      <c r="Y109" s="78">
        <f>ROUND('[6]2033'!Y15,2)</f>
        <v>44397.75</v>
      </c>
      <c r="Z109" s="78">
        <f>ROUND('[6]2033'!Z15,2)</f>
        <v>42450.95</v>
      </c>
      <c r="AA109" s="78">
        <f>ROUND('[6]2033'!AA15,2)</f>
        <v>39441.379999999997</v>
      </c>
      <c r="AB109" s="78">
        <f>ROUND('[6]2033'!AB15,2)</f>
        <v>36228.35</v>
      </c>
      <c r="AC109" s="209">
        <f>SUM(E109:AB109)*D109+SUM(E110:AB110)*D110+SUM(E111:AB111)*D111+SUM(E112:AB112)*D112</f>
        <v>27561808.609999996</v>
      </c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</row>
    <row r="110" spans="2:50" ht="18.649999999999999" customHeight="1" x14ac:dyDescent="0.35">
      <c r="B110" s="208"/>
      <c r="C110" s="9" t="s">
        <v>30</v>
      </c>
      <c r="D110" s="10">
        <f>+'[6]2033'!D16</f>
        <v>4</v>
      </c>
      <c r="E110" s="79">
        <f>ROUND('[6]2033'!E16,2)</f>
        <v>32985.410000000003</v>
      </c>
      <c r="F110" s="79">
        <f>ROUND('[6]2033'!F16,2)</f>
        <v>31401.18</v>
      </c>
      <c r="G110" s="79">
        <f>ROUND('[6]2033'!G16,2)</f>
        <v>30156.85</v>
      </c>
      <c r="H110" s="79">
        <f>ROUND('[6]2033'!H16,2)</f>
        <v>29206.53</v>
      </c>
      <c r="I110" s="79">
        <f>ROUND('[6]2033'!I16,2)</f>
        <v>28918.89</v>
      </c>
      <c r="J110" s="79">
        <f>ROUND('[6]2033'!J16,2)</f>
        <v>29150.22</v>
      </c>
      <c r="K110" s="79">
        <f>ROUND('[6]2033'!K16,2)</f>
        <v>28398.97</v>
      </c>
      <c r="L110" s="79">
        <f>ROUND('[6]2033'!L16,2)</f>
        <v>31204.76</v>
      </c>
      <c r="M110" s="79">
        <f>ROUND('[6]2033'!M16,2)</f>
        <v>34674.21</v>
      </c>
      <c r="N110" s="79">
        <f>ROUND('[6]2033'!N16,2)</f>
        <v>36972.04</v>
      </c>
      <c r="O110" s="79">
        <f>ROUND('[6]2033'!O16,2)</f>
        <v>38779.86</v>
      </c>
      <c r="P110" s="79">
        <f>ROUND('[6]2033'!P16,2)</f>
        <v>39758.14</v>
      </c>
      <c r="Q110" s="79">
        <f>ROUND('[6]2033'!Q16,2)</f>
        <v>39410.51</v>
      </c>
      <c r="R110" s="79">
        <f>ROUND('[6]2033'!R16,2)</f>
        <v>38576.06</v>
      </c>
      <c r="S110" s="79">
        <f>ROUND('[6]2033'!S16,2)</f>
        <v>38758.1</v>
      </c>
      <c r="T110" s="79">
        <f>ROUND('[6]2033'!T16,2)</f>
        <v>38892.550000000003</v>
      </c>
      <c r="U110" s="79">
        <f>ROUND('[6]2033'!U16,2)</f>
        <v>38507.129999999997</v>
      </c>
      <c r="V110" s="79">
        <f>ROUND('[6]2033'!V16,2)</f>
        <v>38646.620000000003</v>
      </c>
      <c r="W110" s="79">
        <f>ROUND('[6]2033'!W16,2)</f>
        <v>42930.42</v>
      </c>
      <c r="X110" s="79">
        <f>ROUND('[6]2033'!X16,2)</f>
        <v>43237.85</v>
      </c>
      <c r="Y110" s="79">
        <f>ROUND('[6]2033'!Y16,2)</f>
        <v>41952.6</v>
      </c>
      <c r="Z110" s="79">
        <f>ROUND('[6]2033'!Z16,2)</f>
        <v>40252.620000000003</v>
      </c>
      <c r="AA110" s="79">
        <f>ROUND('[6]2033'!AA16,2)</f>
        <v>38043.440000000002</v>
      </c>
      <c r="AB110" s="79">
        <f>ROUND('[6]2033'!AB16,2)</f>
        <v>35593.54</v>
      </c>
      <c r="AC110" s="210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</row>
    <row r="111" spans="2:50" ht="18.649999999999999" customHeight="1" x14ac:dyDescent="0.35">
      <c r="B111" s="208"/>
      <c r="C111" s="9" t="s">
        <v>31</v>
      </c>
      <c r="D111" s="10">
        <f>+'[6]2033'!D17</f>
        <v>5</v>
      </c>
      <c r="E111" s="79">
        <f>ROUND('[6]2033'!E17,2)</f>
        <v>33204.03</v>
      </c>
      <c r="F111" s="79">
        <f>ROUND('[6]2033'!F17,2)</f>
        <v>31572.71</v>
      </c>
      <c r="G111" s="79">
        <f>ROUND('[6]2033'!G17,2)</f>
        <v>30257.29</v>
      </c>
      <c r="H111" s="79">
        <f>ROUND('[6]2033'!H17,2)</f>
        <v>29292.21</v>
      </c>
      <c r="I111" s="79">
        <f>ROUND('[6]2033'!I17,2)</f>
        <v>28817.22</v>
      </c>
      <c r="J111" s="79">
        <f>ROUND('[6]2033'!J17,2)</f>
        <v>28666.06</v>
      </c>
      <c r="K111" s="79">
        <f>ROUND('[6]2033'!K17,2)</f>
        <v>27121.63</v>
      </c>
      <c r="L111" s="79">
        <f>ROUND('[6]2033'!L17,2)</f>
        <v>28331.59</v>
      </c>
      <c r="M111" s="79">
        <f>ROUND('[6]2033'!M17,2)</f>
        <v>30271.1</v>
      </c>
      <c r="N111" s="79">
        <f>ROUND('[6]2033'!N17,2)</f>
        <v>31764.45</v>
      </c>
      <c r="O111" s="79">
        <f>ROUND('[6]2033'!O17,2)</f>
        <v>33193.17</v>
      </c>
      <c r="P111" s="79">
        <f>ROUND('[6]2033'!P17,2)</f>
        <v>34348.94</v>
      </c>
      <c r="Q111" s="79">
        <f>ROUND('[6]2033'!Q17,2)</f>
        <v>35136.67</v>
      </c>
      <c r="R111" s="79">
        <f>ROUND('[6]2033'!R17,2)</f>
        <v>35231.449999999997</v>
      </c>
      <c r="S111" s="79">
        <f>ROUND('[6]2033'!S17,2)</f>
        <v>35249.300000000003</v>
      </c>
      <c r="T111" s="79">
        <f>ROUND('[6]2033'!T17,2)</f>
        <v>35370.58</v>
      </c>
      <c r="U111" s="79">
        <f>ROUND('[6]2033'!U17,2)</f>
        <v>35388.550000000003</v>
      </c>
      <c r="V111" s="79">
        <f>ROUND('[6]2033'!V17,2)</f>
        <v>35762.26</v>
      </c>
      <c r="W111" s="79">
        <f>ROUND('[6]2033'!W17,2)</f>
        <v>40430.959999999999</v>
      </c>
      <c r="X111" s="79">
        <f>ROUND('[6]2033'!X17,2)</f>
        <v>41589.040000000001</v>
      </c>
      <c r="Y111" s="79">
        <f>ROUND('[6]2033'!Y17,2)</f>
        <v>41149</v>
      </c>
      <c r="Z111" s="79">
        <f>ROUND('[6]2033'!Z17,2)</f>
        <v>39795.410000000003</v>
      </c>
      <c r="AA111" s="79">
        <f>ROUND('[6]2033'!AA17,2)</f>
        <v>37371.31</v>
      </c>
      <c r="AB111" s="79">
        <f>ROUND('[6]2033'!AB17,2)</f>
        <v>34479.5</v>
      </c>
      <c r="AC111" s="210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</row>
    <row r="112" spans="2:50" ht="18.649999999999999" customHeight="1" thickBot="1" x14ac:dyDescent="0.4">
      <c r="B112" s="208"/>
      <c r="C112" s="15" t="s">
        <v>32</v>
      </c>
      <c r="D112" s="16">
        <f>+'[6]2033'!D18</f>
        <v>2</v>
      </c>
      <c r="E112" s="80">
        <f>ROUND('[6]2033'!E18,2)</f>
        <v>33204.03</v>
      </c>
      <c r="F112" s="80">
        <f>ROUND('[6]2033'!F18,2)</f>
        <v>31572.71</v>
      </c>
      <c r="G112" s="80">
        <f>ROUND('[6]2033'!G18,2)</f>
        <v>30257.29</v>
      </c>
      <c r="H112" s="80">
        <f>ROUND('[6]2033'!H18,2)</f>
        <v>29292.21</v>
      </c>
      <c r="I112" s="80">
        <f>ROUND('[6]2033'!I18,2)</f>
        <v>28817.22</v>
      </c>
      <c r="J112" s="80">
        <f>ROUND('[6]2033'!J18,2)</f>
        <v>28666.06</v>
      </c>
      <c r="K112" s="80">
        <f>ROUND('[6]2033'!K18,2)</f>
        <v>27121.63</v>
      </c>
      <c r="L112" s="80">
        <f>ROUND('[6]2033'!L18,2)</f>
        <v>28331.59</v>
      </c>
      <c r="M112" s="80">
        <f>ROUND('[6]2033'!M18,2)</f>
        <v>30271.1</v>
      </c>
      <c r="N112" s="80">
        <f>ROUND('[6]2033'!N18,2)</f>
        <v>31764.45</v>
      </c>
      <c r="O112" s="80">
        <f>ROUND('[6]2033'!O18,2)</f>
        <v>33193.17</v>
      </c>
      <c r="P112" s="80">
        <f>ROUND('[6]2033'!P18,2)</f>
        <v>34348.94</v>
      </c>
      <c r="Q112" s="80">
        <f>ROUND('[6]2033'!Q18,2)</f>
        <v>35136.67</v>
      </c>
      <c r="R112" s="80">
        <f>ROUND('[6]2033'!R18,2)</f>
        <v>35231.449999999997</v>
      </c>
      <c r="S112" s="80">
        <f>ROUND('[6]2033'!S18,2)</f>
        <v>35249.300000000003</v>
      </c>
      <c r="T112" s="80">
        <f>ROUND('[6]2033'!T18,2)</f>
        <v>35370.58</v>
      </c>
      <c r="U112" s="80">
        <f>ROUND('[6]2033'!U18,2)</f>
        <v>35388.550000000003</v>
      </c>
      <c r="V112" s="80">
        <f>ROUND('[6]2033'!V18,2)</f>
        <v>35762.26</v>
      </c>
      <c r="W112" s="80">
        <f>ROUND('[6]2033'!W18,2)</f>
        <v>40430.959999999999</v>
      </c>
      <c r="X112" s="80">
        <f>ROUND('[6]2033'!X18,2)</f>
        <v>41589.040000000001</v>
      </c>
      <c r="Y112" s="80">
        <f>ROUND('[6]2033'!Y18,2)</f>
        <v>41149</v>
      </c>
      <c r="Z112" s="80">
        <f>ROUND('[6]2033'!Z18,2)</f>
        <v>39795.410000000003</v>
      </c>
      <c r="AA112" s="80">
        <f>ROUND('[6]2033'!AA18,2)</f>
        <v>37371.31</v>
      </c>
      <c r="AB112" s="80">
        <f>ROUND('[6]2033'!AB18,2)</f>
        <v>34479.5</v>
      </c>
      <c r="AC112" s="210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</row>
    <row r="113" spans="2:30" ht="18.649999999999999" customHeight="1" x14ac:dyDescent="0.35">
      <c r="B113" s="211">
        <v>48611</v>
      </c>
      <c r="C113" s="6" t="s">
        <v>29</v>
      </c>
      <c r="D113" s="7">
        <f>+'[6]2033'!D19</f>
        <v>20</v>
      </c>
      <c r="E113" s="78">
        <f>ROUND('[6]2033'!E19,2)</f>
        <v>34828.230000000003</v>
      </c>
      <c r="F113" s="78">
        <f>ROUND('[6]2033'!F19,2)</f>
        <v>33118.53</v>
      </c>
      <c r="G113" s="78">
        <f>ROUND('[6]2033'!G19,2)</f>
        <v>31753.68</v>
      </c>
      <c r="H113" s="78">
        <f>ROUND('[6]2033'!H19,2)</f>
        <v>30764.28</v>
      </c>
      <c r="I113" s="78">
        <f>ROUND('[6]2033'!I19,2)</f>
        <v>30729.82</v>
      </c>
      <c r="J113" s="78">
        <f>ROUND('[6]2033'!J19,2)</f>
        <v>32576.87</v>
      </c>
      <c r="K113" s="78">
        <f>ROUND('[6]2033'!K19,2)</f>
        <v>32263.24</v>
      </c>
      <c r="L113" s="78">
        <f>ROUND('[6]2033'!L19,2)</f>
        <v>35403.51</v>
      </c>
      <c r="M113" s="78">
        <f>ROUND('[6]2033'!M19,2)</f>
        <v>38858.29</v>
      </c>
      <c r="N113" s="78">
        <f>ROUND('[6]2033'!N19,2)</f>
        <v>40534.589999999997</v>
      </c>
      <c r="O113" s="78">
        <f>ROUND('[6]2033'!O19,2)</f>
        <v>42559.3</v>
      </c>
      <c r="P113" s="78">
        <f>ROUND('[6]2033'!P19,2)</f>
        <v>44160.43</v>
      </c>
      <c r="Q113" s="78">
        <f>ROUND('[6]2033'!Q19,2)</f>
        <v>42683.38</v>
      </c>
      <c r="R113" s="78">
        <f>ROUND('[6]2033'!R19,2)</f>
        <v>44216.94</v>
      </c>
      <c r="S113" s="78">
        <f>ROUND('[6]2033'!S19,2)</f>
        <v>46680.79</v>
      </c>
      <c r="T113" s="78">
        <f>ROUND('[6]2033'!T19,2)</f>
        <v>47062.49</v>
      </c>
      <c r="U113" s="78">
        <f>ROUND('[6]2033'!U19,2)</f>
        <v>46360.08</v>
      </c>
      <c r="V113" s="78">
        <f>ROUND('[6]2033'!V19,2)</f>
        <v>44469.89</v>
      </c>
      <c r="W113" s="78">
        <f>ROUND('[6]2033'!W19,2)</f>
        <v>47105.919999999998</v>
      </c>
      <c r="X113" s="78">
        <f>ROUND('[6]2033'!X19,2)</f>
        <v>47771.98</v>
      </c>
      <c r="Y113" s="78">
        <f>ROUND('[6]2033'!Y19,2)</f>
        <v>46742.09</v>
      </c>
      <c r="Z113" s="78">
        <f>ROUND('[6]2033'!Z19,2)</f>
        <v>44680.75</v>
      </c>
      <c r="AA113" s="78">
        <f>ROUND('[6]2033'!AA19,2)</f>
        <v>41161.64</v>
      </c>
      <c r="AB113" s="78">
        <f>ROUND('[6]2033'!AB19,2)</f>
        <v>37672.410000000003</v>
      </c>
      <c r="AC113" s="209">
        <f>SUM(E113:AB113)*D113+SUM(E114:AB114)*D114+SUM(E115:AB115)*D115+SUM(E116:AB116)*D116</f>
        <v>26378367.48</v>
      </c>
      <c r="AD113" s="18"/>
    </row>
    <row r="114" spans="2:30" ht="18.649999999999999" customHeight="1" x14ac:dyDescent="0.35">
      <c r="B114" s="212" t="s">
        <v>34</v>
      </c>
      <c r="C114" s="9" t="s">
        <v>30</v>
      </c>
      <c r="D114" s="10">
        <f>+'[6]2033'!D20</f>
        <v>4</v>
      </c>
      <c r="E114" s="79">
        <f>ROUND('[6]2033'!E20,2)</f>
        <v>35308.550000000003</v>
      </c>
      <c r="F114" s="79">
        <f>ROUND('[6]2033'!F20,2)</f>
        <v>33399.440000000002</v>
      </c>
      <c r="G114" s="79">
        <f>ROUND('[6]2033'!G20,2)</f>
        <v>32154.42</v>
      </c>
      <c r="H114" s="79">
        <f>ROUND('[6]2033'!H20,2)</f>
        <v>30970.959999999999</v>
      </c>
      <c r="I114" s="79">
        <f>ROUND('[6]2033'!I20,2)</f>
        <v>30598.14</v>
      </c>
      <c r="J114" s="79">
        <f>ROUND('[6]2033'!J20,2)</f>
        <v>30953.68</v>
      </c>
      <c r="K114" s="79">
        <f>ROUND('[6]2033'!K20,2)</f>
        <v>30404.79</v>
      </c>
      <c r="L114" s="79">
        <f>ROUND('[6]2033'!L20,2)</f>
        <v>33214.36</v>
      </c>
      <c r="M114" s="79">
        <f>ROUND('[6]2033'!M20,2)</f>
        <v>36653.58</v>
      </c>
      <c r="N114" s="79">
        <f>ROUND('[6]2033'!N20,2)</f>
        <v>38696.129999999997</v>
      </c>
      <c r="O114" s="79">
        <f>ROUND('[6]2033'!O20,2)</f>
        <v>40573.53</v>
      </c>
      <c r="P114" s="79">
        <f>ROUND('[6]2033'!P20,2)</f>
        <v>41517.24</v>
      </c>
      <c r="Q114" s="79">
        <f>ROUND('[6]2033'!Q20,2)</f>
        <v>40854.980000000003</v>
      </c>
      <c r="R114" s="79">
        <f>ROUND('[6]2033'!R20,2)</f>
        <v>40325.279999999999</v>
      </c>
      <c r="S114" s="79">
        <f>ROUND('[6]2033'!S20,2)</f>
        <v>40510.83</v>
      </c>
      <c r="T114" s="79">
        <f>ROUND('[6]2033'!T20,2)</f>
        <v>40626.769999999997</v>
      </c>
      <c r="U114" s="79">
        <f>ROUND('[6]2033'!U20,2)</f>
        <v>40341.21</v>
      </c>
      <c r="V114" s="79">
        <f>ROUND('[6]2033'!V20,2)</f>
        <v>40222.69</v>
      </c>
      <c r="W114" s="79">
        <f>ROUND('[6]2033'!W20,2)</f>
        <v>44398.48</v>
      </c>
      <c r="X114" s="79">
        <f>ROUND('[6]2033'!X20,2)</f>
        <v>45041.74</v>
      </c>
      <c r="Y114" s="79">
        <f>ROUND('[6]2033'!Y20,2)</f>
        <v>43988.76</v>
      </c>
      <c r="Z114" s="79">
        <f>ROUND('[6]2033'!Z20,2)</f>
        <v>42312.95</v>
      </c>
      <c r="AA114" s="79">
        <f>ROUND('[6]2033'!AA20,2)</f>
        <v>40100.69</v>
      </c>
      <c r="AB114" s="79">
        <f>ROUND('[6]2033'!AB20,2)</f>
        <v>37466.44</v>
      </c>
      <c r="AC114" s="210"/>
      <c r="AD114" s="18"/>
    </row>
    <row r="115" spans="2:30" ht="18.649999999999999" customHeight="1" x14ac:dyDescent="0.35">
      <c r="B115" s="212" t="s">
        <v>34</v>
      </c>
      <c r="C115" s="9" t="s">
        <v>31</v>
      </c>
      <c r="D115" s="10">
        <f>+'[6]2033'!D21</f>
        <v>4</v>
      </c>
      <c r="E115" s="79">
        <f>ROUND('[6]2033'!E21,2)</f>
        <v>35210.239999999998</v>
      </c>
      <c r="F115" s="79">
        <f>ROUND('[6]2033'!F21,2)</f>
        <v>33509.199999999997</v>
      </c>
      <c r="G115" s="79">
        <f>ROUND('[6]2033'!G21,2)</f>
        <v>32135.67</v>
      </c>
      <c r="H115" s="79">
        <f>ROUND('[6]2033'!H21,2)</f>
        <v>31115.82</v>
      </c>
      <c r="I115" s="79">
        <f>ROUND('[6]2033'!I21,2)</f>
        <v>30590.83</v>
      </c>
      <c r="J115" s="79">
        <f>ROUND('[6]2033'!J21,2)</f>
        <v>30556.76</v>
      </c>
      <c r="K115" s="79">
        <f>ROUND('[6]2033'!K21,2)</f>
        <v>28953.200000000001</v>
      </c>
      <c r="L115" s="79">
        <f>ROUND('[6]2033'!L21,2)</f>
        <v>30201.94</v>
      </c>
      <c r="M115" s="79">
        <f>ROUND('[6]2033'!M21,2)</f>
        <v>32107.19</v>
      </c>
      <c r="N115" s="79">
        <f>ROUND('[6]2033'!N21,2)</f>
        <v>33456.910000000003</v>
      </c>
      <c r="O115" s="79">
        <f>ROUND('[6]2033'!O21,2)</f>
        <v>34831.06</v>
      </c>
      <c r="P115" s="79">
        <f>ROUND('[6]2033'!P21,2)</f>
        <v>36107.47</v>
      </c>
      <c r="Q115" s="79">
        <f>ROUND('[6]2033'!Q21,2)</f>
        <v>36955.07</v>
      </c>
      <c r="R115" s="79">
        <f>ROUND('[6]2033'!R21,2)</f>
        <v>37174.82</v>
      </c>
      <c r="S115" s="79">
        <f>ROUND('[6]2033'!S21,2)</f>
        <v>37545.18</v>
      </c>
      <c r="T115" s="79">
        <f>ROUND('[6]2033'!T21,2)</f>
        <v>37836.33</v>
      </c>
      <c r="U115" s="79">
        <f>ROUND('[6]2033'!U21,2)</f>
        <v>37714.31</v>
      </c>
      <c r="V115" s="79">
        <f>ROUND('[6]2033'!V21,2)</f>
        <v>37482.68</v>
      </c>
      <c r="W115" s="79">
        <f>ROUND('[6]2033'!W21,2)</f>
        <v>42361.73</v>
      </c>
      <c r="X115" s="79">
        <f>ROUND('[6]2033'!X21,2)</f>
        <v>44118.61</v>
      </c>
      <c r="Y115" s="79">
        <f>ROUND('[6]2033'!Y21,2)</f>
        <v>44102.239999999998</v>
      </c>
      <c r="Z115" s="79">
        <f>ROUND('[6]2033'!Z21,2)</f>
        <v>43055.03</v>
      </c>
      <c r="AA115" s="79">
        <f>ROUND('[6]2033'!AA21,2)</f>
        <v>39560.31</v>
      </c>
      <c r="AB115" s="79">
        <f>ROUND('[6]2033'!AB21,2)</f>
        <v>36477.980000000003</v>
      </c>
      <c r="AC115" s="210"/>
      <c r="AD115" s="18"/>
    </row>
    <row r="116" spans="2:30" ht="18.649999999999999" customHeight="1" thickBot="1" x14ac:dyDescent="0.4">
      <c r="B116" s="213" t="s">
        <v>34</v>
      </c>
      <c r="C116" s="11" t="s">
        <v>32</v>
      </c>
      <c r="D116" s="12">
        <f>+'[6]2033'!D22</f>
        <v>0</v>
      </c>
      <c r="E116" s="75">
        <f>ROUND('[6]2033'!E22,2)</f>
        <v>0</v>
      </c>
      <c r="F116" s="75">
        <f>ROUND('[6]2033'!F22,2)</f>
        <v>0</v>
      </c>
      <c r="G116" s="75">
        <f>ROUND('[6]2033'!G22,2)</f>
        <v>0</v>
      </c>
      <c r="H116" s="75">
        <f>ROUND('[6]2033'!H22,2)</f>
        <v>0</v>
      </c>
      <c r="I116" s="75">
        <f>ROUND('[6]2033'!I22,2)</f>
        <v>0</v>
      </c>
      <c r="J116" s="75">
        <f>ROUND('[6]2033'!J22,2)</f>
        <v>0</v>
      </c>
      <c r="K116" s="75">
        <f>ROUND('[6]2033'!K22,2)</f>
        <v>0</v>
      </c>
      <c r="L116" s="75">
        <f>ROUND('[6]2033'!L22,2)</f>
        <v>0</v>
      </c>
      <c r="M116" s="75">
        <f>ROUND('[6]2033'!M22,2)</f>
        <v>0</v>
      </c>
      <c r="N116" s="75">
        <f>ROUND('[6]2033'!N22,2)</f>
        <v>0</v>
      </c>
      <c r="O116" s="75">
        <f>ROUND('[6]2033'!O22,2)</f>
        <v>0</v>
      </c>
      <c r="P116" s="75">
        <f>ROUND('[6]2033'!P22,2)</f>
        <v>0</v>
      </c>
      <c r="Q116" s="75">
        <f>ROUND('[6]2033'!Q22,2)</f>
        <v>0</v>
      </c>
      <c r="R116" s="75">
        <f>ROUND('[6]2033'!R22,2)</f>
        <v>0</v>
      </c>
      <c r="S116" s="75">
        <f>ROUND('[6]2033'!S22,2)</f>
        <v>0</v>
      </c>
      <c r="T116" s="75">
        <f>ROUND('[6]2033'!T22,2)</f>
        <v>0</v>
      </c>
      <c r="U116" s="75">
        <f>ROUND('[6]2033'!U22,2)</f>
        <v>0</v>
      </c>
      <c r="V116" s="75">
        <f>ROUND('[6]2033'!V22,2)</f>
        <v>0</v>
      </c>
      <c r="W116" s="75">
        <f>ROUND('[6]2033'!W22,2)</f>
        <v>0</v>
      </c>
      <c r="X116" s="75">
        <f>ROUND('[6]2033'!X22,2)</f>
        <v>0</v>
      </c>
      <c r="Y116" s="75">
        <f>ROUND('[6]2033'!Y22,2)</f>
        <v>0</v>
      </c>
      <c r="Z116" s="75">
        <f>ROUND('[6]2033'!Z22,2)</f>
        <v>0</v>
      </c>
      <c r="AA116" s="75">
        <f>ROUND('[6]2033'!AA22,2)</f>
        <v>0</v>
      </c>
      <c r="AB116" s="75">
        <f>ROUND('[6]2033'!AB22,2)</f>
        <v>0</v>
      </c>
      <c r="AC116" s="214"/>
      <c r="AD116" s="18"/>
    </row>
    <row r="117" spans="2:30" ht="18.649999999999999" customHeight="1" x14ac:dyDescent="0.35">
      <c r="B117" s="207">
        <v>48639</v>
      </c>
      <c r="C117" s="13" t="s">
        <v>29</v>
      </c>
      <c r="D117" s="14">
        <f>+'[6]2033'!D23</f>
        <v>22</v>
      </c>
      <c r="E117" s="81">
        <f>ROUND('[6]2033'!E23,2)</f>
        <v>32532.71</v>
      </c>
      <c r="F117" s="81">
        <f>ROUND('[6]2033'!F23,2)</f>
        <v>30923.51</v>
      </c>
      <c r="G117" s="81">
        <f>ROUND('[6]2033'!G23,2)</f>
        <v>29723.15</v>
      </c>
      <c r="H117" s="81">
        <f>ROUND('[6]2033'!H23,2)</f>
        <v>28935.26</v>
      </c>
      <c r="I117" s="81">
        <f>ROUND('[6]2033'!I23,2)</f>
        <v>29068.05</v>
      </c>
      <c r="J117" s="81">
        <f>ROUND('[6]2033'!J23,2)</f>
        <v>30620.21</v>
      </c>
      <c r="K117" s="81">
        <f>ROUND('[6]2033'!K23,2)</f>
        <v>30622.67</v>
      </c>
      <c r="L117" s="81">
        <f>ROUND('[6]2033'!L23,2)</f>
        <v>33942.75</v>
      </c>
      <c r="M117" s="81">
        <f>ROUND('[6]2033'!M23,2)</f>
        <v>37216.65</v>
      </c>
      <c r="N117" s="81">
        <f>ROUND('[6]2033'!N23,2)</f>
        <v>38914.11</v>
      </c>
      <c r="O117" s="81">
        <f>ROUND('[6]2033'!O23,2)</f>
        <v>40857.51</v>
      </c>
      <c r="P117" s="81">
        <f>ROUND('[6]2033'!P23,2)</f>
        <v>42131.78</v>
      </c>
      <c r="Q117" s="81">
        <f>ROUND('[6]2033'!Q23,2)</f>
        <v>40225.67</v>
      </c>
      <c r="R117" s="81">
        <f>ROUND('[6]2033'!R23,2)</f>
        <v>41552.43</v>
      </c>
      <c r="S117" s="81">
        <f>ROUND('[6]2033'!S23,2)</f>
        <v>43835.81</v>
      </c>
      <c r="T117" s="81">
        <f>ROUND('[6]2033'!T23,2)</f>
        <v>44318.14</v>
      </c>
      <c r="U117" s="81">
        <f>ROUND('[6]2033'!U23,2)</f>
        <v>43834.19</v>
      </c>
      <c r="V117" s="81">
        <f>ROUND('[6]2033'!V23,2)</f>
        <v>42293.86</v>
      </c>
      <c r="W117" s="81">
        <f>ROUND('[6]2033'!W23,2)</f>
        <v>44880.04</v>
      </c>
      <c r="X117" s="81">
        <f>ROUND('[6]2033'!X23,2)</f>
        <v>45281.64</v>
      </c>
      <c r="Y117" s="81">
        <f>ROUND('[6]2033'!Y23,2)</f>
        <v>43955.54</v>
      </c>
      <c r="Z117" s="81">
        <f>ROUND('[6]2033'!Z23,2)</f>
        <v>41762.699999999997</v>
      </c>
      <c r="AA117" s="81">
        <f>ROUND('[6]2033'!AA23,2)</f>
        <v>38467.5</v>
      </c>
      <c r="AB117" s="81">
        <f>ROUND('[6]2033'!AB23,2)</f>
        <v>35122.199999999997</v>
      </c>
      <c r="AC117" s="210">
        <f>SUM(E117:AB117)*D117+SUM(E118:AB118)*D118+SUM(E119:AB119)*D119+SUM(E120:AB120)*D120</f>
        <v>27719728.369999997</v>
      </c>
      <c r="AD117" s="18"/>
    </row>
    <row r="118" spans="2:30" ht="18.649999999999999" customHeight="1" x14ac:dyDescent="0.35">
      <c r="B118" s="208"/>
      <c r="C118" s="9" t="s">
        <v>30</v>
      </c>
      <c r="D118" s="10">
        <f>+'[6]2033'!D24</f>
        <v>4</v>
      </c>
      <c r="E118" s="79">
        <f>ROUND('[6]2033'!E24,2)</f>
        <v>32723.16</v>
      </c>
      <c r="F118" s="79">
        <f>ROUND('[6]2033'!F24,2)</f>
        <v>31108.79</v>
      </c>
      <c r="G118" s="79">
        <f>ROUND('[6]2033'!G24,2)</f>
        <v>29835.29</v>
      </c>
      <c r="H118" s="79">
        <f>ROUND('[6]2033'!H24,2)</f>
        <v>28992.33</v>
      </c>
      <c r="I118" s="79">
        <f>ROUND('[6]2033'!I24,2)</f>
        <v>28779.35</v>
      </c>
      <c r="J118" s="79">
        <f>ROUND('[6]2033'!J24,2)</f>
        <v>29107.07</v>
      </c>
      <c r="K118" s="79">
        <f>ROUND('[6]2033'!K24,2)</f>
        <v>28967.16</v>
      </c>
      <c r="L118" s="79">
        <f>ROUND('[6]2033'!L24,2)</f>
        <v>32013.54</v>
      </c>
      <c r="M118" s="79">
        <f>ROUND('[6]2033'!M24,2)</f>
        <v>35557.660000000003</v>
      </c>
      <c r="N118" s="79">
        <f>ROUND('[6]2033'!N24,2)</f>
        <v>37619.81</v>
      </c>
      <c r="O118" s="79">
        <f>ROUND('[6]2033'!O24,2)</f>
        <v>39469.68</v>
      </c>
      <c r="P118" s="79">
        <f>ROUND('[6]2033'!P24,2)</f>
        <v>40570.050000000003</v>
      </c>
      <c r="Q118" s="79">
        <f>ROUND('[6]2033'!Q24,2)</f>
        <v>39872.76</v>
      </c>
      <c r="R118" s="79">
        <f>ROUND('[6]2033'!R24,2)</f>
        <v>39341.120000000003</v>
      </c>
      <c r="S118" s="79">
        <f>ROUND('[6]2033'!S24,2)</f>
        <v>39652.720000000001</v>
      </c>
      <c r="T118" s="79">
        <f>ROUND('[6]2033'!T24,2)</f>
        <v>39704.65</v>
      </c>
      <c r="U118" s="79">
        <f>ROUND('[6]2033'!U24,2)</f>
        <v>39352.51</v>
      </c>
      <c r="V118" s="79">
        <f>ROUND('[6]2033'!V24,2)</f>
        <v>39110.559999999998</v>
      </c>
      <c r="W118" s="79">
        <f>ROUND('[6]2033'!W24,2)</f>
        <v>43189.01</v>
      </c>
      <c r="X118" s="79">
        <f>ROUND('[6]2033'!X24,2)</f>
        <v>43885.32</v>
      </c>
      <c r="Y118" s="79">
        <f>ROUND('[6]2033'!Y24,2)</f>
        <v>42665.59</v>
      </c>
      <c r="Z118" s="79">
        <f>ROUND('[6]2033'!Z24,2)</f>
        <v>41003.74</v>
      </c>
      <c r="AA118" s="79">
        <f>ROUND('[6]2033'!AA24,2)</f>
        <v>38691.81</v>
      </c>
      <c r="AB118" s="79">
        <f>ROUND('[6]2033'!AB24,2)</f>
        <v>36156.71</v>
      </c>
      <c r="AC118" s="210"/>
      <c r="AD118" s="18"/>
    </row>
    <row r="119" spans="2:30" ht="18.649999999999999" customHeight="1" x14ac:dyDescent="0.35">
      <c r="B119" s="208"/>
      <c r="C119" s="9" t="s">
        <v>31</v>
      </c>
      <c r="D119" s="10">
        <f>+'[6]2033'!D25</f>
        <v>4</v>
      </c>
      <c r="E119" s="79">
        <f>ROUND('[6]2033'!E25,2)</f>
        <v>33600.519999999997</v>
      </c>
      <c r="F119" s="79">
        <f>ROUND('[6]2033'!F25,2)</f>
        <v>31870.99</v>
      </c>
      <c r="G119" s="79">
        <f>ROUND('[6]2033'!G25,2)</f>
        <v>30527.119999999999</v>
      </c>
      <c r="H119" s="79">
        <f>ROUND('[6]2033'!H25,2)</f>
        <v>29564.04</v>
      </c>
      <c r="I119" s="79">
        <f>ROUND('[6]2033'!I25,2)</f>
        <v>29079.919999999998</v>
      </c>
      <c r="J119" s="79">
        <f>ROUND('[6]2033'!J25,2)</f>
        <v>28862.41</v>
      </c>
      <c r="K119" s="79">
        <f>ROUND('[6]2033'!K25,2)</f>
        <v>27771.87</v>
      </c>
      <c r="L119" s="79">
        <f>ROUND('[6]2033'!L25,2)</f>
        <v>29242.67</v>
      </c>
      <c r="M119" s="79">
        <f>ROUND('[6]2033'!M25,2)</f>
        <v>31309.05</v>
      </c>
      <c r="N119" s="79">
        <f>ROUND('[6]2033'!N25,2)</f>
        <v>32804.839999999997</v>
      </c>
      <c r="O119" s="79">
        <f>ROUND('[6]2033'!O25,2)</f>
        <v>34141.81</v>
      </c>
      <c r="P119" s="79">
        <f>ROUND('[6]2033'!P25,2)</f>
        <v>35293.760000000002</v>
      </c>
      <c r="Q119" s="79">
        <f>ROUND('[6]2033'!Q25,2)</f>
        <v>36025.120000000003</v>
      </c>
      <c r="R119" s="79">
        <f>ROUND('[6]2033'!R25,2)</f>
        <v>36156.29</v>
      </c>
      <c r="S119" s="79">
        <f>ROUND('[6]2033'!S25,2)</f>
        <v>36295.08</v>
      </c>
      <c r="T119" s="79">
        <f>ROUND('[6]2033'!T25,2)</f>
        <v>36691.96</v>
      </c>
      <c r="U119" s="79">
        <f>ROUND('[6]2033'!U25,2)</f>
        <v>36554.61</v>
      </c>
      <c r="V119" s="79">
        <f>ROUND('[6]2033'!V25,2)</f>
        <v>36735.57</v>
      </c>
      <c r="W119" s="79">
        <f>ROUND('[6]2033'!W25,2)</f>
        <v>41070.29</v>
      </c>
      <c r="X119" s="79">
        <f>ROUND('[6]2033'!X25,2)</f>
        <v>42569.04</v>
      </c>
      <c r="Y119" s="79">
        <f>ROUND('[6]2033'!Y25,2)</f>
        <v>42411.27</v>
      </c>
      <c r="Z119" s="79">
        <f>ROUND('[6]2033'!Z25,2)</f>
        <v>41167.01</v>
      </c>
      <c r="AA119" s="79">
        <f>ROUND('[6]2033'!AA25,2)</f>
        <v>38466</v>
      </c>
      <c r="AB119" s="79">
        <f>ROUND('[6]2033'!AB25,2)</f>
        <v>35358.57</v>
      </c>
      <c r="AC119" s="210"/>
      <c r="AD119" s="18"/>
    </row>
    <row r="120" spans="2:30" ht="18.649999999999999" customHeight="1" thickBot="1" x14ac:dyDescent="0.4">
      <c r="B120" s="208"/>
      <c r="C120" s="15" t="s">
        <v>32</v>
      </c>
      <c r="D120" s="16">
        <f>+'[6]2033'!D26</f>
        <v>1</v>
      </c>
      <c r="E120" s="80">
        <f>ROUND('[6]2033'!E26,2)</f>
        <v>33600.519999999997</v>
      </c>
      <c r="F120" s="80">
        <f>ROUND('[6]2033'!F26,2)</f>
        <v>31870.99</v>
      </c>
      <c r="G120" s="80">
        <f>ROUND('[6]2033'!G26,2)</f>
        <v>30527.119999999999</v>
      </c>
      <c r="H120" s="80">
        <f>ROUND('[6]2033'!H26,2)</f>
        <v>29564.04</v>
      </c>
      <c r="I120" s="80">
        <f>ROUND('[6]2033'!I26,2)</f>
        <v>29079.919999999998</v>
      </c>
      <c r="J120" s="80">
        <f>ROUND('[6]2033'!J26,2)</f>
        <v>28862.41</v>
      </c>
      <c r="K120" s="80">
        <f>ROUND('[6]2033'!K26,2)</f>
        <v>27771.87</v>
      </c>
      <c r="L120" s="80">
        <f>ROUND('[6]2033'!L26,2)</f>
        <v>29242.67</v>
      </c>
      <c r="M120" s="80">
        <f>ROUND('[6]2033'!M26,2)</f>
        <v>31309.05</v>
      </c>
      <c r="N120" s="80">
        <f>ROUND('[6]2033'!N26,2)</f>
        <v>32804.839999999997</v>
      </c>
      <c r="O120" s="80">
        <f>ROUND('[6]2033'!O26,2)</f>
        <v>34141.81</v>
      </c>
      <c r="P120" s="80">
        <f>ROUND('[6]2033'!P26,2)</f>
        <v>35293.760000000002</v>
      </c>
      <c r="Q120" s="80">
        <f>ROUND('[6]2033'!Q26,2)</f>
        <v>36025.120000000003</v>
      </c>
      <c r="R120" s="80">
        <f>ROUND('[6]2033'!R26,2)</f>
        <v>36156.29</v>
      </c>
      <c r="S120" s="80">
        <f>ROUND('[6]2033'!S26,2)</f>
        <v>36295.08</v>
      </c>
      <c r="T120" s="80">
        <f>ROUND('[6]2033'!T26,2)</f>
        <v>36691.96</v>
      </c>
      <c r="U120" s="80">
        <f>ROUND('[6]2033'!U26,2)</f>
        <v>36554.61</v>
      </c>
      <c r="V120" s="80">
        <f>ROUND('[6]2033'!V26,2)</f>
        <v>36735.57</v>
      </c>
      <c r="W120" s="80">
        <f>ROUND('[6]2033'!W26,2)</f>
        <v>41070.29</v>
      </c>
      <c r="X120" s="80">
        <f>ROUND('[6]2033'!X26,2)</f>
        <v>42569.04</v>
      </c>
      <c r="Y120" s="80">
        <f>ROUND('[6]2033'!Y26,2)</f>
        <v>42411.27</v>
      </c>
      <c r="Z120" s="80">
        <f>ROUND('[6]2033'!Z26,2)</f>
        <v>41167.01</v>
      </c>
      <c r="AA120" s="80">
        <f>ROUND('[6]2033'!AA26,2)</f>
        <v>38466</v>
      </c>
      <c r="AB120" s="80">
        <f>ROUND('[6]2033'!AB26,2)</f>
        <v>35358.57</v>
      </c>
      <c r="AC120" s="210"/>
      <c r="AD120" s="18"/>
    </row>
    <row r="121" spans="2:30" ht="18.649999999999999" customHeight="1" x14ac:dyDescent="0.35">
      <c r="B121" s="211">
        <v>48670</v>
      </c>
      <c r="C121" s="6" t="s">
        <v>29</v>
      </c>
      <c r="D121" s="7">
        <f>+'[6]2033'!D27</f>
        <v>19</v>
      </c>
      <c r="E121" s="78">
        <f>ROUND('[6]2033'!E27,2)</f>
        <v>31880.74</v>
      </c>
      <c r="F121" s="78">
        <f>ROUND('[6]2033'!F27,2)</f>
        <v>30293</v>
      </c>
      <c r="G121" s="78">
        <f>ROUND('[6]2033'!G27,2)</f>
        <v>29131.63</v>
      </c>
      <c r="H121" s="78">
        <f>ROUND('[6]2033'!H27,2)</f>
        <v>28340.61</v>
      </c>
      <c r="I121" s="78">
        <f>ROUND('[6]2033'!I27,2)</f>
        <v>28461.79</v>
      </c>
      <c r="J121" s="78">
        <f>ROUND('[6]2033'!J27,2)</f>
        <v>29373.279999999999</v>
      </c>
      <c r="K121" s="78">
        <f>ROUND('[6]2033'!K27,2)</f>
        <v>29698.16</v>
      </c>
      <c r="L121" s="78">
        <f>ROUND('[6]2033'!L27,2)</f>
        <v>33080.61</v>
      </c>
      <c r="M121" s="78">
        <f>ROUND('[6]2033'!M27,2)</f>
        <v>36562.51</v>
      </c>
      <c r="N121" s="78">
        <f>ROUND('[6]2033'!N27,2)</f>
        <v>38171.230000000003</v>
      </c>
      <c r="O121" s="78">
        <f>ROUND('[6]2033'!O27,2)</f>
        <v>39962.720000000001</v>
      </c>
      <c r="P121" s="78">
        <f>ROUND('[6]2033'!P27,2)</f>
        <v>41478.550000000003</v>
      </c>
      <c r="Q121" s="78">
        <f>ROUND('[6]2033'!Q27,2)</f>
        <v>39853.31</v>
      </c>
      <c r="R121" s="78">
        <f>ROUND('[6]2033'!R27,2)</f>
        <v>41024.97</v>
      </c>
      <c r="S121" s="78">
        <f>ROUND('[6]2033'!S27,2)</f>
        <v>43306.8</v>
      </c>
      <c r="T121" s="78">
        <f>ROUND('[6]2033'!T27,2)</f>
        <v>43583.94</v>
      </c>
      <c r="U121" s="78">
        <f>ROUND('[6]2033'!U27,2)</f>
        <v>42923.63</v>
      </c>
      <c r="V121" s="78">
        <f>ROUND('[6]2033'!V27,2)</f>
        <v>41808.97</v>
      </c>
      <c r="W121" s="78">
        <f>ROUND('[6]2033'!W27,2)</f>
        <v>44391.75</v>
      </c>
      <c r="X121" s="78">
        <f>ROUND('[6]2033'!X27,2)</f>
        <v>44526.54</v>
      </c>
      <c r="Y121" s="78">
        <f>ROUND('[6]2033'!Y27,2)</f>
        <v>43194.2</v>
      </c>
      <c r="Z121" s="78">
        <f>ROUND('[6]2033'!Z27,2)</f>
        <v>41119.230000000003</v>
      </c>
      <c r="AA121" s="78">
        <f>ROUND('[6]2033'!AA27,2)</f>
        <v>38003</v>
      </c>
      <c r="AB121" s="78">
        <f>ROUND('[6]2033'!AB27,2)</f>
        <v>34600.46</v>
      </c>
      <c r="AC121" s="209">
        <f>SUM(E121:AB121)*D121+SUM(E122:AB122)*D122+SUM(E123:AB123)*D123+SUM(E124:AB124)*D124</f>
        <v>25978916.229999997</v>
      </c>
      <c r="AD121" s="18"/>
    </row>
    <row r="122" spans="2:30" ht="18.649999999999999" customHeight="1" x14ac:dyDescent="0.35">
      <c r="B122" s="212" t="s">
        <v>34</v>
      </c>
      <c r="C122" s="9" t="s">
        <v>30</v>
      </c>
      <c r="D122" s="10">
        <f>+'[6]2033'!D28</f>
        <v>5</v>
      </c>
      <c r="E122" s="79">
        <f>ROUND('[6]2033'!E28,2)</f>
        <v>31558.81</v>
      </c>
      <c r="F122" s="79">
        <f>ROUND('[6]2033'!F28,2)</f>
        <v>29913.59</v>
      </c>
      <c r="G122" s="79">
        <f>ROUND('[6]2033'!G28,2)</f>
        <v>28691.55</v>
      </c>
      <c r="H122" s="79">
        <f>ROUND('[6]2033'!H28,2)</f>
        <v>27857</v>
      </c>
      <c r="I122" s="79">
        <f>ROUND('[6]2033'!I28,2)</f>
        <v>27646.2</v>
      </c>
      <c r="J122" s="79">
        <f>ROUND('[6]2033'!J28,2)</f>
        <v>27637.82</v>
      </c>
      <c r="K122" s="79">
        <f>ROUND('[6]2033'!K28,2)</f>
        <v>27572.36</v>
      </c>
      <c r="L122" s="79">
        <f>ROUND('[6]2033'!L28,2)</f>
        <v>30392.36</v>
      </c>
      <c r="M122" s="79">
        <f>ROUND('[6]2033'!M28,2)</f>
        <v>33674.550000000003</v>
      </c>
      <c r="N122" s="79">
        <f>ROUND('[6]2033'!N28,2)</f>
        <v>35432.28</v>
      </c>
      <c r="O122" s="79">
        <f>ROUND('[6]2033'!O28,2)</f>
        <v>37153.519999999997</v>
      </c>
      <c r="P122" s="79">
        <f>ROUND('[6]2033'!P28,2)</f>
        <v>38223.879999999997</v>
      </c>
      <c r="Q122" s="79">
        <f>ROUND('[6]2033'!Q28,2)</f>
        <v>37725.93</v>
      </c>
      <c r="R122" s="79">
        <f>ROUND('[6]2033'!R28,2)</f>
        <v>37319.870000000003</v>
      </c>
      <c r="S122" s="79">
        <f>ROUND('[6]2033'!S28,2)</f>
        <v>37527.629999999997</v>
      </c>
      <c r="T122" s="79">
        <f>ROUND('[6]2033'!T28,2)</f>
        <v>37598.949999999997</v>
      </c>
      <c r="U122" s="79">
        <f>ROUND('[6]2033'!U28,2)</f>
        <v>37387.11</v>
      </c>
      <c r="V122" s="79">
        <f>ROUND('[6]2033'!V28,2)</f>
        <v>37615.99</v>
      </c>
      <c r="W122" s="79">
        <f>ROUND('[6]2033'!W28,2)</f>
        <v>41777.71</v>
      </c>
      <c r="X122" s="79">
        <f>ROUND('[6]2033'!X28,2)</f>
        <v>41868.06</v>
      </c>
      <c r="Y122" s="79">
        <f>ROUND('[6]2033'!Y28,2)</f>
        <v>40707.19</v>
      </c>
      <c r="Z122" s="79">
        <f>ROUND('[6]2033'!Z28,2)</f>
        <v>38998.699999999997</v>
      </c>
      <c r="AA122" s="79">
        <f>ROUND('[6]2033'!AA28,2)</f>
        <v>36839.94</v>
      </c>
      <c r="AB122" s="79">
        <f>ROUND('[6]2033'!AB28,2)</f>
        <v>34373.019999999997</v>
      </c>
      <c r="AC122" s="210"/>
      <c r="AD122" s="18"/>
    </row>
    <row r="123" spans="2:30" ht="18.649999999999999" customHeight="1" x14ac:dyDescent="0.35">
      <c r="B123" s="212" t="s">
        <v>34</v>
      </c>
      <c r="C123" s="9" t="s">
        <v>31</v>
      </c>
      <c r="D123" s="10">
        <f>+'[6]2033'!D29</f>
        <v>4</v>
      </c>
      <c r="E123" s="79">
        <f>ROUND('[6]2033'!E29,2)</f>
        <v>32175.27</v>
      </c>
      <c r="F123" s="79">
        <f>ROUND('[6]2033'!F29,2)</f>
        <v>30592.34</v>
      </c>
      <c r="G123" s="79">
        <f>ROUND('[6]2033'!G29,2)</f>
        <v>29283.38</v>
      </c>
      <c r="H123" s="79">
        <f>ROUND('[6]2033'!H29,2)</f>
        <v>28387.9</v>
      </c>
      <c r="I123" s="79">
        <f>ROUND('[6]2033'!I29,2)</f>
        <v>28010.53</v>
      </c>
      <c r="J123" s="79">
        <f>ROUND('[6]2033'!J29,2)</f>
        <v>27513.03</v>
      </c>
      <c r="K123" s="79">
        <f>ROUND('[6]2033'!K29,2)</f>
        <v>26935.95</v>
      </c>
      <c r="L123" s="79">
        <f>ROUND('[6]2033'!L29,2)</f>
        <v>28425.79</v>
      </c>
      <c r="M123" s="79">
        <f>ROUND('[6]2033'!M29,2)</f>
        <v>30005.17</v>
      </c>
      <c r="N123" s="79">
        <f>ROUND('[6]2033'!N29,2)</f>
        <v>31414.68</v>
      </c>
      <c r="O123" s="79">
        <f>ROUND('[6]2033'!O29,2)</f>
        <v>32725.62</v>
      </c>
      <c r="P123" s="79">
        <f>ROUND('[6]2033'!P29,2)</f>
        <v>33765.69</v>
      </c>
      <c r="Q123" s="79">
        <f>ROUND('[6]2033'!Q29,2)</f>
        <v>34347.29</v>
      </c>
      <c r="R123" s="79">
        <f>ROUND('[6]2033'!R29,2)</f>
        <v>34507.519999999997</v>
      </c>
      <c r="S123" s="79">
        <f>ROUND('[6]2033'!S29,2)</f>
        <v>34718.54</v>
      </c>
      <c r="T123" s="79">
        <f>ROUND('[6]2033'!T29,2)</f>
        <v>35029.480000000003</v>
      </c>
      <c r="U123" s="79">
        <f>ROUND('[6]2033'!U29,2)</f>
        <v>35155.11</v>
      </c>
      <c r="V123" s="79">
        <f>ROUND('[6]2033'!V29,2)</f>
        <v>35585.800000000003</v>
      </c>
      <c r="W123" s="79">
        <f>ROUND('[6]2033'!W29,2)</f>
        <v>39532.76</v>
      </c>
      <c r="X123" s="79">
        <f>ROUND('[6]2033'!X29,2)</f>
        <v>40727.96</v>
      </c>
      <c r="Y123" s="79">
        <f>ROUND('[6]2033'!Y29,2)</f>
        <v>40594.019999999997</v>
      </c>
      <c r="Z123" s="79">
        <f>ROUND('[6]2033'!Z29,2)</f>
        <v>39597.06</v>
      </c>
      <c r="AA123" s="79">
        <f>ROUND('[6]2033'!AA29,2)</f>
        <v>37056.379999999997</v>
      </c>
      <c r="AB123" s="79">
        <f>ROUND('[6]2033'!AB29,2)</f>
        <v>34043.589999999997</v>
      </c>
      <c r="AC123" s="210"/>
      <c r="AD123" s="18"/>
    </row>
    <row r="124" spans="2:30" ht="18.649999999999999" customHeight="1" thickBot="1" x14ac:dyDescent="0.4">
      <c r="B124" s="213" t="s">
        <v>34</v>
      </c>
      <c r="C124" s="11" t="s">
        <v>32</v>
      </c>
      <c r="D124" s="12">
        <f>+'[6]2033'!D30</f>
        <v>2</v>
      </c>
      <c r="E124" s="76">
        <f>ROUND('[6]2033'!E30,2)</f>
        <v>32175.27</v>
      </c>
      <c r="F124" s="76">
        <f>ROUND('[6]2033'!F30,2)</f>
        <v>30592.34</v>
      </c>
      <c r="G124" s="76">
        <f>ROUND('[6]2033'!G30,2)</f>
        <v>29283.38</v>
      </c>
      <c r="H124" s="76">
        <f>ROUND('[6]2033'!H30,2)</f>
        <v>28387.9</v>
      </c>
      <c r="I124" s="76">
        <f>ROUND('[6]2033'!I30,2)</f>
        <v>28010.53</v>
      </c>
      <c r="J124" s="76">
        <f>ROUND('[6]2033'!J30,2)</f>
        <v>27513.03</v>
      </c>
      <c r="K124" s="76">
        <f>ROUND('[6]2033'!K30,2)</f>
        <v>26935.95</v>
      </c>
      <c r="L124" s="76">
        <f>ROUND('[6]2033'!L30,2)</f>
        <v>28425.79</v>
      </c>
      <c r="M124" s="76">
        <f>ROUND('[6]2033'!M30,2)</f>
        <v>30005.17</v>
      </c>
      <c r="N124" s="76">
        <f>ROUND('[6]2033'!N30,2)</f>
        <v>31414.68</v>
      </c>
      <c r="O124" s="76">
        <f>ROUND('[6]2033'!O30,2)</f>
        <v>32725.62</v>
      </c>
      <c r="P124" s="76">
        <f>ROUND('[6]2033'!P30,2)</f>
        <v>33765.69</v>
      </c>
      <c r="Q124" s="76">
        <f>ROUND('[6]2033'!Q30,2)</f>
        <v>34347.29</v>
      </c>
      <c r="R124" s="76">
        <f>ROUND('[6]2033'!R30,2)</f>
        <v>34507.519999999997</v>
      </c>
      <c r="S124" s="76">
        <f>ROUND('[6]2033'!S30,2)</f>
        <v>34718.54</v>
      </c>
      <c r="T124" s="76">
        <f>ROUND('[6]2033'!T30,2)</f>
        <v>35029.480000000003</v>
      </c>
      <c r="U124" s="76">
        <f>ROUND('[6]2033'!U30,2)</f>
        <v>35155.11</v>
      </c>
      <c r="V124" s="76">
        <f>ROUND('[6]2033'!V30,2)</f>
        <v>35585.800000000003</v>
      </c>
      <c r="W124" s="76">
        <f>ROUND('[6]2033'!W30,2)</f>
        <v>39532.76</v>
      </c>
      <c r="X124" s="76">
        <f>ROUND('[6]2033'!X30,2)</f>
        <v>40727.96</v>
      </c>
      <c r="Y124" s="76">
        <f>ROUND('[6]2033'!Y30,2)</f>
        <v>40594.019999999997</v>
      </c>
      <c r="Z124" s="76">
        <f>ROUND('[6]2033'!Z30,2)</f>
        <v>39597.06</v>
      </c>
      <c r="AA124" s="76">
        <f>ROUND('[6]2033'!AA30,2)</f>
        <v>37056.379999999997</v>
      </c>
      <c r="AB124" s="76">
        <f>ROUND('[6]2033'!AB30,2)</f>
        <v>34043.589999999997</v>
      </c>
      <c r="AC124" s="214"/>
      <c r="AD124" s="18"/>
    </row>
    <row r="125" spans="2:30" ht="18.649999999999999" customHeight="1" x14ac:dyDescent="0.35">
      <c r="B125" s="207">
        <v>48700</v>
      </c>
      <c r="C125" s="13" t="s">
        <v>29</v>
      </c>
      <c r="D125" s="14">
        <f>+'[6]2033'!D31</f>
        <v>21</v>
      </c>
      <c r="E125" s="81">
        <f>ROUND('[6]2033'!E31,2)</f>
        <v>31219.84</v>
      </c>
      <c r="F125" s="81">
        <f>ROUND('[6]2033'!F31,2)</f>
        <v>29737.5</v>
      </c>
      <c r="G125" s="81">
        <f>ROUND('[6]2033'!G31,2)</f>
        <v>28615.54</v>
      </c>
      <c r="H125" s="81">
        <f>ROUND('[6]2033'!H31,2)</f>
        <v>27847.63</v>
      </c>
      <c r="I125" s="81">
        <f>ROUND('[6]2033'!I31,2)</f>
        <v>27984.1</v>
      </c>
      <c r="J125" s="81">
        <f>ROUND('[6]2033'!J31,2)</f>
        <v>28759.16</v>
      </c>
      <c r="K125" s="81">
        <f>ROUND('[6]2033'!K31,2)</f>
        <v>29411.5</v>
      </c>
      <c r="L125" s="81">
        <f>ROUND('[6]2033'!L31,2)</f>
        <v>32848.589999999997</v>
      </c>
      <c r="M125" s="81">
        <f>ROUND('[6]2033'!M31,2)</f>
        <v>36382.620000000003</v>
      </c>
      <c r="N125" s="81">
        <f>ROUND('[6]2033'!N31,2)</f>
        <v>38037.57</v>
      </c>
      <c r="O125" s="81">
        <f>ROUND('[6]2033'!O31,2)</f>
        <v>40011.019999999997</v>
      </c>
      <c r="P125" s="81">
        <f>ROUND('[6]2033'!P31,2)</f>
        <v>41299.93</v>
      </c>
      <c r="Q125" s="81">
        <f>ROUND('[6]2033'!Q31,2)</f>
        <v>39622.160000000003</v>
      </c>
      <c r="R125" s="81">
        <f>ROUND('[6]2033'!R31,2)</f>
        <v>40708.04</v>
      </c>
      <c r="S125" s="81">
        <f>ROUND('[6]2033'!S31,2)</f>
        <v>42819.51</v>
      </c>
      <c r="T125" s="81">
        <f>ROUND('[6]2033'!T31,2)</f>
        <v>43030.87</v>
      </c>
      <c r="U125" s="81">
        <f>ROUND('[6]2033'!U31,2)</f>
        <v>42415.15</v>
      </c>
      <c r="V125" s="81">
        <f>ROUND('[6]2033'!V31,2)</f>
        <v>41029.22</v>
      </c>
      <c r="W125" s="81">
        <f>ROUND('[6]2033'!W31,2)</f>
        <v>43581.63</v>
      </c>
      <c r="X125" s="81">
        <f>ROUND('[6]2033'!X31,2)</f>
        <v>43754.36</v>
      </c>
      <c r="Y125" s="81">
        <f>ROUND('[6]2033'!Y31,2)</f>
        <v>42404.86</v>
      </c>
      <c r="Z125" s="81">
        <f>ROUND('[6]2033'!Z31,2)</f>
        <v>40163.49</v>
      </c>
      <c r="AA125" s="81">
        <f>ROUND('[6]2033'!AA31,2)</f>
        <v>37006.300000000003</v>
      </c>
      <c r="AB125" s="81">
        <f>ROUND('[6]2033'!AB31,2)</f>
        <v>33781.019999999997</v>
      </c>
      <c r="AC125" s="210">
        <f>SUM(E125:AB125)*D125+SUM(E126:AB126)*D126+SUM(E127:AB127)*D127+SUM(E128:AB128)*D128</f>
        <v>26760664.470000003</v>
      </c>
      <c r="AD125" s="18"/>
    </row>
    <row r="126" spans="2:30" ht="18.649999999999999" customHeight="1" x14ac:dyDescent="0.35">
      <c r="B126" s="208"/>
      <c r="C126" s="9" t="s">
        <v>30</v>
      </c>
      <c r="D126" s="10">
        <f>+'[6]2033'!D32</f>
        <v>4</v>
      </c>
      <c r="E126" s="79">
        <f>ROUND('[6]2033'!E32,2)</f>
        <v>31761.68</v>
      </c>
      <c r="F126" s="79">
        <f>ROUND('[6]2033'!F32,2)</f>
        <v>29913.88</v>
      </c>
      <c r="G126" s="79">
        <f>ROUND('[6]2033'!G32,2)</f>
        <v>28663.99</v>
      </c>
      <c r="H126" s="79">
        <f>ROUND('[6]2033'!H32,2)</f>
        <v>27858.92</v>
      </c>
      <c r="I126" s="79">
        <f>ROUND('[6]2033'!I32,2)</f>
        <v>27711.85</v>
      </c>
      <c r="J126" s="79">
        <f>ROUND('[6]2033'!J32,2)</f>
        <v>27410.6</v>
      </c>
      <c r="K126" s="79">
        <f>ROUND('[6]2033'!K32,2)</f>
        <v>27674.639999999999</v>
      </c>
      <c r="L126" s="79">
        <f>ROUND('[6]2033'!L32,2)</f>
        <v>30843.06</v>
      </c>
      <c r="M126" s="79">
        <f>ROUND('[6]2033'!M32,2)</f>
        <v>34377.35</v>
      </c>
      <c r="N126" s="79">
        <f>ROUND('[6]2033'!N32,2)</f>
        <v>36360.6</v>
      </c>
      <c r="O126" s="79">
        <f>ROUND('[6]2033'!O32,2)</f>
        <v>37873.53</v>
      </c>
      <c r="P126" s="79">
        <f>ROUND('[6]2033'!P32,2)</f>
        <v>38888.07</v>
      </c>
      <c r="Q126" s="79">
        <f>ROUND('[6]2033'!Q32,2)</f>
        <v>38093.300000000003</v>
      </c>
      <c r="R126" s="79">
        <f>ROUND('[6]2033'!R32,2)</f>
        <v>37566.43</v>
      </c>
      <c r="S126" s="79">
        <f>ROUND('[6]2033'!S32,2)</f>
        <v>37841.69</v>
      </c>
      <c r="T126" s="79">
        <f>ROUND('[6]2033'!T32,2)</f>
        <v>37910.68</v>
      </c>
      <c r="U126" s="79">
        <f>ROUND('[6]2033'!U32,2)</f>
        <v>37695.56</v>
      </c>
      <c r="V126" s="79">
        <f>ROUND('[6]2033'!V32,2)</f>
        <v>37969.440000000002</v>
      </c>
      <c r="W126" s="79">
        <f>ROUND('[6]2033'!W32,2)</f>
        <v>42012.67</v>
      </c>
      <c r="X126" s="79">
        <f>ROUND('[6]2033'!X32,2)</f>
        <v>42489.49</v>
      </c>
      <c r="Y126" s="79">
        <f>ROUND('[6]2033'!Y32,2)</f>
        <v>41232.21</v>
      </c>
      <c r="Z126" s="79">
        <f>ROUND('[6]2033'!Z32,2)</f>
        <v>39374.230000000003</v>
      </c>
      <c r="AA126" s="79">
        <f>ROUND('[6]2033'!AA32,2)</f>
        <v>37221.17</v>
      </c>
      <c r="AB126" s="79">
        <f>ROUND('[6]2033'!AB32,2)</f>
        <v>34724.01</v>
      </c>
      <c r="AC126" s="210"/>
      <c r="AD126" s="18"/>
    </row>
    <row r="127" spans="2:30" ht="18.649999999999999" customHeight="1" x14ac:dyDescent="0.35">
      <c r="B127" s="208"/>
      <c r="C127" s="9" t="s">
        <v>31</v>
      </c>
      <c r="D127" s="10">
        <f>+'[6]2033'!D33</f>
        <v>4</v>
      </c>
      <c r="E127" s="79">
        <f>ROUND('[6]2033'!E33,2)</f>
        <v>32136.6</v>
      </c>
      <c r="F127" s="79">
        <f>ROUND('[6]2033'!F33,2)</f>
        <v>30618.14</v>
      </c>
      <c r="G127" s="79">
        <f>ROUND('[6]2033'!G33,2)</f>
        <v>29408.38</v>
      </c>
      <c r="H127" s="79">
        <f>ROUND('[6]2033'!H33,2)</f>
        <v>28540.71</v>
      </c>
      <c r="I127" s="79">
        <f>ROUND('[6]2033'!I33,2)</f>
        <v>28170.959999999999</v>
      </c>
      <c r="J127" s="79">
        <f>ROUND('[6]2033'!J33,2)</f>
        <v>27321.4</v>
      </c>
      <c r="K127" s="79">
        <f>ROUND('[6]2033'!K33,2)</f>
        <v>26909.13</v>
      </c>
      <c r="L127" s="79">
        <f>ROUND('[6]2033'!L33,2)</f>
        <v>28514.98</v>
      </c>
      <c r="M127" s="79">
        <f>ROUND('[6]2033'!M33,2)</f>
        <v>30698.82</v>
      </c>
      <c r="N127" s="79">
        <f>ROUND('[6]2033'!N33,2)</f>
        <v>32425.54</v>
      </c>
      <c r="O127" s="79">
        <f>ROUND('[6]2033'!O33,2)</f>
        <v>33608.449999999997</v>
      </c>
      <c r="P127" s="79">
        <f>ROUND('[6]2033'!P33,2)</f>
        <v>34489.82</v>
      </c>
      <c r="Q127" s="79">
        <f>ROUND('[6]2033'!Q33,2)</f>
        <v>34992.22</v>
      </c>
      <c r="R127" s="79">
        <f>ROUND('[6]2033'!R33,2)</f>
        <v>35098.76</v>
      </c>
      <c r="S127" s="79">
        <f>ROUND('[6]2033'!S33,2)</f>
        <v>35245.129999999997</v>
      </c>
      <c r="T127" s="79">
        <f>ROUND('[6]2033'!T33,2)</f>
        <v>35633.71</v>
      </c>
      <c r="U127" s="79">
        <f>ROUND('[6]2033'!U33,2)</f>
        <v>35531.93</v>
      </c>
      <c r="V127" s="79">
        <f>ROUND('[6]2033'!V33,2)</f>
        <v>36100.15</v>
      </c>
      <c r="W127" s="79">
        <f>ROUND('[6]2033'!W33,2)</f>
        <v>40290.160000000003</v>
      </c>
      <c r="X127" s="79">
        <f>ROUND('[6]2033'!X33,2)</f>
        <v>41397.040000000001</v>
      </c>
      <c r="Y127" s="79">
        <f>ROUND('[6]2033'!Y33,2)</f>
        <v>41171.9</v>
      </c>
      <c r="Z127" s="79">
        <f>ROUND('[6]2033'!Z33,2)</f>
        <v>39850.31</v>
      </c>
      <c r="AA127" s="79">
        <f>ROUND('[6]2033'!AA33,2)</f>
        <v>37182.92</v>
      </c>
      <c r="AB127" s="79">
        <f>ROUND('[6]2033'!AB33,2)</f>
        <v>33810.25</v>
      </c>
      <c r="AC127" s="210"/>
      <c r="AD127" s="18"/>
    </row>
    <row r="128" spans="2:30" ht="18.649999999999999" customHeight="1" thickBot="1" x14ac:dyDescent="0.4">
      <c r="B128" s="208"/>
      <c r="C128" s="15" t="s">
        <v>32</v>
      </c>
      <c r="D128" s="16">
        <f>+'[6]2033'!D34</f>
        <v>2</v>
      </c>
      <c r="E128" s="80">
        <f>ROUND('[6]2033'!E34,2)</f>
        <v>32136.6</v>
      </c>
      <c r="F128" s="80">
        <f>ROUND('[6]2033'!F34,2)</f>
        <v>30618.14</v>
      </c>
      <c r="G128" s="80">
        <f>ROUND('[6]2033'!G34,2)</f>
        <v>29408.38</v>
      </c>
      <c r="H128" s="80">
        <f>ROUND('[6]2033'!H34,2)</f>
        <v>28540.71</v>
      </c>
      <c r="I128" s="80">
        <f>ROUND('[6]2033'!I34,2)</f>
        <v>28170.959999999999</v>
      </c>
      <c r="J128" s="80">
        <f>ROUND('[6]2033'!J34,2)</f>
        <v>27321.4</v>
      </c>
      <c r="K128" s="80">
        <f>ROUND('[6]2033'!K34,2)</f>
        <v>26909.13</v>
      </c>
      <c r="L128" s="80">
        <f>ROUND('[6]2033'!L34,2)</f>
        <v>28514.98</v>
      </c>
      <c r="M128" s="80">
        <f>ROUND('[6]2033'!M34,2)</f>
        <v>30698.82</v>
      </c>
      <c r="N128" s="80">
        <f>ROUND('[6]2033'!N34,2)</f>
        <v>32425.54</v>
      </c>
      <c r="O128" s="80">
        <f>ROUND('[6]2033'!O34,2)</f>
        <v>33608.449999999997</v>
      </c>
      <c r="P128" s="80">
        <f>ROUND('[6]2033'!P34,2)</f>
        <v>34489.82</v>
      </c>
      <c r="Q128" s="80">
        <f>ROUND('[6]2033'!Q34,2)</f>
        <v>34992.22</v>
      </c>
      <c r="R128" s="80">
        <f>ROUND('[6]2033'!R34,2)</f>
        <v>35098.76</v>
      </c>
      <c r="S128" s="80">
        <f>ROUND('[6]2033'!S34,2)</f>
        <v>35245.129999999997</v>
      </c>
      <c r="T128" s="80">
        <f>ROUND('[6]2033'!T34,2)</f>
        <v>35633.71</v>
      </c>
      <c r="U128" s="80">
        <f>ROUND('[6]2033'!U34,2)</f>
        <v>35531.93</v>
      </c>
      <c r="V128" s="80">
        <f>ROUND('[6]2033'!V34,2)</f>
        <v>36100.15</v>
      </c>
      <c r="W128" s="80">
        <f>ROUND('[6]2033'!W34,2)</f>
        <v>40290.160000000003</v>
      </c>
      <c r="X128" s="80">
        <f>ROUND('[6]2033'!X34,2)</f>
        <v>41397.040000000001</v>
      </c>
      <c r="Y128" s="80">
        <f>ROUND('[6]2033'!Y34,2)</f>
        <v>41171.9</v>
      </c>
      <c r="Z128" s="80">
        <f>ROUND('[6]2033'!Z34,2)</f>
        <v>39850.31</v>
      </c>
      <c r="AA128" s="80">
        <f>ROUND('[6]2033'!AA34,2)</f>
        <v>37182.92</v>
      </c>
      <c r="AB128" s="80">
        <f>ROUND('[6]2033'!AB34,2)</f>
        <v>33810.25</v>
      </c>
      <c r="AC128" s="210"/>
      <c r="AD128" s="18"/>
    </row>
    <row r="129" spans="2:30" ht="18.649999999999999" customHeight="1" x14ac:dyDescent="0.35">
      <c r="B129" s="211">
        <v>48731</v>
      </c>
      <c r="C129" s="6" t="s">
        <v>29</v>
      </c>
      <c r="D129" s="7">
        <f>+'[6]2033'!D35</f>
        <v>20</v>
      </c>
      <c r="E129" s="78">
        <f>ROUND('[6]2033'!E35,2)</f>
        <v>31243.56</v>
      </c>
      <c r="F129" s="78">
        <f>ROUND('[6]2033'!F35,2)</f>
        <v>29674.53</v>
      </c>
      <c r="G129" s="78">
        <f>ROUND('[6]2033'!G35,2)</f>
        <v>28584.2</v>
      </c>
      <c r="H129" s="78">
        <f>ROUND('[6]2033'!H35,2)</f>
        <v>27731.07</v>
      </c>
      <c r="I129" s="78">
        <f>ROUND('[6]2033'!I35,2)</f>
        <v>27816.49</v>
      </c>
      <c r="J129" s="78">
        <f>ROUND('[6]2033'!J35,2)</f>
        <v>28199.48</v>
      </c>
      <c r="K129" s="78">
        <f>ROUND('[6]2033'!K35,2)</f>
        <v>28808.38</v>
      </c>
      <c r="L129" s="78">
        <f>ROUND('[6]2033'!L35,2)</f>
        <v>32436.11</v>
      </c>
      <c r="M129" s="78">
        <f>ROUND('[6]2033'!M35,2)</f>
        <v>35967.550000000003</v>
      </c>
      <c r="N129" s="78">
        <f>ROUND('[6]2033'!N35,2)</f>
        <v>37715.72</v>
      </c>
      <c r="O129" s="78">
        <f>ROUND('[6]2033'!O35,2)</f>
        <v>39738.11</v>
      </c>
      <c r="P129" s="78">
        <f>ROUND('[6]2033'!P35,2)</f>
        <v>41067.42</v>
      </c>
      <c r="Q129" s="78">
        <f>ROUND('[6]2033'!Q35,2)</f>
        <v>39607.339999999997</v>
      </c>
      <c r="R129" s="78">
        <f>ROUND('[6]2033'!R35,2)</f>
        <v>40476.1</v>
      </c>
      <c r="S129" s="78">
        <f>ROUND('[6]2033'!S35,2)</f>
        <v>42466.29</v>
      </c>
      <c r="T129" s="78">
        <f>ROUND('[6]2033'!T35,2)</f>
        <v>42702.33</v>
      </c>
      <c r="U129" s="78">
        <f>ROUND('[6]2033'!U35,2)</f>
        <v>42277.75</v>
      </c>
      <c r="V129" s="78">
        <f>ROUND('[6]2033'!V35,2)</f>
        <v>40957.040000000001</v>
      </c>
      <c r="W129" s="78">
        <f>ROUND('[6]2033'!W35,2)</f>
        <v>43347.59</v>
      </c>
      <c r="X129" s="78">
        <f>ROUND('[6]2033'!X35,2)</f>
        <v>43896.83</v>
      </c>
      <c r="Y129" s="78">
        <f>ROUND('[6]2033'!Y35,2)</f>
        <v>42462.61</v>
      </c>
      <c r="Z129" s="78">
        <f>ROUND('[6]2033'!Z35,2)</f>
        <v>40286.120000000003</v>
      </c>
      <c r="AA129" s="78">
        <f>ROUND('[6]2033'!AA35,2)</f>
        <v>37047.53</v>
      </c>
      <c r="AB129" s="78">
        <f>ROUND('[6]2033'!AB35,2)</f>
        <v>33781.61</v>
      </c>
      <c r="AC129" s="209">
        <f>SUM(E129:AB129)*D129+SUM(E130:AB130)*D130+SUM(E131:AB131)*D131+SUM(E132:AB132)*D132</f>
        <v>25637764.119999997</v>
      </c>
      <c r="AD129" s="18"/>
    </row>
    <row r="130" spans="2:30" ht="18.649999999999999" customHeight="1" x14ac:dyDescent="0.35">
      <c r="B130" s="212" t="s">
        <v>34</v>
      </c>
      <c r="C130" s="9" t="s">
        <v>30</v>
      </c>
      <c r="D130" s="10">
        <f>+'[6]2033'!D36</f>
        <v>4</v>
      </c>
      <c r="E130" s="79">
        <f>ROUND('[6]2033'!E36,2)</f>
        <v>31320.37</v>
      </c>
      <c r="F130" s="79">
        <f>ROUND('[6]2033'!F36,2)</f>
        <v>29781.87</v>
      </c>
      <c r="G130" s="79">
        <f>ROUND('[6]2033'!G36,2)</f>
        <v>28638.58</v>
      </c>
      <c r="H130" s="79">
        <f>ROUND('[6]2033'!H36,2)</f>
        <v>27853.91</v>
      </c>
      <c r="I130" s="79">
        <f>ROUND('[6]2033'!I36,2)</f>
        <v>27716.28</v>
      </c>
      <c r="J130" s="79">
        <f>ROUND('[6]2033'!J36,2)</f>
        <v>27365.69</v>
      </c>
      <c r="K130" s="79">
        <f>ROUND('[6]2033'!K36,2)</f>
        <v>27634.01</v>
      </c>
      <c r="L130" s="79">
        <f>ROUND('[6]2033'!L36,2)</f>
        <v>30822.05</v>
      </c>
      <c r="M130" s="79">
        <f>ROUND('[6]2033'!M36,2)</f>
        <v>34320.57</v>
      </c>
      <c r="N130" s="79">
        <f>ROUND('[6]2033'!N36,2)</f>
        <v>36318.410000000003</v>
      </c>
      <c r="O130" s="79">
        <f>ROUND('[6]2033'!O36,2)</f>
        <v>38030.379999999997</v>
      </c>
      <c r="P130" s="79">
        <f>ROUND('[6]2033'!P36,2)</f>
        <v>39067.24</v>
      </c>
      <c r="Q130" s="79">
        <f>ROUND('[6]2033'!Q36,2)</f>
        <v>38353.660000000003</v>
      </c>
      <c r="R130" s="79">
        <f>ROUND('[6]2033'!R36,2)</f>
        <v>37582.57</v>
      </c>
      <c r="S130" s="79">
        <f>ROUND('[6]2033'!S36,2)</f>
        <v>37699.49</v>
      </c>
      <c r="T130" s="79">
        <f>ROUND('[6]2033'!T36,2)</f>
        <v>37723.64</v>
      </c>
      <c r="U130" s="79">
        <f>ROUND('[6]2033'!U36,2)</f>
        <v>37285.15</v>
      </c>
      <c r="V130" s="79">
        <f>ROUND('[6]2033'!V36,2)</f>
        <v>37435.519999999997</v>
      </c>
      <c r="W130" s="79">
        <f>ROUND('[6]2033'!W36,2)</f>
        <v>40670.75</v>
      </c>
      <c r="X130" s="79">
        <f>ROUND('[6]2033'!X36,2)</f>
        <v>41523.919999999998</v>
      </c>
      <c r="Y130" s="79">
        <f>ROUND('[6]2033'!Y36,2)</f>
        <v>40331.67</v>
      </c>
      <c r="Z130" s="79">
        <f>ROUND('[6]2033'!Z36,2)</f>
        <v>38319.32</v>
      </c>
      <c r="AA130" s="79">
        <f>ROUND('[6]2033'!AA36,2)</f>
        <v>35981.24</v>
      </c>
      <c r="AB130" s="79">
        <f>ROUND('[6]2033'!AB36,2)</f>
        <v>33564.93</v>
      </c>
      <c r="AC130" s="210"/>
      <c r="AD130" s="18"/>
    </row>
    <row r="131" spans="2:30" ht="18.649999999999999" customHeight="1" x14ac:dyDescent="0.35">
      <c r="B131" s="212" t="s">
        <v>34</v>
      </c>
      <c r="C131" s="9" t="s">
        <v>31</v>
      </c>
      <c r="D131" s="10">
        <f>+'[6]2033'!D37</f>
        <v>4</v>
      </c>
      <c r="E131" s="79">
        <f>ROUND('[6]2033'!E37,2)</f>
        <v>31793.52</v>
      </c>
      <c r="F131" s="79">
        <f>ROUND('[6]2033'!F37,2)</f>
        <v>30183.200000000001</v>
      </c>
      <c r="G131" s="79">
        <f>ROUND('[6]2033'!G37,2)</f>
        <v>28932.400000000001</v>
      </c>
      <c r="H131" s="79">
        <f>ROUND('[6]2033'!H37,2)</f>
        <v>28110.28</v>
      </c>
      <c r="I131" s="79">
        <f>ROUND('[6]2033'!I37,2)</f>
        <v>27789.63</v>
      </c>
      <c r="J131" s="79">
        <f>ROUND('[6]2033'!J37,2)</f>
        <v>26916.59</v>
      </c>
      <c r="K131" s="79">
        <f>ROUND('[6]2033'!K37,2)</f>
        <v>26325.07</v>
      </c>
      <c r="L131" s="79">
        <f>ROUND('[6]2033'!L37,2)</f>
        <v>27768.38</v>
      </c>
      <c r="M131" s="79">
        <f>ROUND('[6]2033'!M37,2)</f>
        <v>29671.18</v>
      </c>
      <c r="N131" s="79">
        <f>ROUND('[6]2033'!N37,2)</f>
        <v>31262.400000000001</v>
      </c>
      <c r="O131" s="79">
        <f>ROUND('[6]2033'!O37,2)</f>
        <v>32388.5</v>
      </c>
      <c r="P131" s="79">
        <f>ROUND('[6]2033'!P37,2)</f>
        <v>33283.919999999998</v>
      </c>
      <c r="Q131" s="79">
        <f>ROUND('[6]2033'!Q37,2)</f>
        <v>33984.15</v>
      </c>
      <c r="R131" s="79">
        <f>ROUND('[6]2033'!R37,2)</f>
        <v>33921.019999999997</v>
      </c>
      <c r="S131" s="79">
        <f>ROUND('[6]2033'!S37,2)</f>
        <v>34038.019999999997</v>
      </c>
      <c r="T131" s="79">
        <f>ROUND('[6]2033'!T37,2)</f>
        <v>34314.46</v>
      </c>
      <c r="U131" s="79">
        <f>ROUND('[6]2033'!U37,2)</f>
        <v>34369.49</v>
      </c>
      <c r="V131" s="79">
        <f>ROUND('[6]2033'!V37,2)</f>
        <v>34760.14</v>
      </c>
      <c r="W131" s="79">
        <f>ROUND('[6]2033'!W37,2)</f>
        <v>38756.239999999998</v>
      </c>
      <c r="X131" s="79">
        <f>ROUND('[6]2033'!X37,2)</f>
        <v>40626.639999999999</v>
      </c>
      <c r="Y131" s="79">
        <f>ROUND('[6]2033'!Y37,2)</f>
        <v>40113.15</v>
      </c>
      <c r="Z131" s="79">
        <f>ROUND('[6]2033'!Z37,2)</f>
        <v>38828.800000000003</v>
      </c>
      <c r="AA131" s="79">
        <f>ROUND('[6]2033'!AA37,2)</f>
        <v>36478.120000000003</v>
      </c>
      <c r="AB131" s="79">
        <f>ROUND('[6]2033'!AB37,2)</f>
        <v>33812.04</v>
      </c>
      <c r="AC131" s="210"/>
      <c r="AD131" s="18"/>
    </row>
    <row r="132" spans="2:30" ht="18.649999999999999" customHeight="1" thickBot="1" x14ac:dyDescent="0.4">
      <c r="B132" s="213" t="s">
        <v>34</v>
      </c>
      <c r="C132" s="11" t="s">
        <v>32</v>
      </c>
      <c r="D132" s="12">
        <f>+'[6]2033'!D38</f>
        <v>2</v>
      </c>
      <c r="E132" s="76">
        <f>ROUND('[6]2033'!E38,2)</f>
        <v>31793.52</v>
      </c>
      <c r="F132" s="76">
        <f>ROUND('[6]2033'!F38,2)</f>
        <v>30183.200000000001</v>
      </c>
      <c r="G132" s="76">
        <f>ROUND('[6]2033'!G38,2)</f>
        <v>28932.400000000001</v>
      </c>
      <c r="H132" s="76">
        <f>ROUND('[6]2033'!H38,2)</f>
        <v>28110.28</v>
      </c>
      <c r="I132" s="76">
        <f>ROUND('[6]2033'!I38,2)</f>
        <v>27789.63</v>
      </c>
      <c r="J132" s="76">
        <f>ROUND('[6]2033'!J38,2)</f>
        <v>26916.59</v>
      </c>
      <c r="K132" s="76">
        <f>ROUND('[6]2033'!K38,2)</f>
        <v>26325.07</v>
      </c>
      <c r="L132" s="76">
        <f>ROUND('[6]2033'!L38,2)</f>
        <v>27768.38</v>
      </c>
      <c r="M132" s="76">
        <f>ROUND('[6]2033'!M38,2)</f>
        <v>29671.18</v>
      </c>
      <c r="N132" s="76">
        <f>ROUND('[6]2033'!N38,2)</f>
        <v>31262.400000000001</v>
      </c>
      <c r="O132" s="76">
        <f>ROUND('[6]2033'!O38,2)</f>
        <v>32388.5</v>
      </c>
      <c r="P132" s="76">
        <f>ROUND('[6]2033'!P38,2)</f>
        <v>33283.919999999998</v>
      </c>
      <c r="Q132" s="76">
        <f>ROUND('[6]2033'!Q38,2)</f>
        <v>33984.15</v>
      </c>
      <c r="R132" s="76">
        <f>ROUND('[6]2033'!R38,2)</f>
        <v>33921.019999999997</v>
      </c>
      <c r="S132" s="76">
        <f>ROUND('[6]2033'!S38,2)</f>
        <v>34038.019999999997</v>
      </c>
      <c r="T132" s="76">
        <f>ROUND('[6]2033'!T38,2)</f>
        <v>34314.46</v>
      </c>
      <c r="U132" s="76">
        <f>ROUND('[6]2033'!U38,2)</f>
        <v>34369.49</v>
      </c>
      <c r="V132" s="76">
        <f>ROUND('[6]2033'!V38,2)</f>
        <v>34760.14</v>
      </c>
      <c r="W132" s="76">
        <f>ROUND('[6]2033'!W38,2)</f>
        <v>38756.239999999998</v>
      </c>
      <c r="X132" s="76">
        <f>ROUND('[6]2033'!X38,2)</f>
        <v>40626.639999999999</v>
      </c>
      <c r="Y132" s="76">
        <f>ROUND('[6]2033'!Y38,2)</f>
        <v>40113.15</v>
      </c>
      <c r="Z132" s="76">
        <f>ROUND('[6]2033'!Z38,2)</f>
        <v>38828.800000000003</v>
      </c>
      <c r="AA132" s="76">
        <f>ROUND('[6]2033'!AA38,2)</f>
        <v>36478.120000000003</v>
      </c>
      <c r="AB132" s="76">
        <f>ROUND('[6]2033'!AB38,2)</f>
        <v>33812.04</v>
      </c>
      <c r="AC132" s="214"/>
      <c r="AD132" s="18"/>
    </row>
    <row r="133" spans="2:30" ht="18.649999999999999" customHeight="1" x14ac:dyDescent="0.35">
      <c r="B133" s="207">
        <v>48761</v>
      </c>
      <c r="C133" s="13" t="s">
        <v>29</v>
      </c>
      <c r="D133" s="14">
        <f>+'[6]2033'!D39</f>
        <v>19</v>
      </c>
      <c r="E133" s="81">
        <f>ROUND('[6]2033'!E39,2)</f>
        <v>31432.7</v>
      </c>
      <c r="F133" s="81">
        <f>ROUND('[6]2033'!F39,2)</f>
        <v>29825.86</v>
      </c>
      <c r="G133" s="81">
        <f>ROUND('[6]2033'!G39,2)</f>
        <v>28626.59</v>
      </c>
      <c r="H133" s="81">
        <f>ROUND('[6]2033'!H39,2)</f>
        <v>27825.75</v>
      </c>
      <c r="I133" s="81">
        <f>ROUND('[6]2033'!I39,2)</f>
        <v>27796.22</v>
      </c>
      <c r="J133" s="81">
        <f>ROUND('[6]2033'!J39,2)</f>
        <v>28511.07</v>
      </c>
      <c r="K133" s="81">
        <f>ROUND('[6]2033'!K39,2)</f>
        <v>28881.62</v>
      </c>
      <c r="L133" s="81">
        <f>ROUND('[6]2033'!L39,2)</f>
        <v>32439.05</v>
      </c>
      <c r="M133" s="81">
        <f>ROUND('[6]2033'!M39,2)</f>
        <v>35927.01</v>
      </c>
      <c r="N133" s="81">
        <f>ROUND('[6]2033'!N39,2)</f>
        <v>37721.03</v>
      </c>
      <c r="O133" s="81">
        <f>ROUND('[6]2033'!O39,2)</f>
        <v>39806.04</v>
      </c>
      <c r="P133" s="81">
        <f>ROUND('[6]2033'!P39,2)</f>
        <v>41369.81</v>
      </c>
      <c r="Q133" s="81">
        <f>ROUND('[6]2033'!Q39,2)</f>
        <v>39895.03</v>
      </c>
      <c r="R133" s="81">
        <f>ROUND('[6]2033'!R39,2)</f>
        <v>41237.32</v>
      </c>
      <c r="S133" s="81">
        <f>ROUND('[6]2033'!S39,2)</f>
        <v>43585.279999999999</v>
      </c>
      <c r="T133" s="81">
        <f>ROUND('[6]2033'!T39,2)</f>
        <v>43843.41</v>
      </c>
      <c r="U133" s="81">
        <f>ROUND('[6]2033'!U39,2)</f>
        <v>43248.39</v>
      </c>
      <c r="V133" s="81">
        <f>ROUND('[6]2033'!V39,2)</f>
        <v>41410.61</v>
      </c>
      <c r="W133" s="81">
        <f>ROUND('[6]2033'!W39,2)</f>
        <v>43247.08</v>
      </c>
      <c r="X133" s="81">
        <f>ROUND('[6]2033'!X39,2)</f>
        <v>44255.12</v>
      </c>
      <c r="Y133" s="81">
        <f>ROUND('[6]2033'!Y39,2)</f>
        <v>43056.1</v>
      </c>
      <c r="Z133" s="81">
        <f>ROUND('[6]2033'!Z39,2)</f>
        <v>40915.53</v>
      </c>
      <c r="AA133" s="81">
        <f>ROUND('[6]2033'!AA39,2)</f>
        <v>37569.39</v>
      </c>
      <c r="AB133" s="81">
        <f>ROUND('[6]2033'!AB39,2)</f>
        <v>34331.46</v>
      </c>
      <c r="AC133" s="210">
        <f>SUM(E133:AB133)*D133+SUM(E134:AB134)*D134+SUM(E135:AB135)*D135+SUM(E136:AB136)*D136</f>
        <v>26398206.16</v>
      </c>
      <c r="AD133" s="18"/>
    </row>
    <row r="134" spans="2:30" ht="18.649999999999999" customHeight="1" x14ac:dyDescent="0.35">
      <c r="B134" s="208"/>
      <c r="C134" s="9" t="s">
        <v>30</v>
      </c>
      <c r="D134" s="10">
        <f>+'[6]2033'!D40</f>
        <v>5</v>
      </c>
      <c r="E134" s="79">
        <f>ROUND('[6]2033'!E40,2)</f>
        <v>32018.799999999999</v>
      </c>
      <c r="F134" s="79">
        <f>ROUND('[6]2033'!F40,2)</f>
        <v>30208.94</v>
      </c>
      <c r="G134" s="79">
        <f>ROUND('[6]2033'!G40,2)</f>
        <v>28906.75</v>
      </c>
      <c r="H134" s="79">
        <f>ROUND('[6]2033'!H40,2)</f>
        <v>28117.63</v>
      </c>
      <c r="I134" s="79">
        <f>ROUND('[6]2033'!I40,2)</f>
        <v>27744.04</v>
      </c>
      <c r="J134" s="79">
        <f>ROUND('[6]2033'!J40,2)</f>
        <v>27462.5</v>
      </c>
      <c r="K134" s="79">
        <f>ROUND('[6]2033'!K40,2)</f>
        <v>27585.84</v>
      </c>
      <c r="L134" s="79">
        <f>ROUND('[6]2033'!L40,2)</f>
        <v>30606.880000000001</v>
      </c>
      <c r="M134" s="79">
        <f>ROUND('[6]2033'!M40,2)</f>
        <v>34153.81</v>
      </c>
      <c r="N134" s="79">
        <f>ROUND('[6]2033'!N40,2)</f>
        <v>36202.269999999997</v>
      </c>
      <c r="O134" s="79">
        <f>ROUND('[6]2033'!O40,2)</f>
        <v>38129.25</v>
      </c>
      <c r="P134" s="79">
        <f>ROUND('[6]2033'!P40,2)</f>
        <v>39092.36</v>
      </c>
      <c r="Q134" s="79">
        <f>ROUND('[6]2033'!Q40,2)</f>
        <v>38467.629999999997</v>
      </c>
      <c r="R134" s="79">
        <f>ROUND('[6]2033'!R40,2)</f>
        <v>37911.5</v>
      </c>
      <c r="S134" s="79">
        <f>ROUND('[6]2033'!S40,2)</f>
        <v>37908.769999999997</v>
      </c>
      <c r="T134" s="79">
        <f>ROUND('[6]2033'!T40,2)</f>
        <v>37684.82</v>
      </c>
      <c r="U134" s="79">
        <f>ROUND('[6]2033'!U40,2)</f>
        <v>37324.1</v>
      </c>
      <c r="V134" s="79">
        <f>ROUND('[6]2033'!V40,2)</f>
        <v>37448.480000000003</v>
      </c>
      <c r="W134" s="79">
        <f>ROUND('[6]2033'!W40,2)</f>
        <v>39797.050000000003</v>
      </c>
      <c r="X134" s="79">
        <f>ROUND('[6]2033'!X40,2)</f>
        <v>40693.42</v>
      </c>
      <c r="Y134" s="79">
        <f>ROUND('[6]2033'!Y40,2)</f>
        <v>39360.050000000003</v>
      </c>
      <c r="Z134" s="79">
        <f>ROUND('[6]2033'!Z40,2)</f>
        <v>37711.86</v>
      </c>
      <c r="AA134" s="79">
        <f>ROUND('[6]2033'!AA40,2)</f>
        <v>35620.959999999999</v>
      </c>
      <c r="AB134" s="79">
        <f>ROUND('[6]2033'!AB40,2)</f>
        <v>33225.660000000003</v>
      </c>
      <c r="AC134" s="210"/>
      <c r="AD134" s="18"/>
    </row>
    <row r="135" spans="2:30" ht="18.649999999999999" customHeight="1" x14ac:dyDescent="0.35">
      <c r="B135" s="208"/>
      <c r="C135" s="9" t="s">
        <v>31</v>
      </c>
      <c r="D135" s="10">
        <f>+'[6]2033'!D41</f>
        <v>5</v>
      </c>
      <c r="E135" s="79">
        <f>ROUND('[6]2033'!E41,2)</f>
        <v>30111.040000000001</v>
      </c>
      <c r="F135" s="79">
        <f>ROUND('[6]2033'!F41,2)</f>
        <v>28703.15</v>
      </c>
      <c r="G135" s="79">
        <f>ROUND('[6]2033'!G41,2)</f>
        <v>27475.39</v>
      </c>
      <c r="H135" s="79">
        <f>ROUND('[6]2033'!H41,2)</f>
        <v>26725.57</v>
      </c>
      <c r="I135" s="79">
        <f>ROUND('[6]2033'!I41,2)</f>
        <v>26422.38</v>
      </c>
      <c r="J135" s="79">
        <f>ROUND('[6]2033'!J41,2)</f>
        <v>25776.25</v>
      </c>
      <c r="K135" s="79">
        <f>ROUND('[6]2033'!K41,2)</f>
        <v>25207.29</v>
      </c>
      <c r="L135" s="79">
        <f>ROUND('[6]2033'!L41,2)</f>
        <v>26765.41</v>
      </c>
      <c r="M135" s="79">
        <f>ROUND('[6]2033'!M41,2)</f>
        <v>28681.11</v>
      </c>
      <c r="N135" s="79">
        <f>ROUND('[6]2033'!N41,2)</f>
        <v>30224.59</v>
      </c>
      <c r="O135" s="79">
        <f>ROUND('[6]2033'!O41,2)</f>
        <v>31541.06</v>
      </c>
      <c r="P135" s="79">
        <f>ROUND('[6]2033'!P41,2)</f>
        <v>32663.06</v>
      </c>
      <c r="Q135" s="79">
        <f>ROUND('[6]2033'!Q41,2)</f>
        <v>33474.32</v>
      </c>
      <c r="R135" s="79">
        <f>ROUND('[6]2033'!R41,2)</f>
        <v>33680.160000000003</v>
      </c>
      <c r="S135" s="79">
        <f>ROUND('[6]2033'!S41,2)</f>
        <v>33871.42</v>
      </c>
      <c r="T135" s="79">
        <f>ROUND('[6]2033'!T41,2)</f>
        <v>34319.279999999999</v>
      </c>
      <c r="U135" s="79">
        <f>ROUND('[6]2033'!U41,2)</f>
        <v>34258.769999999997</v>
      </c>
      <c r="V135" s="79">
        <f>ROUND('[6]2033'!V41,2)</f>
        <v>34421.01</v>
      </c>
      <c r="W135" s="79">
        <f>ROUND('[6]2033'!W41,2)</f>
        <v>38324.870000000003</v>
      </c>
      <c r="X135" s="79">
        <f>ROUND('[6]2033'!X41,2)</f>
        <v>40514.82</v>
      </c>
      <c r="Y135" s="79">
        <f>ROUND('[6]2033'!Y41,2)</f>
        <v>39902.22</v>
      </c>
      <c r="Z135" s="79">
        <f>ROUND('[6]2033'!Z41,2)</f>
        <v>38262.629999999997</v>
      </c>
      <c r="AA135" s="79">
        <f>ROUND('[6]2033'!AA41,2)</f>
        <v>35317.46</v>
      </c>
      <c r="AB135" s="79">
        <f>ROUND('[6]2033'!AB41,2)</f>
        <v>32342.080000000002</v>
      </c>
      <c r="AC135" s="210"/>
      <c r="AD135" s="18"/>
    </row>
    <row r="136" spans="2:30" ht="18.649999999999999" customHeight="1" thickBot="1" x14ac:dyDescent="0.4">
      <c r="B136" s="208"/>
      <c r="C136" s="15" t="s">
        <v>32</v>
      </c>
      <c r="D136" s="16">
        <f>+'[6]2033'!D42</f>
        <v>2</v>
      </c>
      <c r="E136" s="79">
        <f>ROUND('[6]2033'!E42,2)</f>
        <v>30111.040000000001</v>
      </c>
      <c r="F136" s="79">
        <f>ROUND('[6]2033'!F42,2)</f>
        <v>28703.15</v>
      </c>
      <c r="G136" s="79">
        <f>ROUND('[6]2033'!G42,2)</f>
        <v>27475.39</v>
      </c>
      <c r="H136" s="79">
        <f>ROUND('[6]2033'!H42,2)</f>
        <v>26725.57</v>
      </c>
      <c r="I136" s="79">
        <f>ROUND('[6]2033'!I42,2)</f>
        <v>26422.38</v>
      </c>
      <c r="J136" s="79">
        <f>ROUND('[6]2033'!J42,2)</f>
        <v>25776.25</v>
      </c>
      <c r="K136" s="79">
        <f>ROUND('[6]2033'!K42,2)</f>
        <v>25207.29</v>
      </c>
      <c r="L136" s="79">
        <f>ROUND('[6]2033'!L42,2)</f>
        <v>26765.41</v>
      </c>
      <c r="M136" s="79">
        <f>ROUND('[6]2033'!M42,2)</f>
        <v>28681.11</v>
      </c>
      <c r="N136" s="79">
        <f>ROUND('[6]2033'!N42,2)</f>
        <v>30224.59</v>
      </c>
      <c r="O136" s="79">
        <f>ROUND('[6]2033'!O42,2)</f>
        <v>31541.06</v>
      </c>
      <c r="P136" s="79">
        <f>ROUND('[6]2033'!P42,2)</f>
        <v>32663.06</v>
      </c>
      <c r="Q136" s="79">
        <f>ROUND('[6]2033'!Q42,2)</f>
        <v>33474.32</v>
      </c>
      <c r="R136" s="79">
        <f>ROUND('[6]2033'!R42,2)</f>
        <v>33680.160000000003</v>
      </c>
      <c r="S136" s="79">
        <f>ROUND('[6]2033'!S42,2)</f>
        <v>33871.42</v>
      </c>
      <c r="T136" s="79">
        <f>ROUND('[6]2033'!T42,2)</f>
        <v>34319.279999999999</v>
      </c>
      <c r="U136" s="79">
        <f>ROUND('[6]2033'!U42,2)</f>
        <v>34258.769999999997</v>
      </c>
      <c r="V136" s="79">
        <f>ROUND('[6]2033'!V42,2)</f>
        <v>34421.01</v>
      </c>
      <c r="W136" s="79">
        <f>ROUND('[6]2033'!W42,2)</f>
        <v>38324.870000000003</v>
      </c>
      <c r="X136" s="79">
        <f>ROUND('[6]2033'!X42,2)</f>
        <v>40514.82</v>
      </c>
      <c r="Y136" s="79">
        <f>ROUND('[6]2033'!Y42,2)</f>
        <v>39902.22</v>
      </c>
      <c r="Z136" s="79">
        <f>ROUND('[6]2033'!Z42,2)</f>
        <v>38262.629999999997</v>
      </c>
      <c r="AA136" s="79">
        <f>ROUND('[6]2033'!AA42,2)</f>
        <v>35317.46</v>
      </c>
      <c r="AB136" s="79">
        <f>ROUND('[6]2033'!AB42,2)</f>
        <v>32342.080000000002</v>
      </c>
      <c r="AC136" s="210"/>
      <c r="AD136" s="18"/>
    </row>
    <row r="137" spans="2:30" ht="18.649999999999999" customHeight="1" x14ac:dyDescent="0.35">
      <c r="B137" s="211">
        <v>48792</v>
      </c>
      <c r="C137" s="6" t="s">
        <v>29</v>
      </c>
      <c r="D137" s="7">
        <f>+'[6]2033'!D43</f>
        <v>22</v>
      </c>
      <c r="E137" s="78">
        <f>ROUND('[6]2033'!E43,2)</f>
        <v>31152.47</v>
      </c>
      <c r="F137" s="78">
        <f>ROUND('[6]2033'!F43,2)</f>
        <v>29448.33</v>
      </c>
      <c r="G137" s="78">
        <f>ROUND('[6]2033'!G43,2)</f>
        <v>28241.68</v>
      </c>
      <c r="H137" s="78">
        <f>ROUND('[6]2033'!H43,2)</f>
        <v>27418.61</v>
      </c>
      <c r="I137" s="78">
        <f>ROUND('[6]2033'!I43,2)</f>
        <v>27390.41</v>
      </c>
      <c r="J137" s="78">
        <f>ROUND('[6]2033'!J43,2)</f>
        <v>28305.73</v>
      </c>
      <c r="K137" s="78">
        <f>ROUND('[6]2033'!K43,2)</f>
        <v>28638.720000000001</v>
      </c>
      <c r="L137" s="78">
        <f>ROUND('[6]2033'!L43,2)</f>
        <v>31857.88</v>
      </c>
      <c r="M137" s="78">
        <f>ROUND('[6]2033'!M43,2)</f>
        <v>35327.870000000003</v>
      </c>
      <c r="N137" s="78">
        <f>ROUND('[6]2033'!N43,2)</f>
        <v>37066.19</v>
      </c>
      <c r="O137" s="78">
        <f>ROUND('[6]2033'!O43,2)</f>
        <v>39227.519999999997</v>
      </c>
      <c r="P137" s="78">
        <f>ROUND('[6]2033'!P43,2)</f>
        <v>41017.46</v>
      </c>
      <c r="Q137" s="78">
        <f>ROUND('[6]2033'!Q43,2)</f>
        <v>39368.550000000003</v>
      </c>
      <c r="R137" s="78">
        <f>ROUND('[6]2033'!R43,2)</f>
        <v>40655.97</v>
      </c>
      <c r="S137" s="78">
        <f>ROUND('[6]2033'!S43,2)</f>
        <v>43100.49</v>
      </c>
      <c r="T137" s="78">
        <f>ROUND('[6]2033'!T43,2)</f>
        <v>43377.31</v>
      </c>
      <c r="U137" s="78">
        <f>ROUND('[6]2033'!U43,2)</f>
        <v>42633.42</v>
      </c>
      <c r="V137" s="78">
        <f>ROUND('[6]2033'!V43,2)</f>
        <v>41071.79</v>
      </c>
      <c r="W137" s="78">
        <f>ROUND('[6]2033'!W43,2)</f>
        <v>43530.36</v>
      </c>
      <c r="X137" s="78">
        <f>ROUND('[6]2033'!X43,2)</f>
        <v>44209.22</v>
      </c>
      <c r="Y137" s="78">
        <f>ROUND('[6]2033'!Y43,2)</f>
        <v>42966.89</v>
      </c>
      <c r="Z137" s="78">
        <f>ROUND('[6]2033'!Z43,2)</f>
        <v>40769.53</v>
      </c>
      <c r="AA137" s="78">
        <f>ROUND('[6]2033'!AA43,2)</f>
        <v>37384.870000000003</v>
      </c>
      <c r="AB137" s="78">
        <f>ROUND('[6]2033'!AB43,2)</f>
        <v>34187.730000000003</v>
      </c>
      <c r="AC137" s="209">
        <f>SUM(E137:AB137)*D137+SUM(E138:AB138)*D138+SUM(E139:AB139)*D139+SUM(E140:AB140)*D140</f>
        <v>26481096.869999997</v>
      </c>
      <c r="AD137" s="18"/>
    </row>
    <row r="138" spans="2:30" ht="18.649999999999999" customHeight="1" x14ac:dyDescent="0.35">
      <c r="B138" s="212" t="s">
        <v>34</v>
      </c>
      <c r="C138" s="9" t="s">
        <v>30</v>
      </c>
      <c r="D138" s="10">
        <f>+'[6]2033'!D44</f>
        <v>4</v>
      </c>
      <c r="E138" s="79">
        <f>ROUND('[6]2033'!E44,2)</f>
        <v>31578.97</v>
      </c>
      <c r="F138" s="79">
        <f>ROUND('[6]2033'!F44,2)</f>
        <v>29955.16</v>
      </c>
      <c r="G138" s="79">
        <f>ROUND('[6]2033'!G44,2)</f>
        <v>28751.17</v>
      </c>
      <c r="H138" s="79">
        <f>ROUND('[6]2033'!H44,2)</f>
        <v>27837.35</v>
      </c>
      <c r="I138" s="79">
        <f>ROUND('[6]2033'!I44,2)</f>
        <v>27289.42</v>
      </c>
      <c r="J138" s="79">
        <f>ROUND('[6]2033'!J44,2)</f>
        <v>27054.14</v>
      </c>
      <c r="K138" s="79">
        <f>ROUND('[6]2033'!K44,2)</f>
        <v>27096.33</v>
      </c>
      <c r="L138" s="79">
        <f>ROUND('[6]2033'!L44,2)</f>
        <v>29995.23</v>
      </c>
      <c r="M138" s="79">
        <f>ROUND('[6]2033'!M44,2)</f>
        <v>33170.6</v>
      </c>
      <c r="N138" s="79">
        <f>ROUND('[6]2033'!N44,2)</f>
        <v>35190.400000000001</v>
      </c>
      <c r="O138" s="79">
        <f>ROUND('[6]2033'!O44,2)</f>
        <v>36848.800000000003</v>
      </c>
      <c r="P138" s="79">
        <f>ROUND('[6]2033'!P44,2)</f>
        <v>37410.06</v>
      </c>
      <c r="Q138" s="79">
        <f>ROUND('[6]2033'!Q44,2)</f>
        <v>36767.660000000003</v>
      </c>
      <c r="R138" s="79">
        <f>ROUND('[6]2033'!R44,2)</f>
        <v>36263.949999999997</v>
      </c>
      <c r="S138" s="79">
        <f>ROUND('[6]2033'!S44,2)</f>
        <v>36664.1</v>
      </c>
      <c r="T138" s="79">
        <f>ROUND('[6]2033'!T44,2)</f>
        <v>36823.53</v>
      </c>
      <c r="U138" s="79">
        <f>ROUND('[6]2033'!U44,2)</f>
        <v>36581.03</v>
      </c>
      <c r="V138" s="79">
        <f>ROUND('[6]2033'!V44,2)</f>
        <v>36863.599999999999</v>
      </c>
      <c r="W138" s="79">
        <f>ROUND('[6]2033'!W44,2)</f>
        <v>40691</v>
      </c>
      <c r="X138" s="79">
        <f>ROUND('[6]2033'!X44,2)</f>
        <v>41014.410000000003</v>
      </c>
      <c r="Y138" s="79">
        <f>ROUND('[6]2033'!Y44,2)</f>
        <v>39519.279999999999</v>
      </c>
      <c r="Z138" s="79">
        <f>ROUND('[6]2033'!Z44,2)</f>
        <v>37726.32</v>
      </c>
      <c r="AA138" s="79">
        <f>ROUND('[6]2033'!AA44,2)</f>
        <v>35411.68</v>
      </c>
      <c r="AB138" s="79">
        <f>ROUND('[6]2033'!AB44,2)</f>
        <v>32886.19</v>
      </c>
      <c r="AC138" s="210"/>
      <c r="AD138" s="18"/>
    </row>
    <row r="139" spans="2:30" ht="18.649999999999999" customHeight="1" x14ac:dyDescent="0.35">
      <c r="B139" s="212" t="s">
        <v>34</v>
      </c>
      <c r="C139" s="9" t="s">
        <v>31</v>
      </c>
      <c r="D139" s="10">
        <f>+'[6]2033'!D45</f>
        <v>4</v>
      </c>
      <c r="E139" s="79">
        <f>ROUND('[6]2033'!E45,2)</f>
        <v>30817.08</v>
      </c>
      <c r="F139" s="79">
        <f>ROUND('[6]2033'!F45,2)</f>
        <v>29317.599999999999</v>
      </c>
      <c r="G139" s="79">
        <f>ROUND('[6]2033'!G45,2)</f>
        <v>28017.99</v>
      </c>
      <c r="H139" s="79">
        <f>ROUND('[6]2033'!H45,2)</f>
        <v>27264.69</v>
      </c>
      <c r="I139" s="79">
        <f>ROUND('[6]2033'!I45,2)</f>
        <v>26871.97</v>
      </c>
      <c r="J139" s="79">
        <f>ROUND('[6]2033'!J45,2)</f>
        <v>26462.87</v>
      </c>
      <c r="K139" s="79">
        <f>ROUND('[6]2033'!K45,2)</f>
        <v>25751.52</v>
      </c>
      <c r="L139" s="79">
        <f>ROUND('[6]2033'!L45,2)</f>
        <v>27210.07</v>
      </c>
      <c r="M139" s="79">
        <f>ROUND('[6]2033'!M45,2)</f>
        <v>28961.34</v>
      </c>
      <c r="N139" s="79">
        <f>ROUND('[6]2033'!N45,2)</f>
        <v>30449.91</v>
      </c>
      <c r="O139" s="79">
        <f>ROUND('[6]2033'!O45,2)</f>
        <v>31712.54</v>
      </c>
      <c r="P139" s="79">
        <f>ROUND('[6]2033'!P45,2)</f>
        <v>32765.01</v>
      </c>
      <c r="Q139" s="79">
        <f>ROUND('[6]2033'!Q45,2)</f>
        <v>33392.559999999998</v>
      </c>
      <c r="R139" s="79">
        <f>ROUND('[6]2033'!R45,2)</f>
        <v>33524.01</v>
      </c>
      <c r="S139" s="79">
        <f>ROUND('[6]2033'!S45,2)</f>
        <v>33726.230000000003</v>
      </c>
      <c r="T139" s="79">
        <f>ROUND('[6]2033'!T45,2)</f>
        <v>33969.730000000003</v>
      </c>
      <c r="U139" s="79">
        <f>ROUND('[6]2033'!U45,2)</f>
        <v>33965.550000000003</v>
      </c>
      <c r="V139" s="79">
        <f>ROUND('[6]2033'!V45,2)</f>
        <v>34534.99</v>
      </c>
      <c r="W139" s="79">
        <f>ROUND('[6]2033'!W45,2)</f>
        <v>38863.54</v>
      </c>
      <c r="X139" s="79">
        <f>ROUND('[6]2033'!X45,2)</f>
        <v>40541.4</v>
      </c>
      <c r="Y139" s="79">
        <f>ROUND('[6]2033'!Y45,2)</f>
        <v>40209.33</v>
      </c>
      <c r="Z139" s="79">
        <f>ROUND('[6]2033'!Z45,2)</f>
        <v>38772.53</v>
      </c>
      <c r="AA139" s="79">
        <f>ROUND('[6]2033'!AA45,2)</f>
        <v>35934.81</v>
      </c>
      <c r="AB139" s="79">
        <f>ROUND('[6]2033'!AB45,2)</f>
        <v>32934.199999999997</v>
      </c>
      <c r="AC139" s="210"/>
      <c r="AD139" s="18"/>
    </row>
    <row r="140" spans="2:30" ht="18.649999999999999" customHeight="1" thickBot="1" x14ac:dyDescent="0.4">
      <c r="B140" s="213" t="s">
        <v>34</v>
      </c>
      <c r="C140" s="11" t="s">
        <v>32</v>
      </c>
      <c r="D140" s="12">
        <f>+'[6]2033'!D46</f>
        <v>1</v>
      </c>
      <c r="E140" s="76">
        <f>ROUND('[6]2033'!E46,2)</f>
        <v>30817.08</v>
      </c>
      <c r="F140" s="76">
        <f>ROUND('[6]2033'!F46,2)</f>
        <v>29317.599999999999</v>
      </c>
      <c r="G140" s="76">
        <f>ROUND('[6]2033'!G46,2)</f>
        <v>28017.99</v>
      </c>
      <c r="H140" s="76">
        <f>ROUND('[6]2033'!H46,2)</f>
        <v>27264.69</v>
      </c>
      <c r="I140" s="76">
        <f>ROUND('[6]2033'!I46,2)</f>
        <v>26871.97</v>
      </c>
      <c r="J140" s="76">
        <f>ROUND('[6]2033'!J46,2)</f>
        <v>26462.87</v>
      </c>
      <c r="K140" s="76">
        <f>ROUND('[6]2033'!K46,2)</f>
        <v>25751.52</v>
      </c>
      <c r="L140" s="76">
        <f>ROUND('[6]2033'!L46,2)</f>
        <v>27210.07</v>
      </c>
      <c r="M140" s="76">
        <f>ROUND('[6]2033'!M46,2)</f>
        <v>28961.34</v>
      </c>
      <c r="N140" s="76">
        <f>ROUND('[6]2033'!N46,2)</f>
        <v>30449.91</v>
      </c>
      <c r="O140" s="76">
        <f>ROUND('[6]2033'!O46,2)</f>
        <v>31712.54</v>
      </c>
      <c r="P140" s="76">
        <f>ROUND('[6]2033'!P46,2)</f>
        <v>32765.01</v>
      </c>
      <c r="Q140" s="76">
        <f>ROUND('[6]2033'!Q46,2)</f>
        <v>33392.559999999998</v>
      </c>
      <c r="R140" s="76">
        <f>ROUND('[6]2033'!R46,2)</f>
        <v>33524.01</v>
      </c>
      <c r="S140" s="76">
        <f>ROUND('[6]2033'!S46,2)</f>
        <v>33726.230000000003</v>
      </c>
      <c r="T140" s="76">
        <f>ROUND('[6]2033'!T46,2)</f>
        <v>33969.730000000003</v>
      </c>
      <c r="U140" s="76">
        <f>ROUND('[6]2033'!U46,2)</f>
        <v>33965.550000000003</v>
      </c>
      <c r="V140" s="76">
        <f>ROUND('[6]2033'!V46,2)</f>
        <v>34534.99</v>
      </c>
      <c r="W140" s="76">
        <f>ROUND('[6]2033'!W46,2)</f>
        <v>38863.54</v>
      </c>
      <c r="X140" s="76">
        <f>ROUND('[6]2033'!X46,2)</f>
        <v>40541.4</v>
      </c>
      <c r="Y140" s="76">
        <f>ROUND('[6]2033'!Y46,2)</f>
        <v>40209.33</v>
      </c>
      <c r="Z140" s="76">
        <f>ROUND('[6]2033'!Z46,2)</f>
        <v>38772.53</v>
      </c>
      <c r="AA140" s="76">
        <f>ROUND('[6]2033'!AA46,2)</f>
        <v>35934.81</v>
      </c>
      <c r="AB140" s="76">
        <f>ROUND('[6]2033'!AB46,2)</f>
        <v>32934.199999999997</v>
      </c>
      <c r="AC140" s="214"/>
      <c r="AD140" s="18"/>
    </row>
    <row r="141" spans="2:30" ht="18.649999999999999" customHeight="1" x14ac:dyDescent="0.35">
      <c r="B141" s="207">
        <v>48823</v>
      </c>
      <c r="C141" s="13" t="s">
        <v>29</v>
      </c>
      <c r="D141" s="14">
        <f>+'[6]2033'!D47</f>
        <v>22</v>
      </c>
      <c r="E141" s="81">
        <f>ROUND('[6]2033'!E47,2)</f>
        <v>30876.61</v>
      </c>
      <c r="F141" s="81">
        <f>ROUND('[6]2033'!F47,2)</f>
        <v>29257.03</v>
      </c>
      <c r="G141" s="81">
        <f>ROUND('[6]2033'!G47,2)</f>
        <v>28063.919999999998</v>
      </c>
      <c r="H141" s="81">
        <f>ROUND('[6]2033'!H47,2)</f>
        <v>27190.07</v>
      </c>
      <c r="I141" s="81">
        <f>ROUND('[6]2033'!I47,2)</f>
        <v>27159.200000000001</v>
      </c>
      <c r="J141" s="81">
        <f>ROUND('[6]2033'!J47,2)</f>
        <v>28038.14</v>
      </c>
      <c r="K141" s="81">
        <f>ROUND('[6]2033'!K47,2)</f>
        <v>28434.43</v>
      </c>
      <c r="L141" s="81">
        <f>ROUND('[6]2033'!L47,2)</f>
        <v>31689.51</v>
      </c>
      <c r="M141" s="81">
        <f>ROUND('[6]2033'!M47,2)</f>
        <v>35195.230000000003</v>
      </c>
      <c r="N141" s="81">
        <f>ROUND('[6]2033'!N47,2)</f>
        <v>36945.65</v>
      </c>
      <c r="O141" s="81">
        <f>ROUND('[6]2033'!O47,2)</f>
        <v>38827.22</v>
      </c>
      <c r="P141" s="81">
        <f>ROUND('[6]2033'!P47,2)</f>
        <v>40435.160000000003</v>
      </c>
      <c r="Q141" s="81">
        <f>ROUND('[6]2033'!Q47,2)</f>
        <v>38973.68</v>
      </c>
      <c r="R141" s="81">
        <f>ROUND('[6]2033'!R47,2)</f>
        <v>40112.480000000003</v>
      </c>
      <c r="S141" s="81">
        <f>ROUND('[6]2033'!S47,2)</f>
        <v>42387.64</v>
      </c>
      <c r="T141" s="81">
        <f>ROUND('[6]2033'!T47,2)</f>
        <v>42677.74</v>
      </c>
      <c r="U141" s="81">
        <f>ROUND('[6]2033'!U47,2)</f>
        <v>42018.34</v>
      </c>
      <c r="V141" s="81">
        <f>ROUND('[6]2033'!V47,2)</f>
        <v>40949.949999999997</v>
      </c>
      <c r="W141" s="81">
        <f>ROUND('[6]2033'!W47,2)</f>
        <v>43689.39</v>
      </c>
      <c r="X141" s="81">
        <f>ROUND('[6]2033'!X47,2)</f>
        <v>43276.77</v>
      </c>
      <c r="Y141" s="81">
        <f>ROUND('[6]2033'!Y47,2)</f>
        <v>41895.01</v>
      </c>
      <c r="Z141" s="81">
        <f>ROUND('[6]2033'!Z47,2)</f>
        <v>39635.39</v>
      </c>
      <c r="AA141" s="81">
        <f>ROUND('[6]2033'!AA47,2)</f>
        <v>36245.11</v>
      </c>
      <c r="AB141" s="81">
        <f>ROUND('[6]2033'!AB47,2)</f>
        <v>33126.26</v>
      </c>
      <c r="AC141" s="210">
        <f>SUM(E141:AB141)*D141+SUM(E142:AB142)*D142+SUM(E143:AB143)*D143+SUM(E144:AB144)*D144</f>
        <v>25388951.300000004</v>
      </c>
      <c r="AD141" s="18"/>
    </row>
    <row r="142" spans="2:30" ht="18.649999999999999" customHeight="1" x14ac:dyDescent="0.35">
      <c r="B142" s="208"/>
      <c r="C142" s="9" t="s">
        <v>30</v>
      </c>
      <c r="D142" s="10">
        <f>+'[6]2033'!D48</f>
        <v>4</v>
      </c>
      <c r="E142" s="79">
        <f>ROUND('[6]2033'!E48,2)</f>
        <v>30073.15</v>
      </c>
      <c r="F142" s="79">
        <f>ROUND('[6]2033'!F48,2)</f>
        <v>28553.06</v>
      </c>
      <c r="G142" s="79">
        <f>ROUND('[6]2033'!G48,2)</f>
        <v>27411.15</v>
      </c>
      <c r="H142" s="79">
        <f>ROUND('[6]2033'!H48,2)</f>
        <v>26569.52</v>
      </c>
      <c r="I142" s="79">
        <f>ROUND('[6]2033'!I48,2)</f>
        <v>26345.75</v>
      </c>
      <c r="J142" s="79">
        <f>ROUND('[6]2033'!J48,2)</f>
        <v>26194.06</v>
      </c>
      <c r="K142" s="79">
        <f>ROUND('[6]2033'!K48,2)</f>
        <v>26494.38</v>
      </c>
      <c r="L142" s="79">
        <f>ROUND('[6]2033'!L48,2)</f>
        <v>29514.89</v>
      </c>
      <c r="M142" s="79">
        <f>ROUND('[6]2033'!M48,2)</f>
        <v>32893.29</v>
      </c>
      <c r="N142" s="79">
        <f>ROUND('[6]2033'!N48,2)</f>
        <v>34557.42</v>
      </c>
      <c r="O142" s="79">
        <f>ROUND('[6]2033'!O48,2)</f>
        <v>36581.33</v>
      </c>
      <c r="P142" s="79">
        <f>ROUND('[6]2033'!P48,2)</f>
        <v>37482.31</v>
      </c>
      <c r="Q142" s="79">
        <f>ROUND('[6]2033'!Q48,2)</f>
        <v>37064.959999999999</v>
      </c>
      <c r="R142" s="79">
        <f>ROUND('[6]2033'!R48,2)</f>
        <v>36611.589999999997</v>
      </c>
      <c r="S142" s="79">
        <f>ROUND('[6]2033'!S48,2)</f>
        <v>36864.589999999997</v>
      </c>
      <c r="T142" s="79">
        <f>ROUND('[6]2033'!T48,2)</f>
        <v>36785.89</v>
      </c>
      <c r="U142" s="79">
        <f>ROUND('[6]2033'!U48,2)</f>
        <v>36348.57</v>
      </c>
      <c r="V142" s="79">
        <f>ROUND('[6]2033'!V48,2)</f>
        <v>37240.269999999997</v>
      </c>
      <c r="W142" s="79">
        <f>ROUND('[6]2033'!W48,2)</f>
        <v>41379.730000000003</v>
      </c>
      <c r="X142" s="79">
        <f>ROUND('[6]2033'!X48,2)</f>
        <v>41073.4</v>
      </c>
      <c r="Y142" s="79">
        <f>ROUND('[6]2033'!Y48,2)</f>
        <v>39623.449999999997</v>
      </c>
      <c r="Z142" s="79">
        <f>ROUND('[6]2033'!Z48,2)</f>
        <v>37800.22</v>
      </c>
      <c r="AA142" s="79">
        <f>ROUND('[6]2033'!AA48,2)</f>
        <v>35711.269999999997</v>
      </c>
      <c r="AB142" s="79">
        <f>ROUND('[6]2033'!AB48,2)</f>
        <v>33215.230000000003</v>
      </c>
      <c r="AC142" s="210"/>
      <c r="AD142" s="18"/>
    </row>
    <row r="143" spans="2:30" ht="18.649999999999999" customHeight="1" x14ac:dyDescent="0.35">
      <c r="B143" s="208"/>
      <c r="C143" s="9" t="s">
        <v>31</v>
      </c>
      <c r="D143" s="10">
        <f>+'[6]2033'!D49</f>
        <v>4</v>
      </c>
      <c r="E143" s="79">
        <f>ROUND('[6]2033'!E49,2)</f>
        <v>30780.98</v>
      </c>
      <c r="F143" s="79">
        <f>ROUND('[6]2033'!F49,2)</f>
        <v>29212.35</v>
      </c>
      <c r="G143" s="79">
        <f>ROUND('[6]2033'!G49,2)</f>
        <v>27865.53</v>
      </c>
      <c r="H143" s="79">
        <f>ROUND('[6]2033'!H49,2)</f>
        <v>26974</v>
      </c>
      <c r="I143" s="79">
        <f>ROUND('[6]2033'!I49,2)</f>
        <v>26596.63</v>
      </c>
      <c r="J143" s="79">
        <f>ROUND('[6]2033'!J49,2)</f>
        <v>25874.87</v>
      </c>
      <c r="K143" s="79">
        <f>ROUND('[6]2033'!K49,2)</f>
        <v>25198.57</v>
      </c>
      <c r="L143" s="79">
        <f>ROUND('[6]2033'!L49,2)</f>
        <v>26782.98</v>
      </c>
      <c r="M143" s="79">
        <f>ROUND('[6]2033'!M49,2)</f>
        <v>28505.13</v>
      </c>
      <c r="N143" s="79">
        <f>ROUND('[6]2033'!N49,2)</f>
        <v>30175.599999999999</v>
      </c>
      <c r="O143" s="79">
        <f>ROUND('[6]2033'!O49,2)</f>
        <v>31454.02</v>
      </c>
      <c r="P143" s="79">
        <f>ROUND('[6]2033'!P49,2)</f>
        <v>32293.79</v>
      </c>
      <c r="Q143" s="79">
        <f>ROUND('[6]2033'!Q49,2)</f>
        <v>33013.49</v>
      </c>
      <c r="R143" s="79">
        <f>ROUND('[6]2033'!R49,2)</f>
        <v>33114.800000000003</v>
      </c>
      <c r="S143" s="79">
        <f>ROUND('[6]2033'!S49,2)</f>
        <v>33134.639999999999</v>
      </c>
      <c r="T143" s="79">
        <f>ROUND('[6]2033'!T49,2)</f>
        <v>33546.86</v>
      </c>
      <c r="U143" s="79">
        <f>ROUND('[6]2033'!U49,2)</f>
        <v>33511.31</v>
      </c>
      <c r="V143" s="79">
        <f>ROUND('[6]2033'!V49,2)</f>
        <v>34601.33</v>
      </c>
      <c r="W143" s="79">
        <f>ROUND('[6]2033'!W49,2)</f>
        <v>39126.58</v>
      </c>
      <c r="X143" s="79">
        <f>ROUND('[6]2033'!X49,2)</f>
        <v>39777.46</v>
      </c>
      <c r="Y143" s="79">
        <f>ROUND('[6]2033'!Y49,2)</f>
        <v>39263.65</v>
      </c>
      <c r="Z143" s="79">
        <f>ROUND('[6]2033'!Z49,2)</f>
        <v>37781.01</v>
      </c>
      <c r="AA143" s="79">
        <f>ROUND('[6]2033'!AA49,2)</f>
        <v>35056.99</v>
      </c>
      <c r="AB143" s="79">
        <f>ROUND('[6]2033'!AB49,2)</f>
        <v>32156.16</v>
      </c>
      <c r="AC143" s="210"/>
      <c r="AD143" s="18"/>
    </row>
    <row r="144" spans="2:30" ht="18.649999999999999" customHeight="1" thickBot="1" x14ac:dyDescent="0.4">
      <c r="B144" s="208"/>
      <c r="C144" s="15" t="s">
        <v>32</v>
      </c>
      <c r="D144" s="16">
        <f>+'[6]2033'!D50</f>
        <v>0</v>
      </c>
      <c r="E144" s="75">
        <f>ROUND('[6]2033'!E50,2)</f>
        <v>0</v>
      </c>
      <c r="F144" s="75">
        <f>ROUND('[6]2033'!F50,2)</f>
        <v>0</v>
      </c>
      <c r="G144" s="75">
        <f>ROUND('[6]2033'!G50,2)</f>
        <v>0</v>
      </c>
      <c r="H144" s="75">
        <f>ROUND('[6]2033'!H50,2)</f>
        <v>0</v>
      </c>
      <c r="I144" s="75">
        <f>ROUND('[6]2033'!I50,2)</f>
        <v>0</v>
      </c>
      <c r="J144" s="75">
        <f>ROUND('[6]2033'!J50,2)</f>
        <v>0</v>
      </c>
      <c r="K144" s="75">
        <f>ROUND('[6]2033'!K50,2)</f>
        <v>0</v>
      </c>
      <c r="L144" s="75">
        <f>ROUND('[6]2033'!L50,2)</f>
        <v>0</v>
      </c>
      <c r="M144" s="75">
        <f>ROUND('[6]2033'!M50,2)</f>
        <v>0</v>
      </c>
      <c r="N144" s="75">
        <f>ROUND('[6]2033'!N50,2)</f>
        <v>0</v>
      </c>
      <c r="O144" s="75">
        <f>ROUND('[6]2033'!O50,2)</f>
        <v>0</v>
      </c>
      <c r="P144" s="75">
        <f>ROUND('[6]2033'!P50,2)</f>
        <v>0</v>
      </c>
      <c r="Q144" s="75">
        <f>ROUND('[6]2033'!Q50,2)</f>
        <v>0</v>
      </c>
      <c r="R144" s="75">
        <f>ROUND('[6]2033'!R50,2)</f>
        <v>0</v>
      </c>
      <c r="S144" s="75">
        <f>ROUND('[6]2033'!S50,2)</f>
        <v>0</v>
      </c>
      <c r="T144" s="75">
        <f>ROUND('[6]2033'!T50,2)</f>
        <v>0</v>
      </c>
      <c r="U144" s="75">
        <f>ROUND('[6]2033'!U50,2)</f>
        <v>0</v>
      </c>
      <c r="V144" s="75">
        <f>ROUND('[6]2033'!V50,2)</f>
        <v>0</v>
      </c>
      <c r="W144" s="75">
        <f>ROUND('[6]2033'!W50,2)</f>
        <v>0</v>
      </c>
      <c r="X144" s="75">
        <f>ROUND('[6]2033'!X50,2)</f>
        <v>0</v>
      </c>
      <c r="Y144" s="75">
        <f>ROUND('[6]2033'!Y50,2)</f>
        <v>0</v>
      </c>
      <c r="Z144" s="75">
        <f>ROUND('[6]2033'!Z50,2)</f>
        <v>0</v>
      </c>
      <c r="AA144" s="75">
        <f>ROUND('[6]2033'!AA50,2)</f>
        <v>0</v>
      </c>
      <c r="AB144" s="75">
        <f>ROUND('[6]2033'!AB50,2)</f>
        <v>0</v>
      </c>
      <c r="AC144" s="210"/>
      <c r="AD144" s="18"/>
    </row>
    <row r="145" spans="2:50" ht="18.649999999999999" customHeight="1" x14ac:dyDescent="0.35">
      <c r="B145" s="211">
        <v>48853</v>
      </c>
      <c r="C145" s="6" t="s">
        <v>29</v>
      </c>
      <c r="D145" s="7">
        <f>+'[6]2033'!D51</f>
        <v>20</v>
      </c>
      <c r="E145" s="78">
        <f>ROUND('[6]2033'!E51,2)</f>
        <v>30025.79</v>
      </c>
      <c r="F145" s="78">
        <f>ROUND('[6]2033'!F51,2)</f>
        <v>28445.24</v>
      </c>
      <c r="G145" s="78">
        <f>ROUND('[6]2033'!G51,2)</f>
        <v>27315.9</v>
      </c>
      <c r="H145" s="78">
        <f>ROUND('[6]2033'!H51,2)</f>
        <v>26494.74</v>
      </c>
      <c r="I145" s="78">
        <f>ROUND('[6]2033'!I51,2)</f>
        <v>26580.47</v>
      </c>
      <c r="J145" s="78">
        <f>ROUND('[6]2033'!J51,2)</f>
        <v>27374.33</v>
      </c>
      <c r="K145" s="78">
        <f>ROUND('[6]2033'!K51,2)</f>
        <v>28093.07</v>
      </c>
      <c r="L145" s="78">
        <f>ROUND('[6]2033'!L51,2)</f>
        <v>31291.3</v>
      </c>
      <c r="M145" s="78">
        <f>ROUND('[6]2033'!M51,2)</f>
        <v>34692.31</v>
      </c>
      <c r="N145" s="78">
        <f>ROUND('[6]2033'!N51,2)</f>
        <v>36473.550000000003</v>
      </c>
      <c r="O145" s="78">
        <f>ROUND('[6]2033'!O51,2)</f>
        <v>38328.559999999998</v>
      </c>
      <c r="P145" s="78">
        <f>ROUND('[6]2033'!P51,2)</f>
        <v>39797.39</v>
      </c>
      <c r="Q145" s="78">
        <f>ROUND('[6]2033'!Q51,2)</f>
        <v>38080.36</v>
      </c>
      <c r="R145" s="78">
        <f>ROUND('[6]2033'!R51,2)</f>
        <v>39098.339999999997</v>
      </c>
      <c r="S145" s="78">
        <f>ROUND('[6]2033'!S51,2)</f>
        <v>41293.06</v>
      </c>
      <c r="T145" s="78">
        <f>ROUND('[6]2033'!T51,2)</f>
        <v>41789.120000000003</v>
      </c>
      <c r="U145" s="78">
        <f>ROUND('[6]2033'!U51,2)</f>
        <v>41324.74</v>
      </c>
      <c r="V145" s="78">
        <f>ROUND('[6]2033'!V51,2)</f>
        <v>41339.33</v>
      </c>
      <c r="W145" s="78">
        <f>ROUND('[6]2033'!W51,2)</f>
        <v>43904.49</v>
      </c>
      <c r="X145" s="78">
        <f>ROUND('[6]2033'!X51,2)</f>
        <v>42926.07</v>
      </c>
      <c r="Y145" s="78">
        <f>ROUND('[6]2033'!Y51,2)</f>
        <v>41331.83</v>
      </c>
      <c r="Z145" s="78">
        <f>ROUND('[6]2033'!Z51,2)</f>
        <v>39069.78</v>
      </c>
      <c r="AA145" s="78">
        <f>ROUND('[6]2033'!AA51,2)</f>
        <v>35735.910000000003</v>
      </c>
      <c r="AB145" s="78">
        <f>ROUND('[6]2033'!AB51,2)</f>
        <v>32516.21</v>
      </c>
      <c r="AC145" s="209">
        <f>SUM(E145:AB145)*D145+SUM(E146:AB146)*D146+SUM(E147:AB147)*D147+SUM(E148:AB148)*D148</f>
        <v>25769159.829999998</v>
      </c>
      <c r="AD145" s="18"/>
    </row>
    <row r="146" spans="2:50" ht="18.649999999999999" customHeight="1" x14ac:dyDescent="0.35">
      <c r="B146" s="212" t="s">
        <v>34</v>
      </c>
      <c r="C146" s="9" t="s">
        <v>30</v>
      </c>
      <c r="D146" s="10">
        <f>+'[6]2033'!D52</f>
        <v>5</v>
      </c>
      <c r="E146" s="79">
        <f>ROUND('[6]2033'!E52,2)</f>
        <v>30573.51</v>
      </c>
      <c r="F146" s="79">
        <f>ROUND('[6]2033'!F52,2)</f>
        <v>28856.73</v>
      </c>
      <c r="G146" s="79">
        <f>ROUND('[6]2033'!G52,2)</f>
        <v>27495.77</v>
      </c>
      <c r="H146" s="79">
        <f>ROUND('[6]2033'!H52,2)</f>
        <v>26648.54</v>
      </c>
      <c r="I146" s="79">
        <f>ROUND('[6]2033'!I52,2)</f>
        <v>26631.68</v>
      </c>
      <c r="J146" s="79">
        <f>ROUND('[6]2033'!J52,2)</f>
        <v>26518.58</v>
      </c>
      <c r="K146" s="79">
        <f>ROUND('[6]2033'!K52,2)</f>
        <v>26929.25</v>
      </c>
      <c r="L146" s="79">
        <f>ROUND('[6]2033'!L52,2)</f>
        <v>29597.15</v>
      </c>
      <c r="M146" s="79">
        <f>ROUND('[6]2033'!M52,2)</f>
        <v>32920.04</v>
      </c>
      <c r="N146" s="79">
        <f>ROUND('[6]2033'!N52,2)</f>
        <v>34815.57</v>
      </c>
      <c r="O146" s="79">
        <f>ROUND('[6]2033'!O52,2)</f>
        <v>36769.279999999999</v>
      </c>
      <c r="P146" s="79">
        <f>ROUND('[6]2033'!P52,2)</f>
        <v>37741.300000000003</v>
      </c>
      <c r="Q146" s="79">
        <f>ROUND('[6]2033'!Q52,2)</f>
        <v>37032.83</v>
      </c>
      <c r="R146" s="79">
        <f>ROUND('[6]2033'!R52,2)</f>
        <v>36576.18</v>
      </c>
      <c r="S146" s="79">
        <f>ROUND('[6]2033'!S52,2)</f>
        <v>36960.199999999997</v>
      </c>
      <c r="T146" s="79">
        <f>ROUND('[6]2033'!T52,2)</f>
        <v>37348.15</v>
      </c>
      <c r="U146" s="79">
        <f>ROUND('[6]2033'!U52,2)</f>
        <v>37063.5</v>
      </c>
      <c r="V146" s="79">
        <f>ROUND('[6]2033'!V52,2)</f>
        <v>38417.58</v>
      </c>
      <c r="W146" s="79">
        <f>ROUND('[6]2033'!W52,2)</f>
        <v>42047.73</v>
      </c>
      <c r="X146" s="79">
        <f>ROUND('[6]2033'!X52,2)</f>
        <v>41271.129999999997</v>
      </c>
      <c r="Y146" s="79">
        <f>ROUND('[6]2033'!Y52,2)</f>
        <v>39678.46</v>
      </c>
      <c r="Z146" s="79">
        <f>ROUND('[6]2033'!Z52,2)</f>
        <v>37675.440000000002</v>
      </c>
      <c r="AA146" s="79">
        <f>ROUND('[6]2033'!AA52,2)</f>
        <v>35275.629999999997</v>
      </c>
      <c r="AB146" s="79">
        <f>ROUND('[6]2033'!AB52,2)</f>
        <v>32741.38</v>
      </c>
      <c r="AC146" s="210"/>
      <c r="AD146" s="18"/>
    </row>
    <row r="147" spans="2:50" ht="18.649999999999999" customHeight="1" x14ac:dyDescent="0.35">
      <c r="B147" s="212" t="s">
        <v>34</v>
      </c>
      <c r="C147" s="9" t="s">
        <v>31</v>
      </c>
      <c r="D147" s="10">
        <f>+'[6]2033'!D53</f>
        <v>5</v>
      </c>
      <c r="E147" s="79">
        <f>ROUND('[6]2033'!E53,2)</f>
        <v>30415.26</v>
      </c>
      <c r="F147" s="79">
        <f>ROUND('[6]2033'!F53,2)</f>
        <v>28819.439999999999</v>
      </c>
      <c r="G147" s="79">
        <f>ROUND('[6]2033'!G53,2)</f>
        <v>27552.15</v>
      </c>
      <c r="H147" s="79">
        <f>ROUND('[6]2033'!H53,2)</f>
        <v>26767.91</v>
      </c>
      <c r="I147" s="79">
        <f>ROUND('[6]2033'!I53,2)</f>
        <v>26415.64</v>
      </c>
      <c r="J147" s="79">
        <f>ROUND('[6]2033'!J53,2)</f>
        <v>25849.26</v>
      </c>
      <c r="K147" s="79">
        <f>ROUND('[6]2033'!K53,2)</f>
        <v>25158.560000000001</v>
      </c>
      <c r="L147" s="79">
        <f>ROUND('[6]2033'!L53,2)</f>
        <v>26650.76</v>
      </c>
      <c r="M147" s="79">
        <f>ROUND('[6]2033'!M53,2)</f>
        <v>28588.75</v>
      </c>
      <c r="N147" s="79">
        <f>ROUND('[6]2033'!N53,2)</f>
        <v>30137.51</v>
      </c>
      <c r="O147" s="79">
        <f>ROUND('[6]2033'!O53,2)</f>
        <v>31622.63</v>
      </c>
      <c r="P147" s="79">
        <f>ROUND('[6]2033'!P53,2)</f>
        <v>32810.18</v>
      </c>
      <c r="Q147" s="79">
        <f>ROUND('[6]2033'!Q53,2)</f>
        <v>33402.400000000001</v>
      </c>
      <c r="R147" s="79">
        <f>ROUND('[6]2033'!R53,2)</f>
        <v>33465.9</v>
      </c>
      <c r="S147" s="79">
        <f>ROUND('[6]2033'!S53,2)</f>
        <v>33673.67</v>
      </c>
      <c r="T147" s="79">
        <f>ROUND('[6]2033'!T53,2)</f>
        <v>33636.620000000003</v>
      </c>
      <c r="U147" s="79">
        <f>ROUND('[6]2033'!U53,2)</f>
        <v>33887.660000000003</v>
      </c>
      <c r="V147" s="79">
        <f>ROUND('[6]2033'!V53,2)</f>
        <v>35548.089999999997</v>
      </c>
      <c r="W147" s="79">
        <f>ROUND('[6]2033'!W53,2)</f>
        <v>39861.75</v>
      </c>
      <c r="X147" s="79">
        <f>ROUND('[6]2033'!X53,2)</f>
        <v>40125.35</v>
      </c>
      <c r="Y147" s="79">
        <f>ROUND('[6]2033'!Y53,2)</f>
        <v>39501.730000000003</v>
      </c>
      <c r="Z147" s="79">
        <f>ROUND('[6]2033'!Z53,2)</f>
        <v>37934.92</v>
      </c>
      <c r="AA147" s="79">
        <f>ROUND('[6]2033'!AA53,2)</f>
        <v>35090.9</v>
      </c>
      <c r="AB147" s="79">
        <f>ROUND('[6]2033'!AB53,2)</f>
        <v>32215.29</v>
      </c>
      <c r="AC147" s="210"/>
      <c r="AD147" s="18"/>
    </row>
    <row r="148" spans="2:50" ht="18.649999999999999" customHeight="1" thickBot="1" x14ac:dyDescent="0.4">
      <c r="B148" s="213" t="s">
        <v>34</v>
      </c>
      <c r="C148" s="11" t="s">
        <v>32</v>
      </c>
      <c r="D148" s="12">
        <f>+'[6]2033'!D54</f>
        <v>1</v>
      </c>
      <c r="E148" s="76">
        <f>ROUND('[6]2033'!E54,2)</f>
        <v>30415.26</v>
      </c>
      <c r="F148" s="76">
        <f>ROUND('[6]2033'!F54,2)</f>
        <v>28819.439999999999</v>
      </c>
      <c r="G148" s="76">
        <f>ROUND('[6]2033'!G54,2)</f>
        <v>27552.15</v>
      </c>
      <c r="H148" s="76">
        <f>ROUND('[6]2033'!H54,2)</f>
        <v>26767.91</v>
      </c>
      <c r="I148" s="76">
        <f>ROUND('[6]2033'!I54,2)</f>
        <v>26415.64</v>
      </c>
      <c r="J148" s="76">
        <f>ROUND('[6]2033'!J54,2)</f>
        <v>25849.26</v>
      </c>
      <c r="K148" s="76">
        <f>ROUND('[6]2033'!K54,2)</f>
        <v>25158.560000000001</v>
      </c>
      <c r="L148" s="76">
        <f>ROUND('[6]2033'!L54,2)</f>
        <v>26650.76</v>
      </c>
      <c r="M148" s="76">
        <f>ROUND('[6]2033'!M54,2)</f>
        <v>28588.75</v>
      </c>
      <c r="N148" s="76">
        <f>ROUND('[6]2033'!N54,2)</f>
        <v>30137.51</v>
      </c>
      <c r="O148" s="76">
        <f>ROUND('[6]2033'!O54,2)</f>
        <v>31622.63</v>
      </c>
      <c r="P148" s="76">
        <f>ROUND('[6]2033'!P54,2)</f>
        <v>32810.18</v>
      </c>
      <c r="Q148" s="76">
        <f>ROUND('[6]2033'!Q54,2)</f>
        <v>33402.400000000001</v>
      </c>
      <c r="R148" s="76">
        <f>ROUND('[6]2033'!R54,2)</f>
        <v>33465.9</v>
      </c>
      <c r="S148" s="76">
        <f>ROUND('[6]2033'!S54,2)</f>
        <v>33673.67</v>
      </c>
      <c r="T148" s="76">
        <f>ROUND('[6]2033'!T54,2)</f>
        <v>33636.620000000003</v>
      </c>
      <c r="U148" s="76">
        <f>ROUND('[6]2033'!U54,2)</f>
        <v>33887.660000000003</v>
      </c>
      <c r="V148" s="76">
        <f>ROUND('[6]2033'!V54,2)</f>
        <v>35548.089999999997</v>
      </c>
      <c r="W148" s="76">
        <f>ROUND('[6]2033'!W54,2)</f>
        <v>39861.75</v>
      </c>
      <c r="X148" s="76">
        <f>ROUND('[6]2033'!X54,2)</f>
        <v>40125.35</v>
      </c>
      <c r="Y148" s="76">
        <f>ROUND('[6]2033'!Y54,2)</f>
        <v>39501.730000000003</v>
      </c>
      <c r="Z148" s="76">
        <f>ROUND('[6]2033'!Z54,2)</f>
        <v>37934.92</v>
      </c>
      <c r="AA148" s="76">
        <f>ROUND('[6]2033'!AA54,2)</f>
        <v>35090.9</v>
      </c>
      <c r="AB148" s="76">
        <f>ROUND('[6]2033'!AB54,2)</f>
        <v>32215.29</v>
      </c>
      <c r="AC148" s="214"/>
      <c r="AD148" s="18"/>
    </row>
    <row r="149" spans="2:50" ht="18.649999999999999" customHeight="1" x14ac:dyDescent="0.35">
      <c r="B149" s="207">
        <v>48884</v>
      </c>
      <c r="C149" s="13" t="s">
        <v>29</v>
      </c>
      <c r="D149" s="14">
        <f>+'[6]2033'!D55</f>
        <v>20</v>
      </c>
      <c r="E149" s="81">
        <f>ROUND('[6]2033'!E55,2)</f>
        <v>29440.13</v>
      </c>
      <c r="F149" s="81">
        <f>ROUND('[6]2033'!F55,2)</f>
        <v>27927.37</v>
      </c>
      <c r="G149" s="81">
        <f>ROUND('[6]2033'!G55,2)</f>
        <v>26825.8</v>
      </c>
      <c r="H149" s="81">
        <f>ROUND('[6]2033'!H55,2)</f>
        <v>26079.64</v>
      </c>
      <c r="I149" s="81">
        <f>ROUND('[6]2033'!I55,2)</f>
        <v>26153.21</v>
      </c>
      <c r="J149" s="81">
        <f>ROUND('[6]2033'!J55,2)</f>
        <v>26929.78</v>
      </c>
      <c r="K149" s="81">
        <f>ROUND('[6]2033'!K55,2)</f>
        <v>27638.9</v>
      </c>
      <c r="L149" s="81">
        <f>ROUND('[6]2033'!L55,2)</f>
        <v>30926.49</v>
      </c>
      <c r="M149" s="81">
        <f>ROUND('[6]2033'!M55,2)</f>
        <v>34310.080000000002</v>
      </c>
      <c r="N149" s="81">
        <f>ROUND('[6]2033'!N55,2)</f>
        <v>35988.550000000003</v>
      </c>
      <c r="O149" s="81">
        <f>ROUND('[6]2033'!O55,2)</f>
        <v>37740.269999999997</v>
      </c>
      <c r="P149" s="81">
        <f>ROUND('[6]2033'!P55,2)</f>
        <v>38974.89</v>
      </c>
      <c r="Q149" s="81">
        <f>ROUND('[6]2033'!Q55,2)</f>
        <v>37376.730000000003</v>
      </c>
      <c r="R149" s="81">
        <f>ROUND('[6]2033'!R55,2)</f>
        <v>38218.06</v>
      </c>
      <c r="S149" s="81">
        <f>ROUND('[6]2033'!S55,2)</f>
        <v>40124.22</v>
      </c>
      <c r="T149" s="81">
        <f>ROUND('[6]2033'!T55,2)</f>
        <v>40614.699999999997</v>
      </c>
      <c r="U149" s="81">
        <f>ROUND('[6]2033'!U55,2)</f>
        <v>40218.120000000003</v>
      </c>
      <c r="V149" s="81">
        <f>ROUND('[6]2033'!V55,2)</f>
        <v>40743.53</v>
      </c>
      <c r="W149" s="81">
        <f>ROUND('[6]2033'!W55,2)</f>
        <v>42738.13</v>
      </c>
      <c r="X149" s="81">
        <f>ROUND('[6]2033'!X55,2)</f>
        <v>41748.29</v>
      </c>
      <c r="Y149" s="81">
        <f>ROUND('[6]2033'!Y55,2)</f>
        <v>40268.370000000003</v>
      </c>
      <c r="Z149" s="81">
        <f>ROUND('[6]2033'!Z55,2)</f>
        <v>38124.06</v>
      </c>
      <c r="AA149" s="81">
        <f>ROUND('[6]2033'!AA55,2)</f>
        <v>34987.279999999999</v>
      </c>
      <c r="AB149" s="81">
        <f>ROUND('[6]2033'!AB55,2)</f>
        <v>31890.89</v>
      </c>
      <c r="AC149" s="210">
        <f>SUM(E149:AB149)*D149+SUM(E150:AB150)*D150+SUM(E151:AB151)*D151+SUM(E152:AB152)*D152</f>
        <v>24370631.640000004</v>
      </c>
      <c r="AD149" s="18"/>
    </row>
    <row r="150" spans="2:50" ht="18.649999999999999" customHeight="1" x14ac:dyDescent="0.35">
      <c r="B150" s="208"/>
      <c r="C150" s="9" t="s">
        <v>30</v>
      </c>
      <c r="D150" s="10">
        <f>+'[6]2033'!D56</f>
        <v>4</v>
      </c>
      <c r="E150" s="79">
        <f>ROUND('[6]2033'!E56,2)</f>
        <v>28737.83</v>
      </c>
      <c r="F150" s="79">
        <f>ROUND('[6]2033'!F56,2)</f>
        <v>27330.81</v>
      </c>
      <c r="G150" s="79">
        <f>ROUND('[6]2033'!G56,2)</f>
        <v>26343.39</v>
      </c>
      <c r="H150" s="79">
        <f>ROUND('[6]2033'!H56,2)</f>
        <v>25697.64</v>
      </c>
      <c r="I150" s="79">
        <f>ROUND('[6]2033'!I56,2)</f>
        <v>25682.26</v>
      </c>
      <c r="J150" s="79">
        <f>ROUND('[6]2033'!J56,2)</f>
        <v>25618.87</v>
      </c>
      <c r="K150" s="79">
        <f>ROUND('[6]2033'!K56,2)</f>
        <v>26001.52</v>
      </c>
      <c r="L150" s="79">
        <f>ROUND('[6]2033'!L56,2)</f>
        <v>28997.37</v>
      </c>
      <c r="M150" s="79">
        <f>ROUND('[6]2033'!M56,2)</f>
        <v>32366.57</v>
      </c>
      <c r="N150" s="79">
        <f>ROUND('[6]2033'!N56,2)</f>
        <v>34231.120000000003</v>
      </c>
      <c r="O150" s="79">
        <f>ROUND('[6]2033'!O56,2)</f>
        <v>36172.9</v>
      </c>
      <c r="P150" s="79">
        <f>ROUND('[6]2033'!P56,2)</f>
        <v>36991.03</v>
      </c>
      <c r="Q150" s="79">
        <f>ROUND('[6]2033'!Q56,2)</f>
        <v>36325.51</v>
      </c>
      <c r="R150" s="79">
        <f>ROUND('[6]2033'!R56,2)</f>
        <v>35572.339999999997</v>
      </c>
      <c r="S150" s="79">
        <f>ROUND('[6]2033'!S56,2)</f>
        <v>35333.75</v>
      </c>
      <c r="T150" s="79">
        <f>ROUND('[6]2033'!T56,2)</f>
        <v>35617.5</v>
      </c>
      <c r="U150" s="79">
        <f>ROUND('[6]2033'!U56,2)</f>
        <v>35440.949999999997</v>
      </c>
      <c r="V150" s="79">
        <f>ROUND('[6]2033'!V56,2)</f>
        <v>37412.92</v>
      </c>
      <c r="W150" s="79">
        <f>ROUND('[6]2033'!W56,2)</f>
        <v>40498.239999999998</v>
      </c>
      <c r="X150" s="79">
        <f>ROUND('[6]2033'!X56,2)</f>
        <v>39813.839999999997</v>
      </c>
      <c r="Y150" s="79">
        <f>ROUND('[6]2033'!Y56,2)</f>
        <v>38382.49</v>
      </c>
      <c r="Z150" s="79">
        <f>ROUND('[6]2033'!Z56,2)</f>
        <v>36606.69</v>
      </c>
      <c r="AA150" s="79">
        <f>ROUND('[6]2033'!AA56,2)</f>
        <v>34362.97</v>
      </c>
      <c r="AB150" s="79">
        <f>ROUND('[6]2033'!AB56,2)</f>
        <v>31838.59</v>
      </c>
      <c r="AC150" s="210"/>
      <c r="AD150" s="18"/>
    </row>
    <row r="151" spans="2:50" ht="18.649999999999999" customHeight="1" x14ac:dyDescent="0.35">
      <c r="B151" s="208"/>
      <c r="C151" s="9" t="s">
        <v>31</v>
      </c>
      <c r="D151" s="10">
        <f>+'[6]2033'!D57</f>
        <v>4</v>
      </c>
      <c r="E151" s="79">
        <f>ROUND('[6]2033'!E57,2)</f>
        <v>29785.26</v>
      </c>
      <c r="F151" s="79">
        <f>ROUND('[6]2033'!F57,2)</f>
        <v>28372.19</v>
      </c>
      <c r="G151" s="79">
        <f>ROUND('[6]2033'!G57,2)</f>
        <v>27148.6</v>
      </c>
      <c r="H151" s="79">
        <f>ROUND('[6]2033'!H57,2)</f>
        <v>26323.91</v>
      </c>
      <c r="I151" s="79">
        <f>ROUND('[6]2033'!I57,2)</f>
        <v>25989.64</v>
      </c>
      <c r="J151" s="79">
        <f>ROUND('[6]2033'!J57,2)</f>
        <v>25551.73</v>
      </c>
      <c r="K151" s="79">
        <f>ROUND('[6]2033'!K57,2)</f>
        <v>24921.13</v>
      </c>
      <c r="L151" s="79">
        <f>ROUND('[6]2033'!L57,2)</f>
        <v>26292.77</v>
      </c>
      <c r="M151" s="79">
        <f>ROUND('[6]2033'!M57,2)</f>
        <v>28173.22</v>
      </c>
      <c r="N151" s="79">
        <f>ROUND('[6]2033'!N57,2)</f>
        <v>29718.6</v>
      </c>
      <c r="O151" s="79">
        <f>ROUND('[6]2033'!O57,2)</f>
        <v>31205.52</v>
      </c>
      <c r="P151" s="79">
        <f>ROUND('[6]2033'!P57,2)</f>
        <v>31990.97</v>
      </c>
      <c r="Q151" s="79">
        <f>ROUND('[6]2033'!Q57,2)</f>
        <v>32573.77</v>
      </c>
      <c r="R151" s="79">
        <f>ROUND('[6]2033'!R57,2)</f>
        <v>32543.07</v>
      </c>
      <c r="S151" s="79">
        <f>ROUND('[6]2033'!S57,2)</f>
        <v>32449.54</v>
      </c>
      <c r="T151" s="79">
        <f>ROUND('[6]2033'!T57,2)</f>
        <v>32597.47</v>
      </c>
      <c r="U151" s="79">
        <f>ROUND('[6]2033'!U57,2)</f>
        <v>32635.360000000001</v>
      </c>
      <c r="V151" s="79">
        <f>ROUND('[6]2033'!V57,2)</f>
        <v>34842.78</v>
      </c>
      <c r="W151" s="79">
        <f>ROUND('[6]2033'!W57,2)</f>
        <v>38163.879999999997</v>
      </c>
      <c r="X151" s="79">
        <f>ROUND('[6]2033'!X57,2)</f>
        <v>38219.71</v>
      </c>
      <c r="Y151" s="79">
        <f>ROUND('[6]2033'!Y57,2)</f>
        <v>37376.93</v>
      </c>
      <c r="Z151" s="79">
        <f>ROUND('[6]2033'!Z57,2)</f>
        <v>35907.730000000003</v>
      </c>
      <c r="AA151" s="79">
        <f>ROUND('[6]2033'!AA57,2)</f>
        <v>33606.35</v>
      </c>
      <c r="AB151" s="79">
        <f>ROUND('[6]2033'!AB57,2)</f>
        <v>31172.11</v>
      </c>
      <c r="AC151" s="210"/>
      <c r="AD151" s="18"/>
    </row>
    <row r="152" spans="2:50" ht="18.649999999999999" customHeight="1" thickBot="1" x14ac:dyDescent="0.4">
      <c r="B152" s="208"/>
      <c r="C152" s="15" t="s">
        <v>32</v>
      </c>
      <c r="D152" s="16">
        <f>+'[6]2033'!D58</f>
        <v>2</v>
      </c>
      <c r="E152" s="80">
        <f>ROUND('[6]2033'!E58,2)</f>
        <v>29785.26</v>
      </c>
      <c r="F152" s="80">
        <f>ROUND('[6]2033'!F58,2)</f>
        <v>28372.19</v>
      </c>
      <c r="G152" s="80">
        <f>ROUND('[6]2033'!G58,2)</f>
        <v>27148.6</v>
      </c>
      <c r="H152" s="80">
        <f>ROUND('[6]2033'!H58,2)</f>
        <v>26323.91</v>
      </c>
      <c r="I152" s="80">
        <f>ROUND('[6]2033'!I58,2)</f>
        <v>25989.64</v>
      </c>
      <c r="J152" s="80">
        <f>ROUND('[6]2033'!J58,2)</f>
        <v>25551.73</v>
      </c>
      <c r="K152" s="80">
        <f>ROUND('[6]2033'!K58,2)</f>
        <v>24921.13</v>
      </c>
      <c r="L152" s="80">
        <f>ROUND('[6]2033'!L58,2)</f>
        <v>26292.77</v>
      </c>
      <c r="M152" s="80">
        <f>ROUND('[6]2033'!M58,2)</f>
        <v>28173.22</v>
      </c>
      <c r="N152" s="80">
        <f>ROUND('[6]2033'!N58,2)</f>
        <v>29718.6</v>
      </c>
      <c r="O152" s="80">
        <f>ROUND('[6]2033'!O58,2)</f>
        <v>31205.52</v>
      </c>
      <c r="P152" s="80">
        <f>ROUND('[6]2033'!P58,2)</f>
        <v>31990.97</v>
      </c>
      <c r="Q152" s="80">
        <f>ROUND('[6]2033'!Q58,2)</f>
        <v>32573.77</v>
      </c>
      <c r="R152" s="80">
        <f>ROUND('[6]2033'!R58,2)</f>
        <v>32543.07</v>
      </c>
      <c r="S152" s="80">
        <f>ROUND('[6]2033'!S58,2)</f>
        <v>32449.54</v>
      </c>
      <c r="T152" s="80">
        <f>ROUND('[6]2033'!T58,2)</f>
        <v>32597.47</v>
      </c>
      <c r="U152" s="80">
        <f>ROUND('[6]2033'!U58,2)</f>
        <v>32635.360000000001</v>
      </c>
      <c r="V152" s="80">
        <f>ROUND('[6]2033'!V58,2)</f>
        <v>34842.78</v>
      </c>
      <c r="W152" s="80">
        <f>ROUND('[6]2033'!W58,2)</f>
        <v>38163.879999999997</v>
      </c>
      <c r="X152" s="80">
        <f>ROUND('[6]2033'!X58,2)</f>
        <v>38219.71</v>
      </c>
      <c r="Y152" s="80">
        <f>ROUND('[6]2033'!Y58,2)</f>
        <v>37376.93</v>
      </c>
      <c r="Z152" s="80">
        <f>ROUND('[6]2033'!Z58,2)</f>
        <v>35907.730000000003</v>
      </c>
      <c r="AA152" s="80">
        <f>ROUND('[6]2033'!AA58,2)</f>
        <v>33606.35</v>
      </c>
      <c r="AB152" s="80">
        <f>ROUND('[6]2033'!AB58,2)</f>
        <v>31172.11</v>
      </c>
      <c r="AC152" s="210"/>
      <c r="AD152" s="18"/>
    </row>
    <row r="153" spans="2:50" ht="18.649999999999999" customHeight="1" x14ac:dyDescent="0.35">
      <c r="B153" s="211">
        <v>48914</v>
      </c>
      <c r="C153" s="6" t="s">
        <v>29</v>
      </c>
      <c r="D153" s="7">
        <f>+'[6]2033'!D59</f>
        <v>21</v>
      </c>
      <c r="E153" s="78">
        <f>ROUND('[6]2033'!E59,2)</f>
        <v>31680.13</v>
      </c>
      <c r="F153" s="78">
        <f>ROUND('[6]2033'!F59,2)</f>
        <v>29937.759999999998</v>
      </c>
      <c r="G153" s="78">
        <f>ROUND('[6]2033'!G59,2)</f>
        <v>28693.38</v>
      </c>
      <c r="H153" s="78">
        <f>ROUND('[6]2033'!H59,2)</f>
        <v>27922.29</v>
      </c>
      <c r="I153" s="78">
        <f>ROUND('[6]2033'!I59,2)</f>
        <v>27823.119999999999</v>
      </c>
      <c r="J153" s="78">
        <f>ROUND('[6]2033'!J59,2)</f>
        <v>28320.14</v>
      </c>
      <c r="K153" s="78">
        <f>ROUND('[6]2033'!K59,2)</f>
        <v>28518.21</v>
      </c>
      <c r="L153" s="78">
        <f>ROUND('[6]2033'!L59,2)</f>
        <v>31955.51</v>
      </c>
      <c r="M153" s="78">
        <f>ROUND('[6]2033'!M59,2)</f>
        <v>35446.449999999997</v>
      </c>
      <c r="N153" s="78">
        <f>ROUND('[6]2033'!N59,2)</f>
        <v>37445.35</v>
      </c>
      <c r="O153" s="78">
        <f>ROUND('[6]2033'!O59,2)</f>
        <v>39204.67</v>
      </c>
      <c r="P153" s="78">
        <f>ROUND('[6]2033'!P59,2)</f>
        <v>40477.699999999997</v>
      </c>
      <c r="Q153" s="78">
        <f>ROUND('[6]2033'!Q59,2)</f>
        <v>39363.19</v>
      </c>
      <c r="R153" s="78">
        <f>ROUND('[6]2033'!R59,2)</f>
        <v>39867.61</v>
      </c>
      <c r="S153" s="78">
        <f>ROUND('[6]2033'!S59,2)</f>
        <v>41553.269999999997</v>
      </c>
      <c r="T153" s="78">
        <f>ROUND('[6]2033'!T59,2)</f>
        <v>42071.97</v>
      </c>
      <c r="U153" s="78">
        <f>ROUND('[6]2033'!U59,2)</f>
        <v>41724.97</v>
      </c>
      <c r="V153" s="78">
        <f>ROUND('[6]2033'!V59,2)</f>
        <v>41767.33</v>
      </c>
      <c r="W153" s="78">
        <f>ROUND('[6]2033'!W59,2)</f>
        <v>44985.98</v>
      </c>
      <c r="X153" s="78">
        <f>ROUND('[6]2033'!X59,2)</f>
        <v>44120.4</v>
      </c>
      <c r="Y153" s="78">
        <f>ROUND('[6]2033'!Y59,2)</f>
        <v>42505.52</v>
      </c>
      <c r="Z153" s="78">
        <f>ROUND('[6]2033'!Z59,2)</f>
        <v>40203.32</v>
      </c>
      <c r="AA153" s="78">
        <f>ROUND('[6]2033'!AA59,2)</f>
        <v>37248.910000000003</v>
      </c>
      <c r="AB153" s="78">
        <f>ROUND('[6]2033'!AB59,2)</f>
        <v>34374.089999999997</v>
      </c>
      <c r="AC153" s="209">
        <f>SUM(E153:AB153)*D153+SUM(E154:AB154)*D154+SUM(E155:AB155)*D155+SUM(E156:AB156)*D156</f>
        <v>26687127.220000003</v>
      </c>
      <c r="AD153" s="18"/>
    </row>
    <row r="154" spans="2:50" ht="18.649999999999999" customHeight="1" x14ac:dyDescent="0.35">
      <c r="B154" s="212" t="s">
        <v>34</v>
      </c>
      <c r="C154" s="9" t="s">
        <v>30</v>
      </c>
      <c r="D154" s="10">
        <f>+'[6]2033'!D60</f>
        <v>5</v>
      </c>
      <c r="E154" s="79">
        <f>ROUND('[6]2033'!E60,2)</f>
        <v>32193.16</v>
      </c>
      <c r="F154" s="79">
        <f>ROUND('[6]2033'!F60,2)</f>
        <v>30370.58</v>
      </c>
      <c r="G154" s="79">
        <f>ROUND('[6]2033'!G60,2)</f>
        <v>29169.95</v>
      </c>
      <c r="H154" s="79">
        <f>ROUND('[6]2033'!H60,2)</f>
        <v>28289.66</v>
      </c>
      <c r="I154" s="79">
        <f>ROUND('[6]2033'!I60,2)</f>
        <v>28046.33</v>
      </c>
      <c r="J154" s="79">
        <f>ROUND('[6]2033'!J60,2)</f>
        <v>28095.25</v>
      </c>
      <c r="K154" s="79">
        <f>ROUND('[6]2033'!K60,2)</f>
        <v>27816.18</v>
      </c>
      <c r="L154" s="79">
        <f>ROUND('[6]2033'!L60,2)</f>
        <v>30370.23</v>
      </c>
      <c r="M154" s="79">
        <f>ROUND('[6]2033'!M60,2)</f>
        <v>34067.019999999997</v>
      </c>
      <c r="N154" s="79">
        <f>ROUND('[6]2033'!N60,2)</f>
        <v>36234.980000000003</v>
      </c>
      <c r="O154" s="79">
        <f>ROUND('[6]2033'!O60,2)</f>
        <v>38060.879999999997</v>
      </c>
      <c r="P154" s="79">
        <f>ROUND('[6]2033'!P60,2)</f>
        <v>39175.29</v>
      </c>
      <c r="Q154" s="79">
        <f>ROUND('[6]2033'!Q60,2)</f>
        <v>38540.800000000003</v>
      </c>
      <c r="R154" s="79">
        <f>ROUND('[6]2033'!R60,2)</f>
        <v>38262.1</v>
      </c>
      <c r="S154" s="79">
        <f>ROUND('[6]2033'!S60,2)</f>
        <v>38101.71</v>
      </c>
      <c r="T154" s="79">
        <f>ROUND('[6]2033'!T60,2)</f>
        <v>38510.800000000003</v>
      </c>
      <c r="U154" s="79">
        <f>ROUND('[6]2033'!U60,2)</f>
        <v>38391.17</v>
      </c>
      <c r="V154" s="79">
        <f>ROUND('[6]2033'!V60,2)</f>
        <v>39240.050000000003</v>
      </c>
      <c r="W154" s="79">
        <f>ROUND('[6]2033'!W60,2)</f>
        <v>43586.77</v>
      </c>
      <c r="X154" s="79">
        <f>ROUND('[6]2033'!X60,2)</f>
        <v>42968.5</v>
      </c>
      <c r="Y154" s="79">
        <f>ROUND('[6]2033'!Y60,2)</f>
        <v>41350.76</v>
      </c>
      <c r="Z154" s="79">
        <f>ROUND('[6]2033'!Z60,2)</f>
        <v>39585.82</v>
      </c>
      <c r="AA154" s="79">
        <f>ROUND('[6]2033'!AA60,2)</f>
        <v>37138.75</v>
      </c>
      <c r="AB154" s="79">
        <f>ROUND('[6]2033'!AB60,2)</f>
        <v>34617.74</v>
      </c>
      <c r="AC154" s="210"/>
      <c r="AD154" s="18"/>
    </row>
    <row r="155" spans="2:50" ht="18.649999999999999" customHeight="1" x14ac:dyDescent="0.35">
      <c r="B155" s="212" t="s">
        <v>34</v>
      </c>
      <c r="C155" s="9" t="s">
        <v>31</v>
      </c>
      <c r="D155" s="10">
        <f>+'[6]2033'!D61</f>
        <v>3</v>
      </c>
      <c r="E155" s="79">
        <f>ROUND('[6]2033'!E61,2)</f>
        <v>32396.39</v>
      </c>
      <c r="F155" s="79">
        <f>ROUND('[6]2033'!F61,2)</f>
        <v>30804.1</v>
      </c>
      <c r="G155" s="79">
        <f>ROUND('[6]2033'!G61,2)</f>
        <v>29521.66</v>
      </c>
      <c r="H155" s="79">
        <f>ROUND('[6]2033'!H61,2)</f>
        <v>28618.53</v>
      </c>
      <c r="I155" s="79">
        <f>ROUND('[6]2033'!I61,2)</f>
        <v>28211.1</v>
      </c>
      <c r="J155" s="79">
        <f>ROUND('[6]2033'!J61,2)</f>
        <v>27926.42</v>
      </c>
      <c r="K155" s="79">
        <f>ROUND('[6]2033'!K61,2)</f>
        <v>26682.14</v>
      </c>
      <c r="L155" s="79">
        <f>ROUND('[6]2033'!L61,2)</f>
        <v>28028.07</v>
      </c>
      <c r="M155" s="79">
        <f>ROUND('[6]2033'!M61,2)</f>
        <v>30167.52</v>
      </c>
      <c r="N155" s="79">
        <f>ROUND('[6]2033'!N61,2)</f>
        <v>32004.21</v>
      </c>
      <c r="O155" s="79">
        <f>ROUND('[6]2033'!O61,2)</f>
        <v>33212.47</v>
      </c>
      <c r="P155" s="79">
        <f>ROUND('[6]2033'!P61,2)</f>
        <v>34201.870000000003</v>
      </c>
      <c r="Q155" s="79">
        <f>ROUND('[6]2033'!Q61,2)</f>
        <v>34790.25</v>
      </c>
      <c r="R155" s="79">
        <f>ROUND('[6]2033'!R61,2)</f>
        <v>35117.89</v>
      </c>
      <c r="S155" s="79">
        <f>ROUND('[6]2033'!S61,2)</f>
        <v>34125.32</v>
      </c>
      <c r="T155" s="79">
        <f>ROUND('[6]2033'!T61,2)</f>
        <v>35058.629999999997</v>
      </c>
      <c r="U155" s="79">
        <f>ROUND('[6]2033'!U61,2)</f>
        <v>35267.03</v>
      </c>
      <c r="V155" s="79">
        <f>ROUND('[6]2033'!V61,2)</f>
        <v>36444.519999999997</v>
      </c>
      <c r="W155" s="79">
        <f>ROUND('[6]2033'!W61,2)</f>
        <v>40865.129999999997</v>
      </c>
      <c r="X155" s="79">
        <f>ROUND('[6]2033'!X61,2)</f>
        <v>40540</v>
      </c>
      <c r="Y155" s="79">
        <f>ROUND('[6]2033'!Y61,2)</f>
        <v>39482.01</v>
      </c>
      <c r="Z155" s="79">
        <f>ROUND('[6]2033'!Z61,2)</f>
        <v>38032.53</v>
      </c>
      <c r="AA155" s="79">
        <f>ROUND('[6]2033'!AA61,2)</f>
        <v>35839.769999999997</v>
      </c>
      <c r="AB155" s="79">
        <f>ROUND('[6]2033'!AB61,2)</f>
        <v>33616.07</v>
      </c>
      <c r="AC155" s="210"/>
      <c r="AD155" s="18"/>
    </row>
    <row r="156" spans="2:50" ht="18.649999999999999" customHeight="1" thickBot="1" x14ac:dyDescent="0.4">
      <c r="B156" s="213" t="s">
        <v>34</v>
      </c>
      <c r="C156" s="11" t="s">
        <v>32</v>
      </c>
      <c r="D156" s="12">
        <f>+'[6]2033'!D62</f>
        <v>2</v>
      </c>
      <c r="E156" s="76">
        <f>ROUND('[6]2033'!E62,2)</f>
        <v>32396.39</v>
      </c>
      <c r="F156" s="76">
        <f>ROUND('[6]2033'!F62,2)</f>
        <v>30804.1</v>
      </c>
      <c r="G156" s="76">
        <f>ROUND('[6]2033'!G62,2)</f>
        <v>29521.66</v>
      </c>
      <c r="H156" s="76">
        <f>ROUND('[6]2033'!H62,2)</f>
        <v>28618.53</v>
      </c>
      <c r="I156" s="76">
        <f>ROUND('[6]2033'!I62,2)</f>
        <v>28211.1</v>
      </c>
      <c r="J156" s="76">
        <f>ROUND('[6]2033'!J62,2)</f>
        <v>27926.42</v>
      </c>
      <c r="K156" s="76">
        <f>ROUND('[6]2033'!K62,2)</f>
        <v>26682.14</v>
      </c>
      <c r="L156" s="76">
        <f>ROUND('[6]2033'!L62,2)</f>
        <v>28028.07</v>
      </c>
      <c r="M156" s="76">
        <f>ROUND('[6]2033'!M62,2)</f>
        <v>30167.52</v>
      </c>
      <c r="N156" s="76">
        <f>ROUND('[6]2033'!N62,2)</f>
        <v>32004.21</v>
      </c>
      <c r="O156" s="76">
        <f>ROUND('[6]2033'!O62,2)</f>
        <v>33212.47</v>
      </c>
      <c r="P156" s="76">
        <f>ROUND('[6]2033'!P62,2)</f>
        <v>34201.870000000003</v>
      </c>
      <c r="Q156" s="76">
        <f>ROUND('[6]2033'!Q62,2)</f>
        <v>34790.25</v>
      </c>
      <c r="R156" s="76">
        <f>ROUND('[6]2033'!R62,2)</f>
        <v>35117.89</v>
      </c>
      <c r="S156" s="76">
        <f>ROUND('[6]2033'!S62,2)</f>
        <v>34125.32</v>
      </c>
      <c r="T156" s="76">
        <f>ROUND('[6]2033'!T62,2)</f>
        <v>35058.629999999997</v>
      </c>
      <c r="U156" s="76">
        <f>ROUND('[6]2033'!U62,2)</f>
        <v>35267.03</v>
      </c>
      <c r="V156" s="76">
        <f>ROUND('[6]2033'!V62,2)</f>
        <v>36444.519999999997</v>
      </c>
      <c r="W156" s="76">
        <f>ROUND('[6]2033'!W62,2)</f>
        <v>40865.129999999997</v>
      </c>
      <c r="X156" s="76">
        <f>ROUND('[6]2033'!X62,2)</f>
        <v>40540</v>
      </c>
      <c r="Y156" s="76">
        <f>ROUND('[6]2033'!Y62,2)</f>
        <v>39482.01</v>
      </c>
      <c r="Z156" s="76">
        <f>ROUND('[6]2033'!Z62,2)</f>
        <v>38032.53</v>
      </c>
      <c r="AA156" s="76">
        <f>ROUND('[6]2033'!AA62,2)</f>
        <v>35839.769999999997</v>
      </c>
      <c r="AB156" s="76">
        <f>ROUND('[6]2033'!AB62,2)</f>
        <v>33616.07</v>
      </c>
      <c r="AC156" s="214"/>
      <c r="AD156" s="18"/>
    </row>
    <row r="157" spans="2:50" ht="18.649999999999999" customHeight="1" thickBot="1" x14ac:dyDescent="0.4"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215" t="s">
        <v>33</v>
      </c>
      <c r="AA157" s="216"/>
      <c r="AB157" s="217"/>
      <c r="AC157" s="135">
        <f>SUM(AC109:AC156)</f>
        <v>315132422.30000001</v>
      </c>
      <c r="AD157" s="17"/>
      <c r="AE157" s="18"/>
    </row>
    <row r="158" spans="2:50" ht="18.649999999999999" customHeight="1" x14ac:dyDescent="0.35">
      <c r="B158" s="207">
        <v>48945</v>
      </c>
      <c r="C158" s="6" t="s">
        <v>29</v>
      </c>
      <c r="D158" s="46">
        <f>+'[6]2034'!D15</f>
        <v>21</v>
      </c>
      <c r="E158" s="78">
        <f>ROUND('[6]2034'!E15,2)</f>
        <v>33574.080000000002</v>
      </c>
      <c r="F158" s="78">
        <f>ROUND('[6]2034'!F15,2)</f>
        <v>31859.51</v>
      </c>
      <c r="G158" s="78">
        <f>ROUND('[6]2034'!G15,2)</f>
        <v>30569.72</v>
      </c>
      <c r="H158" s="78">
        <f>ROUND('[6]2034'!H15,2)</f>
        <v>29633.54</v>
      </c>
      <c r="I158" s="78">
        <f>ROUND('[6]2034'!I15,2)</f>
        <v>29470.2</v>
      </c>
      <c r="J158" s="78">
        <f>ROUND('[6]2034'!J15,2)</f>
        <v>30456.39</v>
      </c>
      <c r="K158" s="78">
        <f>ROUND('[6]2034'!K15,2)</f>
        <v>30181.46</v>
      </c>
      <c r="L158" s="78">
        <f>ROUND('[6]2034'!L15,2)</f>
        <v>33669.019999999997</v>
      </c>
      <c r="M158" s="78">
        <f>ROUND('[6]2034'!M15,2)</f>
        <v>37376.199999999997</v>
      </c>
      <c r="N158" s="78">
        <f>ROUND('[6]2034'!N15,2)</f>
        <v>39302.71</v>
      </c>
      <c r="O158" s="78">
        <f>ROUND('[6]2034'!O15,2)</f>
        <v>41388.31</v>
      </c>
      <c r="P158" s="78">
        <f>ROUND('[6]2034'!P15,2)</f>
        <v>43095.54</v>
      </c>
      <c r="Q158" s="78">
        <f>ROUND('[6]2034'!Q15,2)</f>
        <v>41915.54</v>
      </c>
      <c r="R158" s="78">
        <f>ROUND('[6]2034'!R15,2)</f>
        <v>43069.58</v>
      </c>
      <c r="S158" s="78">
        <f>ROUND('[6]2034'!S15,2)</f>
        <v>45067.47</v>
      </c>
      <c r="T158" s="78">
        <f>ROUND('[6]2034'!T15,2)</f>
        <v>45307.06</v>
      </c>
      <c r="U158" s="78">
        <f>ROUND('[6]2034'!U15,2)</f>
        <v>44557.77</v>
      </c>
      <c r="V158" s="78">
        <f>ROUND('[6]2034'!V15,2)</f>
        <v>42915.81</v>
      </c>
      <c r="W158" s="78">
        <f>ROUND('[6]2034'!W15,2)</f>
        <v>45909.05</v>
      </c>
      <c r="X158" s="78">
        <f>ROUND('[6]2034'!X15,2)</f>
        <v>46072.75</v>
      </c>
      <c r="Y158" s="78">
        <f>ROUND('[6]2034'!Y15,2)</f>
        <v>44862.53</v>
      </c>
      <c r="Z158" s="78">
        <f>ROUND('[6]2034'!Z15,2)</f>
        <v>42895.35</v>
      </c>
      <c r="AA158" s="78">
        <f>ROUND('[6]2034'!AA15,2)</f>
        <v>39854.269999999997</v>
      </c>
      <c r="AB158" s="78">
        <f>ROUND('[6]2034'!AB15,2)</f>
        <v>36607.599999999999</v>
      </c>
      <c r="AC158" s="209">
        <f>SUM(E158:AB158)*D158+SUM(E159:AB159)*D159+SUM(E160:AB160)*D160+SUM(E161:AB161)*D161</f>
        <v>27957635.98</v>
      </c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</row>
    <row r="159" spans="2:50" ht="18.649999999999999" customHeight="1" x14ac:dyDescent="0.35">
      <c r="B159" s="208"/>
      <c r="C159" s="9" t="s">
        <v>30</v>
      </c>
      <c r="D159" s="10">
        <f>+'[6]2034'!D16</f>
        <v>4</v>
      </c>
      <c r="E159" s="79">
        <f>ROUND('[6]2034'!E16,2)</f>
        <v>33330.720000000001</v>
      </c>
      <c r="F159" s="79">
        <f>ROUND('[6]2034'!F16,2)</f>
        <v>31729.9</v>
      </c>
      <c r="G159" s="79">
        <f>ROUND('[6]2034'!G16,2)</f>
        <v>30472.54</v>
      </c>
      <c r="H159" s="79">
        <f>ROUND('[6]2034'!H16,2)</f>
        <v>29512.27</v>
      </c>
      <c r="I159" s="79">
        <f>ROUND('[6]2034'!I16,2)</f>
        <v>29221.62</v>
      </c>
      <c r="J159" s="79">
        <f>ROUND('[6]2034'!J16,2)</f>
        <v>29455.38</v>
      </c>
      <c r="K159" s="79">
        <f>ROUND('[6]2034'!K16,2)</f>
        <v>28696.26</v>
      </c>
      <c r="L159" s="79">
        <f>ROUND('[6]2034'!L16,2)</f>
        <v>31531.42</v>
      </c>
      <c r="M159" s="79">
        <f>ROUND('[6]2034'!M16,2)</f>
        <v>35037.19</v>
      </c>
      <c r="N159" s="79">
        <f>ROUND('[6]2034'!N16,2)</f>
        <v>37359.08</v>
      </c>
      <c r="O159" s="79">
        <f>ROUND('[6]2034'!O16,2)</f>
        <v>39185.83</v>
      </c>
      <c r="P159" s="79">
        <f>ROUND('[6]2034'!P16,2)</f>
        <v>40174.35</v>
      </c>
      <c r="Q159" s="79">
        <f>ROUND('[6]2034'!Q16,2)</f>
        <v>39823.08</v>
      </c>
      <c r="R159" s="79">
        <f>ROUND('[6]2034'!R16,2)</f>
        <v>38979.89</v>
      </c>
      <c r="S159" s="79">
        <f>ROUND('[6]2034'!S16,2)</f>
        <v>39163.839999999997</v>
      </c>
      <c r="T159" s="79">
        <f>ROUND('[6]2034'!T16,2)</f>
        <v>39299.69</v>
      </c>
      <c r="U159" s="79">
        <f>ROUND('[6]2034'!U16,2)</f>
        <v>38910.239999999998</v>
      </c>
      <c r="V159" s="79">
        <f>ROUND('[6]2034'!V16,2)</f>
        <v>39051.19</v>
      </c>
      <c r="W159" s="79">
        <f>ROUND('[6]2034'!W16,2)</f>
        <v>43379.839999999997</v>
      </c>
      <c r="X159" s="79">
        <f>ROUND('[6]2034'!X16,2)</f>
        <v>43690.48</v>
      </c>
      <c r="Y159" s="79">
        <f>ROUND('[6]2034'!Y16,2)</f>
        <v>42391.78</v>
      </c>
      <c r="Z159" s="79">
        <f>ROUND('[6]2034'!Z16,2)</f>
        <v>40674</v>
      </c>
      <c r="AA159" s="79">
        <f>ROUND('[6]2034'!AA16,2)</f>
        <v>38441.69</v>
      </c>
      <c r="AB159" s="79">
        <f>ROUND('[6]2034'!AB16,2)</f>
        <v>35966.15</v>
      </c>
      <c r="AC159" s="210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</row>
    <row r="160" spans="2:50" ht="18.649999999999999" customHeight="1" x14ac:dyDescent="0.35">
      <c r="B160" s="208"/>
      <c r="C160" s="9" t="s">
        <v>31</v>
      </c>
      <c r="D160" s="10">
        <f>+'[6]2034'!D17</f>
        <v>4</v>
      </c>
      <c r="E160" s="79">
        <f>ROUND('[6]2034'!E17,2)</f>
        <v>33551.629999999997</v>
      </c>
      <c r="F160" s="79">
        <f>ROUND('[6]2034'!F17,2)</f>
        <v>31903.23</v>
      </c>
      <c r="G160" s="79">
        <f>ROUND('[6]2034'!G17,2)</f>
        <v>30574.04</v>
      </c>
      <c r="H160" s="79">
        <f>ROUND('[6]2034'!H17,2)</f>
        <v>29598.85</v>
      </c>
      <c r="I160" s="79">
        <f>ROUND('[6]2034'!I17,2)</f>
        <v>29118.89</v>
      </c>
      <c r="J160" s="79">
        <f>ROUND('[6]2034'!J17,2)</f>
        <v>28966.15</v>
      </c>
      <c r="K160" s="79">
        <f>ROUND('[6]2034'!K17,2)</f>
        <v>27405.55</v>
      </c>
      <c r="L160" s="79">
        <f>ROUND('[6]2034'!L17,2)</f>
        <v>28628.18</v>
      </c>
      <c r="M160" s="79">
        <f>ROUND('[6]2034'!M17,2)</f>
        <v>30587.99</v>
      </c>
      <c r="N160" s="79">
        <f>ROUND('[6]2034'!N17,2)</f>
        <v>32096.97</v>
      </c>
      <c r="O160" s="79">
        <f>ROUND('[6]2034'!O17,2)</f>
        <v>33540.65</v>
      </c>
      <c r="P160" s="79">
        <f>ROUND('[6]2034'!P17,2)</f>
        <v>34708.519999999997</v>
      </c>
      <c r="Q160" s="79">
        <f>ROUND('[6]2034'!Q17,2)</f>
        <v>35504.49</v>
      </c>
      <c r="R160" s="79">
        <f>ROUND('[6]2034'!R17,2)</f>
        <v>35600.269999999997</v>
      </c>
      <c r="S160" s="79">
        <f>ROUND('[6]2034'!S17,2)</f>
        <v>35618.31</v>
      </c>
      <c r="T160" s="79">
        <f>ROUND('[6]2034'!T17,2)</f>
        <v>35740.85</v>
      </c>
      <c r="U160" s="79">
        <f>ROUND('[6]2034'!U17,2)</f>
        <v>35759.01</v>
      </c>
      <c r="V160" s="79">
        <f>ROUND('[6]2034'!V17,2)</f>
        <v>36136.639999999999</v>
      </c>
      <c r="W160" s="79">
        <f>ROUND('[6]2034'!W17,2)</f>
        <v>40854.21</v>
      </c>
      <c r="X160" s="79">
        <f>ROUND('[6]2034'!X17,2)</f>
        <v>42024.41</v>
      </c>
      <c r="Y160" s="79">
        <f>ROUND('[6]2034'!Y17,2)</f>
        <v>41579.769999999997</v>
      </c>
      <c r="Z160" s="79">
        <f>ROUND('[6]2034'!Z17,2)</f>
        <v>40212.01</v>
      </c>
      <c r="AA160" s="79">
        <f>ROUND('[6]2034'!AA17,2)</f>
        <v>37762.53</v>
      </c>
      <c r="AB160" s="79">
        <f>ROUND('[6]2034'!AB17,2)</f>
        <v>34840.449999999997</v>
      </c>
      <c r="AC160" s="210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</row>
    <row r="161" spans="2:50" ht="18.649999999999999" customHeight="1" thickBot="1" x14ac:dyDescent="0.4">
      <c r="B161" s="208"/>
      <c r="C161" s="15" t="s">
        <v>32</v>
      </c>
      <c r="D161" s="16">
        <f>+'[6]2034'!D18</f>
        <v>2</v>
      </c>
      <c r="E161" s="80">
        <f>ROUND('[6]2034'!E18,2)</f>
        <v>33551.629999999997</v>
      </c>
      <c r="F161" s="80">
        <f>ROUND('[6]2034'!F18,2)</f>
        <v>31903.23</v>
      </c>
      <c r="G161" s="80">
        <f>ROUND('[6]2034'!G18,2)</f>
        <v>30574.04</v>
      </c>
      <c r="H161" s="80">
        <f>ROUND('[6]2034'!H18,2)</f>
        <v>29598.85</v>
      </c>
      <c r="I161" s="80">
        <f>ROUND('[6]2034'!I18,2)</f>
        <v>29118.89</v>
      </c>
      <c r="J161" s="80">
        <f>ROUND('[6]2034'!J18,2)</f>
        <v>28966.15</v>
      </c>
      <c r="K161" s="80">
        <f>ROUND('[6]2034'!K18,2)</f>
        <v>27405.55</v>
      </c>
      <c r="L161" s="80">
        <f>ROUND('[6]2034'!L18,2)</f>
        <v>28628.18</v>
      </c>
      <c r="M161" s="80">
        <f>ROUND('[6]2034'!M18,2)</f>
        <v>30587.99</v>
      </c>
      <c r="N161" s="80">
        <f>ROUND('[6]2034'!N18,2)</f>
        <v>32096.97</v>
      </c>
      <c r="O161" s="80">
        <f>ROUND('[6]2034'!O18,2)</f>
        <v>33540.65</v>
      </c>
      <c r="P161" s="80">
        <f>ROUND('[6]2034'!P18,2)</f>
        <v>34708.519999999997</v>
      </c>
      <c r="Q161" s="80">
        <f>ROUND('[6]2034'!Q18,2)</f>
        <v>35504.49</v>
      </c>
      <c r="R161" s="80">
        <f>ROUND('[6]2034'!R18,2)</f>
        <v>35600.269999999997</v>
      </c>
      <c r="S161" s="80">
        <f>ROUND('[6]2034'!S18,2)</f>
        <v>35618.31</v>
      </c>
      <c r="T161" s="80">
        <f>ROUND('[6]2034'!T18,2)</f>
        <v>35740.85</v>
      </c>
      <c r="U161" s="80">
        <f>ROUND('[6]2034'!U18,2)</f>
        <v>35759.01</v>
      </c>
      <c r="V161" s="80">
        <f>ROUND('[6]2034'!V18,2)</f>
        <v>36136.639999999999</v>
      </c>
      <c r="W161" s="80">
        <f>ROUND('[6]2034'!W18,2)</f>
        <v>40854.21</v>
      </c>
      <c r="X161" s="80">
        <f>ROUND('[6]2034'!X18,2)</f>
        <v>42024.41</v>
      </c>
      <c r="Y161" s="80">
        <f>ROUND('[6]2034'!Y18,2)</f>
        <v>41579.769999999997</v>
      </c>
      <c r="Z161" s="80">
        <f>ROUND('[6]2034'!Z18,2)</f>
        <v>40212.01</v>
      </c>
      <c r="AA161" s="80">
        <f>ROUND('[6]2034'!AA18,2)</f>
        <v>37762.53</v>
      </c>
      <c r="AB161" s="80">
        <f>ROUND('[6]2034'!AB18,2)</f>
        <v>34840.449999999997</v>
      </c>
      <c r="AC161" s="210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</row>
    <row r="162" spans="2:50" ht="18.649999999999999" customHeight="1" x14ac:dyDescent="0.35">
      <c r="B162" s="211">
        <v>48976</v>
      </c>
      <c r="C162" s="6" t="s">
        <v>29</v>
      </c>
      <c r="D162" s="7">
        <f>+'[6]2034'!D19</f>
        <v>20</v>
      </c>
      <c r="E162" s="78">
        <f>ROUND('[6]2034'!E19,2)</f>
        <v>35346.31</v>
      </c>
      <c r="F162" s="78">
        <f>ROUND('[6]2034'!F19,2)</f>
        <v>33611.18</v>
      </c>
      <c r="G162" s="78">
        <f>ROUND('[6]2034'!G19,2)</f>
        <v>32226.03</v>
      </c>
      <c r="H162" s="78">
        <f>ROUND('[6]2034'!H19,2)</f>
        <v>31221.919999999998</v>
      </c>
      <c r="I162" s="78">
        <f>ROUND('[6]2034'!I19,2)</f>
        <v>31186.94</v>
      </c>
      <c r="J162" s="78">
        <f>ROUND('[6]2034'!J19,2)</f>
        <v>33061.46</v>
      </c>
      <c r="K162" s="78">
        <f>ROUND('[6]2034'!K19,2)</f>
        <v>32743.17</v>
      </c>
      <c r="L162" s="78">
        <f>ROUND('[6]2034'!L19,2)</f>
        <v>35930.15</v>
      </c>
      <c r="M162" s="78">
        <f>ROUND('[6]2034'!M19,2)</f>
        <v>39436.32</v>
      </c>
      <c r="N162" s="78">
        <f>ROUND('[6]2034'!N19,2)</f>
        <v>41137.56</v>
      </c>
      <c r="O162" s="78">
        <f>ROUND('[6]2034'!O19,2)</f>
        <v>43192.39</v>
      </c>
      <c r="P162" s="78">
        <f>ROUND('[6]2034'!P19,2)</f>
        <v>44817.33</v>
      </c>
      <c r="Q162" s="78">
        <f>ROUND('[6]2034'!Q19,2)</f>
        <v>43318.31</v>
      </c>
      <c r="R162" s="78">
        <f>ROUND('[6]2034'!R19,2)</f>
        <v>44874.68</v>
      </c>
      <c r="S162" s="78">
        <f>ROUND('[6]2034'!S19,2)</f>
        <v>47375.19</v>
      </c>
      <c r="T162" s="78">
        <f>ROUND('[6]2034'!T19,2)</f>
        <v>47762.559999999998</v>
      </c>
      <c r="U162" s="78">
        <f>ROUND('[6]2034'!U19,2)</f>
        <v>47049.71</v>
      </c>
      <c r="V162" s="78">
        <f>ROUND('[6]2034'!V19,2)</f>
        <v>45131.4</v>
      </c>
      <c r="W162" s="78">
        <f>ROUND('[6]2034'!W19,2)</f>
        <v>47806.64</v>
      </c>
      <c r="X162" s="78">
        <f>ROUND('[6]2034'!X19,2)</f>
        <v>48482.61</v>
      </c>
      <c r="Y162" s="78">
        <f>ROUND('[6]2034'!Y19,2)</f>
        <v>47437.4</v>
      </c>
      <c r="Z162" s="78">
        <f>ROUND('[6]2034'!Z19,2)</f>
        <v>45345.39</v>
      </c>
      <c r="AA162" s="78">
        <f>ROUND('[6]2034'!AA19,2)</f>
        <v>41773.94</v>
      </c>
      <c r="AB162" s="78">
        <f>ROUND('[6]2034'!AB19,2)</f>
        <v>38232.800000000003</v>
      </c>
      <c r="AC162" s="209">
        <f>SUM(E162:AB162)*D162+SUM(E163:AB163)*D163+SUM(E164:AB164)*D164+SUM(E165:AB165)*D165</f>
        <v>26770756.560000006</v>
      </c>
      <c r="AD162" s="18"/>
    </row>
    <row r="163" spans="2:50" ht="18.649999999999999" customHeight="1" x14ac:dyDescent="0.35">
      <c r="B163" s="212" t="s">
        <v>34</v>
      </c>
      <c r="C163" s="9" t="s">
        <v>30</v>
      </c>
      <c r="D163" s="10">
        <f>+'[6]2034'!D20</f>
        <v>4</v>
      </c>
      <c r="E163" s="79">
        <f>ROUND('[6]2034'!E20,2)</f>
        <v>35833.78</v>
      </c>
      <c r="F163" s="79">
        <f>ROUND('[6]2034'!F20,2)</f>
        <v>33896.269999999997</v>
      </c>
      <c r="G163" s="79">
        <f>ROUND('[6]2034'!G20,2)</f>
        <v>32632.73</v>
      </c>
      <c r="H163" s="79">
        <f>ROUND('[6]2034'!H20,2)</f>
        <v>31431.66</v>
      </c>
      <c r="I163" s="79">
        <f>ROUND('[6]2034'!I20,2)</f>
        <v>31053.3</v>
      </c>
      <c r="J163" s="79">
        <f>ROUND('[6]2034'!J20,2)</f>
        <v>31414.13</v>
      </c>
      <c r="K163" s="79">
        <f>ROUND('[6]2034'!K20,2)</f>
        <v>30857.08</v>
      </c>
      <c r="L163" s="79">
        <f>ROUND('[6]2034'!L20,2)</f>
        <v>33708.44</v>
      </c>
      <c r="M163" s="79">
        <f>ROUND('[6]2034'!M20,2)</f>
        <v>37198.82</v>
      </c>
      <c r="N163" s="79">
        <f>ROUND('[6]2034'!N20,2)</f>
        <v>39271.75</v>
      </c>
      <c r="O163" s="79">
        <f>ROUND('[6]2034'!O20,2)</f>
        <v>41177.08</v>
      </c>
      <c r="P163" s="79">
        <f>ROUND('[6]2034'!P20,2)</f>
        <v>42134.83</v>
      </c>
      <c r="Q163" s="79">
        <f>ROUND('[6]2034'!Q20,2)</f>
        <v>41462.71</v>
      </c>
      <c r="R163" s="79">
        <f>ROUND('[6]2034'!R20,2)</f>
        <v>40925.14</v>
      </c>
      <c r="S163" s="79">
        <f>ROUND('[6]2034'!S20,2)</f>
        <v>41113.440000000002</v>
      </c>
      <c r="T163" s="79">
        <f>ROUND('[6]2034'!T20,2)</f>
        <v>41231.11</v>
      </c>
      <c r="U163" s="79">
        <f>ROUND('[6]2034'!U20,2)</f>
        <v>40941.31</v>
      </c>
      <c r="V163" s="79">
        <f>ROUND('[6]2034'!V20,2)</f>
        <v>40821.019999999997</v>
      </c>
      <c r="W163" s="79">
        <f>ROUND('[6]2034'!W20,2)</f>
        <v>45058.93</v>
      </c>
      <c r="X163" s="79">
        <f>ROUND('[6]2034'!X20,2)</f>
        <v>45711.75</v>
      </c>
      <c r="Y163" s="79">
        <f>ROUND('[6]2034'!Y20,2)</f>
        <v>44643.11</v>
      </c>
      <c r="Z163" s="79">
        <f>ROUND('[6]2034'!Z20,2)</f>
        <v>42942.37</v>
      </c>
      <c r="AA163" s="79">
        <f>ROUND('[6]2034'!AA20,2)</f>
        <v>40697.199999999997</v>
      </c>
      <c r="AB163" s="79">
        <f>ROUND('[6]2034'!AB20,2)</f>
        <v>38023.769999999997</v>
      </c>
      <c r="AC163" s="210"/>
      <c r="AD163" s="18"/>
    </row>
    <row r="164" spans="2:50" ht="18.649999999999999" customHeight="1" x14ac:dyDescent="0.35">
      <c r="B164" s="212" t="s">
        <v>34</v>
      </c>
      <c r="C164" s="9" t="s">
        <v>31</v>
      </c>
      <c r="D164" s="10">
        <f>+'[6]2034'!D21</f>
        <v>4</v>
      </c>
      <c r="E164" s="79">
        <f>ROUND('[6]2034'!E21,2)</f>
        <v>35734.01</v>
      </c>
      <c r="F164" s="79">
        <f>ROUND('[6]2034'!F21,2)</f>
        <v>34007.67</v>
      </c>
      <c r="G164" s="79">
        <f>ROUND('[6]2034'!G21,2)</f>
        <v>32613.7</v>
      </c>
      <c r="H164" s="79">
        <f>ROUND('[6]2034'!H21,2)</f>
        <v>31578.68</v>
      </c>
      <c r="I164" s="79">
        <f>ROUND('[6]2034'!I21,2)</f>
        <v>31045.88</v>
      </c>
      <c r="J164" s="79">
        <f>ROUND('[6]2034'!J21,2)</f>
        <v>31011.3</v>
      </c>
      <c r="K164" s="79">
        <f>ROUND('[6]2034'!K21,2)</f>
        <v>29383.89</v>
      </c>
      <c r="L164" s="79">
        <f>ROUND('[6]2034'!L21,2)</f>
        <v>30651.21</v>
      </c>
      <c r="M164" s="79">
        <f>ROUND('[6]2034'!M21,2)</f>
        <v>32584.799999999999</v>
      </c>
      <c r="N164" s="79">
        <f>ROUND('[6]2034'!N21,2)</f>
        <v>33954.589999999997</v>
      </c>
      <c r="O164" s="79">
        <f>ROUND('[6]2034'!O21,2)</f>
        <v>35349.19</v>
      </c>
      <c r="P164" s="79">
        <f>ROUND('[6]2034'!P21,2)</f>
        <v>36644.58</v>
      </c>
      <c r="Q164" s="79">
        <f>ROUND('[6]2034'!Q21,2)</f>
        <v>37504.79</v>
      </c>
      <c r="R164" s="79">
        <f>ROUND('[6]2034'!R21,2)</f>
        <v>37727.81</v>
      </c>
      <c r="S164" s="79">
        <f>ROUND('[6]2034'!S21,2)</f>
        <v>38103.68</v>
      </c>
      <c r="T164" s="79">
        <f>ROUND('[6]2034'!T21,2)</f>
        <v>38399.160000000003</v>
      </c>
      <c r="U164" s="79">
        <f>ROUND('[6]2034'!U21,2)</f>
        <v>38275.33</v>
      </c>
      <c r="V164" s="79">
        <f>ROUND('[6]2034'!V21,2)</f>
        <v>38040.25</v>
      </c>
      <c r="W164" s="79">
        <f>ROUND('[6]2034'!W21,2)</f>
        <v>42991.88</v>
      </c>
      <c r="X164" s="79">
        <f>ROUND('[6]2034'!X21,2)</f>
        <v>44774.89</v>
      </c>
      <c r="Y164" s="79">
        <f>ROUND('[6]2034'!Y21,2)</f>
        <v>44758.28</v>
      </c>
      <c r="Z164" s="79">
        <f>ROUND('[6]2034'!Z21,2)</f>
        <v>43695.5</v>
      </c>
      <c r="AA164" s="79">
        <f>ROUND('[6]2034'!AA21,2)</f>
        <v>40148.78</v>
      </c>
      <c r="AB164" s="79">
        <f>ROUND('[6]2034'!AB21,2)</f>
        <v>37020.61</v>
      </c>
      <c r="AC164" s="210"/>
      <c r="AD164" s="18"/>
    </row>
    <row r="165" spans="2:50" ht="18.649999999999999" customHeight="1" thickBot="1" x14ac:dyDescent="0.4">
      <c r="B165" s="213" t="s">
        <v>34</v>
      </c>
      <c r="C165" s="11" t="s">
        <v>32</v>
      </c>
      <c r="D165" s="12">
        <f>+'[6]2034'!D22</f>
        <v>0</v>
      </c>
      <c r="E165" s="75">
        <f>ROUND('[6]2034'!E22,2)</f>
        <v>0</v>
      </c>
      <c r="F165" s="75">
        <f>ROUND('[6]2034'!F22,2)</f>
        <v>0</v>
      </c>
      <c r="G165" s="75">
        <f>ROUND('[6]2034'!G22,2)</f>
        <v>0</v>
      </c>
      <c r="H165" s="75">
        <f>ROUND('[6]2034'!H22,2)</f>
        <v>0</v>
      </c>
      <c r="I165" s="75">
        <f>ROUND('[6]2034'!I22,2)</f>
        <v>0</v>
      </c>
      <c r="J165" s="75">
        <f>ROUND('[6]2034'!J22,2)</f>
        <v>0</v>
      </c>
      <c r="K165" s="75">
        <f>ROUND('[6]2034'!K22,2)</f>
        <v>0</v>
      </c>
      <c r="L165" s="75">
        <f>ROUND('[6]2034'!L22,2)</f>
        <v>0</v>
      </c>
      <c r="M165" s="75">
        <f>ROUND('[6]2034'!M22,2)</f>
        <v>0</v>
      </c>
      <c r="N165" s="75">
        <f>ROUND('[6]2034'!N22,2)</f>
        <v>0</v>
      </c>
      <c r="O165" s="75">
        <f>ROUND('[6]2034'!O22,2)</f>
        <v>0</v>
      </c>
      <c r="P165" s="75">
        <f>ROUND('[6]2034'!P22,2)</f>
        <v>0</v>
      </c>
      <c r="Q165" s="75">
        <f>ROUND('[6]2034'!Q22,2)</f>
        <v>0</v>
      </c>
      <c r="R165" s="75">
        <f>ROUND('[6]2034'!R22,2)</f>
        <v>0</v>
      </c>
      <c r="S165" s="75">
        <f>ROUND('[6]2034'!S22,2)</f>
        <v>0</v>
      </c>
      <c r="T165" s="75">
        <f>ROUND('[6]2034'!T22,2)</f>
        <v>0</v>
      </c>
      <c r="U165" s="75">
        <f>ROUND('[6]2034'!U22,2)</f>
        <v>0</v>
      </c>
      <c r="V165" s="75">
        <f>ROUND('[6]2034'!V22,2)</f>
        <v>0</v>
      </c>
      <c r="W165" s="75">
        <f>ROUND('[6]2034'!W22,2)</f>
        <v>0</v>
      </c>
      <c r="X165" s="75">
        <f>ROUND('[6]2034'!X22,2)</f>
        <v>0</v>
      </c>
      <c r="Y165" s="75">
        <f>ROUND('[6]2034'!Y22,2)</f>
        <v>0</v>
      </c>
      <c r="Z165" s="75">
        <f>ROUND('[6]2034'!Z22,2)</f>
        <v>0</v>
      </c>
      <c r="AA165" s="75">
        <f>ROUND('[6]2034'!AA22,2)</f>
        <v>0</v>
      </c>
      <c r="AB165" s="75">
        <f>ROUND('[6]2034'!AB22,2)</f>
        <v>0</v>
      </c>
      <c r="AC165" s="214"/>
      <c r="AD165" s="18"/>
    </row>
    <row r="166" spans="2:50" ht="18.649999999999999" customHeight="1" x14ac:dyDescent="0.35">
      <c r="B166" s="207">
        <v>49004</v>
      </c>
      <c r="C166" s="13" t="s">
        <v>29</v>
      </c>
      <c r="D166" s="14">
        <f>+'[6]2034'!D23</f>
        <v>22</v>
      </c>
      <c r="E166" s="81">
        <f>ROUND('[6]2034'!E23,2)</f>
        <v>32973.97</v>
      </c>
      <c r="F166" s="81">
        <f>ROUND('[6]2034'!F23,2)</f>
        <v>31342.95</v>
      </c>
      <c r="G166" s="81">
        <f>ROUND('[6]2034'!G23,2)</f>
        <v>30126.31</v>
      </c>
      <c r="H166" s="81">
        <f>ROUND('[6]2034'!H23,2)</f>
        <v>29327.74</v>
      </c>
      <c r="I166" s="81">
        <f>ROUND('[6]2034'!I23,2)</f>
        <v>29462.33</v>
      </c>
      <c r="J166" s="81">
        <f>ROUND('[6]2034'!J23,2)</f>
        <v>31035.54</v>
      </c>
      <c r="K166" s="81">
        <f>ROUND('[6]2034'!K23,2)</f>
        <v>31038.03</v>
      </c>
      <c r="L166" s="81">
        <f>ROUND('[6]2034'!L23,2)</f>
        <v>34403.14</v>
      </c>
      <c r="M166" s="81">
        <f>ROUND('[6]2034'!M23,2)</f>
        <v>37721.449999999997</v>
      </c>
      <c r="N166" s="81">
        <f>ROUND('[6]2034'!N23,2)</f>
        <v>39441.93</v>
      </c>
      <c r="O166" s="81">
        <f>ROUND('[6]2034'!O23,2)</f>
        <v>41411.69</v>
      </c>
      <c r="P166" s="81">
        <f>ROUND('[6]2034'!P23,2)</f>
        <v>42703.24</v>
      </c>
      <c r="Q166" s="81">
        <f>ROUND('[6]2034'!Q23,2)</f>
        <v>40771.279999999999</v>
      </c>
      <c r="R166" s="81">
        <f>ROUND('[6]2034'!R23,2)</f>
        <v>42116.04</v>
      </c>
      <c r="S166" s="81">
        <f>ROUND('[6]2034'!S23,2)</f>
        <v>44430.39</v>
      </c>
      <c r="T166" s="81">
        <f>ROUND('[6]2034'!T23,2)</f>
        <v>44919.26</v>
      </c>
      <c r="U166" s="81">
        <f>ROUND('[6]2034'!U23,2)</f>
        <v>44428.75</v>
      </c>
      <c r="V166" s="81">
        <f>ROUND('[6]2034'!V23,2)</f>
        <v>42867.53</v>
      </c>
      <c r="W166" s="81">
        <f>ROUND('[6]2034'!W23,2)</f>
        <v>45488.78</v>
      </c>
      <c r="X166" s="81">
        <f>ROUND('[6]2034'!X23,2)</f>
        <v>45895.83</v>
      </c>
      <c r="Y166" s="81">
        <f>ROUND('[6]2034'!Y23,2)</f>
        <v>44551.74</v>
      </c>
      <c r="Z166" s="81">
        <f>ROUND('[6]2034'!Z23,2)</f>
        <v>42329.16</v>
      </c>
      <c r="AA166" s="81">
        <f>ROUND('[6]2034'!AA23,2)</f>
        <v>38989.269999999997</v>
      </c>
      <c r="AB166" s="81">
        <f>ROUND('[6]2034'!AB23,2)</f>
        <v>35598.589999999997</v>
      </c>
      <c r="AC166" s="210">
        <f>SUM(E166:AB166)*D166+SUM(E167:AB167)*D167+SUM(E168:AB168)*D168+SUM(E169:AB169)*D169</f>
        <v>28095713.470000003</v>
      </c>
      <c r="AD166" s="18"/>
    </row>
    <row r="167" spans="2:50" ht="18.649999999999999" customHeight="1" x14ac:dyDescent="0.35">
      <c r="B167" s="208"/>
      <c r="C167" s="9" t="s">
        <v>30</v>
      </c>
      <c r="D167" s="10">
        <f>+'[6]2034'!D24</f>
        <v>4</v>
      </c>
      <c r="E167" s="79">
        <f>ROUND('[6]2034'!E24,2)</f>
        <v>33167.01</v>
      </c>
      <c r="F167" s="79">
        <f>ROUND('[6]2034'!F24,2)</f>
        <v>31530.74</v>
      </c>
      <c r="G167" s="79">
        <f>ROUND('[6]2034'!G24,2)</f>
        <v>30239.97</v>
      </c>
      <c r="H167" s="79">
        <f>ROUND('[6]2034'!H24,2)</f>
        <v>29385.58</v>
      </c>
      <c r="I167" s="79">
        <f>ROUND('[6]2034'!I24,2)</f>
        <v>29169.71</v>
      </c>
      <c r="J167" s="79">
        <f>ROUND('[6]2034'!J24,2)</f>
        <v>29501.87</v>
      </c>
      <c r="K167" s="79">
        <f>ROUND('[6]2034'!K24,2)</f>
        <v>29360.06</v>
      </c>
      <c r="L167" s="79">
        <f>ROUND('[6]2034'!L24,2)</f>
        <v>32447.77</v>
      </c>
      <c r="M167" s="79">
        <f>ROUND('[6]2034'!M24,2)</f>
        <v>36039.96</v>
      </c>
      <c r="N167" s="79">
        <f>ROUND('[6]2034'!N24,2)</f>
        <v>38130.080000000002</v>
      </c>
      <c r="O167" s="79">
        <f>ROUND('[6]2034'!O24,2)</f>
        <v>40005.040000000001</v>
      </c>
      <c r="P167" s="79">
        <f>ROUND('[6]2034'!P24,2)</f>
        <v>41120.33</v>
      </c>
      <c r="Q167" s="79">
        <f>ROUND('[6]2034'!Q24,2)</f>
        <v>40413.589999999997</v>
      </c>
      <c r="R167" s="79">
        <f>ROUND('[6]2034'!R24,2)</f>
        <v>39874.74</v>
      </c>
      <c r="S167" s="79">
        <f>ROUND('[6]2034'!S24,2)</f>
        <v>40190.559999999998</v>
      </c>
      <c r="T167" s="79">
        <f>ROUND('[6]2034'!T24,2)</f>
        <v>40243.199999999997</v>
      </c>
      <c r="U167" s="79">
        <f>ROUND('[6]2034'!U24,2)</f>
        <v>39886.29</v>
      </c>
      <c r="V167" s="79">
        <f>ROUND('[6]2034'!V24,2)</f>
        <v>39641.050000000003</v>
      </c>
      <c r="W167" s="79">
        <f>ROUND('[6]2034'!W24,2)</f>
        <v>43774.82</v>
      </c>
      <c r="X167" s="79">
        <f>ROUND('[6]2034'!X24,2)</f>
        <v>44480.58</v>
      </c>
      <c r="Y167" s="79">
        <f>ROUND('[6]2034'!Y24,2)</f>
        <v>43244.3</v>
      </c>
      <c r="Z167" s="79">
        <f>ROUND('[6]2034'!Z24,2)</f>
        <v>41559.9</v>
      </c>
      <c r="AA167" s="79">
        <f>ROUND('[6]2034'!AA24,2)</f>
        <v>39216.620000000003</v>
      </c>
      <c r="AB167" s="79">
        <f>ROUND('[6]2034'!AB24,2)</f>
        <v>36647.14</v>
      </c>
      <c r="AC167" s="210"/>
      <c r="AD167" s="18"/>
    </row>
    <row r="168" spans="2:50" ht="18.649999999999999" customHeight="1" x14ac:dyDescent="0.35">
      <c r="B168" s="208"/>
      <c r="C168" s="9" t="s">
        <v>31</v>
      </c>
      <c r="D168" s="10">
        <f>+'[6]2034'!D25</f>
        <v>4</v>
      </c>
      <c r="E168" s="79">
        <f>ROUND('[6]2034'!E25,2)</f>
        <v>34056.28</v>
      </c>
      <c r="F168" s="79">
        <f>ROUND('[6]2034'!F25,2)</f>
        <v>32303.29</v>
      </c>
      <c r="G168" s="79">
        <f>ROUND('[6]2034'!G25,2)</f>
        <v>30941.18</v>
      </c>
      <c r="H168" s="79">
        <f>ROUND('[6]2034'!H25,2)</f>
        <v>29965.040000000001</v>
      </c>
      <c r="I168" s="79">
        <f>ROUND('[6]2034'!I25,2)</f>
        <v>29474.36</v>
      </c>
      <c r="J168" s="79">
        <f>ROUND('[6]2034'!J25,2)</f>
        <v>29253.89</v>
      </c>
      <c r="K168" s="79">
        <f>ROUND('[6]2034'!K25,2)</f>
        <v>28148.560000000001</v>
      </c>
      <c r="L168" s="79">
        <f>ROUND('[6]2034'!L25,2)</f>
        <v>29639.32</v>
      </c>
      <c r="M168" s="79">
        <f>ROUND('[6]2034'!M25,2)</f>
        <v>31733.72</v>
      </c>
      <c r="N168" s="79">
        <f>ROUND('[6]2034'!N25,2)</f>
        <v>33249.79</v>
      </c>
      <c r="O168" s="79">
        <f>ROUND('[6]2034'!O25,2)</f>
        <v>34604.910000000003</v>
      </c>
      <c r="P168" s="79">
        <f>ROUND('[6]2034'!P25,2)</f>
        <v>35772.480000000003</v>
      </c>
      <c r="Q168" s="79">
        <f>ROUND('[6]2034'!Q25,2)</f>
        <v>36513.760000000002</v>
      </c>
      <c r="R168" s="79">
        <f>ROUND('[6]2034'!R25,2)</f>
        <v>36646.71</v>
      </c>
      <c r="S168" s="79">
        <f>ROUND('[6]2034'!S25,2)</f>
        <v>36787.379999999997</v>
      </c>
      <c r="T168" s="79">
        <f>ROUND('[6]2034'!T25,2)</f>
        <v>37189.65</v>
      </c>
      <c r="U168" s="79">
        <f>ROUND('[6]2034'!U25,2)</f>
        <v>37050.43</v>
      </c>
      <c r="V168" s="79">
        <f>ROUND('[6]2034'!V25,2)</f>
        <v>37233.839999999997</v>
      </c>
      <c r="W168" s="79">
        <f>ROUND('[6]2034'!W25,2)</f>
        <v>41627.360000000001</v>
      </c>
      <c r="X168" s="79">
        <f>ROUND('[6]2034'!X25,2)</f>
        <v>43146.44</v>
      </c>
      <c r="Y168" s="79">
        <f>ROUND('[6]2034'!Y25,2)</f>
        <v>42986.53</v>
      </c>
      <c r="Z168" s="79">
        <f>ROUND('[6]2034'!Z25,2)</f>
        <v>41725.39</v>
      </c>
      <c r="AA168" s="79">
        <f>ROUND('[6]2034'!AA25,2)</f>
        <v>38987.75</v>
      </c>
      <c r="AB168" s="79">
        <f>ROUND('[6]2034'!AB25,2)</f>
        <v>35838.17</v>
      </c>
      <c r="AC168" s="210"/>
      <c r="AD168" s="18"/>
    </row>
    <row r="169" spans="2:50" ht="18.649999999999999" customHeight="1" thickBot="1" x14ac:dyDescent="0.4">
      <c r="B169" s="208"/>
      <c r="C169" s="15" t="s">
        <v>32</v>
      </c>
      <c r="D169" s="16">
        <f>+'[6]2034'!D26</f>
        <v>1</v>
      </c>
      <c r="E169" s="80">
        <f>ROUND('[6]2034'!E26,2)</f>
        <v>34056.28</v>
      </c>
      <c r="F169" s="80">
        <f>ROUND('[6]2034'!F26,2)</f>
        <v>32303.29</v>
      </c>
      <c r="G169" s="80">
        <f>ROUND('[6]2034'!G26,2)</f>
        <v>30941.18</v>
      </c>
      <c r="H169" s="80">
        <f>ROUND('[6]2034'!H26,2)</f>
        <v>29965.040000000001</v>
      </c>
      <c r="I169" s="80">
        <f>ROUND('[6]2034'!I26,2)</f>
        <v>29474.36</v>
      </c>
      <c r="J169" s="80">
        <f>ROUND('[6]2034'!J26,2)</f>
        <v>29253.89</v>
      </c>
      <c r="K169" s="80">
        <f>ROUND('[6]2034'!K26,2)</f>
        <v>28148.560000000001</v>
      </c>
      <c r="L169" s="80">
        <f>ROUND('[6]2034'!L26,2)</f>
        <v>29639.32</v>
      </c>
      <c r="M169" s="80">
        <f>ROUND('[6]2034'!M26,2)</f>
        <v>31733.72</v>
      </c>
      <c r="N169" s="80">
        <f>ROUND('[6]2034'!N26,2)</f>
        <v>33249.79</v>
      </c>
      <c r="O169" s="80">
        <f>ROUND('[6]2034'!O26,2)</f>
        <v>34604.910000000003</v>
      </c>
      <c r="P169" s="80">
        <f>ROUND('[6]2034'!P26,2)</f>
        <v>35772.480000000003</v>
      </c>
      <c r="Q169" s="80">
        <f>ROUND('[6]2034'!Q26,2)</f>
        <v>36513.760000000002</v>
      </c>
      <c r="R169" s="80">
        <f>ROUND('[6]2034'!R26,2)</f>
        <v>36646.71</v>
      </c>
      <c r="S169" s="80">
        <f>ROUND('[6]2034'!S26,2)</f>
        <v>36787.379999999997</v>
      </c>
      <c r="T169" s="80">
        <f>ROUND('[6]2034'!T26,2)</f>
        <v>37189.65</v>
      </c>
      <c r="U169" s="80">
        <f>ROUND('[6]2034'!U26,2)</f>
        <v>37050.43</v>
      </c>
      <c r="V169" s="80">
        <f>ROUND('[6]2034'!V26,2)</f>
        <v>37233.839999999997</v>
      </c>
      <c r="W169" s="80">
        <f>ROUND('[6]2034'!W26,2)</f>
        <v>41627.360000000001</v>
      </c>
      <c r="X169" s="80">
        <f>ROUND('[6]2034'!X26,2)</f>
        <v>43146.44</v>
      </c>
      <c r="Y169" s="80">
        <f>ROUND('[6]2034'!Y26,2)</f>
        <v>42986.53</v>
      </c>
      <c r="Z169" s="80">
        <f>ROUND('[6]2034'!Z26,2)</f>
        <v>41725.39</v>
      </c>
      <c r="AA169" s="80">
        <f>ROUND('[6]2034'!AA26,2)</f>
        <v>38987.75</v>
      </c>
      <c r="AB169" s="80">
        <f>ROUND('[6]2034'!AB26,2)</f>
        <v>35838.17</v>
      </c>
      <c r="AC169" s="210"/>
      <c r="AD169" s="18"/>
    </row>
    <row r="170" spans="2:50" ht="18.649999999999999" customHeight="1" x14ac:dyDescent="0.35">
      <c r="B170" s="211">
        <v>49035</v>
      </c>
      <c r="C170" s="6" t="s">
        <v>29</v>
      </c>
      <c r="D170" s="7">
        <f>+'[6]2034'!D27</f>
        <v>18</v>
      </c>
      <c r="E170" s="78">
        <f>ROUND('[6]2034'!E27,2)</f>
        <v>32459.65</v>
      </c>
      <c r="F170" s="78">
        <f>ROUND('[6]2034'!F27,2)</f>
        <v>30843.08</v>
      </c>
      <c r="G170" s="78">
        <f>ROUND('[6]2034'!G27,2)</f>
        <v>29660.62</v>
      </c>
      <c r="H170" s="78">
        <f>ROUND('[6]2034'!H27,2)</f>
        <v>28855.24</v>
      </c>
      <c r="I170" s="78">
        <f>ROUND('[6]2034'!I27,2)</f>
        <v>28978.62</v>
      </c>
      <c r="J170" s="78">
        <f>ROUND('[6]2034'!J27,2)</f>
        <v>29906.66</v>
      </c>
      <c r="K170" s="78">
        <f>ROUND('[6]2034'!K27,2)</f>
        <v>30237.439999999999</v>
      </c>
      <c r="L170" s="78">
        <f>ROUND('[6]2034'!L27,2)</f>
        <v>33681.31</v>
      </c>
      <c r="M170" s="78">
        <f>ROUND('[6]2034'!M27,2)</f>
        <v>37226.44</v>
      </c>
      <c r="N170" s="78">
        <f>ROUND('[6]2034'!N27,2)</f>
        <v>38864.36</v>
      </c>
      <c r="O170" s="78">
        <f>ROUND('[6]2034'!O27,2)</f>
        <v>40688.39</v>
      </c>
      <c r="P170" s="78">
        <f>ROUND('[6]2034'!P27,2)</f>
        <v>42231.74</v>
      </c>
      <c r="Q170" s="78">
        <f>ROUND('[6]2034'!Q27,2)</f>
        <v>40576.99</v>
      </c>
      <c r="R170" s="78">
        <f>ROUND('[6]2034'!R27,2)</f>
        <v>41769.93</v>
      </c>
      <c r="S170" s="78">
        <f>ROUND('[6]2034'!S27,2)</f>
        <v>44093.2</v>
      </c>
      <c r="T170" s="78">
        <f>ROUND('[6]2034'!T27,2)</f>
        <v>44375.360000000001</v>
      </c>
      <c r="U170" s="78">
        <f>ROUND('[6]2034'!U27,2)</f>
        <v>43703.06</v>
      </c>
      <c r="V170" s="78">
        <f>ROUND('[6]2034'!V27,2)</f>
        <v>42568.17</v>
      </c>
      <c r="W170" s="78">
        <f>ROUND('[6]2034'!W27,2)</f>
        <v>45197.84</v>
      </c>
      <c r="X170" s="78">
        <f>ROUND('[6]2034'!X27,2)</f>
        <v>45335.09</v>
      </c>
      <c r="Y170" s="78">
        <f>ROUND('[6]2034'!Y27,2)</f>
        <v>43978.55</v>
      </c>
      <c r="Z170" s="78">
        <f>ROUND('[6]2034'!Z27,2)</f>
        <v>41865.9</v>
      </c>
      <c r="AA170" s="78">
        <f>ROUND('[6]2034'!AA27,2)</f>
        <v>38693.08</v>
      </c>
      <c r="AB170" s="78">
        <f>ROUND('[6]2034'!AB27,2)</f>
        <v>35228.76</v>
      </c>
      <c r="AC170" s="209">
        <f>SUM(E170:AB170)*D170+SUM(E171:AB171)*D171+SUM(E172:AB172)*D172+SUM(E173:AB173)*D173</f>
        <v>26354298.850000001</v>
      </c>
      <c r="AD170" s="18"/>
    </row>
    <row r="171" spans="2:50" ht="18.649999999999999" customHeight="1" x14ac:dyDescent="0.35">
      <c r="B171" s="212" t="s">
        <v>34</v>
      </c>
      <c r="C171" s="9" t="s">
        <v>30</v>
      </c>
      <c r="D171" s="10">
        <f>+'[6]2034'!D28</f>
        <v>5</v>
      </c>
      <c r="E171" s="79">
        <f>ROUND('[6]2034'!E28,2)</f>
        <v>32131.88</v>
      </c>
      <c r="F171" s="79">
        <f>ROUND('[6]2034'!F28,2)</f>
        <v>30456.78</v>
      </c>
      <c r="G171" s="79">
        <f>ROUND('[6]2034'!G28,2)</f>
        <v>29212.54</v>
      </c>
      <c r="H171" s="79">
        <f>ROUND('[6]2034'!H28,2)</f>
        <v>28362.84</v>
      </c>
      <c r="I171" s="79">
        <f>ROUND('[6]2034'!I28,2)</f>
        <v>28148.22</v>
      </c>
      <c r="J171" s="79">
        <f>ROUND('[6]2034'!J28,2)</f>
        <v>28139.68</v>
      </c>
      <c r="K171" s="79">
        <f>ROUND('[6]2034'!K28,2)</f>
        <v>28073.03</v>
      </c>
      <c r="L171" s="79">
        <f>ROUND('[6]2034'!L28,2)</f>
        <v>30944.25</v>
      </c>
      <c r="M171" s="79">
        <f>ROUND('[6]2034'!M28,2)</f>
        <v>34286.04</v>
      </c>
      <c r="N171" s="79">
        <f>ROUND('[6]2034'!N28,2)</f>
        <v>36075.68</v>
      </c>
      <c r="O171" s="79">
        <f>ROUND('[6]2034'!O28,2)</f>
        <v>37828.18</v>
      </c>
      <c r="P171" s="79">
        <f>ROUND('[6]2034'!P28,2)</f>
        <v>38917.97</v>
      </c>
      <c r="Q171" s="79">
        <f>ROUND('[6]2034'!Q28,2)</f>
        <v>38410.980000000003</v>
      </c>
      <c r="R171" s="79">
        <f>ROUND('[6]2034'!R28,2)</f>
        <v>37997.550000000003</v>
      </c>
      <c r="S171" s="79">
        <f>ROUND('[6]2034'!S28,2)</f>
        <v>38209.08</v>
      </c>
      <c r="T171" s="79">
        <f>ROUND('[6]2034'!T28,2)</f>
        <v>38281.699999999997</v>
      </c>
      <c r="U171" s="79">
        <f>ROUND('[6]2034'!U28,2)</f>
        <v>38066.01</v>
      </c>
      <c r="V171" s="79">
        <f>ROUND('[6]2034'!V28,2)</f>
        <v>38299.050000000003</v>
      </c>
      <c r="W171" s="79">
        <f>ROUND('[6]2034'!W28,2)</f>
        <v>42536.34</v>
      </c>
      <c r="X171" s="79">
        <f>ROUND('[6]2034'!X28,2)</f>
        <v>42628.32</v>
      </c>
      <c r="Y171" s="79">
        <f>ROUND('[6]2034'!Y28,2)</f>
        <v>41446.379999999997</v>
      </c>
      <c r="Z171" s="79">
        <f>ROUND('[6]2034'!Z28,2)</f>
        <v>39706.870000000003</v>
      </c>
      <c r="AA171" s="79">
        <f>ROUND('[6]2034'!AA28,2)</f>
        <v>37508.9</v>
      </c>
      <c r="AB171" s="79">
        <f>ROUND('[6]2034'!AB28,2)</f>
        <v>34997.19</v>
      </c>
      <c r="AC171" s="210"/>
      <c r="AD171" s="18"/>
    </row>
    <row r="172" spans="2:50" ht="18.649999999999999" customHeight="1" x14ac:dyDescent="0.35">
      <c r="B172" s="212" t="s">
        <v>34</v>
      </c>
      <c r="C172" s="9" t="s">
        <v>31</v>
      </c>
      <c r="D172" s="10">
        <f>+'[6]2034'!D29</f>
        <v>5</v>
      </c>
      <c r="E172" s="79">
        <f>ROUND('[6]2034'!E29,2)</f>
        <v>32759.52</v>
      </c>
      <c r="F172" s="79">
        <f>ROUND('[6]2034'!F29,2)</f>
        <v>31147.85</v>
      </c>
      <c r="G172" s="79">
        <f>ROUND('[6]2034'!G29,2)</f>
        <v>29815.119999999999</v>
      </c>
      <c r="H172" s="79">
        <f>ROUND('[6]2034'!H29,2)</f>
        <v>28903.39</v>
      </c>
      <c r="I172" s="79">
        <f>ROUND('[6]2034'!I29,2)</f>
        <v>28519.17</v>
      </c>
      <c r="J172" s="79">
        <f>ROUND('[6]2034'!J29,2)</f>
        <v>28012.63</v>
      </c>
      <c r="K172" s="79">
        <f>ROUND('[6]2034'!K29,2)</f>
        <v>27425.07</v>
      </c>
      <c r="L172" s="79">
        <f>ROUND('[6]2034'!L29,2)</f>
        <v>28941.96</v>
      </c>
      <c r="M172" s="79">
        <f>ROUND('[6]2034'!M29,2)</f>
        <v>30550.02</v>
      </c>
      <c r="N172" s="79">
        <f>ROUND('[6]2034'!N29,2)</f>
        <v>31985.13</v>
      </c>
      <c r="O172" s="79">
        <f>ROUND('[6]2034'!O29,2)</f>
        <v>33319.879999999997</v>
      </c>
      <c r="P172" s="79">
        <f>ROUND('[6]2034'!P29,2)</f>
        <v>34378.83</v>
      </c>
      <c r="Q172" s="79">
        <f>ROUND('[6]2034'!Q29,2)</f>
        <v>34970.99</v>
      </c>
      <c r="R172" s="79">
        <f>ROUND('[6]2034'!R29,2)</f>
        <v>35134.129999999997</v>
      </c>
      <c r="S172" s="79">
        <f>ROUND('[6]2034'!S29,2)</f>
        <v>35348.980000000003</v>
      </c>
      <c r="T172" s="79">
        <f>ROUND('[6]2034'!T29,2)</f>
        <v>35665.57</v>
      </c>
      <c r="U172" s="79">
        <f>ROUND('[6]2034'!U29,2)</f>
        <v>35793.480000000003</v>
      </c>
      <c r="V172" s="79">
        <f>ROUND('[6]2034'!V29,2)</f>
        <v>36231.980000000003</v>
      </c>
      <c r="W172" s="79">
        <f>ROUND('[6]2034'!W29,2)</f>
        <v>40250.620000000003</v>
      </c>
      <c r="X172" s="79">
        <f>ROUND('[6]2034'!X29,2)</f>
        <v>41467.53</v>
      </c>
      <c r="Y172" s="79">
        <f>ROUND('[6]2034'!Y29,2)</f>
        <v>41331.15</v>
      </c>
      <c r="Z172" s="79">
        <f>ROUND('[6]2034'!Z29,2)</f>
        <v>40316.089999999997</v>
      </c>
      <c r="AA172" s="79">
        <f>ROUND('[6]2034'!AA29,2)</f>
        <v>37729.269999999997</v>
      </c>
      <c r="AB172" s="79">
        <f>ROUND('[6]2034'!AB29,2)</f>
        <v>34661.769999999997</v>
      </c>
      <c r="AC172" s="210"/>
      <c r="AD172" s="18"/>
    </row>
    <row r="173" spans="2:50" ht="18.649999999999999" customHeight="1" thickBot="1" x14ac:dyDescent="0.4">
      <c r="B173" s="213" t="s">
        <v>34</v>
      </c>
      <c r="C173" s="11" t="s">
        <v>32</v>
      </c>
      <c r="D173" s="12">
        <f>+'[6]2034'!D30</f>
        <v>2</v>
      </c>
      <c r="E173" s="79">
        <f>ROUND('[6]2034'!E30,2)</f>
        <v>32759.52</v>
      </c>
      <c r="F173" s="79">
        <f>ROUND('[6]2034'!F30,2)</f>
        <v>31147.85</v>
      </c>
      <c r="G173" s="79">
        <f>ROUND('[6]2034'!G30,2)</f>
        <v>29815.119999999999</v>
      </c>
      <c r="H173" s="79">
        <f>ROUND('[6]2034'!H30,2)</f>
        <v>28903.39</v>
      </c>
      <c r="I173" s="79">
        <f>ROUND('[6]2034'!I30,2)</f>
        <v>28519.17</v>
      </c>
      <c r="J173" s="79">
        <f>ROUND('[6]2034'!J30,2)</f>
        <v>28012.63</v>
      </c>
      <c r="K173" s="79">
        <f>ROUND('[6]2034'!K30,2)</f>
        <v>27425.07</v>
      </c>
      <c r="L173" s="79">
        <f>ROUND('[6]2034'!L30,2)</f>
        <v>28941.96</v>
      </c>
      <c r="M173" s="79">
        <f>ROUND('[6]2034'!M30,2)</f>
        <v>30550.02</v>
      </c>
      <c r="N173" s="79">
        <f>ROUND('[6]2034'!N30,2)</f>
        <v>31985.13</v>
      </c>
      <c r="O173" s="79">
        <f>ROUND('[6]2034'!O30,2)</f>
        <v>33319.879999999997</v>
      </c>
      <c r="P173" s="79">
        <f>ROUND('[6]2034'!P30,2)</f>
        <v>34378.83</v>
      </c>
      <c r="Q173" s="79">
        <f>ROUND('[6]2034'!Q30,2)</f>
        <v>34970.99</v>
      </c>
      <c r="R173" s="79">
        <f>ROUND('[6]2034'!R30,2)</f>
        <v>35134.129999999997</v>
      </c>
      <c r="S173" s="79">
        <f>ROUND('[6]2034'!S30,2)</f>
        <v>35348.980000000003</v>
      </c>
      <c r="T173" s="79">
        <f>ROUND('[6]2034'!T30,2)</f>
        <v>35665.57</v>
      </c>
      <c r="U173" s="79">
        <f>ROUND('[6]2034'!U30,2)</f>
        <v>35793.480000000003</v>
      </c>
      <c r="V173" s="79">
        <f>ROUND('[6]2034'!V30,2)</f>
        <v>36231.980000000003</v>
      </c>
      <c r="W173" s="79">
        <f>ROUND('[6]2034'!W30,2)</f>
        <v>40250.620000000003</v>
      </c>
      <c r="X173" s="79">
        <f>ROUND('[6]2034'!X30,2)</f>
        <v>41467.53</v>
      </c>
      <c r="Y173" s="79">
        <f>ROUND('[6]2034'!Y30,2)</f>
        <v>41331.15</v>
      </c>
      <c r="Z173" s="79">
        <f>ROUND('[6]2034'!Z30,2)</f>
        <v>40316.089999999997</v>
      </c>
      <c r="AA173" s="79">
        <f>ROUND('[6]2034'!AA30,2)</f>
        <v>37729.269999999997</v>
      </c>
      <c r="AB173" s="79">
        <f>ROUND('[6]2034'!AB30,2)</f>
        <v>34661.769999999997</v>
      </c>
      <c r="AC173" s="214"/>
      <c r="AD173" s="18"/>
    </row>
    <row r="174" spans="2:50" ht="18.649999999999999" customHeight="1" x14ac:dyDescent="0.35">
      <c r="B174" s="207">
        <v>49065</v>
      </c>
      <c r="C174" s="13" t="s">
        <v>29</v>
      </c>
      <c r="D174" s="14">
        <f>+'[6]2034'!D31</f>
        <v>21</v>
      </c>
      <c r="E174" s="81">
        <f>ROUND('[6]2034'!E31,2)</f>
        <v>31641.11</v>
      </c>
      <c r="F174" s="81">
        <f>ROUND('[6]2034'!F31,2)</f>
        <v>30138.76</v>
      </c>
      <c r="G174" s="81">
        <f>ROUND('[6]2034'!G31,2)</f>
        <v>29001.66</v>
      </c>
      <c r="H174" s="81">
        <f>ROUND('[6]2034'!H31,2)</f>
        <v>28223.39</v>
      </c>
      <c r="I174" s="81">
        <f>ROUND('[6]2034'!I31,2)</f>
        <v>28361.71</v>
      </c>
      <c r="J174" s="81">
        <f>ROUND('[6]2034'!J31,2)</f>
        <v>29147.22</v>
      </c>
      <c r="K174" s="81">
        <f>ROUND('[6]2034'!K31,2)</f>
        <v>29808.37</v>
      </c>
      <c r="L174" s="81">
        <f>ROUND('[6]2034'!L31,2)</f>
        <v>33291.83</v>
      </c>
      <c r="M174" s="81">
        <f>ROUND('[6]2034'!M31,2)</f>
        <v>36873.550000000003</v>
      </c>
      <c r="N174" s="81">
        <f>ROUND('[6]2034'!N31,2)</f>
        <v>38550.83</v>
      </c>
      <c r="O174" s="81">
        <f>ROUND('[6]2034'!O31,2)</f>
        <v>40550.9</v>
      </c>
      <c r="P174" s="81">
        <f>ROUND('[6]2034'!P31,2)</f>
        <v>41857.21</v>
      </c>
      <c r="Q174" s="81">
        <f>ROUND('[6]2034'!Q31,2)</f>
        <v>40156.800000000003</v>
      </c>
      <c r="R174" s="81">
        <f>ROUND('[6]2034'!R31,2)</f>
        <v>41257.33</v>
      </c>
      <c r="S174" s="81">
        <f>ROUND('[6]2034'!S31,2)</f>
        <v>43397.29</v>
      </c>
      <c r="T174" s="81">
        <f>ROUND('[6]2034'!T31,2)</f>
        <v>43611.51</v>
      </c>
      <c r="U174" s="81">
        <f>ROUND('[6]2034'!U31,2)</f>
        <v>42987.48</v>
      </c>
      <c r="V174" s="81">
        <f>ROUND('[6]2034'!V31,2)</f>
        <v>41582.839999999997</v>
      </c>
      <c r="W174" s="81">
        <f>ROUND('[6]2034'!W31,2)</f>
        <v>44169.7</v>
      </c>
      <c r="X174" s="81">
        <f>ROUND('[6]2034'!X31,2)</f>
        <v>44344.76</v>
      </c>
      <c r="Y174" s="81">
        <f>ROUND('[6]2034'!Y31,2)</f>
        <v>42977.05</v>
      </c>
      <c r="Z174" s="81">
        <f>ROUND('[6]2034'!Z31,2)</f>
        <v>40705.43</v>
      </c>
      <c r="AA174" s="81">
        <f>ROUND('[6]2034'!AA31,2)</f>
        <v>37505.65</v>
      </c>
      <c r="AB174" s="81">
        <f>ROUND('[6]2034'!AB31,2)</f>
        <v>34236.839999999997</v>
      </c>
      <c r="AC174" s="210">
        <f>SUM(E174:AB174)*D174+SUM(E175:AB175)*D175+SUM(E176:AB176)*D176+SUM(E177:AB177)*D177</f>
        <v>27121759.199999999</v>
      </c>
      <c r="AD174" s="18"/>
    </row>
    <row r="175" spans="2:50" ht="18.649999999999999" customHeight="1" x14ac:dyDescent="0.35">
      <c r="B175" s="208"/>
      <c r="C175" s="9" t="s">
        <v>30</v>
      </c>
      <c r="D175" s="10">
        <f>+'[6]2034'!D32</f>
        <v>4</v>
      </c>
      <c r="E175" s="79">
        <f>ROUND('[6]2034'!E32,2)</f>
        <v>32190.25</v>
      </c>
      <c r="F175" s="79">
        <f>ROUND('[6]2034'!F32,2)</f>
        <v>30317.52</v>
      </c>
      <c r="G175" s="79">
        <f>ROUND('[6]2034'!G32,2)</f>
        <v>29050.77</v>
      </c>
      <c r="H175" s="79">
        <f>ROUND('[6]2034'!H32,2)</f>
        <v>28234.84</v>
      </c>
      <c r="I175" s="79">
        <f>ROUND('[6]2034'!I32,2)</f>
        <v>28085.78</v>
      </c>
      <c r="J175" s="79">
        <f>ROUND('[6]2034'!J32,2)</f>
        <v>27780.47</v>
      </c>
      <c r="K175" s="79">
        <f>ROUND('[6]2034'!K32,2)</f>
        <v>28048.07</v>
      </c>
      <c r="L175" s="79">
        <f>ROUND('[6]2034'!L32,2)</f>
        <v>31259.24</v>
      </c>
      <c r="M175" s="79">
        <f>ROUND('[6]2034'!M32,2)</f>
        <v>34841.22</v>
      </c>
      <c r="N175" s="79">
        <f>ROUND('[6]2034'!N32,2)</f>
        <v>36851.230000000003</v>
      </c>
      <c r="O175" s="79">
        <f>ROUND('[6]2034'!O32,2)</f>
        <v>38384.58</v>
      </c>
      <c r="P175" s="79">
        <f>ROUND('[6]2034'!P32,2)</f>
        <v>39412.800000000003</v>
      </c>
      <c r="Q175" s="79">
        <f>ROUND('[6]2034'!Q32,2)</f>
        <v>38607.31</v>
      </c>
      <c r="R175" s="79">
        <f>ROUND('[6]2034'!R32,2)</f>
        <v>38073.33</v>
      </c>
      <c r="S175" s="79">
        <f>ROUND('[6]2034'!S32,2)</f>
        <v>38352.31</v>
      </c>
      <c r="T175" s="79">
        <f>ROUND('[6]2034'!T32,2)</f>
        <v>38422.230000000003</v>
      </c>
      <c r="U175" s="79">
        <f>ROUND('[6]2034'!U32,2)</f>
        <v>38204.199999999997</v>
      </c>
      <c r="V175" s="79">
        <f>ROUND('[6]2034'!V32,2)</f>
        <v>38481.78</v>
      </c>
      <c r="W175" s="79">
        <f>ROUND('[6]2034'!W32,2)</f>
        <v>42579.57</v>
      </c>
      <c r="X175" s="79">
        <f>ROUND('[6]2034'!X32,2)</f>
        <v>43062.82</v>
      </c>
      <c r="Y175" s="79">
        <f>ROUND('[6]2034'!Y32,2)</f>
        <v>41788.58</v>
      </c>
      <c r="Z175" s="79">
        <f>ROUND('[6]2034'!Z32,2)</f>
        <v>39905.519999999997</v>
      </c>
      <c r="AA175" s="79">
        <f>ROUND('[6]2034'!AA32,2)</f>
        <v>37723.410000000003</v>
      </c>
      <c r="AB175" s="79">
        <f>ROUND('[6]2034'!AB32,2)</f>
        <v>35192.559999999998</v>
      </c>
      <c r="AC175" s="210"/>
      <c r="AD175" s="18"/>
    </row>
    <row r="176" spans="2:50" ht="18.649999999999999" customHeight="1" x14ac:dyDescent="0.35">
      <c r="B176" s="208"/>
      <c r="C176" s="9" t="s">
        <v>31</v>
      </c>
      <c r="D176" s="10">
        <f>+'[6]2034'!D33</f>
        <v>4</v>
      </c>
      <c r="E176" s="79">
        <f>ROUND('[6]2034'!E33,2)</f>
        <v>32570.240000000002</v>
      </c>
      <c r="F176" s="79">
        <f>ROUND('[6]2034'!F33,2)</f>
        <v>31031.279999999999</v>
      </c>
      <c r="G176" s="79">
        <f>ROUND('[6]2034'!G33,2)</f>
        <v>29805.21</v>
      </c>
      <c r="H176" s="79">
        <f>ROUND('[6]2034'!H33,2)</f>
        <v>28925.83</v>
      </c>
      <c r="I176" s="79">
        <f>ROUND('[6]2034'!I33,2)</f>
        <v>28551.09</v>
      </c>
      <c r="J176" s="79">
        <f>ROUND('[6]2034'!J33,2)</f>
        <v>27690.06</v>
      </c>
      <c r="K176" s="79">
        <f>ROUND('[6]2034'!K33,2)</f>
        <v>27272.23</v>
      </c>
      <c r="L176" s="79">
        <f>ROUND('[6]2034'!L33,2)</f>
        <v>28899.74</v>
      </c>
      <c r="M176" s="79">
        <f>ROUND('[6]2034'!M33,2)</f>
        <v>31113.06</v>
      </c>
      <c r="N176" s="79">
        <f>ROUND('[6]2034'!N33,2)</f>
        <v>32863.07</v>
      </c>
      <c r="O176" s="79">
        <f>ROUND('[6]2034'!O33,2)</f>
        <v>34061.949999999997</v>
      </c>
      <c r="P176" s="79">
        <f>ROUND('[6]2034'!P33,2)</f>
        <v>34955.21</v>
      </c>
      <c r="Q176" s="79">
        <f>ROUND('[6]2034'!Q33,2)</f>
        <v>35464.39</v>
      </c>
      <c r="R176" s="79">
        <f>ROUND('[6]2034'!R33,2)</f>
        <v>35572.370000000003</v>
      </c>
      <c r="S176" s="79">
        <f>ROUND('[6]2034'!S33,2)</f>
        <v>35720.71</v>
      </c>
      <c r="T176" s="79">
        <f>ROUND('[6]2034'!T33,2)</f>
        <v>36114.54</v>
      </c>
      <c r="U176" s="79">
        <f>ROUND('[6]2034'!U33,2)</f>
        <v>36011.379999999997</v>
      </c>
      <c r="V176" s="79">
        <f>ROUND('[6]2034'!V33,2)</f>
        <v>36587.269999999997</v>
      </c>
      <c r="W176" s="79">
        <f>ROUND('[6]2034'!W33,2)</f>
        <v>40833.81</v>
      </c>
      <c r="X176" s="79">
        <f>ROUND('[6]2034'!X33,2)</f>
        <v>41955.63</v>
      </c>
      <c r="Y176" s="79">
        <f>ROUND('[6]2034'!Y33,2)</f>
        <v>41727.449999999997</v>
      </c>
      <c r="Z176" s="79">
        <f>ROUND('[6]2034'!Z33,2)</f>
        <v>40388.03</v>
      </c>
      <c r="AA176" s="79">
        <f>ROUND('[6]2034'!AA33,2)</f>
        <v>37684.65</v>
      </c>
      <c r="AB176" s="79">
        <f>ROUND('[6]2034'!AB33,2)</f>
        <v>34266.47</v>
      </c>
      <c r="AC176" s="210"/>
      <c r="AD176" s="18"/>
    </row>
    <row r="177" spans="2:30" ht="18.649999999999999" customHeight="1" thickBot="1" x14ac:dyDescent="0.4">
      <c r="B177" s="208"/>
      <c r="C177" s="15" t="s">
        <v>32</v>
      </c>
      <c r="D177" s="16">
        <f>+'[6]2034'!D34</f>
        <v>2</v>
      </c>
      <c r="E177" s="80">
        <f>ROUND('[6]2034'!E34,2)</f>
        <v>32570.240000000002</v>
      </c>
      <c r="F177" s="80">
        <f>ROUND('[6]2034'!F34,2)</f>
        <v>31031.279999999999</v>
      </c>
      <c r="G177" s="80">
        <f>ROUND('[6]2034'!G34,2)</f>
        <v>29805.21</v>
      </c>
      <c r="H177" s="80">
        <f>ROUND('[6]2034'!H34,2)</f>
        <v>28925.83</v>
      </c>
      <c r="I177" s="80">
        <f>ROUND('[6]2034'!I34,2)</f>
        <v>28551.09</v>
      </c>
      <c r="J177" s="80">
        <f>ROUND('[6]2034'!J34,2)</f>
        <v>27690.06</v>
      </c>
      <c r="K177" s="80">
        <f>ROUND('[6]2034'!K34,2)</f>
        <v>27272.23</v>
      </c>
      <c r="L177" s="80">
        <f>ROUND('[6]2034'!L34,2)</f>
        <v>28899.74</v>
      </c>
      <c r="M177" s="80">
        <f>ROUND('[6]2034'!M34,2)</f>
        <v>31113.06</v>
      </c>
      <c r="N177" s="80">
        <f>ROUND('[6]2034'!N34,2)</f>
        <v>32863.07</v>
      </c>
      <c r="O177" s="80">
        <f>ROUND('[6]2034'!O34,2)</f>
        <v>34061.949999999997</v>
      </c>
      <c r="P177" s="80">
        <f>ROUND('[6]2034'!P34,2)</f>
        <v>34955.21</v>
      </c>
      <c r="Q177" s="80">
        <f>ROUND('[6]2034'!Q34,2)</f>
        <v>35464.39</v>
      </c>
      <c r="R177" s="80">
        <f>ROUND('[6]2034'!R34,2)</f>
        <v>35572.370000000003</v>
      </c>
      <c r="S177" s="80">
        <f>ROUND('[6]2034'!S34,2)</f>
        <v>35720.71</v>
      </c>
      <c r="T177" s="80">
        <f>ROUND('[6]2034'!T34,2)</f>
        <v>36114.54</v>
      </c>
      <c r="U177" s="80">
        <f>ROUND('[6]2034'!U34,2)</f>
        <v>36011.379999999997</v>
      </c>
      <c r="V177" s="80">
        <f>ROUND('[6]2034'!V34,2)</f>
        <v>36587.269999999997</v>
      </c>
      <c r="W177" s="80">
        <f>ROUND('[6]2034'!W34,2)</f>
        <v>40833.81</v>
      </c>
      <c r="X177" s="80">
        <f>ROUND('[6]2034'!X34,2)</f>
        <v>41955.63</v>
      </c>
      <c r="Y177" s="80">
        <f>ROUND('[6]2034'!Y34,2)</f>
        <v>41727.449999999997</v>
      </c>
      <c r="Z177" s="80">
        <f>ROUND('[6]2034'!Z34,2)</f>
        <v>40388.03</v>
      </c>
      <c r="AA177" s="80">
        <f>ROUND('[6]2034'!AA34,2)</f>
        <v>37684.65</v>
      </c>
      <c r="AB177" s="80">
        <f>ROUND('[6]2034'!AB34,2)</f>
        <v>34266.47</v>
      </c>
      <c r="AC177" s="210"/>
      <c r="AD177" s="18"/>
    </row>
    <row r="178" spans="2:30" ht="18.649999999999999" customHeight="1" x14ac:dyDescent="0.35">
      <c r="B178" s="211">
        <v>49096</v>
      </c>
      <c r="C178" s="6" t="s">
        <v>29</v>
      </c>
      <c r="D178" s="7">
        <f>+'[6]2034'!D35</f>
        <v>20</v>
      </c>
      <c r="E178" s="78">
        <f>ROUND('[6]2034'!E35,2)</f>
        <v>31678.54</v>
      </c>
      <c r="F178" s="78">
        <f>ROUND('[6]2034'!F35,2)</f>
        <v>30087.67</v>
      </c>
      <c r="G178" s="78">
        <f>ROUND('[6]2034'!G35,2)</f>
        <v>28982.15</v>
      </c>
      <c r="H178" s="78">
        <f>ROUND('[6]2034'!H35,2)</f>
        <v>28117.15</v>
      </c>
      <c r="I178" s="78">
        <f>ROUND('[6]2034'!I35,2)</f>
        <v>28203.75</v>
      </c>
      <c r="J178" s="78">
        <f>ROUND('[6]2034'!J35,2)</f>
        <v>28592.080000000002</v>
      </c>
      <c r="K178" s="78">
        <f>ROUND('[6]2034'!K35,2)</f>
        <v>29209.45</v>
      </c>
      <c r="L178" s="78">
        <f>ROUND('[6]2034'!L35,2)</f>
        <v>32887.68</v>
      </c>
      <c r="M178" s="78">
        <f>ROUND('[6]2034'!M35,2)</f>
        <v>36468.29</v>
      </c>
      <c r="N178" s="78">
        <f>ROUND('[6]2034'!N35,2)</f>
        <v>38240.800000000003</v>
      </c>
      <c r="O178" s="78">
        <f>ROUND('[6]2034'!O35,2)</f>
        <v>40291.35</v>
      </c>
      <c r="P178" s="78">
        <f>ROUND('[6]2034'!P35,2)</f>
        <v>41639.160000000003</v>
      </c>
      <c r="Q178" s="78">
        <f>ROUND('[6]2034'!Q35,2)</f>
        <v>40158.76</v>
      </c>
      <c r="R178" s="78">
        <f>ROUND('[6]2034'!R35,2)</f>
        <v>41039.61</v>
      </c>
      <c r="S178" s="78">
        <f>ROUND('[6]2034'!S35,2)</f>
        <v>43057.51</v>
      </c>
      <c r="T178" s="78">
        <f>ROUND('[6]2034'!T35,2)</f>
        <v>43296.83</v>
      </c>
      <c r="U178" s="78">
        <f>ROUND('[6]2034'!U35,2)</f>
        <v>42866.35</v>
      </c>
      <c r="V178" s="78">
        <f>ROUND('[6]2034'!V35,2)</f>
        <v>41527.25</v>
      </c>
      <c r="W178" s="78">
        <f>ROUND('[6]2034'!W35,2)</f>
        <v>43951.08</v>
      </c>
      <c r="X178" s="78">
        <f>ROUND('[6]2034'!X35,2)</f>
        <v>44507.96</v>
      </c>
      <c r="Y178" s="78">
        <f>ROUND('[6]2034'!Y35,2)</f>
        <v>43053.78</v>
      </c>
      <c r="Z178" s="78">
        <f>ROUND('[6]2034'!Z35,2)</f>
        <v>40846.980000000003</v>
      </c>
      <c r="AA178" s="78">
        <f>ROUND('[6]2034'!AA35,2)</f>
        <v>37563.300000000003</v>
      </c>
      <c r="AB178" s="78">
        <f>ROUND('[6]2034'!AB35,2)</f>
        <v>34251.919999999998</v>
      </c>
      <c r="AC178" s="209">
        <f>SUM(E178:AB178)*D178+SUM(E179:AB179)*D179+SUM(E180:AB180)*D180+SUM(E181:AB181)*D181</f>
        <v>25994694.82</v>
      </c>
      <c r="AD178" s="18"/>
    </row>
    <row r="179" spans="2:30" ht="18.649999999999999" customHeight="1" x14ac:dyDescent="0.35">
      <c r="B179" s="212" t="s">
        <v>34</v>
      </c>
      <c r="C179" s="9" t="s">
        <v>30</v>
      </c>
      <c r="D179" s="10">
        <f>+'[6]2034'!D36</f>
        <v>4</v>
      </c>
      <c r="E179" s="79">
        <f>ROUND('[6]2034'!E36,2)</f>
        <v>31756.42</v>
      </c>
      <c r="F179" s="79">
        <f>ROUND('[6]2034'!F36,2)</f>
        <v>30196.49</v>
      </c>
      <c r="G179" s="79">
        <f>ROUND('[6]2034'!G36,2)</f>
        <v>29037.29</v>
      </c>
      <c r="H179" s="79">
        <f>ROUND('[6]2034'!H36,2)</f>
        <v>28241.69</v>
      </c>
      <c r="I179" s="79">
        <f>ROUND('[6]2034'!I36,2)</f>
        <v>28102.15</v>
      </c>
      <c r="J179" s="79">
        <f>ROUND('[6]2034'!J36,2)</f>
        <v>27746.68</v>
      </c>
      <c r="K179" s="79">
        <f>ROUND('[6]2034'!K36,2)</f>
        <v>28018.73</v>
      </c>
      <c r="L179" s="79">
        <f>ROUND('[6]2034'!L36,2)</f>
        <v>31251.16</v>
      </c>
      <c r="M179" s="79">
        <f>ROUND('[6]2034'!M36,2)</f>
        <v>34798.39</v>
      </c>
      <c r="N179" s="79">
        <f>ROUND('[6]2034'!N36,2)</f>
        <v>36824.04</v>
      </c>
      <c r="O179" s="79">
        <f>ROUND('[6]2034'!O36,2)</f>
        <v>38559.839999999997</v>
      </c>
      <c r="P179" s="79">
        <f>ROUND('[6]2034'!P36,2)</f>
        <v>39611.129999999997</v>
      </c>
      <c r="Q179" s="79">
        <f>ROUND('[6]2034'!Q36,2)</f>
        <v>38887.620000000003</v>
      </c>
      <c r="R179" s="79">
        <f>ROUND('[6]2034'!R36,2)</f>
        <v>38105.800000000003</v>
      </c>
      <c r="S179" s="79">
        <f>ROUND('[6]2034'!S36,2)</f>
        <v>38224.35</v>
      </c>
      <c r="T179" s="79">
        <f>ROUND('[6]2034'!T36,2)</f>
        <v>38248.83</v>
      </c>
      <c r="U179" s="79">
        <f>ROUND('[6]2034'!U36,2)</f>
        <v>37804.230000000003</v>
      </c>
      <c r="V179" s="79">
        <f>ROUND('[6]2034'!V36,2)</f>
        <v>37956.699999999997</v>
      </c>
      <c r="W179" s="79">
        <f>ROUND('[6]2034'!W36,2)</f>
        <v>41236.97</v>
      </c>
      <c r="X179" s="79">
        <f>ROUND('[6]2034'!X36,2)</f>
        <v>42102.02</v>
      </c>
      <c r="Y179" s="79">
        <f>ROUND('[6]2034'!Y36,2)</f>
        <v>40893.17</v>
      </c>
      <c r="Z179" s="79">
        <f>ROUND('[6]2034'!Z36,2)</f>
        <v>38852.800000000003</v>
      </c>
      <c r="AA179" s="79">
        <f>ROUND('[6]2034'!AA36,2)</f>
        <v>36482.18</v>
      </c>
      <c r="AB179" s="79">
        <f>ROUND('[6]2034'!AB36,2)</f>
        <v>34032.22</v>
      </c>
      <c r="AC179" s="210"/>
      <c r="AD179" s="18"/>
    </row>
    <row r="180" spans="2:30" ht="18.649999999999999" customHeight="1" x14ac:dyDescent="0.35">
      <c r="B180" s="212" t="s">
        <v>34</v>
      </c>
      <c r="C180" s="9" t="s">
        <v>31</v>
      </c>
      <c r="D180" s="10">
        <f>+'[6]2034'!D37</f>
        <v>4</v>
      </c>
      <c r="E180" s="79">
        <f>ROUND('[6]2034'!E37,2)</f>
        <v>32236.15</v>
      </c>
      <c r="F180" s="79">
        <f>ROUND('[6]2034'!F37,2)</f>
        <v>30603.41</v>
      </c>
      <c r="G180" s="79">
        <f>ROUND('[6]2034'!G37,2)</f>
        <v>29335.200000000001</v>
      </c>
      <c r="H180" s="79">
        <f>ROUND('[6]2034'!H37,2)</f>
        <v>28501.64</v>
      </c>
      <c r="I180" s="79">
        <f>ROUND('[6]2034'!I37,2)</f>
        <v>28176.52</v>
      </c>
      <c r="J180" s="79">
        <f>ROUND('[6]2034'!J37,2)</f>
        <v>27291.33</v>
      </c>
      <c r="K180" s="79">
        <f>ROUND('[6]2034'!K37,2)</f>
        <v>26691.57</v>
      </c>
      <c r="L180" s="79">
        <f>ROUND('[6]2034'!L37,2)</f>
        <v>28154.97</v>
      </c>
      <c r="M180" s="79">
        <f>ROUND('[6]2034'!M37,2)</f>
        <v>30084.26</v>
      </c>
      <c r="N180" s="79">
        <f>ROUND('[6]2034'!N37,2)</f>
        <v>31697.64</v>
      </c>
      <c r="O180" s="79">
        <f>ROUND('[6]2034'!O37,2)</f>
        <v>32839.42</v>
      </c>
      <c r="P180" s="79">
        <f>ROUND('[6]2034'!P37,2)</f>
        <v>33747.300000000003</v>
      </c>
      <c r="Q180" s="79">
        <f>ROUND('[6]2034'!Q37,2)</f>
        <v>34457.279999999999</v>
      </c>
      <c r="R180" s="79">
        <f>ROUND('[6]2034'!R37,2)</f>
        <v>34393.269999999997</v>
      </c>
      <c r="S180" s="79">
        <f>ROUND('[6]2034'!S37,2)</f>
        <v>34511.9</v>
      </c>
      <c r="T180" s="79">
        <f>ROUND('[6]2034'!T37,2)</f>
        <v>34792.19</v>
      </c>
      <c r="U180" s="79">
        <f>ROUND('[6]2034'!U37,2)</f>
        <v>34847.99</v>
      </c>
      <c r="V180" s="79">
        <f>ROUND('[6]2034'!V37,2)</f>
        <v>35244.07</v>
      </c>
      <c r="W180" s="79">
        <f>ROUND('[6]2034'!W37,2)</f>
        <v>39295.800000000003</v>
      </c>
      <c r="X180" s="79">
        <f>ROUND('[6]2034'!X37,2)</f>
        <v>41192.239999999998</v>
      </c>
      <c r="Y180" s="79">
        <f>ROUND('[6]2034'!Y37,2)</f>
        <v>40671.599999999999</v>
      </c>
      <c r="Z180" s="79">
        <f>ROUND('[6]2034'!Z37,2)</f>
        <v>39369.379999999997</v>
      </c>
      <c r="AA180" s="79">
        <f>ROUND('[6]2034'!AA37,2)</f>
        <v>36985.97</v>
      </c>
      <c r="AB180" s="79">
        <f>ROUND('[6]2034'!AB37,2)</f>
        <v>34282.769999999997</v>
      </c>
      <c r="AC180" s="210"/>
      <c r="AD180" s="18"/>
    </row>
    <row r="181" spans="2:30" ht="18.649999999999999" customHeight="1" thickBot="1" x14ac:dyDescent="0.4">
      <c r="B181" s="213" t="s">
        <v>34</v>
      </c>
      <c r="C181" s="11" t="s">
        <v>32</v>
      </c>
      <c r="D181" s="12">
        <f>+'[6]2034'!D38</f>
        <v>2</v>
      </c>
      <c r="E181" s="76">
        <f>ROUND('[6]2034'!E38,2)</f>
        <v>32236.15</v>
      </c>
      <c r="F181" s="76">
        <f>ROUND('[6]2034'!F38,2)</f>
        <v>30603.41</v>
      </c>
      <c r="G181" s="76">
        <f>ROUND('[6]2034'!G38,2)</f>
        <v>29335.200000000001</v>
      </c>
      <c r="H181" s="76">
        <f>ROUND('[6]2034'!H38,2)</f>
        <v>28501.64</v>
      </c>
      <c r="I181" s="76">
        <f>ROUND('[6]2034'!I38,2)</f>
        <v>28176.52</v>
      </c>
      <c r="J181" s="76">
        <f>ROUND('[6]2034'!J38,2)</f>
        <v>27291.33</v>
      </c>
      <c r="K181" s="76">
        <f>ROUND('[6]2034'!K38,2)</f>
        <v>26691.57</v>
      </c>
      <c r="L181" s="76">
        <f>ROUND('[6]2034'!L38,2)</f>
        <v>28154.97</v>
      </c>
      <c r="M181" s="76">
        <f>ROUND('[6]2034'!M38,2)</f>
        <v>30084.26</v>
      </c>
      <c r="N181" s="76">
        <f>ROUND('[6]2034'!N38,2)</f>
        <v>31697.64</v>
      </c>
      <c r="O181" s="76">
        <f>ROUND('[6]2034'!O38,2)</f>
        <v>32839.42</v>
      </c>
      <c r="P181" s="76">
        <f>ROUND('[6]2034'!P38,2)</f>
        <v>33747.300000000003</v>
      </c>
      <c r="Q181" s="76">
        <f>ROUND('[6]2034'!Q38,2)</f>
        <v>34457.279999999999</v>
      </c>
      <c r="R181" s="76">
        <f>ROUND('[6]2034'!R38,2)</f>
        <v>34393.269999999997</v>
      </c>
      <c r="S181" s="76">
        <f>ROUND('[6]2034'!S38,2)</f>
        <v>34511.9</v>
      </c>
      <c r="T181" s="76">
        <f>ROUND('[6]2034'!T38,2)</f>
        <v>34792.19</v>
      </c>
      <c r="U181" s="76">
        <f>ROUND('[6]2034'!U38,2)</f>
        <v>34847.99</v>
      </c>
      <c r="V181" s="76">
        <f>ROUND('[6]2034'!V38,2)</f>
        <v>35244.07</v>
      </c>
      <c r="W181" s="76">
        <f>ROUND('[6]2034'!W38,2)</f>
        <v>39295.800000000003</v>
      </c>
      <c r="X181" s="76">
        <f>ROUND('[6]2034'!X38,2)</f>
        <v>41192.239999999998</v>
      </c>
      <c r="Y181" s="76">
        <f>ROUND('[6]2034'!Y38,2)</f>
        <v>40671.599999999999</v>
      </c>
      <c r="Z181" s="76">
        <f>ROUND('[6]2034'!Z38,2)</f>
        <v>39369.379999999997</v>
      </c>
      <c r="AA181" s="76">
        <f>ROUND('[6]2034'!AA38,2)</f>
        <v>36985.97</v>
      </c>
      <c r="AB181" s="76">
        <f>ROUND('[6]2034'!AB38,2)</f>
        <v>34282.769999999997</v>
      </c>
      <c r="AC181" s="214"/>
      <c r="AD181" s="18"/>
    </row>
    <row r="182" spans="2:30" ht="18.649999999999999" customHeight="1" x14ac:dyDescent="0.35">
      <c r="B182" s="207">
        <v>49126</v>
      </c>
      <c r="C182" s="13" t="s">
        <v>29</v>
      </c>
      <c r="D182" s="7">
        <f>+'[6]2034'!D39</f>
        <v>19</v>
      </c>
      <c r="E182" s="81">
        <f>ROUND('[6]2034'!E39,2)</f>
        <v>31841.17</v>
      </c>
      <c r="F182" s="81">
        <f>ROUND('[6]2034'!F39,2)</f>
        <v>30213.45</v>
      </c>
      <c r="G182" s="81">
        <f>ROUND('[6]2034'!G39,2)</f>
        <v>28998.59</v>
      </c>
      <c r="H182" s="81">
        <f>ROUND('[6]2034'!H39,2)</f>
        <v>28187.35</v>
      </c>
      <c r="I182" s="81">
        <f>ROUND('[6]2034'!I39,2)</f>
        <v>28157.43</v>
      </c>
      <c r="J182" s="81">
        <f>ROUND('[6]2034'!J39,2)</f>
        <v>28881.57</v>
      </c>
      <c r="K182" s="81">
        <f>ROUND('[6]2034'!K39,2)</f>
        <v>29256.93</v>
      </c>
      <c r="L182" s="81">
        <f>ROUND('[6]2034'!L39,2)</f>
        <v>32860.589999999997</v>
      </c>
      <c r="M182" s="81">
        <f>ROUND('[6]2034'!M39,2)</f>
        <v>36393.870000000003</v>
      </c>
      <c r="N182" s="81">
        <f>ROUND('[6]2034'!N39,2)</f>
        <v>38211.21</v>
      </c>
      <c r="O182" s="81">
        <f>ROUND('[6]2034'!O39,2)</f>
        <v>40323.32</v>
      </c>
      <c r="P182" s="81">
        <f>ROUND('[6]2034'!P39,2)</f>
        <v>41907.410000000003</v>
      </c>
      <c r="Q182" s="81">
        <f>ROUND('[6]2034'!Q39,2)</f>
        <v>40413.46</v>
      </c>
      <c r="R182" s="81">
        <f>ROUND('[6]2034'!R39,2)</f>
        <v>41773.199999999997</v>
      </c>
      <c r="S182" s="81">
        <f>ROUND('[6]2034'!S39,2)</f>
        <v>44151.66</v>
      </c>
      <c r="T182" s="81">
        <f>ROUND('[6]2034'!T39,2)</f>
        <v>44413.15</v>
      </c>
      <c r="U182" s="81">
        <f>ROUND('[6]2034'!U39,2)</f>
        <v>43810.400000000001</v>
      </c>
      <c r="V182" s="81">
        <f>ROUND('[6]2034'!V39,2)</f>
        <v>41948.73</v>
      </c>
      <c r="W182" s="81">
        <f>ROUND('[6]2034'!W39,2)</f>
        <v>43809.07</v>
      </c>
      <c r="X182" s="81">
        <f>ROUND('[6]2034'!X39,2)</f>
        <v>44830.21</v>
      </c>
      <c r="Y182" s="81">
        <f>ROUND('[6]2034'!Y39,2)</f>
        <v>43615.61</v>
      </c>
      <c r="Z182" s="81">
        <f>ROUND('[6]2034'!Z39,2)</f>
        <v>41447.22</v>
      </c>
      <c r="AA182" s="81">
        <f>ROUND('[6]2034'!AA39,2)</f>
        <v>38057.599999999999</v>
      </c>
      <c r="AB182" s="81">
        <f>ROUND('[6]2034'!AB39,2)</f>
        <v>34777.599999999999</v>
      </c>
      <c r="AC182" s="210">
        <f>SUM(E182:AB182)*D182+SUM(E183:AB183)*D183+SUM(E184:AB184)*D184+SUM(E185:AB185)*D185</f>
        <v>26741248.390000004</v>
      </c>
      <c r="AD182" s="18"/>
    </row>
    <row r="183" spans="2:30" ht="18.649999999999999" customHeight="1" x14ac:dyDescent="0.35">
      <c r="B183" s="208"/>
      <c r="C183" s="9" t="s">
        <v>30</v>
      </c>
      <c r="D183" s="10">
        <f>+'[6]2034'!D40</f>
        <v>5</v>
      </c>
      <c r="E183" s="79">
        <f>ROUND('[6]2034'!E40,2)</f>
        <v>32434.880000000001</v>
      </c>
      <c r="F183" s="79">
        <f>ROUND('[6]2034'!F40,2)</f>
        <v>30601.5</v>
      </c>
      <c r="G183" s="79">
        <f>ROUND('[6]2034'!G40,2)</f>
        <v>29282.39</v>
      </c>
      <c r="H183" s="79">
        <f>ROUND('[6]2034'!H40,2)</f>
        <v>28483.02</v>
      </c>
      <c r="I183" s="79">
        <f>ROUND('[6]2034'!I40,2)</f>
        <v>28104.57</v>
      </c>
      <c r="J183" s="79">
        <f>ROUND('[6]2034'!J40,2)</f>
        <v>27819.37</v>
      </c>
      <c r="K183" s="79">
        <f>ROUND('[6]2034'!K40,2)</f>
        <v>27944.32</v>
      </c>
      <c r="L183" s="79">
        <f>ROUND('[6]2034'!L40,2)</f>
        <v>31004.62</v>
      </c>
      <c r="M183" s="79">
        <f>ROUND('[6]2034'!M40,2)</f>
        <v>34597.64</v>
      </c>
      <c r="N183" s="79">
        <f>ROUND('[6]2034'!N40,2)</f>
        <v>36672.71</v>
      </c>
      <c r="O183" s="79">
        <f>ROUND('[6]2034'!O40,2)</f>
        <v>38624.74</v>
      </c>
      <c r="P183" s="79">
        <f>ROUND('[6]2034'!P40,2)</f>
        <v>39600.36</v>
      </c>
      <c r="Q183" s="79">
        <f>ROUND('[6]2034'!Q40,2)</f>
        <v>38967.51</v>
      </c>
      <c r="R183" s="79">
        <f>ROUND('[6]2034'!R40,2)</f>
        <v>38404.160000000003</v>
      </c>
      <c r="S183" s="79">
        <f>ROUND('[6]2034'!S40,2)</f>
        <v>38401.4</v>
      </c>
      <c r="T183" s="79">
        <f>ROUND('[6]2034'!T40,2)</f>
        <v>38174.54</v>
      </c>
      <c r="U183" s="79">
        <f>ROUND('[6]2034'!U40,2)</f>
        <v>37809.120000000003</v>
      </c>
      <c r="V183" s="79">
        <f>ROUND('[6]2034'!V40,2)</f>
        <v>37935.11</v>
      </c>
      <c r="W183" s="79">
        <f>ROUND('[6]2034'!W40,2)</f>
        <v>40314.21</v>
      </c>
      <c r="X183" s="79">
        <f>ROUND('[6]2034'!X40,2)</f>
        <v>41222.230000000003</v>
      </c>
      <c r="Y183" s="79">
        <f>ROUND('[6]2034'!Y40,2)</f>
        <v>39871.53</v>
      </c>
      <c r="Z183" s="79">
        <f>ROUND('[6]2034'!Z40,2)</f>
        <v>38201.93</v>
      </c>
      <c r="AA183" s="79">
        <f>ROUND('[6]2034'!AA40,2)</f>
        <v>36083.85</v>
      </c>
      <c r="AB183" s="79">
        <f>ROUND('[6]2034'!AB40,2)</f>
        <v>33657.42</v>
      </c>
      <c r="AC183" s="210"/>
      <c r="AD183" s="18"/>
    </row>
    <row r="184" spans="2:30" ht="18.649999999999999" customHeight="1" x14ac:dyDescent="0.35">
      <c r="B184" s="208"/>
      <c r="C184" s="9" t="s">
        <v>31</v>
      </c>
      <c r="D184" s="10">
        <f>+'[6]2034'!D41</f>
        <v>5</v>
      </c>
      <c r="E184" s="79">
        <f>ROUND('[6]2034'!E41,2)</f>
        <v>30502.33</v>
      </c>
      <c r="F184" s="79">
        <f>ROUND('[6]2034'!F41,2)</f>
        <v>29076.15</v>
      </c>
      <c r="G184" s="79">
        <f>ROUND('[6]2034'!G41,2)</f>
        <v>27832.43</v>
      </c>
      <c r="H184" s="79">
        <f>ROUND('[6]2034'!H41,2)</f>
        <v>27072.86</v>
      </c>
      <c r="I184" s="79">
        <f>ROUND('[6]2034'!I41,2)</f>
        <v>26765.73</v>
      </c>
      <c r="J184" s="79">
        <f>ROUND('[6]2034'!J41,2)</f>
        <v>26111.21</v>
      </c>
      <c r="K184" s="79">
        <f>ROUND('[6]2034'!K41,2)</f>
        <v>25534.86</v>
      </c>
      <c r="L184" s="79">
        <f>ROUND('[6]2034'!L41,2)</f>
        <v>27113.22</v>
      </c>
      <c r="M184" s="79">
        <f>ROUND('[6]2034'!M41,2)</f>
        <v>29053.82</v>
      </c>
      <c r="N184" s="79">
        <f>ROUND('[6]2034'!N41,2)</f>
        <v>30617.360000000001</v>
      </c>
      <c r="O184" s="79">
        <f>ROUND('[6]2034'!O41,2)</f>
        <v>31950.93</v>
      </c>
      <c r="P184" s="79">
        <f>ROUND('[6]2034'!P41,2)</f>
        <v>33087.51</v>
      </c>
      <c r="Q184" s="79">
        <f>ROUND('[6]2034'!Q41,2)</f>
        <v>33909.31</v>
      </c>
      <c r="R184" s="79">
        <f>ROUND('[6]2034'!R41,2)</f>
        <v>34117.83</v>
      </c>
      <c r="S184" s="79">
        <f>ROUND('[6]2034'!S41,2)</f>
        <v>34311.58</v>
      </c>
      <c r="T184" s="79">
        <f>ROUND('[6]2034'!T41,2)</f>
        <v>34765.25</v>
      </c>
      <c r="U184" s="79">
        <f>ROUND('[6]2034'!U41,2)</f>
        <v>34703.96</v>
      </c>
      <c r="V184" s="79">
        <f>ROUND('[6]2034'!V41,2)</f>
        <v>34868.31</v>
      </c>
      <c r="W184" s="79">
        <f>ROUND('[6]2034'!W41,2)</f>
        <v>38822.9</v>
      </c>
      <c r="X184" s="79">
        <f>ROUND('[6]2034'!X41,2)</f>
        <v>41041.31</v>
      </c>
      <c r="Y184" s="79">
        <f>ROUND('[6]2034'!Y41,2)</f>
        <v>40420.75</v>
      </c>
      <c r="Z184" s="79">
        <f>ROUND('[6]2034'!Z41,2)</f>
        <v>38759.85</v>
      </c>
      <c r="AA184" s="79">
        <f>ROUND('[6]2034'!AA41,2)</f>
        <v>35776.400000000001</v>
      </c>
      <c r="AB184" s="79">
        <f>ROUND('[6]2034'!AB41,2)</f>
        <v>32762.36</v>
      </c>
      <c r="AC184" s="210"/>
      <c r="AD184" s="18"/>
    </row>
    <row r="185" spans="2:30" ht="18.649999999999999" customHeight="1" thickBot="1" x14ac:dyDescent="0.4">
      <c r="B185" s="208"/>
      <c r="C185" s="15" t="s">
        <v>32</v>
      </c>
      <c r="D185" s="12">
        <f>+'[6]2034'!D42</f>
        <v>2</v>
      </c>
      <c r="E185" s="79">
        <f>ROUND('[6]2034'!E42,2)</f>
        <v>30502.33</v>
      </c>
      <c r="F185" s="79">
        <f>ROUND('[6]2034'!F42,2)</f>
        <v>29076.15</v>
      </c>
      <c r="G185" s="79">
        <f>ROUND('[6]2034'!G42,2)</f>
        <v>27832.43</v>
      </c>
      <c r="H185" s="79">
        <f>ROUND('[6]2034'!H42,2)</f>
        <v>27072.86</v>
      </c>
      <c r="I185" s="79">
        <f>ROUND('[6]2034'!I42,2)</f>
        <v>26765.73</v>
      </c>
      <c r="J185" s="79">
        <f>ROUND('[6]2034'!J42,2)</f>
        <v>26111.21</v>
      </c>
      <c r="K185" s="79">
        <f>ROUND('[6]2034'!K42,2)</f>
        <v>25534.86</v>
      </c>
      <c r="L185" s="79">
        <f>ROUND('[6]2034'!L42,2)</f>
        <v>27113.22</v>
      </c>
      <c r="M185" s="79">
        <f>ROUND('[6]2034'!M42,2)</f>
        <v>29053.82</v>
      </c>
      <c r="N185" s="79">
        <f>ROUND('[6]2034'!N42,2)</f>
        <v>30617.360000000001</v>
      </c>
      <c r="O185" s="79">
        <f>ROUND('[6]2034'!O42,2)</f>
        <v>31950.93</v>
      </c>
      <c r="P185" s="79">
        <f>ROUND('[6]2034'!P42,2)</f>
        <v>33087.51</v>
      </c>
      <c r="Q185" s="79">
        <f>ROUND('[6]2034'!Q42,2)</f>
        <v>33909.31</v>
      </c>
      <c r="R185" s="79">
        <f>ROUND('[6]2034'!R42,2)</f>
        <v>34117.83</v>
      </c>
      <c r="S185" s="79">
        <f>ROUND('[6]2034'!S42,2)</f>
        <v>34311.58</v>
      </c>
      <c r="T185" s="79">
        <f>ROUND('[6]2034'!T42,2)</f>
        <v>34765.25</v>
      </c>
      <c r="U185" s="79">
        <f>ROUND('[6]2034'!U42,2)</f>
        <v>34703.96</v>
      </c>
      <c r="V185" s="79">
        <f>ROUND('[6]2034'!V42,2)</f>
        <v>34868.31</v>
      </c>
      <c r="W185" s="79">
        <f>ROUND('[6]2034'!W42,2)</f>
        <v>38822.9</v>
      </c>
      <c r="X185" s="79">
        <f>ROUND('[6]2034'!X42,2)</f>
        <v>41041.31</v>
      </c>
      <c r="Y185" s="79">
        <f>ROUND('[6]2034'!Y42,2)</f>
        <v>40420.75</v>
      </c>
      <c r="Z185" s="79">
        <f>ROUND('[6]2034'!Z42,2)</f>
        <v>38759.85</v>
      </c>
      <c r="AA185" s="79">
        <f>ROUND('[6]2034'!AA42,2)</f>
        <v>35776.400000000001</v>
      </c>
      <c r="AB185" s="79">
        <f>ROUND('[6]2034'!AB42,2)</f>
        <v>32762.36</v>
      </c>
      <c r="AC185" s="210"/>
      <c r="AD185" s="18"/>
    </row>
    <row r="186" spans="2:30" ht="18.649999999999999" customHeight="1" x14ac:dyDescent="0.35">
      <c r="B186" s="211">
        <v>49157</v>
      </c>
      <c r="C186" s="6" t="s">
        <v>29</v>
      </c>
      <c r="D186" s="7">
        <f>+'[6]2034'!D43</f>
        <v>21</v>
      </c>
      <c r="E186" s="78">
        <f>ROUND('[6]2034'!E43,2)</f>
        <v>31678.11</v>
      </c>
      <c r="F186" s="78">
        <f>ROUND('[6]2034'!F43,2)</f>
        <v>29945.21</v>
      </c>
      <c r="G186" s="78">
        <f>ROUND('[6]2034'!G43,2)</f>
        <v>28718.2</v>
      </c>
      <c r="H186" s="78">
        <f>ROUND('[6]2034'!H43,2)</f>
        <v>27881.24</v>
      </c>
      <c r="I186" s="78">
        <f>ROUND('[6]2034'!I43,2)</f>
        <v>27852.57</v>
      </c>
      <c r="J186" s="78">
        <f>ROUND('[6]2034'!J43,2)</f>
        <v>28783.34</v>
      </c>
      <c r="K186" s="78">
        <f>ROUND('[6]2034'!K43,2)</f>
        <v>29121.94</v>
      </c>
      <c r="L186" s="78">
        <f>ROUND('[6]2034'!L43,2)</f>
        <v>32395.42</v>
      </c>
      <c r="M186" s="78">
        <f>ROUND('[6]2034'!M43,2)</f>
        <v>35923.949999999997</v>
      </c>
      <c r="N186" s="78">
        <f>ROUND('[6]2034'!N43,2)</f>
        <v>37691.61</v>
      </c>
      <c r="O186" s="78">
        <f>ROUND('[6]2034'!O43,2)</f>
        <v>39889.410000000003</v>
      </c>
      <c r="P186" s="78">
        <f>ROUND('[6]2034'!P43,2)</f>
        <v>41709.550000000003</v>
      </c>
      <c r="Q186" s="78">
        <f>ROUND('[6]2034'!Q43,2)</f>
        <v>40032.82</v>
      </c>
      <c r="R186" s="78">
        <f>ROUND('[6]2034'!R43,2)</f>
        <v>41341.96</v>
      </c>
      <c r="S186" s="78">
        <f>ROUND('[6]2034'!S43,2)</f>
        <v>43827.73</v>
      </c>
      <c r="T186" s="78">
        <f>ROUND('[6]2034'!T43,2)</f>
        <v>44109.22</v>
      </c>
      <c r="U186" s="78">
        <f>ROUND('[6]2034'!U43,2)</f>
        <v>43352.78</v>
      </c>
      <c r="V186" s="78">
        <f>ROUND('[6]2034'!V43,2)</f>
        <v>41764.800000000003</v>
      </c>
      <c r="W186" s="78">
        <f>ROUND('[6]2034'!W43,2)</f>
        <v>44264.85</v>
      </c>
      <c r="X186" s="78">
        <f>ROUND('[6]2034'!X43,2)</f>
        <v>44955.17</v>
      </c>
      <c r="Y186" s="78">
        <f>ROUND('[6]2034'!Y43,2)</f>
        <v>43691.87</v>
      </c>
      <c r="Z186" s="78">
        <f>ROUND('[6]2034'!Z43,2)</f>
        <v>41457.43</v>
      </c>
      <c r="AA186" s="78">
        <f>ROUND('[6]2034'!AA43,2)</f>
        <v>38015.660000000003</v>
      </c>
      <c r="AB186" s="78">
        <f>ROUND('[6]2034'!AB43,2)</f>
        <v>34764.58</v>
      </c>
      <c r="AC186" s="209">
        <f>SUM(E186:AB186)*D186+SUM(E187:AB187)*D187+SUM(E188:AB188)*D188+SUM(E189:AB189)*D189</f>
        <v>26823808.640000004</v>
      </c>
      <c r="AD186" s="18"/>
    </row>
    <row r="187" spans="2:30" ht="18.649999999999999" customHeight="1" x14ac:dyDescent="0.35">
      <c r="B187" s="212" t="s">
        <v>34</v>
      </c>
      <c r="C187" s="9" t="s">
        <v>30</v>
      </c>
      <c r="D187" s="10">
        <f>+'[6]2034'!D44</f>
        <v>4</v>
      </c>
      <c r="E187" s="79">
        <f>ROUND('[6]2034'!E44,2)</f>
        <v>32111.81</v>
      </c>
      <c r="F187" s="79">
        <f>ROUND('[6]2034'!F44,2)</f>
        <v>30460.6</v>
      </c>
      <c r="G187" s="79">
        <f>ROUND('[6]2034'!G44,2)</f>
        <v>29236.29</v>
      </c>
      <c r="H187" s="79">
        <f>ROUND('[6]2034'!H44,2)</f>
        <v>28307.06</v>
      </c>
      <c r="I187" s="79">
        <f>ROUND('[6]2034'!I44,2)</f>
        <v>27749.87</v>
      </c>
      <c r="J187" s="79">
        <f>ROUND('[6]2034'!J44,2)</f>
        <v>27510.62</v>
      </c>
      <c r="K187" s="79">
        <f>ROUND('[6]2034'!K44,2)</f>
        <v>27553.53</v>
      </c>
      <c r="L187" s="79">
        <f>ROUND('[6]2034'!L44,2)</f>
        <v>30501.34</v>
      </c>
      <c r="M187" s="79">
        <f>ROUND('[6]2034'!M44,2)</f>
        <v>33730.29</v>
      </c>
      <c r="N187" s="79">
        <f>ROUND('[6]2034'!N44,2)</f>
        <v>35784.17</v>
      </c>
      <c r="O187" s="79">
        <f>ROUND('[6]2034'!O44,2)</f>
        <v>37470.559999999998</v>
      </c>
      <c r="P187" s="79">
        <f>ROUND('[6]2034'!P44,2)</f>
        <v>38041.279999999999</v>
      </c>
      <c r="Q187" s="79">
        <f>ROUND('[6]2034'!Q44,2)</f>
        <v>37388.04</v>
      </c>
      <c r="R187" s="79">
        <f>ROUND('[6]2034'!R44,2)</f>
        <v>36875.839999999997</v>
      </c>
      <c r="S187" s="79">
        <f>ROUND('[6]2034'!S44,2)</f>
        <v>37282.730000000003</v>
      </c>
      <c r="T187" s="79">
        <f>ROUND('[6]2034'!T44,2)</f>
        <v>37444.85</v>
      </c>
      <c r="U187" s="79">
        <f>ROUND('[6]2034'!U44,2)</f>
        <v>37198.269999999997</v>
      </c>
      <c r="V187" s="79">
        <f>ROUND('[6]2034'!V44,2)</f>
        <v>37485.599999999999</v>
      </c>
      <c r="W187" s="79">
        <f>ROUND('[6]2034'!W44,2)</f>
        <v>41377.58</v>
      </c>
      <c r="X187" s="79">
        <f>ROUND('[6]2034'!X44,2)</f>
        <v>41706.44</v>
      </c>
      <c r="Y187" s="79">
        <f>ROUND('[6]2034'!Y44,2)</f>
        <v>40186.089999999997</v>
      </c>
      <c r="Z187" s="79">
        <f>ROUND('[6]2034'!Z44,2)</f>
        <v>38362.879999999997</v>
      </c>
      <c r="AA187" s="79">
        <f>ROUND('[6]2034'!AA44,2)</f>
        <v>36009.18</v>
      </c>
      <c r="AB187" s="79">
        <f>ROUND('[6]2034'!AB44,2)</f>
        <v>33441.08</v>
      </c>
      <c r="AC187" s="210"/>
      <c r="AD187" s="18"/>
    </row>
    <row r="188" spans="2:30" ht="18.649999999999999" customHeight="1" x14ac:dyDescent="0.35">
      <c r="B188" s="212" t="s">
        <v>34</v>
      </c>
      <c r="C188" s="9" t="s">
        <v>31</v>
      </c>
      <c r="D188" s="10">
        <f>+'[6]2034'!D45</f>
        <v>4</v>
      </c>
      <c r="E188" s="79">
        <f>ROUND('[6]2034'!E45,2)</f>
        <v>31337.06</v>
      </c>
      <c r="F188" s="79">
        <f>ROUND('[6]2034'!F45,2)</f>
        <v>29812.28</v>
      </c>
      <c r="G188" s="79">
        <f>ROUND('[6]2034'!G45,2)</f>
        <v>28490.74</v>
      </c>
      <c r="H188" s="79">
        <f>ROUND('[6]2034'!H45,2)</f>
        <v>27724.73</v>
      </c>
      <c r="I188" s="79">
        <f>ROUND('[6]2034'!I45,2)</f>
        <v>27325.38</v>
      </c>
      <c r="J188" s="79">
        <f>ROUND('[6]2034'!J45,2)</f>
        <v>26909.38</v>
      </c>
      <c r="K188" s="79">
        <f>ROUND('[6]2034'!K45,2)</f>
        <v>26186.03</v>
      </c>
      <c r="L188" s="79">
        <f>ROUND('[6]2034'!L45,2)</f>
        <v>27669.18</v>
      </c>
      <c r="M188" s="79">
        <f>ROUND('[6]2034'!M45,2)</f>
        <v>29450.01</v>
      </c>
      <c r="N188" s="79">
        <f>ROUND('[6]2034'!N45,2)</f>
        <v>30963.69</v>
      </c>
      <c r="O188" s="79">
        <f>ROUND('[6]2034'!O45,2)</f>
        <v>32247.62</v>
      </c>
      <c r="P188" s="79">
        <f>ROUND('[6]2034'!P45,2)</f>
        <v>33317.86</v>
      </c>
      <c r="Q188" s="79">
        <f>ROUND('[6]2034'!Q45,2)</f>
        <v>33956</v>
      </c>
      <c r="R188" s="79">
        <f>ROUND('[6]2034'!R45,2)</f>
        <v>34089.660000000003</v>
      </c>
      <c r="S188" s="79">
        <f>ROUND('[6]2034'!S45,2)</f>
        <v>34295.29</v>
      </c>
      <c r="T188" s="79">
        <f>ROUND('[6]2034'!T45,2)</f>
        <v>34542.9</v>
      </c>
      <c r="U188" s="79">
        <f>ROUND('[6]2034'!U45,2)</f>
        <v>34538.65</v>
      </c>
      <c r="V188" s="79">
        <f>ROUND('[6]2034'!V45,2)</f>
        <v>35117.699999999997</v>
      </c>
      <c r="W188" s="79">
        <f>ROUND('[6]2034'!W45,2)</f>
        <v>39519.29</v>
      </c>
      <c r="X188" s="79">
        <f>ROUND('[6]2034'!X45,2)</f>
        <v>41225.46</v>
      </c>
      <c r="Y188" s="79">
        <f>ROUND('[6]2034'!Y45,2)</f>
        <v>40887.78</v>
      </c>
      <c r="Z188" s="79">
        <f>ROUND('[6]2034'!Z45,2)</f>
        <v>39426.74</v>
      </c>
      <c r="AA188" s="79">
        <f>ROUND('[6]2034'!AA45,2)</f>
        <v>36541.14</v>
      </c>
      <c r="AB188" s="79">
        <f>ROUND('[6]2034'!AB45,2)</f>
        <v>33489.9</v>
      </c>
      <c r="AC188" s="210"/>
      <c r="AD188" s="18"/>
    </row>
    <row r="189" spans="2:30" ht="18.649999999999999" customHeight="1" thickBot="1" x14ac:dyDescent="0.4">
      <c r="B189" s="213" t="s">
        <v>34</v>
      </c>
      <c r="C189" s="11" t="s">
        <v>32</v>
      </c>
      <c r="D189" s="12">
        <f>+'[6]2034'!D46</f>
        <v>2</v>
      </c>
      <c r="E189" s="76">
        <f>ROUND('[6]2034'!E46,2)</f>
        <v>31337.06</v>
      </c>
      <c r="F189" s="76">
        <f>ROUND('[6]2034'!F46,2)</f>
        <v>29812.28</v>
      </c>
      <c r="G189" s="76">
        <f>ROUND('[6]2034'!G46,2)</f>
        <v>28490.74</v>
      </c>
      <c r="H189" s="76">
        <f>ROUND('[6]2034'!H46,2)</f>
        <v>27724.73</v>
      </c>
      <c r="I189" s="76">
        <f>ROUND('[6]2034'!I46,2)</f>
        <v>27325.38</v>
      </c>
      <c r="J189" s="76">
        <f>ROUND('[6]2034'!J46,2)</f>
        <v>26909.38</v>
      </c>
      <c r="K189" s="76">
        <f>ROUND('[6]2034'!K46,2)</f>
        <v>26186.03</v>
      </c>
      <c r="L189" s="76">
        <f>ROUND('[6]2034'!L46,2)</f>
        <v>27669.18</v>
      </c>
      <c r="M189" s="76">
        <f>ROUND('[6]2034'!M46,2)</f>
        <v>29450.01</v>
      </c>
      <c r="N189" s="76">
        <f>ROUND('[6]2034'!N46,2)</f>
        <v>30963.69</v>
      </c>
      <c r="O189" s="76">
        <f>ROUND('[6]2034'!O46,2)</f>
        <v>32247.62</v>
      </c>
      <c r="P189" s="76">
        <f>ROUND('[6]2034'!P46,2)</f>
        <v>33317.86</v>
      </c>
      <c r="Q189" s="76">
        <f>ROUND('[6]2034'!Q46,2)</f>
        <v>33956</v>
      </c>
      <c r="R189" s="76">
        <f>ROUND('[6]2034'!R46,2)</f>
        <v>34089.660000000003</v>
      </c>
      <c r="S189" s="76">
        <f>ROUND('[6]2034'!S46,2)</f>
        <v>34295.29</v>
      </c>
      <c r="T189" s="76">
        <f>ROUND('[6]2034'!T46,2)</f>
        <v>34542.9</v>
      </c>
      <c r="U189" s="76">
        <f>ROUND('[6]2034'!U46,2)</f>
        <v>34538.65</v>
      </c>
      <c r="V189" s="76">
        <f>ROUND('[6]2034'!V46,2)</f>
        <v>35117.699999999997</v>
      </c>
      <c r="W189" s="76">
        <f>ROUND('[6]2034'!W46,2)</f>
        <v>39519.29</v>
      </c>
      <c r="X189" s="76">
        <f>ROUND('[6]2034'!X46,2)</f>
        <v>41225.46</v>
      </c>
      <c r="Y189" s="76">
        <f>ROUND('[6]2034'!Y46,2)</f>
        <v>40887.78</v>
      </c>
      <c r="Z189" s="76">
        <f>ROUND('[6]2034'!Z46,2)</f>
        <v>39426.74</v>
      </c>
      <c r="AA189" s="76">
        <f>ROUND('[6]2034'!AA46,2)</f>
        <v>36541.14</v>
      </c>
      <c r="AB189" s="76">
        <f>ROUND('[6]2034'!AB46,2)</f>
        <v>33489.9</v>
      </c>
      <c r="AC189" s="214"/>
      <c r="AD189" s="18"/>
    </row>
    <row r="190" spans="2:30" ht="18.649999999999999" customHeight="1" x14ac:dyDescent="0.35">
      <c r="B190" s="207">
        <v>49188</v>
      </c>
      <c r="C190" s="13" t="s">
        <v>29</v>
      </c>
      <c r="D190" s="14">
        <f>+'[6]2034'!D47</f>
        <v>21</v>
      </c>
      <c r="E190" s="81">
        <f>ROUND('[6]2034'!E47,2)</f>
        <v>31368.04</v>
      </c>
      <c r="F190" s="81">
        <f>ROUND('[6]2034'!F47,2)</f>
        <v>29722.67</v>
      </c>
      <c r="G190" s="81">
        <f>ROUND('[6]2034'!G47,2)</f>
        <v>28510.58</v>
      </c>
      <c r="H190" s="81">
        <f>ROUND('[6]2034'!H47,2)</f>
        <v>27622.82</v>
      </c>
      <c r="I190" s="81">
        <f>ROUND('[6]2034'!I47,2)</f>
        <v>27591.46</v>
      </c>
      <c r="J190" s="81">
        <f>ROUND('[6]2034'!J47,2)</f>
        <v>28484.39</v>
      </c>
      <c r="K190" s="81">
        <f>ROUND('[6]2034'!K47,2)</f>
        <v>28886.98</v>
      </c>
      <c r="L190" s="81">
        <f>ROUND('[6]2034'!L47,2)</f>
        <v>32193.87</v>
      </c>
      <c r="M190" s="81">
        <f>ROUND('[6]2034'!M47,2)</f>
        <v>35755.39</v>
      </c>
      <c r="N190" s="81">
        <f>ROUND('[6]2034'!N47,2)</f>
        <v>37533.67</v>
      </c>
      <c r="O190" s="81">
        <f>ROUND('[6]2034'!O47,2)</f>
        <v>39445.19</v>
      </c>
      <c r="P190" s="81">
        <f>ROUND('[6]2034'!P47,2)</f>
        <v>41078.71</v>
      </c>
      <c r="Q190" s="81">
        <f>ROUND('[6]2034'!Q47,2)</f>
        <v>39593.980000000003</v>
      </c>
      <c r="R190" s="81">
        <f>ROUND('[6]2034'!R47,2)</f>
        <v>40750.9</v>
      </c>
      <c r="S190" s="81">
        <f>ROUND('[6]2034'!S47,2)</f>
        <v>43062.27</v>
      </c>
      <c r="T190" s="81">
        <f>ROUND('[6]2034'!T47,2)</f>
        <v>43356.98</v>
      </c>
      <c r="U190" s="81">
        <f>ROUND('[6]2034'!U47,2)</f>
        <v>42687.09</v>
      </c>
      <c r="V190" s="81">
        <f>ROUND('[6]2034'!V47,2)</f>
        <v>41601.699999999997</v>
      </c>
      <c r="W190" s="81">
        <f>ROUND('[6]2034'!W47,2)</f>
        <v>44384.74</v>
      </c>
      <c r="X190" s="81">
        <f>ROUND('[6]2034'!X47,2)</f>
        <v>43965.55</v>
      </c>
      <c r="Y190" s="81">
        <f>ROUND('[6]2034'!Y47,2)</f>
        <v>42561.8</v>
      </c>
      <c r="Z190" s="81">
        <f>ROUND('[6]2034'!Z47,2)</f>
        <v>40266.22</v>
      </c>
      <c r="AA190" s="81">
        <f>ROUND('[6]2034'!AA47,2)</f>
        <v>36821.980000000003</v>
      </c>
      <c r="AB190" s="81">
        <f>ROUND('[6]2034'!AB47,2)</f>
        <v>33653.49</v>
      </c>
      <c r="AC190" s="210">
        <f>SUM(E190:AB190)*D190+SUM(E191:AB191)*D191+SUM(E192:AB192)*D192+SUM(E193:AB193)*D193</f>
        <v>25737454.130000003</v>
      </c>
      <c r="AD190" s="18"/>
    </row>
    <row r="191" spans="2:30" ht="18.649999999999999" customHeight="1" x14ac:dyDescent="0.35">
      <c r="B191" s="208"/>
      <c r="C191" s="9" t="s">
        <v>30</v>
      </c>
      <c r="D191" s="10">
        <f>+'[6]2034'!D48</f>
        <v>5</v>
      </c>
      <c r="E191" s="79">
        <f>ROUND('[6]2034'!E48,2)</f>
        <v>30551.78</v>
      </c>
      <c r="F191" s="79">
        <f>ROUND('[6]2034'!F48,2)</f>
        <v>29007.5</v>
      </c>
      <c r="G191" s="79">
        <f>ROUND('[6]2034'!G48,2)</f>
        <v>27847.42</v>
      </c>
      <c r="H191" s="79">
        <f>ROUND('[6]2034'!H48,2)</f>
        <v>26992.400000000001</v>
      </c>
      <c r="I191" s="79">
        <f>ROUND('[6]2034'!I48,2)</f>
        <v>26765.06</v>
      </c>
      <c r="J191" s="79">
        <f>ROUND('[6]2034'!J48,2)</f>
        <v>26610.95</v>
      </c>
      <c r="K191" s="79">
        <f>ROUND('[6]2034'!K48,2)</f>
        <v>26916.06</v>
      </c>
      <c r="L191" s="79">
        <f>ROUND('[6]2034'!L48,2)</f>
        <v>29984.639999999999</v>
      </c>
      <c r="M191" s="79">
        <f>ROUND('[6]2034'!M48,2)</f>
        <v>33416.82</v>
      </c>
      <c r="N191" s="79">
        <f>ROUND('[6]2034'!N48,2)</f>
        <v>35107.42</v>
      </c>
      <c r="O191" s="79">
        <f>ROUND('[6]2034'!O48,2)</f>
        <v>37163.550000000003</v>
      </c>
      <c r="P191" s="79">
        <f>ROUND('[6]2034'!P48,2)</f>
        <v>38078.870000000003</v>
      </c>
      <c r="Q191" s="79">
        <f>ROUND('[6]2034'!Q48,2)</f>
        <v>37654.870000000003</v>
      </c>
      <c r="R191" s="79">
        <f>ROUND('[6]2034'!R48,2)</f>
        <v>37194.29</v>
      </c>
      <c r="S191" s="79">
        <f>ROUND('[6]2034'!S48,2)</f>
        <v>37451.32</v>
      </c>
      <c r="T191" s="79">
        <f>ROUND('[6]2034'!T48,2)</f>
        <v>37371.360000000001</v>
      </c>
      <c r="U191" s="79">
        <f>ROUND('[6]2034'!U48,2)</f>
        <v>36927.08</v>
      </c>
      <c r="V191" s="79">
        <f>ROUND('[6]2034'!V48,2)</f>
        <v>37832.980000000003</v>
      </c>
      <c r="W191" s="79">
        <f>ROUND('[6]2034'!W48,2)</f>
        <v>42038.32</v>
      </c>
      <c r="X191" s="79">
        <f>ROUND('[6]2034'!X48,2)</f>
        <v>41727.120000000003</v>
      </c>
      <c r="Y191" s="79">
        <f>ROUND('[6]2034'!Y48,2)</f>
        <v>40254.080000000002</v>
      </c>
      <c r="Z191" s="79">
        <f>ROUND('[6]2034'!Z48,2)</f>
        <v>38401.839999999997</v>
      </c>
      <c r="AA191" s="79">
        <f>ROUND('[6]2034'!AA48,2)</f>
        <v>36279.65</v>
      </c>
      <c r="AB191" s="79">
        <f>ROUND('[6]2034'!AB48,2)</f>
        <v>33743.879999999997</v>
      </c>
      <c r="AC191" s="210"/>
      <c r="AD191" s="18"/>
    </row>
    <row r="192" spans="2:30" ht="18.649999999999999" customHeight="1" x14ac:dyDescent="0.35">
      <c r="B192" s="208"/>
      <c r="C192" s="9" t="s">
        <v>31</v>
      </c>
      <c r="D192" s="10">
        <f>+'[6]2034'!D49</f>
        <v>4</v>
      </c>
      <c r="E192" s="79">
        <f>ROUND('[6]2034'!E49,2)</f>
        <v>31270.880000000001</v>
      </c>
      <c r="F192" s="79">
        <f>ROUND('[6]2034'!F49,2)</f>
        <v>29677.279999999999</v>
      </c>
      <c r="G192" s="79">
        <f>ROUND('[6]2034'!G49,2)</f>
        <v>28309.03</v>
      </c>
      <c r="H192" s="79">
        <f>ROUND('[6]2034'!H49,2)</f>
        <v>27403.31</v>
      </c>
      <c r="I192" s="79">
        <f>ROUND('[6]2034'!I49,2)</f>
        <v>27019.93</v>
      </c>
      <c r="J192" s="79">
        <f>ROUND('[6]2034'!J49,2)</f>
        <v>26286.69</v>
      </c>
      <c r="K192" s="79">
        <f>ROUND('[6]2034'!K49,2)</f>
        <v>25599.63</v>
      </c>
      <c r="L192" s="79">
        <f>ROUND('[6]2034'!L49,2)</f>
        <v>27209.25</v>
      </c>
      <c r="M192" s="79">
        <f>ROUND('[6]2034'!M49,2)</f>
        <v>28958.81</v>
      </c>
      <c r="N192" s="79">
        <f>ROUND('[6]2034'!N49,2)</f>
        <v>30655.87</v>
      </c>
      <c r="O192" s="79">
        <f>ROUND('[6]2034'!O49,2)</f>
        <v>31954.63</v>
      </c>
      <c r="P192" s="79">
        <f>ROUND('[6]2034'!P49,2)</f>
        <v>32807.769999999997</v>
      </c>
      <c r="Q192" s="79">
        <f>ROUND('[6]2034'!Q49,2)</f>
        <v>33538.92</v>
      </c>
      <c r="R192" s="79">
        <f>ROUND('[6]2034'!R49,2)</f>
        <v>33641.85</v>
      </c>
      <c r="S192" s="79">
        <f>ROUND('[6]2034'!S49,2)</f>
        <v>33662</v>
      </c>
      <c r="T192" s="79">
        <f>ROUND('[6]2034'!T49,2)</f>
        <v>34080.79</v>
      </c>
      <c r="U192" s="79">
        <f>ROUND('[6]2034'!U49,2)</f>
        <v>34044.67</v>
      </c>
      <c r="V192" s="79">
        <f>ROUND('[6]2034'!V49,2)</f>
        <v>35152.04</v>
      </c>
      <c r="W192" s="79">
        <f>ROUND('[6]2034'!W49,2)</f>
        <v>39749.31</v>
      </c>
      <c r="X192" s="79">
        <f>ROUND('[6]2034'!X49,2)</f>
        <v>40410.54</v>
      </c>
      <c r="Y192" s="79">
        <f>ROUND('[6]2034'!Y49,2)</f>
        <v>39888.559999999998</v>
      </c>
      <c r="Z192" s="79">
        <f>ROUND('[6]2034'!Z49,2)</f>
        <v>38382.33</v>
      </c>
      <c r="AA192" s="79">
        <f>ROUND('[6]2034'!AA49,2)</f>
        <v>35614.949999999997</v>
      </c>
      <c r="AB192" s="79">
        <f>ROUND('[6]2034'!AB49,2)</f>
        <v>32667.95</v>
      </c>
      <c r="AC192" s="210"/>
      <c r="AD192" s="18"/>
    </row>
    <row r="193" spans="2:50" ht="18.649999999999999" customHeight="1" thickBot="1" x14ac:dyDescent="0.4">
      <c r="B193" s="208"/>
      <c r="C193" s="15" t="s">
        <v>32</v>
      </c>
      <c r="D193" s="16">
        <f>+'[6]2034'!D50</f>
        <v>0</v>
      </c>
      <c r="E193" s="75">
        <f>ROUND('[6]2034'!E50,2)</f>
        <v>0</v>
      </c>
      <c r="F193" s="75">
        <f>ROUND('[6]2034'!F50,2)</f>
        <v>0</v>
      </c>
      <c r="G193" s="75">
        <f>ROUND('[6]2034'!G50,2)</f>
        <v>0</v>
      </c>
      <c r="H193" s="75">
        <f>ROUND('[6]2034'!H50,2)</f>
        <v>0</v>
      </c>
      <c r="I193" s="75">
        <f>ROUND('[6]2034'!I50,2)</f>
        <v>0</v>
      </c>
      <c r="J193" s="75">
        <f>ROUND('[6]2034'!J50,2)</f>
        <v>0</v>
      </c>
      <c r="K193" s="75">
        <f>ROUND('[6]2034'!K50,2)</f>
        <v>0</v>
      </c>
      <c r="L193" s="75">
        <f>ROUND('[6]2034'!L50,2)</f>
        <v>0</v>
      </c>
      <c r="M193" s="75">
        <f>ROUND('[6]2034'!M50,2)</f>
        <v>0</v>
      </c>
      <c r="N193" s="75">
        <f>ROUND('[6]2034'!N50,2)</f>
        <v>0</v>
      </c>
      <c r="O193" s="75">
        <f>ROUND('[6]2034'!O50,2)</f>
        <v>0</v>
      </c>
      <c r="P193" s="75">
        <f>ROUND('[6]2034'!P50,2)</f>
        <v>0</v>
      </c>
      <c r="Q193" s="75">
        <f>ROUND('[6]2034'!Q50,2)</f>
        <v>0</v>
      </c>
      <c r="R193" s="75">
        <f>ROUND('[6]2034'!R50,2)</f>
        <v>0</v>
      </c>
      <c r="S193" s="75">
        <f>ROUND('[6]2034'!S50,2)</f>
        <v>0</v>
      </c>
      <c r="T193" s="75">
        <f>ROUND('[6]2034'!T50,2)</f>
        <v>0</v>
      </c>
      <c r="U193" s="75">
        <f>ROUND('[6]2034'!U50,2)</f>
        <v>0</v>
      </c>
      <c r="V193" s="75">
        <f>ROUND('[6]2034'!V50,2)</f>
        <v>0</v>
      </c>
      <c r="W193" s="75">
        <f>ROUND('[6]2034'!W50,2)</f>
        <v>0</v>
      </c>
      <c r="X193" s="75">
        <f>ROUND('[6]2034'!X50,2)</f>
        <v>0</v>
      </c>
      <c r="Y193" s="75">
        <f>ROUND('[6]2034'!Y50,2)</f>
        <v>0</v>
      </c>
      <c r="Z193" s="75">
        <f>ROUND('[6]2034'!Z50,2)</f>
        <v>0</v>
      </c>
      <c r="AA193" s="75">
        <f>ROUND('[6]2034'!AA50,2)</f>
        <v>0</v>
      </c>
      <c r="AB193" s="75">
        <f>ROUND('[6]2034'!AB50,2)</f>
        <v>0</v>
      </c>
      <c r="AC193" s="210"/>
      <c r="AD193" s="18"/>
    </row>
    <row r="194" spans="2:50" ht="18.649999999999999" customHeight="1" x14ac:dyDescent="0.35">
      <c r="B194" s="211">
        <v>49218</v>
      </c>
      <c r="C194" s="6" t="s">
        <v>29</v>
      </c>
      <c r="D194" s="7">
        <f>+'[6]2034'!D51</f>
        <v>21</v>
      </c>
      <c r="E194" s="78">
        <f>ROUND('[6]2034'!E51,2)</f>
        <v>30387.78</v>
      </c>
      <c r="F194" s="78">
        <f>ROUND('[6]2034'!F51,2)</f>
        <v>28788.18</v>
      </c>
      <c r="G194" s="78">
        <f>ROUND('[6]2034'!G51,2)</f>
        <v>27645.22</v>
      </c>
      <c r="H194" s="78">
        <f>ROUND('[6]2034'!H51,2)</f>
        <v>26814.16</v>
      </c>
      <c r="I194" s="78">
        <f>ROUND('[6]2034'!I51,2)</f>
        <v>26900.92</v>
      </c>
      <c r="J194" s="78">
        <f>ROUND('[6]2034'!J51,2)</f>
        <v>27704.36</v>
      </c>
      <c r="K194" s="78">
        <f>ROUND('[6]2034'!K51,2)</f>
        <v>28431.759999999998</v>
      </c>
      <c r="L194" s="78">
        <f>ROUND('[6]2034'!L51,2)</f>
        <v>31668.54</v>
      </c>
      <c r="M194" s="78">
        <f>ROUND('[6]2034'!M51,2)</f>
        <v>35110.550000000003</v>
      </c>
      <c r="N194" s="78">
        <f>ROUND('[6]2034'!N51,2)</f>
        <v>36913.269999999997</v>
      </c>
      <c r="O194" s="78">
        <f>ROUND('[6]2034'!O51,2)</f>
        <v>38790.65</v>
      </c>
      <c r="P194" s="78">
        <f>ROUND('[6]2034'!P51,2)</f>
        <v>40277.18</v>
      </c>
      <c r="Q194" s="78">
        <f>ROUND('[6]2034'!Q51,2)</f>
        <v>38539.449999999997</v>
      </c>
      <c r="R194" s="78">
        <f>ROUND('[6]2034'!R51,2)</f>
        <v>39569.71</v>
      </c>
      <c r="S194" s="78">
        <f>ROUND('[6]2034'!S51,2)</f>
        <v>41790.89</v>
      </c>
      <c r="T194" s="78">
        <f>ROUND('[6]2034'!T51,2)</f>
        <v>42292.93</v>
      </c>
      <c r="U194" s="78">
        <f>ROUND('[6]2034'!U51,2)</f>
        <v>41822.949999999997</v>
      </c>
      <c r="V194" s="78">
        <f>ROUND('[6]2034'!V51,2)</f>
        <v>41837.71</v>
      </c>
      <c r="W194" s="78">
        <f>ROUND('[6]2034'!W51,2)</f>
        <v>44433.8</v>
      </c>
      <c r="X194" s="78">
        <f>ROUND('[6]2034'!X51,2)</f>
        <v>43443.58</v>
      </c>
      <c r="Y194" s="78">
        <f>ROUND('[6]2034'!Y51,2)</f>
        <v>41830.120000000003</v>
      </c>
      <c r="Z194" s="78">
        <f>ROUND('[6]2034'!Z51,2)</f>
        <v>39540.81</v>
      </c>
      <c r="AA194" s="78">
        <f>ROUND('[6]2034'!AA51,2)</f>
        <v>36166.74</v>
      </c>
      <c r="AB194" s="78">
        <f>ROUND('[6]2034'!AB51,2)</f>
        <v>32908.22</v>
      </c>
      <c r="AC194" s="209">
        <f>SUM(E194:AB194)*D194+SUM(E195:AB195)*D195+SUM(E196:AB196)*D196+SUM(E197:AB197)*D197</f>
        <v>26115998.059999995</v>
      </c>
      <c r="AD194" s="18"/>
    </row>
    <row r="195" spans="2:50" ht="18.649999999999999" customHeight="1" x14ac:dyDescent="0.35">
      <c r="B195" s="212" t="s">
        <v>34</v>
      </c>
      <c r="C195" s="9" t="s">
        <v>30</v>
      </c>
      <c r="D195" s="10">
        <f>+'[6]2034'!D52</f>
        <v>4</v>
      </c>
      <c r="E195" s="79">
        <f>ROUND('[6]2034'!E52,2)</f>
        <v>30942.1</v>
      </c>
      <c r="F195" s="79">
        <f>ROUND('[6]2034'!F52,2)</f>
        <v>29204.62</v>
      </c>
      <c r="G195" s="79">
        <f>ROUND('[6]2034'!G52,2)</f>
        <v>27827.26</v>
      </c>
      <c r="H195" s="79">
        <f>ROUND('[6]2034'!H52,2)</f>
        <v>26969.81</v>
      </c>
      <c r="I195" s="79">
        <f>ROUND('[6]2034'!I52,2)</f>
        <v>26952.75</v>
      </c>
      <c r="J195" s="79">
        <f>ROUND('[6]2034'!J52,2)</f>
        <v>26838.29</v>
      </c>
      <c r="K195" s="79">
        <f>ROUND('[6]2034'!K52,2)</f>
        <v>27253.9</v>
      </c>
      <c r="L195" s="79">
        <f>ROUND('[6]2034'!L52,2)</f>
        <v>29953.97</v>
      </c>
      <c r="M195" s="79">
        <f>ROUND('[6]2034'!M52,2)</f>
        <v>33316.92</v>
      </c>
      <c r="N195" s="79">
        <f>ROUND('[6]2034'!N52,2)</f>
        <v>35235.31</v>
      </c>
      <c r="O195" s="79">
        <f>ROUND('[6]2034'!O52,2)</f>
        <v>37212.57</v>
      </c>
      <c r="P195" s="79">
        <f>ROUND('[6]2034'!P52,2)</f>
        <v>38196.300000000003</v>
      </c>
      <c r="Q195" s="79">
        <f>ROUND('[6]2034'!Q52,2)</f>
        <v>37479.29</v>
      </c>
      <c r="R195" s="79">
        <f>ROUND('[6]2034'!R52,2)</f>
        <v>37017.14</v>
      </c>
      <c r="S195" s="79">
        <f>ROUND('[6]2034'!S52,2)</f>
        <v>37405.79</v>
      </c>
      <c r="T195" s="79">
        <f>ROUND('[6]2034'!T52,2)</f>
        <v>37798.410000000003</v>
      </c>
      <c r="U195" s="79">
        <f>ROUND('[6]2034'!U52,2)</f>
        <v>37510.339999999997</v>
      </c>
      <c r="V195" s="79">
        <f>ROUND('[6]2034'!V52,2)</f>
        <v>38880.74</v>
      </c>
      <c r="W195" s="79">
        <f>ROUND('[6]2034'!W52,2)</f>
        <v>42554.66</v>
      </c>
      <c r="X195" s="79">
        <f>ROUND('[6]2034'!X52,2)</f>
        <v>41768.69</v>
      </c>
      <c r="Y195" s="79">
        <f>ROUND('[6]2034'!Y52,2)</f>
        <v>40156.82</v>
      </c>
      <c r="Z195" s="79">
        <f>ROUND('[6]2034'!Z52,2)</f>
        <v>38129.660000000003</v>
      </c>
      <c r="AA195" s="79">
        <f>ROUND('[6]2034'!AA52,2)</f>
        <v>35700.910000000003</v>
      </c>
      <c r="AB195" s="79">
        <f>ROUND('[6]2034'!AB52,2)</f>
        <v>33136.1</v>
      </c>
      <c r="AC195" s="210"/>
      <c r="AD195" s="18"/>
    </row>
    <row r="196" spans="2:50" ht="18.649999999999999" customHeight="1" x14ac:dyDescent="0.35">
      <c r="B196" s="212" t="s">
        <v>34</v>
      </c>
      <c r="C196" s="9" t="s">
        <v>31</v>
      </c>
      <c r="D196" s="10">
        <f>+'[6]2034'!D53</f>
        <v>5</v>
      </c>
      <c r="E196" s="79">
        <f>ROUND('[6]2034'!E53,2)</f>
        <v>30781.94</v>
      </c>
      <c r="F196" s="79">
        <f>ROUND('[6]2034'!F53,2)</f>
        <v>29166.880000000001</v>
      </c>
      <c r="G196" s="79">
        <f>ROUND('[6]2034'!G53,2)</f>
        <v>27884.32</v>
      </c>
      <c r="H196" s="79">
        <f>ROUND('[6]2034'!H53,2)</f>
        <v>27090.62</v>
      </c>
      <c r="I196" s="79">
        <f>ROUND('[6]2034'!I53,2)</f>
        <v>26734.1</v>
      </c>
      <c r="J196" s="79">
        <f>ROUND('[6]2034'!J53,2)</f>
        <v>26160.9</v>
      </c>
      <c r="K196" s="79">
        <f>ROUND('[6]2034'!K53,2)</f>
        <v>25461.87</v>
      </c>
      <c r="L196" s="79">
        <f>ROUND('[6]2034'!L53,2)</f>
        <v>26972.06</v>
      </c>
      <c r="M196" s="79">
        <f>ROUND('[6]2034'!M53,2)</f>
        <v>28933.42</v>
      </c>
      <c r="N196" s="79">
        <f>ROUND('[6]2034'!N53,2)</f>
        <v>30500.84</v>
      </c>
      <c r="O196" s="79">
        <f>ROUND('[6]2034'!O53,2)</f>
        <v>32003.87</v>
      </c>
      <c r="P196" s="79">
        <f>ROUND('[6]2034'!P53,2)</f>
        <v>33205.74</v>
      </c>
      <c r="Q196" s="79">
        <f>ROUND('[6]2034'!Q53,2)</f>
        <v>33805.1</v>
      </c>
      <c r="R196" s="79">
        <f>ROUND('[6]2034'!R53,2)</f>
        <v>33869.360000000001</v>
      </c>
      <c r="S196" s="79">
        <f>ROUND('[6]2034'!S53,2)</f>
        <v>34079.64</v>
      </c>
      <c r="T196" s="79">
        <f>ROUND('[6]2034'!T53,2)</f>
        <v>34042.14</v>
      </c>
      <c r="U196" s="79">
        <f>ROUND('[6]2034'!U53,2)</f>
        <v>34296.199999999997</v>
      </c>
      <c r="V196" s="79">
        <f>ROUND('[6]2034'!V53,2)</f>
        <v>35976.660000000003</v>
      </c>
      <c r="W196" s="79">
        <f>ROUND('[6]2034'!W53,2)</f>
        <v>40342.32</v>
      </c>
      <c r="X196" s="79">
        <f>ROUND('[6]2034'!X53,2)</f>
        <v>40609.1</v>
      </c>
      <c r="Y196" s="79">
        <f>ROUND('[6]2034'!Y53,2)</f>
        <v>39977.96</v>
      </c>
      <c r="Z196" s="79">
        <f>ROUND('[6]2034'!Z53,2)</f>
        <v>38392.269999999997</v>
      </c>
      <c r="AA196" s="79">
        <f>ROUND('[6]2034'!AA53,2)</f>
        <v>35513.949999999997</v>
      </c>
      <c r="AB196" s="79">
        <f>ROUND('[6]2034'!AB53,2)</f>
        <v>32603.67</v>
      </c>
      <c r="AC196" s="210"/>
      <c r="AD196" s="18"/>
    </row>
    <row r="197" spans="2:50" ht="18.649999999999999" customHeight="1" thickBot="1" x14ac:dyDescent="0.4">
      <c r="B197" s="213" t="s">
        <v>34</v>
      </c>
      <c r="C197" s="11" t="s">
        <v>32</v>
      </c>
      <c r="D197" s="12">
        <f>+'[6]2034'!D54</f>
        <v>1</v>
      </c>
      <c r="E197" s="76">
        <f>ROUND('[6]2034'!E54,2)</f>
        <v>30781.94</v>
      </c>
      <c r="F197" s="76">
        <f>ROUND('[6]2034'!F54,2)</f>
        <v>29166.880000000001</v>
      </c>
      <c r="G197" s="76">
        <f>ROUND('[6]2034'!G54,2)</f>
        <v>27884.32</v>
      </c>
      <c r="H197" s="76">
        <f>ROUND('[6]2034'!H54,2)</f>
        <v>27090.62</v>
      </c>
      <c r="I197" s="76">
        <f>ROUND('[6]2034'!I54,2)</f>
        <v>26734.1</v>
      </c>
      <c r="J197" s="76">
        <f>ROUND('[6]2034'!J54,2)</f>
        <v>26160.9</v>
      </c>
      <c r="K197" s="76">
        <f>ROUND('[6]2034'!K54,2)</f>
        <v>25461.87</v>
      </c>
      <c r="L197" s="76">
        <f>ROUND('[6]2034'!L54,2)</f>
        <v>26972.06</v>
      </c>
      <c r="M197" s="76">
        <f>ROUND('[6]2034'!M54,2)</f>
        <v>28933.42</v>
      </c>
      <c r="N197" s="76">
        <f>ROUND('[6]2034'!N54,2)</f>
        <v>30500.84</v>
      </c>
      <c r="O197" s="76">
        <f>ROUND('[6]2034'!O54,2)</f>
        <v>32003.87</v>
      </c>
      <c r="P197" s="76">
        <f>ROUND('[6]2034'!P54,2)</f>
        <v>33205.74</v>
      </c>
      <c r="Q197" s="76">
        <f>ROUND('[6]2034'!Q54,2)</f>
        <v>33805.1</v>
      </c>
      <c r="R197" s="76">
        <f>ROUND('[6]2034'!R54,2)</f>
        <v>33869.360000000001</v>
      </c>
      <c r="S197" s="76">
        <f>ROUND('[6]2034'!S54,2)</f>
        <v>34079.64</v>
      </c>
      <c r="T197" s="76">
        <f>ROUND('[6]2034'!T54,2)</f>
        <v>34042.14</v>
      </c>
      <c r="U197" s="76">
        <f>ROUND('[6]2034'!U54,2)</f>
        <v>34296.199999999997</v>
      </c>
      <c r="V197" s="76">
        <f>ROUND('[6]2034'!V54,2)</f>
        <v>35976.660000000003</v>
      </c>
      <c r="W197" s="76">
        <f>ROUND('[6]2034'!W54,2)</f>
        <v>40342.32</v>
      </c>
      <c r="X197" s="76">
        <f>ROUND('[6]2034'!X54,2)</f>
        <v>40609.1</v>
      </c>
      <c r="Y197" s="76">
        <f>ROUND('[6]2034'!Y54,2)</f>
        <v>39977.96</v>
      </c>
      <c r="Z197" s="76">
        <f>ROUND('[6]2034'!Z54,2)</f>
        <v>38392.269999999997</v>
      </c>
      <c r="AA197" s="76">
        <f>ROUND('[6]2034'!AA54,2)</f>
        <v>35513.949999999997</v>
      </c>
      <c r="AB197" s="76">
        <f>ROUND('[6]2034'!AB54,2)</f>
        <v>32603.67</v>
      </c>
      <c r="AC197" s="214"/>
      <c r="AD197" s="18"/>
    </row>
    <row r="198" spans="2:50" ht="18.649999999999999" customHeight="1" x14ac:dyDescent="0.35">
      <c r="B198" s="207">
        <v>49249</v>
      </c>
      <c r="C198" s="13" t="s">
        <v>29</v>
      </c>
      <c r="D198" s="14">
        <f>+'[6]2034'!D55</f>
        <v>20</v>
      </c>
      <c r="E198" s="81">
        <f>ROUND('[6]2034'!E55,2)</f>
        <v>29867.97</v>
      </c>
      <c r="F198" s="81">
        <f>ROUND('[6]2034'!F55,2)</f>
        <v>28333.23</v>
      </c>
      <c r="G198" s="81">
        <f>ROUND('[6]2034'!G55,2)</f>
        <v>27215.65</v>
      </c>
      <c r="H198" s="81">
        <f>ROUND('[6]2034'!H55,2)</f>
        <v>26458.639999999999</v>
      </c>
      <c r="I198" s="81">
        <f>ROUND('[6]2034'!I55,2)</f>
        <v>26533.279999999999</v>
      </c>
      <c r="J198" s="81">
        <f>ROUND('[6]2034'!J55,2)</f>
        <v>27321.14</v>
      </c>
      <c r="K198" s="81">
        <f>ROUND('[6]2034'!K55,2)</f>
        <v>28040.560000000001</v>
      </c>
      <c r="L198" s="81">
        <f>ROUND('[6]2034'!L55,2)</f>
        <v>31375.93</v>
      </c>
      <c r="M198" s="81">
        <f>ROUND('[6]2034'!M55,2)</f>
        <v>34808.69</v>
      </c>
      <c r="N198" s="81">
        <f>ROUND('[6]2034'!N55,2)</f>
        <v>36511.56</v>
      </c>
      <c r="O198" s="81">
        <f>ROUND('[6]2034'!O55,2)</f>
        <v>38288.730000000003</v>
      </c>
      <c r="P198" s="81">
        <f>ROUND('[6]2034'!P55,2)</f>
        <v>39541.300000000003</v>
      </c>
      <c r="Q198" s="81">
        <f>ROUND('[6]2034'!Q55,2)</f>
        <v>37919.910000000003</v>
      </c>
      <c r="R198" s="81">
        <f>ROUND('[6]2034'!R55,2)</f>
        <v>38773.47</v>
      </c>
      <c r="S198" s="81">
        <f>ROUND('[6]2034'!S55,2)</f>
        <v>40707.33</v>
      </c>
      <c r="T198" s="81">
        <f>ROUND('[6]2034'!T55,2)</f>
        <v>41204.94</v>
      </c>
      <c r="U198" s="81">
        <f>ROUND('[6]2034'!U55,2)</f>
        <v>40802.589999999997</v>
      </c>
      <c r="V198" s="81">
        <f>ROUND('[6]2034'!V55,2)</f>
        <v>41335.64</v>
      </c>
      <c r="W198" s="81">
        <f>ROUND('[6]2034'!W55,2)</f>
        <v>43359.23</v>
      </c>
      <c r="X198" s="81">
        <f>ROUND('[6]2034'!X55,2)</f>
        <v>42354.99</v>
      </c>
      <c r="Y198" s="81">
        <f>ROUND('[6]2034'!Y55,2)</f>
        <v>40853.57</v>
      </c>
      <c r="Z198" s="81">
        <f>ROUND('[6]2034'!Z55,2)</f>
        <v>38678.1</v>
      </c>
      <c r="AA198" s="81">
        <f>ROUND('[6]2034'!AA55,2)</f>
        <v>35495.730000000003</v>
      </c>
      <c r="AB198" s="81">
        <f>ROUND('[6]2034'!AB55,2)</f>
        <v>32354.34</v>
      </c>
      <c r="AC198" s="210">
        <f>SUM(E198:AB198)*D198+SUM(E199:AB199)*D199+SUM(E200:AB200)*D200+SUM(E201:AB201)*D201</f>
        <v>24724799.059999995</v>
      </c>
      <c r="AD198" s="18"/>
    </row>
    <row r="199" spans="2:50" ht="18.649999999999999" customHeight="1" x14ac:dyDescent="0.35">
      <c r="B199" s="208"/>
      <c r="C199" s="9" t="s">
        <v>30</v>
      </c>
      <c r="D199" s="10">
        <f>+'[6]2034'!D56</f>
        <v>4</v>
      </c>
      <c r="E199" s="79">
        <f>ROUND('[6]2034'!E56,2)</f>
        <v>29155.46</v>
      </c>
      <c r="F199" s="79">
        <f>ROUND('[6]2034'!F56,2)</f>
        <v>27727.99</v>
      </c>
      <c r="G199" s="79">
        <f>ROUND('[6]2034'!G56,2)</f>
        <v>26726.22</v>
      </c>
      <c r="H199" s="79">
        <f>ROUND('[6]2034'!H56,2)</f>
        <v>26071.1</v>
      </c>
      <c r="I199" s="79">
        <f>ROUND('[6]2034'!I56,2)</f>
        <v>26055.48</v>
      </c>
      <c r="J199" s="79">
        <f>ROUND('[6]2034'!J56,2)</f>
        <v>25991.18</v>
      </c>
      <c r="K199" s="79">
        <f>ROUND('[6]2034'!K56,2)</f>
        <v>26379.39</v>
      </c>
      <c r="L199" s="79">
        <f>ROUND('[6]2034'!L56,2)</f>
        <v>29418.77</v>
      </c>
      <c r="M199" s="79">
        <f>ROUND('[6]2034'!M56,2)</f>
        <v>32836.94</v>
      </c>
      <c r="N199" s="79">
        <f>ROUND('[6]2034'!N56,2)</f>
        <v>34728.58</v>
      </c>
      <c r="O199" s="79">
        <f>ROUND('[6]2034'!O56,2)</f>
        <v>36698.589999999997</v>
      </c>
      <c r="P199" s="79">
        <f>ROUND('[6]2034'!P56,2)</f>
        <v>37528.61</v>
      </c>
      <c r="Q199" s="79">
        <f>ROUND('[6]2034'!Q56,2)</f>
        <v>36853.410000000003</v>
      </c>
      <c r="R199" s="79">
        <f>ROUND('[6]2034'!R56,2)</f>
        <v>36089.300000000003</v>
      </c>
      <c r="S199" s="79">
        <f>ROUND('[6]2034'!S56,2)</f>
        <v>35847.24</v>
      </c>
      <c r="T199" s="79">
        <f>ROUND('[6]2034'!T56,2)</f>
        <v>36135.120000000003</v>
      </c>
      <c r="U199" s="79">
        <f>ROUND('[6]2034'!U56,2)</f>
        <v>35956</v>
      </c>
      <c r="V199" s="79">
        <f>ROUND('[6]2034'!V56,2)</f>
        <v>37956.629999999997</v>
      </c>
      <c r="W199" s="79">
        <f>ROUND('[6]2034'!W56,2)</f>
        <v>41086.78</v>
      </c>
      <c r="X199" s="79">
        <f>ROUND('[6]2034'!X56,2)</f>
        <v>40392.44</v>
      </c>
      <c r="Y199" s="79">
        <f>ROUND('[6]2034'!Y56,2)</f>
        <v>38940.28</v>
      </c>
      <c r="Z199" s="79">
        <f>ROUND('[6]2034'!Z56,2)</f>
        <v>37138.67</v>
      </c>
      <c r="AA199" s="79">
        <f>ROUND('[6]2034'!AA56,2)</f>
        <v>34862.35</v>
      </c>
      <c r="AB199" s="79">
        <f>ROUND('[6]2034'!AB56,2)</f>
        <v>32301.29</v>
      </c>
      <c r="AC199" s="210"/>
      <c r="AD199" s="18"/>
    </row>
    <row r="200" spans="2:50" ht="18.649999999999999" customHeight="1" x14ac:dyDescent="0.35">
      <c r="B200" s="208"/>
      <c r="C200" s="9" t="s">
        <v>31</v>
      </c>
      <c r="D200" s="10">
        <f>+'[6]2034'!D57</f>
        <v>4</v>
      </c>
      <c r="E200" s="79">
        <f>ROUND('[6]2034'!E57,2)</f>
        <v>30218.11</v>
      </c>
      <c r="F200" s="79">
        <f>ROUND('[6]2034'!F57,2)</f>
        <v>28784.51</v>
      </c>
      <c r="G200" s="79">
        <f>ROUND('[6]2034'!G57,2)</f>
        <v>27543.13</v>
      </c>
      <c r="H200" s="79">
        <f>ROUND('[6]2034'!H57,2)</f>
        <v>26706.47</v>
      </c>
      <c r="I200" s="79">
        <f>ROUND('[6]2034'!I57,2)</f>
        <v>26367.34</v>
      </c>
      <c r="J200" s="79">
        <f>ROUND('[6]2034'!J57,2)</f>
        <v>25923.07</v>
      </c>
      <c r="K200" s="79">
        <f>ROUND('[6]2034'!K57,2)</f>
        <v>25283.3</v>
      </c>
      <c r="L200" s="79">
        <f>ROUND('[6]2034'!L57,2)</f>
        <v>26674.87</v>
      </c>
      <c r="M200" s="79">
        <f>ROUND('[6]2034'!M57,2)</f>
        <v>28582.65</v>
      </c>
      <c r="N200" s="79">
        <f>ROUND('[6]2034'!N57,2)</f>
        <v>30150.49</v>
      </c>
      <c r="O200" s="79">
        <f>ROUND('[6]2034'!O57,2)</f>
        <v>31659.01</v>
      </c>
      <c r="P200" s="79">
        <f>ROUND('[6]2034'!P57,2)</f>
        <v>32455.88</v>
      </c>
      <c r="Q200" s="79">
        <f>ROUND('[6]2034'!Q57,2)</f>
        <v>33047.160000000003</v>
      </c>
      <c r="R200" s="79">
        <f>ROUND('[6]2034'!R57,2)</f>
        <v>33016</v>
      </c>
      <c r="S200" s="79">
        <f>ROUND('[6]2034'!S57,2)</f>
        <v>32921.120000000003</v>
      </c>
      <c r="T200" s="79">
        <f>ROUND('[6]2034'!T57,2)</f>
        <v>33071.19</v>
      </c>
      <c r="U200" s="79">
        <f>ROUND('[6]2034'!U57,2)</f>
        <v>33109.629999999997</v>
      </c>
      <c r="V200" s="79">
        <f>ROUND('[6]2034'!V57,2)</f>
        <v>35349.14</v>
      </c>
      <c r="W200" s="79">
        <f>ROUND('[6]2034'!W57,2)</f>
        <v>38718.49</v>
      </c>
      <c r="X200" s="79">
        <f>ROUND('[6]2034'!X57,2)</f>
        <v>38775.14</v>
      </c>
      <c r="Y200" s="79">
        <f>ROUND('[6]2034'!Y57,2)</f>
        <v>37920.11</v>
      </c>
      <c r="Z200" s="79">
        <f>ROUND('[6]2034'!Z57,2)</f>
        <v>36429.56</v>
      </c>
      <c r="AA200" s="79">
        <f>ROUND('[6]2034'!AA57,2)</f>
        <v>34094.74</v>
      </c>
      <c r="AB200" s="79">
        <f>ROUND('[6]2034'!AB57,2)</f>
        <v>31625.119999999999</v>
      </c>
      <c r="AC200" s="210"/>
      <c r="AD200" s="18"/>
    </row>
    <row r="201" spans="2:50" ht="18.649999999999999" customHeight="1" thickBot="1" x14ac:dyDescent="0.4">
      <c r="B201" s="208"/>
      <c r="C201" s="15" t="s">
        <v>32</v>
      </c>
      <c r="D201" s="16">
        <f>+'[6]2034'!D58</f>
        <v>2</v>
      </c>
      <c r="E201" s="80">
        <f>ROUND('[6]2034'!E58,2)</f>
        <v>30218.11</v>
      </c>
      <c r="F201" s="80">
        <f>ROUND('[6]2034'!F58,2)</f>
        <v>28784.51</v>
      </c>
      <c r="G201" s="80">
        <f>ROUND('[6]2034'!G58,2)</f>
        <v>27543.13</v>
      </c>
      <c r="H201" s="80">
        <f>ROUND('[6]2034'!H58,2)</f>
        <v>26706.47</v>
      </c>
      <c r="I201" s="80">
        <f>ROUND('[6]2034'!I58,2)</f>
        <v>26367.34</v>
      </c>
      <c r="J201" s="80">
        <f>ROUND('[6]2034'!J58,2)</f>
        <v>25923.07</v>
      </c>
      <c r="K201" s="80">
        <f>ROUND('[6]2034'!K58,2)</f>
        <v>25283.3</v>
      </c>
      <c r="L201" s="80">
        <f>ROUND('[6]2034'!L58,2)</f>
        <v>26674.87</v>
      </c>
      <c r="M201" s="80">
        <f>ROUND('[6]2034'!M58,2)</f>
        <v>28582.65</v>
      </c>
      <c r="N201" s="80">
        <f>ROUND('[6]2034'!N58,2)</f>
        <v>30150.49</v>
      </c>
      <c r="O201" s="80">
        <f>ROUND('[6]2034'!O58,2)</f>
        <v>31659.01</v>
      </c>
      <c r="P201" s="80">
        <f>ROUND('[6]2034'!P58,2)</f>
        <v>32455.88</v>
      </c>
      <c r="Q201" s="80">
        <f>ROUND('[6]2034'!Q58,2)</f>
        <v>33047.160000000003</v>
      </c>
      <c r="R201" s="80">
        <f>ROUND('[6]2034'!R58,2)</f>
        <v>33016</v>
      </c>
      <c r="S201" s="80">
        <f>ROUND('[6]2034'!S58,2)</f>
        <v>32921.120000000003</v>
      </c>
      <c r="T201" s="80">
        <f>ROUND('[6]2034'!T58,2)</f>
        <v>33071.19</v>
      </c>
      <c r="U201" s="80">
        <f>ROUND('[6]2034'!U58,2)</f>
        <v>33109.629999999997</v>
      </c>
      <c r="V201" s="80">
        <f>ROUND('[6]2034'!V58,2)</f>
        <v>35349.14</v>
      </c>
      <c r="W201" s="80">
        <f>ROUND('[6]2034'!W58,2)</f>
        <v>38718.49</v>
      </c>
      <c r="X201" s="80">
        <f>ROUND('[6]2034'!X58,2)</f>
        <v>38775.14</v>
      </c>
      <c r="Y201" s="80">
        <f>ROUND('[6]2034'!Y58,2)</f>
        <v>37920.11</v>
      </c>
      <c r="Z201" s="80">
        <f>ROUND('[6]2034'!Z58,2)</f>
        <v>36429.56</v>
      </c>
      <c r="AA201" s="80">
        <f>ROUND('[6]2034'!AA58,2)</f>
        <v>34094.74</v>
      </c>
      <c r="AB201" s="80">
        <f>ROUND('[6]2034'!AB58,2)</f>
        <v>31625.119999999999</v>
      </c>
      <c r="AC201" s="210"/>
      <c r="AD201" s="18"/>
    </row>
    <row r="202" spans="2:50" ht="18.649999999999999" customHeight="1" x14ac:dyDescent="0.35">
      <c r="B202" s="211">
        <v>49279</v>
      </c>
      <c r="C202" s="6" t="s">
        <v>29</v>
      </c>
      <c r="D202" s="7">
        <f>+'[6]2034'!D59</f>
        <v>19</v>
      </c>
      <c r="E202" s="78">
        <f>ROUND('[6]2034'!E59,2)</f>
        <v>32270.59</v>
      </c>
      <c r="F202" s="78">
        <f>ROUND('[6]2034'!F59,2)</f>
        <v>30495.74</v>
      </c>
      <c r="G202" s="78">
        <f>ROUND('[6]2034'!G59,2)</f>
        <v>29228.17</v>
      </c>
      <c r="H202" s="78">
        <f>ROUND('[6]2034'!H59,2)</f>
        <v>28442.71</v>
      </c>
      <c r="I202" s="78">
        <f>ROUND('[6]2034'!I59,2)</f>
        <v>28341.69</v>
      </c>
      <c r="J202" s="78">
        <f>ROUND('[6]2034'!J59,2)</f>
        <v>28847.98</v>
      </c>
      <c r="K202" s="78">
        <f>ROUND('[6]2034'!K59,2)</f>
        <v>29049.74</v>
      </c>
      <c r="L202" s="78">
        <f>ROUND('[6]2034'!L59,2)</f>
        <v>32551.1</v>
      </c>
      <c r="M202" s="78">
        <f>ROUND('[6]2034'!M59,2)</f>
        <v>36107.11</v>
      </c>
      <c r="N202" s="78">
        <f>ROUND('[6]2034'!N59,2)</f>
        <v>38143.26</v>
      </c>
      <c r="O202" s="78">
        <f>ROUND('[6]2034'!O59,2)</f>
        <v>39935.379999999997</v>
      </c>
      <c r="P202" s="78">
        <f>ROUND('[6]2034'!P59,2)</f>
        <v>41232.129999999997</v>
      </c>
      <c r="Q202" s="78">
        <f>ROUND('[6]2034'!Q59,2)</f>
        <v>40096.839999999997</v>
      </c>
      <c r="R202" s="78">
        <f>ROUND('[6]2034'!R59,2)</f>
        <v>40610.67</v>
      </c>
      <c r="S202" s="78">
        <f>ROUND('[6]2034'!S59,2)</f>
        <v>42327.75</v>
      </c>
      <c r="T202" s="78">
        <f>ROUND('[6]2034'!T59,2)</f>
        <v>42856.11</v>
      </c>
      <c r="U202" s="78">
        <f>ROUND('[6]2034'!U59,2)</f>
        <v>42502.65</v>
      </c>
      <c r="V202" s="78">
        <f>ROUND('[6]2034'!V59,2)</f>
        <v>42545.8</v>
      </c>
      <c r="W202" s="78">
        <f>ROUND('[6]2034'!W59,2)</f>
        <v>45824.44</v>
      </c>
      <c r="X202" s="78">
        <f>ROUND('[6]2034'!X59,2)</f>
        <v>44942.73</v>
      </c>
      <c r="Y202" s="78">
        <f>ROUND('[6]2034'!Y59,2)</f>
        <v>43297.74</v>
      </c>
      <c r="Z202" s="78">
        <f>ROUND('[6]2034'!Z59,2)</f>
        <v>40952.639999999999</v>
      </c>
      <c r="AA202" s="78">
        <f>ROUND('[6]2034'!AA59,2)</f>
        <v>37943.160000000003</v>
      </c>
      <c r="AB202" s="78">
        <f>ROUND('[6]2034'!AB59,2)</f>
        <v>35014.76</v>
      </c>
      <c r="AC202" s="209">
        <f>SUM(E202:AB202)*D202+SUM(E203:AB203)*D203+SUM(E204:AB204)*D204+SUM(E205:AB205)*D205</f>
        <v>27029168.490000002</v>
      </c>
      <c r="AD202" s="18"/>
    </row>
    <row r="203" spans="2:50" ht="18.649999999999999" customHeight="1" x14ac:dyDescent="0.35">
      <c r="B203" s="212" t="s">
        <v>34</v>
      </c>
      <c r="C203" s="9" t="s">
        <v>30</v>
      </c>
      <c r="D203" s="10">
        <f>+'[6]2034'!D60</f>
        <v>5</v>
      </c>
      <c r="E203" s="79">
        <f>ROUND('[6]2034'!E60,2)</f>
        <v>32793.18</v>
      </c>
      <c r="F203" s="79">
        <f>ROUND('[6]2034'!F60,2)</f>
        <v>30936.63</v>
      </c>
      <c r="G203" s="79">
        <f>ROUND('[6]2034'!G60,2)</f>
        <v>29713.62</v>
      </c>
      <c r="H203" s="79">
        <f>ROUND('[6]2034'!H60,2)</f>
        <v>28816.93</v>
      </c>
      <c r="I203" s="79">
        <f>ROUND('[6]2034'!I60,2)</f>
        <v>28569.06</v>
      </c>
      <c r="J203" s="79">
        <f>ROUND('[6]2034'!J60,2)</f>
        <v>28618.9</v>
      </c>
      <c r="K203" s="79">
        <f>ROUND('[6]2034'!K60,2)</f>
        <v>28334.62</v>
      </c>
      <c r="L203" s="79">
        <f>ROUND('[6]2034'!L60,2)</f>
        <v>30936.27</v>
      </c>
      <c r="M203" s="79">
        <f>ROUND('[6]2034'!M60,2)</f>
        <v>34701.97</v>
      </c>
      <c r="N203" s="79">
        <f>ROUND('[6]2034'!N60,2)</f>
        <v>36910.33</v>
      </c>
      <c r="O203" s="79">
        <f>ROUND('[6]2034'!O60,2)</f>
        <v>38770.26</v>
      </c>
      <c r="P203" s="79">
        <f>ROUND('[6]2034'!P60,2)</f>
        <v>39905.449999999997</v>
      </c>
      <c r="Q203" s="79">
        <f>ROUND('[6]2034'!Q60,2)</f>
        <v>39259.129999999997</v>
      </c>
      <c r="R203" s="79">
        <f>ROUND('[6]2034'!R60,2)</f>
        <v>38975.24</v>
      </c>
      <c r="S203" s="79">
        <f>ROUND('[6]2034'!S60,2)</f>
        <v>38811.86</v>
      </c>
      <c r="T203" s="79">
        <f>ROUND('[6]2034'!T60,2)</f>
        <v>39228.57</v>
      </c>
      <c r="U203" s="79">
        <f>ROUND('[6]2034'!U60,2)</f>
        <v>39106.71</v>
      </c>
      <c r="V203" s="79">
        <f>ROUND('[6]2034'!V60,2)</f>
        <v>39971.410000000003</v>
      </c>
      <c r="W203" s="79">
        <f>ROUND('[6]2034'!W60,2)</f>
        <v>44399.14</v>
      </c>
      <c r="X203" s="79">
        <f>ROUND('[6]2034'!X60,2)</f>
        <v>43769.35</v>
      </c>
      <c r="Y203" s="79">
        <f>ROUND('[6]2034'!Y60,2)</f>
        <v>42121.46</v>
      </c>
      <c r="Z203" s="79">
        <f>ROUND('[6]2034'!Z60,2)</f>
        <v>40323.620000000003</v>
      </c>
      <c r="AA203" s="79">
        <f>ROUND('[6]2034'!AA60,2)</f>
        <v>37830.94</v>
      </c>
      <c r="AB203" s="79">
        <f>ROUND('[6]2034'!AB60,2)</f>
        <v>35262.949999999997</v>
      </c>
      <c r="AC203" s="210"/>
      <c r="AD203" s="18"/>
    </row>
    <row r="204" spans="2:50" ht="18.649999999999999" customHeight="1" x14ac:dyDescent="0.35">
      <c r="B204" s="212" t="s">
        <v>34</v>
      </c>
      <c r="C204" s="9" t="s">
        <v>31</v>
      </c>
      <c r="D204" s="10">
        <f>+'[6]2034'!D61</f>
        <v>5</v>
      </c>
      <c r="E204" s="79">
        <f>ROUND('[6]2034'!E61,2)</f>
        <v>33000.199999999997</v>
      </c>
      <c r="F204" s="79">
        <f>ROUND('[6]2034'!F61,2)</f>
        <v>31378.240000000002</v>
      </c>
      <c r="G204" s="79">
        <f>ROUND('[6]2034'!G61,2)</f>
        <v>30071.89</v>
      </c>
      <c r="H204" s="79">
        <f>ROUND('[6]2034'!H61,2)</f>
        <v>29151.93</v>
      </c>
      <c r="I204" s="79">
        <f>ROUND('[6]2034'!I61,2)</f>
        <v>28736.91</v>
      </c>
      <c r="J204" s="79">
        <f>ROUND('[6]2034'!J61,2)</f>
        <v>28446.91</v>
      </c>
      <c r="K204" s="79">
        <f>ROUND('[6]2034'!K61,2)</f>
        <v>27179.45</v>
      </c>
      <c r="L204" s="79">
        <f>ROUND('[6]2034'!L61,2)</f>
        <v>28550.46</v>
      </c>
      <c r="M204" s="79">
        <f>ROUND('[6]2034'!M61,2)</f>
        <v>30729.79</v>
      </c>
      <c r="N204" s="79">
        <f>ROUND('[6]2034'!N61,2)</f>
        <v>32600.71</v>
      </c>
      <c r="O204" s="79">
        <f>ROUND('[6]2034'!O61,2)</f>
        <v>33831.480000000003</v>
      </c>
      <c r="P204" s="79">
        <f>ROUND('[6]2034'!P61,2)</f>
        <v>34839.33</v>
      </c>
      <c r="Q204" s="79">
        <f>ROUND('[6]2034'!Q61,2)</f>
        <v>35438.68</v>
      </c>
      <c r="R204" s="79">
        <f>ROUND('[6]2034'!R61,2)</f>
        <v>35772.43</v>
      </c>
      <c r="S204" s="79">
        <f>ROUND('[6]2034'!S61,2)</f>
        <v>34761.35</v>
      </c>
      <c r="T204" s="79">
        <f>ROUND('[6]2034'!T61,2)</f>
        <v>35712.06</v>
      </c>
      <c r="U204" s="79">
        <f>ROUND('[6]2034'!U61,2)</f>
        <v>35924.339999999997</v>
      </c>
      <c r="V204" s="79">
        <f>ROUND('[6]2034'!V61,2)</f>
        <v>37123.78</v>
      </c>
      <c r="W204" s="79">
        <f>ROUND('[6]2034'!W61,2)</f>
        <v>41626.78</v>
      </c>
      <c r="X204" s="79">
        <f>ROUND('[6]2034'!X61,2)</f>
        <v>41295.589999999997</v>
      </c>
      <c r="Y204" s="79">
        <f>ROUND('[6]2034'!Y61,2)</f>
        <v>40217.879999999997</v>
      </c>
      <c r="Z204" s="79">
        <f>ROUND('[6]2034'!Z61,2)</f>
        <v>38741.379999999997</v>
      </c>
      <c r="AA204" s="79">
        <f>ROUND('[6]2034'!AA61,2)</f>
        <v>36507.760000000002</v>
      </c>
      <c r="AB204" s="79">
        <f>ROUND('[6]2034'!AB61,2)</f>
        <v>34242.61</v>
      </c>
      <c r="AC204" s="210"/>
      <c r="AD204" s="18"/>
    </row>
    <row r="205" spans="2:50" ht="18.5" customHeight="1" thickBot="1" x14ac:dyDescent="0.4">
      <c r="B205" s="213" t="s">
        <v>34</v>
      </c>
      <c r="C205" s="11" t="s">
        <v>32</v>
      </c>
      <c r="D205" s="12">
        <f>+'[6]2034'!D62</f>
        <v>2</v>
      </c>
      <c r="E205" s="76">
        <f>ROUND('[6]2034'!E62,2)</f>
        <v>33000.199999999997</v>
      </c>
      <c r="F205" s="76">
        <f>ROUND('[6]2034'!F62,2)</f>
        <v>31378.240000000002</v>
      </c>
      <c r="G205" s="76">
        <f>ROUND('[6]2034'!G62,2)</f>
        <v>30071.89</v>
      </c>
      <c r="H205" s="76">
        <f>ROUND('[6]2034'!H62,2)</f>
        <v>29151.93</v>
      </c>
      <c r="I205" s="76">
        <f>ROUND('[6]2034'!I62,2)</f>
        <v>28736.91</v>
      </c>
      <c r="J205" s="76">
        <f>ROUND('[6]2034'!J62,2)</f>
        <v>28446.91</v>
      </c>
      <c r="K205" s="76">
        <f>ROUND('[6]2034'!K62,2)</f>
        <v>27179.45</v>
      </c>
      <c r="L205" s="76">
        <f>ROUND('[6]2034'!L62,2)</f>
        <v>28550.46</v>
      </c>
      <c r="M205" s="76">
        <f>ROUND('[6]2034'!M62,2)</f>
        <v>30729.79</v>
      </c>
      <c r="N205" s="76">
        <f>ROUND('[6]2034'!N62,2)</f>
        <v>32600.71</v>
      </c>
      <c r="O205" s="76">
        <f>ROUND('[6]2034'!O62,2)</f>
        <v>33831.480000000003</v>
      </c>
      <c r="P205" s="76">
        <f>ROUND('[6]2034'!P62,2)</f>
        <v>34839.33</v>
      </c>
      <c r="Q205" s="76">
        <f>ROUND('[6]2034'!Q62,2)</f>
        <v>35438.68</v>
      </c>
      <c r="R205" s="76">
        <f>ROUND('[6]2034'!R62,2)</f>
        <v>35772.43</v>
      </c>
      <c r="S205" s="76">
        <f>ROUND('[6]2034'!S62,2)</f>
        <v>34761.35</v>
      </c>
      <c r="T205" s="76">
        <f>ROUND('[6]2034'!T62,2)</f>
        <v>35712.06</v>
      </c>
      <c r="U205" s="76">
        <f>ROUND('[6]2034'!U62,2)</f>
        <v>35924.339999999997</v>
      </c>
      <c r="V205" s="76">
        <f>ROUND('[6]2034'!V62,2)</f>
        <v>37123.78</v>
      </c>
      <c r="W205" s="76">
        <f>ROUND('[6]2034'!W62,2)</f>
        <v>41626.78</v>
      </c>
      <c r="X205" s="76">
        <f>ROUND('[6]2034'!X62,2)</f>
        <v>41295.589999999997</v>
      </c>
      <c r="Y205" s="76">
        <f>ROUND('[6]2034'!Y62,2)</f>
        <v>40217.879999999997</v>
      </c>
      <c r="Z205" s="76">
        <f>ROUND('[6]2034'!Z62,2)</f>
        <v>38741.379999999997</v>
      </c>
      <c r="AA205" s="76">
        <f>ROUND('[6]2034'!AA62,2)</f>
        <v>36507.760000000002</v>
      </c>
      <c r="AB205" s="76">
        <f>ROUND('[6]2034'!AB62,2)</f>
        <v>34242.61</v>
      </c>
      <c r="AC205" s="214"/>
      <c r="AD205" s="18"/>
    </row>
    <row r="206" spans="2:50" ht="18.649999999999999" customHeight="1" thickBot="1" x14ac:dyDescent="0.4"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215" t="s">
        <v>33</v>
      </c>
      <c r="AA206" s="216"/>
      <c r="AB206" s="217"/>
      <c r="AC206" s="135">
        <f>SUM(AC158:AC205)</f>
        <v>319467335.65000004</v>
      </c>
      <c r="AD206" s="17"/>
      <c r="AE206" s="18"/>
    </row>
    <row r="207" spans="2:50" ht="18.649999999999999" customHeight="1" x14ac:dyDescent="0.35">
      <c r="B207" s="207">
        <v>49310</v>
      </c>
      <c r="C207" s="6" t="s">
        <v>29</v>
      </c>
      <c r="D207" s="46">
        <f>+'[6]2035'!D15</f>
        <v>21</v>
      </c>
      <c r="E207" s="78">
        <f>ROUND('[6]2035'!E15,2)</f>
        <v>33827.32</v>
      </c>
      <c r="F207" s="78">
        <f>ROUND('[6]2035'!F15,2)</f>
        <v>32099.81</v>
      </c>
      <c r="G207" s="78">
        <f>ROUND('[6]2035'!G15,2)</f>
        <v>30800.3</v>
      </c>
      <c r="H207" s="78">
        <f>ROUND('[6]2035'!H15,2)</f>
        <v>29857.06</v>
      </c>
      <c r="I207" s="78">
        <f>ROUND('[6]2035'!I15,2)</f>
        <v>29692.48</v>
      </c>
      <c r="J207" s="78">
        <f>ROUND('[6]2035'!J15,2)</f>
        <v>30686.11</v>
      </c>
      <c r="K207" s="78">
        <f>ROUND('[6]2035'!K15,2)</f>
        <v>30409.11</v>
      </c>
      <c r="L207" s="78">
        <f>ROUND('[6]2035'!L15,2)</f>
        <v>33922.980000000003</v>
      </c>
      <c r="M207" s="78">
        <f>ROUND('[6]2035'!M15,2)</f>
        <v>37658.120000000003</v>
      </c>
      <c r="N207" s="78">
        <f>ROUND('[6]2035'!N15,2)</f>
        <v>39599.160000000003</v>
      </c>
      <c r="O207" s="78">
        <f>ROUND('[6]2035'!O15,2)</f>
        <v>41700.49</v>
      </c>
      <c r="P207" s="78">
        <f>ROUND('[6]2035'!P15,2)</f>
        <v>43420.59</v>
      </c>
      <c r="Q207" s="78">
        <f>ROUND('[6]2035'!Q15,2)</f>
        <v>42231.69</v>
      </c>
      <c r="R207" s="78">
        <f>ROUND('[6]2035'!R15,2)</f>
        <v>43394.44</v>
      </c>
      <c r="S207" s="78">
        <f>ROUND('[6]2035'!S15,2)</f>
        <v>45407.4</v>
      </c>
      <c r="T207" s="78">
        <f>ROUND('[6]2035'!T15,2)</f>
        <v>45648.800000000003</v>
      </c>
      <c r="U207" s="78">
        <f>ROUND('[6]2035'!U15,2)</f>
        <v>44893.85</v>
      </c>
      <c r="V207" s="78">
        <f>ROUND('[6]2035'!V15,2)</f>
        <v>43239.51</v>
      </c>
      <c r="W207" s="78">
        <f>ROUND('[6]2035'!W15,2)</f>
        <v>46255.33</v>
      </c>
      <c r="X207" s="78">
        <f>ROUND('[6]2035'!X15,2)</f>
        <v>46420.27</v>
      </c>
      <c r="Y207" s="78">
        <f>ROUND('[6]2035'!Y15,2)</f>
        <v>45200.91</v>
      </c>
      <c r="Z207" s="78">
        <f>ROUND('[6]2035'!Z15,2)</f>
        <v>43218.9</v>
      </c>
      <c r="AA207" s="78">
        <f>ROUND('[6]2035'!AA15,2)</f>
        <v>40154.879999999997</v>
      </c>
      <c r="AB207" s="78">
        <f>ROUND('[6]2035'!AB15,2)</f>
        <v>36883.72</v>
      </c>
      <c r="AC207" s="209">
        <f>SUM(E207:AB207)*D207+SUM(E208:AB208)*D208+SUM(E209:AB209)*D209+SUM(E210:AB210)*D210</f>
        <v>28168511.870000001</v>
      </c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</row>
    <row r="208" spans="2:50" ht="18.649999999999999" customHeight="1" x14ac:dyDescent="0.35">
      <c r="B208" s="208"/>
      <c r="C208" s="9" t="s">
        <v>30</v>
      </c>
      <c r="D208" s="10">
        <f>+'[6]2035'!D16</f>
        <v>4</v>
      </c>
      <c r="E208" s="79">
        <f>ROUND('[6]2035'!E16,2)</f>
        <v>33582.120000000003</v>
      </c>
      <c r="F208" s="79">
        <f>ROUND('[6]2035'!F16,2)</f>
        <v>31969.23</v>
      </c>
      <c r="G208" s="79">
        <f>ROUND('[6]2035'!G16,2)</f>
        <v>30702.39</v>
      </c>
      <c r="H208" s="79">
        <f>ROUND('[6]2035'!H16,2)</f>
        <v>29734.880000000001</v>
      </c>
      <c r="I208" s="79">
        <f>ROUND('[6]2035'!I16,2)</f>
        <v>29442.03</v>
      </c>
      <c r="J208" s="79">
        <f>ROUND('[6]2035'!J16,2)</f>
        <v>29677.55</v>
      </c>
      <c r="K208" s="79">
        <f>ROUND('[6]2035'!K16,2)</f>
        <v>28912.71</v>
      </c>
      <c r="L208" s="79">
        <f>ROUND('[6]2035'!L16,2)</f>
        <v>31769.25</v>
      </c>
      <c r="M208" s="79">
        <f>ROUND('[6]2035'!M16,2)</f>
        <v>35301.47</v>
      </c>
      <c r="N208" s="79">
        <f>ROUND('[6]2035'!N16,2)</f>
        <v>37640.870000000003</v>
      </c>
      <c r="O208" s="79">
        <f>ROUND('[6]2035'!O16,2)</f>
        <v>39481.39</v>
      </c>
      <c r="P208" s="79">
        <f>ROUND('[6]2035'!P16,2)</f>
        <v>40477.370000000003</v>
      </c>
      <c r="Q208" s="79">
        <f>ROUND('[6]2035'!Q16,2)</f>
        <v>40123.449999999997</v>
      </c>
      <c r="R208" s="79">
        <f>ROUND('[6]2035'!R16,2)</f>
        <v>39273.910000000003</v>
      </c>
      <c r="S208" s="79">
        <f>ROUND('[6]2035'!S16,2)</f>
        <v>39459.24</v>
      </c>
      <c r="T208" s="79">
        <f>ROUND('[6]2035'!T16,2)</f>
        <v>39596.120000000003</v>
      </c>
      <c r="U208" s="79">
        <f>ROUND('[6]2035'!U16,2)</f>
        <v>39203.730000000003</v>
      </c>
      <c r="V208" s="79">
        <f>ROUND('[6]2035'!V16,2)</f>
        <v>39345.74</v>
      </c>
      <c r="W208" s="79">
        <f>ROUND('[6]2035'!W16,2)</f>
        <v>43707.040000000001</v>
      </c>
      <c r="X208" s="79">
        <f>ROUND('[6]2035'!X16,2)</f>
        <v>44020.02</v>
      </c>
      <c r="Y208" s="79">
        <f>ROUND('[6]2035'!Y16,2)</f>
        <v>42711.53</v>
      </c>
      <c r="Z208" s="79">
        <f>ROUND('[6]2035'!Z16,2)</f>
        <v>40980.800000000003</v>
      </c>
      <c r="AA208" s="79">
        <f>ROUND('[6]2035'!AA16,2)</f>
        <v>38731.65</v>
      </c>
      <c r="AB208" s="79">
        <f>ROUND('[6]2035'!AB16,2)</f>
        <v>36237.43</v>
      </c>
      <c r="AC208" s="210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</row>
    <row r="209" spans="2:50" ht="18.649999999999999" customHeight="1" x14ac:dyDescent="0.35">
      <c r="B209" s="208"/>
      <c r="C209" s="9" t="s">
        <v>31</v>
      </c>
      <c r="D209" s="10">
        <f>+'[6]2035'!D17</f>
        <v>4</v>
      </c>
      <c r="E209" s="79">
        <f>ROUND('[6]2035'!E17,2)</f>
        <v>33804.699999999997</v>
      </c>
      <c r="F209" s="79">
        <f>ROUND('[6]2035'!F17,2)</f>
        <v>32143.87</v>
      </c>
      <c r="G209" s="79">
        <f>ROUND('[6]2035'!G17,2)</f>
        <v>30804.65</v>
      </c>
      <c r="H209" s="79">
        <f>ROUND('[6]2035'!H17,2)</f>
        <v>29822.11</v>
      </c>
      <c r="I209" s="79">
        <f>ROUND('[6]2035'!I17,2)</f>
        <v>29338.53</v>
      </c>
      <c r="J209" s="79">
        <f>ROUND('[6]2035'!J17,2)</f>
        <v>29184.63</v>
      </c>
      <c r="K209" s="79">
        <f>ROUND('[6]2035'!K17,2)</f>
        <v>27612.26</v>
      </c>
      <c r="L209" s="79">
        <f>ROUND('[6]2035'!L17,2)</f>
        <v>28844.11</v>
      </c>
      <c r="M209" s="79">
        <f>ROUND('[6]2035'!M17,2)</f>
        <v>30818.7</v>
      </c>
      <c r="N209" s="79">
        <f>ROUND('[6]2035'!N17,2)</f>
        <v>32339.07</v>
      </c>
      <c r="O209" s="79">
        <f>ROUND('[6]2035'!O17,2)</f>
        <v>33793.629999999997</v>
      </c>
      <c r="P209" s="79">
        <f>ROUND('[6]2035'!P17,2)</f>
        <v>34970.32</v>
      </c>
      <c r="Q209" s="79">
        <f>ROUND('[6]2035'!Q17,2)</f>
        <v>35772.29</v>
      </c>
      <c r="R209" s="79">
        <f>ROUND('[6]2035'!R17,2)</f>
        <v>35868.79</v>
      </c>
      <c r="S209" s="79">
        <f>ROUND('[6]2035'!S17,2)</f>
        <v>35886.97</v>
      </c>
      <c r="T209" s="79">
        <f>ROUND('[6]2035'!T17,2)</f>
        <v>36010.43</v>
      </c>
      <c r="U209" s="79">
        <f>ROUND('[6]2035'!U17,2)</f>
        <v>36028.730000000003</v>
      </c>
      <c r="V209" s="79">
        <f>ROUND('[6]2035'!V17,2)</f>
        <v>36409.21</v>
      </c>
      <c r="W209" s="79">
        <f>ROUND('[6]2035'!W17,2)</f>
        <v>41162.36</v>
      </c>
      <c r="X209" s="79">
        <f>ROUND('[6]2035'!X17,2)</f>
        <v>42341.39</v>
      </c>
      <c r="Y209" s="79">
        <f>ROUND('[6]2035'!Y17,2)</f>
        <v>41893.39</v>
      </c>
      <c r="Z209" s="79">
        <f>ROUND('[6]2035'!Z17,2)</f>
        <v>40515.31</v>
      </c>
      <c r="AA209" s="79">
        <f>ROUND('[6]2035'!AA17,2)</f>
        <v>38047.370000000003</v>
      </c>
      <c r="AB209" s="79">
        <f>ROUND('[6]2035'!AB17,2)</f>
        <v>35103.24</v>
      </c>
      <c r="AC209" s="210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</row>
    <row r="210" spans="2:50" ht="18.649999999999999" customHeight="1" thickBot="1" x14ac:dyDescent="0.4">
      <c r="B210" s="208"/>
      <c r="C210" s="15" t="s">
        <v>32</v>
      </c>
      <c r="D210" s="16">
        <f>+'[6]2035'!D18</f>
        <v>2</v>
      </c>
      <c r="E210" s="80">
        <f>ROUND('[6]2035'!E18,2)</f>
        <v>33804.699999999997</v>
      </c>
      <c r="F210" s="80">
        <f>ROUND('[6]2035'!F18,2)</f>
        <v>32143.87</v>
      </c>
      <c r="G210" s="80">
        <f>ROUND('[6]2035'!G18,2)</f>
        <v>30804.65</v>
      </c>
      <c r="H210" s="80">
        <f>ROUND('[6]2035'!H18,2)</f>
        <v>29822.11</v>
      </c>
      <c r="I210" s="80">
        <f>ROUND('[6]2035'!I18,2)</f>
        <v>29338.53</v>
      </c>
      <c r="J210" s="80">
        <f>ROUND('[6]2035'!J18,2)</f>
        <v>29184.63</v>
      </c>
      <c r="K210" s="80">
        <f>ROUND('[6]2035'!K18,2)</f>
        <v>27612.26</v>
      </c>
      <c r="L210" s="80">
        <f>ROUND('[6]2035'!L18,2)</f>
        <v>28844.11</v>
      </c>
      <c r="M210" s="80">
        <f>ROUND('[6]2035'!M18,2)</f>
        <v>30818.7</v>
      </c>
      <c r="N210" s="80">
        <f>ROUND('[6]2035'!N18,2)</f>
        <v>32339.07</v>
      </c>
      <c r="O210" s="80">
        <f>ROUND('[6]2035'!O18,2)</f>
        <v>33793.629999999997</v>
      </c>
      <c r="P210" s="80">
        <f>ROUND('[6]2035'!P18,2)</f>
        <v>34970.32</v>
      </c>
      <c r="Q210" s="80">
        <f>ROUND('[6]2035'!Q18,2)</f>
        <v>35772.29</v>
      </c>
      <c r="R210" s="80">
        <f>ROUND('[6]2035'!R18,2)</f>
        <v>35868.79</v>
      </c>
      <c r="S210" s="80">
        <f>ROUND('[6]2035'!S18,2)</f>
        <v>35886.97</v>
      </c>
      <c r="T210" s="80">
        <f>ROUND('[6]2035'!T18,2)</f>
        <v>36010.43</v>
      </c>
      <c r="U210" s="80">
        <f>ROUND('[6]2035'!U18,2)</f>
        <v>36028.730000000003</v>
      </c>
      <c r="V210" s="80">
        <f>ROUND('[6]2035'!V18,2)</f>
        <v>36409.21</v>
      </c>
      <c r="W210" s="80">
        <f>ROUND('[6]2035'!W18,2)</f>
        <v>41162.36</v>
      </c>
      <c r="X210" s="80">
        <f>ROUND('[6]2035'!X18,2)</f>
        <v>42341.39</v>
      </c>
      <c r="Y210" s="80">
        <f>ROUND('[6]2035'!Y18,2)</f>
        <v>41893.39</v>
      </c>
      <c r="Z210" s="80">
        <f>ROUND('[6]2035'!Z18,2)</f>
        <v>40515.31</v>
      </c>
      <c r="AA210" s="80">
        <f>ROUND('[6]2035'!AA18,2)</f>
        <v>38047.370000000003</v>
      </c>
      <c r="AB210" s="80">
        <f>ROUND('[6]2035'!AB18,2)</f>
        <v>35103.24</v>
      </c>
      <c r="AC210" s="210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</row>
    <row r="211" spans="2:50" ht="18.649999999999999" customHeight="1" x14ac:dyDescent="0.35">
      <c r="B211" s="211">
        <v>49341</v>
      </c>
      <c r="C211" s="6" t="s">
        <v>29</v>
      </c>
      <c r="D211" s="7">
        <f>+'[6]2035'!D19</f>
        <v>20</v>
      </c>
      <c r="E211" s="78">
        <f>ROUND('[6]2035'!E19,2)</f>
        <v>35632.29</v>
      </c>
      <c r="F211" s="78">
        <f>ROUND('[6]2035'!F19,2)</f>
        <v>33883.120000000003</v>
      </c>
      <c r="G211" s="78">
        <f>ROUND('[6]2035'!G19,2)</f>
        <v>32486.76</v>
      </c>
      <c r="H211" s="78">
        <f>ROUND('[6]2035'!H19,2)</f>
        <v>31474.53</v>
      </c>
      <c r="I211" s="78">
        <f>ROUND('[6]2035'!I19,2)</f>
        <v>31439.27</v>
      </c>
      <c r="J211" s="78">
        <f>ROUND('[6]2035'!J19,2)</f>
        <v>33328.959999999999</v>
      </c>
      <c r="K211" s="78">
        <f>ROUND('[6]2035'!K19,2)</f>
        <v>33008.089999999997</v>
      </c>
      <c r="L211" s="78">
        <f>ROUND('[6]2035'!L19,2)</f>
        <v>36220.86</v>
      </c>
      <c r="M211" s="78">
        <f>ROUND('[6]2035'!M19,2)</f>
        <v>39755.39</v>
      </c>
      <c r="N211" s="78">
        <f>ROUND('[6]2035'!N19,2)</f>
        <v>41470.400000000001</v>
      </c>
      <c r="O211" s="78">
        <f>ROUND('[6]2035'!O19,2)</f>
        <v>43541.86</v>
      </c>
      <c r="P211" s="78">
        <f>ROUND('[6]2035'!P19,2)</f>
        <v>45179.94</v>
      </c>
      <c r="Q211" s="78">
        <f>ROUND('[6]2035'!Q19,2)</f>
        <v>43668.800000000003</v>
      </c>
      <c r="R211" s="78">
        <f>ROUND('[6]2035'!R19,2)</f>
        <v>45237.760000000002</v>
      </c>
      <c r="S211" s="78">
        <f>ROUND('[6]2035'!S19,2)</f>
        <v>47758.5</v>
      </c>
      <c r="T211" s="78">
        <f>ROUND('[6]2035'!T19,2)</f>
        <v>48149</v>
      </c>
      <c r="U211" s="78">
        <f>ROUND('[6]2035'!U19,2)</f>
        <v>47430.38</v>
      </c>
      <c r="V211" s="78">
        <f>ROUND('[6]2035'!V19,2)</f>
        <v>45496.55</v>
      </c>
      <c r="W211" s="78">
        <f>ROUND('[6]2035'!W19,2)</f>
        <v>48193.440000000002</v>
      </c>
      <c r="X211" s="78">
        <f>ROUND('[6]2035'!X19,2)</f>
        <v>48874.87</v>
      </c>
      <c r="Y211" s="78">
        <f>ROUND('[6]2035'!Y19,2)</f>
        <v>47821.21</v>
      </c>
      <c r="Z211" s="78">
        <f>ROUND('[6]2035'!Z19,2)</f>
        <v>45712.28</v>
      </c>
      <c r="AA211" s="78">
        <f>ROUND('[6]2035'!AA19,2)</f>
        <v>42111.92</v>
      </c>
      <c r="AB211" s="78">
        <f>ROUND('[6]2035'!AB19,2)</f>
        <v>38542.14</v>
      </c>
      <c r="AC211" s="209">
        <f>SUM(E211:AB211)*D211+SUM(E212:AB212)*D212+SUM(E213:AB213)*D213+SUM(E214:AB214)*D214</f>
        <v>26987355.400000002</v>
      </c>
      <c r="AD211" s="18"/>
    </row>
    <row r="212" spans="2:50" ht="18.649999999999999" customHeight="1" x14ac:dyDescent="0.35">
      <c r="B212" s="212" t="s">
        <v>34</v>
      </c>
      <c r="C212" s="9" t="s">
        <v>30</v>
      </c>
      <c r="D212" s="10">
        <f>+'[6]2035'!D20</f>
        <v>4</v>
      </c>
      <c r="E212" s="79">
        <f>ROUND('[6]2035'!E20,2)</f>
        <v>36123.699999999997</v>
      </c>
      <c r="F212" s="79">
        <f>ROUND('[6]2035'!F20,2)</f>
        <v>34170.519999999997</v>
      </c>
      <c r="G212" s="79">
        <f>ROUND('[6]2035'!G20,2)</f>
        <v>32896.76</v>
      </c>
      <c r="H212" s="79">
        <f>ROUND('[6]2035'!H20,2)</f>
        <v>31685.97</v>
      </c>
      <c r="I212" s="79">
        <f>ROUND('[6]2035'!I20,2)</f>
        <v>31304.55</v>
      </c>
      <c r="J212" s="79">
        <f>ROUND('[6]2035'!J20,2)</f>
        <v>31668.3</v>
      </c>
      <c r="K212" s="79">
        <f>ROUND('[6]2035'!K20,2)</f>
        <v>31106.74</v>
      </c>
      <c r="L212" s="79">
        <f>ROUND('[6]2035'!L20,2)</f>
        <v>33981.17</v>
      </c>
      <c r="M212" s="79">
        <f>ROUND('[6]2035'!M20,2)</f>
        <v>37499.79</v>
      </c>
      <c r="N212" s="79">
        <f>ROUND('[6]2035'!N20,2)</f>
        <v>39589.5</v>
      </c>
      <c r="O212" s="79">
        <f>ROUND('[6]2035'!O20,2)</f>
        <v>41510.230000000003</v>
      </c>
      <c r="P212" s="79">
        <f>ROUND('[6]2035'!P20,2)</f>
        <v>42475.74</v>
      </c>
      <c r="Q212" s="79">
        <f>ROUND('[6]2035'!Q20,2)</f>
        <v>41798.18</v>
      </c>
      <c r="R212" s="79">
        <f>ROUND('[6]2035'!R20,2)</f>
        <v>41256.26</v>
      </c>
      <c r="S212" s="79">
        <f>ROUND('[6]2035'!S20,2)</f>
        <v>41446.089999999997</v>
      </c>
      <c r="T212" s="79">
        <f>ROUND('[6]2035'!T20,2)</f>
        <v>41564.71</v>
      </c>
      <c r="U212" s="79">
        <f>ROUND('[6]2035'!U20,2)</f>
        <v>41272.559999999998</v>
      </c>
      <c r="V212" s="79">
        <f>ROUND('[6]2035'!V20,2)</f>
        <v>41151.29</v>
      </c>
      <c r="W212" s="79">
        <f>ROUND('[6]2035'!W20,2)</f>
        <v>45423.5</v>
      </c>
      <c r="X212" s="79">
        <f>ROUND('[6]2035'!X20,2)</f>
        <v>46081.599999999999</v>
      </c>
      <c r="Y212" s="79">
        <f>ROUND('[6]2035'!Y20,2)</f>
        <v>45004.31</v>
      </c>
      <c r="Z212" s="79">
        <f>ROUND('[6]2035'!Z20,2)</f>
        <v>43289.81</v>
      </c>
      <c r="AA212" s="79">
        <f>ROUND('[6]2035'!AA20,2)</f>
        <v>41026.480000000003</v>
      </c>
      <c r="AB212" s="79">
        <f>ROUND('[6]2035'!AB20,2)</f>
        <v>38331.410000000003</v>
      </c>
      <c r="AC212" s="210"/>
      <c r="AD212" s="18"/>
    </row>
    <row r="213" spans="2:50" ht="18.649999999999999" customHeight="1" x14ac:dyDescent="0.35">
      <c r="B213" s="212" t="s">
        <v>34</v>
      </c>
      <c r="C213" s="9" t="s">
        <v>31</v>
      </c>
      <c r="D213" s="10">
        <f>+'[6]2035'!D21</f>
        <v>4</v>
      </c>
      <c r="E213" s="79">
        <f>ROUND('[6]2035'!E21,2)</f>
        <v>36023.129999999997</v>
      </c>
      <c r="F213" s="79">
        <f>ROUND('[6]2035'!F21,2)</f>
        <v>34282.82</v>
      </c>
      <c r="G213" s="79">
        <f>ROUND('[6]2035'!G21,2)</f>
        <v>32877.57</v>
      </c>
      <c r="H213" s="79">
        <f>ROUND('[6]2035'!H21,2)</f>
        <v>31834.18</v>
      </c>
      <c r="I213" s="79">
        <f>ROUND('[6]2035'!I21,2)</f>
        <v>31297.07</v>
      </c>
      <c r="J213" s="79">
        <f>ROUND('[6]2035'!J21,2)</f>
        <v>31262.21</v>
      </c>
      <c r="K213" s="79">
        <f>ROUND('[6]2035'!K21,2)</f>
        <v>29621.63</v>
      </c>
      <c r="L213" s="79">
        <f>ROUND('[6]2035'!L21,2)</f>
        <v>30899.200000000001</v>
      </c>
      <c r="M213" s="79">
        <f>ROUND('[6]2035'!M21,2)</f>
        <v>32848.44</v>
      </c>
      <c r="N213" s="79">
        <f>ROUND('[6]2035'!N21,2)</f>
        <v>34229.32</v>
      </c>
      <c r="O213" s="79">
        <f>ROUND('[6]2035'!O21,2)</f>
        <v>35635.199999999997</v>
      </c>
      <c r="P213" s="79">
        <f>ROUND('[6]2035'!P21,2)</f>
        <v>36941.07</v>
      </c>
      <c r="Q213" s="79">
        <f>ROUND('[6]2035'!Q21,2)</f>
        <v>37808.239999999998</v>
      </c>
      <c r="R213" s="79">
        <f>ROUND('[6]2035'!R21,2)</f>
        <v>38033.06</v>
      </c>
      <c r="S213" s="79">
        <f>ROUND('[6]2035'!S21,2)</f>
        <v>38411.97</v>
      </c>
      <c r="T213" s="79">
        <f>ROUND('[6]2035'!T21,2)</f>
        <v>38709.85</v>
      </c>
      <c r="U213" s="79">
        <f>ROUND('[6]2035'!U21,2)</f>
        <v>38585.01</v>
      </c>
      <c r="V213" s="79">
        <f>ROUND('[6]2035'!V21,2)</f>
        <v>38348.03</v>
      </c>
      <c r="W213" s="79">
        <f>ROUND('[6]2035'!W21,2)</f>
        <v>43339.72</v>
      </c>
      <c r="X213" s="79">
        <f>ROUND('[6]2035'!X21,2)</f>
        <v>45137.16</v>
      </c>
      <c r="Y213" s="79">
        <f>ROUND('[6]2035'!Y21,2)</f>
        <v>45120.41</v>
      </c>
      <c r="Z213" s="79">
        <f>ROUND('[6]2035'!Z21,2)</f>
        <v>44049.03</v>
      </c>
      <c r="AA213" s="79">
        <f>ROUND('[6]2035'!AA21,2)</f>
        <v>40473.620000000003</v>
      </c>
      <c r="AB213" s="79">
        <f>ROUND('[6]2035'!AB21,2)</f>
        <v>37320.14</v>
      </c>
      <c r="AC213" s="210"/>
      <c r="AD213" s="18"/>
    </row>
    <row r="214" spans="2:50" ht="18.649999999999999" customHeight="1" thickBot="1" x14ac:dyDescent="0.4">
      <c r="B214" s="213" t="s">
        <v>34</v>
      </c>
      <c r="C214" s="11" t="s">
        <v>32</v>
      </c>
      <c r="D214" s="12">
        <f>+'[6]2035'!D22</f>
        <v>0</v>
      </c>
      <c r="E214" s="75">
        <f>ROUND('[6]2035'!E22,2)</f>
        <v>0</v>
      </c>
      <c r="F214" s="75">
        <f>ROUND('[6]2035'!F22,2)</f>
        <v>0</v>
      </c>
      <c r="G214" s="75">
        <f>ROUND('[6]2035'!G22,2)</f>
        <v>0</v>
      </c>
      <c r="H214" s="75">
        <f>ROUND('[6]2035'!H22,2)</f>
        <v>0</v>
      </c>
      <c r="I214" s="75">
        <f>ROUND('[6]2035'!I22,2)</f>
        <v>0</v>
      </c>
      <c r="J214" s="75">
        <f>ROUND('[6]2035'!J22,2)</f>
        <v>0</v>
      </c>
      <c r="K214" s="75">
        <f>ROUND('[6]2035'!K22,2)</f>
        <v>0</v>
      </c>
      <c r="L214" s="75">
        <f>ROUND('[6]2035'!L22,2)</f>
        <v>0</v>
      </c>
      <c r="M214" s="75">
        <f>ROUND('[6]2035'!M22,2)</f>
        <v>0</v>
      </c>
      <c r="N214" s="75">
        <f>ROUND('[6]2035'!N22,2)</f>
        <v>0</v>
      </c>
      <c r="O214" s="75">
        <f>ROUND('[6]2035'!O22,2)</f>
        <v>0</v>
      </c>
      <c r="P214" s="75">
        <f>ROUND('[6]2035'!P22,2)</f>
        <v>0</v>
      </c>
      <c r="Q214" s="75">
        <f>ROUND('[6]2035'!Q22,2)</f>
        <v>0</v>
      </c>
      <c r="R214" s="75">
        <f>ROUND('[6]2035'!R22,2)</f>
        <v>0</v>
      </c>
      <c r="S214" s="75">
        <f>ROUND('[6]2035'!S22,2)</f>
        <v>0</v>
      </c>
      <c r="T214" s="75">
        <f>ROUND('[6]2035'!T22,2)</f>
        <v>0</v>
      </c>
      <c r="U214" s="75">
        <f>ROUND('[6]2035'!U22,2)</f>
        <v>0</v>
      </c>
      <c r="V214" s="75">
        <f>ROUND('[6]2035'!V22,2)</f>
        <v>0</v>
      </c>
      <c r="W214" s="75">
        <f>ROUND('[6]2035'!W22,2)</f>
        <v>0</v>
      </c>
      <c r="X214" s="75">
        <f>ROUND('[6]2035'!X22,2)</f>
        <v>0</v>
      </c>
      <c r="Y214" s="75">
        <f>ROUND('[6]2035'!Y22,2)</f>
        <v>0</v>
      </c>
      <c r="Z214" s="75">
        <f>ROUND('[6]2035'!Z22,2)</f>
        <v>0</v>
      </c>
      <c r="AA214" s="75">
        <f>ROUND('[6]2035'!AA22,2)</f>
        <v>0</v>
      </c>
      <c r="AB214" s="75">
        <f>ROUND('[6]2035'!AB22,2)</f>
        <v>0</v>
      </c>
      <c r="AC214" s="214"/>
      <c r="AD214" s="18"/>
    </row>
    <row r="215" spans="2:50" ht="18.649999999999999" customHeight="1" x14ac:dyDescent="0.35">
      <c r="B215" s="207">
        <v>49369</v>
      </c>
      <c r="C215" s="13" t="s">
        <v>29</v>
      </c>
      <c r="D215" s="14">
        <f>+'[6]2035'!D23</f>
        <v>19</v>
      </c>
      <c r="E215" s="81">
        <f>ROUND('[6]2035'!E23,2)</f>
        <v>33428.730000000003</v>
      </c>
      <c r="F215" s="81">
        <f>ROUND('[6]2035'!F23,2)</f>
        <v>31775.21</v>
      </c>
      <c r="G215" s="81">
        <f>ROUND('[6]2035'!G23,2)</f>
        <v>30541.79</v>
      </c>
      <c r="H215" s="81">
        <f>ROUND('[6]2035'!H23,2)</f>
        <v>29732.2</v>
      </c>
      <c r="I215" s="81">
        <f>ROUND('[6]2035'!I23,2)</f>
        <v>29868.65</v>
      </c>
      <c r="J215" s="81">
        <f>ROUND('[6]2035'!J23,2)</f>
        <v>31463.56</v>
      </c>
      <c r="K215" s="81">
        <f>ROUND('[6]2035'!K23,2)</f>
        <v>31466.080000000002</v>
      </c>
      <c r="L215" s="81">
        <f>ROUND('[6]2035'!L23,2)</f>
        <v>34877.61</v>
      </c>
      <c r="M215" s="81">
        <f>ROUND('[6]2035'!M23,2)</f>
        <v>38241.68</v>
      </c>
      <c r="N215" s="81">
        <f>ROUND('[6]2035'!N23,2)</f>
        <v>39985.89</v>
      </c>
      <c r="O215" s="81">
        <f>ROUND('[6]2035'!O23,2)</f>
        <v>41982.82</v>
      </c>
      <c r="P215" s="81">
        <f>ROUND('[6]2035'!P23,2)</f>
        <v>43292.18</v>
      </c>
      <c r="Q215" s="81">
        <f>ROUND('[6]2035'!Q23,2)</f>
        <v>41333.57</v>
      </c>
      <c r="R215" s="81">
        <f>ROUND('[6]2035'!R23,2)</f>
        <v>42696.88</v>
      </c>
      <c r="S215" s="81">
        <f>ROUND('[6]2035'!S23,2)</f>
        <v>45043.14</v>
      </c>
      <c r="T215" s="81">
        <f>ROUND('[6]2035'!T23,2)</f>
        <v>45538.76</v>
      </c>
      <c r="U215" s="81">
        <f>ROUND('[6]2035'!U23,2)</f>
        <v>45041.48</v>
      </c>
      <c r="V215" s="81">
        <f>ROUND('[6]2035'!V23,2)</f>
        <v>43458.73</v>
      </c>
      <c r="W215" s="81">
        <f>ROUND('[6]2035'!W23,2)</f>
        <v>46116.13</v>
      </c>
      <c r="X215" s="81">
        <f>ROUND('[6]2035'!X23,2)</f>
        <v>46528.79</v>
      </c>
      <c r="Y215" s="81">
        <f>ROUND('[6]2035'!Y23,2)</f>
        <v>45166.17</v>
      </c>
      <c r="Z215" s="81">
        <f>ROUND('[6]2035'!Z23,2)</f>
        <v>42912.94</v>
      </c>
      <c r="AA215" s="81">
        <f>ROUND('[6]2035'!AA23,2)</f>
        <v>39526.980000000003</v>
      </c>
      <c r="AB215" s="81">
        <f>ROUND('[6]2035'!AB23,2)</f>
        <v>36089.54</v>
      </c>
      <c r="AC215" s="210">
        <f>SUM(E215:AB215)*D215+SUM(E216:AB216)*D216+SUM(E217:AB217)*D217+SUM(E218:AB218)*D218</f>
        <v>28289453.219999999</v>
      </c>
      <c r="AD215" s="18"/>
    </row>
    <row r="216" spans="2:50" ht="18.649999999999999" customHeight="1" x14ac:dyDescent="0.35">
      <c r="B216" s="208"/>
      <c r="C216" s="9" t="s">
        <v>30</v>
      </c>
      <c r="D216" s="10">
        <f>+'[6]2035'!D24</f>
        <v>5</v>
      </c>
      <c r="E216" s="79">
        <f>ROUND('[6]2035'!E24,2)</f>
        <v>33624.43</v>
      </c>
      <c r="F216" s="79">
        <f>ROUND('[6]2035'!F24,2)</f>
        <v>31965.59</v>
      </c>
      <c r="G216" s="79">
        <f>ROUND('[6]2035'!G24,2)</f>
        <v>30657.02</v>
      </c>
      <c r="H216" s="79">
        <f>ROUND('[6]2035'!H24,2)</f>
        <v>29790.84</v>
      </c>
      <c r="I216" s="79">
        <f>ROUND('[6]2035'!I24,2)</f>
        <v>29572</v>
      </c>
      <c r="J216" s="79">
        <f>ROUND('[6]2035'!J24,2)</f>
        <v>29908.74</v>
      </c>
      <c r="K216" s="79">
        <f>ROUND('[6]2035'!K24,2)</f>
        <v>29764.98</v>
      </c>
      <c r="L216" s="79">
        <f>ROUND('[6]2035'!L24,2)</f>
        <v>32895.26</v>
      </c>
      <c r="M216" s="79">
        <f>ROUND('[6]2035'!M24,2)</f>
        <v>36537</v>
      </c>
      <c r="N216" s="79">
        <f>ROUND('[6]2035'!N24,2)</f>
        <v>38655.94</v>
      </c>
      <c r="O216" s="79">
        <f>ROUND('[6]2035'!O24,2)</f>
        <v>40556.76</v>
      </c>
      <c r="P216" s="79">
        <f>ROUND('[6]2035'!P24,2)</f>
        <v>41687.43</v>
      </c>
      <c r="Q216" s="79">
        <f>ROUND('[6]2035'!Q24,2)</f>
        <v>40970.949999999997</v>
      </c>
      <c r="R216" s="79">
        <f>ROUND('[6]2035'!R24,2)</f>
        <v>40424.660000000003</v>
      </c>
      <c r="S216" s="79">
        <f>ROUND('[6]2035'!S24,2)</f>
        <v>40744.839999999997</v>
      </c>
      <c r="T216" s="79">
        <f>ROUND('[6]2035'!T24,2)</f>
        <v>40798.21</v>
      </c>
      <c r="U216" s="79">
        <f>ROUND('[6]2035'!U24,2)</f>
        <v>40436.370000000003</v>
      </c>
      <c r="V216" s="79">
        <f>ROUND('[6]2035'!V24,2)</f>
        <v>40187.760000000002</v>
      </c>
      <c r="W216" s="79">
        <f>ROUND('[6]2035'!W24,2)</f>
        <v>44378.53</v>
      </c>
      <c r="X216" s="79">
        <f>ROUND('[6]2035'!X24,2)</f>
        <v>45094.02</v>
      </c>
      <c r="Y216" s="79">
        <f>ROUND('[6]2035'!Y24,2)</f>
        <v>43840.69</v>
      </c>
      <c r="Z216" s="79">
        <f>ROUND('[6]2035'!Z24,2)</f>
        <v>42133.07</v>
      </c>
      <c r="AA216" s="79">
        <f>ROUND('[6]2035'!AA24,2)</f>
        <v>39757.47</v>
      </c>
      <c r="AB216" s="79">
        <f>ROUND('[6]2035'!AB24,2)</f>
        <v>37152.550000000003</v>
      </c>
      <c r="AC216" s="210"/>
      <c r="AD216" s="18"/>
    </row>
    <row r="217" spans="2:50" ht="18.649999999999999" customHeight="1" x14ac:dyDescent="0.35">
      <c r="B217" s="208"/>
      <c r="C217" s="9" t="s">
        <v>31</v>
      </c>
      <c r="D217" s="10">
        <f>+'[6]2035'!D25</f>
        <v>4</v>
      </c>
      <c r="E217" s="79">
        <f>ROUND('[6]2035'!E25,2)</f>
        <v>34525.96</v>
      </c>
      <c r="F217" s="79">
        <f>ROUND('[6]2035'!F25,2)</f>
        <v>32748.79</v>
      </c>
      <c r="G217" s="79">
        <f>ROUND('[6]2035'!G25,2)</f>
        <v>31367.9</v>
      </c>
      <c r="H217" s="79">
        <f>ROUND('[6]2035'!H25,2)</f>
        <v>30378.3</v>
      </c>
      <c r="I217" s="79">
        <f>ROUND('[6]2035'!I25,2)</f>
        <v>29880.85</v>
      </c>
      <c r="J217" s="79">
        <f>ROUND('[6]2035'!J25,2)</f>
        <v>29657.34</v>
      </c>
      <c r="K217" s="79">
        <f>ROUND('[6]2035'!K25,2)</f>
        <v>28536.77</v>
      </c>
      <c r="L217" s="79">
        <f>ROUND('[6]2035'!L25,2)</f>
        <v>30048.080000000002</v>
      </c>
      <c r="M217" s="79">
        <f>ROUND('[6]2035'!M25,2)</f>
        <v>32171.37</v>
      </c>
      <c r="N217" s="79">
        <f>ROUND('[6]2035'!N25,2)</f>
        <v>33708.35</v>
      </c>
      <c r="O217" s="79">
        <f>ROUND('[6]2035'!O25,2)</f>
        <v>35082.15</v>
      </c>
      <c r="P217" s="79">
        <f>ROUND('[6]2035'!P25,2)</f>
        <v>36265.83</v>
      </c>
      <c r="Q217" s="79">
        <f>ROUND('[6]2035'!Q25,2)</f>
        <v>37017.33</v>
      </c>
      <c r="R217" s="79">
        <f>ROUND('[6]2035'!R25,2)</f>
        <v>37152.11</v>
      </c>
      <c r="S217" s="79">
        <f>ROUND('[6]2035'!S25,2)</f>
        <v>37294.720000000001</v>
      </c>
      <c r="T217" s="79">
        <f>ROUND('[6]2035'!T25,2)</f>
        <v>37702.54</v>
      </c>
      <c r="U217" s="79">
        <f>ROUND('[6]2035'!U25,2)</f>
        <v>37561.4</v>
      </c>
      <c r="V217" s="79">
        <f>ROUND('[6]2035'!V25,2)</f>
        <v>37747.339999999997</v>
      </c>
      <c r="W217" s="79">
        <f>ROUND('[6]2035'!W25,2)</f>
        <v>42201.45</v>
      </c>
      <c r="X217" s="79">
        <f>ROUND('[6]2035'!X25,2)</f>
        <v>43741.49</v>
      </c>
      <c r="Y217" s="79">
        <f>ROUND('[6]2035'!Y25,2)</f>
        <v>43579.37</v>
      </c>
      <c r="Z217" s="79">
        <f>ROUND('[6]2035'!Z25,2)</f>
        <v>42300.84</v>
      </c>
      <c r="AA217" s="79">
        <f>ROUND('[6]2035'!AA25,2)</f>
        <v>39525.440000000002</v>
      </c>
      <c r="AB217" s="79">
        <f>ROUND('[6]2035'!AB25,2)</f>
        <v>36332.42</v>
      </c>
      <c r="AC217" s="210"/>
      <c r="AD217" s="18"/>
    </row>
    <row r="218" spans="2:50" ht="18.649999999999999" customHeight="1" thickBot="1" x14ac:dyDescent="0.4">
      <c r="B218" s="208"/>
      <c r="C218" s="15" t="s">
        <v>32</v>
      </c>
      <c r="D218" s="16">
        <f>+'[6]2035'!D26</f>
        <v>3</v>
      </c>
      <c r="E218" s="80">
        <f>ROUND('[6]2035'!E26,2)</f>
        <v>34525.96</v>
      </c>
      <c r="F218" s="80">
        <f>ROUND('[6]2035'!F26,2)</f>
        <v>32748.79</v>
      </c>
      <c r="G218" s="80">
        <f>ROUND('[6]2035'!G26,2)</f>
        <v>31367.9</v>
      </c>
      <c r="H218" s="80">
        <f>ROUND('[6]2035'!H26,2)</f>
        <v>30378.3</v>
      </c>
      <c r="I218" s="80">
        <f>ROUND('[6]2035'!I26,2)</f>
        <v>29880.85</v>
      </c>
      <c r="J218" s="80">
        <f>ROUND('[6]2035'!J26,2)</f>
        <v>29657.34</v>
      </c>
      <c r="K218" s="80">
        <f>ROUND('[6]2035'!K26,2)</f>
        <v>28536.77</v>
      </c>
      <c r="L218" s="80">
        <f>ROUND('[6]2035'!L26,2)</f>
        <v>30048.080000000002</v>
      </c>
      <c r="M218" s="80">
        <f>ROUND('[6]2035'!M26,2)</f>
        <v>32171.37</v>
      </c>
      <c r="N218" s="80">
        <f>ROUND('[6]2035'!N26,2)</f>
        <v>33708.35</v>
      </c>
      <c r="O218" s="80">
        <f>ROUND('[6]2035'!O26,2)</f>
        <v>35082.15</v>
      </c>
      <c r="P218" s="80">
        <f>ROUND('[6]2035'!P26,2)</f>
        <v>36265.83</v>
      </c>
      <c r="Q218" s="80">
        <f>ROUND('[6]2035'!Q26,2)</f>
        <v>37017.33</v>
      </c>
      <c r="R218" s="80">
        <f>ROUND('[6]2035'!R26,2)</f>
        <v>37152.11</v>
      </c>
      <c r="S218" s="80">
        <f>ROUND('[6]2035'!S26,2)</f>
        <v>37294.720000000001</v>
      </c>
      <c r="T218" s="80">
        <f>ROUND('[6]2035'!T26,2)</f>
        <v>37702.54</v>
      </c>
      <c r="U218" s="80">
        <f>ROUND('[6]2035'!U26,2)</f>
        <v>37561.4</v>
      </c>
      <c r="V218" s="80">
        <f>ROUND('[6]2035'!V26,2)</f>
        <v>37747.339999999997</v>
      </c>
      <c r="W218" s="80">
        <f>ROUND('[6]2035'!W26,2)</f>
        <v>42201.45</v>
      </c>
      <c r="X218" s="80">
        <f>ROUND('[6]2035'!X26,2)</f>
        <v>43741.49</v>
      </c>
      <c r="Y218" s="80">
        <f>ROUND('[6]2035'!Y26,2)</f>
        <v>43579.37</v>
      </c>
      <c r="Z218" s="80">
        <f>ROUND('[6]2035'!Z26,2)</f>
        <v>42300.84</v>
      </c>
      <c r="AA218" s="80">
        <f>ROUND('[6]2035'!AA26,2)</f>
        <v>39525.440000000002</v>
      </c>
      <c r="AB218" s="80">
        <f>ROUND('[6]2035'!AB26,2)</f>
        <v>36332.42</v>
      </c>
      <c r="AC218" s="210"/>
      <c r="AD218" s="18"/>
    </row>
    <row r="219" spans="2:50" ht="18.649999999999999" customHeight="1" x14ac:dyDescent="0.35">
      <c r="B219" s="211">
        <v>49400</v>
      </c>
      <c r="C219" s="6" t="s">
        <v>29</v>
      </c>
      <c r="D219" s="7">
        <f>+'[6]2035'!D27</f>
        <v>21</v>
      </c>
      <c r="E219" s="78">
        <f>ROUND('[6]2035'!E27,2)</f>
        <v>32402.03</v>
      </c>
      <c r="F219" s="78">
        <f>ROUND('[6]2035'!F27,2)</f>
        <v>30788.33</v>
      </c>
      <c r="G219" s="78">
        <f>ROUND('[6]2035'!G27,2)</f>
        <v>29607.97</v>
      </c>
      <c r="H219" s="78">
        <f>ROUND('[6]2035'!H27,2)</f>
        <v>28804.02</v>
      </c>
      <c r="I219" s="78">
        <f>ROUND('[6]2035'!I27,2)</f>
        <v>28927.18</v>
      </c>
      <c r="J219" s="78">
        <f>ROUND('[6]2035'!J27,2)</f>
        <v>29853.57</v>
      </c>
      <c r="K219" s="78">
        <f>ROUND('[6]2035'!K27,2)</f>
        <v>30183.759999999998</v>
      </c>
      <c r="L219" s="78">
        <f>ROUND('[6]2035'!L27,2)</f>
        <v>33621.519999999997</v>
      </c>
      <c r="M219" s="78">
        <f>ROUND('[6]2035'!M27,2)</f>
        <v>37160.36</v>
      </c>
      <c r="N219" s="78">
        <f>ROUND('[6]2035'!N27,2)</f>
        <v>38795.379999999997</v>
      </c>
      <c r="O219" s="78">
        <f>ROUND('[6]2035'!O27,2)</f>
        <v>40616.160000000003</v>
      </c>
      <c r="P219" s="78">
        <f>ROUND('[6]2035'!P27,2)</f>
        <v>42156.78</v>
      </c>
      <c r="Q219" s="78">
        <f>ROUND('[6]2035'!Q27,2)</f>
        <v>40504.959999999999</v>
      </c>
      <c r="R219" s="78">
        <f>ROUND('[6]2035'!R27,2)</f>
        <v>41695.78</v>
      </c>
      <c r="S219" s="78">
        <f>ROUND('[6]2035'!S27,2)</f>
        <v>44014.93</v>
      </c>
      <c r="T219" s="78">
        <f>ROUND('[6]2035'!T27,2)</f>
        <v>44296.59</v>
      </c>
      <c r="U219" s="78">
        <f>ROUND('[6]2035'!U27,2)</f>
        <v>43625.49</v>
      </c>
      <c r="V219" s="78">
        <f>ROUND('[6]2035'!V27,2)</f>
        <v>42492.6</v>
      </c>
      <c r="W219" s="78">
        <f>ROUND('[6]2035'!W27,2)</f>
        <v>45117.61</v>
      </c>
      <c r="X219" s="78">
        <f>ROUND('[6]2035'!X27,2)</f>
        <v>45254.61</v>
      </c>
      <c r="Y219" s="78">
        <f>ROUND('[6]2035'!Y27,2)</f>
        <v>43900.480000000003</v>
      </c>
      <c r="Z219" s="78">
        <f>ROUND('[6]2035'!Z27,2)</f>
        <v>41791.58</v>
      </c>
      <c r="AA219" s="78">
        <f>ROUND('[6]2035'!AA27,2)</f>
        <v>38624.39</v>
      </c>
      <c r="AB219" s="78">
        <f>ROUND('[6]2035'!AB27,2)</f>
        <v>35166.230000000003</v>
      </c>
      <c r="AC219" s="209">
        <f>SUM(E219:AB219)*D219+SUM(E220:AB220)*D220+SUM(E221:AB221)*D221+SUM(E222:AB222)*D222</f>
        <v>26560140.509999998</v>
      </c>
      <c r="AD219" s="18"/>
    </row>
    <row r="220" spans="2:50" ht="18.649999999999999" customHeight="1" x14ac:dyDescent="0.35">
      <c r="B220" s="212" t="s">
        <v>34</v>
      </c>
      <c r="C220" s="9" t="s">
        <v>30</v>
      </c>
      <c r="D220" s="10">
        <f>+'[6]2035'!D28</f>
        <v>4</v>
      </c>
      <c r="E220" s="79">
        <f>ROUND('[6]2035'!E28,2)</f>
        <v>32074.84</v>
      </c>
      <c r="F220" s="79">
        <f>ROUND('[6]2035'!F28,2)</f>
        <v>30402.720000000001</v>
      </c>
      <c r="G220" s="79">
        <f>ROUND('[6]2035'!G28,2)</f>
        <v>29160.69</v>
      </c>
      <c r="H220" s="79">
        <f>ROUND('[6]2035'!H28,2)</f>
        <v>28312.49</v>
      </c>
      <c r="I220" s="79">
        <f>ROUND('[6]2035'!I28,2)</f>
        <v>28098.25</v>
      </c>
      <c r="J220" s="79">
        <f>ROUND('[6]2035'!J28,2)</f>
        <v>28089.73</v>
      </c>
      <c r="K220" s="79">
        <f>ROUND('[6]2035'!K28,2)</f>
        <v>28023.200000000001</v>
      </c>
      <c r="L220" s="79">
        <f>ROUND('[6]2035'!L28,2)</f>
        <v>30889.32</v>
      </c>
      <c r="M220" s="79">
        <f>ROUND('[6]2035'!M28,2)</f>
        <v>34225.18</v>
      </c>
      <c r="N220" s="79">
        <f>ROUND('[6]2035'!N28,2)</f>
        <v>36011.65</v>
      </c>
      <c r="O220" s="79">
        <f>ROUND('[6]2035'!O28,2)</f>
        <v>37761.03</v>
      </c>
      <c r="P220" s="79">
        <f>ROUND('[6]2035'!P28,2)</f>
        <v>38848.89</v>
      </c>
      <c r="Q220" s="79">
        <f>ROUND('[6]2035'!Q28,2)</f>
        <v>38342.800000000003</v>
      </c>
      <c r="R220" s="79">
        <f>ROUND('[6]2035'!R28,2)</f>
        <v>37930.1</v>
      </c>
      <c r="S220" s="79">
        <f>ROUND('[6]2035'!S28,2)</f>
        <v>38141.26</v>
      </c>
      <c r="T220" s="79">
        <f>ROUND('[6]2035'!T28,2)</f>
        <v>38213.74</v>
      </c>
      <c r="U220" s="79">
        <f>ROUND('[6]2035'!U28,2)</f>
        <v>37998.44</v>
      </c>
      <c r="V220" s="79">
        <f>ROUND('[6]2035'!V28,2)</f>
        <v>38231.06</v>
      </c>
      <c r="W220" s="79">
        <f>ROUND('[6]2035'!W28,2)</f>
        <v>42460.83</v>
      </c>
      <c r="X220" s="79">
        <f>ROUND('[6]2035'!X28,2)</f>
        <v>42552.65</v>
      </c>
      <c r="Y220" s="79">
        <f>ROUND('[6]2035'!Y28,2)</f>
        <v>41372.81</v>
      </c>
      <c r="Z220" s="79">
        <f>ROUND('[6]2035'!Z28,2)</f>
        <v>39636.379999999997</v>
      </c>
      <c r="AA220" s="79">
        <f>ROUND('[6]2035'!AA28,2)</f>
        <v>37442.32</v>
      </c>
      <c r="AB220" s="79">
        <f>ROUND('[6]2035'!AB28,2)</f>
        <v>34935.07</v>
      </c>
      <c r="AC220" s="210"/>
      <c r="AD220" s="18"/>
    </row>
    <row r="221" spans="2:50" ht="18.649999999999999" customHeight="1" x14ac:dyDescent="0.35">
      <c r="B221" s="212" t="s">
        <v>34</v>
      </c>
      <c r="C221" s="9" t="s">
        <v>31</v>
      </c>
      <c r="D221" s="10">
        <f>+'[6]2035'!D29</f>
        <v>5</v>
      </c>
      <c r="E221" s="79">
        <f>ROUND('[6]2035'!E29,2)</f>
        <v>32701.37</v>
      </c>
      <c r="F221" s="79">
        <f>ROUND('[6]2035'!F29,2)</f>
        <v>31092.560000000001</v>
      </c>
      <c r="G221" s="79">
        <f>ROUND('[6]2035'!G29,2)</f>
        <v>29762.2</v>
      </c>
      <c r="H221" s="79">
        <f>ROUND('[6]2035'!H29,2)</f>
        <v>28852.080000000002</v>
      </c>
      <c r="I221" s="79">
        <f>ROUND('[6]2035'!I29,2)</f>
        <v>28468.54</v>
      </c>
      <c r="J221" s="79">
        <f>ROUND('[6]2035'!J29,2)</f>
        <v>27962.9</v>
      </c>
      <c r="K221" s="79">
        <f>ROUND('[6]2035'!K29,2)</f>
        <v>27376.39</v>
      </c>
      <c r="L221" s="79">
        <f>ROUND('[6]2035'!L29,2)</f>
        <v>28890.59</v>
      </c>
      <c r="M221" s="79">
        <f>ROUND('[6]2035'!M29,2)</f>
        <v>30495.79</v>
      </c>
      <c r="N221" s="79">
        <f>ROUND('[6]2035'!N29,2)</f>
        <v>31928.36</v>
      </c>
      <c r="O221" s="79">
        <f>ROUND('[6]2035'!O29,2)</f>
        <v>33260.730000000003</v>
      </c>
      <c r="P221" s="79">
        <f>ROUND('[6]2035'!P29,2)</f>
        <v>34317.800000000003</v>
      </c>
      <c r="Q221" s="79">
        <f>ROUND('[6]2035'!Q29,2)</f>
        <v>34908.92</v>
      </c>
      <c r="R221" s="79">
        <f>ROUND('[6]2035'!R29,2)</f>
        <v>35071.760000000002</v>
      </c>
      <c r="S221" s="79">
        <f>ROUND('[6]2035'!S29,2)</f>
        <v>35286.230000000003</v>
      </c>
      <c r="T221" s="79">
        <f>ROUND('[6]2035'!T29,2)</f>
        <v>35602.26</v>
      </c>
      <c r="U221" s="79">
        <f>ROUND('[6]2035'!U29,2)</f>
        <v>35729.94</v>
      </c>
      <c r="V221" s="79">
        <f>ROUND('[6]2035'!V29,2)</f>
        <v>36167.67</v>
      </c>
      <c r="W221" s="79">
        <f>ROUND('[6]2035'!W29,2)</f>
        <v>40179.17</v>
      </c>
      <c r="X221" s="79">
        <f>ROUND('[6]2035'!X29,2)</f>
        <v>41393.919999999998</v>
      </c>
      <c r="Y221" s="79">
        <f>ROUND('[6]2035'!Y29,2)</f>
        <v>41257.79</v>
      </c>
      <c r="Z221" s="79">
        <f>ROUND('[6]2035'!Z29,2)</f>
        <v>40244.519999999997</v>
      </c>
      <c r="AA221" s="79">
        <f>ROUND('[6]2035'!AA29,2)</f>
        <v>37662.300000000003</v>
      </c>
      <c r="AB221" s="79">
        <f>ROUND('[6]2035'!AB29,2)</f>
        <v>34600.25</v>
      </c>
      <c r="AC221" s="210"/>
      <c r="AD221" s="18"/>
    </row>
    <row r="222" spans="2:50" ht="18.649999999999999" customHeight="1" thickBot="1" x14ac:dyDescent="0.4">
      <c r="B222" s="213" t="s">
        <v>34</v>
      </c>
      <c r="C222" s="11" t="s">
        <v>32</v>
      </c>
      <c r="D222" s="12">
        <f>+'[6]2035'!D30</f>
        <v>0</v>
      </c>
      <c r="E222" s="75">
        <f>ROUND('[6]2035'!E30,2)</f>
        <v>0</v>
      </c>
      <c r="F222" s="75">
        <f>ROUND('[6]2035'!F30,2)</f>
        <v>0</v>
      </c>
      <c r="G222" s="75">
        <f>ROUND('[6]2035'!G30,2)</f>
        <v>0</v>
      </c>
      <c r="H222" s="75">
        <f>ROUND('[6]2035'!H30,2)</f>
        <v>0</v>
      </c>
      <c r="I222" s="75">
        <f>ROUND('[6]2035'!I30,2)</f>
        <v>0</v>
      </c>
      <c r="J222" s="75">
        <f>ROUND('[6]2035'!J30,2)</f>
        <v>0</v>
      </c>
      <c r="K222" s="75">
        <f>ROUND('[6]2035'!K30,2)</f>
        <v>0</v>
      </c>
      <c r="L222" s="75">
        <f>ROUND('[6]2035'!L30,2)</f>
        <v>0</v>
      </c>
      <c r="M222" s="75">
        <f>ROUND('[6]2035'!M30,2)</f>
        <v>0</v>
      </c>
      <c r="N222" s="75">
        <f>ROUND('[6]2035'!N30,2)</f>
        <v>0</v>
      </c>
      <c r="O222" s="75">
        <f>ROUND('[6]2035'!O30,2)</f>
        <v>0</v>
      </c>
      <c r="P222" s="75">
        <f>ROUND('[6]2035'!P30,2)</f>
        <v>0</v>
      </c>
      <c r="Q222" s="75">
        <f>ROUND('[6]2035'!Q30,2)</f>
        <v>0</v>
      </c>
      <c r="R222" s="75">
        <f>ROUND('[6]2035'!R30,2)</f>
        <v>0</v>
      </c>
      <c r="S222" s="75">
        <f>ROUND('[6]2035'!S30,2)</f>
        <v>0</v>
      </c>
      <c r="T222" s="75">
        <f>ROUND('[6]2035'!T30,2)</f>
        <v>0</v>
      </c>
      <c r="U222" s="75">
        <f>ROUND('[6]2035'!U30,2)</f>
        <v>0</v>
      </c>
      <c r="V222" s="75">
        <f>ROUND('[6]2035'!V30,2)</f>
        <v>0</v>
      </c>
      <c r="W222" s="75">
        <f>ROUND('[6]2035'!W30,2)</f>
        <v>0</v>
      </c>
      <c r="X222" s="75">
        <f>ROUND('[6]2035'!X30,2)</f>
        <v>0</v>
      </c>
      <c r="Y222" s="75">
        <f>ROUND('[6]2035'!Y30,2)</f>
        <v>0</v>
      </c>
      <c r="Z222" s="75">
        <f>ROUND('[6]2035'!Z30,2)</f>
        <v>0</v>
      </c>
      <c r="AA222" s="75">
        <f>ROUND('[6]2035'!AA30,2)</f>
        <v>0</v>
      </c>
      <c r="AB222" s="75">
        <f>ROUND('[6]2035'!AB30,2)</f>
        <v>0</v>
      </c>
      <c r="AC222" s="214"/>
      <c r="AD222" s="18"/>
    </row>
    <row r="223" spans="2:50" ht="18.649999999999999" customHeight="1" x14ac:dyDescent="0.35">
      <c r="B223" s="207">
        <v>49430</v>
      </c>
      <c r="C223" s="13" t="s">
        <v>29</v>
      </c>
      <c r="D223" s="14">
        <f>+'[6]2035'!D31</f>
        <v>20</v>
      </c>
      <c r="E223" s="81">
        <f>ROUND('[6]2035'!E31,2)</f>
        <v>31948.59</v>
      </c>
      <c r="F223" s="81">
        <f>ROUND('[6]2035'!F31,2)</f>
        <v>30431.64</v>
      </c>
      <c r="G223" s="81">
        <f>ROUND('[6]2035'!G31,2)</f>
        <v>29283.49</v>
      </c>
      <c r="H223" s="81">
        <f>ROUND('[6]2035'!H31,2)</f>
        <v>28497.66</v>
      </c>
      <c r="I223" s="81">
        <f>ROUND('[6]2035'!I31,2)</f>
        <v>28637.32</v>
      </c>
      <c r="J223" s="81">
        <f>ROUND('[6]2035'!J31,2)</f>
        <v>29430.47</v>
      </c>
      <c r="K223" s="81">
        <f>ROUND('[6]2035'!K31,2)</f>
        <v>30098.04</v>
      </c>
      <c r="L223" s="81">
        <f>ROUND('[6]2035'!L31,2)</f>
        <v>33615.35</v>
      </c>
      <c r="M223" s="81">
        <f>ROUND('[6]2035'!M31,2)</f>
        <v>37231.879999999997</v>
      </c>
      <c r="N223" s="81">
        <f>ROUND('[6]2035'!N31,2)</f>
        <v>38925.46</v>
      </c>
      <c r="O223" s="81">
        <f>ROUND('[6]2035'!O31,2)</f>
        <v>40944.97</v>
      </c>
      <c r="P223" s="81">
        <f>ROUND('[6]2035'!P31,2)</f>
        <v>42263.97</v>
      </c>
      <c r="Q223" s="81">
        <f>ROUND('[6]2035'!Q31,2)</f>
        <v>40547.040000000001</v>
      </c>
      <c r="R223" s="81">
        <f>ROUND('[6]2035'!R31,2)</f>
        <v>41658.26</v>
      </c>
      <c r="S223" s="81">
        <f>ROUND('[6]2035'!S31,2)</f>
        <v>43819.01</v>
      </c>
      <c r="T223" s="81">
        <f>ROUND('[6]2035'!T31,2)</f>
        <v>44035.31</v>
      </c>
      <c r="U223" s="81">
        <f>ROUND('[6]2035'!U31,2)</f>
        <v>43405.22</v>
      </c>
      <c r="V223" s="81">
        <f>ROUND('[6]2035'!V31,2)</f>
        <v>41986.93</v>
      </c>
      <c r="W223" s="81">
        <f>ROUND('[6]2035'!W31,2)</f>
        <v>44598.93</v>
      </c>
      <c r="X223" s="81">
        <f>ROUND('[6]2035'!X31,2)</f>
        <v>44775.69</v>
      </c>
      <c r="Y223" s="81">
        <f>ROUND('[6]2035'!Y31,2)</f>
        <v>43394.69</v>
      </c>
      <c r="Z223" s="81">
        <f>ROUND('[6]2035'!Z31,2)</f>
        <v>41101</v>
      </c>
      <c r="AA223" s="81">
        <f>ROUND('[6]2035'!AA31,2)</f>
        <v>37870.120000000003</v>
      </c>
      <c r="AB223" s="81">
        <f>ROUND('[6]2035'!AB31,2)</f>
        <v>34569.54</v>
      </c>
      <c r="AC223" s="210">
        <f>SUM(E223:AB223)*D223+SUM(E224:AB224)*D224+SUM(E225:AB225)*D225+SUM(E226:AB226)*D226</f>
        <v>27310285.579999998</v>
      </c>
      <c r="AD223" s="18"/>
    </row>
    <row r="224" spans="2:50" ht="18.649999999999999" customHeight="1" x14ac:dyDescent="0.35">
      <c r="B224" s="208"/>
      <c r="C224" s="9" t="s">
        <v>30</v>
      </c>
      <c r="D224" s="10">
        <f>+'[6]2035'!D32</f>
        <v>4</v>
      </c>
      <c r="E224" s="79">
        <f>ROUND('[6]2035'!E32,2)</f>
        <v>32503.07</v>
      </c>
      <c r="F224" s="79">
        <f>ROUND('[6]2035'!F32,2)</f>
        <v>30612.14</v>
      </c>
      <c r="G224" s="79">
        <f>ROUND('[6]2035'!G32,2)</f>
        <v>29333.07</v>
      </c>
      <c r="H224" s="79">
        <f>ROUND('[6]2035'!H32,2)</f>
        <v>28509.21</v>
      </c>
      <c r="I224" s="79">
        <f>ROUND('[6]2035'!I32,2)</f>
        <v>28358.71</v>
      </c>
      <c r="J224" s="79">
        <f>ROUND('[6]2035'!J32,2)</f>
        <v>28050.43</v>
      </c>
      <c r="K224" s="79">
        <f>ROUND('[6]2035'!K32,2)</f>
        <v>28320.63</v>
      </c>
      <c r="L224" s="79">
        <f>ROUND('[6]2035'!L32,2)</f>
        <v>31563.01</v>
      </c>
      <c r="M224" s="79">
        <f>ROUND('[6]2035'!M32,2)</f>
        <v>35179.800000000003</v>
      </c>
      <c r="N224" s="79">
        <f>ROUND('[6]2035'!N32,2)</f>
        <v>37209.339999999997</v>
      </c>
      <c r="O224" s="79">
        <f>ROUND('[6]2035'!O32,2)</f>
        <v>38757.589999999997</v>
      </c>
      <c r="P224" s="79">
        <f>ROUND('[6]2035'!P32,2)</f>
        <v>39795.800000000003</v>
      </c>
      <c r="Q224" s="79">
        <f>ROUND('[6]2035'!Q32,2)</f>
        <v>38982.480000000003</v>
      </c>
      <c r="R224" s="79">
        <f>ROUND('[6]2035'!R32,2)</f>
        <v>38443.32</v>
      </c>
      <c r="S224" s="79">
        <f>ROUND('[6]2035'!S32,2)</f>
        <v>38725.01</v>
      </c>
      <c r="T224" s="79">
        <f>ROUND('[6]2035'!T32,2)</f>
        <v>38795.61</v>
      </c>
      <c r="U224" s="79">
        <f>ROUND('[6]2035'!U32,2)</f>
        <v>38575.46</v>
      </c>
      <c r="V224" s="79">
        <f>ROUND('[6]2035'!V32,2)</f>
        <v>38855.730000000003</v>
      </c>
      <c r="W224" s="79">
        <f>ROUND('[6]2035'!W32,2)</f>
        <v>42993.35</v>
      </c>
      <c r="X224" s="79">
        <f>ROUND('[6]2035'!X32,2)</f>
        <v>43481.29</v>
      </c>
      <c r="Y224" s="79">
        <f>ROUND('[6]2035'!Y32,2)</f>
        <v>42194.66</v>
      </c>
      <c r="Z224" s="79">
        <f>ROUND('[6]2035'!Z32,2)</f>
        <v>40293.31</v>
      </c>
      <c r="AA224" s="79">
        <f>ROUND('[6]2035'!AA32,2)</f>
        <v>38089.99</v>
      </c>
      <c r="AB224" s="79">
        <f>ROUND('[6]2035'!AB32,2)</f>
        <v>35534.550000000003</v>
      </c>
      <c r="AC224" s="210"/>
      <c r="AD224" s="18"/>
    </row>
    <row r="225" spans="2:30" ht="18.649999999999999" customHeight="1" x14ac:dyDescent="0.35">
      <c r="B225" s="208"/>
      <c r="C225" s="9" t="s">
        <v>31</v>
      </c>
      <c r="D225" s="10">
        <f>+'[6]2035'!D33</f>
        <v>4</v>
      </c>
      <c r="E225" s="79">
        <f>ROUND('[6]2035'!E33,2)</f>
        <v>32886.75</v>
      </c>
      <c r="F225" s="79">
        <f>ROUND('[6]2035'!F33,2)</f>
        <v>31332.83</v>
      </c>
      <c r="G225" s="79">
        <f>ROUND('[6]2035'!G33,2)</f>
        <v>30094.84</v>
      </c>
      <c r="H225" s="79">
        <f>ROUND('[6]2035'!H33,2)</f>
        <v>29206.92</v>
      </c>
      <c r="I225" s="79">
        <f>ROUND('[6]2035'!I33,2)</f>
        <v>28828.54</v>
      </c>
      <c r="J225" s="79">
        <f>ROUND('[6]2035'!J33,2)</f>
        <v>27959.15</v>
      </c>
      <c r="K225" s="79">
        <f>ROUND('[6]2035'!K33,2)</f>
        <v>27537.25</v>
      </c>
      <c r="L225" s="79">
        <f>ROUND('[6]2035'!L33,2)</f>
        <v>29180.58</v>
      </c>
      <c r="M225" s="79">
        <f>ROUND('[6]2035'!M33,2)</f>
        <v>31415.41</v>
      </c>
      <c r="N225" s="79">
        <f>ROUND('[6]2035'!N33,2)</f>
        <v>33182.42</v>
      </c>
      <c r="O225" s="79">
        <f>ROUND('[6]2035'!O33,2)</f>
        <v>34392.949999999997</v>
      </c>
      <c r="P225" s="79">
        <f>ROUND('[6]2035'!P33,2)</f>
        <v>35294.9</v>
      </c>
      <c r="Q225" s="79">
        <f>ROUND('[6]2035'!Q33,2)</f>
        <v>35809.019999999997</v>
      </c>
      <c r="R225" s="79">
        <f>ROUND('[6]2035'!R33,2)</f>
        <v>35918.050000000003</v>
      </c>
      <c r="S225" s="79">
        <f>ROUND('[6]2035'!S33,2)</f>
        <v>36067.83</v>
      </c>
      <c r="T225" s="79">
        <f>ROUND('[6]2035'!T33,2)</f>
        <v>36465.49</v>
      </c>
      <c r="U225" s="79">
        <f>ROUND('[6]2035'!U33,2)</f>
        <v>36361.33</v>
      </c>
      <c r="V225" s="79">
        <f>ROUND('[6]2035'!V33,2)</f>
        <v>36942.81</v>
      </c>
      <c r="W225" s="79">
        <f>ROUND('[6]2035'!W33,2)</f>
        <v>41230.620000000003</v>
      </c>
      <c r="X225" s="79">
        <f>ROUND('[6]2035'!X33,2)</f>
        <v>42363.35</v>
      </c>
      <c r="Y225" s="79">
        <f>ROUND('[6]2035'!Y33,2)</f>
        <v>42132.95</v>
      </c>
      <c r="Z225" s="79">
        <f>ROUND('[6]2035'!Z33,2)</f>
        <v>40780.51</v>
      </c>
      <c r="AA225" s="79">
        <f>ROUND('[6]2035'!AA33,2)</f>
        <v>38050.86</v>
      </c>
      <c r="AB225" s="79">
        <f>ROUND('[6]2035'!AB33,2)</f>
        <v>34599.46</v>
      </c>
      <c r="AC225" s="210"/>
      <c r="AD225" s="18"/>
    </row>
    <row r="226" spans="2:30" ht="18.649999999999999" customHeight="1" thickBot="1" x14ac:dyDescent="0.4">
      <c r="B226" s="208"/>
      <c r="C226" s="15" t="s">
        <v>32</v>
      </c>
      <c r="D226" s="16">
        <f>+'[6]2035'!D34</f>
        <v>3</v>
      </c>
      <c r="E226" s="80">
        <f>ROUND('[6]2035'!E34,2)</f>
        <v>32886.75</v>
      </c>
      <c r="F226" s="80">
        <f>ROUND('[6]2035'!F34,2)</f>
        <v>31332.83</v>
      </c>
      <c r="G226" s="80">
        <f>ROUND('[6]2035'!G34,2)</f>
        <v>30094.84</v>
      </c>
      <c r="H226" s="80">
        <f>ROUND('[6]2035'!H34,2)</f>
        <v>29206.92</v>
      </c>
      <c r="I226" s="80">
        <f>ROUND('[6]2035'!I34,2)</f>
        <v>28828.54</v>
      </c>
      <c r="J226" s="80">
        <f>ROUND('[6]2035'!J34,2)</f>
        <v>27959.15</v>
      </c>
      <c r="K226" s="80">
        <f>ROUND('[6]2035'!K34,2)</f>
        <v>27537.25</v>
      </c>
      <c r="L226" s="80">
        <f>ROUND('[6]2035'!L34,2)</f>
        <v>29180.58</v>
      </c>
      <c r="M226" s="80">
        <f>ROUND('[6]2035'!M34,2)</f>
        <v>31415.41</v>
      </c>
      <c r="N226" s="80">
        <f>ROUND('[6]2035'!N34,2)</f>
        <v>33182.42</v>
      </c>
      <c r="O226" s="80">
        <f>ROUND('[6]2035'!O34,2)</f>
        <v>34392.949999999997</v>
      </c>
      <c r="P226" s="80">
        <f>ROUND('[6]2035'!P34,2)</f>
        <v>35294.9</v>
      </c>
      <c r="Q226" s="80">
        <f>ROUND('[6]2035'!Q34,2)</f>
        <v>35809.019999999997</v>
      </c>
      <c r="R226" s="80">
        <f>ROUND('[6]2035'!R34,2)</f>
        <v>35918.050000000003</v>
      </c>
      <c r="S226" s="80">
        <f>ROUND('[6]2035'!S34,2)</f>
        <v>36067.83</v>
      </c>
      <c r="T226" s="80">
        <f>ROUND('[6]2035'!T34,2)</f>
        <v>36465.49</v>
      </c>
      <c r="U226" s="80">
        <f>ROUND('[6]2035'!U34,2)</f>
        <v>36361.33</v>
      </c>
      <c r="V226" s="80">
        <f>ROUND('[6]2035'!V34,2)</f>
        <v>36942.81</v>
      </c>
      <c r="W226" s="80">
        <f>ROUND('[6]2035'!W34,2)</f>
        <v>41230.620000000003</v>
      </c>
      <c r="X226" s="80">
        <f>ROUND('[6]2035'!X34,2)</f>
        <v>42363.35</v>
      </c>
      <c r="Y226" s="80">
        <f>ROUND('[6]2035'!Y34,2)</f>
        <v>42132.95</v>
      </c>
      <c r="Z226" s="80">
        <f>ROUND('[6]2035'!Z34,2)</f>
        <v>40780.51</v>
      </c>
      <c r="AA226" s="80">
        <f>ROUND('[6]2035'!AA34,2)</f>
        <v>38050.86</v>
      </c>
      <c r="AB226" s="80">
        <f>ROUND('[6]2035'!AB34,2)</f>
        <v>34599.46</v>
      </c>
      <c r="AC226" s="210"/>
      <c r="AD226" s="18"/>
    </row>
    <row r="227" spans="2:30" ht="18.649999999999999" customHeight="1" x14ac:dyDescent="0.35">
      <c r="B227" s="211">
        <v>49461</v>
      </c>
      <c r="C227" s="6" t="s">
        <v>29</v>
      </c>
      <c r="D227" s="7">
        <f>+'[6]2035'!D35</f>
        <v>20</v>
      </c>
      <c r="E227" s="78">
        <f>ROUND('[6]2035'!E35,2)</f>
        <v>31855.74</v>
      </c>
      <c r="F227" s="78">
        <f>ROUND('[6]2035'!F35,2)</f>
        <v>30255.97</v>
      </c>
      <c r="G227" s="78">
        <f>ROUND('[6]2035'!G35,2)</f>
        <v>29144.27</v>
      </c>
      <c r="H227" s="78">
        <f>ROUND('[6]2035'!H35,2)</f>
        <v>28274.43</v>
      </c>
      <c r="I227" s="78">
        <f>ROUND('[6]2035'!I35,2)</f>
        <v>28361.52</v>
      </c>
      <c r="J227" s="78">
        <f>ROUND('[6]2035'!J35,2)</f>
        <v>28752.02</v>
      </c>
      <c r="K227" s="78">
        <f>ROUND('[6]2035'!K35,2)</f>
        <v>29372.84</v>
      </c>
      <c r="L227" s="78">
        <f>ROUND('[6]2035'!L35,2)</f>
        <v>33071.65</v>
      </c>
      <c r="M227" s="78">
        <f>ROUND('[6]2035'!M35,2)</f>
        <v>36672.29</v>
      </c>
      <c r="N227" s="78">
        <f>ROUND('[6]2035'!N35,2)</f>
        <v>38454.71</v>
      </c>
      <c r="O227" s="78">
        <f>ROUND('[6]2035'!O35,2)</f>
        <v>40516.730000000003</v>
      </c>
      <c r="P227" s="78">
        <f>ROUND('[6]2035'!P35,2)</f>
        <v>41872.080000000002</v>
      </c>
      <c r="Q227" s="78">
        <f>ROUND('[6]2035'!Q35,2)</f>
        <v>40383.4</v>
      </c>
      <c r="R227" s="78">
        <f>ROUND('[6]2035'!R35,2)</f>
        <v>41269.18</v>
      </c>
      <c r="S227" s="78">
        <f>ROUND('[6]2035'!S35,2)</f>
        <v>43298.36</v>
      </c>
      <c r="T227" s="78">
        <f>ROUND('[6]2035'!T35,2)</f>
        <v>43539.02</v>
      </c>
      <c r="U227" s="78">
        <f>ROUND('[6]2035'!U35,2)</f>
        <v>43106.13</v>
      </c>
      <c r="V227" s="78">
        <f>ROUND('[6]2035'!V35,2)</f>
        <v>41759.54</v>
      </c>
      <c r="W227" s="78">
        <f>ROUND('[6]2035'!W35,2)</f>
        <v>44196.93</v>
      </c>
      <c r="X227" s="78">
        <f>ROUND('[6]2035'!X35,2)</f>
        <v>44756.93</v>
      </c>
      <c r="Y227" s="78">
        <f>ROUND('[6]2035'!Y35,2)</f>
        <v>43294.61</v>
      </c>
      <c r="Z227" s="78">
        <f>ROUND('[6]2035'!Z35,2)</f>
        <v>41075.47</v>
      </c>
      <c r="AA227" s="78">
        <f>ROUND('[6]2035'!AA35,2)</f>
        <v>37773.42</v>
      </c>
      <c r="AB227" s="78">
        <f>ROUND('[6]2035'!AB35,2)</f>
        <v>34443.519999999997</v>
      </c>
      <c r="AC227" s="209">
        <f>SUM(E227:AB227)*D227+SUM(E228:AB228)*D228+SUM(E229:AB229)*D229+SUM(E230:AB230)*D230</f>
        <v>26187936.800000001</v>
      </c>
      <c r="AD227" s="18"/>
    </row>
    <row r="228" spans="2:30" ht="18.649999999999999" customHeight="1" x14ac:dyDescent="0.35">
      <c r="B228" s="212" t="s">
        <v>34</v>
      </c>
      <c r="C228" s="9" t="s">
        <v>30</v>
      </c>
      <c r="D228" s="10">
        <f>+'[6]2035'!D36</f>
        <v>5</v>
      </c>
      <c r="E228" s="79">
        <f>ROUND('[6]2035'!E36,2)</f>
        <v>31934.06</v>
      </c>
      <c r="F228" s="79">
        <f>ROUND('[6]2035'!F36,2)</f>
        <v>30365.41</v>
      </c>
      <c r="G228" s="79">
        <f>ROUND('[6]2035'!G36,2)</f>
        <v>29199.72</v>
      </c>
      <c r="H228" s="79">
        <f>ROUND('[6]2035'!H36,2)</f>
        <v>28399.67</v>
      </c>
      <c r="I228" s="79">
        <f>ROUND('[6]2035'!I36,2)</f>
        <v>28259.35</v>
      </c>
      <c r="J228" s="79">
        <f>ROUND('[6]2035'!J36,2)</f>
        <v>27901.89</v>
      </c>
      <c r="K228" s="79">
        <f>ROUND('[6]2035'!K36,2)</f>
        <v>28175.46</v>
      </c>
      <c r="L228" s="79">
        <f>ROUND('[6]2035'!L36,2)</f>
        <v>31425.97</v>
      </c>
      <c r="M228" s="79">
        <f>ROUND('[6]2035'!M36,2)</f>
        <v>34993.040000000001</v>
      </c>
      <c r="N228" s="79">
        <f>ROUND('[6]2035'!N36,2)</f>
        <v>37030.03</v>
      </c>
      <c r="O228" s="79">
        <f>ROUND('[6]2035'!O36,2)</f>
        <v>38775.54</v>
      </c>
      <c r="P228" s="79">
        <f>ROUND('[6]2035'!P36,2)</f>
        <v>39832.71</v>
      </c>
      <c r="Q228" s="79">
        <f>ROUND('[6]2035'!Q36,2)</f>
        <v>39105.15</v>
      </c>
      <c r="R228" s="79">
        <f>ROUND('[6]2035'!R36,2)</f>
        <v>38318.949999999997</v>
      </c>
      <c r="S228" s="79">
        <f>ROUND('[6]2035'!S36,2)</f>
        <v>38438.17</v>
      </c>
      <c r="T228" s="79">
        <f>ROUND('[6]2035'!T36,2)</f>
        <v>38462.78</v>
      </c>
      <c r="U228" s="79">
        <f>ROUND('[6]2035'!U36,2)</f>
        <v>38015.699999999997</v>
      </c>
      <c r="V228" s="79">
        <f>ROUND('[6]2035'!V36,2)</f>
        <v>38169.019999999997</v>
      </c>
      <c r="W228" s="79">
        <f>ROUND('[6]2035'!W36,2)</f>
        <v>41467.64</v>
      </c>
      <c r="X228" s="79">
        <f>ROUND('[6]2035'!X36,2)</f>
        <v>42337.53</v>
      </c>
      <c r="Y228" s="79">
        <f>ROUND('[6]2035'!Y36,2)</f>
        <v>41121.919999999998</v>
      </c>
      <c r="Z228" s="79">
        <f>ROUND('[6]2035'!Z36,2)</f>
        <v>39070.14</v>
      </c>
      <c r="AA228" s="79">
        <f>ROUND('[6]2035'!AA36,2)</f>
        <v>36686.25</v>
      </c>
      <c r="AB228" s="79">
        <f>ROUND('[6]2035'!AB36,2)</f>
        <v>34222.589999999997</v>
      </c>
      <c r="AC228" s="210"/>
      <c r="AD228" s="18"/>
    </row>
    <row r="229" spans="2:30" ht="18.649999999999999" customHeight="1" x14ac:dyDescent="0.35">
      <c r="B229" s="212" t="s">
        <v>34</v>
      </c>
      <c r="C229" s="9" t="s">
        <v>31</v>
      </c>
      <c r="D229" s="10">
        <f>+'[6]2035'!D37</f>
        <v>4</v>
      </c>
      <c r="E229" s="79">
        <f>ROUND('[6]2035'!E37,2)</f>
        <v>32416.47</v>
      </c>
      <c r="F229" s="79">
        <f>ROUND('[6]2035'!F37,2)</f>
        <v>30774.6</v>
      </c>
      <c r="G229" s="79">
        <f>ROUND('[6]2035'!G37,2)</f>
        <v>29499.3</v>
      </c>
      <c r="H229" s="79">
        <f>ROUND('[6]2035'!H37,2)</f>
        <v>28661.07</v>
      </c>
      <c r="I229" s="79">
        <f>ROUND('[6]2035'!I37,2)</f>
        <v>28334.14</v>
      </c>
      <c r="J229" s="79">
        <f>ROUND('[6]2035'!J37,2)</f>
        <v>27443.99</v>
      </c>
      <c r="K229" s="79">
        <f>ROUND('[6]2035'!K37,2)</f>
        <v>26840.880000000001</v>
      </c>
      <c r="L229" s="79">
        <f>ROUND('[6]2035'!L37,2)</f>
        <v>28312.47</v>
      </c>
      <c r="M229" s="79">
        <f>ROUND('[6]2035'!M37,2)</f>
        <v>30252.55</v>
      </c>
      <c r="N229" s="79">
        <f>ROUND('[6]2035'!N37,2)</f>
        <v>31874.95</v>
      </c>
      <c r="O229" s="79">
        <f>ROUND('[6]2035'!O37,2)</f>
        <v>33023.120000000003</v>
      </c>
      <c r="P229" s="79">
        <f>ROUND('[6]2035'!P37,2)</f>
        <v>33936.080000000002</v>
      </c>
      <c r="Q229" s="79">
        <f>ROUND('[6]2035'!Q37,2)</f>
        <v>34650.03</v>
      </c>
      <c r="R229" s="79">
        <f>ROUND('[6]2035'!R37,2)</f>
        <v>34585.660000000003</v>
      </c>
      <c r="S229" s="79">
        <f>ROUND('[6]2035'!S37,2)</f>
        <v>34704.949999999997</v>
      </c>
      <c r="T229" s="79">
        <f>ROUND('[6]2035'!T37,2)</f>
        <v>34986.81</v>
      </c>
      <c r="U229" s="79">
        <f>ROUND('[6]2035'!U37,2)</f>
        <v>35042.92</v>
      </c>
      <c r="V229" s="79">
        <f>ROUND('[6]2035'!V37,2)</f>
        <v>35441.22</v>
      </c>
      <c r="W229" s="79">
        <f>ROUND('[6]2035'!W37,2)</f>
        <v>39515.620000000003</v>
      </c>
      <c r="X229" s="79">
        <f>ROUND('[6]2035'!X37,2)</f>
        <v>41422.67</v>
      </c>
      <c r="Y229" s="79">
        <f>ROUND('[6]2035'!Y37,2)</f>
        <v>40899.11</v>
      </c>
      <c r="Z229" s="79">
        <f>ROUND('[6]2035'!Z37,2)</f>
        <v>39589.61</v>
      </c>
      <c r="AA229" s="79">
        <f>ROUND('[6]2035'!AA37,2)</f>
        <v>37192.870000000003</v>
      </c>
      <c r="AB229" s="79">
        <f>ROUND('[6]2035'!AB37,2)</f>
        <v>34474.54</v>
      </c>
      <c r="AC229" s="210"/>
      <c r="AD229" s="18"/>
    </row>
    <row r="230" spans="2:30" ht="18.649999999999999" customHeight="1" thickBot="1" x14ac:dyDescent="0.4">
      <c r="B230" s="213" t="s">
        <v>34</v>
      </c>
      <c r="C230" s="11" t="s">
        <v>32</v>
      </c>
      <c r="D230" s="12">
        <f>+'[6]2035'!D38</f>
        <v>1</v>
      </c>
      <c r="E230" s="76">
        <f>ROUND('[6]2035'!E38,2)</f>
        <v>32416.47</v>
      </c>
      <c r="F230" s="76">
        <f>ROUND('[6]2035'!F38,2)</f>
        <v>30774.6</v>
      </c>
      <c r="G230" s="76">
        <f>ROUND('[6]2035'!G38,2)</f>
        <v>29499.3</v>
      </c>
      <c r="H230" s="76">
        <f>ROUND('[6]2035'!H38,2)</f>
        <v>28661.07</v>
      </c>
      <c r="I230" s="76">
        <f>ROUND('[6]2035'!I38,2)</f>
        <v>28334.14</v>
      </c>
      <c r="J230" s="76">
        <f>ROUND('[6]2035'!J38,2)</f>
        <v>27443.99</v>
      </c>
      <c r="K230" s="76">
        <f>ROUND('[6]2035'!K38,2)</f>
        <v>26840.880000000001</v>
      </c>
      <c r="L230" s="76">
        <f>ROUND('[6]2035'!L38,2)</f>
        <v>28312.47</v>
      </c>
      <c r="M230" s="76">
        <f>ROUND('[6]2035'!M38,2)</f>
        <v>30252.55</v>
      </c>
      <c r="N230" s="76">
        <f>ROUND('[6]2035'!N38,2)</f>
        <v>31874.95</v>
      </c>
      <c r="O230" s="76">
        <f>ROUND('[6]2035'!O38,2)</f>
        <v>33023.120000000003</v>
      </c>
      <c r="P230" s="76">
        <f>ROUND('[6]2035'!P38,2)</f>
        <v>33936.080000000002</v>
      </c>
      <c r="Q230" s="76">
        <f>ROUND('[6]2035'!Q38,2)</f>
        <v>34650.03</v>
      </c>
      <c r="R230" s="76">
        <f>ROUND('[6]2035'!R38,2)</f>
        <v>34585.660000000003</v>
      </c>
      <c r="S230" s="76">
        <f>ROUND('[6]2035'!S38,2)</f>
        <v>34704.949999999997</v>
      </c>
      <c r="T230" s="76">
        <f>ROUND('[6]2035'!T38,2)</f>
        <v>34986.81</v>
      </c>
      <c r="U230" s="76">
        <f>ROUND('[6]2035'!U38,2)</f>
        <v>35042.92</v>
      </c>
      <c r="V230" s="76">
        <f>ROUND('[6]2035'!V38,2)</f>
        <v>35441.22</v>
      </c>
      <c r="W230" s="76">
        <f>ROUND('[6]2035'!W38,2)</f>
        <v>39515.620000000003</v>
      </c>
      <c r="X230" s="76">
        <f>ROUND('[6]2035'!X38,2)</f>
        <v>41422.67</v>
      </c>
      <c r="Y230" s="76">
        <f>ROUND('[6]2035'!Y38,2)</f>
        <v>40899.11</v>
      </c>
      <c r="Z230" s="76">
        <f>ROUND('[6]2035'!Z38,2)</f>
        <v>39589.61</v>
      </c>
      <c r="AA230" s="76">
        <f>ROUND('[6]2035'!AA38,2)</f>
        <v>37192.870000000003</v>
      </c>
      <c r="AB230" s="76">
        <f>ROUND('[6]2035'!AB38,2)</f>
        <v>34474.54</v>
      </c>
      <c r="AC230" s="214"/>
      <c r="AD230" s="18"/>
    </row>
    <row r="231" spans="2:30" ht="18.649999999999999" customHeight="1" x14ac:dyDescent="0.35">
      <c r="B231" s="207">
        <v>49491</v>
      </c>
      <c r="C231" s="13" t="s">
        <v>29</v>
      </c>
      <c r="D231" s="14">
        <f>+'[6]2035'!D39</f>
        <v>20</v>
      </c>
      <c r="E231" s="81">
        <f>ROUND('[6]2035'!E39,2)</f>
        <v>31986.62</v>
      </c>
      <c r="F231" s="81">
        <f>ROUND('[6]2035'!F39,2)</f>
        <v>30351.46</v>
      </c>
      <c r="G231" s="81">
        <f>ROUND('[6]2035'!G39,2)</f>
        <v>29131.05</v>
      </c>
      <c r="H231" s="81">
        <f>ROUND('[6]2035'!H39,2)</f>
        <v>28316.1</v>
      </c>
      <c r="I231" s="81">
        <f>ROUND('[6]2035'!I39,2)</f>
        <v>28286.05</v>
      </c>
      <c r="J231" s="81">
        <f>ROUND('[6]2035'!J39,2)</f>
        <v>29013.49</v>
      </c>
      <c r="K231" s="81">
        <f>ROUND('[6]2035'!K39,2)</f>
        <v>29390.57</v>
      </c>
      <c r="L231" s="81">
        <f>ROUND('[6]2035'!L39,2)</f>
        <v>33010.699999999997</v>
      </c>
      <c r="M231" s="81">
        <f>ROUND('[6]2035'!M39,2)</f>
        <v>36560.120000000003</v>
      </c>
      <c r="N231" s="81">
        <f>ROUND('[6]2035'!N39,2)</f>
        <v>38385.75</v>
      </c>
      <c r="O231" s="81">
        <f>ROUND('[6]2035'!O39,2)</f>
        <v>40507.51</v>
      </c>
      <c r="P231" s="81">
        <f>ROUND('[6]2035'!P39,2)</f>
        <v>42098.84</v>
      </c>
      <c r="Q231" s="81">
        <f>ROUND('[6]2035'!Q39,2)</f>
        <v>40598.07</v>
      </c>
      <c r="R231" s="81">
        <f>ROUND('[6]2035'!R39,2)</f>
        <v>41964.01</v>
      </c>
      <c r="S231" s="81">
        <f>ROUND('[6]2035'!S39,2)</f>
        <v>44353.34</v>
      </c>
      <c r="T231" s="81">
        <f>ROUND('[6]2035'!T39,2)</f>
        <v>44616.02</v>
      </c>
      <c r="U231" s="81">
        <f>ROUND('[6]2035'!U39,2)</f>
        <v>44010.52</v>
      </c>
      <c r="V231" s="81">
        <f>ROUND('[6]2035'!V39,2)</f>
        <v>42140.35</v>
      </c>
      <c r="W231" s="81">
        <f>ROUND('[6]2035'!W39,2)</f>
        <v>44009.18</v>
      </c>
      <c r="X231" s="81">
        <f>ROUND('[6]2035'!X39,2)</f>
        <v>45034.99</v>
      </c>
      <c r="Y231" s="81">
        <f>ROUND('[6]2035'!Y39,2)</f>
        <v>43814.84</v>
      </c>
      <c r="Z231" s="81">
        <f>ROUND('[6]2035'!Z39,2)</f>
        <v>41636.550000000003</v>
      </c>
      <c r="AA231" s="81">
        <f>ROUND('[6]2035'!AA39,2)</f>
        <v>38231.449999999997</v>
      </c>
      <c r="AB231" s="81">
        <f>ROUND('[6]2035'!AB39,2)</f>
        <v>34936.46</v>
      </c>
      <c r="AC231" s="210">
        <f>SUM(E231:AB231)*D231+SUM(E232:AB232)*D232+SUM(E233:AB233)*D233+SUM(E234:AB234)*D234</f>
        <v>26917713.830000002</v>
      </c>
      <c r="AD231" s="18"/>
    </row>
    <row r="232" spans="2:30" ht="18.649999999999999" customHeight="1" x14ac:dyDescent="0.35">
      <c r="B232" s="208"/>
      <c r="C232" s="9" t="s">
        <v>30</v>
      </c>
      <c r="D232" s="10">
        <f>+'[6]2035'!D40</f>
        <v>4</v>
      </c>
      <c r="E232" s="79">
        <f>ROUND('[6]2035'!E40,2)</f>
        <v>32583.040000000001</v>
      </c>
      <c r="F232" s="79">
        <f>ROUND('[6]2035'!F40,2)</f>
        <v>30741.29</v>
      </c>
      <c r="G232" s="79">
        <f>ROUND('[6]2035'!G40,2)</f>
        <v>29416.15</v>
      </c>
      <c r="H232" s="79">
        <f>ROUND('[6]2035'!H40,2)</f>
        <v>28613.119999999999</v>
      </c>
      <c r="I232" s="79">
        <f>ROUND('[6]2035'!I40,2)</f>
        <v>28232.95</v>
      </c>
      <c r="J232" s="79">
        <f>ROUND('[6]2035'!J40,2)</f>
        <v>27946.45</v>
      </c>
      <c r="K232" s="79">
        <f>ROUND('[6]2035'!K40,2)</f>
        <v>28071.96</v>
      </c>
      <c r="L232" s="79">
        <f>ROUND('[6]2035'!L40,2)</f>
        <v>31146.240000000002</v>
      </c>
      <c r="M232" s="79">
        <f>ROUND('[6]2035'!M40,2)</f>
        <v>34755.68</v>
      </c>
      <c r="N232" s="79">
        <f>ROUND('[6]2035'!N40,2)</f>
        <v>36840.230000000003</v>
      </c>
      <c r="O232" s="79">
        <f>ROUND('[6]2035'!O40,2)</f>
        <v>38801.17</v>
      </c>
      <c r="P232" s="79">
        <f>ROUND('[6]2035'!P40,2)</f>
        <v>39781.25</v>
      </c>
      <c r="Q232" s="79">
        <f>ROUND('[6]2035'!Q40,2)</f>
        <v>39145.51</v>
      </c>
      <c r="R232" s="79">
        <f>ROUND('[6]2035'!R40,2)</f>
        <v>38579.589999999997</v>
      </c>
      <c r="S232" s="79">
        <f>ROUND('[6]2035'!S40,2)</f>
        <v>38576.81</v>
      </c>
      <c r="T232" s="79">
        <f>ROUND('[6]2035'!T40,2)</f>
        <v>38348.910000000003</v>
      </c>
      <c r="U232" s="79">
        <f>ROUND('[6]2035'!U40,2)</f>
        <v>37981.83</v>
      </c>
      <c r="V232" s="79">
        <f>ROUND('[6]2035'!V40,2)</f>
        <v>38108.400000000001</v>
      </c>
      <c r="W232" s="79">
        <f>ROUND('[6]2035'!W40,2)</f>
        <v>40498.36</v>
      </c>
      <c r="X232" s="79">
        <f>ROUND('[6]2035'!X40,2)</f>
        <v>41410.53</v>
      </c>
      <c r="Y232" s="79">
        <f>ROUND('[6]2035'!Y40,2)</f>
        <v>40053.660000000003</v>
      </c>
      <c r="Z232" s="79">
        <f>ROUND('[6]2035'!Z40,2)</f>
        <v>38376.43</v>
      </c>
      <c r="AA232" s="79">
        <f>ROUND('[6]2035'!AA40,2)</f>
        <v>36248.67</v>
      </c>
      <c r="AB232" s="79">
        <f>ROUND('[6]2035'!AB40,2)</f>
        <v>33811.17</v>
      </c>
      <c r="AC232" s="210"/>
      <c r="AD232" s="18"/>
    </row>
    <row r="233" spans="2:30" ht="18.649999999999999" customHeight="1" x14ac:dyDescent="0.35">
      <c r="B233" s="208"/>
      <c r="C233" s="9" t="s">
        <v>31</v>
      </c>
      <c r="D233" s="10">
        <f>+'[6]2035'!D41</f>
        <v>5</v>
      </c>
      <c r="E233" s="79">
        <f>ROUND('[6]2035'!E41,2)</f>
        <v>30641.66</v>
      </c>
      <c r="F233" s="79">
        <f>ROUND('[6]2035'!F41,2)</f>
        <v>29208.959999999999</v>
      </c>
      <c r="G233" s="79">
        <f>ROUND('[6]2035'!G41,2)</f>
        <v>27959.56</v>
      </c>
      <c r="H233" s="79">
        <f>ROUND('[6]2035'!H41,2)</f>
        <v>27196.53</v>
      </c>
      <c r="I233" s="79">
        <f>ROUND('[6]2035'!I41,2)</f>
        <v>26888</v>
      </c>
      <c r="J233" s="79">
        <f>ROUND('[6]2035'!J41,2)</f>
        <v>26230.48</v>
      </c>
      <c r="K233" s="79">
        <f>ROUND('[6]2035'!K41,2)</f>
        <v>25651.5</v>
      </c>
      <c r="L233" s="79">
        <f>ROUND('[6]2035'!L41,2)</f>
        <v>27237.07</v>
      </c>
      <c r="M233" s="79">
        <f>ROUND('[6]2035'!M41,2)</f>
        <v>29186.53</v>
      </c>
      <c r="N233" s="79">
        <f>ROUND('[6]2035'!N41,2)</f>
        <v>30757.21</v>
      </c>
      <c r="O233" s="79">
        <f>ROUND('[6]2035'!O41,2)</f>
        <v>32096.880000000001</v>
      </c>
      <c r="P233" s="79">
        <f>ROUND('[6]2035'!P41,2)</f>
        <v>33238.65</v>
      </c>
      <c r="Q233" s="79">
        <f>ROUND('[6]2035'!Q41,2)</f>
        <v>34064.199999999997</v>
      </c>
      <c r="R233" s="79">
        <f>ROUND('[6]2035'!R41,2)</f>
        <v>34273.68</v>
      </c>
      <c r="S233" s="79">
        <f>ROUND('[6]2035'!S41,2)</f>
        <v>34468.31</v>
      </c>
      <c r="T233" s="79">
        <f>ROUND('[6]2035'!T41,2)</f>
        <v>34924.06</v>
      </c>
      <c r="U233" s="79">
        <f>ROUND('[6]2035'!U41,2)</f>
        <v>34862.480000000003</v>
      </c>
      <c r="V233" s="79">
        <f>ROUND('[6]2035'!V41,2)</f>
        <v>35027.58</v>
      </c>
      <c r="W233" s="79">
        <f>ROUND('[6]2035'!W41,2)</f>
        <v>39000.239999999998</v>
      </c>
      <c r="X233" s="79">
        <f>ROUND('[6]2035'!X41,2)</f>
        <v>41228.78</v>
      </c>
      <c r="Y233" s="79">
        <f>ROUND('[6]2035'!Y41,2)</f>
        <v>40605.39</v>
      </c>
      <c r="Z233" s="79">
        <f>ROUND('[6]2035'!Z41,2)</f>
        <v>38936.9</v>
      </c>
      <c r="AA233" s="79">
        <f>ROUND('[6]2035'!AA41,2)</f>
        <v>35939.83</v>
      </c>
      <c r="AB233" s="79">
        <f>ROUND('[6]2035'!AB41,2)</f>
        <v>32912.01</v>
      </c>
      <c r="AC233" s="210"/>
      <c r="AD233" s="18"/>
    </row>
    <row r="234" spans="2:30" ht="18.649999999999999" customHeight="1" thickBot="1" x14ac:dyDescent="0.4">
      <c r="B234" s="208"/>
      <c r="C234" s="15" t="s">
        <v>32</v>
      </c>
      <c r="D234" s="16">
        <f>+'[6]2035'!D42</f>
        <v>2</v>
      </c>
      <c r="E234" s="79">
        <f>ROUND('[6]2035'!E42,2)</f>
        <v>30641.66</v>
      </c>
      <c r="F234" s="79">
        <f>ROUND('[6]2035'!F42,2)</f>
        <v>29208.959999999999</v>
      </c>
      <c r="G234" s="79">
        <f>ROUND('[6]2035'!G42,2)</f>
        <v>27959.56</v>
      </c>
      <c r="H234" s="79">
        <f>ROUND('[6]2035'!H42,2)</f>
        <v>27196.53</v>
      </c>
      <c r="I234" s="79">
        <f>ROUND('[6]2035'!I42,2)</f>
        <v>26888</v>
      </c>
      <c r="J234" s="79">
        <f>ROUND('[6]2035'!J42,2)</f>
        <v>26230.48</v>
      </c>
      <c r="K234" s="79">
        <f>ROUND('[6]2035'!K42,2)</f>
        <v>25651.5</v>
      </c>
      <c r="L234" s="79">
        <f>ROUND('[6]2035'!L42,2)</f>
        <v>27237.07</v>
      </c>
      <c r="M234" s="79">
        <f>ROUND('[6]2035'!M42,2)</f>
        <v>29186.53</v>
      </c>
      <c r="N234" s="79">
        <f>ROUND('[6]2035'!N42,2)</f>
        <v>30757.21</v>
      </c>
      <c r="O234" s="79">
        <f>ROUND('[6]2035'!O42,2)</f>
        <v>32096.880000000001</v>
      </c>
      <c r="P234" s="79">
        <f>ROUND('[6]2035'!P42,2)</f>
        <v>33238.65</v>
      </c>
      <c r="Q234" s="79">
        <f>ROUND('[6]2035'!Q42,2)</f>
        <v>34064.199999999997</v>
      </c>
      <c r="R234" s="79">
        <f>ROUND('[6]2035'!R42,2)</f>
        <v>34273.68</v>
      </c>
      <c r="S234" s="79">
        <f>ROUND('[6]2035'!S42,2)</f>
        <v>34468.31</v>
      </c>
      <c r="T234" s="79">
        <f>ROUND('[6]2035'!T42,2)</f>
        <v>34924.06</v>
      </c>
      <c r="U234" s="79">
        <f>ROUND('[6]2035'!U42,2)</f>
        <v>34862.480000000003</v>
      </c>
      <c r="V234" s="79">
        <f>ROUND('[6]2035'!V42,2)</f>
        <v>35027.58</v>
      </c>
      <c r="W234" s="79">
        <f>ROUND('[6]2035'!W42,2)</f>
        <v>39000.239999999998</v>
      </c>
      <c r="X234" s="79">
        <f>ROUND('[6]2035'!X42,2)</f>
        <v>41228.78</v>
      </c>
      <c r="Y234" s="79">
        <f>ROUND('[6]2035'!Y42,2)</f>
        <v>40605.39</v>
      </c>
      <c r="Z234" s="79">
        <f>ROUND('[6]2035'!Z42,2)</f>
        <v>38936.9</v>
      </c>
      <c r="AA234" s="79">
        <f>ROUND('[6]2035'!AA42,2)</f>
        <v>35939.83</v>
      </c>
      <c r="AB234" s="79">
        <f>ROUND('[6]2035'!AB42,2)</f>
        <v>32912.01</v>
      </c>
      <c r="AC234" s="210"/>
      <c r="AD234" s="18"/>
    </row>
    <row r="235" spans="2:30" ht="18.649999999999999" customHeight="1" x14ac:dyDescent="0.35">
      <c r="B235" s="211">
        <v>49522</v>
      </c>
      <c r="C235" s="6" t="s">
        <v>29</v>
      </c>
      <c r="D235" s="7">
        <f>+'[6]2035'!D43</f>
        <v>21</v>
      </c>
      <c r="E235" s="78">
        <f>ROUND('[6]2035'!E43,2)</f>
        <v>31876.06</v>
      </c>
      <c r="F235" s="78">
        <f>ROUND('[6]2035'!F43,2)</f>
        <v>30132.34</v>
      </c>
      <c r="G235" s="78">
        <f>ROUND('[6]2035'!G43,2)</f>
        <v>28897.66</v>
      </c>
      <c r="H235" s="78">
        <f>ROUND('[6]2035'!H43,2)</f>
        <v>28055.47</v>
      </c>
      <c r="I235" s="78">
        <f>ROUND('[6]2035'!I43,2)</f>
        <v>28026.62</v>
      </c>
      <c r="J235" s="78">
        <f>ROUND('[6]2035'!J43,2)</f>
        <v>28963.200000000001</v>
      </c>
      <c r="K235" s="78">
        <f>ROUND('[6]2035'!K43,2)</f>
        <v>29303.919999999998</v>
      </c>
      <c r="L235" s="78">
        <f>ROUND('[6]2035'!L43,2)</f>
        <v>32597.85</v>
      </c>
      <c r="M235" s="78">
        <f>ROUND('[6]2035'!M43,2)</f>
        <v>36148.44</v>
      </c>
      <c r="N235" s="78">
        <f>ROUND('[6]2035'!N43,2)</f>
        <v>37927.14</v>
      </c>
      <c r="O235" s="78">
        <f>ROUND('[6]2035'!O43,2)</f>
        <v>40138.67</v>
      </c>
      <c r="P235" s="78">
        <f>ROUND('[6]2035'!P43,2)</f>
        <v>41970.19</v>
      </c>
      <c r="Q235" s="78">
        <f>ROUND('[6]2035'!Q43,2)</f>
        <v>40282.980000000003</v>
      </c>
      <c r="R235" s="78">
        <f>ROUND('[6]2035'!R43,2)</f>
        <v>41600.31</v>
      </c>
      <c r="S235" s="78">
        <f>ROUND('[6]2035'!S43,2)</f>
        <v>44101.599999999999</v>
      </c>
      <c r="T235" s="78">
        <f>ROUND('[6]2035'!T43,2)</f>
        <v>44384.85</v>
      </c>
      <c r="U235" s="78">
        <f>ROUND('[6]2035'!U43,2)</f>
        <v>43623.69</v>
      </c>
      <c r="V235" s="78">
        <f>ROUND('[6]2035'!V43,2)</f>
        <v>42025.78</v>
      </c>
      <c r="W235" s="78">
        <f>ROUND('[6]2035'!W43,2)</f>
        <v>44541.46</v>
      </c>
      <c r="X235" s="78">
        <f>ROUND('[6]2035'!X43,2)</f>
        <v>45236.09</v>
      </c>
      <c r="Y235" s="78">
        <f>ROUND('[6]2035'!Y43,2)</f>
        <v>43964.89</v>
      </c>
      <c r="Z235" s="78">
        <f>ROUND('[6]2035'!Z43,2)</f>
        <v>41716.5</v>
      </c>
      <c r="AA235" s="78">
        <f>ROUND('[6]2035'!AA43,2)</f>
        <v>38253.22</v>
      </c>
      <c r="AB235" s="78">
        <f>ROUND('[6]2035'!AB43,2)</f>
        <v>34981.82</v>
      </c>
      <c r="AC235" s="209">
        <f>SUM(E235:AB235)*D235+SUM(E236:AB236)*D236+SUM(E237:AB237)*D237+SUM(E238:AB238)*D238</f>
        <v>26991427.729999997</v>
      </c>
      <c r="AD235" s="18"/>
    </row>
    <row r="236" spans="2:30" ht="18.649999999999999" customHeight="1" x14ac:dyDescent="0.35">
      <c r="B236" s="212" t="s">
        <v>34</v>
      </c>
      <c r="C236" s="9" t="s">
        <v>30</v>
      </c>
      <c r="D236" s="10">
        <f>+'[6]2035'!D44</f>
        <v>4</v>
      </c>
      <c r="E236" s="79">
        <f>ROUND('[6]2035'!E44,2)</f>
        <v>32312.47</v>
      </c>
      <c r="F236" s="79">
        <f>ROUND('[6]2035'!F44,2)</f>
        <v>30650.94</v>
      </c>
      <c r="G236" s="79">
        <f>ROUND('[6]2035'!G44,2)</f>
        <v>29418.98</v>
      </c>
      <c r="H236" s="79">
        <f>ROUND('[6]2035'!H44,2)</f>
        <v>28483.94</v>
      </c>
      <c r="I236" s="79">
        <f>ROUND('[6]2035'!I44,2)</f>
        <v>27923.279999999999</v>
      </c>
      <c r="J236" s="79">
        <f>ROUND('[6]2035'!J44,2)</f>
        <v>27682.53</v>
      </c>
      <c r="K236" s="79">
        <f>ROUND('[6]2035'!K44,2)</f>
        <v>27725.71</v>
      </c>
      <c r="L236" s="79">
        <f>ROUND('[6]2035'!L44,2)</f>
        <v>30691.94</v>
      </c>
      <c r="M236" s="79">
        <f>ROUND('[6]2035'!M44,2)</f>
        <v>33941.07</v>
      </c>
      <c r="N236" s="79">
        <f>ROUND('[6]2035'!N44,2)</f>
        <v>36007.78</v>
      </c>
      <c r="O236" s="79">
        <f>ROUND('[6]2035'!O44,2)</f>
        <v>37704.71</v>
      </c>
      <c r="P236" s="79">
        <f>ROUND('[6]2035'!P44,2)</f>
        <v>38279</v>
      </c>
      <c r="Q236" s="79">
        <f>ROUND('[6]2035'!Q44,2)</f>
        <v>37621.67</v>
      </c>
      <c r="R236" s="79">
        <f>ROUND('[6]2035'!R44,2)</f>
        <v>37106.269999999997</v>
      </c>
      <c r="S236" s="79">
        <f>ROUND('[6]2035'!S44,2)</f>
        <v>37515.71</v>
      </c>
      <c r="T236" s="79">
        <f>ROUND('[6]2035'!T44,2)</f>
        <v>37678.839999999997</v>
      </c>
      <c r="U236" s="79">
        <f>ROUND('[6]2035'!U44,2)</f>
        <v>37430.71</v>
      </c>
      <c r="V236" s="79">
        <f>ROUND('[6]2035'!V44,2)</f>
        <v>37719.85</v>
      </c>
      <c r="W236" s="79">
        <f>ROUND('[6]2035'!W44,2)</f>
        <v>41636.14</v>
      </c>
      <c r="X236" s="79">
        <f>ROUND('[6]2035'!X44,2)</f>
        <v>41967.06</v>
      </c>
      <c r="Y236" s="79">
        <f>ROUND('[6]2035'!Y44,2)</f>
        <v>40437.199999999997</v>
      </c>
      <c r="Z236" s="79">
        <f>ROUND('[6]2035'!Z44,2)</f>
        <v>38602.6</v>
      </c>
      <c r="AA236" s="79">
        <f>ROUND('[6]2035'!AA44,2)</f>
        <v>36234.199999999997</v>
      </c>
      <c r="AB236" s="79">
        <f>ROUND('[6]2035'!AB44,2)</f>
        <v>33650.050000000003</v>
      </c>
      <c r="AC236" s="210"/>
      <c r="AD236" s="18"/>
    </row>
    <row r="237" spans="2:30" ht="18.649999999999999" customHeight="1" x14ac:dyDescent="0.35">
      <c r="B237" s="212" t="s">
        <v>34</v>
      </c>
      <c r="C237" s="9" t="s">
        <v>31</v>
      </c>
      <c r="D237" s="10">
        <f>+'[6]2035'!D45</f>
        <v>4</v>
      </c>
      <c r="E237" s="79">
        <f>ROUND('[6]2035'!E45,2)</f>
        <v>31532.880000000001</v>
      </c>
      <c r="F237" s="79">
        <f>ROUND('[6]2035'!F45,2)</f>
        <v>29998.57</v>
      </c>
      <c r="G237" s="79">
        <f>ROUND('[6]2035'!G45,2)</f>
        <v>28668.78</v>
      </c>
      <c r="H237" s="79">
        <f>ROUND('[6]2035'!H45,2)</f>
        <v>27897.98</v>
      </c>
      <c r="I237" s="79">
        <f>ROUND('[6]2035'!I45,2)</f>
        <v>27496.13</v>
      </c>
      <c r="J237" s="79">
        <f>ROUND('[6]2035'!J45,2)</f>
        <v>27077.53</v>
      </c>
      <c r="K237" s="79">
        <f>ROUND('[6]2035'!K45,2)</f>
        <v>26349.66</v>
      </c>
      <c r="L237" s="79">
        <f>ROUND('[6]2035'!L45,2)</f>
        <v>27842.080000000002</v>
      </c>
      <c r="M237" s="79">
        <f>ROUND('[6]2035'!M45,2)</f>
        <v>29634.04</v>
      </c>
      <c r="N237" s="79">
        <f>ROUND('[6]2035'!N45,2)</f>
        <v>31157.18</v>
      </c>
      <c r="O237" s="79">
        <f>ROUND('[6]2035'!O45,2)</f>
        <v>32449.13</v>
      </c>
      <c r="P237" s="79">
        <f>ROUND('[6]2035'!P45,2)</f>
        <v>33526.06</v>
      </c>
      <c r="Q237" s="79">
        <f>ROUND('[6]2035'!Q45,2)</f>
        <v>34168.18</v>
      </c>
      <c r="R237" s="79">
        <f>ROUND('[6]2035'!R45,2)</f>
        <v>34302.69</v>
      </c>
      <c r="S237" s="79">
        <f>ROUND('[6]2035'!S45,2)</f>
        <v>34509.599999999999</v>
      </c>
      <c r="T237" s="79">
        <f>ROUND('[6]2035'!T45,2)</f>
        <v>34758.76</v>
      </c>
      <c r="U237" s="79">
        <f>ROUND('[6]2035'!U45,2)</f>
        <v>34754.480000000003</v>
      </c>
      <c r="V237" s="79">
        <f>ROUND('[6]2035'!V45,2)</f>
        <v>35337.15</v>
      </c>
      <c r="W237" s="79">
        <f>ROUND('[6]2035'!W45,2)</f>
        <v>39766.239999999998</v>
      </c>
      <c r="X237" s="79">
        <f>ROUND('[6]2035'!X45,2)</f>
        <v>41483.07</v>
      </c>
      <c r="Y237" s="79">
        <f>ROUND('[6]2035'!Y45,2)</f>
        <v>41143.279999999999</v>
      </c>
      <c r="Z237" s="79">
        <f>ROUND('[6]2035'!Z45,2)</f>
        <v>39673.11</v>
      </c>
      <c r="AA237" s="79">
        <f>ROUND('[6]2035'!AA45,2)</f>
        <v>36769.480000000003</v>
      </c>
      <c r="AB237" s="79">
        <f>ROUND('[6]2035'!AB45,2)</f>
        <v>33699.17</v>
      </c>
      <c r="AC237" s="210"/>
      <c r="AD237" s="18"/>
    </row>
    <row r="238" spans="2:30" ht="18.649999999999999" customHeight="1" thickBot="1" x14ac:dyDescent="0.4">
      <c r="B238" s="213" t="s">
        <v>34</v>
      </c>
      <c r="C238" s="11" t="s">
        <v>32</v>
      </c>
      <c r="D238" s="12">
        <f>+'[6]2035'!D46</f>
        <v>2</v>
      </c>
      <c r="E238" s="76">
        <f>ROUND('[6]2035'!E46,2)</f>
        <v>31532.880000000001</v>
      </c>
      <c r="F238" s="76">
        <f>ROUND('[6]2035'!F46,2)</f>
        <v>29998.57</v>
      </c>
      <c r="G238" s="76">
        <f>ROUND('[6]2035'!G46,2)</f>
        <v>28668.78</v>
      </c>
      <c r="H238" s="76">
        <f>ROUND('[6]2035'!H46,2)</f>
        <v>27897.98</v>
      </c>
      <c r="I238" s="76">
        <f>ROUND('[6]2035'!I46,2)</f>
        <v>27496.13</v>
      </c>
      <c r="J238" s="76">
        <f>ROUND('[6]2035'!J46,2)</f>
        <v>27077.53</v>
      </c>
      <c r="K238" s="76">
        <f>ROUND('[6]2035'!K46,2)</f>
        <v>26349.66</v>
      </c>
      <c r="L238" s="76">
        <f>ROUND('[6]2035'!L46,2)</f>
        <v>27842.080000000002</v>
      </c>
      <c r="M238" s="76">
        <f>ROUND('[6]2035'!M46,2)</f>
        <v>29634.04</v>
      </c>
      <c r="N238" s="76">
        <f>ROUND('[6]2035'!N46,2)</f>
        <v>31157.18</v>
      </c>
      <c r="O238" s="76">
        <f>ROUND('[6]2035'!O46,2)</f>
        <v>32449.13</v>
      </c>
      <c r="P238" s="76">
        <f>ROUND('[6]2035'!P46,2)</f>
        <v>33526.06</v>
      </c>
      <c r="Q238" s="76">
        <f>ROUND('[6]2035'!Q46,2)</f>
        <v>34168.18</v>
      </c>
      <c r="R238" s="76">
        <f>ROUND('[6]2035'!R46,2)</f>
        <v>34302.69</v>
      </c>
      <c r="S238" s="76">
        <f>ROUND('[6]2035'!S46,2)</f>
        <v>34509.599999999999</v>
      </c>
      <c r="T238" s="76">
        <f>ROUND('[6]2035'!T46,2)</f>
        <v>34758.76</v>
      </c>
      <c r="U238" s="76">
        <f>ROUND('[6]2035'!U46,2)</f>
        <v>34754.480000000003</v>
      </c>
      <c r="V238" s="76">
        <f>ROUND('[6]2035'!V46,2)</f>
        <v>35337.15</v>
      </c>
      <c r="W238" s="76">
        <f>ROUND('[6]2035'!W46,2)</f>
        <v>39766.239999999998</v>
      </c>
      <c r="X238" s="76">
        <f>ROUND('[6]2035'!X46,2)</f>
        <v>41483.07</v>
      </c>
      <c r="Y238" s="76">
        <f>ROUND('[6]2035'!Y46,2)</f>
        <v>41143.279999999999</v>
      </c>
      <c r="Z238" s="76">
        <f>ROUND('[6]2035'!Z46,2)</f>
        <v>39673.11</v>
      </c>
      <c r="AA238" s="76">
        <f>ROUND('[6]2035'!AA46,2)</f>
        <v>36769.480000000003</v>
      </c>
      <c r="AB238" s="76">
        <f>ROUND('[6]2035'!AB46,2)</f>
        <v>33699.17</v>
      </c>
      <c r="AC238" s="214"/>
      <c r="AD238" s="18"/>
    </row>
    <row r="239" spans="2:30" ht="18.649999999999999" customHeight="1" x14ac:dyDescent="0.35">
      <c r="B239" s="207">
        <v>49553</v>
      </c>
      <c r="C239" s="13" t="s">
        <v>29</v>
      </c>
      <c r="D239" s="14">
        <f>+'[6]2035'!D47</f>
        <v>20</v>
      </c>
      <c r="E239" s="81">
        <f>ROUND('[6]2035'!E47,2)</f>
        <v>31704.74</v>
      </c>
      <c r="F239" s="81">
        <f>ROUND('[6]2035'!F47,2)</f>
        <v>30041.72</v>
      </c>
      <c r="G239" s="81">
        <f>ROUND('[6]2035'!G47,2)</f>
        <v>28816.62</v>
      </c>
      <c r="H239" s="81">
        <f>ROUND('[6]2035'!H47,2)</f>
        <v>27919.33</v>
      </c>
      <c r="I239" s="81">
        <f>ROUND('[6]2035'!I47,2)</f>
        <v>27887.63</v>
      </c>
      <c r="J239" s="81">
        <f>ROUND('[6]2035'!J47,2)</f>
        <v>28790.15</v>
      </c>
      <c r="K239" s="81">
        <f>ROUND('[6]2035'!K47,2)</f>
        <v>29197.06</v>
      </c>
      <c r="L239" s="81">
        <f>ROUND('[6]2035'!L47,2)</f>
        <v>32539.45</v>
      </c>
      <c r="M239" s="81">
        <f>ROUND('[6]2035'!M47,2)</f>
        <v>36139.19</v>
      </c>
      <c r="N239" s="81">
        <f>ROUND('[6]2035'!N47,2)</f>
        <v>37936.550000000003</v>
      </c>
      <c r="O239" s="81">
        <f>ROUND('[6]2035'!O47,2)</f>
        <v>39868.589999999997</v>
      </c>
      <c r="P239" s="81">
        <f>ROUND('[6]2035'!P47,2)</f>
        <v>41519.65</v>
      </c>
      <c r="Q239" s="81">
        <f>ROUND('[6]2035'!Q47,2)</f>
        <v>40018.980000000003</v>
      </c>
      <c r="R239" s="81">
        <f>ROUND('[6]2035'!R47,2)</f>
        <v>41188.32</v>
      </c>
      <c r="S239" s="81">
        <f>ROUND('[6]2035'!S47,2)</f>
        <v>43524.5</v>
      </c>
      <c r="T239" s="81">
        <f>ROUND('[6]2035'!T47,2)</f>
        <v>43822.38</v>
      </c>
      <c r="U239" s="81">
        <f>ROUND('[6]2035'!U47,2)</f>
        <v>43145.3</v>
      </c>
      <c r="V239" s="81">
        <f>ROUND('[6]2035'!V47,2)</f>
        <v>42048.25</v>
      </c>
      <c r="W239" s="81">
        <f>ROUND('[6]2035'!W47,2)</f>
        <v>44861.16</v>
      </c>
      <c r="X239" s="81">
        <f>ROUND('[6]2035'!X47,2)</f>
        <v>44437.48</v>
      </c>
      <c r="Y239" s="81">
        <f>ROUND('[6]2035'!Y47,2)</f>
        <v>43018.66</v>
      </c>
      <c r="Z239" s="81">
        <f>ROUND('[6]2035'!Z47,2)</f>
        <v>40698.44</v>
      </c>
      <c r="AA239" s="81">
        <f>ROUND('[6]2035'!AA47,2)</f>
        <v>37217.230000000003</v>
      </c>
      <c r="AB239" s="81">
        <f>ROUND('[6]2035'!AB47,2)</f>
        <v>34014.730000000003</v>
      </c>
      <c r="AC239" s="210">
        <f>SUM(E239:AB239)*D239+SUM(E240:AB240)*D240+SUM(E241:AB241)*D241+SUM(E242:AB242)*D242</f>
        <v>25909703.100000001</v>
      </c>
      <c r="AD239" s="18"/>
    </row>
    <row r="240" spans="2:30" ht="18.649999999999999" customHeight="1" x14ac:dyDescent="0.35">
      <c r="B240" s="208"/>
      <c r="C240" s="9" t="s">
        <v>30</v>
      </c>
      <c r="D240" s="10">
        <f>+'[6]2035'!D48</f>
        <v>5</v>
      </c>
      <c r="E240" s="79">
        <f>ROUND('[6]2035'!E48,2)</f>
        <v>30879.73</v>
      </c>
      <c r="F240" s="79">
        <f>ROUND('[6]2035'!F48,2)</f>
        <v>29318.87</v>
      </c>
      <c r="G240" s="79">
        <f>ROUND('[6]2035'!G48,2)</f>
        <v>28146.34</v>
      </c>
      <c r="H240" s="79">
        <f>ROUND('[6]2035'!H48,2)</f>
        <v>27282.13</v>
      </c>
      <c r="I240" s="79">
        <f>ROUND('[6]2035'!I48,2)</f>
        <v>27052.36</v>
      </c>
      <c r="J240" s="79">
        <f>ROUND('[6]2035'!J48,2)</f>
        <v>26896.6</v>
      </c>
      <c r="K240" s="79">
        <f>ROUND('[6]2035'!K48,2)</f>
        <v>27204.98</v>
      </c>
      <c r="L240" s="79">
        <f>ROUND('[6]2035'!L48,2)</f>
        <v>30306.5</v>
      </c>
      <c r="M240" s="79">
        <f>ROUND('[6]2035'!M48,2)</f>
        <v>33775.51</v>
      </c>
      <c r="N240" s="79">
        <f>ROUND('[6]2035'!N48,2)</f>
        <v>35484.269999999997</v>
      </c>
      <c r="O240" s="79">
        <f>ROUND('[6]2035'!O48,2)</f>
        <v>37562.47</v>
      </c>
      <c r="P240" s="79">
        <f>ROUND('[6]2035'!P48,2)</f>
        <v>38487.61</v>
      </c>
      <c r="Q240" s="79">
        <f>ROUND('[6]2035'!Q48,2)</f>
        <v>38059.06</v>
      </c>
      <c r="R240" s="79">
        <f>ROUND('[6]2035'!R48,2)</f>
        <v>37593.54</v>
      </c>
      <c r="S240" s="79">
        <f>ROUND('[6]2035'!S48,2)</f>
        <v>37853.32</v>
      </c>
      <c r="T240" s="79">
        <f>ROUND('[6]2035'!T48,2)</f>
        <v>37772.51</v>
      </c>
      <c r="U240" s="79">
        <f>ROUND('[6]2035'!U48,2)</f>
        <v>37323.46</v>
      </c>
      <c r="V240" s="79">
        <f>ROUND('[6]2035'!V48,2)</f>
        <v>38239.08</v>
      </c>
      <c r="W240" s="79">
        <f>ROUND('[6]2035'!W48,2)</f>
        <v>42489.56</v>
      </c>
      <c r="X240" s="79">
        <f>ROUND('[6]2035'!X48,2)</f>
        <v>42175.02</v>
      </c>
      <c r="Y240" s="79">
        <f>ROUND('[6]2035'!Y48,2)</f>
        <v>40686.17</v>
      </c>
      <c r="Z240" s="79">
        <f>ROUND('[6]2035'!Z48,2)</f>
        <v>38814.04</v>
      </c>
      <c r="AA240" s="79">
        <f>ROUND('[6]2035'!AA48,2)</f>
        <v>36669.07</v>
      </c>
      <c r="AB240" s="79">
        <f>ROUND('[6]2035'!AB48,2)</f>
        <v>34106.089999999997</v>
      </c>
      <c r="AC240" s="210"/>
      <c r="AD240" s="18"/>
    </row>
    <row r="241" spans="2:50" ht="18.649999999999999" customHeight="1" x14ac:dyDescent="0.35">
      <c r="B241" s="208"/>
      <c r="C241" s="9" t="s">
        <v>31</v>
      </c>
      <c r="D241" s="10">
        <f>+'[6]2035'!D49</f>
        <v>5</v>
      </c>
      <c r="E241" s="79">
        <f>ROUND('[6]2035'!E49,2)</f>
        <v>31606.54</v>
      </c>
      <c r="F241" s="79">
        <f>ROUND('[6]2035'!F49,2)</f>
        <v>29995.84</v>
      </c>
      <c r="G241" s="79">
        <f>ROUND('[6]2035'!G49,2)</f>
        <v>28612.9</v>
      </c>
      <c r="H241" s="79">
        <f>ROUND('[6]2035'!H49,2)</f>
        <v>27697.46</v>
      </c>
      <c r="I241" s="79">
        <f>ROUND('[6]2035'!I49,2)</f>
        <v>27309.96</v>
      </c>
      <c r="J241" s="79">
        <f>ROUND('[6]2035'!J49,2)</f>
        <v>26568.85</v>
      </c>
      <c r="K241" s="79">
        <f>ROUND('[6]2035'!K49,2)</f>
        <v>25874.41</v>
      </c>
      <c r="L241" s="79">
        <f>ROUND('[6]2035'!L49,2)</f>
        <v>27501.31</v>
      </c>
      <c r="M241" s="79">
        <f>ROUND('[6]2035'!M49,2)</f>
        <v>29269.65</v>
      </c>
      <c r="N241" s="79">
        <f>ROUND('[6]2035'!N49,2)</f>
        <v>30984.93</v>
      </c>
      <c r="O241" s="79">
        <f>ROUND('[6]2035'!O49,2)</f>
        <v>32297.63</v>
      </c>
      <c r="P241" s="79">
        <f>ROUND('[6]2035'!P49,2)</f>
        <v>33159.93</v>
      </c>
      <c r="Q241" s="79">
        <f>ROUND('[6]2035'!Q49,2)</f>
        <v>33898.93</v>
      </c>
      <c r="R241" s="79">
        <f>ROUND('[6]2035'!R49,2)</f>
        <v>34002.959999999999</v>
      </c>
      <c r="S241" s="79">
        <f>ROUND('[6]2035'!S49,2)</f>
        <v>34023.33</v>
      </c>
      <c r="T241" s="79">
        <f>ROUND('[6]2035'!T49,2)</f>
        <v>34446.61</v>
      </c>
      <c r="U241" s="79">
        <f>ROUND('[6]2035'!U49,2)</f>
        <v>34410.11</v>
      </c>
      <c r="V241" s="79">
        <f>ROUND('[6]2035'!V49,2)</f>
        <v>35529.360000000001</v>
      </c>
      <c r="W241" s="79">
        <f>ROUND('[6]2035'!W49,2)</f>
        <v>40175.980000000003</v>
      </c>
      <c r="X241" s="79">
        <f>ROUND('[6]2035'!X49,2)</f>
        <v>40844.31</v>
      </c>
      <c r="Y241" s="79">
        <f>ROUND('[6]2035'!Y49,2)</f>
        <v>40316.720000000001</v>
      </c>
      <c r="Z241" s="79">
        <f>ROUND('[6]2035'!Z49,2)</f>
        <v>38794.32</v>
      </c>
      <c r="AA241" s="79">
        <f>ROUND('[6]2035'!AA49,2)</f>
        <v>35997.24</v>
      </c>
      <c r="AB241" s="79">
        <f>ROUND('[6]2035'!AB49,2)</f>
        <v>33018.61</v>
      </c>
      <c r="AC241" s="210"/>
      <c r="AD241" s="18"/>
    </row>
    <row r="242" spans="2:50" ht="18.649999999999999" customHeight="1" thickBot="1" x14ac:dyDescent="0.4">
      <c r="B242" s="208"/>
      <c r="C242" s="15" t="s">
        <v>32</v>
      </c>
      <c r="D242" s="16">
        <f>+'[6]2035'!D50</f>
        <v>0</v>
      </c>
      <c r="E242" s="75">
        <f>ROUND('[6]2035'!E50,2)</f>
        <v>0</v>
      </c>
      <c r="F242" s="75">
        <f>ROUND('[6]2035'!F50,2)</f>
        <v>0</v>
      </c>
      <c r="G242" s="75">
        <f>ROUND('[6]2035'!G50,2)</f>
        <v>0</v>
      </c>
      <c r="H242" s="75">
        <f>ROUND('[6]2035'!H50,2)</f>
        <v>0</v>
      </c>
      <c r="I242" s="75">
        <f>ROUND('[6]2035'!I50,2)</f>
        <v>0</v>
      </c>
      <c r="J242" s="75">
        <f>ROUND('[6]2035'!J50,2)</f>
        <v>0</v>
      </c>
      <c r="K242" s="75">
        <f>ROUND('[6]2035'!K50,2)</f>
        <v>0</v>
      </c>
      <c r="L242" s="75">
        <f>ROUND('[6]2035'!L50,2)</f>
        <v>0</v>
      </c>
      <c r="M242" s="75">
        <f>ROUND('[6]2035'!M50,2)</f>
        <v>0</v>
      </c>
      <c r="N242" s="75">
        <f>ROUND('[6]2035'!N50,2)</f>
        <v>0</v>
      </c>
      <c r="O242" s="75">
        <f>ROUND('[6]2035'!O50,2)</f>
        <v>0</v>
      </c>
      <c r="P242" s="75">
        <f>ROUND('[6]2035'!P50,2)</f>
        <v>0</v>
      </c>
      <c r="Q242" s="75">
        <f>ROUND('[6]2035'!Q50,2)</f>
        <v>0</v>
      </c>
      <c r="R242" s="75">
        <f>ROUND('[6]2035'!R50,2)</f>
        <v>0</v>
      </c>
      <c r="S242" s="75">
        <f>ROUND('[6]2035'!S50,2)</f>
        <v>0</v>
      </c>
      <c r="T242" s="75">
        <f>ROUND('[6]2035'!T50,2)</f>
        <v>0</v>
      </c>
      <c r="U242" s="75">
        <f>ROUND('[6]2035'!U50,2)</f>
        <v>0</v>
      </c>
      <c r="V242" s="75">
        <f>ROUND('[6]2035'!V50,2)</f>
        <v>0</v>
      </c>
      <c r="W242" s="75">
        <f>ROUND('[6]2035'!W50,2)</f>
        <v>0</v>
      </c>
      <c r="X242" s="75">
        <f>ROUND('[6]2035'!X50,2)</f>
        <v>0</v>
      </c>
      <c r="Y242" s="75">
        <f>ROUND('[6]2035'!Y50,2)</f>
        <v>0</v>
      </c>
      <c r="Z242" s="75">
        <f>ROUND('[6]2035'!Z50,2)</f>
        <v>0</v>
      </c>
      <c r="AA242" s="75">
        <f>ROUND('[6]2035'!AA50,2)</f>
        <v>0</v>
      </c>
      <c r="AB242" s="75">
        <f>ROUND('[6]2035'!AB50,2)</f>
        <v>0</v>
      </c>
      <c r="AC242" s="210"/>
      <c r="AD242" s="18"/>
    </row>
    <row r="243" spans="2:50" ht="18.649999999999999" customHeight="1" x14ac:dyDescent="0.35">
      <c r="B243" s="211">
        <v>49583</v>
      </c>
      <c r="C243" s="6" t="s">
        <v>29</v>
      </c>
      <c r="D243" s="7">
        <f>+'[6]2035'!D51</f>
        <v>22</v>
      </c>
      <c r="E243" s="78">
        <f>ROUND('[6]2035'!E51,2)</f>
        <v>30474.73</v>
      </c>
      <c r="F243" s="78">
        <f>ROUND('[6]2035'!F51,2)</f>
        <v>28870.55</v>
      </c>
      <c r="G243" s="78">
        <f>ROUND('[6]2035'!G51,2)</f>
        <v>27724.32</v>
      </c>
      <c r="H243" s="78">
        <f>ROUND('[6]2035'!H51,2)</f>
        <v>26890.89</v>
      </c>
      <c r="I243" s="78">
        <f>ROUND('[6]2035'!I51,2)</f>
        <v>26977.9</v>
      </c>
      <c r="J243" s="78">
        <f>ROUND('[6]2035'!J51,2)</f>
        <v>27783.63</v>
      </c>
      <c r="K243" s="78">
        <f>ROUND('[6]2035'!K51,2)</f>
        <v>28513.119999999999</v>
      </c>
      <c r="L243" s="78">
        <f>ROUND('[6]2035'!L51,2)</f>
        <v>31759.17</v>
      </c>
      <c r="M243" s="78">
        <f>ROUND('[6]2035'!M51,2)</f>
        <v>35211.019999999997</v>
      </c>
      <c r="N243" s="78">
        <f>ROUND('[6]2035'!N51,2)</f>
        <v>37018.9</v>
      </c>
      <c r="O243" s="78">
        <f>ROUND('[6]2035'!O51,2)</f>
        <v>38901.65</v>
      </c>
      <c r="P243" s="78">
        <f>ROUND('[6]2035'!P51,2)</f>
        <v>40392.43</v>
      </c>
      <c r="Q243" s="78">
        <f>ROUND('[6]2035'!Q51,2)</f>
        <v>38649.74</v>
      </c>
      <c r="R243" s="78">
        <f>ROUND('[6]2035'!R51,2)</f>
        <v>39682.94</v>
      </c>
      <c r="S243" s="78">
        <f>ROUND('[6]2035'!S51,2)</f>
        <v>41910.47</v>
      </c>
      <c r="T243" s="78">
        <f>ROUND('[6]2035'!T51,2)</f>
        <v>42413.95</v>
      </c>
      <c r="U243" s="78">
        <f>ROUND('[6]2035'!U51,2)</f>
        <v>41942.620000000003</v>
      </c>
      <c r="V243" s="78">
        <f>ROUND('[6]2035'!V51,2)</f>
        <v>41957.43</v>
      </c>
      <c r="W243" s="78">
        <f>ROUND('[6]2035'!W51,2)</f>
        <v>44560.95</v>
      </c>
      <c r="X243" s="78">
        <f>ROUND('[6]2035'!X51,2)</f>
        <v>43567.89</v>
      </c>
      <c r="Y243" s="78">
        <f>ROUND('[6]2035'!Y51,2)</f>
        <v>41949.82</v>
      </c>
      <c r="Z243" s="78">
        <f>ROUND('[6]2035'!Z51,2)</f>
        <v>39653.949999999997</v>
      </c>
      <c r="AA243" s="78">
        <f>ROUND('[6]2035'!AA51,2)</f>
        <v>36270.230000000003</v>
      </c>
      <c r="AB243" s="78">
        <f>ROUND('[6]2035'!AB51,2)</f>
        <v>33002.39</v>
      </c>
      <c r="AC243" s="209">
        <f>SUM(E243:AB243)*D243+SUM(E244:AB244)*D244+SUM(E245:AB245)*D245+SUM(E246:AB246)*D246</f>
        <v>26276177.220000003</v>
      </c>
      <c r="AD243" s="18"/>
    </row>
    <row r="244" spans="2:50" ht="18.649999999999999" customHeight="1" x14ac:dyDescent="0.35">
      <c r="B244" s="212" t="s">
        <v>34</v>
      </c>
      <c r="C244" s="9" t="s">
        <v>30</v>
      </c>
      <c r="D244" s="10">
        <f>+'[6]2035'!D52</f>
        <v>4</v>
      </c>
      <c r="E244" s="79">
        <f>ROUND('[6]2035'!E52,2)</f>
        <v>31030.639999999999</v>
      </c>
      <c r="F244" s="79">
        <f>ROUND('[6]2035'!F52,2)</f>
        <v>29288.19</v>
      </c>
      <c r="G244" s="79">
        <f>ROUND('[6]2035'!G52,2)</f>
        <v>27906.880000000001</v>
      </c>
      <c r="H244" s="79">
        <f>ROUND('[6]2035'!H52,2)</f>
        <v>27046.99</v>
      </c>
      <c r="I244" s="79">
        <f>ROUND('[6]2035'!I52,2)</f>
        <v>27029.87</v>
      </c>
      <c r="J244" s="79">
        <f>ROUND('[6]2035'!J52,2)</f>
        <v>26915.08</v>
      </c>
      <c r="K244" s="79">
        <f>ROUND('[6]2035'!K52,2)</f>
        <v>27331.89</v>
      </c>
      <c r="L244" s="79">
        <f>ROUND('[6]2035'!L52,2)</f>
        <v>30039.68</v>
      </c>
      <c r="M244" s="79">
        <f>ROUND('[6]2035'!M52,2)</f>
        <v>33412.26</v>
      </c>
      <c r="N244" s="79">
        <f>ROUND('[6]2035'!N52,2)</f>
        <v>35336.129999999997</v>
      </c>
      <c r="O244" s="79">
        <f>ROUND('[6]2035'!O52,2)</f>
        <v>37319.050000000003</v>
      </c>
      <c r="P244" s="79">
        <f>ROUND('[6]2035'!P52,2)</f>
        <v>38305.599999999999</v>
      </c>
      <c r="Q244" s="79">
        <f>ROUND('[6]2035'!Q52,2)</f>
        <v>37586.54</v>
      </c>
      <c r="R244" s="79">
        <f>ROUND('[6]2035'!R52,2)</f>
        <v>37123.06</v>
      </c>
      <c r="S244" s="79">
        <f>ROUND('[6]2035'!S52,2)</f>
        <v>37512.82</v>
      </c>
      <c r="T244" s="79">
        <f>ROUND('[6]2035'!T52,2)</f>
        <v>37906.57</v>
      </c>
      <c r="U244" s="79">
        <f>ROUND('[6]2035'!U52,2)</f>
        <v>37617.68</v>
      </c>
      <c r="V244" s="79">
        <f>ROUND('[6]2035'!V52,2)</f>
        <v>38992</v>
      </c>
      <c r="W244" s="79">
        <f>ROUND('[6]2035'!W52,2)</f>
        <v>42676.43</v>
      </c>
      <c r="X244" s="79">
        <f>ROUND('[6]2035'!X52,2)</f>
        <v>41888.21</v>
      </c>
      <c r="Y244" s="79">
        <f>ROUND('[6]2035'!Y52,2)</f>
        <v>40271.730000000003</v>
      </c>
      <c r="Z244" s="79">
        <f>ROUND('[6]2035'!Z52,2)</f>
        <v>38238.769999999997</v>
      </c>
      <c r="AA244" s="79">
        <f>ROUND('[6]2035'!AA52,2)</f>
        <v>35803.07</v>
      </c>
      <c r="AB244" s="79">
        <f>ROUND('[6]2035'!AB52,2)</f>
        <v>33230.92</v>
      </c>
      <c r="AC244" s="210"/>
      <c r="AD244" s="18"/>
    </row>
    <row r="245" spans="2:50" ht="18.649999999999999" customHeight="1" x14ac:dyDescent="0.35">
      <c r="B245" s="212" t="s">
        <v>34</v>
      </c>
      <c r="C245" s="9" t="s">
        <v>31</v>
      </c>
      <c r="D245" s="10">
        <f>+'[6]2035'!D53</f>
        <v>4</v>
      </c>
      <c r="E245" s="79">
        <f>ROUND('[6]2035'!E53,2)</f>
        <v>30870.03</v>
      </c>
      <c r="F245" s="79">
        <f>ROUND('[6]2035'!F53,2)</f>
        <v>29250.35</v>
      </c>
      <c r="G245" s="79">
        <f>ROUND('[6]2035'!G53,2)</f>
        <v>27964.11</v>
      </c>
      <c r="H245" s="79">
        <f>ROUND('[6]2035'!H53,2)</f>
        <v>27168.14</v>
      </c>
      <c r="I245" s="79">
        <f>ROUND('[6]2035'!I53,2)</f>
        <v>26810.6</v>
      </c>
      <c r="J245" s="79">
        <f>ROUND('[6]2035'!J53,2)</f>
        <v>26235.759999999998</v>
      </c>
      <c r="K245" s="79">
        <f>ROUND('[6]2035'!K53,2)</f>
        <v>25534.73</v>
      </c>
      <c r="L245" s="79">
        <f>ROUND('[6]2035'!L53,2)</f>
        <v>27049.24</v>
      </c>
      <c r="M245" s="79">
        <f>ROUND('[6]2035'!M53,2)</f>
        <v>29016.21</v>
      </c>
      <c r="N245" s="79">
        <f>ROUND('[6]2035'!N53,2)</f>
        <v>30588.12</v>
      </c>
      <c r="O245" s="79">
        <f>ROUND('[6]2035'!O53,2)</f>
        <v>32095.45</v>
      </c>
      <c r="P245" s="79">
        <f>ROUND('[6]2035'!P53,2)</f>
        <v>33300.75</v>
      </c>
      <c r="Q245" s="79">
        <f>ROUND('[6]2035'!Q53,2)</f>
        <v>33901.83</v>
      </c>
      <c r="R245" s="79">
        <f>ROUND('[6]2035'!R53,2)</f>
        <v>33966.28</v>
      </c>
      <c r="S245" s="79">
        <f>ROUND('[6]2035'!S53,2)</f>
        <v>34177.160000000003</v>
      </c>
      <c r="T245" s="79">
        <f>ROUND('[6]2035'!T53,2)</f>
        <v>34139.550000000003</v>
      </c>
      <c r="U245" s="79">
        <f>ROUND('[6]2035'!U53,2)</f>
        <v>34394.339999999997</v>
      </c>
      <c r="V245" s="79">
        <f>ROUND('[6]2035'!V53,2)</f>
        <v>36079.61</v>
      </c>
      <c r="W245" s="79">
        <f>ROUND('[6]2035'!W53,2)</f>
        <v>40457.760000000002</v>
      </c>
      <c r="X245" s="79">
        <f>ROUND('[6]2035'!X53,2)</f>
        <v>40725.300000000003</v>
      </c>
      <c r="Y245" s="79">
        <f>ROUND('[6]2035'!Y53,2)</f>
        <v>40092.36</v>
      </c>
      <c r="Z245" s="79">
        <f>ROUND('[6]2035'!Z53,2)</f>
        <v>38502.129999999997</v>
      </c>
      <c r="AA245" s="79">
        <f>ROUND('[6]2035'!AA53,2)</f>
        <v>35615.58</v>
      </c>
      <c r="AB245" s="79">
        <f>ROUND('[6]2035'!AB53,2)</f>
        <v>32696.97</v>
      </c>
      <c r="AC245" s="210"/>
      <c r="AD245" s="18"/>
    </row>
    <row r="246" spans="2:50" ht="18.649999999999999" customHeight="1" thickBot="1" x14ac:dyDescent="0.4">
      <c r="B246" s="213" t="s">
        <v>34</v>
      </c>
      <c r="C246" s="11" t="s">
        <v>32</v>
      </c>
      <c r="D246" s="12">
        <f>+'[6]2035'!D54</f>
        <v>1</v>
      </c>
      <c r="E246" s="76">
        <f>ROUND('[6]2035'!E54,2)</f>
        <v>30870.03</v>
      </c>
      <c r="F246" s="76">
        <f>ROUND('[6]2035'!F54,2)</f>
        <v>29250.35</v>
      </c>
      <c r="G246" s="76">
        <f>ROUND('[6]2035'!G54,2)</f>
        <v>27964.11</v>
      </c>
      <c r="H246" s="76">
        <f>ROUND('[6]2035'!H54,2)</f>
        <v>27168.14</v>
      </c>
      <c r="I246" s="76">
        <f>ROUND('[6]2035'!I54,2)</f>
        <v>26810.6</v>
      </c>
      <c r="J246" s="76">
        <f>ROUND('[6]2035'!J54,2)</f>
        <v>26235.759999999998</v>
      </c>
      <c r="K246" s="76">
        <f>ROUND('[6]2035'!K54,2)</f>
        <v>25534.73</v>
      </c>
      <c r="L246" s="76">
        <f>ROUND('[6]2035'!L54,2)</f>
        <v>27049.24</v>
      </c>
      <c r="M246" s="76">
        <f>ROUND('[6]2035'!M54,2)</f>
        <v>29016.21</v>
      </c>
      <c r="N246" s="76">
        <f>ROUND('[6]2035'!N54,2)</f>
        <v>30588.12</v>
      </c>
      <c r="O246" s="76">
        <f>ROUND('[6]2035'!O54,2)</f>
        <v>32095.45</v>
      </c>
      <c r="P246" s="76">
        <f>ROUND('[6]2035'!P54,2)</f>
        <v>33300.75</v>
      </c>
      <c r="Q246" s="76">
        <f>ROUND('[6]2035'!Q54,2)</f>
        <v>33901.83</v>
      </c>
      <c r="R246" s="76">
        <f>ROUND('[6]2035'!R54,2)</f>
        <v>33966.28</v>
      </c>
      <c r="S246" s="76">
        <f>ROUND('[6]2035'!S54,2)</f>
        <v>34177.160000000003</v>
      </c>
      <c r="T246" s="76">
        <f>ROUND('[6]2035'!T54,2)</f>
        <v>34139.550000000003</v>
      </c>
      <c r="U246" s="76">
        <f>ROUND('[6]2035'!U54,2)</f>
        <v>34394.339999999997</v>
      </c>
      <c r="V246" s="76">
        <f>ROUND('[6]2035'!V54,2)</f>
        <v>36079.61</v>
      </c>
      <c r="W246" s="76">
        <f>ROUND('[6]2035'!W54,2)</f>
        <v>40457.760000000002</v>
      </c>
      <c r="X246" s="76">
        <f>ROUND('[6]2035'!X54,2)</f>
        <v>40725.300000000003</v>
      </c>
      <c r="Y246" s="76">
        <f>ROUND('[6]2035'!Y54,2)</f>
        <v>40092.36</v>
      </c>
      <c r="Z246" s="76">
        <f>ROUND('[6]2035'!Z54,2)</f>
        <v>38502.129999999997</v>
      </c>
      <c r="AA246" s="76">
        <f>ROUND('[6]2035'!AA54,2)</f>
        <v>35615.58</v>
      </c>
      <c r="AB246" s="76">
        <f>ROUND('[6]2035'!AB54,2)</f>
        <v>32696.97</v>
      </c>
      <c r="AC246" s="214"/>
      <c r="AD246" s="18"/>
    </row>
    <row r="247" spans="2:50" ht="18.649999999999999" customHeight="1" x14ac:dyDescent="0.35">
      <c r="B247" s="207">
        <v>49614</v>
      </c>
      <c r="C247" s="13" t="s">
        <v>29</v>
      </c>
      <c r="D247" s="14">
        <f>+'[6]2035'!D55</f>
        <v>20</v>
      </c>
      <c r="E247" s="81">
        <f>ROUND('[6]2035'!E55,2)</f>
        <v>30071.18</v>
      </c>
      <c r="F247" s="81">
        <f>ROUND('[6]2035'!F55,2)</f>
        <v>28526</v>
      </c>
      <c r="G247" s="81">
        <f>ROUND('[6]2035'!G55,2)</f>
        <v>27400.81</v>
      </c>
      <c r="H247" s="81">
        <f>ROUND('[6]2035'!H55,2)</f>
        <v>26638.66</v>
      </c>
      <c r="I247" s="81">
        <f>ROUND('[6]2035'!I55,2)</f>
        <v>26713.81</v>
      </c>
      <c r="J247" s="81">
        <f>ROUND('[6]2035'!J55,2)</f>
        <v>27507.03</v>
      </c>
      <c r="K247" s="81">
        <f>ROUND('[6]2035'!K55,2)</f>
        <v>28231.34</v>
      </c>
      <c r="L247" s="81">
        <f>ROUND('[6]2035'!L55,2)</f>
        <v>31589.4</v>
      </c>
      <c r="M247" s="81">
        <f>ROUND('[6]2035'!M55,2)</f>
        <v>35045.519999999997</v>
      </c>
      <c r="N247" s="81">
        <f>ROUND('[6]2035'!N55,2)</f>
        <v>36759.980000000003</v>
      </c>
      <c r="O247" s="81">
        <f>ROUND('[6]2035'!O55,2)</f>
        <v>38549.24</v>
      </c>
      <c r="P247" s="81">
        <f>ROUND('[6]2035'!P55,2)</f>
        <v>39810.33</v>
      </c>
      <c r="Q247" s="81">
        <f>ROUND('[6]2035'!Q55,2)</f>
        <v>38177.9</v>
      </c>
      <c r="R247" s="81">
        <f>ROUND('[6]2035'!R55,2)</f>
        <v>39037.279999999999</v>
      </c>
      <c r="S247" s="81">
        <f>ROUND('[6]2035'!S55,2)</f>
        <v>40984.29</v>
      </c>
      <c r="T247" s="81">
        <f>ROUND('[6]2035'!T55,2)</f>
        <v>41485.29</v>
      </c>
      <c r="U247" s="81">
        <f>ROUND('[6]2035'!U55,2)</f>
        <v>41080.199999999997</v>
      </c>
      <c r="V247" s="81">
        <f>ROUND('[6]2035'!V55,2)</f>
        <v>41616.870000000003</v>
      </c>
      <c r="W247" s="81">
        <f>ROUND('[6]2035'!W55,2)</f>
        <v>43654.23</v>
      </c>
      <c r="X247" s="81">
        <f>ROUND('[6]2035'!X55,2)</f>
        <v>42643.17</v>
      </c>
      <c r="Y247" s="81">
        <f>ROUND('[6]2035'!Y55,2)</f>
        <v>41131.53</v>
      </c>
      <c r="Z247" s="81">
        <f>ROUND('[6]2035'!Z55,2)</f>
        <v>38941.26</v>
      </c>
      <c r="AA247" s="81">
        <f>ROUND('[6]2035'!AA55,2)</f>
        <v>35737.24</v>
      </c>
      <c r="AB247" s="81">
        <f>ROUND('[6]2035'!AB55,2)</f>
        <v>32574.48</v>
      </c>
      <c r="AC247" s="210">
        <f>SUM(E247:AB247)*D247+SUM(E248:AB248)*D248+SUM(E249:AB249)*D249+SUM(E250:AB250)*D250</f>
        <v>24893020.939999998</v>
      </c>
      <c r="AD247" s="18"/>
    </row>
    <row r="248" spans="2:50" ht="18.649999999999999" customHeight="1" x14ac:dyDescent="0.35">
      <c r="B248" s="208"/>
      <c r="C248" s="9" t="s">
        <v>30</v>
      </c>
      <c r="D248" s="10">
        <f>+'[6]2035'!D56</f>
        <v>4</v>
      </c>
      <c r="E248" s="79">
        <f>ROUND('[6]2035'!E56,2)</f>
        <v>29353.83</v>
      </c>
      <c r="F248" s="79">
        <f>ROUND('[6]2035'!F56,2)</f>
        <v>27916.65</v>
      </c>
      <c r="G248" s="79">
        <f>ROUND('[6]2035'!G56,2)</f>
        <v>26908.06</v>
      </c>
      <c r="H248" s="79">
        <f>ROUND('[6]2035'!H56,2)</f>
        <v>26248.48</v>
      </c>
      <c r="I248" s="79">
        <f>ROUND('[6]2035'!I56,2)</f>
        <v>26232.76</v>
      </c>
      <c r="J248" s="79">
        <f>ROUND('[6]2035'!J56,2)</f>
        <v>26168.01</v>
      </c>
      <c r="K248" s="79">
        <f>ROUND('[6]2035'!K56,2)</f>
        <v>26558.87</v>
      </c>
      <c r="L248" s="79">
        <f>ROUND('[6]2035'!L56,2)</f>
        <v>29618.93</v>
      </c>
      <c r="M248" s="79">
        <f>ROUND('[6]2035'!M56,2)</f>
        <v>33060.36</v>
      </c>
      <c r="N248" s="79">
        <f>ROUND('[6]2035'!N56,2)</f>
        <v>34964.870000000003</v>
      </c>
      <c r="O248" s="79">
        <f>ROUND('[6]2035'!O56,2)</f>
        <v>36948.28</v>
      </c>
      <c r="P248" s="79">
        <f>ROUND('[6]2035'!P56,2)</f>
        <v>37783.94</v>
      </c>
      <c r="Q248" s="79">
        <f>ROUND('[6]2035'!Q56,2)</f>
        <v>37104.160000000003</v>
      </c>
      <c r="R248" s="79">
        <f>ROUND('[6]2035'!R56,2)</f>
        <v>36334.839999999997</v>
      </c>
      <c r="S248" s="79">
        <f>ROUND('[6]2035'!S56,2)</f>
        <v>36091.14</v>
      </c>
      <c r="T248" s="79">
        <f>ROUND('[6]2035'!T56,2)</f>
        <v>36380.97</v>
      </c>
      <c r="U248" s="79">
        <f>ROUND('[6]2035'!U56,2)</f>
        <v>36200.639999999999</v>
      </c>
      <c r="V248" s="79">
        <f>ROUND('[6]2035'!V56,2)</f>
        <v>38214.879999999997</v>
      </c>
      <c r="W248" s="79">
        <f>ROUND('[6]2035'!W56,2)</f>
        <v>41366.33</v>
      </c>
      <c r="X248" s="79">
        <f>ROUND('[6]2035'!X56,2)</f>
        <v>40667.26</v>
      </c>
      <c r="Y248" s="79">
        <f>ROUND('[6]2035'!Y56,2)</f>
        <v>39205.22</v>
      </c>
      <c r="Z248" s="79">
        <f>ROUND('[6]2035'!Z56,2)</f>
        <v>37391.360000000001</v>
      </c>
      <c r="AA248" s="79">
        <f>ROUND('[6]2035'!AA56,2)</f>
        <v>35099.550000000003</v>
      </c>
      <c r="AB248" s="79">
        <f>ROUND('[6]2035'!AB56,2)</f>
        <v>32521.06</v>
      </c>
      <c r="AC248" s="210"/>
      <c r="AD248" s="18"/>
    </row>
    <row r="249" spans="2:50" ht="18.649999999999999" customHeight="1" x14ac:dyDescent="0.35">
      <c r="B249" s="208"/>
      <c r="C249" s="9" t="s">
        <v>31</v>
      </c>
      <c r="D249" s="10">
        <f>+'[6]2035'!D57</f>
        <v>4</v>
      </c>
      <c r="E249" s="79">
        <f>ROUND('[6]2035'!E57,2)</f>
        <v>30423.71</v>
      </c>
      <c r="F249" s="79">
        <f>ROUND('[6]2035'!F57,2)</f>
        <v>28980.35</v>
      </c>
      <c r="G249" s="79">
        <f>ROUND('[6]2035'!G57,2)</f>
        <v>27730.53</v>
      </c>
      <c r="H249" s="79">
        <f>ROUND('[6]2035'!H57,2)</f>
        <v>26888.17</v>
      </c>
      <c r="I249" s="79">
        <f>ROUND('[6]2035'!I57,2)</f>
        <v>26546.73</v>
      </c>
      <c r="J249" s="79">
        <f>ROUND('[6]2035'!J57,2)</f>
        <v>26099.439999999999</v>
      </c>
      <c r="K249" s="79">
        <f>ROUND('[6]2035'!K57,2)</f>
        <v>25455.32</v>
      </c>
      <c r="L249" s="79">
        <f>ROUND('[6]2035'!L57,2)</f>
        <v>26856.36</v>
      </c>
      <c r="M249" s="79">
        <f>ROUND('[6]2035'!M57,2)</f>
        <v>28777.119999999999</v>
      </c>
      <c r="N249" s="79">
        <f>ROUND('[6]2035'!N57,2)</f>
        <v>30355.62</v>
      </c>
      <c r="O249" s="79">
        <f>ROUND('[6]2035'!O57,2)</f>
        <v>31874.41</v>
      </c>
      <c r="P249" s="79">
        <f>ROUND('[6]2035'!P57,2)</f>
        <v>32676.71</v>
      </c>
      <c r="Q249" s="79">
        <f>ROUND('[6]2035'!Q57,2)</f>
        <v>33272</v>
      </c>
      <c r="R249" s="79">
        <f>ROUND('[6]2035'!R57,2)</f>
        <v>33240.629999999997</v>
      </c>
      <c r="S249" s="79">
        <f>ROUND('[6]2035'!S57,2)</f>
        <v>33145.1</v>
      </c>
      <c r="T249" s="79">
        <f>ROUND('[6]2035'!T57,2)</f>
        <v>33296.199999999997</v>
      </c>
      <c r="U249" s="79">
        <f>ROUND('[6]2035'!U57,2)</f>
        <v>33334.910000000003</v>
      </c>
      <c r="V249" s="79">
        <f>ROUND('[6]2035'!V57,2)</f>
        <v>35589.65</v>
      </c>
      <c r="W249" s="79">
        <f>ROUND('[6]2035'!W57,2)</f>
        <v>38981.93</v>
      </c>
      <c r="X249" s="79">
        <f>ROUND('[6]2035'!X57,2)</f>
        <v>39038.959999999999</v>
      </c>
      <c r="Y249" s="79">
        <f>ROUND('[6]2035'!Y57,2)</f>
        <v>38178.11</v>
      </c>
      <c r="Z249" s="79">
        <f>ROUND('[6]2035'!Z57,2)</f>
        <v>36677.42</v>
      </c>
      <c r="AA249" s="79">
        <f>ROUND('[6]2035'!AA57,2)</f>
        <v>34326.71</v>
      </c>
      <c r="AB249" s="79">
        <f>ROUND('[6]2035'!AB57,2)</f>
        <v>31840.3</v>
      </c>
      <c r="AC249" s="210"/>
      <c r="AD249" s="18"/>
    </row>
    <row r="250" spans="2:50" ht="18.649999999999999" customHeight="1" thickBot="1" x14ac:dyDescent="0.4">
      <c r="B250" s="208"/>
      <c r="C250" s="15" t="s">
        <v>32</v>
      </c>
      <c r="D250" s="16">
        <f>+'[6]2035'!D58</f>
        <v>2</v>
      </c>
      <c r="E250" s="80">
        <f>ROUND('[6]2035'!E58,2)</f>
        <v>30423.71</v>
      </c>
      <c r="F250" s="80">
        <f>ROUND('[6]2035'!F58,2)</f>
        <v>28980.35</v>
      </c>
      <c r="G250" s="80">
        <f>ROUND('[6]2035'!G58,2)</f>
        <v>27730.53</v>
      </c>
      <c r="H250" s="80">
        <f>ROUND('[6]2035'!H58,2)</f>
        <v>26888.17</v>
      </c>
      <c r="I250" s="80">
        <f>ROUND('[6]2035'!I58,2)</f>
        <v>26546.73</v>
      </c>
      <c r="J250" s="80">
        <f>ROUND('[6]2035'!J58,2)</f>
        <v>26099.439999999999</v>
      </c>
      <c r="K250" s="80">
        <f>ROUND('[6]2035'!K58,2)</f>
        <v>25455.32</v>
      </c>
      <c r="L250" s="80">
        <f>ROUND('[6]2035'!L58,2)</f>
        <v>26856.36</v>
      </c>
      <c r="M250" s="80">
        <f>ROUND('[6]2035'!M58,2)</f>
        <v>28777.119999999999</v>
      </c>
      <c r="N250" s="80">
        <f>ROUND('[6]2035'!N58,2)</f>
        <v>30355.62</v>
      </c>
      <c r="O250" s="80">
        <f>ROUND('[6]2035'!O58,2)</f>
        <v>31874.41</v>
      </c>
      <c r="P250" s="80">
        <f>ROUND('[6]2035'!P58,2)</f>
        <v>32676.71</v>
      </c>
      <c r="Q250" s="80">
        <f>ROUND('[6]2035'!Q58,2)</f>
        <v>33272</v>
      </c>
      <c r="R250" s="80">
        <f>ROUND('[6]2035'!R58,2)</f>
        <v>33240.629999999997</v>
      </c>
      <c r="S250" s="80">
        <f>ROUND('[6]2035'!S58,2)</f>
        <v>33145.1</v>
      </c>
      <c r="T250" s="80">
        <f>ROUND('[6]2035'!T58,2)</f>
        <v>33296.199999999997</v>
      </c>
      <c r="U250" s="80">
        <f>ROUND('[6]2035'!U58,2)</f>
        <v>33334.910000000003</v>
      </c>
      <c r="V250" s="80">
        <f>ROUND('[6]2035'!V58,2)</f>
        <v>35589.65</v>
      </c>
      <c r="W250" s="80">
        <f>ROUND('[6]2035'!W58,2)</f>
        <v>38981.93</v>
      </c>
      <c r="X250" s="80">
        <f>ROUND('[6]2035'!X58,2)</f>
        <v>39038.959999999999</v>
      </c>
      <c r="Y250" s="80">
        <f>ROUND('[6]2035'!Y58,2)</f>
        <v>38178.11</v>
      </c>
      <c r="Z250" s="80">
        <f>ROUND('[6]2035'!Z58,2)</f>
        <v>36677.42</v>
      </c>
      <c r="AA250" s="80">
        <f>ROUND('[6]2035'!AA58,2)</f>
        <v>34326.71</v>
      </c>
      <c r="AB250" s="80">
        <f>ROUND('[6]2035'!AB58,2)</f>
        <v>31840.3</v>
      </c>
      <c r="AC250" s="210"/>
      <c r="AD250" s="18"/>
    </row>
    <row r="251" spans="2:50" ht="18.649999999999999" customHeight="1" x14ac:dyDescent="0.35">
      <c r="B251" s="211">
        <v>49644</v>
      </c>
      <c r="C251" s="6" t="s">
        <v>29</v>
      </c>
      <c r="D251" s="7">
        <f>+'[6]2035'!D59</f>
        <v>20</v>
      </c>
      <c r="E251" s="78">
        <f>ROUND('[6]2035'!E59,2)</f>
        <v>32399.48</v>
      </c>
      <c r="F251" s="78">
        <f>ROUND('[6]2035'!F59,2)</f>
        <v>30617.54</v>
      </c>
      <c r="G251" s="78">
        <f>ROUND('[6]2035'!G59,2)</f>
        <v>29344.91</v>
      </c>
      <c r="H251" s="78">
        <f>ROUND('[6]2035'!H59,2)</f>
        <v>28556.31</v>
      </c>
      <c r="I251" s="78">
        <f>ROUND('[6]2035'!I59,2)</f>
        <v>28454.89</v>
      </c>
      <c r="J251" s="78">
        <f>ROUND('[6]2035'!J59,2)</f>
        <v>28963.19</v>
      </c>
      <c r="K251" s="78">
        <f>ROUND('[6]2035'!K59,2)</f>
        <v>29165.759999999998</v>
      </c>
      <c r="L251" s="78">
        <f>ROUND('[6]2035'!L59,2)</f>
        <v>32681.11</v>
      </c>
      <c r="M251" s="78">
        <f>ROUND('[6]2035'!M59,2)</f>
        <v>36251.32</v>
      </c>
      <c r="N251" s="78">
        <f>ROUND('[6]2035'!N59,2)</f>
        <v>38295.61</v>
      </c>
      <c r="O251" s="78">
        <f>ROUND('[6]2035'!O59,2)</f>
        <v>40094.879999999997</v>
      </c>
      <c r="P251" s="78">
        <f>ROUND('[6]2035'!P59,2)</f>
        <v>41396.81</v>
      </c>
      <c r="Q251" s="78">
        <f>ROUND('[6]2035'!Q59,2)</f>
        <v>40256.99</v>
      </c>
      <c r="R251" s="78">
        <f>ROUND('[6]2035'!R59,2)</f>
        <v>40772.870000000003</v>
      </c>
      <c r="S251" s="78">
        <f>ROUND('[6]2035'!S59,2)</f>
        <v>42496.81</v>
      </c>
      <c r="T251" s="78">
        <f>ROUND('[6]2035'!T59,2)</f>
        <v>43027.28</v>
      </c>
      <c r="U251" s="78">
        <f>ROUND('[6]2035'!U59,2)</f>
        <v>42672.4</v>
      </c>
      <c r="V251" s="78">
        <f>ROUND('[6]2035'!V59,2)</f>
        <v>42715.73</v>
      </c>
      <c r="W251" s="78">
        <f>ROUND('[6]2035'!W59,2)</f>
        <v>46007.46</v>
      </c>
      <c r="X251" s="78">
        <f>ROUND('[6]2035'!X59,2)</f>
        <v>45122.23</v>
      </c>
      <c r="Y251" s="78">
        <f>ROUND('[6]2035'!Y59,2)</f>
        <v>43470.68</v>
      </c>
      <c r="Z251" s="78">
        <f>ROUND('[6]2035'!Z59,2)</f>
        <v>41116.21</v>
      </c>
      <c r="AA251" s="78">
        <f>ROUND('[6]2035'!AA59,2)</f>
        <v>38094.699999999997</v>
      </c>
      <c r="AB251" s="78">
        <f>ROUND('[6]2035'!AB59,2)</f>
        <v>35154.61</v>
      </c>
      <c r="AC251" s="209">
        <f>SUM(E251:AB251)*D251+SUM(E252:AB252)*D252+SUM(E253:AB253)*D253+SUM(E254:AB254)*D254</f>
        <v>27162718.43</v>
      </c>
      <c r="AD251" s="18"/>
    </row>
    <row r="252" spans="2:50" ht="18.649999999999999" customHeight="1" x14ac:dyDescent="0.35">
      <c r="B252" s="212" t="s">
        <v>34</v>
      </c>
      <c r="C252" s="9" t="s">
        <v>30</v>
      </c>
      <c r="D252" s="10">
        <f>+'[6]2035'!D60</f>
        <v>4</v>
      </c>
      <c r="E252" s="79">
        <f>ROUND('[6]2035'!E60,2)</f>
        <v>32924.160000000003</v>
      </c>
      <c r="F252" s="79">
        <f>ROUND('[6]2035'!F60,2)</f>
        <v>31060.2</v>
      </c>
      <c r="G252" s="79">
        <f>ROUND('[6]2035'!G60,2)</f>
        <v>29832.3</v>
      </c>
      <c r="H252" s="79">
        <f>ROUND('[6]2035'!H60,2)</f>
        <v>28932.02</v>
      </c>
      <c r="I252" s="79">
        <f>ROUND('[6]2035'!I60,2)</f>
        <v>28683.17</v>
      </c>
      <c r="J252" s="79">
        <f>ROUND('[6]2035'!J60,2)</f>
        <v>28733.200000000001</v>
      </c>
      <c r="K252" s="79">
        <f>ROUND('[6]2035'!K60,2)</f>
        <v>28447.79</v>
      </c>
      <c r="L252" s="79">
        <f>ROUND('[6]2035'!L60,2)</f>
        <v>31059.83</v>
      </c>
      <c r="M252" s="79">
        <f>ROUND('[6]2035'!M60,2)</f>
        <v>34840.57</v>
      </c>
      <c r="N252" s="79">
        <f>ROUND('[6]2035'!N60,2)</f>
        <v>37057.75</v>
      </c>
      <c r="O252" s="79">
        <f>ROUND('[6]2035'!O60,2)</f>
        <v>38925.11</v>
      </c>
      <c r="P252" s="79">
        <f>ROUND('[6]2035'!P60,2)</f>
        <v>40064.83</v>
      </c>
      <c r="Q252" s="79">
        <f>ROUND('[6]2035'!Q60,2)</f>
        <v>39415.93</v>
      </c>
      <c r="R252" s="79">
        <f>ROUND('[6]2035'!R60,2)</f>
        <v>39130.910000000003</v>
      </c>
      <c r="S252" s="79">
        <f>ROUND('[6]2035'!S60,2)</f>
        <v>38966.870000000003</v>
      </c>
      <c r="T252" s="79">
        <f>ROUND('[6]2035'!T60,2)</f>
        <v>39385.25</v>
      </c>
      <c r="U252" s="79">
        <f>ROUND('[6]2035'!U60,2)</f>
        <v>39262.9</v>
      </c>
      <c r="V252" s="79">
        <f>ROUND('[6]2035'!V60,2)</f>
        <v>40131.06</v>
      </c>
      <c r="W252" s="79">
        <f>ROUND('[6]2035'!W60,2)</f>
        <v>44576.480000000003</v>
      </c>
      <c r="X252" s="79">
        <f>ROUND('[6]2035'!X60,2)</f>
        <v>43944.17</v>
      </c>
      <c r="Y252" s="79">
        <f>ROUND('[6]2035'!Y60,2)</f>
        <v>42289.7</v>
      </c>
      <c r="Z252" s="79">
        <f>ROUND('[6]2035'!Z60,2)</f>
        <v>40484.68</v>
      </c>
      <c r="AA252" s="79">
        <f>ROUND('[6]2035'!AA60,2)</f>
        <v>37982.04</v>
      </c>
      <c r="AB252" s="79">
        <f>ROUND('[6]2035'!AB60,2)</f>
        <v>35403.79</v>
      </c>
      <c r="AC252" s="210"/>
      <c r="AD252" s="18"/>
    </row>
    <row r="253" spans="2:50" ht="18.649999999999999" customHeight="1" x14ac:dyDescent="0.35">
      <c r="B253" s="212" t="s">
        <v>34</v>
      </c>
      <c r="C253" s="9" t="s">
        <v>31</v>
      </c>
      <c r="D253" s="10">
        <f>+'[6]2035'!D61</f>
        <v>5</v>
      </c>
      <c r="E253" s="79">
        <f>ROUND('[6]2035'!E61,2)</f>
        <v>33132.01</v>
      </c>
      <c r="F253" s="79">
        <f>ROUND('[6]2035'!F61,2)</f>
        <v>31503.56</v>
      </c>
      <c r="G253" s="79">
        <f>ROUND('[6]2035'!G61,2)</f>
        <v>30192</v>
      </c>
      <c r="H253" s="79">
        <f>ROUND('[6]2035'!H61,2)</f>
        <v>29268.36</v>
      </c>
      <c r="I253" s="79">
        <f>ROUND('[6]2035'!I61,2)</f>
        <v>28851.68</v>
      </c>
      <c r="J253" s="79">
        <f>ROUND('[6]2035'!J61,2)</f>
        <v>28560.53</v>
      </c>
      <c r="K253" s="79">
        <f>ROUND('[6]2035'!K61,2)</f>
        <v>27288</v>
      </c>
      <c r="L253" s="79">
        <f>ROUND('[6]2035'!L61,2)</f>
        <v>28664.49</v>
      </c>
      <c r="M253" s="79">
        <f>ROUND('[6]2035'!M61,2)</f>
        <v>30852.52</v>
      </c>
      <c r="N253" s="79">
        <f>ROUND('[6]2035'!N61,2)</f>
        <v>32730.92</v>
      </c>
      <c r="O253" s="79">
        <f>ROUND('[6]2035'!O61,2)</f>
        <v>33966.61</v>
      </c>
      <c r="P253" s="79">
        <f>ROUND('[6]2035'!P61,2)</f>
        <v>34978.480000000003</v>
      </c>
      <c r="Q253" s="79">
        <f>ROUND('[6]2035'!Q61,2)</f>
        <v>35580.22</v>
      </c>
      <c r="R253" s="79">
        <f>ROUND('[6]2035'!R61,2)</f>
        <v>35915.300000000003</v>
      </c>
      <c r="S253" s="79">
        <f>ROUND('[6]2035'!S61,2)</f>
        <v>34900.19</v>
      </c>
      <c r="T253" s="79">
        <f>ROUND('[6]2035'!T61,2)</f>
        <v>35854.699999999997</v>
      </c>
      <c r="U253" s="79">
        <f>ROUND('[6]2035'!U61,2)</f>
        <v>36067.83</v>
      </c>
      <c r="V253" s="79">
        <f>ROUND('[6]2035'!V61,2)</f>
        <v>37272.050000000003</v>
      </c>
      <c r="W253" s="79">
        <f>ROUND('[6]2035'!W61,2)</f>
        <v>41793.03</v>
      </c>
      <c r="X253" s="79">
        <f>ROUND('[6]2035'!X61,2)</f>
        <v>41460.519999999997</v>
      </c>
      <c r="Y253" s="79">
        <f>ROUND('[6]2035'!Y61,2)</f>
        <v>40378.51</v>
      </c>
      <c r="Z253" s="79">
        <f>ROUND('[6]2035'!Z61,2)</f>
        <v>38896.120000000003</v>
      </c>
      <c r="AA253" s="79">
        <f>ROUND('[6]2035'!AA61,2)</f>
        <v>36653.57</v>
      </c>
      <c r="AB253" s="79">
        <f>ROUND('[6]2035'!AB61,2)</f>
        <v>34379.370000000003</v>
      </c>
      <c r="AC253" s="210"/>
      <c r="AD253" s="18"/>
    </row>
    <row r="254" spans="2:50" ht="18.649999999999999" customHeight="1" thickBot="1" x14ac:dyDescent="0.4">
      <c r="B254" s="213" t="s">
        <v>34</v>
      </c>
      <c r="C254" s="11" t="s">
        <v>32</v>
      </c>
      <c r="D254" s="12">
        <f>+'[6]2035'!D62</f>
        <v>2</v>
      </c>
      <c r="E254" s="76">
        <f>ROUND('[6]2035'!E62,2)</f>
        <v>33132.01</v>
      </c>
      <c r="F254" s="76">
        <f>ROUND('[6]2035'!F62,2)</f>
        <v>31503.56</v>
      </c>
      <c r="G254" s="76">
        <f>ROUND('[6]2035'!G62,2)</f>
        <v>30192</v>
      </c>
      <c r="H254" s="76">
        <f>ROUND('[6]2035'!H62,2)</f>
        <v>29268.36</v>
      </c>
      <c r="I254" s="76">
        <f>ROUND('[6]2035'!I62,2)</f>
        <v>28851.68</v>
      </c>
      <c r="J254" s="76">
        <f>ROUND('[6]2035'!J62,2)</f>
        <v>28560.53</v>
      </c>
      <c r="K254" s="76">
        <f>ROUND('[6]2035'!K62,2)</f>
        <v>27288</v>
      </c>
      <c r="L254" s="76">
        <f>ROUND('[6]2035'!L62,2)</f>
        <v>28664.49</v>
      </c>
      <c r="M254" s="76">
        <f>ROUND('[6]2035'!M62,2)</f>
        <v>30852.52</v>
      </c>
      <c r="N254" s="76">
        <f>ROUND('[6]2035'!N62,2)</f>
        <v>32730.92</v>
      </c>
      <c r="O254" s="76">
        <f>ROUND('[6]2035'!O62,2)</f>
        <v>33966.61</v>
      </c>
      <c r="P254" s="76">
        <f>ROUND('[6]2035'!P62,2)</f>
        <v>34978.480000000003</v>
      </c>
      <c r="Q254" s="76">
        <f>ROUND('[6]2035'!Q62,2)</f>
        <v>35580.22</v>
      </c>
      <c r="R254" s="76">
        <f>ROUND('[6]2035'!R62,2)</f>
        <v>35915.300000000003</v>
      </c>
      <c r="S254" s="76">
        <f>ROUND('[6]2035'!S62,2)</f>
        <v>34900.19</v>
      </c>
      <c r="T254" s="76">
        <f>ROUND('[6]2035'!T62,2)</f>
        <v>35854.699999999997</v>
      </c>
      <c r="U254" s="76">
        <f>ROUND('[6]2035'!U62,2)</f>
        <v>36067.83</v>
      </c>
      <c r="V254" s="76">
        <f>ROUND('[6]2035'!V62,2)</f>
        <v>37272.050000000003</v>
      </c>
      <c r="W254" s="76">
        <f>ROUND('[6]2035'!W62,2)</f>
        <v>41793.03</v>
      </c>
      <c r="X254" s="76">
        <f>ROUND('[6]2035'!X62,2)</f>
        <v>41460.519999999997</v>
      </c>
      <c r="Y254" s="76">
        <f>ROUND('[6]2035'!Y62,2)</f>
        <v>40378.51</v>
      </c>
      <c r="Z254" s="76">
        <f>ROUND('[6]2035'!Z62,2)</f>
        <v>38896.120000000003</v>
      </c>
      <c r="AA254" s="76">
        <f>ROUND('[6]2035'!AA62,2)</f>
        <v>36653.57</v>
      </c>
      <c r="AB254" s="76">
        <f>ROUND('[6]2035'!AB62,2)</f>
        <v>34379.370000000003</v>
      </c>
      <c r="AC254" s="214"/>
      <c r="AD254" s="18"/>
    </row>
    <row r="255" spans="2:50" ht="18.649999999999999" customHeight="1" thickBot="1" x14ac:dyDescent="0.4"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215" t="s">
        <v>33</v>
      </c>
      <c r="AA255" s="216"/>
      <c r="AB255" s="217"/>
      <c r="AC255" s="135">
        <f>SUM(AC207:AC254)</f>
        <v>321654444.63</v>
      </c>
      <c r="AD255" s="17"/>
      <c r="AE255" s="18"/>
    </row>
    <row r="256" spans="2:50" ht="18.649999999999999" customHeight="1" x14ac:dyDescent="0.35">
      <c r="B256" s="207">
        <v>49675</v>
      </c>
      <c r="C256" s="6" t="s">
        <v>29</v>
      </c>
      <c r="D256" s="46">
        <f>+'[6]2036'!D15</f>
        <v>21</v>
      </c>
      <c r="E256" s="78">
        <f>ROUND('[6]2036'!E15,2)</f>
        <v>33502.83</v>
      </c>
      <c r="F256" s="78">
        <f>ROUND('[6]2036'!F15,2)</f>
        <v>31791.9</v>
      </c>
      <c r="G256" s="78">
        <f>ROUND('[6]2036'!G15,2)</f>
        <v>30504.85</v>
      </c>
      <c r="H256" s="78">
        <f>ROUND('[6]2036'!H15,2)</f>
        <v>29570.66</v>
      </c>
      <c r="I256" s="78">
        <f>ROUND('[6]2036'!I15,2)</f>
        <v>29407.66</v>
      </c>
      <c r="J256" s="78">
        <f>ROUND('[6]2036'!J15,2)</f>
        <v>30391.759999999998</v>
      </c>
      <c r="K256" s="78">
        <f>ROUND('[6]2036'!K15,2)</f>
        <v>30117.41</v>
      </c>
      <c r="L256" s="78">
        <f>ROUND('[6]2036'!L15,2)</f>
        <v>33597.58</v>
      </c>
      <c r="M256" s="78">
        <f>ROUND('[6]2036'!M15,2)</f>
        <v>37296.89</v>
      </c>
      <c r="N256" s="78">
        <f>ROUND('[6]2036'!N15,2)</f>
        <v>39219.31</v>
      </c>
      <c r="O256" s="78">
        <f>ROUND('[6]2036'!O15,2)</f>
        <v>41300.49</v>
      </c>
      <c r="P256" s="78">
        <f>ROUND('[6]2036'!P15,2)</f>
        <v>43004.09</v>
      </c>
      <c r="Q256" s="78">
        <f>ROUND('[6]2036'!Q15,2)</f>
        <v>41826.589999999997</v>
      </c>
      <c r="R256" s="78">
        <f>ROUND('[6]2036'!R15,2)</f>
        <v>42978.18</v>
      </c>
      <c r="S256" s="78">
        <f>ROUND('[6]2036'!S15,2)</f>
        <v>44971.839999999997</v>
      </c>
      <c r="T256" s="78">
        <f>ROUND('[6]2036'!T15,2)</f>
        <v>45210.91</v>
      </c>
      <c r="U256" s="78">
        <f>ROUND('[6]2036'!U15,2)</f>
        <v>44463.21</v>
      </c>
      <c r="V256" s="78">
        <f>ROUND('[6]2036'!V15,2)</f>
        <v>42824.74</v>
      </c>
      <c r="W256" s="78">
        <f>ROUND('[6]2036'!W15,2)</f>
        <v>45811.63</v>
      </c>
      <c r="X256" s="78">
        <f>ROUND('[6]2036'!X15,2)</f>
        <v>45974.98</v>
      </c>
      <c r="Y256" s="78">
        <f>ROUND('[6]2036'!Y15,2)</f>
        <v>44767.33</v>
      </c>
      <c r="Z256" s="78">
        <f>ROUND('[6]2036'!Z15,2)</f>
        <v>42804.32</v>
      </c>
      <c r="AA256" s="78">
        <f>ROUND('[6]2036'!AA15,2)</f>
        <v>39769.699999999997</v>
      </c>
      <c r="AB256" s="78">
        <f>ROUND('[6]2036'!AB15,2)</f>
        <v>36529.919999999998</v>
      </c>
      <c r="AC256" s="209">
        <f>SUM(E256:AB256)*D256+SUM(E257:AB257)*D257+SUM(E258:AB258)*D258+SUM(E259:AB259)*D259</f>
        <v>27898308.419999998</v>
      </c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</row>
    <row r="257" spans="2:50" ht="18.649999999999999" customHeight="1" x14ac:dyDescent="0.35">
      <c r="B257" s="208"/>
      <c r="C257" s="9" t="s">
        <v>30</v>
      </c>
      <c r="D257" s="10">
        <f>+'[6]2036'!D16</f>
        <v>4</v>
      </c>
      <c r="E257" s="79">
        <f>ROUND('[6]2036'!E16,2)</f>
        <v>33259.99</v>
      </c>
      <c r="F257" s="79">
        <f>ROUND('[6]2036'!F16,2)</f>
        <v>31662.560000000001</v>
      </c>
      <c r="G257" s="79">
        <f>ROUND('[6]2036'!G16,2)</f>
        <v>30407.88</v>
      </c>
      <c r="H257" s="79">
        <f>ROUND('[6]2036'!H16,2)</f>
        <v>29449.65</v>
      </c>
      <c r="I257" s="79">
        <f>ROUND('[6]2036'!I16,2)</f>
        <v>29159.61</v>
      </c>
      <c r="J257" s="79">
        <f>ROUND('[6]2036'!J16,2)</f>
        <v>29392.880000000001</v>
      </c>
      <c r="K257" s="79">
        <f>ROUND('[6]2036'!K16,2)</f>
        <v>28635.37</v>
      </c>
      <c r="L257" s="79">
        <f>ROUND('[6]2036'!L16,2)</f>
        <v>31464.51</v>
      </c>
      <c r="M257" s="79">
        <f>ROUND('[6]2036'!M16,2)</f>
        <v>34962.839999999997</v>
      </c>
      <c r="N257" s="79">
        <f>ROUND('[6]2036'!N16,2)</f>
        <v>37279.81</v>
      </c>
      <c r="O257" s="79">
        <f>ROUND('[6]2036'!O16,2)</f>
        <v>39102.67</v>
      </c>
      <c r="P257" s="79">
        <f>ROUND('[6]2036'!P16,2)</f>
        <v>40089.089999999997</v>
      </c>
      <c r="Q257" s="79">
        <f>ROUND('[6]2036'!Q16,2)</f>
        <v>39738.57</v>
      </c>
      <c r="R257" s="79">
        <f>ROUND('[6]2036'!R16,2)</f>
        <v>38897.18</v>
      </c>
      <c r="S257" s="79">
        <f>ROUND('[6]2036'!S16,2)</f>
        <v>39080.730000000003</v>
      </c>
      <c r="T257" s="79">
        <f>ROUND('[6]2036'!T16,2)</f>
        <v>39216.300000000003</v>
      </c>
      <c r="U257" s="79">
        <f>ROUND('[6]2036'!U16,2)</f>
        <v>38827.67</v>
      </c>
      <c r="V257" s="79">
        <f>ROUND('[6]2036'!V16,2)</f>
        <v>38968.32</v>
      </c>
      <c r="W257" s="79">
        <f>ROUND('[6]2036'!W16,2)</f>
        <v>43287.78</v>
      </c>
      <c r="X257" s="79">
        <f>ROUND('[6]2036'!X16,2)</f>
        <v>43597.77</v>
      </c>
      <c r="Y257" s="79">
        <f>ROUND('[6]2036'!Y16,2)</f>
        <v>42301.82</v>
      </c>
      <c r="Z257" s="79">
        <f>ROUND('[6]2036'!Z16,2)</f>
        <v>40587.69</v>
      </c>
      <c r="AA257" s="79">
        <f>ROUND('[6]2036'!AA16,2)</f>
        <v>38360.120000000003</v>
      </c>
      <c r="AB257" s="79">
        <f>ROUND('[6]2036'!AB16,2)</f>
        <v>35889.83</v>
      </c>
      <c r="AC257" s="210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</row>
    <row r="258" spans="2:50" ht="18.649999999999999" customHeight="1" x14ac:dyDescent="0.35">
      <c r="B258" s="208"/>
      <c r="C258" s="9" t="s">
        <v>31</v>
      </c>
      <c r="D258" s="10">
        <f>+'[6]2036'!D17</f>
        <v>4</v>
      </c>
      <c r="E258" s="79">
        <f>ROUND('[6]2036'!E17,2)</f>
        <v>33480.43</v>
      </c>
      <c r="F258" s="79">
        <f>ROUND('[6]2036'!F17,2)</f>
        <v>31835.53</v>
      </c>
      <c r="G258" s="79">
        <f>ROUND('[6]2036'!G17,2)</f>
        <v>30509.16</v>
      </c>
      <c r="H258" s="79">
        <f>ROUND('[6]2036'!H17,2)</f>
        <v>29536.04</v>
      </c>
      <c r="I258" s="79">
        <f>ROUND('[6]2036'!I17,2)</f>
        <v>29057.1</v>
      </c>
      <c r="J258" s="79">
        <f>ROUND('[6]2036'!J17,2)</f>
        <v>28904.68</v>
      </c>
      <c r="K258" s="79">
        <f>ROUND('[6]2036'!K17,2)</f>
        <v>27347.39</v>
      </c>
      <c r="L258" s="79">
        <f>ROUND('[6]2036'!L17,2)</f>
        <v>28567.43</v>
      </c>
      <c r="M258" s="79">
        <f>ROUND('[6]2036'!M17,2)</f>
        <v>30523.08</v>
      </c>
      <c r="N258" s="79">
        <f>ROUND('[6]2036'!N17,2)</f>
        <v>32028.86</v>
      </c>
      <c r="O258" s="79">
        <f>ROUND('[6]2036'!O17,2)</f>
        <v>33469.47</v>
      </c>
      <c r="P258" s="79">
        <f>ROUND('[6]2036'!P17,2)</f>
        <v>34634.870000000003</v>
      </c>
      <c r="Q258" s="79">
        <f>ROUND('[6]2036'!Q17,2)</f>
        <v>35429.15</v>
      </c>
      <c r="R258" s="79">
        <f>ROUND('[6]2036'!R17,2)</f>
        <v>35524.720000000001</v>
      </c>
      <c r="S258" s="79">
        <f>ROUND('[6]2036'!S17,2)</f>
        <v>35542.720000000001</v>
      </c>
      <c r="T258" s="79">
        <f>ROUND('[6]2036'!T17,2)</f>
        <v>35665.01</v>
      </c>
      <c r="U258" s="79">
        <f>ROUND('[6]2036'!U17,2)</f>
        <v>35683.129999999997</v>
      </c>
      <c r="V258" s="79">
        <f>ROUND('[6]2036'!V17,2)</f>
        <v>36059.949999999997</v>
      </c>
      <c r="W258" s="79">
        <f>ROUND('[6]2036'!W17,2)</f>
        <v>40767.51</v>
      </c>
      <c r="X258" s="79">
        <f>ROUND('[6]2036'!X17,2)</f>
        <v>41935.230000000003</v>
      </c>
      <c r="Y258" s="79">
        <f>ROUND('[6]2036'!Y17,2)</f>
        <v>41491.54</v>
      </c>
      <c r="Z258" s="79">
        <f>ROUND('[6]2036'!Z17,2)</f>
        <v>40126.67</v>
      </c>
      <c r="AA258" s="79">
        <f>ROUND('[6]2036'!AA17,2)</f>
        <v>37682.400000000001</v>
      </c>
      <c r="AB258" s="79">
        <f>ROUND('[6]2036'!AB17,2)</f>
        <v>34766.51</v>
      </c>
      <c r="AC258" s="210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</row>
    <row r="259" spans="2:50" ht="18.649999999999999" customHeight="1" thickBot="1" x14ac:dyDescent="0.4">
      <c r="B259" s="208"/>
      <c r="C259" s="15" t="s">
        <v>32</v>
      </c>
      <c r="D259" s="16">
        <f>+'[6]2036'!D18</f>
        <v>2</v>
      </c>
      <c r="E259" s="80">
        <f>ROUND('[6]2036'!E18,2)</f>
        <v>33480.43</v>
      </c>
      <c r="F259" s="80">
        <f>ROUND('[6]2036'!F18,2)</f>
        <v>31835.53</v>
      </c>
      <c r="G259" s="80">
        <f>ROUND('[6]2036'!G18,2)</f>
        <v>30509.16</v>
      </c>
      <c r="H259" s="80">
        <f>ROUND('[6]2036'!H18,2)</f>
        <v>29536.04</v>
      </c>
      <c r="I259" s="80">
        <f>ROUND('[6]2036'!I18,2)</f>
        <v>29057.1</v>
      </c>
      <c r="J259" s="80">
        <f>ROUND('[6]2036'!J18,2)</f>
        <v>28904.68</v>
      </c>
      <c r="K259" s="80">
        <f>ROUND('[6]2036'!K18,2)</f>
        <v>27347.39</v>
      </c>
      <c r="L259" s="80">
        <f>ROUND('[6]2036'!L18,2)</f>
        <v>28567.43</v>
      </c>
      <c r="M259" s="80">
        <f>ROUND('[6]2036'!M18,2)</f>
        <v>30523.08</v>
      </c>
      <c r="N259" s="80">
        <f>ROUND('[6]2036'!N18,2)</f>
        <v>32028.86</v>
      </c>
      <c r="O259" s="80">
        <f>ROUND('[6]2036'!O18,2)</f>
        <v>33469.47</v>
      </c>
      <c r="P259" s="80">
        <f>ROUND('[6]2036'!P18,2)</f>
        <v>34634.870000000003</v>
      </c>
      <c r="Q259" s="80">
        <f>ROUND('[6]2036'!Q18,2)</f>
        <v>35429.15</v>
      </c>
      <c r="R259" s="80">
        <f>ROUND('[6]2036'!R18,2)</f>
        <v>35524.720000000001</v>
      </c>
      <c r="S259" s="80">
        <f>ROUND('[6]2036'!S18,2)</f>
        <v>35542.720000000001</v>
      </c>
      <c r="T259" s="80">
        <f>ROUND('[6]2036'!T18,2)</f>
        <v>35665.01</v>
      </c>
      <c r="U259" s="80">
        <f>ROUND('[6]2036'!U18,2)</f>
        <v>35683.129999999997</v>
      </c>
      <c r="V259" s="80">
        <f>ROUND('[6]2036'!V18,2)</f>
        <v>36059.949999999997</v>
      </c>
      <c r="W259" s="80">
        <f>ROUND('[6]2036'!W18,2)</f>
        <v>40767.51</v>
      </c>
      <c r="X259" s="80">
        <f>ROUND('[6]2036'!X18,2)</f>
        <v>41935.230000000003</v>
      </c>
      <c r="Y259" s="80">
        <f>ROUND('[6]2036'!Y18,2)</f>
        <v>41491.54</v>
      </c>
      <c r="Z259" s="80">
        <f>ROUND('[6]2036'!Z18,2)</f>
        <v>40126.67</v>
      </c>
      <c r="AA259" s="80">
        <f>ROUND('[6]2036'!AA18,2)</f>
        <v>37682.400000000001</v>
      </c>
      <c r="AB259" s="80">
        <f>ROUND('[6]2036'!AB18,2)</f>
        <v>34766.51</v>
      </c>
      <c r="AC259" s="210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</row>
    <row r="260" spans="2:50" ht="18.649999999999999" customHeight="1" x14ac:dyDescent="0.35">
      <c r="B260" s="211">
        <v>49706</v>
      </c>
      <c r="C260" s="6" t="s">
        <v>29</v>
      </c>
      <c r="D260" s="7">
        <f>+'[6]2036'!D19</f>
        <v>21</v>
      </c>
      <c r="E260" s="78">
        <f>ROUND('[6]2036'!E19,2)</f>
        <v>34074.120000000003</v>
      </c>
      <c r="F260" s="78">
        <f>ROUND('[6]2036'!F19,2)</f>
        <v>32401.439999999999</v>
      </c>
      <c r="G260" s="78">
        <f>ROUND('[6]2036'!G19,2)</f>
        <v>31066.14</v>
      </c>
      <c r="H260" s="78">
        <f>ROUND('[6]2036'!H19,2)</f>
        <v>30098.17</v>
      </c>
      <c r="I260" s="78">
        <f>ROUND('[6]2036'!I19,2)</f>
        <v>30064.45</v>
      </c>
      <c r="J260" s="78">
        <f>ROUND('[6]2036'!J19,2)</f>
        <v>31871.51</v>
      </c>
      <c r="K260" s="78">
        <f>ROUND('[6]2036'!K19,2)</f>
        <v>31564.66</v>
      </c>
      <c r="L260" s="78">
        <f>ROUND('[6]2036'!L19,2)</f>
        <v>34636.949999999997</v>
      </c>
      <c r="M260" s="78">
        <f>ROUND('[6]2036'!M19,2)</f>
        <v>38016.92</v>
      </c>
      <c r="N260" s="78">
        <f>ROUND('[6]2036'!N19,2)</f>
        <v>39656.93</v>
      </c>
      <c r="O260" s="78">
        <f>ROUND('[6]2036'!O19,2)</f>
        <v>41637.800000000003</v>
      </c>
      <c r="P260" s="78">
        <f>ROUND('[6]2036'!P19,2)</f>
        <v>43204.25</v>
      </c>
      <c r="Q260" s="78">
        <f>ROUND('[6]2036'!Q19,2)</f>
        <v>41759.19</v>
      </c>
      <c r="R260" s="78">
        <f>ROUND('[6]2036'!R19,2)</f>
        <v>43259.54</v>
      </c>
      <c r="S260" s="78">
        <f>ROUND('[6]2036'!S19,2)</f>
        <v>45670.05</v>
      </c>
      <c r="T260" s="78">
        <f>ROUND('[6]2036'!T19,2)</f>
        <v>46043.48</v>
      </c>
      <c r="U260" s="78">
        <f>ROUND('[6]2036'!U19,2)</f>
        <v>45356.28</v>
      </c>
      <c r="V260" s="78">
        <f>ROUND('[6]2036'!V19,2)</f>
        <v>43507.01</v>
      </c>
      <c r="W260" s="78">
        <f>ROUND('[6]2036'!W19,2)</f>
        <v>46085.97</v>
      </c>
      <c r="X260" s="78">
        <f>ROUND('[6]2036'!X19,2)</f>
        <v>46737.61</v>
      </c>
      <c r="Y260" s="78">
        <f>ROUND('[6]2036'!Y19,2)</f>
        <v>45730.02</v>
      </c>
      <c r="Z260" s="78">
        <f>ROUND('[6]2036'!Z19,2)</f>
        <v>43713.31</v>
      </c>
      <c r="AA260" s="78">
        <f>ROUND('[6]2036'!AA19,2)</f>
        <v>40270.400000000001</v>
      </c>
      <c r="AB260" s="78">
        <f>ROUND('[6]2036'!AB19,2)</f>
        <v>36856.71</v>
      </c>
      <c r="AC260" s="209">
        <f>SUM(E260:AB260)*D260+SUM(E261:AB261)*D261+SUM(E262:AB262)*D262+SUM(E263:AB263)*D263</f>
        <v>26750499.27</v>
      </c>
      <c r="AD260" s="18"/>
    </row>
    <row r="261" spans="2:50" ht="18.649999999999999" customHeight="1" x14ac:dyDescent="0.35">
      <c r="B261" s="212" t="s">
        <v>34</v>
      </c>
      <c r="C261" s="9" t="s">
        <v>30</v>
      </c>
      <c r="D261" s="10">
        <f>+'[6]2036'!D20</f>
        <v>4</v>
      </c>
      <c r="E261" s="79">
        <f>ROUND('[6]2036'!E20,2)</f>
        <v>34544.04</v>
      </c>
      <c r="F261" s="79">
        <f>ROUND('[6]2036'!F20,2)</f>
        <v>32676.26</v>
      </c>
      <c r="G261" s="79">
        <f>ROUND('[6]2036'!G20,2)</f>
        <v>31458.21</v>
      </c>
      <c r="H261" s="79">
        <f>ROUND('[6]2036'!H20,2)</f>
        <v>30300.37</v>
      </c>
      <c r="I261" s="79">
        <f>ROUND('[6]2036'!I20,2)</f>
        <v>29935.62</v>
      </c>
      <c r="J261" s="79">
        <f>ROUND('[6]2036'!J20,2)</f>
        <v>30283.47</v>
      </c>
      <c r="K261" s="79">
        <f>ROUND('[6]2036'!K20,2)</f>
        <v>29746.46</v>
      </c>
      <c r="L261" s="79">
        <f>ROUND('[6]2036'!L20,2)</f>
        <v>32495.200000000001</v>
      </c>
      <c r="M261" s="79">
        <f>ROUND('[6]2036'!M20,2)</f>
        <v>35859.949999999997</v>
      </c>
      <c r="N261" s="79">
        <f>ROUND('[6]2036'!N20,2)</f>
        <v>37858.269999999997</v>
      </c>
      <c r="O261" s="79">
        <f>ROUND('[6]2036'!O20,2)</f>
        <v>39695.019999999997</v>
      </c>
      <c r="P261" s="79">
        <f>ROUND('[6]2036'!P20,2)</f>
        <v>40618.300000000003</v>
      </c>
      <c r="Q261" s="79">
        <f>ROUND('[6]2036'!Q20,2)</f>
        <v>39970.370000000003</v>
      </c>
      <c r="R261" s="79">
        <f>ROUND('[6]2036'!R20,2)</f>
        <v>39452.15</v>
      </c>
      <c r="S261" s="79">
        <f>ROUND('[6]2036'!S20,2)</f>
        <v>39633.68</v>
      </c>
      <c r="T261" s="79">
        <f>ROUND('[6]2036'!T20,2)</f>
        <v>39747.11</v>
      </c>
      <c r="U261" s="79">
        <f>ROUND('[6]2036'!U20,2)</f>
        <v>39467.74</v>
      </c>
      <c r="V261" s="79">
        <f>ROUND('[6]2036'!V20,2)</f>
        <v>39351.769999999997</v>
      </c>
      <c r="W261" s="79">
        <f>ROUND('[6]2036'!W20,2)</f>
        <v>43437.16</v>
      </c>
      <c r="X261" s="79">
        <f>ROUND('[6]2036'!X20,2)</f>
        <v>44066.48</v>
      </c>
      <c r="Y261" s="79">
        <f>ROUND('[6]2036'!Y20,2)</f>
        <v>43036.3</v>
      </c>
      <c r="Z261" s="79">
        <f>ROUND('[6]2036'!Z20,2)</f>
        <v>41396.78</v>
      </c>
      <c r="AA261" s="79">
        <f>ROUND('[6]2036'!AA20,2)</f>
        <v>39232.42</v>
      </c>
      <c r="AB261" s="79">
        <f>ROUND('[6]2036'!AB20,2)</f>
        <v>36655.199999999997</v>
      </c>
      <c r="AC261" s="210"/>
      <c r="AD261" s="18"/>
    </row>
    <row r="262" spans="2:50" ht="18.649999999999999" customHeight="1" x14ac:dyDescent="0.35">
      <c r="B262" s="212" t="s">
        <v>34</v>
      </c>
      <c r="C262" s="9" t="s">
        <v>31</v>
      </c>
      <c r="D262" s="10">
        <f>+'[6]2036'!D21</f>
        <v>4</v>
      </c>
      <c r="E262" s="79">
        <f>ROUND('[6]2036'!E21,2)</f>
        <v>34447.86</v>
      </c>
      <c r="F262" s="79">
        <f>ROUND('[6]2036'!F21,2)</f>
        <v>32783.65</v>
      </c>
      <c r="G262" s="79">
        <f>ROUND('[6]2036'!G21,2)</f>
        <v>31439.86</v>
      </c>
      <c r="H262" s="79">
        <f>ROUND('[6]2036'!H21,2)</f>
        <v>30442.1</v>
      </c>
      <c r="I262" s="79">
        <f>ROUND('[6]2036'!I21,2)</f>
        <v>29928.47</v>
      </c>
      <c r="J262" s="79">
        <f>ROUND('[6]2036'!J21,2)</f>
        <v>29895.14</v>
      </c>
      <c r="K262" s="79">
        <f>ROUND('[6]2036'!K21,2)</f>
        <v>28326.3</v>
      </c>
      <c r="L262" s="79">
        <f>ROUND('[6]2036'!L21,2)</f>
        <v>29548</v>
      </c>
      <c r="M262" s="79">
        <f>ROUND('[6]2036'!M21,2)</f>
        <v>31412</v>
      </c>
      <c r="N262" s="79">
        <f>ROUND('[6]2036'!N21,2)</f>
        <v>32732.49</v>
      </c>
      <c r="O262" s="79">
        <f>ROUND('[6]2036'!O21,2)</f>
        <v>34076.89</v>
      </c>
      <c r="P262" s="79">
        <f>ROUND('[6]2036'!P21,2)</f>
        <v>35325.660000000003</v>
      </c>
      <c r="Q262" s="79">
        <f>ROUND('[6]2036'!Q21,2)</f>
        <v>36154.910000000003</v>
      </c>
      <c r="R262" s="79">
        <f>ROUND('[6]2036'!R21,2)</f>
        <v>36369.9</v>
      </c>
      <c r="S262" s="79">
        <f>ROUND('[6]2036'!S21,2)</f>
        <v>36732.239999999998</v>
      </c>
      <c r="T262" s="79">
        <f>ROUND('[6]2036'!T21,2)</f>
        <v>37017.089999999997</v>
      </c>
      <c r="U262" s="79">
        <f>ROUND('[6]2036'!U21,2)</f>
        <v>36897.71</v>
      </c>
      <c r="V262" s="79">
        <f>ROUND('[6]2036'!V21,2)</f>
        <v>36671.1</v>
      </c>
      <c r="W262" s="79">
        <f>ROUND('[6]2036'!W21,2)</f>
        <v>41444.5</v>
      </c>
      <c r="X262" s="79">
        <f>ROUND('[6]2036'!X21,2)</f>
        <v>43163.34</v>
      </c>
      <c r="Y262" s="79">
        <f>ROUND('[6]2036'!Y21,2)</f>
        <v>43147.32</v>
      </c>
      <c r="Z262" s="79">
        <f>ROUND('[6]2036'!Z21,2)</f>
        <v>42122.8</v>
      </c>
      <c r="AA262" s="79">
        <f>ROUND('[6]2036'!AA21,2)</f>
        <v>38703.730000000003</v>
      </c>
      <c r="AB262" s="79">
        <f>ROUND('[6]2036'!AB21,2)</f>
        <v>35688.15</v>
      </c>
      <c r="AC262" s="210"/>
      <c r="AD262" s="18"/>
    </row>
    <row r="263" spans="2:50" ht="18.649999999999999" customHeight="1" thickBot="1" x14ac:dyDescent="0.4">
      <c r="B263" s="213" t="s">
        <v>34</v>
      </c>
      <c r="C263" s="11" t="s">
        <v>32</v>
      </c>
      <c r="D263" s="12">
        <f>+'[6]2036'!D22</f>
        <v>0</v>
      </c>
      <c r="E263" s="75">
        <f>ROUND('[6]2036'!E22,2)</f>
        <v>0</v>
      </c>
      <c r="F263" s="75">
        <f>ROUND('[6]2036'!F22,2)</f>
        <v>0</v>
      </c>
      <c r="G263" s="75">
        <f>ROUND('[6]2036'!G22,2)</f>
        <v>0</v>
      </c>
      <c r="H263" s="75">
        <f>ROUND('[6]2036'!H22,2)</f>
        <v>0</v>
      </c>
      <c r="I263" s="75">
        <f>ROUND('[6]2036'!I22,2)</f>
        <v>0</v>
      </c>
      <c r="J263" s="75">
        <f>ROUND('[6]2036'!J22,2)</f>
        <v>0</v>
      </c>
      <c r="K263" s="75">
        <f>ROUND('[6]2036'!K22,2)</f>
        <v>0</v>
      </c>
      <c r="L263" s="75">
        <f>ROUND('[6]2036'!L22,2)</f>
        <v>0</v>
      </c>
      <c r="M263" s="75">
        <f>ROUND('[6]2036'!M22,2)</f>
        <v>0</v>
      </c>
      <c r="N263" s="75">
        <f>ROUND('[6]2036'!N22,2)</f>
        <v>0</v>
      </c>
      <c r="O263" s="75">
        <f>ROUND('[6]2036'!O22,2)</f>
        <v>0</v>
      </c>
      <c r="P263" s="75">
        <f>ROUND('[6]2036'!P22,2)</f>
        <v>0</v>
      </c>
      <c r="Q263" s="75">
        <f>ROUND('[6]2036'!Q22,2)</f>
        <v>0</v>
      </c>
      <c r="R263" s="75">
        <f>ROUND('[6]2036'!R22,2)</f>
        <v>0</v>
      </c>
      <c r="S263" s="75">
        <f>ROUND('[6]2036'!S22,2)</f>
        <v>0</v>
      </c>
      <c r="T263" s="75">
        <f>ROUND('[6]2036'!T22,2)</f>
        <v>0</v>
      </c>
      <c r="U263" s="75">
        <f>ROUND('[6]2036'!U22,2)</f>
        <v>0</v>
      </c>
      <c r="V263" s="75">
        <f>ROUND('[6]2036'!V22,2)</f>
        <v>0</v>
      </c>
      <c r="W263" s="75">
        <f>ROUND('[6]2036'!W22,2)</f>
        <v>0</v>
      </c>
      <c r="X263" s="75">
        <f>ROUND('[6]2036'!X22,2)</f>
        <v>0</v>
      </c>
      <c r="Y263" s="75">
        <f>ROUND('[6]2036'!Y22,2)</f>
        <v>0</v>
      </c>
      <c r="Z263" s="75">
        <f>ROUND('[6]2036'!Z22,2)</f>
        <v>0</v>
      </c>
      <c r="AA263" s="75">
        <f>ROUND('[6]2036'!AA22,2)</f>
        <v>0</v>
      </c>
      <c r="AB263" s="75">
        <f>ROUND('[6]2036'!AB22,2)</f>
        <v>0</v>
      </c>
      <c r="AC263" s="214"/>
      <c r="AD263" s="18"/>
    </row>
    <row r="264" spans="2:50" ht="18.649999999999999" customHeight="1" x14ac:dyDescent="0.35">
      <c r="B264" s="207">
        <v>49735</v>
      </c>
      <c r="C264" s="13" t="s">
        <v>29</v>
      </c>
      <c r="D264" s="14">
        <f>+'[6]2036'!D23</f>
        <v>20</v>
      </c>
      <c r="E264" s="81">
        <f>ROUND('[6]2036'!E23,2)</f>
        <v>33013.160000000003</v>
      </c>
      <c r="F264" s="81">
        <f>ROUND('[6]2036'!F23,2)</f>
        <v>31380.2</v>
      </c>
      <c r="G264" s="81">
        <f>ROUND('[6]2036'!G23,2)</f>
        <v>30162.11</v>
      </c>
      <c r="H264" s="81">
        <f>ROUND('[6]2036'!H23,2)</f>
        <v>29362.59</v>
      </c>
      <c r="I264" s="81">
        <f>ROUND('[6]2036'!I23,2)</f>
        <v>29497.34</v>
      </c>
      <c r="J264" s="81">
        <f>ROUND('[6]2036'!J23,2)</f>
        <v>31072.42</v>
      </c>
      <c r="K264" s="81">
        <f>ROUND('[6]2036'!K23,2)</f>
        <v>31074.92</v>
      </c>
      <c r="L264" s="81">
        <f>ROUND('[6]2036'!L23,2)</f>
        <v>34444.03</v>
      </c>
      <c r="M264" s="81">
        <f>ROUND('[6]2036'!M23,2)</f>
        <v>37766.28</v>
      </c>
      <c r="N264" s="81">
        <f>ROUND('[6]2036'!N23,2)</f>
        <v>39488.81</v>
      </c>
      <c r="O264" s="81">
        <f>ROUND('[6]2036'!O23,2)</f>
        <v>41460.910000000003</v>
      </c>
      <c r="P264" s="81">
        <f>ROUND('[6]2036'!P23,2)</f>
        <v>42754</v>
      </c>
      <c r="Q264" s="81">
        <f>ROUND('[6]2036'!Q23,2)</f>
        <v>40819.74</v>
      </c>
      <c r="R264" s="81">
        <f>ROUND('[6]2036'!R23,2)</f>
        <v>42166.1</v>
      </c>
      <c r="S264" s="81">
        <f>ROUND('[6]2036'!S23,2)</f>
        <v>44483.19</v>
      </c>
      <c r="T264" s="81">
        <f>ROUND('[6]2036'!T23,2)</f>
        <v>44972.65</v>
      </c>
      <c r="U264" s="81">
        <f>ROUND('[6]2036'!U23,2)</f>
        <v>44481.56</v>
      </c>
      <c r="V264" s="81">
        <f>ROUND('[6]2036'!V23,2)</f>
        <v>42918.48</v>
      </c>
      <c r="W264" s="81">
        <f>ROUND('[6]2036'!W23,2)</f>
        <v>45542.85</v>
      </c>
      <c r="X264" s="81">
        <f>ROUND('[6]2036'!X23,2)</f>
        <v>45950.38</v>
      </c>
      <c r="Y264" s="81">
        <f>ROUND('[6]2036'!Y23,2)</f>
        <v>44604.69</v>
      </c>
      <c r="Z264" s="81">
        <f>ROUND('[6]2036'!Z23,2)</f>
        <v>42379.47</v>
      </c>
      <c r="AA264" s="81">
        <f>ROUND('[6]2036'!AA23,2)</f>
        <v>39035.599999999999</v>
      </c>
      <c r="AB264" s="81">
        <f>ROUND('[6]2036'!AB23,2)</f>
        <v>35640.9</v>
      </c>
      <c r="AC264" s="210">
        <f>SUM(E264:AB264)*D264+SUM(E265:AB265)*D265+SUM(E266:AB266)*D266+SUM(E267:AB267)*D267</f>
        <v>28016368.689999998</v>
      </c>
      <c r="AD264" s="18"/>
    </row>
    <row r="265" spans="2:50" ht="18.649999999999999" customHeight="1" x14ac:dyDescent="0.35">
      <c r="B265" s="208"/>
      <c r="C265" s="9" t="s">
        <v>30</v>
      </c>
      <c r="D265" s="10">
        <f>+'[6]2036'!D24</f>
        <v>5</v>
      </c>
      <c r="E265" s="79">
        <f>ROUND('[6]2036'!E24,2)</f>
        <v>33206.43</v>
      </c>
      <c r="F265" s="79">
        <f>ROUND('[6]2036'!F24,2)</f>
        <v>31568.21</v>
      </c>
      <c r="G265" s="79">
        <f>ROUND('[6]2036'!G24,2)</f>
        <v>30275.91</v>
      </c>
      <c r="H265" s="79">
        <f>ROUND('[6]2036'!H24,2)</f>
        <v>29420.5</v>
      </c>
      <c r="I265" s="79">
        <f>ROUND('[6]2036'!I24,2)</f>
        <v>29204.38</v>
      </c>
      <c r="J265" s="79">
        <f>ROUND('[6]2036'!J24,2)</f>
        <v>29536.94</v>
      </c>
      <c r="K265" s="79">
        <f>ROUND('[6]2036'!K24,2)</f>
        <v>29394.959999999999</v>
      </c>
      <c r="L265" s="79">
        <f>ROUND('[6]2036'!L24,2)</f>
        <v>32486.33</v>
      </c>
      <c r="M265" s="79">
        <f>ROUND('[6]2036'!M24,2)</f>
        <v>36082.79</v>
      </c>
      <c r="N265" s="79">
        <f>ROUND('[6]2036'!N24,2)</f>
        <v>38175.4</v>
      </c>
      <c r="O265" s="79">
        <f>ROUND('[6]2036'!O24,2)</f>
        <v>40052.589999999997</v>
      </c>
      <c r="P265" s="79">
        <f>ROUND('[6]2036'!P24,2)</f>
        <v>41169.199999999997</v>
      </c>
      <c r="Q265" s="79">
        <f>ROUND('[6]2036'!Q24,2)</f>
        <v>40461.620000000003</v>
      </c>
      <c r="R265" s="79">
        <f>ROUND('[6]2036'!R24,2)</f>
        <v>39922.129999999997</v>
      </c>
      <c r="S265" s="79">
        <f>ROUND('[6]2036'!S24,2)</f>
        <v>40238.33</v>
      </c>
      <c r="T265" s="79">
        <f>ROUND('[6]2036'!T24,2)</f>
        <v>40291.03</v>
      </c>
      <c r="U265" s="79">
        <f>ROUND('[6]2036'!U24,2)</f>
        <v>39933.69</v>
      </c>
      <c r="V265" s="79">
        <f>ROUND('[6]2036'!V24,2)</f>
        <v>39688.17</v>
      </c>
      <c r="W265" s="79">
        <f>ROUND('[6]2036'!W24,2)</f>
        <v>43826.85</v>
      </c>
      <c r="X265" s="79">
        <f>ROUND('[6]2036'!X24,2)</f>
        <v>44533.440000000002</v>
      </c>
      <c r="Y265" s="79">
        <f>ROUND('[6]2036'!Y24,2)</f>
        <v>43295.69</v>
      </c>
      <c r="Z265" s="79">
        <f>ROUND('[6]2036'!Z24,2)</f>
        <v>41609.300000000003</v>
      </c>
      <c r="AA265" s="79">
        <f>ROUND('[6]2036'!AA24,2)</f>
        <v>39263.230000000003</v>
      </c>
      <c r="AB265" s="79">
        <f>ROUND('[6]2036'!AB24,2)</f>
        <v>36690.69</v>
      </c>
      <c r="AC265" s="210"/>
      <c r="AD265" s="18"/>
    </row>
    <row r="266" spans="2:50" ht="18.649999999999999" customHeight="1" x14ac:dyDescent="0.35">
      <c r="B266" s="208"/>
      <c r="C266" s="9" t="s">
        <v>31</v>
      </c>
      <c r="D266" s="10">
        <f>+'[6]2036'!D25</f>
        <v>5</v>
      </c>
      <c r="E266" s="79">
        <f>ROUND('[6]2036'!E25,2)</f>
        <v>34096.75</v>
      </c>
      <c r="F266" s="79">
        <f>ROUND('[6]2036'!F25,2)</f>
        <v>32341.68</v>
      </c>
      <c r="G266" s="79">
        <f>ROUND('[6]2036'!G25,2)</f>
        <v>30977.96</v>
      </c>
      <c r="H266" s="79">
        <f>ROUND('[6]2036'!H25,2)</f>
        <v>30000.66</v>
      </c>
      <c r="I266" s="79">
        <f>ROUND('[6]2036'!I25,2)</f>
        <v>29509.39</v>
      </c>
      <c r="J266" s="79">
        <f>ROUND('[6]2036'!J25,2)</f>
        <v>29288.66</v>
      </c>
      <c r="K266" s="79">
        <f>ROUND('[6]2036'!K25,2)</f>
        <v>28182.02</v>
      </c>
      <c r="L266" s="79">
        <f>ROUND('[6]2036'!L25,2)</f>
        <v>29674.54</v>
      </c>
      <c r="M266" s="79">
        <f>ROUND('[6]2036'!M25,2)</f>
        <v>31771.439999999999</v>
      </c>
      <c r="N266" s="79">
        <f>ROUND('[6]2036'!N25,2)</f>
        <v>33289.31</v>
      </c>
      <c r="O266" s="79">
        <f>ROUND('[6]2036'!O25,2)</f>
        <v>34646.03</v>
      </c>
      <c r="P266" s="79">
        <f>ROUND('[6]2036'!P25,2)</f>
        <v>35815</v>
      </c>
      <c r="Q266" s="79">
        <f>ROUND('[6]2036'!Q25,2)</f>
        <v>36557.160000000003</v>
      </c>
      <c r="R266" s="79">
        <f>ROUND('[6]2036'!R25,2)</f>
        <v>36690.26</v>
      </c>
      <c r="S266" s="79">
        <f>ROUND('[6]2036'!S25,2)</f>
        <v>36831.1</v>
      </c>
      <c r="T266" s="79">
        <f>ROUND('[6]2036'!T25,2)</f>
        <v>37233.85</v>
      </c>
      <c r="U266" s="79">
        <f>ROUND('[6]2036'!U25,2)</f>
        <v>37094.46</v>
      </c>
      <c r="V266" s="79">
        <f>ROUND('[6]2036'!V25,2)</f>
        <v>37278.089999999997</v>
      </c>
      <c r="W266" s="79">
        <f>ROUND('[6]2036'!W25,2)</f>
        <v>41676.83</v>
      </c>
      <c r="X266" s="79">
        <f>ROUND('[6]2036'!X25,2)</f>
        <v>43197.72</v>
      </c>
      <c r="Y266" s="79">
        <f>ROUND('[6]2036'!Y25,2)</f>
        <v>43037.61</v>
      </c>
      <c r="Z266" s="79">
        <f>ROUND('[6]2036'!Z25,2)</f>
        <v>41774.980000000003</v>
      </c>
      <c r="AA266" s="79">
        <f>ROUND('[6]2036'!AA25,2)</f>
        <v>39034.080000000002</v>
      </c>
      <c r="AB266" s="79">
        <f>ROUND('[6]2036'!AB25,2)</f>
        <v>35880.76</v>
      </c>
      <c r="AC266" s="210"/>
      <c r="AD266" s="18"/>
    </row>
    <row r="267" spans="2:50" ht="18.649999999999999" customHeight="1" thickBot="1" x14ac:dyDescent="0.4">
      <c r="B267" s="208"/>
      <c r="C267" s="15" t="s">
        <v>32</v>
      </c>
      <c r="D267" s="16">
        <f>+'[6]2036'!D26</f>
        <v>1</v>
      </c>
      <c r="E267" s="80">
        <f>ROUND('[6]2036'!E26,2)</f>
        <v>34096.75</v>
      </c>
      <c r="F267" s="80">
        <f>ROUND('[6]2036'!F26,2)</f>
        <v>32341.68</v>
      </c>
      <c r="G267" s="80">
        <f>ROUND('[6]2036'!G26,2)</f>
        <v>30977.96</v>
      </c>
      <c r="H267" s="80">
        <f>ROUND('[6]2036'!H26,2)</f>
        <v>30000.66</v>
      </c>
      <c r="I267" s="80">
        <f>ROUND('[6]2036'!I26,2)</f>
        <v>29509.39</v>
      </c>
      <c r="J267" s="80">
        <f>ROUND('[6]2036'!J26,2)</f>
        <v>29288.66</v>
      </c>
      <c r="K267" s="80">
        <f>ROUND('[6]2036'!K26,2)</f>
        <v>28182.02</v>
      </c>
      <c r="L267" s="80">
        <f>ROUND('[6]2036'!L26,2)</f>
        <v>29674.54</v>
      </c>
      <c r="M267" s="80">
        <f>ROUND('[6]2036'!M26,2)</f>
        <v>31771.439999999999</v>
      </c>
      <c r="N267" s="80">
        <f>ROUND('[6]2036'!N26,2)</f>
        <v>33289.31</v>
      </c>
      <c r="O267" s="80">
        <f>ROUND('[6]2036'!O26,2)</f>
        <v>34646.03</v>
      </c>
      <c r="P267" s="80">
        <f>ROUND('[6]2036'!P26,2)</f>
        <v>35815</v>
      </c>
      <c r="Q267" s="80">
        <f>ROUND('[6]2036'!Q26,2)</f>
        <v>36557.160000000003</v>
      </c>
      <c r="R267" s="80">
        <f>ROUND('[6]2036'!R26,2)</f>
        <v>36690.26</v>
      </c>
      <c r="S267" s="80">
        <f>ROUND('[6]2036'!S26,2)</f>
        <v>36831.1</v>
      </c>
      <c r="T267" s="80">
        <f>ROUND('[6]2036'!T26,2)</f>
        <v>37233.85</v>
      </c>
      <c r="U267" s="80">
        <f>ROUND('[6]2036'!U26,2)</f>
        <v>37094.46</v>
      </c>
      <c r="V267" s="80">
        <f>ROUND('[6]2036'!V26,2)</f>
        <v>37278.089999999997</v>
      </c>
      <c r="W267" s="80">
        <f>ROUND('[6]2036'!W26,2)</f>
        <v>41676.83</v>
      </c>
      <c r="X267" s="80">
        <f>ROUND('[6]2036'!X26,2)</f>
        <v>43197.72</v>
      </c>
      <c r="Y267" s="80">
        <f>ROUND('[6]2036'!Y26,2)</f>
        <v>43037.61</v>
      </c>
      <c r="Z267" s="80">
        <f>ROUND('[6]2036'!Z26,2)</f>
        <v>41774.980000000003</v>
      </c>
      <c r="AA267" s="80">
        <f>ROUND('[6]2036'!AA26,2)</f>
        <v>39034.080000000002</v>
      </c>
      <c r="AB267" s="80">
        <f>ROUND('[6]2036'!AB26,2)</f>
        <v>35880.76</v>
      </c>
      <c r="AC267" s="210"/>
      <c r="AD267" s="18"/>
    </row>
    <row r="268" spans="2:50" ht="18.649999999999999" customHeight="1" x14ac:dyDescent="0.35">
      <c r="B268" s="211">
        <v>49766</v>
      </c>
      <c r="C268" s="6" t="s">
        <v>29</v>
      </c>
      <c r="D268" s="7">
        <f>+'[6]2036'!D27</f>
        <v>20</v>
      </c>
      <c r="E268" s="78">
        <f>ROUND('[6]2036'!E27,2)</f>
        <v>32245.24</v>
      </c>
      <c r="F268" s="78">
        <f>ROUND('[6]2036'!F27,2)</f>
        <v>30639.360000000001</v>
      </c>
      <c r="G268" s="78">
        <f>ROUND('[6]2036'!G27,2)</f>
        <v>29464.71</v>
      </c>
      <c r="H268" s="78">
        <f>ROUND('[6]2036'!H27,2)</f>
        <v>28664.639999999999</v>
      </c>
      <c r="I268" s="78">
        <f>ROUND('[6]2036'!I27,2)</f>
        <v>28787.21</v>
      </c>
      <c r="J268" s="78">
        <f>ROUND('[6]2036'!J27,2)</f>
        <v>29709.119999999999</v>
      </c>
      <c r="K268" s="78">
        <f>ROUND('[6]2036'!K27,2)</f>
        <v>30037.71</v>
      </c>
      <c r="L268" s="78">
        <f>ROUND('[6]2036'!L27,2)</f>
        <v>33458.839999999997</v>
      </c>
      <c r="M268" s="78">
        <f>ROUND('[6]2036'!M27,2)</f>
        <v>36980.550000000003</v>
      </c>
      <c r="N268" s="78">
        <f>ROUND('[6]2036'!N27,2)</f>
        <v>38607.660000000003</v>
      </c>
      <c r="O268" s="78">
        <f>ROUND('[6]2036'!O27,2)</f>
        <v>40419.629999999997</v>
      </c>
      <c r="P268" s="78">
        <f>ROUND('[6]2036'!P27,2)</f>
        <v>41952.79</v>
      </c>
      <c r="Q268" s="78">
        <f>ROUND('[6]2036'!Q27,2)</f>
        <v>40308.97</v>
      </c>
      <c r="R268" s="78">
        <f>ROUND('[6]2036'!R27,2)</f>
        <v>41494.03</v>
      </c>
      <c r="S268" s="78">
        <f>ROUND('[6]2036'!S27,2)</f>
        <v>43801.95</v>
      </c>
      <c r="T268" s="78">
        <f>ROUND('[6]2036'!T27,2)</f>
        <v>44082.25</v>
      </c>
      <c r="U268" s="78">
        <f>ROUND('[6]2036'!U27,2)</f>
        <v>43414.400000000001</v>
      </c>
      <c r="V268" s="78">
        <f>ROUND('[6]2036'!V27,2)</f>
        <v>42286.99</v>
      </c>
      <c r="W268" s="78">
        <f>ROUND('[6]2036'!W27,2)</f>
        <v>44899.3</v>
      </c>
      <c r="X268" s="78">
        <f>ROUND('[6]2036'!X27,2)</f>
        <v>45035.64</v>
      </c>
      <c r="Y268" s="78">
        <f>ROUND('[6]2036'!Y27,2)</f>
        <v>43688.06</v>
      </c>
      <c r="Z268" s="78">
        <f>ROUND('[6]2036'!Z27,2)</f>
        <v>41589.360000000001</v>
      </c>
      <c r="AA268" s="78">
        <f>ROUND('[6]2036'!AA27,2)</f>
        <v>38437.5</v>
      </c>
      <c r="AB268" s="78">
        <f>ROUND('[6]2036'!AB27,2)</f>
        <v>34996.07</v>
      </c>
      <c r="AC268" s="209">
        <f>SUM(E268:AB268)*D268+SUM(E269:AB269)*D269+SUM(E270:AB270)*D270+SUM(E271:AB271)*D271</f>
        <v>26335900.860000003</v>
      </c>
      <c r="AD268" s="18"/>
    </row>
    <row r="269" spans="2:50" ht="18.649999999999999" customHeight="1" x14ac:dyDescent="0.35">
      <c r="B269" s="212" t="s">
        <v>34</v>
      </c>
      <c r="C269" s="9" t="s">
        <v>30</v>
      </c>
      <c r="D269" s="10">
        <f>+'[6]2036'!D28</f>
        <v>4</v>
      </c>
      <c r="E269" s="79">
        <f>ROUND('[6]2036'!E28,2)</f>
        <v>31919.64</v>
      </c>
      <c r="F269" s="79">
        <f>ROUND('[6]2036'!F28,2)</f>
        <v>30255.61</v>
      </c>
      <c r="G269" s="79">
        <f>ROUND('[6]2036'!G28,2)</f>
        <v>29019.59</v>
      </c>
      <c r="H269" s="79">
        <f>ROUND('[6]2036'!H28,2)</f>
        <v>28175.5</v>
      </c>
      <c r="I269" s="79">
        <f>ROUND('[6]2036'!I28,2)</f>
        <v>27962.3</v>
      </c>
      <c r="J269" s="79">
        <f>ROUND('[6]2036'!J28,2)</f>
        <v>27953.81</v>
      </c>
      <c r="K269" s="79">
        <f>ROUND('[6]2036'!K28,2)</f>
        <v>27887.599999999999</v>
      </c>
      <c r="L269" s="79">
        <f>ROUND('[6]2036'!L28,2)</f>
        <v>30739.85</v>
      </c>
      <c r="M269" s="79">
        <f>ROUND('[6]2036'!M28,2)</f>
        <v>34059.57</v>
      </c>
      <c r="N269" s="79">
        <f>ROUND('[6]2036'!N28,2)</f>
        <v>35837.4</v>
      </c>
      <c r="O269" s="79">
        <f>ROUND('[6]2036'!O28,2)</f>
        <v>37578.31</v>
      </c>
      <c r="P269" s="79">
        <f>ROUND('[6]2036'!P28,2)</f>
        <v>38660.910000000003</v>
      </c>
      <c r="Q269" s="79">
        <f>ROUND('[6]2036'!Q28,2)</f>
        <v>38157.269999999997</v>
      </c>
      <c r="R269" s="79">
        <f>ROUND('[6]2036'!R28,2)</f>
        <v>37746.57</v>
      </c>
      <c r="S269" s="79">
        <f>ROUND('[6]2036'!S28,2)</f>
        <v>37956.699999999997</v>
      </c>
      <c r="T269" s="79">
        <f>ROUND('[6]2036'!T28,2)</f>
        <v>38028.839999999997</v>
      </c>
      <c r="U269" s="79">
        <f>ROUND('[6]2036'!U28,2)</f>
        <v>37814.57</v>
      </c>
      <c r="V269" s="79">
        <f>ROUND('[6]2036'!V28,2)</f>
        <v>38046.07</v>
      </c>
      <c r="W269" s="79">
        <f>ROUND('[6]2036'!W28,2)</f>
        <v>42255.38</v>
      </c>
      <c r="X269" s="79">
        <f>ROUND('[6]2036'!X28,2)</f>
        <v>42346.75</v>
      </c>
      <c r="Y269" s="79">
        <f>ROUND('[6]2036'!Y28,2)</f>
        <v>41172.620000000003</v>
      </c>
      <c r="Z269" s="79">
        <f>ROUND('[6]2036'!Z28,2)</f>
        <v>39444.589999999997</v>
      </c>
      <c r="AA269" s="79">
        <f>ROUND('[6]2036'!AA28,2)</f>
        <v>37261.14</v>
      </c>
      <c r="AB269" s="79">
        <f>ROUND('[6]2036'!AB28,2)</f>
        <v>34766.03</v>
      </c>
      <c r="AC269" s="210"/>
      <c r="AD269" s="18"/>
    </row>
    <row r="270" spans="2:50" ht="18.649999999999999" customHeight="1" x14ac:dyDescent="0.35">
      <c r="B270" s="212" t="s">
        <v>34</v>
      </c>
      <c r="C270" s="9" t="s">
        <v>31</v>
      </c>
      <c r="D270" s="10">
        <f>+'[6]2036'!D29</f>
        <v>4</v>
      </c>
      <c r="E270" s="79">
        <f>ROUND('[6]2036'!E29,2)</f>
        <v>32543.14</v>
      </c>
      <c r="F270" s="79">
        <f>ROUND('[6]2036'!F29,2)</f>
        <v>30942.12</v>
      </c>
      <c r="G270" s="79">
        <f>ROUND('[6]2036'!G29,2)</f>
        <v>29618.19</v>
      </c>
      <c r="H270" s="79">
        <f>ROUND('[6]2036'!H29,2)</f>
        <v>28712.47</v>
      </c>
      <c r="I270" s="79">
        <f>ROUND('[6]2036'!I29,2)</f>
        <v>28330.79</v>
      </c>
      <c r="J270" s="79">
        <f>ROUND('[6]2036'!J29,2)</f>
        <v>27827.599999999999</v>
      </c>
      <c r="K270" s="79">
        <f>ROUND('[6]2036'!K29,2)</f>
        <v>27243.919999999998</v>
      </c>
      <c r="L270" s="79">
        <f>ROUND('[6]2036'!L29,2)</f>
        <v>28750.799999999999</v>
      </c>
      <c r="M270" s="79">
        <f>ROUND('[6]2036'!M29,2)</f>
        <v>30348.23</v>
      </c>
      <c r="N270" s="79">
        <f>ROUND('[6]2036'!N29,2)</f>
        <v>31773.86</v>
      </c>
      <c r="O270" s="79">
        <f>ROUND('[6]2036'!O29,2)</f>
        <v>33099.79</v>
      </c>
      <c r="P270" s="79">
        <f>ROUND('[6]2036'!P29,2)</f>
        <v>34151.75</v>
      </c>
      <c r="Q270" s="79">
        <f>ROUND('[6]2036'!Q29,2)</f>
        <v>34740</v>
      </c>
      <c r="R270" s="79">
        <f>ROUND('[6]2036'!R29,2)</f>
        <v>34902.06</v>
      </c>
      <c r="S270" s="79">
        <f>ROUND('[6]2036'!S29,2)</f>
        <v>35115.49</v>
      </c>
      <c r="T270" s="79">
        <f>ROUND('[6]2036'!T29,2)</f>
        <v>35429.99</v>
      </c>
      <c r="U270" s="79">
        <f>ROUND('[6]2036'!U29,2)</f>
        <v>35557.050000000003</v>
      </c>
      <c r="V270" s="79">
        <f>ROUND('[6]2036'!V29,2)</f>
        <v>35992.660000000003</v>
      </c>
      <c r="W270" s="79">
        <f>ROUND('[6]2036'!W29,2)</f>
        <v>39984.76</v>
      </c>
      <c r="X270" s="79">
        <f>ROUND('[6]2036'!X29,2)</f>
        <v>41193.629999999997</v>
      </c>
      <c r="Y270" s="79">
        <f>ROUND('[6]2036'!Y29,2)</f>
        <v>41058.15</v>
      </c>
      <c r="Z270" s="79">
        <f>ROUND('[6]2036'!Z29,2)</f>
        <v>40049.79</v>
      </c>
      <c r="AA270" s="79">
        <f>ROUND('[6]2036'!AA29,2)</f>
        <v>37480.06</v>
      </c>
      <c r="AB270" s="79">
        <f>ROUND('[6]2036'!AB29,2)</f>
        <v>34432.83</v>
      </c>
      <c r="AC270" s="210"/>
      <c r="AD270" s="18"/>
    </row>
    <row r="271" spans="2:50" ht="18.649999999999999" customHeight="1" thickBot="1" x14ac:dyDescent="0.4">
      <c r="B271" s="213" t="s">
        <v>34</v>
      </c>
      <c r="C271" s="11" t="s">
        <v>32</v>
      </c>
      <c r="D271" s="12">
        <f>+'[6]2036'!D30</f>
        <v>2</v>
      </c>
      <c r="E271" s="79">
        <f>ROUND('[6]2036'!E30,2)</f>
        <v>32543.14</v>
      </c>
      <c r="F271" s="79">
        <f>ROUND('[6]2036'!F30,2)</f>
        <v>30942.12</v>
      </c>
      <c r="G271" s="79">
        <f>ROUND('[6]2036'!G30,2)</f>
        <v>29618.19</v>
      </c>
      <c r="H271" s="79">
        <f>ROUND('[6]2036'!H30,2)</f>
        <v>28712.47</v>
      </c>
      <c r="I271" s="79">
        <f>ROUND('[6]2036'!I30,2)</f>
        <v>28330.79</v>
      </c>
      <c r="J271" s="79">
        <f>ROUND('[6]2036'!J30,2)</f>
        <v>27827.599999999999</v>
      </c>
      <c r="K271" s="79">
        <f>ROUND('[6]2036'!K30,2)</f>
        <v>27243.919999999998</v>
      </c>
      <c r="L271" s="79">
        <f>ROUND('[6]2036'!L30,2)</f>
        <v>28750.799999999999</v>
      </c>
      <c r="M271" s="79">
        <f>ROUND('[6]2036'!M30,2)</f>
        <v>30348.23</v>
      </c>
      <c r="N271" s="79">
        <f>ROUND('[6]2036'!N30,2)</f>
        <v>31773.86</v>
      </c>
      <c r="O271" s="79">
        <f>ROUND('[6]2036'!O30,2)</f>
        <v>33099.79</v>
      </c>
      <c r="P271" s="79">
        <f>ROUND('[6]2036'!P30,2)</f>
        <v>34151.75</v>
      </c>
      <c r="Q271" s="79">
        <f>ROUND('[6]2036'!Q30,2)</f>
        <v>34740</v>
      </c>
      <c r="R271" s="79">
        <f>ROUND('[6]2036'!R30,2)</f>
        <v>34902.06</v>
      </c>
      <c r="S271" s="79">
        <f>ROUND('[6]2036'!S30,2)</f>
        <v>35115.49</v>
      </c>
      <c r="T271" s="79">
        <f>ROUND('[6]2036'!T30,2)</f>
        <v>35429.99</v>
      </c>
      <c r="U271" s="79">
        <f>ROUND('[6]2036'!U30,2)</f>
        <v>35557.050000000003</v>
      </c>
      <c r="V271" s="79">
        <f>ROUND('[6]2036'!V30,2)</f>
        <v>35992.660000000003</v>
      </c>
      <c r="W271" s="79">
        <f>ROUND('[6]2036'!W30,2)</f>
        <v>39984.76</v>
      </c>
      <c r="X271" s="79">
        <f>ROUND('[6]2036'!X30,2)</f>
        <v>41193.629999999997</v>
      </c>
      <c r="Y271" s="79">
        <f>ROUND('[6]2036'!Y30,2)</f>
        <v>41058.15</v>
      </c>
      <c r="Z271" s="79">
        <f>ROUND('[6]2036'!Z30,2)</f>
        <v>40049.79</v>
      </c>
      <c r="AA271" s="79">
        <f>ROUND('[6]2036'!AA30,2)</f>
        <v>37480.06</v>
      </c>
      <c r="AB271" s="79">
        <f>ROUND('[6]2036'!AB30,2)</f>
        <v>34432.83</v>
      </c>
      <c r="AC271" s="214"/>
      <c r="AD271" s="18"/>
    </row>
    <row r="272" spans="2:50" ht="18.649999999999999" customHeight="1" x14ac:dyDescent="0.35">
      <c r="B272" s="207">
        <v>49796</v>
      </c>
      <c r="C272" s="13" t="s">
        <v>29</v>
      </c>
      <c r="D272" s="14">
        <f>+'[6]2036'!D31</f>
        <v>20</v>
      </c>
      <c r="E272" s="81">
        <f>ROUND('[6]2036'!E31,2)</f>
        <v>31620.400000000001</v>
      </c>
      <c r="F272" s="81">
        <f>ROUND('[6]2036'!F31,2)</f>
        <v>30119.03</v>
      </c>
      <c r="G272" s="81">
        <f>ROUND('[6]2036'!G31,2)</f>
        <v>28982.68</v>
      </c>
      <c r="H272" s="81">
        <f>ROUND('[6]2036'!H31,2)</f>
        <v>28204.92</v>
      </c>
      <c r="I272" s="81">
        <f>ROUND('[6]2036'!I31,2)</f>
        <v>28343.14</v>
      </c>
      <c r="J272" s="81">
        <f>ROUND('[6]2036'!J31,2)</f>
        <v>29128.15</v>
      </c>
      <c r="K272" s="81">
        <f>ROUND('[6]2036'!K31,2)</f>
        <v>29788.86</v>
      </c>
      <c r="L272" s="81">
        <f>ROUND('[6]2036'!L31,2)</f>
        <v>33270.04</v>
      </c>
      <c r="M272" s="81">
        <f>ROUND('[6]2036'!M31,2)</f>
        <v>36849.42</v>
      </c>
      <c r="N272" s="81">
        <f>ROUND('[6]2036'!N31,2)</f>
        <v>38525.599999999999</v>
      </c>
      <c r="O272" s="81">
        <f>ROUND('[6]2036'!O31,2)</f>
        <v>40524.36</v>
      </c>
      <c r="P272" s="81">
        <f>ROUND('[6]2036'!P31,2)</f>
        <v>41829.82</v>
      </c>
      <c r="Q272" s="81">
        <f>ROUND('[6]2036'!Q31,2)</f>
        <v>40130.519999999997</v>
      </c>
      <c r="R272" s="81">
        <f>ROUND('[6]2036'!R31,2)</f>
        <v>41230.33</v>
      </c>
      <c r="S272" s="81">
        <f>ROUND('[6]2036'!S31,2)</f>
        <v>43368.89</v>
      </c>
      <c r="T272" s="81">
        <f>ROUND('[6]2036'!T31,2)</f>
        <v>43582.96</v>
      </c>
      <c r="U272" s="81">
        <f>ROUND('[6]2036'!U31,2)</f>
        <v>42959.34</v>
      </c>
      <c r="V272" s="81">
        <f>ROUND('[6]2036'!V31,2)</f>
        <v>41555.629999999997</v>
      </c>
      <c r="W272" s="81">
        <f>ROUND('[6]2036'!W31,2)</f>
        <v>44140.79</v>
      </c>
      <c r="X272" s="81">
        <f>ROUND('[6]2036'!X31,2)</f>
        <v>44315.73</v>
      </c>
      <c r="Y272" s="81">
        <f>ROUND('[6]2036'!Y31,2)</f>
        <v>42948.92</v>
      </c>
      <c r="Z272" s="81">
        <f>ROUND('[6]2036'!Z31,2)</f>
        <v>40678.79</v>
      </c>
      <c r="AA272" s="81">
        <f>ROUND('[6]2036'!AA31,2)</f>
        <v>37481.1</v>
      </c>
      <c r="AB272" s="81">
        <f>ROUND('[6]2036'!AB31,2)</f>
        <v>34214.43</v>
      </c>
      <c r="AC272" s="210">
        <f>SUM(E272:AB272)*D272+SUM(E273:AB273)*D273+SUM(E274:AB274)*D274+SUM(E275:AB275)*D275</f>
        <v>27064504.879999995</v>
      </c>
      <c r="AD272" s="18"/>
    </row>
    <row r="273" spans="2:30" ht="18.649999999999999" customHeight="1" x14ac:dyDescent="0.35">
      <c r="B273" s="208"/>
      <c r="C273" s="9" t="s">
        <v>30</v>
      </c>
      <c r="D273" s="10">
        <f>+'[6]2036'!D32</f>
        <v>5</v>
      </c>
      <c r="E273" s="79">
        <f>ROUND('[6]2036'!E32,2)</f>
        <v>32169.18</v>
      </c>
      <c r="F273" s="79">
        <f>ROUND('[6]2036'!F32,2)</f>
        <v>30297.68</v>
      </c>
      <c r="G273" s="79">
        <f>ROUND('[6]2036'!G32,2)</f>
        <v>29031.75</v>
      </c>
      <c r="H273" s="79">
        <f>ROUND('[6]2036'!H32,2)</f>
        <v>28216.35</v>
      </c>
      <c r="I273" s="79">
        <f>ROUND('[6]2036'!I32,2)</f>
        <v>28067.4</v>
      </c>
      <c r="J273" s="79">
        <f>ROUND('[6]2036'!J32,2)</f>
        <v>27762.29</v>
      </c>
      <c r="K273" s="79">
        <f>ROUND('[6]2036'!K32,2)</f>
        <v>28029.71</v>
      </c>
      <c r="L273" s="79">
        <f>ROUND('[6]2036'!L32,2)</f>
        <v>31238.78</v>
      </c>
      <c r="M273" s="79">
        <f>ROUND('[6]2036'!M32,2)</f>
        <v>34818.42</v>
      </c>
      <c r="N273" s="79">
        <f>ROUND('[6]2036'!N32,2)</f>
        <v>36827.11</v>
      </c>
      <c r="O273" s="79">
        <f>ROUND('[6]2036'!O32,2)</f>
        <v>38359.449999999997</v>
      </c>
      <c r="P273" s="79">
        <f>ROUND('[6]2036'!P32,2)</f>
        <v>39387</v>
      </c>
      <c r="Q273" s="79">
        <f>ROUND('[6]2036'!Q32,2)</f>
        <v>38582.04</v>
      </c>
      <c r="R273" s="79">
        <f>ROUND('[6]2036'!R32,2)</f>
        <v>38048.410000000003</v>
      </c>
      <c r="S273" s="79">
        <f>ROUND('[6]2036'!S32,2)</f>
        <v>38327.21</v>
      </c>
      <c r="T273" s="79">
        <f>ROUND('[6]2036'!T32,2)</f>
        <v>38397.08</v>
      </c>
      <c r="U273" s="79">
        <f>ROUND('[6]2036'!U32,2)</f>
        <v>38179.199999999997</v>
      </c>
      <c r="V273" s="79">
        <f>ROUND('[6]2036'!V32,2)</f>
        <v>38456.589999999997</v>
      </c>
      <c r="W273" s="79">
        <f>ROUND('[6]2036'!W32,2)</f>
        <v>42551.7</v>
      </c>
      <c r="X273" s="79">
        <f>ROUND('[6]2036'!X32,2)</f>
        <v>43034.63</v>
      </c>
      <c r="Y273" s="79">
        <f>ROUND('[6]2036'!Y32,2)</f>
        <v>41761.22</v>
      </c>
      <c r="Z273" s="79">
        <f>ROUND('[6]2036'!Z32,2)</f>
        <v>39879.410000000003</v>
      </c>
      <c r="AA273" s="79">
        <f>ROUND('[6]2036'!AA32,2)</f>
        <v>37698.720000000001</v>
      </c>
      <c r="AB273" s="79">
        <f>ROUND('[6]2036'!AB32,2)</f>
        <v>35169.53</v>
      </c>
      <c r="AC273" s="210"/>
      <c r="AD273" s="18"/>
    </row>
    <row r="274" spans="2:30" ht="18.649999999999999" customHeight="1" x14ac:dyDescent="0.35">
      <c r="B274" s="208"/>
      <c r="C274" s="9" t="s">
        <v>31</v>
      </c>
      <c r="D274" s="10">
        <f>+'[6]2036'!D33</f>
        <v>4</v>
      </c>
      <c r="E274" s="79">
        <f>ROUND('[6]2036'!E33,2)</f>
        <v>32548.92</v>
      </c>
      <c r="F274" s="79">
        <f>ROUND('[6]2036'!F33,2)</f>
        <v>31010.97</v>
      </c>
      <c r="G274" s="79">
        <f>ROUND('[6]2036'!G33,2)</f>
        <v>29785.7</v>
      </c>
      <c r="H274" s="79">
        <f>ROUND('[6]2036'!H33,2)</f>
        <v>28906.9</v>
      </c>
      <c r="I274" s="79">
        <f>ROUND('[6]2036'!I33,2)</f>
        <v>28532.400000000001</v>
      </c>
      <c r="J274" s="79">
        <f>ROUND('[6]2036'!J33,2)</f>
        <v>27671.94</v>
      </c>
      <c r="K274" s="79">
        <f>ROUND('[6]2036'!K33,2)</f>
        <v>27254.38</v>
      </c>
      <c r="L274" s="79">
        <f>ROUND('[6]2036'!L33,2)</f>
        <v>28880.83</v>
      </c>
      <c r="M274" s="79">
        <f>ROUND('[6]2036'!M33,2)</f>
        <v>31092.7</v>
      </c>
      <c r="N274" s="79">
        <f>ROUND('[6]2036'!N33,2)</f>
        <v>32841.56</v>
      </c>
      <c r="O274" s="79">
        <f>ROUND('[6]2036'!O33,2)</f>
        <v>34039.65</v>
      </c>
      <c r="P274" s="79">
        <f>ROUND('[6]2036'!P33,2)</f>
        <v>34932.33</v>
      </c>
      <c r="Q274" s="79">
        <f>ROUND('[6]2036'!Q33,2)</f>
        <v>35441.18</v>
      </c>
      <c r="R274" s="79">
        <f>ROUND('[6]2036'!R33,2)</f>
        <v>35549.089999999997</v>
      </c>
      <c r="S274" s="79">
        <f>ROUND('[6]2036'!S33,2)</f>
        <v>35697.33</v>
      </c>
      <c r="T274" s="79">
        <f>ROUND('[6]2036'!T33,2)</f>
        <v>36090.9</v>
      </c>
      <c r="U274" s="79">
        <f>ROUND('[6]2036'!U33,2)</f>
        <v>35987.81</v>
      </c>
      <c r="V274" s="79">
        <f>ROUND('[6]2036'!V33,2)</f>
        <v>36563.32</v>
      </c>
      <c r="W274" s="79">
        <f>ROUND('[6]2036'!W33,2)</f>
        <v>40807.089999999997</v>
      </c>
      <c r="X274" s="79">
        <f>ROUND('[6]2036'!X33,2)</f>
        <v>41928.17</v>
      </c>
      <c r="Y274" s="79">
        <f>ROUND('[6]2036'!Y33,2)</f>
        <v>41700.14</v>
      </c>
      <c r="Z274" s="79">
        <f>ROUND('[6]2036'!Z33,2)</f>
        <v>40361.589999999997</v>
      </c>
      <c r="AA274" s="79">
        <f>ROUND('[6]2036'!AA33,2)</f>
        <v>37659.99</v>
      </c>
      <c r="AB274" s="79">
        <f>ROUND('[6]2036'!AB33,2)</f>
        <v>34244.04</v>
      </c>
      <c r="AC274" s="210"/>
      <c r="AD274" s="18"/>
    </row>
    <row r="275" spans="2:30" ht="18.649999999999999" customHeight="1" thickBot="1" x14ac:dyDescent="0.4">
      <c r="B275" s="208"/>
      <c r="C275" s="15" t="s">
        <v>32</v>
      </c>
      <c r="D275" s="16">
        <f>+'[6]2036'!D34</f>
        <v>2</v>
      </c>
      <c r="E275" s="80">
        <f>ROUND('[6]2036'!E34,2)</f>
        <v>32548.92</v>
      </c>
      <c r="F275" s="80">
        <f>ROUND('[6]2036'!F34,2)</f>
        <v>31010.97</v>
      </c>
      <c r="G275" s="80">
        <f>ROUND('[6]2036'!G34,2)</f>
        <v>29785.7</v>
      </c>
      <c r="H275" s="80">
        <f>ROUND('[6]2036'!H34,2)</f>
        <v>28906.9</v>
      </c>
      <c r="I275" s="80">
        <f>ROUND('[6]2036'!I34,2)</f>
        <v>28532.400000000001</v>
      </c>
      <c r="J275" s="80">
        <f>ROUND('[6]2036'!J34,2)</f>
        <v>27671.94</v>
      </c>
      <c r="K275" s="80">
        <f>ROUND('[6]2036'!K34,2)</f>
        <v>27254.38</v>
      </c>
      <c r="L275" s="80">
        <f>ROUND('[6]2036'!L34,2)</f>
        <v>28880.83</v>
      </c>
      <c r="M275" s="80">
        <f>ROUND('[6]2036'!M34,2)</f>
        <v>31092.7</v>
      </c>
      <c r="N275" s="80">
        <f>ROUND('[6]2036'!N34,2)</f>
        <v>32841.56</v>
      </c>
      <c r="O275" s="80">
        <f>ROUND('[6]2036'!O34,2)</f>
        <v>34039.65</v>
      </c>
      <c r="P275" s="80">
        <f>ROUND('[6]2036'!P34,2)</f>
        <v>34932.33</v>
      </c>
      <c r="Q275" s="80">
        <f>ROUND('[6]2036'!Q34,2)</f>
        <v>35441.18</v>
      </c>
      <c r="R275" s="80">
        <f>ROUND('[6]2036'!R34,2)</f>
        <v>35549.089999999997</v>
      </c>
      <c r="S275" s="80">
        <f>ROUND('[6]2036'!S34,2)</f>
        <v>35697.33</v>
      </c>
      <c r="T275" s="80">
        <f>ROUND('[6]2036'!T34,2)</f>
        <v>36090.9</v>
      </c>
      <c r="U275" s="80">
        <f>ROUND('[6]2036'!U34,2)</f>
        <v>35987.81</v>
      </c>
      <c r="V275" s="80">
        <f>ROUND('[6]2036'!V34,2)</f>
        <v>36563.32</v>
      </c>
      <c r="W275" s="80">
        <f>ROUND('[6]2036'!W34,2)</f>
        <v>40807.089999999997</v>
      </c>
      <c r="X275" s="80">
        <f>ROUND('[6]2036'!X34,2)</f>
        <v>41928.17</v>
      </c>
      <c r="Y275" s="80">
        <f>ROUND('[6]2036'!Y34,2)</f>
        <v>41700.14</v>
      </c>
      <c r="Z275" s="80">
        <f>ROUND('[6]2036'!Z34,2)</f>
        <v>40361.589999999997</v>
      </c>
      <c r="AA275" s="80">
        <f>ROUND('[6]2036'!AA34,2)</f>
        <v>37659.99</v>
      </c>
      <c r="AB275" s="80">
        <f>ROUND('[6]2036'!AB34,2)</f>
        <v>34244.04</v>
      </c>
      <c r="AC275" s="210"/>
      <c r="AD275" s="18"/>
    </row>
    <row r="276" spans="2:30" ht="18.649999999999999" customHeight="1" x14ac:dyDescent="0.35">
      <c r="B276" s="211">
        <v>49827</v>
      </c>
      <c r="C276" s="6" t="s">
        <v>29</v>
      </c>
      <c r="D276" s="7">
        <f>+'[6]2036'!D35</f>
        <v>18</v>
      </c>
      <c r="E276" s="78">
        <f>ROUND('[6]2036'!E35,2)</f>
        <v>31876.33</v>
      </c>
      <c r="F276" s="78">
        <f>ROUND('[6]2036'!F35,2)</f>
        <v>30275.53</v>
      </c>
      <c r="G276" s="78">
        <f>ROUND('[6]2036'!G35,2)</f>
        <v>29163.11</v>
      </c>
      <c r="H276" s="78">
        <f>ROUND('[6]2036'!H35,2)</f>
        <v>28292.7</v>
      </c>
      <c r="I276" s="78">
        <f>ROUND('[6]2036'!I35,2)</f>
        <v>28379.85</v>
      </c>
      <c r="J276" s="78">
        <f>ROUND('[6]2036'!J35,2)</f>
        <v>28770.6</v>
      </c>
      <c r="K276" s="78">
        <f>ROUND('[6]2036'!K35,2)</f>
        <v>29391.83</v>
      </c>
      <c r="L276" s="78">
        <f>ROUND('[6]2036'!L35,2)</f>
        <v>33093.03</v>
      </c>
      <c r="M276" s="78">
        <f>ROUND('[6]2036'!M35,2)</f>
        <v>36695.99</v>
      </c>
      <c r="N276" s="78">
        <f>ROUND('[6]2036'!N35,2)</f>
        <v>38479.56</v>
      </c>
      <c r="O276" s="78">
        <f>ROUND('[6]2036'!O35,2)</f>
        <v>40542.92</v>
      </c>
      <c r="P276" s="78">
        <f>ROUND('[6]2036'!P35,2)</f>
        <v>41899.15</v>
      </c>
      <c r="Q276" s="78">
        <f>ROUND('[6]2036'!Q35,2)</f>
        <v>40409.5</v>
      </c>
      <c r="R276" s="78">
        <f>ROUND('[6]2036'!R35,2)</f>
        <v>41295.86</v>
      </c>
      <c r="S276" s="78">
        <f>ROUND('[6]2036'!S35,2)</f>
        <v>43326.35</v>
      </c>
      <c r="T276" s="78">
        <f>ROUND('[6]2036'!T35,2)</f>
        <v>43567.17</v>
      </c>
      <c r="U276" s="78">
        <f>ROUND('[6]2036'!U35,2)</f>
        <v>43134</v>
      </c>
      <c r="V276" s="78">
        <f>ROUND('[6]2036'!V35,2)</f>
        <v>41786.54</v>
      </c>
      <c r="W276" s="78">
        <f>ROUND('[6]2036'!W35,2)</f>
        <v>44225.5</v>
      </c>
      <c r="X276" s="78">
        <f>ROUND('[6]2036'!X35,2)</f>
        <v>44785.86</v>
      </c>
      <c r="Y276" s="78">
        <f>ROUND('[6]2036'!Y35,2)</f>
        <v>43322.6</v>
      </c>
      <c r="Z276" s="78">
        <f>ROUND('[6]2036'!Z35,2)</f>
        <v>41102.019999999997</v>
      </c>
      <c r="AA276" s="78">
        <f>ROUND('[6]2036'!AA35,2)</f>
        <v>37797.839999999997</v>
      </c>
      <c r="AB276" s="78">
        <f>ROUND('[6]2036'!AB35,2)</f>
        <v>34465.79</v>
      </c>
      <c r="AC276" s="209">
        <f>SUM(E276:AB276)*D276+SUM(E277:AB277)*D277+SUM(E278:AB278)*D278+SUM(E279:AB279)*D279</f>
        <v>25973632.059999999</v>
      </c>
      <c r="AD276" s="18"/>
    </row>
    <row r="277" spans="2:30" ht="18.649999999999999" customHeight="1" x14ac:dyDescent="0.35">
      <c r="B277" s="212" t="s">
        <v>34</v>
      </c>
      <c r="C277" s="9" t="s">
        <v>30</v>
      </c>
      <c r="D277" s="10">
        <f>+'[6]2036'!D36</f>
        <v>4</v>
      </c>
      <c r="E277" s="79">
        <f>ROUND('[6]2036'!E36,2)</f>
        <v>31954.7</v>
      </c>
      <c r="F277" s="79">
        <f>ROUND('[6]2036'!F36,2)</f>
        <v>30385.040000000001</v>
      </c>
      <c r="G277" s="79">
        <f>ROUND('[6]2036'!G36,2)</f>
        <v>29218.59</v>
      </c>
      <c r="H277" s="79">
        <f>ROUND('[6]2036'!H36,2)</f>
        <v>28418.03</v>
      </c>
      <c r="I277" s="79">
        <f>ROUND('[6]2036'!I36,2)</f>
        <v>28277.62</v>
      </c>
      <c r="J277" s="79">
        <f>ROUND('[6]2036'!J36,2)</f>
        <v>27919.919999999998</v>
      </c>
      <c r="K277" s="79">
        <f>ROUND('[6]2036'!K36,2)</f>
        <v>28193.67</v>
      </c>
      <c r="L277" s="79">
        <f>ROUND('[6]2036'!L36,2)</f>
        <v>31446.28</v>
      </c>
      <c r="M277" s="79">
        <f>ROUND('[6]2036'!M36,2)</f>
        <v>35015.660000000003</v>
      </c>
      <c r="N277" s="79">
        <f>ROUND('[6]2036'!N36,2)</f>
        <v>37053.96</v>
      </c>
      <c r="O277" s="79">
        <f>ROUND('[6]2036'!O36,2)</f>
        <v>38800.6</v>
      </c>
      <c r="P277" s="79">
        <f>ROUND('[6]2036'!P36,2)</f>
        <v>39858.46</v>
      </c>
      <c r="Q277" s="79">
        <f>ROUND('[6]2036'!Q36,2)</f>
        <v>39130.43</v>
      </c>
      <c r="R277" s="79">
        <f>ROUND('[6]2036'!R36,2)</f>
        <v>38343.72</v>
      </c>
      <c r="S277" s="79">
        <f>ROUND('[6]2036'!S36,2)</f>
        <v>38463.01</v>
      </c>
      <c r="T277" s="79">
        <f>ROUND('[6]2036'!T36,2)</f>
        <v>38487.65</v>
      </c>
      <c r="U277" s="79">
        <f>ROUND('[6]2036'!U36,2)</f>
        <v>38040.28</v>
      </c>
      <c r="V277" s="79">
        <f>ROUND('[6]2036'!V36,2)</f>
        <v>38193.69</v>
      </c>
      <c r="W277" s="79">
        <f>ROUND('[6]2036'!W36,2)</f>
        <v>41494.449999999997</v>
      </c>
      <c r="X277" s="79">
        <f>ROUND('[6]2036'!X36,2)</f>
        <v>42364.9</v>
      </c>
      <c r="Y277" s="79">
        <f>ROUND('[6]2036'!Y36,2)</f>
        <v>41148.5</v>
      </c>
      <c r="Z277" s="79">
        <f>ROUND('[6]2036'!Z36,2)</f>
        <v>39095.39</v>
      </c>
      <c r="AA277" s="79">
        <f>ROUND('[6]2036'!AA36,2)</f>
        <v>36709.96</v>
      </c>
      <c r="AB277" s="79">
        <f>ROUND('[6]2036'!AB36,2)</f>
        <v>34244.71</v>
      </c>
      <c r="AC277" s="210"/>
      <c r="AD277" s="18"/>
    </row>
    <row r="278" spans="2:30" ht="18.649999999999999" customHeight="1" x14ac:dyDescent="0.35">
      <c r="B278" s="212" t="s">
        <v>34</v>
      </c>
      <c r="C278" s="9" t="s">
        <v>31</v>
      </c>
      <c r="D278" s="10">
        <f>+'[6]2036'!D37</f>
        <v>5</v>
      </c>
      <c r="E278" s="79">
        <f>ROUND('[6]2036'!E37,2)</f>
        <v>32437.43</v>
      </c>
      <c r="F278" s="79">
        <f>ROUND('[6]2036'!F37,2)</f>
        <v>30794.49</v>
      </c>
      <c r="G278" s="79">
        <f>ROUND('[6]2036'!G37,2)</f>
        <v>29518.37</v>
      </c>
      <c r="H278" s="79">
        <f>ROUND('[6]2036'!H37,2)</f>
        <v>28679.599999999999</v>
      </c>
      <c r="I278" s="79">
        <f>ROUND('[6]2036'!I37,2)</f>
        <v>28352.45</v>
      </c>
      <c r="J278" s="79">
        <f>ROUND('[6]2036'!J37,2)</f>
        <v>27461.73</v>
      </c>
      <c r="K278" s="79">
        <f>ROUND('[6]2036'!K37,2)</f>
        <v>26858.23</v>
      </c>
      <c r="L278" s="79">
        <f>ROUND('[6]2036'!L37,2)</f>
        <v>28330.77</v>
      </c>
      <c r="M278" s="79">
        <f>ROUND('[6]2036'!M37,2)</f>
        <v>30272.1</v>
      </c>
      <c r="N278" s="79">
        <f>ROUND('[6]2036'!N37,2)</f>
        <v>31895.55</v>
      </c>
      <c r="O278" s="79">
        <f>ROUND('[6]2036'!O37,2)</f>
        <v>33044.46</v>
      </c>
      <c r="P278" s="79">
        <f>ROUND('[6]2036'!P37,2)</f>
        <v>33958.019999999997</v>
      </c>
      <c r="Q278" s="79">
        <f>ROUND('[6]2036'!Q37,2)</f>
        <v>34672.43</v>
      </c>
      <c r="R278" s="79">
        <f>ROUND('[6]2036'!R37,2)</f>
        <v>34608.01</v>
      </c>
      <c r="S278" s="79">
        <f>ROUND('[6]2036'!S37,2)</f>
        <v>34727.39</v>
      </c>
      <c r="T278" s="79">
        <f>ROUND('[6]2036'!T37,2)</f>
        <v>35009.42</v>
      </c>
      <c r="U278" s="79">
        <f>ROUND('[6]2036'!U37,2)</f>
        <v>35065.57</v>
      </c>
      <c r="V278" s="79">
        <f>ROUND('[6]2036'!V37,2)</f>
        <v>35464.129999999997</v>
      </c>
      <c r="W278" s="79">
        <f>ROUND('[6]2036'!W37,2)</f>
        <v>39541.160000000003</v>
      </c>
      <c r="X278" s="79">
        <f>ROUND('[6]2036'!X37,2)</f>
        <v>41449.440000000002</v>
      </c>
      <c r="Y278" s="79">
        <f>ROUND('[6]2036'!Y37,2)</f>
        <v>40925.550000000003</v>
      </c>
      <c r="Z278" s="79">
        <f>ROUND('[6]2036'!Z37,2)</f>
        <v>39615.199999999997</v>
      </c>
      <c r="AA278" s="79">
        <f>ROUND('[6]2036'!AA37,2)</f>
        <v>37216.910000000003</v>
      </c>
      <c r="AB278" s="79">
        <f>ROUND('[6]2036'!AB37,2)</f>
        <v>34496.82</v>
      </c>
      <c r="AC278" s="210"/>
      <c r="AD278" s="18"/>
    </row>
    <row r="279" spans="2:30" ht="18.649999999999999" customHeight="1" thickBot="1" x14ac:dyDescent="0.4">
      <c r="B279" s="213" t="s">
        <v>34</v>
      </c>
      <c r="C279" s="11" t="s">
        <v>32</v>
      </c>
      <c r="D279" s="12">
        <f>+'[6]2036'!D38</f>
        <v>3</v>
      </c>
      <c r="E279" s="76">
        <f>ROUND('[6]2036'!E38,2)</f>
        <v>32437.43</v>
      </c>
      <c r="F279" s="76">
        <f>ROUND('[6]2036'!F38,2)</f>
        <v>30794.49</v>
      </c>
      <c r="G279" s="76">
        <f>ROUND('[6]2036'!G38,2)</f>
        <v>29518.37</v>
      </c>
      <c r="H279" s="76">
        <f>ROUND('[6]2036'!H38,2)</f>
        <v>28679.599999999999</v>
      </c>
      <c r="I279" s="76">
        <f>ROUND('[6]2036'!I38,2)</f>
        <v>28352.45</v>
      </c>
      <c r="J279" s="76">
        <f>ROUND('[6]2036'!J38,2)</f>
        <v>27461.73</v>
      </c>
      <c r="K279" s="76">
        <f>ROUND('[6]2036'!K38,2)</f>
        <v>26858.23</v>
      </c>
      <c r="L279" s="76">
        <f>ROUND('[6]2036'!L38,2)</f>
        <v>28330.77</v>
      </c>
      <c r="M279" s="76">
        <f>ROUND('[6]2036'!M38,2)</f>
        <v>30272.1</v>
      </c>
      <c r="N279" s="76">
        <f>ROUND('[6]2036'!N38,2)</f>
        <v>31895.55</v>
      </c>
      <c r="O279" s="76">
        <f>ROUND('[6]2036'!O38,2)</f>
        <v>33044.46</v>
      </c>
      <c r="P279" s="76">
        <f>ROUND('[6]2036'!P38,2)</f>
        <v>33958.019999999997</v>
      </c>
      <c r="Q279" s="76">
        <f>ROUND('[6]2036'!Q38,2)</f>
        <v>34672.43</v>
      </c>
      <c r="R279" s="76">
        <f>ROUND('[6]2036'!R38,2)</f>
        <v>34608.01</v>
      </c>
      <c r="S279" s="76">
        <f>ROUND('[6]2036'!S38,2)</f>
        <v>34727.39</v>
      </c>
      <c r="T279" s="76">
        <f>ROUND('[6]2036'!T38,2)</f>
        <v>35009.42</v>
      </c>
      <c r="U279" s="76">
        <f>ROUND('[6]2036'!U38,2)</f>
        <v>35065.57</v>
      </c>
      <c r="V279" s="76">
        <f>ROUND('[6]2036'!V38,2)</f>
        <v>35464.129999999997</v>
      </c>
      <c r="W279" s="76">
        <f>ROUND('[6]2036'!W38,2)</f>
        <v>39541.160000000003</v>
      </c>
      <c r="X279" s="76">
        <f>ROUND('[6]2036'!X38,2)</f>
        <v>41449.440000000002</v>
      </c>
      <c r="Y279" s="76">
        <f>ROUND('[6]2036'!Y38,2)</f>
        <v>40925.550000000003</v>
      </c>
      <c r="Z279" s="76">
        <f>ROUND('[6]2036'!Z38,2)</f>
        <v>39615.199999999997</v>
      </c>
      <c r="AA279" s="76">
        <f>ROUND('[6]2036'!AA38,2)</f>
        <v>37216.910000000003</v>
      </c>
      <c r="AB279" s="76">
        <f>ROUND('[6]2036'!AB38,2)</f>
        <v>34496.82</v>
      </c>
      <c r="AC279" s="214"/>
      <c r="AD279" s="18"/>
    </row>
    <row r="280" spans="2:30" ht="18.649999999999999" customHeight="1" x14ac:dyDescent="0.35">
      <c r="B280" s="207">
        <v>49857</v>
      </c>
      <c r="C280" s="13" t="s">
        <v>29</v>
      </c>
      <c r="D280" s="7">
        <f>+'[6]2036'!D39</f>
        <v>23</v>
      </c>
      <c r="E280" s="81">
        <f>ROUND('[6]2036'!E39,2)</f>
        <v>31289.48</v>
      </c>
      <c r="F280" s="81">
        <f>ROUND('[6]2036'!F39,2)</f>
        <v>29689.96</v>
      </c>
      <c r="G280" s="81">
        <f>ROUND('[6]2036'!G39,2)</f>
        <v>28496.15</v>
      </c>
      <c r="H280" s="81">
        <f>ROUND('[6]2036'!H39,2)</f>
        <v>27698.959999999999</v>
      </c>
      <c r="I280" s="81">
        <f>ROUND('[6]2036'!I39,2)</f>
        <v>27669.57</v>
      </c>
      <c r="J280" s="81">
        <f>ROUND('[6]2036'!J39,2)</f>
        <v>28381.16</v>
      </c>
      <c r="K280" s="81">
        <f>ROUND('[6]2036'!K39,2)</f>
        <v>28750.02</v>
      </c>
      <c r="L280" s="81">
        <f>ROUND('[6]2036'!L39,2)</f>
        <v>32291.24</v>
      </c>
      <c r="M280" s="81">
        <f>ROUND('[6]2036'!M39,2)</f>
        <v>35763.300000000003</v>
      </c>
      <c r="N280" s="81">
        <f>ROUND('[6]2036'!N39,2)</f>
        <v>37549.15</v>
      </c>
      <c r="O280" s="81">
        <f>ROUND('[6]2036'!O39,2)</f>
        <v>39624.660000000003</v>
      </c>
      <c r="P280" s="81">
        <f>ROUND('[6]2036'!P39,2)</f>
        <v>41181.31</v>
      </c>
      <c r="Q280" s="81">
        <f>ROUND('[6]2036'!Q39,2)</f>
        <v>39713.25</v>
      </c>
      <c r="R280" s="81">
        <f>ROUND('[6]2036'!R39,2)</f>
        <v>41049.43</v>
      </c>
      <c r="S280" s="81">
        <f>ROUND('[6]2036'!S39,2)</f>
        <v>43386.68</v>
      </c>
      <c r="T280" s="81">
        <f>ROUND('[6]2036'!T39,2)</f>
        <v>43643.63</v>
      </c>
      <c r="U280" s="81">
        <f>ROUND('[6]2036'!U39,2)</f>
        <v>43051.33</v>
      </c>
      <c r="V280" s="81">
        <f>ROUND('[6]2036'!V39,2)</f>
        <v>41221.919999999998</v>
      </c>
      <c r="W280" s="81">
        <f>ROUND('[6]2036'!W39,2)</f>
        <v>43050.02</v>
      </c>
      <c r="X280" s="81">
        <f>ROUND('[6]2036'!X39,2)</f>
        <v>44053.47</v>
      </c>
      <c r="Y280" s="81">
        <f>ROUND('[6]2036'!Y39,2)</f>
        <v>42859.91</v>
      </c>
      <c r="Z280" s="81">
        <f>ROUND('[6]2036'!Z39,2)</f>
        <v>40729.1</v>
      </c>
      <c r="AA280" s="81">
        <f>ROUND('[6]2036'!AA39,2)</f>
        <v>37398.21</v>
      </c>
      <c r="AB280" s="81">
        <f>ROUND('[6]2036'!AB39,2)</f>
        <v>34175.03</v>
      </c>
      <c r="AC280" s="210">
        <f>SUM(E280:AB280)*D280+SUM(E281:AB281)*D281+SUM(E282:AB282)*D282+SUM(E283:AB283)*D283</f>
        <v>26682759.539999999</v>
      </c>
      <c r="AD280" s="18"/>
    </row>
    <row r="281" spans="2:30" ht="18.649999999999999" customHeight="1" x14ac:dyDescent="0.35">
      <c r="B281" s="208"/>
      <c r="C281" s="9" t="s">
        <v>30</v>
      </c>
      <c r="D281" s="10">
        <f>+'[6]2036'!D40</f>
        <v>4</v>
      </c>
      <c r="E281" s="79">
        <f>ROUND('[6]2036'!E40,2)</f>
        <v>31872.9</v>
      </c>
      <c r="F281" s="79">
        <f>ROUND('[6]2036'!F40,2)</f>
        <v>30071.29</v>
      </c>
      <c r="G281" s="79">
        <f>ROUND('[6]2036'!G40,2)</f>
        <v>28775.040000000001</v>
      </c>
      <c r="H281" s="79">
        <f>ROUND('[6]2036'!H40,2)</f>
        <v>27989.51</v>
      </c>
      <c r="I281" s="79">
        <f>ROUND('[6]2036'!I40,2)</f>
        <v>27617.62</v>
      </c>
      <c r="J281" s="79">
        <f>ROUND('[6]2036'!J40,2)</f>
        <v>27337.37</v>
      </c>
      <c r="K281" s="79">
        <f>ROUND('[6]2036'!K40,2)</f>
        <v>27460.15</v>
      </c>
      <c r="L281" s="79">
        <f>ROUND('[6]2036'!L40,2)</f>
        <v>30467.42</v>
      </c>
      <c r="M281" s="79">
        <f>ROUND('[6]2036'!M40,2)</f>
        <v>33998.19</v>
      </c>
      <c r="N281" s="79">
        <f>ROUND('[6]2036'!N40,2)</f>
        <v>36037.31</v>
      </c>
      <c r="O281" s="79">
        <f>ROUND('[6]2036'!O40,2)</f>
        <v>37955.51</v>
      </c>
      <c r="P281" s="79">
        <f>ROUND('[6]2036'!P40,2)</f>
        <v>38914.239999999998</v>
      </c>
      <c r="Q281" s="79">
        <f>ROUND('[6]2036'!Q40,2)</f>
        <v>38292.35</v>
      </c>
      <c r="R281" s="79">
        <f>ROUND('[6]2036'!R40,2)</f>
        <v>37738.76</v>
      </c>
      <c r="S281" s="79">
        <f>ROUND('[6]2036'!S40,2)</f>
        <v>37736.04</v>
      </c>
      <c r="T281" s="79">
        <f>ROUND('[6]2036'!T40,2)</f>
        <v>37513.11</v>
      </c>
      <c r="U281" s="79">
        <f>ROUND('[6]2036'!U40,2)</f>
        <v>37154.03</v>
      </c>
      <c r="V281" s="79">
        <f>ROUND('[6]2036'!V40,2)</f>
        <v>37277.839999999997</v>
      </c>
      <c r="W281" s="79">
        <f>ROUND('[6]2036'!W40,2)</f>
        <v>39615.72</v>
      </c>
      <c r="X281" s="79">
        <f>ROUND('[6]2036'!X40,2)</f>
        <v>40508</v>
      </c>
      <c r="Y281" s="79">
        <f>ROUND('[6]2036'!Y40,2)</f>
        <v>39180.71</v>
      </c>
      <c r="Z281" s="79">
        <f>ROUND('[6]2036'!Z40,2)</f>
        <v>37540.03</v>
      </c>
      <c r="AA281" s="79">
        <f>ROUND('[6]2036'!AA40,2)</f>
        <v>35458.65</v>
      </c>
      <c r="AB281" s="79">
        <f>ROUND('[6]2036'!AB40,2)</f>
        <v>33074.269999999997</v>
      </c>
      <c r="AC281" s="210"/>
      <c r="AD281" s="18"/>
    </row>
    <row r="282" spans="2:30" ht="18.649999999999999" customHeight="1" x14ac:dyDescent="0.35">
      <c r="B282" s="208"/>
      <c r="C282" s="9" t="s">
        <v>31</v>
      </c>
      <c r="D282" s="10">
        <f>+'[6]2036'!D41</f>
        <v>3</v>
      </c>
      <c r="E282" s="79">
        <f>ROUND('[6]2036'!E41,2)</f>
        <v>29973.84</v>
      </c>
      <c r="F282" s="79">
        <f>ROUND('[6]2036'!F41,2)</f>
        <v>28572.37</v>
      </c>
      <c r="G282" s="79">
        <f>ROUND('[6]2036'!G41,2)</f>
        <v>27350.19</v>
      </c>
      <c r="H282" s="79">
        <f>ROUND('[6]2036'!H41,2)</f>
        <v>26603.79</v>
      </c>
      <c r="I282" s="79">
        <f>ROUND('[6]2036'!I41,2)</f>
        <v>26301.98</v>
      </c>
      <c r="J282" s="79">
        <f>ROUND('[6]2036'!J41,2)</f>
        <v>25658.799999999999</v>
      </c>
      <c r="K282" s="79">
        <f>ROUND('[6]2036'!K41,2)</f>
        <v>25092.43</v>
      </c>
      <c r="L282" s="79">
        <f>ROUND('[6]2036'!L41,2)</f>
        <v>26643.45</v>
      </c>
      <c r="M282" s="79">
        <f>ROUND('[6]2036'!M41,2)</f>
        <v>28550.42</v>
      </c>
      <c r="N282" s="79">
        <f>ROUND('[6]2036'!N41,2)</f>
        <v>30086.87</v>
      </c>
      <c r="O282" s="79">
        <f>ROUND('[6]2036'!O41,2)</f>
        <v>31397.34</v>
      </c>
      <c r="P282" s="79">
        <f>ROUND('[6]2036'!P41,2)</f>
        <v>32514.23</v>
      </c>
      <c r="Q282" s="79">
        <f>ROUND('[6]2036'!Q41,2)</f>
        <v>33321.79</v>
      </c>
      <c r="R282" s="79">
        <f>ROUND('[6]2036'!R41,2)</f>
        <v>33526.699999999997</v>
      </c>
      <c r="S282" s="79">
        <f>ROUND('[6]2036'!S41,2)</f>
        <v>33717.089999999997</v>
      </c>
      <c r="T282" s="79">
        <f>ROUND('[6]2036'!T41,2)</f>
        <v>34162.9</v>
      </c>
      <c r="U282" s="79">
        <f>ROUND('[6]2036'!U41,2)</f>
        <v>34102.67</v>
      </c>
      <c r="V282" s="79">
        <f>ROUND('[6]2036'!V41,2)</f>
        <v>34264.17</v>
      </c>
      <c r="W282" s="79">
        <f>ROUND('[6]2036'!W41,2)</f>
        <v>38150.239999999998</v>
      </c>
      <c r="X282" s="79">
        <f>ROUND('[6]2036'!X41,2)</f>
        <v>40330.22</v>
      </c>
      <c r="Y282" s="79">
        <f>ROUND('[6]2036'!Y41,2)</f>
        <v>39720.410000000003</v>
      </c>
      <c r="Z282" s="79">
        <f>ROUND('[6]2036'!Z41,2)</f>
        <v>38088.28</v>
      </c>
      <c r="AA282" s="79">
        <f>ROUND('[6]2036'!AA41,2)</f>
        <v>35156.53</v>
      </c>
      <c r="AB282" s="79">
        <f>ROUND('[6]2036'!AB41,2)</f>
        <v>32194.71</v>
      </c>
      <c r="AC282" s="210"/>
      <c r="AD282" s="18"/>
    </row>
    <row r="283" spans="2:30" ht="18.649999999999999" customHeight="1" thickBot="1" x14ac:dyDescent="0.4">
      <c r="B283" s="208"/>
      <c r="C283" s="15" t="s">
        <v>32</v>
      </c>
      <c r="D283" s="12">
        <f>+'[6]2036'!D42</f>
        <v>1</v>
      </c>
      <c r="E283" s="79">
        <f>ROUND('[6]2036'!E42,2)</f>
        <v>29973.84</v>
      </c>
      <c r="F283" s="79">
        <f>ROUND('[6]2036'!F42,2)</f>
        <v>28572.37</v>
      </c>
      <c r="G283" s="79">
        <f>ROUND('[6]2036'!G42,2)</f>
        <v>27350.19</v>
      </c>
      <c r="H283" s="79">
        <f>ROUND('[6]2036'!H42,2)</f>
        <v>26603.79</v>
      </c>
      <c r="I283" s="79">
        <f>ROUND('[6]2036'!I42,2)</f>
        <v>26301.98</v>
      </c>
      <c r="J283" s="79">
        <f>ROUND('[6]2036'!J42,2)</f>
        <v>25658.799999999999</v>
      </c>
      <c r="K283" s="79">
        <f>ROUND('[6]2036'!K42,2)</f>
        <v>25092.43</v>
      </c>
      <c r="L283" s="79">
        <f>ROUND('[6]2036'!L42,2)</f>
        <v>26643.45</v>
      </c>
      <c r="M283" s="79">
        <f>ROUND('[6]2036'!M42,2)</f>
        <v>28550.42</v>
      </c>
      <c r="N283" s="79">
        <f>ROUND('[6]2036'!N42,2)</f>
        <v>30086.87</v>
      </c>
      <c r="O283" s="79">
        <f>ROUND('[6]2036'!O42,2)</f>
        <v>31397.34</v>
      </c>
      <c r="P283" s="79">
        <f>ROUND('[6]2036'!P42,2)</f>
        <v>32514.23</v>
      </c>
      <c r="Q283" s="79">
        <f>ROUND('[6]2036'!Q42,2)</f>
        <v>33321.79</v>
      </c>
      <c r="R283" s="79">
        <f>ROUND('[6]2036'!R42,2)</f>
        <v>33526.699999999997</v>
      </c>
      <c r="S283" s="79">
        <f>ROUND('[6]2036'!S42,2)</f>
        <v>33717.089999999997</v>
      </c>
      <c r="T283" s="79">
        <f>ROUND('[6]2036'!T42,2)</f>
        <v>34162.9</v>
      </c>
      <c r="U283" s="79">
        <f>ROUND('[6]2036'!U42,2)</f>
        <v>34102.67</v>
      </c>
      <c r="V283" s="79">
        <f>ROUND('[6]2036'!V42,2)</f>
        <v>34264.17</v>
      </c>
      <c r="W283" s="79">
        <f>ROUND('[6]2036'!W42,2)</f>
        <v>38150.239999999998</v>
      </c>
      <c r="X283" s="79">
        <f>ROUND('[6]2036'!X42,2)</f>
        <v>40330.22</v>
      </c>
      <c r="Y283" s="79">
        <f>ROUND('[6]2036'!Y42,2)</f>
        <v>39720.410000000003</v>
      </c>
      <c r="Z283" s="79">
        <f>ROUND('[6]2036'!Z42,2)</f>
        <v>38088.28</v>
      </c>
      <c r="AA283" s="79">
        <f>ROUND('[6]2036'!AA42,2)</f>
        <v>35156.53</v>
      </c>
      <c r="AB283" s="79">
        <f>ROUND('[6]2036'!AB42,2)</f>
        <v>32194.71</v>
      </c>
      <c r="AC283" s="210"/>
      <c r="AD283" s="18"/>
    </row>
    <row r="284" spans="2:30" ht="18.649999999999999" customHeight="1" x14ac:dyDescent="0.35">
      <c r="B284" s="211">
        <v>49888</v>
      </c>
      <c r="C284" s="6" t="s">
        <v>29</v>
      </c>
      <c r="D284" s="7">
        <f>+'[6]2036'!D43</f>
        <v>19</v>
      </c>
      <c r="E284" s="78">
        <f>ROUND('[6]2036'!E43,2)</f>
        <v>31790.82</v>
      </c>
      <c r="F284" s="78">
        <f>ROUND('[6]2036'!F43,2)</f>
        <v>30051.759999999998</v>
      </c>
      <c r="G284" s="78">
        <f>ROUND('[6]2036'!G43,2)</f>
        <v>28820.38</v>
      </c>
      <c r="H284" s="78">
        <f>ROUND('[6]2036'!H43,2)</f>
        <v>27980.45</v>
      </c>
      <c r="I284" s="78">
        <f>ROUND('[6]2036'!I43,2)</f>
        <v>27951.67</v>
      </c>
      <c r="J284" s="78">
        <f>ROUND('[6]2036'!J43,2)</f>
        <v>28885.75</v>
      </c>
      <c r="K284" s="78">
        <f>ROUND('[6]2036'!K43,2)</f>
        <v>29225.56</v>
      </c>
      <c r="L284" s="78">
        <f>ROUND('[6]2036'!L43,2)</f>
        <v>32510.68</v>
      </c>
      <c r="M284" s="78">
        <f>ROUND('[6]2036'!M43,2)</f>
        <v>36051.769999999997</v>
      </c>
      <c r="N284" s="78">
        <f>ROUND('[6]2036'!N43,2)</f>
        <v>37825.72</v>
      </c>
      <c r="O284" s="78">
        <f>ROUND('[6]2036'!O43,2)</f>
        <v>40031.339999999997</v>
      </c>
      <c r="P284" s="78">
        <f>ROUND('[6]2036'!P43,2)</f>
        <v>41857.96</v>
      </c>
      <c r="Q284" s="78">
        <f>ROUND('[6]2036'!Q43,2)</f>
        <v>40175.26</v>
      </c>
      <c r="R284" s="78">
        <f>ROUND('[6]2036'!R43,2)</f>
        <v>41489.06</v>
      </c>
      <c r="S284" s="78">
        <f>ROUND('[6]2036'!S43,2)</f>
        <v>43983.67</v>
      </c>
      <c r="T284" s="78">
        <f>ROUND('[6]2036'!T43,2)</f>
        <v>44266.16</v>
      </c>
      <c r="U284" s="78">
        <f>ROUND('[6]2036'!U43,2)</f>
        <v>43507.03</v>
      </c>
      <c r="V284" s="78">
        <f>ROUND('[6]2036'!V43,2)</f>
        <v>41913.4</v>
      </c>
      <c r="W284" s="78">
        <f>ROUND('[6]2036'!W43,2)</f>
        <v>44422.35</v>
      </c>
      <c r="X284" s="78">
        <f>ROUND('[6]2036'!X43,2)</f>
        <v>45115.12</v>
      </c>
      <c r="Y284" s="78">
        <f>ROUND('[6]2036'!Y43,2)</f>
        <v>43847.33</v>
      </c>
      <c r="Z284" s="78">
        <f>ROUND('[6]2036'!Z43,2)</f>
        <v>41604.94</v>
      </c>
      <c r="AA284" s="78">
        <f>ROUND('[6]2036'!AA43,2)</f>
        <v>38150.92</v>
      </c>
      <c r="AB284" s="78">
        <f>ROUND('[6]2036'!AB43,2)</f>
        <v>34888.28</v>
      </c>
      <c r="AC284" s="209">
        <f>SUM(E284:AB284)*D284+SUM(E285:AB285)*D285+SUM(E286:AB286)*D286+SUM(E287:AB287)*D287</f>
        <v>26754607.32</v>
      </c>
      <c r="AD284" s="18"/>
    </row>
    <row r="285" spans="2:30" ht="18.649999999999999" customHeight="1" x14ac:dyDescent="0.35">
      <c r="B285" s="212" t="s">
        <v>34</v>
      </c>
      <c r="C285" s="9" t="s">
        <v>30</v>
      </c>
      <c r="D285" s="10">
        <f>+'[6]2036'!D44</f>
        <v>5</v>
      </c>
      <c r="E285" s="79">
        <f>ROUND('[6]2036'!E44,2)</f>
        <v>32226.06</v>
      </c>
      <c r="F285" s="79">
        <f>ROUND('[6]2036'!F44,2)</f>
        <v>30568.98</v>
      </c>
      <c r="G285" s="79">
        <f>ROUND('[6]2036'!G44,2)</f>
        <v>29340.31</v>
      </c>
      <c r="H285" s="79">
        <f>ROUND('[6]2036'!H44,2)</f>
        <v>28407.77</v>
      </c>
      <c r="I285" s="79">
        <f>ROUND('[6]2036'!I44,2)</f>
        <v>27848.61</v>
      </c>
      <c r="J285" s="79">
        <f>ROUND('[6]2036'!J44,2)</f>
        <v>27608.51</v>
      </c>
      <c r="K285" s="79">
        <f>ROUND('[6]2036'!K44,2)</f>
        <v>27651.57</v>
      </c>
      <c r="L285" s="79">
        <f>ROUND('[6]2036'!L44,2)</f>
        <v>30609.86</v>
      </c>
      <c r="M285" s="79">
        <f>ROUND('[6]2036'!M44,2)</f>
        <v>33850.31</v>
      </c>
      <c r="N285" s="79">
        <f>ROUND('[6]2036'!N44,2)</f>
        <v>35911.49</v>
      </c>
      <c r="O285" s="79">
        <f>ROUND('[6]2036'!O44,2)</f>
        <v>37603.879999999997</v>
      </c>
      <c r="P285" s="79">
        <f>ROUND('[6]2036'!P44,2)</f>
        <v>38176.629999999997</v>
      </c>
      <c r="Q285" s="79">
        <f>ROUND('[6]2036'!Q44,2)</f>
        <v>37521.07</v>
      </c>
      <c r="R285" s="79">
        <f>ROUND('[6]2036'!R44,2)</f>
        <v>37007.040000000001</v>
      </c>
      <c r="S285" s="79">
        <f>ROUND('[6]2036'!S44,2)</f>
        <v>37415.39</v>
      </c>
      <c r="T285" s="79">
        <f>ROUND('[6]2036'!T44,2)</f>
        <v>37578.089999999997</v>
      </c>
      <c r="U285" s="79">
        <f>ROUND('[6]2036'!U44,2)</f>
        <v>37330.620000000003</v>
      </c>
      <c r="V285" s="79">
        <f>ROUND('[6]2036'!V44,2)</f>
        <v>37618.980000000003</v>
      </c>
      <c r="W285" s="79">
        <f>ROUND('[6]2036'!W44,2)</f>
        <v>41524.800000000003</v>
      </c>
      <c r="X285" s="79">
        <f>ROUND('[6]2036'!X44,2)</f>
        <v>41854.839999999997</v>
      </c>
      <c r="Y285" s="79">
        <f>ROUND('[6]2036'!Y44,2)</f>
        <v>40329.07</v>
      </c>
      <c r="Z285" s="79">
        <f>ROUND('[6]2036'!Z44,2)</f>
        <v>38499.370000000003</v>
      </c>
      <c r="AA285" s="79">
        <f>ROUND('[6]2036'!AA44,2)</f>
        <v>36137.300000000003</v>
      </c>
      <c r="AB285" s="79">
        <f>ROUND('[6]2036'!AB44,2)</f>
        <v>33560.07</v>
      </c>
      <c r="AC285" s="210"/>
      <c r="AD285" s="18"/>
    </row>
    <row r="286" spans="2:30" ht="18.649999999999999" customHeight="1" x14ac:dyDescent="0.35">
      <c r="B286" s="212" t="s">
        <v>34</v>
      </c>
      <c r="C286" s="9" t="s">
        <v>31</v>
      </c>
      <c r="D286" s="10">
        <f>+'[6]2036'!D45</f>
        <v>5</v>
      </c>
      <c r="E286" s="79">
        <f>ROUND('[6]2036'!E45,2)</f>
        <v>31448.560000000001</v>
      </c>
      <c r="F286" s="79">
        <f>ROUND('[6]2036'!F45,2)</f>
        <v>29918.35</v>
      </c>
      <c r="G286" s="79">
        <f>ROUND('[6]2036'!G45,2)</f>
        <v>28592.11</v>
      </c>
      <c r="H286" s="79">
        <f>ROUND('[6]2036'!H45,2)</f>
        <v>27823.38</v>
      </c>
      <c r="I286" s="79">
        <f>ROUND('[6]2036'!I45,2)</f>
        <v>27422.61</v>
      </c>
      <c r="J286" s="79">
        <f>ROUND('[6]2036'!J45,2)</f>
        <v>27005.13</v>
      </c>
      <c r="K286" s="79">
        <f>ROUND('[6]2036'!K45,2)</f>
        <v>26279.200000000001</v>
      </c>
      <c r="L286" s="79">
        <f>ROUND('[6]2036'!L45,2)</f>
        <v>27767.63</v>
      </c>
      <c r="M286" s="79">
        <f>ROUND('[6]2036'!M45,2)</f>
        <v>29554.79</v>
      </c>
      <c r="N286" s="79">
        <f>ROUND('[6]2036'!N45,2)</f>
        <v>31073.86</v>
      </c>
      <c r="O286" s="79">
        <f>ROUND('[6]2036'!O45,2)</f>
        <v>32362.36</v>
      </c>
      <c r="P286" s="79">
        <f>ROUND('[6]2036'!P45,2)</f>
        <v>33436.400000000001</v>
      </c>
      <c r="Q286" s="79">
        <f>ROUND('[6]2036'!Q45,2)</f>
        <v>34076.81</v>
      </c>
      <c r="R286" s="79">
        <f>ROUND('[6]2036'!R45,2)</f>
        <v>34210.959999999999</v>
      </c>
      <c r="S286" s="79">
        <f>ROUND('[6]2036'!S45,2)</f>
        <v>34417.32</v>
      </c>
      <c r="T286" s="79">
        <f>ROUND('[6]2036'!T45,2)</f>
        <v>34665.81</v>
      </c>
      <c r="U286" s="79">
        <f>ROUND('[6]2036'!U45,2)</f>
        <v>34661.54</v>
      </c>
      <c r="V286" s="79">
        <f>ROUND('[6]2036'!V45,2)</f>
        <v>35242.65</v>
      </c>
      <c r="W286" s="79">
        <f>ROUND('[6]2036'!W45,2)</f>
        <v>39659.9</v>
      </c>
      <c r="X286" s="79">
        <f>ROUND('[6]2036'!X45,2)</f>
        <v>41372.14</v>
      </c>
      <c r="Y286" s="79">
        <f>ROUND('[6]2036'!Y45,2)</f>
        <v>41033.26</v>
      </c>
      <c r="Z286" s="79">
        <f>ROUND('[6]2036'!Z45,2)</f>
        <v>39567.019999999997</v>
      </c>
      <c r="AA286" s="79">
        <f>ROUND('[6]2036'!AA45,2)</f>
        <v>36671.15</v>
      </c>
      <c r="AB286" s="79">
        <f>ROUND('[6]2036'!AB45,2)</f>
        <v>33609.06</v>
      </c>
      <c r="AC286" s="210"/>
      <c r="AD286" s="18"/>
    </row>
    <row r="287" spans="2:30" ht="18.649999999999999" customHeight="1" thickBot="1" x14ac:dyDescent="0.4">
      <c r="B287" s="213" t="s">
        <v>34</v>
      </c>
      <c r="C287" s="11" t="s">
        <v>32</v>
      </c>
      <c r="D287" s="12">
        <f>+'[6]2036'!D46</f>
        <v>2</v>
      </c>
      <c r="E287" s="76">
        <f>ROUND('[6]2036'!E46,2)</f>
        <v>31448.560000000001</v>
      </c>
      <c r="F287" s="76">
        <f>ROUND('[6]2036'!F46,2)</f>
        <v>29918.35</v>
      </c>
      <c r="G287" s="76">
        <f>ROUND('[6]2036'!G46,2)</f>
        <v>28592.11</v>
      </c>
      <c r="H287" s="76">
        <f>ROUND('[6]2036'!H46,2)</f>
        <v>27823.38</v>
      </c>
      <c r="I287" s="76">
        <f>ROUND('[6]2036'!I46,2)</f>
        <v>27422.61</v>
      </c>
      <c r="J287" s="76">
        <f>ROUND('[6]2036'!J46,2)</f>
        <v>27005.13</v>
      </c>
      <c r="K287" s="76">
        <f>ROUND('[6]2036'!K46,2)</f>
        <v>26279.200000000001</v>
      </c>
      <c r="L287" s="76">
        <f>ROUND('[6]2036'!L46,2)</f>
        <v>27767.63</v>
      </c>
      <c r="M287" s="76">
        <f>ROUND('[6]2036'!M46,2)</f>
        <v>29554.79</v>
      </c>
      <c r="N287" s="76">
        <f>ROUND('[6]2036'!N46,2)</f>
        <v>31073.86</v>
      </c>
      <c r="O287" s="76">
        <f>ROUND('[6]2036'!O46,2)</f>
        <v>32362.36</v>
      </c>
      <c r="P287" s="76">
        <f>ROUND('[6]2036'!P46,2)</f>
        <v>33436.400000000001</v>
      </c>
      <c r="Q287" s="76">
        <f>ROUND('[6]2036'!Q46,2)</f>
        <v>34076.81</v>
      </c>
      <c r="R287" s="76">
        <f>ROUND('[6]2036'!R46,2)</f>
        <v>34210.959999999999</v>
      </c>
      <c r="S287" s="76">
        <f>ROUND('[6]2036'!S46,2)</f>
        <v>34417.32</v>
      </c>
      <c r="T287" s="76">
        <f>ROUND('[6]2036'!T46,2)</f>
        <v>34665.81</v>
      </c>
      <c r="U287" s="76">
        <f>ROUND('[6]2036'!U46,2)</f>
        <v>34661.54</v>
      </c>
      <c r="V287" s="76">
        <f>ROUND('[6]2036'!V46,2)</f>
        <v>35242.65</v>
      </c>
      <c r="W287" s="76">
        <f>ROUND('[6]2036'!W46,2)</f>
        <v>39659.9</v>
      </c>
      <c r="X287" s="76">
        <f>ROUND('[6]2036'!X46,2)</f>
        <v>41372.14</v>
      </c>
      <c r="Y287" s="76">
        <f>ROUND('[6]2036'!Y46,2)</f>
        <v>41033.26</v>
      </c>
      <c r="Z287" s="76">
        <f>ROUND('[6]2036'!Z46,2)</f>
        <v>39567.019999999997</v>
      </c>
      <c r="AA287" s="76">
        <f>ROUND('[6]2036'!AA46,2)</f>
        <v>36671.15</v>
      </c>
      <c r="AB287" s="76">
        <f>ROUND('[6]2036'!AB46,2)</f>
        <v>33609.06</v>
      </c>
      <c r="AC287" s="214"/>
      <c r="AD287" s="18"/>
    </row>
    <row r="288" spans="2:30" ht="18.649999999999999" customHeight="1" x14ac:dyDescent="0.35">
      <c r="B288" s="207">
        <v>49919</v>
      </c>
      <c r="C288" s="13" t="s">
        <v>29</v>
      </c>
      <c r="D288" s="14">
        <f>+'[6]2036'!D47</f>
        <v>22</v>
      </c>
      <c r="E288" s="81">
        <f>ROUND('[6]2036'!E47,2)</f>
        <v>31259.31</v>
      </c>
      <c r="F288" s="81">
        <f>ROUND('[6]2036'!F47,2)</f>
        <v>29619.64</v>
      </c>
      <c r="G288" s="81">
        <f>ROUND('[6]2036'!G47,2)</f>
        <v>28411.75</v>
      </c>
      <c r="H288" s="81">
        <f>ROUND('[6]2036'!H47,2)</f>
        <v>27527.07</v>
      </c>
      <c r="I288" s="81">
        <f>ROUND('[6]2036'!I47,2)</f>
        <v>27495.82</v>
      </c>
      <c r="J288" s="81">
        <f>ROUND('[6]2036'!J47,2)</f>
        <v>28385.66</v>
      </c>
      <c r="K288" s="81">
        <f>ROUND('[6]2036'!K47,2)</f>
        <v>28786.85</v>
      </c>
      <c r="L288" s="81">
        <f>ROUND('[6]2036'!L47,2)</f>
        <v>32082.28</v>
      </c>
      <c r="M288" s="81">
        <f>ROUND('[6]2036'!M47,2)</f>
        <v>35631.449999999997</v>
      </c>
      <c r="N288" s="81">
        <f>ROUND('[6]2036'!N47,2)</f>
        <v>37403.56</v>
      </c>
      <c r="O288" s="81">
        <f>ROUND('[6]2036'!O47,2)</f>
        <v>39308.46</v>
      </c>
      <c r="P288" s="81">
        <f>ROUND('[6]2036'!P47,2)</f>
        <v>40936.32</v>
      </c>
      <c r="Q288" s="81">
        <f>ROUND('[6]2036'!Q47,2)</f>
        <v>39456.730000000003</v>
      </c>
      <c r="R288" s="81">
        <f>ROUND('[6]2036'!R47,2)</f>
        <v>40609.64</v>
      </c>
      <c r="S288" s="81">
        <f>ROUND('[6]2036'!S47,2)</f>
        <v>42913</v>
      </c>
      <c r="T288" s="81">
        <f>ROUND('[6]2036'!T47,2)</f>
        <v>43206.69</v>
      </c>
      <c r="U288" s="81">
        <f>ROUND('[6]2036'!U47,2)</f>
        <v>42539.12</v>
      </c>
      <c r="V288" s="81">
        <f>ROUND('[6]2036'!V47,2)</f>
        <v>41457.49</v>
      </c>
      <c r="W288" s="81">
        <f>ROUND('[6]2036'!W47,2)</f>
        <v>44230.879999999997</v>
      </c>
      <c r="X288" s="81">
        <f>ROUND('[6]2036'!X47,2)</f>
        <v>43813.15</v>
      </c>
      <c r="Y288" s="81">
        <f>ROUND('[6]2036'!Y47,2)</f>
        <v>42414.27</v>
      </c>
      <c r="Z288" s="81">
        <f>ROUND('[6]2036'!Z47,2)</f>
        <v>40126.639999999999</v>
      </c>
      <c r="AA288" s="81">
        <f>ROUND('[6]2036'!AA47,2)</f>
        <v>36694.339999999997</v>
      </c>
      <c r="AB288" s="81">
        <f>ROUND('[6]2036'!AB47,2)</f>
        <v>33536.839999999997</v>
      </c>
      <c r="AC288" s="210">
        <f>SUM(E288:AB288)*D288+SUM(E289:AB289)*D289+SUM(E290:AB290)*D290+SUM(E291:AB291)*D291</f>
        <v>25703627.639999997</v>
      </c>
      <c r="AD288" s="18"/>
    </row>
    <row r="289" spans="2:31" ht="18.649999999999999" customHeight="1" x14ac:dyDescent="0.35">
      <c r="B289" s="208"/>
      <c r="C289" s="9" t="s">
        <v>30</v>
      </c>
      <c r="D289" s="10">
        <f>+'[6]2036'!D48</f>
        <v>4</v>
      </c>
      <c r="E289" s="79">
        <f>ROUND('[6]2036'!E48,2)</f>
        <v>30445.88</v>
      </c>
      <c r="F289" s="79">
        <f>ROUND('[6]2036'!F48,2)</f>
        <v>28906.95</v>
      </c>
      <c r="G289" s="79">
        <f>ROUND('[6]2036'!G48,2)</f>
        <v>27750.89</v>
      </c>
      <c r="H289" s="79">
        <f>ROUND('[6]2036'!H48,2)</f>
        <v>26898.83</v>
      </c>
      <c r="I289" s="79">
        <f>ROUND('[6]2036'!I48,2)</f>
        <v>26672.29</v>
      </c>
      <c r="J289" s="79">
        <f>ROUND('[6]2036'!J48,2)</f>
        <v>26518.71</v>
      </c>
      <c r="K289" s="79">
        <f>ROUND('[6]2036'!K48,2)</f>
        <v>26822.76</v>
      </c>
      <c r="L289" s="79">
        <f>ROUND('[6]2036'!L48,2)</f>
        <v>29880.7</v>
      </c>
      <c r="M289" s="79">
        <f>ROUND('[6]2036'!M48,2)</f>
        <v>33300.980000000003</v>
      </c>
      <c r="N289" s="79">
        <f>ROUND('[6]2036'!N48,2)</f>
        <v>34985.730000000003</v>
      </c>
      <c r="O289" s="79">
        <f>ROUND('[6]2036'!O48,2)</f>
        <v>37034.730000000003</v>
      </c>
      <c r="P289" s="79">
        <f>ROUND('[6]2036'!P48,2)</f>
        <v>37946.870000000003</v>
      </c>
      <c r="Q289" s="79">
        <f>ROUND('[6]2036'!Q48,2)</f>
        <v>37524.35</v>
      </c>
      <c r="R289" s="79">
        <f>ROUND('[6]2036'!R48,2)</f>
        <v>37065.360000000001</v>
      </c>
      <c r="S289" s="79">
        <f>ROUND('[6]2036'!S48,2)</f>
        <v>37321.5</v>
      </c>
      <c r="T289" s="79">
        <f>ROUND('[6]2036'!T48,2)</f>
        <v>37241.82</v>
      </c>
      <c r="U289" s="79">
        <f>ROUND('[6]2036'!U48,2)</f>
        <v>36799.08</v>
      </c>
      <c r="V289" s="79">
        <f>ROUND('[6]2036'!V48,2)</f>
        <v>37701.839999999997</v>
      </c>
      <c r="W289" s="79">
        <f>ROUND('[6]2036'!W48,2)</f>
        <v>41892.6</v>
      </c>
      <c r="X289" s="79">
        <f>ROUND('[6]2036'!X48,2)</f>
        <v>41582.480000000003</v>
      </c>
      <c r="Y289" s="79">
        <f>ROUND('[6]2036'!Y48,2)</f>
        <v>40114.550000000003</v>
      </c>
      <c r="Z289" s="79">
        <f>ROUND('[6]2036'!Z48,2)</f>
        <v>38268.720000000001</v>
      </c>
      <c r="AA289" s="79">
        <f>ROUND('[6]2036'!AA48,2)</f>
        <v>36153.89</v>
      </c>
      <c r="AB289" s="79">
        <f>ROUND('[6]2036'!AB48,2)</f>
        <v>33626.910000000003</v>
      </c>
      <c r="AC289" s="210"/>
      <c r="AD289" s="18"/>
    </row>
    <row r="290" spans="2:31" ht="18.649999999999999" customHeight="1" x14ac:dyDescent="0.35">
      <c r="B290" s="208"/>
      <c r="C290" s="9" t="s">
        <v>31</v>
      </c>
      <c r="D290" s="10">
        <f>+'[6]2036'!D49</f>
        <v>4</v>
      </c>
      <c r="E290" s="79">
        <f>ROUND('[6]2036'!E49,2)</f>
        <v>31162.48</v>
      </c>
      <c r="F290" s="79">
        <f>ROUND('[6]2036'!F49,2)</f>
        <v>29574.41</v>
      </c>
      <c r="G290" s="79">
        <f>ROUND('[6]2036'!G49,2)</f>
        <v>28210.9</v>
      </c>
      <c r="H290" s="79">
        <f>ROUND('[6]2036'!H49,2)</f>
        <v>27308.32</v>
      </c>
      <c r="I290" s="79">
        <f>ROUND('[6]2036'!I49,2)</f>
        <v>26926.27</v>
      </c>
      <c r="J290" s="79">
        <f>ROUND('[6]2036'!J49,2)</f>
        <v>26195.57</v>
      </c>
      <c r="K290" s="79">
        <f>ROUND('[6]2036'!K49,2)</f>
        <v>25510.89</v>
      </c>
      <c r="L290" s="79">
        <f>ROUND('[6]2036'!L49,2)</f>
        <v>27114.93</v>
      </c>
      <c r="M290" s="79">
        <f>ROUND('[6]2036'!M49,2)</f>
        <v>28858.43</v>
      </c>
      <c r="N290" s="79">
        <f>ROUND('[6]2036'!N49,2)</f>
        <v>30549.61</v>
      </c>
      <c r="O290" s="79">
        <f>ROUND('[6]2036'!O49,2)</f>
        <v>31843.86</v>
      </c>
      <c r="P290" s="79">
        <f>ROUND('[6]2036'!P49,2)</f>
        <v>32694.04</v>
      </c>
      <c r="Q290" s="79">
        <f>ROUND('[6]2036'!Q49,2)</f>
        <v>33422.67</v>
      </c>
      <c r="R290" s="79">
        <f>ROUND('[6]2036'!R49,2)</f>
        <v>33525.24</v>
      </c>
      <c r="S290" s="79">
        <f>ROUND('[6]2036'!S49,2)</f>
        <v>33545.32</v>
      </c>
      <c r="T290" s="79">
        <f>ROUND('[6]2036'!T49,2)</f>
        <v>33962.65</v>
      </c>
      <c r="U290" s="79">
        <f>ROUND('[6]2036'!U49,2)</f>
        <v>33926.660000000003</v>
      </c>
      <c r="V290" s="79">
        <f>ROUND('[6]2036'!V49,2)</f>
        <v>35030.19</v>
      </c>
      <c r="W290" s="79">
        <f>ROUND('[6]2036'!W49,2)</f>
        <v>39611.53</v>
      </c>
      <c r="X290" s="79">
        <f>ROUND('[6]2036'!X49,2)</f>
        <v>40270.47</v>
      </c>
      <c r="Y290" s="79">
        <f>ROUND('[6]2036'!Y49,2)</f>
        <v>39750.29</v>
      </c>
      <c r="Z290" s="79">
        <f>ROUND('[6]2036'!Z49,2)</f>
        <v>38249.279999999999</v>
      </c>
      <c r="AA290" s="79">
        <f>ROUND('[6]2036'!AA49,2)</f>
        <v>35491.49</v>
      </c>
      <c r="AB290" s="79">
        <f>ROUND('[6]2036'!AB49,2)</f>
        <v>32554.71</v>
      </c>
      <c r="AC290" s="210"/>
      <c r="AD290" s="18"/>
    </row>
    <row r="291" spans="2:31" ht="18.649999999999999" customHeight="1" thickBot="1" x14ac:dyDescent="0.4">
      <c r="B291" s="208"/>
      <c r="C291" s="15" t="s">
        <v>32</v>
      </c>
      <c r="D291" s="16">
        <f>+'[6]2036'!D50</f>
        <v>0</v>
      </c>
      <c r="E291" s="75">
        <f>ROUND('[6]2036'!E50,2)</f>
        <v>0</v>
      </c>
      <c r="F291" s="75">
        <f>ROUND('[6]2036'!F50,2)</f>
        <v>0</v>
      </c>
      <c r="G291" s="75">
        <f>ROUND('[6]2036'!G50,2)</f>
        <v>0</v>
      </c>
      <c r="H291" s="75">
        <f>ROUND('[6]2036'!H50,2)</f>
        <v>0</v>
      </c>
      <c r="I291" s="75">
        <f>ROUND('[6]2036'!I50,2)</f>
        <v>0</v>
      </c>
      <c r="J291" s="75">
        <f>ROUND('[6]2036'!J50,2)</f>
        <v>0</v>
      </c>
      <c r="K291" s="75">
        <f>ROUND('[6]2036'!K50,2)</f>
        <v>0</v>
      </c>
      <c r="L291" s="75">
        <f>ROUND('[6]2036'!L50,2)</f>
        <v>0</v>
      </c>
      <c r="M291" s="75">
        <f>ROUND('[6]2036'!M50,2)</f>
        <v>0</v>
      </c>
      <c r="N291" s="75">
        <f>ROUND('[6]2036'!N50,2)</f>
        <v>0</v>
      </c>
      <c r="O291" s="75">
        <f>ROUND('[6]2036'!O50,2)</f>
        <v>0</v>
      </c>
      <c r="P291" s="75">
        <f>ROUND('[6]2036'!P50,2)</f>
        <v>0</v>
      </c>
      <c r="Q291" s="75">
        <f>ROUND('[6]2036'!Q50,2)</f>
        <v>0</v>
      </c>
      <c r="R291" s="75">
        <f>ROUND('[6]2036'!R50,2)</f>
        <v>0</v>
      </c>
      <c r="S291" s="75">
        <f>ROUND('[6]2036'!S50,2)</f>
        <v>0</v>
      </c>
      <c r="T291" s="75">
        <f>ROUND('[6]2036'!T50,2)</f>
        <v>0</v>
      </c>
      <c r="U291" s="75">
        <f>ROUND('[6]2036'!U50,2)</f>
        <v>0</v>
      </c>
      <c r="V291" s="75">
        <f>ROUND('[6]2036'!V50,2)</f>
        <v>0</v>
      </c>
      <c r="W291" s="75">
        <f>ROUND('[6]2036'!W50,2)</f>
        <v>0</v>
      </c>
      <c r="X291" s="75">
        <f>ROUND('[6]2036'!X50,2)</f>
        <v>0</v>
      </c>
      <c r="Y291" s="75">
        <f>ROUND('[6]2036'!Y50,2)</f>
        <v>0</v>
      </c>
      <c r="Z291" s="75">
        <f>ROUND('[6]2036'!Z50,2)</f>
        <v>0</v>
      </c>
      <c r="AA291" s="75">
        <f>ROUND('[6]2036'!AA50,2)</f>
        <v>0</v>
      </c>
      <c r="AB291" s="75">
        <f>ROUND('[6]2036'!AB50,2)</f>
        <v>0</v>
      </c>
      <c r="AC291" s="210"/>
      <c r="AD291" s="18"/>
    </row>
    <row r="292" spans="2:31" ht="18.649999999999999" customHeight="1" x14ac:dyDescent="0.35">
      <c r="B292" s="211">
        <v>49949</v>
      </c>
      <c r="C292" s="6" t="s">
        <v>29</v>
      </c>
      <c r="D292" s="7">
        <f>+'[6]2036'!D51</f>
        <v>22</v>
      </c>
      <c r="E292" s="78">
        <f>ROUND('[6]2036'!E51,2)</f>
        <v>30224.23</v>
      </c>
      <c r="F292" s="78">
        <f>ROUND('[6]2036'!F51,2)</f>
        <v>28633.24</v>
      </c>
      <c r="G292" s="78">
        <f>ROUND('[6]2036'!G51,2)</f>
        <v>27496.43</v>
      </c>
      <c r="H292" s="78">
        <f>ROUND('[6]2036'!H51,2)</f>
        <v>26669.84</v>
      </c>
      <c r="I292" s="78">
        <f>ROUND('[6]2036'!I51,2)</f>
        <v>26756.14</v>
      </c>
      <c r="J292" s="78">
        <f>ROUND('[6]2036'!J51,2)</f>
        <v>27555.25</v>
      </c>
      <c r="K292" s="78">
        <f>ROUND('[6]2036'!K51,2)</f>
        <v>28278.74</v>
      </c>
      <c r="L292" s="78">
        <f>ROUND('[6]2036'!L51,2)</f>
        <v>31498.11</v>
      </c>
      <c r="M292" s="78">
        <f>ROUND('[6]2036'!M51,2)</f>
        <v>34921.589999999997</v>
      </c>
      <c r="N292" s="78">
        <f>ROUND('[6]2036'!N51,2)</f>
        <v>36714.61</v>
      </c>
      <c r="O292" s="78">
        <f>ROUND('[6]2036'!O51,2)</f>
        <v>38581.879999999997</v>
      </c>
      <c r="P292" s="78">
        <f>ROUND('[6]2036'!P51,2)</f>
        <v>40060.410000000003</v>
      </c>
      <c r="Q292" s="78">
        <f>ROUND('[6]2036'!Q51,2)</f>
        <v>38332.04</v>
      </c>
      <c r="R292" s="78">
        <f>ROUND('[6]2036'!R51,2)</f>
        <v>39356.74</v>
      </c>
      <c r="S292" s="78">
        <f>ROUND('[6]2036'!S51,2)</f>
        <v>41565.97</v>
      </c>
      <c r="T292" s="78">
        <f>ROUND('[6]2036'!T51,2)</f>
        <v>42065.31</v>
      </c>
      <c r="U292" s="78">
        <f>ROUND('[6]2036'!U51,2)</f>
        <v>41597.86</v>
      </c>
      <c r="V292" s="78">
        <f>ROUND('[6]2036'!V51,2)</f>
        <v>41612.54</v>
      </c>
      <c r="W292" s="78">
        <f>ROUND('[6]2036'!W51,2)</f>
        <v>44194.66</v>
      </c>
      <c r="X292" s="78">
        <f>ROUND('[6]2036'!X51,2)</f>
        <v>43209.77</v>
      </c>
      <c r="Y292" s="78">
        <f>ROUND('[6]2036'!Y51,2)</f>
        <v>41604.99</v>
      </c>
      <c r="Z292" s="78">
        <f>ROUND('[6]2036'!Z51,2)</f>
        <v>39328</v>
      </c>
      <c r="AA292" s="78">
        <f>ROUND('[6]2036'!AA51,2)</f>
        <v>35972.089999999997</v>
      </c>
      <c r="AB292" s="78">
        <f>ROUND('[6]2036'!AB51,2)</f>
        <v>32731.11</v>
      </c>
      <c r="AC292" s="209">
        <f>SUM(E292:AB292)*D292+SUM(E293:AB293)*D293+SUM(E294:AB294)*D294+SUM(E295:AB295)*D295</f>
        <v>26060188.239999998</v>
      </c>
      <c r="AD292" s="18"/>
    </row>
    <row r="293" spans="2:31" ht="18.649999999999999" customHeight="1" x14ac:dyDescent="0.35">
      <c r="B293" s="212" t="s">
        <v>34</v>
      </c>
      <c r="C293" s="9" t="s">
        <v>30</v>
      </c>
      <c r="D293" s="10">
        <f>+'[6]2036'!D52</f>
        <v>4</v>
      </c>
      <c r="E293" s="79">
        <f>ROUND('[6]2036'!E52,2)</f>
        <v>30775.57</v>
      </c>
      <c r="F293" s="79">
        <f>ROUND('[6]2036'!F52,2)</f>
        <v>29047.45</v>
      </c>
      <c r="G293" s="79">
        <f>ROUND('[6]2036'!G52,2)</f>
        <v>27677.49</v>
      </c>
      <c r="H293" s="79">
        <f>ROUND('[6]2036'!H52,2)</f>
        <v>26824.66</v>
      </c>
      <c r="I293" s="79">
        <f>ROUND('[6]2036'!I52,2)</f>
        <v>26807.69</v>
      </c>
      <c r="J293" s="79">
        <f>ROUND('[6]2036'!J52,2)</f>
        <v>26693.84</v>
      </c>
      <c r="K293" s="79">
        <f>ROUND('[6]2036'!K52,2)</f>
        <v>27107.22</v>
      </c>
      <c r="L293" s="79">
        <f>ROUND('[6]2036'!L52,2)</f>
        <v>29792.76</v>
      </c>
      <c r="M293" s="79">
        <f>ROUND('[6]2036'!M52,2)</f>
        <v>33137.61</v>
      </c>
      <c r="N293" s="79">
        <f>ROUND('[6]2036'!N52,2)</f>
        <v>35045.67</v>
      </c>
      <c r="O293" s="79">
        <f>ROUND('[6]2036'!O52,2)</f>
        <v>37012.29</v>
      </c>
      <c r="P293" s="79">
        <f>ROUND('[6]2036'!P52,2)</f>
        <v>37990.730000000003</v>
      </c>
      <c r="Q293" s="79">
        <f>ROUND('[6]2036'!Q52,2)</f>
        <v>37277.58</v>
      </c>
      <c r="R293" s="79">
        <f>ROUND('[6]2036'!R52,2)</f>
        <v>36817.910000000003</v>
      </c>
      <c r="S293" s="79">
        <f>ROUND('[6]2036'!S52,2)</f>
        <v>37204.47</v>
      </c>
      <c r="T293" s="79">
        <f>ROUND('[6]2036'!T52,2)</f>
        <v>37594.980000000003</v>
      </c>
      <c r="U293" s="79">
        <f>ROUND('[6]2036'!U52,2)</f>
        <v>37308.46</v>
      </c>
      <c r="V293" s="79">
        <f>ROUND('[6]2036'!V52,2)</f>
        <v>38671.480000000003</v>
      </c>
      <c r="W293" s="79">
        <f>ROUND('[6]2036'!W52,2)</f>
        <v>42325.63</v>
      </c>
      <c r="X293" s="79">
        <f>ROUND('[6]2036'!X52,2)</f>
        <v>41543.89</v>
      </c>
      <c r="Y293" s="79">
        <f>ROUND('[6]2036'!Y52,2)</f>
        <v>39940.699999999997</v>
      </c>
      <c r="Z293" s="79">
        <f>ROUND('[6]2036'!Z52,2)</f>
        <v>37924.44</v>
      </c>
      <c r="AA293" s="79">
        <f>ROUND('[6]2036'!AA52,2)</f>
        <v>35508.769999999997</v>
      </c>
      <c r="AB293" s="79">
        <f>ROUND('[6]2036'!AB52,2)</f>
        <v>32957.769999999997</v>
      </c>
      <c r="AC293" s="210"/>
      <c r="AD293" s="18"/>
    </row>
    <row r="294" spans="2:31" ht="18.649999999999999" customHeight="1" x14ac:dyDescent="0.35">
      <c r="B294" s="212" t="s">
        <v>34</v>
      </c>
      <c r="C294" s="9" t="s">
        <v>31</v>
      </c>
      <c r="D294" s="10">
        <f>+'[6]2036'!D53</f>
        <v>4</v>
      </c>
      <c r="E294" s="79">
        <f>ROUND('[6]2036'!E53,2)</f>
        <v>30616.27</v>
      </c>
      <c r="F294" s="79">
        <f>ROUND('[6]2036'!F53,2)</f>
        <v>29009.91</v>
      </c>
      <c r="G294" s="79">
        <f>ROUND('[6]2036'!G53,2)</f>
        <v>27734.25</v>
      </c>
      <c r="H294" s="79">
        <f>ROUND('[6]2036'!H53,2)</f>
        <v>26944.82</v>
      </c>
      <c r="I294" s="79">
        <f>ROUND('[6]2036'!I53,2)</f>
        <v>26590.22</v>
      </c>
      <c r="J294" s="79">
        <f>ROUND('[6]2036'!J53,2)</f>
        <v>26020.1</v>
      </c>
      <c r="K294" s="79">
        <f>ROUND('[6]2036'!K53,2)</f>
        <v>25324.84</v>
      </c>
      <c r="L294" s="79">
        <f>ROUND('[6]2036'!L53,2)</f>
        <v>26826.89</v>
      </c>
      <c r="M294" s="79">
        <f>ROUND('[6]2036'!M53,2)</f>
        <v>28777.7</v>
      </c>
      <c r="N294" s="79">
        <f>ROUND('[6]2036'!N53,2)</f>
        <v>30336.69</v>
      </c>
      <c r="O294" s="79">
        <f>ROUND('[6]2036'!O53,2)</f>
        <v>31831.62</v>
      </c>
      <c r="P294" s="79">
        <f>ROUND('[6]2036'!P53,2)</f>
        <v>33027.019999999997</v>
      </c>
      <c r="Q294" s="79">
        <f>ROUND('[6]2036'!Q53,2)</f>
        <v>33623.160000000003</v>
      </c>
      <c r="R294" s="79">
        <f>ROUND('[6]2036'!R53,2)</f>
        <v>33687.08</v>
      </c>
      <c r="S294" s="79">
        <f>ROUND('[6]2036'!S53,2)</f>
        <v>33896.22</v>
      </c>
      <c r="T294" s="79">
        <f>ROUND('[6]2036'!T53,2)</f>
        <v>33858.93</v>
      </c>
      <c r="U294" s="79">
        <f>ROUND('[6]2036'!U53,2)</f>
        <v>34111.620000000003</v>
      </c>
      <c r="V294" s="79">
        <f>ROUND('[6]2036'!V53,2)</f>
        <v>35783.040000000001</v>
      </c>
      <c r="W294" s="79">
        <f>ROUND('[6]2036'!W53,2)</f>
        <v>40125.199999999997</v>
      </c>
      <c r="X294" s="79">
        <f>ROUND('[6]2036'!X53,2)</f>
        <v>40390.54</v>
      </c>
      <c r="Y294" s="79">
        <f>ROUND('[6]2036'!Y53,2)</f>
        <v>39762.800000000003</v>
      </c>
      <c r="Z294" s="79">
        <f>ROUND('[6]2036'!Z53,2)</f>
        <v>38185.64</v>
      </c>
      <c r="AA294" s="79">
        <f>ROUND('[6]2036'!AA53,2)</f>
        <v>35322.82</v>
      </c>
      <c r="AB294" s="79">
        <f>ROUND('[6]2036'!AB53,2)</f>
        <v>32428.2</v>
      </c>
      <c r="AC294" s="210"/>
      <c r="AD294" s="18"/>
    </row>
    <row r="295" spans="2:31" ht="18.649999999999999" customHeight="1" thickBot="1" x14ac:dyDescent="0.4">
      <c r="B295" s="213" t="s">
        <v>34</v>
      </c>
      <c r="C295" s="11" t="s">
        <v>32</v>
      </c>
      <c r="D295" s="12">
        <f>+'[6]2036'!D54</f>
        <v>1</v>
      </c>
      <c r="E295" s="76">
        <f>ROUND('[6]2036'!E54,2)</f>
        <v>30616.27</v>
      </c>
      <c r="F295" s="76">
        <f>ROUND('[6]2036'!F54,2)</f>
        <v>29009.91</v>
      </c>
      <c r="G295" s="76">
        <f>ROUND('[6]2036'!G54,2)</f>
        <v>27734.25</v>
      </c>
      <c r="H295" s="76">
        <f>ROUND('[6]2036'!H54,2)</f>
        <v>26944.82</v>
      </c>
      <c r="I295" s="76">
        <f>ROUND('[6]2036'!I54,2)</f>
        <v>26590.22</v>
      </c>
      <c r="J295" s="76">
        <f>ROUND('[6]2036'!J54,2)</f>
        <v>26020.1</v>
      </c>
      <c r="K295" s="76">
        <f>ROUND('[6]2036'!K54,2)</f>
        <v>25324.84</v>
      </c>
      <c r="L295" s="76">
        <f>ROUND('[6]2036'!L54,2)</f>
        <v>26826.89</v>
      </c>
      <c r="M295" s="76">
        <f>ROUND('[6]2036'!M54,2)</f>
        <v>28777.7</v>
      </c>
      <c r="N295" s="76">
        <f>ROUND('[6]2036'!N54,2)</f>
        <v>30336.69</v>
      </c>
      <c r="O295" s="76">
        <f>ROUND('[6]2036'!O54,2)</f>
        <v>31831.62</v>
      </c>
      <c r="P295" s="76">
        <f>ROUND('[6]2036'!P54,2)</f>
        <v>33027.019999999997</v>
      </c>
      <c r="Q295" s="76">
        <f>ROUND('[6]2036'!Q54,2)</f>
        <v>33623.160000000003</v>
      </c>
      <c r="R295" s="76">
        <f>ROUND('[6]2036'!R54,2)</f>
        <v>33687.08</v>
      </c>
      <c r="S295" s="76">
        <f>ROUND('[6]2036'!S54,2)</f>
        <v>33896.22</v>
      </c>
      <c r="T295" s="76">
        <f>ROUND('[6]2036'!T54,2)</f>
        <v>33858.93</v>
      </c>
      <c r="U295" s="76">
        <f>ROUND('[6]2036'!U54,2)</f>
        <v>34111.620000000003</v>
      </c>
      <c r="V295" s="76">
        <f>ROUND('[6]2036'!V54,2)</f>
        <v>35783.040000000001</v>
      </c>
      <c r="W295" s="76">
        <f>ROUND('[6]2036'!W54,2)</f>
        <v>40125.199999999997</v>
      </c>
      <c r="X295" s="76">
        <f>ROUND('[6]2036'!X54,2)</f>
        <v>40390.54</v>
      </c>
      <c r="Y295" s="76">
        <f>ROUND('[6]2036'!Y54,2)</f>
        <v>39762.800000000003</v>
      </c>
      <c r="Z295" s="76">
        <f>ROUND('[6]2036'!Z54,2)</f>
        <v>38185.64</v>
      </c>
      <c r="AA295" s="76">
        <f>ROUND('[6]2036'!AA54,2)</f>
        <v>35322.82</v>
      </c>
      <c r="AB295" s="76">
        <f>ROUND('[6]2036'!AB54,2)</f>
        <v>32428.2</v>
      </c>
      <c r="AC295" s="214"/>
      <c r="AD295" s="18"/>
    </row>
    <row r="296" spans="2:31" ht="18.649999999999999" customHeight="1" x14ac:dyDescent="0.35">
      <c r="B296" s="207">
        <v>49980</v>
      </c>
      <c r="C296" s="13" t="s">
        <v>29</v>
      </c>
      <c r="D296" s="14">
        <f>+'[6]2036'!D55</f>
        <v>18</v>
      </c>
      <c r="E296" s="81">
        <f>ROUND('[6]2036'!E55,2)</f>
        <v>30021.46</v>
      </c>
      <c r="F296" s="81">
        <f>ROUND('[6]2036'!F55,2)</f>
        <v>28478.84</v>
      </c>
      <c r="G296" s="81">
        <f>ROUND('[6]2036'!G55,2)</f>
        <v>27355.51</v>
      </c>
      <c r="H296" s="81">
        <f>ROUND('[6]2036'!H55,2)</f>
        <v>26594.61</v>
      </c>
      <c r="I296" s="81">
        <f>ROUND('[6]2036'!I55,2)</f>
        <v>26669.64</v>
      </c>
      <c r="J296" s="81">
        <f>ROUND('[6]2036'!J55,2)</f>
        <v>27461.55</v>
      </c>
      <c r="K296" s="81">
        <f>ROUND('[6]2036'!K55,2)</f>
        <v>28184.66</v>
      </c>
      <c r="L296" s="81">
        <f>ROUND('[6]2036'!L55,2)</f>
        <v>31537.17</v>
      </c>
      <c r="M296" s="81">
        <f>ROUND('[6]2036'!M55,2)</f>
        <v>34987.58</v>
      </c>
      <c r="N296" s="81">
        <f>ROUND('[6]2036'!N55,2)</f>
        <v>36699.199999999997</v>
      </c>
      <c r="O296" s="81">
        <f>ROUND('[6]2036'!O55,2)</f>
        <v>38485.5</v>
      </c>
      <c r="P296" s="81">
        <f>ROUND('[6]2036'!P55,2)</f>
        <v>39744.5</v>
      </c>
      <c r="Q296" s="81">
        <f>ROUND('[6]2036'!Q55,2)</f>
        <v>38114.78</v>
      </c>
      <c r="R296" s="81">
        <f>ROUND('[6]2036'!R55,2)</f>
        <v>38972.730000000003</v>
      </c>
      <c r="S296" s="81">
        <f>ROUND('[6]2036'!S55,2)</f>
        <v>40916.53</v>
      </c>
      <c r="T296" s="81">
        <f>ROUND('[6]2036'!T55,2)</f>
        <v>41416.69</v>
      </c>
      <c r="U296" s="81">
        <f>ROUND('[6]2036'!U55,2)</f>
        <v>41012.28</v>
      </c>
      <c r="V296" s="81">
        <f>ROUND('[6]2036'!V55,2)</f>
        <v>41548.07</v>
      </c>
      <c r="W296" s="81">
        <f>ROUND('[6]2036'!W55,2)</f>
        <v>43582.06</v>
      </c>
      <c r="X296" s="81">
        <f>ROUND('[6]2036'!X55,2)</f>
        <v>42572.66</v>
      </c>
      <c r="Y296" s="81">
        <f>ROUND('[6]2036'!Y55,2)</f>
        <v>41063.53</v>
      </c>
      <c r="Z296" s="81">
        <f>ROUND('[6]2036'!Z55,2)</f>
        <v>38876.870000000003</v>
      </c>
      <c r="AA296" s="81">
        <f>ROUND('[6]2036'!AA55,2)</f>
        <v>35678.15</v>
      </c>
      <c r="AB296" s="81">
        <f>ROUND('[6]2036'!AB55,2)</f>
        <v>32520.62</v>
      </c>
      <c r="AC296" s="210">
        <f>SUM(E296:AB296)*D296+SUM(E297:AB297)*D297+SUM(E298:AB298)*D298+SUM(E299:AB299)*D299</f>
        <v>24716200.419999998</v>
      </c>
      <c r="AD296" s="18"/>
    </row>
    <row r="297" spans="2:31" ht="18.649999999999999" customHeight="1" x14ac:dyDescent="0.35">
      <c r="B297" s="208"/>
      <c r="C297" s="9" t="s">
        <v>30</v>
      </c>
      <c r="D297" s="10">
        <f>+'[6]2036'!D56</f>
        <v>5</v>
      </c>
      <c r="E297" s="79">
        <f>ROUND('[6]2036'!E56,2)</f>
        <v>29305.3</v>
      </c>
      <c r="F297" s="79">
        <f>ROUND('[6]2036'!F56,2)</f>
        <v>27870.49</v>
      </c>
      <c r="G297" s="79">
        <f>ROUND('[6]2036'!G56,2)</f>
        <v>26863.57</v>
      </c>
      <c r="H297" s="79">
        <f>ROUND('[6]2036'!H56,2)</f>
        <v>26205.08</v>
      </c>
      <c r="I297" s="79">
        <f>ROUND('[6]2036'!I56,2)</f>
        <v>26189.39</v>
      </c>
      <c r="J297" s="79">
        <f>ROUND('[6]2036'!J56,2)</f>
        <v>26124.75</v>
      </c>
      <c r="K297" s="79">
        <f>ROUND('[6]2036'!K56,2)</f>
        <v>26514.959999999999</v>
      </c>
      <c r="L297" s="79">
        <f>ROUND('[6]2036'!L56,2)</f>
        <v>29569.96</v>
      </c>
      <c r="M297" s="79">
        <f>ROUND('[6]2036'!M56,2)</f>
        <v>33005.699999999997</v>
      </c>
      <c r="N297" s="79">
        <f>ROUND('[6]2036'!N56,2)</f>
        <v>34907.06</v>
      </c>
      <c r="O297" s="79">
        <f>ROUND('[6]2036'!O56,2)</f>
        <v>36887.18</v>
      </c>
      <c r="P297" s="79">
        <f>ROUND('[6]2036'!P56,2)</f>
        <v>37721.47</v>
      </c>
      <c r="Q297" s="79">
        <f>ROUND('[6]2036'!Q56,2)</f>
        <v>37042.81</v>
      </c>
      <c r="R297" s="79">
        <f>ROUND('[6]2036'!R56,2)</f>
        <v>36274.769999999997</v>
      </c>
      <c r="S297" s="79">
        <f>ROUND('[6]2036'!S56,2)</f>
        <v>36031.47</v>
      </c>
      <c r="T297" s="79">
        <f>ROUND('[6]2036'!T56,2)</f>
        <v>36320.82</v>
      </c>
      <c r="U297" s="79">
        <f>ROUND('[6]2036'!U56,2)</f>
        <v>36140.78</v>
      </c>
      <c r="V297" s="79">
        <f>ROUND('[6]2036'!V56,2)</f>
        <v>38151.69</v>
      </c>
      <c r="W297" s="79">
        <f>ROUND('[6]2036'!W56,2)</f>
        <v>41297.93</v>
      </c>
      <c r="X297" s="79">
        <f>ROUND('[6]2036'!X56,2)</f>
        <v>40600.019999999997</v>
      </c>
      <c r="Y297" s="79">
        <f>ROUND('[6]2036'!Y56,2)</f>
        <v>39140.400000000001</v>
      </c>
      <c r="Z297" s="79">
        <f>ROUND('[6]2036'!Z56,2)</f>
        <v>37329.54</v>
      </c>
      <c r="AA297" s="79">
        <f>ROUND('[6]2036'!AA56,2)</f>
        <v>35041.51</v>
      </c>
      <c r="AB297" s="79">
        <f>ROUND('[6]2036'!AB56,2)</f>
        <v>32467.29</v>
      </c>
      <c r="AC297" s="210"/>
      <c r="AD297" s="18"/>
    </row>
    <row r="298" spans="2:31" ht="18.649999999999999" customHeight="1" x14ac:dyDescent="0.35">
      <c r="B298" s="208"/>
      <c r="C298" s="9" t="s">
        <v>31</v>
      </c>
      <c r="D298" s="10">
        <f>+'[6]2036'!D57</f>
        <v>5</v>
      </c>
      <c r="E298" s="79">
        <f>ROUND('[6]2036'!E57,2)</f>
        <v>30373.41</v>
      </c>
      <c r="F298" s="79">
        <f>ROUND('[6]2036'!F57,2)</f>
        <v>28932.44</v>
      </c>
      <c r="G298" s="79">
        <f>ROUND('[6]2036'!G57,2)</f>
        <v>27684.68</v>
      </c>
      <c r="H298" s="79">
        <f>ROUND('[6]2036'!H57,2)</f>
        <v>26843.72</v>
      </c>
      <c r="I298" s="79">
        <f>ROUND('[6]2036'!I57,2)</f>
        <v>26502.84</v>
      </c>
      <c r="J298" s="79">
        <f>ROUND('[6]2036'!J57,2)</f>
        <v>26056.29</v>
      </c>
      <c r="K298" s="79">
        <f>ROUND('[6]2036'!K57,2)</f>
        <v>25413.23</v>
      </c>
      <c r="L298" s="79">
        <f>ROUND('[6]2036'!L57,2)</f>
        <v>26811.96</v>
      </c>
      <c r="M298" s="79">
        <f>ROUND('[6]2036'!M57,2)</f>
        <v>28729.54</v>
      </c>
      <c r="N298" s="79">
        <f>ROUND('[6]2036'!N57,2)</f>
        <v>30305.43</v>
      </c>
      <c r="O298" s="79">
        <f>ROUND('[6]2036'!O57,2)</f>
        <v>31821.71</v>
      </c>
      <c r="P298" s="79">
        <f>ROUND('[6]2036'!P57,2)</f>
        <v>32622.68</v>
      </c>
      <c r="Q298" s="79">
        <f>ROUND('[6]2036'!Q57,2)</f>
        <v>33216.99</v>
      </c>
      <c r="R298" s="79">
        <f>ROUND('[6]2036'!R57,2)</f>
        <v>33185.67</v>
      </c>
      <c r="S298" s="79">
        <f>ROUND('[6]2036'!S57,2)</f>
        <v>33090.300000000003</v>
      </c>
      <c r="T298" s="79">
        <f>ROUND('[6]2036'!T57,2)</f>
        <v>33241.15</v>
      </c>
      <c r="U298" s="79">
        <f>ROUND('[6]2036'!U57,2)</f>
        <v>33279.79</v>
      </c>
      <c r="V298" s="79">
        <f>ROUND('[6]2036'!V57,2)</f>
        <v>35530.800000000003</v>
      </c>
      <c r="W298" s="79">
        <f>ROUND('[6]2036'!W57,2)</f>
        <v>38917.47</v>
      </c>
      <c r="X298" s="79">
        <f>ROUND('[6]2036'!X57,2)</f>
        <v>38974.42</v>
      </c>
      <c r="Y298" s="79">
        <f>ROUND('[6]2036'!Y57,2)</f>
        <v>38114.99</v>
      </c>
      <c r="Z298" s="79">
        <f>ROUND('[6]2036'!Z57,2)</f>
        <v>36616.78</v>
      </c>
      <c r="AA298" s="79">
        <f>ROUND('[6]2036'!AA57,2)</f>
        <v>34269.96</v>
      </c>
      <c r="AB298" s="79">
        <f>ROUND('[6]2036'!AB57,2)</f>
        <v>31787.65</v>
      </c>
      <c r="AC298" s="210"/>
      <c r="AD298" s="18"/>
    </row>
    <row r="299" spans="2:31" ht="18.649999999999999" customHeight="1" thickBot="1" x14ac:dyDescent="0.4">
      <c r="B299" s="208"/>
      <c r="C299" s="15" t="s">
        <v>32</v>
      </c>
      <c r="D299" s="16">
        <f>+'[6]2036'!D58</f>
        <v>2</v>
      </c>
      <c r="E299" s="80">
        <f>ROUND('[6]2036'!E58,2)</f>
        <v>30373.41</v>
      </c>
      <c r="F299" s="80">
        <f>ROUND('[6]2036'!F58,2)</f>
        <v>28932.44</v>
      </c>
      <c r="G299" s="80">
        <f>ROUND('[6]2036'!G58,2)</f>
        <v>27684.68</v>
      </c>
      <c r="H299" s="80">
        <f>ROUND('[6]2036'!H58,2)</f>
        <v>26843.72</v>
      </c>
      <c r="I299" s="80">
        <f>ROUND('[6]2036'!I58,2)</f>
        <v>26502.84</v>
      </c>
      <c r="J299" s="80">
        <f>ROUND('[6]2036'!J58,2)</f>
        <v>26056.29</v>
      </c>
      <c r="K299" s="80">
        <f>ROUND('[6]2036'!K58,2)</f>
        <v>25413.23</v>
      </c>
      <c r="L299" s="80">
        <f>ROUND('[6]2036'!L58,2)</f>
        <v>26811.96</v>
      </c>
      <c r="M299" s="80">
        <f>ROUND('[6]2036'!M58,2)</f>
        <v>28729.54</v>
      </c>
      <c r="N299" s="80">
        <f>ROUND('[6]2036'!N58,2)</f>
        <v>30305.43</v>
      </c>
      <c r="O299" s="80">
        <f>ROUND('[6]2036'!O58,2)</f>
        <v>31821.71</v>
      </c>
      <c r="P299" s="80">
        <f>ROUND('[6]2036'!P58,2)</f>
        <v>32622.68</v>
      </c>
      <c r="Q299" s="80">
        <f>ROUND('[6]2036'!Q58,2)</f>
        <v>33216.99</v>
      </c>
      <c r="R299" s="80">
        <f>ROUND('[6]2036'!R58,2)</f>
        <v>33185.67</v>
      </c>
      <c r="S299" s="80">
        <f>ROUND('[6]2036'!S58,2)</f>
        <v>33090.300000000003</v>
      </c>
      <c r="T299" s="80">
        <f>ROUND('[6]2036'!T58,2)</f>
        <v>33241.15</v>
      </c>
      <c r="U299" s="80">
        <f>ROUND('[6]2036'!U58,2)</f>
        <v>33279.79</v>
      </c>
      <c r="V299" s="80">
        <f>ROUND('[6]2036'!V58,2)</f>
        <v>35530.800000000003</v>
      </c>
      <c r="W299" s="80">
        <f>ROUND('[6]2036'!W58,2)</f>
        <v>38917.47</v>
      </c>
      <c r="X299" s="80">
        <f>ROUND('[6]2036'!X58,2)</f>
        <v>38974.42</v>
      </c>
      <c r="Y299" s="80">
        <f>ROUND('[6]2036'!Y58,2)</f>
        <v>38114.99</v>
      </c>
      <c r="Z299" s="80">
        <f>ROUND('[6]2036'!Z58,2)</f>
        <v>36616.78</v>
      </c>
      <c r="AA299" s="80">
        <f>ROUND('[6]2036'!AA58,2)</f>
        <v>34269.96</v>
      </c>
      <c r="AB299" s="80">
        <f>ROUND('[6]2036'!AB58,2)</f>
        <v>31787.65</v>
      </c>
      <c r="AC299" s="210"/>
      <c r="AD299" s="18"/>
    </row>
    <row r="300" spans="2:31" ht="18.649999999999999" customHeight="1" x14ac:dyDescent="0.35">
      <c r="B300" s="211">
        <v>50010</v>
      </c>
      <c r="C300" s="6" t="s">
        <v>29</v>
      </c>
      <c r="D300" s="7">
        <f>+'[6]2036'!D59</f>
        <v>21</v>
      </c>
      <c r="E300" s="78">
        <f>ROUND('[6]2036'!E59,2)</f>
        <v>32020.33</v>
      </c>
      <c r="F300" s="78">
        <f>ROUND('[6]2036'!F59,2)</f>
        <v>30259.24</v>
      </c>
      <c r="G300" s="78">
        <f>ROUND('[6]2036'!G59,2)</f>
        <v>29001.5</v>
      </c>
      <c r="H300" s="78">
        <f>ROUND('[6]2036'!H59,2)</f>
        <v>28222.13</v>
      </c>
      <c r="I300" s="78">
        <f>ROUND('[6]2036'!I59,2)</f>
        <v>28121.9</v>
      </c>
      <c r="J300" s="78">
        <f>ROUND('[6]2036'!J59,2)</f>
        <v>28624.25</v>
      </c>
      <c r="K300" s="78">
        <f>ROUND('[6]2036'!K59,2)</f>
        <v>28824.45</v>
      </c>
      <c r="L300" s="78">
        <f>ROUND('[6]2036'!L59,2)</f>
        <v>32298.67</v>
      </c>
      <c r="M300" s="78">
        <f>ROUND('[6]2036'!M59,2)</f>
        <v>35827.089999999997</v>
      </c>
      <c r="N300" s="78">
        <f>ROUND('[6]2036'!N59,2)</f>
        <v>37847.449999999997</v>
      </c>
      <c r="O300" s="78">
        <f>ROUND('[6]2036'!O59,2)</f>
        <v>39625.67</v>
      </c>
      <c r="P300" s="78">
        <f>ROUND('[6]2036'!P59,2)</f>
        <v>40912.370000000003</v>
      </c>
      <c r="Q300" s="78">
        <f>ROUND('[6]2036'!Q59,2)</f>
        <v>39785.89</v>
      </c>
      <c r="R300" s="78">
        <f>ROUND('[6]2036'!R59,2)</f>
        <v>40295.72</v>
      </c>
      <c r="S300" s="78">
        <f>ROUND('[6]2036'!S59,2)</f>
        <v>41999.49</v>
      </c>
      <c r="T300" s="78">
        <f>ROUND('[6]2036'!T59,2)</f>
        <v>42523.76</v>
      </c>
      <c r="U300" s="78">
        <f>ROUND('[6]2036'!U59,2)</f>
        <v>42173.03</v>
      </c>
      <c r="V300" s="78">
        <f>ROUND('[6]2036'!V59,2)</f>
        <v>42215.85</v>
      </c>
      <c r="W300" s="78">
        <f>ROUND('[6]2036'!W59,2)</f>
        <v>45469.06</v>
      </c>
      <c r="X300" s="78">
        <f>ROUND('[6]2036'!X59,2)</f>
        <v>44594.19</v>
      </c>
      <c r="Y300" s="78">
        <f>ROUND('[6]2036'!Y59,2)</f>
        <v>42961.96</v>
      </c>
      <c r="Z300" s="78">
        <f>ROUND('[6]2036'!Z59,2)</f>
        <v>40635.050000000003</v>
      </c>
      <c r="AA300" s="78">
        <f>ROUND('[6]2036'!AA59,2)</f>
        <v>37648.9</v>
      </c>
      <c r="AB300" s="78">
        <f>ROUND('[6]2036'!AB59,2)+0.1</f>
        <v>34743.32</v>
      </c>
      <c r="AC300" s="209">
        <f>SUM(E300:AB300)*D300+SUM(E301:AB301)*D301+SUM(E302:AB302)*D302+SUM(E303:AB303)*D303</f>
        <v>26921927.170000006</v>
      </c>
      <c r="AD300" s="18"/>
    </row>
    <row r="301" spans="2:31" ht="18.649999999999999" customHeight="1" x14ac:dyDescent="0.35">
      <c r="B301" s="212" t="s">
        <v>34</v>
      </c>
      <c r="C301" s="9" t="s">
        <v>30</v>
      </c>
      <c r="D301" s="10">
        <f>+'[6]2036'!D60</f>
        <v>4</v>
      </c>
      <c r="E301" s="79">
        <f>ROUND('[6]2036'!E60,2)</f>
        <v>32538.87</v>
      </c>
      <c r="F301" s="79">
        <f>ROUND('[6]2036'!F60,2)</f>
        <v>30696.720000000001</v>
      </c>
      <c r="G301" s="79">
        <f>ROUND('[6]2036'!G60,2)</f>
        <v>29483.19</v>
      </c>
      <c r="H301" s="79">
        <f>ROUND('[6]2036'!H60,2)</f>
        <v>28593.45</v>
      </c>
      <c r="I301" s="79">
        <f>ROUND('[6]2036'!I60,2)</f>
        <v>28347.51</v>
      </c>
      <c r="J301" s="79">
        <f>ROUND('[6]2036'!J60,2)</f>
        <v>28396.95</v>
      </c>
      <c r="K301" s="79">
        <f>ROUND('[6]2036'!K60,2)</f>
        <v>28114.880000000001</v>
      </c>
      <c r="L301" s="79">
        <f>ROUND('[6]2036'!L60,2)</f>
        <v>30696.35</v>
      </c>
      <c r="M301" s="79">
        <f>ROUND('[6]2036'!M60,2)</f>
        <v>34432.85</v>
      </c>
      <c r="N301" s="79">
        <f>ROUND('[6]2036'!N60,2)</f>
        <v>36624.089999999997</v>
      </c>
      <c r="O301" s="79">
        <f>ROUND('[6]2036'!O60,2)</f>
        <v>38469.589999999997</v>
      </c>
      <c r="P301" s="79">
        <f>ROUND('[6]2036'!P60,2)</f>
        <v>39595.980000000003</v>
      </c>
      <c r="Q301" s="79">
        <f>ROUND('[6]2036'!Q60,2)</f>
        <v>38954.67</v>
      </c>
      <c r="R301" s="79">
        <f>ROUND('[6]2036'!R60,2)</f>
        <v>38672.980000000003</v>
      </c>
      <c r="S301" s="79">
        <f>ROUND('[6]2036'!S60,2)</f>
        <v>38510.870000000003</v>
      </c>
      <c r="T301" s="79">
        <f>ROUND('[6]2036'!T60,2)</f>
        <v>38924.35</v>
      </c>
      <c r="U301" s="79">
        <f>ROUND('[6]2036'!U60,2)</f>
        <v>38803.43</v>
      </c>
      <c r="V301" s="79">
        <f>ROUND('[6]2036'!V60,2)</f>
        <v>39661.43</v>
      </c>
      <c r="W301" s="79">
        <f>ROUND('[6]2036'!W60,2)</f>
        <v>44054.82</v>
      </c>
      <c r="X301" s="79">
        <f>ROUND('[6]2036'!X60,2)</f>
        <v>43429.91</v>
      </c>
      <c r="Y301" s="79">
        <f>ROUND('[6]2036'!Y60,2)</f>
        <v>41794.81</v>
      </c>
      <c r="Z301" s="79">
        <f>ROUND('[6]2036'!Z60,2)</f>
        <v>40010.910000000003</v>
      </c>
      <c r="AA301" s="79">
        <f>ROUND('[6]2036'!AA60,2)</f>
        <v>37537.56</v>
      </c>
      <c r="AB301" s="79">
        <f>ROUND('[6]2036'!AB60,2)</f>
        <v>34989.480000000003</v>
      </c>
      <c r="AC301" s="210"/>
      <c r="AD301" s="18"/>
    </row>
    <row r="302" spans="2:31" ht="18.649999999999999" customHeight="1" x14ac:dyDescent="0.35">
      <c r="B302" s="212" t="s">
        <v>34</v>
      </c>
      <c r="C302" s="9" t="s">
        <v>31</v>
      </c>
      <c r="D302" s="10">
        <f>+'[6]2036'!D61</f>
        <v>4</v>
      </c>
      <c r="E302" s="79">
        <f>ROUND('[6]2036'!E61,2)</f>
        <v>32744.28</v>
      </c>
      <c r="F302" s="79">
        <f>ROUND('[6]2036'!F61,2)</f>
        <v>31134.89</v>
      </c>
      <c r="G302" s="79">
        <f>ROUND('[6]2036'!G61,2)</f>
        <v>29838.68</v>
      </c>
      <c r="H302" s="79">
        <f>ROUND('[6]2036'!H61,2)</f>
        <v>28925.85</v>
      </c>
      <c r="I302" s="79">
        <f>ROUND('[6]2036'!I61,2)</f>
        <v>28514.05</v>
      </c>
      <c r="J302" s="79">
        <f>ROUND('[6]2036'!J61,2)</f>
        <v>28226.3</v>
      </c>
      <c r="K302" s="79">
        <f>ROUND('[6]2036'!K61,2)</f>
        <v>26968.67</v>
      </c>
      <c r="L302" s="79">
        <f>ROUND('[6]2036'!L61,2)</f>
        <v>28329.05</v>
      </c>
      <c r="M302" s="79">
        <f>ROUND('[6]2036'!M61,2)</f>
        <v>30491.47</v>
      </c>
      <c r="N302" s="79">
        <f>ROUND('[6]2036'!N61,2)</f>
        <v>32347.89</v>
      </c>
      <c r="O302" s="79">
        <f>ROUND('[6]2036'!O61,2)</f>
        <v>33569.120000000003</v>
      </c>
      <c r="P302" s="79">
        <f>ROUND('[6]2036'!P61,2)</f>
        <v>34569.15</v>
      </c>
      <c r="Q302" s="79">
        <f>ROUND('[6]2036'!Q61,2)</f>
        <v>35163.85</v>
      </c>
      <c r="R302" s="79">
        <f>ROUND('[6]2036'!R61,2)</f>
        <v>35495</v>
      </c>
      <c r="S302" s="79">
        <f>ROUND('[6]2036'!S61,2)</f>
        <v>34491.769999999997</v>
      </c>
      <c r="T302" s="79">
        <f>ROUND('[6]2036'!T61,2)</f>
        <v>35435.11</v>
      </c>
      <c r="U302" s="79">
        <f>ROUND('[6]2036'!U61,2)</f>
        <v>35645.74</v>
      </c>
      <c r="V302" s="79">
        <f>ROUND('[6]2036'!V61,2)</f>
        <v>36835.879999999997</v>
      </c>
      <c r="W302" s="79">
        <f>ROUND('[6]2036'!W61,2)</f>
        <v>41303.949999999997</v>
      </c>
      <c r="X302" s="79">
        <f>ROUND('[6]2036'!X61,2)</f>
        <v>40975.339999999997</v>
      </c>
      <c r="Y302" s="79">
        <f>ROUND('[6]2036'!Y61,2)</f>
        <v>39905.99</v>
      </c>
      <c r="Z302" s="79">
        <f>ROUND('[6]2036'!Z61,2)</f>
        <v>38440.94</v>
      </c>
      <c r="AA302" s="79">
        <f>ROUND('[6]2036'!AA61,2)</f>
        <v>36224.629999999997</v>
      </c>
      <c r="AB302" s="79">
        <f>ROUND('[6]2036'!AB61,2)</f>
        <v>33977.050000000003</v>
      </c>
      <c r="AC302" s="210"/>
      <c r="AD302" s="18"/>
    </row>
    <row r="303" spans="2:31" ht="18.649999999999999" customHeight="1" thickBot="1" x14ac:dyDescent="0.4">
      <c r="B303" s="213" t="s">
        <v>34</v>
      </c>
      <c r="C303" s="11" t="s">
        <v>32</v>
      </c>
      <c r="D303" s="12">
        <f>+'[6]2036'!D62</f>
        <v>2</v>
      </c>
      <c r="E303" s="76">
        <f>ROUND('[6]2036'!E62,2)</f>
        <v>32744.28</v>
      </c>
      <c r="F303" s="76">
        <f>ROUND('[6]2036'!F62,2)</f>
        <v>31134.89</v>
      </c>
      <c r="G303" s="76">
        <f>ROUND('[6]2036'!G62,2)</f>
        <v>29838.68</v>
      </c>
      <c r="H303" s="76">
        <f>ROUND('[6]2036'!H62,2)</f>
        <v>28925.85</v>
      </c>
      <c r="I303" s="76">
        <f>ROUND('[6]2036'!I62,2)</f>
        <v>28514.05</v>
      </c>
      <c r="J303" s="76">
        <f>ROUND('[6]2036'!J62,2)</f>
        <v>28226.3</v>
      </c>
      <c r="K303" s="76">
        <f>ROUND('[6]2036'!K62,2)</f>
        <v>26968.67</v>
      </c>
      <c r="L303" s="76">
        <f>ROUND('[6]2036'!L62,2)</f>
        <v>28329.05</v>
      </c>
      <c r="M303" s="76">
        <f>ROUND('[6]2036'!M62,2)</f>
        <v>30491.47</v>
      </c>
      <c r="N303" s="76">
        <f>ROUND('[6]2036'!N62,2)</f>
        <v>32347.89</v>
      </c>
      <c r="O303" s="76">
        <f>ROUND('[6]2036'!O62,2)</f>
        <v>33569.120000000003</v>
      </c>
      <c r="P303" s="76">
        <f>ROUND('[6]2036'!P62,2)</f>
        <v>34569.15</v>
      </c>
      <c r="Q303" s="76">
        <f>ROUND('[6]2036'!Q62,2)</f>
        <v>35163.85</v>
      </c>
      <c r="R303" s="76">
        <f>ROUND('[6]2036'!R62,2)</f>
        <v>35495</v>
      </c>
      <c r="S303" s="76">
        <f>ROUND('[6]2036'!S62,2)</f>
        <v>34491.769999999997</v>
      </c>
      <c r="T303" s="76">
        <f>ROUND('[6]2036'!T62,2)</f>
        <v>35435.11</v>
      </c>
      <c r="U303" s="76">
        <f>ROUND('[6]2036'!U62,2)</f>
        <v>35645.74</v>
      </c>
      <c r="V303" s="76">
        <f>ROUND('[6]2036'!V62,2)</f>
        <v>36835.879999999997</v>
      </c>
      <c r="W303" s="76">
        <f>ROUND('[6]2036'!W62,2)</f>
        <v>41303.949999999997</v>
      </c>
      <c r="X303" s="76">
        <f>ROUND('[6]2036'!X62,2)</f>
        <v>40975.339999999997</v>
      </c>
      <c r="Y303" s="76">
        <f>ROUND('[6]2036'!Y62,2)</f>
        <v>39905.99</v>
      </c>
      <c r="Z303" s="76">
        <f>ROUND('[6]2036'!Z62,2)</f>
        <v>38440.94</v>
      </c>
      <c r="AA303" s="76">
        <f>ROUND('[6]2036'!AA62,2)</f>
        <v>36224.629999999997</v>
      </c>
      <c r="AB303" s="76">
        <f>ROUND('[6]2036'!AB62,2)</f>
        <v>33977.050000000003</v>
      </c>
      <c r="AC303" s="214"/>
      <c r="AD303" s="18"/>
    </row>
    <row r="304" spans="2:31" ht="18.649999999999999" customHeight="1" thickBot="1" x14ac:dyDescent="0.4">
      <c r="Z304" s="218" t="s">
        <v>33</v>
      </c>
      <c r="AA304" s="219"/>
      <c r="AB304" s="220"/>
      <c r="AC304" s="135">
        <f>SUM(AC256:AC303)</f>
        <v>318878524.50999999</v>
      </c>
      <c r="AD304" s="17"/>
      <c r="AE304" s="18"/>
    </row>
    <row r="305" spans="2:50" ht="18.649999999999999" customHeight="1" x14ac:dyDescent="0.35">
      <c r="B305" s="207">
        <v>50041</v>
      </c>
      <c r="C305" s="6" t="s">
        <v>29</v>
      </c>
      <c r="D305" s="46">
        <f>+'[6]2037'!D15</f>
        <v>20</v>
      </c>
      <c r="E305" s="175">
        <f>ROUND('[6]2037'!E15,2)</f>
        <v>33596.120000000003</v>
      </c>
      <c r="F305" s="176">
        <f>ROUND('[6]2037'!F15,2)</f>
        <v>31880.42</v>
      </c>
      <c r="G305" s="176">
        <f>ROUND('[6]2037'!G15,2)</f>
        <v>30589.78</v>
      </c>
      <c r="H305" s="176">
        <f>ROUND('[6]2037'!H15,2)</f>
        <v>29652.99</v>
      </c>
      <c r="I305" s="176">
        <f>ROUND('[6]2037'!I15,2)</f>
        <v>29489.54</v>
      </c>
      <c r="J305" s="176">
        <f>ROUND('[6]2037'!J15,2)</f>
        <v>30476.38</v>
      </c>
      <c r="K305" s="176">
        <f>ROUND('[6]2037'!K15,2)</f>
        <v>30201.27</v>
      </c>
      <c r="L305" s="176">
        <f>ROUND('[6]2037'!L15,2)</f>
        <v>33691.120000000003</v>
      </c>
      <c r="M305" s="176">
        <f>ROUND('[6]2037'!M15,2)</f>
        <v>37400.730000000003</v>
      </c>
      <c r="N305" s="176">
        <f>ROUND('[6]2037'!N15,2)</f>
        <v>39328.51</v>
      </c>
      <c r="O305" s="176">
        <f>ROUND('[6]2037'!O15,2)</f>
        <v>41415.480000000003</v>
      </c>
      <c r="P305" s="176">
        <f>ROUND('[6]2037'!P15,2)</f>
        <v>43123.82</v>
      </c>
      <c r="Q305" s="176">
        <f>ROUND('[6]2037'!Q15,2)</f>
        <v>41943.05</v>
      </c>
      <c r="R305" s="176">
        <f>ROUND('[6]2037'!R15,2)</f>
        <v>43097.85</v>
      </c>
      <c r="S305" s="176">
        <f>ROUND('[6]2037'!S15,2)</f>
        <v>45097.05</v>
      </c>
      <c r="T305" s="176">
        <f>ROUND('[6]2037'!T15,2)</f>
        <v>45336.800000000003</v>
      </c>
      <c r="U305" s="176">
        <f>ROUND('[6]2037'!U15,2)</f>
        <v>44587.01</v>
      </c>
      <c r="V305" s="176">
        <f>ROUND('[6]2037'!V15,2)</f>
        <v>42943.98</v>
      </c>
      <c r="W305" s="176">
        <f>ROUND('[6]2037'!W15,2)</f>
        <v>45939.19</v>
      </c>
      <c r="X305" s="176">
        <f>ROUND('[6]2037'!X15,2)</f>
        <v>46103</v>
      </c>
      <c r="Y305" s="176">
        <f>ROUND('[6]2037'!Y15,2)</f>
        <v>44891.98</v>
      </c>
      <c r="Z305" s="176">
        <f>ROUND('[6]2037'!Z15,2)</f>
        <v>42923.51</v>
      </c>
      <c r="AA305" s="176">
        <f>ROUND('[6]2037'!AA15,2)</f>
        <v>39880.43</v>
      </c>
      <c r="AB305" s="176">
        <f>ROUND('[6]2037'!AB15,2)</f>
        <v>36631.629999999997</v>
      </c>
      <c r="AC305" s="209">
        <f>SUM(E305:AB305)*D305+SUM(E306:AB306)*D306+SUM(E307:AB307)*D307+SUM(E308:AB308)*D308</f>
        <v>27921818.500000004</v>
      </c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</row>
    <row r="306" spans="2:50" ht="18.649999999999999" customHeight="1" x14ac:dyDescent="0.35">
      <c r="B306" s="208"/>
      <c r="C306" s="9" t="s">
        <v>30</v>
      </c>
      <c r="D306" s="10">
        <f>+'[6]2037'!D16</f>
        <v>5</v>
      </c>
      <c r="E306" s="177">
        <f>ROUND('[6]2037'!E16,2)</f>
        <v>33352.6</v>
      </c>
      <c r="F306" s="178">
        <f>ROUND('[6]2037'!F16,2)</f>
        <v>31750.720000000001</v>
      </c>
      <c r="G306" s="178">
        <f>ROUND('[6]2037'!G16,2)</f>
        <v>30492.55</v>
      </c>
      <c r="H306" s="178">
        <f>ROUND('[6]2037'!H16,2)</f>
        <v>29531.64</v>
      </c>
      <c r="I306" s="178">
        <f>ROUND('[6]2037'!I16,2)</f>
        <v>29240.799999999999</v>
      </c>
      <c r="J306" s="178">
        <f>ROUND('[6]2037'!J16,2)</f>
        <v>29474.720000000001</v>
      </c>
      <c r="K306" s="178">
        <f>ROUND('[6]2037'!K16,2)</f>
        <v>28715.1</v>
      </c>
      <c r="L306" s="178">
        <f>ROUND('[6]2037'!L16,2)</f>
        <v>31552.12</v>
      </c>
      <c r="M306" s="178">
        <f>ROUND('[6]2037'!M16,2)</f>
        <v>35060.19</v>
      </c>
      <c r="N306" s="178">
        <f>ROUND('[6]2037'!N16,2)</f>
        <v>37383.61</v>
      </c>
      <c r="O306" s="178">
        <f>ROUND('[6]2037'!O16,2)</f>
        <v>39211.550000000003</v>
      </c>
      <c r="P306" s="178">
        <f>ROUND('[6]2037'!P16,2)</f>
        <v>40200.720000000001</v>
      </c>
      <c r="Q306" s="178">
        <f>ROUND('[6]2037'!Q16,2)</f>
        <v>39849.22</v>
      </c>
      <c r="R306" s="178">
        <f>ROUND('[6]2037'!R16,2)</f>
        <v>39005.480000000003</v>
      </c>
      <c r="S306" s="178">
        <f>ROUND('[6]2037'!S16,2)</f>
        <v>39189.550000000003</v>
      </c>
      <c r="T306" s="178">
        <f>ROUND('[6]2037'!T16,2)</f>
        <v>39325.49</v>
      </c>
      <c r="U306" s="178">
        <f>ROUND('[6]2037'!U16,2)</f>
        <v>38935.78</v>
      </c>
      <c r="V306" s="178">
        <f>ROUND('[6]2037'!V16,2)</f>
        <v>39076.82</v>
      </c>
      <c r="W306" s="178">
        <f>ROUND('[6]2037'!W16,2)</f>
        <v>43408.31</v>
      </c>
      <c r="X306" s="178">
        <f>ROUND('[6]2037'!X16,2)</f>
        <v>43719.16</v>
      </c>
      <c r="Y306" s="178">
        <f>ROUND('[6]2037'!Y16,2)</f>
        <v>42419.61</v>
      </c>
      <c r="Z306" s="178">
        <f>ROUND('[6]2037'!Z16,2)</f>
        <v>40700.699999999997</v>
      </c>
      <c r="AA306" s="178">
        <f>ROUND('[6]2037'!AA16,2)</f>
        <v>38466.92</v>
      </c>
      <c r="AB306" s="178">
        <f>ROUND('[6]2037'!AB16,2)</f>
        <v>35989.760000000002</v>
      </c>
      <c r="AC306" s="210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</row>
    <row r="307" spans="2:50" ht="18.649999999999999" customHeight="1" x14ac:dyDescent="0.35">
      <c r="B307" s="208"/>
      <c r="C307" s="9" t="s">
        <v>31</v>
      </c>
      <c r="D307" s="10">
        <f>+'[6]2037'!D17</f>
        <v>4</v>
      </c>
      <c r="E307" s="177">
        <f>ROUND('[6]2037'!E17,2)</f>
        <v>33573.65</v>
      </c>
      <c r="F307" s="178">
        <f>ROUND('[6]2037'!F17,2)</f>
        <v>31924.17</v>
      </c>
      <c r="G307" s="178">
        <f>ROUND('[6]2037'!G17,2)</f>
        <v>30594.1</v>
      </c>
      <c r="H307" s="178">
        <f>ROUND('[6]2037'!H17,2)</f>
        <v>29618.28</v>
      </c>
      <c r="I307" s="178">
        <f>ROUND('[6]2037'!I17,2)</f>
        <v>29138.01</v>
      </c>
      <c r="J307" s="178">
        <f>ROUND('[6]2037'!J17,2)</f>
        <v>28985.16</v>
      </c>
      <c r="K307" s="178">
        <f>ROUND('[6]2037'!K17,2)</f>
        <v>27423.54</v>
      </c>
      <c r="L307" s="178">
        <f>ROUND('[6]2037'!L17,2)</f>
        <v>28646.97</v>
      </c>
      <c r="M307" s="178">
        <f>ROUND('[6]2037'!M17,2)</f>
        <v>30608.07</v>
      </c>
      <c r="N307" s="178">
        <f>ROUND('[6]2037'!N17,2)</f>
        <v>32118.04</v>
      </c>
      <c r="O307" s="178">
        <f>ROUND('[6]2037'!O17,2)</f>
        <v>33562.660000000003</v>
      </c>
      <c r="P307" s="178">
        <f>ROUND('[6]2037'!P17,2)</f>
        <v>34731.300000000003</v>
      </c>
      <c r="Q307" s="178">
        <f>ROUND('[6]2037'!Q17,2)</f>
        <v>35527.800000000003</v>
      </c>
      <c r="R307" s="178">
        <f>ROUND('[6]2037'!R17,2)</f>
        <v>35623.64</v>
      </c>
      <c r="S307" s="178">
        <f>ROUND('[6]2037'!S17,2)</f>
        <v>35641.69</v>
      </c>
      <c r="T307" s="178">
        <f>ROUND('[6]2037'!T17,2)</f>
        <v>35764.31</v>
      </c>
      <c r="U307" s="178">
        <f>ROUND('[6]2037'!U17,2)</f>
        <v>35782.49</v>
      </c>
      <c r="V307" s="178">
        <f>ROUND('[6]2037'!V17,2)</f>
        <v>36160.36</v>
      </c>
      <c r="W307" s="178">
        <f>ROUND('[6]2037'!W17,2)</f>
        <v>40881.019999999997</v>
      </c>
      <c r="X307" s="178">
        <f>ROUND('[6]2037'!X17,2)</f>
        <v>42052</v>
      </c>
      <c r="Y307" s="178">
        <f>ROUND('[6]2037'!Y17,2)</f>
        <v>41607.06</v>
      </c>
      <c r="Z307" s="178">
        <f>ROUND('[6]2037'!Z17,2)</f>
        <v>40238.400000000001</v>
      </c>
      <c r="AA307" s="178">
        <f>ROUND('[6]2037'!AA17,2)</f>
        <v>37787.32</v>
      </c>
      <c r="AB307" s="178">
        <f>ROUND('[6]2037'!AB17,2)</f>
        <v>34863.31</v>
      </c>
      <c r="AC307" s="210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</row>
    <row r="308" spans="2:50" ht="18.649999999999999" customHeight="1" thickBot="1" x14ac:dyDescent="0.4">
      <c r="B308" s="208"/>
      <c r="C308" s="15" t="s">
        <v>32</v>
      </c>
      <c r="D308" s="16">
        <f>+'[6]2037'!D18</f>
        <v>2</v>
      </c>
      <c r="E308" s="179">
        <f>ROUND('[6]2037'!E18,2)</f>
        <v>33573.65</v>
      </c>
      <c r="F308" s="180">
        <f>ROUND('[6]2037'!F18,2)</f>
        <v>31924.17</v>
      </c>
      <c r="G308" s="180">
        <f>ROUND('[6]2037'!G18,2)</f>
        <v>30594.1</v>
      </c>
      <c r="H308" s="180">
        <f>ROUND('[6]2037'!H18,2)</f>
        <v>29618.28</v>
      </c>
      <c r="I308" s="180">
        <f>ROUND('[6]2037'!I18,2)</f>
        <v>29138.01</v>
      </c>
      <c r="J308" s="180">
        <f>ROUND('[6]2037'!J18,2)</f>
        <v>28985.16</v>
      </c>
      <c r="K308" s="180">
        <f>ROUND('[6]2037'!K18,2)</f>
        <v>27423.54</v>
      </c>
      <c r="L308" s="180">
        <f>ROUND('[6]2037'!L18,2)</f>
        <v>28646.97</v>
      </c>
      <c r="M308" s="180">
        <f>ROUND('[6]2037'!M18,2)</f>
        <v>30608.07</v>
      </c>
      <c r="N308" s="180">
        <f>ROUND('[6]2037'!N18,2)</f>
        <v>32118.04</v>
      </c>
      <c r="O308" s="180">
        <f>ROUND('[6]2037'!O18,2)</f>
        <v>33562.660000000003</v>
      </c>
      <c r="P308" s="180">
        <f>ROUND('[6]2037'!P18,2)</f>
        <v>34731.300000000003</v>
      </c>
      <c r="Q308" s="180">
        <f>ROUND('[6]2037'!Q18,2)</f>
        <v>35527.800000000003</v>
      </c>
      <c r="R308" s="180">
        <f>ROUND('[6]2037'!R18,2)</f>
        <v>35623.64</v>
      </c>
      <c r="S308" s="180">
        <f>ROUND('[6]2037'!S18,2)</f>
        <v>35641.69</v>
      </c>
      <c r="T308" s="180">
        <f>ROUND('[6]2037'!T18,2)</f>
        <v>35764.31</v>
      </c>
      <c r="U308" s="180">
        <f>ROUND('[6]2037'!U18,2)</f>
        <v>35782.49</v>
      </c>
      <c r="V308" s="180">
        <f>ROUND('[6]2037'!V18,2)</f>
        <v>36160.36</v>
      </c>
      <c r="W308" s="180">
        <f>ROUND('[6]2037'!W18,2)</f>
        <v>40881.019999999997</v>
      </c>
      <c r="X308" s="180">
        <f>ROUND('[6]2037'!X18,2)</f>
        <v>42052</v>
      </c>
      <c r="Y308" s="180">
        <f>ROUND('[6]2037'!Y18,2)</f>
        <v>41607.06</v>
      </c>
      <c r="Z308" s="180">
        <f>ROUND('[6]2037'!Z18,2)</f>
        <v>40238.400000000001</v>
      </c>
      <c r="AA308" s="180">
        <f>ROUND('[6]2037'!AA18,2)</f>
        <v>37787.32</v>
      </c>
      <c r="AB308" s="180">
        <f>ROUND('[6]2037'!AB18,2)</f>
        <v>34863.31</v>
      </c>
      <c r="AC308" s="210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</row>
    <row r="309" spans="2:50" ht="18.649999999999999" customHeight="1" x14ac:dyDescent="0.35">
      <c r="B309" s="211">
        <v>50072</v>
      </c>
      <c r="C309" s="6" t="s">
        <v>29</v>
      </c>
      <c r="D309" s="7">
        <f>+'[6]2037'!D19</f>
        <v>20</v>
      </c>
      <c r="E309" s="175">
        <f>ROUND('[6]2037'!E19,2)</f>
        <v>35377.29</v>
      </c>
      <c r="F309" s="176">
        <f>ROUND('[6]2037'!F19,2)</f>
        <v>33640.639999999999</v>
      </c>
      <c r="G309" s="176">
        <f>ROUND('[6]2037'!G19,2)</f>
        <v>32254.28</v>
      </c>
      <c r="H309" s="176">
        <f>ROUND('[6]2037'!H19,2)</f>
        <v>31249.279999999999</v>
      </c>
      <c r="I309" s="176">
        <f>ROUND('[6]2037'!I19,2)</f>
        <v>31214.28</v>
      </c>
      <c r="J309" s="176">
        <f>ROUND('[6]2037'!J19,2)</f>
        <v>33090.44</v>
      </c>
      <c r="K309" s="176">
        <f>ROUND('[6]2037'!K19,2)</f>
        <v>32771.870000000003</v>
      </c>
      <c r="L309" s="176">
        <f>ROUND('[6]2037'!L19,2)</f>
        <v>35961.65</v>
      </c>
      <c r="M309" s="176">
        <f>ROUND('[6]2037'!M19,2)</f>
        <v>39470.89</v>
      </c>
      <c r="N309" s="176">
        <f>ROUND('[6]2037'!N19,2)</f>
        <v>41173.620000000003</v>
      </c>
      <c r="O309" s="176">
        <f>ROUND('[6]2037'!O19,2)</f>
        <v>43230.25</v>
      </c>
      <c r="P309" s="176">
        <f>ROUND('[6]2037'!P19,2)</f>
        <v>44856.62</v>
      </c>
      <c r="Q309" s="176">
        <f>ROUND('[6]2037'!Q19,2)</f>
        <v>43356.28</v>
      </c>
      <c r="R309" s="176">
        <f>ROUND('[6]2037'!R19,2)</f>
        <v>44914.02</v>
      </c>
      <c r="S309" s="176">
        <f>ROUND('[6]2037'!S19,2)</f>
        <v>47416.71</v>
      </c>
      <c r="T309" s="176">
        <f>ROUND('[6]2037'!T19,2)</f>
        <v>47804.43</v>
      </c>
      <c r="U309" s="176">
        <f>ROUND('[6]2037'!U19,2)</f>
        <v>47090.95</v>
      </c>
      <c r="V309" s="176">
        <f>ROUND('[6]2037'!V19,2)</f>
        <v>45170.96</v>
      </c>
      <c r="W309" s="176">
        <f>ROUND('[6]2037'!W19,2)</f>
        <v>47848.54</v>
      </c>
      <c r="X309" s="176">
        <f>ROUND('[6]2037'!X19,2)</f>
        <v>48525.1</v>
      </c>
      <c r="Y309" s="176">
        <f>ROUND('[6]2037'!Y19,2)</f>
        <v>47478.98</v>
      </c>
      <c r="Z309" s="176">
        <f>ROUND('[6]2037'!Z19,2)</f>
        <v>45385.14</v>
      </c>
      <c r="AA309" s="176">
        <f>ROUND('[6]2037'!AA19,2)</f>
        <v>41810.550000000003</v>
      </c>
      <c r="AB309" s="176">
        <f>ROUND('[6]2037'!AB19,2)</f>
        <v>38266.31</v>
      </c>
      <c r="AC309" s="209">
        <f>SUM(E309:AB309)*D309+SUM(E310:AB310)*D310+SUM(E311:AB311)*D311+SUM(E312:AB312)*D312</f>
        <v>26794222.240000002</v>
      </c>
      <c r="AD309" s="18"/>
    </row>
    <row r="310" spans="2:50" ht="18.649999999999999" customHeight="1" x14ac:dyDescent="0.35">
      <c r="B310" s="212" t="s">
        <v>34</v>
      </c>
      <c r="C310" s="9" t="s">
        <v>30</v>
      </c>
      <c r="D310" s="10">
        <f>+'[6]2037'!D20</f>
        <v>4</v>
      </c>
      <c r="E310" s="177">
        <f>ROUND('[6]2037'!E20,2)</f>
        <v>35865.19</v>
      </c>
      <c r="F310" s="178">
        <f>ROUND('[6]2037'!F20,2)</f>
        <v>33925.980000000003</v>
      </c>
      <c r="G310" s="178">
        <f>ROUND('[6]2037'!G20,2)</f>
        <v>32661.34</v>
      </c>
      <c r="H310" s="178">
        <f>ROUND('[6]2037'!H20,2)</f>
        <v>31459.22</v>
      </c>
      <c r="I310" s="178">
        <f>ROUND('[6]2037'!I20,2)</f>
        <v>31080.52</v>
      </c>
      <c r="J310" s="178">
        <f>ROUND('[6]2037'!J20,2)</f>
        <v>31441.67</v>
      </c>
      <c r="K310" s="178">
        <f>ROUND('[6]2037'!K20,2)</f>
        <v>30884.12</v>
      </c>
      <c r="L310" s="178">
        <f>ROUND('[6]2037'!L20,2)</f>
        <v>33737.99</v>
      </c>
      <c r="M310" s="178">
        <f>ROUND('[6]2037'!M20,2)</f>
        <v>37231.43</v>
      </c>
      <c r="N310" s="178">
        <f>ROUND('[6]2037'!N20,2)</f>
        <v>39306.18</v>
      </c>
      <c r="O310" s="178">
        <f>ROUND('[6]2037'!O20,2)</f>
        <v>41213.17</v>
      </c>
      <c r="P310" s="178">
        <f>ROUND('[6]2037'!P20,2)</f>
        <v>42171.76</v>
      </c>
      <c r="Q310" s="178">
        <f>ROUND('[6]2037'!Q20,2)</f>
        <v>41499.050000000003</v>
      </c>
      <c r="R310" s="178">
        <f>ROUND('[6]2037'!R20,2)</f>
        <v>40961.01</v>
      </c>
      <c r="S310" s="178">
        <f>ROUND('[6]2037'!S20,2)</f>
        <v>41149.480000000003</v>
      </c>
      <c r="T310" s="178">
        <f>ROUND('[6]2037'!T20,2)</f>
        <v>41267.25</v>
      </c>
      <c r="U310" s="178">
        <f>ROUND('[6]2037'!U20,2)</f>
        <v>40977.19</v>
      </c>
      <c r="V310" s="178">
        <f>ROUND('[6]2037'!V20,2)</f>
        <v>40856.800000000003</v>
      </c>
      <c r="W310" s="178">
        <f>ROUND('[6]2037'!W20,2)</f>
        <v>45098.43</v>
      </c>
      <c r="X310" s="178">
        <f>ROUND('[6]2037'!X20,2)</f>
        <v>45751.82</v>
      </c>
      <c r="Y310" s="178">
        <f>ROUND('[6]2037'!Y20,2)</f>
        <v>44682.239999999998</v>
      </c>
      <c r="Z310" s="178">
        <f>ROUND('[6]2037'!Z20,2)</f>
        <v>42980.01</v>
      </c>
      <c r="AA310" s="178">
        <f>ROUND('[6]2037'!AA20,2)</f>
        <v>40732.879999999997</v>
      </c>
      <c r="AB310" s="178">
        <f>ROUND('[6]2037'!AB20,2)</f>
        <v>38057.089999999997</v>
      </c>
      <c r="AC310" s="210"/>
      <c r="AD310" s="18"/>
    </row>
    <row r="311" spans="2:50" ht="18.649999999999999" customHeight="1" x14ac:dyDescent="0.35">
      <c r="B311" s="212" t="s">
        <v>34</v>
      </c>
      <c r="C311" s="9" t="s">
        <v>31</v>
      </c>
      <c r="D311" s="10">
        <f>+'[6]2037'!D21</f>
        <v>4</v>
      </c>
      <c r="E311" s="177">
        <f>ROUND('[6]2037'!E21,2)</f>
        <v>35765.33</v>
      </c>
      <c r="F311" s="178">
        <f>ROUND('[6]2037'!F21,2)</f>
        <v>34037.480000000003</v>
      </c>
      <c r="G311" s="178">
        <f>ROUND('[6]2037'!G21,2)</f>
        <v>32642.29</v>
      </c>
      <c r="H311" s="178">
        <f>ROUND('[6]2037'!H21,2)</f>
        <v>31606.36</v>
      </c>
      <c r="I311" s="178">
        <f>ROUND('[6]2037'!I21,2)</f>
        <v>31073.1</v>
      </c>
      <c r="J311" s="178">
        <f>ROUND('[6]2037'!J21,2)</f>
        <v>31038.49</v>
      </c>
      <c r="K311" s="178">
        <f>ROUND('[6]2037'!K21,2)</f>
        <v>29409.64</v>
      </c>
      <c r="L311" s="178">
        <f>ROUND('[6]2037'!L21,2)</f>
        <v>30678.080000000002</v>
      </c>
      <c r="M311" s="178">
        <f>ROUND('[6]2037'!M21,2)</f>
        <v>32613.360000000001</v>
      </c>
      <c r="N311" s="178">
        <f>ROUND('[6]2037'!N21,2)</f>
        <v>33984.36</v>
      </c>
      <c r="O311" s="178">
        <f>ROUND('[6]2037'!O21,2)</f>
        <v>35380.18</v>
      </c>
      <c r="P311" s="178">
        <f>ROUND('[6]2037'!P21,2)</f>
        <v>36676.699999999997</v>
      </c>
      <c r="Q311" s="178">
        <f>ROUND('[6]2037'!Q21,2)</f>
        <v>37537.67</v>
      </c>
      <c r="R311" s="178">
        <f>ROUND('[6]2037'!R21,2)</f>
        <v>37760.879999999997</v>
      </c>
      <c r="S311" s="178">
        <f>ROUND('[6]2037'!S21,2)</f>
        <v>38137.08</v>
      </c>
      <c r="T311" s="178">
        <f>ROUND('[6]2037'!T21,2)</f>
        <v>38432.82</v>
      </c>
      <c r="U311" s="178">
        <f>ROUND('[6]2037'!U21,2)</f>
        <v>38308.879999999997</v>
      </c>
      <c r="V311" s="178">
        <f>ROUND('[6]2037'!V21,2)</f>
        <v>38073.599999999999</v>
      </c>
      <c r="W311" s="178">
        <f>ROUND('[6]2037'!W21,2)</f>
        <v>43029.56</v>
      </c>
      <c r="X311" s="178">
        <f>ROUND('[6]2037'!X21,2)</f>
        <v>44814.14</v>
      </c>
      <c r="Y311" s="178">
        <f>ROUND('[6]2037'!Y21,2)</f>
        <v>44797.51</v>
      </c>
      <c r="Z311" s="178">
        <f>ROUND('[6]2037'!Z21,2)</f>
        <v>43733.8</v>
      </c>
      <c r="AA311" s="178">
        <f>ROUND('[6]2037'!AA21,2)</f>
        <v>40183.97</v>
      </c>
      <c r="AB311" s="178">
        <f>ROUND('[6]2037'!AB21,2)</f>
        <v>37053.06</v>
      </c>
      <c r="AC311" s="210"/>
      <c r="AD311" s="18"/>
    </row>
    <row r="312" spans="2:50" ht="18.649999999999999" customHeight="1" thickBot="1" x14ac:dyDescent="0.4">
      <c r="B312" s="213" t="s">
        <v>34</v>
      </c>
      <c r="C312" s="11" t="s">
        <v>32</v>
      </c>
      <c r="D312" s="12">
        <f>+'[6]2037'!D22</f>
        <v>0</v>
      </c>
      <c r="E312" s="75">
        <f>ROUND('[6]2037'!E22,2)</f>
        <v>0</v>
      </c>
      <c r="F312" s="75">
        <f>ROUND('[6]2037'!F22,2)</f>
        <v>0</v>
      </c>
      <c r="G312" s="75">
        <f>ROUND('[6]2037'!G22,2)</f>
        <v>0</v>
      </c>
      <c r="H312" s="75">
        <f>ROUND('[6]2037'!H22,2)</f>
        <v>0</v>
      </c>
      <c r="I312" s="75">
        <f>ROUND('[6]2037'!I22,2)</f>
        <v>0</v>
      </c>
      <c r="J312" s="75">
        <f>ROUND('[6]2037'!J22,2)</f>
        <v>0</v>
      </c>
      <c r="K312" s="75">
        <f>ROUND('[6]2037'!K22,2)</f>
        <v>0</v>
      </c>
      <c r="L312" s="75">
        <f>ROUND('[6]2037'!L22,2)</f>
        <v>0</v>
      </c>
      <c r="M312" s="75">
        <f>ROUND('[6]2037'!M22,2)</f>
        <v>0</v>
      </c>
      <c r="N312" s="75">
        <f>ROUND('[6]2037'!N22,2)</f>
        <v>0</v>
      </c>
      <c r="O312" s="75">
        <f>ROUND('[6]2037'!O22,2)</f>
        <v>0</v>
      </c>
      <c r="P312" s="75">
        <f>ROUND('[6]2037'!P22,2)</f>
        <v>0</v>
      </c>
      <c r="Q312" s="75">
        <f>ROUND('[6]2037'!Q22,2)</f>
        <v>0</v>
      </c>
      <c r="R312" s="75">
        <f>ROUND('[6]2037'!R22,2)</f>
        <v>0</v>
      </c>
      <c r="S312" s="75">
        <f>ROUND('[6]2037'!S22,2)</f>
        <v>0</v>
      </c>
      <c r="T312" s="75">
        <f>ROUND('[6]2037'!T22,2)</f>
        <v>0</v>
      </c>
      <c r="U312" s="75">
        <f>ROUND('[6]2037'!U22,2)</f>
        <v>0</v>
      </c>
      <c r="V312" s="75">
        <f>ROUND('[6]2037'!V22,2)</f>
        <v>0</v>
      </c>
      <c r="W312" s="75">
        <f>ROUND('[6]2037'!W22,2)</f>
        <v>0</v>
      </c>
      <c r="X312" s="75">
        <f>ROUND('[6]2037'!X22,2)</f>
        <v>0</v>
      </c>
      <c r="Y312" s="75">
        <f>ROUND('[6]2037'!Y22,2)</f>
        <v>0</v>
      </c>
      <c r="Z312" s="75">
        <f>ROUND('[6]2037'!Z22,2)</f>
        <v>0</v>
      </c>
      <c r="AA312" s="75">
        <f>ROUND('[6]2037'!AA22,2)</f>
        <v>0</v>
      </c>
      <c r="AB312" s="75">
        <f>ROUND('[6]2037'!AB22,2)</f>
        <v>0</v>
      </c>
      <c r="AC312" s="214"/>
      <c r="AD312" s="18"/>
    </row>
    <row r="313" spans="2:50" ht="18.649999999999999" customHeight="1" x14ac:dyDescent="0.35">
      <c r="B313" s="207">
        <v>50100</v>
      </c>
      <c r="C313" s="13" t="s">
        <v>29</v>
      </c>
      <c r="D313" s="14">
        <f>+'[6]2037'!D23</f>
        <v>21</v>
      </c>
      <c r="E313" s="181">
        <f>ROUND('[6]2037'!E23,2)</f>
        <v>32998.83</v>
      </c>
      <c r="F313" s="182">
        <f>ROUND('[6]2037'!F23,2)</f>
        <v>31366.58</v>
      </c>
      <c r="G313" s="182">
        <f>ROUND('[6]2037'!G23,2)</f>
        <v>30149.02</v>
      </c>
      <c r="H313" s="182">
        <f>ROUND('[6]2037'!H23,2)</f>
        <v>29349.85</v>
      </c>
      <c r="I313" s="182">
        <f>ROUND('[6]2037'!I23,2)</f>
        <v>29484.53</v>
      </c>
      <c r="J313" s="182">
        <f>ROUND('[6]2037'!J23,2)</f>
        <v>31058.93</v>
      </c>
      <c r="K313" s="182">
        <f>ROUND('[6]2037'!K23,2)</f>
        <v>31061.43</v>
      </c>
      <c r="L313" s="182">
        <f>ROUND('[6]2037'!L23,2)</f>
        <v>34429.08</v>
      </c>
      <c r="M313" s="182">
        <f>ROUND('[6]2037'!M23,2)</f>
        <v>37749.89</v>
      </c>
      <c r="N313" s="182">
        <f>ROUND('[6]2037'!N23,2)</f>
        <v>39471.660000000003</v>
      </c>
      <c r="O313" s="182">
        <f>ROUND('[6]2037'!O23,2)</f>
        <v>41442.910000000003</v>
      </c>
      <c r="P313" s="182">
        <f>ROUND('[6]2037'!P23,2)</f>
        <v>42735.44</v>
      </c>
      <c r="Q313" s="182">
        <f>ROUND('[6]2037'!Q23,2)</f>
        <v>40802.019999999997</v>
      </c>
      <c r="R313" s="182">
        <f>ROUND('[6]2037'!R23,2)</f>
        <v>42147.79</v>
      </c>
      <c r="S313" s="182">
        <f>ROUND('[6]2037'!S23,2)</f>
        <v>44463.88</v>
      </c>
      <c r="T313" s="182">
        <f>ROUND('[6]2037'!T23,2)</f>
        <v>44953.120000000003</v>
      </c>
      <c r="U313" s="182">
        <f>ROUND('[6]2037'!U23,2)</f>
        <v>44462.25</v>
      </c>
      <c r="V313" s="182">
        <f>ROUND('[6]2037'!V23,2)</f>
        <v>42899.85</v>
      </c>
      <c r="W313" s="182">
        <f>ROUND('[6]2037'!W23,2)</f>
        <v>45523.07</v>
      </c>
      <c r="X313" s="182">
        <f>ROUND('[6]2037'!X23,2)</f>
        <v>45930.43</v>
      </c>
      <c r="Y313" s="182">
        <f>ROUND('[6]2037'!Y23,2)</f>
        <v>44585.33</v>
      </c>
      <c r="Z313" s="182">
        <f>ROUND('[6]2037'!Z23,2)</f>
        <v>42361.07</v>
      </c>
      <c r="AA313" s="182">
        <f>ROUND('[6]2037'!AA23,2)</f>
        <v>39018.660000000003</v>
      </c>
      <c r="AB313" s="182">
        <f>ROUND('[6]2037'!AB23,2)</f>
        <v>35625.43</v>
      </c>
      <c r="AC313" s="210">
        <f>SUM(E313:AB313)*D313+SUM(E314:AB314)*D314+SUM(E315:AB315)*D315+SUM(E316:AB316)*D316</f>
        <v>28038335.870000001</v>
      </c>
      <c r="AD313" s="18"/>
    </row>
    <row r="314" spans="2:50" ht="18.649999999999999" customHeight="1" x14ac:dyDescent="0.35">
      <c r="B314" s="208"/>
      <c r="C314" s="9" t="s">
        <v>30</v>
      </c>
      <c r="D314" s="10">
        <f>+'[6]2037'!D24</f>
        <v>4</v>
      </c>
      <c r="E314" s="177">
        <f>ROUND('[6]2037'!E24,2)</f>
        <v>33192.019999999997</v>
      </c>
      <c r="F314" s="178">
        <f>ROUND('[6]2037'!F24,2)</f>
        <v>31554.51</v>
      </c>
      <c r="G314" s="178">
        <f>ROUND('[6]2037'!G24,2)</f>
        <v>30262.77</v>
      </c>
      <c r="H314" s="178">
        <f>ROUND('[6]2037'!H24,2)</f>
        <v>29407.73</v>
      </c>
      <c r="I314" s="178">
        <f>ROUND('[6]2037'!I24,2)</f>
        <v>29191.7</v>
      </c>
      <c r="J314" s="178">
        <f>ROUND('[6]2037'!J24,2)</f>
        <v>29524.11</v>
      </c>
      <c r="K314" s="178">
        <f>ROUND('[6]2037'!K24,2)</f>
        <v>29382.2</v>
      </c>
      <c r="L314" s="178">
        <f>ROUND('[6]2037'!L24,2)</f>
        <v>32472.23</v>
      </c>
      <c r="M314" s="178">
        <f>ROUND('[6]2037'!M24,2)</f>
        <v>36067.129999999997</v>
      </c>
      <c r="N314" s="178">
        <f>ROUND('[6]2037'!N24,2)</f>
        <v>38158.82</v>
      </c>
      <c r="O314" s="178">
        <f>ROUND('[6]2037'!O24,2)</f>
        <v>40035.199999999997</v>
      </c>
      <c r="P314" s="178">
        <f>ROUND('[6]2037'!P24,2)</f>
        <v>41151.33</v>
      </c>
      <c r="Q314" s="178">
        <f>ROUND('[6]2037'!Q24,2)</f>
        <v>40444.050000000003</v>
      </c>
      <c r="R314" s="178">
        <f>ROUND('[6]2037'!R24,2)</f>
        <v>39904.800000000003</v>
      </c>
      <c r="S314" s="178">
        <f>ROUND('[6]2037'!S24,2)</f>
        <v>40220.86</v>
      </c>
      <c r="T314" s="178">
        <f>ROUND('[6]2037'!T24,2)</f>
        <v>40273.54</v>
      </c>
      <c r="U314" s="178">
        <f>ROUND('[6]2037'!U24,2)</f>
        <v>39916.35</v>
      </c>
      <c r="V314" s="178">
        <f>ROUND('[6]2037'!V24,2)</f>
        <v>39670.94</v>
      </c>
      <c r="W314" s="178">
        <f>ROUND('[6]2037'!W24,2)</f>
        <v>43807.82</v>
      </c>
      <c r="X314" s="178">
        <f>ROUND('[6]2037'!X24,2)</f>
        <v>44514.11</v>
      </c>
      <c r="Y314" s="178">
        <f>ROUND('[6]2037'!Y24,2)</f>
        <v>43276.89</v>
      </c>
      <c r="Z314" s="178">
        <f>ROUND('[6]2037'!Z24,2)</f>
        <v>41591.230000000003</v>
      </c>
      <c r="AA314" s="178">
        <f>ROUND('[6]2037'!AA24,2)</f>
        <v>39246.19</v>
      </c>
      <c r="AB314" s="178">
        <f>ROUND('[6]2037'!AB24,2)</f>
        <v>36674.76</v>
      </c>
      <c r="AC314" s="210"/>
      <c r="AD314" s="18"/>
    </row>
    <row r="315" spans="2:50" ht="18.649999999999999" customHeight="1" x14ac:dyDescent="0.35">
      <c r="B315" s="208"/>
      <c r="C315" s="9" t="s">
        <v>31</v>
      </c>
      <c r="D315" s="10">
        <f>+'[6]2037'!D25</f>
        <v>5</v>
      </c>
      <c r="E315" s="177">
        <f>ROUND('[6]2037'!E25,2)</f>
        <v>34081.949999999997</v>
      </c>
      <c r="F315" s="178">
        <f>ROUND('[6]2037'!F25,2)</f>
        <v>32327.64</v>
      </c>
      <c r="G315" s="178">
        <f>ROUND('[6]2037'!G25,2)</f>
        <v>30964.51</v>
      </c>
      <c r="H315" s="178">
        <f>ROUND('[6]2037'!H25,2)</f>
        <v>29987.63</v>
      </c>
      <c r="I315" s="178">
        <f>ROUND('[6]2037'!I25,2)</f>
        <v>29496.58</v>
      </c>
      <c r="J315" s="178">
        <f>ROUND('[6]2037'!J25,2)</f>
        <v>29275.94</v>
      </c>
      <c r="K315" s="178">
        <f>ROUND('[6]2037'!K25,2)</f>
        <v>28169.78</v>
      </c>
      <c r="L315" s="178">
        <f>ROUND('[6]2037'!L25,2)</f>
        <v>29661.66</v>
      </c>
      <c r="M315" s="178">
        <f>ROUND('[6]2037'!M25,2)</f>
        <v>31757.64</v>
      </c>
      <c r="N315" s="178">
        <f>ROUND('[6]2037'!N25,2)</f>
        <v>33274.86</v>
      </c>
      <c r="O315" s="178">
        <f>ROUND('[6]2037'!O25,2)</f>
        <v>34630.99</v>
      </c>
      <c r="P315" s="178">
        <f>ROUND('[6]2037'!P25,2)</f>
        <v>35799.449999999997</v>
      </c>
      <c r="Q315" s="178">
        <f>ROUND('[6]2037'!Q25,2)</f>
        <v>36541.29</v>
      </c>
      <c r="R315" s="178">
        <f>ROUND('[6]2037'!R25,2)</f>
        <v>36674.33</v>
      </c>
      <c r="S315" s="178">
        <f>ROUND('[6]2037'!S25,2)</f>
        <v>36815.11</v>
      </c>
      <c r="T315" s="178">
        <f>ROUND('[6]2037'!T25,2)</f>
        <v>37217.68</v>
      </c>
      <c r="U315" s="178">
        <f>ROUND('[6]2037'!U25,2)</f>
        <v>37078.36</v>
      </c>
      <c r="V315" s="178">
        <f>ROUND('[6]2037'!V25,2)</f>
        <v>37261.910000000003</v>
      </c>
      <c r="W315" s="178">
        <f>ROUND('[6]2037'!W25,2)</f>
        <v>41658.74</v>
      </c>
      <c r="X315" s="178">
        <f>ROUND('[6]2037'!X25,2)</f>
        <v>43178.97</v>
      </c>
      <c r="Y315" s="178">
        <f>ROUND('[6]2037'!Y25,2)</f>
        <v>43018.93</v>
      </c>
      <c r="Z315" s="178">
        <f>ROUND('[6]2037'!Z25,2)</f>
        <v>41756.839999999997</v>
      </c>
      <c r="AA315" s="178">
        <f>ROUND('[6]2037'!AA25,2)</f>
        <v>39017.14</v>
      </c>
      <c r="AB315" s="178">
        <f>ROUND('[6]2037'!AB25,2)</f>
        <v>35865.18</v>
      </c>
      <c r="AC315" s="210"/>
      <c r="AD315" s="18"/>
    </row>
    <row r="316" spans="2:50" ht="18.649999999999999" customHeight="1" thickBot="1" x14ac:dyDescent="0.4">
      <c r="B316" s="208"/>
      <c r="C316" s="15" t="s">
        <v>32</v>
      </c>
      <c r="D316" s="16">
        <f>+'[6]2037'!D26</f>
        <v>1</v>
      </c>
      <c r="E316" s="179">
        <f>ROUND('[6]2037'!E26,2)</f>
        <v>34081.949999999997</v>
      </c>
      <c r="F316" s="180">
        <f>ROUND('[6]2037'!F26,2)</f>
        <v>32327.64</v>
      </c>
      <c r="G316" s="180">
        <f>ROUND('[6]2037'!G26,2)</f>
        <v>30964.51</v>
      </c>
      <c r="H316" s="180">
        <f>ROUND('[6]2037'!H26,2)</f>
        <v>29987.63</v>
      </c>
      <c r="I316" s="180">
        <f>ROUND('[6]2037'!I26,2)</f>
        <v>29496.58</v>
      </c>
      <c r="J316" s="180">
        <f>ROUND('[6]2037'!J26,2)</f>
        <v>29275.94</v>
      </c>
      <c r="K316" s="180">
        <f>ROUND('[6]2037'!K26,2)</f>
        <v>28169.78</v>
      </c>
      <c r="L316" s="180">
        <f>ROUND('[6]2037'!L26,2)</f>
        <v>29661.66</v>
      </c>
      <c r="M316" s="180">
        <f>ROUND('[6]2037'!M26,2)</f>
        <v>31757.64</v>
      </c>
      <c r="N316" s="180">
        <f>ROUND('[6]2037'!N26,2)</f>
        <v>33274.86</v>
      </c>
      <c r="O316" s="180">
        <f>ROUND('[6]2037'!O26,2)</f>
        <v>34630.99</v>
      </c>
      <c r="P316" s="180">
        <f>ROUND('[6]2037'!P26,2)</f>
        <v>35799.449999999997</v>
      </c>
      <c r="Q316" s="180">
        <f>ROUND('[6]2037'!Q26,2)</f>
        <v>36541.29</v>
      </c>
      <c r="R316" s="180">
        <f>ROUND('[6]2037'!R26,2)</f>
        <v>36674.33</v>
      </c>
      <c r="S316" s="180">
        <f>ROUND('[6]2037'!S26,2)</f>
        <v>36815.11</v>
      </c>
      <c r="T316" s="180">
        <f>ROUND('[6]2037'!T26,2)</f>
        <v>37217.68</v>
      </c>
      <c r="U316" s="180">
        <f>ROUND('[6]2037'!U26,2)</f>
        <v>37078.36</v>
      </c>
      <c r="V316" s="180">
        <f>ROUND('[6]2037'!V26,2)</f>
        <v>37261.910000000003</v>
      </c>
      <c r="W316" s="180">
        <f>ROUND('[6]2037'!W26,2)</f>
        <v>41658.74</v>
      </c>
      <c r="X316" s="180">
        <f>ROUND('[6]2037'!X26,2)</f>
        <v>43178.97</v>
      </c>
      <c r="Y316" s="180">
        <f>ROUND('[6]2037'!Y26,2)</f>
        <v>43018.93</v>
      </c>
      <c r="Z316" s="180">
        <f>ROUND('[6]2037'!Z26,2)</f>
        <v>41756.839999999997</v>
      </c>
      <c r="AA316" s="180">
        <f>ROUND('[6]2037'!AA26,2)</f>
        <v>39017.14</v>
      </c>
      <c r="AB316" s="180">
        <f>ROUND('[6]2037'!AB26,2)</f>
        <v>35865.18</v>
      </c>
      <c r="AC316" s="210"/>
      <c r="AD316" s="18"/>
    </row>
    <row r="317" spans="2:50" ht="18.649999999999999" customHeight="1" x14ac:dyDescent="0.35">
      <c r="B317" s="211">
        <v>50131</v>
      </c>
      <c r="C317" s="6" t="s">
        <v>29</v>
      </c>
      <c r="D317" s="7">
        <f>+'[6]2037'!D27</f>
        <v>20</v>
      </c>
      <c r="E317" s="175">
        <f>ROUND('[6]2037'!E27,2)</f>
        <v>32308.44</v>
      </c>
      <c r="F317" s="176">
        <f>ROUND('[6]2037'!F27,2)</f>
        <v>30699.4</v>
      </c>
      <c r="G317" s="176">
        <f>ROUND('[6]2037'!G27,2)</f>
        <v>29522.45</v>
      </c>
      <c r="H317" s="176">
        <f>ROUND('[6]2037'!H27,2)</f>
        <v>28720.82</v>
      </c>
      <c r="I317" s="176">
        <f>ROUND('[6]2037'!I27,2)</f>
        <v>28843.62</v>
      </c>
      <c r="J317" s="176">
        <f>ROUND('[6]2037'!J27,2)</f>
        <v>29767.34</v>
      </c>
      <c r="K317" s="176">
        <f>ROUND('[6]2037'!K27,2)</f>
        <v>30096.58</v>
      </c>
      <c r="L317" s="176">
        <f>ROUND('[6]2037'!L27,2)</f>
        <v>33524.410000000003</v>
      </c>
      <c r="M317" s="176">
        <f>ROUND('[6]2037'!M27,2)</f>
        <v>37053.019999999997</v>
      </c>
      <c r="N317" s="176">
        <f>ROUND('[6]2037'!N27,2)</f>
        <v>38683.32</v>
      </c>
      <c r="O317" s="176">
        <f>ROUND('[6]2037'!O27,2)</f>
        <v>40498.85</v>
      </c>
      <c r="P317" s="176">
        <f>ROUND('[6]2037'!P27,2)</f>
        <v>42035.01</v>
      </c>
      <c r="Q317" s="176">
        <f>ROUND('[6]2037'!Q27,2)</f>
        <v>40387.96</v>
      </c>
      <c r="R317" s="176">
        <f>ROUND('[6]2037'!R27,2)</f>
        <v>41575.35</v>
      </c>
      <c r="S317" s="176">
        <f>ROUND('[6]2037'!S27,2)</f>
        <v>43887.79</v>
      </c>
      <c r="T317" s="176">
        <f>ROUND('[6]2037'!T27,2)</f>
        <v>44168.639999999999</v>
      </c>
      <c r="U317" s="176">
        <f>ROUND('[6]2037'!U27,2)</f>
        <v>43499.48</v>
      </c>
      <c r="V317" s="176">
        <f>ROUND('[6]2037'!V27,2)</f>
        <v>42369.87</v>
      </c>
      <c r="W317" s="176">
        <f>ROUND('[6]2037'!W27,2)</f>
        <v>44987.29</v>
      </c>
      <c r="X317" s="176">
        <f>ROUND('[6]2037'!X27,2)</f>
        <v>45123.89</v>
      </c>
      <c r="Y317" s="176">
        <f>ROUND('[6]2037'!Y27,2)</f>
        <v>43773.68</v>
      </c>
      <c r="Z317" s="176">
        <f>ROUND('[6]2037'!Z27,2)</f>
        <v>41670.870000000003</v>
      </c>
      <c r="AA317" s="176">
        <f>ROUND('[6]2037'!AA27,2)</f>
        <v>38512.83</v>
      </c>
      <c r="AB317" s="176">
        <f>ROUND('[6]2037'!AB27,2)</f>
        <v>35064.65</v>
      </c>
      <c r="AC317" s="209">
        <f>SUM(E317:AB317)*D317+SUM(E318:AB318)*D318+SUM(E319:AB319)*D319+SUM(E320:AB320)*D320</f>
        <v>26387512.520000003</v>
      </c>
      <c r="AD317" s="18"/>
    </row>
    <row r="318" spans="2:50" ht="18.649999999999999" customHeight="1" x14ac:dyDescent="0.35">
      <c r="B318" s="212" t="s">
        <v>34</v>
      </c>
      <c r="C318" s="9" t="s">
        <v>30</v>
      </c>
      <c r="D318" s="10">
        <f>+'[6]2037'!D28</f>
        <v>4</v>
      </c>
      <c r="E318" s="177">
        <f>ROUND('[6]2037'!E28,2)</f>
        <v>31982.2</v>
      </c>
      <c r="F318" s="178">
        <f>ROUND('[6]2037'!F28,2)</f>
        <v>30314.9</v>
      </c>
      <c r="G318" s="178">
        <f>ROUND('[6]2037'!G28,2)</f>
        <v>29076.46</v>
      </c>
      <c r="H318" s="178">
        <f>ROUND('[6]2037'!H28,2)</f>
        <v>28230.71</v>
      </c>
      <c r="I318" s="178">
        <f>ROUND('[6]2037'!I28,2)</f>
        <v>28017.09</v>
      </c>
      <c r="J318" s="178">
        <f>ROUND('[6]2037'!J28,2)</f>
        <v>28008.59</v>
      </c>
      <c r="K318" s="178">
        <f>ROUND('[6]2037'!K28,2)</f>
        <v>27942.26</v>
      </c>
      <c r="L318" s="178">
        <f>ROUND('[6]2037'!L28,2)</f>
        <v>30800.1</v>
      </c>
      <c r="M318" s="178">
        <f>ROUND('[6]2037'!M28,2)</f>
        <v>34126.32</v>
      </c>
      <c r="N318" s="178">
        <f>ROUND('[6]2037'!N28,2)</f>
        <v>35907.629999999997</v>
      </c>
      <c r="O318" s="178">
        <f>ROUND('[6]2037'!O28,2)</f>
        <v>37651.96</v>
      </c>
      <c r="P318" s="178">
        <f>ROUND('[6]2037'!P28,2)</f>
        <v>38736.67</v>
      </c>
      <c r="Q318" s="178">
        <f>ROUND('[6]2037'!Q28,2)</f>
        <v>38232.050000000003</v>
      </c>
      <c r="R318" s="178">
        <f>ROUND('[6]2037'!R28,2)</f>
        <v>37820.54</v>
      </c>
      <c r="S318" s="178">
        <f>ROUND('[6]2037'!S28,2)</f>
        <v>38031.089999999997</v>
      </c>
      <c r="T318" s="178">
        <f>ROUND('[6]2037'!T28,2)</f>
        <v>38103.360000000001</v>
      </c>
      <c r="U318" s="178">
        <f>ROUND('[6]2037'!U28,2)</f>
        <v>37888.68</v>
      </c>
      <c r="V318" s="178">
        <f>ROUND('[6]2037'!V28,2)</f>
        <v>38120.629999999997</v>
      </c>
      <c r="W318" s="178">
        <f>ROUND('[6]2037'!W28,2)</f>
        <v>42338.19</v>
      </c>
      <c r="X318" s="178">
        <f>ROUND('[6]2037'!X28,2)</f>
        <v>42429.74</v>
      </c>
      <c r="Y318" s="178">
        <f>ROUND('[6]2037'!Y28,2)</f>
        <v>41253.31</v>
      </c>
      <c r="Z318" s="178">
        <f>ROUND('[6]2037'!Z28,2)</f>
        <v>39521.9</v>
      </c>
      <c r="AA318" s="178">
        <f>ROUND('[6]2037'!AA28,2)</f>
        <v>37334.17</v>
      </c>
      <c r="AB318" s="178">
        <f>ROUND('[6]2037'!AB28,2)</f>
        <v>34834.160000000003</v>
      </c>
      <c r="AC318" s="210"/>
      <c r="AD318" s="18"/>
    </row>
    <row r="319" spans="2:50" ht="18.649999999999999" customHeight="1" x14ac:dyDescent="0.35">
      <c r="B319" s="212" t="s">
        <v>34</v>
      </c>
      <c r="C319" s="9" t="s">
        <v>31</v>
      </c>
      <c r="D319" s="10">
        <f>+'[6]2037'!D29</f>
        <v>4</v>
      </c>
      <c r="E319" s="177">
        <f>ROUND('[6]2037'!E29,2)</f>
        <v>32606.92</v>
      </c>
      <c r="F319" s="178">
        <f>ROUND('[6]2037'!F29,2)</f>
        <v>31002.75</v>
      </c>
      <c r="G319" s="178">
        <f>ROUND('[6]2037'!G29,2)</f>
        <v>29676.23</v>
      </c>
      <c r="H319" s="178">
        <f>ROUND('[6]2037'!H29,2)</f>
        <v>28768.74</v>
      </c>
      <c r="I319" s="178">
        <f>ROUND('[6]2037'!I29,2)</f>
        <v>28386.31</v>
      </c>
      <c r="J319" s="178">
        <f>ROUND('[6]2037'!J29,2)</f>
        <v>27882.13</v>
      </c>
      <c r="K319" s="178">
        <f>ROUND('[6]2037'!K29,2)</f>
        <v>27297.31</v>
      </c>
      <c r="L319" s="178">
        <f>ROUND('[6]2037'!L29,2)</f>
        <v>28807.14</v>
      </c>
      <c r="M319" s="178">
        <f>ROUND('[6]2037'!M29,2)</f>
        <v>30407.7</v>
      </c>
      <c r="N319" s="178">
        <f>ROUND('[6]2037'!N29,2)</f>
        <v>31836.13</v>
      </c>
      <c r="O319" s="178">
        <f>ROUND('[6]2037'!O29,2)</f>
        <v>33164.660000000003</v>
      </c>
      <c r="P319" s="178">
        <f>ROUND('[6]2037'!P29,2)</f>
        <v>34218.68</v>
      </c>
      <c r="Q319" s="178">
        <f>ROUND('[6]2037'!Q29,2)</f>
        <v>34808.080000000002</v>
      </c>
      <c r="R319" s="178">
        <f>ROUND('[6]2037'!R29,2)</f>
        <v>34970.46</v>
      </c>
      <c r="S319" s="178">
        <f>ROUND('[6]2037'!S29,2)</f>
        <v>35184.31</v>
      </c>
      <c r="T319" s="178">
        <f>ROUND('[6]2037'!T29,2)</f>
        <v>35499.42</v>
      </c>
      <c r="U319" s="178">
        <f>ROUND('[6]2037'!U29,2)</f>
        <v>35626.730000000003</v>
      </c>
      <c r="V319" s="178">
        <f>ROUND('[6]2037'!V29,2)</f>
        <v>36063.199999999997</v>
      </c>
      <c r="W319" s="178">
        <f>ROUND('[6]2037'!W29,2)</f>
        <v>40063.120000000003</v>
      </c>
      <c r="X319" s="178">
        <f>ROUND('[6]2037'!X29,2)</f>
        <v>41274.35</v>
      </c>
      <c r="Y319" s="178">
        <f>ROUND('[6]2037'!Y29,2)</f>
        <v>41138.620000000003</v>
      </c>
      <c r="Z319" s="178">
        <f>ROUND('[6]2037'!Z29,2)</f>
        <v>40128.28</v>
      </c>
      <c r="AA319" s="178">
        <f>ROUND('[6]2037'!AA29,2)</f>
        <v>37553.51</v>
      </c>
      <c r="AB319" s="178">
        <f>ROUND('[6]2037'!AB29,2)</f>
        <v>34500.300000000003</v>
      </c>
      <c r="AC319" s="210"/>
      <c r="AD319" s="18"/>
    </row>
    <row r="320" spans="2:50" ht="18.649999999999999" customHeight="1" thickBot="1" x14ac:dyDescent="0.4">
      <c r="B320" s="213" t="s">
        <v>34</v>
      </c>
      <c r="C320" s="11" t="s">
        <v>32</v>
      </c>
      <c r="D320" s="12">
        <f>+'[6]2037'!D30</f>
        <v>2</v>
      </c>
      <c r="E320" s="177">
        <f>ROUND('[6]2037'!E30,2)</f>
        <v>32606.92</v>
      </c>
      <c r="F320" s="178">
        <f>ROUND('[6]2037'!F30,2)</f>
        <v>31002.75</v>
      </c>
      <c r="G320" s="178">
        <f>ROUND('[6]2037'!G30,2)</f>
        <v>29676.23</v>
      </c>
      <c r="H320" s="178">
        <f>ROUND('[6]2037'!H30,2)</f>
        <v>28768.74</v>
      </c>
      <c r="I320" s="178">
        <f>ROUND('[6]2037'!I30,2)</f>
        <v>28386.31</v>
      </c>
      <c r="J320" s="178">
        <f>ROUND('[6]2037'!J30,2)</f>
        <v>27882.13</v>
      </c>
      <c r="K320" s="178">
        <f>ROUND('[6]2037'!K30,2)</f>
        <v>27297.31</v>
      </c>
      <c r="L320" s="178">
        <f>ROUND('[6]2037'!L30,2)</f>
        <v>28807.14</v>
      </c>
      <c r="M320" s="178">
        <f>ROUND('[6]2037'!M30,2)</f>
        <v>30407.7</v>
      </c>
      <c r="N320" s="178">
        <f>ROUND('[6]2037'!N30,2)</f>
        <v>31836.13</v>
      </c>
      <c r="O320" s="178">
        <f>ROUND('[6]2037'!O30,2)</f>
        <v>33164.660000000003</v>
      </c>
      <c r="P320" s="178">
        <f>ROUND('[6]2037'!P30,2)</f>
        <v>34218.68</v>
      </c>
      <c r="Q320" s="178">
        <f>ROUND('[6]2037'!Q30,2)</f>
        <v>34808.080000000002</v>
      </c>
      <c r="R320" s="178">
        <f>ROUND('[6]2037'!R30,2)</f>
        <v>34970.46</v>
      </c>
      <c r="S320" s="178">
        <f>ROUND('[6]2037'!S30,2)</f>
        <v>35184.31</v>
      </c>
      <c r="T320" s="178">
        <f>ROUND('[6]2037'!T30,2)</f>
        <v>35499.42</v>
      </c>
      <c r="U320" s="178">
        <f>ROUND('[6]2037'!U30,2)</f>
        <v>35626.730000000003</v>
      </c>
      <c r="V320" s="178">
        <f>ROUND('[6]2037'!V30,2)</f>
        <v>36063.199999999997</v>
      </c>
      <c r="W320" s="178">
        <f>ROUND('[6]2037'!W30,2)</f>
        <v>40063.120000000003</v>
      </c>
      <c r="X320" s="178">
        <f>ROUND('[6]2037'!X30,2)</f>
        <v>41274.35</v>
      </c>
      <c r="Y320" s="178">
        <f>ROUND('[6]2037'!Y30,2)</f>
        <v>41138.620000000003</v>
      </c>
      <c r="Z320" s="178">
        <f>ROUND('[6]2037'!Z30,2)</f>
        <v>40128.28</v>
      </c>
      <c r="AA320" s="178">
        <f>ROUND('[6]2037'!AA30,2)</f>
        <v>37553.51</v>
      </c>
      <c r="AB320" s="178">
        <f>ROUND('[6]2037'!AB30,2)</f>
        <v>34500.300000000003</v>
      </c>
      <c r="AC320" s="214"/>
      <c r="AD320" s="18"/>
    </row>
    <row r="321" spans="2:30" ht="18.649999999999999" customHeight="1" x14ac:dyDescent="0.35">
      <c r="B321" s="207">
        <v>50161</v>
      </c>
      <c r="C321" s="13" t="s">
        <v>29</v>
      </c>
      <c r="D321" s="14">
        <f>+'[6]2037'!D31</f>
        <v>19</v>
      </c>
      <c r="E321" s="181">
        <f>ROUND('[6]2037'!E31,2)</f>
        <v>31752.41</v>
      </c>
      <c r="F321" s="182">
        <f>ROUND('[6]2037'!F31,2)</f>
        <v>30244.77</v>
      </c>
      <c r="G321" s="182">
        <f>ROUND('[6]2037'!G31,2)</f>
        <v>29103.68</v>
      </c>
      <c r="H321" s="182">
        <f>ROUND('[6]2037'!H31,2)</f>
        <v>28322.67</v>
      </c>
      <c r="I321" s="182">
        <f>ROUND('[6]2037'!I31,2)</f>
        <v>28461.47</v>
      </c>
      <c r="J321" s="182">
        <f>ROUND('[6]2037'!J31,2)</f>
        <v>29249.75</v>
      </c>
      <c r="K321" s="182">
        <f>ROUND('[6]2037'!K31,2)</f>
        <v>29913.22</v>
      </c>
      <c r="L321" s="182">
        <f>ROUND('[6]2037'!L31,2)</f>
        <v>33408.94</v>
      </c>
      <c r="M321" s="182">
        <f>ROUND('[6]2037'!M31,2)</f>
        <v>37003.26</v>
      </c>
      <c r="N321" s="182">
        <f>ROUND('[6]2037'!N31,2)</f>
        <v>38686.44</v>
      </c>
      <c r="O321" s="182">
        <f>ROUND('[6]2037'!O31,2)</f>
        <v>40693.550000000003</v>
      </c>
      <c r="P321" s="182">
        <f>ROUND('[6]2037'!P31,2)</f>
        <v>42004.45</v>
      </c>
      <c r="Q321" s="182">
        <f>ROUND('[6]2037'!Q31,2)</f>
        <v>40298.06</v>
      </c>
      <c r="R321" s="182">
        <f>ROUND('[6]2037'!R31,2)</f>
        <v>41402.46</v>
      </c>
      <c r="S321" s="182">
        <f>ROUND('[6]2037'!S31,2)</f>
        <v>43549.94</v>
      </c>
      <c r="T321" s="182">
        <f>ROUND('[6]2037'!T31,2)</f>
        <v>43764.91</v>
      </c>
      <c r="U321" s="182">
        <f>ROUND('[6]2037'!U31,2)</f>
        <v>43138.69</v>
      </c>
      <c r="V321" s="182">
        <f>ROUND('[6]2037'!V31,2)</f>
        <v>41729.11</v>
      </c>
      <c r="W321" s="182">
        <f>ROUND('[6]2037'!W31,2)</f>
        <v>44325.07</v>
      </c>
      <c r="X321" s="182">
        <f>ROUND('[6]2037'!X31,2)</f>
        <v>44500.74</v>
      </c>
      <c r="Y321" s="182">
        <f>ROUND('[6]2037'!Y31,2)</f>
        <v>43128.22</v>
      </c>
      <c r="Z321" s="182">
        <f>ROUND('[6]2037'!Z31,2)</f>
        <v>40848.620000000003</v>
      </c>
      <c r="AA321" s="182">
        <f>ROUND('[6]2037'!AA31,2)</f>
        <v>37637.58</v>
      </c>
      <c r="AB321" s="182">
        <f>ROUND('[6]2037'!AB31,2)</f>
        <v>34357.269999999997</v>
      </c>
      <c r="AC321" s="210">
        <f>SUM(E321:AB321)*D321+SUM(E322:AB322)*D322+SUM(E323:AB323)*D323+SUM(E324:AB324)*D324</f>
        <v>27102919.369999997</v>
      </c>
      <c r="AD321" s="18"/>
    </row>
    <row r="322" spans="2:30" ht="18.649999999999999" customHeight="1" x14ac:dyDescent="0.35">
      <c r="B322" s="208"/>
      <c r="C322" s="9" t="s">
        <v>30</v>
      </c>
      <c r="D322" s="10">
        <f>+'[6]2037'!D32</f>
        <v>5</v>
      </c>
      <c r="E322" s="177">
        <f>ROUND('[6]2037'!E32,2)</f>
        <v>32303.48</v>
      </c>
      <c r="F322" s="178">
        <f>ROUND('[6]2037'!F32,2)</f>
        <v>30424.17</v>
      </c>
      <c r="G322" s="178">
        <f>ROUND('[6]2037'!G32,2)</f>
        <v>29152.959999999999</v>
      </c>
      <c r="H322" s="178">
        <f>ROUND('[6]2037'!H32,2)</f>
        <v>28334.15</v>
      </c>
      <c r="I322" s="178">
        <f>ROUND('[6]2037'!I32,2)</f>
        <v>28184.58</v>
      </c>
      <c r="J322" s="178">
        <f>ROUND('[6]2037'!J32,2)</f>
        <v>27878.19</v>
      </c>
      <c r="K322" s="178">
        <f>ROUND('[6]2037'!K32,2)</f>
        <v>28146.73</v>
      </c>
      <c r="L322" s="178">
        <f>ROUND('[6]2037'!L32,2)</f>
        <v>31369.200000000001</v>
      </c>
      <c r="M322" s="178">
        <f>ROUND('[6]2037'!M32,2)</f>
        <v>34963.78</v>
      </c>
      <c r="N322" s="178">
        <f>ROUND('[6]2037'!N32,2)</f>
        <v>36980.85</v>
      </c>
      <c r="O322" s="178">
        <f>ROUND('[6]2037'!O32,2)</f>
        <v>38519.599999999999</v>
      </c>
      <c r="P322" s="178">
        <f>ROUND('[6]2037'!P32,2)</f>
        <v>39551.440000000002</v>
      </c>
      <c r="Q322" s="178">
        <f>ROUND('[6]2037'!Q32,2)</f>
        <v>38743.11</v>
      </c>
      <c r="R322" s="178">
        <f>ROUND('[6]2037'!R32,2)</f>
        <v>38207.26</v>
      </c>
      <c r="S322" s="178">
        <f>ROUND('[6]2037'!S32,2)</f>
        <v>38487.22</v>
      </c>
      <c r="T322" s="178">
        <f>ROUND('[6]2037'!T32,2)</f>
        <v>38557.379999999997</v>
      </c>
      <c r="U322" s="178">
        <f>ROUND('[6]2037'!U32,2)</f>
        <v>38338.589999999997</v>
      </c>
      <c r="V322" s="178">
        <f>ROUND('[6]2037'!V32,2)</f>
        <v>38617.14</v>
      </c>
      <c r="W322" s="178">
        <f>ROUND('[6]2037'!W32,2)</f>
        <v>42729.35</v>
      </c>
      <c r="X322" s="178">
        <f>ROUND('[6]2037'!X32,2)</f>
        <v>43214.29</v>
      </c>
      <c r="Y322" s="178">
        <f>ROUND('[6]2037'!Y32,2)</f>
        <v>41935.57</v>
      </c>
      <c r="Z322" s="178">
        <f>ROUND('[6]2037'!Z32,2)</f>
        <v>40045.89</v>
      </c>
      <c r="AA322" s="178">
        <f>ROUND('[6]2037'!AA32,2)</f>
        <v>37856.1</v>
      </c>
      <c r="AB322" s="178">
        <f>ROUND('[6]2037'!AB32,2)</f>
        <v>35316.36</v>
      </c>
      <c r="AC322" s="210"/>
      <c r="AD322" s="18"/>
    </row>
    <row r="323" spans="2:30" ht="18.649999999999999" customHeight="1" x14ac:dyDescent="0.35">
      <c r="B323" s="208"/>
      <c r="C323" s="9" t="s">
        <v>31</v>
      </c>
      <c r="D323" s="10">
        <f>+'[6]2037'!D33</f>
        <v>5</v>
      </c>
      <c r="E323" s="177">
        <f>ROUND('[6]2037'!E33,2)</f>
        <v>32684.81</v>
      </c>
      <c r="F323" s="178">
        <f>ROUND('[6]2037'!F33,2)</f>
        <v>31140.44</v>
      </c>
      <c r="G323" s="178">
        <f>ROUND('[6]2037'!G33,2)</f>
        <v>29910.05</v>
      </c>
      <c r="H323" s="178">
        <f>ROUND('[6]2037'!H33,2)</f>
        <v>29027.58</v>
      </c>
      <c r="I323" s="178">
        <f>ROUND('[6]2037'!I33,2)</f>
        <v>28651.52</v>
      </c>
      <c r="J323" s="178">
        <f>ROUND('[6]2037'!J33,2)</f>
        <v>27787.46</v>
      </c>
      <c r="K323" s="178">
        <f>ROUND('[6]2037'!K33,2)</f>
        <v>27368.16</v>
      </c>
      <c r="L323" s="178">
        <f>ROUND('[6]2037'!L33,2)</f>
        <v>29001.4</v>
      </c>
      <c r="M323" s="178">
        <f>ROUND('[6]2037'!M33,2)</f>
        <v>31222.5</v>
      </c>
      <c r="N323" s="178">
        <f>ROUND('[6]2037'!N33,2)</f>
        <v>32978.67</v>
      </c>
      <c r="O323" s="178">
        <f>ROUND('[6]2037'!O33,2)</f>
        <v>34181.760000000002</v>
      </c>
      <c r="P323" s="178">
        <f>ROUND('[6]2037'!P33,2)</f>
        <v>35078.17</v>
      </c>
      <c r="Q323" s="178">
        <f>ROUND('[6]2037'!Q33,2)</f>
        <v>35589.14</v>
      </c>
      <c r="R323" s="178">
        <f>ROUND('[6]2037'!R33,2)</f>
        <v>35697.5</v>
      </c>
      <c r="S323" s="178">
        <f>ROUND('[6]2037'!S33,2)</f>
        <v>35846.36</v>
      </c>
      <c r="T323" s="178">
        <f>ROUND('[6]2037'!T33,2)</f>
        <v>36241.57</v>
      </c>
      <c r="U323" s="178">
        <f>ROUND('[6]2037'!U33,2)</f>
        <v>36138.050000000003</v>
      </c>
      <c r="V323" s="178">
        <f>ROUND('[6]2037'!V33,2)</f>
        <v>36715.97</v>
      </c>
      <c r="W323" s="178">
        <f>ROUND('[6]2037'!W33,2)</f>
        <v>40977.449999999997</v>
      </c>
      <c r="X323" s="178">
        <f>ROUND('[6]2037'!X33,2)</f>
        <v>42103.21</v>
      </c>
      <c r="Y323" s="178">
        <f>ROUND('[6]2037'!Y33,2)</f>
        <v>41874.230000000003</v>
      </c>
      <c r="Z323" s="178">
        <f>ROUND('[6]2037'!Z33,2)</f>
        <v>40530.089999999997</v>
      </c>
      <c r="AA323" s="178">
        <f>ROUND('[6]2037'!AA33,2)</f>
        <v>37817.21</v>
      </c>
      <c r="AB323" s="178">
        <f>ROUND('[6]2037'!AB33,2)</f>
        <v>34387</v>
      </c>
      <c r="AC323" s="210"/>
      <c r="AD323" s="18"/>
    </row>
    <row r="324" spans="2:30" ht="18.649999999999999" customHeight="1" thickBot="1" x14ac:dyDescent="0.4">
      <c r="B324" s="208"/>
      <c r="C324" s="15" t="s">
        <v>32</v>
      </c>
      <c r="D324" s="16">
        <f>+'[6]2037'!D34</f>
        <v>2</v>
      </c>
      <c r="E324" s="179">
        <f>ROUND('[6]2037'!E34,2)</f>
        <v>32684.81</v>
      </c>
      <c r="F324" s="180">
        <f>ROUND('[6]2037'!F34,2)</f>
        <v>31140.44</v>
      </c>
      <c r="G324" s="180">
        <f>ROUND('[6]2037'!G34,2)</f>
        <v>29910.05</v>
      </c>
      <c r="H324" s="180">
        <f>ROUND('[6]2037'!H34,2)</f>
        <v>29027.58</v>
      </c>
      <c r="I324" s="180">
        <f>ROUND('[6]2037'!I34,2)</f>
        <v>28651.52</v>
      </c>
      <c r="J324" s="180">
        <f>ROUND('[6]2037'!J34,2)</f>
        <v>27787.46</v>
      </c>
      <c r="K324" s="180">
        <f>ROUND('[6]2037'!K34,2)</f>
        <v>27368.16</v>
      </c>
      <c r="L324" s="180">
        <f>ROUND('[6]2037'!L34,2)</f>
        <v>29001.4</v>
      </c>
      <c r="M324" s="180">
        <f>ROUND('[6]2037'!M34,2)</f>
        <v>31222.5</v>
      </c>
      <c r="N324" s="180">
        <f>ROUND('[6]2037'!N34,2)</f>
        <v>32978.67</v>
      </c>
      <c r="O324" s="180">
        <f>ROUND('[6]2037'!O34,2)</f>
        <v>34181.760000000002</v>
      </c>
      <c r="P324" s="180">
        <f>ROUND('[6]2037'!P34,2)</f>
        <v>35078.17</v>
      </c>
      <c r="Q324" s="180">
        <f>ROUND('[6]2037'!Q34,2)</f>
        <v>35589.14</v>
      </c>
      <c r="R324" s="180">
        <f>ROUND('[6]2037'!R34,2)</f>
        <v>35697.5</v>
      </c>
      <c r="S324" s="180">
        <f>ROUND('[6]2037'!S34,2)</f>
        <v>35846.36</v>
      </c>
      <c r="T324" s="180">
        <f>ROUND('[6]2037'!T34,2)</f>
        <v>36241.57</v>
      </c>
      <c r="U324" s="180">
        <f>ROUND('[6]2037'!U34,2)</f>
        <v>36138.050000000003</v>
      </c>
      <c r="V324" s="180">
        <f>ROUND('[6]2037'!V34,2)</f>
        <v>36715.97</v>
      </c>
      <c r="W324" s="180">
        <f>ROUND('[6]2037'!W34,2)</f>
        <v>40977.449999999997</v>
      </c>
      <c r="X324" s="180">
        <f>ROUND('[6]2037'!X34,2)</f>
        <v>42103.21</v>
      </c>
      <c r="Y324" s="180">
        <f>ROUND('[6]2037'!Y34,2)</f>
        <v>41874.230000000003</v>
      </c>
      <c r="Z324" s="180">
        <f>ROUND('[6]2037'!Z34,2)</f>
        <v>40530.089999999997</v>
      </c>
      <c r="AA324" s="180">
        <f>ROUND('[6]2037'!AA34,2)</f>
        <v>37817.21</v>
      </c>
      <c r="AB324" s="180">
        <f>ROUND('[6]2037'!AB34,2)</f>
        <v>34387</v>
      </c>
      <c r="AC324" s="210"/>
      <c r="AD324" s="18"/>
    </row>
    <row r="325" spans="2:30" ht="18.649999999999999" customHeight="1" x14ac:dyDescent="0.35">
      <c r="B325" s="211">
        <v>50192</v>
      </c>
      <c r="C325" s="6" t="s">
        <v>29</v>
      </c>
      <c r="D325" s="7">
        <f>+'[6]2037'!D35</f>
        <v>19</v>
      </c>
      <c r="E325" s="175">
        <f>ROUND('[6]2037'!E35,2)</f>
        <v>31834.46</v>
      </c>
      <c r="F325" s="176">
        <f>ROUND('[6]2037'!F35,2)</f>
        <v>30235.75</v>
      </c>
      <c r="G325" s="176">
        <f>ROUND('[6]2037'!G35,2)</f>
        <v>29124.79</v>
      </c>
      <c r="H325" s="176">
        <f>ROUND('[6]2037'!H35,2)</f>
        <v>28255.54</v>
      </c>
      <c r="I325" s="176">
        <f>ROUND('[6]2037'!I35,2)</f>
        <v>28342.57</v>
      </c>
      <c r="J325" s="176">
        <f>ROUND('[6]2037'!J35,2)</f>
        <v>28732.81</v>
      </c>
      <c r="K325" s="176">
        <f>ROUND('[6]2037'!K35,2)</f>
        <v>29353.21</v>
      </c>
      <c r="L325" s="176">
        <f>ROUND('[6]2037'!L35,2)</f>
        <v>33049.550000000003</v>
      </c>
      <c r="M325" s="176">
        <f>ROUND('[6]2037'!M35,2)</f>
        <v>36647.79</v>
      </c>
      <c r="N325" s="176">
        <f>ROUND('[6]2037'!N35,2)</f>
        <v>38429.01</v>
      </c>
      <c r="O325" s="176">
        <f>ROUND('[6]2037'!O35,2)</f>
        <v>40489.660000000003</v>
      </c>
      <c r="P325" s="176">
        <f>ROUND('[6]2037'!P35,2)</f>
        <v>41844.1</v>
      </c>
      <c r="Q325" s="176">
        <f>ROUND('[6]2037'!Q35,2)</f>
        <v>40356.42</v>
      </c>
      <c r="R325" s="176">
        <f>ROUND('[6]2037'!R35,2)</f>
        <v>41241.599999999999</v>
      </c>
      <c r="S325" s="176">
        <f>ROUND('[6]2037'!S35,2)</f>
        <v>43269.43</v>
      </c>
      <c r="T325" s="176">
        <f>ROUND('[6]2037'!T35,2)</f>
        <v>43509.93</v>
      </c>
      <c r="U325" s="176">
        <f>ROUND('[6]2037'!U35,2)</f>
        <v>43077.33</v>
      </c>
      <c r="V325" s="176">
        <f>ROUND('[6]2037'!V35,2)</f>
        <v>41731.64</v>
      </c>
      <c r="W325" s="176">
        <f>ROUND('[6]2037'!W35,2)</f>
        <v>44167.4</v>
      </c>
      <c r="X325" s="176">
        <f>ROUND('[6]2037'!X35,2)</f>
        <v>44727.02</v>
      </c>
      <c r="Y325" s="176">
        <f>ROUND('[6]2037'!Y35,2)</f>
        <v>43265.69</v>
      </c>
      <c r="Z325" s="176">
        <f>ROUND('[6]2037'!Z35,2)</f>
        <v>41048.03</v>
      </c>
      <c r="AA325" s="176">
        <f>ROUND('[6]2037'!AA35,2)</f>
        <v>37748.19</v>
      </c>
      <c r="AB325" s="176">
        <f>ROUND('[6]2037'!AB35,2)</f>
        <v>34420.51</v>
      </c>
      <c r="AC325" s="209">
        <f>SUM(E325:AB325)*D325+SUM(E326:AB326)*D326+SUM(E327:AB327)*D327+SUM(E328:AB328)*D328</f>
        <v>26031074.029999997</v>
      </c>
      <c r="AD325" s="18"/>
    </row>
    <row r="326" spans="2:30" ht="18.649999999999999" customHeight="1" x14ac:dyDescent="0.35">
      <c r="B326" s="212" t="s">
        <v>34</v>
      </c>
      <c r="C326" s="9" t="s">
        <v>30</v>
      </c>
      <c r="D326" s="10">
        <f>+'[6]2037'!D36</f>
        <v>4</v>
      </c>
      <c r="E326" s="177">
        <f>ROUND('[6]2037'!E36,2)</f>
        <v>31912.720000000001</v>
      </c>
      <c r="F326" s="178">
        <f>ROUND('[6]2037'!F36,2)</f>
        <v>30345.119999999999</v>
      </c>
      <c r="G326" s="178">
        <f>ROUND('[6]2037'!G36,2)</f>
        <v>29180.21</v>
      </c>
      <c r="H326" s="178">
        <f>ROUND('[6]2037'!H36,2)</f>
        <v>28380.69</v>
      </c>
      <c r="I326" s="178">
        <f>ROUND('[6]2037'!I36,2)</f>
        <v>28240.47</v>
      </c>
      <c r="J326" s="178">
        <f>ROUND('[6]2037'!J36,2)</f>
        <v>27883.24</v>
      </c>
      <c r="K326" s="178">
        <f>ROUND('[6]2037'!K36,2)</f>
        <v>28156.639999999999</v>
      </c>
      <c r="L326" s="178">
        <f>ROUND('[6]2037'!L36,2)</f>
        <v>31404.97</v>
      </c>
      <c r="M326" s="178">
        <f>ROUND('[6]2037'!M36,2)</f>
        <v>34969.660000000003</v>
      </c>
      <c r="N326" s="178">
        <f>ROUND('[6]2037'!N36,2)</f>
        <v>37005.279999999999</v>
      </c>
      <c r="O326" s="178">
        <f>ROUND('[6]2037'!O36,2)</f>
        <v>38749.629999999997</v>
      </c>
      <c r="P326" s="178">
        <f>ROUND('[6]2037'!P36,2)</f>
        <v>39806.1</v>
      </c>
      <c r="Q326" s="178">
        <f>ROUND('[6]2037'!Q36,2)</f>
        <v>39079.019999999997</v>
      </c>
      <c r="R326" s="178">
        <f>ROUND('[6]2037'!R36,2)</f>
        <v>38293.35</v>
      </c>
      <c r="S326" s="178">
        <f>ROUND('[6]2037'!S36,2)</f>
        <v>38412.49</v>
      </c>
      <c r="T326" s="178">
        <f>ROUND('[6]2037'!T36,2)</f>
        <v>38437.08</v>
      </c>
      <c r="U326" s="178">
        <f>ROUND('[6]2037'!U36,2)</f>
        <v>37990.300000000003</v>
      </c>
      <c r="V326" s="178">
        <f>ROUND('[6]2037'!V36,2)</f>
        <v>38143.51</v>
      </c>
      <c r="W326" s="178">
        <f>ROUND('[6]2037'!W36,2)</f>
        <v>41439.93</v>
      </c>
      <c r="X326" s="178">
        <f>ROUND('[6]2037'!X36,2)</f>
        <v>42309.24</v>
      </c>
      <c r="Y326" s="178">
        <f>ROUND('[6]2037'!Y36,2)</f>
        <v>41094.44</v>
      </c>
      <c r="Z326" s="178">
        <f>ROUND('[6]2037'!Z36,2)</f>
        <v>39044.03</v>
      </c>
      <c r="AA326" s="178">
        <f>ROUND('[6]2037'!AA36,2)</f>
        <v>36661.74</v>
      </c>
      <c r="AB326" s="178">
        <f>ROUND('[6]2037'!AB36,2)</f>
        <v>34199.730000000003</v>
      </c>
      <c r="AC326" s="210"/>
      <c r="AD326" s="18"/>
    </row>
    <row r="327" spans="2:30" ht="18.649999999999999" customHeight="1" x14ac:dyDescent="0.35">
      <c r="B327" s="212" t="s">
        <v>34</v>
      </c>
      <c r="C327" s="9" t="s">
        <v>31</v>
      </c>
      <c r="D327" s="10">
        <f>+'[6]2037'!D37</f>
        <v>4</v>
      </c>
      <c r="E327" s="177">
        <f>ROUND('[6]2037'!E37,2)</f>
        <v>32394.81</v>
      </c>
      <c r="F327" s="178">
        <f>ROUND('[6]2037'!F37,2)</f>
        <v>30754.04</v>
      </c>
      <c r="G327" s="178">
        <f>ROUND('[6]2037'!G37,2)</f>
        <v>29479.59</v>
      </c>
      <c r="H327" s="178">
        <f>ROUND('[6]2037'!H37,2)</f>
        <v>28641.919999999998</v>
      </c>
      <c r="I327" s="178">
        <f>ROUND('[6]2037'!I37,2)</f>
        <v>28315.200000000001</v>
      </c>
      <c r="J327" s="178">
        <f>ROUND('[6]2037'!J37,2)</f>
        <v>27425.65</v>
      </c>
      <c r="K327" s="178">
        <f>ROUND('[6]2037'!K37,2)</f>
        <v>26822.95</v>
      </c>
      <c r="L327" s="178">
        <f>ROUND('[6]2037'!L37,2)</f>
        <v>28293.55</v>
      </c>
      <c r="M327" s="178">
        <f>ROUND('[6]2037'!M37,2)</f>
        <v>30232.34</v>
      </c>
      <c r="N327" s="178">
        <f>ROUND('[6]2037'!N37,2)</f>
        <v>31853.65</v>
      </c>
      <c r="O327" s="178">
        <f>ROUND('[6]2037'!O37,2)</f>
        <v>33001.050000000003</v>
      </c>
      <c r="P327" s="178">
        <f>ROUND('[6]2037'!P37,2)</f>
        <v>33913.410000000003</v>
      </c>
      <c r="Q327" s="178">
        <f>ROUND('[6]2037'!Q37,2)</f>
        <v>34626.879999999997</v>
      </c>
      <c r="R327" s="178">
        <f>ROUND('[6]2037'!R37,2)</f>
        <v>34562.550000000003</v>
      </c>
      <c r="S327" s="178">
        <f>ROUND('[6]2037'!S37,2)</f>
        <v>34681.760000000002</v>
      </c>
      <c r="T327" s="178">
        <f>ROUND('[6]2037'!T37,2)</f>
        <v>34963.43</v>
      </c>
      <c r="U327" s="178">
        <f>ROUND('[6]2037'!U37,2)</f>
        <v>35019.51</v>
      </c>
      <c r="V327" s="178">
        <f>ROUND('[6]2037'!V37,2)</f>
        <v>35417.54</v>
      </c>
      <c r="W327" s="178">
        <f>ROUND('[6]2037'!W37,2)</f>
        <v>39489.21</v>
      </c>
      <c r="X327" s="178">
        <f>ROUND('[6]2037'!X37,2)</f>
        <v>41394.99</v>
      </c>
      <c r="Y327" s="178">
        <f>ROUND('[6]2037'!Y37,2)</f>
        <v>40871.79</v>
      </c>
      <c r="Z327" s="178">
        <f>ROUND('[6]2037'!Z37,2)</f>
        <v>39563.15</v>
      </c>
      <c r="AA327" s="178">
        <f>ROUND('[6]2037'!AA37,2)</f>
        <v>37168.019999999997</v>
      </c>
      <c r="AB327" s="178">
        <f>ROUND('[6]2037'!AB37,2)</f>
        <v>34451.51</v>
      </c>
      <c r="AC327" s="210"/>
      <c r="AD327" s="18"/>
    </row>
    <row r="328" spans="2:30" ht="18.649999999999999" customHeight="1" thickBot="1" x14ac:dyDescent="0.4">
      <c r="B328" s="213" t="s">
        <v>34</v>
      </c>
      <c r="C328" s="11" t="s">
        <v>32</v>
      </c>
      <c r="D328" s="12">
        <f>+'[6]2037'!D38</f>
        <v>3</v>
      </c>
      <c r="E328" s="183">
        <f>ROUND('[6]2037'!E38,2)</f>
        <v>32394.81</v>
      </c>
      <c r="F328" s="184">
        <f>ROUND('[6]2037'!F38,2)</f>
        <v>30754.04</v>
      </c>
      <c r="G328" s="184">
        <f>ROUND('[6]2037'!G38,2)</f>
        <v>29479.59</v>
      </c>
      <c r="H328" s="184">
        <f>ROUND('[6]2037'!H38,2)</f>
        <v>28641.919999999998</v>
      </c>
      <c r="I328" s="184">
        <f>ROUND('[6]2037'!I38,2)</f>
        <v>28315.200000000001</v>
      </c>
      <c r="J328" s="184">
        <f>ROUND('[6]2037'!J38,2)</f>
        <v>27425.65</v>
      </c>
      <c r="K328" s="184">
        <f>ROUND('[6]2037'!K38,2)</f>
        <v>26822.95</v>
      </c>
      <c r="L328" s="184">
        <f>ROUND('[6]2037'!L38,2)</f>
        <v>28293.55</v>
      </c>
      <c r="M328" s="184">
        <f>ROUND('[6]2037'!M38,2)</f>
        <v>30232.34</v>
      </c>
      <c r="N328" s="184">
        <f>ROUND('[6]2037'!N38,2)</f>
        <v>31853.65</v>
      </c>
      <c r="O328" s="184">
        <f>ROUND('[6]2037'!O38,2)</f>
        <v>33001.050000000003</v>
      </c>
      <c r="P328" s="184">
        <f>ROUND('[6]2037'!P38,2)</f>
        <v>33913.410000000003</v>
      </c>
      <c r="Q328" s="184">
        <f>ROUND('[6]2037'!Q38,2)</f>
        <v>34626.879999999997</v>
      </c>
      <c r="R328" s="184">
        <f>ROUND('[6]2037'!R38,2)</f>
        <v>34562.550000000003</v>
      </c>
      <c r="S328" s="184">
        <f>ROUND('[6]2037'!S38,2)</f>
        <v>34681.760000000002</v>
      </c>
      <c r="T328" s="184">
        <f>ROUND('[6]2037'!T38,2)</f>
        <v>34963.43</v>
      </c>
      <c r="U328" s="184">
        <f>ROUND('[6]2037'!U38,2)</f>
        <v>35019.51</v>
      </c>
      <c r="V328" s="184">
        <f>ROUND('[6]2037'!V38,2)</f>
        <v>35417.54</v>
      </c>
      <c r="W328" s="184">
        <f>ROUND('[6]2037'!W38,2)</f>
        <v>39489.21</v>
      </c>
      <c r="X328" s="184">
        <f>ROUND('[6]2037'!X38,2)</f>
        <v>41394.99</v>
      </c>
      <c r="Y328" s="184">
        <f>ROUND('[6]2037'!Y38,2)</f>
        <v>40871.79</v>
      </c>
      <c r="Z328" s="184">
        <f>ROUND('[6]2037'!Z38,2)</f>
        <v>39563.15</v>
      </c>
      <c r="AA328" s="184">
        <f>ROUND('[6]2037'!AA38,2)</f>
        <v>37168.019999999997</v>
      </c>
      <c r="AB328" s="184">
        <f>ROUND('[6]2037'!AB38,2)</f>
        <v>34451.51</v>
      </c>
      <c r="AC328" s="214"/>
      <c r="AD328" s="18"/>
    </row>
    <row r="329" spans="2:30" ht="18.649999999999999" customHeight="1" x14ac:dyDescent="0.35">
      <c r="B329" s="207">
        <v>50222</v>
      </c>
      <c r="C329" s="13" t="s">
        <v>29</v>
      </c>
      <c r="D329" s="14">
        <f>+'[6]2037'!D39</f>
        <v>22</v>
      </c>
      <c r="E329" s="181">
        <f>ROUND('[6]2037'!E39,2)</f>
        <v>31480.45</v>
      </c>
      <c r="F329" s="182">
        <f>ROUND('[6]2037'!F39,2)</f>
        <v>29871.16</v>
      </c>
      <c r="G329" s="182">
        <f>ROUND('[6]2037'!G39,2)</f>
        <v>28670.07</v>
      </c>
      <c r="H329" s="182">
        <f>ROUND('[6]2037'!H39,2)</f>
        <v>27868.02</v>
      </c>
      <c r="I329" s="182">
        <f>ROUND('[6]2037'!I39,2)</f>
        <v>27838.44</v>
      </c>
      <c r="J329" s="182">
        <f>ROUND('[6]2037'!J39,2)</f>
        <v>28554.37</v>
      </c>
      <c r="K329" s="182">
        <f>ROUND('[6]2037'!K39,2)</f>
        <v>28925.48</v>
      </c>
      <c r="L329" s="182">
        <f>ROUND('[6]2037'!L39,2)</f>
        <v>32488.32</v>
      </c>
      <c r="M329" s="182">
        <f>ROUND('[6]2037'!M39,2)</f>
        <v>35981.58</v>
      </c>
      <c r="N329" s="182">
        <f>ROUND('[6]2037'!N39,2)</f>
        <v>37778.32</v>
      </c>
      <c r="O329" s="182">
        <f>ROUND('[6]2037'!O39,2)</f>
        <v>39866.5</v>
      </c>
      <c r="P329" s="182">
        <f>ROUND('[6]2037'!P39,2)</f>
        <v>41432.65</v>
      </c>
      <c r="Q329" s="182">
        <f>ROUND('[6]2037'!Q39,2)</f>
        <v>39955.629999999997</v>
      </c>
      <c r="R329" s="182">
        <f>ROUND('[6]2037'!R39,2)</f>
        <v>41299.96</v>
      </c>
      <c r="S329" s="182">
        <f>ROUND('[6]2037'!S39,2)</f>
        <v>43651.48</v>
      </c>
      <c r="T329" s="182">
        <f>ROUND('[6]2037'!T39,2)</f>
        <v>43910</v>
      </c>
      <c r="U329" s="182">
        <f>ROUND('[6]2037'!U39,2)</f>
        <v>43314.09</v>
      </c>
      <c r="V329" s="182">
        <f>ROUND('[6]2037'!V39,2)</f>
        <v>41473.51</v>
      </c>
      <c r="W329" s="182">
        <f>ROUND('[6]2037'!W39,2)</f>
        <v>43312.77</v>
      </c>
      <c r="X329" s="182">
        <f>ROUND('[6]2037'!X39,2)</f>
        <v>44322.34</v>
      </c>
      <c r="Y329" s="182">
        <f>ROUND('[6]2037'!Y39,2)</f>
        <v>43121.5</v>
      </c>
      <c r="Z329" s="182">
        <f>ROUND('[6]2037'!Z39,2)</f>
        <v>40977.68</v>
      </c>
      <c r="AA329" s="182">
        <f>ROUND('[6]2037'!AA39,2)</f>
        <v>37626.46</v>
      </c>
      <c r="AB329" s="182">
        <f>ROUND('[6]2037'!AB39,2)</f>
        <v>34383.61</v>
      </c>
      <c r="AC329" s="210">
        <f>SUM(E329:AB329)*D329+SUM(E330:AB330)*D330+SUM(E331:AB331)*D331+SUM(E332:AB332)*D332</f>
        <v>26727660.060000002</v>
      </c>
      <c r="AD329" s="18"/>
    </row>
    <row r="330" spans="2:30" ht="18.649999999999999" customHeight="1" x14ac:dyDescent="0.35">
      <c r="B330" s="208"/>
      <c r="C330" s="9" t="s">
        <v>30</v>
      </c>
      <c r="D330" s="10">
        <f>+'[6]2037'!D40</f>
        <v>4</v>
      </c>
      <c r="E330" s="177">
        <f>ROUND('[6]2037'!E40,2)</f>
        <v>32067.43</v>
      </c>
      <c r="F330" s="178">
        <f>ROUND('[6]2037'!F40,2)</f>
        <v>30254.83</v>
      </c>
      <c r="G330" s="178">
        <f>ROUND('[6]2037'!G40,2)</f>
        <v>28950.66</v>
      </c>
      <c r="H330" s="178">
        <f>ROUND('[6]2037'!H40,2)</f>
        <v>28160.34</v>
      </c>
      <c r="I330" s="178">
        <f>ROUND('[6]2037'!I40,2)</f>
        <v>27786.18</v>
      </c>
      <c r="J330" s="178">
        <f>ROUND('[6]2037'!J40,2)</f>
        <v>27504.21</v>
      </c>
      <c r="K330" s="178">
        <f>ROUND('[6]2037'!K40,2)</f>
        <v>27627.74</v>
      </c>
      <c r="L330" s="178">
        <f>ROUND('[6]2037'!L40,2)</f>
        <v>30653.37</v>
      </c>
      <c r="M330" s="178">
        <f>ROUND('[6]2037'!M40,2)</f>
        <v>34205.69</v>
      </c>
      <c r="N330" s="178">
        <f>ROUND('[6]2037'!N40,2)</f>
        <v>36257.25</v>
      </c>
      <c r="O330" s="178">
        <f>ROUND('[6]2037'!O40,2)</f>
        <v>38187.160000000003</v>
      </c>
      <c r="P330" s="178">
        <f>ROUND('[6]2037'!P40,2)</f>
        <v>39151.74</v>
      </c>
      <c r="Q330" s="178">
        <f>ROUND('[6]2037'!Q40,2)</f>
        <v>38526.06</v>
      </c>
      <c r="R330" s="178">
        <f>ROUND('[6]2037'!R40,2)</f>
        <v>37969.089999999997</v>
      </c>
      <c r="S330" s="178">
        <f>ROUND('[6]2037'!S40,2)</f>
        <v>37966.36</v>
      </c>
      <c r="T330" s="178">
        <f>ROUND('[6]2037'!T40,2)</f>
        <v>37742.06</v>
      </c>
      <c r="U330" s="178">
        <f>ROUND('[6]2037'!U40,2)</f>
        <v>37380.79</v>
      </c>
      <c r="V330" s="178">
        <f>ROUND('[6]2037'!V40,2)</f>
        <v>37505.360000000001</v>
      </c>
      <c r="W330" s="178">
        <f>ROUND('[6]2037'!W40,2)</f>
        <v>39857.5</v>
      </c>
      <c r="X330" s="178">
        <f>ROUND('[6]2037'!X40,2)</f>
        <v>40755.230000000003</v>
      </c>
      <c r="Y330" s="178">
        <f>ROUND('[6]2037'!Y40,2)</f>
        <v>39419.839999999997</v>
      </c>
      <c r="Z330" s="178">
        <f>ROUND('[6]2037'!Z40,2)</f>
        <v>37769.14</v>
      </c>
      <c r="AA330" s="178">
        <f>ROUND('[6]2037'!AA40,2)</f>
        <v>35675.06</v>
      </c>
      <c r="AB330" s="178">
        <f>ROUND('[6]2037'!AB40,2)</f>
        <v>33276.129999999997</v>
      </c>
      <c r="AC330" s="210"/>
      <c r="AD330" s="18"/>
    </row>
    <row r="331" spans="2:30" ht="18.649999999999999" customHeight="1" x14ac:dyDescent="0.35">
      <c r="B331" s="208"/>
      <c r="C331" s="9" t="s">
        <v>31</v>
      </c>
      <c r="D331" s="10">
        <f>+'[6]2037'!D41</f>
        <v>4</v>
      </c>
      <c r="E331" s="177">
        <f>ROUND('[6]2037'!E41,2)</f>
        <v>30156.77</v>
      </c>
      <c r="F331" s="178">
        <f>ROUND('[6]2037'!F41,2)</f>
        <v>28746.75</v>
      </c>
      <c r="G331" s="178">
        <f>ROUND('[6]2037'!G41,2)</f>
        <v>27517.119999999999</v>
      </c>
      <c r="H331" s="178">
        <f>ROUND('[6]2037'!H41,2)</f>
        <v>26766.16</v>
      </c>
      <c r="I331" s="178">
        <f>ROUND('[6]2037'!I41,2)</f>
        <v>26462.51</v>
      </c>
      <c r="J331" s="178">
        <f>ROUND('[6]2037'!J41,2)</f>
        <v>25815.4</v>
      </c>
      <c r="K331" s="178">
        <f>ROUND('[6]2037'!K41,2)</f>
        <v>25245.58</v>
      </c>
      <c r="L331" s="178">
        <f>ROUND('[6]2037'!L41,2)</f>
        <v>26806.06</v>
      </c>
      <c r="M331" s="178">
        <f>ROUND('[6]2037'!M41,2)</f>
        <v>28724.67</v>
      </c>
      <c r="N331" s="178">
        <f>ROUND('[6]2037'!N41,2)</f>
        <v>30270.5</v>
      </c>
      <c r="O331" s="178">
        <f>ROUND('[6]2037'!O41,2)</f>
        <v>31588.97</v>
      </c>
      <c r="P331" s="178">
        <f>ROUND('[6]2037'!P41,2)</f>
        <v>32712.67</v>
      </c>
      <c r="Q331" s="178">
        <f>ROUND('[6]2037'!Q41,2)</f>
        <v>33525.160000000003</v>
      </c>
      <c r="R331" s="178">
        <f>ROUND('[6]2037'!R41,2)</f>
        <v>33731.32</v>
      </c>
      <c r="S331" s="178">
        <f>ROUND('[6]2037'!S41,2)</f>
        <v>33922.870000000003</v>
      </c>
      <c r="T331" s="178">
        <f>ROUND('[6]2037'!T41,2)</f>
        <v>34371.4</v>
      </c>
      <c r="U331" s="178">
        <f>ROUND('[6]2037'!U41,2)</f>
        <v>34310.800000000003</v>
      </c>
      <c r="V331" s="178">
        <f>ROUND('[6]2037'!V41,2)</f>
        <v>34473.29</v>
      </c>
      <c r="W331" s="178">
        <f>ROUND('[6]2037'!W41,2)</f>
        <v>38383.08</v>
      </c>
      <c r="X331" s="178">
        <f>ROUND('[6]2037'!X41,2)</f>
        <v>40576.36</v>
      </c>
      <c r="Y331" s="178">
        <f>ROUND('[6]2037'!Y41,2)</f>
        <v>39962.83</v>
      </c>
      <c r="Z331" s="178">
        <f>ROUND('[6]2037'!Z41,2)</f>
        <v>38320.75</v>
      </c>
      <c r="AA331" s="178">
        <f>ROUND('[6]2037'!AA41,2)</f>
        <v>35371.1</v>
      </c>
      <c r="AB331" s="178">
        <f>ROUND('[6]2037'!AB41,2)</f>
        <v>32391.200000000001</v>
      </c>
      <c r="AC331" s="210"/>
      <c r="AD331" s="18"/>
    </row>
    <row r="332" spans="2:30" ht="18.649999999999999" customHeight="1" thickBot="1" x14ac:dyDescent="0.4">
      <c r="B332" s="208"/>
      <c r="C332" s="15" t="s">
        <v>32</v>
      </c>
      <c r="D332" s="16">
        <f>+'[6]2037'!D42</f>
        <v>1</v>
      </c>
      <c r="E332" s="177">
        <f>ROUND('[6]2037'!E42,2)</f>
        <v>30156.77</v>
      </c>
      <c r="F332" s="178">
        <f>ROUND('[6]2037'!F42,2)</f>
        <v>28746.75</v>
      </c>
      <c r="G332" s="178">
        <f>ROUND('[6]2037'!G42,2)</f>
        <v>27517.119999999999</v>
      </c>
      <c r="H332" s="178">
        <f>ROUND('[6]2037'!H42,2)</f>
        <v>26766.16</v>
      </c>
      <c r="I332" s="178">
        <f>ROUND('[6]2037'!I42,2)</f>
        <v>26462.51</v>
      </c>
      <c r="J332" s="178">
        <f>ROUND('[6]2037'!J42,2)</f>
        <v>25815.4</v>
      </c>
      <c r="K332" s="178">
        <f>ROUND('[6]2037'!K42,2)</f>
        <v>25245.58</v>
      </c>
      <c r="L332" s="178">
        <f>ROUND('[6]2037'!L42,2)</f>
        <v>26806.06</v>
      </c>
      <c r="M332" s="178">
        <f>ROUND('[6]2037'!M42,2)</f>
        <v>28724.67</v>
      </c>
      <c r="N332" s="178">
        <f>ROUND('[6]2037'!N42,2)</f>
        <v>30270.5</v>
      </c>
      <c r="O332" s="178">
        <f>ROUND('[6]2037'!O42,2)</f>
        <v>31588.97</v>
      </c>
      <c r="P332" s="178">
        <f>ROUND('[6]2037'!P42,2)</f>
        <v>32712.67</v>
      </c>
      <c r="Q332" s="178">
        <f>ROUND('[6]2037'!Q42,2)</f>
        <v>33525.160000000003</v>
      </c>
      <c r="R332" s="178">
        <f>ROUND('[6]2037'!R42,2)</f>
        <v>33731.32</v>
      </c>
      <c r="S332" s="178">
        <f>ROUND('[6]2037'!S42,2)</f>
        <v>33922.870000000003</v>
      </c>
      <c r="T332" s="178">
        <f>ROUND('[6]2037'!T42,2)</f>
        <v>34371.4</v>
      </c>
      <c r="U332" s="178">
        <f>ROUND('[6]2037'!U42,2)</f>
        <v>34310.800000000003</v>
      </c>
      <c r="V332" s="178">
        <f>ROUND('[6]2037'!V42,2)</f>
        <v>34473.29</v>
      </c>
      <c r="W332" s="178">
        <f>ROUND('[6]2037'!W42,2)</f>
        <v>38383.08</v>
      </c>
      <c r="X332" s="178">
        <f>ROUND('[6]2037'!X42,2)</f>
        <v>40576.36</v>
      </c>
      <c r="Y332" s="178">
        <f>ROUND('[6]2037'!Y42,2)</f>
        <v>39962.83</v>
      </c>
      <c r="Z332" s="178">
        <f>ROUND('[6]2037'!Z42,2)</f>
        <v>38320.75</v>
      </c>
      <c r="AA332" s="178">
        <f>ROUND('[6]2037'!AA42,2)</f>
        <v>35371.1</v>
      </c>
      <c r="AB332" s="178">
        <f>ROUND('[6]2037'!AB42,2)</f>
        <v>32391.200000000001</v>
      </c>
      <c r="AC332" s="210"/>
      <c r="AD332" s="18"/>
    </row>
    <row r="333" spans="2:30" ht="18.649999999999999" customHeight="1" x14ac:dyDescent="0.35">
      <c r="B333" s="211">
        <v>50253</v>
      </c>
      <c r="C333" s="6" t="s">
        <v>29</v>
      </c>
      <c r="D333" s="7">
        <f>+'[6]2037'!D43</f>
        <v>19</v>
      </c>
      <c r="E333" s="175">
        <f>ROUND('[6]2037'!E43,2)</f>
        <v>31842.92</v>
      </c>
      <c r="F333" s="176">
        <f>ROUND('[6]2037'!F43,2)</f>
        <v>30101.01</v>
      </c>
      <c r="G333" s="176">
        <f>ROUND('[6]2037'!G43,2)</f>
        <v>28867.61</v>
      </c>
      <c r="H333" s="176">
        <f>ROUND('[6]2037'!H43,2)</f>
        <v>28026.3</v>
      </c>
      <c r="I333" s="176">
        <f>ROUND('[6]2037'!I43,2)</f>
        <v>27997.48</v>
      </c>
      <c r="J333" s="176">
        <f>ROUND('[6]2037'!J43,2)</f>
        <v>28933.09</v>
      </c>
      <c r="K333" s="176">
        <f>ROUND('[6]2037'!K43,2)</f>
        <v>29273.45</v>
      </c>
      <c r="L333" s="176">
        <f>ROUND('[6]2037'!L43,2)</f>
        <v>32563.96</v>
      </c>
      <c r="M333" s="176">
        <f>ROUND('[6]2037'!M43,2)</f>
        <v>36110.85</v>
      </c>
      <c r="N333" s="176">
        <f>ROUND('[6]2037'!N43,2)</f>
        <v>37887.71</v>
      </c>
      <c r="O333" s="176">
        <f>ROUND('[6]2037'!O43,2)</f>
        <v>40096.94</v>
      </c>
      <c r="P333" s="176">
        <f>ROUND('[6]2037'!P43,2)</f>
        <v>41926.550000000003</v>
      </c>
      <c r="Q333" s="176">
        <f>ROUND('[6]2037'!Q43,2)</f>
        <v>40241.1</v>
      </c>
      <c r="R333" s="176">
        <f>ROUND('[6]2037'!R43,2)</f>
        <v>41557.050000000003</v>
      </c>
      <c r="S333" s="176">
        <f>ROUND('[6]2037'!S43,2)</f>
        <v>44055.75</v>
      </c>
      <c r="T333" s="176">
        <f>ROUND('[6]2037'!T43,2)</f>
        <v>44338.7</v>
      </c>
      <c r="U333" s="176">
        <f>ROUND('[6]2037'!U43,2)</f>
        <v>43578.33</v>
      </c>
      <c r="V333" s="176">
        <f>ROUND('[6]2037'!V43,2)</f>
        <v>41982.09</v>
      </c>
      <c r="W333" s="176">
        <f>ROUND('[6]2037'!W43,2)</f>
        <v>44495.15</v>
      </c>
      <c r="X333" s="176">
        <f>ROUND('[6]2037'!X43,2)</f>
        <v>45189.05</v>
      </c>
      <c r="Y333" s="176">
        <f>ROUND('[6]2037'!Y43,2)</f>
        <v>43919.18</v>
      </c>
      <c r="Z333" s="176">
        <f>ROUND('[6]2037'!Z43,2)</f>
        <v>41673.120000000003</v>
      </c>
      <c r="AA333" s="176">
        <f>ROUND('[6]2037'!AA43,2)</f>
        <v>38213.449999999997</v>
      </c>
      <c r="AB333" s="176">
        <f>ROUND('[6]2037'!AB43,2)</f>
        <v>34945.449999999997</v>
      </c>
      <c r="AC333" s="209">
        <f>SUM(E333:AB333)*D333+SUM(E334:AB334)*D334+SUM(E335:AB335)*D335+SUM(E336:AB336)*D336</f>
        <v>26798452.729999997</v>
      </c>
      <c r="AD333" s="18"/>
    </row>
    <row r="334" spans="2:30" ht="18.649999999999999" customHeight="1" x14ac:dyDescent="0.35">
      <c r="B334" s="212" t="s">
        <v>34</v>
      </c>
      <c r="C334" s="9" t="s">
        <v>30</v>
      </c>
      <c r="D334" s="10">
        <f>+'[6]2037'!D44</f>
        <v>5</v>
      </c>
      <c r="E334" s="177">
        <f>ROUND('[6]2037'!E44,2)</f>
        <v>32278.87</v>
      </c>
      <c r="F334" s="178">
        <f>ROUND('[6]2037'!F44,2)</f>
        <v>30619.08</v>
      </c>
      <c r="G334" s="178">
        <f>ROUND('[6]2037'!G44,2)</f>
        <v>29388.400000000001</v>
      </c>
      <c r="H334" s="178">
        <f>ROUND('[6]2037'!H44,2)</f>
        <v>28454.33</v>
      </c>
      <c r="I334" s="178">
        <f>ROUND('[6]2037'!I44,2)</f>
        <v>27894.25</v>
      </c>
      <c r="J334" s="178">
        <f>ROUND('[6]2037'!J44,2)</f>
        <v>27653.75</v>
      </c>
      <c r="K334" s="178">
        <f>ROUND('[6]2037'!K44,2)</f>
        <v>27696.880000000001</v>
      </c>
      <c r="L334" s="178">
        <f>ROUND('[6]2037'!L44,2)</f>
        <v>30660.03</v>
      </c>
      <c r="M334" s="178">
        <f>ROUND('[6]2037'!M44,2)</f>
        <v>33905.78</v>
      </c>
      <c r="N334" s="178">
        <f>ROUND('[6]2037'!N44,2)</f>
        <v>35970.35</v>
      </c>
      <c r="O334" s="178">
        <f>ROUND('[6]2037'!O44,2)</f>
        <v>37665.5</v>
      </c>
      <c r="P334" s="178">
        <f>ROUND('[6]2037'!P44,2)</f>
        <v>38239.199999999997</v>
      </c>
      <c r="Q334" s="178">
        <f>ROUND('[6]2037'!Q44,2)</f>
        <v>37582.559999999998</v>
      </c>
      <c r="R334" s="178">
        <f>ROUND('[6]2037'!R44,2)</f>
        <v>37067.69</v>
      </c>
      <c r="S334" s="178">
        <f>ROUND('[6]2037'!S44,2)</f>
        <v>37476.699999999997</v>
      </c>
      <c r="T334" s="178">
        <f>ROUND('[6]2037'!T44,2)</f>
        <v>37639.67</v>
      </c>
      <c r="U334" s="178">
        <f>ROUND('[6]2037'!U44,2)</f>
        <v>37391.800000000003</v>
      </c>
      <c r="V334" s="178">
        <f>ROUND('[6]2037'!V44,2)</f>
        <v>37680.629999999997</v>
      </c>
      <c r="W334" s="178">
        <f>ROUND('[6]2037'!W44,2)</f>
        <v>41592.86</v>
      </c>
      <c r="X334" s="178">
        <f>ROUND('[6]2037'!X44,2)</f>
        <v>41923.43</v>
      </c>
      <c r="Y334" s="178">
        <f>ROUND('[6]2037'!Y44,2)</f>
        <v>40395.160000000003</v>
      </c>
      <c r="Z334" s="178">
        <f>ROUND('[6]2037'!Z44,2)</f>
        <v>38562.47</v>
      </c>
      <c r="AA334" s="178">
        <f>ROUND('[6]2037'!AA44,2)</f>
        <v>36196.519999999997</v>
      </c>
      <c r="AB334" s="178">
        <f>ROUND('[6]2037'!AB44,2)</f>
        <v>33615.07</v>
      </c>
      <c r="AC334" s="210"/>
      <c r="AD334" s="18"/>
    </row>
    <row r="335" spans="2:30" ht="18.649999999999999" customHeight="1" x14ac:dyDescent="0.35">
      <c r="B335" s="212" t="s">
        <v>34</v>
      </c>
      <c r="C335" s="9" t="s">
        <v>31</v>
      </c>
      <c r="D335" s="10">
        <f>+'[6]2037'!D45</f>
        <v>5</v>
      </c>
      <c r="E335" s="177">
        <f>ROUND('[6]2037'!E45,2)</f>
        <v>31500.1</v>
      </c>
      <c r="F335" s="178">
        <f>ROUND('[6]2037'!F45,2)</f>
        <v>29967.38</v>
      </c>
      <c r="G335" s="178">
        <f>ROUND('[6]2037'!G45,2)</f>
        <v>28638.97</v>
      </c>
      <c r="H335" s="178">
        <f>ROUND('[6]2037'!H45,2)</f>
        <v>27868.98</v>
      </c>
      <c r="I335" s="178">
        <f>ROUND('[6]2037'!I45,2)</f>
        <v>27467.55</v>
      </c>
      <c r="J335" s="178">
        <f>ROUND('[6]2037'!J45,2)</f>
        <v>27049.38</v>
      </c>
      <c r="K335" s="178">
        <f>ROUND('[6]2037'!K45,2)</f>
        <v>26322.27</v>
      </c>
      <c r="L335" s="178">
        <f>ROUND('[6]2037'!L45,2)</f>
        <v>27813.14</v>
      </c>
      <c r="M335" s="178">
        <f>ROUND('[6]2037'!M45,2)</f>
        <v>29603.23</v>
      </c>
      <c r="N335" s="178">
        <f>ROUND('[6]2037'!N45,2)</f>
        <v>31124.79</v>
      </c>
      <c r="O335" s="178">
        <f>ROUND('[6]2037'!O45,2)</f>
        <v>32415.4</v>
      </c>
      <c r="P335" s="178">
        <f>ROUND('[6]2037'!P45,2)</f>
        <v>33491.199999999997</v>
      </c>
      <c r="Q335" s="178">
        <f>ROUND('[6]2037'!Q45,2)</f>
        <v>34132.660000000003</v>
      </c>
      <c r="R335" s="178">
        <f>ROUND('[6]2037'!R45,2)</f>
        <v>34267.019999999997</v>
      </c>
      <c r="S335" s="178">
        <f>ROUND('[6]2037'!S45,2)</f>
        <v>34473.72</v>
      </c>
      <c r="T335" s="178">
        <f>ROUND('[6]2037'!T45,2)</f>
        <v>34722.620000000003</v>
      </c>
      <c r="U335" s="178">
        <f>ROUND('[6]2037'!U45,2)</f>
        <v>34718.35</v>
      </c>
      <c r="V335" s="178">
        <f>ROUND('[6]2037'!V45,2)</f>
        <v>35300.410000000003</v>
      </c>
      <c r="W335" s="178">
        <f>ROUND('[6]2037'!W45,2)</f>
        <v>39724.89</v>
      </c>
      <c r="X335" s="178">
        <f>ROUND('[6]2037'!X45,2)</f>
        <v>41439.94</v>
      </c>
      <c r="Y335" s="178">
        <f>ROUND('[6]2037'!Y45,2)</f>
        <v>41100.51</v>
      </c>
      <c r="Z335" s="178">
        <f>ROUND('[6]2037'!Z45,2)</f>
        <v>39631.870000000003</v>
      </c>
      <c r="AA335" s="178">
        <f>ROUND('[6]2037'!AA45,2)</f>
        <v>36731.25</v>
      </c>
      <c r="AB335" s="178">
        <f>ROUND('[6]2037'!AB45,2)</f>
        <v>33664.129999999997</v>
      </c>
      <c r="AC335" s="210"/>
      <c r="AD335" s="18"/>
    </row>
    <row r="336" spans="2:30" ht="18.649999999999999" customHeight="1" thickBot="1" x14ac:dyDescent="0.4">
      <c r="B336" s="213" t="s">
        <v>34</v>
      </c>
      <c r="C336" s="11" t="s">
        <v>32</v>
      </c>
      <c r="D336" s="12">
        <f>+'[6]2037'!D46</f>
        <v>2</v>
      </c>
      <c r="E336" s="183">
        <f>ROUND('[6]2037'!E46,2)</f>
        <v>31500.1</v>
      </c>
      <c r="F336" s="184">
        <f>ROUND('[6]2037'!F46,2)</f>
        <v>29967.38</v>
      </c>
      <c r="G336" s="184">
        <f>ROUND('[6]2037'!G46,2)</f>
        <v>28638.97</v>
      </c>
      <c r="H336" s="184">
        <f>ROUND('[6]2037'!H46,2)</f>
        <v>27868.98</v>
      </c>
      <c r="I336" s="184">
        <f>ROUND('[6]2037'!I46,2)</f>
        <v>27467.55</v>
      </c>
      <c r="J336" s="184">
        <f>ROUND('[6]2037'!J46,2)</f>
        <v>27049.38</v>
      </c>
      <c r="K336" s="184">
        <f>ROUND('[6]2037'!K46,2)</f>
        <v>26322.27</v>
      </c>
      <c r="L336" s="184">
        <f>ROUND('[6]2037'!L46,2)</f>
        <v>27813.14</v>
      </c>
      <c r="M336" s="184">
        <f>ROUND('[6]2037'!M46,2)</f>
        <v>29603.23</v>
      </c>
      <c r="N336" s="184">
        <f>ROUND('[6]2037'!N46,2)</f>
        <v>31124.79</v>
      </c>
      <c r="O336" s="184">
        <f>ROUND('[6]2037'!O46,2)</f>
        <v>32415.4</v>
      </c>
      <c r="P336" s="184">
        <f>ROUND('[6]2037'!P46,2)</f>
        <v>33491.199999999997</v>
      </c>
      <c r="Q336" s="184">
        <f>ROUND('[6]2037'!Q46,2)</f>
        <v>34132.660000000003</v>
      </c>
      <c r="R336" s="184">
        <f>ROUND('[6]2037'!R46,2)</f>
        <v>34267.019999999997</v>
      </c>
      <c r="S336" s="184">
        <f>ROUND('[6]2037'!S46,2)</f>
        <v>34473.72</v>
      </c>
      <c r="T336" s="184">
        <f>ROUND('[6]2037'!T46,2)</f>
        <v>34722.620000000003</v>
      </c>
      <c r="U336" s="184">
        <f>ROUND('[6]2037'!U46,2)</f>
        <v>34718.35</v>
      </c>
      <c r="V336" s="184">
        <f>ROUND('[6]2037'!V46,2)</f>
        <v>35300.410000000003</v>
      </c>
      <c r="W336" s="184">
        <f>ROUND('[6]2037'!W46,2)</f>
        <v>39724.89</v>
      </c>
      <c r="X336" s="184">
        <f>ROUND('[6]2037'!X46,2)</f>
        <v>41439.94</v>
      </c>
      <c r="Y336" s="184">
        <f>ROUND('[6]2037'!Y46,2)</f>
        <v>41100.51</v>
      </c>
      <c r="Z336" s="184">
        <f>ROUND('[6]2037'!Z46,2)</f>
        <v>39631.870000000003</v>
      </c>
      <c r="AA336" s="184">
        <f>ROUND('[6]2037'!AA46,2)</f>
        <v>36731.25</v>
      </c>
      <c r="AB336" s="184">
        <f>ROUND('[6]2037'!AB46,2)</f>
        <v>33664.129999999997</v>
      </c>
      <c r="AC336" s="214"/>
      <c r="AD336" s="18"/>
    </row>
    <row r="337" spans="2:30" ht="18.649999999999999" customHeight="1" x14ac:dyDescent="0.35">
      <c r="B337" s="207">
        <v>50284</v>
      </c>
      <c r="C337" s="13" t="s">
        <v>29</v>
      </c>
      <c r="D337" s="14">
        <f>+'[6]2037'!D47</f>
        <v>22</v>
      </c>
      <c r="E337" s="181">
        <f>ROUND('[6]2037'!E47,2)</f>
        <v>31335.42</v>
      </c>
      <c r="F337" s="182">
        <f>ROUND('[6]2037'!F47,2)</f>
        <v>29691.759999999998</v>
      </c>
      <c r="G337" s="182">
        <f>ROUND('[6]2037'!G47,2)</f>
        <v>28480.93</v>
      </c>
      <c r="H337" s="182">
        <f>ROUND('[6]2037'!H47,2)</f>
        <v>27594.1</v>
      </c>
      <c r="I337" s="182">
        <f>ROUND('[6]2037'!I47,2)</f>
        <v>27562.77</v>
      </c>
      <c r="J337" s="182">
        <f>ROUND('[6]2037'!J47,2)</f>
        <v>28454.77</v>
      </c>
      <c r="K337" s="182">
        <f>ROUND('[6]2037'!K47,2)</f>
        <v>28856.94</v>
      </c>
      <c r="L337" s="182">
        <f>ROUND('[6]2037'!L47,2)</f>
        <v>32160.39</v>
      </c>
      <c r="M337" s="182">
        <f>ROUND('[6]2037'!M47,2)</f>
        <v>35718.199999999997</v>
      </c>
      <c r="N337" s="182">
        <f>ROUND('[6]2037'!N47,2)</f>
        <v>37494.629999999997</v>
      </c>
      <c r="O337" s="182">
        <f>ROUND('[6]2037'!O47,2)</f>
        <v>39404.160000000003</v>
      </c>
      <c r="P337" s="182">
        <f>ROUND('[6]2037'!P47,2)</f>
        <v>41035.99</v>
      </c>
      <c r="Q337" s="182">
        <f>ROUND('[6]2037'!Q47,2)</f>
        <v>39552.800000000003</v>
      </c>
      <c r="R337" s="182">
        <f>ROUND('[6]2037'!R47,2)</f>
        <v>40708.519999999997</v>
      </c>
      <c r="S337" s="182">
        <f>ROUND('[6]2037'!S47,2)</f>
        <v>43017.49</v>
      </c>
      <c r="T337" s="182">
        <f>ROUND('[6]2037'!T47,2)</f>
        <v>43311.89</v>
      </c>
      <c r="U337" s="182">
        <f>ROUND('[6]2037'!U47,2)</f>
        <v>42642.7</v>
      </c>
      <c r="V337" s="182">
        <f>ROUND('[6]2037'!V47,2)</f>
        <v>41558.43</v>
      </c>
      <c r="W337" s="182">
        <f>ROUND('[6]2037'!W47,2)</f>
        <v>44338.58</v>
      </c>
      <c r="X337" s="182">
        <f>ROUND('[6]2037'!X47,2)</f>
        <v>43919.83</v>
      </c>
      <c r="Y337" s="182">
        <f>ROUND('[6]2037'!Y47,2)</f>
        <v>42517.54</v>
      </c>
      <c r="Z337" s="182">
        <f>ROUND('[6]2037'!Z47,2)</f>
        <v>40224.339999999997</v>
      </c>
      <c r="AA337" s="182">
        <f>ROUND('[6]2037'!AA47,2)</f>
        <v>36783.69</v>
      </c>
      <c r="AB337" s="182">
        <f>ROUND('[6]2037'!AB47,2)</f>
        <v>33618.49</v>
      </c>
      <c r="AC337" s="210">
        <f>SUM(E337:AB337)*D337+SUM(E338:AB338)*D338+SUM(E339:AB339)*D339+SUM(E340:AB340)*D340</f>
        <v>25766211.119999997</v>
      </c>
      <c r="AD337" s="18"/>
    </row>
    <row r="338" spans="2:30" ht="18.649999999999999" customHeight="1" x14ac:dyDescent="0.35">
      <c r="B338" s="208"/>
      <c r="C338" s="9" t="s">
        <v>30</v>
      </c>
      <c r="D338" s="10">
        <f>+'[6]2037'!D48</f>
        <v>4</v>
      </c>
      <c r="E338" s="177">
        <f>ROUND('[6]2037'!E48,2)</f>
        <v>30520.01</v>
      </c>
      <c r="F338" s="178">
        <f>ROUND('[6]2037'!F48,2)</f>
        <v>28977.33</v>
      </c>
      <c r="G338" s="178">
        <f>ROUND('[6]2037'!G48,2)</f>
        <v>27818.46</v>
      </c>
      <c r="H338" s="178">
        <f>ROUND('[6]2037'!H48,2)</f>
        <v>26964.32</v>
      </c>
      <c r="I338" s="178">
        <f>ROUND('[6]2037'!I48,2)</f>
        <v>26737.23</v>
      </c>
      <c r="J338" s="178">
        <f>ROUND('[6]2037'!J48,2)</f>
        <v>26583.279999999999</v>
      </c>
      <c r="K338" s="178">
        <f>ROUND('[6]2037'!K48,2)</f>
        <v>26888.07</v>
      </c>
      <c r="L338" s="178">
        <f>ROUND('[6]2037'!L48,2)</f>
        <v>29953.46</v>
      </c>
      <c r="M338" s="178">
        <f>ROUND('[6]2037'!M48,2)</f>
        <v>33382.06</v>
      </c>
      <c r="N338" s="178">
        <f>ROUND('[6]2037'!N48,2)</f>
        <v>35070.910000000003</v>
      </c>
      <c r="O338" s="178">
        <f>ROUND('[6]2037'!O48,2)</f>
        <v>37124.9</v>
      </c>
      <c r="P338" s="178">
        <f>ROUND('[6]2037'!P48,2)</f>
        <v>38039.269999999997</v>
      </c>
      <c r="Q338" s="178">
        <f>ROUND('[6]2037'!Q48,2)</f>
        <v>37615.71</v>
      </c>
      <c r="R338" s="178">
        <f>ROUND('[6]2037'!R48,2)</f>
        <v>37155.61</v>
      </c>
      <c r="S338" s="178">
        <f>ROUND('[6]2037'!S48,2)</f>
        <v>37412.370000000003</v>
      </c>
      <c r="T338" s="178">
        <f>ROUND('[6]2037'!T48,2)</f>
        <v>37332.5</v>
      </c>
      <c r="U338" s="178">
        <f>ROUND('[6]2037'!U48,2)</f>
        <v>36888.68</v>
      </c>
      <c r="V338" s="178">
        <f>ROUND('[6]2037'!V48,2)</f>
        <v>37793.629999999997</v>
      </c>
      <c r="W338" s="178">
        <f>ROUND('[6]2037'!W48,2)</f>
        <v>41994.6</v>
      </c>
      <c r="X338" s="178">
        <f>ROUND('[6]2037'!X48,2)</f>
        <v>41683.72</v>
      </c>
      <c r="Y338" s="178">
        <f>ROUND('[6]2037'!Y48,2)</f>
        <v>40212.22</v>
      </c>
      <c r="Z338" s="178">
        <f>ROUND('[6]2037'!Z48,2)</f>
        <v>38361.9</v>
      </c>
      <c r="AA338" s="178">
        <f>ROUND('[6]2037'!AA48,2)</f>
        <v>36241.910000000003</v>
      </c>
      <c r="AB338" s="178">
        <f>ROUND('[6]2037'!AB48,2)</f>
        <v>33708.78</v>
      </c>
      <c r="AC338" s="210"/>
      <c r="AD338" s="18"/>
    </row>
    <row r="339" spans="2:30" ht="18.649999999999999" customHeight="1" x14ac:dyDescent="0.35">
      <c r="B339" s="208"/>
      <c r="C339" s="9" t="s">
        <v>31</v>
      </c>
      <c r="D339" s="10">
        <f>+'[6]2037'!D49</f>
        <v>4</v>
      </c>
      <c r="E339" s="177">
        <f>ROUND('[6]2037'!E49,2)</f>
        <v>31238.36</v>
      </c>
      <c r="F339" s="178">
        <f>ROUND('[6]2037'!F49,2)</f>
        <v>29646.42</v>
      </c>
      <c r="G339" s="178">
        <f>ROUND('[6]2037'!G49,2)</f>
        <v>28279.59</v>
      </c>
      <c r="H339" s="178">
        <f>ROUND('[6]2037'!H49,2)</f>
        <v>27374.81</v>
      </c>
      <c r="I339" s="178">
        <f>ROUND('[6]2037'!I49,2)</f>
        <v>26991.83</v>
      </c>
      <c r="J339" s="178">
        <f>ROUND('[6]2037'!J49,2)</f>
        <v>26259.35</v>
      </c>
      <c r="K339" s="178">
        <f>ROUND('[6]2037'!K49,2)</f>
        <v>25573</v>
      </c>
      <c r="L339" s="178">
        <f>ROUND('[6]2037'!L49,2)</f>
        <v>27180.95</v>
      </c>
      <c r="M339" s="178">
        <f>ROUND('[6]2037'!M49,2)</f>
        <v>28928.69</v>
      </c>
      <c r="N339" s="178">
        <f>ROUND('[6]2037'!N49,2)</f>
        <v>30623.99</v>
      </c>
      <c r="O339" s="178">
        <f>ROUND('[6]2037'!O49,2)</f>
        <v>31921.4</v>
      </c>
      <c r="P339" s="178">
        <f>ROUND('[6]2037'!P49,2)</f>
        <v>32773.65</v>
      </c>
      <c r="Q339" s="178">
        <f>ROUND('[6]2037'!Q49,2)</f>
        <v>33504.04</v>
      </c>
      <c r="R339" s="178">
        <f>ROUND('[6]2037'!R49,2)</f>
        <v>33606.86</v>
      </c>
      <c r="S339" s="178">
        <f>ROUND('[6]2037'!S49,2)</f>
        <v>33626.99</v>
      </c>
      <c r="T339" s="178">
        <f>ROUND('[6]2037'!T49,2)</f>
        <v>34045.339999999997</v>
      </c>
      <c r="U339" s="178">
        <f>ROUND('[6]2037'!U49,2)</f>
        <v>34009.26</v>
      </c>
      <c r="V339" s="178">
        <f>ROUND('[6]2037'!V49,2)</f>
        <v>35115.480000000003</v>
      </c>
      <c r="W339" s="178">
        <f>ROUND('[6]2037'!W49,2)</f>
        <v>39707.97</v>
      </c>
      <c r="X339" s="178">
        <f>ROUND('[6]2037'!X49,2)</f>
        <v>40368.519999999997</v>
      </c>
      <c r="Y339" s="178">
        <f>ROUND('[6]2037'!Y49,2)</f>
        <v>39847.08</v>
      </c>
      <c r="Z339" s="178">
        <f>ROUND('[6]2037'!Z49,2)</f>
        <v>38342.410000000003</v>
      </c>
      <c r="AA339" s="178">
        <f>ROUND('[6]2037'!AA49,2)</f>
        <v>35577.910000000003</v>
      </c>
      <c r="AB339" s="178">
        <f>ROUND('[6]2037'!AB49,2)</f>
        <v>32633.97</v>
      </c>
      <c r="AC339" s="210"/>
      <c r="AD339" s="18"/>
    </row>
    <row r="340" spans="2:30" ht="18.649999999999999" customHeight="1" thickBot="1" x14ac:dyDescent="0.4">
      <c r="B340" s="208"/>
      <c r="C340" s="15" t="s">
        <v>32</v>
      </c>
      <c r="D340" s="16">
        <f>+'[6]2037'!D50</f>
        <v>0</v>
      </c>
      <c r="E340" s="75">
        <f>ROUND('[6]2037'!E50,2)</f>
        <v>0</v>
      </c>
      <c r="F340" s="75">
        <f>ROUND('[6]2037'!F50,2)</f>
        <v>0</v>
      </c>
      <c r="G340" s="75">
        <f>ROUND('[6]2037'!G50,2)</f>
        <v>0</v>
      </c>
      <c r="H340" s="75">
        <f>ROUND('[6]2037'!H50,2)</f>
        <v>0</v>
      </c>
      <c r="I340" s="75">
        <f>ROUND('[6]2037'!I50,2)</f>
        <v>0</v>
      </c>
      <c r="J340" s="75">
        <f>ROUND('[6]2037'!J50,2)</f>
        <v>0</v>
      </c>
      <c r="K340" s="75">
        <f>ROUND('[6]2037'!K50,2)</f>
        <v>0</v>
      </c>
      <c r="L340" s="75">
        <f>ROUND('[6]2037'!L50,2)</f>
        <v>0</v>
      </c>
      <c r="M340" s="75">
        <f>ROUND('[6]2037'!M50,2)</f>
        <v>0</v>
      </c>
      <c r="N340" s="75">
        <f>ROUND('[6]2037'!N50,2)</f>
        <v>0</v>
      </c>
      <c r="O340" s="75">
        <f>ROUND('[6]2037'!O50,2)</f>
        <v>0</v>
      </c>
      <c r="P340" s="75">
        <f>ROUND('[6]2037'!P50,2)</f>
        <v>0</v>
      </c>
      <c r="Q340" s="75">
        <f>ROUND('[6]2037'!Q50,2)</f>
        <v>0</v>
      </c>
      <c r="R340" s="75">
        <f>ROUND('[6]2037'!R50,2)</f>
        <v>0</v>
      </c>
      <c r="S340" s="75">
        <f>ROUND('[6]2037'!S50,2)</f>
        <v>0</v>
      </c>
      <c r="T340" s="75">
        <f>ROUND('[6]2037'!T50,2)</f>
        <v>0</v>
      </c>
      <c r="U340" s="75">
        <f>ROUND('[6]2037'!U50,2)</f>
        <v>0</v>
      </c>
      <c r="V340" s="75">
        <f>ROUND('[6]2037'!V50,2)</f>
        <v>0</v>
      </c>
      <c r="W340" s="75">
        <f>ROUND('[6]2037'!W50,2)</f>
        <v>0</v>
      </c>
      <c r="X340" s="75">
        <f>ROUND('[6]2037'!X50,2)</f>
        <v>0</v>
      </c>
      <c r="Y340" s="75">
        <f>ROUND('[6]2037'!Y50,2)</f>
        <v>0</v>
      </c>
      <c r="Z340" s="75">
        <f>ROUND('[6]2037'!Z50,2)</f>
        <v>0</v>
      </c>
      <c r="AA340" s="75">
        <f>ROUND('[6]2037'!AA50,2)</f>
        <v>0</v>
      </c>
      <c r="AB340" s="75">
        <f>ROUND('[6]2037'!AB50,2)</f>
        <v>0</v>
      </c>
      <c r="AC340" s="210"/>
      <c r="AD340" s="18"/>
    </row>
    <row r="341" spans="2:30" ht="18.649999999999999" customHeight="1" x14ac:dyDescent="0.35">
      <c r="B341" s="211">
        <v>50314</v>
      </c>
      <c r="C341" s="6" t="s">
        <v>29</v>
      </c>
      <c r="D341" s="7">
        <f>+'[6]2037'!D51</f>
        <v>21</v>
      </c>
      <c r="E341" s="175">
        <f>ROUND('[6]2037'!E51,2)</f>
        <v>30331.89</v>
      </c>
      <c r="F341" s="176">
        <f>ROUND('[6]2037'!F51,2)</f>
        <v>28735.23</v>
      </c>
      <c r="G341" s="176">
        <f>ROUND('[6]2037'!G51,2)</f>
        <v>27594.37</v>
      </c>
      <c r="H341" s="176">
        <f>ROUND('[6]2037'!H51,2)</f>
        <v>26764.84</v>
      </c>
      <c r="I341" s="176">
        <f>ROUND('[6]2037'!I51,2)</f>
        <v>26851.439999999999</v>
      </c>
      <c r="J341" s="176">
        <f>ROUND('[6]2037'!J51,2)</f>
        <v>27653.4</v>
      </c>
      <c r="K341" s="176">
        <f>ROUND('[6]2037'!K51,2)</f>
        <v>28379.47</v>
      </c>
      <c r="L341" s="176">
        <f>ROUND('[6]2037'!L51,2)</f>
        <v>31610.3</v>
      </c>
      <c r="M341" s="176">
        <f>ROUND('[6]2037'!M51,2)</f>
        <v>35045.980000000003</v>
      </c>
      <c r="N341" s="176">
        <f>ROUND('[6]2037'!N51,2)</f>
        <v>36845.379999999997</v>
      </c>
      <c r="O341" s="176">
        <f>ROUND('[6]2037'!O51,2)</f>
        <v>38719.31</v>
      </c>
      <c r="P341" s="176">
        <f>ROUND('[6]2037'!P51,2)</f>
        <v>40203.1</v>
      </c>
      <c r="Q341" s="176">
        <f>ROUND('[6]2037'!Q51,2)</f>
        <v>38468.57</v>
      </c>
      <c r="R341" s="176">
        <f>ROUND('[6]2037'!R51,2)</f>
        <v>39496.93</v>
      </c>
      <c r="S341" s="176">
        <f>ROUND('[6]2037'!S51,2)</f>
        <v>41714.03</v>
      </c>
      <c r="T341" s="176">
        <f>ROUND('[6]2037'!T51,2)</f>
        <v>42215.14</v>
      </c>
      <c r="U341" s="176">
        <f>ROUND('[6]2037'!U51,2)</f>
        <v>41746.03</v>
      </c>
      <c r="V341" s="176">
        <f>ROUND('[6]2037'!V51,2)</f>
        <v>41760.769999999997</v>
      </c>
      <c r="W341" s="176">
        <f>ROUND('[6]2037'!W51,2)</f>
        <v>44352.08</v>
      </c>
      <c r="X341" s="176">
        <f>ROUND('[6]2037'!X51,2)</f>
        <v>43363.68</v>
      </c>
      <c r="Y341" s="176">
        <f>ROUND('[6]2037'!Y51,2)</f>
        <v>41753.19</v>
      </c>
      <c r="Z341" s="176">
        <f>ROUND('[6]2037'!Z51,2)</f>
        <v>39468.080000000002</v>
      </c>
      <c r="AA341" s="176">
        <f>ROUND('[6]2037'!AA51,2)</f>
        <v>36100.22</v>
      </c>
      <c r="AB341" s="176">
        <f>ROUND('[6]2037'!AB51,2)</f>
        <v>32847.699999999997</v>
      </c>
      <c r="AC341" s="209">
        <f>SUM(E341:AB341)*D341+SUM(E342:AB342)*D342+SUM(E343:AB343)*D343+SUM(E344:AB344)*D344</f>
        <v>26116912.580000002</v>
      </c>
      <c r="AD341" s="18"/>
    </row>
    <row r="342" spans="2:30" ht="18.649999999999999" customHeight="1" x14ac:dyDescent="0.35">
      <c r="B342" s="212" t="s">
        <v>34</v>
      </c>
      <c r="C342" s="9" t="s">
        <v>30</v>
      </c>
      <c r="D342" s="10">
        <f>+'[6]2037'!D52</f>
        <v>5</v>
      </c>
      <c r="E342" s="177">
        <f>ROUND('[6]2037'!E52,2)</f>
        <v>30885.19</v>
      </c>
      <c r="F342" s="178">
        <f>ROUND('[6]2037'!F52,2)</f>
        <v>29150.91</v>
      </c>
      <c r="G342" s="178">
        <f>ROUND('[6]2037'!G52,2)</f>
        <v>27776.080000000002</v>
      </c>
      <c r="H342" s="178">
        <f>ROUND('[6]2037'!H52,2)</f>
        <v>26920.21</v>
      </c>
      <c r="I342" s="178">
        <f>ROUND('[6]2037'!I52,2)</f>
        <v>26903.17</v>
      </c>
      <c r="J342" s="178">
        <f>ROUND('[6]2037'!J52,2)</f>
        <v>26788.92</v>
      </c>
      <c r="K342" s="178">
        <f>ROUND('[6]2037'!K52,2)</f>
        <v>27203.78</v>
      </c>
      <c r="L342" s="178">
        <f>ROUND('[6]2037'!L52,2)</f>
        <v>29898.880000000001</v>
      </c>
      <c r="M342" s="178">
        <f>ROUND('[6]2037'!M52,2)</f>
        <v>33255.65</v>
      </c>
      <c r="N342" s="178">
        <f>ROUND('[6]2037'!N52,2)</f>
        <v>35170.5</v>
      </c>
      <c r="O342" s="178">
        <f>ROUND('[6]2037'!O52,2)</f>
        <v>37144.129999999997</v>
      </c>
      <c r="P342" s="178">
        <f>ROUND('[6]2037'!P52,2)</f>
        <v>38126.050000000003</v>
      </c>
      <c r="Q342" s="178">
        <f>ROUND('[6]2037'!Q52,2)</f>
        <v>37410.36</v>
      </c>
      <c r="R342" s="178">
        <f>ROUND('[6]2037'!R52,2)</f>
        <v>36949.050000000003</v>
      </c>
      <c r="S342" s="178">
        <f>ROUND('[6]2037'!S52,2)</f>
        <v>37336.99</v>
      </c>
      <c r="T342" s="178">
        <f>ROUND('[6]2037'!T52,2)</f>
        <v>37728.89</v>
      </c>
      <c r="U342" s="178">
        <f>ROUND('[6]2037'!U52,2)</f>
        <v>37441.35</v>
      </c>
      <c r="V342" s="178">
        <f>ROUND('[6]2037'!V52,2)</f>
        <v>38809.230000000003</v>
      </c>
      <c r="W342" s="178">
        <f>ROUND('[6]2037'!W52,2)</f>
        <v>42476.39</v>
      </c>
      <c r="X342" s="178">
        <f>ROUND('[6]2037'!X52,2)</f>
        <v>41691.870000000003</v>
      </c>
      <c r="Y342" s="178">
        <f>ROUND('[6]2037'!Y52,2)</f>
        <v>40082.97</v>
      </c>
      <c r="Z342" s="178">
        <f>ROUND('[6]2037'!Z52,2)</f>
        <v>38059.53</v>
      </c>
      <c r="AA342" s="178">
        <f>ROUND('[6]2037'!AA52,2)</f>
        <v>35635.25</v>
      </c>
      <c r="AB342" s="178">
        <f>ROUND('[6]2037'!AB52,2)</f>
        <v>33075.160000000003</v>
      </c>
      <c r="AC342" s="210"/>
      <c r="AD342" s="18"/>
    </row>
    <row r="343" spans="2:30" ht="18.649999999999999" customHeight="1" x14ac:dyDescent="0.35">
      <c r="B343" s="212" t="s">
        <v>34</v>
      </c>
      <c r="C343" s="9" t="s">
        <v>31</v>
      </c>
      <c r="D343" s="10">
        <f>+'[6]2037'!D53</f>
        <v>4</v>
      </c>
      <c r="E343" s="177">
        <f>ROUND('[6]2037'!E53,2)</f>
        <v>30725.33</v>
      </c>
      <c r="F343" s="178">
        <f>ROUND('[6]2037'!F53,2)</f>
        <v>29113.24</v>
      </c>
      <c r="G343" s="178">
        <f>ROUND('[6]2037'!G53,2)</f>
        <v>27833.03</v>
      </c>
      <c r="H343" s="178">
        <f>ROUND('[6]2037'!H53,2)</f>
        <v>27040.79</v>
      </c>
      <c r="I343" s="178">
        <f>ROUND('[6]2037'!I53,2)</f>
        <v>26684.93</v>
      </c>
      <c r="J343" s="178">
        <f>ROUND('[6]2037'!J53,2)</f>
        <v>26112.79</v>
      </c>
      <c r="K343" s="178">
        <f>ROUND('[6]2037'!K53,2)</f>
        <v>25415.040000000001</v>
      </c>
      <c r="L343" s="178">
        <f>ROUND('[6]2037'!L53,2)</f>
        <v>26922.45</v>
      </c>
      <c r="M343" s="178">
        <f>ROUND('[6]2037'!M53,2)</f>
        <v>28880.2</v>
      </c>
      <c r="N343" s="178">
        <f>ROUND('[6]2037'!N53,2)</f>
        <v>30444.75</v>
      </c>
      <c r="O343" s="178">
        <f>ROUND('[6]2037'!O53,2)</f>
        <v>31945</v>
      </c>
      <c r="P343" s="178">
        <f>ROUND('[6]2037'!P53,2)</f>
        <v>33144.660000000003</v>
      </c>
      <c r="Q343" s="178">
        <f>ROUND('[6]2037'!Q53,2)</f>
        <v>33742.92</v>
      </c>
      <c r="R343" s="178">
        <f>ROUND('[6]2037'!R53,2)</f>
        <v>33807.07</v>
      </c>
      <c r="S343" s="178">
        <f>ROUND('[6]2037'!S53,2)</f>
        <v>34016.959999999999</v>
      </c>
      <c r="T343" s="178">
        <f>ROUND('[6]2037'!T53,2)</f>
        <v>33979.53</v>
      </c>
      <c r="U343" s="178">
        <f>ROUND('[6]2037'!U53,2)</f>
        <v>34233.129999999997</v>
      </c>
      <c r="V343" s="178">
        <f>ROUND('[6]2037'!V53,2)</f>
        <v>35910.49</v>
      </c>
      <c r="W343" s="178">
        <f>ROUND('[6]2037'!W53,2)</f>
        <v>40268.120000000003</v>
      </c>
      <c r="X343" s="178">
        <f>ROUND('[6]2037'!X53,2)</f>
        <v>40534.410000000003</v>
      </c>
      <c r="Y343" s="178">
        <f>ROUND('[6]2037'!Y53,2)</f>
        <v>39904.43</v>
      </c>
      <c r="Z343" s="178">
        <f>ROUND('[6]2037'!Z53,2)</f>
        <v>38321.65</v>
      </c>
      <c r="AA343" s="178">
        <f>ROUND('[6]2037'!AA53,2)</f>
        <v>35448.629999999997</v>
      </c>
      <c r="AB343" s="178">
        <f>ROUND('[6]2037'!AB53,2)</f>
        <v>32543.71</v>
      </c>
      <c r="AC343" s="210"/>
      <c r="AD343" s="18"/>
    </row>
    <row r="344" spans="2:30" ht="18.649999999999999" customHeight="1" thickBot="1" x14ac:dyDescent="0.4">
      <c r="B344" s="213" t="s">
        <v>34</v>
      </c>
      <c r="C344" s="11" t="s">
        <v>32</v>
      </c>
      <c r="D344" s="12">
        <f>+'[6]2037'!D54</f>
        <v>1</v>
      </c>
      <c r="E344" s="183">
        <f>ROUND('[6]2037'!E54,2)</f>
        <v>30725.33</v>
      </c>
      <c r="F344" s="184">
        <f>ROUND('[6]2037'!F54,2)</f>
        <v>29113.24</v>
      </c>
      <c r="G344" s="184">
        <f>ROUND('[6]2037'!G54,2)</f>
        <v>27833.03</v>
      </c>
      <c r="H344" s="184">
        <f>ROUND('[6]2037'!H54,2)</f>
        <v>27040.79</v>
      </c>
      <c r="I344" s="184">
        <f>ROUND('[6]2037'!I54,2)</f>
        <v>26684.93</v>
      </c>
      <c r="J344" s="184">
        <f>ROUND('[6]2037'!J54,2)</f>
        <v>26112.79</v>
      </c>
      <c r="K344" s="184">
        <f>ROUND('[6]2037'!K54,2)</f>
        <v>25415.040000000001</v>
      </c>
      <c r="L344" s="184">
        <f>ROUND('[6]2037'!L54,2)</f>
        <v>26922.45</v>
      </c>
      <c r="M344" s="184">
        <f>ROUND('[6]2037'!M54,2)</f>
        <v>28880.2</v>
      </c>
      <c r="N344" s="184">
        <f>ROUND('[6]2037'!N54,2)</f>
        <v>30444.75</v>
      </c>
      <c r="O344" s="184">
        <f>ROUND('[6]2037'!O54,2)</f>
        <v>31945</v>
      </c>
      <c r="P344" s="184">
        <f>ROUND('[6]2037'!P54,2)</f>
        <v>33144.660000000003</v>
      </c>
      <c r="Q344" s="184">
        <f>ROUND('[6]2037'!Q54,2)</f>
        <v>33742.92</v>
      </c>
      <c r="R344" s="184">
        <f>ROUND('[6]2037'!R54,2)</f>
        <v>33807.07</v>
      </c>
      <c r="S344" s="184">
        <f>ROUND('[6]2037'!S54,2)</f>
        <v>34016.959999999999</v>
      </c>
      <c r="T344" s="184">
        <f>ROUND('[6]2037'!T54,2)</f>
        <v>33979.53</v>
      </c>
      <c r="U344" s="184">
        <f>ROUND('[6]2037'!U54,2)</f>
        <v>34233.129999999997</v>
      </c>
      <c r="V344" s="184">
        <f>ROUND('[6]2037'!V54,2)</f>
        <v>35910.49</v>
      </c>
      <c r="W344" s="184">
        <f>ROUND('[6]2037'!W54,2)</f>
        <v>40268.120000000003</v>
      </c>
      <c r="X344" s="184">
        <f>ROUND('[6]2037'!X54,2)</f>
        <v>40534.410000000003</v>
      </c>
      <c r="Y344" s="184">
        <f>ROUND('[6]2037'!Y54,2)</f>
        <v>39904.43</v>
      </c>
      <c r="Z344" s="184">
        <f>ROUND('[6]2037'!Z54,2)</f>
        <v>38321.65</v>
      </c>
      <c r="AA344" s="184">
        <f>ROUND('[6]2037'!AA54,2)</f>
        <v>35448.629999999997</v>
      </c>
      <c r="AB344" s="184">
        <f>ROUND('[6]2037'!AB54,2)</f>
        <v>32543.71</v>
      </c>
      <c r="AC344" s="214"/>
      <c r="AD344" s="18"/>
    </row>
    <row r="345" spans="2:30" ht="18.649999999999999" customHeight="1" x14ac:dyDescent="0.35">
      <c r="B345" s="207">
        <v>50345</v>
      </c>
      <c r="C345" s="13" t="s">
        <v>29</v>
      </c>
      <c r="D345" s="14">
        <f>+'[6]2037'!D55</f>
        <v>19</v>
      </c>
      <c r="E345" s="181">
        <f>ROUND('[6]2037'!E55,2)</f>
        <v>30063.95</v>
      </c>
      <c r="F345" s="182">
        <f>ROUND('[6]2037'!F55,2)</f>
        <v>28519.14</v>
      </c>
      <c r="G345" s="182">
        <f>ROUND('[6]2037'!G55,2)</f>
        <v>27394.23</v>
      </c>
      <c r="H345" s="182">
        <f>ROUND('[6]2037'!H55,2)</f>
        <v>26632.25</v>
      </c>
      <c r="I345" s="182">
        <f>ROUND('[6]2037'!I55,2)</f>
        <v>26707.39</v>
      </c>
      <c r="J345" s="182">
        <f>ROUND('[6]2037'!J55,2)</f>
        <v>27500.42</v>
      </c>
      <c r="K345" s="182">
        <f>ROUND('[6]2037'!K55,2)</f>
        <v>28224.560000000001</v>
      </c>
      <c r="L345" s="182">
        <f>ROUND('[6]2037'!L55,2)</f>
        <v>31581.81</v>
      </c>
      <c r="M345" s="182">
        <f>ROUND('[6]2037'!M55,2)</f>
        <v>35037.1</v>
      </c>
      <c r="N345" s="182">
        <f>ROUND('[6]2037'!N55,2)</f>
        <v>36751.14</v>
      </c>
      <c r="O345" s="182">
        <f>ROUND('[6]2037'!O55,2)</f>
        <v>38539.97</v>
      </c>
      <c r="P345" s="182">
        <f>ROUND('[6]2037'!P55,2)</f>
        <v>39800.76</v>
      </c>
      <c r="Q345" s="182">
        <f>ROUND('[6]2037'!Q55,2)</f>
        <v>38168.730000000003</v>
      </c>
      <c r="R345" s="182">
        <f>ROUND('[6]2037'!R55,2)</f>
        <v>39027.89</v>
      </c>
      <c r="S345" s="182">
        <f>ROUND('[6]2037'!S55,2)</f>
        <v>40974.44</v>
      </c>
      <c r="T345" s="182">
        <f>ROUND('[6]2037'!T55,2)</f>
        <v>41475.31</v>
      </c>
      <c r="U345" s="182">
        <f>ROUND('[6]2037'!U55,2)</f>
        <v>41070.32</v>
      </c>
      <c r="V345" s="182">
        <f>ROUND('[6]2037'!V55,2)</f>
        <v>41606.870000000003</v>
      </c>
      <c r="W345" s="182">
        <f>ROUND('[6]2037'!W55,2)</f>
        <v>43643.74</v>
      </c>
      <c r="X345" s="182">
        <f>ROUND('[6]2037'!X55,2)</f>
        <v>42632.92</v>
      </c>
      <c r="Y345" s="182">
        <f>ROUND('[6]2037'!Y55,2)</f>
        <v>41121.64</v>
      </c>
      <c r="Z345" s="182">
        <f>ROUND('[6]2037'!Z55,2)</f>
        <v>38931.9</v>
      </c>
      <c r="AA345" s="182">
        <f>ROUND('[6]2037'!AA55,2)</f>
        <v>35728.65</v>
      </c>
      <c r="AB345" s="182">
        <f>ROUND('[6]2037'!AB55,2)</f>
        <v>32566.65</v>
      </c>
      <c r="AC345" s="210">
        <f>SUM(E345:AB345)*D345+SUM(E346:AB346)*D346+SUM(E347:AB347)*D347+SUM(E348:AB348)*D348</f>
        <v>24796738.140000001</v>
      </c>
      <c r="AD345" s="18"/>
    </row>
    <row r="346" spans="2:30" ht="18.649999999999999" customHeight="1" x14ac:dyDescent="0.35">
      <c r="B346" s="208"/>
      <c r="C346" s="9" t="s">
        <v>30</v>
      </c>
      <c r="D346" s="10">
        <f>+'[6]2037'!D56</f>
        <v>4</v>
      </c>
      <c r="E346" s="177">
        <f>ROUND('[6]2037'!E56,2)</f>
        <v>29346.77</v>
      </c>
      <c r="F346" s="178">
        <f>ROUND('[6]2037'!F56,2)</f>
        <v>27909.94</v>
      </c>
      <c r="G346" s="178">
        <f>ROUND('[6]2037'!G56,2)</f>
        <v>26901.59</v>
      </c>
      <c r="H346" s="178">
        <f>ROUND('[6]2037'!H56,2)</f>
        <v>26242.17</v>
      </c>
      <c r="I346" s="178">
        <f>ROUND('[6]2037'!I56,2)</f>
        <v>26226.45</v>
      </c>
      <c r="J346" s="178">
        <f>ROUND('[6]2037'!J56,2)</f>
        <v>26161.72</v>
      </c>
      <c r="K346" s="178">
        <f>ROUND('[6]2037'!K56,2)</f>
        <v>26552.49</v>
      </c>
      <c r="L346" s="178">
        <f>ROUND('[6]2037'!L56,2)</f>
        <v>29611.81</v>
      </c>
      <c r="M346" s="178">
        <f>ROUND('[6]2037'!M56,2)</f>
        <v>33052.410000000003</v>
      </c>
      <c r="N346" s="178">
        <f>ROUND('[6]2037'!N56,2)</f>
        <v>34956.46</v>
      </c>
      <c r="O346" s="178">
        <f>ROUND('[6]2037'!O56,2)</f>
        <v>36939.39</v>
      </c>
      <c r="P346" s="178">
        <f>ROUND('[6]2037'!P56,2)</f>
        <v>37774.86</v>
      </c>
      <c r="Q346" s="178">
        <f>ROUND('[6]2037'!Q56,2)</f>
        <v>37095.24</v>
      </c>
      <c r="R346" s="178">
        <f>ROUND('[6]2037'!R56,2)</f>
        <v>36326.11</v>
      </c>
      <c r="S346" s="178">
        <f>ROUND('[6]2037'!S56,2)</f>
        <v>36082.46</v>
      </c>
      <c r="T346" s="178">
        <f>ROUND('[6]2037'!T56,2)</f>
        <v>36372.230000000003</v>
      </c>
      <c r="U346" s="178">
        <f>ROUND('[6]2037'!U56,2)</f>
        <v>36191.93</v>
      </c>
      <c r="V346" s="178">
        <f>ROUND('[6]2037'!V56,2)</f>
        <v>38205.69</v>
      </c>
      <c r="W346" s="178">
        <f>ROUND('[6]2037'!W56,2)</f>
        <v>41356.379999999997</v>
      </c>
      <c r="X346" s="178">
        <f>ROUND('[6]2037'!X56,2)</f>
        <v>40657.49</v>
      </c>
      <c r="Y346" s="178">
        <f>ROUND('[6]2037'!Y56,2)</f>
        <v>39195.800000000003</v>
      </c>
      <c r="Z346" s="178">
        <f>ROUND('[6]2037'!Z56,2)</f>
        <v>37382.370000000003</v>
      </c>
      <c r="AA346" s="178">
        <f>ROUND('[6]2037'!AA56,2)</f>
        <v>35091.11</v>
      </c>
      <c r="AB346" s="178">
        <f>ROUND('[6]2037'!AB56,2)</f>
        <v>32513.24</v>
      </c>
      <c r="AC346" s="210"/>
      <c r="AD346" s="18"/>
    </row>
    <row r="347" spans="2:30" ht="18.649999999999999" customHeight="1" x14ac:dyDescent="0.35">
      <c r="B347" s="208"/>
      <c r="C347" s="9" t="s">
        <v>31</v>
      </c>
      <c r="D347" s="10">
        <f>+'[6]2037'!D57</f>
        <v>5</v>
      </c>
      <c r="E347" s="177">
        <f>ROUND('[6]2037'!E57,2)</f>
        <v>30416.400000000001</v>
      </c>
      <c r="F347" s="178">
        <f>ROUND('[6]2037'!F57,2)</f>
        <v>28973.39</v>
      </c>
      <c r="G347" s="178">
        <f>ROUND('[6]2037'!G57,2)</f>
        <v>27723.86</v>
      </c>
      <c r="H347" s="178">
        <f>ROUND('[6]2037'!H57,2)</f>
        <v>26881.71</v>
      </c>
      <c r="I347" s="178">
        <f>ROUND('[6]2037'!I57,2)</f>
        <v>26540.35</v>
      </c>
      <c r="J347" s="178">
        <f>ROUND('[6]2037'!J57,2)</f>
        <v>26093.17</v>
      </c>
      <c r="K347" s="178">
        <f>ROUND('[6]2037'!K57,2)</f>
        <v>25449.200000000001</v>
      </c>
      <c r="L347" s="178">
        <f>ROUND('[6]2037'!L57,2)</f>
        <v>26849.9</v>
      </c>
      <c r="M347" s="178">
        <f>ROUND('[6]2037'!M57,2)</f>
        <v>28770.2</v>
      </c>
      <c r="N347" s="178">
        <f>ROUND('[6]2037'!N57,2)</f>
        <v>30348.33</v>
      </c>
      <c r="O347" s="178">
        <f>ROUND('[6]2037'!O57,2)</f>
        <v>31866.75</v>
      </c>
      <c r="P347" s="178">
        <f>ROUND('[6]2037'!P57,2)</f>
        <v>32668.85</v>
      </c>
      <c r="Q347" s="178">
        <f>ROUND('[6]2037'!Q57,2)</f>
        <v>33264</v>
      </c>
      <c r="R347" s="178">
        <f>ROUND('[6]2037'!R57,2)</f>
        <v>33232.639999999999</v>
      </c>
      <c r="S347" s="178">
        <f>ROUND('[6]2037'!S57,2)</f>
        <v>33137.14</v>
      </c>
      <c r="T347" s="178">
        <f>ROUND('[6]2037'!T57,2)</f>
        <v>33288.199999999997</v>
      </c>
      <c r="U347" s="178">
        <f>ROUND('[6]2037'!U57,2)</f>
        <v>33326.89</v>
      </c>
      <c r="V347" s="178">
        <f>ROUND('[6]2037'!V57,2)</f>
        <v>35581.089999999997</v>
      </c>
      <c r="W347" s="178">
        <f>ROUND('[6]2037'!W57,2)</f>
        <v>38972.559999999998</v>
      </c>
      <c r="X347" s="178">
        <f>ROUND('[6]2037'!X57,2)</f>
        <v>39029.58</v>
      </c>
      <c r="Y347" s="178">
        <f>ROUND('[6]2037'!Y57,2)</f>
        <v>38168.93</v>
      </c>
      <c r="Z347" s="178">
        <f>ROUND('[6]2037'!Z57,2)</f>
        <v>36668.6</v>
      </c>
      <c r="AA347" s="178">
        <f>ROUND('[6]2037'!AA57,2)</f>
        <v>34318.46</v>
      </c>
      <c r="AB347" s="178">
        <f>ROUND('[6]2037'!AB57,2)</f>
        <v>31832.639999999999</v>
      </c>
      <c r="AC347" s="210"/>
      <c r="AD347" s="18"/>
    </row>
    <row r="348" spans="2:30" ht="18.649999999999999" customHeight="1" thickBot="1" x14ac:dyDescent="0.4">
      <c r="B348" s="208"/>
      <c r="C348" s="15" t="s">
        <v>32</v>
      </c>
      <c r="D348" s="16">
        <f>+'[6]2037'!D58</f>
        <v>2</v>
      </c>
      <c r="E348" s="179">
        <f>ROUND('[6]2037'!E58,2)</f>
        <v>30416.400000000001</v>
      </c>
      <c r="F348" s="180">
        <f>ROUND('[6]2037'!F58,2)</f>
        <v>28973.39</v>
      </c>
      <c r="G348" s="180">
        <f>ROUND('[6]2037'!G58,2)</f>
        <v>27723.86</v>
      </c>
      <c r="H348" s="180">
        <f>ROUND('[6]2037'!H58,2)</f>
        <v>26881.71</v>
      </c>
      <c r="I348" s="180">
        <f>ROUND('[6]2037'!I58,2)</f>
        <v>26540.35</v>
      </c>
      <c r="J348" s="180">
        <f>ROUND('[6]2037'!J58,2)</f>
        <v>26093.17</v>
      </c>
      <c r="K348" s="180">
        <f>ROUND('[6]2037'!K58,2)</f>
        <v>25449.200000000001</v>
      </c>
      <c r="L348" s="180">
        <f>ROUND('[6]2037'!L58,2)</f>
        <v>26849.9</v>
      </c>
      <c r="M348" s="180">
        <f>ROUND('[6]2037'!M58,2)</f>
        <v>28770.2</v>
      </c>
      <c r="N348" s="180">
        <f>ROUND('[6]2037'!N58,2)</f>
        <v>30348.33</v>
      </c>
      <c r="O348" s="180">
        <f>ROUND('[6]2037'!O58,2)</f>
        <v>31866.75</v>
      </c>
      <c r="P348" s="180">
        <f>ROUND('[6]2037'!P58,2)</f>
        <v>32668.85</v>
      </c>
      <c r="Q348" s="180">
        <f>ROUND('[6]2037'!Q58,2)</f>
        <v>33264</v>
      </c>
      <c r="R348" s="180">
        <f>ROUND('[6]2037'!R58,2)</f>
        <v>33232.639999999999</v>
      </c>
      <c r="S348" s="180">
        <f>ROUND('[6]2037'!S58,2)</f>
        <v>33137.14</v>
      </c>
      <c r="T348" s="180">
        <f>ROUND('[6]2037'!T58,2)</f>
        <v>33288.199999999997</v>
      </c>
      <c r="U348" s="180">
        <f>ROUND('[6]2037'!U58,2)</f>
        <v>33326.89</v>
      </c>
      <c r="V348" s="180">
        <f>ROUND('[6]2037'!V58,2)</f>
        <v>35581.089999999997</v>
      </c>
      <c r="W348" s="180">
        <f>ROUND('[6]2037'!W58,2)</f>
        <v>38972.559999999998</v>
      </c>
      <c r="X348" s="180">
        <f>ROUND('[6]2037'!X58,2)</f>
        <v>39029.58</v>
      </c>
      <c r="Y348" s="180">
        <f>ROUND('[6]2037'!Y58,2)</f>
        <v>38168.93</v>
      </c>
      <c r="Z348" s="180">
        <f>ROUND('[6]2037'!Z58,2)</f>
        <v>36668.6</v>
      </c>
      <c r="AA348" s="180">
        <f>ROUND('[6]2037'!AA58,2)</f>
        <v>34318.46</v>
      </c>
      <c r="AB348" s="180">
        <f>ROUND('[6]2037'!AB58,2)</f>
        <v>31832.639999999999</v>
      </c>
      <c r="AC348" s="210"/>
      <c r="AD348" s="18"/>
    </row>
    <row r="349" spans="2:30" ht="18.649999999999999" customHeight="1" x14ac:dyDescent="0.35">
      <c r="B349" s="211">
        <v>50375</v>
      </c>
      <c r="C349" s="6" t="s">
        <v>29</v>
      </c>
      <c r="D349" s="7">
        <f>+'[6]2037'!D59</f>
        <v>21</v>
      </c>
      <c r="E349" s="175">
        <f>ROUND('[6]2037'!E59,2)</f>
        <v>32069.99</v>
      </c>
      <c r="F349" s="176">
        <f>ROUND('[6]2037'!F59,2)</f>
        <v>30306.17</v>
      </c>
      <c r="G349" s="176">
        <f>ROUND('[6]2037'!G59,2)</f>
        <v>29046.48</v>
      </c>
      <c r="H349" s="176">
        <f>ROUND('[6]2037'!H59,2)</f>
        <v>28265.9</v>
      </c>
      <c r="I349" s="176">
        <f>ROUND('[6]2037'!I59,2)</f>
        <v>28165.51</v>
      </c>
      <c r="J349" s="176">
        <f>ROUND('[6]2037'!J59,2)</f>
        <v>28668.65</v>
      </c>
      <c r="K349" s="176">
        <f>ROUND('[6]2037'!K59,2)</f>
        <v>28869.15</v>
      </c>
      <c r="L349" s="176">
        <f>ROUND('[6]2037'!L59,2)</f>
        <v>32348.76</v>
      </c>
      <c r="M349" s="176">
        <f>ROUND('[6]2037'!M59,2)</f>
        <v>35882.65</v>
      </c>
      <c r="N349" s="176">
        <f>ROUND('[6]2037'!N59,2)</f>
        <v>37906.15</v>
      </c>
      <c r="O349" s="176">
        <f>ROUND('[6]2037'!O59,2)</f>
        <v>39687.129999999997</v>
      </c>
      <c r="P349" s="176">
        <f>ROUND('[6]2037'!P59,2)</f>
        <v>40975.82</v>
      </c>
      <c r="Q349" s="176">
        <f>ROUND('[6]2037'!Q59,2)</f>
        <v>39847.589999999997</v>
      </c>
      <c r="R349" s="176">
        <f>ROUND('[6]2037'!R59,2)</f>
        <v>40358.22</v>
      </c>
      <c r="S349" s="176">
        <f>ROUND('[6]2037'!S59,2)</f>
        <v>42064.63</v>
      </c>
      <c r="T349" s="176">
        <f>ROUND('[6]2037'!T59,2)</f>
        <v>42589.71</v>
      </c>
      <c r="U349" s="176">
        <f>ROUND('[6]2037'!U59,2)</f>
        <v>42238.43</v>
      </c>
      <c r="V349" s="176">
        <f>ROUND('[6]2037'!V59,2)</f>
        <v>42281.32</v>
      </c>
      <c r="W349" s="176">
        <f>ROUND('[6]2037'!W59,2)</f>
        <v>45539.58</v>
      </c>
      <c r="X349" s="176">
        <f>ROUND('[6]2037'!X59,2)</f>
        <v>44663.35</v>
      </c>
      <c r="Y349" s="176">
        <f>ROUND('[6]2037'!Y59,2)</f>
        <v>43028.59</v>
      </c>
      <c r="Z349" s="176">
        <f>ROUND('[6]2037'!Z59,2)</f>
        <v>40698.07</v>
      </c>
      <c r="AA349" s="176">
        <f>ROUND('[6]2037'!AA59,2)</f>
        <v>37707.29</v>
      </c>
      <c r="AB349" s="176">
        <f>ROUND('[6]2037'!AB59,2)+0.1</f>
        <v>34797.199999999997</v>
      </c>
      <c r="AC349" s="209">
        <f>SUM(E349:AB349)*D349+SUM(E350:AB350)*D350+SUM(E351:AB351)*D351+SUM(E352:AB352)*D352</f>
        <v>26963679.699999996</v>
      </c>
      <c r="AD349" s="18"/>
    </row>
    <row r="350" spans="2:30" ht="18.649999999999999" customHeight="1" x14ac:dyDescent="0.35">
      <c r="B350" s="212" t="s">
        <v>34</v>
      </c>
      <c r="C350" s="9" t="s">
        <v>30</v>
      </c>
      <c r="D350" s="10">
        <f>+'[6]2037'!D60</f>
        <v>4</v>
      </c>
      <c r="E350" s="177">
        <f>ROUND('[6]2037'!E60,2)</f>
        <v>32589.33</v>
      </c>
      <c r="F350" s="178">
        <f>ROUND('[6]2037'!F60,2)</f>
        <v>30744.32</v>
      </c>
      <c r="G350" s="178">
        <f>ROUND('[6]2037'!G60,2)</f>
        <v>29528.91</v>
      </c>
      <c r="H350" s="178">
        <f>ROUND('[6]2037'!H60,2)</f>
        <v>28637.79</v>
      </c>
      <c r="I350" s="178">
        <f>ROUND('[6]2037'!I60,2)</f>
        <v>28391.47</v>
      </c>
      <c r="J350" s="178">
        <f>ROUND('[6]2037'!J60,2)</f>
        <v>28440.99</v>
      </c>
      <c r="K350" s="178">
        <f>ROUND('[6]2037'!K60,2)</f>
        <v>28158.49</v>
      </c>
      <c r="L350" s="178">
        <f>ROUND('[6]2037'!L60,2)</f>
        <v>30743.96</v>
      </c>
      <c r="M350" s="178">
        <f>ROUND('[6]2037'!M60,2)</f>
        <v>34486.25</v>
      </c>
      <c r="N350" s="178">
        <f>ROUND('[6]2037'!N60,2)</f>
        <v>36680.89</v>
      </c>
      <c r="O350" s="178">
        <f>ROUND('[6]2037'!O60,2)</f>
        <v>38529.25</v>
      </c>
      <c r="P350" s="178">
        <f>ROUND('[6]2037'!P60,2)</f>
        <v>39657.379999999997</v>
      </c>
      <c r="Q350" s="178">
        <f>ROUND('[6]2037'!Q60,2)</f>
        <v>39015.08</v>
      </c>
      <c r="R350" s="178">
        <f>ROUND('[6]2037'!R60,2)</f>
        <v>38732.959999999999</v>
      </c>
      <c r="S350" s="178">
        <f>ROUND('[6]2037'!S60,2)</f>
        <v>38570.589999999997</v>
      </c>
      <c r="T350" s="178">
        <f>ROUND('[6]2037'!T60,2)</f>
        <v>38984.71</v>
      </c>
      <c r="U350" s="178">
        <f>ROUND('[6]2037'!U60,2)</f>
        <v>38863.61</v>
      </c>
      <c r="V350" s="178">
        <f>ROUND('[6]2037'!V60,2)</f>
        <v>39722.94</v>
      </c>
      <c r="W350" s="178">
        <f>ROUND('[6]2037'!W60,2)</f>
        <v>44123.15</v>
      </c>
      <c r="X350" s="178">
        <f>ROUND('[6]2037'!X60,2)</f>
        <v>43497.27</v>
      </c>
      <c r="Y350" s="178">
        <f>ROUND('[6]2037'!Y60,2)</f>
        <v>41859.620000000003</v>
      </c>
      <c r="Z350" s="178">
        <f>ROUND('[6]2037'!Z60,2)</f>
        <v>40072.959999999999</v>
      </c>
      <c r="AA350" s="178">
        <f>ROUND('[6]2037'!AA60,2)</f>
        <v>37595.769999999997</v>
      </c>
      <c r="AB350" s="178">
        <f>ROUND('[6]2037'!AB60,2)</f>
        <v>35043.74</v>
      </c>
      <c r="AC350" s="210"/>
      <c r="AD350" s="18"/>
    </row>
    <row r="351" spans="2:30" ht="18.649999999999999" customHeight="1" x14ac:dyDescent="0.35">
      <c r="B351" s="212" t="s">
        <v>34</v>
      </c>
      <c r="C351" s="9" t="s">
        <v>31</v>
      </c>
      <c r="D351" s="10">
        <f>+'[6]2037'!D61</f>
        <v>4</v>
      </c>
      <c r="E351" s="177">
        <f>ROUND('[6]2037'!E61,2)</f>
        <v>32795.06</v>
      </c>
      <c r="F351" s="178">
        <f>ROUND('[6]2037'!F61,2)</f>
        <v>31183.18</v>
      </c>
      <c r="G351" s="178">
        <f>ROUND('[6]2037'!G61,2)</f>
        <v>29884.959999999999</v>
      </c>
      <c r="H351" s="178">
        <f>ROUND('[6]2037'!H61,2)</f>
        <v>28970.71</v>
      </c>
      <c r="I351" s="178">
        <f>ROUND('[6]2037'!I61,2)</f>
        <v>28558.27</v>
      </c>
      <c r="J351" s="178">
        <f>ROUND('[6]2037'!J61,2)</f>
        <v>28270.080000000002</v>
      </c>
      <c r="K351" s="178">
        <f>ROUND('[6]2037'!K61,2)</f>
        <v>27010.49</v>
      </c>
      <c r="L351" s="178">
        <f>ROUND('[6]2037'!L61,2)</f>
        <v>28372.98</v>
      </c>
      <c r="M351" s="178">
        <f>ROUND('[6]2037'!M61,2)</f>
        <v>30538.76</v>
      </c>
      <c r="N351" s="178">
        <f>ROUND('[6]2037'!N61,2)</f>
        <v>32398.06</v>
      </c>
      <c r="O351" s="178">
        <f>ROUND('[6]2037'!O61,2)</f>
        <v>33621.18</v>
      </c>
      <c r="P351" s="178">
        <f>ROUND('[6]2037'!P61,2)</f>
        <v>34622.76</v>
      </c>
      <c r="Q351" s="178">
        <f>ROUND('[6]2037'!Q61,2)</f>
        <v>35218.379999999997</v>
      </c>
      <c r="R351" s="178">
        <f>ROUND('[6]2037'!R61,2)</f>
        <v>35550.050000000003</v>
      </c>
      <c r="S351" s="178">
        <f>ROUND('[6]2037'!S61,2)</f>
        <v>34545.26</v>
      </c>
      <c r="T351" s="178">
        <f>ROUND('[6]2037'!T61,2)</f>
        <v>35490.06</v>
      </c>
      <c r="U351" s="178">
        <f>ROUND('[6]2037'!U61,2)</f>
        <v>35701.03</v>
      </c>
      <c r="V351" s="178">
        <f>ROUND('[6]2037'!V61,2)</f>
        <v>36893</v>
      </c>
      <c r="W351" s="178">
        <f>ROUND('[6]2037'!W61,2)</f>
        <v>41368.01</v>
      </c>
      <c r="X351" s="178">
        <f>ROUND('[6]2037'!X61,2)</f>
        <v>41038.879999999997</v>
      </c>
      <c r="Y351" s="178">
        <f>ROUND('[6]2037'!Y61,2)</f>
        <v>39967.879999999997</v>
      </c>
      <c r="Z351" s="178">
        <f>ROUND('[6]2037'!Z61,2)</f>
        <v>38500.550000000003</v>
      </c>
      <c r="AA351" s="178">
        <f>ROUND('[6]2037'!AA61,2)</f>
        <v>36280.81</v>
      </c>
      <c r="AB351" s="178">
        <f>ROUND('[6]2037'!AB61,2)</f>
        <v>34029.74</v>
      </c>
      <c r="AC351" s="210"/>
      <c r="AD351" s="18"/>
    </row>
    <row r="352" spans="2:30" ht="18.649999999999999" customHeight="1" thickBot="1" x14ac:dyDescent="0.4">
      <c r="B352" s="213" t="s">
        <v>34</v>
      </c>
      <c r="C352" s="11" t="s">
        <v>32</v>
      </c>
      <c r="D352" s="12">
        <f>+'[6]2037'!D62</f>
        <v>2</v>
      </c>
      <c r="E352" s="183">
        <f>ROUND('[6]2037'!E62,2)</f>
        <v>32795.06</v>
      </c>
      <c r="F352" s="184">
        <f>ROUND('[6]2037'!F62,2)</f>
        <v>31183.18</v>
      </c>
      <c r="G352" s="184">
        <f>ROUND('[6]2037'!G62,2)</f>
        <v>29884.959999999999</v>
      </c>
      <c r="H352" s="184">
        <f>ROUND('[6]2037'!H62,2)</f>
        <v>28970.71</v>
      </c>
      <c r="I352" s="184">
        <f>ROUND('[6]2037'!I62,2)</f>
        <v>28558.27</v>
      </c>
      <c r="J352" s="184">
        <f>ROUND('[6]2037'!J62,2)</f>
        <v>28270.080000000002</v>
      </c>
      <c r="K352" s="184">
        <f>ROUND('[6]2037'!K62,2)</f>
        <v>27010.49</v>
      </c>
      <c r="L352" s="184">
        <f>ROUND('[6]2037'!L62,2)</f>
        <v>28372.98</v>
      </c>
      <c r="M352" s="184">
        <f>ROUND('[6]2037'!M62,2)</f>
        <v>30538.76</v>
      </c>
      <c r="N352" s="184">
        <f>ROUND('[6]2037'!N62,2)</f>
        <v>32398.06</v>
      </c>
      <c r="O352" s="184">
        <f>ROUND('[6]2037'!O62,2)</f>
        <v>33621.18</v>
      </c>
      <c r="P352" s="184">
        <f>ROUND('[6]2037'!P62,2)</f>
        <v>34622.76</v>
      </c>
      <c r="Q352" s="184">
        <f>ROUND('[6]2037'!Q62,2)</f>
        <v>35218.379999999997</v>
      </c>
      <c r="R352" s="184">
        <f>ROUND('[6]2037'!R62,2)</f>
        <v>35550.050000000003</v>
      </c>
      <c r="S352" s="184">
        <f>ROUND('[6]2037'!S62,2)</f>
        <v>34545.26</v>
      </c>
      <c r="T352" s="184">
        <f>ROUND('[6]2037'!T62,2)</f>
        <v>35490.06</v>
      </c>
      <c r="U352" s="184">
        <f>ROUND('[6]2037'!U62,2)</f>
        <v>35701.03</v>
      </c>
      <c r="V352" s="184">
        <f>ROUND('[6]2037'!V62,2)</f>
        <v>36893</v>
      </c>
      <c r="W352" s="184">
        <f>ROUND('[6]2037'!W62,2)</f>
        <v>41368.01</v>
      </c>
      <c r="X352" s="184">
        <f>ROUND('[6]2037'!X62,2)</f>
        <v>41038.879999999997</v>
      </c>
      <c r="Y352" s="184">
        <f>ROUND('[6]2037'!Y62,2)</f>
        <v>39967.879999999997</v>
      </c>
      <c r="Z352" s="184">
        <f>ROUND('[6]2037'!Z62,2)</f>
        <v>38500.550000000003</v>
      </c>
      <c r="AA352" s="184">
        <f>ROUND('[6]2037'!AA62,2)</f>
        <v>36280.81</v>
      </c>
      <c r="AB352" s="184">
        <f>ROUND('[6]2037'!AB62,2)</f>
        <v>34029.74</v>
      </c>
      <c r="AC352" s="214"/>
      <c r="AD352" s="18"/>
    </row>
    <row r="353" spans="2:50" ht="18.5" customHeight="1" thickBot="1" x14ac:dyDescent="0.4">
      <c r="Z353" s="218" t="s">
        <v>33</v>
      </c>
      <c r="AA353" s="219"/>
      <c r="AB353" s="220"/>
      <c r="AC353" s="135">
        <f>SUM(AC305:AC352)</f>
        <v>319445536.86000001</v>
      </c>
      <c r="AD353" s="17"/>
      <c r="AE353" s="18"/>
    </row>
    <row r="354" spans="2:50" s="186" customFormat="1" ht="18.649999999999999" customHeight="1" x14ac:dyDescent="0.35">
      <c r="B354" s="207">
        <v>50406</v>
      </c>
      <c r="C354" s="6" t="s">
        <v>29</v>
      </c>
      <c r="D354" s="46">
        <f>+'[6]2038'!D15</f>
        <v>19</v>
      </c>
      <c r="E354" s="78">
        <f>ROUND('[6]2038'!E15,2)</f>
        <v>33630.21</v>
      </c>
      <c r="F354" s="78">
        <f>ROUND('[6]2038'!F15,2)</f>
        <v>31912.78</v>
      </c>
      <c r="G354" s="78">
        <f>ROUND('[6]2038'!G15,2)</f>
        <v>30620.83</v>
      </c>
      <c r="H354" s="78">
        <f>ROUND('[6]2038'!H15,2)</f>
        <v>29683.09</v>
      </c>
      <c r="I354" s="78">
        <f>ROUND('[6]2038'!I15,2)</f>
        <v>29519.47</v>
      </c>
      <c r="J354" s="78">
        <f>ROUND('[6]2038'!J15,2)</f>
        <v>30507.31</v>
      </c>
      <c r="K354" s="78">
        <f>ROUND('[6]2038'!K15,2)</f>
        <v>30231.919999999998</v>
      </c>
      <c r="L354" s="78">
        <f>ROUND('[6]2038'!L15,2)</f>
        <v>33725.32</v>
      </c>
      <c r="M354" s="78">
        <f>ROUND('[6]2038'!M15,2)</f>
        <v>37438.69</v>
      </c>
      <c r="N354" s="78">
        <f>ROUND('[6]2038'!N15,2)</f>
        <v>39368.42</v>
      </c>
      <c r="O354" s="78">
        <f>ROUND('[6]2038'!O15,2)</f>
        <v>41457.51</v>
      </c>
      <c r="P354" s="78">
        <f>ROUND('[6]2038'!P15,2)</f>
        <v>43167.59</v>
      </c>
      <c r="Q354" s="78">
        <f>ROUND('[6]2038'!Q15,2)</f>
        <v>41985.62</v>
      </c>
      <c r="R354" s="78">
        <f>ROUND('[6]2038'!R15,2)</f>
        <v>43141.59</v>
      </c>
      <c r="S354" s="78">
        <f>ROUND('[6]2038'!S15,2)</f>
        <v>45142.82</v>
      </c>
      <c r="T354" s="78">
        <f>ROUND('[6]2038'!T15,2)</f>
        <v>45382.81</v>
      </c>
      <c r="U354" s="78">
        <f>ROUND('[6]2038'!U15,2)</f>
        <v>44632.27</v>
      </c>
      <c r="V354" s="78">
        <f>ROUND('[6]2038'!V15,2)</f>
        <v>42987.56</v>
      </c>
      <c r="W354" s="78">
        <f>ROUND('[6]2038'!W15,2)</f>
        <v>45985.81</v>
      </c>
      <c r="X354" s="78">
        <f>ROUND('[6]2038'!X15,2)</f>
        <v>46149.79</v>
      </c>
      <c r="Y354" s="78">
        <f>ROUND('[6]2038'!Y15,2)</f>
        <v>44937.54</v>
      </c>
      <c r="Z354" s="78">
        <f>ROUND('[6]2038'!Z15,2)</f>
        <v>42967.07</v>
      </c>
      <c r="AA354" s="78">
        <f>ROUND('[6]2038'!AA15,2)</f>
        <v>39920.910000000003</v>
      </c>
      <c r="AB354" s="78">
        <f>ROUND('[6]2038'!AB15,2)</f>
        <v>36668.81</v>
      </c>
      <c r="AC354" s="209">
        <f>SUM(E354:AB354)*D354+SUM(E355:AB355)*D355+SUM(E356:AB356)*D356+SUM(E357:AB357)*D357</f>
        <v>27842679.790000003</v>
      </c>
      <c r="AD354" s="185"/>
      <c r="AE354" s="185"/>
      <c r="AF354" s="185"/>
      <c r="AG354" s="185"/>
      <c r="AH354" s="185"/>
      <c r="AI354" s="185"/>
      <c r="AJ354" s="185"/>
      <c r="AK354" s="185"/>
      <c r="AL354" s="185"/>
      <c r="AM354" s="185"/>
      <c r="AN354" s="185"/>
      <c r="AO354" s="185"/>
      <c r="AP354" s="185"/>
      <c r="AQ354" s="185"/>
      <c r="AR354" s="185"/>
      <c r="AS354" s="185"/>
      <c r="AT354" s="185"/>
      <c r="AU354" s="185"/>
      <c r="AV354" s="185"/>
      <c r="AW354" s="185"/>
      <c r="AX354" s="185"/>
    </row>
    <row r="355" spans="2:50" s="186" customFormat="1" ht="18.649999999999999" customHeight="1" x14ac:dyDescent="0.35">
      <c r="B355" s="208"/>
      <c r="C355" s="9" t="s">
        <v>30</v>
      </c>
      <c r="D355" s="10">
        <f>+'[6]2038'!D16</f>
        <v>5</v>
      </c>
      <c r="E355" s="79">
        <f>ROUND('[6]2038'!E16,2)</f>
        <v>33386.449999999997</v>
      </c>
      <c r="F355" s="79">
        <f>ROUND('[6]2038'!F16,2)</f>
        <v>31782.95</v>
      </c>
      <c r="G355" s="79">
        <f>ROUND('[6]2038'!G16,2)</f>
        <v>30523.49</v>
      </c>
      <c r="H355" s="79">
        <f>ROUND('[6]2038'!H16,2)</f>
        <v>29561.62</v>
      </c>
      <c r="I355" s="79">
        <f>ROUND('[6]2038'!I16,2)</f>
        <v>29270.48</v>
      </c>
      <c r="J355" s="79">
        <f>ROUND('[6]2038'!J16,2)</f>
        <v>29504.63</v>
      </c>
      <c r="K355" s="79">
        <f>ROUND('[6]2038'!K16,2)</f>
        <v>28744.240000000002</v>
      </c>
      <c r="L355" s="79">
        <f>ROUND('[6]2038'!L16,2)</f>
        <v>31584.14</v>
      </c>
      <c r="M355" s="79">
        <f>ROUND('[6]2038'!M16,2)</f>
        <v>35095.78</v>
      </c>
      <c r="N355" s="79">
        <f>ROUND('[6]2038'!N16,2)</f>
        <v>37421.550000000003</v>
      </c>
      <c r="O355" s="79">
        <f>ROUND('[6]2038'!O16,2)</f>
        <v>39251.35</v>
      </c>
      <c r="P355" s="79">
        <f>ROUND('[6]2038'!P16,2)</f>
        <v>40241.519999999997</v>
      </c>
      <c r="Q355" s="79">
        <f>ROUND('[6]2038'!Q16,2)</f>
        <v>39889.660000000003</v>
      </c>
      <c r="R355" s="79">
        <f>ROUND('[6]2038'!R16,2)</f>
        <v>39045.07</v>
      </c>
      <c r="S355" s="79">
        <f>ROUND('[6]2038'!S16,2)</f>
        <v>39229.32</v>
      </c>
      <c r="T355" s="79">
        <f>ROUND('[6]2038'!T16,2)</f>
        <v>39365.4</v>
      </c>
      <c r="U355" s="79">
        <f>ROUND('[6]2038'!U16,2)</f>
        <v>38975.300000000003</v>
      </c>
      <c r="V355" s="79">
        <f>ROUND('[6]2038'!V16,2)</f>
        <v>39116.49</v>
      </c>
      <c r="W355" s="79">
        <f>ROUND('[6]2038'!W16,2)</f>
        <v>43452.37</v>
      </c>
      <c r="X355" s="79">
        <f>ROUND('[6]2038'!X16,2)</f>
        <v>43763.53</v>
      </c>
      <c r="Y355" s="79">
        <f>ROUND('[6]2038'!Y16,2)</f>
        <v>42462.66</v>
      </c>
      <c r="Z355" s="79">
        <f>ROUND('[6]2038'!Z16,2)</f>
        <v>40742.01</v>
      </c>
      <c r="AA355" s="79">
        <f>ROUND('[6]2038'!AA16,2)</f>
        <v>38505.97</v>
      </c>
      <c r="AB355" s="79">
        <f>ROUND('[6]2038'!AB16,2)</f>
        <v>36026.28</v>
      </c>
      <c r="AC355" s="210"/>
      <c r="AD355" s="185"/>
      <c r="AE355" s="185"/>
      <c r="AF355" s="185"/>
      <c r="AG355" s="185"/>
      <c r="AH355" s="185"/>
      <c r="AI355" s="185"/>
      <c r="AJ355" s="185"/>
      <c r="AK355" s="185"/>
      <c r="AL355" s="185"/>
      <c r="AM355" s="185"/>
      <c r="AN355" s="185"/>
      <c r="AO355" s="185"/>
      <c r="AP355" s="185"/>
      <c r="AQ355" s="185"/>
      <c r="AR355" s="185"/>
      <c r="AS355" s="185"/>
      <c r="AT355" s="185"/>
      <c r="AU355" s="185"/>
      <c r="AV355" s="185"/>
      <c r="AW355" s="185"/>
      <c r="AX355" s="185"/>
    </row>
    <row r="356" spans="2:50" s="186" customFormat="1" ht="18.649999999999999" customHeight="1" x14ac:dyDescent="0.35">
      <c r="B356" s="208"/>
      <c r="C356" s="9" t="s">
        <v>31</v>
      </c>
      <c r="D356" s="10">
        <f>+'[6]2038'!D17</f>
        <v>5</v>
      </c>
      <c r="E356" s="79">
        <f>ROUND('[6]2038'!E17,2)</f>
        <v>33607.730000000003</v>
      </c>
      <c r="F356" s="79">
        <f>ROUND('[6]2038'!F17,2)</f>
        <v>31956.57</v>
      </c>
      <c r="G356" s="79">
        <f>ROUND('[6]2038'!G17,2)</f>
        <v>30625.16</v>
      </c>
      <c r="H356" s="79">
        <f>ROUND('[6]2038'!H17,2)</f>
        <v>29648.34</v>
      </c>
      <c r="I356" s="79">
        <f>ROUND('[6]2038'!I17,2)</f>
        <v>29167.58</v>
      </c>
      <c r="J356" s="79">
        <f>ROUND('[6]2038'!J17,2)</f>
        <v>29014.58</v>
      </c>
      <c r="K356" s="79">
        <f>ROUND('[6]2038'!K17,2)</f>
        <v>27451.37</v>
      </c>
      <c r="L356" s="79">
        <f>ROUND('[6]2038'!L17,2)</f>
        <v>28676.04</v>
      </c>
      <c r="M356" s="79">
        <f>ROUND('[6]2038'!M17,2)</f>
        <v>30639.13</v>
      </c>
      <c r="N356" s="79">
        <f>ROUND('[6]2038'!N17,2)</f>
        <v>32150.639999999999</v>
      </c>
      <c r="O356" s="79">
        <f>ROUND('[6]2038'!O17,2)</f>
        <v>33596.730000000003</v>
      </c>
      <c r="P356" s="79">
        <f>ROUND('[6]2038'!P17,2)</f>
        <v>34766.550000000003</v>
      </c>
      <c r="Q356" s="79">
        <f>ROUND('[6]2038'!Q17,2)</f>
        <v>35563.86</v>
      </c>
      <c r="R356" s="79">
        <f>ROUND('[6]2038'!R17,2)</f>
        <v>35659.79</v>
      </c>
      <c r="S356" s="79">
        <f>ROUND('[6]2038'!S17,2)</f>
        <v>35677.86</v>
      </c>
      <c r="T356" s="79">
        <f>ROUND('[6]2038'!T17,2)</f>
        <v>35800.61</v>
      </c>
      <c r="U356" s="79">
        <f>ROUND('[6]2038'!U17,2)</f>
        <v>35818.800000000003</v>
      </c>
      <c r="V356" s="79">
        <f>ROUND('[6]2038'!V17,2)</f>
        <v>36197.06</v>
      </c>
      <c r="W356" s="79">
        <f>ROUND('[6]2038'!W17,2)</f>
        <v>40922.51</v>
      </c>
      <c r="X356" s="79">
        <f>ROUND('[6]2038'!X17,2)</f>
        <v>42094.68</v>
      </c>
      <c r="Y356" s="79">
        <f>ROUND('[6]2038'!Y17,2)</f>
        <v>41649.29</v>
      </c>
      <c r="Z356" s="79">
        <f>ROUND('[6]2038'!Z17,2)</f>
        <v>40279.24</v>
      </c>
      <c r="AA356" s="79">
        <f>ROUND('[6]2038'!AA17,2)</f>
        <v>37825.67</v>
      </c>
      <c r="AB356" s="79">
        <f>ROUND('[6]2038'!AB17,2)</f>
        <v>34898.699999999997</v>
      </c>
      <c r="AC356" s="210"/>
      <c r="AD356" s="185"/>
      <c r="AE356" s="185"/>
      <c r="AF356" s="185"/>
      <c r="AG356" s="185"/>
      <c r="AH356" s="185"/>
      <c r="AI356" s="185"/>
      <c r="AJ356" s="185"/>
      <c r="AK356" s="185"/>
      <c r="AL356" s="185"/>
      <c r="AM356" s="185"/>
      <c r="AN356" s="185"/>
      <c r="AO356" s="185"/>
      <c r="AP356" s="185"/>
      <c r="AQ356" s="185"/>
      <c r="AR356" s="185"/>
      <c r="AS356" s="185"/>
      <c r="AT356" s="185"/>
      <c r="AU356" s="185"/>
      <c r="AV356" s="185"/>
      <c r="AW356" s="185"/>
      <c r="AX356" s="185"/>
    </row>
    <row r="357" spans="2:50" s="186" customFormat="1" ht="18.649999999999999" customHeight="1" thickBot="1" x14ac:dyDescent="0.4">
      <c r="B357" s="208"/>
      <c r="C357" s="15" t="s">
        <v>32</v>
      </c>
      <c r="D357" s="16">
        <f>+'[6]2038'!D18</f>
        <v>2</v>
      </c>
      <c r="E357" s="80">
        <f>ROUND('[6]2038'!E18,2)</f>
        <v>33607.730000000003</v>
      </c>
      <c r="F357" s="80">
        <f>ROUND('[6]2038'!F18,2)</f>
        <v>31956.57</v>
      </c>
      <c r="G357" s="80">
        <f>ROUND('[6]2038'!G18,2)</f>
        <v>30625.16</v>
      </c>
      <c r="H357" s="80">
        <f>ROUND('[6]2038'!H18,2)</f>
        <v>29648.34</v>
      </c>
      <c r="I357" s="80">
        <f>ROUND('[6]2038'!I18,2)</f>
        <v>29167.58</v>
      </c>
      <c r="J357" s="80">
        <f>ROUND('[6]2038'!J18,2)</f>
        <v>29014.58</v>
      </c>
      <c r="K357" s="80">
        <f>ROUND('[6]2038'!K18,2)</f>
        <v>27451.37</v>
      </c>
      <c r="L357" s="80">
        <f>ROUND('[6]2038'!L18,2)</f>
        <v>28676.04</v>
      </c>
      <c r="M357" s="80">
        <f>ROUND('[6]2038'!M18,2)</f>
        <v>30639.13</v>
      </c>
      <c r="N357" s="80">
        <f>ROUND('[6]2038'!N18,2)</f>
        <v>32150.639999999999</v>
      </c>
      <c r="O357" s="80">
        <f>ROUND('[6]2038'!O18,2)</f>
        <v>33596.730000000003</v>
      </c>
      <c r="P357" s="80">
        <f>ROUND('[6]2038'!P18,2)</f>
        <v>34766.550000000003</v>
      </c>
      <c r="Q357" s="80">
        <f>ROUND('[6]2038'!Q18,2)</f>
        <v>35563.86</v>
      </c>
      <c r="R357" s="80">
        <f>ROUND('[6]2038'!R18,2)</f>
        <v>35659.79</v>
      </c>
      <c r="S357" s="80">
        <f>ROUND('[6]2038'!S18,2)</f>
        <v>35677.86</v>
      </c>
      <c r="T357" s="80">
        <f>ROUND('[6]2038'!T18,2)</f>
        <v>35800.61</v>
      </c>
      <c r="U357" s="80">
        <f>ROUND('[6]2038'!U18,2)</f>
        <v>35818.800000000003</v>
      </c>
      <c r="V357" s="80">
        <f>ROUND('[6]2038'!V18,2)</f>
        <v>36197.06</v>
      </c>
      <c r="W357" s="80">
        <f>ROUND('[6]2038'!W18,2)</f>
        <v>40922.51</v>
      </c>
      <c r="X357" s="80">
        <f>ROUND('[6]2038'!X18,2)</f>
        <v>42094.68</v>
      </c>
      <c r="Y357" s="80">
        <f>ROUND('[6]2038'!Y18,2)</f>
        <v>41649.29</v>
      </c>
      <c r="Z357" s="80">
        <f>ROUND('[6]2038'!Z18,2)</f>
        <v>40279.24</v>
      </c>
      <c r="AA357" s="80">
        <f>ROUND('[6]2038'!AA18,2)</f>
        <v>37825.67</v>
      </c>
      <c r="AB357" s="80">
        <f>ROUND('[6]2038'!AB18,2)</f>
        <v>34898.699999999997</v>
      </c>
      <c r="AC357" s="210"/>
      <c r="AD357" s="185"/>
      <c r="AE357" s="185"/>
      <c r="AF357" s="185"/>
      <c r="AG357" s="185"/>
      <c r="AH357" s="185"/>
      <c r="AI357" s="185"/>
      <c r="AJ357" s="185"/>
      <c r="AK357" s="185"/>
      <c r="AL357" s="185"/>
      <c r="AM357" s="185"/>
      <c r="AN357" s="185"/>
      <c r="AO357" s="185"/>
      <c r="AP357" s="185"/>
      <c r="AQ357" s="185"/>
      <c r="AR357" s="185"/>
      <c r="AS357" s="185"/>
      <c r="AT357" s="185"/>
      <c r="AU357" s="185"/>
      <c r="AV357" s="185"/>
      <c r="AW357" s="185"/>
      <c r="AX357" s="185"/>
    </row>
    <row r="358" spans="2:50" s="186" customFormat="1" ht="18.649999999999999" customHeight="1" x14ac:dyDescent="0.35">
      <c r="B358" s="211">
        <v>50437</v>
      </c>
      <c r="C358" s="6" t="s">
        <v>29</v>
      </c>
      <c r="D358" s="7">
        <f>+'[6]2038'!D19</f>
        <v>20</v>
      </c>
      <c r="E358" s="78">
        <f>ROUND('[6]2038'!E19,2)</f>
        <v>35303.86</v>
      </c>
      <c r="F358" s="78">
        <f>ROUND('[6]2038'!F19,2)</f>
        <v>33570.82</v>
      </c>
      <c r="G358" s="78">
        <f>ROUND('[6]2038'!G19,2)</f>
        <v>32187.33</v>
      </c>
      <c r="H358" s="78">
        <f>ROUND('[6]2038'!H19,2)</f>
        <v>31184.42</v>
      </c>
      <c r="I358" s="78">
        <f>ROUND('[6]2038'!I19,2)</f>
        <v>31149.49</v>
      </c>
      <c r="J358" s="78">
        <f>ROUND('[6]2038'!J19,2)</f>
        <v>33021.760000000002</v>
      </c>
      <c r="K358" s="78">
        <f>ROUND('[6]2038'!K19,2)</f>
        <v>32703.84</v>
      </c>
      <c r="L358" s="78">
        <f>ROUND('[6]2038'!L19,2)</f>
        <v>35887</v>
      </c>
      <c r="M358" s="78">
        <f>ROUND('[6]2038'!M19,2)</f>
        <v>39388.959999999999</v>
      </c>
      <c r="N358" s="78">
        <f>ROUND('[6]2038'!N19,2)</f>
        <v>41088.160000000003</v>
      </c>
      <c r="O358" s="78">
        <f>ROUND('[6]2038'!O19,2)</f>
        <v>43140.52</v>
      </c>
      <c r="P358" s="78">
        <f>ROUND('[6]2038'!P19,2)</f>
        <v>44763.51</v>
      </c>
      <c r="Q358" s="78">
        <f>ROUND('[6]2038'!Q19,2)</f>
        <v>43266.29</v>
      </c>
      <c r="R358" s="78">
        <f>ROUND('[6]2038'!R19,2)</f>
        <v>44820.79</v>
      </c>
      <c r="S358" s="78">
        <f>ROUND('[6]2038'!S19,2)</f>
        <v>47318.29</v>
      </c>
      <c r="T358" s="78">
        <f>ROUND('[6]2038'!T19,2)</f>
        <v>47705.2</v>
      </c>
      <c r="U358" s="78">
        <f>ROUND('[6]2038'!U19,2)</f>
        <v>46993.21</v>
      </c>
      <c r="V358" s="78">
        <f>ROUND('[6]2038'!V19,2)</f>
        <v>45077.2</v>
      </c>
      <c r="W358" s="78">
        <f>ROUND('[6]2038'!W19,2)</f>
        <v>47749.23</v>
      </c>
      <c r="X358" s="78">
        <f>ROUND('[6]2038'!X19,2)</f>
        <v>48424.38</v>
      </c>
      <c r="Y358" s="78">
        <f>ROUND('[6]2038'!Y19,2)</f>
        <v>47380.43</v>
      </c>
      <c r="Z358" s="78">
        <f>ROUND('[6]2038'!Z19,2)</f>
        <v>45290.93</v>
      </c>
      <c r="AA358" s="78">
        <f>ROUND('[6]2038'!AA19,2)</f>
        <v>41723.769999999997</v>
      </c>
      <c r="AB358" s="78">
        <f>ROUND('[6]2038'!AB19,2)</f>
        <v>38186.89</v>
      </c>
      <c r="AC358" s="209">
        <f>SUM(E358:AB358)*D358+SUM(E359:AB359)*D359+SUM(E360:AB360)*D360+SUM(E361:AB361)*D361</f>
        <v>26738606.960000001</v>
      </c>
      <c r="AD358" s="185"/>
    </row>
    <row r="359" spans="2:50" s="186" customFormat="1" ht="18.649999999999999" customHeight="1" x14ac:dyDescent="0.35">
      <c r="B359" s="212" t="s">
        <v>34</v>
      </c>
      <c r="C359" s="9" t="s">
        <v>30</v>
      </c>
      <c r="D359" s="10">
        <f>+'[6]2038'!D20</f>
        <v>4</v>
      </c>
      <c r="E359" s="79">
        <f>ROUND('[6]2038'!E20,2)</f>
        <v>35790.74</v>
      </c>
      <c r="F359" s="79">
        <f>ROUND('[6]2038'!F20,2)</f>
        <v>33855.56</v>
      </c>
      <c r="G359" s="79">
        <f>ROUND('[6]2038'!G20,2)</f>
        <v>32593.54</v>
      </c>
      <c r="H359" s="79">
        <f>ROUND('[6]2038'!H20,2)</f>
        <v>31393.919999999998</v>
      </c>
      <c r="I359" s="79">
        <f>ROUND('[6]2038'!I20,2)</f>
        <v>31016.01</v>
      </c>
      <c r="J359" s="79">
        <f>ROUND('[6]2038'!J20,2)</f>
        <v>31376.41</v>
      </c>
      <c r="K359" s="79">
        <f>ROUND('[6]2038'!K20,2)</f>
        <v>30820.02</v>
      </c>
      <c r="L359" s="79">
        <f>ROUND('[6]2038'!L20,2)</f>
        <v>33667.96</v>
      </c>
      <c r="M359" s="79">
        <f>ROUND('[6]2038'!M20,2)</f>
        <v>37154.15</v>
      </c>
      <c r="N359" s="79">
        <f>ROUND('[6]2038'!N20,2)</f>
        <v>39224.589999999997</v>
      </c>
      <c r="O359" s="79">
        <f>ROUND('[6]2038'!O20,2)</f>
        <v>41127.620000000003</v>
      </c>
      <c r="P359" s="79">
        <f>ROUND('[6]2038'!P20,2)</f>
        <v>42084.23</v>
      </c>
      <c r="Q359" s="79">
        <f>ROUND('[6]2038'!Q20,2)</f>
        <v>41412.92</v>
      </c>
      <c r="R359" s="79">
        <f>ROUND('[6]2038'!R20,2)</f>
        <v>40875.99</v>
      </c>
      <c r="S359" s="79">
        <f>ROUND('[6]2038'!S20,2)</f>
        <v>41064.07</v>
      </c>
      <c r="T359" s="79">
        <f>ROUND('[6]2038'!T20,2)</f>
        <v>41181.599999999999</v>
      </c>
      <c r="U359" s="79">
        <f>ROUND('[6]2038'!U20,2)</f>
        <v>40892.14</v>
      </c>
      <c r="V359" s="79">
        <f>ROUND('[6]2038'!V20,2)</f>
        <v>40771.99</v>
      </c>
      <c r="W359" s="79">
        <f>ROUND('[6]2038'!W20,2)</f>
        <v>45004.82</v>
      </c>
      <c r="X359" s="79">
        <f>ROUND('[6]2038'!X20,2)</f>
        <v>45656.86</v>
      </c>
      <c r="Y359" s="79">
        <f>ROUND('[6]2038'!Y20,2)</f>
        <v>44589.5</v>
      </c>
      <c r="Z359" s="79">
        <f>ROUND('[6]2038'!Z20,2)</f>
        <v>42890.8</v>
      </c>
      <c r="AA359" s="79">
        <f>ROUND('[6]2038'!AA20,2)</f>
        <v>40648.33</v>
      </c>
      <c r="AB359" s="79">
        <f>ROUND('[6]2038'!AB20,2)</f>
        <v>37978.1</v>
      </c>
      <c r="AC359" s="210"/>
      <c r="AD359" s="185"/>
    </row>
    <row r="360" spans="2:50" s="186" customFormat="1" ht="18.649999999999999" customHeight="1" x14ac:dyDescent="0.35">
      <c r="B360" s="212" t="s">
        <v>34</v>
      </c>
      <c r="C360" s="9" t="s">
        <v>31</v>
      </c>
      <c r="D360" s="10">
        <f>+'[6]2038'!D21</f>
        <v>4</v>
      </c>
      <c r="E360" s="79">
        <f>ROUND('[6]2038'!E21,2)</f>
        <v>35691.1</v>
      </c>
      <c r="F360" s="79">
        <f>ROUND('[6]2038'!F21,2)</f>
        <v>33966.83</v>
      </c>
      <c r="G360" s="79">
        <f>ROUND('[6]2038'!G21,2)</f>
        <v>32574.53</v>
      </c>
      <c r="H360" s="79">
        <f>ROUND('[6]2038'!H21,2)</f>
        <v>31540.76</v>
      </c>
      <c r="I360" s="79">
        <f>ROUND('[6]2038'!I21,2)</f>
        <v>31008.6</v>
      </c>
      <c r="J360" s="79">
        <f>ROUND('[6]2038'!J21,2)</f>
        <v>30974.06</v>
      </c>
      <c r="K360" s="79">
        <f>ROUND('[6]2038'!K21,2)</f>
        <v>29348.6</v>
      </c>
      <c r="L360" s="79">
        <f>ROUND('[6]2038'!L21,2)</f>
        <v>30614.400000000001</v>
      </c>
      <c r="M360" s="79">
        <f>ROUND('[6]2038'!M21,2)</f>
        <v>32545.66</v>
      </c>
      <c r="N360" s="79">
        <f>ROUND('[6]2038'!N21,2)</f>
        <v>33913.82</v>
      </c>
      <c r="O360" s="79">
        <f>ROUND('[6]2038'!O21,2)</f>
        <v>35306.74</v>
      </c>
      <c r="P360" s="79">
        <f>ROUND('[6]2038'!P21,2)</f>
        <v>36600.58</v>
      </c>
      <c r="Q360" s="79">
        <f>ROUND('[6]2038'!Q21,2)</f>
        <v>37459.75</v>
      </c>
      <c r="R360" s="79">
        <f>ROUND('[6]2038'!R21,2)</f>
        <v>37682.5</v>
      </c>
      <c r="S360" s="79">
        <f>ROUND('[6]2038'!S21,2)</f>
        <v>38057.919999999998</v>
      </c>
      <c r="T360" s="79">
        <f>ROUND('[6]2038'!T21,2)</f>
        <v>38353.050000000003</v>
      </c>
      <c r="U360" s="79">
        <f>ROUND('[6]2038'!U21,2)</f>
        <v>38229.360000000001</v>
      </c>
      <c r="V360" s="79">
        <f>ROUND('[6]2038'!V21,2)</f>
        <v>37994.57</v>
      </c>
      <c r="W360" s="79">
        <f>ROUND('[6]2038'!W21,2)</f>
        <v>42940.25</v>
      </c>
      <c r="X360" s="79">
        <f>ROUND('[6]2038'!X21,2)</f>
        <v>44721.120000000003</v>
      </c>
      <c r="Y360" s="79">
        <f>ROUND('[6]2038'!Y21,2)</f>
        <v>44704.53</v>
      </c>
      <c r="Z360" s="79">
        <f>ROUND('[6]2038'!Z21,2)</f>
        <v>43643.02</v>
      </c>
      <c r="AA360" s="79">
        <f>ROUND('[6]2038'!AA21,2)</f>
        <v>40100.57</v>
      </c>
      <c r="AB360" s="79">
        <f>ROUND('[6]2038'!AB21,2)</f>
        <v>36976.15</v>
      </c>
      <c r="AC360" s="210"/>
      <c r="AD360" s="185"/>
    </row>
    <row r="361" spans="2:50" s="186" customFormat="1" ht="18.649999999999999" customHeight="1" thickBot="1" x14ac:dyDescent="0.4">
      <c r="B361" s="213" t="s">
        <v>34</v>
      </c>
      <c r="C361" s="11" t="s">
        <v>32</v>
      </c>
      <c r="D361" s="12">
        <f>+'[6]2038'!D22</f>
        <v>0</v>
      </c>
      <c r="E361" s="75">
        <f>ROUND('[6]2038'!E22,2)</f>
        <v>0</v>
      </c>
      <c r="F361" s="75">
        <f>ROUND('[6]2038'!F22,2)</f>
        <v>0</v>
      </c>
      <c r="G361" s="75">
        <f>ROUND('[6]2038'!G22,2)</f>
        <v>0</v>
      </c>
      <c r="H361" s="75">
        <f>ROUND('[6]2038'!H22,2)</f>
        <v>0</v>
      </c>
      <c r="I361" s="75">
        <f>ROUND('[6]2038'!I22,2)</f>
        <v>0</v>
      </c>
      <c r="J361" s="75">
        <f>ROUND('[6]2038'!J22,2)</f>
        <v>0</v>
      </c>
      <c r="K361" s="75">
        <f>ROUND('[6]2038'!K22,2)</f>
        <v>0</v>
      </c>
      <c r="L361" s="75">
        <f>ROUND('[6]2038'!L22,2)</f>
        <v>0</v>
      </c>
      <c r="M361" s="75">
        <f>ROUND('[6]2038'!M22,2)</f>
        <v>0</v>
      </c>
      <c r="N361" s="75">
        <f>ROUND('[6]2038'!N22,2)</f>
        <v>0</v>
      </c>
      <c r="O361" s="75">
        <f>ROUND('[6]2038'!O22,2)</f>
        <v>0</v>
      </c>
      <c r="P361" s="75">
        <f>ROUND('[6]2038'!P22,2)</f>
        <v>0</v>
      </c>
      <c r="Q361" s="75">
        <f>ROUND('[6]2038'!Q22,2)</f>
        <v>0</v>
      </c>
      <c r="R361" s="75">
        <f>ROUND('[6]2038'!R22,2)</f>
        <v>0</v>
      </c>
      <c r="S361" s="75">
        <f>ROUND('[6]2038'!S22,2)</f>
        <v>0</v>
      </c>
      <c r="T361" s="75">
        <f>ROUND('[6]2038'!T22,2)</f>
        <v>0</v>
      </c>
      <c r="U361" s="75">
        <f>ROUND('[6]2038'!U22,2)</f>
        <v>0</v>
      </c>
      <c r="V361" s="75">
        <f>ROUND('[6]2038'!V22,2)</f>
        <v>0</v>
      </c>
      <c r="W361" s="75">
        <f>ROUND('[6]2038'!W22,2)</f>
        <v>0</v>
      </c>
      <c r="X361" s="75">
        <f>ROUND('[6]2038'!X22,2)</f>
        <v>0</v>
      </c>
      <c r="Y361" s="75">
        <f>ROUND('[6]2038'!Y22,2)</f>
        <v>0</v>
      </c>
      <c r="Z361" s="75">
        <f>ROUND('[6]2038'!Z22,2)</f>
        <v>0</v>
      </c>
      <c r="AA361" s="75">
        <f>ROUND('[6]2038'!AA22,2)</f>
        <v>0</v>
      </c>
      <c r="AB361" s="75">
        <f>ROUND('[6]2038'!AB22,2)</f>
        <v>0</v>
      </c>
      <c r="AC361" s="214"/>
      <c r="AD361" s="185"/>
    </row>
    <row r="362" spans="2:50" s="186" customFormat="1" ht="18.649999999999999" customHeight="1" x14ac:dyDescent="0.35">
      <c r="B362" s="207">
        <v>50465</v>
      </c>
      <c r="C362" s="13" t="s">
        <v>29</v>
      </c>
      <c r="D362" s="14">
        <f>+'[6]2038'!D23</f>
        <v>20</v>
      </c>
      <c r="E362" s="81">
        <f>ROUND('[6]2038'!E23,2)</f>
        <v>32943.56</v>
      </c>
      <c r="F362" s="81">
        <f>ROUND('[6]2038'!F23,2)</f>
        <v>31314.04</v>
      </c>
      <c r="G362" s="81">
        <f>ROUND('[6]2038'!G23,2)</f>
        <v>30098.52</v>
      </c>
      <c r="H362" s="81">
        <f>ROUND('[6]2038'!H23,2)</f>
        <v>29300.68</v>
      </c>
      <c r="I362" s="81">
        <f>ROUND('[6]2038'!I23,2)</f>
        <v>29435.15</v>
      </c>
      <c r="J362" s="81">
        <f>ROUND('[6]2038'!J23,2)</f>
        <v>31006.91</v>
      </c>
      <c r="K362" s="81">
        <f>ROUND('[6]2038'!K23,2)</f>
        <v>31009.4</v>
      </c>
      <c r="L362" s="81">
        <f>ROUND('[6]2038'!L23,2)</f>
        <v>34371.410000000003</v>
      </c>
      <c r="M362" s="81">
        <f>ROUND('[6]2038'!M23,2)</f>
        <v>37686.660000000003</v>
      </c>
      <c r="N362" s="81">
        <f>ROUND('[6]2038'!N23,2)</f>
        <v>39405.550000000003</v>
      </c>
      <c r="O362" s="81">
        <f>ROUND('[6]2038'!O23,2)</f>
        <v>41373.49</v>
      </c>
      <c r="P362" s="81">
        <f>ROUND('[6]2038'!P23,2)</f>
        <v>42663.85</v>
      </c>
      <c r="Q362" s="81">
        <f>ROUND('[6]2038'!Q23,2)</f>
        <v>40733.67</v>
      </c>
      <c r="R362" s="81">
        <f>ROUND('[6]2038'!R23,2)</f>
        <v>42077.19</v>
      </c>
      <c r="S362" s="81">
        <f>ROUND('[6]2038'!S23,2)</f>
        <v>44389.4</v>
      </c>
      <c r="T362" s="81">
        <f>ROUND('[6]2038'!T23,2)</f>
        <v>44877.83</v>
      </c>
      <c r="U362" s="81">
        <f>ROUND('[6]2038'!U23,2)</f>
        <v>44387.77</v>
      </c>
      <c r="V362" s="81">
        <f>ROUND('[6]2038'!V23,2)</f>
        <v>42827.99</v>
      </c>
      <c r="W362" s="81">
        <f>ROUND('[6]2038'!W23,2)</f>
        <v>45446.82</v>
      </c>
      <c r="X362" s="81">
        <f>ROUND('[6]2038'!X23,2)</f>
        <v>45853.49</v>
      </c>
      <c r="Y362" s="81">
        <f>ROUND('[6]2038'!Y23,2)</f>
        <v>44510.65</v>
      </c>
      <c r="Z362" s="81">
        <f>ROUND('[6]2038'!Z23,2)</f>
        <v>42290.12</v>
      </c>
      <c r="AA362" s="81">
        <f>ROUND('[6]2038'!AA23,2)</f>
        <v>38953.300000000003</v>
      </c>
      <c r="AB362" s="81">
        <f>ROUND('[6]2038'!AB23,2)</f>
        <v>35565.75</v>
      </c>
      <c r="AC362" s="210">
        <f>SUM(E362:AB362)*D362+SUM(E363:AB363)*D363+SUM(E364:AB364)*D364+SUM(E365:AB365)*D365</f>
        <v>27957298.419999998</v>
      </c>
      <c r="AD362" s="185"/>
    </row>
    <row r="363" spans="2:50" s="186" customFormat="1" ht="18.649999999999999" customHeight="1" x14ac:dyDescent="0.35">
      <c r="B363" s="208"/>
      <c r="C363" s="9" t="s">
        <v>30</v>
      </c>
      <c r="D363" s="10">
        <f>+'[6]2038'!D24</f>
        <v>5</v>
      </c>
      <c r="E363" s="79">
        <f>ROUND('[6]2038'!E24,2)</f>
        <v>33136.42</v>
      </c>
      <c r="F363" s="79">
        <f>ROUND('[6]2038'!F24,2)</f>
        <v>31501.66</v>
      </c>
      <c r="G363" s="79">
        <f>ROUND('[6]2038'!G24,2)</f>
        <v>30212.080000000002</v>
      </c>
      <c r="H363" s="79">
        <f>ROUND('[6]2038'!H24,2)</f>
        <v>29358.47</v>
      </c>
      <c r="I363" s="79">
        <f>ROUND('[6]2038'!I24,2)</f>
        <v>29142.799999999999</v>
      </c>
      <c r="J363" s="79">
        <f>ROUND('[6]2038'!J24,2)</f>
        <v>29474.66</v>
      </c>
      <c r="K363" s="79">
        <f>ROUND('[6]2038'!K24,2)</f>
        <v>29332.98</v>
      </c>
      <c r="L363" s="79">
        <f>ROUND('[6]2038'!L24,2)</f>
        <v>32417.84</v>
      </c>
      <c r="M363" s="79">
        <f>ROUND('[6]2038'!M24,2)</f>
        <v>36006.71</v>
      </c>
      <c r="N363" s="79">
        <f>ROUND('[6]2038'!N24,2)</f>
        <v>38094.910000000003</v>
      </c>
      <c r="O363" s="79">
        <f>ROUND('[6]2038'!O24,2)</f>
        <v>39968.14</v>
      </c>
      <c r="P363" s="79">
        <f>ROUND('[6]2038'!P24,2)</f>
        <v>41082.400000000001</v>
      </c>
      <c r="Q363" s="79">
        <f>ROUND('[6]2038'!Q24,2)</f>
        <v>40376.31</v>
      </c>
      <c r="R363" s="79">
        <f>ROUND('[6]2038'!R24,2)</f>
        <v>39837.96</v>
      </c>
      <c r="S363" s="79">
        <f>ROUND('[6]2038'!S24,2)</f>
        <v>40153.49</v>
      </c>
      <c r="T363" s="79">
        <f>ROUND('[6]2038'!T24,2)</f>
        <v>40206.080000000002</v>
      </c>
      <c r="U363" s="79">
        <f>ROUND('[6]2038'!U24,2)</f>
        <v>39849.49</v>
      </c>
      <c r="V363" s="79">
        <f>ROUND('[6]2038'!V24,2)</f>
        <v>39604.49</v>
      </c>
      <c r="W363" s="79">
        <f>ROUND('[6]2038'!W24,2)</f>
        <v>43734.44</v>
      </c>
      <c r="X363" s="79">
        <f>ROUND('[6]2038'!X24,2)</f>
        <v>44439.55</v>
      </c>
      <c r="Y363" s="79">
        <f>ROUND('[6]2038'!Y24,2)</f>
        <v>43204.41</v>
      </c>
      <c r="Z363" s="79">
        <f>ROUND('[6]2038'!Z24,2)</f>
        <v>41521.57</v>
      </c>
      <c r="AA363" s="79">
        <f>ROUND('[6]2038'!AA24,2)</f>
        <v>39180.449999999997</v>
      </c>
      <c r="AB363" s="79">
        <f>ROUND('[6]2038'!AB24,2)</f>
        <v>36613.33</v>
      </c>
      <c r="AC363" s="210"/>
      <c r="AD363" s="185"/>
    </row>
    <row r="364" spans="2:50" s="186" customFormat="1" ht="18.649999999999999" customHeight="1" x14ac:dyDescent="0.35">
      <c r="B364" s="208"/>
      <c r="C364" s="9" t="s">
        <v>31</v>
      </c>
      <c r="D364" s="10">
        <f>+'[6]2038'!D25</f>
        <v>5</v>
      </c>
      <c r="E364" s="79">
        <f>ROUND('[6]2038'!E25,2)</f>
        <v>34024.86</v>
      </c>
      <c r="F364" s="79">
        <f>ROUND('[6]2038'!F25,2)</f>
        <v>32273.49</v>
      </c>
      <c r="G364" s="79">
        <f>ROUND('[6]2038'!G25,2)</f>
        <v>30912.639999999999</v>
      </c>
      <c r="H364" s="79">
        <f>ROUND('[6]2038'!H25,2)</f>
        <v>29937.4</v>
      </c>
      <c r="I364" s="79">
        <f>ROUND('[6]2038'!I25,2)</f>
        <v>29447.17</v>
      </c>
      <c r="J364" s="79">
        <f>ROUND('[6]2038'!J25,2)</f>
        <v>29226.91</v>
      </c>
      <c r="K364" s="79">
        <f>ROUND('[6]2038'!K25,2)</f>
        <v>28122.6</v>
      </c>
      <c r="L364" s="79">
        <f>ROUND('[6]2038'!L25,2)</f>
        <v>29611.98</v>
      </c>
      <c r="M364" s="79">
        <f>ROUND('[6]2038'!M25,2)</f>
        <v>31704.45</v>
      </c>
      <c r="N364" s="79">
        <f>ROUND('[6]2038'!N25,2)</f>
        <v>33219.120000000003</v>
      </c>
      <c r="O364" s="79">
        <f>ROUND('[6]2038'!O25,2)</f>
        <v>34572.980000000003</v>
      </c>
      <c r="P364" s="79">
        <f>ROUND('[6]2038'!P25,2)</f>
        <v>35739.49</v>
      </c>
      <c r="Q364" s="79">
        <f>ROUND('[6]2038'!Q25,2)</f>
        <v>36480.080000000002</v>
      </c>
      <c r="R364" s="79">
        <f>ROUND('[6]2038'!R25,2)</f>
        <v>36612.9</v>
      </c>
      <c r="S364" s="79">
        <f>ROUND('[6]2038'!S25,2)</f>
        <v>36753.449999999997</v>
      </c>
      <c r="T364" s="79">
        <f>ROUND('[6]2038'!T25,2)</f>
        <v>37155.339999999997</v>
      </c>
      <c r="U364" s="79">
        <f>ROUND('[6]2038'!U25,2)</f>
        <v>37016.25</v>
      </c>
      <c r="V364" s="79">
        <f>ROUND('[6]2038'!V25,2)</f>
        <v>37199.5</v>
      </c>
      <c r="W364" s="79">
        <f>ROUND('[6]2038'!W25,2)</f>
        <v>41588.959999999999</v>
      </c>
      <c r="X364" s="79">
        <f>ROUND('[6]2038'!X25,2)</f>
        <v>43106.64</v>
      </c>
      <c r="Y364" s="79">
        <f>ROUND('[6]2038'!Y25,2)</f>
        <v>42946.87</v>
      </c>
      <c r="Z364" s="79">
        <f>ROUND('[6]2038'!Z25,2)</f>
        <v>41686.9</v>
      </c>
      <c r="AA364" s="79">
        <f>ROUND('[6]2038'!AA25,2)</f>
        <v>38951.78</v>
      </c>
      <c r="AB364" s="79">
        <f>ROUND('[6]2038'!AB25,2)</f>
        <v>35805.11</v>
      </c>
      <c r="AC364" s="210"/>
      <c r="AD364" s="185"/>
    </row>
    <row r="365" spans="2:50" s="186" customFormat="1" ht="18.649999999999999" customHeight="1" thickBot="1" x14ac:dyDescent="0.4">
      <c r="B365" s="208"/>
      <c r="C365" s="15" t="s">
        <v>32</v>
      </c>
      <c r="D365" s="16">
        <f>+'[6]2038'!D26</f>
        <v>1</v>
      </c>
      <c r="E365" s="80">
        <f>ROUND('[6]2038'!E26,2)</f>
        <v>34024.86</v>
      </c>
      <c r="F365" s="80">
        <f>ROUND('[6]2038'!F26,2)</f>
        <v>32273.49</v>
      </c>
      <c r="G365" s="80">
        <f>ROUND('[6]2038'!G26,2)</f>
        <v>30912.639999999999</v>
      </c>
      <c r="H365" s="80">
        <f>ROUND('[6]2038'!H26,2)</f>
        <v>29937.4</v>
      </c>
      <c r="I365" s="80">
        <f>ROUND('[6]2038'!I26,2)</f>
        <v>29447.17</v>
      </c>
      <c r="J365" s="80">
        <f>ROUND('[6]2038'!J26,2)</f>
        <v>29226.91</v>
      </c>
      <c r="K365" s="80">
        <f>ROUND('[6]2038'!K26,2)</f>
        <v>28122.6</v>
      </c>
      <c r="L365" s="80">
        <f>ROUND('[6]2038'!L26,2)</f>
        <v>29611.98</v>
      </c>
      <c r="M365" s="80">
        <f>ROUND('[6]2038'!M26,2)</f>
        <v>31704.45</v>
      </c>
      <c r="N365" s="80">
        <f>ROUND('[6]2038'!N26,2)</f>
        <v>33219.120000000003</v>
      </c>
      <c r="O365" s="80">
        <f>ROUND('[6]2038'!O26,2)</f>
        <v>34572.980000000003</v>
      </c>
      <c r="P365" s="80">
        <f>ROUND('[6]2038'!P26,2)</f>
        <v>35739.49</v>
      </c>
      <c r="Q365" s="80">
        <f>ROUND('[6]2038'!Q26,2)</f>
        <v>36480.080000000002</v>
      </c>
      <c r="R365" s="80">
        <f>ROUND('[6]2038'!R26,2)</f>
        <v>36612.9</v>
      </c>
      <c r="S365" s="80">
        <f>ROUND('[6]2038'!S26,2)</f>
        <v>36753.449999999997</v>
      </c>
      <c r="T365" s="80">
        <f>ROUND('[6]2038'!T26,2)</f>
        <v>37155.339999999997</v>
      </c>
      <c r="U365" s="80">
        <f>ROUND('[6]2038'!U26,2)</f>
        <v>37016.25</v>
      </c>
      <c r="V365" s="80">
        <f>ROUND('[6]2038'!V26,2)</f>
        <v>37199.5</v>
      </c>
      <c r="W365" s="80">
        <f>ROUND('[6]2038'!W26,2)</f>
        <v>41588.959999999999</v>
      </c>
      <c r="X365" s="80">
        <f>ROUND('[6]2038'!X26,2)</f>
        <v>43106.64</v>
      </c>
      <c r="Y365" s="80">
        <f>ROUND('[6]2038'!Y26,2)</f>
        <v>42946.87</v>
      </c>
      <c r="Z365" s="80">
        <f>ROUND('[6]2038'!Z26,2)</f>
        <v>41686.9</v>
      </c>
      <c r="AA365" s="80">
        <f>ROUND('[6]2038'!AA26,2)</f>
        <v>38951.78</v>
      </c>
      <c r="AB365" s="80">
        <f>ROUND('[6]2038'!AB26,2)</f>
        <v>35805.11</v>
      </c>
      <c r="AC365" s="210"/>
      <c r="AD365" s="185"/>
    </row>
    <row r="366" spans="2:50" s="186" customFormat="1" ht="18.649999999999999" customHeight="1" x14ac:dyDescent="0.35">
      <c r="B366" s="211">
        <v>50496</v>
      </c>
      <c r="C366" s="6" t="s">
        <v>29</v>
      </c>
      <c r="D366" s="7">
        <f>+'[6]2038'!D27</f>
        <v>20</v>
      </c>
      <c r="E366" s="78">
        <f>ROUND('[6]2038'!E27,2)</f>
        <v>32251.46</v>
      </c>
      <c r="F366" s="78">
        <f>ROUND('[6]2038'!F27,2)</f>
        <v>30645.26</v>
      </c>
      <c r="G366" s="78">
        <f>ROUND('[6]2038'!G27,2)</f>
        <v>29470.39</v>
      </c>
      <c r="H366" s="78">
        <f>ROUND('[6]2038'!H27,2)</f>
        <v>28670.17</v>
      </c>
      <c r="I366" s="78">
        <f>ROUND('[6]2038'!I27,2)</f>
        <v>28792.76</v>
      </c>
      <c r="J366" s="78">
        <f>ROUND('[6]2038'!J27,2)</f>
        <v>29714.85</v>
      </c>
      <c r="K366" s="78">
        <f>ROUND('[6]2038'!K27,2)</f>
        <v>30043.51</v>
      </c>
      <c r="L366" s="78">
        <f>ROUND('[6]2038'!L27,2)</f>
        <v>33465.29</v>
      </c>
      <c r="M366" s="78">
        <f>ROUND('[6]2038'!M27,2)</f>
        <v>36987.68</v>
      </c>
      <c r="N366" s="78">
        <f>ROUND('[6]2038'!N27,2)</f>
        <v>38615.1</v>
      </c>
      <c r="O366" s="78">
        <f>ROUND('[6]2038'!O27,2)</f>
        <v>40427.43</v>
      </c>
      <c r="P366" s="78">
        <f>ROUND('[6]2038'!P27,2)</f>
        <v>41960.88</v>
      </c>
      <c r="Q366" s="78">
        <f>ROUND('[6]2038'!Q27,2)</f>
        <v>40316.74</v>
      </c>
      <c r="R366" s="78">
        <f>ROUND('[6]2038'!R27,2)</f>
        <v>41502.03</v>
      </c>
      <c r="S366" s="78">
        <f>ROUND('[6]2038'!S27,2)</f>
        <v>43810.400000000001</v>
      </c>
      <c r="T366" s="78">
        <f>ROUND('[6]2038'!T27,2)</f>
        <v>44090.75</v>
      </c>
      <c r="U366" s="78">
        <f>ROUND('[6]2038'!U27,2)</f>
        <v>43422.77</v>
      </c>
      <c r="V366" s="78">
        <f>ROUND('[6]2038'!V27,2)</f>
        <v>42295.15</v>
      </c>
      <c r="W366" s="78">
        <f>ROUND('[6]2038'!W27,2)</f>
        <v>44907.96</v>
      </c>
      <c r="X366" s="78">
        <f>ROUND('[6]2038'!X27,2)</f>
        <v>45044.32</v>
      </c>
      <c r="Y366" s="78">
        <f>ROUND('[6]2038'!Y27,2)</f>
        <v>43696.49</v>
      </c>
      <c r="Z366" s="78">
        <f>ROUND('[6]2038'!Z27,2)</f>
        <v>41597.379999999997</v>
      </c>
      <c r="AA366" s="78">
        <f>ROUND('[6]2038'!AA27,2)</f>
        <v>38444.910000000003</v>
      </c>
      <c r="AB366" s="78">
        <f>ROUND('[6]2038'!AB27,2)</f>
        <v>35002.82</v>
      </c>
      <c r="AC366" s="209">
        <f>SUM(E366:AB366)*D366+SUM(E367:AB367)*D367+SUM(E368:AB368)*D368+SUM(E369:AB369)*D369</f>
        <v>26340979.659999996</v>
      </c>
      <c r="AD366" s="185"/>
    </row>
    <row r="367" spans="2:50" s="186" customFormat="1" ht="18.649999999999999" customHeight="1" x14ac:dyDescent="0.35">
      <c r="B367" s="212" t="s">
        <v>34</v>
      </c>
      <c r="C367" s="9" t="s">
        <v>30</v>
      </c>
      <c r="D367" s="10">
        <f>+'[6]2038'!D28</f>
        <v>4</v>
      </c>
      <c r="E367" s="79">
        <f>ROUND('[6]2038'!E28,2)</f>
        <v>31925.8</v>
      </c>
      <c r="F367" s="79">
        <f>ROUND('[6]2038'!F28,2)</f>
        <v>30261.439999999999</v>
      </c>
      <c r="G367" s="79">
        <f>ROUND('[6]2038'!G28,2)</f>
        <v>29025.19</v>
      </c>
      <c r="H367" s="79">
        <f>ROUND('[6]2038'!H28,2)</f>
        <v>28180.93</v>
      </c>
      <c r="I367" s="79">
        <f>ROUND('[6]2038'!I28,2)</f>
        <v>27967.69</v>
      </c>
      <c r="J367" s="79">
        <f>ROUND('[6]2038'!J28,2)</f>
        <v>27959.200000000001</v>
      </c>
      <c r="K367" s="79">
        <f>ROUND('[6]2038'!K28,2)</f>
        <v>27892.98</v>
      </c>
      <c r="L367" s="79">
        <f>ROUND('[6]2038'!L28,2)</f>
        <v>30745.78</v>
      </c>
      <c r="M367" s="79">
        <f>ROUND('[6]2038'!M28,2)</f>
        <v>34066.14</v>
      </c>
      <c r="N367" s="79">
        <f>ROUND('[6]2038'!N28,2)</f>
        <v>35844.31</v>
      </c>
      <c r="O367" s="79">
        <f>ROUND('[6]2038'!O28,2)</f>
        <v>37585.56</v>
      </c>
      <c r="P367" s="79">
        <f>ROUND('[6]2038'!P28,2)</f>
        <v>38668.370000000003</v>
      </c>
      <c r="Q367" s="79">
        <f>ROUND('[6]2038'!Q28,2)</f>
        <v>38164.629999999997</v>
      </c>
      <c r="R367" s="79">
        <f>ROUND('[6]2038'!R28,2)</f>
        <v>37753.85</v>
      </c>
      <c r="S367" s="79">
        <f>ROUND('[6]2038'!S28,2)</f>
        <v>37964.019999999997</v>
      </c>
      <c r="T367" s="79">
        <f>ROUND('[6]2038'!T28,2)</f>
        <v>38036.17</v>
      </c>
      <c r="U367" s="79">
        <f>ROUND('[6]2038'!U28,2)</f>
        <v>37821.86</v>
      </c>
      <c r="V367" s="79">
        <f>ROUND('[6]2038'!V28,2)</f>
        <v>38053.410000000003</v>
      </c>
      <c r="W367" s="79">
        <f>ROUND('[6]2038'!W28,2)</f>
        <v>42263.53</v>
      </c>
      <c r="X367" s="79">
        <f>ROUND('[6]2038'!X28,2)</f>
        <v>42354.92</v>
      </c>
      <c r="Y367" s="79">
        <f>ROUND('[6]2038'!Y28,2)</f>
        <v>41180.559999999998</v>
      </c>
      <c r="Z367" s="79">
        <f>ROUND('[6]2038'!Z28,2)</f>
        <v>39452.199999999997</v>
      </c>
      <c r="AA367" s="79">
        <f>ROUND('[6]2038'!AA28,2)</f>
        <v>37268.33</v>
      </c>
      <c r="AB367" s="79">
        <f>ROUND('[6]2038'!AB28,2)</f>
        <v>34772.730000000003</v>
      </c>
      <c r="AC367" s="210"/>
      <c r="AD367" s="185"/>
    </row>
    <row r="368" spans="2:50" s="186" customFormat="1" ht="18.649999999999999" customHeight="1" x14ac:dyDescent="0.35">
      <c r="B368" s="212" t="s">
        <v>34</v>
      </c>
      <c r="C368" s="9" t="s">
        <v>31</v>
      </c>
      <c r="D368" s="10">
        <f>+'[6]2038'!D29</f>
        <v>4</v>
      </c>
      <c r="E368" s="79">
        <f>ROUND('[6]2038'!E29,2)</f>
        <v>32549.42</v>
      </c>
      <c r="F368" s="79">
        <f>ROUND('[6]2038'!F29,2)</f>
        <v>30948.080000000002</v>
      </c>
      <c r="G368" s="79">
        <f>ROUND('[6]2038'!G29,2)</f>
        <v>29623.9</v>
      </c>
      <c r="H368" s="79">
        <f>ROUND('[6]2038'!H29,2)</f>
        <v>28718.01</v>
      </c>
      <c r="I368" s="79">
        <f>ROUND('[6]2038'!I29,2)</f>
        <v>28336.25</v>
      </c>
      <c r="J368" s="79">
        <f>ROUND('[6]2038'!J29,2)</f>
        <v>27832.97</v>
      </c>
      <c r="K368" s="79">
        <f>ROUND('[6]2038'!K29,2)</f>
        <v>27249.18</v>
      </c>
      <c r="L368" s="79">
        <f>ROUND('[6]2038'!L29,2)</f>
        <v>28756.34</v>
      </c>
      <c r="M368" s="79">
        <f>ROUND('[6]2038'!M29,2)</f>
        <v>30354.080000000002</v>
      </c>
      <c r="N368" s="79">
        <f>ROUND('[6]2038'!N29,2)</f>
        <v>31779.99</v>
      </c>
      <c r="O368" s="79">
        <f>ROUND('[6]2038'!O29,2)</f>
        <v>33106.17</v>
      </c>
      <c r="P368" s="79">
        <f>ROUND('[6]2038'!P29,2)</f>
        <v>34158.339999999997</v>
      </c>
      <c r="Q368" s="79">
        <f>ROUND('[6]2038'!Q29,2)</f>
        <v>34746.699999999997</v>
      </c>
      <c r="R368" s="79">
        <f>ROUND('[6]2038'!R29,2)</f>
        <v>34908.79</v>
      </c>
      <c r="S368" s="79">
        <f>ROUND('[6]2038'!S29,2)</f>
        <v>35122.26</v>
      </c>
      <c r="T368" s="79">
        <f>ROUND('[6]2038'!T29,2)</f>
        <v>35436.82</v>
      </c>
      <c r="U368" s="79">
        <f>ROUND('[6]2038'!U29,2)</f>
        <v>35563.910000000003</v>
      </c>
      <c r="V368" s="79">
        <f>ROUND('[6]2038'!V29,2)</f>
        <v>35999.61</v>
      </c>
      <c r="W368" s="79">
        <f>ROUND('[6]2038'!W29,2)</f>
        <v>39992.47</v>
      </c>
      <c r="X368" s="79">
        <f>ROUND('[6]2038'!X29,2)</f>
        <v>41201.57</v>
      </c>
      <c r="Y368" s="79">
        <f>ROUND('[6]2038'!Y29,2)</f>
        <v>41066.07</v>
      </c>
      <c r="Z368" s="79">
        <f>ROUND('[6]2038'!Z29,2)</f>
        <v>40057.519999999997</v>
      </c>
      <c r="AA368" s="79">
        <f>ROUND('[6]2038'!AA29,2)</f>
        <v>37487.29</v>
      </c>
      <c r="AB368" s="79">
        <f>ROUND('[6]2038'!AB29,2)</f>
        <v>34439.47</v>
      </c>
      <c r="AC368" s="210"/>
      <c r="AD368" s="185"/>
    </row>
    <row r="369" spans="2:30" s="186" customFormat="1" ht="18.649999999999999" customHeight="1" thickBot="1" x14ac:dyDescent="0.4">
      <c r="B369" s="213" t="s">
        <v>34</v>
      </c>
      <c r="C369" s="11" t="s">
        <v>32</v>
      </c>
      <c r="D369" s="12">
        <f>+'[6]2038'!D30</f>
        <v>2</v>
      </c>
      <c r="E369" s="84">
        <f>ROUND('[6]2038'!E30,2)</f>
        <v>32549.42</v>
      </c>
      <c r="F369" s="75">
        <f>ROUND('[6]2038'!F30,2)</f>
        <v>30948.080000000002</v>
      </c>
      <c r="G369" s="75">
        <f>ROUND('[6]2038'!G30,2)</f>
        <v>29623.9</v>
      </c>
      <c r="H369" s="75">
        <f>ROUND('[6]2038'!H30,2)</f>
        <v>28718.01</v>
      </c>
      <c r="I369" s="75">
        <f>ROUND('[6]2038'!I30,2)</f>
        <v>28336.25</v>
      </c>
      <c r="J369" s="75">
        <f>ROUND('[6]2038'!J30,2)</f>
        <v>27832.97</v>
      </c>
      <c r="K369" s="75">
        <f>ROUND('[6]2038'!K30,2)</f>
        <v>27249.18</v>
      </c>
      <c r="L369" s="75">
        <f>ROUND('[6]2038'!L30,2)</f>
        <v>28756.34</v>
      </c>
      <c r="M369" s="75">
        <f>ROUND('[6]2038'!M30,2)</f>
        <v>30354.080000000002</v>
      </c>
      <c r="N369" s="75">
        <f>ROUND('[6]2038'!N30,2)</f>
        <v>31779.99</v>
      </c>
      <c r="O369" s="75">
        <f>ROUND('[6]2038'!O30,2)</f>
        <v>33106.17</v>
      </c>
      <c r="P369" s="75">
        <f>ROUND('[6]2038'!P30,2)</f>
        <v>34158.339999999997</v>
      </c>
      <c r="Q369" s="75">
        <f>ROUND('[6]2038'!Q30,2)</f>
        <v>34746.699999999997</v>
      </c>
      <c r="R369" s="75">
        <f>ROUND('[6]2038'!R30,2)</f>
        <v>34908.79</v>
      </c>
      <c r="S369" s="75">
        <f>ROUND('[6]2038'!S30,2)</f>
        <v>35122.26</v>
      </c>
      <c r="T369" s="75">
        <f>ROUND('[6]2038'!T30,2)</f>
        <v>35436.82</v>
      </c>
      <c r="U369" s="75">
        <f>ROUND('[6]2038'!U30,2)</f>
        <v>35563.910000000003</v>
      </c>
      <c r="V369" s="75">
        <f>ROUND('[6]2038'!V30,2)</f>
        <v>35999.61</v>
      </c>
      <c r="W369" s="75">
        <f>ROUND('[6]2038'!W30,2)</f>
        <v>39992.47</v>
      </c>
      <c r="X369" s="75">
        <f>ROUND('[6]2038'!X30,2)</f>
        <v>41201.57</v>
      </c>
      <c r="Y369" s="75">
        <f>ROUND('[6]2038'!Y30,2)</f>
        <v>41066.07</v>
      </c>
      <c r="Z369" s="75">
        <f>ROUND('[6]2038'!Z30,2)</f>
        <v>40057.519999999997</v>
      </c>
      <c r="AA369" s="75">
        <f>ROUND('[6]2038'!AA30,2)</f>
        <v>37487.29</v>
      </c>
      <c r="AB369" s="75">
        <f>ROUND('[6]2038'!AB30,2)</f>
        <v>34439.47</v>
      </c>
      <c r="AC369" s="214"/>
      <c r="AD369" s="185"/>
    </row>
    <row r="370" spans="2:30" s="186" customFormat="1" ht="18.649999999999999" customHeight="1" x14ac:dyDescent="0.35">
      <c r="B370" s="207">
        <v>50526</v>
      </c>
      <c r="C370" s="13" t="s">
        <v>29</v>
      </c>
      <c r="D370" s="14">
        <f>+'[6]2038'!D31</f>
        <v>21</v>
      </c>
      <c r="E370" s="81">
        <f>ROUND('[6]2038'!E31,2)</f>
        <v>31547.01</v>
      </c>
      <c r="F370" s="81">
        <f>ROUND('[6]2038'!F31,2)</f>
        <v>30049.119999999999</v>
      </c>
      <c r="G370" s="81">
        <f>ROUND('[6]2038'!G31,2)</f>
        <v>28915.41</v>
      </c>
      <c r="H370" s="81">
        <f>ROUND('[6]2038'!H31,2)</f>
        <v>28139.45</v>
      </c>
      <c r="I370" s="81">
        <f>ROUND('[6]2038'!I31,2)</f>
        <v>28277.360000000001</v>
      </c>
      <c r="J370" s="81">
        <f>ROUND('[6]2038'!J31,2)</f>
        <v>29060.54</v>
      </c>
      <c r="K370" s="81">
        <f>ROUND('[6]2038'!K31,2)</f>
        <v>29719.72</v>
      </c>
      <c r="L370" s="81">
        <f>ROUND('[6]2038'!L31,2)</f>
        <v>33192.82</v>
      </c>
      <c r="M370" s="81">
        <f>ROUND('[6]2038'!M31,2)</f>
        <v>36763.89</v>
      </c>
      <c r="N370" s="81">
        <f>ROUND('[6]2038'!N31,2)</f>
        <v>38436.18</v>
      </c>
      <c r="O370" s="81">
        <f>ROUND('[6]2038'!O31,2)</f>
        <v>40430.31</v>
      </c>
      <c r="P370" s="81">
        <f>ROUND('[6]2038'!P31,2)</f>
        <v>41732.730000000003</v>
      </c>
      <c r="Q370" s="81">
        <f>ROUND('[6]2038'!Q31,2)</f>
        <v>40037.379999999997</v>
      </c>
      <c r="R370" s="81">
        <f>ROUND('[6]2038'!R31,2)</f>
        <v>41134.629999999997</v>
      </c>
      <c r="S370" s="81">
        <f>ROUND('[6]2038'!S31,2)</f>
        <v>43268.23</v>
      </c>
      <c r="T370" s="81">
        <f>ROUND('[6]2038'!T31,2)</f>
        <v>43481.8</v>
      </c>
      <c r="U370" s="81">
        <f>ROUND('[6]2038'!U31,2)</f>
        <v>42859.63</v>
      </c>
      <c r="V370" s="81">
        <f>ROUND('[6]2038'!V31,2)</f>
        <v>41459.18</v>
      </c>
      <c r="W370" s="81">
        <f>ROUND('[6]2038'!W31,2)</f>
        <v>44038.34</v>
      </c>
      <c r="X370" s="81">
        <f>ROUND('[6]2038'!X31,2)</f>
        <v>44212.87</v>
      </c>
      <c r="Y370" s="81">
        <f>ROUND('[6]2038'!Y31,2)</f>
        <v>42849.23</v>
      </c>
      <c r="Z370" s="81">
        <f>ROUND('[6]2038'!Z31,2)</f>
        <v>40584.379999999997</v>
      </c>
      <c r="AA370" s="81">
        <f>ROUND('[6]2038'!AA31,2)</f>
        <v>37394.1</v>
      </c>
      <c r="AB370" s="81">
        <f>ROUND('[6]2038'!AB31,2)</f>
        <v>34135.019999999997</v>
      </c>
      <c r="AC370" s="210">
        <f>SUM(E370:AB370)*D370+SUM(E371:AB371)*D371+SUM(E372:AB372)*D372+SUM(E373:AB373)*D373</f>
        <v>27041098.829999998</v>
      </c>
      <c r="AD370" s="185"/>
    </row>
    <row r="371" spans="2:30" s="186" customFormat="1" ht="18.649999999999999" customHeight="1" x14ac:dyDescent="0.35">
      <c r="B371" s="208"/>
      <c r="C371" s="9" t="s">
        <v>30</v>
      </c>
      <c r="D371" s="10">
        <f>+'[6]2038'!D32</f>
        <v>4</v>
      </c>
      <c r="E371" s="79">
        <f>ROUND('[6]2038'!E32,2)</f>
        <v>32094.52</v>
      </c>
      <c r="F371" s="79">
        <f>ROUND('[6]2038'!F32,2)</f>
        <v>30227.360000000001</v>
      </c>
      <c r="G371" s="79">
        <f>ROUND('[6]2038'!G32,2)</f>
        <v>28964.37</v>
      </c>
      <c r="H371" s="79">
        <f>ROUND('[6]2038'!H32,2)</f>
        <v>28150.86</v>
      </c>
      <c r="I371" s="79">
        <f>ROUND('[6]2038'!I32,2)</f>
        <v>28002.26</v>
      </c>
      <c r="J371" s="79">
        <f>ROUND('[6]2038'!J32,2)</f>
        <v>27697.85</v>
      </c>
      <c r="K371" s="79">
        <f>ROUND('[6]2038'!K32,2)</f>
        <v>27964.65</v>
      </c>
      <c r="L371" s="79">
        <f>ROUND('[6]2038'!L32,2)</f>
        <v>31166.27</v>
      </c>
      <c r="M371" s="79">
        <f>ROUND('[6]2038'!M32,2)</f>
        <v>34737.599999999999</v>
      </c>
      <c r="N371" s="79">
        <f>ROUND('[6]2038'!N32,2)</f>
        <v>36741.629999999997</v>
      </c>
      <c r="O371" s="79">
        <f>ROUND('[6]2038'!O32,2)</f>
        <v>38270.42</v>
      </c>
      <c r="P371" s="79">
        <f>ROUND('[6]2038'!P32,2)</f>
        <v>39295.589999999997</v>
      </c>
      <c r="Q371" s="79">
        <f>ROUND('[6]2038'!Q32,2)</f>
        <v>38492.49</v>
      </c>
      <c r="R371" s="79">
        <f>ROUND('[6]2038'!R32,2)</f>
        <v>37960.1</v>
      </c>
      <c r="S371" s="79">
        <f>ROUND('[6]2038'!S32,2)</f>
        <v>38238.25</v>
      </c>
      <c r="T371" s="79">
        <f>ROUND('[6]2038'!T32,2)</f>
        <v>38307.96</v>
      </c>
      <c r="U371" s="79">
        <f>ROUND('[6]2038'!U32,2)</f>
        <v>38090.58</v>
      </c>
      <c r="V371" s="79">
        <f>ROUND('[6]2038'!V32,2)</f>
        <v>38367.33</v>
      </c>
      <c r="W371" s="79">
        <f>ROUND('[6]2038'!W32,2)</f>
        <v>42452.94</v>
      </c>
      <c r="X371" s="79">
        <f>ROUND('[6]2038'!X32,2)</f>
        <v>42934.75</v>
      </c>
      <c r="Y371" s="79">
        <f>ROUND('[6]2038'!Y32,2)</f>
        <v>41664.300000000003</v>
      </c>
      <c r="Z371" s="79">
        <f>ROUND('[6]2038'!Z32,2)</f>
        <v>39786.839999999997</v>
      </c>
      <c r="AA371" s="79">
        <f>ROUND('[6]2038'!AA32,2)</f>
        <v>37611.22</v>
      </c>
      <c r="AB371" s="79">
        <f>ROUND('[6]2038'!AB32,2)</f>
        <v>35087.9</v>
      </c>
      <c r="AC371" s="210"/>
      <c r="AD371" s="185"/>
    </row>
    <row r="372" spans="2:30" s="186" customFormat="1" ht="18.649999999999999" customHeight="1" x14ac:dyDescent="0.35">
      <c r="B372" s="208"/>
      <c r="C372" s="9" t="s">
        <v>31</v>
      </c>
      <c r="D372" s="10">
        <f>+'[6]2038'!D33</f>
        <v>5</v>
      </c>
      <c r="E372" s="79">
        <f>ROUND('[6]2038'!E33,2)</f>
        <v>32473.37</v>
      </c>
      <c r="F372" s="79">
        <f>ROUND('[6]2038'!F33,2)</f>
        <v>30938.99</v>
      </c>
      <c r="G372" s="79">
        <f>ROUND('[6]2038'!G33,2)</f>
        <v>29716.57</v>
      </c>
      <c r="H372" s="79">
        <f>ROUND('[6]2038'!H33,2)</f>
        <v>28839.8</v>
      </c>
      <c r="I372" s="79">
        <f>ROUND('[6]2038'!I33,2)</f>
        <v>28466.17</v>
      </c>
      <c r="J372" s="79">
        <f>ROUND('[6]2038'!J33,2)</f>
        <v>27607.71</v>
      </c>
      <c r="K372" s="79">
        <f>ROUND('[6]2038'!K33,2)</f>
        <v>27191.119999999999</v>
      </c>
      <c r="L372" s="79">
        <f>ROUND('[6]2038'!L33,2)</f>
        <v>28813.79</v>
      </c>
      <c r="M372" s="79">
        <f>ROUND('[6]2038'!M33,2)</f>
        <v>31020.53</v>
      </c>
      <c r="N372" s="79">
        <f>ROUND('[6]2038'!N33,2)</f>
        <v>32765.34</v>
      </c>
      <c r="O372" s="79">
        <f>ROUND('[6]2038'!O33,2)</f>
        <v>33960.65</v>
      </c>
      <c r="P372" s="79">
        <f>ROUND('[6]2038'!P33,2)</f>
        <v>34851.26</v>
      </c>
      <c r="Q372" s="79">
        <f>ROUND('[6]2038'!Q33,2)</f>
        <v>35358.92</v>
      </c>
      <c r="R372" s="79">
        <f>ROUND('[6]2038'!R33,2)</f>
        <v>35466.58</v>
      </c>
      <c r="S372" s="79">
        <f>ROUND('[6]2038'!S33,2)</f>
        <v>35614.480000000003</v>
      </c>
      <c r="T372" s="79">
        <f>ROUND('[6]2038'!T33,2)</f>
        <v>36007.129999999997</v>
      </c>
      <c r="U372" s="79">
        <f>ROUND('[6]2038'!U33,2)</f>
        <v>35904.28</v>
      </c>
      <c r="V372" s="79">
        <f>ROUND('[6]2038'!V33,2)</f>
        <v>36478.46</v>
      </c>
      <c r="W372" s="79">
        <f>ROUND('[6]2038'!W33,2)</f>
        <v>40712.370000000003</v>
      </c>
      <c r="X372" s="79">
        <f>ROUND('[6]2038'!X33,2)</f>
        <v>41830.86</v>
      </c>
      <c r="Y372" s="79">
        <f>ROUND('[6]2038'!Y33,2)</f>
        <v>41603.360000000001</v>
      </c>
      <c r="Z372" s="79">
        <f>ROUND('[6]2038'!Z33,2)</f>
        <v>40267.910000000003</v>
      </c>
      <c r="AA372" s="79">
        <f>ROUND('[6]2038'!AA33,2)</f>
        <v>37572.58</v>
      </c>
      <c r="AB372" s="79">
        <f>ROUND('[6]2038'!AB33,2)</f>
        <v>34164.559999999998</v>
      </c>
      <c r="AC372" s="210"/>
      <c r="AD372" s="185"/>
    </row>
    <row r="373" spans="2:30" s="186" customFormat="1" ht="18.649999999999999" customHeight="1" thickBot="1" x14ac:dyDescent="0.4">
      <c r="B373" s="208"/>
      <c r="C373" s="15" t="s">
        <v>32</v>
      </c>
      <c r="D373" s="16">
        <f>+'[6]2038'!D34</f>
        <v>1</v>
      </c>
      <c r="E373" s="80">
        <f>ROUND('[6]2038'!E34,2)</f>
        <v>32473.37</v>
      </c>
      <c r="F373" s="80">
        <f>ROUND('[6]2038'!F34,2)</f>
        <v>30938.99</v>
      </c>
      <c r="G373" s="80">
        <f>ROUND('[6]2038'!G34,2)</f>
        <v>29716.57</v>
      </c>
      <c r="H373" s="80">
        <f>ROUND('[6]2038'!H34,2)</f>
        <v>28839.8</v>
      </c>
      <c r="I373" s="80">
        <f>ROUND('[6]2038'!I34,2)</f>
        <v>28466.17</v>
      </c>
      <c r="J373" s="80">
        <f>ROUND('[6]2038'!J34,2)</f>
        <v>27607.71</v>
      </c>
      <c r="K373" s="80">
        <f>ROUND('[6]2038'!K34,2)</f>
        <v>27191.119999999999</v>
      </c>
      <c r="L373" s="80">
        <f>ROUND('[6]2038'!L34,2)</f>
        <v>28813.79</v>
      </c>
      <c r="M373" s="80">
        <f>ROUND('[6]2038'!M34,2)</f>
        <v>31020.53</v>
      </c>
      <c r="N373" s="80">
        <f>ROUND('[6]2038'!N34,2)</f>
        <v>32765.34</v>
      </c>
      <c r="O373" s="80">
        <f>ROUND('[6]2038'!O34,2)</f>
        <v>33960.65</v>
      </c>
      <c r="P373" s="80">
        <f>ROUND('[6]2038'!P34,2)</f>
        <v>34851.26</v>
      </c>
      <c r="Q373" s="80">
        <f>ROUND('[6]2038'!Q34,2)</f>
        <v>35358.92</v>
      </c>
      <c r="R373" s="80">
        <f>ROUND('[6]2038'!R34,2)</f>
        <v>35466.58</v>
      </c>
      <c r="S373" s="80">
        <f>ROUND('[6]2038'!S34,2)</f>
        <v>35614.480000000003</v>
      </c>
      <c r="T373" s="80">
        <f>ROUND('[6]2038'!T34,2)</f>
        <v>36007.129999999997</v>
      </c>
      <c r="U373" s="80">
        <f>ROUND('[6]2038'!U34,2)</f>
        <v>35904.28</v>
      </c>
      <c r="V373" s="80">
        <f>ROUND('[6]2038'!V34,2)</f>
        <v>36478.46</v>
      </c>
      <c r="W373" s="80">
        <f>ROUND('[6]2038'!W34,2)</f>
        <v>40712.370000000003</v>
      </c>
      <c r="X373" s="80">
        <f>ROUND('[6]2038'!X34,2)</f>
        <v>41830.86</v>
      </c>
      <c r="Y373" s="80">
        <f>ROUND('[6]2038'!Y34,2)</f>
        <v>41603.360000000001</v>
      </c>
      <c r="Z373" s="80">
        <f>ROUND('[6]2038'!Z34,2)</f>
        <v>40267.910000000003</v>
      </c>
      <c r="AA373" s="80">
        <f>ROUND('[6]2038'!AA34,2)</f>
        <v>37572.58</v>
      </c>
      <c r="AB373" s="80">
        <f>ROUND('[6]2038'!AB34,2)</f>
        <v>34164.559999999998</v>
      </c>
      <c r="AC373" s="210"/>
      <c r="AD373" s="185"/>
    </row>
    <row r="374" spans="2:30" s="186" customFormat="1" ht="18.649999999999999" customHeight="1" x14ac:dyDescent="0.35">
      <c r="B374" s="211">
        <v>50557</v>
      </c>
      <c r="C374" s="6" t="s">
        <v>29</v>
      </c>
      <c r="D374" s="7">
        <f>+'[6]2038'!D35</f>
        <v>20</v>
      </c>
      <c r="E374" s="78">
        <f>ROUND('[6]2038'!E35,2)</f>
        <v>31674.58</v>
      </c>
      <c r="F374" s="78">
        <f>ROUND('[6]2038'!F35,2)</f>
        <v>30083.91</v>
      </c>
      <c r="G374" s="78">
        <f>ROUND('[6]2038'!G35,2)</f>
        <v>28978.53</v>
      </c>
      <c r="H374" s="78">
        <f>ROUND('[6]2038'!H35,2)</f>
        <v>28113.63</v>
      </c>
      <c r="I374" s="78">
        <f>ROUND('[6]2038'!I35,2)</f>
        <v>28200.23</v>
      </c>
      <c r="J374" s="78">
        <f>ROUND('[6]2038'!J35,2)</f>
        <v>28588.51</v>
      </c>
      <c r="K374" s="78">
        <f>ROUND('[6]2038'!K35,2)</f>
        <v>29205.8</v>
      </c>
      <c r="L374" s="78">
        <f>ROUND('[6]2038'!L35,2)</f>
        <v>32883.58</v>
      </c>
      <c r="M374" s="78">
        <f>ROUND('[6]2038'!M35,2)</f>
        <v>36463.74</v>
      </c>
      <c r="N374" s="78">
        <f>ROUND('[6]2038'!N35,2)</f>
        <v>38236.019999999997</v>
      </c>
      <c r="O374" s="78">
        <f>ROUND('[6]2038'!O35,2)</f>
        <v>40286.32</v>
      </c>
      <c r="P374" s="78">
        <f>ROUND('[6]2038'!P35,2)</f>
        <v>41633.96</v>
      </c>
      <c r="Q374" s="78">
        <f>ROUND('[6]2038'!Q35,2)</f>
        <v>40153.74</v>
      </c>
      <c r="R374" s="78">
        <f>ROUND('[6]2038'!R35,2)</f>
        <v>41034.49</v>
      </c>
      <c r="S374" s="78">
        <f>ROUND('[6]2038'!S35,2)</f>
        <v>43052.13</v>
      </c>
      <c r="T374" s="78">
        <f>ROUND('[6]2038'!T35,2)</f>
        <v>43291.42</v>
      </c>
      <c r="U374" s="78">
        <f>ROUND('[6]2038'!U35,2)</f>
        <v>42860.99</v>
      </c>
      <c r="V374" s="78">
        <f>ROUND('[6]2038'!V35,2)</f>
        <v>41522.06</v>
      </c>
      <c r="W374" s="78">
        <f>ROUND('[6]2038'!W35,2)</f>
        <v>43945.59</v>
      </c>
      <c r="X374" s="78">
        <f>ROUND('[6]2038'!X35,2)</f>
        <v>44502.400000000001</v>
      </c>
      <c r="Y374" s="78">
        <f>ROUND('[6]2038'!Y35,2)</f>
        <v>43048.4</v>
      </c>
      <c r="Z374" s="78">
        <f>ROUND('[6]2038'!Z35,2)</f>
        <v>40841.879999999997</v>
      </c>
      <c r="AA374" s="78">
        <f>ROUND('[6]2038'!AA35,2)</f>
        <v>37558.61</v>
      </c>
      <c r="AB374" s="78">
        <f>ROUND('[6]2038'!AB35,2)</f>
        <v>34247.65</v>
      </c>
      <c r="AC374" s="209">
        <f>SUM(E374:AB374)*D374+SUM(E375:AB375)*D375+SUM(E376:AB376)*D376+SUM(E377:AB377)*D377</f>
        <v>25991448.280000001</v>
      </c>
      <c r="AD374" s="185"/>
    </row>
    <row r="375" spans="2:30" s="186" customFormat="1" ht="18.649999999999999" customHeight="1" x14ac:dyDescent="0.35">
      <c r="B375" s="212" t="s">
        <v>34</v>
      </c>
      <c r="C375" s="9" t="s">
        <v>30</v>
      </c>
      <c r="D375" s="10">
        <f>+'[6]2038'!D36</f>
        <v>4</v>
      </c>
      <c r="E375" s="79">
        <f>ROUND('[6]2038'!E36,2)</f>
        <v>31752.45</v>
      </c>
      <c r="F375" s="79">
        <f>ROUND('[6]2038'!F36,2)</f>
        <v>30192.720000000001</v>
      </c>
      <c r="G375" s="79">
        <f>ROUND('[6]2038'!G36,2)</f>
        <v>29033.66</v>
      </c>
      <c r="H375" s="79">
        <f>ROUND('[6]2038'!H36,2)</f>
        <v>28238.16</v>
      </c>
      <c r="I375" s="79">
        <f>ROUND('[6]2038'!I36,2)</f>
        <v>28098.639999999999</v>
      </c>
      <c r="J375" s="79">
        <f>ROUND('[6]2038'!J36,2)</f>
        <v>27743.21</v>
      </c>
      <c r="K375" s="79">
        <f>ROUND('[6]2038'!K36,2)</f>
        <v>28015.23</v>
      </c>
      <c r="L375" s="79">
        <f>ROUND('[6]2038'!L36,2)</f>
        <v>31247.26</v>
      </c>
      <c r="M375" s="79">
        <f>ROUND('[6]2038'!M36,2)</f>
        <v>34794.04</v>
      </c>
      <c r="N375" s="79">
        <f>ROUND('[6]2038'!N36,2)</f>
        <v>36819.440000000002</v>
      </c>
      <c r="O375" s="79">
        <f>ROUND('[6]2038'!O36,2)</f>
        <v>38555.03</v>
      </c>
      <c r="P375" s="79">
        <f>ROUND('[6]2038'!P36,2)</f>
        <v>39606.19</v>
      </c>
      <c r="Q375" s="79">
        <f>ROUND('[6]2038'!Q36,2)</f>
        <v>38882.76</v>
      </c>
      <c r="R375" s="79">
        <f>ROUND('[6]2038'!R36,2)</f>
        <v>38101.040000000001</v>
      </c>
      <c r="S375" s="79">
        <f>ROUND('[6]2038'!S36,2)</f>
        <v>38219.57</v>
      </c>
      <c r="T375" s="79">
        <f>ROUND('[6]2038'!T36,2)</f>
        <v>38244.050000000003</v>
      </c>
      <c r="U375" s="79">
        <f>ROUND('[6]2038'!U36,2)</f>
        <v>37799.51</v>
      </c>
      <c r="V375" s="79">
        <f>ROUND('[6]2038'!V36,2)</f>
        <v>37951.96</v>
      </c>
      <c r="W375" s="79">
        <f>ROUND('[6]2038'!W36,2)</f>
        <v>41231.82</v>
      </c>
      <c r="X375" s="79">
        <f>ROUND('[6]2038'!X36,2)</f>
        <v>42096.76</v>
      </c>
      <c r="Y375" s="79">
        <f>ROUND('[6]2038'!Y36,2)</f>
        <v>40888.06</v>
      </c>
      <c r="Z375" s="79">
        <f>ROUND('[6]2038'!Z36,2)</f>
        <v>38847.949999999997</v>
      </c>
      <c r="AA375" s="79">
        <f>ROUND('[6]2038'!AA36,2)</f>
        <v>36477.620000000003</v>
      </c>
      <c r="AB375" s="79">
        <f>ROUND('[6]2038'!AB36,2)</f>
        <v>34027.97</v>
      </c>
      <c r="AC375" s="210"/>
      <c r="AD375" s="185"/>
    </row>
    <row r="376" spans="2:30" s="186" customFormat="1" ht="18.649999999999999" customHeight="1" x14ac:dyDescent="0.35">
      <c r="B376" s="212" t="s">
        <v>34</v>
      </c>
      <c r="C376" s="9" t="s">
        <v>31</v>
      </c>
      <c r="D376" s="10">
        <f>+'[6]2038'!D37</f>
        <v>4</v>
      </c>
      <c r="E376" s="79">
        <f>ROUND('[6]2038'!E37,2)</f>
        <v>32232.13</v>
      </c>
      <c r="F376" s="79">
        <f>ROUND('[6]2038'!F37,2)</f>
        <v>30599.59</v>
      </c>
      <c r="G376" s="79">
        <f>ROUND('[6]2038'!G37,2)</f>
        <v>29331.54</v>
      </c>
      <c r="H376" s="79">
        <f>ROUND('[6]2038'!H37,2)</f>
        <v>28498.080000000002</v>
      </c>
      <c r="I376" s="79">
        <f>ROUND('[6]2038'!I37,2)</f>
        <v>28173</v>
      </c>
      <c r="J376" s="79">
        <f>ROUND('[6]2038'!J37,2)</f>
        <v>27287.919999999998</v>
      </c>
      <c r="K376" s="79">
        <f>ROUND('[6]2038'!K37,2)</f>
        <v>26688.240000000002</v>
      </c>
      <c r="L376" s="79">
        <f>ROUND('[6]2038'!L37,2)</f>
        <v>28151.46</v>
      </c>
      <c r="M376" s="79">
        <f>ROUND('[6]2038'!M37,2)</f>
        <v>30080.51</v>
      </c>
      <c r="N376" s="79">
        <f>ROUND('[6]2038'!N37,2)</f>
        <v>31693.68</v>
      </c>
      <c r="O376" s="79">
        <f>ROUND('[6]2038'!O37,2)</f>
        <v>32835.32</v>
      </c>
      <c r="P376" s="79">
        <f>ROUND('[6]2038'!P37,2)</f>
        <v>33743.089999999997</v>
      </c>
      <c r="Q376" s="79">
        <f>ROUND('[6]2038'!Q37,2)</f>
        <v>34452.980000000003</v>
      </c>
      <c r="R376" s="79">
        <f>ROUND('[6]2038'!R37,2)</f>
        <v>34388.97</v>
      </c>
      <c r="S376" s="79">
        <f>ROUND('[6]2038'!S37,2)</f>
        <v>34507.589999999997</v>
      </c>
      <c r="T376" s="79">
        <f>ROUND('[6]2038'!T37,2)</f>
        <v>34787.839999999997</v>
      </c>
      <c r="U376" s="79">
        <f>ROUND('[6]2038'!U37,2)</f>
        <v>34843.64</v>
      </c>
      <c r="V376" s="79">
        <f>ROUND('[6]2038'!V37,2)</f>
        <v>35239.67</v>
      </c>
      <c r="W376" s="79">
        <f>ROUND('[6]2038'!W37,2)</f>
        <v>39290.9</v>
      </c>
      <c r="X376" s="79">
        <f>ROUND('[6]2038'!X37,2)</f>
        <v>41187.1</v>
      </c>
      <c r="Y376" s="79">
        <f>ROUND('[6]2038'!Y37,2)</f>
        <v>40666.519999999997</v>
      </c>
      <c r="Z376" s="79">
        <f>ROUND('[6]2038'!Z37,2)</f>
        <v>39364.46</v>
      </c>
      <c r="AA376" s="79">
        <f>ROUND('[6]2038'!AA37,2)</f>
        <v>36981.360000000001</v>
      </c>
      <c r="AB376" s="79">
        <f>ROUND('[6]2038'!AB37,2)</f>
        <v>34278.49</v>
      </c>
      <c r="AC376" s="210"/>
      <c r="AD376" s="185"/>
    </row>
    <row r="377" spans="2:30" s="186" customFormat="1" ht="18.649999999999999" customHeight="1" thickBot="1" x14ac:dyDescent="0.4">
      <c r="B377" s="213" t="s">
        <v>34</v>
      </c>
      <c r="C377" s="11" t="s">
        <v>32</v>
      </c>
      <c r="D377" s="12">
        <f>+'[6]2038'!D38</f>
        <v>2</v>
      </c>
      <c r="E377" s="76">
        <f>ROUND('[6]2038'!E38,2)</f>
        <v>32232.13</v>
      </c>
      <c r="F377" s="76">
        <f>ROUND('[6]2038'!F38,2)</f>
        <v>30599.59</v>
      </c>
      <c r="G377" s="76">
        <f>ROUND('[6]2038'!G38,2)</f>
        <v>29331.54</v>
      </c>
      <c r="H377" s="76">
        <f>ROUND('[6]2038'!H38,2)</f>
        <v>28498.080000000002</v>
      </c>
      <c r="I377" s="76">
        <f>ROUND('[6]2038'!I38,2)</f>
        <v>28173</v>
      </c>
      <c r="J377" s="76">
        <f>ROUND('[6]2038'!J38,2)</f>
        <v>27287.919999999998</v>
      </c>
      <c r="K377" s="76">
        <f>ROUND('[6]2038'!K38,2)</f>
        <v>26688.240000000002</v>
      </c>
      <c r="L377" s="76">
        <f>ROUND('[6]2038'!L38,2)</f>
        <v>28151.46</v>
      </c>
      <c r="M377" s="76">
        <f>ROUND('[6]2038'!M38,2)</f>
        <v>30080.51</v>
      </c>
      <c r="N377" s="76">
        <f>ROUND('[6]2038'!N38,2)</f>
        <v>31693.68</v>
      </c>
      <c r="O377" s="76">
        <f>ROUND('[6]2038'!O38,2)</f>
        <v>32835.32</v>
      </c>
      <c r="P377" s="76">
        <f>ROUND('[6]2038'!P38,2)</f>
        <v>33743.089999999997</v>
      </c>
      <c r="Q377" s="76">
        <f>ROUND('[6]2038'!Q38,2)</f>
        <v>34452.980000000003</v>
      </c>
      <c r="R377" s="76">
        <f>ROUND('[6]2038'!R38,2)</f>
        <v>34388.97</v>
      </c>
      <c r="S377" s="76">
        <f>ROUND('[6]2038'!S38,2)</f>
        <v>34507.589999999997</v>
      </c>
      <c r="T377" s="76">
        <f>ROUND('[6]2038'!T38,2)</f>
        <v>34787.839999999997</v>
      </c>
      <c r="U377" s="76">
        <f>ROUND('[6]2038'!U38,2)</f>
        <v>34843.64</v>
      </c>
      <c r="V377" s="76">
        <f>ROUND('[6]2038'!V38,2)</f>
        <v>35239.67</v>
      </c>
      <c r="W377" s="76">
        <f>ROUND('[6]2038'!W38,2)</f>
        <v>39290.9</v>
      </c>
      <c r="X377" s="76">
        <f>ROUND('[6]2038'!X38,2)</f>
        <v>41187.1</v>
      </c>
      <c r="Y377" s="76">
        <f>ROUND('[6]2038'!Y38,2)</f>
        <v>40666.519999999997</v>
      </c>
      <c r="Z377" s="76">
        <f>ROUND('[6]2038'!Z38,2)</f>
        <v>39364.46</v>
      </c>
      <c r="AA377" s="76">
        <f>ROUND('[6]2038'!AA38,2)</f>
        <v>36981.360000000001</v>
      </c>
      <c r="AB377" s="76">
        <f>ROUND('[6]2038'!AB38,2)</f>
        <v>34278.49</v>
      </c>
      <c r="AC377" s="214"/>
      <c r="AD377" s="185"/>
    </row>
    <row r="378" spans="2:30" s="186" customFormat="1" ht="18.649999999999999" customHeight="1" x14ac:dyDescent="0.35">
      <c r="B378" s="207">
        <v>50587</v>
      </c>
      <c r="C378" s="13" t="s">
        <v>29</v>
      </c>
      <c r="D378" s="14">
        <f>+'[6]2038'!D39</f>
        <v>20</v>
      </c>
      <c r="E378" s="81">
        <f>ROUND('[6]2038'!E39,2)</f>
        <v>31619.37</v>
      </c>
      <c r="F378" s="81">
        <f>ROUND('[6]2038'!F39,2)</f>
        <v>30002.99</v>
      </c>
      <c r="G378" s="81">
        <f>ROUND('[6]2038'!G39,2)</f>
        <v>28796.59</v>
      </c>
      <c r="H378" s="81">
        <f>ROUND('[6]2038'!H39,2)</f>
        <v>27991</v>
      </c>
      <c r="I378" s="81">
        <f>ROUND('[6]2038'!I39,2)</f>
        <v>27961.29</v>
      </c>
      <c r="J378" s="81">
        <f>ROUND('[6]2038'!J39,2)</f>
        <v>28680.38</v>
      </c>
      <c r="K378" s="81">
        <f>ROUND('[6]2038'!K39,2)</f>
        <v>29053.13</v>
      </c>
      <c r="L378" s="81">
        <f>ROUND('[6]2038'!L39,2)</f>
        <v>32631.69</v>
      </c>
      <c r="M378" s="81">
        <f>ROUND('[6]2038'!M39,2)</f>
        <v>36140.36</v>
      </c>
      <c r="N378" s="81">
        <f>ROUND('[6]2038'!N39,2)</f>
        <v>37945.040000000001</v>
      </c>
      <c r="O378" s="81">
        <f>ROUND('[6]2038'!O39,2)</f>
        <v>40042.43</v>
      </c>
      <c r="P378" s="81">
        <f>ROUND('[6]2038'!P39,2)</f>
        <v>41615.49</v>
      </c>
      <c r="Q378" s="81">
        <f>ROUND('[6]2038'!Q39,2)</f>
        <v>40131.949999999997</v>
      </c>
      <c r="R378" s="81">
        <f>ROUND('[6]2038'!R39,2)</f>
        <v>41482.22</v>
      </c>
      <c r="S378" s="81">
        <f>ROUND('[6]2038'!S39,2)</f>
        <v>43844.11</v>
      </c>
      <c r="T378" s="81">
        <f>ROUND('[6]2038'!T39,2)</f>
        <v>44103.78</v>
      </c>
      <c r="U378" s="81">
        <f>ROUND('[6]2038'!U39,2)</f>
        <v>43505.23</v>
      </c>
      <c r="V378" s="81">
        <f>ROUND('[6]2038'!V39,2)</f>
        <v>41656.53</v>
      </c>
      <c r="W378" s="81">
        <f>ROUND('[6]2038'!W39,2)</f>
        <v>43503.91</v>
      </c>
      <c r="X378" s="81">
        <f>ROUND('[6]2038'!X39,2)</f>
        <v>44517.93</v>
      </c>
      <c r="Y378" s="81">
        <f>ROUND('[6]2038'!Y39,2)</f>
        <v>43311.79</v>
      </c>
      <c r="Z378" s="81">
        <f>ROUND('[6]2038'!Z39,2)</f>
        <v>41158.51</v>
      </c>
      <c r="AA378" s="81">
        <f>ROUND('[6]2038'!AA39,2)</f>
        <v>37792.5</v>
      </c>
      <c r="AB378" s="81">
        <f>ROUND('[6]2038'!AB39,2)</f>
        <v>34535.339999999997</v>
      </c>
      <c r="AC378" s="210">
        <f>SUM(E378:AB378)*D378+SUM(E379:AB379)*D379+SUM(E380:AB380)*D380+SUM(E381:AB381)*D381</f>
        <v>26673446.140000004</v>
      </c>
      <c r="AD378" s="185"/>
    </row>
    <row r="379" spans="2:30" s="186" customFormat="1" ht="18.649999999999999" customHeight="1" x14ac:dyDescent="0.35">
      <c r="B379" s="208"/>
      <c r="C379" s="9" t="s">
        <v>30</v>
      </c>
      <c r="D379" s="10">
        <f>+'[6]2038'!D40</f>
        <v>5</v>
      </c>
      <c r="E379" s="79">
        <f>ROUND('[6]2038'!E40,2)</f>
        <v>32208.94</v>
      </c>
      <c r="F379" s="79">
        <f>ROUND('[6]2038'!F40,2)</f>
        <v>30388.34</v>
      </c>
      <c r="G379" s="79">
        <f>ROUND('[6]2038'!G40,2)</f>
        <v>29078.42</v>
      </c>
      <c r="H379" s="79">
        <f>ROUND('[6]2038'!H40,2)</f>
        <v>28284.61</v>
      </c>
      <c r="I379" s="79">
        <f>ROUND('[6]2038'!I40,2)</f>
        <v>27908.799999999999</v>
      </c>
      <c r="J379" s="79">
        <f>ROUND('[6]2038'!J40,2)</f>
        <v>27625.59</v>
      </c>
      <c r="K379" s="79">
        <f>ROUND('[6]2038'!K40,2)</f>
        <v>27749.66</v>
      </c>
      <c r="L379" s="79">
        <f>ROUND('[6]2038'!L40,2)</f>
        <v>30788.65</v>
      </c>
      <c r="M379" s="79">
        <f>ROUND('[6]2038'!M40,2)</f>
        <v>34356.639999999999</v>
      </c>
      <c r="N379" s="79">
        <f>ROUND('[6]2038'!N40,2)</f>
        <v>36417.26</v>
      </c>
      <c r="O379" s="79">
        <f>ROUND('[6]2038'!O40,2)</f>
        <v>38355.68</v>
      </c>
      <c r="P379" s="79">
        <f>ROUND('[6]2038'!P40,2)</f>
        <v>39324.519999999997</v>
      </c>
      <c r="Q379" s="79">
        <f>ROUND('[6]2038'!Q40,2)</f>
        <v>38696.07</v>
      </c>
      <c r="R379" s="79">
        <f>ROUND('[6]2038'!R40,2)</f>
        <v>38136.65</v>
      </c>
      <c r="S379" s="79">
        <f>ROUND('[6]2038'!S40,2)</f>
        <v>38133.9</v>
      </c>
      <c r="T379" s="79">
        <f>ROUND('[6]2038'!T40,2)</f>
        <v>37908.620000000003</v>
      </c>
      <c r="U379" s="79">
        <f>ROUND('[6]2038'!U40,2)</f>
        <v>37545.760000000002</v>
      </c>
      <c r="V379" s="79">
        <f>ROUND('[6]2038'!V40,2)</f>
        <v>37670.870000000003</v>
      </c>
      <c r="W379" s="79">
        <f>ROUND('[6]2038'!W40,2)</f>
        <v>40033.39</v>
      </c>
      <c r="X379" s="79">
        <f>ROUND('[6]2038'!X40,2)</f>
        <v>40935.089999999997</v>
      </c>
      <c r="Y379" s="79">
        <f>ROUND('[6]2038'!Y40,2)</f>
        <v>39593.79</v>
      </c>
      <c r="Z379" s="79">
        <f>ROUND('[6]2038'!Z40,2)</f>
        <v>37935.82</v>
      </c>
      <c r="AA379" s="79">
        <f>ROUND('[6]2038'!AA40,2)</f>
        <v>35832.5</v>
      </c>
      <c r="AB379" s="79">
        <f>ROUND('[6]2038'!AB40,2)</f>
        <v>33422.97</v>
      </c>
      <c r="AC379" s="210"/>
      <c r="AD379" s="185"/>
    </row>
    <row r="380" spans="2:30" s="186" customFormat="1" ht="18.649999999999999" customHeight="1" x14ac:dyDescent="0.35">
      <c r="B380" s="208"/>
      <c r="C380" s="9" t="s">
        <v>31</v>
      </c>
      <c r="D380" s="10">
        <f>+'[6]2038'!D41</f>
        <v>4</v>
      </c>
      <c r="E380" s="79">
        <f>ROUND('[6]2038'!E41,2)</f>
        <v>30289.86</v>
      </c>
      <c r="F380" s="79">
        <f>ROUND('[6]2038'!F41,2)</f>
        <v>28873.61</v>
      </c>
      <c r="G380" s="79">
        <f>ROUND('[6]2038'!G41,2)</f>
        <v>27638.55</v>
      </c>
      <c r="H380" s="79">
        <f>ROUND('[6]2038'!H41,2)</f>
        <v>26884.28</v>
      </c>
      <c r="I380" s="79">
        <f>ROUND('[6]2038'!I41,2)</f>
        <v>26579.29</v>
      </c>
      <c r="J380" s="79">
        <f>ROUND('[6]2038'!J41,2)</f>
        <v>25929.32</v>
      </c>
      <c r="K380" s="79">
        <f>ROUND('[6]2038'!K41,2)</f>
        <v>25356.99</v>
      </c>
      <c r="L380" s="79">
        <f>ROUND('[6]2038'!L41,2)</f>
        <v>26924.36</v>
      </c>
      <c r="M380" s="79">
        <f>ROUND('[6]2038'!M41,2)</f>
        <v>28851.43</v>
      </c>
      <c r="N380" s="79">
        <f>ROUND('[6]2038'!N41,2)</f>
        <v>30404.080000000002</v>
      </c>
      <c r="O380" s="79">
        <f>ROUND('[6]2038'!O41,2)</f>
        <v>31728.37</v>
      </c>
      <c r="P380" s="79">
        <f>ROUND('[6]2038'!P41,2)</f>
        <v>32857.03</v>
      </c>
      <c r="Q380" s="79">
        <f>ROUND('[6]2038'!Q41,2)</f>
        <v>33673.11</v>
      </c>
      <c r="R380" s="79">
        <f>ROUND('[6]2038'!R41,2)</f>
        <v>33880.18</v>
      </c>
      <c r="S380" s="79">
        <f>ROUND('[6]2038'!S41,2)</f>
        <v>34072.57</v>
      </c>
      <c r="T380" s="79">
        <f>ROUND('[6]2038'!T41,2)</f>
        <v>34523.089999999997</v>
      </c>
      <c r="U380" s="79">
        <f>ROUND('[6]2038'!U41,2)</f>
        <v>34462.22</v>
      </c>
      <c r="V380" s="79">
        <f>ROUND('[6]2038'!V41,2)</f>
        <v>34625.42</v>
      </c>
      <c r="W380" s="79">
        <f>ROUND('[6]2038'!W41,2)</f>
        <v>38552.47</v>
      </c>
      <c r="X380" s="79">
        <f>ROUND('[6]2038'!X41,2)</f>
        <v>40755.43</v>
      </c>
      <c r="Y380" s="79">
        <f>ROUND('[6]2038'!Y41,2)</f>
        <v>40139.19</v>
      </c>
      <c r="Z380" s="79">
        <f>ROUND('[6]2038'!Z41,2)</f>
        <v>38489.86</v>
      </c>
      <c r="AA380" s="79">
        <f>ROUND('[6]2038'!AA41,2)</f>
        <v>35527.19</v>
      </c>
      <c r="AB380" s="79">
        <f>ROUND('[6]2038'!AB41,2)</f>
        <v>32534.14</v>
      </c>
      <c r="AC380" s="210"/>
      <c r="AD380" s="185"/>
    </row>
    <row r="381" spans="2:30" s="186" customFormat="1" ht="18.649999999999999" customHeight="1" thickBot="1" x14ac:dyDescent="0.4">
      <c r="B381" s="208"/>
      <c r="C381" s="15" t="s">
        <v>32</v>
      </c>
      <c r="D381" s="16">
        <f>+'[6]2038'!D42</f>
        <v>2</v>
      </c>
      <c r="E381" s="79">
        <f>ROUND('[6]2038'!E42,2)</f>
        <v>30289.86</v>
      </c>
      <c r="F381" s="79">
        <f>ROUND('[6]2038'!F42,2)</f>
        <v>28873.61</v>
      </c>
      <c r="G381" s="79">
        <f>ROUND('[6]2038'!G42,2)</f>
        <v>27638.55</v>
      </c>
      <c r="H381" s="79">
        <f>ROUND('[6]2038'!H42,2)</f>
        <v>26884.28</v>
      </c>
      <c r="I381" s="79">
        <f>ROUND('[6]2038'!I42,2)</f>
        <v>26579.29</v>
      </c>
      <c r="J381" s="79">
        <f>ROUND('[6]2038'!J42,2)</f>
        <v>25929.32</v>
      </c>
      <c r="K381" s="79">
        <f>ROUND('[6]2038'!K42,2)</f>
        <v>25356.99</v>
      </c>
      <c r="L381" s="79">
        <f>ROUND('[6]2038'!L42,2)</f>
        <v>26924.36</v>
      </c>
      <c r="M381" s="79">
        <f>ROUND('[6]2038'!M42,2)</f>
        <v>28851.43</v>
      </c>
      <c r="N381" s="79">
        <f>ROUND('[6]2038'!N42,2)</f>
        <v>30404.080000000002</v>
      </c>
      <c r="O381" s="79">
        <f>ROUND('[6]2038'!O42,2)</f>
        <v>31728.37</v>
      </c>
      <c r="P381" s="79">
        <f>ROUND('[6]2038'!P42,2)</f>
        <v>32857.03</v>
      </c>
      <c r="Q381" s="79">
        <f>ROUND('[6]2038'!Q42,2)</f>
        <v>33673.11</v>
      </c>
      <c r="R381" s="79">
        <f>ROUND('[6]2038'!R42,2)</f>
        <v>33880.18</v>
      </c>
      <c r="S381" s="79">
        <f>ROUND('[6]2038'!S42,2)</f>
        <v>34072.57</v>
      </c>
      <c r="T381" s="79">
        <f>ROUND('[6]2038'!T42,2)</f>
        <v>34523.089999999997</v>
      </c>
      <c r="U381" s="79">
        <f>ROUND('[6]2038'!U42,2)</f>
        <v>34462.22</v>
      </c>
      <c r="V381" s="79">
        <f>ROUND('[6]2038'!V42,2)</f>
        <v>34625.42</v>
      </c>
      <c r="W381" s="79">
        <f>ROUND('[6]2038'!W42,2)</f>
        <v>38552.47</v>
      </c>
      <c r="X381" s="79">
        <f>ROUND('[6]2038'!X42,2)</f>
        <v>40755.43</v>
      </c>
      <c r="Y381" s="79">
        <f>ROUND('[6]2038'!Y42,2)</f>
        <v>40139.19</v>
      </c>
      <c r="Z381" s="79">
        <f>ROUND('[6]2038'!Z42,2)</f>
        <v>38489.86</v>
      </c>
      <c r="AA381" s="79">
        <f>ROUND('[6]2038'!AA42,2)</f>
        <v>35527.19</v>
      </c>
      <c r="AB381" s="79">
        <f>ROUND('[6]2038'!AB42,2)</f>
        <v>32534.14</v>
      </c>
      <c r="AC381" s="210"/>
      <c r="AD381" s="185"/>
    </row>
    <row r="382" spans="2:30" s="186" customFormat="1" ht="18.649999999999999" customHeight="1" x14ac:dyDescent="0.35">
      <c r="B382" s="211">
        <v>50618</v>
      </c>
      <c r="C382" s="6" t="s">
        <v>29</v>
      </c>
      <c r="D382" s="7">
        <f>+'[6]2038'!D43</f>
        <v>21</v>
      </c>
      <c r="E382" s="78">
        <f>ROUND('[6]2038'!E43,2)</f>
        <v>31634.71</v>
      </c>
      <c r="F382" s="78">
        <f>ROUND('[6]2038'!F43,2)</f>
        <v>29904.18</v>
      </c>
      <c r="G382" s="78">
        <f>ROUND('[6]2038'!G43,2)</f>
        <v>28678.85</v>
      </c>
      <c r="H382" s="78">
        <f>ROUND('[6]2038'!H43,2)</f>
        <v>27843.05</v>
      </c>
      <c r="I382" s="78">
        <f>ROUND('[6]2038'!I43,2)</f>
        <v>27814.41</v>
      </c>
      <c r="J382" s="78">
        <f>ROUND('[6]2038'!J43,2)</f>
        <v>28743.9</v>
      </c>
      <c r="K382" s="78">
        <f>ROUND('[6]2038'!K43,2)</f>
        <v>29082.04</v>
      </c>
      <c r="L382" s="78">
        <f>ROUND('[6]2038'!L43,2)</f>
        <v>32351.040000000001</v>
      </c>
      <c r="M382" s="78">
        <f>ROUND('[6]2038'!M43,2)</f>
        <v>35874.74</v>
      </c>
      <c r="N382" s="78">
        <f>ROUND('[6]2038'!N43,2)</f>
        <v>37639.97</v>
      </c>
      <c r="O382" s="78">
        <f>ROUND('[6]2038'!O43,2)</f>
        <v>39834.76</v>
      </c>
      <c r="P382" s="78">
        <f>ROUND('[6]2038'!P43,2)</f>
        <v>41652.410000000003</v>
      </c>
      <c r="Q382" s="78">
        <f>ROUND('[6]2038'!Q43,2)</f>
        <v>39977.97</v>
      </c>
      <c r="R382" s="78">
        <f>ROUND('[6]2038'!R43,2)</f>
        <v>41285.32</v>
      </c>
      <c r="S382" s="78">
        <f>ROUND('[6]2038'!S43,2)</f>
        <v>43767.68</v>
      </c>
      <c r="T382" s="78">
        <f>ROUND('[6]2038'!T43,2)</f>
        <v>44048.78</v>
      </c>
      <c r="U382" s="78">
        <f>ROUND('[6]2038'!U43,2)</f>
        <v>43293.38</v>
      </c>
      <c r="V382" s="78">
        <f>ROUND('[6]2038'!V43,2)</f>
        <v>41707.58</v>
      </c>
      <c r="W382" s="78">
        <f>ROUND('[6]2038'!W43,2)</f>
        <v>44204.21</v>
      </c>
      <c r="X382" s="78">
        <f>ROUND('[6]2038'!X43,2)</f>
        <v>44893.57</v>
      </c>
      <c r="Y382" s="78">
        <f>ROUND('[6]2038'!Y43,2)</f>
        <v>43632.01</v>
      </c>
      <c r="Z382" s="78">
        <f>ROUND('[6]2038'!Z43,2)</f>
        <v>41400.639999999999</v>
      </c>
      <c r="AA382" s="78">
        <f>ROUND('[6]2038'!AA43,2)</f>
        <v>37963.58</v>
      </c>
      <c r="AB382" s="78">
        <f>ROUND('[6]2038'!AB43,2)</f>
        <v>34716.949999999997</v>
      </c>
      <c r="AC382" s="209">
        <f>SUM(E382:AB382)*D382+SUM(E383:AB383)*D383+SUM(E384:AB384)*D384+SUM(E385:AB385)*D385</f>
        <v>26742967.279999997</v>
      </c>
      <c r="AD382" s="185"/>
    </row>
    <row r="383" spans="2:30" s="186" customFormat="1" ht="18.649999999999999" customHeight="1" x14ac:dyDescent="0.35">
      <c r="B383" s="212" t="s">
        <v>34</v>
      </c>
      <c r="C383" s="9" t="s">
        <v>30</v>
      </c>
      <c r="D383" s="10">
        <f>+'[6]2038'!D44</f>
        <v>3</v>
      </c>
      <c r="E383" s="79">
        <f>ROUND('[6]2038'!E44,2)</f>
        <v>32067.81</v>
      </c>
      <c r="F383" s="79">
        <f>ROUND('[6]2038'!F44,2)</f>
        <v>30418.87</v>
      </c>
      <c r="G383" s="79">
        <f>ROUND('[6]2038'!G44,2)</f>
        <v>29196.23</v>
      </c>
      <c r="H383" s="79">
        <f>ROUND('[6]2038'!H44,2)</f>
        <v>28268.27</v>
      </c>
      <c r="I383" s="79">
        <f>ROUND('[6]2038'!I44,2)</f>
        <v>27711.85</v>
      </c>
      <c r="J383" s="79">
        <f>ROUND('[6]2038'!J44,2)</f>
        <v>27472.93</v>
      </c>
      <c r="K383" s="79">
        <f>ROUND('[6]2038'!K44,2)</f>
        <v>27515.78</v>
      </c>
      <c r="L383" s="79">
        <f>ROUND('[6]2038'!L44,2)</f>
        <v>30459.55</v>
      </c>
      <c r="M383" s="79">
        <f>ROUND('[6]2038'!M44,2)</f>
        <v>33684.080000000002</v>
      </c>
      <c r="N383" s="79">
        <f>ROUND('[6]2038'!N44,2)</f>
        <v>35735.15</v>
      </c>
      <c r="O383" s="79">
        <f>ROUND('[6]2038'!O44,2)</f>
        <v>37419.22</v>
      </c>
      <c r="P383" s="79">
        <f>ROUND('[6]2038'!P44,2)</f>
        <v>37989.160000000003</v>
      </c>
      <c r="Q383" s="79">
        <f>ROUND('[6]2038'!Q44,2)</f>
        <v>37336.81</v>
      </c>
      <c r="R383" s="79">
        <f>ROUND('[6]2038'!R44,2)</f>
        <v>36825.31</v>
      </c>
      <c r="S383" s="79">
        <f>ROUND('[6]2038'!S44,2)</f>
        <v>37231.65</v>
      </c>
      <c r="T383" s="79">
        <f>ROUND('[6]2038'!T44,2)</f>
        <v>37393.550000000003</v>
      </c>
      <c r="U383" s="79">
        <f>ROUND('[6]2038'!U44,2)</f>
        <v>37147.300000000003</v>
      </c>
      <c r="V383" s="79">
        <f>ROUND('[6]2038'!V44,2)</f>
        <v>37434.25</v>
      </c>
      <c r="W383" s="79">
        <f>ROUND('[6]2038'!W44,2)</f>
        <v>41320.89</v>
      </c>
      <c r="X383" s="79">
        <f>ROUND('[6]2038'!X44,2)</f>
        <v>41649.300000000003</v>
      </c>
      <c r="Y383" s="79">
        <f>ROUND('[6]2038'!Y44,2)</f>
        <v>40131.03</v>
      </c>
      <c r="Z383" s="79">
        <f>ROUND('[6]2038'!Z44,2)</f>
        <v>38310.32</v>
      </c>
      <c r="AA383" s="79">
        <f>ROUND('[6]2038'!AA44,2)</f>
        <v>35959.85</v>
      </c>
      <c r="AB383" s="79">
        <f>ROUND('[6]2038'!AB44,2)</f>
        <v>33395.269999999997</v>
      </c>
      <c r="AC383" s="210"/>
      <c r="AD383" s="185"/>
    </row>
    <row r="384" spans="2:30" s="186" customFormat="1" ht="18.649999999999999" customHeight="1" x14ac:dyDescent="0.35">
      <c r="B384" s="212" t="s">
        <v>34</v>
      </c>
      <c r="C384" s="9" t="s">
        <v>31</v>
      </c>
      <c r="D384" s="10">
        <f>+'[6]2038'!D45</f>
        <v>5</v>
      </c>
      <c r="E384" s="79">
        <f>ROUND('[6]2038'!E45,2)</f>
        <v>31294.13</v>
      </c>
      <c r="F384" s="79">
        <f>ROUND('[6]2038'!F45,2)</f>
        <v>29771.43</v>
      </c>
      <c r="G384" s="79">
        <f>ROUND('[6]2038'!G45,2)</f>
        <v>28451.71</v>
      </c>
      <c r="H384" s="79">
        <f>ROUND('[6]2038'!H45,2)</f>
        <v>27686.75</v>
      </c>
      <c r="I384" s="79">
        <f>ROUND('[6]2038'!I45,2)</f>
        <v>27287.94</v>
      </c>
      <c r="J384" s="79">
        <f>ROUND('[6]2038'!J45,2)</f>
        <v>26872.51</v>
      </c>
      <c r="K384" s="79">
        <f>ROUND('[6]2038'!K45,2)</f>
        <v>26150.15</v>
      </c>
      <c r="L384" s="79">
        <f>ROUND('[6]2038'!L45,2)</f>
        <v>27631.27</v>
      </c>
      <c r="M384" s="79">
        <f>ROUND('[6]2038'!M45,2)</f>
        <v>29409.66</v>
      </c>
      <c r="N384" s="79">
        <f>ROUND('[6]2038'!N45,2)</f>
        <v>30921.27</v>
      </c>
      <c r="O384" s="79">
        <f>ROUND('[6]2038'!O45,2)</f>
        <v>32203.439999999999</v>
      </c>
      <c r="P384" s="79">
        <f>ROUND('[6]2038'!P45,2)</f>
        <v>33272.21</v>
      </c>
      <c r="Q384" s="79">
        <f>ROUND('[6]2038'!Q45,2)</f>
        <v>33909.47</v>
      </c>
      <c r="R384" s="79">
        <f>ROUND('[6]2038'!R45,2)</f>
        <v>34042.959999999999</v>
      </c>
      <c r="S384" s="79">
        <f>ROUND('[6]2038'!S45,2)</f>
        <v>34248.300000000003</v>
      </c>
      <c r="T384" s="79">
        <f>ROUND('[6]2038'!T45,2)</f>
        <v>34495.58</v>
      </c>
      <c r="U384" s="79">
        <f>ROUND('[6]2038'!U45,2)</f>
        <v>34491.33</v>
      </c>
      <c r="V384" s="79">
        <f>ROUND('[6]2038'!V45,2)</f>
        <v>35069.589999999997</v>
      </c>
      <c r="W384" s="79">
        <f>ROUND('[6]2038'!W45,2)</f>
        <v>39465.14</v>
      </c>
      <c r="X384" s="79">
        <f>ROUND('[6]2038'!X45,2)</f>
        <v>41168.980000000003</v>
      </c>
      <c r="Y384" s="79">
        <f>ROUND('[6]2038'!Y45,2)</f>
        <v>40831.760000000002</v>
      </c>
      <c r="Z384" s="79">
        <f>ROUND('[6]2038'!Z45,2)</f>
        <v>39372.720000000001</v>
      </c>
      <c r="AA384" s="79">
        <f>ROUND('[6]2038'!AA45,2)</f>
        <v>36491.07</v>
      </c>
      <c r="AB384" s="79">
        <f>ROUND('[6]2038'!AB45,2)</f>
        <v>33444.01</v>
      </c>
      <c r="AC384" s="210"/>
      <c r="AD384" s="185"/>
    </row>
    <row r="385" spans="2:30" s="186" customFormat="1" ht="18.649999999999999" customHeight="1" thickBot="1" x14ac:dyDescent="0.4">
      <c r="B385" s="213" t="s">
        <v>34</v>
      </c>
      <c r="C385" s="11" t="s">
        <v>32</v>
      </c>
      <c r="D385" s="12">
        <f>+'[6]2038'!D46</f>
        <v>2</v>
      </c>
      <c r="E385" s="76">
        <f>ROUND('[6]2038'!E46,2)</f>
        <v>31294.13</v>
      </c>
      <c r="F385" s="76">
        <f>ROUND('[6]2038'!F46,2)</f>
        <v>29771.43</v>
      </c>
      <c r="G385" s="76">
        <f>ROUND('[6]2038'!G46,2)</f>
        <v>28451.71</v>
      </c>
      <c r="H385" s="76">
        <f>ROUND('[6]2038'!H46,2)</f>
        <v>27686.75</v>
      </c>
      <c r="I385" s="76">
        <f>ROUND('[6]2038'!I46,2)</f>
        <v>27287.94</v>
      </c>
      <c r="J385" s="76">
        <f>ROUND('[6]2038'!J46,2)</f>
        <v>26872.51</v>
      </c>
      <c r="K385" s="76">
        <f>ROUND('[6]2038'!K46,2)</f>
        <v>26150.15</v>
      </c>
      <c r="L385" s="76">
        <f>ROUND('[6]2038'!L46,2)</f>
        <v>27631.27</v>
      </c>
      <c r="M385" s="76">
        <f>ROUND('[6]2038'!M46,2)</f>
        <v>29409.66</v>
      </c>
      <c r="N385" s="76">
        <f>ROUND('[6]2038'!N46,2)</f>
        <v>30921.27</v>
      </c>
      <c r="O385" s="76">
        <f>ROUND('[6]2038'!O46,2)</f>
        <v>32203.439999999999</v>
      </c>
      <c r="P385" s="76">
        <f>ROUND('[6]2038'!P46,2)</f>
        <v>33272.21</v>
      </c>
      <c r="Q385" s="76">
        <f>ROUND('[6]2038'!Q46,2)</f>
        <v>33909.47</v>
      </c>
      <c r="R385" s="76">
        <f>ROUND('[6]2038'!R46,2)</f>
        <v>34042.959999999999</v>
      </c>
      <c r="S385" s="76">
        <f>ROUND('[6]2038'!S46,2)</f>
        <v>34248.300000000003</v>
      </c>
      <c r="T385" s="76">
        <f>ROUND('[6]2038'!T46,2)</f>
        <v>34495.58</v>
      </c>
      <c r="U385" s="76">
        <f>ROUND('[6]2038'!U46,2)</f>
        <v>34491.33</v>
      </c>
      <c r="V385" s="76">
        <f>ROUND('[6]2038'!V46,2)</f>
        <v>35069.589999999997</v>
      </c>
      <c r="W385" s="76">
        <f>ROUND('[6]2038'!W46,2)</f>
        <v>39465.14</v>
      </c>
      <c r="X385" s="76">
        <f>ROUND('[6]2038'!X46,2)</f>
        <v>41168.980000000003</v>
      </c>
      <c r="Y385" s="76">
        <f>ROUND('[6]2038'!Y46,2)</f>
        <v>40831.760000000002</v>
      </c>
      <c r="Z385" s="76">
        <f>ROUND('[6]2038'!Z46,2)</f>
        <v>39372.720000000001</v>
      </c>
      <c r="AA385" s="76">
        <f>ROUND('[6]2038'!AA46,2)</f>
        <v>36491.07</v>
      </c>
      <c r="AB385" s="76">
        <f>ROUND('[6]2038'!AB46,2)</f>
        <v>33444.01</v>
      </c>
      <c r="AC385" s="214"/>
      <c r="AD385" s="185"/>
    </row>
    <row r="386" spans="2:30" s="186" customFormat="1" ht="18.649999999999999" customHeight="1" x14ac:dyDescent="0.35">
      <c r="B386" s="207">
        <v>50649</v>
      </c>
      <c r="C386" s="13" t="s">
        <v>29</v>
      </c>
      <c r="D386" s="14">
        <f>+'[6]2038'!D47</f>
        <v>22</v>
      </c>
      <c r="E386" s="81">
        <f>ROUND('[6]2038'!E47,2)</f>
        <v>31294.42</v>
      </c>
      <c r="F386" s="81">
        <f>ROUND('[6]2038'!F47,2)</f>
        <v>29652.92</v>
      </c>
      <c r="G386" s="81">
        <f>ROUND('[6]2038'!G47,2)</f>
        <v>28443.67</v>
      </c>
      <c r="H386" s="81">
        <f>ROUND('[6]2038'!H47,2)</f>
        <v>27558</v>
      </c>
      <c r="I386" s="81">
        <f>ROUND('[6]2038'!I47,2)</f>
        <v>27526.71</v>
      </c>
      <c r="J386" s="81">
        <f>ROUND('[6]2038'!J47,2)</f>
        <v>28417.54</v>
      </c>
      <c r="K386" s="81">
        <f>ROUND('[6]2038'!K47,2)</f>
        <v>28819.19</v>
      </c>
      <c r="L386" s="81">
        <f>ROUND('[6]2038'!L47,2)</f>
        <v>32118.32</v>
      </c>
      <c r="M386" s="81">
        <f>ROUND('[6]2038'!M47,2)</f>
        <v>35671.47</v>
      </c>
      <c r="N386" s="81">
        <f>ROUND('[6]2038'!N47,2)</f>
        <v>37445.58</v>
      </c>
      <c r="O386" s="81">
        <f>ROUND('[6]2038'!O47,2)</f>
        <v>39352.61</v>
      </c>
      <c r="P386" s="81">
        <f>ROUND('[6]2038'!P47,2)</f>
        <v>40982.31</v>
      </c>
      <c r="Q386" s="81">
        <f>ROUND('[6]2038'!Q47,2)</f>
        <v>39501.050000000003</v>
      </c>
      <c r="R386" s="81">
        <f>ROUND('[6]2038'!R47,2)</f>
        <v>40655.26</v>
      </c>
      <c r="S386" s="81">
        <f>ROUND('[6]2038'!S47,2)</f>
        <v>42961.21</v>
      </c>
      <c r="T386" s="81">
        <f>ROUND('[6]2038'!T47,2)</f>
        <v>43255.23</v>
      </c>
      <c r="U386" s="81">
        <f>ROUND('[6]2038'!U47,2)</f>
        <v>42586.91</v>
      </c>
      <c r="V386" s="81">
        <f>ROUND('[6]2038'!V47,2)</f>
        <v>41504.06</v>
      </c>
      <c r="W386" s="81">
        <f>ROUND('[6]2038'!W47,2)</f>
        <v>44280.57</v>
      </c>
      <c r="X386" s="81">
        <f>ROUND('[6]2038'!X47,2)</f>
        <v>43862.37</v>
      </c>
      <c r="Y386" s="81">
        <f>ROUND('[6]2038'!Y47,2)</f>
        <v>42461.919999999998</v>
      </c>
      <c r="Z386" s="81">
        <f>ROUND('[6]2038'!Z47,2)</f>
        <v>40171.72</v>
      </c>
      <c r="AA386" s="81">
        <f>ROUND('[6]2038'!AA47,2)</f>
        <v>36735.56</v>
      </c>
      <c r="AB386" s="81">
        <f>ROUND('[6]2038'!AB47,2)</f>
        <v>33574.51</v>
      </c>
      <c r="AC386" s="210">
        <f>SUM(E386:AB386)*D386+SUM(E387:AB387)*D387+SUM(E388:AB388)*D388+SUM(E389:AB389)*D389</f>
        <v>25732502.099999998</v>
      </c>
      <c r="AD386" s="185"/>
    </row>
    <row r="387" spans="2:30" s="186" customFormat="1" ht="18.649999999999999" customHeight="1" x14ac:dyDescent="0.35">
      <c r="B387" s="208"/>
      <c r="C387" s="9" t="s">
        <v>30</v>
      </c>
      <c r="D387" s="10">
        <f>+'[6]2038'!D48</f>
        <v>4</v>
      </c>
      <c r="E387" s="79">
        <f>ROUND('[6]2038'!E48,2)</f>
        <v>30480.080000000002</v>
      </c>
      <c r="F387" s="79">
        <f>ROUND('[6]2038'!F48,2)</f>
        <v>28939.42</v>
      </c>
      <c r="G387" s="79">
        <f>ROUND('[6]2038'!G48,2)</f>
        <v>27782.07</v>
      </c>
      <c r="H387" s="79">
        <f>ROUND('[6]2038'!H48,2)</f>
        <v>26929.05</v>
      </c>
      <c r="I387" s="79">
        <f>ROUND('[6]2038'!I48,2)</f>
        <v>26702.25</v>
      </c>
      <c r="J387" s="79">
        <f>ROUND('[6]2038'!J48,2)</f>
        <v>26548.5</v>
      </c>
      <c r="K387" s="79">
        <f>ROUND('[6]2038'!K48,2)</f>
        <v>26852.89</v>
      </c>
      <c r="L387" s="79">
        <f>ROUND('[6]2038'!L48,2)</f>
        <v>29914.27</v>
      </c>
      <c r="M387" s="79">
        <f>ROUND('[6]2038'!M48,2)</f>
        <v>33338.39</v>
      </c>
      <c r="N387" s="79">
        <f>ROUND('[6]2038'!N48,2)</f>
        <v>35025.03</v>
      </c>
      <c r="O387" s="79">
        <f>ROUND('[6]2038'!O48,2)</f>
        <v>37076.33</v>
      </c>
      <c r="P387" s="79">
        <f>ROUND('[6]2038'!P48,2)</f>
        <v>37989.5</v>
      </c>
      <c r="Q387" s="79">
        <f>ROUND('[6]2038'!Q48,2)</f>
        <v>37566.5</v>
      </c>
      <c r="R387" s="79">
        <f>ROUND('[6]2038'!R48,2)</f>
        <v>37107</v>
      </c>
      <c r="S387" s="79">
        <f>ROUND('[6]2038'!S48,2)</f>
        <v>37363.42</v>
      </c>
      <c r="T387" s="79">
        <f>ROUND('[6]2038'!T48,2)</f>
        <v>37283.660000000003</v>
      </c>
      <c r="U387" s="79">
        <f>ROUND('[6]2038'!U48,2)</f>
        <v>36840.42</v>
      </c>
      <c r="V387" s="79">
        <f>ROUND('[6]2038'!V48,2)</f>
        <v>37744.19</v>
      </c>
      <c r="W387" s="79">
        <f>ROUND('[6]2038'!W48,2)</f>
        <v>41939.660000000003</v>
      </c>
      <c r="X387" s="79">
        <f>ROUND('[6]2038'!X48,2)</f>
        <v>41629.19</v>
      </c>
      <c r="Y387" s="79">
        <f>ROUND('[6]2038'!Y48,2)</f>
        <v>40159.61</v>
      </c>
      <c r="Z387" s="79">
        <f>ROUND('[6]2038'!Z48,2)</f>
        <v>38311.71</v>
      </c>
      <c r="AA387" s="79">
        <f>ROUND('[6]2038'!AA48,2)</f>
        <v>36194.5</v>
      </c>
      <c r="AB387" s="79">
        <f>ROUND('[6]2038'!AB48,2)</f>
        <v>33664.68</v>
      </c>
      <c r="AC387" s="210"/>
      <c r="AD387" s="185"/>
    </row>
    <row r="388" spans="2:30" s="186" customFormat="1" ht="18.649999999999999" customHeight="1" x14ac:dyDescent="0.35">
      <c r="B388" s="208"/>
      <c r="C388" s="9" t="s">
        <v>31</v>
      </c>
      <c r="D388" s="10">
        <f>+'[6]2038'!D49</f>
        <v>4</v>
      </c>
      <c r="E388" s="79">
        <f>ROUND('[6]2038'!E49,2)</f>
        <v>31197.49</v>
      </c>
      <c r="F388" s="79">
        <f>ROUND('[6]2038'!F49,2)</f>
        <v>29607.63</v>
      </c>
      <c r="G388" s="79">
        <f>ROUND('[6]2038'!G49,2)</f>
        <v>28242.59</v>
      </c>
      <c r="H388" s="79">
        <f>ROUND('[6]2038'!H49,2)</f>
        <v>27339</v>
      </c>
      <c r="I388" s="79">
        <f>ROUND('[6]2038'!I49,2)</f>
        <v>26956.52</v>
      </c>
      <c r="J388" s="79">
        <f>ROUND('[6]2038'!J49,2)</f>
        <v>26225</v>
      </c>
      <c r="K388" s="79">
        <f>ROUND('[6]2038'!K49,2)</f>
        <v>25539.55</v>
      </c>
      <c r="L388" s="79">
        <f>ROUND('[6]2038'!L49,2)</f>
        <v>27145.39</v>
      </c>
      <c r="M388" s="79">
        <f>ROUND('[6]2038'!M49,2)</f>
        <v>28890.84</v>
      </c>
      <c r="N388" s="79">
        <f>ROUND('[6]2038'!N49,2)</f>
        <v>30583.919999999998</v>
      </c>
      <c r="O388" s="79">
        <f>ROUND('[6]2038'!O49,2)</f>
        <v>31879.64</v>
      </c>
      <c r="P388" s="79">
        <f>ROUND('[6]2038'!P49,2)</f>
        <v>32730.77</v>
      </c>
      <c r="Q388" s="79">
        <f>ROUND('[6]2038'!Q49,2)</f>
        <v>33460.21</v>
      </c>
      <c r="R388" s="79">
        <f>ROUND('[6]2038'!R49,2)</f>
        <v>33562.89</v>
      </c>
      <c r="S388" s="79">
        <f>ROUND('[6]2038'!S49,2)</f>
        <v>33583</v>
      </c>
      <c r="T388" s="79">
        <f>ROUND('[6]2038'!T49,2)</f>
        <v>34000.800000000003</v>
      </c>
      <c r="U388" s="79">
        <f>ROUND('[6]2038'!U49,2)</f>
        <v>33964.769999999997</v>
      </c>
      <c r="V388" s="79">
        <f>ROUND('[6]2038'!V49,2)</f>
        <v>35069.54</v>
      </c>
      <c r="W388" s="79">
        <f>ROUND('[6]2038'!W49,2)</f>
        <v>39656.019999999997</v>
      </c>
      <c r="X388" s="79">
        <f>ROUND('[6]2038'!X49,2)</f>
        <v>40315.699999999997</v>
      </c>
      <c r="Y388" s="79">
        <f>ROUND('[6]2038'!Y49,2)</f>
        <v>39794.94</v>
      </c>
      <c r="Z388" s="79">
        <f>ROUND('[6]2038'!Z49,2)</f>
        <v>38292.25</v>
      </c>
      <c r="AA388" s="79">
        <f>ROUND('[6]2038'!AA49,2)</f>
        <v>35531.360000000001</v>
      </c>
      <c r="AB388" s="79">
        <f>ROUND('[6]2038'!AB49,2)</f>
        <v>32591.279999999999</v>
      </c>
      <c r="AC388" s="210"/>
      <c r="AD388" s="185"/>
    </row>
    <row r="389" spans="2:30" s="186" customFormat="1" ht="18.649999999999999" customHeight="1" thickBot="1" x14ac:dyDescent="0.4">
      <c r="B389" s="208"/>
      <c r="C389" s="15" t="s">
        <v>32</v>
      </c>
      <c r="D389" s="16">
        <f>+'[6]2038'!D50</f>
        <v>0</v>
      </c>
      <c r="E389" s="75">
        <f>ROUND('[6]2038'!E50,2)</f>
        <v>0</v>
      </c>
      <c r="F389" s="75">
        <f>ROUND('[6]2038'!F50,2)</f>
        <v>0</v>
      </c>
      <c r="G389" s="75">
        <f>ROUND('[6]2038'!G50,2)</f>
        <v>0</v>
      </c>
      <c r="H389" s="75">
        <f>ROUND('[6]2038'!H50,2)</f>
        <v>0</v>
      </c>
      <c r="I389" s="75">
        <f>ROUND('[6]2038'!I50,2)</f>
        <v>0</v>
      </c>
      <c r="J389" s="75">
        <f>ROUND('[6]2038'!J50,2)</f>
        <v>0</v>
      </c>
      <c r="K389" s="75">
        <f>ROUND('[6]2038'!K50,2)</f>
        <v>0</v>
      </c>
      <c r="L389" s="75">
        <f>ROUND('[6]2038'!L50,2)</f>
        <v>0</v>
      </c>
      <c r="M389" s="75">
        <f>ROUND('[6]2038'!M50,2)</f>
        <v>0</v>
      </c>
      <c r="N389" s="75">
        <f>ROUND('[6]2038'!N50,2)</f>
        <v>0</v>
      </c>
      <c r="O389" s="75">
        <f>ROUND('[6]2038'!O50,2)</f>
        <v>0</v>
      </c>
      <c r="P389" s="75">
        <f>ROUND('[6]2038'!P50,2)</f>
        <v>0</v>
      </c>
      <c r="Q389" s="75">
        <f>ROUND('[6]2038'!Q50,2)</f>
        <v>0</v>
      </c>
      <c r="R389" s="75">
        <f>ROUND('[6]2038'!R50,2)</f>
        <v>0</v>
      </c>
      <c r="S389" s="75">
        <f>ROUND('[6]2038'!S50,2)</f>
        <v>0</v>
      </c>
      <c r="T389" s="75">
        <f>ROUND('[6]2038'!T50,2)</f>
        <v>0</v>
      </c>
      <c r="U389" s="75">
        <f>ROUND('[6]2038'!U50,2)</f>
        <v>0</v>
      </c>
      <c r="V389" s="75">
        <f>ROUND('[6]2038'!V50,2)</f>
        <v>0</v>
      </c>
      <c r="W389" s="75">
        <f>ROUND('[6]2038'!W50,2)</f>
        <v>0</v>
      </c>
      <c r="X389" s="75">
        <f>ROUND('[6]2038'!X50,2)</f>
        <v>0</v>
      </c>
      <c r="Y389" s="75">
        <f>ROUND('[6]2038'!Y50,2)</f>
        <v>0</v>
      </c>
      <c r="Z389" s="75">
        <f>ROUND('[6]2038'!Z50,2)</f>
        <v>0</v>
      </c>
      <c r="AA389" s="75">
        <f>ROUND('[6]2038'!AA50,2)</f>
        <v>0</v>
      </c>
      <c r="AB389" s="75">
        <f>ROUND('[6]2038'!AB50,2)</f>
        <v>0</v>
      </c>
      <c r="AC389" s="210"/>
      <c r="AD389" s="185"/>
    </row>
    <row r="390" spans="2:30" s="186" customFormat="1" ht="18.649999999999999" customHeight="1" x14ac:dyDescent="0.35">
      <c r="B390" s="211">
        <v>50679</v>
      </c>
      <c r="C390" s="6" t="s">
        <v>29</v>
      </c>
      <c r="D390" s="7">
        <f>+'[6]2038'!D51</f>
        <v>20</v>
      </c>
      <c r="E390" s="78">
        <f>ROUND('[6]2038'!E51,2)</f>
        <v>30383.66</v>
      </c>
      <c r="F390" s="78">
        <f>ROUND('[6]2038'!F51,2)</f>
        <v>28784.28</v>
      </c>
      <c r="G390" s="78">
        <f>ROUND('[6]2038'!G51,2)</f>
        <v>27641.47</v>
      </c>
      <c r="H390" s="78">
        <f>ROUND('[6]2038'!H51,2)</f>
        <v>26810.52</v>
      </c>
      <c r="I390" s="78">
        <f>ROUND('[6]2038'!I51,2)</f>
        <v>26897.27</v>
      </c>
      <c r="J390" s="78">
        <f>ROUND('[6]2038'!J51,2)</f>
        <v>27700.6</v>
      </c>
      <c r="K390" s="78">
        <f>ROUND('[6]2038'!K51,2)</f>
        <v>28427.9</v>
      </c>
      <c r="L390" s="78">
        <f>ROUND('[6]2038'!L51,2)</f>
        <v>31664.25</v>
      </c>
      <c r="M390" s="78">
        <f>ROUND('[6]2038'!M51,2)</f>
        <v>35105.800000000003</v>
      </c>
      <c r="N390" s="78">
        <f>ROUND('[6]2038'!N51,2)</f>
        <v>36908.269999999997</v>
      </c>
      <c r="O390" s="78">
        <f>ROUND('[6]2038'!O51,2)</f>
        <v>38785.4</v>
      </c>
      <c r="P390" s="78">
        <f>ROUND('[6]2038'!P51,2)</f>
        <v>40271.72</v>
      </c>
      <c r="Q390" s="78">
        <f>ROUND('[6]2038'!Q51,2)</f>
        <v>38534.230000000003</v>
      </c>
      <c r="R390" s="78">
        <f>ROUND('[6]2038'!R51,2)</f>
        <v>39564.35</v>
      </c>
      <c r="S390" s="78">
        <f>ROUND('[6]2038'!S51,2)</f>
        <v>41785.230000000003</v>
      </c>
      <c r="T390" s="78">
        <f>ROUND('[6]2038'!T51,2)</f>
        <v>42287.199999999997</v>
      </c>
      <c r="U390" s="78">
        <f>ROUND('[6]2038'!U51,2)</f>
        <v>41817.279999999999</v>
      </c>
      <c r="V390" s="78">
        <f>ROUND('[6]2038'!V51,2)</f>
        <v>41832.04</v>
      </c>
      <c r="W390" s="78">
        <f>ROUND('[6]2038'!W51,2)</f>
        <v>44427.78</v>
      </c>
      <c r="X390" s="78">
        <f>ROUND('[6]2038'!X51,2)</f>
        <v>43437.69</v>
      </c>
      <c r="Y390" s="78">
        <f>ROUND('[6]2038'!Y51,2)</f>
        <v>41824.46</v>
      </c>
      <c r="Z390" s="78">
        <f>ROUND('[6]2038'!Z51,2)</f>
        <v>39535.449999999997</v>
      </c>
      <c r="AA390" s="78">
        <f>ROUND('[6]2038'!AA51,2)</f>
        <v>36161.83</v>
      </c>
      <c r="AB390" s="78">
        <f>ROUND('[6]2038'!AB51,2)</f>
        <v>32903.760000000002</v>
      </c>
      <c r="AC390" s="209">
        <f>SUM(E390:AB390)*D390+SUM(E391:AB391)*D391+SUM(E392:AB392)*D392+SUM(E393:AB393)*D393</f>
        <v>26076296.709999997</v>
      </c>
      <c r="AD390" s="185"/>
    </row>
    <row r="391" spans="2:30" s="186" customFormat="1" ht="18.649999999999999" customHeight="1" x14ac:dyDescent="0.35">
      <c r="B391" s="212" t="s">
        <v>34</v>
      </c>
      <c r="C391" s="9" t="s">
        <v>30</v>
      </c>
      <c r="D391" s="10">
        <f>+'[6]2038'!D52</f>
        <v>5</v>
      </c>
      <c r="E391" s="79">
        <f>ROUND('[6]2038'!E52,2)</f>
        <v>30937.91</v>
      </c>
      <c r="F391" s="79">
        <f>ROUND('[6]2038'!F52,2)</f>
        <v>29200.67</v>
      </c>
      <c r="G391" s="79">
        <f>ROUND('[6]2038'!G52,2)</f>
        <v>27823.49</v>
      </c>
      <c r="H391" s="79">
        <f>ROUND('[6]2038'!H52,2)</f>
        <v>26966.16</v>
      </c>
      <c r="I391" s="79">
        <f>ROUND('[6]2038'!I52,2)</f>
        <v>26949.09</v>
      </c>
      <c r="J391" s="79">
        <f>ROUND('[6]2038'!J52,2)</f>
        <v>26834.65</v>
      </c>
      <c r="K391" s="79">
        <f>ROUND('[6]2038'!K52,2)</f>
        <v>27250.21</v>
      </c>
      <c r="L391" s="79">
        <f>ROUND('[6]2038'!L52,2)</f>
        <v>29949.91</v>
      </c>
      <c r="M391" s="79">
        <f>ROUND('[6]2038'!M52,2)</f>
        <v>33312.410000000003</v>
      </c>
      <c r="N391" s="79">
        <f>ROUND('[6]2038'!N52,2)</f>
        <v>35230.53</v>
      </c>
      <c r="O391" s="79">
        <f>ROUND('[6]2038'!O52,2)</f>
        <v>37207.53</v>
      </c>
      <c r="P391" s="79">
        <f>ROUND('[6]2038'!P52,2)</f>
        <v>38191.129999999997</v>
      </c>
      <c r="Q391" s="79">
        <f>ROUND('[6]2038'!Q52,2)</f>
        <v>37474.21</v>
      </c>
      <c r="R391" s="79">
        <f>ROUND('[6]2038'!R52,2)</f>
        <v>37012.120000000003</v>
      </c>
      <c r="S391" s="79">
        <f>ROUND('[6]2038'!S52,2)</f>
        <v>37400.720000000001</v>
      </c>
      <c r="T391" s="79">
        <f>ROUND('[6]2038'!T52,2)</f>
        <v>37793.29</v>
      </c>
      <c r="U391" s="79">
        <f>ROUND('[6]2038'!U52,2)</f>
        <v>37505.26</v>
      </c>
      <c r="V391" s="79">
        <f>ROUND('[6]2038'!V52,2)</f>
        <v>38875.47</v>
      </c>
      <c r="W391" s="79">
        <f>ROUND('[6]2038'!W52,2)</f>
        <v>42548.89</v>
      </c>
      <c r="X391" s="79">
        <f>ROUND('[6]2038'!X52,2)</f>
        <v>41763.03</v>
      </c>
      <c r="Y391" s="79">
        <f>ROUND('[6]2038'!Y52,2)</f>
        <v>40151.379999999997</v>
      </c>
      <c r="Z391" s="79">
        <f>ROUND('[6]2038'!Z52,2)</f>
        <v>38124.49</v>
      </c>
      <c r="AA391" s="79">
        <f>ROUND('[6]2038'!AA52,2)</f>
        <v>35696.07</v>
      </c>
      <c r="AB391" s="79">
        <f>ROUND('[6]2038'!AB52,2)</f>
        <v>33131.61</v>
      </c>
      <c r="AC391" s="210"/>
      <c r="AD391" s="185"/>
    </row>
    <row r="392" spans="2:30" s="186" customFormat="1" ht="18.649999999999999" customHeight="1" x14ac:dyDescent="0.35">
      <c r="B392" s="212" t="s">
        <v>34</v>
      </c>
      <c r="C392" s="9" t="s">
        <v>31</v>
      </c>
      <c r="D392" s="10">
        <f>+'[6]2038'!D53</f>
        <v>5</v>
      </c>
      <c r="E392" s="79">
        <f>ROUND('[6]2038'!E53,2)</f>
        <v>30777.77</v>
      </c>
      <c r="F392" s="79">
        <f>ROUND('[6]2038'!F53,2)</f>
        <v>29162.93</v>
      </c>
      <c r="G392" s="79">
        <f>ROUND('[6]2038'!G53,2)</f>
        <v>27880.54</v>
      </c>
      <c r="H392" s="79">
        <f>ROUND('[6]2038'!H53,2)</f>
        <v>27086.95</v>
      </c>
      <c r="I392" s="79">
        <f>ROUND('[6]2038'!I53,2)</f>
        <v>26730.48</v>
      </c>
      <c r="J392" s="79">
        <f>ROUND('[6]2038'!J53,2)</f>
        <v>26157.360000000001</v>
      </c>
      <c r="K392" s="79">
        <f>ROUND('[6]2038'!K53,2)</f>
        <v>25458.42</v>
      </c>
      <c r="L392" s="79">
        <f>ROUND('[6]2038'!L53,2)</f>
        <v>26968.400000000001</v>
      </c>
      <c r="M392" s="79">
        <f>ROUND('[6]2038'!M53,2)</f>
        <v>28929.5</v>
      </c>
      <c r="N392" s="79">
        <f>ROUND('[6]2038'!N53,2)</f>
        <v>30496.71</v>
      </c>
      <c r="O392" s="79">
        <f>ROUND('[6]2038'!O53,2)</f>
        <v>31999.53</v>
      </c>
      <c r="P392" s="79">
        <f>ROUND('[6]2038'!P53,2)</f>
        <v>33201.24</v>
      </c>
      <c r="Q392" s="79">
        <f>ROUND('[6]2038'!Q53,2)</f>
        <v>33800.519999999997</v>
      </c>
      <c r="R392" s="79">
        <f>ROUND('[6]2038'!R53,2)</f>
        <v>33864.769999999997</v>
      </c>
      <c r="S392" s="79">
        <f>ROUND('[6]2038'!S53,2)</f>
        <v>34075.019999999997</v>
      </c>
      <c r="T392" s="79">
        <f>ROUND('[6]2038'!T53,2)</f>
        <v>34037.53</v>
      </c>
      <c r="U392" s="79">
        <f>ROUND('[6]2038'!U53,2)</f>
        <v>34291.56</v>
      </c>
      <c r="V392" s="79">
        <f>ROUND('[6]2038'!V53,2)</f>
        <v>35971.79</v>
      </c>
      <c r="W392" s="79">
        <f>ROUND('[6]2038'!W53,2)</f>
        <v>40336.86</v>
      </c>
      <c r="X392" s="79">
        <f>ROUND('[6]2038'!X53,2)</f>
        <v>40603.589999999997</v>
      </c>
      <c r="Y392" s="79">
        <f>ROUND('[6]2038'!Y53,2)</f>
        <v>39972.54</v>
      </c>
      <c r="Z392" s="79">
        <f>ROUND('[6]2038'!Z53,2)</f>
        <v>38387.06</v>
      </c>
      <c r="AA392" s="79">
        <f>ROUND('[6]2038'!AA53,2)</f>
        <v>35509.14</v>
      </c>
      <c r="AB392" s="79">
        <f>ROUND('[6]2038'!AB53,2)</f>
        <v>32599.25</v>
      </c>
      <c r="AC392" s="210"/>
      <c r="AD392" s="185"/>
    </row>
    <row r="393" spans="2:30" s="186" customFormat="1" ht="18.649999999999999" customHeight="1" thickBot="1" x14ac:dyDescent="0.4">
      <c r="B393" s="213" t="s">
        <v>34</v>
      </c>
      <c r="C393" s="11" t="s">
        <v>32</v>
      </c>
      <c r="D393" s="12">
        <f>+'[6]2038'!D54</f>
        <v>1</v>
      </c>
      <c r="E393" s="76">
        <f>ROUND('[6]2038'!E54,2)</f>
        <v>30777.77</v>
      </c>
      <c r="F393" s="76">
        <f>ROUND('[6]2038'!F54,2)</f>
        <v>29162.93</v>
      </c>
      <c r="G393" s="76">
        <f>ROUND('[6]2038'!G54,2)</f>
        <v>27880.54</v>
      </c>
      <c r="H393" s="76">
        <f>ROUND('[6]2038'!H54,2)</f>
        <v>27086.95</v>
      </c>
      <c r="I393" s="76">
        <f>ROUND('[6]2038'!I54,2)</f>
        <v>26730.48</v>
      </c>
      <c r="J393" s="76">
        <f>ROUND('[6]2038'!J54,2)</f>
        <v>26157.360000000001</v>
      </c>
      <c r="K393" s="76">
        <f>ROUND('[6]2038'!K54,2)</f>
        <v>25458.42</v>
      </c>
      <c r="L393" s="76">
        <f>ROUND('[6]2038'!L54,2)</f>
        <v>26968.400000000001</v>
      </c>
      <c r="M393" s="76">
        <f>ROUND('[6]2038'!M54,2)</f>
        <v>28929.5</v>
      </c>
      <c r="N393" s="76">
        <f>ROUND('[6]2038'!N54,2)</f>
        <v>30496.71</v>
      </c>
      <c r="O393" s="76">
        <f>ROUND('[6]2038'!O54,2)</f>
        <v>31999.53</v>
      </c>
      <c r="P393" s="76">
        <f>ROUND('[6]2038'!P54,2)</f>
        <v>33201.24</v>
      </c>
      <c r="Q393" s="76">
        <f>ROUND('[6]2038'!Q54,2)</f>
        <v>33800.519999999997</v>
      </c>
      <c r="R393" s="76">
        <f>ROUND('[6]2038'!R54,2)</f>
        <v>33864.769999999997</v>
      </c>
      <c r="S393" s="76">
        <f>ROUND('[6]2038'!S54,2)</f>
        <v>34075.019999999997</v>
      </c>
      <c r="T393" s="76">
        <f>ROUND('[6]2038'!T54,2)</f>
        <v>34037.53</v>
      </c>
      <c r="U393" s="76">
        <f>ROUND('[6]2038'!U54,2)</f>
        <v>34291.56</v>
      </c>
      <c r="V393" s="76">
        <f>ROUND('[6]2038'!V54,2)</f>
        <v>35971.79</v>
      </c>
      <c r="W393" s="76">
        <f>ROUND('[6]2038'!W54,2)</f>
        <v>40336.86</v>
      </c>
      <c r="X393" s="76">
        <f>ROUND('[6]2038'!X54,2)</f>
        <v>40603.589999999997</v>
      </c>
      <c r="Y393" s="76">
        <f>ROUND('[6]2038'!Y54,2)</f>
        <v>39972.54</v>
      </c>
      <c r="Z393" s="76">
        <f>ROUND('[6]2038'!Z54,2)</f>
        <v>38387.06</v>
      </c>
      <c r="AA393" s="76">
        <f>ROUND('[6]2038'!AA54,2)</f>
        <v>35509.14</v>
      </c>
      <c r="AB393" s="76">
        <f>ROUND('[6]2038'!AB54,2)</f>
        <v>32599.25</v>
      </c>
      <c r="AC393" s="214"/>
      <c r="AD393" s="185"/>
    </row>
    <row r="394" spans="2:30" s="186" customFormat="1" ht="18.649999999999999" customHeight="1" x14ac:dyDescent="0.35">
      <c r="B394" s="207">
        <v>50710</v>
      </c>
      <c r="C394" s="13" t="s">
        <v>29</v>
      </c>
      <c r="D394" s="14">
        <f>+'[6]2038'!D55</f>
        <v>20</v>
      </c>
      <c r="E394" s="81">
        <f>ROUND('[6]2038'!E55,2)</f>
        <v>29939.27</v>
      </c>
      <c r="F394" s="81">
        <f>ROUND('[6]2038'!F55,2)</f>
        <v>28400.86</v>
      </c>
      <c r="G394" s="81">
        <f>ROUND('[6]2038'!G55,2)</f>
        <v>27280.61</v>
      </c>
      <c r="H394" s="81">
        <f>ROUND('[6]2038'!H55,2)</f>
        <v>26521.8</v>
      </c>
      <c r="I394" s="81">
        <f>ROUND('[6]2038'!I55,2)</f>
        <v>26596.62</v>
      </c>
      <c r="J394" s="81">
        <f>ROUND('[6]2038'!J55,2)</f>
        <v>27386.36</v>
      </c>
      <c r="K394" s="81">
        <f>ROUND('[6]2038'!K55,2)</f>
        <v>28107.5</v>
      </c>
      <c r="L394" s="81">
        <f>ROUND('[6]2038'!L55,2)</f>
        <v>31450.83</v>
      </c>
      <c r="M394" s="81">
        <f>ROUND('[6]2038'!M55,2)</f>
        <v>34891.79</v>
      </c>
      <c r="N394" s="81">
        <f>ROUND('[6]2038'!N55,2)</f>
        <v>36598.720000000001</v>
      </c>
      <c r="O394" s="81">
        <f>ROUND('[6]2038'!O55,2)</f>
        <v>38380.129999999997</v>
      </c>
      <c r="P394" s="81">
        <f>ROUND('[6]2038'!P55,2)</f>
        <v>39635.69</v>
      </c>
      <c r="Q394" s="81">
        <f>ROUND('[6]2038'!Q55,2)</f>
        <v>38010.43</v>
      </c>
      <c r="R394" s="81">
        <f>ROUND('[6]2038'!R55,2)</f>
        <v>38866.03</v>
      </c>
      <c r="S394" s="81">
        <f>ROUND('[6]2038'!S55,2)</f>
        <v>40804.5</v>
      </c>
      <c r="T394" s="81">
        <f>ROUND('[6]2038'!T55,2)</f>
        <v>41303.300000000003</v>
      </c>
      <c r="U394" s="81">
        <f>ROUND('[6]2038'!U55,2)</f>
        <v>40899.99</v>
      </c>
      <c r="V394" s="81">
        <f>ROUND('[6]2038'!V55,2)</f>
        <v>41434.31</v>
      </c>
      <c r="W394" s="81">
        <f>ROUND('[6]2038'!W55,2)</f>
        <v>43462.74</v>
      </c>
      <c r="X394" s="81">
        <f>ROUND('[6]2038'!X55,2)</f>
        <v>42456.11</v>
      </c>
      <c r="Y394" s="81">
        <f>ROUND('[6]2038'!Y55,2)</f>
        <v>40951.1</v>
      </c>
      <c r="Z394" s="81">
        <f>ROUND('[6]2038'!Z55,2)</f>
        <v>38770.43</v>
      </c>
      <c r="AA394" s="81">
        <f>ROUND('[6]2038'!AA55,2)</f>
        <v>35580.47</v>
      </c>
      <c r="AB394" s="81">
        <f>ROUND('[6]2038'!AB55,2)</f>
        <v>32431.58</v>
      </c>
      <c r="AC394" s="210">
        <f>SUM(E394:AB394)*D394+SUM(E395:AB395)*D395+SUM(E396:AB396)*D396+SUM(E397:AB397)*D397</f>
        <v>24783821.68</v>
      </c>
      <c r="AD394" s="185"/>
    </row>
    <row r="395" spans="2:30" s="186" customFormat="1" ht="18.649999999999999" customHeight="1" x14ac:dyDescent="0.35">
      <c r="B395" s="208"/>
      <c r="C395" s="9" t="s">
        <v>30</v>
      </c>
      <c r="D395" s="10">
        <f>+'[6]2038'!D56</f>
        <v>4</v>
      </c>
      <c r="E395" s="79">
        <f>ROUND('[6]2038'!E56,2)</f>
        <v>29225.06</v>
      </c>
      <c r="F395" s="79">
        <f>ROUND('[6]2038'!F56,2)</f>
        <v>27794.19</v>
      </c>
      <c r="G395" s="79">
        <f>ROUND('[6]2038'!G56,2)</f>
        <v>26790.02</v>
      </c>
      <c r="H395" s="79">
        <f>ROUND('[6]2038'!H56,2)</f>
        <v>26133.33</v>
      </c>
      <c r="I395" s="79">
        <f>ROUND('[6]2038'!I56,2)</f>
        <v>26117.68</v>
      </c>
      <c r="J395" s="79">
        <f>ROUND('[6]2038'!J56,2)</f>
        <v>26053.22</v>
      </c>
      <c r="K395" s="79">
        <f>ROUND('[6]2038'!K56,2)</f>
        <v>26442.36</v>
      </c>
      <c r="L395" s="79">
        <f>ROUND('[6]2038'!L56,2)</f>
        <v>29489</v>
      </c>
      <c r="M395" s="79">
        <f>ROUND('[6]2038'!M56,2)</f>
        <v>32915.33</v>
      </c>
      <c r="N395" s="79">
        <f>ROUND('[6]2038'!N56,2)</f>
        <v>34811.49</v>
      </c>
      <c r="O395" s="79">
        <f>ROUND('[6]2038'!O56,2)</f>
        <v>36786.19</v>
      </c>
      <c r="P395" s="79">
        <f>ROUND('[6]2038'!P56,2)</f>
        <v>37618.199999999997</v>
      </c>
      <c r="Q395" s="79">
        <f>ROUND('[6]2038'!Q56,2)</f>
        <v>36941.39</v>
      </c>
      <c r="R395" s="79">
        <f>ROUND('[6]2038'!R56,2)</f>
        <v>36175.449999999997</v>
      </c>
      <c r="S395" s="79">
        <f>ROUND('[6]2038'!S56,2)</f>
        <v>35932.82</v>
      </c>
      <c r="T395" s="79">
        <f>ROUND('[6]2038'!T56,2)</f>
        <v>36221.379999999997</v>
      </c>
      <c r="U395" s="79">
        <f>ROUND('[6]2038'!U56,2)</f>
        <v>36041.83</v>
      </c>
      <c r="V395" s="79">
        <f>ROUND('[6]2038'!V56,2)</f>
        <v>38047.24</v>
      </c>
      <c r="W395" s="79">
        <f>ROUND('[6]2038'!W56,2)</f>
        <v>41184.86</v>
      </c>
      <c r="X395" s="79">
        <f>ROUND('[6]2038'!X56,2)</f>
        <v>40488.870000000003</v>
      </c>
      <c r="Y395" s="79">
        <f>ROUND('[6]2038'!Y56,2)</f>
        <v>39033.24</v>
      </c>
      <c r="Z395" s="79">
        <f>ROUND('[6]2038'!Z56,2)</f>
        <v>37227.33</v>
      </c>
      <c r="AA395" s="79">
        <f>ROUND('[6]2038'!AA56,2)</f>
        <v>34945.58</v>
      </c>
      <c r="AB395" s="79">
        <f>ROUND('[6]2038'!AB56,2)</f>
        <v>32378.400000000001</v>
      </c>
      <c r="AC395" s="210"/>
      <c r="AD395" s="185"/>
    </row>
    <row r="396" spans="2:30" s="186" customFormat="1" ht="18.649999999999999" customHeight="1" x14ac:dyDescent="0.35">
      <c r="B396" s="208"/>
      <c r="C396" s="9" t="s">
        <v>31</v>
      </c>
      <c r="D396" s="10">
        <f>+'[6]2038'!D57</f>
        <v>4</v>
      </c>
      <c r="E396" s="79">
        <f>ROUND('[6]2038'!E57,2)</f>
        <v>30290.25</v>
      </c>
      <c r="F396" s="79">
        <f>ROUND('[6]2038'!F57,2)</f>
        <v>28853.22</v>
      </c>
      <c r="G396" s="79">
        <f>ROUND('[6]2038'!G57,2)</f>
        <v>27608.880000000001</v>
      </c>
      <c r="H396" s="79">
        <f>ROUND('[6]2038'!H57,2)</f>
        <v>26770.22</v>
      </c>
      <c r="I396" s="79">
        <f>ROUND('[6]2038'!I57,2)</f>
        <v>26430.28</v>
      </c>
      <c r="J396" s="79">
        <f>ROUND('[6]2038'!J57,2)</f>
        <v>25984.95</v>
      </c>
      <c r="K396" s="79">
        <f>ROUND('[6]2038'!K57,2)</f>
        <v>25343.65</v>
      </c>
      <c r="L396" s="79">
        <f>ROUND('[6]2038'!L57,2)</f>
        <v>26738.55</v>
      </c>
      <c r="M396" s="79">
        <f>ROUND('[6]2038'!M57,2)</f>
        <v>28650.880000000001</v>
      </c>
      <c r="N396" s="79">
        <f>ROUND('[6]2038'!N57,2)</f>
        <v>30222.46</v>
      </c>
      <c r="O396" s="79">
        <f>ROUND('[6]2038'!O57,2)</f>
        <v>31734.59</v>
      </c>
      <c r="P396" s="79">
        <f>ROUND('[6]2038'!P57,2)</f>
        <v>32533.360000000001</v>
      </c>
      <c r="Q396" s="79">
        <f>ROUND('[6]2038'!Q57,2)</f>
        <v>33126.050000000003</v>
      </c>
      <c r="R396" s="79">
        <f>ROUND('[6]2038'!R57,2)</f>
        <v>33094.82</v>
      </c>
      <c r="S396" s="79">
        <f>ROUND('[6]2038'!S57,2)</f>
        <v>32999.71</v>
      </c>
      <c r="T396" s="79">
        <f>ROUND('[6]2038'!T57,2)</f>
        <v>33150.14</v>
      </c>
      <c r="U396" s="79">
        <f>ROUND('[6]2038'!U57,2)</f>
        <v>33188.67</v>
      </c>
      <c r="V396" s="79">
        <f>ROUND('[6]2038'!V57,2)</f>
        <v>35433.519999999997</v>
      </c>
      <c r="W396" s="79">
        <f>ROUND('[6]2038'!W57,2)</f>
        <v>38810.92</v>
      </c>
      <c r="X396" s="79">
        <f>ROUND('[6]2038'!X57,2)</f>
        <v>38867.71</v>
      </c>
      <c r="Y396" s="79">
        <f>ROUND('[6]2038'!Y57,2)</f>
        <v>38010.629999999997</v>
      </c>
      <c r="Z396" s="79">
        <f>ROUND('[6]2038'!Z57,2)</f>
        <v>36516.53</v>
      </c>
      <c r="AA396" s="79">
        <f>ROUND('[6]2038'!AA57,2)</f>
        <v>34176.129999999997</v>
      </c>
      <c r="AB396" s="79">
        <f>ROUND('[6]2038'!AB57,2)</f>
        <v>31700.62</v>
      </c>
      <c r="AC396" s="210"/>
      <c r="AD396" s="185"/>
    </row>
    <row r="397" spans="2:30" s="186" customFormat="1" ht="18.649999999999999" customHeight="1" thickBot="1" x14ac:dyDescent="0.4">
      <c r="B397" s="208"/>
      <c r="C397" s="15" t="s">
        <v>32</v>
      </c>
      <c r="D397" s="16">
        <f>+'[6]2038'!D58</f>
        <v>2</v>
      </c>
      <c r="E397" s="80">
        <f>ROUND('[6]2038'!E58,2)</f>
        <v>30290.25</v>
      </c>
      <c r="F397" s="80">
        <f>ROUND('[6]2038'!F58,2)</f>
        <v>28853.22</v>
      </c>
      <c r="G397" s="80">
        <f>ROUND('[6]2038'!G58,2)</f>
        <v>27608.880000000001</v>
      </c>
      <c r="H397" s="80">
        <f>ROUND('[6]2038'!H58,2)</f>
        <v>26770.22</v>
      </c>
      <c r="I397" s="80">
        <f>ROUND('[6]2038'!I58,2)</f>
        <v>26430.28</v>
      </c>
      <c r="J397" s="80">
        <f>ROUND('[6]2038'!J58,2)</f>
        <v>25984.95</v>
      </c>
      <c r="K397" s="80">
        <f>ROUND('[6]2038'!K58,2)</f>
        <v>25343.65</v>
      </c>
      <c r="L397" s="80">
        <f>ROUND('[6]2038'!L58,2)</f>
        <v>26738.55</v>
      </c>
      <c r="M397" s="80">
        <f>ROUND('[6]2038'!M58,2)</f>
        <v>28650.880000000001</v>
      </c>
      <c r="N397" s="80">
        <f>ROUND('[6]2038'!N58,2)</f>
        <v>30222.46</v>
      </c>
      <c r="O397" s="80">
        <f>ROUND('[6]2038'!O58,2)</f>
        <v>31734.59</v>
      </c>
      <c r="P397" s="80">
        <f>ROUND('[6]2038'!P58,2)</f>
        <v>32533.360000000001</v>
      </c>
      <c r="Q397" s="80">
        <f>ROUND('[6]2038'!Q58,2)</f>
        <v>33126.050000000003</v>
      </c>
      <c r="R397" s="80">
        <f>ROUND('[6]2038'!R58,2)</f>
        <v>33094.82</v>
      </c>
      <c r="S397" s="80">
        <f>ROUND('[6]2038'!S58,2)</f>
        <v>32999.71</v>
      </c>
      <c r="T397" s="80">
        <f>ROUND('[6]2038'!T58,2)</f>
        <v>33150.14</v>
      </c>
      <c r="U397" s="80">
        <f>ROUND('[6]2038'!U58,2)</f>
        <v>33188.67</v>
      </c>
      <c r="V397" s="80">
        <f>ROUND('[6]2038'!V58,2)</f>
        <v>35433.519999999997</v>
      </c>
      <c r="W397" s="80">
        <f>ROUND('[6]2038'!W58,2)</f>
        <v>38810.92</v>
      </c>
      <c r="X397" s="80">
        <f>ROUND('[6]2038'!X58,2)</f>
        <v>38867.71</v>
      </c>
      <c r="Y397" s="80">
        <f>ROUND('[6]2038'!Y58,2)</f>
        <v>38010.629999999997</v>
      </c>
      <c r="Z397" s="80">
        <f>ROUND('[6]2038'!Z58,2)</f>
        <v>36516.53</v>
      </c>
      <c r="AA397" s="80">
        <f>ROUND('[6]2038'!AA58,2)</f>
        <v>34176.129999999997</v>
      </c>
      <c r="AB397" s="80">
        <f>ROUND('[6]2038'!AB58,2)</f>
        <v>31700.62</v>
      </c>
      <c r="AC397" s="210"/>
      <c r="AD397" s="185"/>
    </row>
    <row r="398" spans="2:30" s="186" customFormat="1" ht="18.649999999999999" customHeight="1" x14ac:dyDescent="0.35">
      <c r="B398" s="211">
        <v>50740</v>
      </c>
      <c r="C398" s="6" t="s">
        <v>29</v>
      </c>
      <c r="D398" s="7">
        <f>+'[6]2038'!D59</f>
        <v>23</v>
      </c>
      <c r="E398" s="78">
        <f>ROUND('[6]2038'!E59,2)</f>
        <v>31879.67</v>
      </c>
      <c r="F398" s="78">
        <f>ROUND('[6]2038'!F59,2)</f>
        <v>30126.32</v>
      </c>
      <c r="G398" s="78">
        <f>ROUND('[6]2038'!G59,2)</f>
        <v>28874.1</v>
      </c>
      <c r="H398" s="78">
        <f>ROUND('[6]2038'!H59,2)</f>
        <v>28098.16</v>
      </c>
      <c r="I398" s="78">
        <f>ROUND('[6]2038'!I59,2)</f>
        <v>27998.37</v>
      </c>
      <c r="J398" s="78">
        <f>ROUND('[6]2038'!J59,2)</f>
        <v>28498.51</v>
      </c>
      <c r="K398" s="78">
        <f>ROUND('[6]2038'!K59,2)</f>
        <v>28697.83</v>
      </c>
      <c r="L398" s="78">
        <f>ROUND('[6]2038'!L59,2)</f>
        <v>32156.78</v>
      </c>
      <c r="M398" s="78">
        <f>ROUND('[6]2038'!M59,2)</f>
        <v>35669.71</v>
      </c>
      <c r="N398" s="78">
        <f>ROUND('[6]2038'!N59,2)</f>
        <v>37681.199999999997</v>
      </c>
      <c r="O398" s="78">
        <f>ROUND('[6]2038'!O59,2)</f>
        <v>39451.61</v>
      </c>
      <c r="P398" s="78">
        <f>ROUND('[6]2038'!P59,2)</f>
        <v>40732.65</v>
      </c>
      <c r="Q398" s="78">
        <f>ROUND('[6]2038'!Q59,2)</f>
        <v>39611.11</v>
      </c>
      <c r="R398" s="78">
        <f>ROUND('[6]2038'!R59,2)</f>
        <v>40118.71</v>
      </c>
      <c r="S398" s="78">
        <f>ROUND('[6]2038'!S59,2)</f>
        <v>41815</v>
      </c>
      <c r="T398" s="78">
        <f>ROUND('[6]2038'!T59,2)</f>
        <v>42336.959999999999</v>
      </c>
      <c r="U398" s="78">
        <f>ROUND('[6]2038'!U59,2)</f>
        <v>41987.77</v>
      </c>
      <c r="V398" s="78">
        <f>ROUND('[6]2038'!V59,2)</f>
        <v>42030.400000000001</v>
      </c>
      <c r="W398" s="78">
        <f>ROUND('[6]2038'!W59,2)</f>
        <v>45269.33</v>
      </c>
      <c r="X398" s="78">
        <f>ROUND('[6]2038'!X59,2)</f>
        <v>44398.3</v>
      </c>
      <c r="Y398" s="78">
        <f>ROUND('[6]2038'!Y59,2)</f>
        <v>42773.24</v>
      </c>
      <c r="Z398" s="78">
        <f>ROUND('[6]2038'!Z59,2)</f>
        <v>40456.550000000003</v>
      </c>
      <c r="AA398" s="78">
        <f>ROUND('[6]2038'!AA59,2)</f>
        <v>37483.519999999997</v>
      </c>
      <c r="AB398" s="78">
        <f>ROUND('[6]2038'!AB59,2)</f>
        <v>34590.6</v>
      </c>
      <c r="AC398" s="209">
        <f>SUM(E398:AB398)*D398+SUM(E399:AB399)*D399+SUM(E400:AB400)*D400+SUM(E401:AB401)*D401</f>
        <v>26905585.210000005</v>
      </c>
      <c r="AD398" s="185"/>
    </row>
    <row r="399" spans="2:30" s="186" customFormat="1" ht="18.649999999999999" customHeight="1" x14ac:dyDescent="0.35">
      <c r="B399" s="212" t="s">
        <v>34</v>
      </c>
      <c r="C399" s="9" t="s">
        <v>30</v>
      </c>
      <c r="D399" s="10">
        <f>+'[6]2038'!D60</f>
        <v>3</v>
      </c>
      <c r="E399" s="79">
        <f>ROUND('[6]2038'!E60,2)</f>
        <v>32395.93</v>
      </c>
      <c r="F399" s="79">
        <f>ROUND('[6]2038'!F60,2)</f>
        <v>30561.87</v>
      </c>
      <c r="G399" s="79">
        <f>ROUND('[6]2038'!G60,2)</f>
        <v>29353.68</v>
      </c>
      <c r="H399" s="79">
        <f>ROUND('[6]2038'!H60,2)</f>
        <v>28467.84</v>
      </c>
      <c r="I399" s="79">
        <f>ROUND('[6]2038'!I60,2)</f>
        <v>28222.98</v>
      </c>
      <c r="J399" s="79">
        <f>ROUND('[6]2038'!J60,2)</f>
        <v>28272.21</v>
      </c>
      <c r="K399" s="79">
        <f>ROUND('[6]2038'!K60,2)</f>
        <v>27991.38</v>
      </c>
      <c r="L399" s="79">
        <f>ROUND('[6]2038'!L60,2)</f>
        <v>30561.51</v>
      </c>
      <c r="M399" s="79">
        <f>ROUND('[6]2038'!M60,2)</f>
        <v>34281.589999999997</v>
      </c>
      <c r="N399" s="79">
        <f>ROUND('[6]2038'!N60,2)</f>
        <v>36463.21</v>
      </c>
      <c r="O399" s="79">
        <f>ROUND('[6]2038'!O60,2)</f>
        <v>38300.61</v>
      </c>
      <c r="P399" s="79">
        <f>ROUND('[6]2038'!P60,2)</f>
        <v>39422.04</v>
      </c>
      <c r="Q399" s="79">
        <f>ROUND('[6]2038'!Q60,2)</f>
        <v>38783.550000000003</v>
      </c>
      <c r="R399" s="79">
        <f>ROUND('[6]2038'!R60,2)</f>
        <v>38503.1</v>
      </c>
      <c r="S399" s="79">
        <f>ROUND('[6]2038'!S60,2)</f>
        <v>38341.699999999997</v>
      </c>
      <c r="T399" s="79">
        <f>ROUND('[6]2038'!T60,2)</f>
        <v>38753.360000000001</v>
      </c>
      <c r="U399" s="79">
        <f>ROUND('[6]2038'!U60,2)</f>
        <v>38632.97</v>
      </c>
      <c r="V399" s="79">
        <f>ROUND('[6]2038'!V60,2)</f>
        <v>39487.199999999997</v>
      </c>
      <c r="W399" s="79">
        <f>ROUND('[6]2038'!W60,2)</f>
        <v>43861.3</v>
      </c>
      <c r="X399" s="79">
        <f>ROUND('[6]2038'!X60,2)</f>
        <v>43239.13</v>
      </c>
      <c r="Y399" s="79">
        <f>ROUND('[6]2038'!Y60,2)</f>
        <v>41611.21</v>
      </c>
      <c r="Z399" s="79">
        <f>ROUND('[6]2038'!Z60,2)</f>
        <v>39835.15</v>
      </c>
      <c r="AA399" s="79">
        <f>ROUND('[6]2038'!AA60,2)</f>
        <v>37372.67</v>
      </c>
      <c r="AB399" s="79">
        <f>ROUND('[6]2038'!AB60,2)</f>
        <v>34835.78</v>
      </c>
      <c r="AC399" s="210"/>
      <c r="AD399" s="185"/>
    </row>
    <row r="400" spans="2:30" s="186" customFormat="1" ht="18.649999999999999" customHeight="1" x14ac:dyDescent="0.35">
      <c r="B400" s="212" t="s">
        <v>34</v>
      </c>
      <c r="C400" s="9" t="s">
        <v>31</v>
      </c>
      <c r="D400" s="10">
        <f>+'[6]2038'!D61</f>
        <v>4</v>
      </c>
      <c r="E400" s="79">
        <f>ROUND('[6]2038'!E61,2)</f>
        <v>32600.44</v>
      </c>
      <c r="F400" s="79">
        <f>ROUND('[6]2038'!F61,2)</f>
        <v>30998.12</v>
      </c>
      <c r="G400" s="79">
        <f>ROUND('[6]2038'!G61,2)</f>
        <v>29707.61</v>
      </c>
      <c r="H400" s="79">
        <f>ROUND('[6]2038'!H61,2)</f>
        <v>28798.78</v>
      </c>
      <c r="I400" s="79">
        <f>ROUND('[6]2038'!I61,2)</f>
        <v>28388.79</v>
      </c>
      <c r="J400" s="79">
        <f>ROUND('[6]2038'!J61,2)</f>
        <v>28102.31</v>
      </c>
      <c r="K400" s="79">
        <f>ROUND('[6]2038'!K61,2)</f>
        <v>26850.2</v>
      </c>
      <c r="L400" s="79">
        <f>ROUND('[6]2038'!L61,2)</f>
        <v>28204.6</v>
      </c>
      <c r="M400" s="79">
        <f>ROUND('[6]2038'!M61,2)</f>
        <v>30357.53</v>
      </c>
      <c r="N400" s="79">
        <f>ROUND('[6]2038'!N61,2)</f>
        <v>32205.79</v>
      </c>
      <c r="O400" s="79">
        <f>ROUND('[6]2038'!O61,2)</f>
        <v>33421.65</v>
      </c>
      <c r="P400" s="79">
        <f>ROUND('[6]2038'!P61,2)</f>
        <v>34417.29</v>
      </c>
      <c r="Q400" s="79">
        <f>ROUND('[6]2038'!Q61,2)</f>
        <v>35009.379999999997</v>
      </c>
      <c r="R400" s="79">
        <f>ROUND('[6]2038'!R61,2)</f>
        <v>35339.08</v>
      </c>
      <c r="S400" s="79">
        <f>ROUND('[6]2038'!S61,2)</f>
        <v>34340.25</v>
      </c>
      <c r="T400" s="79">
        <f>ROUND('[6]2038'!T61,2)</f>
        <v>35279.449999999997</v>
      </c>
      <c r="U400" s="79">
        <f>ROUND('[6]2038'!U61,2)</f>
        <v>35489.160000000003</v>
      </c>
      <c r="V400" s="79">
        <f>ROUND('[6]2038'!V61,2)</f>
        <v>36674.06</v>
      </c>
      <c r="W400" s="79">
        <f>ROUND('[6]2038'!W61,2)</f>
        <v>41122.519999999997</v>
      </c>
      <c r="X400" s="79">
        <f>ROUND('[6]2038'!X61,2)</f>
        <v>40795.339999999997</v>
      </c>
      <c r="Y400" s="79">
        <f>ROUND('[6]2038'!Y61,2)</f>
        <v>39730.69</v>
      </c>
      <c r="Z400" s="79">
        <f>ROUND('[6]2038'!Z61,2)</f>
        <v>38272.07</v>
      </c>
      <c r="AA400" s="79">
        <f>ROUND('[6]2038'!AA61,2)</f>
        <v>36065.51</v>
      </c>
      <c r="AB400" s="79">
        <f>ROUND('[6]2038'!AB61,2)</f>
        <v>33827.800000000003</v>
      </c>
      <c r="AC400" s="210"/>
      <c r="AD400" s="185"/>
    </row>
    <row r="401" spans="2:50" s="186" customFormat="1" ht="18.649999999999999" customHeight="1" thickBot="1" x14ac:dyDescent="0.4">
      <c r="B401" s="213" t="s">
        <v>34</v>
      </c>
      <c r="C401" s="11" t="s">
        <v>32</v>
      </c>
      <c r="D401" s="12">
        <f>+'[6]2038'!D62</f>
        <v>1</v>
      </c>
      <c r="E401" s="76">
        <f>ROUND('[6]2038'!E62,2)</f>
        <v>32600.44</v>
      </c>
      <c r="F401" s="76">
        <f>ROUND('[6]2038'!F62,2)</f>
        <v>30998.12</v>
      </c>
      <c r="G401" s="76">
        <f>ROUND('[6]2038'!G62,2)</f>
        <v>29707.61</v>
      </c>
      <c r="H401" s="76">
        <f>ROUND('[6]2038'!H62,2)</f>
        <v>28798.78</v>
      </c>
      <c r="I401" s="76">
        <f>ROUND('[6]2038'!I62,2)</f>
        <v>28388.79</v>
      </c>
      <c r="J401" s="76">
        <f>ROUND('[6]2038'!J62,2)</f>
        <v>28102.31</v>
      </c>
      <c r="K401" s="76">
        <f>ROUND('[6]2038'!K62,2)</f>
        <v>26850.2</v>
      </c>
      <c r="L401" s="76">
        <f>ROUND('[6]2038'!L62,2)</f>
        <v>28204.6</v>
      </c>
      <c r="M401" s="76">
        <f>ROUND('[6]2038'!M62,2)</f>
        <v>30357.53</v>
      </c>
      <c r="N401" s="76">
        <f>ROUND('[6]2038'!N62,2)</f>
        <v>32205.79</v>
      </c>
      <c r="O401" s="76">
        <f>ROUND('[6]2038'!O62,2)</f>
        <v>33421.65</v>
      </c>
      <c r="P401" s="76">
        <f>ROUND('[6]2038'!P62,2)</f>
        <v>34417.29</v>
      </c>
      <c r="Q401" s="76">
        <f>ROUND('[6]2038'!Q62,2)</f>
        <v>35009.379999999997</v>
      </c>
      <c r="R401" s="76">
        <f>ROUND('[6]2038'!R62,2)</f>
        <v>35339.08</v>
      </c>
      <c r="S401" s="76">
        <f>ROUND('[6]2038'!S62,2)</f>
        <v>34340.25</v>
      </c>
      <c r="T401" s="76">
        <f>ROUND('[6]2038'!T62,2)</f>
        <v>35279.449999999997</v>
      </c>
      <c r="U401" s="76">
        <f>ROUND('[6]2038'!U62,2)</f>
        <v>35489.160000000003</v>
      </c>
      <c r="V401" s="76">
        <f>ROUND('[6]2038'!V62,2)</f>
        <v>36674.06</v>
      </c>
      <c r="W401" s="76">
        <f>ROUND('[6]2038'!W62,2)</f>
        <v>41122.519999999997</v>
      </c>
      <c r="X401" s="76">
        <f>ROUND('[6]2038'!X62,2)</f>
        <v>40795.339999999997</v>
      </c>
      <c r="Y401" s="76">
        <f>ROUND('[6]2038'!Y62,2)</f>
        <v>39730.69</v>
      </c>
      <c r="Z401" s="76">
        <f>ROUND('[6]2038'!Z62,2)</f>
        <v>38272.07</v>
      </c>
      <c r="AA401" s="76">
        <f>ROUND('[6]2038'!AA62,2)</f>
        <v>36065.51</v>
      </c>
      <c r="AB401" s="76">
        <f>ROUND('[6]2038'!AB62,2)</f>
        <v>33827.800000000003</v>
      </c>
      <c r="AC401" s="214"/>
      <c r="AD401" s="185"/>
    </row>
    <row r="402" spans="2:50" s="186" customFormat="1" ht="18.649999999999999" customHeight="1" thickBot="1" x14ac:dyDescent="0.4">
      <c r="C402" s="187" t="s">
        <v>32</v>
      </c>
      <c r="D402" s="187">
        <v>1</v>
      </c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188"/>
      <c r="P402" s="188"/>
      <c r="Q402" s="188"/>
      <c r="R402" s="188"/>
      <c r="S402" s="188"/>
      <c r="T402" s="188"/>
      <c r="U402" s="188"/>
      <c r="V402" s="188"/>
      <c r="W402" s="188"/>
      <c r="X402" s="188"/>
      <c r="Y402" s="188"/>
      <c r="Z402" s="215" t="s">
        <v>33</v>
      </c>
      <c r="AA402" s="216"/>
      <c r="AB402" s="217"/>
      <c r="AC402" s="135">
        <f>SUM(AC354:AC401)</f>
        <v>318826731.06</v>
      </c>
      <c r="AD402" s="189"/>
      <c r="AE402" s="185"/>
    </row>
    <row r="403" spans="2:50" s="186" customFormat="1" ht="18.649999999999999" customHeight="1" x14ac:dyDescent="0.35">
      <c r="B403" s="207">
        <v>50771</v>
      </c>
      <c r="C403" s="6" t="s">
        <v>29</v>
      </c>
      <c r="D403" s="46">
        <f>+'[6]2039'!D15</f>
        <v>20</v>
      </c>
      <c r="E403" s="78">
        <f>ROUND('[6]2039'!E15,2)</f>
        <v>33432.44</v>
      </c>
      <c r="F403" s="78">
        <f>ROUND('[6]2039'!F15,2)</f>
        <v>31725.1</v>
      </c>
      <c r="G403" s="78">
        <f>ROUND('[6]2039'!G15,2)</f>
        <v>30440.76</v>
      </c>
      <c r="H403" s="78">
        <f>ROUND('[6]2039'!H15,2)</f>
        <v>29508.53</v>
      </c>
      <c r="I403" s="78">
        <f>ROUND('[6]2039'!I15,2)</f>
        <v>29345.87</v>
      </c>
      <c r="J403" s="78">
        <f>ROUND('[6]2039'!J15,2)</f>
        <v>30327.9</v>
      </c>
      <c r="K403" s="78">
        <f>ROUND('[6]2039'!K15,2)</f>
        <v>30054.13</v>
      </c>
      <c r="L403" s="78">
        <f>ROUND('[6]2039'!L15,2)</f>
        <v>33526.99</v>
      </c>
      <c r="M403" s="78">
        <f>ROUND('[6]2039'!M15,2)</f>
        <v>37218.519999999997</v>
      </c>
      <c r="N403" s="78">
        <f>ROUND('[6]2039'!N15,2)</f>
        <v>39136.9</v>
      </c>
      <c r="O403" s="78">
        <f>ROUND('[6]2039'!O15,2)</f>
        <v>41213.71</v>
      </c>
      <c r="P403" s="78">
        <f>ROUND('[6]2039'!P15,2)</f>
        <v>42913.73</v>
      </c>
      <c r="Q403" s="78">
        <f>ROUND('[6]2039'!Q15,2)</f>
        <v>41738.71</v>
      </c>
      <c r="R403" s="78">
        <f>ROUND('[6]2039'!R15,2)</f>
        <v>42887.88</v>
      </c>
      <c r="S403" s="78">
        <f>ROUND('[6]2039'!S15,2)</f>
        <v>44877.35</v>
      </c>
      <c r="T403" s="78">
        <f>ROUND('[6]2039'!T15,2)</f>
        <v>45115.92</v>
      </c>
      <c r="U403" s="78">
        <f>ROUND('[6]2039'!U15,2)</f>
        <v>44369.79</v>
      </c>
      <c r="V403" s="78">
        <f>ROUND('[6]2039'!V15,2)</f>
        <v>42734.76</v>
      </c>
      <c r="W403" s="78">
        <f>ROUND('[6]2039'!W15,2)</f>
        <v>45715.38</v>
      </c>
      <c r="X403" s="78">
        <f>ROUND('[6]2039'!X15,2)</f>
        <v>45878.39</v>
      </c>
      <c r="Y403" s="78">
        <f>ROUND('[6]2039'!Y15,2)</f>
        <v>44673.27</v>
      </c>
      <c r="Z403" s="78">
        <f>ROUND('[6]2039'!Z15,2)</f>
        <v>42714.39</v>
      </c>
      <c r="AA403" s="78">
        <f>ROUND('[6]2039'!AA15,2)</f>
        <v>39686.14</v>
      </c>
      <c r="AB403" s="78">
        <f>ROUND('[6]2039'!AB15,2)</f>
        <v>36453.17</v>
      </c>
      <c r="AC403" s="209">
        <f>SUM(E403:AB403)*D403+SUM(E404:AB404)*D404+SUM(E405:AB405)*D405+SUM(E406:AB406)*D406</f>
        <v>27732846.670000006</v>
      </c>
      <c r="AD403" s="185"/>
      <c r="AE403" s="185"/>
      <c r="AF403" s="185"/>
      <c r="AG403" s="185"/>
      <c r="AH403" s="185"/>
      <c r="AI403" s="185"/>
      <c r="AJ403" s="185"/>
      <c r="AK403" s="185"/>
      <c r="AL403" s="185"/>
      <c r="AM403" s="185"/>
      <c r="AN403" s="185"/>
      <c r="AO403" s="185"/>
      <c r="AP403" s="185"/>
      <c r="AQ403" s="185"/>
      <c r="AR403" s="185"/>
      <c r="AS403" s="185"/>
      <c r="AT403" s="185"/>
      <c r="AU403" s="185"/>
      <c r="AV403" s="185"/>
      <c r="AW403" s="185"/>
      <c r="AX403" s="185"/>
    </row>
    <row r="404" spans="2:50" s="186" customFormat="1" ht="18.649999999999999" customHeight="1" x14ac:dyDescent="0.35">
      <c r="B404" s="208"/>
      <c r="C404" s="9" t="s">
        <v>30</v>
      </c>
      <c r="D404" s="10">
        <f>+'[6]2039'!D16</f>
        <v>4</v>
      </c>
      <c r="E404" s="79">
        <f>ROUND('[6]2039'!E16,2)</f>
        <v>33190.11</v>
      </c>
      <c r="F404" s="79">
        <f>ROUND('[6]2039'!F16,2)</f>
        <v>31596.04</v>
      </c>
      <c r="G404" s="79">
        <f>ROUND('[6]2039'!G16,2)</f>
        <v>30343.99</v>
      </c>
      <c r="H404" s="79">
        <f>ROUND('[6]2039'!H16,2)</f>
        <v>29387.77</v>
      </c>
      <c r="I404" s="79">
        <f>ROUND('[6]2039'!I16,2)</f>
        <v>29098.35</v>
      </c>
      <c r="J404" s="79">
        <f>ROUND('[6]2039'!J16,2)</f>
        <v>29331.119999999999</v>
      </c>
      <c r="K404" s="79">
        <f>ROUND('[6]2039'!K16,2)</f>
        <v>28575.200000000001</v>
      </c>
      <c r="L404" s="79">
        <f>ROUND('[6]2039'!L16,2)</f>
        <v>31398.400000000001</v>
      </c>
      <c r="M404" s="79">
        <f>ROUND('[6]2039'!M16,2)</f>
        <v>34889.379999999997</v>
      </c>
      <c r="N404" s="79">
        <f>ROUND('[6]2039'!N16,2)</f>
        <v>37201.480000000003</v>
      </c>
      <c r="O404" s="79">
        <f>ROUND('[6]2039'!O16,2)</f>
        <v>39020.519999999997</v>
      </c>
      <c r="P404" s="79">
        <f>ROUND('[6]2039'!P16,2)</f>
        <v>40004.86</v>
      </c>
      <c r="Q404" s="79">
        <f>ROUND('[6]2039'!Q16,2)</f>
        <v>39655.08</v>
      </c>
      <c r="R404" s="79">
        <f>ROUND('[6]2039'!R16,2)</f>
        <v>38815.449999999997</v>
      </c>
      <c r="S404" s="79">
        <f>ROUND('[6]2039'!S16,2)</f>
        <v>38998.620000000003</v>
      </c>
      <c r="T404" s="79">
        <f>ROUND('[6]2039'!T16,2)</f>
        <v>39133.9</v>
      </c>
      <c r="U404" s="79">
        <f>ROUND('[6]2039'!U16,2)</f>
        <v>38746.089999999997</v>
      </c>
      <c r="V404" s="79">
        <f>ROUND('[6]2039'!V16,2)</f>
        <v>38886.449999999997</v>
      </c>
      <c r="W404" s="79">
        <f>ROUND('[6]2039'!W16,2)</f>
        <v>43196.83</v>
      </c>
      <c r="X404" s="79">
        <f>ROUND('[6]2039'!X16,2)</f>
        <v>43506.16</v>
      </c>
      <c r="Y404" s="79">
        <f>ROUND('[6]2039'!Y16,2)</f>
        <v>42212.94</v>
      </c>
      <c r="Z404" s="79">
        <f>ROUND('[6]2039'!Z16,2)</f>
        <v>40502.410000000003</v>
      </c>
      <c r="AA404" s="79">
        <f>ROUND('[6]2039'!AA16,2)</f>
        <v>38279.519999999997</v>
      </c>
      <c r="AB404" s="79">
        <f>ROUND('[6]2039'!AB16,2)</f>
        <v>35814.42</v>
      </c>
      <c r="AC404" s="210"/>
      <c r="AD404" s="185"/>
      <c r="AE404" s="185"/>
      <c r="AF404" s="185"/>
      <c r="AG404" s="185"/>
      <c r="AH404" s="185"/>
      <c r="AI404" s="185"/>
      <c r="AJ404" s="185"/>
      <c r="AK404" s="185"/>
      <c r="AL404" s="185"/>
      <c r="AM404" s="185"/>
      <c r="AN404" s="185"/>
      <c r="AO404" s="185"/>
      <c r="AP404" s="185"/>
      <c r="AQ404" s="185"/>
      <c r="AR404" s="185"/>
      <c r="AS404" s="185"/>
      <c r="AT404" s="185"/>
      <c r="AU404" s="185"/>
      <c r="AV404" s="185"/>
      <c r="AW404" s="185"/>
      <c r="AX404" s="185"/>
    </row>
    <row r="405" spans="2:50" s="186" customFormat="1" ht="18.649999999999999" customHeight="1" x14ac:dyDescent="0.35">
      <c r="B405" s="208"/>
      <c r="C405" s="9" t="s">
        <v>31</v>
      </c>
      <c r="D405" s="10">
        <f>+'[6]2039'!D17</f>
        <v>5</v>
      </c>
      <c r="E405" s="79">
        <f>ROUND('[6]2039'!E17,2)</f>
        <v>33410.080000000002</v>
      </c>
      <c r="F405" s="79">
        <f>ROUND('[6]2039'!F17,2)</f>
        <v>31768.639999999999</v>
      </c>
      <c r="G405" s="79">
        <f>ROUND('[6]2039'!G17,2)</f>
        <v>30445.05</v>
      </c>
      <c r="H405" s="79">
        <f>ROUND('[6]2039'!H17,2)</f>
        <v>29473.99</v>
      </c>
      <c r="I405" s="79">
        <f>ROUND('[6]2039'!I17,2)</f>
        <v>28996.05</v>
      </c>
      <c r="J405" s="79">
        <f>ROUND('[6]2039'!J17,2)</f>
        <v>28843.95</v>
      </c>
      <c r="K405" s="79">
        <f>ROUND('[6]2039'!K17,2)</f>
        <v>27289.93</v>
      </c>
      <c r="L405" s="79">
        <f>ROUND('[6]2039'!L17,2)</f>
        <v>28507.41</v>
      </c>
      <c r="M405" s="79">
        <f>ROUND('[6]2039'!M17,2)</f>
        <v>30458.95</v>
      </c>
      <c r="N405" s="79">
        <f>ROUND('[6]2039'!N17,2)</f>
        <v>31961.57</v>
      </c>
      <c r="O405" s="79">
        <f>ROUND('[6]2039'!O17,2)</f>
        <v>33399.15</v>
      </c>
      <c r="P405" s="79">
        <f>ROUND('[6]2039'!P17,2)</f>
        <v>34562.1</v>
      </c>
      <c r="Q405" s="79">
        <f>ROUND('[6]2039'!Q17,2)</f>
        <v>35354.71</v>
      </c>
      <c r="R405" s="79">
        <f>ROUND('[6]2039'!R17,2)</f>
        <v>35450.080000000002</v>
      </c>
      <c r="S405" s="79">
        <f>ROUND('[6]2039'!S17,2)</f>
        <v>35468.050000000003</v>
      </c>
      <c r="T405" s="79">
        <f>ROUND('[6]2039'!T17,2)</f>
        <v>35590.07</v>
      </c>
      <c r="U405" s="79">
        <f>ROUND('[6]2039'!U17,2)</f>
        <v>35608.160000000003</v>
      </c>
      <c r="V405" s="79">
        <f>ROUND('[6]2039'!V17,2)</f>
        <v>35984.19</v>
      </c>
      <c r="W405" s="79">
        <f>ROUND('[6]2039'!W17,2)</f>
        <v>40681.86</v>
      </c>
      <c r="X405" s="79">
        <f>ROUND('[6]2039'!X17,2)</f>
        <v>41847.120000000003</v>
      </c>
      <c r="Y405" s="79">
        <f>ROUND('[6]2039'!Y17,2)</f>
        <v>41404.36</v>
      </c>
      <c r="Z405" s="79">
        <f>ROUND('[6]2039'!Z17,2)</f>
        <v>40042.36</v>
      </c>
      <c r="AA405" s="79">
        <f>ROUND('[6]2039'!AA17,2)</f>
        <v>37603.230000000003</v>
      </c>
      <c r="AB405" s="79">
        <f>ROUND('[6]2039'!AB17,2)</f>
        <v>34693.47</v>
      </c>
      <c r="AC405" s="210"/>
      <c r="AD405" s="185"/>
      <c r="AE405" s="185"/>
      <c r="AF405" s="185"/>
      <c r="AG405" s="185"/>
      <c r="AH405" s="185"/>
      <c r="AI405" s="185"/>
      <c r="AJ405" s="185"/>
      <c r="AK405" s="185"/>
      <c r="AL405" s="185"/>
      <c r="AM405" s="185"/>
      <c r="AN405" s="185"/>
      <c r="AO405" s="185"/>
      <c r="AP405" s="185"/>
      <c r="AQ405" s="185"/>
      <c r="AR405" s="185"/>
      <c r="AS405" s="185"/>
      <c r="AT405" s="185"/>
      <c r="AU405" s="185"/>
      <c r="AV405" s="185"/>
      <c r="AW405" s="185"/>
      <c r="AX405" s="185"/>
    </row>
    <row r="406" spans="2:50" s="186" customFormat="1" ht="18.649999999999999" customHeight="1" thickBot="1" x14ac:dyDescent="0.4">
      <c r="B406" s="208"/>
      <c r="C406" s="15" t="s">
        <v>32</v>
      </c>
      <c r="D406" s="16">
        <f>+'[6]2039'!D18</f>
        <v>2</v>
      </c>
      <c r="E406" s="80">
        <f>ROUND('[6]2039'!E18,2)</f>
        <v>33410.080000000002</v>
      </c>
      <c r="F406" s="80">
        <f>ROUND('[6]2039'!F18,2)</f>
        <v>31768.639999999999</v>
      </c>
      <c r="G406" s="80">
        <f>ROUND('[6]2039'!G18,2)</f>
        <v>30445.05</v>
      </c>
      <c r="H406" s="80">
        <f>ROUND('[6]2039'!H18,2)</f>
        <v>29473.99</v>
      </c>
      <c r="I406" s="80">
        <f>ROUND('[6]2039'!I18,2)</f>
        <v>28996.05</v>
      </c>
      <c r="J406" s="80">
        <f>ROUND('[6]2039'!J18,2)</f>
        <v>28843.95</v>
      </c>
      <c r="K406" s="80">
        <f>ROUND('[6]2039'!K18,2)</f>
        <v>27289.93</v>
      </c>
      <c r="L406" s="80">
        <f>ROUND('[6]2039'!L18,2)</f>
        <v>28507.41</v>
      </c>
      <c r="M406" s="80">
        <f>ROUND('[6]2039'!M18,2)</f>
        <v>30458.95</v>
      </c>
      <c r="N406" s="80">
        <f>ROUND('[6]2039'!N18,2)</f>
        <v>31961.57</v>
      </c>
      <c r="O406" s="80">
        <f>ROUND('[6]2039'!O18,2)</f>
        <v>33399.15</v>
      </c>
      <c r="P406" s="80">
        <f>ROUND('[6]2039'!P18,2)</f>
        <v>34562.1</v>
      </c>
      <c r="Q406" s="80">
        <f>ROUND('[6]2039'!Q18,2)</f>
        <v>35354.71</v>
      </c>
      <c r="R406" s="80">
        <f>ROUND('[6]2039'!R18,2)</f>
        <v>35450.080000000002</v>
      </c>
      <c r="S406" s="80">
        <f>ROUND('[6]2039'!S18,2)</f>
        <v>35468.050000000003</v>
      </c>
      <c r="T406" s="80">
        <f>ROUND('[6]2039'!T18,2)</f>
        <v>35590.07</v>
      </c>
      <c r="U406" s="80">
        <f>ROUND('[6]2039'!U18,2)</f>
        <v>35608.160000000003</v>
      </c>
      <c r="V406" s="80">
        <f>ROUND('[6]2039'!V18,2)</f>
        <v>35984.19</v>
      </c>
      <c r="W406" s="80">
        <f>ROUND('[6]2039'!W18,2)</f>
        <v>40681.86</v>
      </c>
      <c r="X406" s="80">
        <f>ROUND('[6]2039'!X18,2)</f>
        <v>41847.120000000003</v>
      </c>
      <c r="Y406" s="80">
        <f>ROUND('[6]2039'!Y18,2)</f>
        <v>41404.36</v>
      </c>
      <c r="Z406" s="80">
        <f>ROUND('[6]2039'!Z18,2)</f>
        <v>40042.36</v>
      </c>
      <c r="AA406" s="80">
        <f>ROUND('[6]2039'!AA18,2)</f>
        <v>37603.230000000003</v>
      </c>
      <c r="AB406" s="80">
        <f>ROUND('[6]2039'!AB18,2)</f>
        <v>34693.47</v>
      </c>
      <c r="AC406" s="210"/>
      <c r="AD406" s="185"/>
      <c r="AE406" s="185"/>
      <c r="AF406" s="185"/>
      <c r="AG406" s="185"/>
      <c r="AH406" s="185"/>
      <c r="AI406" s="185"/>
      <c r="AJ406" s="185"/>
      <c r="AK406" s="185"/>
      <c r="AL406" s="185"/>
      <c r="AM406" s="185"/>
      <c r="AN406" s="185"/>
      <c r="AO406" s="185"/>
      <c r="AP406" s="185"/>
      <c r="AQ406" s="185"/>
      <c r="AR406" s="185"/>
      <c r="AS406" s="185"/>
      <c r="AT406" s="185"/>
      <c r="AU406" s="185"/>
      <c r="AV406" s="185"/>
      <c r="AW406" s="185"/>
      <c r="AX406" s="185"/>
    </row>
    <row r="407" spans="2:50" s="186" customFormat="1" ht="18.649999999999999" customHeight="1" x14ac:dyDescent="0.35">
      <c r="B407" s="211">
        <v>50802</v>
      </c>
      <c r="C407" s="6" t="s">
        <v>29</v>
      </c>
      <c r="D407" s="7">
        <f>+'[6]2039'!D19</f>
        <v>20</v>
      </c>
      <c r="E407" s="78">
        <f>ROUND('[6]2039'!E19,2)</f>
        <v>35190.35</v>
      </c>
      <c r="F407" s="78">
        <f>ROUND('[6]2039'!F19,2)</f>
        <v>33462.879999999997</v>
      </c>
      <c r="G407" s="78">
        <f>ROUND('[6]2039'!G19,2)</f>
        <v>32083.84</v>
      </c>
      <c r="H407" s="78">
        <f>ROUND('[6]2039'!H19,2)</f>
        <v>31084.15</v>
      </c>
      <c r="I407" s="78">
        <f>ROUND('[6]2039'!I19,2)</f>
        <v>31049.33</v>
      </c>
      <c r="J407" s="78">
        <f>ROUND('[6]2039'!J19,2)</f>
        <v>32915.589999999997</v>
      </c>
      <c r="K407" s="78">
        <f>ROUND('[6]2039'!K19,2)</f>
        <v>32598.69</v>
      </c>
      <c r="L407" s="78">
        <f>ROUND('[6]2039'!L19,2)</f>
        <v>35771.620000000003</v>
      </c>
      <c r="M407" s="78">
        <f>ROUND('[6]2039'!M19,2)</f>
        <v>39262.31</v>
      </c>
      <c r="N407" s="78">
        <f>ROUND('[6]2039'!N19,2)</f>
        <v>40956.050000000003</v>
      </c>
      <c r="O407" s="78">
        <f>ROUND('[6]2039'!O19,2)</f>
        <v>43001.81</v>
      </c>
      <c r="P407" s="78">
        <f>ROUND('[6]2039'!P19,2)</f>
        <v>44619.58</v>
      </c>
      <c r="Q407" s="78">
        <f>ROUND('[6]2039'!Q19,2)</f>
        <v>43127.18</v>
      </c>
      <c r="R407" s="78">
        <f>ROUND('[6]2039'!R19,2)</f>
        <v>44676.68</v>
      </c>
      <c r="S407" s="78">
        <f>ROUND('[6]2039'!S19,2)</f>
        <v>47166.15</v>
      </c>
      <c r="T407" s="78">
        <f>ROUND('[6]2039'!T19,2)</f>
        <v>47551.82</v>
      </c>
      <c r="U407" s="78">
        <f>ROUND('[6]2039'!U19,2)</f>
        <v>46842.11</v>
      </c>
      <c r="V407" s="78">
        <f>ROUND('[6]2039'!V19,2)</f>
        <v>44932.26</v>
      </c>
      <c r="W407" s="78">
        <f>ROUND('[6]2039'!W19,2)</f>
        <v>47595.7</v>
      </c>
      <c r="X407" s="78">
        <f>ROUND('[6]2039'!X19,2)</f>
        <v>48268.68</v>
      </c>
      <c r="Y407" s="78">
        <f>ROUND('[6]2039'!Y19,2)</f>
        <v>47228.09</v>
      </c>
      <c r="Z407" s="78">
        <f>ROUND('[6]2039'!Z19,2)</f>
        <v>45145.31</v>
      </c>
      <c r="AA407" s="78">
        <f>ROUND('[6]2039'!AA19,2)</f>
        <v>41589.61</v>
      </c>
      <c r="AB407" s="78">
        <f>ROUND('[6]2039'!AB19,2)</f>
        <v>38064.1</v>
      </c>
      <c r="AC407" s="209">
        <f>SUM(E407:AB407)*D407+SUM(E408:AB408)*D408+SUM(E409:AB409)*D409+SUM(E410:AB410)*D410</f>
        <v>26652634.479999997</v>
      </c>
      <c r="AD407" s="185"/>
    </row>
    <row r="408" spans="2:50" s="186" customFormat="1" ht="18.649999999999999" customHeight="1" x14ac:dyDescent="0.35">
      <c r="B408" s="212" t="s">
        <v>34</v>
      </c>
      <c r="C408" s="9" t="s">
        <v>30</v>
      </c>
      <c r="D408" s="10">
        <f>+'[6]2039'!D20</f>
        <v>4</v>
      </c>
      <c r="E408" s="79">
        <f>ROUND('[6]2039'!E20,2)</f>
        <v>35675.67</v>
      </c>
      <c r="F408" s="79">
        <f>ROUND('[6]2039'!F20,2)</f>
        <v>33746.699999999997</v>
      </c>
      <c r="G408" s="79">
        <f>ROUND('[6]2039'!G20,2)</f>
        <v>32488.75</v>
      </c>
      <c r="H408" s="79">
        <f>ROUND('[6]2039'!H20,2)</f>
        <v>31292.98</v>
      </c>
      <c r="I408" s="79">
        <f>ROUND('[6]2039'!I20,2)</f>
        <v>30916.28</v>
      </c>
      <c r="J408" s="79">
        <f>ROUND('[6]2039'!J20,2)</f>
        <v>31275.52</v>
      </c>
      <c r="K408" s="79">
        <f>ROUND('[6]2039'!K20,2)</f>
        <v>30720.92</v>
      </c>
      <c r="L408" s="79">
        <f>ROUND('[6]2039'!L20,2)</f>
        <v>33559.71</v>
      </c>
      <c r="M408" s="79">
        <f>ROUND('[6]2039'!M20,2)</f>
        <v>37034.69</v>
      </c>
      <c r="N408" s="79">
        <f>ROUND('[6]2039'!N20,2)</f>
        <v>39098.47</v>
      </c>
      <c r="O408" s="79">
        <f>ROUND('[6]2039'!O20,2)</f>
        <v>40995.39</v>
      </c>
      <c r="P408" s="79">
        <f>ROUND('[6]2039'!P20,2)</f>
        <v>41948.91</v>
      </c>
      <c r="Q408" s="79">
        <f>ROUND('[6]2039'!Q20,2)</f>
        <v>41279.760000000002</v>
      </c>
      <c r="R408" s="79">
        <f>ROUND('[6]2039'!R20,2)</f>
        <v>40744.559999999998</v>
      </c>
      <c r="S408" s="79">
        <f>ROUND('[6]2039'!S20,2)</f>
        <v>40932.04</v>
      </c>
      <c r="T408" s="79">
        <f>ROUND('[6]2039'!T20,2)</f>
        <v>41049.19</v>
      </c>
      <c r="U408" s="79">
        <f>ROUND('[6]2039'!U20,2)</f>
        <v>40760.660000000003</v>
      </c>
      <c r="V408" s="79">
        <f>ROUND('[6]2039'!V20,2)</f>
        <v>40640.9</v>
      </c>
      <c r="W408" s="79">
        <f>ROUND('[6]2039'!W20,2)</f>
        <v>44860.11</v>
      </c>
      <c r="X408" s="79">
        <f>ROUND('[6]2039'!X20,2)</f>
        <v>45510.06</v>
      </c>
      <c r="Y408" s="79">
        <f>ROUND('[6]2039'!Y20,2)</f>
        <v>44446.13</v>
      </c>
      <c r="Z408" s="79">
        <f>ROUND('[6]2039'!Z20,2)</f>
        <v>42752.9</v>
      </c>
      <c r="AA408" s="79">
        <f>ROUND('[6]2039'!AA20,2)</f>
        <v>40517.629999999997</v>
      </c>
      <c r="AB408" s="79">
        <f>ROUND('[6]2039'!AB20,2)</f>
        <v>37855.99</v>
      </c>
      <c r="AC408" s="210"/>
      <c r="AD408" s="185"/>
    </row>
    <row r="409" spans="2:50" s="186" customFormat="1" ht="18.649999999999999" customHeight="1" x14ac:dyDescent="0.35">
      <c r="B409" s="212" t="s">
        <v>34</v>
      </c>
      <c r="C409" s="9" t="s">
        <v>31</v>
      </c>
      <c r="D409" s="10">
        <f>+'[6]2039'!D21</f>
        <v>4</v>
      </c>
      <c r="E409" s="79">
        <f>ROUND('[6]2039'!E21,2)</f>
        <v>35576.339999999997</v>
      </c>
      <c r="F409" s="79">
        <f>ROUND('[6]2039'!F21,2)</f>
        <v>33857.61</v>
      </c>
      <c r="G409" s="79">
        <f>ROUND('[6]2039'!G21,2)</f>
        <v>32469.8</v>
      </c>
      <c r="H409" s="79">
        <f>ROUND('[6]2039'!H21,2)</f>
        <v>31439.35</v>
      </c>
      <c r="I409" s="79">
        <f>ROUND('[6]2039'!I21,2)</f>
        <v>30908.9</v>
      </c>
      <c r="J409" s="79">
        <f>ROUND('[6]2039'!J21,2)</f>
        <v>30874.47</v>
      </c>
      <c r="K409" s="79">
        <f>ROUND('[6]2039'!K21,2)</f>
        <v>29254.240000000002</v>
      </c>
      <c r="L409" s="79">
        <f>ROUND('[6]2039'!L21,2)</f>
        <v>30515.96</v>
      </c>
      <c r="M409" s="79">
        <f>ROUND('[6]2039'!M21,2)</f>
        <v>32441.02</v>
      </c>
      <c r="N409" s="79">
        <f>ROUND('[6]2039'!N21,2)</f>
        <v>33804.769999999997</v>
      </c>
      <c r="O409" s="79">
        <f>ROUND('[6]2039'!O21,2)</f>
        <v>35193.22</v>
      </c>
      <c r="P409" s="79">
        <f>ROUND('[6]2039'!P21,2)</f>
        <v>36482.9</v>
      </c>
      <c r="Q409" s="79">
        <f>ROUND('[6]2039'!Q21,2)</f>
        <v>37339.31</v>
      </c>
      <c r="R409" s="79">
        <f>ROUND('[6]2039'!R21,2)</f>
        <v>37561.339999999997</v>
      </c>
      <c r="S409" s="79">
        <f>ROUND('[6]2039'!S21,2)</f>
        <v>37935.550000000003</v>
      </c>
      <c r="T409" s="79">
        <f>ROUND('[6]2039'!T21,2)</f>
        <v>38229.730000000003</v>
      </c>
      <c r="U409" s="79">
        <f>ROUND('[6]2039'!U21,2)</f>
        <v>38106.44</v>
      </c>
      <c r="V409" s="79">
        <f>ROUND('[6]2039'!V21,2)</f>
        <v>37872.410000000003</v>
      </c>
      <c r="W409" s="79">
        <f>ROUND('[6]2039'!W21,2)</f>
        <v>42802.18</v>
      </c>
      <c r="X409" s="79">
        <f>ROUND('[6]2039'!X21,2)</f>
        <v>44577.33</v>
      </c>
      <c r="Y409" s="79">
        <f>ROUND('[6]2039'!Y21,2)</f>
        <v>44560.79</v>
      </c>
      <c r="Z409" s="79">
        <f>ROUND('[6]2039'!Z21,2)</f>
        <v>43502.7</v>
      </c>
      <c r="AA409" s="79">
        <f>ROUND('[6]2039'!AA21,2)</f>
        <v>39971.629999999997</v>
      </c>
      <c r="AB409" s="79">
        <f>ROUND('[6]2039'!AB21,2)</f>
        <v>36857.26</v>
      </c>
      <c r="AC409" s="210"/>
      <c r="AD409" s="185"/>
    </row>
    <row r="410" spans="2:50" s="186" customFormat="1" ht="18.649999999999999" customHeight="1" thickBot="1" x14ac:dyDescent="0.4">
      <c r="B410" s="213" t="s">
        <v>34</v>
      </c>
      <c r="C410" s="11" t="s">
        <v>32</v>
      </c>
      <c r="D410" s="12">
        <f>+'[6]2039'!D22</f>
        <v>0</v>
      </c>
      <c r="E410" s="75">
        <f>ROUND('[6]2039'!E22,2)</f>
        <v>0</v>
      </c>
      <c r="F410" s="75">
        <f>ROUND('[6]2039'!F22,2)</f>
        <v>0</v>
      </c>
      <c r="G410" s="75">
        <f>ROUND('[6]2039'!G22,2)</f>
        <v>0</v>
      </c>
      <c r="H410" s="75">
        <f>ROUND('[6]2039'!H22,2)</f>
        <v>0</v>
      </c>
      <c r="I410" s="75">
        <f>ROUND('[6]2039'!I22,2)</f>
        <v>0</v>
      </c>
      <c r="J410" s="75">
        <f>ROUND('[6]2039'!J22,2)</f>
        <v>0</v>
      </c>
      <c r="K410" s="75">
        <f>ROUND('[6]2039'!K22,2)</f>
        <v>0</v>
      </c>
      <c r="L410" s="75">
        <f>ROUND('[6]2039'!L22,2)</f>
        <v>0</v>
      </c>
      <c r="M410" s="75">
        <f>ROUND('[6]2039'!M22,2)</f>
        <v>0</v>
      </c>
      <c r="N410" s="75">
        <f>ROUND('[6]2039'!N22,2)</f>
        <v>0</v>
      </c>
      <c r="O410" s="75">
        <f>ROUND('[6]2039'!O22,2)</f>
        <v>0</v>
      </c>
      <c r="P410" s="75">
        <f>ROUND('[6]2039'!P22,2)</f>
        <v>0</v>
      </c>
      <c r="Q410" s="75">
        <f>ROUND('[6]2039'!Q22,2)</f>
        <v>0</v>
      </c>
      <c r="R410" s="75">
        <f>ROUND('[6]2039'!R22,2)</f>
        <v>0</v>
      </c>
      <c r="S410" s="75">
        <f>ROUND('[6]2039'!S22,2)</f>
        <v>0</v>
      </c>
      <c r="T410" s="75">
        <f>ROUND('[6]2039'!T22,2)</f>
        <v>0</v>
      </c>
      <c r="U410" s="75">
        <f>ROUND('[6]2039'!U22,2)</f>
        <v>0</v>
      </c>
      <c r="V410" s="75">
        <f>ROUND('[6]2039'!V22,2)</f>
        <v>0</v>
      </c>
      <c r="W410" s="75">
        <f>ROUND('[6]2039'!W22,2)</f>
        <v>0</v>
      </c>
      <c r="X410" s="75">
        <f>ROUND('[6]2039'!X22,2)</f>
        <v>0</v>
      </c>
      <c r="Y410" s="75">
        <f>ROUND('[6]2039'!Y22,2)</f>
        <v>0</v>
      </c>
      <c r="Z410" s="75">
        <f>ROUND('[6]2039'!Z22,2)</f>
        <v>0</v>
      </c>
      <c r="AA410" s="75">
        <f>ROUND('[6]2039'!AA22,2)</f>
        <v>0</v>
      </c>
      <c r="AB410" s="75">
        <f>ROUND('[6]2039'!AB22,2)</f>
        <v>0</v>
      </c>
      <c r="AC410" s="214"/>
      <c r="AD410" s="185"/>
    </row>
    <row r="411" spans="2:50" s="186" customFormat="1" ht="18.649999999999999" customHeight="1" x14ac:dyDescent="0.35">
      <c r="B411" s="207">
        <v>50830</v>
      </c>
      <c r="C411" s="13" t="s">
        <v>29</v>
      </c>
      <c r="D411" s="14">
        <f>+'[6]2039'!D23</f>
        <v>22</v>
      </c>
      <c r="E411" s="81">
        <f>ROUND('[6]2039'!E23,2)</f>
        <v>32680.33</v>
      </c>
      <c r="F411" s="81">
        <f>ROUND('[6]2039'!F23,2)</f>
        <v>31063.83</v>
      </c>
      <c r="G411" s="81">
        <f>ROUND('[6]2039'!G23,2)</f>
        <v>29858.02</v>
      </c>
      <c r="H411" s="81">
        <f>ROUND('[6]2039'!H23,2)</f>
        <v>29066.57</v>
      </c>
      <c r="I411" s="81">
        <f>ROUND('[6]2039'!I23,2)</f>
        <v>29199.95</v>
      </c>
      <c r="J411" s="81">
        <f>ROUND('[6]2039'!J23,2)</f>
        <v>30759.16</v>
      </c>
      <c r="K411" s="81">
        <f>ROUND('[6]2039'!K23,2)</f>
        <v>30761.63</v>
      </c>
      <c r="L411" s="81">
        <f>ROUND('[6]2039'!L23,2)</f>
        <v>34096.769999999997</v>
      </c>
      <c r="M411" s="81">
        <f>ROUND('[6]2039'!M23,2)</f>
        <v>37385.53</v>
      </c>
      <c r="N411" s="81">
        <f>ROUND('[6]2039'!N23,2)</f>
        <v>39090.69</v>
      </c>
      <c r="O411" s="81">
        <f>ROUND('[6]2039'!O23,2)</f>
        <v>41042.910000000003</v>
      </c>
      <c r="P411" s="81">
        <f>ROUND('[6]2039'!P23,2)</f>
        <v>42322.96</v>
      </c>
      <c r="Q411" s="81">
        <f>ROUND('[6]2039'!Q23,2)</f>
        <v>40408.199999999997</v>
      </c>
      <c r="R411" s="81">
        <f>ROUND('[6]2039'!R23,2)</f>
        <v>41740.99</v>
      </c>
      <c r="S411" s="81">
        <f>ROUND('[6]2039'!S23,2)</f>
        <v>44034.720000000001</v>
      </c>
      <c r="T411" s="81">
        <f>ROUND('[6]2039'!T23,2)</f>
        <v>44519.24</v>
      </c>
      <c r="U411" s="81">
        <f>ROUND('[6]2039'!U23,2)</f>
        <v>44033.1</v>
      </c>
      <c r="V411" s="81">
        <f>ROUND('[6]2039'!V23,2)</f>
        <v>42485.78</v>
      </c>
      <c r="W411" s="81">
        <f>ROUND('[6]2039'!W23,2)</f>
        <v>45083.69</v>
      </c>
      <c r="X411" s="81">
        <f>ROUND('[6]2039'!X23,2)</f>
        <v>45487.11</v>
      </c>
      <c r="Y411" s="81">
        <f>ROUND('[6]2039'!Y23,2)</f>
        <v>44154.99</v>
      </c>
      <c r="Z411" s="81">
        <f>ROUND('[6]2039'!Z23,2)</f>
        <v>41952.21</v>
      </c>
      <c r="AA411" s="81">
        <f>ROUND('[6]2039'!AA23,2)</f>
        <v>38642.050000000003</v>
      </c>
      <c r="AB411" s="81">
        <f>ROUND('[6]2039'!AB23,2)</f>
        <v>35281.57</v>
      </c>
      <c r="AC411" s="210">
        <f>SUM(E411:AB411)*D411+SUM(E412:AB412)*D412+SUM(E413:AB413)*D413+SUM(E414:AB414)*D414</f>
        <v>27845512.530000001</v>
      </c>
      <c r="AD411" s="185"/>
    </row>
    <row r="412" spans="2:50" s="186" customFormat="1" ht="18.649999999999999" customHeight="1" x14ac:dyDescent="0.35">
      <c r="B412" s="208"/>
      <c r="C412" s="9" t="s">
        <v>30</v>
      </c>
      <c r="D412" s="10">
        <f>+'[6]2039'!D24</f>
        <v>4</v>
      </c>
      <c r="E412" s="79">
        <f>ROUND('[6]2039'!E24,2)</f>
        <v>32871.65</v>
      </c>
      <c r="F412" s="79">
        <f>ROUND('[6]2039'!F24,2)</f>
        <v>31249.95</v>
      </c>
      <c r="G412" s="79">
        <f>ROUND('[6]2039'!G24,2)</f>
        <v>29970.68</v>
      </c>
      <c r="H412" s="79">
        <f>ROUND('[6]2039'!H24,2)</f>
        <v>29123.89</v>
      </c>
      <c r="I412" s="79">
        <f>ROUND('[6]2039'!I24,2)</f>
        <v>28909.94</v>
      </c>
      <c r="J412" s="79">
        <f>ROUND('[6]2039'!J24,2)</f>
        <v>29239.15</v>
      </c>
      <c r="K412" s="79">
        <f>ROUND('[6]2039'!K24,2)</f>
        <v>29098.6</v>
      </c>
      <c r="L412" s="79">
        <f>ROUND('[6]2039'!L24,2)</f>
        <v>32158.81</v>
      </c>
      <c r="M412" s="79">
        <f>ROUND('[6]2039'!M24,2)</f>
        <v>35719.01</v>
      </c>
      <c r="N412" s="79">
        <f>ROUND('[6]2039'!N24,2)</f>
        <v>37790.519999999997</v>
      </c>
      <c r="O412" s="79">
        <f>ROUND('[6]2039'!O24,2)</f>
        <v>39648.78</v>
      </c>
      <c r="P412" s="79">
        <f>ROUND('[6]2039'!P24,2)</f>
        <v>40754.14</v>
      </c>
      <c r="Q412" s="79">
        <f>ROUND('[6]2039'!Q24,2)</f>
        <v>40053.69</v>
      </c>
      <c r="R412" s="79">
        <f>ROUND('[6]2039'!R24,2)</f>
        <v>39519.64</v>
      </c>
      <c r="S412" s="79">
        <f>ROUND('[6]2039'!S24,2)</f>
        <v>39832.65</v>
      </c>
      <c r="T412" s="79">
        <f>ROUND('[6]2039'!T24,2)</f>
        <v>39884.82</v>
      </c>
      <c r="U412" s="79">
        <f>ROUND('[6]2039'!U24,2)</f>
        <v>39531.089999999997</v>
      </c>
      <c r="V412" s="79">
        <f>ROUND('[6]2039'!V24,2)</f>
        <v>39288.04</v>
      </c>
      <c r="W412" s="79">
        <f>ROUND('[6]2039'!W24,2)</f>
        <v>43384.99</v>
      </c>
      <c r="X412" s="79">
        <f>ROUND('[6]2039'!X24,2)</f>
        <v>44084.47</v>
      </c>
      <c r="Y412" s="79">
        <f>ROUND('[6]2039'!Y24,2)</f>
        <v>42859.19</v>
      </c>
      <c r="Z412" s="79">
        <f>ROUND('[6]2039'!Z24,2)</f>
        <v>41189.800000000003</v>
      </c>
      <c r="AA412" s="79">
        <f>ROUND('[6]2039'!AA24,2)</f>
        <v>38867.39</v>
      </c>
      <c r="AB412" s="79">
        <f>ROUND('[6]2039'!AB24,2)</f>
        <v>36320.78</v>
      </c>
      <c r="AC412" s="210"/>
      <c r="AD412" s="185"/>
    </row>
    <row r="413" spans="2:50" s="186" customFormat="1" ht="18.649999999999999" customHeight="1" x14ac:dyDescent="0.35">
      <c r="B413" s="208"/>
      <c r="C413" s="9" t="s">
        <v>31</v>
      </c>
      <c r="D413" s="10">
        <f>+'[6]2039'!D25</f>
        <v>4</v>
      </c>
      <c r="E413" s="79">
        <f>ROUND('[6]2039'!E25,2)</f>
        <v>33753</v>
      </c>
      <c r="F413" s="79">
        <f>ROUND('[6]2039'!F25,2)</f>
        <v>32015.62</v>
      </c>
      <c r="G413" s="79">
        <f>ROUND('[6]2039'!G25,2)</f>
        <v>30665.64</v>
      </c>
      <c r="H413" s="79">
        <f>ROUND('[6]2039'!H25,2)</f>
        <v>29698.2</v>
      </c>
      <c r="I413" s="79">
        <f>ROUND('[6]2039'!I25,2)</f>
        <v>29211.88</v>
      </c>
      <c r="J413" s="79">
        <f>ROUND('[6]2039'!J25,2)</f>
        <v>28993.38</v>
      </c>
      <c r="K413" s="79">
        <f>ROUND('[6]2039'!K25,2)</f>
        <v>27897.89</v>
      </c>
      <c r="L413" s="79">
        <f>ROUND('[6]2039'!L25,2)</f>
        <v>29375.37</v>
      </c>
      <c r="M413" s="79">
        <f>ROUND('[6]2039'!M25,2)</f>
        <v>31451.119999999999</v>
      </c>
      <c r="N413" s="79">
        <f>ROUND('[6]2039'!N25,2)</f>
        <v>32953.699999999997</v>
      </c>
      <c r="O413" s="79">
        <f>ROUND('[6]2039'!O25,2)</f>
        <v>34296.74</v>
      </c>
      <c r="P413" s="79">
        <f>ROUND('[6]2039'!P25,2)</f>
        <v>35453.919999999998</v>
      </c>
      <c r="Q413" s="79">
        <f>ROUND('[6]2039'!Q25,2)</f>
        <v>36188.6</v>
      </c>
      <c r="R413" s="79">
        <f>ROUND('[6]2039'!R25,2)</f>
        <v>36320.36</v>
      </c>
      <c r="S413" s="79">
        <f>ROUND('[6]2039'!S25,2)</f>
        <v>36459.78</v>
      </c>
      <c r="T413" s="79">
        <f>ROUND('[6]2039'!T25,2)</f>
        <v>36858.46</v>
      </c>
      <c r="U413" s="79">
        <f>ROUND('[6]2039'!U25,2)</f>
        <v>36720.480000000003</v>
      </c>
      <c r="V413" s="79">
        <f>ROUND('[6]2039'!V25,2)</f>
        <v>36902.26</v>
      </c>
      <c r="W413" s="79">
        <f>ROUND('[6]2039'!W25,2)</f>
        <v>41256.660000000003</v>
      </c>
      <c r="X413" s="79">
        <f>ROUND('[6]2039'!X25,2)</f>
        <v>42762.21</v>
      </c>
      <c r="Y413" s="79">
        <f>ROUND('[6]2039'!Y25,2)</f>
        <v>42603.72</v>
      </c>
      <c r="Z413" s="79">
        <f>ROUND('[6]2039'!Z25,2)</f>
        <v>41353.81</v>
      </c>
      <c r="AA413" s="79">
        <f>ROUND('[6]2039'!AA25,2)</f>
        <v>38640.550000000003</v>
      </c>
      <c r="AB413" s="79">
        <f>ROUND('[6]2039'!AB25,2)</f>
        <v>35519.019999999997</v>
      </c>
      <c r="AC413" s="210"/>
      <c r="AD413" s="185"/>
    </row>
    <row r="414" spans="2:50" s="186" customFormat="1" ht="18.649999999999999" customHeight="1" thickBot="1" x14ac:dyDescent="0.4">
      <c r="B414" s="208"/>
      <c r="C414" s="15" t="s">
        <v>32</v>
      </c>
      <c r="D414" s="16">
        <f>+'[6]2039'!D26</f>
        <v>1</v>
      </c>
      <c r="E414" s="80">
        <f>ROUND('[6]2039'!E26,2)</f>
        <v>33753</v>
      </c>
      <c r="F414" s="80">
        <f>ROUND('[6]2039'!F26,2)</f>
        <v>32015.62</v>
      </c>
      <c r="G414" s="80">
        <f>ROUND('[6]2039'!G26,2)</f>
        <v>30665.64</v>
      </c>
      <c r="H414" s="80">
        <f>ROUND('[6]2039'!H26,2)</f>
        <v>29698.2</v>
      </c>
      <c r="I414" s="80">
        <f>ROUND('[6]2039'!I26,2)</f>
        <v>29211.88</v>
      </c>
      <c r="J414" s="80">
        <f>ROUND('[6]2039'!J26,2)</f>
        <v>28993.38</v>
      </c>
      <c r="K414" s="80">
        <f>ROUND('[6]2039'!K26,2)</f>
        <v>27897.89</v>
      </c>
      <c r="L414" s="80">
        <f>ROUND('[6]2039'!L26,2)</f>
        <v>29375.37</v>
      </c>
      <c r="M414" s="80">
        <f>ROUND('[6]2039'!M26,2)</f>
        <v>31451.119999999999</v>
      </c>
      <c r="N414" s="80">
        <f>ROUND('[6]2039'!N26,2)</f>
        <v>32953.699999999997</v>
      </c>
      <c r="O414" s="80">
        <f>ROUND('[6]2039'!O26,2)</f>
        <v>34296.74</v>
      </c>
      <c r="P414" s="80">
        <f>ROUND('[6]2039'!P26,2)</f>
        <v>35453.919999999998</v>
      </c>
      <c r="Q414" s="80">
        <f>ROUND('[6]2039'!Q26,2)</f>
        <v>36188.6</v>
      </c>
      <c r="R414" s="80">
        <f>ROUND('[6]2039'!R26,2)</f>
        <v>36320.36</v>
      </c>
      <c r="S414" s="80">
        <f>ROUND('[6]2039'!S26,2)</f>
        <v>36459.78</v>
      </c>
      <c r="T414" s="80">
        <f>ROUND('[6]2039'!T26,2)</f>
        <v>36858.46</v>
      </c>
      <c r="U414" s="80">
        <f>ROUND('[6]2039'!U26,2)</f>
        <v>36720.480000000003</v>
      </c>
      <c r="V414" s="80">
        <f>ROUND('[6]2039'!V26,2)</f>
        <v>36902.26</v>
      </c>
      <c r="W414" s="80">
        <f>ROUND('[6]2039'!W26,2)</f>
        <v>41256.660000000003</v>
      </c>
      <c r="X414" s="80">
        <f>ROUND('[6]2039'!X26,2)</f>
        <v>42762.21</v>
      </c>
      <c r="Y414" s="80">
        <f>ROUND('[6]2039'!Y26,2)</f>
        <v>42603.72</v>
      </c>
      <c r="Z414" s="80">
        <f>ROUND('[6]2039'!Z26,2)</f>
        <v>41353.81</v>
      </c>
      <c r="AA414" s="80">
        <f>ROUND('[6]2039'!AA26,2)</f>
        <v>38640.550000000003</v>
      </c>
      <c r="AB414" s="80">
        <f>ROUND('[6]2039'!AB26,2)</f>
        <v>35519.019999999997</v>
      </c>
      <c r="AC414" s="210"/>
      <c r="AD414" s="185"/>
    </row>
    <row r="415" spans="2:50" s="186" customFormat="1" ht="18.649999999999999" customHeight="1" x14ac:dyDescent="0.35">
      <c r="B415" s="211">
        <v>50861</v>
      </c>
      <c r="C415" s="6" t="s">
        <v>29</v>
      </c>
      <c r="D415" s="7">
        <f>+'[6]2039'!D27</f>
        <v>19</v>
      </c>
      <c r="E415" s="78">
        <f>ROUND('[6]2039'!E27,2)</f>
        <v>32230.83</v>
      </c>
      <c r="F415" s="78">
        <f>ROUND('[6]2039'!F27,2)</f>
        <v>30625.66</v>
      </c>
      <c r="G415" s="78">
        <f>ROUND('[6]2039'!G27,2)</f>
        <v>29451.53</v>
      </c>
      <c r="H415" s="78">
        <f>ROUND('[6]2039'!H27,2)</f>
        <v>28651.83</v>
      </c>
      <c r="I415" s="78">
        <f>ROUND('[6]2039'!I27,2)</f>
        <v>28774.34</v>
      </c>
      <c r="J415" s="78">
        <f>ROUND('[6]2039'!J27,2)</f>
        <v>29695.84</v>
      </c>
      <c r="K415" s="78">
        <f>ROUND('[6]2039'!K27,2)</f>
        <v>30024.29</v>
      </c>
      <c r="L415" s="78">
        <f>ROUND('[6]2039'!L27,2)</f>
        <v>33443.879999999997</v>
      </c>
      <c r="M415" s="78">
        <f>ROUND('[6]2039'!M27,2)</f>
        <v>36964.019999999997</v>
      </c>
      <c r="N415" s="78">
        <f>ROUND('[6]2039'!N27,2)</f>
        <v>38590.400000000001</v>
      </c>
      <c r="O415" s="78">
        <f>ROUND('[6]2039'!O27,2)</f>
        <v>40401.57</v>
      </c>
      <c r="P415" s="78">
        <f>ROUND('[6]2039'!P27,2)</f>
        <v>41934.04</v>
      </c>
      <c r="Q415" s="78">
        <f>ROUND('[6]2039'!Q27,2)</f>
        <v>40290.949999999997</v>
      </c>
      <c r="R415" s="78">
        <f>ROUND('[6]2039'!R27,2)</f>
        <v>41475.480000000003</v>
      </c>
      <c r="S415" s="78">
        <f>ROUND('[6]2039'!S27,2)</f>
        <v>43782.37</v>
      </c>
      <c r="T415" s="78">
        <f>ROUND('[6]2039'!T27,2)</f>
        <v>44062.55</v>
      </c>
      <c r="U415" s="78">
        <f>ROUND('[6]2039'!U27,2)</f>
        <v>43394.99</v>
      </c>
      <c r="V415" s="78">
        <f>ROUND('[6]2039'!V27,2)</f>
        <v>42268.09</v>
      </c>
      <c r="W415" s="78">
        <f>ROUND('[6]2039'!W27,2)</f>
        <v>44879.23</v>
      </c>
      <c r="X415" s="78">
        <f>ROUND('[6]2039'!X27,2)</f>
        <v>45015.51</v>
      </c>
      <c r="Y415" s="78">
        <f>ROUND('[6]2039'!Y27,2)</f>
        <v>43668.53</v>
      </c>
      <c r="Z415" s="78">
        <f>ROUND('[6]2039'!Z27,2)</f>
        <v>41570.769999999997</v>
      </c>
      <c r="AA415" s="78">
        <f>ROUND('[6]2039'!AA27,2)</f>
        <v>38420.32</v>
      </c>
      <c r="AB415" s="78">
        <f>ROUND('[6]2039'!AB27,2)</f>
        <v>34980.42</v>
      </c>
      <c r="AC415" s="209">
        <f>SUM(E415:AB415)*D415+SUM(E416:AB416)*D416+SUM(E417:AB417)*D417+SUM(E418:AB418)*D418</f>
        <v>26264199.919999998</v>
      </c>
      <c r="AD415" s="185"/>
    </row>
    <row r="416" spans="2:50" s="186" customFormat="1" ht="18.649999999999999" customHeight="1" x14ac:dyDescent="0.35">
      <c r="B416" s="212" t="s">
        <v>34</v>
      </c>
      <c r="C416" s="9" t="s">
        <v>30</v>
      </c>
      <c r="D416" s="10">
        <f>+'[6]2039'!D28</f>
        <v>5</v>
      </c>
      <c r="E416" s="79">
        <f>ROUND('[6]2039'!E28,2)</f>
        <v>31905.37</v>
      </c>
      <c r="F416" s="79">
        <f>ROUND('[6]2039'!F28,2)</f>
        <v>30242.080000000002</v>
      </c>
      <c r="G416" s="79">
        <f>ROUND('[6]2039'!G28,2)</f>
        <v>29006.62</v>
      </c>
      <c r="H416" s="79">
        <f>ROUND('[6]2039'!H28,2)</f>
        <v>28162.9</v>
      </c>
      <c r="I416" s="79">
        <f>ROUND('[6]2039'!I28,2)</f>
        <v>27949.8</v>
      </c>
      <c r="J416" s="79">
        <f>ROUND('[6]2039'!J28,2)</f>
        <v>27941.32</v>
      </c>
      <c r="K416" s="79">
        <f>ROUND('[6]2039'!K28,2)</f>
        <v>27875.14</v>
      </c>
      <c r="L416" s="79">
        <f>ROUND('[6]2039'!L28,2)</f>
        <v>30726.11</v>
      </c>
      <c r="M416" s="79">
        <f>ROUND('[6]2039'!M28,2)</f>
        <v>34044.35</v>
      </c>
      <c r="N416" s="79">
        <f>ROUND('[6]2039'!N28,2)</f>
        <v>35821.379999999997</v>
      </c>
      <c r="O416" s="79">
        <f>ROUND('[6]2039'!O28,2)</f>
        <v>37561.519999999997</v>
      </c>
      <c r="P416" s="79">
        <f>ROUND('[6]2039'!P28,2)</f>
        <v>38643.629999999997</v>
      </c>
      <c r="Q416" s="79">
        <f>ROUND('[6]2039'!Q28,2)</f>
        <v>38140.21</v>
      </c>
      <c r="R416" s="79">
        <f>ROUND('[6]2039'!R28,2)</f>
        <v>37729.69</v>
      </c>
      <c r="S416" s="79">
        <f>ROUND('[6]2039'!S28,2)</f>
        <v>37939.730000000003</v>
      </c>
      <c r="T416" s="79">
        <f>ROUND('[6]2039'!T28,2)</f>
        <v>38011.839999999997</v>
      </c>
      <c r="U416" s="79">
        <f>ROUND('[6]2039'!U28,2)</f>
        <v>37797.67</v>
      </c>
      <c r="V416" s="79">
        <f>ROUND('[6]2039'!V28,2)</f>
        <v>38029.07</v>
      </c>
      <c r="W416" s="79">
        <f>ROUND('[6]2039'!W28,2)</f>
        <v>42236.49</v>
      </c>
      <c r="X416" s="79">
        <f>ROUND('[6]2039'!X28,2)</f>
        <v>42327.82</v>
      </c>
      <c r="Y416" s="79">
        <f>ROUND('[6]2039'!Y28,2)</f>
        <v>41154.21</v>
      </c>
      <c r="Z416" s="79">
        <f>ROUND('[6]2039'!Z28,2)</f>
        <v>39426.959999999999</v>
      </c>
      <c r="AA416" s="79">
        <f>ROUND('[6]2039'!AA28,2)</f>
        <v>37244.49</v>
      </c>
      <c r="AB416" s="79">
        <f>ROUND('[6]2039'!AB28,2)</f>
        <v>34750.480000000003</v>
      </c>
      <c r="AC416" s="210"/>
      <c r="AD416" s="185"/>
    </row>
    <row r="417" spans="2:30" s="186" customFormat="1" ht="18.649999999999999" customHeight="1" x14ac:dyDescent="0.35">
      <c r="B417" s="212" t="s">
        <v>34</v>
      </c>
      <c r="C417" s="9" t="s">
        <v>31</v>
      </c>
      <c r="D417" s="10">
        <f>+'[6]2039'!D29</f>
        <v>4</v>
      </c>
      <c r="E417" s="79">
        <f>ROUND('[6]2039'!E29,2)</f>
        <v>32528.59</v>
      </c>
      <c r="F417" s="79">
        <f>ROUND('[6]2039'!F29,2)</f>
        <v>30928.28</v>
      </c>
      <c r="G417" s="79">
        <f>ROUND('[6]2039'!G29,2)</f>
        <v>29604.95</v>
      </c>
      <c r="H417" s="79">
        <f>ROUND('[6]2039'!H29,2)</f>
        <v>28699.64</v>
      </c>
      <c r="I417" s="79">
        <f>ROUND('[6]2039'!I29,2)</f>
        <v>28318.13</v>
      </c>
      <c r="J417" s="79">
        <f>ROUND('[6]2039'!J29,2)</f>
        <v>27815.16</v>
      </c>
      <c r="K417" s="79">
        <f>ROUND('[6]2039'!K29,2)</f>
        <v>27231.75</v>
      </c>
      <c r="L417" s="79">
        <f>ROUND('[6]2039'!L29,2)</f>
        <v>28737.94</v>
      </c>
      <c r="M417" s="79">
        <f>ROUND('[6]2039'!M29,2)</f>
        <v>30334.66</v>
      </c>
      <c r="N417" s="79">
        <f>ROUND('[6]2039'!N29,2)</f>
        <v>31759.66</v>
      </c>
      <c r="O417" s="79">
        <f>ROUND('[6]2039'!O29,2)</f>
        <v>33084.99</v>
      </c>
      <c r="P417" s="79">
        <f>ROUND('[6]2039'!P29,2)</f>
        <v>34136.480000000003</v>
      </c>
      <c r="Q417" s="79">
        <f>ROUND('[6]2039'!Q29,2)</f>
        <v>34724.47</v>
      </c>
      <c r="R417" s="79">
        <f>ROUND('[6]2039'!R29,2)</f>
        <v>34886.46</v>
      </c>
      <c r="S417" s="79">
        <f>ROUND('[6]2039'!S29,2)</f>
        <v>35099.79</v>
      </c>
      <c r="T417" s="79">
        <f>ROUND('[6]2039'!T29,2)</f>
        <v>35414.15</v>
      </c>
      <c r="U417" s="79">
        <f>ROUND('[6]2039'!U29,2)</f>
        <v>35541.160000000003</v>
      </c>
      <c r="V417" s="79">
        <f>ROUND('[6]2039'!V29,2)</f>
        <v>35976.58</v>
      </c>
      <c r="W417" s="79">
        <f>ROUND('[6]2039'!W29,2)</f>
        <v>39966.879999999997</v>
      </c>
      <c r="X417" s="79">
        <f>ROUND('[6]2039'!X29,2)</f>
        <v>41175.21</v>
      </c>
      <c r="Y417" s="79">
        <f>ROUND('[6]2039'!Y29,2)</f>
        <v>41039.800000000003</v>
      </c>
      <c r="Z417" s="79">
        <f>ROUND('[6]2039'!Z29,2)</f>
        <v>40031.89</v>
      </c>
      <c r="AA417" s="79">
        <f>ROUND('[6]2039'!AA29,2)</f>
        <v>37463.31</v>
      </c>
      <c r="AB417" s="79">
        <f>ROUND('[6]2039'!AB29,2)</f>
        <v>34417.43</v>
      </c>
      <c r="AC417" s="210"/>
      <c r="AD417" s="185"/>
    </row>
    <row r="418" spans="2:30" s="186" customFormat="1" ht="18.649999999999999" customHeight="1" thickBot="1" x14ac:dyDescent="0.4">
      <c r="B418" s="213" t="s">
        <v>34</v>
      </c>
      <c r="C418" s="11" t="s">
        <v>32</v>
      </c>
      <c r="D418" s="12">
        <f>+'[6]2039'!D30</f>
        <v>2</v>
      </c>
      <c r="E418" s="79">
        <f>ROUND('[6]2039'!E30,2)</f>
        <v>32528.59</v>
      </c>
      <c r="F418" s="79">
        <f>ROUND('[6]2039'!F30,2)</f>
        <v>30928.28</v>
      </c>
      <c r="G418" s="79">
        <f>ROUND('[6]2039'!G30,2)</f>
        <v>29604.95</v>
      </c>
      <c r="H418" s="79">
        <f>ROUND('[6]2039'!H30,2)</f>
        <v>28699.64</v>
      </c>
      <c r="I418" s="79">
        <f>ROUND('[6]2039'!I30,2)</f>
        <v>28318.13</v>
      </c>
      <c r="J418" s="79">
        <f>ROUND('[6]2039'!J30,2)</f>
        <v>27815.16</v>
      </c>
      <c r="K418" s="79">
        <f>ROUND('[6]2039'!K30,2)</f>
        <v>27231.75</v>
      </c>
      <c r="L418" s="79">
        <f>ROUND('[6]2039'!L30,2)</f>
        <v>28737.94</v>
      </c>
      <c r="M418" s="79">
        <f>ROUND('[6]2039'!M30,2)</f>
        <v>30334.66</v>
      </c>
      <c r="N418" s="79">
        <f>ROUND('[6]2039'!N30,2)</f>
        <v>31759.66</v>
      </c>
      <c r="O418" s="79">
        <f>ROUND('[6]2039'!O30,2)</f>
        <v>33084.99</v>
      </c>
      <c r="P418" s="79">
        <f>ROUND('[6]2039'!P30,2)</f>
        <v>34136.480000000003</v>
      </c>
      <c r="Q418" s="79">
        <f>ROUND('[6]2039'!Q30,2)</f>
        <v>34724.47</v>
      </c>
      <c r="R418" s="79">
        <f>ROUND('[6]2039'!R30,2)</f>
        <v>34886.46</v>
      </c>
      <c r="S418" s="79">
        <f>ROUND('[6]2039'!S30,2)</f>
        <v>35099.79</v>
      </c>
      <c r="T418" s="79">
        <f>ROUND('[6]2039'!T30,2)</f>
        <v>35414.15</v>
      </c>
      <c r="U418" s="79">
        <f>ROUND('[6]2039'!U30,2)</f>
        <v>35541.160000000003</v>
      </c>
      <c r="V418" s="79">
        <f>ROUND('[6]2039'!V30,2)</f>
        <v>35976.58</v>
      </c>
      <c r="W418" s="79">
        <f>ROUND('[6]2039'!W30,2)</f>
        <v>39966.879999999997</v>
      </c>
      <c r="X418" s="79">
        <f>ROUND('[6]2039'!X30,2)</f>
        <v>41175.21</v>
      </c>
      <c r="Y418" s="79">
        <f>ROUND('[6]2039'!Y30,2)</f>
        <v>41039.800000000003</v>
      </c>
      <c r="Z418" s="79">
        <f>ROUND('[6]2039'!Z30,2)</f>
        <v>40031.89</v>
      </c>
      <c r="AA418" s="79">
        <f>ROUND('[6]2039'!AA30,2)</f>
        <v>37463.31</v>
      </c>
      <c r="AB418" s="79">
        <f>ROUND('[6]2039'!AB30,2)</f>
        <v>34417.43</v>
      </c>
      <c r="AC418" s="214"/>
      <c r="AD418" s="185"/>
    </row>
    <row r="419" spans="2:30" s="186" customFormat="1" ht="18.649999999999999" customHeight="1" x14ac:dyDescent="0.35">
      <c r="B419" s="207">
        <v>50891</v>
      </c>
      <c r="C419" s="13" t="s">
        <v>29</v>
      </c>
      <c r="D419" s="14">
        <f>+'[6]2039'!D31</f>
        <v>21</v>
      </c>
      <c r="E419" s="81">
        <f>ROUND('[6]2039'!E31,2)</f>
        <v>31439.360000000001</v>
      </c>
      <c r="F419" s="81">
        <f>ROUND('[6]2039'!F31,2)</f>
        <v>29946.59</v>
      </c>
      <c r="G419" s="81">
        <f>ROUND('[6]2039'!G31,2)</f>
        <v>28816.75</v>
      </c>
      <c r="H419" s="81">
        <f>ROUND('[6]2039'!H31,2)</f>
        <v>28043.439999999999</v>
      </c>
      <c r="I419" s="81">
        <f>ROUND('[6]2039'!I31,2)</f>
        <v>28180.87</v>
      </c>
      <c r="J419" s="81">
        <f>ROUND('[6]2039'!J31,2)</f>
        <v>28961.38</v>
      </c>
      <c r="K419" s="81">
        <f>ROUND('[6]2039'!K31,2)</f>
        <v>29618.31</v>
      </c>
      <c r="L419" s="81">
        <f>ROUND('[6]2039'!L31,2)</f>
        <v>33079.56</v>
      </c>
      <c r="M419" s="81">
        <f>ROUND('[6]2039'!M31,2)</f>
        <v>36638.44</v>
      </c>
      <c r="N419" s="81">
        <f>ROUND('[6]2039'!N31,2)</f>
        <v>38305.03</v>
      </c>
      <c r="O419" s="81">
        <f>ROUND('[6]2039'!O31,2)</f>
        <v>40292.35</v>
      </c>
      <c r="P419" s="81">
        <f>ROUND('[6]2039'!P31,2)</f>
        <v>41590.33</v>
      </c>
      <c r="Q419" s="81">
        <f>ROUND('[6]2039'!Q31,2)</f>
        <v>39900.76</v>
      </c>
      <c r="R419" s="81">
        <f>ROUND('[6]2039'!R31,2)</f>
        <v>40994.28</v>
      </c>
      <c r="S419" s="81">
        <f>ROUND('[6]2039'!S31,2)</f>
        <v>43120.59</v>
      </c>
      <c r="T419" s="81">
        <f>ROUND('[6]2039'!T31,2)</f>
        <v>43333.440000000002</v>
      </c>
      <c r="U419" s="81">
        <f>ROUND('[6]2039'!U31,2)</f>
        <v>42713.39</v>
      </c>
      <c r="V419" s="81">
        <f>ROUND('[6]2039'!V31,2)</f>
        <v>41317.71</v>
      </c>
      <c r="W419" s="81">
        <f>ROUND('[6]2039'!W31,2)</f>
        <v>43888.08</v>
      </c>
      <c r="X419" s="81">
        <f>ROUND('[6]2039'!X31,2)</f>
        <v>44062.01</v>
      </c>
      <c r="Y419" s="81">
        <f>ROUND('[6]2039'!Y31,2)</f>
        <v>42703.03</v>
      </c>
      <c r="Z419" s="81">
        <f>ROUND('[6]2039'!Z31,2)</f>
        <v>40445.9</v>
      </c>
      <c r="AA419" s="81">
        <f>ROUND('[6]2039'!AA31,2)</f>
        <v>37266.51</v>
      </c>
      <c r="AB419" s="81">
        <f>ROUND('[6]2039'!AB31,2)</f>
        <v>34018.550000000003</v>
      </c>
      <c r="AC419" s="210">
        <f>SUM(E419:AB419)*D419+SUM(E420:AB420)*D420+SUM(E421:AB421)*D421+SUM(E422:AB422)*D422</f>
        <v>26948830.859999999</v>
      </c>
      <c r="AD419" s="185"/>
    </row>
    <row r="420" spans="2:30" s="186" customFormat="1" ht="18.649999999999999" customHeight="1" x14ac:dyDescent="0.35">
      <c r="B420" s="208"/>
      <c r="C420" s="9" t="s">
        <v>30</v>
      </c>
      <c r="D420" s="10">
        <f>+'[6]2039'!D32</f>
        <v>4</v>
      </c>
      <c r="E420" s="79">
        <f>ROUND('[6]2039'!E32,2)</f>
        <v>31985.01</v>
      </c>
      <c r="F420" s="79">
        <f>ROUND('[6]2039'!F32,2)</f>
        <v>30124.22</v>
      </c>
      <c r="G420" s="79">
        <f>ROUND('[6]2039'!G32,2)</f>
        <v>28865.54</v>
      </c>
      <c r="H420" s="79">
        <f>ROUND('[6]2039'!H32,2)</f>
        <v>28054.81</v>
      </c>
      <c r="I420" s="79">
        <f>ROUND('[6]2039'!I32,2)</f>
        <v>27906.71</v>
      </c>
      <c r="J420" s="79">
        <f>ROUND('[6]2039'!J32,2)</f>
        <v>27603.34</v>
      </c>
      <c r="K420" s="79">
        <f>ROUND('[6]2039'!K32,2)</f>
        <v>27869.23</v>
      </c>
      <c r="L420" s="79">
        <f>ROUND('[6]2039'!L32,2)</f>
        <v>31059.93</v>
      </c>
      <c r="M420" s="79">
        <f>ROUND('[6]2039'!M32,2)</f>
        <v>34619.07</v>
      </c>
      <c r="N420" s="79">
        <f>ROUND('[6]2039'!N32,2)</f>
        <v>36616.26</v>
      </c>
      <c r="O420" s="79">
        <f>ROUND('[6]2039'!O32,2)</f>
        <v>38139.839999999997</v>
      </c>
      <c r="P420" s="79">
        <f>ROUND('[6]2039'!P32,2)</f>
        <v>39161.51</v>
      </c>
      <c r="Q420" s="79">
        <f>ROUND('[6]2039'!Q32,2)</f>
        <v>38361.15</v>
      </c>
      <c r="R420" s="79">
        <f>ROUND('[6]2039'!R32,2)</f>
        <v>37830.58</v>
      </c>
      <c r="S420" s="79">
        <f>ROUND('[6]2039'!S32,2)</f>
        <v>38107.78</v>
      </c>
      <c r="T420" s="79">
        <f>ROUND('[6]2039'!T32,2)</f>
        <v>38177.25</v>
      </c>
      <c r="U420" s="79">
        <f>ROUND('[6]2039'!U32,2)</f>
        <v>37960.61</v>
      </c>
      <c r="V420" s="79">
        <f>ROUND('[6]2039'!V32,2)</f>
        <v>38236.42</v>
      </c>
      <c r="W420" s="79">
        <f>ROUND('[6]2039'!W32,2)</f>
        <v>42308.08</v>
      </c>
      <c r="X420" s="79">
        <f>ROUND('[6]2039'!X32,2)</f>
        <v>42788.25</v>
      </c>
      <c r="Y420" s="79">
        <f>ROUND('[6]2039'!Y32,2)</f>
        <v>41522.129999999997</v>
      </c>
      <c r="Z420" s="79">
        <f>ROUND('[6]2039'!Z32,2)</f>
        <v>39651.089999999997</v>
      </c>
      <c r="AA420" s="79">
        <f>ROUND('[6]2039'!AA32,2)</f>
        <v>37482.879999999997</v>
      </c>
      <c r="AB420" s="79">
        <f>ROUND('[6]2039'!AB32,2)</f>
        <v>34968.18</v>
      </c>
      <c r="AC420" s="210"/>
      <c r="AD420" s="185"/>
    </row>
    <row r="421" spans="2:30" s="186" customFormat="1" ht="18.649999999999999" customHeight="1" x14ac:dyDescent="0.35">
      <c r="B421" s="208"/>
      <c r="C421" s="9" t="s">
        <v>31</v>
      </c>
      <c r="D421" s="10">
        <f>+'[6]2039'!D33</f>
        <v>4</v>
      </c>
      <c r="E421" s="79">
        <f>ROUND('[6]2039'!E33,2)</f>
        <v>32362.57</v>
      </c>
      <c r="F421" s="79">
        <f>ROUND('[6]2039'!F33,2)</f>
        <v>30833.43</v>
      </c>
      <c r="G421" s="79">
        <f>ROUND('[6]2039'!G33,2)</f>
        <v>29615.17</v>
      </c>
      <c r="H421" s="79">
        <f>ROUND('[6]2039'!H33,2)</f>
        <v>28741.4</v>
      </c>
      <c r="I421" s="79">
        <f>ROUND('[6]2039'!I33,2)</f>
        <v>28369.040000000001</v>
      </c>
      <c r="J421" s="79">
        <f>ROUND('[6]2039'!J33,2)</f>
        <v>27513.51</v>
      </c>
      <c r="K421" s="79">
        <f>ROUND('[6]2039'!K33,2)</f>
        <v>27098.34</v>
      </c>
      <c r="L421" s="79">
        <f>ROUND('[6]2039'!L33,2)</f>
        <v>28715.48</v>
      </c>
      <c r="M421" s="79">
        <f>ROUND('[6]2039'!M33,2)</f>
        <v>30914.68</v>
      </c>
      <c r="N421" s="79">
        <f>ROUND('[6]2039'!N33,2)</f>
        <v>32653.54</v>
      </c>
      <c r="O421" s="79">
        <f>ROUND('[6]2039'!O33,2)</f>
        <v>33844.769999999997</v>
      </c>
      <c r="P421" s="79">
        <f>ROUND('[6]2039'!P33,2)</f>
        <v>34732.339999999997</v>
      </c>
      <c r="Q421" s="79">
        <f>ROUND('[6]2039'!Q33,2)</f>
        <v>35238.269999999997</v>
      </c>
      <c r="R421" s="79">
        <f>ROUND('[6]2039'!R33,2)</f>
        <v>35345.56</v>
      </c>
      <c r="S421" s="79">
        <f>ROUND('[6]2039'!S33,2)</f>
        <v>35492.949999999997</v>
      </c>
      <c r="T421" s="79">
        <f>ROUND('[6]2039'!T33,2)</f>
        <v>35884.269999999997</v>
      </c>
      <c r="U421" s="79">
        <f>ROUND('[6]2039'!U33,2)</f>
        <v>35781.769999999997</v>
      </c>
      <c r="V421" s="79">
        <f>ROUND('[6]2039'!V33,2)</f>
        <v>36353.99</v>
      </c>
      <c r="W421" s="79">
        <f>ROUND('[6]2039'!W33,2)</f>
        <v>40573.46</v>
      </c>
      <c r="X421" s="79">
        <f>ROUND('[6]2039'!X33,2)</f>
        <v>41688.120000000003</v>
      </c>
      <c r="Y421" s="79">
        <f>ROUND('[6]2039'!Y33,2)</f>
        <v>41461.4</v>
      </c>
      <c r="Z421" s="79">
        <f>ROUND('[6]2039'!Z33,2)</f>
        <v>40130.51</v>
      </c>
      <c r="AA421" s="79">
        <f>ROUND('[6]2039'!AA33,2)</f>
        <v>37444.370000000003</v>
      </c>
      <c r="AB421" s="79">
        <f>ROUND('[6]2039'!AB33,2)</f>
        <v>34047.980000000003</v>
      </c>
      <c r="AC421" s="210"/>
      <c r="AD421" s="185"/>
    </row>
    <row r="422" spans="2:30" s="186" customFormat="1" ht="18.649999999999999" customHeight="1" thickBot="1" x14ac:dyDescent="0.4">
      <c r="B422" s="208"/>
      <c r="C422" s="15" t="s">
        <v>32</v>
      </c>
      <c r="D422" s="16">
        <f>+'[6]2039'!D34</f>
        <v>2</v>
      </c>
      <c r="E422" s="80">
        <f>ROUND('[6]2039'!E34,2)</f>
        <v>32362.57</v>
      </c>
      <c r="F422" s="80">
        <f>ROUND('[6]2039'!F34,2)</f>
        <v>30833.43</v>
      </c>
      <c r="G422" s="80">
        <f>ROUND('[6]2039'!G34,2)</f>
        <v>29615.17</v>
      </c>
      <c r="H422" s="80">
        <f>ROUND('[6]2039'!H34,2)</f>
        <v>28741.4</v>
      </c>
      <c r="I422" s="80">
        <f>ROUND('[6]2039'!I34,2)</f>
        <v>28369.040000000001</v>
      </c>
      <c r="J422" s="80">
        <f>ROUND('[6]2039'!J34,2)</f>
        <v>27513.51</v>
      </c>
      <c r="K422" s="80">
        <f>ROUND('[6]2039'!K34,2)</f>
        <v>27098.34</v>
      </c>
      <c r="L422" s="80">
        <f>ROUND('[6]2039'!L34,2)</f>
        <v>28715.48</v>
      </c>
      <c r="M422" s="80">
        <f>ROUND('[6]2039'!M34,2)</f>
        <v>30914.68</v>
      </c>
      <c r="N422" s="80">
        <f>ROUND('[6]2039'!N34,2)</f>
        <v>32653.54</v>
      </c>
      <c r="O422" s="80">
        <f>ROUND('[6]2039'!O34,2)</f>
        <v>33844.769999999997</v>
      </c>
      <c r="P422" s="80">
        <f>ROUND('[6]2039'!P34,2)</f>
        <v>34732.339999999997</v>
      </c>
      <c r="Q422" s="80">
        <f>ROUND('[6]2039'!Q34,2)</f>
        <v>35238.269999999997</v>
      </c>
      <c r="R422" s="80">
        <f>ROUND('[6]2039'!R34,2)</f>
        <v>35345.56</v>
      </c>
      <c r="S422" s="80">
        <f>ROUND('[6]2039'!S34,2)</f>
        <v>35492.949999999997</v>
      </c>
      <c r="T422" s="80">
        <f>ROUND('[6]2039'!T34,2)</f>
        <v>35884.269999999997</v>
      </c>
      <c r="U422" s="80">
        <f>ROUND('[6]2039'!U34,2)</f>
        <v>35781.769999999997</v>
      </c>
      <c r="V422" s="80">
        <f>ROUND('[6]2039'!V34,2)</f>
        <v>36353.99</v>
      </c>
      <c r="W422" s="80">
        <f>ROUND('[6]2039'!W34,2)</f>
        <v>40573.46</v>
      </c>
      <c r="X422" s="80">
        <f>ROUND('[6]2039'!X34,2)</f>
        <v>41688.120000000003</v>
      </c>
      <c r="Y422" s="80">
        <f>ROUND('[6]2039'!Y34,2)</f>
        <v>41461.4</v>
      </c>
      <c r="Z422" s="80">
        <f>ROUND('[6]2039'!Z34,2)</f>
        <v>40130.51</v>
      </c>
      <c r="AA422" s="80">
        <f>ROUND('[6]2039'!AA34,2)</f>
        <v>37444.370000000003</v>
      </c>
      <c r="AB422" s="80">
        <f>ROUND('[6]2039'!AB34,2)</f>
        <v>34047.980000000003</v>
      </c>
      <c r="AC422" s="210"/>
      <c r="AD422" s="185"/>
    </row>
    <row r="423" spans="2:30" s="186" customFormat="1" ht="18.649999999999999" customHeight="1" x14ac:dyDescent="0.35">
      <c r="B423" s="211">
        <v>50922</v>
      </c>
      <c r="C423" s="6" t="s">
        <v>29</v>
      </c>
      <c r="D423" s="7">
        <f>+'[6]2039'!D35</f>
        <v>20</v>
      </c>
      <c r="E423" s="78">
        <f>ROUND('[6]2039'!E35,2)</f>
        <v>31589.599999999999</v>
      </c>
      <c r="F423" s="78">
        <f>ROUND('[6]2039'!F35,2)</f>
        <v>30003.200000000001</v>
      </c>
      <c r="G423" s="78">
        <f>ROUND('[6]2039'!G35,2)</f>
        <v>28900.78</v>
      </c>
      <c r="H423" s="78">
        <f>ROUND('[6]2039'!H35,2)</f>
        <v>28038.21</v>
      </c>
      <c r="I423" s="78">
        <f>ROUND('[6]2039'!I35,2)</f>
        <v>28124.57</v>
      </c>
      <c r="J423" s="78">
        <f>ROUND('[6]2039'!J35,2)</f>
        <v>28511.81</v>
      </c>
      <c r="K423" s="78">
        <f>ROUND('[6]2039'!K35,2)</f>
        <v>29127.439999999999</v>
      </c>
      <c r="L423" s="78">
        <f>ROUND('[6]2039'!L35,2)</f>
        <v>32795.35</v>
      </c>
      <c r="M423" s="78">
        <f>ROUND('[6]2039'!M35,2)</f>
        <v>36365.910000000003</v>
      </c>
      <c r="N423" s="78">
        <f>ROUND('[6]2039'!N35,2)</f>
        <v>38133.440000000002</v>
      </c>
      <c r="O423" s="78">
        <f>ROUND('[6]2039'!O35,2)</f>
        <v>40178.230000000003</v>
      </c>
      <c r="P423" s="78">
        <f>ROUND('[6]2039'!P35,2)</f>
        <v>41522.26</v>
      </c>
      <c r="Q423" s="78">
        <f>ROUND('[6]2039'!Q35,2)</f>
        <v>40046.019999999997</v>
      </c>
      <c r="R423" s="78">
        <f>ROUND('[6]2039'!R35,2)</f>
        <v>40924.39</v>
      </c>
      <c r="S423" s="78">
        <f>ROUND('[6]2039'!S35,2)</f>
        <v>42936.63</v>
      </c>
      <c r="T423" s="78">
        <f>ROUND('[6]2039'!T35,2)</f>
        <v>43175.28</v>
      </c>
      <c r="U423" s="78">
        <f>ROUND('[6]2039'!U35,2)</f>
        <v>42746</v>
      </c>
      <c r="V423" s="78">
        <f>ROUND('[6]2039'!V35,2)</f>
        <v>41410.660000000003</v>
      </c>
      <c r="W423" s="78">
        <f>ROUND('[6]2039'!W35,2)</f>
        <v>43827.69</v>
      </c>
      <c r="X423" s="78">
        <f>ROUND('[6]2039'!X35,2)</f>
        <v>44383.01</v>
      </c>
      <c r="Y423" s="78">
        <f>ROUND('[6]2039'!Y35,2)</f>
        <v>42932.91</v>
      </c>
      <c r="Z423" s="78">
        <f>ROUND('[6]2039'!Z35,2)</f>
        <v>40732.31</v>
      </c>
      <c r="AA423" s="78">
        <f>ROUND('[6]2039'!AA35,2)</f>
        <v>37457.85</v>
      </c>
      <c r="AB423" s="78">
        <f>ROUND('[6]2039'!AB35,2)</f>
        <v>34155.760000000002</v>
      </c>
      <c r="AC423" s="209">
        <f>SUM(E423:AB423)*D423+SUM(E424:AB424)*D424+SUM(E425:AB425)*D425+SUM(E426:AB426)*D426</f>
        <v>25921716.059999999</v>
      </c>
      <c r="AD423" s="185"/>
    </row>
    <row r="424" spans="2:30" s="186" customFormat="1" ht="18.649999999999999" customHeight="1" x14ac:dyDescent="0.35">
      <c r="B424" s="212" t="s">
        <v>34</v>
      </c>
      <c r="C424" s="9" t="s">
        <v>30</v>
      </c>
      <c r="D424" s="10">
        <f>+'[6]2039'!D36</f>
        <v>4</v>
      </c>
      <c r="E424" s="79">
        <f>ROUND('[6]2039'!E36,2)</f>
        <v>31667.26</v>
      </c>
      <c r="F424" s="79">
        <f>ROUND('[6]2039'!F36,2)</f>
        <v>30111.72</v>
      </c>
      <c r="G424" s="79">
        <f>ROUND('[6]2039'!G36,2)</f>
        <v>28955.77</v>
      </c>
      <c r="H424" s="79">
        <f>ROUND('[6]2039'!H36,2)</f>
        <v>28162.400000000001</v>
      </c>
      <c r="I424" s="79">
        <f>ROUND('[6]2039'!I36,2)</f>
        <v>28023.26</v>
      </c>
      <c r="J424" s="79">
        <f>ROUND('[6]2039'!J36,2)</f>
        <v>27668.78</v>
      </c>
      <c r="K424" s="79">
        <f>ROUND('[6]2039'!K36,2)</f>
        <v>27940.07</v>
      </c>
      <c r="L424" s="79">
        <f>ROUND('[6]2039'!L36,2)</f>
        <v>31163.42</v>
      </c>
      <c r="M424" s="79">
        <f>ROUND('[6]2039'!M36,2)</f>
        <v>34700.69</v>
      </c>
      <c r="N424" s="79">
        <f>ROUND('[6]2039'!N36,2)</f>
        <v>36720.660000000003</v>
      </c>
      <c r="O424" s="79">
        <f>ROUND('[6]2039'!O36,2)</f>
        <v>38451.589999999997</v>
      </c>
      <c r="P424" s="79">
        <f>ROUND('[6]2039'!P36,2)</f>
        <v>39499.93</v>
      </c>
      <c r="Q424" s="79">
        <f>ROUND('[6]2039'!Q36,2)</f>
        <v>38778.44</v>
      </c>
      <c r="R424" s="79">
        <f>ROUND('[6]2039'!R36,2)</f>
        <v>37998.82</v>
      </c>
      <c r="S424" s="79">
        <f>ROUND('[6]2039'!S36,2)</f>
        <v>38117.040000000001</v>
      </c>
      <c r="T424" s="79">
        <f>ROUND('[6]2039'!T36,2)</f>
        <v>38141.449999999997</v>
      </c>
      <c r="U424" s="79">
        <f>ROUND('[6]2039'!U36,2)</f>
        <v>37698.1</v>
      </c>
      <c r="V424" s="79">
        <f>ROUND('[6]2039'!V36,2)</f>
        <v>37850.129999999997</v>
      </c>
      <c r="W424" s="79">
        <f>ROUND('[6]2039'!W36,2)</f>
        <v>41121.199999999997</v>
      </c>
      <c r="X424" s="79">
        <f>ROUND('[6]2039'!X36,2)</f>
        <v>41983.82</v>
      </c>
      <c r="Y424" s="79">
        <f>ROUND('[6]2039'!Y36,2)</f>
        <v>40778.370000000003</v>
      </c>
      <c r="Z424" s="79">
        <f>ROUND('[6]2039'!Z36,2)</f>
        <v>38743.730000000003</v>
      </c>
      <c r="AA424" s="79">
        <f>ROUND('[6]2039'!AA36,2)</f>
        <v>36379.75</v>
      </c>
      <c r="AB424" s="79">
        <f>ROUND('[6]2039'!AB36,2)</f>
        <v>33936.68</v>
      </c>
      <c r="AC424" s="210"/>
      <c r="AD424" s="185"/>
    </row>
    <row r="425" spans="2:30" s="186" customFormat="1" ht="18.649999999999999" customHeight="1" x14ac:dyDescent="0.35">
      <c r="B425" s="212" t="s">
        <v>34</v>
      </c>
      <c r="C425" s="9" t="s">
        <v>31</v>
      </c>
      <c r="D425" s="10">
        <f>+'[6]2039'!D37</f>
        <v>4</v>
      </c>
      <c r="E425" s="79">
        <f>ROUND('[6]2039'!E37,2)</f>
        <v>32145.65</v>
      </c>
      <c r="F425" s="79">
        <f>ROUND('[6]2039'!F37,2)</f>
        <v>30517.49</v>
      </c>
      <c r="G425" s="79">
        <f>ROUND('[6]2039'!G37,2)</f>
        <v>29252.84</v>
      </c>
      <c r="H425" s="79">
        <f>ROUND('[6]2039'!H37,2)</f>
        <v>28421.62</v>
      </c>
      <c r="I425" s="79">
        <f>ROUND('[6]2039'!I37,2)</f>
        <v>28097.42</v>
      </c>
      <c r="J425" s="79">
        <f>ROUND('[6]2039'!J37,2)</f>
        <v>27214.71</v>
      </c>
      <c r="K425" s="79">
        <f>ROUND('[6]2039'!K37,2)</f>
        <v>26616.639999999999</v>
      </c>
      <c r="L425" s="79">
        <f>ROUND('[6]2039'!L37,2)</f>
        <v>28075.93</v>
      </c>
      <c r="M425" s="79">
        <f>ROUND('[6]2039'!M37,2)</f>
        <v>29999.8</v>
      </c>
      <c r="N425" s="79">
        <f>ROUND('[6]2039'!N37,2)</f>
        <v>31608.65</v>
      </c>
      <c r="O425" s="79">
        <f>ROUND('[6]2039'!O37,2)</f>
        <v>32747.22</v>
      </c>
      <c r="P425" s="79">
        <f>ROUND('[6]2039'!P37,2)</f>
        <v>33652.559999999998</v>
      </c>
      <c r="Q425" s="79">
        <f>ROUND('[6]2039'!Q37,2)</f>
        <v>34360.54</v>
      </c>
      <c r="R425" s="79">
        <f>ROUND('[6]2039'!R37,2)</f>
        <v>34296.71</v>
      </c>
      <c r="S425" s="79">
        <f>ROUND('[6]2039'!S37,2)</f>
        <v>34415.01</v>
      </c>
      <c r="T425" s="79">
        <f>ROUND('[6]2039'!T37,2)</f>
        <v>34694.51</v>
      </c>
      <c r="U425" s="79">
        <f>ROUND('[6]2039'!U37,2)</f>
        <v>34750.15</v>
      </c>
      <c r="V425" s="79">
        <f>ROUND('[6]2039'!V37,2)</f>
        <v>35145.129999999997</v>
      </c>
      <c r="W425" s="79">
        <f>ROUND('[6]2039'!W37,2)</f>
        <v>39185.480000000003</v>
      </c>
      <c r="X425" s="79">
        <f>ROUND('[6]2039'!X37,2)</f>
        <v>41076.6</v>
      </c>
      <c r="Y425" s="79">
        <f>ROUND('[6]2039'!Y37,2)</f>
        <v>40557.42</v>
      </c>
      <c r="Z425" s="79">
        <f>ROUND('[6]2039'!Z37,2)</f>
        <v>39258.85</v>
      </c>
      <c r="AA425" s="79">
        <f>ROUND('[6]2039'!AA37,2)</f>
        <v>36882.14</v>
      </c>
      <c r="AB425" s="79">
        <f>ROUND('[6]2039'!AB37,2)</f>
        <v>34186.519999999997</v>
      </c>
      <c r="AC425" s="210"/>
      <c r="AD425" s="185"/>
    </row>
    <row r="426" spans="2:30" s="186" customFormat="1" ht="18.649999999999999" customHeight="1" thickBot="1" x14ac:dyDescent="0.4">
      <c r="B426" s="213" t="s">
        <v>34</v>
      </c>
      <c r="C426" s="11" t="s">
        <v>32</v>
      </c>
      <c r="D426" s="12">
        <f>+'[6]2039'!D38</f>
        <v>2</v>
      </c>
      <c r="E426" s="76">
        <f>ROUND('[6]2039'!E38,2)</f>
        <v>32145.65</v>
      </c>
      <c r="F426" s="76">
        <f>ROUND('[6]2039'!F38,2)</f>
        <v>30517.49</v>
      </c>
      <c r="G426" s="76">
        <f>ROUND('[6]2039'!G38,2)</f>
        <v>29252.84</v>
      </c>
      <c r="H426" s="76">
        <f>ROUND('[6]2039'!H38,2)</f>
        <v>28421.62</v>
      </c>
      <c r="I426" s="76">
        <f>ROUND('[6]2039'!I38,2)</f>
        <v>28097.42</v>
      </c>
      <c r="J426" s="76">
        <f>ROUND('[6]2039'!J38,2)</f>
        <v>27214.71</v>
      </c>
      <c r="K426" s="76">
        <f>ROUND('[6]2039'!K38,2)</f>
        <v>26616.639999999999</v>
      </c>
      <c r="L426" s="76">
        <f>ROUND('[6]2039'!L38,2)</f>
        <v>28075.93</v>
      </c>
      <c r="M426" s="76">
        <f>ROUND('[6]2039'!M38,2)</f>
        <v>29999.8</v>
      </c>
      <c r="N426" s="76">
        <f>ROUND('[6]2039'!N38,2)</f>
        <v>31608.65</v>
      </c>
      <c r="O426" s="76">
        <f>ROUND('[6]2039'!O38,2)</f>
        <v>32747.22</v>
      </c>
      <c r="P426" s="76">
        <f>ROUND('[6]2039'!P38,2)</f>
        <v>33652.559999999998</v>
      </c>
      <c r="Q426" s="76">
        <f>ROUND('[6]2039'!Q38,2)</f>
        <v>34360.54</v>
      </c>
      <c r="R426" s="76">
        <f>ROUND('[6]2039'!R38,2)</f>
        <v>34296.71</v>
      </c>
      <c r="S426" s="76">
        <f>ROUND('[6]2039'!S38,2)</f>
        <v>34415.01</v>
      </c>
      <c r="T426" s="76">
        <f>ROUND('[6]2039'!T38,2)</f>
        <v>34694.51</v>
      </c>
      <c r="U426" s="76">
        <f>ROUND('[6]2039'!U38,2)</f>
        <v>34750.15</v>
      </c>
      <c r="V426" s="76">
        <f>ROUND('[6]2039'!V38,2)</f>
        <v>35145.129999999997</v>
      </c>
      <c r="W426" s="76">
        <f>ROUND('[6]2039'!W38,2)</f>
        <v>39185.480000000003</v>
      </c>
      <c r="X426" s="76">
        <f>ROUND('[6]2039'!X38,2)</f>
        <v>41076.6</v>
      </c>
      <c r="Y426" s="76">
        <f>ROUND('[6]2039'!Y38,2)</f>
        <v>40557.42</v>
      </c>
      <c r="Z426" s="76">
        <f>ROUND('[6]2039'!Z38,2)</f>
        <v>39258.85</v>
      </c>
      <c r="AA426" s="76">
        <f>ROUND('[6]2039'!AA38,2)</f>
        <v>36882.14</v>
      </c>
      <c r="AB426" s="76">
        <f>ROUND('[6]2039'!AB38,2)</f>
        <v>34186.519999999997</v>
      </c>
      <c r="AC426" s="214"/>
      <c r="AD426" s="185"/>
    </row>
    <row r="427" spans="2:30" s="186" customFormat="1" ht="18.649999999999999" customHeight="1" x14ac:dyDescent="0.35">
      <c r="B427" s="207">
        <v>50952</v>
      </c>
      <c r="C427" s="13" t="s">
        <v>29</v>
      </c>
      <c r="D427" s="7">
        <f>+'[6]2039'!D39</f>
        <v>19</v>
      </c>
      <c r="E427" s="81">
        <f>ROUND('[6]2039'!E39,2)</f>
        <v>31659.78</v>
      </c>
      <c r="F427" s="81">
        <f>ROUND('[6]2039'!F39,2)</f>
        <v>30041.33</v>
      </c>
      <c r="G427" s="81">
        <f>ROUND('[6]2039'!G39,2)</f>
        <v>28833.4</v>
      </c>
      <c r="H427" s="81">
        <f>ROUND('[6]2039'!H39,2)</f>
        <v>28026.77</v>
      </c>
      <c r="I427" s="81">
        <f>ROUND('[6]2039'!I39,2)</f>
        <v>27997.03</v>
      </c>
      <c r="J427" s="81">
        <f>ROUND('[6]2039'!J39,2)</f>
        <v>28717.040000000001</v>
      </c>
      <c r="K427" s="81">
        <f>ROUND('[6]2039'!K39,2)</f>
        <v>29090.26</v>
      </c>
      <c r="L427" s="81">
        <f>ROUND('[6]2039'!L39,2)</f>
        <v>32673.4</v>
      </c>
      <c r="M427" s="81">
        <f>ROUND('[6]2039'!M39,2)</f>
        <v>36186.550000000003</v>
      </c>
      <c r="N427" s="81">
        <f>ROUND('[6]2039'!N39,2)</f>
        <v>37993.53</v>
      </c>
      <c r="O427" s="81">
        <f>ROUND('[6]2039'!O39,2)</f>
        <v>40093.61</v>
      </c>
      <c r="P427" s="81">
        <f>ROUND('[6]2039'!P39,2)</f>
        <v>41668.68</v>
      </c>
      <c r="Q427" s="81">
        <f>ROUND('[6]2039'!Q39,2)</f>
        <v>40183.25</v>
      </c>
      <c r="R427" s="81">
        <f>ROUND('[6]2039'!R39,2)</f>
        <v>41535.230000000003</v>
      </c>
      <c r="S427" s="81">
        <f>ROUND('[6]2039'!S39,2)</f>
        <v>43900.15</v>
      </c>
      <c r="T427" s="81">
        <f>ROUND('[6]2039'!T39,2)</f>
        <v>44160.15</v>
      </c>
      <c r="U427" s="81">
        <f>ROUND('[6]2039'!U39,2)</f>
        <v>43560.83</v>
      </c>
      <c r="V427" s="81">
        <f>ROUND('[6]2039'!V39,2)</f>
        <v>41709.769999999997</v>
      </c>
      <c r="W427" s="81">
        <f>ROUND('[6]2039'!W39,2)</f>
        <v>43559.51</v>
      </c>
      <c r="X427" s="81">
        <f>ROUND('[6]2039'!X39,2)</f>
        <v>44574.83</v>
      </c>
      <c r="Y427" s="81">
        <f>ROUND('[6]2039'!Y39,2)</f>
        <v>43367.15</v>
      </c>
      <c r="Z427" s="81">
        <f>ROUND('[6]2039'!Z39,2)</f>
        <v>41211.11</v>
      </c>
      <c r="AA427" s="81">
        <f>ROUND('[6]2039'!AA39,2)</f>
        <v>37840.800000000003</v>
      </c>
      <c r="AB427" s="81">
        <f>ROUND('[6]2039'!AB39,2)</f>
        <v>34579.480000000003</v>
      </c>
      <c r="AC427" s="210">
        <f>SUM(E427:AB427)*D427+SUM(E428:AB428)*D428+SUM(E429:AB429)*D429+SUM(E430:AB430)*D430</f>
        <v>26588913.799999993</v>
      </c>
      <c r="AD427" s="185"/>
    </row>
    <row r="428" spans="2:30" s="186" customFormat="1" ht="18.649999999999999" customHeight="1" x14ac:dyDescent="0.35">
      <c r="B428" s="208"/>
      <c r="C428" s="9" t="s">
        <v>30</v>
      </c>
      <c r="D428" s="10">
        <f>+'[6]2039'!D40</f>
        <v>5</v>
      </c>
      <c r="E428" s="79">
        <f>ROUND('[6]2039'!E40,2)</f>
        <v>32250.11</v>
      </c>
      <c r="F428" s="79">
        <f>ROUND('[6]2039'!F40,2)</f>
        <v>30427.18</v>
      </c>
      <c r="G428" s="79">
        <f>ROUND('[6]2039'!G40,2)</f>
        <v>29115.58</v>
      </c>
      <c r="H428" s="79">
        <f>ROUND('[6]2039'!H40,2)</f>
        <v>28320.76</v>
      </c>
      <c r="I428" s="79">
        <f>ROUND('[6]2039'!I40,2)</f>
        <v>27944.47</v>
      </c>
      <c r="J428" s="79">
        <f>ROUND('[6]2039'!J40,2)</f>
        <v>27660.9</v>
      </c>
      <c r="K428" s="79">
        <f>ROUND('[6]2039'!K40,2)</f>
        <v>27785.13</v>
      </c>
      <c r="L428" s="79">
        <f>ROUND('[6]2039'!L40,2)</f>
        <v>30828</v>
      </c>
      <c r="M428" s="79">
        <f>ROUND('[6]2039'!M40,2)</f>
        <v>34400.550000000003</v>
      </c>
      <c r="N428" s="79">
        <f>ROUND('[6]2039'!N40,2)</f>
        <v>36463.800000000003</v>
      </c>
      <c r="O428" s="79">
        <f>ROUND('[6]2039'!O40,2)</f>
        <v>38404.71</v>
      </c>
      <c r="P428" s="79">
        <f>ROUND('[6]2039'!P40,2)</f>
        <v>39374.78</v>
      </c>
      <c r="Q428" s="79">
        <f>ROUND('[6]2039'!Q40,2)</f>
        <v>38745.53</v>
      </c>
      <c r="R428" s="79">
        <f>ROUND('[6]2039'!R40,2)</f>
        <v>38185.39</v>
      </c>
      <c r="S428" s="79">
        <f>ROUND('[6]2039'!S40,2)</f>
        <v>38182.639999999999</v>
      </c>
      <c r="T428" s="79">
        <f>ROUND('[6]2039'!T40,2)</f>
        <v>37957.07</v>
      </c>
      <c r="U428" s="79">
        <f>ROUND('[6]2039'!U40,2)</f>
        <v>37593.74</v>
      </c>
      <c r="V428" s="79">
        <f>ROUND('[6]2039'!V40,2)</f>
        <v>37719.01</v>
      </c>
      <c r="W428" s="79">
        <f>ROUND('[6]2039'!W40,2)</f>
        <v>40084.559999999998</v>
      </c>
      <c r="X428" s="79">
        <f>ROUND('[6]2039'!X40,2)</f>
        <v>40987.4</v>
      </c>
      <c r="Y428" s="79">
        <f>ROUND('[6]2039'!Y40,2)</f>
        <v>39644.400000000001</v>
      </c>
      <c r="Z428" s="79">
        <f>ROUND('[6]2039'!Z40,2)</f>
        <v>37984.300000000003</v>
      </c>
      <c r="AA428" s="79">
        <f>ROUND('[6]2039'!AA40,2)</f>
        <v>35878.29</v>
      </c>
      <c r="AB428" s="79">
        <f>ROUND('[6]2039'!AB40,2)</f>
        <v>33465.69</v>
      </c>
      <c r="AC428" s="210"/>
      <c r="AD428" s="185"/>
    </row>
    <row r="429" spans="2:30" s="186" customFormat="1" ht="18.649999999999999" customHeight="1" x14ac:dyDescent="0.35">
      <c r="B429" s="208"/>
      <c r="C429" s="9" t="s">
        <v>31</v>
      </c>
      <c r="D429" s="10">
        <f>+'[6]2039'!D41</f>
        <v>5</v>
      </c>
      <c r="E429" s="79">
        <f>ROUND('[6]2039'!E41,2)</f>
        <v>30328.57</v>
      </c>
      <c r="F429" s="79">
        <f>ROUND('[6]2039'!F41,2)</f>
        <v>28910.51</v>
      </c>
      <c r="G429" s="79">
        <f>ROUND('[6]2039'!G41,2)</f>
        <v>27673.88</v>
      </c>
      <c r="H429" s="79">
        <f>ROUND('[6]2039'!H41,2)</f>
        <v>26918.639999999999</v>
      </c>
      <c r="I429" s="79">
        <f>ROUND('[6]2039'!I41,2)</f>
        <v>26613.26</v>
      </c>
      <c r="J429" s="79">
        <f>ROUND('[6]2039'!J41,2)</f>
        <v>25962.46</v>
      </c>
      <c r="K429" s="79">
        <f>ROUND('[6]2039'!K41,2)</f>
        <v>25389.39</v>
      </c>
      <c r="L429" s="79">
        <f>ROUND('[6]2039'!L41,2)</f>
        <v>26958.77</v>
      </c>
      <c r="M429" s="79">
        <f>ROUND('[6]2039'!M41,2)</f>
        <v>28888.31</v>
      </c>
      <c r="N429" s="79">
        <f>ROUND('[6]2039'!N41,2)</f>
        <v>30442.94</v>
      </c>
      <c r="O429" s="79">
        <f>ROUND('[6]2039'!O41,2)</f>
        <v>31768.92</v>
      </c>
      <c r="P429" s="79">
        <f>ROUND('[6]2039'!P41,2)</f>
        <v>32899.03</v>
      </c>
      <c r="Q429" s="79">
        <f>ROUND('[6]2039'!Q41,2)</f>
        <v>33716.14</v>
      </c>
      <c r="R429" s="79">
        <f>ROUND('[6]2039'!R41,2)</f>
        <v>33923.480000000003</v>
      </c>
      <c r="S429" s="79">
        <f>ROUND('[6]2039'!S41,2)</f>
        <v>34116.120000000003</v>
      </c>
      <c r="T429" s="79">
        <f>ROUND('[6]2039'!T41,2)</f>
        <v>34567.21</v>
      </c>
      <c r="U429" s="79">
        <f>ROUND('[6]2039'!U41,2)</f>
        <v>34506.26</v>
      </c>
      <c r="V429" s="79">
        <f>ROUND('[6]2039'!V41,2)</f>
        <v>34669.67</v>
      </c>
      <c r="W429" s="79">
        <f>ROUND('[6]2039'!W41,2)</f>
        <v>38601.74</v>
      </c>
      <c r="X429" s="79">
        <f>ROUND('[6]2039'!X41,2)</f>
        <v>40807.51</v>
      </c>
      <c r="Y429" s="79">
        <f>ROUND('[6]2039'!Y41,2)</f>
        <v>40190.49</v>
      </c>
      <c r="Z429" s="79">
        <f>ROUND('[6]2039'!Z41,2)</f>
        <v>38539.050000000003</v>
      </c>
      <c r="AA429" s="79">
        <f>ROUND('[6]2039'!AA41,2)</f>
        <v>35572.6</v>
      </c>
      <c r="AB429" s="79">
        <f>ROUND('[6]2039'!AB41,2)</f>
        <v>32575.72</v>
      </c>
      <c r="AC429" s="210"/>
      <c r="AD429" s="185"/>
    </row>
    <row r="430" spans="2:30" s="186" customFormat="1" ht="18.649999999999999" customHeight="1" thickBot="1" x14ac:dyDescent="0.4">
      <c r="B430" s="208"/>
      <c r="C430" s="15" t="s">
        <v>32</v>
      </c>
      <c r="D430" s="12">
        <f>+'[6]2039'!D42</f>
        <v>2</v>
      </c>
      <c r="E430" s="79">
        <f>ROUND('[6]2039'!E42,2)</f>
        <v>30328.57</v>
      </c>
      <c r="F430" s="79">
        <f>ROUND('[6]2039'!F42,2)</f>
        <v>28910.51</v>
      </c>
      <c r="G430" s="79">
        <f>ROUND('[6]2039'!G42,2)</f>
        <v>27673.88</v>
      </c>
      <c r="H430" s="79">
        <f>ROUND('[6]2039'!H42,2)</f>
        <v>26918.639999999999</v>
      </c>
      <c r="I430" s="79">
        <f>ROUND('[6]2039'!I42,2)</f>
        <v>26613.26</v>
      </c>
      <c r="J430" s="79">
        <f>ROUND('[6]2039'!J42,2)</f>
        <v>25962.46</v>
      </c>
      <c r="K430" s="79">
        <f>ROUND('[6]2039'!K42,2)</f>
        <v>25389.39</v>
      </c>
      <c r="L430" s="79">
        <f>ROUND('[6]2039'!L42,2)</f>
        <v>26958.77</v>
      </c>
      <c r="M430" s="79">
        <f>ROUND('[6]2039'!M42,2)</f>
        <v>28888.31</v>
      </c>
      <c r="N430" s="79">
        <f>ROUND('[6]2039'!N42,2)</f>
        <v>30442.94</v>
      </c>
      <c r="O430" s="79">
        <f>ROUND('[6]2039'!O42,2)</f>
        <v>31768.92</v>
      </c>
      <c r="P430" s="79">
        <f>ROUND('[6]2039'!P42,2)</f>
        <v>32899.03</v>
      </c>
      <c r="Q430" s="79">
        <f>ROUND('[6]2039'!Q42,2)</f>
        <v>33716.14</v>
      </c>
      <c r="R430" s="79">
        <f>ROUND('[6]2039'!R42,2)</f>
        <v>33923.480000000003</v>
      </c>
      <c r="S430" s="79">
        <f>ROUND('[6]2039'!S42,2)</f>
        <v>34116.120000000003</v>
      </c>
      <c r="T430" s="79">
        <f>ROUND('[6]2039'!T42,2)</f>
        <v>34567.21</v>
      </c>
      <c r="U430" s="79">
        <f>ROUND('[6]2039'!U42,2)</f>
        <v>34506.26</v>
      </c>
      <c r="V430" s="79">
        <f>ROUND('[6]2039'!V42,2)</f>
        <v>34669.67</v>
      </c>
      <c r="W430" s="79">
        <f>ROUND('[6]2039'!W42,2)</f>
        <v>38601.74</v>
      </c>
      <c r="X430" s="79">
        <f>ROUND('[6]2039'!X42,2)</f>
        <v>40807.51</v>
      </c>
      <c r="Y430" s="79">
        <f>ROUND('[6]2039'!Y42,2)</f>
        <v>40190.49</v>
      </c>
      <c r="Z430" s="79">
        <f>ROUND('[6]2039'!Z42,2)</f>
        <v>38539.050000000003</v>
      </c>
      <c r="AA430" s="79">
        <f>ROUND('[6]2039'!AA42,2)</f>
        <v>35572.6</v>
      </c>
      <c r="AB430" s="79">
        <f>ROUND('[6]2039'!AB42,2)</f>
        <v>32575.72</v>
      </c>
      <c r="AC430" s="210"/>
      <c r="AD430" s="185"/>
    </row>
    <row r="431" spans="2:30" s="186" customFormat="1" ht="18.649999999999999" customHeight="1" x14ac:dyDescent="0.35">
      <c r="B431" s="211">
        <v>50983</v>
      </c>
      <c r="C431" s="6" t="s">
        <v>29</v>
      </c>
      <c r="D431" s="7">
        <f>+'[6]2039'!D43</f>
        <v>22</v>
      </c>
      <c r="E431" s="78">
        <f>ROUND('[6]2039'!E43,2)</f>
        <v>31359.56</v>
      </c>
      <c r="F431" s="78">
        <f>ROUND('[6]2039'!F43,2)</f>
        <v>29644.09</v>
      </c>
      <c r="G431" s="78">
        <f>ROUND('[6]2039'!G43,2)</f>
        <v>28429.42</v>
      </c>
      <c r="H431" s="78">
        <f>ROUND('[6]2039'!H43,2)</f>
        <v>27600.880000000001</v>
      </c>
      <c r="I431" s="78">
        <f>ROUND('[6]2039'!I43,2)</f>
        <v>27572.5</v>
      </c>
      <c r="J431" s="78">
        <f>ROUND('[6]2039'!J43,2)</f>
        <v>28493.9</v>
      </c>
      <c r="K431" s="78">
        <f>ROUND('[6]2039'!K43,2)</f>
        <v>28829.1</v>
      </c>
      <c r="L431" s="78">
        <f>ROUND('[6]2039'!L43,2)</f>
        <v>32069.66</v>
      </c>
      <c r="M431" s="78">
        <f>ROUND('[6]2039'!M43,2)</f>
        <v>35562.720000000001</v>
      </c>
      <c r="N431" s="78">
        <f>ROUND('[6]2039'!N43,2)</f>
        <v>37312.6</v>
      </c>
      <c r="O431" s="78">
        <f>ROUND('[6]2039'!O43,2)</f>
        <v>39488.29</v>
      </c>
      <c r="P431" s="78">
        <f>ROUND('[6]2039'!P43,2)</f>
        <v>41290.129999999997</v>
      </c>
      <c r="Q431" s="78">
        <f>ROUND('[6]2039'!Q43,2)</f>
        <v>39630.26</v>
      </c>
      <c r="R431" s="78">
        <f>ROUND('[6]2039'!R43,2)</f>
        <v>40926.239999999998</v>
      </c>
      <c r="S431" s="78">
        <f>ROUND('[6]2039'!S43,2)</f>
        <v>43387.01</v>
      </c>
      <c r="T431" s="78">
        <f>ROUND('[6]2039'!T43,2)</f>
        <v>43665.67</v>
      </c>
      <c r="U431" s="78">
        <f>ROUND('[6]2039'!U43,2)</f>
        <v>42916.84</v>
      </c>
      <c r="V431" s="78">
        <f>ROUND('[6]2039'!V43,2)</f>
        <v>41344.83</v>
      </c>
      <c r="W431" s="78">
        <f>ROUND('[6]2039'!W43,2)</f>
        <v>43819.74</v>
      </c>
      <c r="X431" s="78">
        <f>ROUND('[6]2039'!X43,2)</f>
        <v>44503.11</v>
      </c>
      <c r="Y431" s="78">
        <f>ROUND('[6]2039'!Y43,2)</f>
        <v>43252.52</v>
      </c>
      <c r="Z431" s="78">
        <f>ROUND('[6]2039'!Z43,2)</f>
        <v>41040.550000000003</v>
      </c>
      <c r="AA431" s="78">
        <f>ROUND('[6]2039'!AA43,2)</f>
        <v>37633.39</v>
      </c>
      <c r="AB431" s="78">
        <f>ROUND('[6]2039'!AB43,2)</f>
        <v>34415</v>
      </c>
      <c r="AC431" s="209">
        <f>SUM(E431:AB431)*D431+SUM(E432:AB432)*D432+SUM(E433:AB433)*D433+SUM(E434:AB434)*D434</f>
        <v>26657135.57</v>
      </c>
      <c r="AD431" s="185"/>
    </row>
    <row r="432" spans="2:30" s="186" customFormat="1" ht="18.649999999999999" customHeight="1" x14ac:dyDescent="0.35">
      <c r="B432" s="212" t="s">
        <v>34</v>
      </c>
      <c r="C432" s="9" t="s">
        <v>30</v>
      </c>
      <c r="D432" s="10">
        <f>+'[6]2039'!D44</f>
        <v>4</v>
      </c>
      <c r="E432" s="79">
        <f>ROUND('[6]2039'!E44,2)</f>
        <v>31788.9</v>
      </c>
      <c r="F432" s="79">
        <f>ROUND('[6]2039'!F44,2)</f>
        <v>30154.3</v>
      </c>
      <c r="G432" s="79">
        <f>ROUND('[6]2039'!G44,2)</f>
        <v>28942.3</v>
      </c>
      <c r="H432" s="79">
        <f>ROUND('[6]2039'!H44,2)</f>
        <v>28022.41</v>
      </c>
      <c r="I432" s="79">
        <f>ROUND('[6]2039'!I44,2)</f>
        <v>27470.83</v>
      </c>
      <c r="J432" s="79">
        <f>ROUND('[6]2039'!J44,2)</f>
        <v>27233.99</v>
      </c>
      <c r="K432" s="79">
        <f>ROUND('[6]2039'!K44,2)</f>
        <v>27276.46</v>
      </c>
      <c r="L432" s="79">
        <f>ROUND('[6]2039'!L44,2)</f>
        <v>30194.63</v>
      </c>
      <c r="M432" s="79">
        <f>ROUND('[6]2039'!M44,2)</f>
        <v>33391.11</v>
      </c>
      <c r="N432" s="79">
        <f>ROUND('[6]2039'!N44,2)</f>
        <v>35424.339999999997</v>
      </c>
      <c r="O432" s="79">
        <f>ROUND('[6]2039'!O44,2)</f>
        <v>37093.760000000002</v>
      </c>
      <c r="P432" s="79">
        <f>ROUND('[6]2039'!P44,2)</f>
        <v>37658.75</v>
      </c>
      <c r="Q432" s="79">
        <f>ROUND('[6]2039'!Q44,2)</f>
        <v>37012.080000000002</v>
      </c>
      <c r="R432" s="79">
        <f>ROUND('[6]2039'!R44,2)</f>
        <v>36505.019999999997</v>
      </c>
      <c r="S432" s="79">
        <f>ROUND('[6]2039'!S44,2)</f>
        <v>36907.83</v>
      </c>
      <c r="T432" s="79">
        <f>ROUND('[6]2039'!T44,2)</f>
        <v>37068.32</v>
      </c>
      <c r="U432" s="79">
        <f>ROUND('[6]2039'!U44,2)</f>
        <v>36824.21</v>
      </c>
      <c r="V432" s="79">
        <f>ROUND('[6]2039'!V44,2)</f>
        <v>37108.660000000003</v>
      </c>
      <c r="W432" s="79">
        <f>ROUND('[6]2039'!W44,2)</f>
        <v>40961.5</v>
      </c>
      <c r="X432" s="79">
        <f>ROUND('[6]2039'!X44,2)</f>
        <v>41287.06</v>
      </c>
      <c r="Y432" s="79">
        <f>ROUND('[6]2039'!Y44,2)</f>
        <v>39781.99</v>
      </c>
      <c r="Z432" s="79">
        <f>ROUND('[6]2039'!Z44,2)</f>
        <v>37977.11</v>
      </c>
      <c r="AA432" s="79">
        <f>ROUND('[6]2039'!AA44,2)</f>
        <v>35647.08</v>
      </c>
      <c r="AB432" s="79">
        <f>ROUND('[6]2039'!AB44,2)</f>
        <v>33104.81</v>
      </c>
      <c r="AC432" s="210"/>
      <c r="AD432" s="185"/>
    </row>
    <row r="433" spans="2:30" s="186" customFormat="1" ht="18.649999999999999" customHeight="1" x14ac:dyDescent="0.35">
      <c r="B433" s="212" t="s">
        <v>34</v>
      </c>
      <c r="C433" s="9" t="s">
        <v>31</v>
      </c>
      <c r="D433" s="10">
        <f>+'[6]2039'!D45</f>
        <v>3</v>
      </c>
      <c r="E433" s="79">
        <f>ROUND('[6]2039'!E45,2)</f>
        <v>31021.94</v>
      </c>
      <c r="F433" s="79">
        <f>ROUND('[6]2039'!F45,2)</f>
        <v>29512.5</v>
      </c>
      <c r="G433" s="79">
        <f>ROUND('[6]2039'!G45,2)</f>
        <v>28204.25</v>
      </c>
      <c r="H433" s="79">
        <f>ROUND('[6]2039'!H45,2)</f>
        <v>27445.94</v>
      </c>
      <c r="I433" s="79">
        <f>ROUND('[6]2039'!I45,2)</f>
        <v>27050.61</v>
      </c>
      <c r="J433" s="79">
        <f>ROUND('[6]2039'!J45,2)</f>
        <v>26638.79</v>
      </c>
      <c r="K433" s="79">
        <f>ROUND('[6]2039'!K45,2)</f>
        <v>25922.71</v>
      </c>
      <c r="L433" s="79">
        <f>ROUND('[6]2039'!L45,2)</f>
        <v>27390.95</v>
      </c>
      <c r="M433" s="79">
        <f>ROUND('[6]2039'!M45,2)</f>
        <v>29153.87</v>
      </c>
      <c r="N433" s="79">
        <f>ROUND('[6]2039'!N45,2)</f>
        <v>30652.33</v>
      </c>
      <c r="O433" s="79">
        <f>ROUND('[6]2039'!O45,2)</f>
        <v>31923.35</v>
      </c>
      <c r="P433" s="79">
        <f>ROUND('[6]2039'!P45,2)</f>
        <v>32982.82</v>
      </c>
      <c r="Q433" s="79">
        <f>ROUND('[6]2039'!Q45,2)</f>
        <v>33614.550000000003</v>
      </c>
      <c r="R433" s="79">
        <f>ROUND('[6]2039'!R45,2)</f>
        <v>33746.870000000003</v>
      </c>
      <c r="S433" s="79">
        <f>ROUND('[6]2039'!S45,2)</f>
        <v>33950.43</v>
      </c>
      <c r="T433" s="79">
        <f>ROUND('[6]2039'!T45,2)</f>
        <v>34195.550000000003</v>
      </c>
      <c r="U433" s="79">
        <f>ROUND('[6]2039'!U45,2)</f>
        <v>34191.339999999997</v>
      </c>
      <c r="V433" s="79">
        <f>ROUND('[6]2039'!V45,2)</f>
        <v>34764.57</v>
      </c>
      <c r="W433" s="79">
        <f>ROUND('[6]2039'!W45,2)</f>
        <v>39121.9</v>
      </c>
      <c r="X433" s="79">
        <f>ROUND('[6]2039'!X45,2)</f>
        <v>40810.910000000003</v>
      </c>
      <c r="Y433" s="79">
        <f>ROUND('[6]2039'!Y45,2)</f>
        <v>40476.629999999997</v>
      </c>
      <c r="Z433" s="79">
        <f>ROUND('[6]2039'!Z45,2)</f>
        <v>39030.28</v>
      </c>
      <c r="AA433" s="79">
        <f>ROUND('[6]2039'!AA45,2)</f>
        <v>36173.69</v>
      </c>
      <c r="AB433" s="79">
        <f>ROUND('[6]2039'!AB45,2)</f>
        <v>33153.129999999997</v>
      </c>
      <c r="AC433" s="210"/>
      <c r="AD433" s="185"/>
    </row>
    <row r="434" spans="2:30" s="186" customFormat="1" ht="18.649999999999999" customHeight="1" thickBot="1" x14ac:dyDescent="0.4">
      <c r="B434" s="213" t="s">
        <v>34</v>
      </c>
      <c r="C434" s="11" t="s">
        <v>32</v>
      </c>
      <c r="D434" s="12">
        <f>+'[6]2039'!D46</f>
        <v>2</v>
      </c>
      <c r="E434" s="76">
        <f>ROUND('[6]2039'!E46,2)</f>
        <v>31021.94</v>
      </c>
      <c r="F434" s="76">
        <f>ROUND('[6]2039'!F46,2)</f>
        <v>29512.5</v>
      </c>
      <c r="G434" s="76">
        <f>ROUND('[6]2039'!G46,2)</f>
        <v>28204.25</v>
      </c>
      <c r="H434" s="76">
        <f>ROUND('[6]2039'!H46,2)</f>
        <v>27445.94</v>
      </c>
      <c r="I434" s="76">
        <f>ROUND('[6]2039'!I46,2)</f>
        <v>27050.61</v>
      </c>
      <c r="J434" s="76">
        <f>ROUND('[6]2039'!J46,2)</f>
        <v>26638.79</v>
      </c>
      <c r="K434" s="76">
        <f>ROUND('[6]2039'!K46,2)</f>
        <v>25922.71</v>
      </c>
      <c r="L434" s="76">
        <f>ROUND('[6]2039'!L46,2)</f>
        <v>27390.95</v>
      </c>
      <c r="M434" s="76">
        <f>ROUND('[6]2039'!M46,2)</f>
        <v>29153.87</v>
      </c>
      <c r="N434" s="76">
        <f>ROUND('[6]2039'!N46,2)</f>
        <v>30652.33</v>
      </c>
      <c r="O434" s="76">
        <f>ROUND('[6]2039'!O46,2)</f>
        <v>31923.35</v>
      </c>
      <c r="P434" s="76">
        <f>ROUND('[6]2039'!P46,2)</f>
        <v>32982.82</v>
      </c>
      <c r="Q434" s="76">
        <f>ROUND('[6]2039'!Q46,2)</f>
        <v>33614.550000000003</v>
      </c>
      <c r="R434" s="76">
        <f>ROUND('[6]2039'!R46,2)</f>
        <v>33746.870000000003</v>
      </c>
      <c r="S434" s="76">
        <f>ROUND('[6]2039'!S46,2)</f>
        <v>33950.43</v>
      </c>
      <c r="T434" s="76">
        <f>ROUND('[6]2039'!T46,2)</f>
        <v>34195.550000000003</v>
      </c>
      <c r="U434" s="76">
        <f>ROUND('[6]2039'!U46,2)</f>
        <v>34191.339999999997</v>
      </c>
      <c r="V434" s="76">
        <f>ROUND('[6]2039'!V46,2)</f>
        <v>34764.57</v>
      </c>
      <c r="W434" s="76">
        <f>ROUND('[6]2039'!W46,2)</f>
        <v>39121.9</v>
      </c>
      <c r="X434" s="76">
        <f>ROUND('[6]2039'!X46,2)</f>
        <v>40810.910000000003</v>
      </c>
      <c r="Y434" s="76">
        <f>ROUND('[6]2039'!Y46,2)</f>
        <v>40476.629999999997</v>
      </c>
      <c r="Z434" s="76">
        <f>ROUND('[6]2039'!Z46,2)</f>
        <v>39030.28</v>
      </c>
      <c r="AA434" s="76">
        <f>ROUND('[6]2039'!AA46,2)</f>
        <v>36173.69</v>
      </c>
      <c r="AB434" s="76">
        <f>ROUND('[6]2039'!AB46,2)</f>
        <v>33153.129999999997</v>
      </c>
      <c r="AC434" s="214"/>
      <c r="AD434" s="185"/>
    </row>
    <row r="435" spans="2:30" s="186" customFormat="1" ht="18.649999999999999" customHeight="1" x14ac:dyDescent="0.35">
      <c r="B435" s="207">
        <v>51014</v>
      </c>
      <c r="C435" s="13" t="s">
        <v>29</v>
      </c>
      <c r="D435" s="14">
        <f>+'[6]2039'!D47</f>
        <v>22</v>
      </c>
      <c r="E435" s="81">
        <f>ROUND('[6]2039'!E47,2)</f>
        <v>31216.9</v>
      </c>
      <c r="F435" s="81">
        <f>ROUND('[6]2039'!F47,2)</f>
        <v>29579.46</v>
      </c>
      <c r="G435" s="81">
        <f>ROUND('[6]2039'!G47,2)</f>
        <v>28373.21</v>
      </c>
      <c r="H435" s="81">
        <f>ROUND('[6]2039'!H47,2)</f>
        <v>27489.73</v>
      </c>
      <c r="I435" s="81">
        <f>ROUND('[6]2039'!I47,2)</f>
        <v>27458.52</v>
      </c>
      <c r="J435" s="81">
        <f>ROUND('[6]2039'!J47,2)</f>
        <v>28347.15</v>
      </c>
      <c r="K435" s="81">
        <f>ROUND('[6]2039'!K47,2)</f>
        <v>28747.8</v>
      </c>
      <c r="L435" s="81">
        <f>ROUND('[6]2039'!L47,2)</f>
        <v>32038.75</v>
      </c>
      <c r="M435" s="81">
        <f>ROUND('[6]2039'!M47,2)</f>
        <v>35583.11</v>
      </c>
      <c r="N435" s="81">
        <f>ROUND('[6]2039'!N47,2)</f>
        <v>37352.82</v>
      </c>
      <c r="O435" s="81">
        <f>ROUND('[6]2039'!O47,2)</f>
        <v>39255.129999999997</v>
      </c>
      <c r="P435" s="81">
        <f>ROUND('[6]2039'!P47,2)</f>
        <v>40880.78</v>
      </c>
      <c r="Q435" s="81">
        <f>ROUND('[6]2039'!Q47,2)</f>
        <v>39403.199999999997</v>
      </c>
      <c r="R435" s="81">
        <f>ROUND('[6]2039'!R47,2)</f>
        <v>40554.550000000003</v>
      </c>
      <c r="S435" s="81">
        <f>ROUND('[6]2039'!S47,2)</f>
        <v>42854.78</v>
      </c>
      <c r="T435" s="81">
        <f>ROUND('[6]2039'!T47,2)</f>
        <v>43148.08</v>
      </c>
      <c r="U435" s="81">
        <f>ROUND('[6]2039'!U47,2)</f>
        <v>42481.41</v>
      </c>
      <c r="V435" s="81">
        <f>ROUND('[6]2039'!V47,2)</f>
        <v>41401.25</v>
      </c>
      <c r="W435" s="81">
        <f>ROUND('[6]2039'!W47,2)</f>
        <v>44170.879999999997</v>
      </c>
      <c r="X435" s="81">
        <f>ROUND('[6]2039'!X47,2)</f>
        <v>43753.71</v>
      </c>
      <c r="Y435" s="81">
        <f>ROUND('[6]2039'!Y47,2)</f>
        <v>42356.73</v>
      </c>
      <c r="Z435" s="81">
        <f>ROUND('[6]2039'!Z47,2)</f>
        <v>40072.199999999997</v>
      </c>
      <c r="AA435" s="81">
        <f>ROUND('[6]2039'!AA47,2)</f>
        <v>36644.559999999998</v>
      </c>
      <c r="AB435" s="81">
        <f>ROUND('[6]2039'!AB47,2)</f>
        <v>33491.339999999997</v>
      </c>
      <c r="AC435" s="210">
        <f>SUM(E435:AB435)*D435+SUM(E436:AB436)*D436+SUM(E437:AB437)*D437+SUM(E438:AB438)*D438</f>
        <v>25668756.98</v>
      </c>
      <c r="AD435" s="185"/>
    </row>
    <row r="436" spans="2:30" s="186" customFormat="1" ht="18.649999999999999" customHeight="1" x14ac:dyDescent="0.35">
      <c r="B436" s="208"/>
      <c r="C436" s="9" t="s">
        <v>30</v>
      </c>
      <c r="D436" s="10">
        <f>+'[6]2039'!D48</f>
        <v>4</v>
      </c>
      <c r="E436" s="79">
        <f>ROUND('[6]2039'!E48,2)</f>
        <v>30404.57</v>
      </c>
      <c r="F436" s="79">
        <f>ROUND('[6]2039'!F48,2)</f>
        <v>28867.73</v>
      </c>
      <c r="G436" s="79">
        <f>ROUND('[6]2039'!G48,2)</f>
        <v>27713.24</v>
      </c>
      <c r="H436" s="79">
        <f>ROUND('[6]2039'!H48,2)</f>
        <v>26862.34</v>
      </c>
      <c r="I436" s="79">
        <f>ROUND('[6]2039'!I48,2)</f>
        <v>26636.1</v>
      </c>
      <c r="J436" s="79">
        <f>ROUND('[6]2039'!J48,2)</f>
        <v>26482.73</v>
      </c>
      <c r="K436" s="79">
        <f>ROUND('[6]2039'!K48,2)</f>
        <v>26786.37</v>
      </c>
      <c r="L436" s="79">
        <f>ROUND('[6]2039'!L48,2)</f>
        <v>29840.17</v>
      </c>
      <c r="M436" s="79">
        <f>ROUND('[6]2039'!M48,2)</f>
        <v>33255.800000000003</v>
      </c>
      <c r="N436" s="79">
        <f>ROUND('[6]2039'!N48,2)</f>
        <v>34938.269999999997</v>
      </c>
      <c r="O436" s="79">
        <f>ROUND('[6]2039'!O48,2)</f>
        <v>36984.49</v>
      </c>
      <c r="P436" s="79">
        <f>ROUND('[6]2039'!P48,2)</f>
        <v>37895.39</v>
      </c>
      <c r="Q436" s="79">
        <f>ROUND('[6]2039'!Q48,2)</f>
        <v>37473.440000000002</v>
      </c>
      <c r="R436" s="79">
        <f>ROUND('[6]2039'!R48,2)</f>
        <v>37015.08</v>
      </c>
      <c r="S436" s="79">
        <f>ROUND('[6]2039'!S48,2)</f>
        <v>37270.86</v>
      </c>
      <c r="T436" s="79">
        <f>ROUND('[6]2039'!T48,2)</f>
        <v>37191.300000000003</v>
      </c>
      <c r="U436" s="79">
        <f>ROUND('[6]2039'!U48,2)</f>
        <v>36749.15</v>
      </c>
      <c r="V436" s="79">
        <f>ROUND('[6]2039'!V48,2)</f>
        <v>37650.69</v>
      </c>
      <c r="W436" s="79">
        <f>ROUND('[6]2039'!W48,2)</f>
        <v>41835.769999999997</v>
      </c>
      <c r="X436" s="79">
        <f>ROUND('[6]2039'!X48,2)</f>
        <v>41526.06</v>
      </c>
      <c r="Y436" s="79">
        <f>ROUND('[6]2039'!Y48,2)</f>
        <v>40060.129999999997</v>
      </c>
      <c r="Z436" s="79">
        <f>ROUND('[6]2039'!Z48,2)</f>
        <v>38216.800000000003</v>
      </c>
      <c r="AA436" s="79">
        <f>ROUND('[6]2039'!AA48,2)</f>
        <v>36104.839999999997</v>
      </c>
      <c r="AB436" s="79">
        <f>ROUND('[6]2039'!AB48,2)</f>
        <v>33581.29</v>
      </c>
      <c r="AC436" s="210"/>
      <c r="AD436" s="185"/>
    </row>
    <row r="437" spans="2:30" s="186" customFormat="1" ht="18.649999999999999" customHeight="1" x14ac:dyDescent="0.35">
      <c r="B437" s="208"/>
      <c r="C437" s="9" t="s">
        <v>31</v>
      </c>
      <c r="D437" s="10">
        <f>+'[6]2039'!D49</f>
        <v>4</v>
      </c>
      <c r="E437" s="79">
        <f>ROUND('[6]2039'!E49,2)</f>
        <v>31120.21</v>
      </c>
      <c r="F437" s="79">
        <f>ROUND('[6]2039'!F49,2)</f>
        <v>29534.29</v>
      </c>
      <c r="G437" s="79">
        <f>ROUND('[6]2039'!G49,2)</f>
        <v>28172.63</v>
      </c>
      <c r="H437" s="79">
        <f>ROUND('[6]2039'!H49,2)</f>
        <v>27271.27</v>
      </c>
      <c r="I437" s="79">
        <f>ROUND('[6]2039'!I49,2)</f>
        <v>26889.74</v>
      </c>
      <c r="J437" s="79">
        <f>ROUND('[6]2039'!J49,2)</f>
        <v>26160.03</v>
      </c>
      <c r="K437" s="79">
        <f>ROUND('[6]2039'!K49,2)</f>
        <v>25476.28</v>
      </c>
      <c r="L437" s="79">
        <f>ROUND('[6]2039'!L49,2)</f>
        <v>27078.14</v>
      </c>
      <c r="M437" s="79">
        <f>ROUND('[6]2039'!M49,2)</f>
        <v>28819.27</v>
      </c>
      <c r="N437" s="79">
        <f>ROUND('[6]2039'!N49,2)</f>
        <v>30508.16</v>
      </c>
      <c r="O437" s="79">
        <f>ROUND('[6]2039'!O49,2)</f>
        <v>31800.66</v>
      </c>
      <c r="P437" s="79">
        <f>ROUND('[6]2039'!P49,2)</f>
        <v>32649.69</v>
      </c>
      <c r="Q437" s="79">
        <f>ROUND('[6]2039'!Q49,2)</f>
        <v>33377.32</v>
      </c>
      <c r="R437" s="79">
        <f>ROUND('[6]2039'!R49,2)</f>
        <v>33479.75</v>
      </c>
      <c r="S437" s="79">
        <f>ROUND('[6]2039'!S49,2)</f>
        <v>33499.81</v>
      </c>
      <c r="T437" s="79">
        <f>ROUND('[6]2039'!T49,2)</f>
        <v>33916.57</v>
      </c>
      <c r="U437" s="79">
        <f>ROUND('[6]2039'!U49,2)</f>
        <v>33880.629999999997</v>
      </c>
      <c r="V437" s="79">
        <f>ROUND('[6]2039'!V49,2)</f>
        <v>34982.660000000003</v>
      </c>
      <c r="W437" s="79">
        <f>ROUND('[6]2039'!W49,2)</f>
        <v>39557.79</v>
      </c>
      <c r="X437" s="79">
        <f>ROUND('[6]2039'!X49,2)</f>
        <v>40215.83</v>
      </c>
      <c r="Y437" s="79">
        <f>ROUND('[6]2039'!Y49,2)</f>
        <v>39696.36</v>
      </c>
      <c r="Z437" s="79">
        <f>ROUND('[6]2039'!Z49,2)</f>
        <v>38197.39</v>
      </c>
      <c r="AA437" s="79">
        <f>ROUND('[6]2039'!AA49,2)</f>
        <v>35443.339999999997</v>
      </c>
      <c r="AB437" s="79">
        <f>ROUND('[6]2039'!AB49,2)</f>
        <v>32510.54</v>
      </c>
      <c r="AC437" s="210"/>
      <c r="AD437" s="185"/>
    </row>
    <row r="438" spans="2:30" s="186" customFormat="1" ht="18.649999999999999" customHeight="1" thickBot="1" x14ac:dyDescent="0.4">
      <c r="B438" s="208"/>
      <c r="C438" s="15" t="s">
        <v>32</v>
      </c>
      <c r="D438" s="16">
        <f>+'[6]2039'!D50</f>
        <v>0</v>
      </c>
      <c r="E438" s="75">
        <f>ROUND('[6]2039'!E50,2)</f>
        <v>0</v>
      </c>
      <c r="F438" s="75">
        <f>ROUND('[6]2039'!F50,2)</f>
        <v>0</v>
      </c>
      <c r="G438" s="75">
        <f>ROUND('[6]2039'!G50,2)</f>
        <v>0</v>
      </c>
      <c r="H438" s="75">
        <f>ROUND('[6]2039'!H50,2)</f>
        <v>0</v>
      </c>
      <c r="I438" s="75">
        <f>ROUND('[6]2039'!I50,2)</f>
        <v>0</v>
      </c>
      <c r="J438" s="75">
        <f>ROUND('[6]2039'!J50,2)</f>
        <v>0</v>
      </c>
      <c r="K438" s="75">
        <f>ROUND('[6]2039'!K50,2)</f>
        <v>0</v>
      </c>
      <c r="L438" s="75">
        <f>ROUND('[6]2039'!L50,2)</f>
        <v>0</v>
      </c>
      <c r="M438" s="75">
        <f>ROUND('[6]2039'!M50,2)</f>
        <v>0</v>
      </c>
      <c r="N438" s="75">
        <f>ROUND('[6]2039'!N50,2)</f>
        <v>0</v>
      </c>
      <c r="O438" s="75">
        <f>ROUND('[6]2039'!O50,2)</f>
        <v>0</v>
      </c>
      <c r="P438" s="75">
        <f>ROUND('[6]2039'!P50,2)</f>
        <v>0</v>
      </c>
      <c r="Q438" s="75">
        <f>ROUND('[6]2039'!Q50,2)</f>
        <v>0</v>
      </c>
      <c r="R438" s="75">
        <f>ROUND('[6]2039'!R50,2)</f>
        <v>0</v>
      </c>
      <c r="S438" s="75">
        <f>ROUND('[6]2039'!S50,2)</f>
        <v>0</v>
      </c>
      <c r="T438" s="75">
        <f>ROUND('[6]2039'!T50,2)</f>
        <v>0</v>
      </c>
      <c r="U438" s="75">
        <f>ROUND('[6]2039'!U50,2)</f>
        <v>0</v>
      </c>
      <c r="V438" s="75">
        <f>ROUND('[6]2039'!V50,2)</f>
        <v>0</v>
      </c>
      <c r="W438" s="75">
        <f>ROUND('[6]2039'!W50,2)</f>
        <v>0</v>
      </c>
      <c r="X438" s="75">
        <f>ROUND('[6]2039'!X50,2)</f>
        <v>0</v>
      </c>
      <c r="Y438" s="75">
        <f>ROUND('[6]2039'!Y50,2)</f>
        <v>0</v>
      </c>
      <c r="Z438" s="75">
        <f>ROUND('[6]2039'!Z50,2)</f>
        <v>0</v>
      </c>
      <c r="AA438" s="75">
        <f>ROUND('[6]2039'!AA50,2)</f>
        <v>0</v>
      </c>
      <c r="AB438" s="75">
        <f>ROUND('[6]2039'!AB50,2)</f>
        <v>0</v>
      </c>
      <c r="AC438" s="210"/>
      <c r="AD438" s="185"/>
    </row>
    <row r="439" spans="2:30" s="186" customFormat="1" ht="18.649999999999999" customHeight="1" x14ac:dyDescent="0.35">
      <c r="B439" s="211">
        <v>51044</v>
      </c>
      <c r="C439" s="6" t="s">
        <v>29</v>
      </c>
      <c r="D439" s="7">
        <f>+'[6]2039'!D51</f>
        <v>20</v>
      </c>
      <c r="E439" s="78">
        <f>ROUND('[6]2039'!E51,2)</f>
        <v>30301.19</v>
      </c>
      <c r="F439" s="78">
        <f>ROUND('[6]2039'!F51,2)</f>
        <v>28706.15</v>
      </c>
      <c r="G439" s="78">
        <f>ROUND('[6]2039'!G51,2)</f>
        <v>27566.45</v>
      </c>
      <c r="H439" s="78">
        <f>ROUND('[6]2039'!H51,2)</f>
        <v>26737.75</v>
      </c>
      <c r="I439" s="78">
        <f>ROUND('[6]2039'!I51,2)</f>
        <v>26824.27</v>
      </c>
      <c r="J439" s="78">
        <f>ROUND('[6]2039'!J51,2)</f>
        <v>27625.42</v>
      </c>
      <c r="K439" s="78">
        <f>ROUND('[6]2039'!K51,2)</f>
        <v>28350.74</v>
      </c>
      <c r="L439" s="78">
        <f>ROUND('[6]2039'!L51,2)</f>
        <v>31578.31</v>
      </c>
      <c r="M439" s="78">
        <f>ROUND('[6]2039'!M51,2)</f>
        <v>35010.51</v>
      </c>
      <c r="N439" s="78">
        <f>ROUND('[6]2039'!N51,2)</f>
        <v>36808.089999999997</v>
      </c>
      <c r="O439" s="78">
        <f>ROUND('[6]2039'!O51,2)</f>
        <v>38680.120000000003</v>
      </c>
      <c r="P439" s="78">
        <f>ROUND('[6]2039'!P51,2)</f>
        <v>40162.42</v>
      </c>
      <c r="Q439" s="78">
        <f>ROUND('[6]2039'!Q51,2)</f>
        <v>38429.64</v>
      </c>
      <c r="R439" s="78">
        <f>ROUND('[6]2039'!R51,2)</f>
        <v>39456.959999999999</v>
      </c>
      <c r="S439" s="78">
        <f>ROUND('[6]2039'!S51,2)</f>
        <v>41671.81</v>
      </c>
      <c r="T439" s="78">
        <f>ROUND('[6]2039'!T51,2)</f>
        <v>42172.42</v>
      </c>
      <c r="U439" s="78">
        <f>ROUND('[6]2039'!U51,2)</f>
        <v>41703.78</v>
      </c>
      <c r="V439" s="78">
        <f>ROUND('[6]2039'!V51,2)</f>
        <v>41718.5</v>
      </c>
      <c r="W439" s="78">
        <f>ROUND('[6]2039'!W51,2)</f>
        <v>44307.199999999997</v>
      </c>
      <c r="X439" s="78">
        <f>ROUND('[6]2039'!X51,2)</f>
        <v>43319.79</v>
      </c>
      <c r="Y439" s="78">
        <f>ROUND('[6]2039'!Y51,2)</f>
        <v>41710.93</v>
      </c>
      <c r="Z439" s="78">
        <f>ROUND('[6]2039'!Z51,2)</f>
        <v>39428.14</v>
      </c>
      <c r="AA439" s="78">
        <f>ROUND('[6]2039'!AA51,2)</f>
        <v>36063.68</v>
      </c>
      <c r="AB439" s="78">
        <f>ROUND('[6]2039'!AB51,2)</f>
        <v>32814.449999999997</v>
      </c>
      <c r="AC439" s="209">
        <f>SUM(E439:AB439)*D439+SUM(E440:AB440)*D440+SUM(E441:AB441)*D441+SUM(E442:AB442)*D442</f>
        <v>26005519.620000001</v>
      </c>
      <c r="AD439" s="185"/>
    </row>
    <row r="440" spans="2:30" s="186" customFormat="1" ht="18.649999999999999" customHeight="1" x14ac:dyDescent="0.35">
      <c r="B440" s="212" t="s">
        <v>34</v>
      </c>
      <c r="C440" s="9" t="s">
        <v>30</v>
      </c>
      <c r="D440" s="10">
        <f>+'[6]2039'!D52</f>
        <v>5</v>
      </c>
      <c r="E440" s="79">
        <f>ROUND('[6]2039'!E52,2)</f>
        <v>30853.94</v>
      </c>
      <c r="F440" s="79">
        <f>ROUND('[6]2039'!F52,2)</f>
        <v>29121.41</v>
      </c>
      <c r="G440" s="79">
        <f>ROUND('[6]2039'!G52,2)</f>
        <v>27747.97</v>
      </c>
      <c r="H440" s="79">
        <f>ROUND('[6]2039'!H52,2)</f>
        <v>26892.959999999999</v>
      </c>
      <c r="I440" s="79">
        <f>ROUND('[6]2039'!I52,2)</f>
        <v>26875.95</v>
      </c>
      <c r="J440" s="79">
        <f>ROUND('[6]2039'!J52,2)</f>
        <v>26761.81</v>
      </c>
      <c r="K440" s="79">
        <f>ROUND('[6]2039'!K52,2)</f>
        <v>27176.25</v>
      </c>
      <c r="L440" s="79">
        <f>ROUND('[6]2039'!L52,2)</f>
        <v>29868.62</v>
      </c>
      <c r="M440" s="79">
        <f>ROUND('[6]2039'!M52,2)</f>
        <v>33221.99</v>
      </c>
      <c r="N440" s="79">
        <f>ROUND('[6]2039'!N52,2)</f>
        <v>35134.910000000003</v>
      </c>
      <c r="O440" s="79">
        <f>ROUND('[6]2039'!O52,2)</f>
        <v>37106.54</v>
      </c>
      <c r="P440" s="79">
        <f>ROUND('[6]2039'!P52,2)</f>
        <v>38087.47</v>
      </c>
      <c r="Q440" s="79">
        <f>ROUND('[6]2039'!Q52,2)</f>
        <v>37372.5</v>
      </c>
      <c r="R440" s="79">
        <f>ROUND('[6]2039'!R52,2)</f>
        <v>36911.660000000003</v>
      </c>
      <c r="S440" s="79">
        <f>ROUND('[6]2039'!S52,2)</f>
        <v>37299.199999999997</v>
      </c>
      <c r="T440" s="79">
        <f>ROUND('[6]2039'!T52,2)</f>
        <v>37690.71</v>
      </c>
      <c r="U440" s="79">
        <f>ROUND('[6]2039'!U52,2)</f>
        <v>37403.46</v>
      </c>
      <c r="V440" s="79">
        <f>ROUND('[6]2039'!V52,2)</f>
        <v>38769.949999999997</v>
      </c>
      <c r="W440" s="79">
        <f>ROUND('[6]2039'!W52,2)</f>
        <v>42433.41</v>
      </c>
      <c r="X440" s="79">
        <f>ROUND('[6]2039'!X52,2)</f>
        <v>41649.68</v>
      </c>
      <c r="Y440" s="79">
        <f>ROUND('[6]2039'!Y52,2)</f>
        <v>40042.400000000001</v>
      </c>
      <c r="Z440" s="79">
        <f>ROUND('[6]2039'!Z52,2)</f>
        <v>38021.01</v>
      </c>
      <c r="AA440" s="79">
        <f>ROUND('[6]2039'!AA52,2)</f>
        <v>35599.19</v>
      </c>
      <c r="AB440" s="79">
        <f>ROUND('[6]2039'!AB52,2)</f>
        <v>33041.69</v>
      </c>
      <c r="AC440" s="210"/>
      <c r="AD440" s="185"/>
    </row>
    <row r="441" spans="2:30" s="186" customFormat="1" ht="18.649999999999999" customHeight="1" x14ac:dyDescent="0.35">
      <c r="B441" s="212" t="s">
        <v>34</v>
      </c>
      <c r="C441" s="9" t="s">
        <v>31</v>
      </c>
      <c r="D441" s="10">
        <f>+'[6]2039'!D53</f>
        <v>5</v>
      </c>
      <c r="E441" s="79">
        <f>ROUND('[6]2039'!E53,2)</f>
        <v>30694.23</v>
      </c>
      <c r="F441" s="79">
        <f>ROUND('[6]2039'!F53,2)</f>
        <v>29083.78</v>
      </c>
      <c r="G441" s="79">
        <f>ROUND('[6]2039'!G53,2)</f>
        <v>27804.87</v>
      </c>
      <c r="H441" s="79">
        <f>ROUND('[6]2039'!H53,2)</f>
        <v>27013.43</v>
      </c>
      <c r="I441" s="79">
        <f>ROUND('[6]2039'!I53,2)</f>
        <v>26657.93</v>
      </c>
      <c r="J441" s="79">
        <f>ROUND('[6]2039'!J53,2)</f>
        <v>26086.36</v>
      </c>
      <c r="K441" s="79">
        <f>ROUND('[6]2039'!K53,2)</f>
        <v>25389.32</v>
      </c>
      <c r="L441" s="79">
        <f>ROUND('[6]2039'!L53,2)</f>
        <v>26895.200000000001</v>
      </c>
      <c r="M441" s="79">
        <f>ROUND('[6]2039'!M53,2)</f>
        <v>28850.98</v>
      </c>
      <c r="N441" s="79">
        <f>ROUND('[6]2039'!N53,2)</f>
        <v>30413.94</v>
      </c>
      <c r="O441" s="79">
        <f>ROUND('[6]2039'!O53,2)</f>
        <v>31912.68</v>
      </c>
      <c r="P441" s="79">
        <f>ROUND('[6]2039'!P53,2)</f>
        <v>33111.120000000003</v>
      </c>
      <c r="Q441" s="79">
        <f>ROUND('[6]2039'!Q53,2)</f>
        <v>33708.769999999997</v>
      </c>
      <c r="R441" s="79">
        <f>ROUND('[6]2039'!R53,2)</f>
        <v>33772.85</v>
      </c>
      <c r="S441" s="79">
        <f>ROUND('[6]2039'!S53,2)</f>
        <v>33982.53</v>
      </c>
      <c r="T441" s="79">
        <f>ROUND('[6]2039'!T53,2)</f>
        <v>33945.14</v>
      </c>
      <c r="U441" s="79">
        <f>ROUND('[6]2039'!U53,2)</f>
        <v>34198.480000000003</v>
      </c>
      <c r="V441" s="79">
        <f>ROUND('[6]2039'!V53,2)</f>
        <v>35874.15</v>
      </c>
      <c r="W441" s="79">
        <f>ROUND('[6]2039'!W53,2)</f>
        <v>40227.370000000003</v>
      </c>
      <c r="X441" s="79">
        <f>ROUND('[6]2039'!X53,2)</f>
        <v>40493.39</v>
      </c>
      <c r="Y441" s="79">
        <f>ROUND('[6]2039'!Y53,2)</f>
        <v>39864.050000000003</v>
      </c>
      <c r="Z441" s="79">
        <f>ROUND('[6]2039'!Z53,2)</f>
        <v>38282.870000000003</v>
      </c>
      <c r="AA441" s="79">
        <f>ROUND('[6]2039'!AA53,2)</f>
        <v>35412.76</v>
      </c>
      <c r="AB441" s="79">
        <f>ROUND('[6]2039'!AB53,2)</f>
        <v>32510.77</v>
      </c>
      <c r="AC441" s="210"/>
      <c r="AD441" s="185"/>
    </row>
    <row r="442" spans="2:30" s="186" customFormat="1" ht="18.649999999999999" customHeight="1" thickBot="1" x14ac:dyDescent="0.4">
      <c r="B442" s="213" t="s">
        <v>34</v>
      </c>
      <c r="C442" s="11" t="s">
        <v>32</v>
      </c>
      <c r="D442" s="12">
        <f>+'[6]2039'!D54</f>
        <v>1</v>
      </c>
      <c r="E442" s="76">
        <f>ROUND('[6]2039'!E54,2)</f>
        <v>30694.23</v>
      </c>
      <c r="F442" s="76">
        <f>ROUND('[6]2039'!F54,2)</f>
        <v>29083.78</v>
      </c>
      <c r="G442" s="76">
        <f>ROUND('[6]2039'!G54,2)</f>
        <v>27804.87</v>
      </c>
      <c r="H442" s="76">
        <f>ROUND('[6]2039'!H54,2)</f>
        <v>27013.43</v>
      </c>
      <c r="I442" s="76">
        <f>ROUND('[6]2039'!I54,2)</f>
        <v>26657.93</v>
      </c>
      <c r="J442" s="76">
        <f>ROUND('[6]2039'!J54,2)</f>
        <v>26086.36</v>
      </c>
      <c r="K442" s="76">
        <f>ROUND('[6]2039'!K54,2)</f>
        <v>25389.32</v>
      </c>
      <c r="L442" s="76">
        <f>ROUND('[6]2039'!L54,2)</f>
        <v>26895.200000000001</v>
      </c>
      <c r="M442" s="76">
        <f>ROUND('[6]2039'!M54,2)</f>
        <v>28850.98</v>
      </c>
      <c r="N442" s="76">
        <f>ROUND('[6]2039'!N54,2)</f>
        <v>30413.94</v>
      </c>
      <c r="O442" s="76">
        <f>ROUND('[6]2039'!O54,2)</f>
        <v>31912.68</v>
      </c>
      <c r="P442" s="76">
        <f>ROUND('[6]2039'!P54,2)</f>
        <v>33111.120000000003</v>
      </c>
      <c r="Q442" s="76">
        <f>ROUND('[6]2039'!Q54,2)</f>
        <v>33708.769999999997</v>
      </c>
      <c r="R442" s="76">
        <f>ROUND('[6]2039'!R54,2)</f>
        <v>33772.85</v>
      </c>
      <c r="S442" s="76">
        <f>ROUND('[6]2039'!S54,2)</f>
        <v>33982.53</v>
      </c>
      <c r="T442" s="76">
        <f>ROUND('[6]2039'!T54,2)</f>
        <v>33945.14</v>
      </c>
      <c r="U442" s="76">
        <f>ROUND('[6]2039'!U54,2)</f>
        <v>34198.480000000003</v>
      </c>
      <c r="V442" s="76">
        <f>ROUND('[6]2039'!V54,2)</f>
        <v>35874.15</v>
      </c>
      <c r="W442" s="76">
        <f>ROUND('[6]2039'!W54,2)</f>
        <v>40227.370000000003</v>
      </c>
      <c r="X442" s="76">
        <f>ROUND('[6]2039'!X54,2)</f>
        <v>40493.39</v>
      </c>
      <c r="Y442" s="76">
        <f>ROUND('[6]2039'!Y54,2)</f>
        <v>39864.050000000003</v>
      </c>
      <c r="Z442" s="76">
        <f>ROUND('[6]2039'!Z54,2)</f>
        <v>38282.870000000003</v>
      </c>
      <c r="AA442" s="76">
        <f>ROUND('[6]2039'!AA54,2)</f>
        <v>35412.76</v>
      </c>
      <c r="AB442" s="76">
        <f>ROUND('[6]2039'!AB54,2)</f>
        <v>32510.77</v>
      </c>
      <c r="AC442" s="214"/>
      <c r="AD442" s="185"/>
    </row>
    <row r="443" spans="2:30" s="186" customFormat="1" ht="18.649999999999999" customHeight="1" x14ac:dyDescent="0.35">
      <c r="B443" s="207">
        <v>51075</v>
      </c>
      <c r="C443" s="13" t="s">
        <v>29</v>
      </c>
      <c r="D443" s="14">
        <f>+'[6]2039'!D55</f>
        <v>20</v>
      </c>
      <c r="E443" s="81">
        <f>ROUND('[6]2039'!E55,2)</f>
        <v>29887.71</v>
      </c>
      <c r="F443" s="81">
        <f>ROUND('[6]2039'!F55,2)</f>
        <v>28351.96</v>
      </c>
      <c r="G443" s="81">
        <f>ROUND('[6]2039'!G55,2)</f>
        <v>27233.64</v>
      </c>
      <c r="H443" s="81">
        <f>ROUND('[6]2039'!H55,2)</f>
        <v>26476.13</v>
      </c>
      <c r="I443" s="81">
        <f>ROUND('[6]2039'!I55,2)</f>
        <v>26550.82</v>
      </c>
      <c r="J443" s="81">
        <f>ROUND('[6]2039'!J55,2)</f>
        <v>27339.21</v>
      </c>
      <c r="K443" s="81">
        <f>ROUND('[6]2039'!K55,2)</f>
        <v>28059.1</v>
      </c>
      <c r="L443" s="81">
        <f>ROUND('[6]2039'!L55,2)</f>
        <v>31396.67</v>
      </c>
      <c r="M443" s="81">
        <f>ROUND('[6]2039'!M55,2)</f>
        <v>34831.71</v>
      </c>
      <c r="N443" s="81">
        <f>ROUND('[6]2039'!N55,2)</f>
        <v>36535.699999999997</v>
      </c>
      <c r="O443" s="81">
        <f>ROUND('[6]2039'!O55,2)</f>
        <v>38314.050000000003</v>
      </c>
      <c r="P443" s="81">
        <f>ROUND('[6]2039'!P55,2)</f>
        <v>39567.440000000002</v>
      </c>
      <c r="Q443" s="81">
        <f>ROUND('[6]2039'!Q55,2)</f>
        <v>37944.980000000003</v>
      </c>
      <c r="R443" s="81">
        <f>ROUND('[6]2039'!R55,2)</f>
        <v>38799.11</v>
      </c>
      <c r="S443" s="81">
        <f>ROUND('[6]2039'!S55,2)</f>
        <v>40734.239999999998</v>
      </c>
      <c r="T443" s="81">
        <f>ROUND('[6]2039'!T55,2)</f>
        <v>41232.18</v>
      </c>
      <c r="U443" s="81">
        <f>ROUND('[6]2039'!U55,2)</f>
        <v>40829.57</v>
      </c>
      <c r="V443" s="81">
        <f>ROUND('[6]2039'!V55,2)</f>
        <v>41362.97</v>
      </c>
      <c r="W443" s="81">
        <f>ROUND('[6]2039'!W55,2)</f>
        <v>43387.9</v>
      </c>
      <c r="X443" s="81">
        <f>ROUND('[6]2039'!X55,2)</f>
        <v>42383</v>
      </c>
      <c r="Y443" s="81">
        <f>ROUND('[6]2039'!Y55,2)</f>
        <v>40880.58</v>
      </c>
      <c r="Z443" s="81">
        <f>ROUND('[6]2039'!Z55,2)</f>
        <v>38703.67</v>
      </c>
      <c r="AA443" s="81">
        <f>ROUND('[6]2039'!AA55,2)</f>
        <v>35519.199999999997</v>
      </c>
      <c r="AB443" s="81">
        <f>ROUND('[6]2039'!AB55,2)</f>
        <v>32375.74</v>
      </c>
      <c r="AC443" s="210">
        <f>SUM(E443:AB443)*D443+SUM(E444:AB444)*D444+SUM(E445:AB445)*D445+SUM(E446:AB446)*D446</f>
        <v>24741146.239999995</v>
      </c>
      <c r="AD443" s="185"/>
    </row>
    <row r="444" spans="2:30" s="186" customFormat="1" ht="18.649999999999999" customHeight="1" x14ac:dyDescent="0.35">
      <c r="B444" s="208"/>
      <c r="C444" s="9" t="s">
        <v>30</v>
      </c>
      <c r="D444" s="10">
        <f>+'[6]2039'!D56</f>
        <v>4</v>
      </c>
      <c r="E444" s="79">
        <f>ROUND('[6]2039'!E56,2)</f>
        <v>29174.74</v>
      </c>
      <c r="F444" s="79">
        <f>ROUND('[6]2039'!F56,2)</f>
        <v>27746.33</v>
      </c>
      <c r="G444" s="79">
        <f>ROUND('[6]2039'!G56,2)</f>
        <v>26743.89</v>
      </c>
      <c r="H444" s="79">
        <f>ROUND('[6]2039'!H56,2)</f>
        <v>26088.33</v>
      </c>
      <c r="I444" s="79">
        <f>ROUND('[6]2039'!I56,2)</f>
        <v>26072.71</v>
      </c>
      <c r="J444" s="79">
        <f>ROUND('[6]2039'!J56,2)</f>
        <v>26008.36</v>
      </c>
      <c r="K444" s="79">
        <f>ROUND('[6]2039'!K56,2)</f>
        <v>26396.83</v>
      </c>
      <c r="L444" s="79">
        <f>ROUND('[6]2039'!L56,2)</f>
        <v>29438.23</v>
      </c>
      <c r="M444" s="79">
        <f>ROUND('[6]2039'!M56,2)</f>
        <v>32858.65</v>
      </c>
      <c r="N444" s="79">
        <f>ROUND('[6]2039'!N56,2)</f>
        <v>34751.54</v>
      </c>
      <c r="O444" s="79">
        <f>ROUND('[6]2039'!O56,2)</f>
        <v>36722.85</v>
      </c>
      <c r="P444" s="79">
        <f>ROUND('[6]2039'!P56,2)</f>
        <v>37553.42</v>
      </c>
      <c r="Q444" s="79">
        <f>ROUND('[6]2039'!Q56,2)</f>
        <v>36877.78</v>
      </c>
      <c r="R444" s="79">
        <f>ROUND('[6]2039'!R56,2)</f>
        <v>36113.160000000003</v>
      </c>
      <c r="S444" s="79">
        <f>ROUND('[6]2039'!S56,2)</f>
        <v>35870.94</v>
      </c>
      <c r="T444" s="79">
        <f>ROUND('[6]2039'!T56,2)</f>
        <v>36159.01</v>
      </c>
      <c r="U444" s="79">
        <f>ROUND('[6]2039'!U56,2)</f>
        <v>35979.769999999997</v>
      </c>
      <c r="V444" s="79">
        <f>ROUND('[6]2039'!V56,2)</f>
        <v>37981.730000000003</v>
      </c>
      <c r="W444" s="79">
        <f>ROUND('[6]2039'!W56,2)</f>
        <v>41113.949999999997</v>
      </c>
      <c r="X444" s="79">
        <f>ROUND('[6]2039'!X56,2)</f>
        <v>40419.15</v>
      </c>
      <c r="Y444" s="79">
        <f>ROUND('[6]2039'!Y56,2)</f>
        <v>38966.03</v>
      </c>
      <c r="Z444" s="79">
        <f>ROUND('[6]2039'!Z56,2)</f>
        <v>37163.230000000003</v>
      </c>
      <c r="AA444" s="79">
        <f>ROUND('[6]2039'!AA56,2)</f>
        <v>34885.4</v>
      </c>
      <c r="AB444" s="79">
        <f>ROUND('[6]2039'!AB56,2)</f>
        <v>32322.639999999999</v>
      </c>
      <c r="AC444" s="210"/>
      <c r="AD444" s="185"/>
    </row>
    <row r="445" spans="2:30" s="186" customFormat="1" ht="18.649999999999999" customHeight="1" x14ac:dyDescent="0.35">
      <c r="B445" s="208"/>
      <c r="C445" s="9" t="s">
        <v>31</v>
      </c>
      <c r="D445" s="10">
        <f>+'[6]2039'!D57</f>
        <v>4</v>
      </c>
      <c r="E445" s="79">
        <f>ROUND('[6]2039'!E57,2)</f>
        <v>30238.09</v>
      </c>
      <c r="F445" s="79">
        <f>ROUND('[6]2039'!F57,2)</f>
        <v>28803.54</v>
      </c>
      <c r="G445" s="79">
        <f>ROUND('[6]2039'!G57,2)</f>
        <v>27561.34</v>
      </c>
      <c r="H445" s="79">
        <f>ROUND('[6]2039'!H57,2)</f>
        <v>26724.12</v>
      </c>
      <c r="I445" s="79">
        <f>ROUND('[6]2039'!I57,2)</f>
        <v>26384.77</v>
      </c>
      <c r="J445" s="79">
        <f>ROUND('[6]2039'!J57,2)</f>
        <v>25940.21</v>
      </c>
      <c r="K445" s="79">
        <f>ROUND('[6]2039'!K57,2)</f>
        <v>25300.01</v>
      </c>
      <c r="L445" s="79">
        <f>ROUND('[6]2039'!L57,2)</f>
        <v>26692.51</v>
      </c>
      <c r="M445" s="79">
        <f>ROUND('[6]2039'!M57,2)</f>
        <v>28601.55</v>
      </c>
      <c r="N445" s="79">
        <f>ROUND('[6]2039'!N57,2)</f>
        <v>30170.42</v>
      </c>
      <c r="O445" s="79">
        <f>ROUND('[6]2039'!O57,2)</f>
        <v>31679.94</v>
      </c>
      <c r="P445" s="79">
        <f>ROUND('[6]2039'!P57,2)</f>
        <v>32477.34</v>
      </c>
      <c r="Q445" s="79">
        <f>ROUND('[6]2039'!Q57,2)</f>
        <v>33069</v>
      </c>
      <c r="R445" s="79">
        <f>ROUND('[6]2039'!R57,2)</f>
        <v>33037.83</v>
      </c>
      <c r="S445" s="79">
        <f>ROUND('[6]2039'!S57,2)</f>
        <v>32942.879999999997</v>
      </c>
      <c r="T445" s="79">
        <f>ROUND('[6]2039'!T57,2)</f>
        <v>33093.06</v>
      </c>
      <c r="U445" s="79">
        <f>ROUND('[6]2039'!U57,2)</f>
        <v>33131.53</v>
      </c>
      <c r="V445" s="79">
        <f>ROUND('[6]2039'!V57,2)</f>
        <v>35372.51</v>
      </c>
      <c r="W445" s="79">
        <f>ROUND('[6]2039'!W57,2)</f>
        <v>38744.089999999997</v>
      </c>
      <c r="X445" s="79">
        <f>ROUND('[6]2039'!X57,2)</f>
        <v>38800.78</v>
      </c>
      <c r="Y445" s="79">
        <f>ROUND('[6]2039'!Y57,2)</f>
        <v>37945.18</v>
      </c>
      <c r="Z445" s="79">
        <f>ROUND('[6]2039'!Z57,2)</f>
        <v>36453.65</v>
      </c>
      <c r="AA445" s="79">
        <f>ROUND('[6]2039'!AA57,2)</f>
        <v>34117.279999999999</v>
      </c>
      <c r="AB445" s="79">
        <f>ROUND('[6]2039'!AB57,2)</f>
        <v>31646.03</v>
      </c>
      <c r="AC445" s="210"/>
      <c r="AD445" s="185"/>
    </row>
    <row r="446" spans="2:30" s="186" customFormat="1" ht="18.649999999999999" customHeight="1" thickBot="1" x14ac:dyDescent="0.4">
      <c r="B446" s="208"/>
      <c r="C446" s="15" t="s">
        <v>32</v>
      </c>
      <c r="D446" s="16">
        <f>+'[6]2039'!D58</f>
        <v>2</v>
      </c>
      <c r="E446" s="80">
        <f>ROUND('[6]2039'!E58,2)</f>
        <v>30238.09</v>
      </c>
      <c r="F446" s="80">
        <f>ROUND('[6]2039'!F58,2)</f>
        <v>28803.54</v>
      </c>
      <c r="G446" s="80">
        <f>ROUND('[6]2039'!G58,2)</f>
        <v>27561.34</v>
      </c>
      <c r="H446" s="80">
        <f>ROUND('[6]2039'!H58,2)</f>
        <v>26724.12</v>
      </c>
      <c r="I446" s="80">
        <f>ROUND('[6]2039'!I58,2)</f>
        <v>26384.77</v>
      </c>
      <c r="J446" s="80">
        <f>ROUND('[6]2039'!J58,2)</f>
        <v>25940.21</v>
      </c>
      <c r="K446" s="80">
        <f>ROUND('[6]2039'!K58,2)</f>
        <v>25300.01</v>
      </c>
      <c r="L446" s="80">
        <f>ROUND('[6]2039'!L58,2)</f>
        <v>26692.51</v>
      </c>
      <c r="M446" s="80">
        <f>ROUND('[6]2039'!M58,2)</f>
        <v>28601.55</v>
      </c>
      <c r="N446" s="80">
        <f>ROUND('[6]2039'!N58,2)</f>
        <v>30170.42</v>
      </c>
      <c r="O446" s="80">
        <f>ROUND('[6]2039'!O58,2)</f>
        <v>31679.94</v>
      </c>
      <c r="P446" s="80">
        <f>ROUND('[6]2039'!P58,2)</f>
        <v>32477.34</v>
      </c>
      <c r="Q446" s="80">
        <f>ROUND('[6]2039'!Q58,2)</f>
        <v>33069</v>
      </c>
      <c r="R446" s="80">
        <f>ROUND('[6]2039'!R58,2)</f>
        <v>33037.83</v>
      </c>
      <c r="S446" s="80">
        <f>ROUND('[6]2039'!S58,2)</f>
        <v>32942.879999999997</v>
      </c>
      <c r="T446" s="80">
        <f>ROUND('[6]2039'!T58,2)</f>
        <v>33093.06</v>
      </c>
      <c r="U446" s="80">
        <f>ROUND('[6]2039'!U58,2)</f>
        <v>33131.53</v>
      </c>
      <c r="V446" s="80">
        <f>ROUND('[6]2039'!V58,2)</f>
        <v>35372.51</v>
      </c>
      <c r="W446" s="80">
        <f>ROUND('[6]2039'!W58,2)</f>
        <v>38744.089999999997</v>
      </c>
      <c r="X446" s="80">
        <f>ROUND('[6]2039'!X58,2)</f>
        <v>38800.78</v>
      </c>
      <c r="Y446" s="80">
        <f>ROUND('[6]2039'!Y58,2)</f>
        <v>37945.18</v>
      </c>
      <c r="Z446" s="80">
        <f>ROUND('[6]2039'!Z58,2)</f>
        <v>36453.65</v>
      </c>
      <c r="AA446" s="80">
        <f>ROUND('[6]2039'!AA58,2)</f>
        <v>34117.279999999999</v>
      </c>
      <c r="AB446" s="80">
        <f>ROUND('[6]2039'!AB58,2)</f>
        <v>31646.03</v>
      </c>
      <c r="AC446" s="210"/>
      <c r="AD446" s="185"/>
    </row>
    <row r="447" spans="2:30" s="186" customFormat="1" ht="18.649999999999999" customHeight="1" x14ac:dyDescent="0.35">
      <c r="B447" s="211">
        <v>51105</v>
      </c>
      <c r="C447" s="6" t="s">
        <v>29</v>
      </c>
      <c r="D447" s="7">
        <f>+'[6]2039'!D59</f>
        <v>21</v>
      </c>
      <c r="E447" s="78">
        <f>ROUND('[6]2039'!E59,2)</f>
        <v>31834.38</v>
      </c>
      <c r="F447" s="78">
        <f>ROUND('[6]2039'!F59,2)</f>
        <v>30083.52</v>
      </c>
      <c r="G447" s="78">
        <f>ROUND('[6]2039'!G59,2)</f>
        <v>28833.09</v>
      </c>
      <c r="H447" s="78">
        <f>ROUND('[6]2039'!H59,2)</f>
        <v>28058.240000000002</v>
      </c>
      <c r="I447" s="78">
        <f>ROUND('[6]2039'!I59,2)</f>
        <v>27958.59</v>
      </c>
      <c r="J447" s="78">
        <f>ROUND('[6]2039'!J59,2)</f>
        <v>28458.03</v>
      </c>
      <c r="K447" s="78">
        <f>ROUND('[6]2039'!K59,2)</f>
        <v>28657.06</v>
      </c>
      <c r="L447" s="78">
        <f>ROUND('[6]2039'!L59,2)</f>
        <v>32111.1</v>
      </c>
      <c r="M447" s="78">
        <f>ROUND('[6]2039'!M59,2)</f>
        <v>35619.040000000001</v>
      </c>
      <c r="N447" s="78">
        <f>ROUND('[6]2039'!N59,2)</f>
        <v>37627.67</v>
      </c>
      <c r="O447" s="78">
        <f>ROUND('[6]2039'!O59,2)</f>
        <v>39395.56</v>
      </c>
      <c r="P447" s="78">
        <f>ROUND('[6]2039'!P59,2)</f>
        <v>40674.79</v>
      </c>
      <c r="Q447" s="78">
        <f>ROUND('[6]2039'!Q59,2)</f>
        <v>39554.839999999997</v>
      </c>
      <c r="R447" s="78">
        <f>ROUND('[6]2039'!R59,2)</f>
        <v>40061.72</v>
      </c>
      <c r="S447" s="78">
        <f>ROUND('[6]2039'!S59,2)</f>
        <v>41755.589999999997</v>
      </c>
      <c r="T447" s="78">
        <f>ROUND('[6]2039'!T59,2)</f>
        <v>42276.82</v>
      </c>
      <c r="U447" s="78">
        <f>ROUND('[6]2039'!U59,2)</f>
        <v>41928.129999999997</v>
      </c>
      <c r="V447" s="78">
        <f>ROUND('[6]2039'!V59,2)</f>
        <v>41970.7</v>
      </c>
      <c r="W447" s="78">
        <f>ROUND('[6]2039'!W59,2)</f>
        <v>45205.02</v>
      </c>
      <c r="X447" s="78">
        <f>ROUND('[6]2039'!X59,2)</f>
        <v>44335.22</v>
      </c>
      <c r="Y447" s="78">
        <f>ROUND('[6]2039'!Y59,2)</f>
        <v>42712.480000000003</v>
      </c>
      <c r="Z447" s="78">
        <f>ROUND('[6]2039'!Z59,2)</f>
        <v>40399.07</v>
      </c>
      <c r="AA447" s="78">
        <f>ROUND('[6]2039'!AA59,2)</f>
        <v>37430.269999999997</v>
      </c>
      <c r="AB447" s="78">
        <f>ROUND('[6]2039'!AB59,2)</f>
        <v>34541.46</v>
      </c>
      <c r="AC447" s="209">
        <f>SUM(E447:AB447)*D447+SUM(E448:AB448)*D448+SUM(E449:AB449)*D449+SUM(E450:AB450)*D450</f>
        <v>26817066.239999995</v>
      </c>
      <c r="AD447" s="185"/>
    </row>
    <row r="448" spans="2:30" s="186" customFormat="1" ht="18.649999999999999" customHeight="1" x14ac:dyDescent="0.35">
      <c r="B448" s="212" t="s">
        <v>34</v>
      </c>
      <c r="C448" s="9" t="s">
        <v>30</v>
      </c>
      <c r="D448" s="10">
        <f>+'[6]2039'!D60</f>
        <v>5</v>
      </c>
      <c r="E448" s="79">
        <f>ROUND('[6]2039'!E60,2)</f>
        <v>32349.91</v>
      </c>
      <c r="F448" s="79">
        <f>ROUND('[6]2039'!F60,2)</f>
        <v>30518.46</v>
      </c>
      <c r="G448" s="79">
        <f>ROUND('[6]2039'!G60,2)</f>
        <v>29311.98</v>
      </c>
      <c r="H448" s="79">
        <f>ROUND('[6]2039'!H60,2)</f>
        <v>28427.4</v>
      </c>
      <c r="I448" s="79">
        <f>ROUND('[6]2039'!I60,2)</f>
        <v>28182.89</v>
      </c>
      <c r="J448" s="79">
        <f>ROUND('[6]2039'!J60,2)</f>
        <v>28232.05</v>
      </c>
      <c r="K448" s="79">
        <f>ROUND('[6]2039'!K60,2)</f>
        <v>27951.62</v>
      </c>
      <c r="L448" s="79">
        <f>ROUND('[6]2039'!L60,2)</f>
        <v>30518.1</v>
      </c>
      <c r="M448" s="79">
        <f>ROUND('[6]2039'!M60,2)</f>
        <v>34232.89</v>
      </c>
      <c r="N448" s="79">
        <f>ROUND('[6]2039'!N60,2)</f>
        <v>36411.410000000003</v>
      </c>
      <c r="O448" s="79">
        <f>ROUND('[6]2039'!O60,2)</f>
        <v>38246.199999999997</v>
      </c>
      <c r="P448" s="79">
        <f>ROUND('[6]2039'!P60,2)</f>
        <v>39366.04</v>
      </c>
      <c r="Q448" s="79">
        <f>ROUND('[6]2039'!Q60,2)</f>
        <v>38728.449999999997</v>
      </c>
      <c r="R448" s="79">
        <f>ROUND('[6]2039'!R60,2)</f>
        <v>38448.400000000001</v>
      </c>
      <c r="S448" s="79">
        <f>ROUND('[6]2039'!S60,2)</f>
        <v>38287.230000000003</v>
      </c>
      <c r="T448" s="79">
        <f>ROUND('[6]2039'!T60,2)</f>
        <v>38698.31</v>
      </c>
      <c r="U448" s="79">
        <f>ROUND('[6]2039'!U60,2)</f>
        <v>38578.089999999997</v>
      </c>
      <c r="V448" s="79">
        <f>ROUND('[6]2039'!V60,2)</f>
        <v>39431.11</v>
      </c>
      <c r="W448" s="79">
        <f>ROUND('[6]2039'!W60,2)</f>
        <v>43798.99</v>
      </c>
      <c r="X448" s="79">
        <f>ROUND('[6]2039'!X60,2)</f>
        <v>43177.71</v>
      </c>
      <c r="Y448" s="79">
        <f>ROUND('[6]2039'!Y60,2)</f>
        <v>41552.1</v>
      </c>
      <c r="Z448" s="79">
        <f>ROUND('[6]2039'!Z60,2)</f>
        <v>39778.559999999998</v>
      </c>
      <c r="AA448" s="79">
        <f>ROUND('[6]2039'!AA60,2)</f>
        <v>37319.57</v>
      </c>
      <c r="AB448" s="79">
        <f>ROUND('[6]2039'!AB60,2)</f>
        <v>34786.29</v>
      </c>
      <c r="AC448" s="210"/>
      <c r="AD448" s="185"/>
    </row>
    <row r="449" spans="2:50" s="186" customFormat="1" ht="18.649999999999999" customHeight="1" x14ac:dyDescent="0.35">
      <c r="B449" s="212" t="s">
        <v>34</v>
      </c>
      <c r="C449" s="9" t="s">
        <v>31</v>
      </c>
      <c r="D449" s="10">
        <f>+'[6]2039'!D61</f>
        <v>3</v>
      </c>
      <c r="E449" s="79">
        <f>ROUND('[6]2039'!E61,2)</f>
        <v>32554.13</v>
      </c>
      <c r="F449" s="79">
        <f>ROUND('[6]2039'!F61,2)</f>
        <v>30954.09</v>
      </c>
      <c r="G449" s="79">
        <f>ROUND('[6]2039'!G61,2)</f>
        <v>29665.4</v>
      </c>
      <c r="H449" s="79">
        <f>ROUND('[6]2039'!H61,2)</f>
        <v>28757.87</v>
      </c>
      <c r="I449" s="79">
        <f>ROUND('[6]2039'!I61,2)</f>
        <v>28348.46</v>
      </c>
      <c r="J449" s="79">
        <f>ROUND('[6]2039'!J61,2)</f>
        <v>28062.39</v>
      </c>
      <c r="K449" s="79">
        <f>ROUND('[6]2039'!K61,2)</f>
        <v>26812.06</v>
      </c>
      <c r="L449" s="79">
        <f>ROUND('[6]2039'!L61,2)</f>
        <v>28164.54</v>
      </c>
      <c r="M449" s="79">
        <f>ROUND('[6]2039'!M61,2)</f>
        <v>30314.400000000001</v>
      </c>
      <c r="N449" s="79">
        <f>ROUND('[6]2039'!N61,2)</f>
        <v>32160.04</v>
      </c>
      <c r="O449" s="79">
        <f>ROUND('[6]2039'!O61,2)</f>
        <v>33374.18</v>
      </c>
      <c r="P449" s="79">
        <f>ROUND('[6]2039'!P61,2)</f>
        <v>34368.400000000001</v>
      </c>
      <c r="Q449" s="79">
        <f>ROUND('[6]2039'!Q61,2)</f>
        <v>34959.64</v>
      </c>
      <c r="R449" s="79">
        <f>ROUND('[6]2039'!R61,2)</f>
        <v>35288.879999999997</v>
      </c>
      <c r="S449" s="79">
        <f>ROUND('[6]2039'!S61,2)</f>
        <v>34291.47</v>
      </c>
      <c r="T449" s="79">
        <f>ROUND('[6]2039'!T61,2)</f>
        <v>35229.33</v>
      </c>
      <c r="U449" s="79">
        <f>ROUND('[6]2039'!U61,2)</f>
        <v>35438.75</v>
      </c>
      <c r="V449" s="79">
        <f>ROUND('[6]2039'!V61,2)</f>
        <v>36621.96</v>
      </c>
      <c r="W449" s="79">
        <f>ROUND('[6]2039'!W61,2)</f>
        <v>41064.1</v>
      </c>
      <c r="X449" s="79">
        <f>ROUND('[6]2039'!X61,2)</f>
        <v>40737.39</v>
      </c>
      <c r="Y449" s="79">
        <f>ROUND('[6]2039'!Y61,2)</f>
        <v>39674.25</v>
      </c>
      <c r="Z449" s="79">
        <f>ROUND('[6]2039'!Z61,2)</f>
        <v>38217.71</v>
      </c>
      <c r="AA449" s="79">
        <f>ROUND('[6]2039'!AA61,2)</f>
        <v>36014.269999999997</v>
      </c>
      <c r="AB449" s="79">
        <f>ROUND('[6]2039'!AB61,2)</f>
        <v>33779.74</v>
      </c>
      <c r="AC449" s="210"/>
      <c r="AD449" s="185"/>
    </row>
    <row r="450" spans="2:50" s="186" customFormat="1" ht="18.649999999999999" customHeight="1" thickBot="1" x14ac:dyDescent="0.4">
      <c r="B450" s="213" t="s">
        <v>34</v>
      </c>
      <c r="C450" s="11" t="s">
        <v>32</v>
      </c>
      <c r="D450" s="12">
        <f>+'[6]2039'!D62</f>
        <v>2</v>
      </c>
      <c r="E450" s="76">
        <f>ROUND('[6]2039'!E62,2)</f>
        <v>32554.13</v>
      </c>
      <c r="F450" s="76">
        <f>ROUND('[6]2039'!F62,2)</f>
        <v>30954.09</v>
      </c>
      <c r="G450" s="76">
        <f>ROUND('[6]2039'!G62,2)</f>
        <v>29665.4</v>
      </c>
      <c r="H450" s="76">
        <f>ROUND('[6]2039'!H62,2)</f>
        <v>28757.87</v>
      </c>
      <c r="I450" s="76">
        <f>ROUND('[6]2039'!I62,2)</f>
        <v>28348.46</v>
      </c>
      <c r="J450" s="76">
        <f>ROUND('[6]2039'!J62,2)</f>
        <v>28062.39</v>
      </c>
      <c r="K450" s="76">
        <f>ROUND('[6]2039'!K62,2)</f>
        <v>26812.06</v>
      </c>
      <c r="L450" s="76">
        <f>ROUND('[6]2039'!L62,2)</f>
        <v>28164.54</v>
      </c>
      <c r="M450" s="76">
        <f>ROUND('[6]2039'!M62,2)</f>
        <v>30314.400000000001</v>
      </c>
      <c r="N450" s="76">
        <f>ROUND('[6]2039'!N62,2)</f>
        <v>32160.04</v>
      </c>
      <c r="O450" s="76">
        <f>ROUND('[6]2039'!O62,2)</f>
        <v>33374.18</v>
      </c>
      <c r="P450" s="76">
        <f>ROUND('[6]2039'!P62,2)</f>
        <v>34368.400000000001</v>
      </c>
      <c r="Q450" s="76">
        <f>ROUND('[6]2039'!Q62,2)</f>
        <v>34959.64</v>
      </c>
      <c r="R450" s="76">
        <f>ROUND('[6]2039'!R62,2)</f>
        <v>35288.879999999997</v>
      </c>
      <c r="S450" s="76">
        <f>ROUND('[6]2039'!S62,2)</f>
        <v>34291.47</v>
      </c>
      <c r="T450" s="76">
        <f>ROUND('[6]2039'!T62,2)</f>
        <v>35229.33</v>
      </c>
      <c r="U450" s="76">
        <f>ROUND('[6]2039'!U62,2)</f>
        <v>35438.75</v>
      </c>
      <c r="V450" s="76">
        <f>ROUND('[6]2039'!V62,2)</f>
        <v>36621.96</v>
      </c>
      <c r="W450" s="76">
        <f>ROUND('[6]2039'!W62,2)</f>
        <v>41064.1</v>
      </c>
      <c r="X450" s="76">
        <f>ROUND('[6]2039'!X62,2)</f>
        <v>40737.39</v>
      </c>
      <c r="Y450" s="76">
        <f>ROUND('[6]2039'!Y62,2)</f>
        <v>39674.25</v>
      </c>
      <c r="Z450" s="76">
        <f>ROUND('[6]2039'!Z62,2)</f>
        <v>38217.71</v>
      </c>
      <c r="AA450" s="76">
        <f>ROUND('[6]2039'!AA62,2)</f>
        <v>36014.269999999997</v>
      </c>
      <c r="AB450" s="76">
        <f>ROUND('[6]2039'!AB62,2)</f>
        <v>33779.74</v>
      </c>
      <c r="AC450" s="214"/>
      <c r="AD450" s="185"/>
    </row>
    <row r="451" spans="2:50" s="186" customFormat="1" ht="18.649999999999999" customHeight="1" thickBot="1" x14ac:dyDescent="0.4">
      <c r="E451" s="190"/>
      <c r="F451" s="189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89"/>
      <c r="V451" s="189"/>
      <c r="W451" s="189"/>
      <c r="X451" s="189"/>
      <c r="Y451" s="189"/>
      <c r="Z451" s="218" t="s">
        <v>33</v>
      </c>
      <c r="AA451" s="219"/>
      <c r="AB451" s="220"/>
      <c r="AC451" s="135">
        <f>SUM(AC403:AC450)</f>
        <v>317844278.96999997</v>
      </c>
      <c r="AD451" s="189"/>
      <c r="AE451" s="185"/>
    </row>
    <row r="452" spans="2:50" s="186" customFormat="1" ht="18.649999999999999" customHeight="1" x14ac:dyDescent="0.35">
      <c r="B452" s="207">
        <v>51136</v>
      </c>
      <c r="C452" s="6" t="s">
        <v>29</v>
      </c>
      <c r="D452" s="46">
        <f>+'[6]2040'!D15</f>
        <v>21</v>
      </c>
      <c r="E452" s="175">
        <f>ROUND('[6]2040'!E15,2)</f>
        <v>27806.94</v>
      </c>
      <c r="F452" s="175">
        <f>ROUND('[6]2040'!F15,2)</f>
        <v>26386.880000000001</v>
      </c>
      <c r="G452" s="175">
        <f>ROUND('[6]2040'!G15,2)</f>
        <v>25318.65</v>
      </c>
      <c r="H452" s="175">
        <f>ROUND('[6]2040'!H15,2)</f>
        <v>24543.279999999999</v>
      </c>
      <c r="I452" s="175">
        <f>ROUND('[6]2040'!I15,2)</f>
        <v>24408</v>
      </c>
      <c r="J452" s="175">
        <f>ROUND('[6]2040'!J15,2)</f>
        <v>25224.79</v>
      </c>
      <c r="K452" s="175">
        <f>ROUND('[6]2040'!K15,2)</f>
        <v>24997.08</v>
      </c>
      <c r="L452" s="175">
        <f>ROUND('[6]2040'!L15,2)</f>
        <v>27885.57</v>
      </c>
      <c r="M452" s="175">
        <f>ROUND('[6]2040'!M15,2)</f>
        <v>30955.95</v>
      </c>
      <c r="N452" s="175">
        <f>ROUND('[6]2040'!N15,2)</f>
        <v>32551.54</v>
      </c>
      <c r="O452" s="175">
        <f>ROUND('[6]2040'!O15,2)</f>
        <v>34278.89</v>
      </c>
      <c r="P452" s="175">
        <f>ROUND('[6]2040'!P15,2)</f>
        <v>35692.86</v>
      </c>
      <c r="Q452" s="175">
        <f>ROUND('[6]2040'!Q15,2)</f>
        <v>34715.550000000003</v>
      </c>
      <c r="R452" s="175">
        <f>ROUND('[6]2040'!R15,2)</f>
        <v>35671.360000000001</v>
      </c>
      <c r="S452" s="175">
        <f>ROUND('[6]2040'!S15,2)</f>
        <v>37326.07</v>
      </c>
      <c r="T452" s="175">
        <f>ROUND('[6]2040'!T15,2)</f>
        <v>37524.5</v>
      </c>
      <c r="U452" s="175">
        <f>ROUND('[6]2040'!U15,2)</f>
        <v>36903.919999999998</v>
      </c>
      <c r="V452" s="175">
        <f>ROUND('[6]2040'!V15,2)</f>
        <v>35544</v>
      </c>
      <c r="W452" s="175">
        <f>ROUND('[6]2040'!W15,2)</f>
        <v>38023.089999999997</v>
      </c>
      <c r="X452" s="175">
        <f>ROUND('[6]2040'!X15,2)</f>
        <v>38158.67</v>
      </c>
      <c r="Y452" s="175">
        <f>ROUND('[6]2040'!Y15,2)</f>
        <v>37156.33</v>
      </c>
      <c r="Z452" s="175">
        <f>ROUND('[6]2040'!Z15,2)</f>
        <v>35527.06</v>
      </c>
      <c r="AA452" s="175">
        <f>ROUND('[6]2040'!AA15,2)</f>
        <v>33008.36</v>
      </c>
      <c r="AB452" s="175">
        <f>ROUND('[6]2040'!AB15,2)</f>
        <v>30319.38</v>
      </c>
      <c r="AC452" s="209">
        <f>SUM(E452:AB452)*D452+SUM(E453:AB453)*D453+SUM(E454:AB454)*D454+SUM(E455:AB455)*D455</f>
        <v>23155251.359999999</v>
      </c>
      <c r="AD452" s="185"/>
      <c r="AE452" s="185"/>
      <c r="AF452" s="185"/>
      <c r="AG452" s="185"/>
      <c r="AH452" s="185"/>
      <c r="AI452" s="185"/>
      <c r="AJ452" s="185"/>
      <c r="AK452" s="185"/>
      <c r="AL452" s="185"/>
      <c r="AM452" s="185"/>
      <c r="AN452" s="185"/>
      <c r="AO452" s="185"/>
      <c r="AP452" s="185"/>
      <c r="AQ452" s="185"/>
      <c r="AR452" s="185"/>
      <c r="AS452" s="185"/>
      <c r="AT452" s="185"/>
      <c r="AU452" s="185"/>
      <c r="AV452" s="185"/>
      <c r="AW452" s="185"/>
      <c r="AX452" s="185"/>
    </row>
    <row r="453" spans="2:50" s="186" customFormat="1" ht="18.649999999999999" customHeight="1" x14ac:dyDescent="0.35">
      <c r="B453" s="208"/>
      <c r="C453" s="9" t="s">
        <v>30</v>
      </c>
      <c r="D453" s="10">
        <f>+'[6]2040'!D16</f>
        <v>4</v>
      </c>
      <c r="E453" s="177">
        <f>ROUND('[6]2040'!E16,2)</f>
        <v>27605.38</v>
      </c>
      <c r="F453" s="178">
        <f>ROUND('[6]2040'!F16,2)</f>
        <v>26279.54</v>
      </c>
      <c r="G453" s="178">
        <f>ROUND('[6]2040'!G16,2)</f>
        <v>25238.16</v>
      </c>
      <c r="H453" s="178">
        <f>ROUND('[6]2040'!H16,2)</f>
        <v>24442.84</v>
      </c>
      <c r="I453" s="178">
        <f>ROUND('[6]2040'!I16,2)</f>
        <v>24202.12</v>
      </c>
      <c r="J453" s="178">
        <f>ROUND('[6]2040'!J16,2)</f>
        <v>24395.72</v>
      </c>
      <c r="K453" s="178">
        <f>ROUND('[6]2040'!K16,2)</f>
        <v>23767</v>
      </c>
      <c r="L453" s="178">
        <f>ROUND('[6]2040'!L16,2)</f>
        <v>26115.15</v>
      </c>
      <c r="M453" s="178">
        <f>ROUND('[6]2040'!M16,2)</f>
        <v>29018.73</v>
      </c>
      <c r="N453" s="178">
        <f>ROUND('[6]2040'!N16,2)</f>
        <v>30941.78</v>
      </c>
      <c r="O453" s="178">
        <f>ROUND('[6]2040'!O16,2)</f>
        <v>32454.74</v>
      </c>
      <c r="P453" s="178">
        <f>ROUND('[6]2040'!P16,2)</f>
        <v>33273.449999999997</v>
      </c>
      <c r="Q453" s="178">
        <f>ROUND('[6]2040'!Q16,2)</f>
        <v>32982.519999999997</v>
      </c>
      <c r="R453" s="178">
        <f>ROUND('[6]2040'!R16,2)</f>
        <v>32284.18</v>
      </c>
      <c r="S453" s="178">
        <f>ROUND('[6]2040'!S16,2)</f>
        <v>32436.53</v>
      </c>
      <c r="T453" s="178">
        <f>ROUND('[6]2040'!T16,2)</f>
        <v>32549.040000000001</v>
      </c>
      <c r="U453" s="178">
        <f>ROUND('[6]2040'!U16,2)</f>
        <v>32226.49</v>
      </c>
      <c r="V453" s="178">
        <f>ROUND('[6]2040'!V16,2)</f>
        <v>32343.23</v>
      </c>
      <c r="W453" s="178">
        <f>ROUND('[6]2040'!W16,2)</f>
        <v>35928.32</v>
      </c>
      <c r="X453" s="178">
        <f>ROUND('[6]2040'!X16,2)</f>
        <v>36185.61</v>
      </c>
      <c r="Y453" s="178">
        <f>ROUND('[6]2040'!Y16,2)</f>
        <v>35109.99</v>
      </c>
      <c r="Z453" s="178">
        <f>ROUND('[6]2040'!Z16,2)</f>
        <v>33687.279999999999</v>
      </c>
      <c r="AA453" s="178">
        <f>ROUND('[6]2040'!AA16,2)</f>
        <v>31838.42</v>
      </c>
      <c r="AB453" s="178">
        <f>ROUND('[6]2040'!AB16,2)</f>
        <v>29788.11</v>
      </c>
      <c r="AC453" s="210"/>
      <c r="AD453" s="185"/>
      <c r="AE453" s="185"/>
      <c r="AF453" s="185"/>
      <c r="AG453" s="185"/>
      <c r="AH453" s="185"/>
      <c r="AI453" s="185"/>
      <c r="AJ453" s="185"/>
      <c r="AK453" s="185"/>
      <c r="AL453" s="185"/>
      <c r="AM453" s="185"/>
      <c r="AN453" s="185"/>
      <c r="AO453" s="185"/>
      <c r="AP453" s="185"/>
      <c r="AQ453" s="185"/>
      <c r="AR453" s="185"/>
      <c r="AS453" s="185"/>
      <c r="AT453" s="185"/>
      <c r="AU453" s="185"/>
      <c r="AV453" s="185"/>
      <c r="AW453" s="185"/>
      <c r="AX453" s="185"/>
    </row>
    <row r="454" spans="2:50" s="186" customFormat="1" ht="18.649999999999999" customHeight="1" x14ac:dyDescent="0.35">
      <c r="B454" s="208"/>
      <c r="C454" s="9" t="s">
        <v>31</v>
      </c>
      <c r="D454" s="10">
        <f>+'[6]2040'!D17</f>
        <v>4</v>
      </c>
      <c r="E454" s="177">
        <f>ROUND('[6]2040'!E17,2)</f>
        <v>27788.34</v>
      </c>
      <c r="F454" s="178">
        <f>ROUND('[6]2040'!F17,2)</f>
        <v>26423.1</v>
      </c>
      <c r="G454" s="178">
        <f>ROUND('[6]2040'!G17,2)</f>
        <v>25322.22</v>
      </c>
      <c r="H454" s="178">
        <f>ROUND('[6]2040'!H17,2)</f>
        <v>24514.55</v>
      </c>
      <c r="I454" s="178">
        <f>ROUND('[6]2040'!I17,2)</f>
        <v>24117.040000000001</v>
      </c>
      <c r="J454" s="178">
        <f>ROUND('[6]2040'!J17,2)</f>
        <v>23990.53</v>
      </c>
      <c r="K454" s="178">
        <f>ROUND('[6]2040'!K17,2)</f>
        <v>22698</v>
      </c>
      <c r="L454" s="178">
        <f>ROUND('[6]2040'!L17,2)</f>
        <v>23710.61</v>
      </c>
      <c r="M454" s="178">
        <f>ROUND('[6]2040'!M17,2)</f>
        <v>25333.78</v>
      </c>
      <c r="N454" s="178">
        <f>ROUND('[6]2040'!N17,2)</f>
        <v>26583.56</v>
      </c>
      <c r="O454" s="178">
        <f>ROUND('[6]2040'!O17,2)</f>
        <v>27779.25</v>
      </c>
      <c r="P454" s="178">
        <f>ROUND('[6]2040'!P17,2)</f>
        <v>28746.51</v>
      </c>
      <c r="Q454" s="178">
        <f>ROUND('[6]2040'!Q17,2)</f>
        <v>29405.759999999998</v>
      </c>
      <c r="R454" s="178">
        <f>ROUND('[6]2040'!R17,2)</f>
        <v>29485.08</v>
      </c>
      <c r="S454" s="178">
        <f>ROUND('[6]2040'!S17,2)</f>
        <v>29500.02</v>
      </c>
      <c r="T454" s="178">
        <f>ROUND('[6]2040'!T17,2)</f>
        <v>29601.52</v>
      </c>
      <c r="U454" s="178">
        <f>ROUND('[6]2040'!U17,2)</f>
        <v>29616.560000000001</v>
      </c>
      <c r="V454" s="178">
        <f>ROUND('[6]2040'!V17,2)</f>
        <v>29929.32</v>
      </c>
      <c r="W454" s="178">
        <f>ROUND('[6]2040'!W17,2)</f>
        <v>33836.53</v>
      </c>
      <c r="X454" s="178">
        <f>ROUND('[6]2040'!X17,2)</f>
        <v>34805.730000000003</v>
      </c>
      <c r="Y454" s="178">
        <f>ROUND('[6]2040'!Y17,2)</f>
        <v>34437.46</v>
      </c>
      <c r="Z454" s="178">
        <f>ROUND('[6]2040'!Z17,2)</f>
        <v>33304.639999999999</v>
      </c>
      <c r="AA454" s="178">
        <f>ROUND('[6]2040'!AA17,2)</f>
        <v>31275.93</v>
      </c>
      <c r="AB454" s="178">
        <f>ROUND('[6]2040'!AB17,2)</f>
        <v>28855.78</v>
      </c>
      <c r="AC454" s="210"/>
      <c r="AD454" s="185"/>
      <c r="AE454" s="185"/>
      <c r="AF454" s="185"/>
      <c r="AG454" s="185"/>
      <c r="AH454" s="185"/>
      <c r="AI454" s="185"/>
      <c r="AJ454" s="185"/>
      <c r="AK454" s="185"/>
      <c r="AL454" s="185"/>
      <c r="AM454" s="185"/>
      <c r="AN454" s="185"/>
      <c r="AO454" s="185"/>
      <c r="AP454" s="185"/>
      <c r="AQ454" s="185"/>
      <c r="AR454" s="185"/>
      <c r="AS454" s="185"/>
      <c r="AT454" s="185"/>
      <c r="AU454" s="185"/>
      <c r="AV454" s="185"/>
      <c r="AW454" s="185"/>
      <c r="AX454" s="185"/>
    </row>
    <row r="455" spans="2:50" s="186" customFormat="1" ht="18.649999999999999" customHeight="1" thickBot="1" x14ac:dyDescent="0.4">
      <c r="B455" s="208"/>
      <c r="C455" s="15" t="s">
        <v>32</v>
      </c>
      <c r="D455" s="16">
        <f>+'[6]2040'!D18</f>
        <v>2</v>
      </c>
      <c r="E455" s="179">
        <f>ROUND('[6]2040'!E18,2)</f>
        <v>27788.34</v>
      </c>
      <c r="F455" s="180">
        <f>ROUND('[6]2040'!F18,2)</f>
        <v>26423.1</v>
      </c>
      <c r="G455" s="180">
        <f>ROUND('[6]2040'!G18,2)</f>
        <v>25322.22</v>
      </c>
      <c r="H455" s="180">
        <f>ROUND('[6]2040'!H18,2)</f>
        <v>24514.55</v>
      </c>
      <c r="I455" s="180">
        <f>ROUND('[6]2040'!I18,2)</f>
        <v>24117.040000000001</v>
      </c>
      <c r="J455" s="180">
        <f>ROUND('[6]2040'!J18,2)</f>
        <v>23990.53</v>
      </c>
      <c r="K455" s="180">
        <f>ROUND('[6]2040'!K18,2)</f>
        <v>22698</v>
      </c>
      <c r="L455" s="180">
        <f>ROUND('[6]2040'!L18,2)</f>
        <v>23710.61</v>
      </c>
      <c r="M455" s="180">
        <f>ROUND('[6]2040'!M18,2)</f>
        <v>25333.78</v>
      </c>
      <c r="N455" s="180">
        <f>ROUND('[6]2040'!N18,2)</f>
        <v>26583.56</v>
      </c>
      <c r="O455" s="180">
        <f>ROUND('[6]2040'!O18,2)</f>
        <v>27779.25</v>
      </c>
      <c r="P455" s="180">
        <f>ROUND('[6]2040'!P18,2)</f>
        <v>28746.51</v>
      </c>
      <c r="Q455" s="180">
        <f>ROUND('[6]2040'!Q18,2)</f>
        <v>29405.759999999998</v>
      </c>
      <c r="R455" s="180">
        <f>ROUND('[6]2040'!R18,2)</f>
        <v>29485.08</v>
      </c>
      <c r="S455" s="180">
        <f>ROUND('[6]2040'!S18,2)</f>
        <v>29500.02</v>
      </c>
      <c r="T455" s="180">
        <f>ROUND('[6]2040'!T18,2)</f>
        <v>29601.52</v>
      </c>
      <c r="U455" s="180">
        <f>ROUND('[6]2040'!U18,2)</f>
        <v>29616.560000000001</v>
      </c>
      <c r="V455" s="180">
        <f>ROUND('[6]2040'!V18,2)</f>
        <v>29929.32</v>
      </c>
      <c r="W455" s="180">
        <f>ROUND('[6]2040'!W18,2)</f>
        <v>33836.53</v>
      </c>
      <c r="X455" s="180">
        <f>ROUND('[6]2040'!X18,2)</f>
        <v>34805.730000000003</v>
      </c>
      <c r="Y455" s="180">
        <f>ROUND('[6]2040'!Y18,2)</f>
        <v>34437.46</v>
      </c>
      <c r="Z455" s="180">
        <f>ROUND('[6]2040'!Z18,2)</f>
        <v>33304.639999999999</v>
      </c>
      <c r="AA455" s="180">
        <f>ROUND('[6]2040'!AA18,2)</f>
        <v>31275.93</v>
      </c>
      <c r="AB455" s="180">
        <f>ROUND('[6]2040'!AB18,2)</f>
        <v>28855.78</v>
      </c>
      <c r="AC455" s="210"/>
      <c r="AD455" s="185"/>
      <c r="AE455" s="185"/>
      <c r="AF455" s="185"/>
      <c r="AG455" s="185"/>
      <c r="AH455" s="185"/>
      <c r="AI455" s="185"/>
      <c r="AJ455" s="185"/>
      <c r="AK455" s="185"/>
      <c r="AL455" s="185"/>
      <c r="AM455" s="185"/>
      <c r="AN455" s="185"/>
      <c r="AO455" s="185"/>
      <c r="AP455" s="185"/>
      <c r="AQ455" s="185"/>
      <c r="AR455" s="185"/>
      <c r="AS455" s="185"/>
      <c r="AT455" s="185"/>
      <c r="AU455" s="185"/>
      <c r="AV455" s="185"/>
      <c r="AW455" s="185"/>
      <c r="AX455" s="185"/>
    </row>
    <row r="456" spans="2:50" s="186" customFormat="1" ht="18.649999999999999" customHeight="1" x14ac:dyDescent="0.35">
      <c r="B456" s="211">
        <v>51167</v>
      </c>
      <c r="C456" s="6" t="s">
        <v>29</v>
      </c>
      <c r="D456" s="7">
        <f>+'[6]2040'!D19</f>
        <v>21</v>
      </c>
      <c r="E456" s="175">
        <f>ROUND('[6]2040'!E19,2)</f>
        <v>28365.75</v>
      </c>
      <c r="F456" s="176">
        <f>ROUND('[6]2040'!F19,2)</f>
        <v>26973.29</v>
      </c>
      <c r="G456" s="176">
        <f>ROUND('[6]2040'!G19,2)</f>
        <v>25861.7</v>
      </c>
      <c r="H456" s="176">
        <f>ROUND('[6]2040'!H19,2)</f>
        <v>25055.89</v>
      </c>
      <c r="I456" s="176">
        <f>ROUND('[6]2040'!I19,2)</f>
        <v>25027.82</v>
      </c>
      <c r="J456" s="176">
        <f>ROUND('[6]2040'!J19,2)</f>
        <v>26532.14</v>
      </c>
      <c r="K456" s="176">
        <f>ROUND('[6]2040'!K19,2)</f>
        <v>26276.7</v>
      </c>
      <c r="L456" s="176">
        <f>ROUND('[6]2040'!L19,2)</f>
        <v>28834.29</v>
      </c>
      <c r="M456" s="176">
        <f>ROUND('[6]2040'!M19,2)</f>
        <v>31648.02</v>
      </c>
      <c r="N456" s="176">
        <f>ROUND('[6]2040'!N19,2)</f>
        <v>33013.29</v>
      </c>
      <c r="O456" s="176">
        <f>ROUND('[6]2040'!O19,2)</f>
        <v>34662.31</v>
      </c>
      <c r="P456" s="176">
        <f>ROUND('[6]2040'!P19,2)</f>
        <v>35966.339999999997</v>
      </c>
      <c r="Q456" s="176">
        <f>ROUND('[6]2040'!Q19,2)</f>
        <v>34763.360000000001</v>
      </c>
      <c r="R456" s="176">
        <f>ROUND('[6]2040'!R19,2)</f>
        <v>36012.36</v>
      </c>
      <c r="S456" s="176">
        <f>ROUND('[6]2040'!S19,2)</f>
        <v>38019.040000000001</v>
      </c>
      <c r="T456" s="176">
        <f>ROUND('[6]2040'!T19,2)</f>
        <v>38329.910000000003</v>
      </c>
      <c r="U456" s="176">
        <f>ROUND('[6]2040'!U19,2)</f>
        <v>37757.839999999997</v>
      </c>
      <c r="V456" s="176">
        <f>ROUND('[6]2040'!V19,2)</f>
        <v>36218.379999999997</v>
      </c>
      <c r="W456" s="176">
        <f>ROUND('[6]2040'!W19,2)</f>
        <v>38365.29</v>
      </c>
      <c r="X456" s="176">
        <f>ROUND('[6]2040'!X19,2)</f>
        <v>38907.760000000002</v>
      </c>
      <c r="Y456" s="176">
        <f>ROUND('[6]2040'!Y19,2)</f>
        <v>38068.97</v>
      </c>
      <c r="Z456" s="176">
        <f>ROUND('[6]2040'!Z19,2)</f>
        <v>36390.11</v>
      </c>
      <c r="AA456" s="176">
        <f>ROUND('[6]2040'!AA19,2)</f>
        <v>33523.980000000003</v>
      </c>
      <c r="AB456" s="176">
        <f>ROUND('[6]2040'!AB19,2)</f>
        <v>30682.19</v>
      </c>
      <c r="AC456" s="209">
        <f>SUM(E456:AB456)*D456+SUM(E457:AB457)*D457+SUM(E458:AB458)*D458+SUM(E459:AB459)*D459</f>
        <v>22269045.369999994</v>
      </c>
      <c r="AD456" s="185"/>
    </row>
    <row r="457" spans="2:50" s="186" customFormat="1" ht="18.649999999999999" customHeight="1" x14ac:dyDescent="0.35">
      <c r="B457" s="212" t="s">
        <v>34</v>
      </c>
      <c r="C457" s="9" t="s">
        <v>30</v>
      </c>
      <c r="D457" s="10">
        <f>+'[6]2040'!D20</f>
        <v>4</v>
      </c>
      <c r="E457" s="177">
        <f>ROUND('[6]2040'!E20,2)</f>
        <v>28756.95</v>
      </c>
      <c r="F457" s="178">
        <f>ROUND('[6]2040'!F20,2)</f>
        <v>27202.080000000002</v>
      </c>
      <c r="G457" s="178">
        <f>ROUND('[6]2040'!G20,2)</f>
        <v>26188.080000000002</v>
      </c>
      <c r="H457" s="178">
        <f>ROUND('[6]2040'!H20,2)</f>
        <v>25224.21</v>
      </c>
      <c r="I457" s="178">
        <f>ROUND('[6]2040'!I20,2)</f>
        <v>24920.57</v>
      </c>
      <c r="J457" s="178">
        <f>ROUND('[6]2040'!J20,2)</f>
        <v>25210.14</v>
      </c>
      <c r="K457" s="178">
        <f>ROUND('[6]2040'!K20,2)</f>
        <v>24763.1</v>
      </c>
      <c r="L457" s="178">
        <f>ROUND('[6]2040'!L20,2)</f>
        <v>27051.35</v>
      </c>
      <c r="M457" s="178">
        <f>ROUND('[6]2040'!M20,2)</f>
        <v>29852.41</v>
      </c>
      <c r="N457" s="178">
        <f>ROUND('[6]2040'!N20,2)</f>
        <v>31515.96</v>
      </c>
      <c r="O457" s="178">
        <f>ROUND('[6]2040'!O20,2)</f>
        <v>33045</v>
      </c>
      <c r="P457" s="178">
        <f>ROUND('[6]2040'!P20,2)</f>
        <v>33813.599999999999</v>
      </c>
      <c r="Q457" s="178">
        <f>ROUND('[6]2040'!Q20,2)</f>
        <v>33274.22</v>
      </c>
      <c r="R457" s="178">
        <f>ROUND('[6]2040'!R20,2)</f>
        <v>32842.82</v>
      </c>
      <c r="S457" s="178">
        <f>ROUND('[6]2040'!S20,2)</f>
        <v>32993.93</v>
      </c>
      <c r="T457" s="178">
        <f>ROUND('[6]2040'!T20,2)</f>
        <v>33088.36</v>
      </c>
      <c r="U457" s="178">
        <f>ROUND('[6]2040'!U20,2)</f>
        <v>32855.79</v>
      </c>
      <c r="V457" s="178">
        <f>ROUND('[6]2040'!V20,2)</f>
        <v>32759.26</v>
      </c>
      <c r="W457" s="178">
        <f>ROUND('[6]2040'!W20,2)</f>
        <v>36160.22</v>
      </c>
      <c r="X457" s="178">
        <f>ROUND('[6]2040'!X20,2)</f>
        <v>36684.120000000003</v>
      </c>
      <c r="Y457" s="178">
        <f>ROUND('[6]2040'!Y20,2)</f>
        <v>35826.53</v>
      </c>
      <c r="Z457" s="178">
        <f>ROUND('[6]2040'!Z20,2)</f>
        <v>34461.67</v>
      </c>
      <c r="AA457" s="178">
        <f>ROUND('[6]2040'!AA20,2)</f>
        <v>32659.9</v>
      </c>
      <c r="AB457" s="178">
        <f>ROUND('[6]2040'!AB20,2)</f>
        <v>30514.44</v>
      </c>
      <c r="AC457" s="210"/>
      <c r="AD457" s="185"/>
    </row>
    <row r="458" spans="2:50" s="186" customFormat="1" ht="18.649999999999999" customHeight="1" x14ac:dyDescent="0.35">
      <c r="B458" s="212" t="s">
        <v>34</v>
      </c>
      <c r="C458" s="9" t="s">
        <v>31</v>
      </c>
      <c r="D458" s="10">
        <f>+'[6]2040'!D21</f>
        <v>4</v>
      </c>
      <c r="E458" s="177">
        <f>ROUND('[6]2040'!E21,2)</f>
        <v>28676.89</v>
      </c>
      <c r="F458" s="178">
        <f>ROUND('[6]2040'!F21,2)</f>
        <v>27291.48</v>
      </c>
      <c r="G458" s="178">
        <f>ROUND('[6]2040'!G21,2)</f>
        <v>26172.81</v>
      </c>
      <c r="H458" s="178">
        <f>ROUND('[6]2040'!H21,2)</f>
        <v>25342.2</v>
      </c>
      <c r="I458" s="178">
        <f>ROUND('[6]2040'!I21,2)</f>
        <v>24914.62</v>
      </c>
      <c r="J458" s="178">
        <f>ROUND('[6]2040'!J21,2)</f>
        <v>24886.87</v>
      </c>
      <c r="K458" s="178">
        <f>ROUND('[6]2040'!K21,2)</f>
        <v>23580.85</v>
      </c>
      <c r="L458" s="178">
        <f>ROUND('[6]2040'!L21,2)</f>
        <v>24597.89</v>
      </c>
      <c r="M458" s="178">
        <f>ROUND('[6]2040'!M21,2)</f>
        <v>26149.61</v>
      </c>
      <c r="N458" s="178">
        <f>ROUND('[6]2040'!N21,2)</f>
        <v>27248.89</v>
      </c>
      <c r="O458" s="178">
        <f>ROUND('[6]2040'!O21,2)</f>
        <v>28368.07</v>
      </c>
      <c r="P458" s="178">
        <f>ROUND('[6]2040'!P21,2)</f>
        <v>29407.63</v>
      </c>
      <c r="Q458" s="178">
        <f>ROUND('[6]2040'!Q21,2)</f>
        <v>30097.96</v>
      </c>
      <c r="R458" s="178">
        <f>ROUND('[6]2040'!R21,2)</f>
        <v>30276.93</v>
      </c>
      <c r="S458" s="178">
        <f>ROUND('[6]2040'!S21,2)</f>
        <v>30578.57</v>
      </c>
      <c r="T458" s="178">
        <f>ROUND('[6]2040'!T21,2)</f>
        <v>30815.7</v>
      </c>
      <c r="U458" s="178">
        <f>ROUND('[6]2040'!U21,2)</f>
        <v>30716.32</v>
      </c>
      <c r="V458" s="178">
        <f>ROUND('[6]2040'!V21,2)</f>
        <v>30527.67</v>
      </c>
      <c r="W458" s="178">
        <f>ROUND('[6]2040'!W21,2)</f>
        <v>34501.39</v>
      </c>
      <c r="X458" s="178">
        <f>ROUND('[6]2040'!X21,2)</f>
        <v>35932.28</v>
      </c>
      <c r="Y458" s="178">
        <f>ROUND('[6]2040'!Y21,2)</f>
        <v>35918.949999999997</v>
      </c>
      <c r="Z458" s="178">
        <f>ROUND('[6]2040'!Z21,2)</f>
        <v>35066.050000000003</v>
      </c>
      <c r="AA458" s="178">
        <f>ROUND('[6]2040'!AA21,2)</f>
        <v>32219.78</v>
      </c>
      <c r="AB458" s="178">
        <f>ROUND('[6]2040'!AB21,2)</f>
        <v>29709.39</v>
      </c>
      <c r="AC458" s="210"/>
      <c r="AD458" s="185"/>
    </row>
    <row r="459" spans="2:50" s="186" customFormat="1" ht="18.649999999999999" customHeight="1" thickBot="1" x14ac:dyDescent="0.4">
      <c r="B459" s="213" t="s">
        <v>34</v>
      </c>
      <c r="C459" s="11" t="s">
        <v>32</v>
      </c>
      <c r="D459" s="12">
        <f>+'[6]2040'!D22</f>
        <v>0</v>
      </c>
      <c r="E459" s="75">
        <f>ROUND('[6]2040'!E22,2)</f>
        <v>0</v>
      </c>
      <c r="F459" s="75">
        <f>ROUND('[6]2040'!F22,2)</f>
        <v>0</v>
      </c>
      <c r="G459" s="75">
        <f>ROUND('[6]2040'!G22,2)</f>
        <v>0</v>
      </c>
      <c r="H459" s="75">
        <f>ROUND('[6]2040'!H22,2)</f>
        <v>0</v>
      </c>
      <c r="I459" s="75">
        <f>ROUND('[6]2040'!I22,2)</f>
        <v>0</v>
      </c>
      <c r="J459" s="75">
        <f>ROUND('[6]2040'!J22,2)</f>
        <v>0</v>
      </c>
      <c r="K459" s="75">
        <f>ROUND('[6]2040'!K22,2)</f>
        <v>0</v>
      </c>
      <c r="L459" s="75">
        <f>ROUND('[6]2040'!L22,2)</f>
        <v>0</v>
      </c>
      <c r="M459" s="75">
        <f>ROUND('[6]2040'!M22,2)</f>
        <v>0</v>
      </c>
      <c r="N459" s="75">
        <f>ROUND('[6]2040'!N22,2)</f>
        <v>0</v>
      </c>
      <c r="O459" s="75">
        <f>ROUND('[6]2040'!O22,2)</f>
        <v>0</v>
      </c>
      <c r="P459" s="75">
        <f>ROUND('[6]2040'!P22,2)</f>
        <v>0</v>
      </c>
      <c r="Q459" s="75">
        <f>ROUND('[6]2040'!Q22,2)</f>
        <v>0</v>
      </c>
      <c r="R459" s="75">
        <f>ROUND('[6]2040'!R22,2)</f>
        <v>0</v>
      </c>
      <c r="S459" s="75">
        <f>ROUND('[6]2040'!S22,2)</f>
        <v>0</v>
      </c>
      <c r="T459" s="75">
        <f>ROUND('[6]2040'!T22,2)</f>
        <v>0</v>
      </c>
      <c r="U459" s="75">
        <f>ROUND('[6]2040'!U22,2)</f>
        <v>0</v>
      </c>
      <c r="V459" s="75">
        <f>ROUND('[6]2040'!V22,2)</f>
        <v>0</v>
      </c>
      <c r="W459" s="75">
        <f>ROUND('[6]2040'!W22,2)</f>
        <v>0</v>
      </c>
      <c r="X459" s="75">
        <f>ROUND('[6]2040'!X22,2)</f>
        <v>0</v>
      </c>
      <c r="Y459" s="75">
        <f>ROUND('[6]2040'!Y22,2)</f>
        <v>0</v>
      </c>
      <c r="Z459" s="75">
        <f>ROUND('[6]2040'!Z22,2)</f>
        <v>0</v>
      </c>
      <c r="AA459" s="75">
        <f>ROUND('[6]2040'!AA22,2)</f>
        <v>0</v>
      </c>
      <c r="AB459" s="75">
        <f>ROUND('[6]2040'!AB22,2)</f>
        <v>0</v>
      </c>
      <c r="AC459" s="214"/>
      <c r="AD459" s="185"/>
    </row>
    <row r="460" spans="2:50" s="186" customFormat="1" ht="18.649999999999999" customHeight="1" x14ac:dyDescent="0.35">
      <c r="B460" s="207">
        <v>51196</v>
      </c>
      <c r="C460" s="13" t="s">
        <v>29</v>
      </c>
      <c r="D460" s="14">
        <f>+'[6]2040'!D23</f>
        <v>19</v>
      </c>
      <c r="E460" s="181">
        <f>ROUND('[6]2040'!E23,2)</f>
        <v>27471.55</v>
      </c>
      <c r="F460" s="182">
        <f>ROUND('[6]2040'!F23,2)</f>
        <v>26112.7</v>
      </c>
      <c r="G460" s="182">
        <f>ROUND('[6]2040'!G23,2)</f>
        <v>25099.07</v>
      </c>
      <c r="H460" s="182">
        <f>ROUND('[6]2040'!H23,2)</f>
        <v>24433.759999999998</v>
      </c>
      <c r="I460" s="182">
        <f>ROUND('[6]2040'!I23,2)</f>
        <v>24545.89</v>
      </c>
      <c r="J460" s="182">
        <f>ROUND('[6]2040'!J23,2)</f>
        <v>25856.58</v>
      </c>
      <c r="K460" s="182">
        <f>ROUND('[6]2040'!K23,2)</f>
        <v>25858.65</v>
      </c>
      <c r="L460" s="182">
        <f>ROUND('[6]2040'!L23,2)</f>
        <v>28662.23</v>
      </c>
      <c r="M460" s="182">
        <f>ROUND('[6]2040'!M23,2)</f>
        <v>31426.799999999999</v>
      </c>
      <c r="N460" s="182">
        <f>ROUND('[6]2040'!N23,2)</f>
        <v>32860.18</v>
      </c>
      <c r="O460" s="182">
        <f>ROUND('[6]2040'!O23,2)</f>
        <v>34501.25</v>
      </c>
      <c r="P460" s="182">
        <f>ROUND('[6]2040'!P23,2)</f>
        <v>35577.269999999997</v>
      </c>
      <c r="Q460" s="182">
        <f>ROUND('[6]2040'!Q23,2)</f>
        <v>33967.699999999997</v>
      </c>
      <c r="R460" s="182">
        <f>ROUND('[6]2040'!R23,2)</f>
        <v>35088.06</v>
      </c>
      <c r="S460" s="182">
        <f>ROUND('[6]2040'!S23,2)</f>
        <v>37016.21</v>
      </c>
      <c r="T460" s="182">
        <f>ROUND('[6]2040'!T23,2)</f>
        <v>37423.5</v>
      </c>
      <c r="U460" s="182">
        <f>ROUND('[6]2040'!U23,2)</f>
        <v>37014.839999999997</v>
      </c>
      <c r="V460" s="182">
        <f>ROUND('[6]2040'!V23,2)</f>
        <v>35714.15</v>
      </c>
      <c r="W460" s="182">
        <f>ROUND('[6]2040'!W23,2)</f>
        <v>37897.980000000003</v>
      </c>
      <c r="X460" s="182">
        <f>ROUND('[6]2040'!X23,2)</f>
        <v>38237.11</v>
      </c>
      <c r="Y460" s="182">
        <f>ROUND('[6]2040'!Y23,2)</f>
        <v>37117.31</v>
      </c>
      <c r="Z460" s="182">
        <f>ROUND('[6]2040'!Z23,2)</f>
        <v>35265.620000000003</v>
      </c>
      <c r="AA460" s="182">
        <f>ROUND('[6]2040'!AA23,2)</f>
        <v>32483.05</v>
      </c>
      <c r="AB460" s="182">
        <f>ROUND('[6]2040'!AB23,2)</f>
        <v>29658.19</v>
      </c>
      <c r="AC460" s="210">
        <f>SUM(E460:AB460)*D460+SUM(E461:AB461)*D461+SUM(E462:AB462)*D462+SUM(E463:AB463)*D463</f>
        <v>23248117.280000001</v>
      </c>
      <c r="AD460" s="185"/>
    </row>
    <row r="461" spans="2:50" s="186" customFormat="1" ht="18.649999999999999" customHeight="1" x14ac:dyDescent="0.35">
      <c r="B461" s="208"/>
      <c r="C461" s="9" t="s">
        <v>30</v>
      </c>
      <c r="D461" s="10">
        <f>+'[6]2040'!D24</f>
        <v>5</v>
      </c>
      <c r="E461" s="177">
        <f>ROUND('[6]2040'!E24,2)</f>
        <v>27632.37</v>
      </c>
      <c r="F461" s="178">
        <f>ROUND('[6]2040'!F24,2)</f>
        <v>26269.15</v>
      </c>
      <c r="G461" s="178">
        <f>ROUND('[6]2040'!G24,2)</f>
        <v>25193.77</v>
      </c>
      <c r="H461" s="178">
        <f>ROUND('[6]2040'!H24,2)</f>
        <v>24481.95</v>
      </c>
      <c r="I461" s="178">
        <f>ROUND('[6]2040'!I24,2)</f>
        <v>24302.1</v>
      </c>
      <c r="J461" s="178">
        <f>ROUND('[6]2040'!J24,2)</f>
        <v>24578.84</v>
      </c>
      <c r="K461" s="178">
        <f>ROUND('[6]2040'!K24,2)</f>
        <v>24460.69</v>
      </c>
      <c r="L461" s="178">
        <f>ROUND('[6]2040'!L24,2)</f>
        <v>27033.15</v>
      </c>
      <c r="M461" s="178">
        <f>ROUND('[6]2040'!M24,2)</f>
        <v>30025.9</v>
      </c>
      <c r="N461" s="178">
        <f>ROUND('[6]2040'!N24,2)</f>
        <v>31767.24</v>
      </c>
      <c r="O461" s="178">
        <f>ROUND('[6]2040'!O24,2)</f>
        <v>33329.32</v>
      </c>
      <c r="P461" s="178">
        <f>ROUND('[6]2040'!P24,2)</f>
        <v>34258.5</v>
      </c>
      <c r="Q461" s="178">
        <f>ROUND('[6]2040'!Q24,2)</f>
        <v>33669.699999999997</v>
      </c>
      <c r="R461" s="178">
        <f>ROUND('[6]2040'!R24,2)</f>
        <v>33220.769999999997</v>
      </c>
      <c r="S461" s="178">
        <f>ROUND('[6]2040'!S24,2)</f>
        <v>33483.89</v>
      </c>
      <c r="T461" s="178">
        <f>ROUND('[6]2040'!T24,2)</f>
        <v>33527.74</v>
      </c>
      <c r="U461" s="178">
        <f>ROUND('[6]2040'!U24,2)</f>
        <v>33230.39</v>
      </c>
      <c r="V461" s="178">
        <f>ROUND('[6]2040'!V24,2)</f>
        <v>33026.080000000002</v>
      </c>
      <c r="W461" s="178">
        <f>ROUND('[6]2040'!W24,2)</f>
        <v>36470.03</v>
      </c>
      <c r="X461" s="178">
        <f>ROUND('[6]2040'!X24,2)</f>
        <v>37058.019999999997</v>
      </c>
      <c r="Y461" s="178">
        <f>ROUND('[6]2040'!Y24,2)</f>
        <v>36028.04</v>
      </c>
      <c r="Z461" s="178">
        <f>ROUND('[6]2040'!Z24,2)</f>
        <v>34624.720000000001</v>
      </c>
      <c r="AA461" s="178">
        <f>ROUND('[6]2040'!AA24,2)</f>
        <v>32672.47</v>
      </c>
      <c r="AB461" s="178">
        <f>ROUND('[6]2040'!AB24,2)</f>
        <v>30531.759999999998</v>
      </c>
      <c r="AC461" s="210"/>
      <c r="AD461" s="185"/>
    </row>
    <row r="462" spans="2:50" s="186" customFormat="1" ht="18.649999999999999" customHeight="1" x14ac:dyDescent="0.35">
      <c r="B462" s="208"/>
      <c r="C462" s="9" t="s">
        <v>31</v>
      </c>
      <c r="D462" s="10">
        <f>+'[6]2040'!D25</f>
        <v>4</v>
      </c>
      <c r="E462" s="177">
        <f>ROUND('[6]2040'!E25,2)</f>
        <v>28373.24</v>
      </c>
      <c r="F462" s="178">
        <f>ROUND('[6]2040'!F25,2)</f>
        <v>26912.78</v>
      </c>
      <c r="G462" s="178">
        <f>ROUND('[6]2040'!G25,2)</f>
        <v>25777.97</v>
      </c>
      <c r="H462" s="178">
        <f>ROUND('[6]2040'!H25,2)</f>
        <v>24964.720000000001</v>
      </c>
      <c r="I462" s="178">
        <f>ROUND('[6]2040'!I25,2)</f>
        <v>24555.919999999998</v>
      </c>
      <c r="J462" s="178">
        <f>ROUND('[6]2040'!J25,2)</f>
        <v>24372.240000000002</v>
      </c>
      <c r="K462" s="178">
        <f>ROUND('[6]2040'!K25,2)</f>
        <v>23451.360000000001</v>
      </c>
      <c r="L462" s="178">
        <f>ROUND('[6]2040'!L25,2)</f>
        <v>24693.35</v>
      </c>
      <c r="M462" s="178">
        <f>ROUND('[6]2040'!M25,2)</f>
        <v>26438.26</v>
      </c>
      <c r="N462" s="178">
        <f>ROUND('[6]2040'!N25,2)</f>
        <v>27701.34</v>
      </c>
      <c r="O462" s="178">
        <f>ROUND('[6]2040'!O25,2)</f>
        <v>28830.32</v>
      </c>
      <c r="P462" s="178">
        <f>ROUND('[6]2040'!P25,2)</f>
        <v>29803.06</v>
      </c>
      <c r="Q462" s="178">
        <f>ROUND('[6]2040'!Q25,2)</f>
        <v>30420.639999999999</v>
      </c>
      <c r="R462" s="178">
        <f>ROUND('[6]2040'!R25,2)</f>
        <v>30531.4</v>
      </c>
      <c r="S462" s="178">
        <f>ROUND('[6]2040'!S25,2)</f>
        <v>30648.6</v>
      </c>
      <c r="T462" s="178">
        <f>ROUND('[6]2040'!T25,2)</f>
        <v>30983.74</v>
      </c>
      <c r="U462" s="178">
        <f>ROUND('[6]2040'!U25,2)</f>
        <v>30867.75</v>
      </c>
      <c r="V462" s="178">
        <f>ROUND('[6]2040'!V25,2)</f>
        <v>31020.560000000001</v>
      </c>
      <c r="W462" s="178">
        <f>ROUND('[6]2040'!W25,2)</f>
        <v>34680.92</v>
      </c>
      <c r="X462" s="178">
        <f>ROUND('[6]2040'!X25,2)</f>
        <v>35946.51</v>
      </c>
      <c r="Y462" s="178">
        <f>ROUND('[6]2040'!Y25,2)</f>
        <v>35813.279999999999</v>
      </c>
      <c r="Z462" s="178">
        <f>ROUND('[6]2040'!Z25,2)</f>
        <v>34762.6</v>
      </c>
      <c r="AA462" s="178">
        <f>ROUND('[6]2040'!AA25,2)</f>
        <v>32481.79</v>
      </c>
      <c r="AB462" s="178">
        <f>ROUND('[6]2040'!AB25,2)</f>
        <v>29857.79</v>
      </c>
      <c r="AC462" s="210"/>
      <c r="AD462" s="185"/>
    </row>
    <row r="463" spans="2:50" s="186" customFormat="1" ht="18.649999999999999" customHeight="1" thickBot="1" x14ac:dyDescent="0.4">
      <c r="B463" s="208"/>
      <c r="C463" s="15" t="s">
        <v>32</v>
      </c>
      <c r="D463" s="16">
        <f>+'[6]2040'!D26</f>
        <v>3</v>
      </c>
      <c r="E463" s="179">
        <f>ROUND('[6]2040'!E26,2)</f>
        <v>28373.24</v>
      </c>
      <c r="F463" s="180">
        <f>ROUND('[6]2040'!F26,2)</f>
        <v>26912.78</v>
      </c>
      <c r="G463" s="180">
        <f>ROUND('[6]2040'!G26,2)</f>
        <v>25777.97</v>
      </c>
      <c r="H463" s="180">
        <f>ROUND('[6]2040'!H26,2)</f>
        <v>24964.720000000001</v>
      </c>
      <c r="I463" s="180">
        <f>ROUND('[6]2040'!I26,2)</f>
        <v>24555.919999999998</v>
      </c>
      <c r="J463" s="180">
        <f>ROUND('[6]2040'!J26,2)</f>
        <v>24372.240000000002</v>
      </c>
      <c r="K463" s="180">
        <f>ROUND('[6]2040'!K26,2)</f>
        <v>23451.360000000001</v>
      </c>
      <c r="L463" s="180">
        <f>ROUND('[6]2040'!L26,2)</f>
        <v>24693.35</v>
      </c>
      <c r="M463" s="180">
        <f>ROUND('[6]2040'!M26,2)</f>
        <v>26438.26</v>
      </c>
      <c r="N463" s="180">
        <f>ROUND('[6]2040'!N26,2)</f>
        <v>27701.34</v>
      </c>
      <c r="O463" s="180">
        <f>ROUND('[6]2040'!O26,2)</f>
        <v>28830.32</v>
      </c>
      <c r="P463" s="180">
        <f>ROUND('[6]2040'!P26,2)</f>
        <v>29803.06</v>
      </c>
      <c r="Q463" s="180">
        <f>ROUND('[6]2040'!Q26,2)</f>
        <v>30420.639999999999</v>
      </c>
      <c r="R463" s="180">
        <f>ROUND('[6]2040'!R26,2)</f>
        <v>30531.4</v>
      </c>
      <c r="S463" s="180">
        <f>ROUND('[6]2040'!S26,2)</f>
        <v>30648.6</v>
      </c>
      <c r="T463" s="180">
        <f>ROUND('[6]2040'!T26,2)</f>
        <v>30983.74</v>
      </c>
      <c r="U463" s="180">
        <f>ROUND('[6]2040'!U26,2)</f>
        <v>30867.75</v>
      </c>
      <c r="V463" s="180">
        <f>ROUND('[6]2040'!V26,2)</f>
        <v>31020.560000000001</v>
      </c>
      <c r="W463" s="180">
        <f>ROUND('[6]2040'!W26,2)</f>
        <v>34680.92</v>
      </c>
      <c r="X463" s="180">
        <f>ROUND('[6]2040'!X26,2)</f>
        <v>35946.51</v>
      </c>
      <c r="Y463" s="180">
        <f>ROUND('[6]2040'!Y26,2)</f>
        <v>35813.279999999999</v>
      </c>
      <c r="Z463" s="180">
        <f>ROUND('[6]2040'!Z26,2)</f>
        <v>34762.6</v>
      </c>
      <c r="AA463" s="180">
        <f>ROUND('[6]2040'!AA26,2)</f>
        <v>32481.79</v>
      </c>
      <c r="AB463" s="180">
        <f>ROUND('[6]2040'!AB26,2)</f>
        <v>29857.79</v>
      </c>
      <c r="AC463" s="210"/>
      <c r="AD463" s="185"/>
    </row>
    <row r="464" spans="2:50" s="186" customFormat="1" ht="18.649999999999999" customHeight="1" x14ac:dyDescent="0.35">
      <c r="B464" s="211">
        <v>51227</v>
      </c>
      <c r="C464" s="6" t="s">
        <v>29</v>
      </c>
      <c r="D464" s="7">
        <f>+'[6]2040'!D27</f>
        <v>21</v>
      </c>
      <c r="E464" s="175">
        <f>ROUND('[6]2040'!E27,2)</f>
        <v>26778.959999999999</v>
      </c>
      <c r="F464" s="176">
        <f>ROUND('[6]2040'!F27,2)</f>
        <v>25445.3</v>
      </c>
      <c r="G464" s="176">
        <f>ROUND('[6]2040'!G27,2)</f>
        <v>24469.78</v>
      </c>
      <c r="H464" s="176">
        <f>ROUND('[6]2040'!H27,2)</f>
        <v>23805.35</v>
      </c>
      <c r="I464" s="176">
        <f>ROUND('[6]2040'!I27,2)</f>
        <v>23907.13</v>
      </c>
      <c r="J464" s="176">
        <f>ROUND('[6]2040'!J27,2)</f>
        <v>24672.76</v>
      </c>
      <c r="K464" s="176">
        <f>ROUND('[6]2040'!K27,2)</f>
        <v>24945.65</v>
      </c>
      <c r="L464" s="176">
        <f>ROUND('[6]2040'!L27,2)</f>
        <v>27786.82</v>
      </c>
      <c r="M464" s="176">
        <f>ROUND('[6]2040'!M27,2)</f>
        <v>30711.52</v>
      </c>
      <c r="N464" s="176">
        <f>ROUND('[6]2040'!N27,2)</f>
        <v>32062.799999999999</v>
      </c>
      <c r="O464" s="176">
        <f>ROUND('[6]2040'!O27,2)</f>
        <v>33567.599999999999</v>
      </c>
      <c r="P464" s="176">
        <f>ROUND('[6]2040'!P27,2)</f>
        <v>34840.86</v>
      </c>
      <c r="Q464" s="176">
        <f>ROUND('[6]2040'!Q27,2)</f>
        <v>33475.699999999997</v>
      </c>
      <c r="R464" s="176">
        <f>ROUND('[6]2040'!R27,2)</f>
        <v>34459.86</v>
      </c>
      <c r="S464" s="176">
        <f>ROUND('[6]2040'!S27,2)</f>
        <v>36376.54</v>
      </c>
      <c r="T464" s="176">
        <f>ROUND('[6]2040'!T27,2)</f>
        <v>36609.33</v>
      </c>
      <c r="U464" s="176">
        <f>ROUND('[6]2040'!U27,2)</f>
        <v>36054.69</v>
      </c>
      <c r="V464" s="176">
        <f>ROUND('[6]2040'!V27,2)</f>
        <v>35118.410000000003</v>
      </c>
      <c r="W464" s="176">
        <f>ROUND('[6]2040'!W27,2)</f>
        <v>37287.86</v>
      </c>
      <c r="X464" s="176">
        <f>ROUND('[6]2040'!X27,2)</f>
        <v>37401.089999999997</v>
      </c>
      <c r="Y464" s="176">
        <f>ROUND('[6]2040'!Y27,2)</f>
        <v>36281.96</v>
      </c>
      <c r="Z464" s="176">
        <f>ROUND('[6]2040'!Z27,2)</f>
        <v>34539.040000000001</v>
      </c>
      <c r="AA464" s="176">
        <f>ROUND('[6]2040'!AA27,2)</f>
        <v>31921.49</v>
      </c>
      <c r="AB464" s="176">
        <f>ROUND('[6]2040'!AB27,2)</f>
        <v>29063.45</v>
      </c>
      <c r="AC464" s="209">
        <f>SUM(E464:AB464)*D464+SUM(E465:AB465)*D465+SUM(E466:AB466)*D466+SUM(E467:AB467)*D467</f>
        <v>21950873.699999996</v>
      </c>
      <c r="AD464" s="185"/>
    </row>
    <row r="465" spans="2:30" s="186" customFormat="1" ht="18.649999999999999" customHeight="1" x14ac:dyDescent="0.35">
      <c r="B465" s="212" t="s">
        <v>34</v>
      </c>
      <c r="C465" s="9" t="s">
        <v>30</v>
      </c>
      <c r="D465" s="10">
        <f>+'[6]2040'!D28</f>
        <v>4</v>
      </c>
      <c r="E465" s="177">
        <f>ROUND('[6]2040'!E28,2)</f>
        <v>26508.55</v>
      </c>
      <c r="F465" s="178">
        <f>ROUND('[6]2040'!F28,2)</f>
        <v>25126.61</v>
      </c>
      <c r="G465" s="178">
        <f>ROUND('[6]2040'!G28,2)</f>
        <v>24100.12</v>
      </c>
      <c r="H465" s="178">
        <f>ROUND('[6]2040'!H28,2)</f>
        <v>23399.119999999999</v>
      </c>
      <c r="I465" s="178">
        <f>ROUND('[6]2040'!I28,2)</f>
        <v>23222.06</v>
      </c>
      <c r="J465" s="178">
        <f>ROUND('[6]2040'!J28,2)</f>
        <v>23215.02</v>
      </c>
      <c r="K465" s="178">
        <f>ROUND('[6]2040'!K28,2)</f>
        <v>23160.03</v>
      </c>
      <c r="L465" s="178">
        <f>ROUND('[6]2040'!L28,2)</f>
        <v>25528.76</v>
      </c>
      <c r="M465" s="178">
        <f>ROUND('[6]2040'!M28,2)</f>
        <v>28285.71</v>
      </c>
      <c r="N465" s="178">
        <f>ROUND('[6]2040'!N28,2)</f>
        <v>29762.16</v>
      </c>
      <c r="O465" s="178">
        <f>ROUND('[6]2040'!O28,2)</f>
        <v>31207.95</v>
      </c>
      <c r="P465" s="178">
        <f>ROUND('[6]2040'!P28,2)</f>
        <v>32107.02</v>
      </c>
      <c r="Q465" s="178">
        <f>ROUND('[6]2040'!Q28,2)</f>
        <v>31688.76</v>
      </c>
      <c r="R465" s="178">
        <f>ROUND('[6]2040'!R28,2)</f>
        <v>31347.68</v>
      </c>
      <c r="S465" s="178">
        <f>ROUND('[6]2040'!S28,2)</f>
        <v>31522.19</v>
      </c>
      <c r="T465" s="178">
        <f>ROUND('[6]2040'!T28,2)</f>
        <v>31582.1</v>
      </c>
      <c r="U465" s="178">
        <f>ROUND('[6]2040'!U28,2)</f>
        <v>31404.16</v>
      </c>
      <c r="V465" s="178">
        <f>ROUND('[6]2040'!V28,2)</f>
        <v>31596.41</v>
      </c>
      <c r="W465" s="178">
        <f>ROUND('[6]2040'!W28,2)</f>
        <v>35092.15</v>
      </c>
      <c r="X465" s="178">
        <f>ROUND('[6]2040'!X28,2)</f>
        <v>35168.03</v>
      </c>
      <c r="Y465" s="178">
        <f>ROUND('[6]2040'!Y28,2)</f>
        <v>34192.94</v>
      </c>
      <c r="Z465" s="178">
        <f>ROUND('[6]2040'!Z28,2)</f>
        <v>32757.86</v>
      </c>
      <c r="AA465" s="178">
        <f>ROUND('[6]2040'!AA28,2)</f>
        <v>30944.55</v>
      </c>
      <c r="AB465" s="178">
        <f>ROUND('[6]2040'!AB28,2)</f>
        <v>28872.41</v>
      </c>
      <c r="AC465" s="210"/>
      <c r="AD465" s="185"/>
    </row>
    <row r="466" spans="2:30" s="186" customFormat="1" ht="18.649999999999999" customHeight="1" x14ac:dyDescent="0.35">
      <c r="B466" s="212" t="s">
        <v>34</v>
      </c>
      <c r="C466" s="9" t="s">
        <v>31</v>
      </c>
      <c r="D466" s="10">
        <f>+'[6]2040'!D29</f>
        <v>5</v>
      </c>
      <c r="E466" s="177">
        <f>ROUND('[6]2040'!E29,2)</f>
        <v>27026.35</v>
      </c>
      <c r="F466" s="178">
        <f>ROUND('[6]2040'!F29,2)</f>
        <v>25696.74</v>
      </c>
      <c r="G466" s="178">
        <f>ROUND('[6]2040'!G29,2)</f>
        <v>24597.24</v>
      </c>
      <c r="H466" s="178">
        <f>ROUND('[6]2040'!H29,2)</f>
        <v>23845.07</v>
      </c>
      <c r="I466" s="178">
        <f>ROUND('[6]2040'!I29,2)</f>
        <v>23528.09</v>
      </c>
      <c r="J466" s="178">
        <f>ROUND('[6]2040'!J29,2)</f>
        <v>23110.2</v>
      </c>
      <c r="K466" s="178">
        <f>ROUND('[6]2040'!K29,2)</f>
        <v>22625.47</v>
      </c>
      <c r="L466" s="178">
        <f>ROUND('[6]2040'!L29,2)</f>
        <v>23876.9</v>
      </c>
      <c r="M466" s="178">
        <f>ROUND('[6]2040'!M29,2)</f>
        <v>25203.53</v>
      </c>
      <c r="N466" s="178">
        <f>ROUND('[6]2040'!N29,2)</f>
        <v>26387.48</v>
      </c>
      <c r="O466" s="178">
        <f>ROUND('[6]2040'!O29,2)</f>
        <v>27488.639999999999</v>
      </c>
      <c r="P466" s="178">
        <f>ROUND('[6]2040'!P29,2)</f>
        <v>28362.27</v>
      </c>
      <c r="Q466" s="178">
        <f>ROUND('[6]2040'!Q29,2)</f>
        <v>28850.799999999999</v>
      </c>
      <c r="R466" s="178">
        <f>ROUND('[6]2040'!R29,2)</f>
        <v>28985.38</v>
      </c>
      <c r="S466" s="178">
        <f>ROUND('[6]2040'!S29,2)</f>
        <v>29162.63</v>
      </c>
      <c r="T466" s="178">
        <f>ROUND('[6]2040'!T29,2)</f>
        <v>29423.81</v>
      </c>
      <c r="U466" s="178">
        <f>ROUND('[6]2040'!U29,2)</f>
        <v>29529.34</v>
      </c>
      <c r="V466" s="178">
        <f>ROUND('[6]2040'!V29,2)</f>
        <v>29891.1</v>
      </c>
      <c r="W466" s="178">
        <f>ROUND('[6]2040'!W29,2)</f>
        <v>33206.449999999997</v>
      </c>
      <c r="X466" s="178">
        <f>ROUND('[6]2040'!X29,2)</f>
        <v>34210.39</v>
      </c>
      <c r="Y466" s="178">
        <f>ROUND('[6]2040'!Y29,2)</f>
        <v>34097.879999999997</v>
      </c>
      <c r="Z466" s="178">
        <f>ROUND('[6]2040'!Z29,2)</f>
        <v>33260.46</v>
      </c>
      <c r="AA466" s="178">
        <f>ROUND('[6]2040'!AA29,2)</f>
        <v>31126.36</v>
      </c>
      <c r="AB466" s="178">
        <f>ROUND('[6]2040'!AB29,2)</f>
        <v>28595.69</v>
      </c>
      <c r="AC466" s="210"/>
      <c r="AD466" s="185"/>
    </row>
    <row r="467" spans="2:30" s="186" customFormat="1" ht="18.649999999999999" customHeight="1" thickBot="1" x14ac:dyDescent="0.4">
      <c r="B467" s="213" t="s">
        <v>34</v>
      </c>
      <c r="C467" s="11" t="s">
        <v>32</v>
      </c>
      <c r="D467" s="12">
        <f>+'[6]2040'!D30</f>
        <v>0</v>
      </c>
      <c r="E467" s="75">
        <f>ROUND('[6]2040'!E30,2)</f>
        <v>0</v>
      </c>
      <c r="F467" s="75">
        <f>ROUND('[6]2040'!F30,2)</f>
        <v>0</v>
      </c>
      <c r="G467" s="75">
        <f>ROUND('[6]2040'!G30,2)</f>
        <v>0</v>
      </c>
      <c r="H467" s="75">
        <f>ROUND('[6]2040'!H30,2)</f>
        <v>0</v>
      </c>
      <c r="I467" s="75">
        <f>ROUND('[6]2040'!I30,2)</f>
        <v>0</v>
      </c>
      <c r="J467" s="75">
        <f>ROUND('[6]2040'!J30,2)</f>
        <v>0</v>
      </c>
      <c r="K467" s="75">
        <f>ROUND('[6]2040'!K30,2)</f>
        <v>0</v>
      </c>
      <c r="L467" s="75">
        <f>ROUND('[6]2040'!L30,2)</f>
        <v>0</v>
      </c>
      <c r="M467" s="75">
        <f>ROUND('[6]2040'!M30,2)</f>
        <v>0</v>
      </c>
      <c r="N467" s="75">
        <f>ROUND('[6]2040'!N30,2)</f>
        <v>0</v>
      </c>
      <c r="O467" s="75">
        <f>ROUND('[6]2040'!O30,2)</f>
        <v>0</v>
      </c>
      <c r="P467" s="75">
        <f>ROUND('[6]2040'!P30,2)</f>
        <v>0</v>
      </c>
      <c r="Q467" s="75">
        <f>ROUND('[6]2040'!Q30,2)</f>
        <v>0</v>
      </c>
      <c r="R467" s="75">
        <f>ROUND('[6]2040'!R30,2)</f>
        <v>0</v>
      </c>
      <c r="S467" s="75">
        <f>ROUND('[6]2040'!S30,2)</f>
        <v>0</v>
      </c>
      <c r="T467" s="75">
        <f>ROUND('[6]2040'!T30,2)</f>
        <v>0</v>
      </c>
      <c r="U467" s="75">
        <f>ROUND('[6]2040'!U30,2)</f>
        <v>0</v>
      </c>
      <c r="V467" s="75">
        <f>ROUND('[6]2040'!V30,2)</f>
        <v>0</v>
      </c>
      <c r="W467" s="75">
        <f>ROUND('[6]2040'!W30,2)</f>
        <v>0</v>
      </c>
      <c r="X467" s="75">
        <f>ROUND('[6]2040'!X30,2)</f>
        <v>0</v>
      </c>
      <c r="Y467" s="75">
        <f>ROUND('[6]2040'!Y30,2)</f>
        <v>0</v>
      </c>
      <c r="Z467" s="75">
        <f>ROUND('[6]2040'!Z30,2)</f>
        <v>0</v>
      </c>
      <c r="AA467" s="75">
        <f>ROUND('[6]2040'!AA30,2)</f>
        <v>0</v>
      </c>
      <c r="AB467" s="75">
        <f>ROUND('[6]2040'!AB30,2)</f>
        <v>0</v>
      </c>
      <c r="AC467" s="214"/>
      <c r="AD467" s="185"/>
    </row>
    <row r="468" spans="2:30" s="186" customFormat="1" ht="18.649999999999999" customHeight="1" x14ac:dyDescent="0.35">
      <c r="B468" s="207">
        <v>51257</v>
      </c>
      <c r="C468" s="13" t="s">
        <v>29</v>
      </c>
      <c r="D468" s="14">
        <f>+'[6]2040'!D31</f>
        <v>21</v>
      </c>
      <c r="E468" s="181">
        <f>ROUND('[6]2040'!E31,2)</f>
        <v>26263.51</v>
      </c>
      <c r="F468" s="182">
        <f>ROUND('[6]2040'!F31,2)</f>
        <v>25016.49</v>
      </c>
      <c r="G468" s="182">
        <f>ROUND('[6]2040'!G31,2)</f>
        <v>24072.65</v>
      </c>
      <c r="H468" s="182">
        <f>ROUND('[6]2040'!H31,2)</f>
        <v>23426.65</v>
      </c>
      <c r="I468" s="182">
        <f>ROUND('[6]2040'!I31,2)</f>
        <v>23541.46</v>
      </c>
      <c r="J468" s="182">
        <f>ROUND('[6]2040'!J31,2)</f>
        <v>24193.47</v>
      </c>
      <c r="K468" s="182">
        <f>ROUND('[6]2040'!K31,2)</f>
        <v>24742.25</v>
      </c>
      <c r="L468" s="182">
        <f>ROUND('[6]2040'!L31,2)</f>
        <v>27633.68</v>
      </c>
      <c r="M468" s="182">
        <f>ROUND('[6]2040'!M31,2)</f>
        <v>30606.66</v>
      </c>
      <c r="N468" s="182">
        <f>ROUND('[6]2040'!N31,2)</f>
        <v>31998.880000000001</v>
      </c>
      <c r="O468" s="182">
        <f>ROUND('[6]2040'!O31,2)</f>
        <v>33659.03</v>
      </c>
      <c r="P468" s="182">
        <f>ROUND('[6]2040'!P31,2)</f>
        <v>34743.32</v>
      </c>
      <c r="Q468" s="182">
        <f>ROUND('[6]2040'!Q31,2)</f>
        <v>33331.910000000003</v>
      </c>
      <c r="R468" s="182">
        <f>ROUND('[6]2040'!R31,2)</f>
        <v>34245.4</v>
      </c>
      <c r="S468" s="182">
        <f>ROUND('[6]2040'!S31,2)</f>
        <v>36021.65</v>
      </c>
      <c r="T468" s="182">
        <f>ROUND('[6]2040'!T31,2)</f>
        <v>36199.46</v>
      </c>
      <c r="U468" s="182">
        <f>ROUND('[6]2040'!U31,2)</f>
        <v>35681.49</v>
      </c>
      <c r="V468" s="182">
        <f>ROUND('[6]2040'!V31,2)</f>
        <v>34515.58</v>
      </c>
      <c r="W468" s="182">
        <f>ROUND('[6]2040'!W31,2)</f>
        <v>36662.79</v>
      </c>
      <c r="X468" s="182">
        <f>ROUND('[6]2040'!X31,2)</f>
        <v>36808.089999999997</v>
      </c>
      <c r="Y468" s="182">
        <f>ROUND('[6]2040'!Y31,2)</f>
        <v>35672.839999999997</v>
      </c>
      <c r="Z468" s="182">
        <f>ROUND('[6]2040'!Z31,2)</f>
        <v>33787.300000000003</v>
      </c>
      <c r="AA468" s="182">
        <f>ROUND('[6]2040'!AA31,2)</f>
        <v>31131.33</v>
      </c>
      <c r="AB468" s="182">
        <f>ROUND('[6]2040'!AB31,2)</f>
        <v>28418.080000000002</v>
      </c>
      <c r="AC468" s="210">
        <f>SUM(E468:AB468)*D468+SUM(E469:AB469)*D469+SUM(E470:AB470)*D470+SUM(E471:AB471)*D471</f>
        <v>22512249.57</v>
      </c>
      <c r="AD468" s="185"/>
    </row>
    <row r="469" spans="2:30" s="186" customFormat="1" ht="18.649999999999999" customHeight="1" x14ac:dyDescent="0.35">
      <c r="B469" s="208"/>
      <c r="C469" s="9" t="s">
        <v>30</v>
      </c>
      <c r="D469" s="10">
        <f>+'[6]2040'!D32</f>
        <v>4</v>
      </c>
      <c r="E469" s="177">
        <f>ROUND('[6]2040'!E32,2)</f>
        <v>26719.32</v>
      </c>
      <c r="F469" s="178">
        <f>ROUND('[6]2040'!F32,2)</f>
        <v>25164.87</v>
      </c>
      <c r="G469" s="178">
        <f>ROUND('[6]2040'!G32,2)</f>
        <v>24113.41</v>
      </c>
      <c r="H469" s="178">
        <f>ROUND('[6]2040'!H32,2)</f>
        <v>23436.15</v>
      </c>
      <c r="I469" s="178">
        <f>ROUND('[6]2040'!I32,2)</f>
        <v>23312.43</v>
      </c>
      <c r="J469" s="178">
        <f>ROUND('[6]2040'!J32,2)</f>
        <v>23059.01</v>
      </c>
      <c r="K469" s="178">
        <f>ROUND('[6]2040'!K32,2)</f>
        <v>23281.13</v>
      </c>
      <c r="L469" s="178">
        <f>ROUND('[6]2040'!L32,2)</f>
        <v>25946.54</v>
      </c>
      <c r="M469" s="178">
        <f>ROUND('[6]2040'!M32,2)</f>
        <v>28919.74</v>
      </c>
      <c r="N469" s="178">
        <f>ROUND('[6]2040'!N32,2)</f>
        <v>30588.14</v>
      </c>
      <c r="O469" s="178">
        <f>ROUND('[6]2040'!O32,2)</f>
        <v>31860.880000000001</v>
      </c>
      <c r="P469" s="178">
        <f>ROUND('[6]2040'!P32,2)</f>
        <v>32714.35</v>
      </c>
      <c r="Q469" s="178">
        <f>ROUND('[6]2040'!Q32,2)</f>
        <v>32045.759999999998</v>
      </c>
      <c r="R469" s="178">
        <f>ROUND('[6]2040'!R32,2)</f>
        <v>31602.54</v>
      </c>
      <c r="S469" s="178">
        <f>ROUND('[6]2040'!S32,2)</f>
        <v>31834.1</v>
      </c>
      <c r="T469" s="178">
        <f>ROUND('[6]2040'!T32,2)</f>
        <v>31892.14</v>
      </c>
      <c r="U469" s="178">
        <f>ROUND('[6]2040'!U32,2)</f>
        <v>31711.17</v>
      </c>
      <c r="V469" s="178">
        <f>ROUND('[6]2040'!V32,2)</f>
        <v>31941.57</v>
      </c>
      <c r="W469" s="178">
        <f>ROUND('[6]2040'!W32,2)</f>
        <v>35342.910000000003</v>
      </c>
      <c r="X469" s="178">
        <f>ROUND('[6]2040'!X32,2)</f>
        <v>35744.03</v>
      </c>
      <c r="Y469" s="178">
        <f>ROUND('[6]2040'!Y32,2)</f>
        <v>34686.35</v>
      </c>
      <c r="Z469" s="178">
        <f>ROUND('[6]2040'!Z32,2)</f>
        <v>33123.339999999997</v>
      </c>
      <c r="AA469" s="178">
        <f>ROUND('[6]2040'!AA32,2)</f>
        <v>31312.080000000002</v>
      </c>
      <c r="AB469" s="178">
        <f>ROUND('[6]2040'!AB32,2)</f>
        <v>29211.37</v>
      </c>
      <c r="AC469" s="210"/>
      <c r="AD469" s="185"/>
    </row>
    <row r="470" spans="2:30" s="186" customFormat="1" ht="18.649999999999999" customHeight="1" x14ac:dyDescent="0.35">
      <c r="B470" s="208"/>
      <c r="C470" s="9" t="s">
        <v>31</v>
      </c>
      <c r="D470" s="10">
        <f>+'[6]2040'!D33</f>
        <v>4</v>
      </c>
      <c r="E470" s="177">
        <f>ROUND('[6]2040'!E33,2)</f>
        <v>27034.73</v>
      </c>
      <c r="F470" s="178">
        <f>ROUND('[6]2040'!F33,2)</f>
        <v>25757.32</v>
      </c>
      <c r="G470" s="178">
        <f>ROUND('[6]2040'!G33,2)</f>
        <v>24739.63</v>
      </c>
      <c r="H470" s="178">
        <f>ROUND('[6]2040'!H33,2)</f>
        <v>24009.71</v>
      </c>
      <c r="I470" s="178">
        <f>ROUND('[6]2040'!I33,2)</f>
        <v>23698.65</v>
      </c>
      <c r="J470" s="178">
        <f>ROUND('[6]2040'!J33,2)</f>
        <v>22983.97</v>
      </c>
      <c r="K470" s="178">
        <f>ROUND('[6]2040'!K33,2)</f>
        <v>22637.15</v>
      </c>
      <c r="L470" s="178">
        <f>ROUND('[6]2040'!L33,2)</f>
        <v>23988.05</v>
      </c>
      <c r="M470" s="178">
        <f>ROUND('[6]2040'!M33,2)</f>
        <v>25825.200000000001</v>
      </c>
      <c r="N470" s="178">
        <f>ROUND('[6]2040'!N33,2)</f>
        <v>27277.79</v>
      </c>
      <c r="O470" s="178">
        <f>ROUND('[6]2040'!O33,2)</f>
        <v>28272.91</v>
      </c>
      <c r="P470" s="178">
        <f>ROUND('[6]2040'!P33,2)</f>
        <v>29014.36</v>
      </c>
      <c r="Q470" s="178">
        <f>ROUND('[6]2040'!Q33,2)</f>
        <v>29437</v>
      </c>
      <c r="R470" s="178">
        <f>ROUND('[6]2040'!R33,2)</f>
        <v>29526.63</v>
      </c>
      <c r="S470" s="178">
        <f>ROUND('[6]2040'!S33,2)</f>
        <v>29649.759999999998</v>
      </c>
      <c r="T470" s="178">
        <f>ROUND('[6]2040'!T33,2)</f>
        <v>29976.65</v>
      </c>
      <c r="U470" s="178">
        <f>ROUND('[6]2040'!U33,2)</f>
        <v>29891.02</v>
      </c>
      <c r="V470" s="178">
        <f>ROUND('[6]2040'!V33,2)</f>
        <v>30369.040000000001</v>
      </c>
      <c r="W470" s="178">
        <f>ROUND('[6]2040'!W33,2)</f>
        <v>33893.86</v>
      </c>
      <c r="X470" s="178">
        <f>ROUND('[6]2040'!X33,2)</f>
        <v>34825.019999999997</v>
      </c>
      <c r="Y470" s="178">
        <f>ROUND('[6]2040'!Y33,2)</f>
        <v>34635.620000000003</v>
      </c>
      <c r="Z470" s="178">
        <f>ROUND('[6]2040'!Z33,2)</f>
        <v>33523.83</v>
      </c>
      <c r="AA470" s="178">
        <f>ROUND('[6]2040'!AA33,2)</f>
        <v>31279.91</v>
      </c>
      <c r="AB470" s="178">
        <f>ROUND('[6]2040'!AB33,2)</f>
        <v>28442.67</v>
      </c>
      <c r="AC470" s="210"/>
      <c r="AD470" s="185"/>
    </row>
    <row r="471" spans="2:30" s="186" customFormat="1" ht="18.649999999999999" customHeight="1" thickBot="1" x14ac:dyDescent="0.4">
      <c r="B471" s="208"/>
      <c r="C471" s="15" t="s">
        <v>32</v>
      </c>
      <c r="D471" s="16">
        <f>+'[6]2040'!D34</f>
        <v>2</v>
      </c>
      <c r="E471" s="179">
        <f>ROUND('[6]2040'!E34,2)</f>
        <v>27034.73</v>
      </c>
      <c r="F471" s="180">
        <f>ROUND('[6]2040'!F34,2)</f>
        <v>25757.32</v>
      </c>
      <c r="G471" s="180">
        <f>ROUND('[6]2040'!G34,2)</f>
        <v>24739.63</v>
      </c>
      <c r="H471" s="180">
        <f>ROUND('[6]2040'!H34,2)</f>
        <v>24009.71</v>
      </c>
      <c r="I471" s="180">
        <f>ROUND('[6]2040'!I34,2)</f>
        <v>23698.65</v>
      </c>
      <c r="J471" s="180">
        <f>ROUND('[6]2040'!J34,2)</f>
        <v>22983.97</v>
      </c>
      <c r="K471" s="180">
        <f>ROUND('[6]2040'!K34,2)</f>
        <v>22637.15</v>
      </c>
      <c r="L471" s="180">
        <f>ROUND('[6]2040'!L34,2)</f>
        <v>23988.05</v>
      </c>
      <c r="M471" s="180">
        <f>ROUND('[6]2040'!M34,2)</f>
        <v>25825.200000000001</v>
      </c>
      <c r="N471" s="180">
        <f>ROUND('[6]2040'!N34,2)</f>
        <v>27277.79</v>
      </c>
      <c r="O471" s="180">
        <f>ROUND('[6]2040'!O34,2)</f>
        <v>28272.91</v>
      </c>
      <c r="P471" s="180">
        <f>ROUND('[6]2040'!P34,2)</f>
        <v>29014.36</v>
      </c>
      <c r="Q471" s="180">
        <f>ROUND('[6]2040'!Q34,2)</f>
        <v>29437</v>
      </c>
      <c r="R471" s="180">
        <f>ROUND('[6]2040'!R34,2)</f>
        <v>29526.63</v>
      </c>
      <c r="S471" s="180">
        <f>ROUND('[6]2040'!S34,2)</f>
        <v>29649.759999999998</v>
      </c>
      <c r="T471" s="180">
        <f>ROUND('[6]2040'!T34,2)</f>
        <v>29976.65</v>
      </c>
      <c r="U471" s="180">
        <f>ROUND('[6]2040'!U34,2)</f>
        <v>29891.02</v>
      </c>
      <c r="V471" s="180">
        <f>ROUND('[6]2040'!V34,2)</f>
        <v>30369.040000000001</v>
      </c>
      <c r="W471" s="180">
        <f>ROUND('[6]2040'!W34,2)</f>
        <v>33893.86</v>
      </c>
      <c r="X471" s="180">
        <f>ROUND('[6]2040'!X34,2)</f>
        <v>34825.019999999997</v>
      </c>
      <c r="Y471" s="180">
        <f>ROUND('[6]2040'!Y34,2)</f>
        <v>34635.620000000003</v>
      </c>
      <c r="Z471" s="180">
        <f>ROUND('[6]2040'!Z34,2)</f>
        <v>33523.83</v>
      </c>
      <c r="AA471" s="180">
        <f>ROUND('[6]2040'!AA34,2)</f>
        <v>31279.91</v>
      </c>
      <c r="AB471" s="180">
        <f>ROUND('[6]2040'!AB34,2)</f>
        <v>28442.67</v>
      </c>
      <c r="AC471" s="210"/>
      <c r="AD471" s="185"/>
    </row>
    <row r="472" spans="2:30" s="186" customFormat="1" ht="18.649999999999999" customHeight="1" x14ac:dyDescent="0.35">
      <c r="B472" s="211">
        <v>51288</v>
      </c>
      <c r="C472" s="6" t="s">
        <v>29</v>
      </c>
      <c r="D472" s="7">
        <f>+'[6]2040'!D35</f>
        <v>19</v>
      </c>
      <c r="E472" s="175">
        <f>ROUND('[6]2040'!E35,2)</f>
        <v>26451.919999999998</v>
      </c>
      <c r="F472" s="176">
        <f>ROUND('[6]2040'!F35,2)</f>
        <v>25123.52</v>
      </c>
      <c r="G472" s="176">
        <f>ROUND('[6]2040'!G35,2)</f>
        <v>24200.400000000001</v>
      </c>
      <c r="H472" s="176">
        <f>ROUND('[6]2040'!H35,2)</f>
        <v>23478.12</v>
      </c>
      <c r="I472" s="176">
        <f>ROUND('[6]2040'!I35,2)</f>
        <v>23550.44</v>
      </c>
      <c r="J472" s="176">
        <f>ROUND('[6]2040'!J35,2)</f>
        <v>23874.69</v>
      </c>
      <c r="K472" s="176">
        <f>ROUND('[6]2040'!K35,2)</f>
        <v>24390.2</v>
      </c>
      <c r="L472" s="176">
        <f>ROUND('[6]2040'!L35,2)</f>
        <v>27461.57</v>
      </c>
      <c r="M472" s="176">
        <f>ROUND('[6]2040'!M35,2)</f>
        <v>30451.41</v>
      </c>
      <c r="N472" s="176">
        <f>ROUND('[6]2040'!N35,2)</f>
        <v>31931.47</v>
      </c>
      <c r="O472" s="176">
        <f>ROUND('[6]2040'!O35,2)</f>
        <v>33643.71</v>
      </c>
      <c r="P472" s="176">
        <f>ROUND('[6]2040'!P35,2)</f>
        <v>34769.14</v>
      </c>
      <c r="Q472" s="176">
        <f>ROUND('[6]2040'!Q35,2)</f>
        <v>33532.99</v>
      </c>
      <c r="R472" s="176">
        <f>ROUND('[6]2040'!R35,2)</f>
        <v>34268.519999999997</v>
      </c>
      <c r="S472" s="176">
        <f>ROUND('[6]2040'!S35,2)</f>
        <v>35953.480000000003</v>
      </c>
      <c r="T472" s="176">
        <f>ROUND('[6]2040'!T35,2)</f>
        <v>36153.32</v>
      </c>
      <c r="U472" s="176">
        <f>ROUND('[6]2040'!U35,2)</f>
        <v>35793.86</v>
      </c>
      <c r="V472" s="176">
        <f>ROUND('[6]2040'!V35,2)</f>
        <v>34675.699999999997</v>
      </c>
      <c r="W472" s="176">
        <f>ROUND('[6]2040'!W35,2)</f>
        <v>36699.620000000003</v>
      </c>
      <c r="X472" s="176">
        <f>ROUND('[6]2040'!X35,2)</f>
        <v>37164.620000000003</v>
      </c>
      <c r="Y472" s="176">
        <f>ROUND('[6]2040'!Y35,2)</f>
        <v>35950.370000000003</v>
      </c>
      <c r="Z472" s="176">
        <f>ROUND('[6]2040'!Z35,2)</f>
        <v>34107.67</v>
      </c>
      <c r="AA472" s="176">
        <f>ROUND('[6]2040'!AA35,2)</f>
        <v>31365.759999999998</v>
      </c>
      <c r="AB472" s="176">
        <f>ROUND('[6]2040'!AB35,2)</f>
        <v>28600.720000000001</v>
      </c>
      <c r="AC472" s="209">
        <f>SUM(E472:AB472)*D472+SUM(E473:AB473)*D473+SUM(E474:AB474)*D474+SUM(E475:AB475)*D475</f>
        <v>21669485.229999997</v>
      </c>
      <c r="AD472" s="185"/>
    </row>
    <row r="473" spans="2:30" s="186" customFormat="1" ht="18.649999999999999" customHeight="1" x14ac:dyDescent="0.35">
      <c r="B473" s="212" t="s">
        <v>34</v>
      </c>
      <c r="C473" s="9" t="s">
        <v>30</v>
      </c>
      <c r="D473" s="10">
        <f>+'[6]2040'!D36</f>
        <v>5</v>
      </c>
      <c r="E473" s="177">
        <f>ROUND('[6]2040'!E36,2)</f>
        <v>26516.95</v>
      </c>
      <c r="F473" s="178">
        <f>ROUND('[6]2040'!F36,2)</f>
        <v>25214.400000000001</v>
      </c>
      <c r="G473" s="178">
        <f>ROUND('[6]2040'!G36,2)</f>
        <v>24246.45</v>
      </c>
      <c r="H473" s="178">
        <f>ROUND('[6]2040'!H36,2)</f>
        <v>23582.11</v>
      </c>
      <c r="I473" s="178">
        <f>ROUND('[6]2040'!I36,2)</f>
        <v>23465.599999999999</v>
      </c>
      <c r="J473" s="178">
        <f>ROUND('[6]2040'!J36,2)</f>
        <v>23168.77</v>
      </c>
      <c r="K473" s="178">
        <f>ROUND('[6]2040'!K36,2)</f>
        <v>23395.94</v>
      </c>
      <c r="L473" s="178">
        <f>ROUND('[6]2040'!L36,2)</f>
        <v>26095.05</v>
      </c>
      <c r="M473" s="178">
        <f>ROUND('[6]2040'!M36,2)</f>
        <v>29057.03</v>
      </c>
      <c r="N473" s="178">
        <f>ROUND('[6]2040'!N36,2)</f>
        <v>30748.47</v>
      </c>
      <c r="O473" s="178">
        <f>ROUND('[6]2040'!O36,2)</f>
        <v>32197.88</v>
      </c>
      <c r="P473" s="178">
        <f>ROUND('[6]2040'!P36,2)</f>
        <v>33075.72</v>
      </c>
      <c r="Q473" s="178">
        <f>ROUND('[6]2040'!Q36,2)</f>
        <v>32471.58</v>
      </c>
      <c r="R473" s="178">
        <f>ROUND('[6]2040'!R36,2)</f>
        <v>31818.75</v>
      </c>
      <c r="S473" s="178">
        <f>ROUND('[6]2040'!S36,2)</f>
        <v>31917.74</v>
      </c>
      <c r="T473" s="178">
        <f>ROUND('[6]2040'!T36,2)</f>
        <v>31938.18</v>
      </c>
      <c r="U473" s="178">
        <f>ROUND('[6]2040'!U36,2)</f>
        <v>31566.94</v>
      </c>
      <c r="V473" s="178">
        <f>ROUND('[6]2040'!V36,2)</f>
        <v>31694.25</v>
      </c>
      <c r="W473" s="178">
        <f>ROUND('[6]2040'!W36,2)</f>
        <v>34433.31</v>
      </c>
      <c r="X473" s="178">
        <f>ROUND('[6]2040'!X36,2)</f>
        <v>35155.64</v>
      </c>
      <c r="Y473" s="178">
        <f>ROUND('[6]2040'!Y36,2)</f>
        <v>34146.239999999998</v>
      </c>
      <c r="Z473" s="178">
        <f>ROUND('[6]2040'!Z36,2)</f>
        <v>32442.51</v>
      </c>
      <c r="AA473" s="178">
        <f>ROUND('[6]2040'!AA36,2)</f>
        <v>30463.01</v>
      </c>
      <c r="AB473" s="178">
        <f>ROUND('[6]2040'!AB36,2)</f>
        <v>28417.27</v>
      </c>
      <c r="AC473" s="210"/>
      <c r="AD473" s="185"/>
    </row>
    <row r="474" spans="2:30" s="186" customFormat="1" ht="18.649999999999999" customHeight="1" x14ac:dyDescent="0.35">
      <c r="B474" s="212" t="s">
        <v>34</v>
      </c>
      <c r="C474" s="9" t="s">
        <v>31</v>
      </c>
      <c r="D474" s="10">
        <f>+'[6]2040'!D37</f>
        <v>4</v>
      </c>
      <c r="E474" s="177">
        <f>ROUND('[6]2040'!E37,2)</f>
        <v>26917.53</v>
      </c>
      <c r="F474" s="178">
        <f>ROUND('[6]2040'!F37,2)</f>
        <v>25554.18</v>
      </c>
      <c r="G474" s="178">
        <f>ROUND('[6]2040'!G37,2)</f>
        <v>24495.21</v>
      </c>
      <c r="H474" s="178">
        <f>ROUND('[6]2040'!H37,2)</f>
        <v>23799.17</v>
      </c>
      <c r="I474" s="178">
        <f>ROUND('[6]2040'!I37,2)</f>
        <v>23527.7</v>
      </c>
      <c r="J474" s="178">
        <f>ROUND('[6]2040'!J37,2)</f>
        <v>22788.55</v>
      </c>
      <c r="K474" s="178">
        <f>ROUND('[6]2040'!K37,2)</f>
        <v>22287.75</v>
      </c>
      <c r="L474" s="178">
        <f>ROUND('[6]2040'!L37,2)</f>
        <v>23509.7</v>
      </c>
      <c r="M474" s="178">
        <f>ROUND('[6]2040'!M37,2)</f>
        <v>25120.68</v>
      </c>
      <c r="N474" s="178">
        <f>ROUND('[6]2040'!N37,2)</f>
        <v>26467.87</v>
      </c>
      <c r="O474" s="178">
        <f>ROUND('[6]2040'!O37,2)</f>
        <v>27421.27</v>
      </c>
      <c r="P474" s="178">
        <f>ROUND('[6]2040'!P37,2)</f>
        <v>28179.360000000001</v>
      </c>
      <c r="Q474" s="178">
        <f>ROUND('[6]2040'!Q37,2)</f>
        <v>28772.2</v>
      </c>
      <c r="R474" s="178">
        <f>ROUND('[6]2040'!R37,2)</f>
        <v>28718.75</v>
      </c>
      <c r="S474" s="178">
        <f>ROUND('[6]2040'!S37,2)</f>
        <v>28817.81</v>
      </c>
      <c r="T474" s="178">
        <f>ROUND('[6]2040'!T37,2)</f>
        <v>29051.85</v>
      </c>
      <c r="U474" s="178">
        <f>ROUND('[6]2040'!U37,2)</f>
        <v>29098.44</v>
      </c>
      <c r="V474" s="178">
        <f>ROUND('[6]2040'!V37,2)</f>
        <v>29429.18</v>
      </c>
      <c r="W474" s="178">
        <f>ROUND('[6]2040'!W37,2)</f>
        <v>32812.42</v>
      </c>
      <c r="X474" s="178">
        <f>ROUND('[6]2040'!X37,2)</f>
        <v>34395.97</v>
      </c>
      <c r="Y474" s="178">
        <f>ROUND('[6]2040'!Y37,2)</f>
        <v>33961.230000000003</v>
      </c>
      <c r="Z474" s="178">
        <f>ROUND('[6]2040'!Z37,2)</f>
        <v>32873.86</v>
      </c>
      <c r="AA474" s="178">
        <f>ROUND('[6]2040'!AA37,2)</f>
        <v>30883.69</v>
      </c>
      <c r="AB474" s="178">
        <f>ROUND('[6]2040'!AB37,2)</f>
        <v>28626.48</v>
      </c>
      <c r="AC474" s="210"/>
      <c r="AD474" s="185"/>
    </row>
    <row r="475" spans="2:30" s="186" customFormat="1" ht="18.649999999999999" customHeight="1" thickBot="1" x14ac:dyDescent="0.4">
      <c r="B475" s="213" t="s">
        <v>34</v>
      </c>
      <c r="C475" s="11" t="s">
        <v>32</v>
      </c>
      <c r="D475" s="12">
        <f>+'[6]2040'!D38</f>
        <v>2</v>
      </c>
      <c r="E475" s="183">
        <f>ROUND('[6]2040'!E38,2)</f>
        <v>26917.53</v>
      </c>
      <c r="F475" s="184">
        <f>ROUND('[6]2040'!F38,2)</f>
        <v>25554.18</v>
      </c>
      <c r="G475" s="184">
        <f>ROUND('[6]2040'!G38,2)</f>
        <v>24495.21</v>
      </c>
      <c r="H475" s="184">
        <f>ROUND('[6]2040'!H38,2)</f>
        <v>23799.17</v>
      </c>
      <c r="I475" s="184">
        <f>ROUND('[6]2040'!I38,2)</f>
        <v>23527.7</v>
      </c>
      <c r="J475" s="184">
        <f>ROUND('[6]2040'!J38,2)</f>
        <v>22788.55</v>
      </c>
      <c r="K475" s="184">
        <f>ROUND('[6]2040'!K38,2)</f>
        <v>22287.75</v>
      </c>
      <c r="L475" s="184">
        <f>ROUND('[6]2040'!L38,2)</f>
        <v>23509.7</v>
      </c>
      <c r="M475" s="184">
        <f>ROUND('[6]2040'!M38,2)</f>
        <v>25120.68</v>
      </c>
      <c r="N475" s="184">
        <f>ROUND('[6]2040'!N38,2)</f>
        <v>26467.87</v>
      </c>
      <c r="O475" s="184">
        <f>ROUND('[6]2040'!O38,2)</f>
        <v>27421.27</v>
      </c>
      <c r="P475" s="184">
        <f>ROUND('[6]2040'!P38,2)</f>
        <v>28179.360000000001</v>
      </c>
      <c r="Q475" s="184">
        <f>ROUND('[6]2040'!Q38,2)</f>
        <v>28772.2</v>
      </c>
      <c r="R475" s="184">
        <f>ROUND('[6]2040'!R38,2)</f>
        <v>28718.75</v>
      </c>
      <c r="S475" s="184">
        <f>ROUND('[6]2040'!S38,2)</f>
        <v>28817.81</v>
      </c>
      <c r="T475" s="184">
        <f>ROUND('[6]2040'!T38,2)</f>
        <v>29051.85</v>
      </c>
      <c r="U475" s="184">
        <f>ROUND('[6]2040'!U38,2)</f>
        <v>29098.44</v>
      </c>
      <c r="V475" s="184">
        <f>ROUND('[6]2040'!V38,2)</f>
        <v>29429.18</v>
      </c>
      <c r="W475" s="184">
        <f>ROUND('[6]2040'!W38,2)</f>
        <v>32812.42</v>
      </c>
      <c r="X475" s="184">
        <f>ROUND('[6]2040'!X38,2)</f>
        <v>34395.97</v>
      </c>
      <c r="Y475" s="184">
        <f>ROUND('[6]2040'!Y38,2)</f>
        <v>33961.230000000003</v>
      </c>
      <c r="Z475" s="184">
        <f>ROUND('[6]2040'!Z38,2)</f>
        <v>32873.86</v>
      </c>
      <c r="AA475" s="184">
        <f>ROUND('[6]2040'!AA38,2)</f>
        <v>30883.69</v>
      </c>
      <c r="AB475" s="184">
        <f>ROUND('[6]2040'!AB38,2)</f>
        <v>28626.48</v>
      </c>
      <c r="AC475" s="214"/>
      <c r="AD475" s="185"/>
    </row>
    <row r="476" spans="2:30" s="186" customFormat="1" ht="18.649999999999999" customHeight="1" x14ac:dyDescent="0.35">
      <c r="B476" s="207">
        <v>51318</v>
      </c>
      <c r="C476" s="13" t="s">
        <v>29</v>
      </c>
      <c r="D476" s="7">
        <f>+'[6]2040'!D39</f>
        <v>20</v>
      </c>
      <c r="E476" s="181">
        <f>ROUND('[6]2040'!E39,2)</f>
        <v>26400.48</v>
      </c>
      <c r="F476" s="182">
        <f>ROUND('[6]2040'!F39,2)</f>
        <v>25050.880000000001</v>
      </c>
      <c r="G476" s="182">
        <f>ROUND('[6]2040'!G39,2)</f>
        <v>24043.61</v>
      </c>
      <c r="H476" s="182">
        <f>ROUND('[6]2040'!H39,2)</f>
        <v>23370.98</v>
      </c>
      <c r="I476" s="182">
        <f>ROUND('[6]2040'!I39,2)</f>
        <v>23346.18</v>
      </c>
      <c r="J476" s="182">
        <f>ROUND('[6]2040'!J39,2)</f>
        <v>23946.58</v>
      </c>
      <c r="K476" s="182">
        <f>ROUND('[6]2040'!K39,2)</f>
        <v>24257.81</v>
      </c>
      <c r="L476" s="182">
        <f>ROUND('[6]2040'!L39,2)</f>
        <v>27245.71</v>
      </c>
      <c r="M476" s="182">
        <f>ROUND('[6]2040'!M39,2)</f>
        <v>30175.26</v>
      </c>
      <c r="N476" s="182">
        <f>ROUND('[6]2040'!N39,2)</f>
        <v>31682.07</v>
      </c>
      <c r="O476" s="182">
        <f>ROUND('[6]2040'!O39,2)</f>
        <v>33433.279999999999</v>
      </c>
      <c r="P476" s="182">
        <f>ROUND('[6]2040'!P39,2)</f>
        <v>34746.699999999997</v>
      </c>
      <c r="Q476" s="182">
        <f>ROUND('[6]2040'!Q39,2)</f>
        <v>33508.03</v>
      </c>
      <c r="R476" s="182">
        <f>ROUND('[6]2040'!R39,2)</f>
        <v>34635.42</v>
      </c>
      <c r="S476" s="182">
        <f>ROUND('[6]2040'!S39,2)</f>
        <v>36607.480000000003</v>
      </c>
      <c r="T476" s="182">
        <f>ROUND('[6]2040'!T39,2)</f>
        <v>36824.29</v>
      </c>
      <c r="U476" s="182">
        <f>ROUND('[6]2040'!U39,2)</f>
        <v>36324.53</v>
      </c>
      <c r="V476" s="182">
        <f>ROUND('[6]2040'!V39,2)</f>
        <v>34780.959999999999</v>
      </c>
      <c r="W476" s="182">
        <f>ROUND('[6]2040'!W39,2)</f>
        <v>36323.42</v>
      </c>
      <c r="X476" s="182">
        <f>ROUND('[6]2040'!X39,2)</f>
        <v>37170.080000000002</v>
      </c>
      <c r="Y476" s="182">
        <f>ROUND('[6]2040'!Y39,2)</f>
        <v>36163.019999999997</v>
      </c>
      <c r="Z476" s="182">
        <f>ROUND('[6]2040'!Z39,2)</f>
        <v>34365.15</v>
      </c>
      <c r="AA476" s="182">
        <f>ROUND('[6]2040'!AA39,2)</f>
        <v>31554.71</v>
      </c>
      <c r="AB476" s="182">
        <f>ROUND('[6]2040'!AB39,2)</f>
        <v>28835.16</v>
      </c>
      <c r="AC476" s="210">
        <f>SUM(E476:AB476)*D476+SUM(E477:AB477)*D477+SUM(E478:AB478)*D478+SUM(E479:AB479)*D479</f>
        <v>22216807.23</v>
      </c>
      <c r="AD476" s="185"/>
    </row>
    <row r="477" spans="2:30" s="186" customFormat="1" ht="18.649999999999999" customHeight="1" x14ac:dyDescent="0.35">
      <c r="B477" s="208"/>
      <c r="C477" s="9" t="s">
        <v>30</v>
      </c>
      <c r="D477" s="10">
        <f>+'[6]2040'!D40</f>
        <v>4</v>
      </c>
      <c r="E477" s="177">
        <f>ROUND('[6]2040'!E40,2)</f>
        <v>26892.74</v>
      </c>
      <c r="F477" s="178">
        <f>ROUND('[6]2040'!F40,2)</f>
        <v>25372.63</v>
      </c>
      <c r="G477" s="178">
        <f>ROUND('[6]2040'!G40,2)</f>
        <v>24278.92</v>
      </c>
      <c r="H477" s="178">
        <f>ROUND('[6]2040'!H40,2)</f>
        <v>23616.13</v>
      </c>
      <c r="I477" s="178">
        <f>ROUND('[6]2040'!I40,2)</f>
        <v>23302.35</v>
      </c>
      <c r="J477" s="178">
        <f>ROUND('[6]2040'!J40,2)</f>
        <v>23065.88</v>
      </c>
      <c r="K477" s="178">
        <f>ROUND('[6]2040'!K40,2)</f>
        <v>23169.48</v>
      </c>
      <c r="L477" s="178">
        <f>ROUND('[6]2040'!L40,2)</f>
        <v>25706.87</v>
      </c>
      <c r="M477" s="178">
        <f>ROUND('[6]2040'!M40,2)</f>
        <v>28685.95</v>
      </c>
      <c r="N477" s="178">
        <f>ROUND('[6]2040'!N40,2)</f>
        <v>30406.45</v>
      </c>
      <c r="O477" s="178">
        <f>ROUND('[6]2040'!O40,2)</f>
        <v>32024.94</v>
      </c>
      <c r="P477" s="178">
        <f>ROUND('[6]2040'!P40,2)</f>
        <v>32833.86</v>
      </c>
      <c r="Q477" s="178">
        <f>ROUND('[6]2040'!Q40,2)</f>
        <v>32309.14</v>
      </c>
      <c r="R477" s="178">
        <f>ROUND('[6]2040'!R40,2)</f>
        <v>31842.05</v>
      </c>
      <c r="S477" s="178">
        <f>ROUND('[6]2040'!S40,2)</f>
        <v>31839.759999999998</v>
      </c>
      <c r="T477" s="178">
        <f>ROUND('[6]2040'!T40,2)</f>
        <v>31651.66</v>
      </c>
      <c r="U477" s="178">
        <f>ROUND('[6]2040'!U40,2)</f>
        <v>31348.69</v>
      </c>
      <c r="V477" s="178">
        <f>ROUND('[6]2040'!V40,2)</f>
        <v>31453.15</v>
      </c>
      <c r="W477" s="178">
        <f>ROUND('[6]2040'!W40,2)</f>
        <v>33425.730000000003</v>
      </c>
      <c r="X477" s="178">
        <f>ROUND('[6]2040'!X40,2)</f>
        <v>34178.6</v>
      </c>
      <c r="Y477" s="178">
        <f>ROUND('[6]2040'!Y40,2)</f>
        <v>33058.69</v>
      </c>
      <c r="Z477" s="178">
        <f>ROUND('[6]2040'!Z40,2)</f>
        <v>31674.37</v>
      </c>
      <c r="AA477" s="178">
        <f>ROUND('[6]2040'!AA40,2)</f>
        <v>29918.21</v>
      </c>
      <c r="AB477" s="178">
        <f>ROUND('[6]2040'!AB40,2)</f>
        <v>27906.39</v>
      </c>
      <c r="AC477" s="210"/>
      <c r="AD477" s="185"/>
    </row>
    <row r="478" spans="2:30" s="186" customFormat="1" ht="18.649999999999999" customHeight="1" x14ac:dyDescent="0.35">
      <c r="B478" s="208"/>
      <c r="C478" s="9" t="s">
        <v>31</v>
      </c>
      <c r="D478" s="10">
        <f>+'[6]2040'!D41</f>
        <v>5</v>
      </c>
      <c r="E478" s="177">
        <f>ROUND('[6]2040'!E41,2)</f>
        <v>25290.400000000001</v>
      </c>
      <c r="F478" s="178">
        <f>ROUND('[6]2040'!F41,2)</f>
        <v>24107.91</v>
      </c>
      <c r="G478" s="178">
        <f>ROUND('[6]2040'!G41,2)</f>
        <v>23076.71</v>
      </c>
      <c r="H478" s="178">
        <f>ROUND('[6]2040'!H41,2)</f>
        <v>22446.93</v>
      </c>
      <c r="I478" s="178">
        <f>ROUND('[6]2040'!I41,2)</f>
        <v>22192.28</v>
      </c>
      <c r="J478" s="178">
        <f>ROUND('[6]2040'!J41,2)</f>
        <v>21649.59</v>
      </c>
      <c r="K478" s="178">
        <f>ROUND('[6]2040'!K41,2)</f>
        <v>21171.72</v>
      </c>
      <c r="L478" s="178">
        <f>ROUND('[6]2040'!L41,2)</f>
        <v>22480.39</v>
      </c>
      <c r="M478" s="178">
        <f>ROUND('[6]2040'!M41,2)</f>
        <v>24089.4</v>
      </c>
      <c r="N478" s="178">
        <f>ROUND('[6]2040'!N41,2)</f>
        <v>25385.78</v>
      </c>
      <c r="O478" s="178">
        <f>ROUND('[6]2040'!O41,2)</f>
        <v>26491.49</v>
      </c>
      <c r="P478" s="178">
        <f>ROUND('[6]2040'!P41,2)</f>
        <v>27433.86</v>
      </c>
      <c r="Q478" s="178">
        <f>ROUND('[6]2040'!Q41,2)</f>
        <v>28115.24</v>
      </c>
      <c r="R478" s="178">
        <f>ROUND('[6]2040'!R41,2)</f>
        <v>28288.13</v>
      </c>
      <c r="S478" s="178">
        <f>ROUND('[6]2040'!S41,2)</f>
        <v>28448.77</v>
      </c>
      <c r="T478" s="178">
        <f>ROUND('[6]2040'!T41,2)</f>
        <v>28824.92</v>
      </c>
      <c r="U478" s="178">
        <f>ROUND('[6]2040'!U41,2)</f>
        <v>28774.1</v>
      </c>
      <c r="V478" s="178">
        <f>ROUND('[6]2040'!V41,2)</f>
        <v>28910.37</v>
      </c>
      <c r="W478" s="178">
        <f>ROUND('[6]2040'!W41,2)</f>
        <v>32189.24</v>
      </c>
      <c r="X478" s="178">
        <f>ROUND('[6]2040'!X41,2)</f>
        <v>34028.589999999997</v>
      </c>
      <c r="Y478" s="178">
        <f>ROUND('[6]2040'!Y41,2)</f>
        <v>33514.07</v>
      </c>
      <c r="Z478" s="178">
        <f>ROUND('[6]2040'!Z41,2)</f>
        <v>32136.959999999999</v>
      </c>
      <c r="AA478" s="178">
        <f>ROUND('[6]2040'!AA41,2)</f>
        <v>29663.3</v>
      </c>
      <c r="AB478" s="178">
        <f>ROUND('[6]2040'!AB41,2)</f>
        <v>27164.26</v>
      </c>
      <c r="AC478" s="210"/>
      <c r="AD478" s="185"/>
    </row>
    <row r="479" spans="2:30" s="186" customFormat="1" ht="18.649999999999999" customHeight="1" thickBot="1" x14ac:dyDescent="0.4">
      <c r="B479" s="208"/>
      <c r="C479" s="15" t="s">
        <v>32</v>
      </c>
      <c r="D479" s="12">
        <f>+'[6]2040'!D42</f>
        <v>2</v>
      </c>
      <c r="E479" s="177">
        <f>ROUND('[6]2040'!E42,2)</f>
        <v>25290.400000000001</v>
      </c>
      <c r="F479" s="178">
        <f>ROUND('[6]2040'!F42,2)</f>
        <v>24107.91</v>
      </c>
      <c r="G479" s="178">
        <f>ROUND('[6]2040'!G42,2)</f>
        <v>23076.71</v>
      </c>
      <c r="H479" s="178">
        <f>ROUND('[6]2040'!H42,2)</f>
        <v>22446.93</v>
      </c>
      <c r="I479" s="178">
        <f>ROUND('[6]2040'!I42,2)</f>
        <v>22192.28</v>
      </c>
      <c r="J479" s="178">
        <f>ROUND('[6]2040'!J42,2)</f>
        <v>21649.59</v>
      </c>
      <c r="K479" s="178">
        <f>ROUND('[6]2040'!K42,2)</f>
        <v>21171.72</v>
      </c>
      <c r="L479" s="178">
        <f>ROUND('[6]2040'!L42,2)</f>
        <v>22480.39</v>
      </c>
      <c r="M479" s="178">
        <f>ROUND('[6]2040'!M42,2)</f>
        <v>24089.4</v>
      </c>
      <c r="N479" s="178">
        <f>ROUND('[6]2040'!N42,2)</f>
        <v>25385.78</v>
      </c>
      <c r="O479" s="178">
        <f>ROUND('[6]2040'!O42,2)</f>
        <v>26491.49</v>
      </c>
      <c r="P479" s="178">
        <f>ROUND('[6]2040'!P42,2)</f>
        <v>27433.86</v>
      </c>
      <c r="Q479" s="178">
        <f>ROUND('[6]2040'!Q42,2)</f>
        <v>28115.24</v>
      </c>
      <c r="R479" s="178">
        <f>ROUND('[6]2040'!R42,2)</f>
        <v>28288.13</v>
      </c>
      <c r="S479" s="178">
        <f>ROUND('[6]2040'!S42,2)</f>
        <v>28448.77</v>
      </c>
      <c r="T479" s="178">
        <f>ROUND('[6]2040'!T42,2)</f>
        <v>28824.92</v>
      </c>
      <c r="U479" s="178">
        <f>ROUND('[6]2040'!U42,2)</f>
        <v>28774.1</v>
      </c>
      <c r="V479" s="178">
        <f>ROUND('[6]2040'!V42,2)</f>
        <v>28910.37</v>
      </c>
      <c r="W479" s="178">
        <f>ROUND('[6]2040'!W42,2)</f>
        <v>32189.24</v>
      </c>
      <c r="X479" s="178">
        <f>ROUND('[6]2040'!X42,2)</f>
        <v>34028.589999999997</v>
      </c>
      <c r="Y479" s="178">
        <f>ROUND('[6]2040'!Y42,2)</f>
        <v>33514.07</v>
      </c>
      <c r="Z479" s="178">
        <f>ROUND('[6]2040'!Z42,2)</f>
        <v>32136.959999999999</v>
      </c>
      <c r="AA479" s="178">
        <f>ROUND('[6]2040'!AA42,2)</f>
        <v>29663.3</v>
      </c>
      <c r="AB479" s="178">
        <f>ROUND('[6]2040'!AB42,2)</f>
        <v>27164.26</v>
      </c>
      <c r="AC479" s="210"/>
      <c r="AD479" s="185"/>
    </row>
    <row r="480" spans="2:30" s="186" customFormat="1" ht="18.649999999999999" customHeight="1" x14ac:dyDescent="0.35">
      <c r="B480" s="211">
        <v>51349</v>
      </c>
      <c r="C480" s="6" t="s">
        <v>29</v>
      </c>
      <c r="D480" s="7">
        <f>+'[6]2040'!D43</f>
        <v>21</v>
      </c>
      <c r="E480" s="175">
        <f>ROUND('[6]2040'!E43,2)</f>
        <v>26303.67</v>
      </c>
      <c r="F480" s="176">
        <f>ROUND('[6]2040'!F43,2)</f>
        <v>24864.78</v>
      </c>
      <c r="G480" s="176">
        <f>ROUND('[6]2040'!G43,2)</f>
        <v>23845.94</v>
      </c>
      <c r="H480" s="176">
        <f>ROUND('[6]2040'!H43,2)</f>
        <v>23150.98</v>
      </c>
      <c r="I480" s="176">
        <f>ROUND('[6]2040'!I43,2)</f>
        <v>23127.17</v>
      </c>
      <c r="J480" s="176">
        <f>ROUND('[6]2040'!J43,2)</f>
        <v>23900.02</v>
      </c>
      <c r="K480" s="176">
        <f>ROUND('[6]2040'!K43,2)</f>
        <v>24181.18</v>
      </c>
      <c r="L480" s="176">
        <f>ROUND('[6]2040'!L43,2)</f>
        <v>26899.29</v>
      </c>
      <c r="M480" s="176">
        <f>ROUND('[6]2040'!M43,2)</f>
        <v>29829.18</v>
      </c>
      <c r="N480" s="176">
        <f>ROUND('[6]2040'!N43,2)</f>
        <v>31296.94</v>
      </c>
      <c r="O480" s="176">
        <f>ROUND('[6]2040'!O43,2)</f>
        <v>33121.86</v>
      </c>
      <c r="P480" s="176">
        <f>ROUND('[6]2040'!P43,2)</f>
        <v>34633.21</v>
      </c>
      <c r="Q480" s="176">
        <f>ROUND('[6]2040'!Q43,2)</f>
        <v>33240.949999999997</v>
      </c>
      <c r="R480" s="176">
        <f>ROUND('[6]2040'!R43,2)</f>
        <v>34327.980000000003</v>
      </c>
      <c r="S480" s="176">
        <f>ROUND('[6]2040'!S43,2)</f>
        <v>36392.019999999997</v>
      </c>
      <c r="T480" s="176">
        <f>ROUND('[6]2040'!T43,2)</f>
        <v>36625.75</v>
      </c>
      <c r="U480" s="176">
        <f>ROUND('[6]2040'!U43,2)</f>
        <v>35997.65</v>
      </c>
      <c r="V480" s="176">
        <f>ROUND('[6]2040'!V43,2)</f>
        <v>34679.08</v>
      </c>
      <c r="W480" s="176">
        <f>ROUND('[6]2040'!W43,2)</f>
        <v>36754.980000000003</v>
      </c>
      <c r="X480" s="176">
        <f>ROUND('[6]2040'!X43,2)</f>
        <v>37328.18</v>
      </c>
      <c r="Y480" s="176">
        <f>ROUND('[6]2040'!Y43,2)</f>
        <v>36279.21</v>
      </c>
      <c r="Z480" s="176">
        <f>ROUND('[6]2040'!Z43,2)</f>
        <v>34423.86</v>
      </c>
      <c r="AA480" s="176">
        <f>ROUND('[6]2040'!AA43,2)</f>
        <v>31566.01</v>
      </c>
      <c r="AB480" s="176">
        <f>ROUND('[6]2040'!AB43,2)</f>
        <v>28866.51</v>
      </c>
      <c r="AC480" s="209">
        <f>SUM(E480:AB480)*D480+SUM(E481:AB481)*D481+SUM(E482:AB482)*D482+SUM(E483:AB483)*D483</f>
        <v>22272944.32</v>
      </c>
      <c r="AD480" s="185"/>
    </row>
    <row r="481" spans="2:30" s="186" customFormat="1" ht="18.649999999999999" customHeight="1" x14ac:dyDescent="0.35">
      <c r="B481" s="212" t="s">
        <v>34</v>
      </c>
      <c r="C481" s="9" t="s">
        <v>30</v>
      </c>
      <c r="D481" s="10">
        <f>+'[6]2040'!D44</f>
        <v>4</v>
      </c>
      <c r="E481" s="177">
        <f>ROUND('[6]2040'!E44,2)</f>
        <v>26663.79</v>
      </c>
      <c r="F481" s="178">
        <f>ROUND('[6]2040'!F44,2)</f>
        <v>25292.720000000001</v>
      </c>
      <c r="G481" s="178">
        <f>ROUND('[6]2040'!G44,2)</f>
        <v>24276.13</v>
      </c>
      <c r="H481" s="178">
        <f>ROUND('[6]2040'!H44,2)</f>
        <v>23504.55</v>
      </c>
      <c r="I481" s="178">
        <f>ROUND('[6]2040'!I44,2)</f>
        <v>23041.89</v>
      </c>
      <c r="J481" s="178">
        <f>ROUND('[6]2040'!J44,2)</f>
        <v>22843.24</v>
      </c>
      <c r="K481" s="178">
        <f>ROUND('[6]2040'!K44,2)</f>
        <v>22878.86</v>
      </c>
      <c r="L481" s="178">
        <f>ROUND('[6]2040'!L44,2)</f>
        <v>25326.55</v>
      </c>
      <c r="M481" s="178">
        <f>ROUND('[6]2040'!M44,2)</f>
        <v>28007.69</v>
      </c>
      <c r="N481" s="178">
        <f>ROUND('[6]2040'!N44,2)</f>
        <v>29713.11</v>
      </c>
      <c r="O481" s="178">
        <f>ROUND('[6]2040'!O44,2)</f>
        <v>31113.39</v>
      </c>
      <c r="P481" s="178">
        <f>ROUND('[6]2040'!P44,2)</f>
        <v>31587.29</v>
      </c>
      <c r="Q481" s="178">
        <f>ROUND('[6]2040'!Q44,2)</f>
        <v>31044.87</v>
      </c>
      <c r="R481" s="178">
        <f>ROUND('[6]2040'!R44,2)</f>
        <v>30619.57</v>
      </c>
      <c r="S481" s="178">
        <f>ROUND('[6]2040'!S44,2)</f>
        <v>30957.43</v>
      </c>
      <c r="T481" s="178">
        <f>ROUND('[6]2040'!T44,2)</f>
        <v>31092.05</v>
      </c>
      <c r="U481" s="178">
        <f>ROUND('[6]2040'!U44,2)</f>
        <v>30887.29</v>
      </c>
      <c r="V481" s="178">
        <f>ROUND('[6]2040'!V44,2)</f>
        <v>31125.88</v>
      </c>
      <c r="W481" s="178">
        <f>ROUND('[6]2040'!W44,2)</f>
        <v>34357.56</v>
      </c>
      <c r="X481" s="178">
        <f>ROUND('[6]2040'!X44,2)</f>
        <v>34630.629999999997</v>
      </c>
      <c r="Y481" s="178">
        <f>ROUND('[6]2040'!Y44,2)</f>
        <v>33368.21</v>
      </c>
      <c r="Z481" s="178">
        <f>ROUND('[6]2040'!Z44,2)</f>
        <v>31854.32</v>
      </c>
      <c r="AA481" s="178">
        <f>ROUND('[6]2040'!AA44,2)</f>
        <v>29899.95</v>
      </c>
      <c r="AB481" s="178">
        <f>ROUND('[6]2040'!AB44,2)</f>
        <v>27767.55</v>
      </c>
      <c r="AC481" s="210"/>
      <c r="AD481" s="185"/>
    </row>
    <row r="482" spans="2:30" s="186" customFormat="1" ht="18.649999999999999" customHeight="1" x14ac:dyDescent="0.35">
      <c r="B482" s="212" t="s">
        <v>34</v>
      </c>
      <c r="C482" s="9" t="s">
        <v>31</v>
      </c>
      <c r="D482" s="10">
        <f>+'[6]2040'!D45</f>
        <v>4</v>
      </c>
      <c r="E482" s="177">
        <f>ROUND('[6]2040'!E45,2)</f>
        <v>26020.49</v>
      </c>
      <c r="F482" s="178">
        <f>ROUND('[6]2040'!F45,2)</f>
        <v>24754.400000000001</v>
      </c>
      <c r="G482" s="178">
        <f>ROUND('[6]2040'!G45,2)</f>
        <v>23657.07</v>
      </c>
      <c r="H482" s="178">
        <f>ROUND('[6]2040'!H45,2)</f>
        <v>23021.02</v>
      </c>
      <c r="I482" s="178">
        <f>ROUND('[6]2040'!I45,2)</f>
        <v>22689.42</v>
      </c>
      <c r="J482" s="178">
        <f>ROUND('[6]2040'!J45,2)</f>
        <v>22344</v>
      </c>
      <c r="K482" s="178">
        <f>ROUND('[6]2040'!K45,2)</f>
        <v>21743.37</v>
      </c>
      <c r="L482" s="178">
        <f>ROUND('[6]2040'!L45,2)</f>
        <v>22974.89</v>
      </c>
      <c r="M482" s="178">
        <f>ROUND('[6]2040'!M45,2)</f>
        <v>24453.59</v>
      </c>
      <c r="N482" s="178">
        <f>ROUND('[6]2040'!N45,2)</f>
        <v>25710.46</v>
      </c>
      <c r="O482" s="178">
        <f>ROUND('[6]2040'!O45,2)</f>
        <v>26776.57</v>
      </c>
      <c r="P482" s="178">
        <f>ROUND('[6]2040'!P45,2)</f>
        <v>27665.23</v>
      </c>
      <c r="Q482" s="178">
        <f>ROUND('[6]2040'!Q45,2)</f>
        <v>28195.1</v>
      </c>
      <c r="R482" s="178">
        <f>ROUND('[6]2040'!R45,2)</f>
        <v>28306.09</v>
      </c>
      <c r="S482" s="178">
        <f>ROUND('[6]2040'!S45,2)</f>
        <v>28476.83</v>
      </c>
      <c r="T482" s="178">
        <f>ROUND('[6]2040'!T45,2)</f>
        <v>28682.43</v>
      </c>
      <c r="U482" s="178">
        <f>ROUND('[6]2040'!U45,2)</f>
        <v>28678.91</v>
      </c>
      <c r="V482" s="178">
        <f>ROUND('[6]2040'!V45,2)</f>
        <v>29159.71</v>
      </c>
      <c r="W482" s="178">
        <f>ROUND('[6]2040'!W45,2)</f>
        <v>32814.54</v>
      </c>
      <c r="X482" s="178">
        <f>ROUND('[6]2040'!X45,2)</f>
        <v>34231.24</v>
      </c>
      <c r="Y482" s="178">
        <f>ROUND('[6]2040'!Y45,2)</f>
        <v>33950.86</v>
      </c>
      <c r="Z482" s="178">
        <f>ROUND('[6]2040'!Z45,2)</f>
        <v>32737.69</v>
      </c>
      <c r="AA482" s="178">
        <f>ROUND('[6]2040'!AA45,2)</f>
        <v>30341.65</v>
      </c>
      <c r="AB482" s="178">
        <f>ROUND('[6]2040'!AB45,2)</f>
        <v>27808.080000000002</v>
      </c>
      <c r="AC482" s="210"/>
      <c r="AD482" s="185"/>
    </row>
    <row r="483" spans="2:30" s="186" customFormat="1" ht="18.649999999999999" customHeight="1" thickBot="1" x14ac:dyDescent="0.4">
      <c r="B483" s="213" t="s">
        <v>34</v>
      </c>
      <c r="C483" s="11" t="s">
        <v>32</v>
      </c>
      <c r="D483" s="12">
        <f>+'[6]2040'!D46</f>
        <v>2</v>
      </c>
      <c r="E483" s="183">
        <f>ROUND('[6]2040'!E46,2)</f>
        <v>26020.49</v>
      </c>
      <c r="F483" s="184">
        <f>ROUND('[6]2040'!F46,2)</f>
        <v>24754.400000000001</v>
      </c>
      <c r="G483" s="184">
        <f>ROUND('[6]2040'!G46,2)</f>
        <v>23657.07</v>
      </c>
      <c r="H483" s="184">
        <f>ROUND('[6]2040'!H46,2)</f>
        <v>23021.02</v>
      </c>
      <c r="I483" s="184">
        <f>ROUND('[6]2040'!I46,2)</f>
        <v>22689.42</v>
      </c>
      <c r="J483" s="184">
        <f>ROUND('[6]2040'!J46,2)</f>
        <v>22344</v>
      </c>
      <c r="K483" s="184">
        <f>ROUND('[6]2040'!K46,2)</f>
        <v>21743.37</v>
      </c>
      <c r="L483" s="184">
        <f>ROUND('[6]2040'!L46,2)</f>
        <v>22974.89</v>
      </c>
      <c r="M483" s="184">
        <f>ROUND('[6]2040'!M46,2)</f>
        <v>24453.59</v>
      </c>
      <c r="N483" s="184">
        <f>ROUND('[6]2040'!N46,2)</f>
        <v>25710.46</v>
      </c>
      <c r="O483" s="184">
        <f>ROUND('[6]2040'!O46,2)</f>
        <v>26776.57</v>
      </c>
      <c r="P483" s="184">
        <f>ROUND('[6]2040'!P46,2)</f>
        <v>27665.23</v>
      </c>
      <c r="Q483" s="184">
        <f>ROUND('[6]2040'!Q46,2)</f>
        <v>28195.1</v>
      </c>
      <c r="R483" s="184">
        <f>ROUND('[6]2040'!R46,2)</f>
        <v>28306.09</v>
      </c>
      <c r="S483" s="184">
        <f>ROUND('[6]2040'!S46,2)</f>
        <v>28476.83</v>
      </c>
      <c r="T483" s="184">
        <f>ROUND('[6]2040'!T46,2)</f>
        <v>28682.43</v>
      </c>
      <c r="U483" s="184">
        <f>ROUND('[6]2040'!U46,2)</f>
        <v>28678.91</v>
      </c>
      <c r="V483" s="184">
        <f>ROUND('[6]2040'!V46,2)</f>
        <v>29159.71</v>
      </c>
      <c r="W483" s="184">
        <f>ROUND('[6]2040'!W46,2)</f>
        <v>32814.54</v>
      </c>
      <c r="X483" s="184">
        <f>ROUND('[6]2040'!X46,2)</f>
        <v>34231.24</v>
      </c>
      <c r="Y483" s="184">
        <f>ROUND('[6]2040'!Y46,2)</f>
        <v>33950.86</v>
      </c>
      <c r="Z483" s="184">
        <f>ROUND('[6]2040'!Z46,2)</f>
        <v>32737.69</v>
      </c>
      <c r="AA483" s="184">
        <f>ROUND('[6]2040'!AA46,2)</f>
        <v>30341.65</v>
      </c>
      <c r="AB483" s="184">
        <f>ROUND('[6]2040'!AB46,2)</f>
        <v>27808.080000000002</v>
      </c>
      <c r="AC483" s="214"/>
      <c r="AD483" s="185"/>
    </row>
    <row r="484" spans="2:30" s="186" customFormat="1" ht="18.649999999999999" customHeight="1" x14ac:dyDescent="0.35">
      <c r="B484" s="207">
        <v>51380</v>
      </c>
      <c r="C484" s="13" t="s">
        <v>29</v>
      </c>
      <c r="D484" s="14">
        <f>+'[6]2040'!D47</f>
        <v>20</v>
      </c>
      <c r="E484" s="181">
        <f>ROUND('[6]2040'!E47,2)</f>
        <v>26262.6</v>
      </c>
      <c r="F484" s="182">
        <f>ROUND('[6]2040'!F47,2)</f>
        <v>24885.03</v>
      </c>
      <c r="G484" s="182">
        <f>ROUND('[6]2040'!G47,2)</f>
        <v>23870.22</v>
      </c>
      <c r="H484" s="182">
        <f>ROUND('[6]2040'!H47,2)</f>
        <v>23126.95</v>
      </c>
      <c r="I484" s="182">
        <f>ROUND('[6]2040'!I47,2)</f>
        <v>23100.7</v>
      </c>
      <c r="J484" s="182">
        <f>ROUND('[6]2040'!J47,2)</f>
        <v>23848.3</v>
      </c>
      <c r="K484" s="182">
        <f>ROUND('[6]2040'!K47,2)</f>
        <v>24185.360000000001</v>
      </c>
      <c r="L484" s="182">
        <f>ROUND('[6]2040'!L47,2)</f>
        <v>26954.03</v>
      </c>
      <c r="M484" s="182">
        <f>ROUND('[6]2040'!M47,2)</f>
        <v>29935.87</v>
      </c>
      <c r="N484" s="182">
        <f>ROUND('[6]2040'!N47,2)</f>
        <v>31424.720000000001</v>
      </c>
      <c r="O484" s="182">
        <f>ROUND('[6]2040'!O47,2)</f>
        <v>33025.120000000003</v>
      </c>
      <c r="P484" s="182">
        <f>ROUND('[6]2040'!P47,2)</f>
        <v>34392.769999999997</v>
      </c>
      <c r="Q484" s="182">
        <f>ROUND('[6]2040'!Q47,2)</f>
        <v>33149.69</v>
      </c>
      <c r="R484" s="182">
        <f>ROUND('[6]2040'!R47,2)</f>
        <v>34118.32</v>
      </c>
      <c r="S484" s="182">
        <f>ROUND('[6]2040'!S47,2)</f>
        <v>36053.49</v>
      </c>
      <c r="T484" s="182">
        <f>ROUND('[6]2040'!T47,2)</f>
        <v>36300.239999999998</v>
      </c>
      <c r="U484" s="182">
        <f>ROUND('[6]2040'!U47,2)</f>
        <v>35739.370000000003</v>
      </c>
      <c r="V484" s="182">
        <f>ROUND('[6]2040'!V47,2)</f>
        <v>34830.639999999999</v>
      </c>
      <c r="W484" s="182">
        <f>ROUND('[6]2040'!W47,2)</f>
        <v>37160.71</v>
      </c>
      <c r="X484" s="182">
        <f>ROUND('[6]2040'!X47,2)</f>
        <v>36809.760000000002</v>
      </c>
      <c r="Y484" s="182">
        <f>ROUND('[6]2040'!Y47,2)</f>
        <v>35634.480000000003</v>
      </c>
      <c r="Z484" s="182">
        <f>ROUND('[6]2040'!Z47,2)</f>
        <v>33712.519999999997</v>
      </c>
      <c r="AA484" s="182">
        <f>ROUND('[6]2040'!AA47,2)</f>
        <v>30828.86</v>
      </c>
      <c r="AB484" s="182">
        <f>ROUND('[6]2040'!AB47,2)</f>
        <v>28176.080000000002</v>
      </c>
      <c r="AC484" s="210">
        <f>SUM(E484:AB484)*D484+SUM(E485:AB485)*D485+SUM(E486:AB486)*D486+SUM(E487:AB487)*D487</f>
        <v>21462283.699999999</v>
      </c>
      <c r="AD484" s="185"/>
    </row>
    <row r="485" spans="2:30" s="186" customFormat="1" ht="18.649999999999999" customHeight="1" x14ac:dyDescent="0.35">
      <c r="B485" s="208"/>
      <c r="C485" s="9" t="s">
        <v>30</v>
      </c>
      <c r="D485" s="10">
        <f>+'[6]2040'!D48</f>
        <v>5</v>
      </c>
      <c r="E485" s="177">
        <f>ROUND('[6]2040'!E48,2)</f>
        <v>25579.200000000001</v>
      </c>
      <c r="F485" s="178">
        <f>ROUND('[6]2040'!F48,2)</f>
        <v>24286.26</v>
      </c>
      <c r="G485" s="178">
        <f>ROUND('[6]2040'!G48,2)</f>
        <v>23315</v>
      </c>
      <c r="H485" s="178">
        <f>ROUND('[6]2040'!H48,2)</f>
        <v>22599.13</v>
      </c>
      <c r="I485" s="178">
        <f>ROUND('[6]2040'!I48,2)</f>
        <v>22408.799999999999</v>
      </c>
      <c r="J485" s="178">
        <f>ROUND('[6]2040'!J48,2)</f>
        <v>22279.78</v>
      </c>
      <c r="K485" s="178">
        <f>ROUND('[6]2040'!K48,2)</f>
        <v>22535.23</v>
      </c>
      <c r="L485" s="178">
        <f>ROUND('[6]2040'!L48,2)</f>
        <v>25104.37</v>
      </c>
      <c r="M485" s="178">
        <f>ROUND('[6]2040'!M48,2)</f>
        <v>27977.919999999998</v>
      </c>
      <c r="N485" s="178">
        <f>ROUND('[6]2040'!N48,2)</f>
        <v>29393.37</v>
      </c>
      <c r="O485" s="178">
        <f>ROUND('[6]2040'!O48,2)</f>
        <v>31114.84</v>
      </c>
      <c r="P485" s="178">
        <f>ROUND('[6]2040'!P48,2)</f>
        <v>31881.18</v>
      </c>
      <c r="Q485" s="178">
        <f>ROUND('[6]2040'!Q48,2)</f>
        <v>31526.2</v>
      </c>
      <c r="R485" s="178">
        <f>ROUND('[6]2040'!R48,2)</f>
        <v>31140.58</v>
      </c>
      <c r="S485" s="178">
        <f>ROUND('[6]2040'!S48,2)</f>
        <v>31355.77</v>
      </c>
      <c r="T485" s="178">
        <f>ROUND('[6]2040'!T48,2)</f>
        <v>31288.83</v>
      </c>
      <c r="U485" s="178">
        <f>ROUND('[6]2040'!U48,2)</f>
        <v>30916.86</v>
      </c>
      <c r="V485" s="178">
        <f>ROUND('[6]2040'!V48,2)</f>
        <v>31675.31</v>
      </c>
      <c r="W485" s="178">
        <f>ROUND('[6]2040'!W48,2)</f>
        <v>35196.199999999997</v>
      </c>
      <c r="X485" s="178">
        <f>ROUND('[6]2040'!X48,2)</f>
        <v>34935.64</v>
      </c>
      <c r="Y485" s="178">
        <f>ROUND('[6]2040'!Y48,2)</f>
        <v>33702.36</v>
      </c>
      <c r="Z485" s="178">
        <f>ROUND('[6]2040'!Z48,2)</f>
        <v>32151.58</v>
      </c>
      <c r="AA485" s="178">
        <f>ROUND('[6]2040'!AA48,2)</f>
        <v>30374.799999999999</v>
      </c>
      <c r="AB485" s="178">
        <f>ROUND('[6]2040'!AB48,2)</f>
        <v>28251.75</v>
      </c>
      <c r="AC485" s="210"/>
      <c r="AD485" s="185"/>
    </row>
    <row r="486" spans="2:30" s="186" customFormat="1" ht="18.649999999999999" customHeight="1" x14ac:dyDescent="0.35">
      <c r="B486" s="208"/>
      <c r="C486" s="9" t="s">
        <v>31</v>
      </c>
      <c r="D486" s="10">
        <f>+'[6]2040'!D49</f>
        <v>5</v>
      </c>
      <c r="E486" s="177">
        <f>ROUND('[6]2040'!E49,2)</f>
        <v>26181.26</v>
      </c>
      <c r="F486" s="178">
        <f>ROUND('[6]2040'!F49,2)</f>
        <v>24847.03</v>
      </c>
      <c r="G486" s="178">
        <f>ROUND('[6]2040'!G49,2)</f>
        <v>23701.48</v>
      </c>
      <c r="H486" s="178">
        <f>ROUND('[6]2040'!H49,2)</f>
        <v>22943.17</v>
      </c>
      <c r="I486" s="178">
        <f>ROUND('[6]2040'!I49,2)</f>
        <v>22622.19</v>
      </c>
      <c r="J486" s="178">
        <f>ROUND('[6]2040'!J49,2)</f>
        <v>22008.29</v>
      </c>
      <c r="K486" s="178">
        <f>ROUND('[6]2040'!K49,2)</f>
        <v>21433.05</v>
      </c>
      <c r="L486" s="178">
        <f>ROUND('[6]2040'!L49,2)</f>
        <v>22780.69</v>
      </c>
      <c r="M486" s="178">
        <f>ROUND('[6]2040'!M49,2)</f>
        <v>24245.5</v>
      </c>
      <c r="N486" s="178">
        <f>ROUND('[6]2040'!N49,2)</f>
        <v>25666.35</v>
      </c>
      <c r="O486" s="178">
        <f>ROUND('[6]2040'!O49,2)</f>
        <v>26753.72</v>
      </c>
      <c r="P486" s="178">
        <f>ROUND('[6]2040'!P49,2)</f>
        <v>27468</v>
      </c>
      <c r="Q486" s="178">
        <f>ROUND('[6]2040'!Q49,2)</f>
        <v>28080.15</v>
      </c>
      <c r="R486" s="178">
        <f>ROUND('[6]2040'!R49,2)</f>
        <v>28166.33</v>
      </c>
      <c r="S486" s="178">
        <f>ROUND('[6]2040'!S49,2)</f>
        <v>28183.200000000001</v>
      </c>
      <c r="T486" s="178">
        <f>ROUND('[6]2040'!T49,2)</f>
        <v>28533.82</v>
      </c>
      <c r="U486" s="178">
        <f>ROUND('[6]2040'!U49,2)</f>
        <v>28503.59</v>
      </c>
      <c r="V486" s="178">
        <f>ROUND('[6]2040'!V49,2)</f>
        <v>29430.720000000001</v>
      </c>
      <c r="W486" s="178">
        <f>ROUND('[6]2040'!W49,2)</f>
        <v>33279.75</v>
      </c>
      <c r="X486" s="178">
        <f>ROUND('[6]2040'!X49,2)</f>
        <v>33833.360000000001</v>
      </c>
      <c r="Y486" s="178">
        <f>ROUND('[6]2040'!Y49,2)</f>
        <v>33396.33</v>
      </c>
      <c r="Z486" s="178">
        <f>ROUND('[6]2040'!Z49,2)</f>
        <v>32135.25</v>
      </c>
      <c r="AA486" s="178">
        <f>ROUND('[6]2040'!AA49,2)</f>
        <v>29818.29</v>
      </c>
      <c r="AB486" s="178">
        <f>ROUND('[6]2040'!AB49,2)</f>
        <v>27350.94</v>
      </c>
      <c r="AC486" s="210"/>
      <c r="AD486" s="185"/>
    </row>
    <row r="487" spans="2:30" s="186" customFormat="1" ht="18.649999999999999" customHeight="1" thickBot="1" x14ac:dyDescent="0.4">
      <c r="B487" s="208"/>
      <c r="C487" s="15" t="s">
        <v>32</v>
      </c>
      <c r="D487" s="16">
        <f>+'[6]2040'!D50</f>
        <v>0</v>
      </c>
      <c r="E487" s="75">
        <f>ROUND('[6]2040'!E50,2)</f>
        <v>0</v>
      </c>
      <c r="F487" s="75">
        <f>ROUND('[6]2040'!F50,2)</f>
        <v>0</v>
      </c>
      <c r="G487" s="75">
        <f>ROUND('[6]2040'!G50,2)</f>
        <v>0</v>
      </c>
      <c r="H487" s="75">
        <f>ROUND('[6]2040'!H50,2)</f>
        <v>0</v>
      </c>
      <c r="I487" s="75">
        <f>ROUND('[6]2040'!I50,2)</f>
        <v>0</v>
      </c>
      <c r="J487" s="75">
        <f>ROUND('[6]2040'!J50,2)</f>
        <v>0</v>
      </c>
      <c r="K487" s="75">
        <f>ROUND('[6]2040'!K50,2)</f>
        <v>0</v>
      </c>
      <c r="L487" s="75">
        <f>ROUND('[6]2040'!L50,2)</f>
        <v>0</v>
      </c>
      <c r="M487" s="75">
        <f>ROUND('[6]2040'!M50,2)</f>
        <v>0</v>
      </c>
      <c r="N487" s="75">
        <f>ROUND('[6]2040'!N50,2)</f>
        <v>0</v>
      </c>
      <c r="O487" s="75">
        <f>ROUND('[6]2040'!O50,2)</f>
        <v>0</v>
      </c>
      <c r="P487" s="75">
        <f>ROUND('[6]2040'!P50,2)</f>
        <v>0</v>
      </c>
      <c r="Q487" s="75">
        <f>ROUND('[6]2040'!Q50,2)</f>
        <v>0</v>
      </c>
      <c r="R487" s="75">
        <f>ROUND('[6]2040'!R50,2)</f>
        <v>0</v>
      </c>
      <c r="S487" s="75">
        <f>ROUND('[6]2040'!S50,2)</f>
        <v>0</v>
      </c>
      <c r="T487" s="75">
        <f>ROUND('[6]2040'!T50,2)</f>
        <v>0</v>
      </c>
      <c r="U487" s="75">
        <f>ROUND('[6]2040'!U50,2)</f>
        <v>0</v>
      </c>
      <c r="V487" s="75">
        <f>ROUND('[6]2040'!V50,2)</f>
        <v>0</v>
      </c>
      <c r="W487" s="75">
        <f>ROUND('[6]2040'!W50,2)</f>
        <v>0</v>
      </c>
      <c r="X487" s="75">
        <f>ROUND('[6]2040'!X50,2)</f>
        <v>0</v>
      </c>
      <c r="Y487" s="75">
        <f>ROUND('[6]2040'!Y50,2)</f>
        <v>0</v>
      </c>
      <c r="Z487" s="75">
        <f>ROUND('[6]2040'!Z50,2)</f>
        <v>0</v>
      </c>
      <c r="AA487" s="75">
        <f>ROUND('[6]2040'!AA50,2)</f>
        <v>0</v>
      </c>
      <c r="AB487" s="75">
        <f>ROUND('[6]2040'!AB50,2)</f>
        <v>0</v>
      </c>
      <c r="AC487" s="210"/>
      <c r="AD487" s="185"/>
    </row>
    <row r="488" spans="2:30" s="186" customFormat="1" ht="18.649999999999999" customHeight="1" x14ac:dyDescent="0.35">
      <c r="B488" s="211">
        <v>51410</v>
      </c>
      <c r="C488" s="6" t="s">
        <v>29</v>
      </c>
      <c r="D488" s="7">
        <f>+'[6]2040'!D51</f>
        <v>22</v>
      </c>
      <c r="E488" s="175">
        <f>ROUND('[6]2040'!E51,2)</f>
        <v>25212.45</v>
      </c>
      <c r="F488" s="176">
        <f>ROUND('[6]2040'!F51,2)</f>
        <v>23885.279999999999</v>
      </c>
      <c r="G488" s="176">
        <f>ROUND('[6]2040'!G51,2)</f>
        <v>22936.98</v>
      </c>
      <c r="H488" s="176">
        <f>ROUND('[6]2040'!H51,2)</f>
        <v>22247.45</v>
      </c>
      <c r="I488" s="176">
        <f>ROUND('[6]2040'!I51,2)</f>
        <v>22319.439999999999</v>
      </c>
      <c r="J488" s="176">
        <f>ROUND('[6]2040'!J51,2)</f>
        <v>22986.05</v>
      </c>
      <c r="K488" s="176">
        <f>ROUND('[6]2040'!K51,2)</f>
        <v>23589.56</v>
      </c>
      <c r="L488" s="176">
        <f>ROUND('[6]2040'!L51,2)</f>
        <v>26275.1</v>
      </c>
      <c r="M488" s="176">
        <f>ROUND('[6]2040'!M51,2)</f>
        <v>29130.9</v>
      </c>
      <c r="N488" s="176">
        <f>ROUND('[6]2040'!N51,2)</f>
        <v>30626.6</v>
      </c>
      <c r="O488" s="176">
        <f>ROUND('[6]2040'!O51,2)</f>
        <v>32184.240000000002</v>
      </c>
      <c r="P488" s="176">
        <f>ROUND('[6]2040'!P51,2)</f>
        <v>33417.599999999999</v>
      </c>
      <c r="Q488" s="176">
        <f>ROUND('[6]2040'!Q51,2)</f>
        <v>31975.82</v>
      </c>
      <c r="R488" s="176">
        <f>ROUND('[6]2040'!R51,2)</f>
        <v>32830.620000000003</v>
      </c>
      <c r="S488" s="176">
        <f>ROUND('[6]2040'!S51,2)</f>
        <v>34673.51</v>
      </c>
      <c r="T488" s="176">
        <f>ROUND('[6]2040'!T51,2)</f>
        <v>35090.050000000003</v>
      </c>
      <c r="U488" s="176">
        <f>ROUND('[6]2040'!U51,2)</f>
        <v>34700.11</v>
      </c>
      <c r="V488" s="176">
        <f>ROUND('[6]2040'!V51,2)</f>
        <v>34712.36</v>
      </c>
      <c r="W488" s="176">
        <f>ROUND('[6]2040'!W51,2)</f>
        <v>36866.31</v>
      </c>
      <c r="X488" s="176">
        <f>ROUND('[6]2040'!X51,2)</f>
        <v>36044.730000000003</v>
      </c>
      <c r="Y488" s="176">
        <f>ROUND('[6]2040'!Y51,2)</f>
        <v>34706.06</v>
      </c>
      <c r="Z488" s="176">
        <f>ROUND('[6]2040'!Z51,2)</f>
        <v>32806.639999999999</v>
      </c>
      <c r="AA488" s="176">
        <f>ROUND('[6]2040'!AA51,2)</f>
        <v>30007.200000000001</v>
      </c>
      <c r="AB488" s="176">
        <f>ROUND('[6]2040'!AB51,2)</f>
        <v>27303.64</v>
      </c>
      <c r="AC488" s="209">
        <f>SUM(E488:AB488)*D488+SUM(E489:AB489)*D489+SUM(E490:AB490)*D490+SUM(E491:AB491)*D491</f>
        <v>21738892.489999998</v>
      </c>
      <c r="AD488" s="185"/>
    </row>
    <row r="489" spans="2:30" s="186" customFormat="1" ht="18.649999999999999" customHeight="1" x14ac:dyDescent="0.35">
      <c r="B489" s="212" t="s">
        <v>34</v>
      </c>
      <c r="C489" s="9" t="s">
        <v>30</v>
      </c>
      <c r="D489" s="10">
        <f>+'[6]2040'!D52</f>
        <v>4</v>
      </c>
      <c r="E489" s="177">
        <f>ROUND('[6]2040'!E52,2)</f>
        <v>25672.37</v>
      </c>
      <c r="F489" s="178">
        <f>ROUND('[6]2040'!F52,2)</f>
        <v>24230.799999999999</v>
      </c>
      <c r="G489" s="178">
        <f>ROUND('[6]2040'!G52,2)</f>
        <v>23088.01</v>
      </c>
      <c r="H489" s="178">
        <f>ROUND('[6]2040'!H52,2)</f>
        <v>22376.6</v>
      </c>
      <c r="I489" s="178">
        <f>ROUND('[6]2040'!I52,2)</f>
        <v>22362.44</v>
      </c>
      <c r="J489" s="178">
        <f>ROUND('[6]2040'!J52,2)</f>
        <v>22267.47</v>
      </c>
      <c r="K489" s="178">
        <f>ROUND('[6]2040'!K52,2)</f>
        <v>22612.31</v>
      </c>
      <c r="L489" s="178">
        <f>ROUND('[6]2040'!L52,2)</f>
        <v>24852.53</v>
      </c>
      <c r="M489" s="178">
        <f>ROUND('[6]2040'!M52,2)</f>
        <v>27642.74</v>
      </c>
      <c r="N489" s="178">
        <f>ROUND('[6]2040'!N52,2)</f>
        <v>29234.400000000001</v>
      </c>
      <c r="O489" s="178">
        <f>ROUND('[6]2040'!O52,2)</f>
        <v>30874.92</v>
      </c>
      <c r="P489" s="178">
        <f>ROUND('[6]2040'!P52,2)</f>
        <v>31691.119999999999</v>
      </c>
      <c r="Q489" s="178">
        <f>ROUND('[6]2040'!Q52,2)</f>
        <v>31096.22</v>
      </c>
      <c r="R489" s="178">
        <f>ROUND('[6]2040'!R52,2)</f>
        <v>30712.77</v>
      </c>
      <c r="S489" s="178">
        <f>ROUND('[6]2040'!S52,2)</f>
        <v>31035.23</v>
      </c>
      <c r="T489" s="178">
        <f>ROUND('[6]2040'!T52,2)</f>
        <v>31360.99</v>
      </c>
      <c r="U489" s="178">
        <f>ROUND('[6]2040'!U52,2)</f>
        <v>31121.98</v>
      </c>
      <c r="V489" s="178">
        <f>ROUND('[6]2040'!V52,2)</f>
        <v>32258.98</v>
      </c>
      <c r="W489" s="178">
        <f>ROUND('[6]2040'!W52,2)</f>
        <v>35307.199999999997</v>
      </c>
      <c r="X489" s="178">
        <f>ROUND('[6]2040'!X52,2)</f>
        <v>34655.089999999997</v>
      </c>
      <c r="Y489" s="178">
        <f>ROUND('[6]2040'!Y52,2)</f>
        <v>33317.74</v>
      </c>
      <c r="Z489" s="178">
        <f>ROUND('[6]2040'!Z52,2)</f>
        <v>31635.82</v>
      </c>
      <c r="AA489" s="178">
        <f>ROUND('[6]2040'!AA52,2)</f>
        <v>29620.71</v>
      </c>
      <c r="AB489" s="178">
        <f>ROUND('[6]2040'!AB52,2)</f>
        <v>27492.720000000001</v>
      </c>
      <c r="AC489" s="210"/>
      <c r="AD489" s="185"/>
    </row>
    <row r="490" spans="2:30" s="186" customFormat="1" ht="18.649999999999999" customHeight="1" x14ac:dyDescent="0.35">
      <c r="B490" s="212" t="s">
        <v>34</v>
      </c>
      <c r="C490" s="9" t="s">
        <v>31</v>
      </c>
      <c r="D490" s="10">
        <f>+'[6]2040'!D53</f>
        <v>4</v>
      </c>
      <c r="E490" s="177">
        <f>ROUND('[6]2040'!E53,2)</f>
        <v>25539.49</v>
      </c>
      <c r="F490" s="178">
        <f>ROUND('[6]2040'!F53,2)</f>
        <v>24199.49</v>
      </c>
      <c r="G490" s="178">
        <f>ROUND('[6]2040'!G53,2)</f>
        <v>23135.360000000001</v>
      </c>
      <c r="H490" s="178">
        <f>ROUND('[6]2040'!H53,2)</f>
        <v>22476.83</v>
      </c>
      <c r="I490" s="178">
        <f>ROUND('[6]2040'!I53,2)</f>
        <v>22181.040000000001</v>
      </c>
      <c r="J490" s="178">
        <f>ROUND('[6]2040'!J53,2)</f>
        <v>21705.45</v>
      </c>
      <c r="K490" s="178">
        <f>ROUND('[6]2040'!K53,2)</f>
        <v>21125.48</v>
      </c>
      <c r="L490" s="178">
        <f>ROUND('[6]2040'!L53,2)</f>
        <v>22378.46</v>
      </c>
      <c r="M490" s="178">
        <f>ROUND('[6]2040'!M53,2)</f>
        <v>24005.79</v>
      </c>
      <c r="N490" s="178">
        <f>ROUND('[6]2040'!N53,2)</f>
        <v>25306.27</v>
      </c>
      <c r="O490" s="178">
        <f>ROUND('[6]2040'!O53,2)</f>
        <v>26553.31</v>
      </c>
      <c r="P490" s="178">
        <f>ROUND('[6]2040'!P53,2)</f>
        <v>27550.49</v>
      </c>
      <c r="Q490" s="178">
        <f>ROUND('[6]2040'!Q53,2)</f>
        <v>28047.77</v>
      </c>
      <c r="R490" s="178">
        <f>ROUND('[6]2040'!R53,2)</f>
        <v>28101.09</v>
      </c>
      <c r="S490" s="178">
        <f>ROUND('[6]2040'!S53,2)</f>
        <v>28275.56</v>
      </c>
      <c r="T490" s="178">
        <f>ROUND('[6]2040'!T53,2)</f>
        <v>28244.44</v>
      </c>
      <c r="U490" s="178">
        <f>ROUND('[6]2040'!U53,2)</f>
        <v>28455.24</v>
      </c>
      <c r="V490" s="178">
        <f>ROUND('[6]2040'!V53,2)</f>
        <v>29849.5</v>
      </c>
      <c r="W490" s="178">
        <f>ROUND('[6]2040'!W53,2)</f>
        <v>33471.65</v>
      </c>
      <c r="X490" s="178">
        <f>ROUND('[6]2040'!X53,2)</f>
        <v>33692.99</v>
      </c>
      <c r="Y490" s="178">
        <f>ROUND('[6]2040'!Y53,2)</f>
        <v>33169.339999999997</v>
      </c>
      <c r="Z490" s="178">
        <f>ROUND('[6]2040'!Z53,2)</f>
        <v>31853.7</v>
      </c>
      <c r="AA490" s="178">
        <f>ROUND('[6]2040'!AA53,2)</f>
        <v>29465.59</v>
      </c>
      <c r="AB490" s="178">
        <f>ROUND('[6]2040'!AB53,2)</f>
        <v>27050.959999999999</v>
      </c>
      <c r="AC490" s="210"/>
      <c r="AD490" s="185"/>
    </row>
    <row r="491" spans="2:30" s="186" customFormat="1" ht="18.649999999999999" customHeight="1" thickBot="1" x14ac:dyDescent="0.4">
      <c r="B491" s="213" t="s">
        <v>34</v>
      </c>
      <c r="C491" s="11" t="s">
        <v>32</v>
      </c>
      <c r="D491" s="12">
        <f>+'[6]2040'!D54</f>
        <v>1</v>
      </c>
      <c r="E491" s="183">
        <f>ROUND('[6]2040'!E54,2)</f>
        <v>25539.49</v>
      </c>
      <c r="F491" s="184">
        <f>ROUND('[6]2040'!F54,2)</f>
        <v>24199.49</v>
      </c>
      <c r="G491" s="184">
        <f>ROUND('[6]2040'!G54,2)</f>
        <v>23135.360000000001</v>
      </c>
      <c r="H491" s="184">
        <f>ROUND('[6]2040'!H54,2)</f>
        <v>22476.83</v>
      </c>
      <c r="I491" s="184">
        <f>ROUND('[6]2040'!I54,2)</f>
        <v>22181.040000000001</v>
      </c>
      <c r="J491" s="184">
        <f>ROUND('[6]2040'!J54,2)</f>
        <v>21705.45</v>
      </c>
      <c r="K491" s="184">
        <f>ROUND('[6]2040'!K54,2)</f>
        <v>21125.48</v>
      </c>
      <c r="L491" s="184">
        <f>ROUND('[6]2040'!L54,2)</f>
        <v>22378.46</v>
      </c>
      <c r="M491" s="184">
        <f>ROUND('[6]2040'!M54,2)</f>
        <v>24005.79</v>
      </c>
      <c r="N491" s="184">
        <f>ROUND('[6]2040'!N54,2)</f>
        <v>25306.27</v>
      </c>
      <c r="O491" s="184">
        <f>ROUND('[6]2040'!O54,2)</f>
        <v>26553.31</v>
      </c>
      <c r="P491" s="184">
        <f>ROUND('[6]2040'!P54,2)</f>
        <v>27550.49</v>
      </c>
      <c r="Q491" s="184">
        <f>ROUND('[6]2040'!Q54,2)</f>
        <v>28047.77</v>
      </c>
      <c r="R491" s="184">
        <f>ROUND('[6]2040'!R54,2)</f>
        <v>28101.09</v>
      </c>
      <c r="S491" s="184">
        <f>ROUND('[6]2040'!S54,2)</f>
        <v>28275.56</v>
      </c>
      <c r="T491" s="184">
        <f>ROUND('[6]2040'!T54,2)</f>
        <v>28244.44</v>
      </c>
      <c r="U491" s="184">
        <f>ROUND('[6]2040'!U54,2)</f>
        <v>28455.24</v>
      </c>
      <c r="V491" s="184">
        <f>ROUND('[6]2040'!V54,2)</f>
        <v>29849.5</v>
      </c>
      <c r="W491" s="184">
        <f>ROUND('[6]2040'!W54,2)</f>
        <v>33471.65</v>
      </c>
      <c r="X491" s="184">
        <f>ROUND('[6]2040'!X54,2)</f>
        <v>33692.99</v>
      </c>
      <c r="Y491" s="184">
        <f>ROUND('[6]2040'!Y54,2)</f>
        <v>33169.339999999997</v>
      </c>
      <c r="Z491" s="184">
        <f>ROUND('[6]2040'!Z54,2)</f>
        <v>31853.7</v>
      </c>
      <c r="AA491" s="184">
        <f>ROUND('[6]2040'!AA54,2)</f>
        <v>29465.59</v>
      </c>
      <c r="AB491" s="184">
        <f>ROUND('[6]2040'!AB54,2)</f>
        <v>27050.959999999999</v>
      </c>
      <c r="AC491" s="214"/>
      <c r="AD491" s="185"/>
    </row>
    <row r="492" spans="2:30" s="186" customFormat="1" ht="18.649999999999999" customHeight="1" x14ac:dyDescent="0.35">
      <c r="B492" s="207">
        <v>51441</v>
      </c>
      <c r="C492" s="13" t="s">
        <v>29</v>
      </c>
      <c r="D492" s="14">
        <f>+'[6]2040'!D55</f>
        <v>20</v>
      </c>
      <c r="E492" s="181">
        <f>ROUND('[6]2040'!E55,2)</f>
        <v>25008.05</v>
      </c>
      <c r="F492" s="182">
        <f>ROUND('[6]2040'!F55,2)</f>
        <v>23723.03</v>
      </c>
      <c r="G492" s="182">
        <f>ROUND('[6]2040'!G55,2)</f>
        <v>22787.3</v>
      </c>
      <c r="H492" s="182">
        <f>ROUND('[6]2040'!H55,2)</f>
        <v>22153.46</v>
      </c>
      <c r="I492" s="182">
        <f>ROUND('[6]2040'!I55,2)</f>
        <v>22215.96</v>
      </c>
      <c r="J492" s="182">
        <f>ROUND('[6]2040'!J55,2)</f>
        <v>22875.63</v>
      </c>
      <c r="K492" s="182">
        <f>ROUND('[6]2040'!K55,2)</f>
        <v>23477.99</v>
      </c>
      <c r="L492" s="182">
        <f>ROUND('[6]2040'!L55,2)</f>
        <v>26270.639999999999</v>
      </c>
      <c r="M492" s="182">
        <f>ROUND('[6]2040'!M55,2)</f>
        <v>29144.85</v>
      </c>
      <c r="N492" s="182">
        <f>ROUND('[6]2040'!N55,2)</f>
        <v>30570.639999999999</v>
      </c>
      <c r="O492" s="182">
        <f>ROUND('[6]2040'!O55,2)</f>
        <v>32058.639999999999</v>
      </c>
      <c r="P492" s="182">
        <f>ROUND('[6]2040'!P55,2)</f>
        <v>33107.4</v>
      </c>
      <c r="Q492" s="182">
        <f>ROUND('[6]2040'!Q55,2)</f>
        <v>31749.83</v>
      </c>
      <c r="R492" s="182">
        <f>ROUND('[6]2040'!R55,2)</f>
        <v>32464.51</v>
      </c>
      <c r="S492" s="182">
        <f>ROUND('[6]2040'!S55,2)</f>
        <v>34083.699999999997</v>
      </c>
      <c r="T492" s="182">
        <f>ROUND('[6]2040'!T55,2)</f>
        <v>34500.339999999997</v>
      </c>
      <c r="U492" s="182">
        <f>ROUND('[6]2040'!U55,2)</f>
        <v>34163.46</v>
      </c>
      <c r="V492" s="182">
        <f>ROUND('[6]2040'!V55,2)</f>
        <v>34609.769999999997</v>
      </c>
      <c r="W492" s="182">
        <f>ROUND('[6]2040'!W55,2)</f>
        <v>36304.1</v>
      </c>
      <c r="X492" s="182">
        <f>ROUND('[6]2040'!X55,2)</f>
        <v>35463.269999999997</v>
      </c>
      <c r="Y492" s="182">
        <f>ROUND('[6]2040'!Y55,2)</f>
        <v>34206.15</v>
      </c>
      <c r="Z492" s="182">
        <f>ROUND('[6]2040'!Z55,2)</f>
        <v>32384.65</v>
      </c>
      <c r="AA492" s="182">
        <f>ROUND('[6]2040'!AA55,2)</f>
        <v>29720.1</v>
      </c>
      <c r="AB492" s="182">
        <f>ROUND('[6]2040'!AB55,2)</f>
        <v>27089.86</v>
      </c>
      <c r="AC492" s="210">
        <f>SUM(E492:AB492)*D492+SUM(E493:AB493)*D493+SUM(E494:AB494)*D494+SUM(E495:AB495)*D495</f>
        <v>20701742.860000007</v>
      </c>
      <c r="AD492" s="185"/>
    </row>
    <row r="493" spans="2:30" s="186" customFormat="1" ht="18.649999999999999" customHeight="1" x14ac:dyDescent="0.35">
      <c r="B493" s="208"/>
      <c r="C493" s="9" t="s">
        <v>30</v>
      </c>
      <c r="D493" s="10">
        <f>+'[6]2040'!D56</f>
        <v>4</v>
      </c>
      <c r="E493" s="177">
        <f>ROUND('[6]2040'!E56,2)</f>
        <v>24411.48</v>
      </c>
      <c r="F493" s="178">
        <f>ROUND('[6]2040'!F56,2)</f>
        <v>23216.28</v>
      </c>
      <c r="G493" s="178">
        <f>ROUND('[6]2040'!G56,2)</f>
        <v>22377.51</v>
      </c>
      <c r="H493" s="178">
        <f>ROUND('[6]2040'!H56,2)</f>
        <v>21828.98</v>
      </c>
      <c r="I493" s="178">
        <f>ROUND('[6]2040'!I56,2)</f>
        <v>21815.91</v>
      </c>
      <c r="J493" s="178">
        <f>ROUND('[6]2040'!J56,2)</f>
        <v>21762.06</v>
      </c>
      <c r="K493" s="178">
        <f>ROUND('[6]2040'!K56,2)</f>
        <v>22087.11</v>
      </c>
      <c r="L493" s="178">
        <f>ROUND('[6]2040'!L56,2)</f>
        <v>24631.95</v>
      </c>
      <c r="M493" s="178">
        <f>ROUND('[6]2040'!M56,2)</f>
        <v>27493.93</v>
      </c>
      <c r="N493" s="178">
        <f>ROUND('[6]2040'!N56,2)</f>
        <v>29077.78</v>
      </c>
      <c r="O493" s="178">
        <f>ROUND('[6]2040'!O56,2)</f>
        <v>30727.23</v>
      </c>
      <c r="P493" s="178">
        <f>ROUND('[6]2040'!P56,2)</f>
        <v>31422.2</v>
      </c>
      <c r="Q493" s="178">
        <f>ROUND('[6]2040'!Q56,2)</f>
        <v>30856.87</v>
      </c>
      <c r="R493" s="178">
        <f>ROUND('[6]2040'!R56,2)</f>
        <v>30217.09</v>
      </c>
      <c r="S493" s="178">
        <f>ROUND('[6]2040'!S56,2)</f>
        <v>30014.42</v>
      </c>
      <c r="T493" s="178">
        <f>ROUND('[6]2040'!T56,2)</f>
        <v>30255.45</v>
      </c>
      <c r="U493" s="178">
        <f>ROUND('[6]2040'!U56,2)</f>
        <v>30105.48</v>
      </c>
      <c r="V493" s="178">
        <f>ROUND('[6]2040'!V56,2)</f>
        <v>31780.58</v>
      </c>
      <c r="W493" s="178">
        <f>ROUND('[6]2040'!W56,2)</f>
        <v>34401.410000000003</v>
      </c>
      <c r="X493" s="178">
        <f>ROUND('[6]2040'!X56,2)</f>
        <v>33820.050000000003</v>
      </c>
      <c r="Y493" s="178">
        <f>ROUND('[6]2040'!Y56,2)</f>
        <v>32604.18</v>
      </c>
      <c r="Z493" s="178">
        <f>ROUND('[6]2040'!Z56,2)</f>
        <v>31095.71</v>
      </c>
      <c r="AA493" s="178">
        <f>ROUND('[6]2040'!AA56,2)</f>
        <v>29189.78</v>
      </c>
      <c r="AB493" s="178">
        <f>ROUND('[6]2040'!AB56,2)</f>
        <v>27045.43</v>
      </c>
      <c r="AC493" s="210"/>
      <c r="AD493" s="185"/>
    </row>
    <row r="494" spans="2:30" s="186" customFormat="1" ht="18.649999999999999" customHeight="1" x14ac:dyDescent="0.35">
      <c r="B494" s="208"/>
      <c r="C494" s="9" t="s">
        <v>31</v>
      </c>
      <c r="D494" s="10">
        <f>+'[6]2040'!D57</f>
        <v>4</v>
      </c>
      <c r="E494" s="177">
        <f>ROUND('[6]2040'!E57,2)</f>
        <v>25301.22</v>
      </c>
      <c r="F494" s="178">
        <f>ROUND('[6]2040'!F57,2)</f>
        <v>24100.880000000001</v>
      </c>
      <c r="G494" s="178">
        <f>ROUND('[6]2040'!G57,2)</f>
        <v>23061.5</v>
      </c>
      <c r="H494" s="178">
        <f>ROUND('[6]2040'!H57,2)</f>
        <v>22360.97</v>
      </c>
      <c r="I494" s="178">
        <f>ROUND('[6]2040'!I57,2)</f>
        <v>22077.02</v>
      </c>
      <c r="J494" s="178">
        <f>ROUND('[6]2040'!J57,2)</f>
        <v>21705.040000000001</v>
      </c>
      <c r="K494" s="178">
        <f>ROUND('[6]2040'!K57,2)</f>
        <v>21169.360000000001</v>
      </c>
      <c r="L494" s="178">
        <f>ROUND('[6]2040'!L57,2)</f>
        <v>22334.51</v>
      </c>
      <c r="M494" s="178">
        <f>ROUND('[6]2040'!M57,2)</f>
        <v>23931.87</v>
      </c>
      <c r="N494" s="178">
        <f>ROUND('[6]2040'!N57,2)</f>
        <v>25244.6</v>
      </c>
      <c r="O494" s="178">
        <f>ROUND('[6]2040'!O57,2)</f>
        <v>26507.67</v>
      </c>
      <c r="P494" s="178">
        <f>ROUND('[6]2040'!P57,2)</f>
        <v>27174.880000000001</v>
      </c>
      <c r="Q494" s="178">
        <f>ROUND('[6]2040'!Q57,2)</f>
        <v>27669.94</v>
      </c>
      <c r="R494" s="178">
        <f>ROUND('[6]2040'!R57,2)</f>
        <v>27643.85</v>
      </c>
      <c r="S494" s="178">
        <f>ROUND('[6]2040'!S57,2)</f>
        <v>27564.41</v>
      </c>
      <c r="T494" s="178">
        <f>ROUND('[6]2040'!T57,2)</f>
        <v>27690.07</v>
      </c>
      <c r="U494" s="178">
        <f>ROUND('[6]2040'!U57,2)</f>
        <v>27722.25</v>
      </c>
      <c r="V494" s="178">
        <f>ROUND('[6]2040'!V57,2)</f>
        <v>29597.360000000001</v>
      </c>
      <c r="W494" s="178">
        <f>ROUND('[6]2040'!W57,2)</f>
        <v>32418.48</v>
      </c>
      <c r="X494" s="178">
        <f>ROUND('[6]2040'!X57,2)</f>
        <v>32465.91</v>
      </c>
      <c r="Y494" s="178">
        <f>ROUND('[6]2040'!Y57,2)</f>
        <v>31750</v>
      </c>
      <c r="Z494" s="178">
        <f>ROUND('[6]2040'!Z57,2)</f>
        <v>30501.98</v>
      </c>
      <c r="AA494" s="178">
        <f>ROUND('[6]2040'!AA57,2)</f>
        <v>28547.07</v>
      </c>
      <c r="AB494" s="178">
        <f>ROUND('[6]2040'!AB57,2)</f>
        <v>26479.29</v>
      </c>
      <c r="AC494" s="210"/>
      <c r="AD494" s="185"/>
    </row>
    <row r="495" spans="2:30" s="186" customFormat="1" ht="18.649999999999999" customHeight="1" thickBot="1" x14ac:dyDescent="0.4">
      <c r="B495" s="208"/>
      <c r="C495" s="15" t="s">
        <v>32</v>
      </c>
      <c r="D495" s="16">
        <f>+'[6]2040'!D58</f>
        <v>2</v>
      </c>
      <c r="E495" s="179">
        <f>ROUND('[6]2040'!E58,2)</f>
        <v>25301.22</v>
      </c>
      <c r="F495" s="180">
        <f>ROUND('[6]2040'!F58,2)</f>
        <v>24100.880000000001</v>
      </c>
      <c r="G495" s="180">
        <f>ROUND('[6]2040'!G58,2)</f>
        <v>23061.5</v>
      </c>
      <c r="H495" s="180">
        <f>ROUND('[6]2040'!H58,2)</f>
        <v>22360.97</v>
      </c>
      <c r="I495" s="180">
        <f>ROUND('[6]2040'!I58,2)</f>
        <v>22077.02</v>
      </c>
      <c r="J495" s="180">
        <f>ROUND('[6]2040'!J58,2)</f>
        <v>21705.040000000001</v>
      </c>
      <c r="K495" s="180">
        <f>ROUND('[6]2040'!K58,2)</f>
        <v>21169.360000000001</v>
      </c>
      <c r="L495" s="180">
        <f>ROUND('[6]2040'!L58,2)</f>
        <v>22334.51</v>
      </c>
      <c r="M495" s="180">
        <f>ROUND('[6]2040'!M58,2)</f>
        <v>23931.87</v>
      </c>
      <c r="N495" s="180">
        <f>ROUND('[6]2040'!N58,2)</f>
        <v>25244.6</v>
      </c>
      <c r="O495" s="180">
        <f>ROUND('[6]2040'!O58,2)</f>
        <v>26507.67</v>
      </c>
      <c r="P495" s="180">
        <f>ROUND('[6]2040'!P58,2)</f>
        <v>27174.880000000001</v>
      </c>
      <c r="Q495" s="180">
        <f>ROUND('[6]2040'!Q58,2)</f>
        <v>27669.94</v>
      </c>
      <c r="R495" s="180">
        <f>ROUND('[6]2040'!R58,2)</f>
        <v>27643.85</v>
      </c>
      <c r="S495" s="180">
        <f>ROUND('[6]2040'!S58,2)</f>
        <v>27564.41</v>
      </c>
      <c r="T495" s="180">
        <f>ROUND('[6]2040'!T58,2)</f>
        <v>27690.07</v>
      </c>
      <c r="U495" s="180">
        <f>ROUND('[6]2040'!U58,2)</f>
        <v>27722.25</v>
      </c>
      <c r="V495" s="180">
        <f>ROUND('[6]2040'!V58,2)</f>
        <v>29597.360000000001</v>
      </c>
      <c r="W495" s="180">
        <f>ROUND('[6]2040'!W58,2)</f>
        <v>32418.48</v>
      </c>
      <c r="X495" s="180">
        <f>ROUND('[6]2040'!X58,2)</f>
        <v>32465.91</v>
      </c>
      <c r="Y495" s="180">
        <f>ROUND('[6]2040'!Y58,2)</f>
        <v>31750</v>
      </c>
      <c r="Z495" s="180">
        <f>ROUND('[6]2040'!Z58,2)</f>
        <v>30501.98</v>
      </c>
      <c r="AA495" s="180">
        <f>ROUND('[6]2040'!AA58,2)</f>
        <v>28547.07</v>
      </c>
      <c r="AB495" s="180">
        <f>ROUND('[6]2040'!AB58,2)</f>
        <v>26479.29</v>
      </c>
      <c r="AC495" s="210"/>
      <c r="AD495" s="185"/>
    </row>
    <row r="496" spans="2:30" s="186" customFormat="1" ht="18.649999999999999" customHeight="1" x14ac:dyDescent="0.35">
      <c r="B496" s="211">
        <v>51471</v>
      </c>
      <c r="C496" s="6" t="s">
        <v>29</v>
      </c>
      <c r="D496" s="7">
        <f>+'[6]2040'!D59</f>
        <v>20</v>
      </c>
      <c r="E496" s="175">
        <f>ROUND('[6]2040'!E59,2)</f>
        <v>26724.31</v>
      </c>
      <c r="F496" s="176">
        <f>ROUND('[6]2040'!F59,2)</f>
        <v>25254.5</v>
      </c>
      <c r="G496" s="176">
        <f>ROUND('[6]2040'!G59,2)</f>
        <v>24204.78</v>
      </c>
      <c r="H496" s="176">
        <f>ROUND('[6]2040'!H59,2)</f>
        <v>23554.32</v>
      </c>
      <c r="I496" s="176">
        <f>ROUND('[6]2040'!I59,2)</f>
        <v>23470.66</v>
      </c>
      <c r="J496" s="176">
        <f>ROUND('[6]2040'!J59,2)</f>
        <v>23889.93</v>
      </c>
      <c r="K496" s="176">
        <f>ROUND('[6]2040'!K59,2)</f>
        <v>24057.02</v>
      </c>
      <c r="L496" s="176">
        <f>ROUND('[6]2040'!L59,2)</f>
        <v>26956.61</v>
      </c>
      <c r="M496" s="176">
        <f>ROUND('[6]2040'!M59,2)</f>
        <v>29901.45</v>
      </c>
      <c r="N496" s="176">
        <f>ROUND('[6]2040'!N59,2)</f>
        <v>31587.66</v>
      </c>
      <c r="O496" s="176">
        <f>ROUND('[6]2040'!O59,2)</f>
        <v>33071.769999999997</v>
      </c>
      <c r="P496" s="176">
        <f>ROUND('[6]2040'!P59,2)</f>
        <v>34145.65</v>
      </c>
      <c r="Q496" s="176">
        <f>ROUND('[6]2040'!Q59,2)</f>
        <v>33205.480000000003</v>
      </c>
      <c r="R496" s="176">
        <f>ROUND('[6]2040'!R59,2)</f>
        <v>33630.99</v>
      </c>
      <c r="S496" s="176">
        <f>ROUND('[6]2040'!S59,2)</f>
        <v>35052.959999999999</v>
      </c>
      <c r="T496" s="176">
        <f>ROUND('[6]2040'!T59,2)</f>
        <v>35490.519999999997</v>
      </c>
      <c r="U496" s="176">
        <f>ROUND('[6]2040'!U59,2)</f>
        <v>35197.800000000003</v>
      </c>
      <c r="V496" s="176">
        <f>ROUND('[6]2040'!V59,2)</f>
        <v>35233.54</v>
      </c>
      <c r="W496" s="176">
        <f>ROUND('[6]2040'!W59,2)</f>
        <v>37948.68</v>
      </c>
      <c r="X496" s="176">
        <f>ROUND('[6]2040'!X59,2)</f>
        <v>37218.51</v>
      </c>
      <c r="Y496" s="176">
        <f>ROUND('[6]2040'!Y59,2)</f>
        <v>35856.25</v>
      </c>
      <c r="Z496" s="176">
        <f>ROUND('[6]2040'!Z59,2)</f>
        <v>33914.19</v>
      </c>
      <c r="AA496" s="176">
        <f>ROUND('[6]2040'!AA59,2)</f>
        <v>31421.95</v>
      </c>
      <c r="AB496" s="176">
        <f>ROUND('[6]2040'!AB59,2)</f>
        <v>28996.85</v>
      </c>
      <c r="AC496" s="209">
        <f>SUM(E496:AB496)*D496+SUM(E497:AB497)*D497+SUM(E498:AB498)*D498+SUM(E499:AB499)*D499</f>
        <v>22404831.719999999</v>
      </c>
      <c r="AD496" s="185"/>
    </row>
    <row r="497" spans="2:31" s="186" customFormat="1" ht="18.649999999999999" customHeight="1" x14ac:dyDescent="0.35">
      <c r="B497" s="212" t="s">
        <v>34</v>
      </c>
      <c r="C497" s="9" t="s">
        <v>30</v>
      </c>
      <c r="D497" s="10">
        <f>+'[6]2040'!D60</f>
        <v>4</v>
      </c>
      <c r="E497" s="177">
        <f>ROUND('[6]2040'!E60,2)</f>
        <v>27157.09</v>
      </c>
      <c r="F497" s="178">
        <f>ROUND('[6]2040'!F60,2)</f>
        <v>25619.62</v>
      </c>
      <c r="G497" s="178">
        <f>ROUND('[6]2040'!G60,2)</f>
        <v>24606.799999999999</v>
      </c>
      <c r="H497" s="178">
        <f>ROUND('[6]2040'!H60,2)</f>
        <v>23864.22</v>
      </c>
      <c r="I497" s="178">
        <f>ROUND('[6]2040'!I60,2)</f>
        <v>23658.959999999999</v>
      </c>
      <c r="J497" s="178">
        <f>ROUND('[6]2040'!J60,2)</f>
        <v>23700.22</v>
      </c>
      <c r="K497" s="178">
        <f>ROUND('[6]2040'!K60,2)</f>
        <v>23464.81</v>
      </c>
      <c r="L497" s="178">
        <f>ROUND('[6]2040'!L60,2)</f>
        <v>25619.32</v>
      </c>
      <c r="M497" s="178">
        <f>ROUND('[6]2040'!M60,2)</f>
        <v>28737.81</v>
      </c>
      <c r="N497" s="178">
        <f>ROUND('[6]2040'!N60,2)</f>
        <v>30566.63</v>
      </c>
      <c r="O497" s="178">
        <f>ROUND('[6]2040'!O60,2)</f>
        <v>32106.9</v>
      </c>
      <c r="P497" s="178">
        <f>ROUND('[6]2040'!P60,2)</f>
        <v>33046.980000000003</v>
      </c>
      <c r="Q497" s="178">
        <f>ROUND('[6]2040'!Q60,2)</f>
        <v>32511.74</v>
      </c>
      <c r="R497" s="178">
        <f>ROUND('[6]2040'!R60,2)</f>
        <v>32276.639999999999</v>
      </c>
      <c r="S497" s="178">
        <f>ROUND('[6]2040'!S60,2)</f>
        <v>32141.34</v>
      </c>
      <c r="T497" s="178">
        <f>ROUND('[6]2040'!T60,2)</f>
        <v>32486.43</v>
      </c>
      <c r="U497" s="178">
        <f>ROUND('[6]2040'!U60,2)</f>
        <v>32385.52</v>
      </c>
      <c r="V497" s="178">
        <f>ROUND('[6]2040'!V60,2)</f>
        <v>33101.61</v>
      </c>
      <c r="W497" s="178">
        <f>ROUND('[6]2040'!W60,2)</f>
        <v>36768.35</v>
      </c>
      <c r="X497" s="178">
        <f>ROUND('[6]2040'!X60,2)</f>
        <v>36246.800000000003</v>
      </c>
      <c r="Y497" s="178">
        <f>ROUND('[6]2040'!Y60,2)</f>
        <v>34882.129999999997</v>
      </c>
      <c r="Z497" s="178">
        <f>ROUND('[6]2040'!Z60,2)</f>
        <v>33393.279999999999</v>
      </c>
      <c r="AA497" s="178">
        <f>ROUND('[6]2040'!AA60,2)</f>
        <v>31329.02</v>
      </c>
      <c r="AB497" s="178">
        <f>ROUND('[6]2040'!AB60,2)</f>
        <v>29202.38</v>
      </c>
      <c r="AC497" s="210"/>
      <c r="AD497" s="185"/>
    </row>
    <row r="498" spans="2:31" s="186" customFormat="1" ht="18.649999999999999" customHeight="1" x14ac:dyDescent="0.35">
      <c r="B498" s="212" t="s">
        <v>34</v>
      </c>
      <c r="C498" s="9" t="s">
        <v>31</v>
      </c>
      <c r="D498" s="10">
        <f>+'[6]2040'!D61</f>
        <v>5</v>
      </c>
      <c r="E498" s="177">
        <f>ROUND('[6]2040'!E61,2)</f>
        <v>27328.53</v>
      </c>
      <c r="F498" s="178">
        <f>ROUND('[6]2040'!F61,2)</f>
        <v>25985.32</v>
      </c>
      <c r="G498" s="178">
        <f>ROUND('[6]2040'!G61,2)</f>
        <v>24903.5</v>
      </c>
      <c r="H498" s="178">
        <f>ROUND('[6]2040'!H61,2)</f>
        <v>24141.64</v>
      </c>
      <c r="I498" s="178">
        <f>ROUND('[6]2040'!I61,2)</f>
        <v>23797.95</v>
      </c>
      <c r="J498" s="178">
        <f>ROUND('[6]2040'!J61,2)</f>
        <v>23557.8</v>
      </c>
      <c r="K498" s="178">
        <f>ROUND('[6]2040'!K61,2)</f>
        <v>22508.17</v>
      </c>
      <c r="L498" s="178">
        <f>ROUND('[6]2040'!L61,2)</f>
        <v>23643.55</v>
      </c>
      <c r="M498" s="178">
        <f>ROUND('[6]2040'!M61,2)</f>
        <v>25448.32</v>
      </c>
      <c r="N498" s="178">
        <f>ROUND('[6]2040'!N61,2)</f>
        <v>26997.69</v>
      </c>
      <c r="O498" s="178">
        <f>ROUND('[6]2040'!O61,2)</f>
        <v>28016.94</v>
      </c>
      <c r="P498" s="178">
        <f>ROUND('[6]2040'!P61,2)</f>
        <v>28851.57</v>
      </c>
      <c r="Q498" s="178">
        <f>ROUND('[6]2040'!Q61,2)</f>
        <v>29347.9</v>
      </c>
      <c r="R498" s="178">
        <f>ROUND('[6]2040'!R61,2)</f>
        <v>29624.29</v>
      </c>
      <c r="S498" s="178">
        <f>ROUND('[6]2040'!S61,2)</f>
        <v>28786.99</v>
      </c>
      <c r="T498" s="178">
        <f>ROUND('[6]2040'!T61,2)</f>
        <v>29574.3</v>
      </c>
      <c r="U498" s="178">
        <f>ROUND('[6]2040'!U61,2)</f>
        <v>29750.1</v>
      </c>
      <c r="V498" s="178">
        <f>ROUND('[6]2040'!V61,2)</f>
        <v>30743.39</v>
      </c>
      <c r="W498" s="178">
        <f>ROUND('[6]2040'!W61,2)</f>
        <v>34472.47</v>
      </c>
      <c r="X498" s="178">
        <f>ROUND('[6]2040'!X61,2)</f>
        <v>34198.199999999997</v>
      </c>
      <c r="Y498" s="178">
        <f>ROUND('[6]2040'!Y61,2)</f>
        <v>33305.72</v>
      </c>
      <c r="Z498" s="178">
        <f>ROUND('[6]2040'!Z61,2)</f>
        <v>32082.98</v>
      </c>
      <c r="AA498" s="178">
        <f>ROUND('[6]2040'!AA61,2)</f>
        <v>30233.24</v>
      </c>
      <c r="AB498" s="178">
        <f>ROUND('[6]2040'!AB61,2)</f>
        <v>28357.4</v>
      </c>
      <c r="AC498" s="210"/>
      <c r="AD498" s="185"/>
    </row>
    <row r="499" spans="2:31" s="186" customFormat="1" ht="18.649999999999999" customHeight="1" thickBot="1" x14ac:dyDescent="0.4">
      <c r="B499" s="213" t="s">
        <v>34</v>
      </c>
      <c r="C499" s="11" t="s">
        <v>32</v>
      </c>
      <c r="D499" s="12">
        <f>+'[6]2040'!D62</f>
        <v>2</v>
      </c>
      <c r="E499" s="183">
        <f>ROUND('[6]2040'!E62,2)</f>
        <v>27328.53</v>
      </c>
      <c r="F499" s="184">
        <f>ROUND('[6]2040'!F62,2)</f>
        <v>25985.32</v>
      </c>
      <c r="G499" s="184">
        <f>ROUND('[6]2040'!G62,2)</f>
        <v>24903.5</v>
      </c>
      <c r="H499" s="184">
        <f>ROUND('[6]2040'!H62,2)</f>
        <v>24141.64</v>
      </c>
      <c r="I499" s="184">
        <f>ROUND('[6]2040'!I62,2)</f>
        <v>23797.95</v>
      </c>
      <c r="J499" s="184">
        <f>ROUND('[6]2040'!J62,2)</f>
        <v>23557.8</v>
      </c>
      <c r="K499" s="184">
        <f>ROUND('[6]2040'!K62,2)</f>
        <v>22508.17</v>
      </c>
      <c r="L499" s="184">
        <f>ROUND('[6]2040'!L62,2)</f>
        <v>23643.55</v>
      </c>
      <c r="M499" s="184">
        <f>ROUND('[6]2040'!M62,2)</f>
        <v>25448.32</v>
      </c>
      <c r="N499" s="184">
        <f>ROUND('[6]2040'!N62,2)</f>
        <v>26997.69</v>
      </c>
      <c r="O499" s="184">
        <f>ROUND('[6]2040'!O62,2)</f>
        <v>28016.94</v>
      </c>
      <c r="P499" s="184">
        <f>ROUND('[6]2040'!P62,2)</f>
        <v>28851.57</v>
      </c>
      <c r="Q499" s="184">
        <f>ROUND('[6]2040'!Q62,2)</f>
        <v>29347.9</v>
      </c>
      <c r="R499" s="184">
        <f>ROUND('[6]2040'!R62,2)</f>
        <v>29624.29</v>
      </c>
      <c r="S499" s="184">
        <f>ROUND('[6]2040'!S62,2)</f>
        <v>28786.99</v>
      </c>
      <c r="T499" s="184">
        <f>ROUND('[6]2040'!T62,2)</f>
        <v>29574.3</v>
      </c>
      <c r="U499" s="184">
        <f>ROUND('[6]2040'!U62,2)</f>
        <v>29750.1</v>
      </c>
      <c r="V499" s="184">
        <f>ROUND('[6]2040'!V62,2)</f>
        <v>30743.39</v>
      </c>
      <c r="W499" s="184">
        <f>ROUND('[6]2040'!W62,2)</f>
        <v>34472.47</v>
      </c>
      <c r="X499" s="184">
        <f>ROUND('[6]2040'!X62,2)</f>
        <v>34198.199999999997</v>
      </c>
      <c r="Y499" s="184">
        <f>ROUND('[6]2040'!Y62,2)</f>
        <v>33305.72</v>
      </c>
      <c r="Z499" s="184">
        <f>ROUND('[6]2040'!Z62,2)</f>
        <v>32082.98</v>
      </c>
      <c r="AA499" s="184">
        <f>ROUND('[6]2040'!AA62,2)</f>
        <v>30233.24</v>
      </c>
      <c r="AB499" s="184">
        <f>ROUND('[6]2040'!AB62,2)</f>
        <v>28357.4</v>
      </c>
      <c r="AC499" s="214"/>
      <c r="AD499" s="185"/>
    </row>
    <row r="500" spans="2:31" s="186" customFormat="1" ht="18.649999999999999" customHeight="1" thickBot="1" x14ac:dyDescent="0.4">
      <c r="E500" s="190"/>
      <c r="F500" s="189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89"/>
      <c r="V500" s="189"/>
      <c r="W500" s="189"/>
      <c r="X500" s="189"/>
      <c r="Y500" s="189"/>
      <c r="Z500" s="218" t="s">
        <v>33</v>
      </c>
      <c r="AA500" s="219"/>
      <c r="AB500" s="220"/>
      <c r="AC500" s="135">
        <f>SUM(AC452:AC499)</f>
        <v>265602524.82999995</v>
      </c>
      <c r="AD500" s="189"/>
      <c r="AE500" s="185"/>
    </row>
    <row r="501" spans="2:31" ht="20.25" customHeight="1" thickBot="1" x14ac:dyDescent="0.4">
      <c r="Z501" s="218" t="s">
        <v>49</v>
      </c>
      <c r="AA501" s="219"/>
      <c r="AB501" s="220"/>
      <c r="AC501" s="135">
        <f>+AC353+AC304+AC255+AC206+AC157+AC108+AC59+AC402+AC451+AC500</f>
        <v>3171595717.8999996</v>
      </c>
    </row>
    <row r="503" spans="2:31" x14ac:dyDescent="0.35">
      <c r="AC503" s="133">
        <f>+AC501/1000</f>
        <v>3171595.7178999996</v>
      </c>
    </row>
  </sheetData>
  <mergeCells count="256">
    <mergeCell ref="B4:AC4"/>
    <mergeCell ref="B5:AC5"/>
    <mergeCell ref="B6:AC6"/>
    <mergeCell ref="B7:AC7"/>
    <mergeCell ref="B8:AC8"/>
    <mergeCell ref="B11:B14"/>
    <mergeCell ref="AC11:AC14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51:B54"/>
    <mergeCell ref="AC51:AC54"/>
    <mergeCell ref="B55:B58"/>
    <mergeCell ref="AC55:AC58"/>
    <mergeCell ref="Z59:AB59"/>
    <mergeCell ref="B60:B63"/>
    <mergeCell ref="AC60:AC63"/>
    <mergeCell ref="B39:B42"/>
    <mergeCell ref="AC39:AC42"/>
    <mergeCell ref="B43:B46"/>
    <mergeCell ref="AC43:AC46"/>
    <mergeCell ref="B47:B50"/>
    <mergeCell ref="AC47:AC50"/>
    <mergeCell ref="B76:B79"/>
    <mergeCell ref="AC76:AC79"/>
    <mergeCell ref="B80:B83"/>
    <mergeCell ref="AC80:AC83"/>
    <mergeCell ref="B84:B87"/>
    <mergeCell ref="AC84:AC87"/>
    <mergeCell ref="B64:B67"/>
    <mergeCell ref="AC64:AC67"/>
    <mergeCell ref="B68:B71"/>
    <mergeCell ref="AC68:AC71"/>
    <mergeCell ref="B72:B75"/>
    <mergeCell ref="AC72:AC75"/>
    <mergeCell ref="B100:B103"/>
    <mergeCell ref="AC100:AC103"/>
    <mergeCell ref="B104:B107"/>
    <mergeCell ref="AC104:AC107"/>
    <mergeCell ref="Z108:AB108"/>
    <mergeCell ref="B109:B112"/>
    <mergeCell ref="AC109:AC112"/>
    <mergeCell ref="B88:B91"/>
    <mergeCell ref="AC88:AC91"/>
    <mergeCell ref="B92:B95"/>
    <mergeCell ref="AC92:AC95"/>
    <mergeCell ref="B96:B99"/>
    <mergeCell ref="AC96:AC99"/>
    <mergeCell ref="B125:B128"/>
    <mergeCell ref="AC125:AC128"/>
    <mergeCell ref="B129:B132"/>
    <mergeCell ref="AC129:AC132"/>
    <mergeCell ref="B133:B136"/>
    <mergeCell ref="AC133:AC136"/>
    <mergeCell ref="B113:B116"/>
    <mergeCell ref="AC113:AC116"/>
    <mergeCell ref="B117:B120"/>
    <mergeCell ref="AC117:AC120"/>
    <mergeCell ref="B121:B124"/>
    <mergeCell ref="AC121:AC124"/>
    <mergeCell ref="B149:B152"/>
    <mergeCell ref="AC149:AC152"/>
    <mergeCell ref="B153:B156"/>
    <mergeCell ref="AC153:AC156"/>
    <mergeCell ref="Z157:AB157"/>
    <mergeCell ref="B158:B161"/>
    <mergeCell ref="AC158:AC161"/>
    <mergeCell ref="B137:B140"/>
    <mergeCell ref="AC137:AC140"/>
    <mergeCell ref="B141:B144"/>
    <mergeCell ref="AC141:AC144"/>
    <mergeCell ref="B145:B148"/>
    <mergeCell ref="AC145:AC148"/>
    <mergeCell ref="B174:B177"/>
    <mergeCell ref="AC174:AC177"/>
    <mergeCell ref="B178:B181"/>
    <mergeCell ref="AC178:AC181"/>
    <mergeCell ref="B182:B185"/>
    <mergeCell ref="AC182:AC185"/>
    <mergeCell ref="B162:B165"/>
    <mergeCell ref="AC162:AC165"/>
    <mergeCell ref="B166:B169"/>
    <mergeCell ref="AC166:AC169"/>
    <mergeCell ref="B170:B173"/>
    <mergeCell ref="AC170:AC173"/>
    <mergeCell ref="B198:B201"/>
    <mergeCell ref="AC198:AC201"/>
    <mergeCell ref="B202:B205"/>
    <mergeCell ref="AC202:AC205"/>
    <mergeCell ref="Z206:AB206"/>
    <mergeCell ref="B207:B210"/>
    <mergeCell ref="AC207:AC210"/>
    <mergeCell ref="B186:B189"/>
    <mergeCell ref="AC186:AC189"/>
    <mergeCell ref="B190:B193"/>
    <mergeCell ref="AC190:AC193"/>
    <mergeCell ref="B194:B197"/>
    <mergeCell ref="AC194:AC197"/>
    <mergeCell ref="B223:B226"/>
    <mergeCell ref="AC223:AC226"/>
    <mergeCell ref="B227:B230"/>
    <mergeCell ref="AC227:AC230"/>
    <mergeCell ref="B231:B234"/>
    <mergeCell ref="AC231:AC234"/>
    <mergeCell ref="B211:B214"/>
    <mergeCell ref="AC211:AC214"/>
    <mergeCell ref="B215:B218"/>
    <mergeCell ref="AC215:AC218"/>
    <mergeCell ref="B219:B222"/>
    <mergeCell ref="AC219:AC222"/>
    <mergeCell ref="B247:B250"/>
    <mergeCell ref="AC247:AC250"/>
    <mergeCell ref="B251:B254"/>
    <mergeCell ref="AC251:AC254"/>
    <mergeCell ref="Z255:AB255"/>
    <mergeCell ref="B256:B259"/>
    <mergeCell ref="AC256:AC259"/>
    <mergeCell ref="B235:B238"/>
    <mergeCell ref="AC235:AC238"/>
    <mergeCell ref="B239:B242"/>
    <mergeCell ref="AC239:AC242"/>
    <mergeCell ref="B243:B246"/>
    <mergeCell ref="AC243:AC246"/>
    <mergeCell ref="B272:B275"/>
    <mergeCell ref="AC272:AC275"/>
    <mergeCell ref="B276:B279"/>
    <mergeCell ref="AC276:AC279"/>
    <mergeCell ref="B280:B283"/>
    <mergeCell ref="AC280:AC283"/>
    <mergeCell ref="B260:B263"/>
    <mergeCell ref="AC260:AC263"/>
    <mergeCell ref="B264:B267"/>
    <mergeCell ref="AC264:AC267"/>
    <mergeCell ref="B268:B271"/>
    <mergeCell ref="AC268:AC271"/>
    <mergeCell ref="B296:B299"/>
    <mergeCell ref="AC296:AC299"/>
    <mergeCell ref="B300:B303"/>
    <mergeCell ref="AC300:AC303"/>
    <mergeCell ref="Z304:AB304"/>
    <mergeCell ref="B305:B308"/>
    <mergeCell ref="AC305:AC308"/>
    <mergeCell ref="B284:B287"/>
    <mergeCell ref="AC284:AC287"/>
    <mergeCell ref="B288:B291"/>
    <mergeCell ref="AC288:AC291"/>
    <mergeCell ref="B292:B295"/>
    <mergeCell ref="AC292:AC295"/>
    <mergeCell ref="B321:B324"/>
    <mergeCell ref="AC321:AC324"/>
    <mergeCell ref="B325:B328"/>
    <mergeCell ref="AC325:AC328"/>
    <mergeCell ref="B329:B332"/>
    <mergeCell ref="AC329:AC332"/>
    <mergeCell ref="B309:B312"/>
    <mergeCell ref="AC309:AC312"/>
    <mergeCell ref="B313:B316"/>
    <mergeCell ref="AC313:AC316"/>
    <mergeCell ref="B317:B320"/>
    <mergeCell ref="AC317:AC320"/>
    <mergeCell ref="B345:B348"/>
    <mergeCell ref="AC345:AC348"/>
    <mergeCell ref="B349:B352"/>
    <mergeCell ref="AC349:AC352"/>
    <mergeCell ref="Z353:AB353"/>
    <mergeCell ref="B354:B357"/>
    <mergeCell ref="AC354:AC357"/>
    <mergeCell ref="B333:B336"/>
    <mergeCell ref="AC333:AC336"/>
    <mergeCell ref="B337:B340"/>
    <mergeCell ref="AC337:AC340"/>
    <mergeCell ref="B341:B344"/>
    <mergeCell ref="AC341:AC344"/>
    <mergeCell ref="B370:B373"/>
    <mergeCell ref="AC370:AC373"/>
    <mergeCell ref="B374:B377"/>
    <mergeCell ref="AC374:AC377"/>
    <mergeCell ref="B378:B381"/>
    <mergeCell ref="AC378:AC381"/>
    <mergeCell ref="B358:B361"/>
    <mergeCell ref="AC358:AC361"/>
    <mergeCell ref="B362:B365"/>
    <mergeCell ref="AC362:AC365"/>
    <mergeCell ref="B366:B369"/>
    <mergeCell ref="AC366:AC369"/>
    <mergeCell ref="B394:B397"/>
    <mergeCell ref="AC394:AC397"/>
    <mergeCell ref="B398:B401"/>
    <mergeCell ref="AC398:AC401"/>
    <mergeCell ref="Z402:AB402"/>
    <mergeCell ref="B403:B406"/>
    <mergeCell ref="AC403:AC406"/>
    <mergeCell ref="B382:B385"/>
    <mergeCell ref="AC382:AC385"/>
    <mergeCell ref="B386:B389"/>
    <mergeCell ref="AC386:AC389"/>
    <mergeCell ref="B390:B393"/>
    <mergeCell ref="AC390:AC393"/>
    <mergeCell ref="B419:B422"/>
    <mergeCell ref="AC419:AC422"/>
    <mergeCell ref="B423:B426"/>
    <mergeCell ref="AC423:AC426"/>
    <mergeCell ref="B427:B430"/>
    <mergeCell ref="AC427:AC430"/>
    <mergeCell ref="B407:B410"/>
    <mergeCell ref="AC407:AC410"/>
    <mergeCell ref="B411:B414"/>
    <mergeCell ref="AC411:AC414"/>
    <mergeCell ref="B415:B418"/>
    <mergeCell ref="AC415:AC418"/>
    <mergeCell ref="B443:B446"/>
    <mergeCell ref="AC443:AC446"/>
    <mergeCell ref="B447:B450"/>
    <mergeCell ref="AC447:AC450"/>
    <mergeCell ref="Z451:AB451"/>
    <mergeCell ref="B452:B455"/>
    <mergeCell ref="AC452:AC455"/>
    <mergeCell ref="B431:B434"/>
    <mergeCell ref="AC431:AC434"/>
    <mergeCell ref="B435:B438"/>
    <mergeCell ref="AC435:AC438"/>
    <mergeCell ref="B439:B442"/>
    <mergeCell ref="AC439:AC442"/>
    <mergeCell ref="B468:B471"/>
    <mergeCell ref="AC468:AC471"/>
    <mergeCell ref="B472:B475"/>
    <mergeCell ref="AC472:AC475"/>
    <mergeCell ref="B476:B479"/>
    <mergeCell ref="AC476:AC479"/>
    <mergeCell ref="B456:B459"/>
    <mergeCell ref="AC456:AC459"/>
    <mergeCell ref="B460:B463"/>
    <mergeCell ref="AC460:AC463"/>
    <mergeCell ref="B464:B467"/>
    <mergeCell ref="AC464:AC467"/>
    <mergeCell ref="B492:B495"/>
    <mergeCell ref="AC492:AC495"/>
    <mergeCell ref="B496:B499"/>
    <mergeCell ref="AC496:AC499"/>
    <mergeCell ref="Z500:AB500"/>
    <mergeCell ref="Z501:AB501"/>
    <mergeCell ref="B480:B483"/>
    <mergeCell ref="AC480:AC483"/>
    <mergeCell ref="B484:B487"/>
    <mergeCell ref="AC484:AC487"/>
    <mergeCell ref="B488:B491"/>
    <mergeCell ref="AC488:AC491"/>
  </mergeCells>
  <conditionalFormatting sqref="E11:AB58">
    <cfRule type="cellIs" dxfId="24" priority="10" operator="lessThan">
      <formula>0</formula>
    </cfRule>
  </conditionalFormatting>
  <conditionalFormatting sqref="E60:AB107">
    <cfRule type="cellIs" dxfId="23" priority="9" operator="lessThan">
      <formula>0</formula>
    </cfRule>
  </conditionalFormatting>
  <conditionalFormatting sqref="E109:AB156">
    <cfRule type="cellIs" dxfId="22" priority="8" operator="lessThan">
      <formula>0</formula>
    </cfRule>
  </conditionalFormatting>
  <conditionalFormatting sqref="E158:AB205">
    <cfRule type="cellIs" dxfId="21" priority="7" operator="lessThan">
      <formula>0</formula>
    </cfRule>
  </conditionalFormatting>
  <conditionalFormatting sqref="E207:AB254">
    <cfRule type="cellIs" dxfId="20" priority="6" operator="lessThan">
      <formula>0</formula>
    </cfRule>
  </conditionalFormatting>
  <conditionalFormatting sqref="E256:AB303">
    <cfRule type="cellIs" dxfId="19" priority="5" operator="lessThan">
      <formula>0</formula>
    </cfRule>
  </conditionalFormatting>
  <conditionalFormatting sqref="E305:AB352">
    <cfRule type="cellIs" dxfId="18" priority="4" operator="lessThan">
      <formula>0</formula>
    </cfRule>
  </conditionalFormatting>
  <conditionalFormatting sqref="E354:AB401">
    <cfRule type="cellIs" dxfId="17" priority="3" operator="lessThan">
      <formula>0</formula>
    </cfRule>
  </conditionalFormatting>
  <conditionalFormatting sqref="E403:AB450">
    <cfRule type="cellIs" dxfId="16" priority="2" operator="lessThan">
      <formula>0</formula>
    </cfRule>
  </conditionalFormatting>
  <conditionalFormatting sqref="E452:AB499">
    <cfRule type="cellIs" dxfId="15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Listas desplegables</vt:lpstr>
      <vt:lpstr>Banco de Preguntas</vt:lpstr>
      <vt:lpstr>Factor garantia</vt:lpstr>
      <vt:lpstr>Cantidades suministrar P1_27-29</vt:lpstr>
      <vt:lpstr>Cantidades suministrar P2_30-31</vt:lpstr>
      <vt:lpstr>Hoja9</vt:lpstr>
      <vt:lpstr>Hoja9 (2)</vt:lpstr>
      <vt:lpstr>Cant suministrar P3_32-41</vt:lpstr>
      <vt:lpstr>Cantidades 1_(2027-2029)</vt:lpstr>
      <vt:lpstr>Cantidades P2_(2030-2031)</vt:lpstr>
      <vt:lpstr>Cantidades P3_(2032-2041)</vt:lpstr>
      <vt:lpstr>Cantidades P7_(2031-2040)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Transacciones del MEM</dc:creator>
  <cp:lastModifiedBy>VIVIANA FLOREZ RODRIGUEZ</cp:lastModifiedBy>
  <cp:lastPrinted>2025-10-27T22:56:38Z</cp:lastPrinted>
  <dcterms:created xsi:type="dcterms:W3CDTF">2021-02-19T12:20:54Z</dcterms:created>
  <dcterms:modified xsi:type="dcterms:W3CDTF">2026-05-11T16:33:04Z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